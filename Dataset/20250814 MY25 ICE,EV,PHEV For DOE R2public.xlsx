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M:\MPGTEST\F-Drive\dataProcessing\findacar\epaDataFiles\"/>
    </mc:Choice>
  </mc:AlternateContent>
  <xr:revisionPtr revIDLastSave="0" documentId="8_{9ED8E860-40EE-4871-8054-B47F79E46FE4}" xr6:coauthVersionLast="47" xr6:coauthVersionMax="47" xr10:uidLastSave="{00000000-0000-0000-0000-000000000000}"/>
  <bookViews>
    <workbookView xWindow="60" yWindow="540" windowWidth="19010" windowHeight="8780" xr2:uid="{00000000-000D-0000-FFFF-FFFF00000000}"/>
  </bookViews>
  <sheets>
    <sheet name="FEguide" sheetId="1" r:id="rId1"/>
    <sheet name="EV" sheetId="2" r:id="rId2"/>
    <sheet name="PHEV" sheetId="3" r:id="rId3"/>
    <sheet name="FCV" sheetId="4" r:id="rId4"/>
  </sheets>
  <definedNames>
    <definedName name="_xlnm._FilterDatabase" localSheetId="1" hidden="1">EV!$A$1:$FI$667</definedName>
    <definedName name="_xlnm._FilterDatabase" localSheetId="0" hidden="1">FEguide!$A$1:$FF$869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 i="4" l="1"/>
  <c r="M6" i="4"/>
  <c r="M3" i="4"/>
  <c r="EZ211" i="3" l="1"/>
  <c r="EY211" i="3"/>
  <c r="AJ211" i="3"/>
  <c r="AI211" i="3"/>
  <c r="AH211" i="3"/>
  <c r="AG211" i="3"/>
  <c r="AF211" i="3"/>
  <c r="AD211" i="3"/>
  <c r="AC211" i="3"/>
  <c r="AB211" i="3"/>
  <c r="AA211" i="3"/>
  <c r="Z211" i="3"/>
  <c r="Y211" i="3"/>
  <c r="W211" i="3"/>
  <c r="V211" i="3"/>
  <c r="U211" i="3"/>
  <c r="T211" i="3"/>
  <c r="R211" i="3"/>
  <c r="Q211" i="3"/>
  <c r="P211" i="3"/>
  <c r="O211" i="3"/>
  <c r="N211" i="3"/>
  <c r="M211" i="3"/>
  <c r="L211" i="3"/>
  <c r="K211" i="3"/>
  <c r="J211" i="3"/>
  <c r="EZ210" i="3"/>
  <c r="M209" i="3"/>
  <c r="DW209" i="3" s="1"/>
  <c r="EZ208" i="3"/>
  <c r="EY208" i="3"/>
  <c r="AJ208" i="3"/>
  <c r="AI208" i="3"/>
  <c r="AH208" i="3"/>
  <c r="AG208" i="3"/>
  <c r="AF208" i="3"/>
  <c r="AD208" i="3"/>
  <c r="AC208" i="3"/>
  <c r="AB208" i="3"/>
  <c r="AA208" i="3"/>
  <c r="Z208" i="3"/>
  <c r="Y208" i="3"/>
  <c r="W208" i="3"/>
  <c r="V208" i="3"/>
  <c r="U208" i="3"/>
  <c r="T208" i="3"/>
  <c r="R208" i="3"/>
  <c r="Q208" i="3"/>
  <c r="P208" i="3"/>
  <c r="O208" i="3"/>
  <c r="N208" i="3"/>
  <c r="M208" i="3"/>
  <c r="L208" i="3"/>
  <c r="K208" i="3"/>
  <c r="J208" i="3"/>
  <c r="EZ207" i="3"/>
  <c r="M206" i="3"/>
  <c r="FM206" i="3" s="1"/>
  <c r="EZ205" i="3"/>
  <c r="EY205" i="3"/>
  <c r="AJ205" i="3"/>
  <c r="AI205" i="3"/>
  <c r="AH205" i="3"/>
  <c r="AG205" i="3"/>
  <c r="AF205" i="3"/>
  <c r="AD205" i="3"/>
  <c r="AC205" i="3"/>
  <c r="AB205" i="3"/>
  <c r="AA205" i="3"/>
  <c r="Z205" i="3"/>
  <c r="Y205" i="3"/>
  <c r="W205" i="3"/>
  <c r="V205" i="3"/>
  <c r="U205" i="3"/>
  <c r="T205" i="3"/>
  <c r="R205" i="3"/>
  <c r="Q205" i="3"/>
  <c r="P205" i="3"/>
  <c r="O205" i="3"/>
  <c r="N205" i="3"/>
  <c r="M205" i="3"/>
  <c r="L205" i="3"/>
  <c r="K205" i="3"/>
  <c r="J205" i="3"/>
  <c r="EZ204" i="3"/>
  <c r="M203" i="3"/>
  <c r="EL203" i="3" s="1"/>
  <c r="EZ202" i="3"/>
  <c r="EY202" i="3"/>
  <c r="AJ202" i="3"/>
  <c r="AI202" i="3"/>
  <c r="AH202" i="3"/>
  <c r="AG202" i="3"/>
  <c r="AF202" i="3"/>
  <c r="AD202" i="3"/>
  <c r="AC202" i="3"/>
  <c r="AB202" i="3"/>
  <c r="AA202" i="3"/>
  <c r="Z202" i="3"/>
  <c r="Y202" i="3"/>
  <c r="W202" i="3"/>
  <c r="V202" i="3"/>
  <c r="U202" i="3"/>
  <c r="T202" i="3"/>
  <c r="R202" i="3"/>
  <c r="Q202" i="3"/>
  <c r="P202" i="3"/>
  <c r="O202" i="3"/>
  <c r="N202" i="3"/>
  <c r="M202" i="3"/>
  <c r="L202" i="3"/>
  <c r="K202" i="3"/>
  <c r="J202" i="3"/>
  <c r="EZ201" i="3"/>
  <c r="CO200" i="3"/>
  <c r="AT200" i="3"/>
  <c r="M200" i="3"/>
  <c r="BI200" i="3" s="1"/>
  <c r="EZ199" i="3"/>
  <c r="EY199" i="3"/>
  <c r="AJ199" i="3"/>
  <c r="AI199" i="3"/>
  <c r="AH199" i="3"/>
  <c r="AG199" i="3"/>
  <c r="AF199" i="3"/>
  <c r="AD199" i="3"/>
  <c r="AC199" i="3"/>
  <c r="AB199" i="3"/>
  <c r="AA199" i="3"/>
  <c r="Z199" i="3"/>
  <c r="Y199" i="3"/>
  <c r="W199" i="3"/>
  <c r="V199" i="3"/>
  <c r="U199" i="3"/>
  <c r="T199" i="3"/>
  <c r="R199" i="3"/>
  <c r="Q199" i="3"/>
  <c r="P199" i="3"/>
  <c r="O199" i="3"/>
  <c r="N199" i="3"/>
  <c r="M199" i="3"/>
  <c r="L199" i="3"/>
  <c r="K199" i="3"/>
  <c r="J199" i="3"/>
  <c r="EZ198" i="3"/>
  <c r="EZ197" i="3"/>
  <c r="M197" i="3"/>
  <c r="FA194" i="3"/>
  <c r="M194" i="3"/>
  <c r="EL194" i="3" s="1"/>
  <c r="AD191" i="3"/>
  <c r="M191" i="3"/>
  <c r="EL191" i="3" s="1"/>
  <c r="EZ190" i="3"/>
  <c r="AJ190" i="3"/>
  <c r="AI190" i="3"/>
  <c r="AH190" i="3"/>
  <c r="AG190" i="3"/>
  <c r="AF190" i="3"/>
  <c r="AD190" i="3"/>
  <c r="AC190" i="3"/>
  <c r="AB190" i="3"/>
  <c r="AA190" i="3"/>
  <c r="Z190" i="3"/>
  <c r="Y190" i="3"/>
  <c r="W190" i="3"/>
  <c r="V190" i="3"/>
  <c r="U190" i="3"/>
  <c r="T190" i="3"/>
  <c r="R190" i="3"/>
  <c r="Q190" i="3"/>
  <c r="P190" i="3"/>
  <c r="O190" i="3"/>
  <c r="N190" i="3"/>
  <c r="M190" i="3"/>
  <c r="L190" i="3"/>
  <c r="K190" i="3"/>
  <c r="J190" i="3"/>
  <c r="EZ189" i="3"/>
  <c r="BI188" i="3"/>
  <c r="AD188" i="3"/>
  <c r="M188" i="3"/>
  <c r="EL188" i="3" s="1"/>
  <c r="EZ187" i="3"/>
  <c r="AJ187" i="3"/>
  <c r="AI187" i="3"/>
  <c r="AH187" i="3"/>
  <c r="AG187" i="3"/>
  <c r="AF187" i="3"/>
  <c r="AD187" i="3"/>
  <c r="AC187" i="3"/>
  <c r="AB187" i="3"/>
  <c r="AA187" i="3"/>
  <c r="Z187" i="3"/>
  <c r="Y187" i="3"/>
  <c r="W187" i="3"/>
  <c r="V187" i="3"/>
  <c r="U187" i="3"/>
  <c r="T187" i="3"/>
  <c r="R187" i="3"/>
  <c r="Q187" i="3"/>
  <c r="P187" i="3"/>
  <c r="O187" i="3"/>
  <c r="N187" i="3"/>
  <c r="M187" i="3"/>
  <c r="L187" i="3"/>
  <c r="K187" i="3"/>
  <c r="J187" i="3"/>
  <c r="EZ186" i="3"/>
  <c r="M185" i="3"/>
  <c r="FA185" i="3" s="1"/>
  <c r="EZ184" i="3"/>
  <c r="AJ184" i="3"/>
  <c r="AI184" i="3"/>
  <c r="AH184" i="3"/>
  <c r="AG184" i="3"/>
  <c r="AF184" i="3"/>
  <c r="AD184" i="3"/>
  <c r="AC184" i="3"/>
  <c r="AB184" i="3"/>
  <c r="AA184" i="3"/>
  <c r="Z184" i="3"/>
  <c r="Y184" i="3"/>
  <c r="W184" i="3"/>
  <c r="V184" i="3"/>
  <c r="U184" i="3"/>
  <c r="T184" i="3"/>
  <c r="R184" i="3"/>
  <c r="Q184" i="3"/>
  <c r="P184" i="3"/>
  <c r="O184" i="3"/>
  <c r="N184" i="3"/>
  <c r="M184" i="3"/>
  <c r="L184" i="3"/>
  <c r="K184" i="3"/>
  <c r="J184" i="3"/>
  <c r="EZ183" i="3"/>
  <c r="FM182" i="3"/>
  <c r="FA182" i="3"/>
  <c r="DF182" i="3"/>
  <c r="CO182" i="3"/>
  <c r="AT182" i="3"/>
  <c r="M182" i="3"/>
  <c r="EL182" i="3" s="1"/>
  <c r="EZ181" i="3"/>
  <c r="AJ181" i="3"/>
  <c r="AI181" i="3"/>
  <c r="AH181" i="3"/>
  <c r="AG181" i="3"/>
  <c r="AF181" i="3"/>
  <c r="AD181" i="3"/>
  <c r="AC181" i="3"/>
  <c r="AB181" i="3"/>
  <c r="AA181" i="3"/>
  <c r="Z181" i="3"/>
  <c r="Y181" i="3"/>
  <c r="W181" i="3"/>
  <c r="V181" i="3"/>
  <c r="U181" i="3"/>
  <c r="T181" i="3"/>
  <c r="R181" i="3"/>
  <c r="Q181" i="3"/>
  <c r="P181" i="3"/>
  <c r="O181" i="3"/>
  <c r="N181" i="3"/>
  <c r="M181" i="3"/>
  <c r="L181" i="3"/>
  <c r="K181" i="3"/>
  <c r="J181" i="3"/>
  <c r="EZ180" i="3"/>
  <c r="M179" i="3"/>
  <c r="EL179" i="3" s="1"/>
  <c r="EZ178" i="3"/>
  <c r="AJ178" i="3"/>
  <c r="AI178" i="3"/>
  <c r="AH178" i="3"/>
  <c r="AG178" i="3"/>
  <c r="AF178" i="3"/>
  <c r="AD178" i="3"/>
  <c r="AC178" i="3"/>
  <c r="AB178" i="3"/>
  <c r="AA178" i="3"/>
  <c r="Z178" i="3"/>
  <c r="Y178" i="3"/>
  <c r="W178" i="3"/>
  <c r="V178" i="3"/>
  <c r="U178" i="3"/>
  <c r="T178" i="3"/>
  <c r="R178" i="3"/>
  <c r="Q178" i="3"/>
  <c r="P178" i="3"/>
  <c r="O178" i="3"/>
  <c r="N178" i="3"/>
  <c r="M178" i="3"/>
  <c r="L178" i="3"/>
  <c r="K178" i="3"/>
  <c r="J178" i="3"/>
  <c r="EZ177" i="3"/>
  <c r="EL176" i="3"/>
  <c r="M176" i="3"/>
  <c r="DW176" i="3" s="1"/>
  <c r="EZ175" i="3"/>
  <c r="AJ175" i="3"/>
  <c r="AI175" i="3"/>
  <c r="AH175" i="3"/>
  <c r="AG175" i="3"/>
  <c r="AF175" i="3"/>
  <c r="AD175" i="3"/>
  <c r="AC175" i="3"/>
  <c r="AB175" i="3"/>
  <c r="AA175" i="3"/>
  <c r="Z175" i="3"/>
  <c r="Y175" i="3"/>
  <c r="W175" i="3"/>
  <c r="V175" i="3"/>
  <c r="U175" i="3"/>
  <c r="T175" i="3"/>
  <c r="R175" i="3"/>
  <c r="Q175" i="3"/>
  <c r="P175" i="3"/>
  <c r="O175" i="3"/>
  <c r="N175" i="3"/>
  <c r="M175" i="3"/>
  <c r="L175" i="3"/>
  <c r="K175" i="3"/>
  <c r="J175" i="3"/>
  <c r="EZ174" i="3"/>
  <c r="BY173" i="3"/>
  <c r="AT173" i="3"/>
  <c r="M173" i="3"/>
  <c r="FA173" i="3" s="1"/>
  <c r="EZ172" i="3"/>
  <c r="AJ172" i="3"/>
  <c r="AI172" i="3"/>
  <c r="AH172" i="3"/>
  <c r="AG172" i="3"/>
  <c r="AF172" i="3"/>
  <c r="AD172" i="3"/>
  <c r="AC172" i="3"/>
  <c r="AB172" i="3"/>
  <c r="AA172" i="3"/>
  <c r="Z172" i="3"/>
  <c r="Y172" i="3"/>
  <c r="W172" i="3"/>
  <c r="V172" i="3"/>
  <c r="U172" i="3"/>
  <c r="T172" i="3"/>
  <c r="R172" i="3"/>
  <c r="Q172" i="3"/>
  <c r="P172" i="3"/>
  <c r="O172" i="3"/>
  <c r="N172" i="3"/>
  <c r="M172" i="3"/>
  <c r="L172" i="3"/>
  <c r="K172" i="3"/>
  <c r="J172" i="3"/>
  <c r="EZ171" i="3"/>
  <c r="M170" i="3"/>
  <c r="BI170" i="3" s="1"/>
  <c r="EZ169" i="3"/>
  <c r="AJ169" i="3"/>
  <c r="AI169" i="3"/>
  <c r="AH169" i="3"/>
  <c r="AG169" i="3"/>
  <c r="AF169" i="3"/>
  <c r="AD169" i="3"/>
  <c r="AC169" i="3"/>
  <c r="AB169" i="3"/>
  <c r="AA169" i="3"/>
  <c r="Z169" i="3"/>
  <c r="Y169" i="3"/>
  <c r="W169" i="3"/>
  <c r="V169" i="3"/>
  <c r="U169" i="3"/>
  <c r="T169" i="3"/>
  <c r="R169" i="3"/>
  <c r="Q169" i="3"/>
  <c r="P169" i="3"/>
  <c r="O169" i="3"/>
  <c r="N169" i="3"/>
  <c r="M169" i="3"/>
  <c r="L169" i="3"/>
  <c r="K169" i="3"/>
  <c r="J169" i="3"/>
  <c r="EZ168" i="3"/>
  <c r="DF167" i="3"/>
  <c r="AD167" i="3"/>
  <c r="M167" i="3"/>
  <c r="EL167" i="3" s="1"/>
  <c r="EZ166" i="3"/>
  <c r="AJ166" i="3"/>
  <c r="AI166" i="3"/>
  <c r="AH166" i="3"/>
  <c r="AG166" i="3"/>
  <c r="AF166" i="3"/>
  <c r="AD166" i="3"/>
  <c r="AC166" i="3"/>
  <c r="AB166" i="3"/>
  <c r="AA166" i="3"/>
  <c r="Z166" i="3"/>
  <c r="Y166" i="3"/>
  <c r="W166" i="3"/>
  <c r="V166" i="3"/>
  <c r="U166" i="3"/>
  <c r="T166" i="3"/>
  <c r="R166" i="3"/>
  <c r="Q166" i="3"/>
  <c r="P166" i="3"/>
  <c r="O166" i="3"/>
  <c r="N166" i="3"/>
  <c r="M166" i="3"/>
  <c r="L166" i="3"/>
  <c r="K166" i="3"/>
  <c r="J166" i="3"/>
  <c r="EZ165" i="3"/>
  <c r="AD164" i="3"/>
  <c r="M164" i="3"/>
  <c r="EL164" i="3" s="1"/>
  <c r="EZ163" i="3"/>
  <c r="AJ163" i="3"/>
  <c r="AI163" i="3"/>
  <c r="AH163" i="3"/>
  <c r="AG163" i="3"/>
  <c r="AF163" i="3"/>
  <c r="AD163" i="3"/>
  <c r="AC163" i="3"/>
  <c r="AB163" i="3"/>
  <c r="AA163" i="3"/>
  <c r="Z163" i="3"/>
  <c r="Y163" i="3"/>
  <c r="W163" i="3"/>
  <c r="V163" i="3"/>
  <c r="U163" i="3"/>
  <c r="T163" i="3"/>
  <c r="R163" i="3"/>
  <c r="Q163" i="3"/>
  <c r="P163" i="3"/>
  <c r="O163" i="3"/>
  <c r="N163" i="3"/>
  <c r="M163" i="3"/>
  <c r="L163" i="3"/>
  <c r="K163" i="3"/>
  <c r="J163" i="3"/>
  <c r="EZ162" i="3"/>
  <c r="M161" i="3"/>
  <c r="FA161" i="3" s="1"/>
  <c r="EZ160" i="3"/>
  <c r="AJ160" i="3"/>
  <c r="AI160" i="3"/>
  <c r="AH160" i="3"/>
  <c r="AG160" i="3"/>
  <c r="AF160" i="3"/>
  <c r="AD160" i="3"/>
  <c r="AC160" i="3"/>
  <c r="AB160" i="3"/>
  <c r="AA160" i="3"/>
  <c r="Z160" i="3"/>
  <c r="Y160" i="3"/>
  <c r="W160" i="3"/>
  <c r="V160" i="3"/>
  <c r="U160" i="3"/>
  <c r="T160" i="3"/>
  <c r="R160" i="3"/>
  <c r="Q160" i="3"/>
  <c r="P160" i="3"/>
  <c r="O160" i="3"/>
  <c r="N160" i="3"/>
  <c r="M160" i="3"/>
  <c r="L160" i="3"/>
  <c r="K160" i="3"/>
  <c r="J160" i="3"/>
  <c r="EZ159" i="3"/>
  <c r="FM158" i="3"/>
  <c r="FA158" i="3"/>
  <c r="DF158" i="3"/>
  <c r="CO158" i="3"/>
  <c r="AT158" i="3"/>
  <c r="M158" i="3"/>
  <c r="EL158" i="3" s="1"/>
  <c r="EZ157" i="3"/>
  <c r="AJ157" i="3"/>
  <c r="AI157" i="3"/>
  <c r="AH157" i="3"/>
  <c r="AG157" i="3"/>
  <c r="AF157" i="3"/>
  <c r="AD157" i="3"/>
  <c r="AC157" i="3"/>
  <c r="AB157" i="3"/>
  <c r="AA157" i="3"/>
  <c r="Z157" i="3"/>
  <c r="Y157" i="3"/>
  <c r="W157" i="3"/>
  <c r="V157" i="3"/>
  <c r="U157" i="3"/>
  <c r="T157" i="3"/>
  <c r="R157" i="3"/>
  <c r="Q157" i="3"/>
  <c r="P157" i="3"/>
  <c r="O157" i="3"/>
  <c r="N157" i="3"/>
  <c r="M157" i="3"/>
  <c r="L157" i="3"/>
  <c r="K157" i="3"/>
  <c r="J157" i="3"/>
  <c r="EZ156" i="3"/>
  <c r="M155" i="3"/>
  <c r="EL155" i="3" s="1"/>
  <c r="EZ154" i="3"/>
  <c r="AJ154" i="3"/>
  <c r="AI154" i="3"/>
  <c r="AH154" i="3"/>
  <c r="AG154" i="3"/>
  <c r="AF154" i="3"/>
  <c r="AD154" i="3"/>
  <c r="AC154" i="3"/>
  <c r="AB154" i="3"/>
  <c r="AA154" i="3"/>
  <c r="Z154" i="3"/>
  <c r="Y154" i="3"/>
  <c r="W154" i="3"/>
  <c r="V154" i="3"/>
  <c r="U154" i="3"/>
  <c r="T154" i="3"/>
  <c r="R154" i="3"/>
  <c r="Q154" i="3"/>
  <c r="P154" i="3"/>
  <c r="O154" i="3"/>
  <c r="N154" i="3"/>
  <c r="M154" i="3"/>
  <c r="L154" i="3"/>
  <c r="K154" i="3"/>
  <c r="J154" i="3"/>
  <c r="EZ153" i="3"/>
  <c r="M152" i="3"/>
  <c r="EL152" i="3" s="1"/>
  <c r="EZ151" i="3"/>
  <c r="AJ151" i="3"/>
  <c r="AI151" i="3"/>
  <c r="AH151" i="3"/>
  <c r="AG151" i="3"/>
  <c r="AF151" i="3"/>
  <c r="AD151" i="3"/>
  <c r="AC151" i="3"/>
  <c r="AB151" i="3"/>
  <c r="AA151" i="3"/>
  <c r="Z151" i="3"/>
  <c r="Y151" i="3"/>
  <c r="W151" i="3"/>
  <c r="V151" i="3"/>
  <c r="U151" i="3"/>
  <c r="T151" i="3"/>
  <c r="R151" i="3"/>
  <c r="Q151" i="3"/>
  <c r="P151" i="3"/>
  <c r="O151" i="3"/>
  <c r="N151" i="3"/>
  <c r="M151" i="3"/>
  <c r="L151" i="3"/>
  <c r="K151" i="3"/>
  <c r="J151" i="3"/>
  <c r="EZ150" i="3"/>
  <c r="FM149" i="3"/>
  <c r="BY149" i="3"/>
  <c r="AT149" i="3"/>
  <c r="M149" i="3"/>
  <c r="FA149" i="3" s="1"/>
  <c r="EZ148" i="3"/>
  <c r="AJ148" i="3"/>
  <c r="AI148" i="3"/>
  <c r="AH148" i="3"/>
  <c r="AG148" i="3"/>
  <c r="AF148" i="3"/>
  <c r="AD148" i="3"/>
  <c r="AC148" i="3"/>
  <c r="AB148" i="3"/>
  <c r="AA148" i="3"/>
  <c r="Z148" i="3"/>
  <c r="Y148" i="3"/>
  <c r="W148" i="3"/>
  <c r="V148" i="3"/>
  <c r="U148" i="3"/>
  <c r="T148" i="3"/>
  <c r="R148" i="3"/>
  <c r="Q148" i="3"/>
  <c r="P148" i="3"/>
  <c r="O148" i="3"/>
  <c r="N148" i="3"/>
  <c r="M148" i="3"/>
  <c r="L148" i="3"/>
  <c r="K148" i="3"/>
  <c r="J148" i="3"/>
  <c r="EZ147" i="3"/>
  <c r="M146" i="3"/>
  <c r="BY146" i="3" s="1"/>
  <c r="FM143" i="3"/>
  <c r="CO143" i="3"/>
  <c r="BY143" i="3"/>
  <c r="AT143" i="3"/>
  <c r="M143" i="3"/>
  <c r="FA143" i="3" s="1"/>
  <c r="EZ142" i="3"/>
  <c r="AJ142" i="3"/>
  <c r="AI142" i="3"/>
  <c r="AH142" i="3"/>
  <c r="AG142" i="3"/>
  <c r="AF142" i="3"/>
  <c r="AD142" i="3"/>
  <c r="AC142" i="3"/>
  <c r="AB142" i="3"/>
  <c r="AA142" i="3"/>
  <c r="Z142" i="3"/>
  <c r="Y142" i="3"/>
  <c r="W142" i="3"/>
  <c r="V142" i="3"/>
  <c r="U142" i="3"/>
  <c r="T142" i="3"/>
  <c r="R142" i="3"/>
  <c r="Q142" i="3"/>
  <c r="P142" i="3"/>
  <c r="O142" i="3"/>
  <c r="N142" i="3"/>
  <c r="M142" i="3"/>
  <c r="L142" i="3"/>
  <c r="K142" i="3"/>
  <c r="J142" i="3"/>
  <c r="EZ141" i="3"/>
  <c r="FA140" i="3"/>
  <c r="DW140" i="3"/>
  <c r="DF140" i="3"/>
  <c r="M140" i="3"/>
  <c r="BY140" i="3" s="1"/>
  <c r="EZ139" i="3"/>
  <c r="AJ139" i="3"/>
  <c r="AI139" i="3"/>
  <c r="AH139" i="3"/>
  <c r="AG139" i="3"/>
  <c r="AF139" i="3"/>
  <c r="AD139" i="3"/>
  <c r="AC139" i="3"/>
  <c r="AB139" i="3"/>
  <c r="AA139" i="3"/>
  <c r="Z139" i="3"/>
  <c r="Y139" i="3"/>
  <c r="W139" i="3"/>
  <c r="V139" i="3"/>
  <c r="U139" i="3"/>
  <c r="T139" i="3"/>
  <c r="R139" i="3"/>
  <c r="Q139" i="3"/>
  <c r="P139" i="3"/>
  <c r="O139" i="3"/>
  <c r="N139" i="3"/>
  <c r="M139" i="3"/>
  <c r="L139" i="3"/>
  <c r="K139" i="3"/>
  <c r="J139" i="3"/>
  <c r="EZ138" i="3"/>
  <c r="DF137" i="3"/>
  <c r="BY137" i="3"/>
  <c r="BI137" i="3"/>
  <c r="AT137" i="3"/>
  <c r="M137" i="3"/>
  <c r="FA137" i="3" s="1"/>
  <c r="EZ136" i="3"/>
  <c r="AJ136" i="3"/>
  <c r="AI136" i="3"/>
  <c r="AH136" i="3"/>
  <c r="AG136" i="3"/>
  <c r="AF136" i="3"/>
  <c r="AD136" i="3"/>
  <c r="AC136" i="3"/>
  <c r="AB136" i="3"/>
  <c r="AA136" i="3"/>
  <c r="Z136" i="3"/>
  <c r="Y136" i="3"/>
  <c r="W136" i="3"/>
  <c r="V136" i="3"/>
  <c r="U136" i="3"/>
  <c r="T136" i="3"/>
  <c r="R136" i="3"/>
  <c r="Q136" i="3"/>
  <c r="P136" i="3"/>
  <c r="O136" i="3"/>
  <c r="N136" i="3"/>
  <c r="M136" i="3"/>
  <c r="L136" i="3"/>
  <c r="K136" i="3"/>
  <c r="J136" i="3"/>
  <c r="EZ135" i="3"/>
  <c r="DW134" i="3"/>
  <c r="BY134" i="3"/>
  <c r="BI134" i="3"/>
  <c r="AD134" i="3"/>
  <c r="M134" i="3"/>
  <c r="EL134" i="3" s="1"/>
  <c r="EZ133" i="3"/>
  <c r="AJ133" i="3"/>
  <c r="AI133" i="3"/>
  <c r="AH133" i="3"/>
  <c r="AG133" i="3"/>
  <c r="AF133" i="3"/>
  <c r="AD133" i="3"/>
  <c r="AC133" i="3"/>
  <c r="AB133" i="3"/>
  <c r="AA133" i="3"/>
  <c r="Z133" i="3"/>
  <c r="Y133" i="3"/>
  <c r="W133" i="3"/>
  <c r="V133" i="3"/>
  <c r="U133" i="3"/>
  <c r="T133" i="3"/>
  <c r="R133" i="3"/>
  <c r="Q133" i="3"/>
  <c r="P133" i="3"/>
  <c r="O133" i="3"/>
  <c r="N133" i="3"/>
  <c r="M133" i="3"/>
  <c r="L133" i="3"/>
  <c r="K133" i="3"/>
  <c r="J133" i="3"/>
  <c r="EZ132" i="3"/>
  <c r="M131" i="3"/>
  <c r="EZ130" i="3"/>
  <c r="AJ130" i="3"/>
  <c r="AI130" i="3"/>
  <c r="AH130" i="3"/>
  <c r="AG130" i="3"/>
  <c r="AF130" i="3"/>
  <c r="AD130" i="3"/>
  <c r="AC130" i="3"/>
  <c r="AB130" i="3"/>
  <c r="AA130" i="3"/>
  <c r="Z130" i="3"/>
  <c r="Y130" i="3"/>
  <c r="W130" i="3"/>
  <c r="V130" i="3"/>
  <c r="U130" i="3"/>
  <c r="T130" i="3"/>
  <c r="R130" i="3"/>
  <c r="Q130" i="3"/>
  <c r="P130" i="3"/>
  <c r="O130" i="3"/>
  <c r="N130" i="3"/>
  <c r="M130" i="3"/>
  <c r="L130" i="3"/>
  <c r="K130" i="3"/>
  <c r="J130" i="3"/>
  <c r="EZ129" i="3"/>
  <c r="M128" i="3"/>
  <c r="EL128" i="3" s="1"/>
  <c r="FA125" i="3"/>
  <c r="EL125" i="3"/>
  <c r="M125" i="3"/>
  <c r="DW122" i="3"/>
  <c r="AD122" i="3"/>
  <c r="M122" i="3"/>
  <c r="EL122" i="3" s="1"/>
  <c r="FM119" i="3"/>
  <c r="DW119" i="3"/>
  <c r="DF119" i="3"/>
  <c r="BI119" i="3"/>
  <c r="M119" i="3"/>
  <c r="FA119" i="3" s="1"/>
  <c r="M116" i="3"/>
  <c r="EL116" i="3" s="1"/>
  <c r="M113" i="3"/>
  <c r="AT113" i="3" s="1"/>
  <c r="EZ112" i="3"/>
  <c r="AJ112" i="3"/>
  <c r="AI112" i="3"/>
  <c r="AH112" i="3"/>
  <c r="AG112" i="3"/>
  <c r="AF112" i="3"/>
  <c r="AD112" i="3"/>
  <c r="AC112" i="3"/>
  <c r="AB112" i="3"/>
  <c r="AA112" i="3"/>
  <c r="Z112" i="3"/>
  <c r="Y112" i="3"/>
  <c r="W112" i="3"/>
  <c r="V112" i="3"/>
  <c r="U112" i="3"/>
  <c r="T112" i="3"/>
  <c r="R112" i="3"/>
  <c r="Q112" i="3"/>
  <c r="P112" i="3"/>
  <c r="O112" i="3"/>
  <c r="N112" i="3"/>
  <c r="M112" i="3"/>
  <c r="L112" i="3"/>
  <c r="K112" i="3"/>
  <c r="J112" i="3"/>
  <c r="FL111" i="3"/>
  <c r="EZ111" i="3"/>
  <c r="M110" i="3"/>
  <c r="BI110" i="3" s="1"/>
  <c r="EZ109" i="3"/>
  <c r="AJ109" i="3"/>
  <c r="AI109" i="3"/>
  <c r="AH109" i="3"/>
  <c r="AG109" i="3"/>
  <c r="AF109" i="3"/>
  <c r="AD109" i="3"/>
  <c r="AC109" i="3"/>
  <c r="AB109" i="3"/>
  <c r="AA109" i="3"/>
  <c r="Z109" i="3"/>
  <c r="Y109" i="3"/>
  <c r="W109" i="3"/>
  <c r="V109" i="3"/>
  <c r="U109" i="3"/>
  <c r="T109" i="3"/>
  <c r="R109" i="3"/>
  <c r="Q109" i="3"/>
  <c r="P109" i="3"/>
  <c r="O109" i="3"/>
  <c r="N109" i="3"/>
  <c r="M109" i="3"/>
  <c r="L109" i="3"/>
  <c r="K109" i="3"/>
  <c r="J109" i="3"/>
  <c r="EZ108" i="3"/>
  <c r="M107" i="3"/>
  <c r="DW107" i="3" s="1"/>
  <c r="EZ106" i="3"/>
  <c r="AJ106" i="3"/>
  <c r="AI106" i="3"/>
  <c r="AH106" i="3"/>
  <c r="AG106" i="3"/>
  <c r="AF106" i="3"/>
  <c r="AD106" i="3"/>
  <c r="AC106" i="3"/>
  <c r="AB106" i="3"/>
  <c r="AA106" i="3"/>
  <c r="Z106" i="3"/>
  <c r="Y106" i="3"/>
  <c r="W106" i="3"/>
  <c r="V106" i="3"/>
  <c r="U106" i="3"/>
  <c r="T106" i="3"/>
  <c r="R106" i="3"/>
  <c r="Q106" i="3"/>
  <c r="P106" i="3"/>
  <c r="O106" i="3"/>
  <c r="N106" i="3"/>
  <c r="M106" i="3"/>
  <c r="L106" i="3"/>
  <c r="K106" i="3"/>
  <c r="J106" i="3"/>
  <c r="EZ105" i="3"/>
  <c r="M104" i="3"/>
  <c r="FM104" i="3" s="1"/>
  <c r="EZ103" i="3"/>
  <c r="AJ103" i="3"/>
  <c r="AI103" i="3"/>
  <c r="AH103" i="3"/>
  <c r="AG103" i="3"/>
  <c r="AF103" i="3"/>
  <c r="AD103" i="3"/>
  <c r="AC103" i="3"/>
  <c r="AB103" i="3"/>
  <c r="AA103" i="3"/>
  <c r="Z103" i="3"/>
  <c r="Y103" i="3"/>
  <c r="W103" i="3"/>
  <c r="V103" i="3"/>
  <c r="U103" i="3"/>
  <c r="T103" i="3"/>
  <c r="R103" i="3"/>
  <c r="Q103" i="3"/>
  <c r="P103" i="3"/>
  <c r="O103" i="3"/>
  <c r="N103" i="3"/>
  <c r="M103" i="3"/>
  <c r="L103" i="3"/>
  <c r="K103" i="3"/>
  <c r="J103" i="3"/>
  <c r="EZ102" i="3"/>
  <c r="M101" i="3"/>
  <c r="BY101" i="3" s="1"/>
  <c r="EZ100" i="3"/>
  <c r="AJ100" i="3"/>
  <c r="AI100" i="3"/>
  <c r="AH100" i="3"/>
  <c r="AG100" i="3"/>
  <c r="AF100" i="3"/>
  <c r="AD100" i="3"/>
  <c r="AC100" i="3"/>
  <c r="AB100" i="3"/>
  <c r="AA100" i="3"/>
  <c r="Z100" i="3"/>
  <c r="Y100" i="3"/>
  <c r="W100" i="3"/>
  <c r="V100" i="3"/>
  <c r="U100" i="3"/>
  <c r="T100" i="3"/>
  <c r="R100" i="3"/>
  <c r="Q100" i="3"/>
  <c r="P100" i="3"/>
  <c r="O100" i="3"/>
  <c r="N100" i="3"/>
  <c r="M100" i="3"/>
  <c r="L100" i="3"/>
  <c r="K100" i="3"/>
  <c r="J100" i="3"/>
  <c r="EZ99" i="3"/>
  <c r="M98" i="3"/>
  <c r="BI98" i="3" s="1"/>
  <c r="EZ97" i="3"/>
  <c r="AJ97" i="3"/>
  <c r="AI97" i="3"/>
  <c r="AH97" i="3"/>
  <c r="AG97" i="3"/>
  <c r="AF97" i="3"/>
  <c r="AD97" i="3"/>
  <c r="AC97" i="3"/>
  <c r="AB97" i="3"/>
  <c r="AA97" i="3"/>
  <c r="Z97" i="3"/>
  <c r="Y97" i="3"/>
  <c r="W97" i="3"/>
  <c r="V97" i="3"/>
  <c r="U97" i="3"/>
  <c r="T97" i="3"/>
  <c r="R97" i="3"/>
  <c r="Q97" i="3"/>
  <c r="P97" i="3"/>
  <c r="O97" i="3"/>
  <c r="N97" i="3"/>
  <c r="M97" i="3"/>
  <c r="L97" i="3"/>
  <c r="K97" i="3"/>
  <c r="J97" i="3"/>
  <c r="EZ96" i="3"/>
  <c r="M95" i="3"/>
  <c r="EL95" i="3" s="1"/>
  <c r="FI94" i="3"/>
  <c r="AJ94" i="3"/>
  <c r="AI94" i="3"/>
  <c r="AH94" i="3"/>
  <c r="AG94" i="3"/>
  <c r="AF94" i="3"/>
  <c r="AD94" i="3"/>
  <c r="AC94" i="3"/>
  <c r="AB94" i="3"/>
  <c r="AA94" i="3"/>
  <c r="Z94" i="3"/>
  <c r="Y94" i="3"/>
  <c r="W94" i="3"/>
  <c r="V94" i="3"/>
  <c r="U94" i="3"/>
  <c r="T94" i="3"/>
  <c r="R94" i="3"/>
  <c r="Q94" i="3"/>
  <c r="P94" i="3"/>
  <c r="O94" i="3"/>
  <c r="N94" i="3"/>
  <c r="M94" i="3"/>
  <c r="L94" i="3"/>
  <c r="K94" i="3"/>
  <c r="J94" i="3"/>
  <c r="FL93" i="3"/>
  <c r="FI93" i="3"/>
  <c r="DF92" i="3"/>
  <c r="M92" i="3"/>
  <c r="BY92" i="3" s="1"/>
  <c r="FI91" i="3"/>
  <c r="AJ91" i="3"/>
  <c r="AI91" i="3"/>
  <c r="AH91" i="3"/>
  <c r="AG91" i="3"/>
  <c r="AF91" i="3"/>
  <c r="AD91" i="3"/>
  <c r="AC91" i="3"/>
  <c r="AB91" i="3"/>
  <c r="AA91" i="3"/>
  <c r="Z91" i="3"/>
  <c r="Y91" i="3"/>
  <c r="W91" i="3"/>
  <c r="V91" i="3"/>
  <c r="U91" i="3"/>
  <c r="T91" i="3"/>
  <c r="R91" i="3"/>
  <c r="Q91" i="3"/>
  <c r="P91" i="3"/>
  <c r="O91" i="3"/>
  <c r="N91" i="3"/>
  <c r="M91" i="3"/>
  <c r="L91" i="3"/>
  <c r="K91" i="3"/>
  <c r="J91" i="3"/>
  <c r="FL90" i="3"/>
  <c r="FI90" i="3"/>
  <c r="M89" i="3"/>
  <c r="DW89" i="3" s="1"/>
  <c r="EZ88" i="3"/>
  <c r="AJ88" i="3"/>
  <c r="AI88" i="3"/>
  <c r="AH88" i="3"/>
  <c r="AG88" i="3"/>
  <c r="AF88" i="3"/>
  <c r="AD88" i="3"/>
  <c r="AC88" i="3"/>
  <c r="AB88" i="3"/>
  <c r="AA88" i="3"/>
  <c r="Z88" i="3"/>
  <c r="Y88" i="3"/>
  <c r="W88" i="3"/>
  <c r="V88" i="3"/>
  <c r="U88" i="3"/>
  <c r="T88" i="3"/>
  <c r="R88" i="3"/>
  <c r="Q88" i="3"/>
  <c r="P88" i="3"/>
  <c r="O88" i="3"/>
  <c r="N88" i="3"/>
  <c r="M88" i="3"/>
  <c r="L88" i="3"/>
  <c r="K88" i="3"/>
  <c r="J88" i="3"/>
  <c r="EZ87" i="3"/>
  <c r="M86" i="3"/>
  <c r="BY86" i="3" s="1"/>
  <c r="EZ85" i="3"/>
  <c r="AJ85" i="3"/>
  <c r="AI85" i="3"/>
  <c r="AH85" i="3"/>
  <c r="AG85" i="3"/>
  <c r="AF85" i="3"/>
  <c r="AD85" i="3"/>
  <c r="AC85" i="3"/>
  <c r="AB85" i="3"/>
  <c r="AA85" i="3"/>
  <c r="Z85" i="3"/>
  <c r="Y85" i="3"/>
  <c r="W85" i="3"/>
  <c r="V85" i="3"/>
  <c r="U85" i="3"/>
  <c r="T85" i="3"/>
  <c r="R85" i="3"/>
  <c r="Q85" i="3"/>
  <c r="P85" i="3"/>
  <c r="O85" i="3"/>
  <c r="N85" i="3"/>
  <c r="M85" i="3"/>
  <c r="L85" i="3"/>
  <c r="K85" i="3"/>
  <c r="J85" i="3"/>
  <c r="EZ84" i="3"/>
  <c r="M83" i="3"/>
  <c r="BY83" i="3" s="1"/>
  <c r="EZ82" i="3"/>
  <c r="AJ82" i="3"/>
  <c r="AI82" i="3"/>
  <c r="AH82" i="3"/>
  <c r="AG82" i="3"/>
  <c r="AF82" i="3"/>
  <c r="AD82" i="3"/>
  <c r="AC82" i="3"/>
  <c r="AB82" i="3"/>
  <c r="AA82" i="3"/>
  <c r="Z82" i="3"/>
  <c r="Y82" i="3"/>
  <c r="W82" i="3"/>
  <c r="V82" i="3"/>
  <c r="U82" i="3"/>
  <c r="T82" i="3"/>
  <c r="S82" i="3"/>
  <c r="R82" i="3"/>
  <c r="Q82" i="3"/>
  <c r="P82" i="3"/>
  <c r="O82" i="3"/>
  <c r="N82" i="3"/>
  <c r="M82" i="3"/>
  <c r="L82" i="3"/>
  <c r="K82" i="3"/>
  <c r="J82" i="3"/>
  <c r="EZ81" i="3"/>
  <c r="M80" i="3"/>
  <c r="EZ79" i="3"/>
  <c r="AJ79" i="3"/>
  <c r="AI79" i="3"/>
  <c r="AH79" i="3"/>
  <c r="AG79" i="3"/>
  <c r="AF79" i="3"/>
  <c r="AD79" i="3"/>
  <c r="AC79" i="3"/>
  <c r="AB79" i="3"/>
  <c r="AA79" i="3"/>
  <c r="Z79" i="3"/>
  <c r="Y79" i="3"/>
  <c r="W79" i="3"/>
  <c r="V79" i="3"/>
  <c r="U79" i="3"/>
  <c r="T79" i="3"/>
  <c r="S79" i="3"/>
  <c r="R79" i="3"/>
  <c r="Q79" i="3"/>
  <c r="P79" i="3"/>
  <c r="O79" i="3"/>
  <c r="N79" i="3"/>
  <c r="M79" i="3"/>
  <c r="L79" i="3"/>
  <c r="K79" i="3"/>
  <c r="J79" i="3"/>
  <c r="EZ78" i="3"/>
  <c r="M77" i="3"/>
  <c r="EL77" i="3" s="1"/>
  <c r="EZ76" i="3"/>
  <c r="AJ76" i="3"/>
  <c r="AI76" i="3"/>
  <c r="AH76" i="3"/>
  <c r="AG76" i="3"/>
  <c r="AF76" i="3"/>
  <c r="AD76" i="3"/>
  <c r="AC76" i="3"/>
  <c r="AB76" i="3"/>
  <c r="AA76" i="3"/>
  <c r="Z76" i="3"/>
  <c r="Y76" i="3"/>
  <c r="W76" i="3"/>
  <c r="V76" i="3"/>
  <c r="U76" i="3"/>
  <c r="T76" i="3"/>
  <c r="S76" i="3"/>
  <c r="R76" i="3"/>
  <c r="Q76" i="3"/>
  <c r="P76" i="3"/>
  <c r="O76" i="3"/>
  <c r="N76" i="3"/>
  <c r="M76" i="3"/>
  <c r="L76" i="3"/>
  <c r="K76" i="3"/>
  <c r="J76" i="3"/>
  <c r="EZ75" i="3"/>
  <c r="BI74" i="3"/>
  <c r="AD74" i="3"/>
  <c r="M74" i="3"/>
  <c r="EL74" i="3" s="1"/>
  <c r="EZ73" i="3"/>
  <c r="AJ73" i="3"/>
  <c r="AI73" i="3"/>
  <c r="AH73" i="3"/>
  <c r="AG73" i="3"/>
  <c r="AF73" i="3"/>
  <c r="AD73" i="3"/>
  <c r="AC73" i="3"/>
  <c r="AB73" i="3"/>
  <c r="AA73" i="3"/>
  <c r="Z73" i="3"/>
  <c r="Y73" i="3"/>
  <c r="W73" i="3"/>
  <c r="V73" i="3"/>
  <c r="U73" i="3"/>
  <c r="T73" i="3"/>
  <c r="R73" i="3"/>
  <c r="Q73" i="3"/>
  <c r="P73" i="3"/>
  <c r="O73" i="3"/>
  <c r="N73" i="3"/>
  <c r="M73" i="3"/>
  <c r="L73" i="3"/>
  <c r="K73" i="3"/>
  <c r="J73" i="3"/>
  <c r="EZ72" i="3"/>
  <c r="M71" i="3"/>
  <c r="BY71" i="3" s="1"/>
  <c r="EZ70" i="3"/>
  <c r="AJ70" i="3"/>
  <c r="AI70" i="3"/>
  <c r="AH70" i="3"/>
  <c r="AG70" i="3"/>
  <c r="AF70" i="3"/>
  <c r="AD70" i="3"/>
  <c r="AC70" i="3"/>
  <c r="AB70" i="3"/>
  <c r="AA70" i="3"/>
  <c r="Z70" i="3"/>
  <c r="Y70" i="3"/>
  <c r="W70" i="3"/>
  <c r="V70" i="3"/>
  <c r="U70" i="3"/>
  <c r="T70" i="3"/>
  <c r="R70" i="3"/>
  <c r="Q70" i="3"/>
  <c r="P70" i="3"/>
  <c r="O70" i="3"/>
  <c r="N70" i="3"/>
  <c r="M70" i="3"/>
  <c r="L70" i="3"/>
  <c r="K70" i="3"/>
  <c r="J70" i="3"/>
  <c r="EZ69" i="3"/>
  <c r="AD68" i="3"/>
  <c r="M68" i="3"/>
  <c r="EL68" i="3" s="1"/>
  <c r="EZ67" i="3"/>
  <c r="AJ67" i="3"/>
  <c r="AI67" i="3"/>
  <c r="AH67" i="3"/>
  <c r="AG67" i="3"/>
  <c r="AF67" i="3"/>
  <c r="AD67" i="3"/>
  <c r="AC67" i="3"/>
  <c r="AB67" i="3"/>
  <c r="AA67" i="3"/>
  <c r="Z67" i="3"/>
  <c r="Y67" i="3"/>
  <c r="W67" i="3"/>
  <c r="V67" i="3"/>
  <c r="U67" i="3"/>
  <c r="T67" i="3"/>
  <c r="R67" i="3"/>
  <c r="Q67" i="3"/>
  <c r="P67" i="3"/>
  <c r="O67" i="3"/>
  <c r="N67" i="3"/>
  <c r="M67" i="3"/>
  <c r="L67" i="3"/>
  <c r="K67" i="3"/>
  <c r="J67" i="3"/>
  <c r="EZ66" i="3"/>
  <c r="BI65" i="3"/>
  <c r="M65" i="3"/>
  <c r="FM65" i="3" s="1"/>
  <c r="EZ64" i="3"/>
  <c r="AJ64" i="3"/>
  <c r="AI64" i="3"/>
  <c r="AH64" i="3"/>
  <c r="AG64" i="3"/>
  <c r="AF64" i="3"/>
  <c r="AD64" i="3"/>
  <c r="AC64" i="3"/>
  <c r="AB64" i="3"/>
  <c r="AA64" i="3"/>
  <c r="Z64" i="3"/>
  <c r="Y64" i="3"/>
  <c r="W64" i="3"/>
  <c r="V64" i="3"/>
  <c r="U64" i="3"/>
  <c r="T64" i="3"/>
  <c r="R64" i="3"/>
  <c r="Q64" i="3"/>
  <c r="P64" i="3"/>
  <c r="O64" i="3"/>
  <c r="N64" i="3"/>
  <c r="M64" i="3"/>
  <c r="L64" i="3"/>
  <c r="K64" i="3"/>
  <c r="J64" i="3"/>
  <c r="EZ63" i="3"/>
  <c r="M62" i="3"/>
  <c r="CO62" i="3" s="1"/>
  <c r="EZ61" i="3"/>
  <c r="AJ61" i="3"/>
  <c r="AI61" i="3"/>
  <c r="AH61" i="3"/>
  <c r="AG61" i="3"/>
  <c r="AF61" i="3"/>
  <c r="AD61" i="3"/>
  <c r="AC61" i="3"/>
  <c r="AB61" i="3"/>
  <c r="AA61" i="3"/>
  <c r="Z61" i="3"/>
  <c r="Y61" i="3"/>
  <c r="W61" i="3"/>
  <c r="V61" i="3"/>
  <c r="U61" i="3"/>
  <c r="T61" i="3"/>
  <c r="R61" i="3"/>
  <c r="Q61" i="3"/>
  <c r="P61" i="3"/>
  <c r="O61" i="3"/>
  <c r="N61" i="3"/>
  <c r="M61" i="3"/>
  <c r="L61" i="3"/>
  <c r="K61" i="3"/>
  <c r="J61" i="3"/>
  <c r="EZ60" i="3"/>
  <c r="M59" i="3"/>
  <c r="BY59" i="3" s="1"/>
  <c r="EZ58" i="3"/>
  <c r="AJ58" i="3"/>
  <c r="AI58" i="3"/>
  <c r="AH58" i="3"/>
  <c r="AG58" i="3"/>
  <c r="AF58" i="3"/>
  <c r="AD58" i="3"/>
  <c r="AC58" i="3"/>
  <c r="AB58" i="3"/>
  <c r="AA58" i="3"/>
  <c r="Z58" i="3"/>
  <c r="Y58" i="3"/>
  <c r="W58" i="3"/>
  <c r="V58" i="3"/>
  <c r="U58" i="3"/>
  <c r="T58" i="3"/>
  <c r="R58" i="3"/>
  <c r="Q58" i="3"/>
  <c r="P58" i="3"/>
  <c r="O58" i="3"/>
  <c r="N58" i="3"/>
  <c r="M58" i="3"/>
  <c r="L58" i="3"/>
  <c r="K58" i="3"/>
  <c r="J58" i="3"/>
  <c r="EZ57" i="3"/>
  <c r="FM56" i="3"/>
  <c r="FA56" i="3"/>
  <c r="DW56" i="3"/>
  <c r="DF56" i="3"/>
  <c r="CO56" i="3"/>
  <c r="BI56" i="3"/>
  <c r="AT56" i="3"/>
  <c r="M56" i="3"/>
  <c r="BY56" i="3" s="1"/>
  <c r="EZ55" i="3"/>
  <c r="AJ55" i="3"/>
  <c r="AI55" i="3"/>
  <c r="AH55" i="3"/>
  <c r="AG55" i="3"/>
  <c r="AF55" i="3"/>
  <c r="AD55" i="3"/>
  <c r="AC55" i="3"/>
  <c r="AB55" i="3"/>
  <c r="AA55" i="3"/>
  <c r="Z55" i="3"/>
  <c r="Y55" i="3"/>
  <c r="W55" i="3"/>
  <c r="V55" i="3"/>
  <c r="U55" i="3"/>
  <c r="T55" i="3"/>
  <c r="R55" i="3"/>
  <c r="Q55" i="3"/>
  <c r="P55" i="3"/>
  <c r="O55" i="3"/>
  <c r="N55" i="3"/>
  <c r="M55" i="3"/>
  <c r="L55" i="3"/>
  <c r="K55" i="3"/>
  <c r="J55" i="3"/>
  <c r="EZ54" i="3"/>
  <c r="FM53" i="3"/>
  <c r="M53" i="3"/>
  <c r="BI53" i="3" s="1"/>
  <c r="EZ52" i="3"/>
  <c r="AJ52" i="3"/>
  <c r="AI52" i="3"/>
  <c r="AH52" i="3"/>
  <c r="AG52" i="3"/>
  <c r="AF52" i="3"/>
  <c r="AD52" i="3"/>
  <c r="AC52" i="3"/>
  <c r="AB52" i="3"/>
  <c r="AA52" i="3"/>
  <c r="Z52" i="3"/>
  <c r="Y52" i="3"/>
  <c r="W52" i="3"/>
  <c r="V52" i="3"/>
  <c r="U52" i="3"/>
  <c r="T52" i="3"/>
  <c r="R52" i="3"/>
  <c r="Q52" i="3"/>
  <c r="P52" i="3"/>
  <c r="O52" i="3"/>
  <c r="N52" i="3"/>
  <c r="M52" i="3"/>
  <c r="L52" i="3"/>
  <c r="K52" i="3"/>
  <c r="J52" i="3"/>
  <c r="EZ51" i="3"/>
  <c r="FA50" i="3"/>
  <c r="DW50" i="3"/>
  <c r="CO50" i="3"/>
  <c r="BY50" i="3"/>
  <c r="BI50" i="3"/>
  <c r="AD50" i="3"/>
  <c r="M50" i="3"/>
  <c r="EL50" i="3" s="1"/>
  <c r="M47" i="3"/>
  <c r="FM47" i="3" s="1"/>
  <c r="EZ46" i="3"/>
  <c r="AJ46" i="3"/>
  <c r="AI46" i="3"/>
  <c r="AH46" i="3"/>
  <c r="AG46" i="3"/>
  <c r="AF46" i="3"/>
  <c r="AD46" i="3"/>
  <c r="AC46" i="3"/>
  <c r="AB46" i="3"/>
  <c r="AA46" i="3"/>
  <c r="Z46" i="3"/>
  <c r="Y46" i="3"/>
  <c r="W46" i="3"/>
  <c r="V46" i="3"/>
  <c r="U46" i="3"/>
  <c r="T46" i="3"/>
  <c r="S46" i="3"/>
  <c r="R46" i="3"/>
  <c r="Q46" i="3"/>
  <c r="P46" i="3"/>
  <c r="O46" i="3"/>
  <c r="N46" i="3"/>
  <c r="M46" i="3"/>
  <c r="L46" i="3"/>
  <c r="K46" i="3"/>
  <c r="J46" i="3"/>
  <c r="EZ45" i="3"/>
  <c r="M44" i="3"/>
  <c r="FM44" i="3" s="1"/>
  <c r="EZ43" i="3"/>
  <c r="AJ43" i="3"/>
  <c r="AI43" i="3"/>
  <c r="AH43" i="3"/>
  <c r="AG43" i="3"/>
  <c r="AF43" i="3"/>
  <c r="AD43" i="3"/>
  <c r="AC43" i="3"/>
  <c r="AB43" i="3"/>
  <c r="AA43" i="3"/>
  <c r="Z43" i="3"/>
  <c r="Y43" i="3"/>
  <c r="W43" i="3"/>
  <c r="V43" i="3"/>
  <c r="U43" i="3"/>
  <c r="T43" i="3"/>
  <c r="R43" i="3"/>
  <c r="Q43" i="3"/>
  <c r="P43" i="3"/>
  <c r="O43" i="3"/>
  <c r="N43" i="3"/>
  <c r="M43" i="3"/>
  <c r="L43" i="3"/>
  <c r="K43" i="3"/>
  <c r="J43" i="3"/>
  <c r="EZ42" i="3"/>
  <c r="M41" i="3"/>
  <c r="BY41" i="3" s="1"/>
  <c r="M38" i="3"/>
  <c r="DF38" i="3" s="1"/>
  <c r="M35" i="3"/>
  <c r="BI35" i="3" s="1"/>
  <c r="M32" i="3"/>
  <c r="BY32" i="3" s="1"/>
  <c r="CO29" i="3"/>
  <c r="AD29" i="3"/>
  <c r="M29" i="3"/>
  <c r="EL29" i="3" s="1"/>
  <c r="AD26" i="3"/>
  <c r="M26" i="3"/>
  <c r="FM26" i="3" s="1"/>
  <c r="EL23" i="3"/>
  <c r="BI23" i="3"/>
  <c r="AD23" i="3"/>
  <c r="M23" i="3"/>
  <c r="FA23" i="3" s="1"/>
  <c r="M20" i="3"/>
  <c r="FM20" i="3" s="1"/>
  <c r="EZ19" i="3"/>
  <c r="AJ19" i="3"/>
  <c r="AI19" i="3"/>
  <c r="AH19" i="3"/>
  <c r="AG19" i="3"/>
  <c r="AF19" i="3"/>
  <c r="AD19" i="3"/>
  <c r="AC19" i="3"/>
  <c r="AB19" i="3"/>
  <c r="AA19" i="3"/>
  <c r="Z19" i="3"/>
  <c r="Y19" i="3"/>
  <c r="W19" i="3"/>
  <c r="V19" i="3"/>
  <c r="U19" i="3"/>
  <c r="T19" i="3"/>
  <c r="R19" i="3"/>
  <c r="Q19" i="3"/>
  <c r="P19" i="3"/>
  <c r="O19" i="3"/>
  <c r="N19" i="3"/>
  <c r="M19" i="3"/>
  <c r="L19" i="3"/>
  <c r="K19" i="3"/>
  <c r="J19" i="3"/>
  <c r="EZ18" i="3"/>
  <c r="M17" i="3"/>
  <c r="EL17" i="3" s="1"/>
  <c r="EZ16" i="3"/>
  <c r="AJ16" i="3"/>
  <c r="AI16" i="3"/>
  <c r="AH16" i="3"/>
  <c r="AG16" i="3"/>
  <c r="AF16" i="3"/>
  <c r="AD16" i="3"/>
  <c r="AC16" i="3"/>
  <c r="AB16" i="3"/>
  <c r="AA16" i="3"/>
  <c r="Z16" i="3"/>
  <c r="Y16" i="3"/>
  <c r="W16" i="3"/>
  <c r="V16" i="3"/>
  <c r="U16" i="3"/>
  <c r="T16" i="3"/>
  <c r="R16" i="3"/>
  <c r="Q16" i="3"/>
  <c r="P16" i="3"/>
  <c r="O16" i="3"/>
  <c r="N16" i="3"/>
  <c r="M16" i="3"/>
  <c r="L16" i="3"/>
  <c r="K16" i="3"/>
  <c r="J16" i="3"/>
  <c r="EZ15" i="3"/>
  <c r="BY14" i="3"/>
  <c r="M14" i="3"/>
  <c r="FM14" i="3" s="1"/>
  <c r="EZ13" i="3"/>
  <c r="AJ13" i="3"/>
  <c r="AI13" i="3"/>
  <c r="AH13" i="3"/>
  <c r="AG13" i="3"/>
  <c r="AF13" i="3"/>
  <c r="AD13" i="3"/>
  <c r="AC13" i="3"/>
  <c r="AB13" i="3"/>
  <c r="AA13" i="3"/>
  <c r="Z13" i="3"/>
  <c r="Y13" i="3"/>
  <c r="W13" i="3"/>
  <c r="V13" i="3"/>
  <c r="U13" i="3"/>
  <c r="T13" i="3"/>
  <c r="R13" i="3"/>
  <c r="Q13" i="3"/>
  <c r="P13" i="3"/>
  <c r="O13" i="3"/>
  <c r="N13" i="3"/>
  <c r="M13" i="3"/>
  <c r="L13" i="3"/>
  <c r="K13" i="3"/>
  <c r="J13" i="3"/>
  <c r="EZ12" i="3"/>
  <c r="AT11" i="3"/>
  <c r="M11" i="3"/>
  <c r="EL11" i="3" s="1"/>
  <c r="BY194" i="3" l="1"/>
  <c r="DW194" i="3"/>
  <c r="AD200" i="3"/>
  <c r="AT29" i="3"/>
  <c r="DF47" i="3"/>
  <c r="BI29" i="3"/>
  <c r="BI122" i="3"/>
  <c r="BY200" i="3"/>
  <c r="AD206" i="3"/>
  <c r="BI206" i="3"/>
  <c r="EL20" i="3"/>
  <c r="BY53" i="3"/>
  <c r="AD95" i="3"/>
  <c r="DF200" i="3"/>
  <c r="DW203" i="3"/>
  <c r="CO206" i="3"/>
  <c r="FM32" i="3"/>
  <c r="DF53" i="3"/>
  <c r="DW200" i="3"/>
  <c r="FA203" i="3"/>
  <c r="DF206" i="3"/>
  <c r="DW53" i="3"/>
  <c r="FA200" i="3"/>
  <c r="FA206" i="3"/>
  <c r="FM200" i="3"/>
  <c r="AT68" i="3"/>
  <c r="AD128" i="3"/>
  <c r="BI164" i="3"/>
  <c r="AT167" i="3"/>
  <c r="AT191" i="3"/>
  <c r="BI41" i="3"/>
  <c r="CO116" i="3"/>
  <c r="AT128" i="3"/>
  <c r="FA134" i="3"/>
  <c r="DW137" i="3"/>
  <c r="FM140" i="3"/>
  <c r="BY164" i="3"/>
  <c r="BI167" i="3"/>
  <c r="BY188" i="3"/>
  <c r="BI191" i="3"/>
  <c r="BI128" i="3"/>
  <c r="FM137" i="3"/>
  <c r="FA146" i="3"/>
  <c r="AD158" i="3"/>
  <c r="DW164" i="3"/>
  <c r="BY167" i="3"/>
  <c r="FA170" i="3"/>
  <c r="AD182" i="3"/>
  <c r="DW188" i="3"/>
  <c r="BY191" i="3"/>
  <c r="CO128" i="3"/>
  <c r="FA164" i="3"/>
  <c r="FA188" i="3"/>
  <c r="DF191" i="3"/>
  <c r="DF14" i="3"/>
  <c r="AT26" i="3"/>
  <c r="BY119" i="3"/>
  <c r="DF128" i="3"/>
  <c r="BI158" i="3"/>
  <c r="DW167" i="3"/>
  <c r="BI182" i="3"/>
  <c r="DW191" i="3"/>
  <c r="FA14" i="3"/>
  <c r="FA26" i="3"/>
  <c r="FA128" i="3"/>
  <c r="FA167" i="3"/>
  <c r="FM128" i="3"/>
  <c r="FM167" i="3"/>
  <c r="AD194" i="3"/>
  <c r="FA11" i="3"/>
  <c r="FM11" i="3"/>
  <c r="EL14" i="3"/>
  <c r="EL32" i="3"/>
  <c r="AT53" i="3"/>
  <c r="AD56" i="3"/>
  <c r="FM68" i="3"/>
  <c r="DW77" i="3"/>
  <c r="DW83" i="3"/>
  <c r="DW101" i="3"/>
  <c r="AT119" i="3"/>
  <c r="CO140" i="3"/>
  <c r="FA77" i="3"/>
  <c r="FA83" i="3"/>
  <c r="FA101" i="3"/>
  <c r="AD203" i="3"/>
  <c r="FM77" i="3"/>
  <c r="FM83" i="3"/>
  <c r="FM101" i="3"/>
  <c r="BI203" i="3"/>
  <c r="AD35" i="3"/>
  <c r="BY113" i="3"/>
  <c r="AT155" i="3"/>
  <c r="AD161" i="3"/>
  <c r="AT179" i="3"/>
  <c r="AD185" i="3"/>
  <c r="BY203" i="3"/>
  <c r="CO113" i="3"/>
  <c r="BI155" i="3"/>
  <c r="EL161" i="3"/>
  <c r="AD170" i="3"/>
  <c r="BI179" i="3"/>
  <c r="EL185" i="3"/>
  <c r="DF203" i="3"/>
  <c r="FA35" i="3"/>
  <c r="AT110" i="3"/>
  <c r="AD146" i="3"/>
  <c r="FM155" i="3"/>
  <c r="AT170" i="3"/>
  <c r="FM179" i="3"/>
  <c r="AD92" i="3"/>
  <c r="AD116" i="3"/>
  <c r="AT146" i="3"/>
  <c r="DW152" i="3"/>
  <c r="BY170" i="3"/>
  <c r="AT92" i="3"/>
  <c r="AT116" i="3"/>
  <c r="CO146" i="3"/>
  <c r="CO170" i="3"/>
  <c r="FA191" i="3"/>
  <c r="AT20" i="3"/>
  <c r="AD41" i="3"/>
  <c r="BI92" i="3"/>
  <c r="BI116" i="3"/>
  <c r="DF146" i="3"/>
  <c r="DF170" i="3"/>
  <c r="FM191" i="3"/>
  <c r="AD11" i="3"/>
  <c r="BI20" i="3"/>
  <c r="AT41" i="3"/>
  <c r="BY47" i="3"/>
  <c r="AT65" i="3"/>
  <c r="CO92" i="3"/>
  <c r="BY116" i="3"/>
  <c r="BY122" i="3"/>
  <c r="DW146" i="3"/>
  <c r="CO149" i="3"/>
  <c r="DW170" i="3"/>
  <c r="CO173" i="3"/>
  <c r="FM173" i="3"/>
  <c r="BI11" i="3"/>
  <c r="DF29" i="3"/>
  <c r="CO41" i="3"/>
  <c r="EL44" i="3"/>
  <c r="DF65" i="3"/>
  <c r="BY74" i="3"/>
  <c r="AD77" i="3"/>
  <c r="AD83" i="3"/>
  <c r="DW92" i="3"/>
  <c r="BI95" i="3"/>
  <c r="AT98" i="3"/>
  <c r="AD101" i="3"/>
  <c r="DF116" i="3"/>
  <c r="FA122" i="3"/>
  <c r="FM146" i="3"/>
  <c r="FM170" i="3"/>
  <c r="BI194" i="3"/>
  <c r="DW47" i="3"/>
  <c r="BI68" i="3"/>
  <c r="CO11" i="3"/>
  <c r="AT14" i="3"/>
  <c r="DW29" i="3"/>
  <c r="DF41" i="3"/>
  <c r="EL47" i="3"/>
  <c r="EL65" i="3"/>
  <c r="CO68" i="3"/>
  <c r="AD71" i="3"/>
  <c r="CO74" i="3"/>
  <c r="AT77" i="3"/>
  <c r="AT83" i="3"/>
  <c r="FA92" i="3"/>
  <c r="BY95" i="3"/>
  <c r="BY98" i="3"/>
  <c r="AT101" i="3"/>
  <c r="DW116" i="3"/>
  <c r="FA29" i="3"/>
  <c r="DF68" i="3"/>
  <c r="DW74" i="3"/>
  <c r="BI77" i="3"/>
  <c r="BI83" i="3"/>
  <c r="FM92" i="3"/>
  <c r="CO95" i="3"/>
  <c r="DF98" i="3"/>
  <c r="BI101" i="3"/>
  <c r="FA116" i="3"/>
  <c r="DF11" i="3"/>
  <c r="DW41" i="3"/>
  <c r="DW11" i="3"/>
  <c r="CO14" i="3"/>
  <c r="FM29" i="3"/>
  <c r="FA41" i="3"/>
  <c r="DW68" i="3"/>
  <c r="FA74" i="3"/>
  <c r="CO77" i="3"/>
  <c r="CO83" i="3"/>
  <c r="FM86" i="3"/>
  <c r="DW95" i="3"/>
  <c r="DW98" i="3"/>
  <c r="CO101" i="3"/>
  <c r="FM116" i="3"/>
  <c r="AD140" i="3"/>
  <c r="FM41" i="3"/>
  <c r="FA68" i="3"/>
  <c r="DF77" i="3"/>
  <c r="DF83" i="3"/>
  <c r="FA95" i="3"/>
  <c r="FM98" i="3"/>
  <c r="DF101" i="3"/>
  <c r="AT140" i="3"/>
  <c r="BY80" i="3"/>
  <c r="FM80" i="3"/>
  <c r="AT80" i="3"/>
  <c r="FA80" i="3"/>
  <c r="AD80" i="3"/>
  <c r="DF80" i="3"/>
  <c r="BI62" i="3"/>
  <c r="BI80" i="3"/>
  <c r="BI17" i="3"/>
  <c r="FA20" i="3"/>
  <c r="AD20" i="3"/>
  <c r="CO20" i="3"/>
  <c r="DF23" i="3"/>
  <c r="FM23" i="3"/>
  <c r="AT23" i="3"/>
  <c r="CO26" i="3"/>
  <c r="BI26" i="3"/>
  <c r="DW26" i="3"/>
  <c r="BY35" i="3"/>
  <c r="FM35" i="3"/>
  <c r="AT35" i="3"/>
  <c r="DF35" i="3"/>
  <c r="AT38" i="3"/>
  <c r="CO71" i="3"/>
  <c r="BI71" i="3"/>
  <c r="FM71" i="3"/>
  <c r="AT71" i="3"/>
  <c r="DW71" i="3"/>
  <c r="CO80" i="3"/>
  <c r="DW110" i="3"/>
  <c r="CO110" i="3"/>
  <c r="BY110" i="3"/>
  <c r="FA110" i="3"/>
  <c r="AD110" i="3"/>
  <c r="CO152" i="3"/>
  <c r="BY152" i="3"/>
  <c r="BI152" i="3"/>
  <c r="FM152" i="3"/>
  <c r="AT152" i="3"/>
  <c r="FA152" i="3"/>
  <c r="AD152" i="3"/>
  <c r="DF152" i="3"/>
  <c r="CO176" i="3"/>
  <c r="BY176" i="3"/>
  <c r="BI176" i="3"/>
  <c r="FM176" i="3"/>
  <c r="AT176" i="3"/>
  <c r="FA176" i="3"/>
  <c r="AD176" i="3"/>
  <c r="DF176" i="3"/>
  <c r="CO209" i="3"/>
  <c r="BY209" i="3"/>
  <c r="BI209" i="3"/>
  <c r="FM209" i="3"/>
  <c r="AT209" i="3"/>
  <c r="FA209" i="3"/>
  <c r="AD209" i="3"/>
  <c r="DF209" i="3"/>
  <c r="EL209" i="3"/>
  <c r="FA59" i="3"/>
  <c r="AD59" i="3"/>
  <c r="DW59" i="3"/>
  <c r="DF59" i="3"/>
  <c r="BI59" i="3"/>
  <c r="AT59" i="3"/>
  <c r="FA44" i="3"/>
  <c r="AD44" i="3"/>
  <c r="DW44" i="3"/>
  <c r="BI44" i="3"/>
  <c r="DW80" i="3"/>
  <c r="FA104" i="3"/>
  <c r="AD104" i="3"/>
  <c r="DW104" i="3"/>
  <c r="DF104" i="3"/>
  <c r="BI104" i="3"/>
  <c r="CO131" i="3"/>
  <c r="BY131" i="3"/>
  <c r="BI131" i="3"/>
  <c r="FM131" i="3"/>
  <c r="AT131" i="3"/>
  <c r="DW131" i="3"/>
  <c r="DF131" i="3"/>
  <c r="CO17" i="3"/>
  <c r="AT32" i="3"/>
  <c r="CO38" i="3"/>
  <c r="EL59" i="3"/>
  <c r="BI89" i="3"/>
  <c r="DF197" i="3"/>
  <c r="CO197" i="3"/>
  <c r="BY197" i="3"/>
  <c r="FM197" i="3"/>
  <c r="BI197" i="3"/>
  <c r="FA197" i="3"/>
  <c r="AT197" i="3"/>
  <c r="DW197" i="3"/>
  <c r="DW17" i="3"/>
  <c r="BY23" i="3"/>
  <c r="CO35" i="3"/>
  <c r="BY44" i="3"/>
  <c r="FM59" i="3"/>
  <c r="DF71" i="3"/>
  <c r="CO89" i="3"/>
  <c r="BY104" i="3"/>
  <c r="CO107" i="3"/>
  <c r="DF110" i="3"/>
  <c r="DF125" i="3"/>
  <c r="CO125" i="3"/>
  <c r="BY125" i="3"/>
  <c r="BI125" i="3"/>
  <c r="FM125" i="3"/>
  <c r="AT125" i="3"/>
  <c r="DW125" i="3"/>
  <c r="EL131" i="3"/>
  <c r="AD197" i="3"/>
  <c r="BY62" i="3"/>
  <c r="FM62" i="3"/>
  <c r="AT62" i="3"/>
  <c r="FA62" i="3"/>
  <c r="AD62" i="3"/>
  <c r="DF62" i="3"/>
  <c r="FA38" i="3"/>
  <c r="AD38" i="3"/>
  <c r="DW38" i="3"/>
  <c r="BI38" i="3"/>
  <c r="CO59" i="3"/>
  <c r="FA86" i="3"/>
  <c r="AD86" i="3"/>
  <c r="DW86" i="3"/>
  <c r="DF86" i="3"/>
  <c r="BI86" i="3"/>
  <c r="AT44" i="3"/>
  <c r="EL80" i="3"/>
  <c r="AT86" i="3"/>
  <c r="AT104" i="3"/>
  <c r="BI14" i="3"/>
  <c r="DW14" i="3"/>
  <c r="BY20" i="3"/>
  <c r="BY26" i="3"/>
  <c r="BI32" i="3"/>
  <c r="BI47" i="3"/>
  <c r="FA47" i="3"/>
  <c r="AD47" i="3"/>
  <c r="CO47" i="3"/>
  <c r="AD14" i="3"/>
  <c r="DF20" i="3"/>
  <c r="CO23" i="3"/>
  <c r="DF26" i="3"/>
  <c r="DW35" i="3"/>
  <c r="EL38" i="3"/>
  <c r="CO44" i="3"/>
  <c r="AT47" i="3"/>
  <c r="EL71" i="3"/>
  <c r="CO86" i="3"/>
  <c r="CO104" i="3"/>
  <c r="EL110" i="3"/>
  <c r="AD125" i="3"/>
  <c r="FA131" i="3"/>
  <c r="EL197" i="3"/>
  <c r="DF17" i="3"/>
  <c r="FM17" i="3"/>
  <c r="AT17" i="3"/>
  <c r="AD17" i="3"/>
  <c r="BY17" i="3"/>
  <c r="DW32" i="3"/>
  <c r="CO32" i="3"/>
  <c r="FA32" i="3"/>
  <c r="AD32" i="3"/>
  <c r="BY38" i="3"/>
  <c r="DW62" i="3"/>
  <c r="BY89" i="3"/>
  <c r="FM89" i="3"/>
  <c r="AT89" i="3"/>
  <c r="FA89" i="3"/>
  <c r="AD89" i="3"/>
  <c r="DF89" i="3"/>
  <c r="BY107" i="3"/>
  <c r="FM107" i="3"/>
  <c r="AT107" i="3"/>
  <c r="FA107" i="3"/>
  <c r="AD107" i="3"/>
  <c r="DF107" i="3"/>
  <c r="EL62" i="3"/>
  <c r="BI107" i="3"/>
  <c r="AD131" i="3"/>
  <c r="FA17" i="3"/>
  <c r="DW20" i="3"/>
  <c r="DW23" i="3"/>
  <c r="EL26" i="3"/>
  <c r="DF32" i="3"/>
  <c r="EL35" i="3"/>
  <c r="FM38" i="3"/>
  <c r="DF44" i="3"/>
  <c r="DW65" i="3"/>
  <c r="CO65" i="3"/>
  <c r="BY65" i="3"/>
  <c r="FA65" i="3"/>
  <c r="AD65" i="3"/>
  <c r="FA71" i="3"/>
  <c r="EL86" i="3"/>
  <c r="EL89" i="3"/>
  <c r="EL104" i="3"/>
  <c r="EL107" i="3"/>
  <c r="FM110" i="3"/>
  <c r="DF161" i="3"/>
  <c r="CO161" i="3"/>
  <c r="BY161" i="3"/>
  <c r="BI161" i="3"/>
  <c r="FM161" i="3"/>
  <c r="AT161" i="3"/>
  <c r="DW161" i="3"/>
  <c r="DF185" i="3"/>
  <c r="CO185" i="3"/>
  <c r="BY185" i="3"/>
  <c r="BI185" i="3"/>
  <c r="FM185" i="3"/>
  <c r="AT185" i="3"/>
  <c r="DW185" i="3"/>
  <c r="FM113" i="3"/>
  <c r="BY11" i="3"/>
  <c r="BY29" i="3"/>
  <c r="EL41" i="3"/>
  <c r="AT50" i="3"/>
  <c r="FM50" i="3"/>
  <c r="CO53" i="3"/>
  <c r="EL56" i="3"/>
  <c r="BY68" i="3"/>
  <c r="AT74" i="3"/>
  <c r="FM74" i="3"/>
  <c r="BY77" i="3"/>
  <c r="EL83" i="3"/>
  <c r="EL92" i="3"/>
  <c r="AT95" i="3"/>
  <c r="FM95" i="3"/>
  <c r="CO98" i="3"/>
  <c r="EL101" i="3"/>
  <c r="BI113" i="3"/>
  <c r="CO119" i="3"/>
  <c r="AT122" i="3"/>
  <c r="FM122" i="3"/>
  <c r="BY128" i="3"/>
  <c r="AT134" i="3"/>
  <c r="FM134" i="3"/>
  <c r="CO137" i="3"/>
  <c r="EL140" i="3"/>
  <c r="BI143" i="3"/>
  <c r="EL146" i="3"/>
  <c r="BI149" i="3"/>
  <c r="AD155" i="3"/>
  <c r="FA155" i="3"/>
  <c r="BY158" i="3"/>
  <c r="AT164" i="3"/>
  <c r="FM164" i="3"/>
  <c r="CO167" i="3"/>
  <c r="EL170" i="3"/>
  <c r="BI173" i="3"/>
  <c r="AD179" i="3"/>
  <c r="FA179" i="3"/>
  <c r="BY182" i="3"/>
  <c r="AT188" i="3"/>
  <c r="FM188" i="3"/>
  <c r="CO191" i="3"/>
  <c r="AT194" i="3"/>
  <c r="FM194" i="3"/>
  <c r="EL200" i="3"/>
  <c r="AT203" i="3"/>
  <c r="FM203" i="3"/>
  <c r="BY206" i="3"/>
  <c r="EL98" i="3"/>
  <c r="DF113" i="3"/>
  <c r="EL119" i="3"/>
  <c r="CO122" i="3"/>
  <c r="DW128" i="3"/>
  <c r="CO134" i="3"/>
  <c r="EL137" i="3"/>
  <c r="BI140" i="3"/>
  <c r="DF143" i="3"/>
  <c r="BI146" i="3"/>
  <c r="DF149" i="3"/>
  <c r="BY155" i="3"/>
  <c r="DW158" i="3"/>
  <c r="CO164" i="3"/>
  <c r="DF173" i="3"/>
  <c r="BY179" i="3"/>
  <c r="DW182" i="3"/>
  <c r="CO188" i="3"/>
  <c r="CO194" i="3"/>
  <c r="CO203" i="3"/>
  <c r="DW206" i="3"/>
  <c r="EL53" i="3"/>
  <c r="DF50" i="3"/>
  <c r="AD53" i="3"/>
  <c r="FA53" i="3"/>
  <c r="DF74" i="3"/>
  <c r="DF95" i="3"/>
  <c r="AD98" i="3"/>
  <c r="FA98" i="3"/>
  <c r="DW113" i="3"/>
  <c r="AD119" i="3"/>
  <c r="DF122" i="3"/>
  <c r="DF134" i="3"/>
  <c r="AD137" i="3"/>
  <c r="DW143" i="3"/>
  <c r="DW149" i="3"/>
  <c r="CO155" i="3"/>
  <c r="DF164" i="3"/>
  <c r="DW173" i="3"/>
  <c r="CO179" i="3"/>
  <c r="DF188" i="3"/>
  <c r="DF194" i="3"/>
  <c r="EL206" i="3"/>
  <c r="EL113" i="3"/>
  <c r="EL143" i="3"/>
  <c r="EL149" i="3"/>
  <c r="DF155" i="3"/>
  <c r="EL173" i="3"/>
  <c r="DF179" i="3"/>
  <c r="AD113" i="3"/>
  <c r="FA113" i="3"/>
  <c r="AD143" i="3"/>
  <c r="AD149" i="3"/>
  <c r="DW155" i="3"/>
  <c r="AD173" i="3"/>
  <c r="DW179" i="3"/>
  <c r="AT206" i="3"/>
  <c r="EV224" i="2"/>
  <c r="DZ224" i="2"/>
  <c r="DI224" i="2"/>
  <c r="CP224" i="2"/>
  <c r="BR224" i="2"/>
  <c r="AX224" i="2"/>
  <c r="AD224" i="2"/>
  <c r="F224" i="2"/>
  <c r="EV215" i="2"/>
  <c r="DZ215" i="2"/>
  <c r="DI215" i="2"/>
  <c r="CP215" i="2"/>
  <c r="BR215" i="2"/>
  <c r="AX215" i="2"/>
  <c r="AD215" i="2"/>
  <c r="F215" i="2"/>
  <c r="EV212" i="2"/>
  <c r="DZ212" i="2"/>
  <c r="DI212" i="2"/>
  <c r="CP212" i="2"/>
  <c r="BR212" i="2"/>
  <c r="AX212" i="2"/>
  <c r="AD212" i="2"/>
  <c r="F212" i="2"/>
  <c r="EV179" i="2"/>
  <c r="DZ179" i="2"/>
  <c r="DI179" i="2"/>
  <c r="CP179" i="2"/>
  <c r="BR179" i="2"/>
  <c r="AX179" i="2"/>
  <c r="AD179" i="2"/>
  <c r="F179" i="2"/>
  <c r="EV176" i="2"/>
  <c r="DZ176" i="2"/>
  <c r="DI176" i="2"/>
  <c r="CP176" i="2"/>
  <c r="BR176" i="2"/>
  <c r="AX176" i="2"/>
  <c r="AD176" i="2"/>
  <c r="F176" i="2"/>
  <c r="EV41" i="2"/>
  <c r="DZ41" i="2"/>
  <c r="DI41" i="2"/>
  <c r="CP41" i="2"/>
  <c r="BR41" i="2"/>
  <c r="AX41" i="2"/>
  <c r="AD41" i="2"/>
  <c r="F41" i="2"/>
  <c r="CP1001" i="2"/>
  <c r="CP998" i="2"/>
  <c r="CP995" i="2"/>
  <c r="CP992" i="2"/>
  <c r="CP989" i="2"/>
  <c r="CP986" i="2"/>
  <c r="CP983" i="2"/>
  <c r="CP980" i="2"/>
  <c r="CP977" i="2"/>
  <c r="CP974" i="2"/>
  <c r="CP971" i="2"/>
  <c r="CP968" i="2"/>
  <c r="CP965" i="2"/>
  <c r="CP962" i="2"/>
  <c r="CP959" i="2"/>
  <c r="CP956" i="2"/>
  <c r="CP953" i="2"/>
  <c r="CP950" i="2"/>
  <c r="CP947" i="2"/>
  <c r="CP944" i="2"/>
  <c r="CP941" i="2"/>
  <c r="CP938" i="2"/>
  <c r="CP935" i="2"/>
  <c r="CP932" i="2"/>
  <c r="CP929" i="2"/>
  <c r="CP926" i="2"/>
  <c r="CP923" i="2"/>
  <c r="CP920" i="2"/>
  <c r="CP917" i="2"/>
  <c r="CP914" i="2"/>
  <c r="CP911" i="2"/>
  <c r="CP908" i="2"/>
  <c r="CP905" i="2"/>
  <c r="CP902" i="2"/>
  <c r="CP899" i="2"/>
  <c r="CP896" i="2"/>
  <c r="CP893" i="2"/>
  <c r="CP890" i="2"/>
  <c r="CP887" i="2"/>
  <c r="CP884" i="2"/>
  <c r="CP881" i="2"/>
  <c r="CP878" i="2"/>
  <c r="CP875" i="2"/>
  <c r="CP872" i="2"/>
  <c r="CP869" i="2"/>
  <c r="CP866" i="2"/>
  <c r="CP863" i="2"/>
  <c r="CP860" i="2"/>
  <c r="CP857" i="2"/>
  <c r="CP854" i="2"/>
  <c r="CP851" i="2"/>
  <c r="CP848" i="2"/>
  <c r="CP845" i="2"/>
  <c r="CP842" i="2"/>
  <c r="CP839" i="2"/>
  <c r="CP836" i="2"/>
  <c r="CP833" i="2"/>
  <c r="CP830" i="2"/>
  <c r="CP827" i="2"/>
  <c r="CP824" i="2"/>
  <c r="CP821" i="2"/>
  <c r="CP818" i="2"/>
  <c r="CP815" i="2"/>
  <c r="CP812" i="2"/>
  <c r="CP809" i="2"/>
  <c r="CP806" i="2"/>
  <c r="CP803" i="2"/>
  <c r="CP800" i="2"/>
  <c r="CP797" i="2"/>
  <c r="CP794" i="2"/>
  <c r="CP791" i="2"/>
  <c r="CP788" i="2"/>
  <c r="CP785" i="2"/>
  <c r="CP782" i="2"/>
  <c r="CP779" i="2"/>
  <c r="CP776" i="2"/>
  <c r="CP773" i="2"/>
  <c r="CP770" i="2"/>
  <c r="CP767" i="2"/>
  <c r="CP764" i="2"/>
  <c r="CP761" i="2"/>
  <c r="CP758" i="2"/>
  <c r="CP755" i="2"/>
  <c r="CP752" i="2"/>
  <c r="CP749" i="2"/>
  <c r="CP746" i="2"/>
  <c r="CP743" i="2"/>
  <c r="CP740" i="2"/>
  <c r="CP737" i="2"/>
  <c r="CP734" i="2"/>
  <c r="CP731" i="2"/>
  <c r="CP728" i="2"/>
  <c r="CP725" i="2"/>
  <c r="CP722" i="2"/>
  <c r="CP719" i="2"/>
  <c r="CP716" i="2"/>
  <c r="CP713" i="2"/>
  <c r="CP710" i="2"/>
  <c r="CP707" i="2"/>
  <c r="CP704" i="2"/>
  <c r="CP701" i="2"/>
  <c r="CP698" i="2"/>
  <c r="CP695" i="2"/>
  <c r="CP692" i="2"/>
  <c r="CP689" i="2"/>
  <c r="CP686" i="2"/>
  <c r="CP683" i="2"/>
  <c r="CP680" i="2"/>
  <c r="CP677" i="2"/>
  <c r="CP674" i="2"/>
  <c r="CP671" i="2"/>
  <c r="CP668" i="2"/>
  <c r="CP665" i="2"/>
  <c r="CP662" i="2"/>
  <c r="CP659" i="2"/>
  <c r="CP656" i="2"/>
  <c r="CP653" i="2"/>
  <c r="CP650" i="2"/>
  <c r="CP647" i="2"/>
  <c r="CP644" i="2"/>
  <c r="CP641" i="2"/>
  <c r="CP638" i="2"/>
  <c r="CP635" i="2"/>
  <c r="CP632" i="2"/>
  <c r="CP629" i="2"/>
  <c r="CP626" i="2"/>
  <c r="CP623" i="2"/>
  <c r="CP620" i="2"/>
  <c r="CP617" i="2"/>
  <c r="CP614" i="2"/>
  <c r="CP611" i="2"/>
  <c r="CP608" i="2"/>
  <c r="CP605" i="2"/>
  <c r="CP602" i="2"/>
  <c r="CP599" i="2"/>
  <c r="CP596" i="2"/>
  <c r="CP593" i="2"/>
  <c r="CP590" i="2"/>
  <c r="CP587" i="2"/>
  <c r="CP584" i="2"/>
  <c r="CP581" i="2"/>
  <c r="CP578" i="2"/>
  <c r="CP575" i="2"/>
  <c r="CP572" i="2"/>
  <c r="CP569" i="2"/>
  <c r="CP566" i="2"/>
  <c r="CP563" i="2"/>
  <c r="CP560" i="2"/>
  <c r="CP557" i="2"/>
  <c r="CP554" i="2"/>
  <c r="CP551" i="2"/>
  <c r="CP548" i="2"/>
  <c r="CP545" i="2"/>
  <c r="CP542" i="2"/>
  <c r="CP539" i="2"/>
  <c r="CP536" i="2"/>
  <c r="CP533" i="2"/>
  <c r="CP530" i="2"/>
  <c r="CP527" i="2"/>
  <c r="CP524" i="2"/>
  <c r="CP521" i="2"/>
  <c r="CP518" i="2"/>
  <c r="CP515" i="2"/>
  <c r="CP512" i="2"/>
  <c r="CP509" i="2"/>
  <c r="CP506" i="2"/>
  <c r="CP503" i="2"/>
  <c r="CP500" i="2"/>
  <c r="CP497" i="2"/>
  <c r="CP494" i="2"/>
  <c r="CP491" i="2"/>
  <c r="CP488" i="2"/>
  <c r="CP485" i="2"/>
  <c r="CP482" i="2"/>
  <c r="CP479" i="2"/>
  <c r="CP476" i="2"/>
  <c r="CP473" i="2"/>
  <c r="CP470" i="2"/>
  <c r="CP467" i="2"/>
  <c r="CP464" i="2"/>
  <c r="CP461" i="2"/>
  <c r="CP458" i="2"/>
  <c r="CP455" i="2"/>
  <c r="CP452" i="2"/>
  <c r="CP449" i="2"/>
  <c r="CP446" i="2"/>
  <c r="CP443" i="2"/>
  <c r="CP440" i="2"/>
  <c r="CP437" i="2"/>
  <c r="CP434" i="2"/>
  <c r="CP431" i="2"/>
  <c r="CP428" i="2"/>
  <c r="CP425" i="2"/>
  <c r="CP422" i="2"/>
  <c r="CP419" i="2"/>
  <c r="CP416" i="2"/>
  <c r="CP413" i="2"/>
  <c r="CP410" i="2"/>
  <c r="CP407" i="2"/>
  <c r="CP404" i="2"/>
  <c r="CP401" i="2"/>
  <c r="CP398" i="2"/>
  <c r="CP395" i="2"/>
  <c r="CP392" i="2"/>
  <c r="CP389" i="2"/>
  <c r="CP386" i="2"/>
  <c r="CP383" i="2"/>
  <c r="CP380" i="2"/>
  <c r="CP377" i="2"/>
  <c r="CP374" i="2"/>
  <c r="CP371" i="2"/>
  <c r="CP368" i="2"/>
  <c r="CP365" i="2"/>
  <c r="CP362" i="2"/>
  <c r="CP359" i="2"/>
  <c r="CP356" i="2"/>
  <c r="CP353" i="2"/>
  <c r="CP350" i="2"/>
  <c r="CP347" i="2"/>
  <c r="CP344" i="2"/>
  <c r="CP341" i="2"/>
  <c r="CP338" i="2"/>
  <c r="CP335" i="2"/>
  <c r="CP332" i="2"/>
  <c r="CP329" i="2"/>
  <c r="CP326" i="2"/>
  <c r="CP323" i="2"/>
  <c r="CP320" i="2"/>
  <c r="CP317" i="2"/>
  <c r="CP314" i="2"/>
  <c r="CP311" i="2"/>
  <c r="CP308" i="2"/>
  <c r="CP305" i="2"/>
  <c r="CP302" i="2"/>
  <c r="CP299" i="2"/>
  <c r="CP296" i="2"/>
  <c r="CP293" i="2"/>
  <c r="CP290" i="2"/>
  <c r="CP287" i="2"/>
  <c r="CP284" i="2"/>
  <c r="CP281" i="2"/>
  <c r="CP278" i="2"/>
  <c r="CP275" i="2"/>
  <c r="CP272" i="2"/>
  <c r="CP269" i="2"/>
  <c r="CP266" i="2"/>
  <c r="CP263" i="2"/>
  <c r="CP260" i="2"/>
  <c r="CP257" i="2"/>
  <c r="CP254" i="2"/>
  <c r="CP251" i="2"/>
  <c r="CP248" i="2"/>
  <c r="CP245" i="2"/>
  <c r="CP242" i="2"/>
  <c r="CP239" i="2"/>
  <c r="CP236" i="2"/>
  <c r="CP233" i="2"/>
  <c r="CP230" i="2"/>
  <c r="CP227" i="2"/>
  <c r="CP221" i="2"/>
  <c r="CP218" i="2"/>
  <c r="CP209" i="2"/>
  <c r="CP206" i="2"/>
  <c r="CP203" i="2"/>
  <c r="CP200" i="2"/>
  <c r="CP197" i="2"/>
  <c r="CP194" i="2"/>
  <c r="CP191" i="2"/>
  <c r="CP188" i="2"/>
  <c r="CP185" i="2"/>
  <c r="CP182" i="2"/>
  <c r="CP173" i="2"/>
  <c r="CP170" i="2"/>
  <c r="CP167" i="2"/>
  <c r="CP164" i="2"/>
  <c r="CP161" i="2"/>
  <c r="CP158" i="2"/>
  <c r="CP155" i="2"/>
  <c r="CP152" i="2"/>
  <c r="CP149" i="2"/>
  <c r="CP146" i="2"/>
  <c r="CP143" i="2"/>
  <c r="CP140" i="2"/>
  <c r="CP137" i="2"/>
  <c r="CP134" i="2"/>
  <c r="CP131" i="2"/>
  <c r="CP128" i="2"/>
  <c r="CP125" i="2"/>
  <c r="CP122" i="2"/>
  <c r="CP119" i="2"/>
  <c r="CP116" i="2"/>
  <c r="CP113" i="2"/>
  <c r="CP110" i="2"/>
  <c r="CP107" i="2"/>
  <c r="CP104" i="2"/>
  <c r="CP101" i="2"/>
  <c r="CP98" i="2"/>
  <c r="CP95" i="2"/>
  <c r="CP92" i="2"/>
  <c r="CP89" i="2"/>
  <c r="CP86" i="2"/>
  <c r="CP83" i="2"/>
  <c r="CP80" i="2"/>
  <c r="CP77" i="2"/>
  <c r="CP74" i="2"/>
  <c r="CP71" i="2"/>
  <c r="CP68" i="2"/>
  <c r="CP65" i="2"/>
  <c r="CP62" i="2"/>
  <c r="CP59" i="2"/>
  <c r="CP56" i="2"/>
  <c r="CP53" i="2"/>
  <c r="CP50" i="2"/>
  <c r="CP47" i="2"/>
  <c r="CP44" i="2"/>
  <c r="CP38" i="2"/>
  <c r="CP35" i="2"/>
  <c r="CP32" i="2"/>
  <c r="CP29" i="2"/>
  <c r="CP26" i="2"/>
  <c r="CP23" i="2"/>
  <c r="CP20" i="2"/>
  <c r="CP17" i="2"/>
  <c r="CP14" i="2"/>
  <c r="CP11" i="2"/>
  <c r="CP8" i="2"/>
  <c r="CP5" i="2"/>
  <c r="CP2" i="2"/>
  <c r="EV1001" i="2"/>
  <c r="EV998" i="2"/>
  <c r="EV995" i="2"/>
  <c r="EV992" i="2"/>
  <c r="EV989" i="2"/>
  <c r="EV986" i="2"/>
  <c r="EV983" i="2"/>
  <c r="EV980" i="2"/>
  <c r="EV977" i="2"/>
  <c r="EV974" i="2"/>
  <c r="EV971" i="2"/>
  <c r="EV968" i="2"/>
  <c r="EV965" i="2"/>
  <c r="EV962" i="2"/>
  <c r="EV959" i="2"/>
  <c r="EV956" i="2"/>
  <c r="EV953" i="2"/>
  <c r="EV950" i="2"/>
  <c r="EV947" i="2"/>
  <c r="EV944" i="2"/>
  <c r="EV941" i="2"/>
  <c r="EV938" i="2"/>
  <c r="EV935" i="2"/>
  <c r="EV932" i="2"/>
  <c r="EV929" i="2"/>
  <c r="EV926" i="2"/>
  <c r="EV923" i="2"/>
  <c r="EV920" i="2"/>
  <c r="EV917" i="2"/>
  <c r="EV914" i="2"/>
  <c r="EV911" i="2"/>
  <c r="EV908" i="2"/>
  <c r="EV905" i="2"/>
  <c r="EV902" i="2"/>
  <c r="EV899" i="2"/>
  <c r="EV896" i="2"/>
  <c r="EV893" i="2"/>
  <c r="EV890" i="2"/>
  <c r="EV887" i="2"/>
  <c r="EV884" i="2"/>
  <c r="EV881" i="2"/>
  <c r="EV878" i="2"/>
  <c r="EV875" i="2"/>
  <c r="EV872" i="2"/>
  <c r="EV869" i="2"/>
  <c r="EV866" i="2"/>
  <c r="EV863" i="2"/>
  <c r="EV860" i="2"/>
  <c r="EV857" i="2"/>
  <c r="EV854" i="2"/>
  <c r="EV851" i="2"/>
  <c r="EV848" i="2"/>
  <c r="EV845" i="2"/>
  <c r="EV842" i="2"/>
  <c r="EV839" i="2"/>
  <c r="EV836" i="2"/>
  <c r="EV833" i="2"/>
  <c r="EV830" i="2"/>
  <c r="EV827" i="2"/>
  <c r="EV824" i="2"/>
  <c r="EV821" i="2"/>
  <c r="EV818" i="2"/>
  <c r="EV815" i="2"/>
  <c r="EV812" i="2"/>
  <c r="EV809" i="2"/>
  <c r="EV806" i="2"/>
  <c r="EV803" i="2"/>
  <c r="EV800" i="2"/>
  <c r="EV797" i="2"/>
  <c r="EV794" i="2"/>
  <c r="EV791" i="2"/>
  <c r="EV788" i="2"/>
  <c r="EV785" i="2"/>
  <c r="EV782" i="2"/>
  <c r="EV779" i="2"/>
  <c r="EV776" i="2"/>
  <c r="EV773" i="2"/>
  <c r="EV770" i="2"/>
  <c r="EV767" i="2"/>
  <c r="EV764" i="2"/>
  <c r="EV761" i="2"/>
  <c r="EV758" i="2"/>
  <c r="EV755" i="2"/>
  <c r="EV752" i="2"/>
  <c r="EV749" i="2"/>
  <c r="EV746" i="2"/>
  <c r="EV743" i="2"/>
  <c r="EV740" i="2"/>
  <c r="EV737" i="2"/>
  <c r="EV734" i="2"/>
  <c r="EV731" i="2"/>
  <c r="EV728" i="2"/>
  <c r="EV725" i="2"/>
  <c r="EV722" i="2"/>
  <c r="EV719" i="2"/>
  <c r="EV716" i="2"/>
  <c r="EV713" i="2"/>
  <c r="EV710" i="2"/>
  <c r="EV707" i="2"/>
  <c r="EV704" i="2"/>
  <c r="EV701" i="2"/>
  <c r="EV698" i="2"/>
  <c r="EV695" i="2"/>
  <c r="EV692" i="2"/>
  <c r="EV689" i="2"/>
  <c r="EV686" i="2"/>
  <c r="EV683" i="2"/>
  <c r="EV680" i="2"/>
  <c r="EV677" i="2"/>
  <c r="EV674" i="2"/>
  <c r="EV671" i="2"/>
  <c r="EV668" i="2"/>
  <c r="EV665" i="2"/>
  <c r="EV662" i="2"/>
  <c r="EV659" i="2"/>
  <c r="EV656" i="2"/>
  <c r="EV653" i="2"/>
  <c r="EV650" i="2"/>
  <c r="EV647" i="2"/>
  <c r="EV644" i="2"/>
  <c r="EV641" i="2"/>
  <c r="EV638" i="2"/>
  <c r="EV635" i="2"/>
  <c r="EV632" i="2"/>
  <c r="EV629" i="2"/>
  <c r="EV626" i="2"/>
  <c r="EV623" i="2"/>
  <c r="EV620" i="2"/>
  <c r="EV617" i="2"/>
  <c r="EV614" i="2"/>
  <c r="EV611" i="2"/>
  <c r="EV608" i="2"/>
  <c r="EV605" i="2"/>
  <c r="EV602" i="2"/>
  <c r="EV599" i="2"/>
  <c r="EV596" i="2"/>
  <c r="EV593" i="2"/>
  <c r="EV590" i="2"/>
  <c r="EV587" i="2"/>
  <c r="EV584" i="2"/>
  <c r="EV581" i="2"/>
  <c r="EV578" i="2"/>
  <c r="EV575" i="2"/>
  <c r="EV572" i="2"/>
  <c r="EV569" i="2"/>
  <c r="EV566" i="2"/>
  <c r="EV563" i="2"/>
  <c r="EV560" i="2"/>
  <c r="EV557" i="2"/>
  <c r="EV554" i="2"/>
  <c r="EV551" i="2"/>
  <c r="EV548" i="2"/>
  <c r="EV545" i="2"/>
  <c r="EV542" i="2"/>
  <c r="EV539" i="2"/>
  <c r="EV536" i="2"/>
  <c r="EV533" i="2"/>
  <c r="EV530" i="2"/>
  <c r="EV527" i="2"/>
  <c r="EV524" i="2"/>
  <c r="EV521" i="2"/>
  <c r="EV518" i="2"/>
  <c r="EV515" i="2"/>
  <c r="EV512" i="2"/>
  <c r="EV509" i="2"/>
  <c r="EV506" i="2"/>
  <c r="EV503" i="2"/>
  <c r="EV500" i="2"/>
  <c r="EV497" i="2"/>
  <c r="EV494" i="2"/>
  <c r="EV491" i="2"/>
  <c r="EV488" i="2"/>
  <c r="EV485" i="2"/>
  <c r="EV482" i="2"/>
  <c r="EV479" i="2"/>
  <c r="EV476" i="2"/>
  <c r="EV473" i="2"/>
  <c r="EV470" i="2"/>
  <c r="EV467" i="2"/>
  <c r="EV464" i="2"/>
  <c r="EV461" i="2"/>
  <c r="EV458" i="2"/>
  <c r="EV455" i="2"/>
  <c r="EV452" i="2"/>
  <c r="EV449" i="2"/>
  <c r="EV446" i="2"/>
  <c r="EV443" i="2"/>
  <c r="EV440" i="2"/>
  <c r="EV437" i="2"/>
  <c r="EV434" i="2"/>
  <c r="EV431" i="2"/>
  <c r="EV428" i="2"/>
  <c r="EV425" i="2"/>
  <c r="EV422" i="2"/>
  <c r="EV419" i="2"/>
  <c r="EV416" i="2"/>
  <c r="EV413" i="2"/>
  <c r="EV410" i="2"/>
  <c r="EV407" i="2"/>
  <c r="EV404" i="2"/>
  <c r="EV401" i="2"/>
  <c r="EV398" i="2"/>
  <c r="EV395" i="2"/>
  <c r="EV392" i="2"/>
  <c r="EV389" i="2"/>
  <c r="EV386" i="2"/>
  <c r="EV383" i="2"/>
  <c r="EV380" i="2"/>
  <c r="EV377" i="2"/>
  <c r="EV374" i="2"/>
  <c r="EV371" i="2"/>
  <c r="EV368" i="2"/>
  <c r="EV365" i="2"/>
  <c r="EV362" i="2"/>
  <c r="EV359" i="2"/>
  <c r="EV356" i="2"/>
  <c r="EV353" i="2"/>
  <c r="EV350" i="2"/>
  <c r="EV347" i="2"/>
  <c r="EV344" i="2"/>
  <c r="EV341" i="2"/>
  <c r="EV338" i="2"/>
  <c r="EV335" i="2"/>
  <c r="EV332" i="2"/>
  <c r="EV329" i="2"/>
  <c r="EV326" i="2"/>
  <c r="EV323" i="2"/>
  <c r="EV320" i="2"/>
  <c r="EV317" i="2"/>
  <c r="EV314" i="2"/>
  <c r="EV311" i="2"/>
  <c r="EV308" i="2"/>
  <c r="EV305" i="2"/>
  <c r="EV302" i="2"/>
  <c r="EV299" i="2"/>
  <c r="EV296" i="2"/>
  <c r="EV293" i="2"/>
  <c r="EV290" i="2"/>
  <c r="EV287" i="2"/>
  <c r="EV284" i="2"/>
  <c r="EV281" i="2"/>
  <c r="EV278" i="2"/>
  <c r="EV275" i="2"/>
  <c r="EV272" i="2"/>
  <c r="EV269" i="2"/>
  <c r="EV266" i="2"/>
  <c r="EV263" i="2"/>
  <c r="EV260" i="2"/>
  <c r="EV257" i="2"/>
  <c r="EV254" i="2"/>
  <c r="EV251" i="2"/>
  <c r="EV248" i="2"/>
  <c r="EV245" i="2"/>
  <c r="EV242" i="2"/>
  <c r="EV239" i="2"/>
  <c r="EV236" i="2"/>
  <c r="EV233" i="2"/>
  <c r="EV230" i="2"/>
  <c r="EV227" i="2"/>
  <c r="EV221" i="2"/>
  <c r="EV218" i="2"/>
  <c r="EV209" i="2"/>
  <c r="EV206" i="2"/>
  <c r="EV203" i="2"/>
  <c r="EV200" i="2"/>
  <c r="EV197" i="2"/>
  <c r="EV194" i="2"/>
  <c r="EV191" i="2"/>
  <c r="EV188" i="2"/>
  <c r="EV185" i="2"/>
  <c r="EV182" i="2"/>
  <c r="EV173" i="2"/>
  <c r="EV170" i="2"/>
  <c r="EV167" i="2"/>
  <c r="EV164" i="2"/>
  <c r="EV161" i="2"/>
  <c r="EV158" i="2"/>
  <c r="EV155" i="2"/>
  <c r="EV152" i="2"/>
  <c r="EV149" i="2"/>
  <c r="EV146" i="2"/>
  <c r="EV143" i="2"/>
  <c r="EV140" i="2"/>
  <c r="EV137" i="2"/>
  <c r="EV134" i="2"/>
  <c r="EV131" i="2"/>
  <c r="EV128" i="2"/>
  <c r="EV125" i="2"/>
  <c r="EV122" i="2"/>
  <c r="EV119" i="2"/>
  <c r="EV116" i="2"/>
  <c r="EV113" i="2"/>
  <c r="EV110" i="2"/>
  <c r="EV107" i="2"/>
  <c r="EV104" i="2"/>
  <c r="EV101" i="2"/>
  <c r="EV98" i="2"/>
  <c r="EV95" i="2"/>
  <c r="EV92" i="2"/>
  <c r="EV89" i="2"/>
  <c r="EV86" i="2"/>
  <c r="EV83" i="2"/>
  <c r="EV80" i="2"/>
  <c r="EV77" i="2"/>
  <c r="EV74" i="2"/>
  <c r="EV71" i="2"/>
  <c r="EV68" i="2"/>
  <c r="EV65" i="2"/>
  <c r="EV62" i="2"/>
  <c r="EV59" i="2"/>
  <c r="EV56" i="2"/>
  <c r="EV53" i="2"/>
  <c r="EV50" i="2"/>
  <c r="EV47" i="2"/>
  <c r="EV44" i="2"/>
  <c r="EV38" i="2"/>
  <c r="EV35" i="2"/>
  <c r="EV32" i="2"/>
  <c r="EV29" i="2"/>
  <c r="EV26" i="2"/>
  <c r="EV23" i="2"/>
  <c r="EV20" i="2"/>
  <c r="EV17" i="2"/>
  <c r="EV14" i="2"/>
  <c r="EV11" i="2"/>
  <c r="EV8" i="2"/>
  <c r="EV5" i="2"/>
  <c r="EV2" i="2"/>
  <c r="DZ1001" i="2"/>
  <c r="DZ998" i="2"/>
  <c r="DZ995" i="2"/>
  <c r="DZ992" i="2"/>
  <c r="DZ989" i="2"/>
  <c r="DZ986" i="2"/>
  <c r="DZ983" i="2"/>
  <c r="DZ980" i="2"/>
  <c r="DZ977" i="2"/>
  <c r="DZ974" i="2"/>
  <c r="DZ971" i="2"/>
  <c r="DZ968" i="2"/>
  <c r="DZ965" i="2"/>
  <c r="DZ962" i="2"/>
  <c r="DZ959" i="2"/>
  <c r="DZ956" i="2"/>
  <c r="DZ953" i="2"/>
  <c r="DZ950" i="2"/>
  <c r="DZ947" i="2"/>
  <c r="DZ944" i="2"/>
  <c r="DZ941" i="2"/>
  <c r="DZ938" i="2"/>
  <c r="DZ935" i="2"/>
  <c r="DZ932" i="2"/>
  <c r="DZ929" i="2"/>
  <c r="DZ926" i="2"/>
  <c r="DZ923" i="2"/>
  <c r="DZ920" i="2"/>
  <c r="DZ917" i="2"/>
  <c r="DZ914" i="2"/>
  <c r="DZ911" i="2"/>
  <c r="DZ908" i="2"/>
  <c r="DZ905" i="2"/>
  <c r="DZ902" i="2"/>
  <c r="DZ899" i="2"/>
  <c r="DZ896" i="2"/>
  <c r="DZ893" i="2"/>
  <c r="DZ890" i="2"/>
  <c r="DZ887" i="2"/>
  <c r="DZ884" i="2"/>
  <c r="DZ881" i="2"/>
  <c r="DZ878" i="2"/>
  <c r="DZ875" i="2"/>
  <c r="DZ872" i="2"/>
  <c r="DZ869" i="2"/>
  <c r="DZ866" i="2"/>
  <c r="DZ863" i="2"/>
  <c r="DZ860" i="2"/>
  <c r="DZ857" i="2"/>
  <c r="DZ854" i="2"/>
  <c r="DZ851" i="2"/>
  <c r="DZ848" i="2"/>
  <c r="DZ845" i="2"/>
  <c r="DZ842" i="2"/>
  <c r="DZ839" i="2"/>
  <c r="DZ836" i="2"/>
  <c r="DZ833" i="2"/>
  <c r="DZ830" i="2"/>
  <c r="DZ827" i="2"/>
  <c r="DZ824" i="2"/>
  <c r="DZ821" i="2"/>
  <c r="DZ818" i="2"/>
  <c r="DZ815" i="2"/>
  <c r="DZ812" i="2"/>
  <c r="DZ809" i="2"/>
  <c r="DZ806" i="2"/>
  <c r="DZ803" i="2"/>
  <c r="DZ800" i="2"/>
  <c r="DZ797" i="2"/>
  <c r="DZ794" i="2"/>
  <c r="DZ791" i="2"/>
  <c r="DZ788" i="2"/>
  <c r="DZ785" i="2"/>
  <c r="DZ782" i="2"/>
  <c r="DZ779" i="2"/>
  <c r="DZ776" i="2"/>
  <c r="DZ773" i="2"/>
  <c r="DZ770" i="2"/>
  <c r="DZ767" i="2"/>
  <c r="DZ764" i="2"/>
  <c r="DZ761" i="2"/>
  <c r="DZ758" i="2"/>
  <c r="DZ755" i="2"/>
  <c r="DZ752" i="2"/>
  <c r="DZ749" i="2"/>
  <c r="DZ746" i="2"/>
  <c r="DZ743" i="2"/>
  <c r="DZ740" i="2"/>
  <c r="DZ737" i="2"/>
  <c r="DZ734" i="2"/>
  <c r="DZ731" i="2"/>
  <c r="DZ728" i="2"/>
  <c r="DZ725" i="2"/>
  <c r="DZ722" i="2"/>
  <c r="DZ719" i="2"/>
  <c r="DZ716" i="2"/>
  <c r="DZ713" i="2"/>
  <c r="DZ710" i="2"/>
  <c r="DZ707" i="2"/>
  <c r="DZ704" i="2"/>
  <c r="DZ701" i="2"/>
  <c r="DZ698" i="2"/>
  <c r="DZ695" i="2"/>
  <c r="DZ692" i="2"/>
  <c r="DZ689" i="2"/>
  <c r="DZ686" i="2"/>
  <c r="DZ683" i="2"/>
  <c r="DZ680" i="2"/>
  <c r="DZ677" i="2"/>
  <c r="DZ674" i="2"/>
  <c r="DZ671" i="2"/>
  <c r="DZ668" i="2"/>
  <c r="DZ665" i="2"/>
  <c r="DZ662" i="2"/>
  <c r="DZ659" i="2"/>
  <c r="DZ656" i="2"/>
  <c r="DZ653" i="2"/>
  <c r="DZ650" i="2"/>
  <c r="DZ647" i="2"/>
  <c r="DZ644" i="2"/>
  <c r="DZ641" i="2"/>
  <c r="DZ638" i="2"/>
  <c r="DZ635" i="2"/>
  <c r="DZ632" i="2"/>
  <c r="DZ629" i="2"/>
  <c r="DZ626" i="2"/>
  <c r="DZ623" i="2"/>
  <c r="DZ620" i="2"/>
  <c r="DZ617" i="2"/>
  <c r="DZ614" i="2"/>
  <c r="DZ611" i="2"/>
  <c r="DZ608" i="2"/>
  <c r="DZ605" i="2"/>
  <c r="DZ602" i="2"/>
  <c r="DZ599" i="2"/>
  <c r="DZ596" i="2"/>
  <c r="DZ593" i="2"/>
  <c r="DZ590" i="2"/>
  <c r="DZ587" i="2"/>
  <c r="DZ584" i="2"/>
  <c r="DZ581" i="2"/>
  <c r="DZ578" i="2"/>
  <c r="DZ575" i="2"/>
  <c r="DZ572" i="2"/>
  <c r="DZ569" i="2"/>
  <c r="DZ566" i="2"/>
  <c r="DZ563" i="2"/>
  <c r="DZ560" i="2"/>
  <c r="DZ557" i="2"/>
  <c r="DZ554" i="2"/>
  <c r="DZ551" i="2"/>
  <c r="DZ548" i="2"/>
  <c r="DZ545" i="2"/>
  <c r="DZ542" i="2"/>
  <c r="DZ539" i="2"/>
  <c r="DZ536" i="2"/>
  <c r="DZ533" i="2"/>
  <c r="DZ530" i="2"/>
  <c r="DZ527" i="2"/>
  <c r="DZ524" i="2"/>
  <c r="DZ521" i="2"/>
  <c r="DZ518" i="2"/>
  <c r="DZ515" i="2"/>
  <c r="DZ512" i="2"/>
  <c r="DZ509" i="2"/>
  <c r="DZ506" i="2"/>
  <c r="DZ503" i="2"/>
  <c r="DZ500" i="2"/>
  <c r="DZ497" i="2"/>
  <c r="DZ494" i="2"/>
  <c r="DZ491" i="2"/>
  <c r="DZ488" i="2"/>
  <c r="DZ485" i="2"/>
  <c r="DZ482" i="2"/>
  <c r="DZ479" i="2"/>
  <c r="DZ476" i="2"/>
  <c r="DZ473" i="2"/>
  <c r="DZ470" i="2"/>
  <c r="DZ467" i="2"/>
  <c r="DZ464" i="2"/>
  <c r="DZ461" i="2"/>
  <c r="DZ458" i="2"/>
  <c r="DZ455" i="2"/>
  <c r="DZ452" i="2"/>
  <c r="DZ449" i="2"/>
  <c r="DZ446" i="2"/>
  <c r="DZ443" i="2"/>
  <c r="DZ440" i="2"/>
  <c r="DZ437" i="2"/>
  <c r="DZ434" i="2"/>
  <c r="DZ431" i="2"/>
  <c r="DZ428" i="2"/>
  <c r="DZ425" i="2"/>
  <c r="DZ422" i="2"/>
  <c r="DZ419" i="2"/>
  <c r="DZ416" i="2"/>
  <c r="DZ413" i="2"/>
  <c r="DZ410" i="2"/>
  <c r="DZ407" i="2"/>
  <c r="DZ404" i="2"/>
  <c r="DZ401" i="2"/>
  <c r="DZ398" i="2"/>
  <c r="DZ395" i="2"/>
  <c r="DZ392" i="2"/>
  <c r="DZ389" i="2"/>
  <c r="DZ386" i="2"/>
  <c r="DZ383" i="2"/>
  <c r="DZ380" i="2"/>
  <c r="DZ377" i="2"/>
  <c r="DZ374" i="2"/>
  <c r="DZ371" i="2"/>
  <c r="DZ368" i="2"/>
  <c r="DZ365" i="2"/>
  <c r="DZ362" i="2"/>
  <c r="DZ359" i="2"/>
  <c r="DZ356" i="2"/>
  <c r="DZ353" i="2"/>
  <c r="DZ350" i="2"/>
  <c r="DZ347" i="2"/>
  <c r="DZ344" i="2"/>
  <c r="DZ341" i="2"/>
  <c r="DZ338" i="2"/>
  <c r="DZ335" i="2"/>
  <c r="DZ332" i="2"/>
  <c r="DZ329" i="2"/>
  <c r="DZ326" i="2"/>
  <c r="DZ323" i="2"/>
  <c r="DZ320" i="2"/>
  <c r="DZ317" i="2"/>
  <c r="DZ314" i="2"/>
  <c r="DZ311" i="2"/>
  <c r="DZ308" i="2"/>
  <c r="DZ305" i="2"/>
  <c r="DZ302" i="2"/>
  <c r="DZ299" i="2"/>
  <c r="DZ296" i="2"/>
  <c r="DZ293" i="2"/>
  <c r="DZ290" i="2"/>
  <c r="DZ287" i="2"/>
  <c r="DZ284" i="2"/>
  <c r="DZ281" i="2"/>
  <c r="DZ278" i="2"/>
  <c r="DZ275" i="2"/>
  <c r="DZ272" i="2"/>
  <c r="DZ269" i="2"/>
  <c r="DZ266" i="2"/>
  <c r="DZ263" i="2"/>
  <c r="DZ260" i="2"/>
  <c r="DZ257" i="2"/>
  <c r="DZ254" i="2"/>
  <c r="DZ251" i="2"/>
  <c r="DZ248" i="2"/>
  <c r="DZ245" i="2"/>
  <c r="DZ242" i="2"/>
  <c r="DZ239" i="2"/>
  <c r="DZ236" i="2"/>
  <c r="DZ233" i="2"/>
  <c r="DZ230" i="2"/>
  <c r="DZ227" i="2"/>
  <c r="DZ221" i="2"/>
  <c r="DZ218" i="2"/>
  <c r="DZ209" i="2"/>
  <c r="DZ206" i="2"/>
  <c r="DZ203" i="2"/>
  <c r="DZ200" i="2"/>
  <c r="DZ197" i="2"/>
  <c r="DZ194" i="2"/>
  <c r="DZ191" i="2"/>
  <c r="DZ188" i="2"/>
  <c r="DZ185" i="2"/>
  <c r="DZ182" i="2"/>
  <c r="DZ173" i="2"/>
  <c r="DZ170" i="2"/>
  <c r="DZ167" i="2"/>
  <c r="DZ164" i="2"/>
  <c r="DZ161" i="2"/>
  <c r="DZ158" i="2"/>
  <c r="DZ155" i="2"/>
  <c r="DZ152" i="2"/>
  <c r="DZ149" i="2"/>
  <c r="DZ146" i="2"/>
  <c r="DZ143" i="2"/>
  <c r="DZ140" i="2"/>
  <c r="DZ137" i="2"/>
  <c r="DZ134" i="2"/>
  <c r="DZ131" i="2"/>
  <c r="DZ128" i="2"/>
  <c r="DZ125" i="2"/>
  <c r="DZ122" i="2"/>
  <c r="DZ119" i="2"/>
  <c r="DZ116" i="2"/>
  <c r="DZ113" i="2"/>
  <c r="DZ110" i="2"/>
  <c r="DZ107" i="2"/>
  <c r="DZ104" i="2"/>
  <c r="DZ101" i="2"/>
  <c r="DZ98" i="2"/>
  <c r="DZ95" i="2"/>
  <c r="DZ92" i="2"/>
  <c r="DZ89" i="2"/>
  <c r="DZ86" i="2"/>
  <c r="DZ83" i="2"/>
  <c r="DZ80" i="2"/>
  <c r="DZ77" i="2"/>
  <c r="DZ74" i="2"/>
  <c r="DZ71" i="2"/>
  <c r="DZ68" i="2"/>
  <c r="DZ65" i="2"/>
  <c r="DZ62" i="2"/>
  <c r="DZ59" i="2"/>
  <c r="DZ56" i="2"/>
  <c r="DZ53" i="2"/>
  <c r="DZ50" i="2"/>
  <c r="DZ47" i="2"/>
  <c r="DZ44" i="2"/>
  <c r="DZ38" i="2"/>
  <c r="DZ35" i="2"/>
  <c r="DZ32" i="2"/>
  <c r="DZ29" i="2"/>
  <c r="DZ26" i="2"/>
  <c r="DZ23" i="2"/>
  <c r="DZ20" i="2"/>
  <c r="DZ17" i="2"/>
  <c r="DZ14" i="2"/>
  <c r="DZ11" i="2"/>
  <c r="DZ8" i="2"/>
  <c r="DZ5" i="2"/>
  <c r="DZ2" i="2"/>
  <c r="DI1001" i="2"/>
  <c r="DI998" i="2"/>
  <c r="DI995" i="2"/>
  <c r="DI992" i="2"/>
  <c r="DI989" i="2"/>
  <c r="DI986" i="2"/>
  <c r="DI983" i="2"/>
  <c r="DI980" i="2"/>
  <c r="DI977" i="2"/>
  <c r="DI974" i="2"/>
  <c r="DI971" i="2"/>
  <c r="DI968" i="2"/>
  <c r="DI965" i="2"/>
  <c r="DI962" i="2"/>
  <c r="DI959" i="2"/>
  <c r="DI956" i="2"/>
  <c r="DI953" i="2"/>
  <c r="DI950" i="2"/>
  <c r="DI947" i="2"/>
  <c r="DI944" i="2"/>
  <c r="DI941" i="2"/>
  <c r="DI938" i="2"/>
  <c r="DI935" i="2"/>
  <c r="DI932" i="2"/>
  <c r="DI929" i="2"/>
  <c r="DI926" i="2"/>
  <c r="DI923" i="2"/>
  <c r="DI920" i="2"/>
  <c r="DI917" i="2"/>
  <c r="DI914" i="2"/>
  <c r="DI911" i="2"/>
  <c r="DI908" i="2"/>
  <c r="DI905" i="2"/>
  <c r="DI902" i="2"/>
  <c r="DI899" i="2"/>
  <c r="DI896" i="2"/>
  <c r="DI893" i="2"/>
  <c r="DI890" i="2"/>
  <c r="DI887" i="2"/>
  <c r="DI884" i="2"/>
  <c r="DI881" i="2"/>
  <c r="DI878" i="2"/>
  <c r="DI875" i="2"/>
  <c r="DI872" i="2"/>
  <c r="DI869" i="2"/>
  <c r="DI866" i="2"/>
  <c r="DI863" i="2"/>
  <c r="DI860" i="2"/>
  <c r="DI857" i="2"/>
  <c r="DI854" i="2"/>
  <c r="DI851" i="2"/>
  <c r="DI848" i="2"/>
  <c r="DI845" i="2"/>
  <c r="DI842" i="2"/>
  <c r="DI839" i="2"/>
  <c r="DI836" i="2"/>
  <c r="DI833" i="2"/>
  <c r="DI830" i="2"/>
  <c r="DI827" i="2"/>
  <c r="DI824" i="2"/>
  <c r="DI821" i="2"/>
  <c r="DI818" i="2"/>
  <c r="DI815" i="2"/>
  <c r="DI812" i="2"/>
  <c r="DI809" i="2"/>
  <c r="DI806" i="2"/>
  <c r="DI803" i="2"/>
  <c r="DI800" i="2"/>
  <c r="DI797" i="2"/>
  <c r="DI794" i="2"/>
  <c r="DI791" i="2"/>
  <c r="DI788" i="2"/>
  <c r="DI785" i="2"/>
  <c r="DI782" i="2"/>
  <c r="DI779" i="2"/>
  <c r="DI776" i="2"/>
  <c r="DI773" i="2"/>
  <c r="DI770" i="2"/>
  <c r="DI767" i="2"/>
  <c r="DI764" i="2"/>
  <c r="DI761" i="2"/>
  <c r="DI758" i="2"/>
  <c r="DI755" i="2"/>
  <c r="DI752" i="2"/>
  <c r="DI749" i="2"/>
  <c r="DI746" i="2"/>
  <c r="DI743" i="2"/>
  <c r="DI740" i="2"/>
  <c r="DI737" i="2"/>
  <c r="DI734" i="2"/>
  <c r="DI731" i="2"/>
  <c r="DI728" i="2"/>
  <c r="DI725" i="2"/>
  <c r="DI722" i="2"/>
  <c r="DI719" i="2"/>
  <c r="DI716" i="2"/>
  <c r="DI713" i="2"/>
  <c r="DI710" i="2"/>
  <c r="DI707" i="2"/>
  <c r="DI704" i="2"/>
  <c r="DI701" i="2"/>
  <c r="DI698" i="2"/>
  <c r="DI695" i="2"/>
  <c r="DI692" i="2"/>
  <c r="DI689" i="2"/>
  <c r="DI686" i="2"/>
  <c r="DI683" i="2"/>
  <c r="DI680" i="2"/>
  <c r="DI677" i="2"/>
  <c r="DI674" i="2"/>
  <c r="DI671" i="2"/>
  <c r="DI668" i="2"/>
  <c r="DI665" i="2"/>
  <c r="DI662" i="2"/>
  <c r="DI659" i="2"/>
  <c r="DI656" i="2"/>
  <c r="DI653" i="2"/>
  <c r="DI650" i="2"/>
  <c r="DI647" i="2"/>
  <c r="DI644" i="2"/>
  <c r="DI641" i="2"/>
  <c r="DI638" i="2"/>
  <c r="DI635" i="2"/>
  <c r="DI632" i="2"/>
  <c r="DI629" i="2"/>
  <c r="DI626" i="2"/>
  <c r="DI623" i="2"/>
  <c r="DI620" i="2"/>
  <c r="DI617" i="2"/>
  <c r="DI614" i="2"/>
  <c r="DI611" i="2"/>
  <c r="DI608" i="2"/>
  <c r="DI605" i="2"/>
  <c r="DI602" i="2"/>
  <c r="DI599" i="2"/>
  <c r="DI596" i="2"/>
  <c r="DI593" i="2"/>
  <c r="DI590" i="2"/>
  <c r="DI587" i="2"/>
  <c r="DI584" i="2"/>
  <c r="DI581" i="2"/>
  <c r="DI578" i="2"/>
  <c r="DI575" i="2"/>
  <c r="DI572" i="2"/>
  <c r="DI569" i="2"/>
  <c r="DI566" i="2"/>
  <c r="DI563" i="2"/>
  <c r="DI560" i="2"/>
  <c r="DI557" i="2"/>
  <c r="DI554" i="2"/>
  <c r="DI551" i="2"/>
  <c r="DI548" i="2"/>
  <c r="DI545" i="2"/>
  <c r="DI542" i="2"/>
  <c r="DI539" i="2"/>
  <c r="DI536" i="2"/>
  <c r="DI533" i="2"/>
  <c r="DI530" i="2"/>
  <c r="DI527" i="2"/>
  <c r="DI524" i="2"/>
  <c r="DI521" i="2"/>
  <c r="DI518" i="2"/>
  <c r="DI515" i="2"/>
  <c r="DI512" i="2"/>
  <c r="DI509" i="2"/>
  <c r="DI506" i="2"/>
  <c r="DI503" i="2"/>
  <c r="DI500" i="2"/>
  <c r="DI497" i="2"/>
  <c r="DI494" i="2"/>
  <c r="DI491" i="2"/>
  <c r="DI488" i="2"/>
  <c r="DI485" i="2"/>
  <c r="DI482" i="2"/>
  <c r="DI479" i="2"/>
  <c r="DI476" i="2"/>
  <c r="DI473" i="2"/>
  <c r="DI470" i="2"/>
  <c r="DI467" i="2"/>
  <c r="DI464" i="2"/>
  <c r="DI461" i="2"/>
  <c r="DI458" i="2"/>
  <c r="DI455" i="2"/>
  <c r="DI452" i="2"/>
  <c r="DI449" i="2"/>
  <c r="DI446" i="2"/>
  <c r="DI443" i="2"/>
  <c r="DI440" i="2"/>
  <c r="DI437" i="2"/>
  <c r="DI434" i="2"/>
  <c r="DI431" i="2"/>
  <c r="DI428" i="2"/>
  <c r="DI425" i="2"/>
  <c r="DI422" i="2"/>
  <c r="DI419" i="2"/>
  <c r="DI416" i="2"/>
  <c r="DI413" i="2"/>
  <c r="DI410" i="2"/>
  <c r="DI407" i="2"/>
  <c r="DI404" i="2"/>
  <c r="DI401" i="2"/>
  <c r="DI398" i="2"/>
  <c r="DI395" i="2"/>
  <c r="DI392" i="2"/>
  <c r="DI389" i="2"/>
  <c r="DI386" i="2"/>
  <c r="DI383" i="2"/>
  <c r="DI380" i="2"/>
  <c r="DI377" i="2"/>
  <c r="DI374" i="2"/>
  <c r="DI371" i="2"/>
  <c r="DI368" i="2"/>
  <c r="DI365" i="2"/>
  <c r="DI362" i="2"/>
  <c r="DI359" i="2"/>
  <c r="DI356" i="2"/>
  <c r="DI353" i="2"/>
  <c r="DI350" i="2"/>
  <c r="DI347" i="2"/>
  <c r="DI344" i="2"/>
  <c r="DI341" i="2"/>
  <c r="DI338" i="2"/>
  <c r="DI335" i="2"/>
  <c r="DI332" i="2"/>
  <c r="DI329" i="2"/>
  <c r="DI326" i="2"/>
  <c r="DI323" i="2"/>
  <c r="DI320" i="2"/>
  <c r="DI317" i="2"/>
  <c r="DI314" i="2"/>
  <c r="DI311" i="2"/>
  <c r="DI308" i="2"/>
  <c r="DI305" i="2"/>
  <c r="DI302" i="2"/>
  <c r="DI299" i="2"/>
  <c r="DI296" i="2"/>
  <c r="DI293" i="2"/>
  <c r="DI290" i="2"/>
  <c r="DI287" i="2"/>
  <c r="DI284" i="2"/>
  <c r="DI281" i="2"/>
  <c r="DI278" i="2"/>
  <c r="DI275" i="2"/>
  <c r="DI272" i="2"/>
  <c r="DI269" i="2"/>
  <c r="DI266" i="2"/>
  <c r="DI263" i="2"/>
  <c r="DI260" i="2"/>
  <c r="DI257" i="2"/>
  <c r="DI254" i="2"/>
  <c r="DI251" i="2"/>
  <c r="DI248" i="2"/>
  <c r="DI245" i="2"/>
  <c r="DI242" i="2"/>
  <c r="DI239" i="2"/>
  <c r="DI236" i="2"/>
  <c r="DI233" i="2"/>
  <c r="DI230" i="2"/>
  <c r="DI227" i="2"/>
  <c r="DI221" i="2"/>
  <c r="DI218" i="2"/>
  <c r="DI209" i="2"/>
  <c r="DI206" i="2"/>
  <c r="DI203" i="2"/>
  <c r="DI200" i="2"/>
  <c r="DI197" i="2"/>
  <c r="DI194" i="2"/>
  <c r="DI191" i="2"/>
  <c r="DI188" i="2"/>
  <c r="DI185" i="2"/>
  <c r="DI182" i="2"/>
  <c r="DI173" i="2"/>
  <c r="DI170" i="2"/>
  <c r="DI167" i="2"/>
  <c r="DI164" i="2"/>
  <c r="DI161" i="2"/>
  <c r="DI158" i="2"/>
  <c r="DI155" i="2"/>
  <c r="DI152" i="2"/>
  <c r="DI149" i="2"/>
  <c r="DI146" i="2"/>
  <c r="DI143" i="2"/>
  <c r="DI140" i="2"/>
  <c r="DI137" i="2"/>
  <c r="DI134" i="2"/>
  <c r="DI131" i="2"/>
  <c r="DI128" i="2"/>
  <c r="DI125" i="2"/>
  <c r="DI122" i="2"/>
  <c r="DI119" i="2"/>
  <c r="DI116" i="2"/>
  <c r="DI113" i="2"/>
  <c r="DI110" i="2"/>
  <c r="DI107" i="2"/>
  <c r="DI104" i="2"/>
  <c r="DI101" i="2"/>
  <c r="DI98" i="2"/>
  <c r="DI95" i="2"/>
  <c r="DI92" i="2"/>
  <c r="DI89" i="2"/>
  <c r="DI86" i="2"/>
  <c r="DI83" i="2"/>
  <c r="DI80" i="2"/>
  <c r="DI77" i="2"/>
  <c r="DI74" i="2"/>
  <c r="DI71" i="2"/>
  <c r="DI68" i="2"/>
  <c r="DI65" i="2"/>
  <c r="DI62" i="2"/>
  <c r="DI59" i="2"/>
  <c r="DI56" i="2"/>
  <c r="DI53" i="2"/>
  <c r="DI50" i="2"/>
  <c r="DI47" i="2"/>
  <c r="DI44" i="2"/>
  <c r="DI38" i="2"/>
  <c r="DI35" i="2"/>
  <c r="DI32" i="2"/>
  <c r="DI29" i="2"/>
  <c r="DI26" i="2"/>
  <c r="DI23" i="2"/>
  <c r="DI20" i="2"/>
  <c r="DI17" i="2"/>
  <c r="DI14" i="2"/>
  <c r="DI11" i="2"/>
  <c r="DI8" i="2"/>
  <c r="DI5" i="2"/>
  <c r="DI2" i="2"/>
  <c r="BR1001" i="2"/>
  <c r="BR998" i="2"/>
  <c r="BR995" i="2"/>
  <c r="BR992" i="2"/>
  <c r="BR989" i="2"/>
  <c r="BR986" i="2"/>
  <c r="BR983" i="2"/>
  <c r="BR980" i="2"/>
  <c r="BR977" i="2"/>
  <c r="BR974" i="2"/>
  <c r="BR971" i="2"/>
  <c r="BR968" i="2"/>
  <c r="BR965" i="2"/>
  <c r="BR962" i="2"/>
  <c r="BR959" i="2"/>
  <c r="BR956" i="2"/>
  <c r="BR953" i="2"/>
  <c r="BR950" i="2"/>
  <c r="BR947" i="2"/>
  <c r="BR944" i="2"/>
  <c r="BR941" i="2"/>
  <c r="BR938" i="2"/>
  <c r="BR935" i="2"/>
  <c r="BR932" i="2"/>
  <c r="BR929" i="2"/>
  <c r="BR926" i="2"/>
  <c r="BR923" i="2"/>
  <c r="BR920" i="2"/>
  <c r="BR917" i="2"/>
  <c r="BR914" i="2"/>
  <c r="BR911" i="2"/>
  <c r="BR908" i="2"/>
  <c r="BR905" i="2"/>
  <c r="BR902" i="2"/>
  <c r="BR899" i="2"/>
  <c r="BR896" i="2"/>
  <c r="BR893" i="2"/>
  <c r="BR890" i="2"/>
  <c r="BR887" i="2"/>
  <c r="BR884" i="2"/>
  <c r="BR881" i="2"/>
  <c r="BR878" i="2"/>
  <c r="BR875" i="2"/>
  <c r="BR872" i="2"/>
  <c r="BR869" i="2"/>
  <c r="BR866" i="2"/>
  <c r="BR863" i="2"/>
  <c r="BR860" i="2"/>
  <c r="BR857" i="2"/>
  <c r="BR854" i="2"/>
  <c r="BR851" i="2"/>
  <c r="BR848" i="2"/>
  <c r="BR845" i="2"/>
  <c r="BR842" i="2"/>
  <c r="BR839" i="2"/>
  <c r="BR836" i="2"/>
  <c r="BR833" i="2"/>
  <c r="BR830" i="2"/>
  <c r="BR827" i="2"/>
  <c r="BR824" i="2"/>
  <c r="BR821" i="2"/>
  <c r="BR818" i="2"/>
  <c r="BR815" i="2"/>
  <c r="BR812" i="2"/>
  <c r="BR809" i="2"/>
  <c r="BR806" i="2"/>
  <c r="BR803" i="2"/>
  <c r="BR800" i="2"/>
  <c r="BR797" i="2"/>
  <c r="BR794" i="2"/>
  <c r="BR791" i="2"/>
  <c r="BR788" i="2"/>
  <c r="BR785" i="2"/>
  <c r="BR782" i="2"/>
  <c r="BR779" i="2"/>
  <c r="BR776" i="2"/>
  <c r="BR773" i="2"/>
  <c r="BR770" i="2"/>
  <c r="BR767" i="2"/>
  <c r="BR764" i="2"/>
  <c r="BR761" i="2"/>
  <c r="BR758" i="2"/>
  <c r="BR755" i="2"/>
  <c r="BR752" i="2"/>
  <c r="BR749" i="2"/>
  <c r="BR746" i="2"/>
  <c r="BR743" i="2"/>
  <c r="BR740" i="2"/>
  <c r="BR737" i="2"/>
  <c r="BR734" i="2"/>
  <c r="BR731" i="2"/>
  <c r="BR728" i="2"/>
  <c r="BR725" i="2"/>
  <c r="BR722" i="2"/>
  <c r="BR719" i="2"/>
  <c r="BR716" i="2"/>
  <c r="BR713" i="2"/>
  <c r="BR710" i="2"/>
  <c r="BR707" i="2"/>
  <c r="BR704" i="2"/>
  <c r="BR701" i="2"/>
  <c r="BR698" i="2"/>
  <c r="BR695" i="2"/>
  <c r="BR692" i="2"/>
  <c r="BR689" i="2"/>
  <c r="BR686" i="2"/>
  <c r="BR683" i="2"/>
  <c r="BR680" i="2"/>
  <c r="BR677" i="2"/>
  <c r="BR674" i="2"/>
  <c r="BR671" i="2"/>
  <c r="BR668" i="2"/>
  <c r="BR665" i="2"/>
  <c r="BR662" i="2"/>
  <c r="BR659" i="2"/>
  <c r="BR656" i="2"/>
  <c r="BR653" i="2"/>
  <c r="BR650" i="2"/>
  <c r="BR647" i="2"/>
  <c r="BR644" i="2"/>
  <c r="BR641" i="2"/>
  <c r="BR638" i="2"/>
  <c r="BR635" i="2"/>
  <c r="BR632" i="2"/>
  <c r="BR629" i="2"/>
  <c r="BR626" i="2"/>
  <c r="BR623" i="2"/>
  <c r="BR620" i="2"/>
  <c r="BR617" i="2"/>
  <c r="BR614" i="2"/>
  <c r="BR611" i="2"/>
  <c r="BR608" i="2"/>
  <c r="BR605" i="2"/>
  <c r="BR602" i="2"/>
  <c r="BR599" i="2"/>
  <c r="BR596" i="2"/>
  <c r="BR593" i="2"/>
  <c r="BR590" i="2"/>
  <c r="BR587" i="2"/>
  <c r="BR584" i="2"/>
  <c r="BR581" i="2"/>
  <c r="BR578" i="2"/>
  <c r="BR575" i="2"/>
  <c r="BR572" i="2"/>
  <c r="BR569" i="2"/>
  <c r="BR566" i="2"/>
  <c r="BR563" i="2"/>
  <c r="BR560" i="2"/>
  <c r="BR557" i="2"/>
  <c r="BR554" i="2"/>
  <c r="BR551" i="2"/>
  <c r="BR548" i="2"/>
  <c r="BR545" i="2"/>
  <c r="BR542" i="2"/>
  <c r="BR539" i="2"/>
  <c r="BR536" i="2"/>
  <c r="BR533" i="2"/>
  <c r="BR530" i="2"/>
  <c r="BR527" i="2"/>
  <c r="BR524" i="2"/>
  <c r="BR521" i="2"/>
  <c r="BR518" i="2"/>
  <c r="BR515" i="2"/>
  <c r="BR512" i="2"/>
  <c r="BR509" i="2"/>
  <c r="BR506" i="2"/>
  <c r="BR503" i="2"/>
  <c r="BR500" i="2"/>
  <c r="BR497" i="2"/>
  <c r="BR494" i="2"/>
  <c r="BR491" i="2"/>
  <c r="BR488" i="2"/>
  <c r="BR485" i="2"/>
  <c r="BR482" i="2"/>
  <c r="BR479" i="2"/>
  <c r="BR476" i="2"/>
  <c r="BR473" i="2"/>
  <c r="BR470" i="2"/>
  <c r="BR467" i="2"/>
  <c r="BR464" i="2"/>
  <c r="BR461" i="2"/>
  <c r="BR458" i="2"/>
  <c r="BR455" i="2"/>
  <c r="BR452" i="2"/>
  <c r="BR449" i="2"/>
  <c r="BR446" i="2"/>
  <c r="BR443" i="2"/>
  <c r="BR440" i="2"/>
  <c r="BR437" i="2"/>
  <c r="BR434" i="2"/>
  <c r="BR431" i="2"/>
  <c r="BR428" i="2"/>
  <c r="BR425" i="2"/>
  <c r="BR422" i="2"/>
  <c r="BR419" i="2"/>
  <c r="BR416" i="2"/>
  <c r="BR413" i="2"/>
  <c r="BR410" i="2"/>
  <c r="BR407" i="2"/>
  <c r="BR404" i="2"/>
  <c r="BR401" i="2"/>
  <c r="BR398" i="2"/>
  <c r="BR395" i="2"/>
  <c r="BR392" i="2"/>
  <c r="BR389" i="2"/>
  <c r="BR386" i="2"/>
  <c r="BR383" i="2"/>
  <c r="BR380" i="2"/>
  <c r="BR377" i="2"/>
  <c r="BR374" i="2"/>
  <c r="BR371" i="2"/>
  <c r="BR368" i="2"/>
  <c r="BR365" i="2"/>
  <c r="BR362" i="2"/>
  <c r="BR359" i="2"/>
  <c r="BR356" i="2"/>
  <c r="BR353" i="2"/>
  <c r="BR350" i="2"/>
  <c r="BR347" i="2"/>
  <c r="BR344" i="2"/>
  <c r="BR341" i="2"/>
  <c r="BR338" i="2"/>
  <c r="BR335" i="2"/>
  <c r="BR332" i="2"/>
  <c r="BR329" i="2"/>
  <c r="BR326" i="2"/>
  <c r="BR323" i="2"/>
  <c r="BR320" i="2"/>
  <c r="BR317" i="2"/>
  <c r="BR314" i="2"/>
  <c r="BR311" i="2"/>
  <c r="BR308" i="2"/>
  <c r="BR305" i="2"/>
  <c r="BR302" i="2"/>
  <c r="BR299" i="2"/>
  <c r="BR296" i="2"/>
  <c r="BR293" i="2"/>
  <c r="BR290" i="2"/>
  <c r="BR287" i="2"/>
  <c r="BR284" i="2"/>
  <c r="BR281" i="2"/>
  <c r="BR278" i="2"/>
  <c r="BR275" i="2"/>
  <c r="BR272" i="2"/>
  <c r="BR269" i="2"/>
  <c r="BR266" i="2"/>
  <c r="BR263" i="2"/>
  <c r="BR260" i="2"/>
  <c r="BR257" i="2"/>
  <c r="BR254" i="2"/>
  <c r="BR251" i="2"/>
  <c r="BR248" i="2"/>
  <c r="BR245" i="2"/>
  <c r="BR242" i="2"/>
  <c r="BR239" i="2"/>
  <c r="BR236" i="2"/>
  <c r="BR233" i="2"/>
  <c r="BR230" i="2"/>
  <c r="BR227" i="2"/>
  <c r="BR221" i="2"/>
  <c r="BR218" i="2"/>
  <c r="BR209" i="2"/>
  <c r="BR206" i="2"/>
  <c r="BR203" i="2"/>
  <c r="BR200" i="2"/>
  <c r="BR197" i="2"/>
  <c r="BR194" i="2"/>
  <c r="BR191" i="2"/>
  <c r="BR188" i="2"/>
  <c r="BR185" i="2"/>
  <c r="BR182" i="2"/>
  <c r="BR173" i="2"/>
  <c r="BR170" i="2"/>
  <c r="BR167" i="2"/>
  <c r="BR164" i="2"/>
  <c r="BR161" i="2"/>
  <c r="BR158" i="2"/>
  <c r="BR155" i="2"/>
  <c r="BR152" i="2"/>
  <c r="BR149" i="2"/>
  <c r="BR146" i="2"/>
  <c r="BR143" i="2"/>
  <c r="BR140" i="2"/>
  <c r="BR137" i="2"/>
  <c r="BR134" i="2"/>
  <c r="BR131" i="2"/>
  <c r="BR128" i="2"/>
  <c r="BR125" i="2"/>
  <c r="BR122" i="2"/>
  <c r="BR119" i="2"/>
  <c r="BR116" i="2"/>
  <c r="BR113" i="2"/>
  <c r="BR110" i="2"/>
  <c r="BR107" i="2"/>
  <c r="BR104" i="2"/>
  <c r="BR101" i="2"/>
  <c r="BR98" i="2"/>
  <c r="BR95" i="2"/>
  <c r="BR92" i="2"/>
  <c r="BR89" i="2"/>
  <c r="BR86" i="2"/>
  <c r="BR83" i="2"/>
  <c r="BR80" i="2"/>
  <c r="BR77" i="2"/>
  <c r="BR74" i="2"/>
  <c r="BR71" i="2"/>
  <c r="BR68" i="2"/>
  <c r="BR65" i="2"/>
  <c r="BR62" i="2"/>
  <c r="BR59" i="2"/>
  <c r="BR56" i="2"/>
  <c r="BR53" i="2"/>
  <c r="BR50" i="2"/>
  <c r="BR47" i="2"/>
  <c r="BR44" i="2"/>
  <c r="BR38" i="2"/>
  <c r="BR35" i="2"/>
  <c r="BR32" i="2"/>
  <c r="BR29" i="2"/>
  <c r="BR26" i="2"/>
  <c r="BR23" i="2"/>
  <c r="BR20" i="2"/>
  <c r="BR17" i="2"/>
  <c r="BR14" i="2"/>
  <c r="BR11" i="2"/>
  <c r="BR8" i="2"/>
  <c r="BR5" i="2"/>
  <c r="BR2" i="2"/>
  <c r="AX1001" i="2"/>
  <c r="AX998" i="2"/>
  <c r="AX995" i="2"/>
  <c r="AX992" i="2"/>
  <c r="AX989" i="2"/>
  <c r="AX986" i="2"/>
  <c r="AX983" i="2"/>
  <c r="AX980" i="2"/>
  <c r="AX977" i="2"/>
  <c r="AX974" i="2"/>
  <c r="AX971" i="2"/>
  <c r="AX968" i="2"/>
  <c r="AX965" i="2"/>
  <c r="AX962" i="2"/>
  <c r="AX959" i="2"/>
  <c r="AX956" i="2"/>
  <c r="AX953" i="2"/>
  <c r="AX950" i="2"/>
  <c r="AX947" i="2"/>
  <c r="AX944" i="2"/>
  <c r="AX941" i="2"/>
  <c r="AX938" i="2"/>
  <c r="AX935" i="2"/>
  <c r="AX932" i="2"/>
  <c r="AX929" i="2"/>
  <c r="AX926" i="2"/>
  <c r="AX923" i="2"/>
  <c r="AX920" i="2"/>
  <c r="AX917" i="2"/>
  <c r="AX914" i="2"/>
  <c r="AX911" i="2"/>
  <c r="AX908" i="2"/>
  <c r="AX905" i="2"/>
  <c r="AX902" i="2"/>
  <c r="AX899" i="2"/>
  <c r="AX896" i="2"/>
  <c r="AX893" i="2"/>
  <c r="AX890" i="2"/>
  <c r="AX887" i="2"/>
  <c r="AX884" i="2"/>
  <c r="AX881" i="2"/>
  <c r="AX878" i="2"/>
  <c r="AX875" i="2"/>
  <c r="AX872" i="2"/>
  <c r="AX869" i="2"/>
  <c r="AX866" i="2"/>
  <c r="AX863" i="2"/>
  <c r="AX860" i="2"/>
  <c r="AX857" i="2"/>
  <c r="AX854" i="2"/>
  <c r="AX851" i="2"/>
  <c r="AX848" i="2"/>
  <c r="AX845" i="2"/>
  <c r="AX842" i="2"/>
  <c r="AX839" i="2"/>
  <c r="AX836" i="2"/>
  <c r="AX833" i="2"/>
  <c r="AX830" i="2"/>
  <c r="AX827" i="2"/>
  <c r="AX824" i="2"/>
  <c r="AX821" i="2"/>
  <c r="AX818" i="2"/>
  <c r="AX815" i="2"/>
  <c r="AX812" i="2"/>
  <c r="AX809" i="2"/>
  <c r="AX806" i="2"/>
  <c r="AX803" i="2"/>
  <c r="AX800" i="2"/>
  <c r="AX797" i="2"/>
  <c r="AX794" i="2"/>
  <c r="AX791" i="2"/>
  <c r="AX788" i="2"/>
  <c r="AX785" i="2"/>
  <c r="AX782" i="2"/>
  <c r="AX779" i="2"/>
  <c r="AX776" i="2"/>
  <c r="AX773" i="2"/>
  <c r="AX770" i="2"/>
  <c r="AX767" i="2"/>
  <c r="AX764" i="2"/>
  <c r="AX761" i="2"/>
  <c r="AX758" i="2"/>
  <c r="AX755" i="2"/>
  <c r="AX752" i="2"/>
  <c r="AX749" i="2"/>
  <c r="AX746" i="2"/>
  <c r="AX743" i="2"/>
  <c r="AX740" i="2"/>
  <c r="AX737" i="2"/>
  <c r="AX734" i="2"/>
  <c r="AX731" i="2"/>
  <c r="AX728" i="2"/>
  <c r="AX725" i="2"/>
  <c r="AX722" i="2"/>
  <c r="AX719" i="2"/>
  <c r="AX716" i="2"/>
  <c r="AX713" i="2"/>
  <c r="AX710" i="2"/>
  <c r="AX707" i="2"/>
  <c r="AX704" i="2"/>
  <c r="AX701" i="2"/>
  <c r="AX698" i="2"/>
  <c r="AX695" i="2"/>
  <c r="AX692" i="2"/>
  <c r="AX689" i="2"/>
  <c r="AX686" i="2"/>
  <c r="AX683" i="2"/>
  <c r="AX680" i="2"/>
  <c r="AX677" i="2"/>
  <c r="AX674" i="2"/>
  <c r="AX671" i="2"/>
  <c r="AX668" i="2"/>
  <c r="AX665" i="2"/>
  <c r="AX662" i="2"/>
  <c r="AX659" i="2"/>
  <c r="AX656" i="2"/>
  <c r="AX653" i="2"/>
  <c r="AX650" i="2"/>
  <c r="AX647" i="2"/>
  <c r="AX644" i="2"/>
  <c r="AX641" i="2"/>
  <c r="AX638" i="2"/>
  <c r="AX635" i="2"/>
  <c r="AX632" i="2"/>
  <c r="AX629" i="2"/>
  <c r="AX626" i="2"/>
  <c r="AX623" i="2"/>
  <c r="AX620" i="2"/>
  <c r="AX617" i="2"/>
  <c r="AX614" i="2"/>
  <c r="AX611" i="2"/>
  <c r="AX608" i="2"/>
  <c r="AX605" i="2"/>
  <c r="AX602" i="2"/>
  <c r="AX599" i="2"/>
  <c r="AX596" i="2"/>
  <c r="AX593" i="2"/>
  <c r="AX590" i="2"/>
  <c r="AX587" i="2"/>
  <c r="AX584" i="2"/>
  <c r="AX581" i="2"/>
  <c r="AX578" i="2"/>
  <c r="AX575" i="2"/>
  <c r="AX572" i="2"/>
  <c r="AX569" i="2"/>
  <c r="AX566" i="2"/>
  <c r="AX563" i="2"/>
  <c r="AX560" i="2"/>
  <c r="AX557" i="2"/>
  <c r="AX554" i="2"/>
  <c r="AX551" i="2"/>
  <c r="AX548" i="2"/>
  <c r="AX545" i="2"/>
  <c r="AX542" i="2"/>
  <c r="AX539" i="2"/>
  <c r="AX536" i="2"/>
  <c r="AX533" i="2"/>
  <c r="AX530" i="2"/>
  <c r="AX527" i="2"/>
  <c r="AX524" i="2"/>
  <c r="AX521" i="2"/>
  <c r="AX518" i="2"/>
  <c r="AX515" i="2"/>
  <c r="AX512" i="2"/>
  <c r="AX509" i="2"/>
  <c r="AX506" i="2"/>
  <c r="AX503" i="2"/>
  <c r="AX500" i="2"/>
  <c r="AX497" i="2"/>
  <c r="AX494" i="2"/>
  <c r="AX491" i="2"/>
  <c r="AX488" i="2"/>
  <c r="AX485" i="2"/>
  <c r="AX482" i="2"/>
  <c r="AX479" i="2"/>
  <c r="AX476" i="2"/>
  <c r="AX473" i="2"/>
  <c r="AX470" i="2"/>
  <c r="AX467" i="2"/>
  <c r="AX464" i="2"/>
  <c r="AX461" i="2"/>
  <c r="AX458" i="2"/>
  <c r="AX455" i="2"/>
  <c r="AX452" i="2"/>
  <c r="AX449" i="2"/>
  <c r="AX446" i="2"/>
  <c r="AX443" i="2"/>
  <c r="AX440" i="2"/>
  <c r="AX437" i="2"/>
  <c r="AX434" i="2"/>
  <c r="AX431" i="2"/>
  <c r="AX428" i="2"/>
  <c r="AX425" i="2"/>
  <c r="AX422" i="2"/>
  <c r="AX419" i="2"/>
  <c r="AX416" i="2"/>
  <c r="AX413" i="2"/>
  <c r="AX410" i="2"/>
  <c r="AX407" i="2"/>
  <c r="AX404" i="2"/>
  <c r="AX401" i="2"/>
  <c r="AX398" i="2"/>
  <c r="AX395" i="2"/>
  <c r="AX392" i="2"/>
  <c r="AX389" i="2"/>
  <c r="AX386" i="2"/>
  <c r="AX383" i="2"/>
  <c r="AX380" i="2"/>
  <c r="AX377" i="2"/>
  <c r="AX374" i="2"/>
  <c r="AX371" i="2"/>
  <c r="AX368" i="2"/>
  <c r="AX365" i="2"/>
  <c r="AX362" i="2"/>
  <c r="AX359" i="2"/>
  <c r="AX356" i="2"/>
  <c r="AX353" i="2"/>
  <c r="AX350" i="2"/>
  <c r="AX347" i="2"/>
  <c r="AX344" i="2"/>
  <c r="AX341" i="2"/>
  <c r="AX338" i="2"/>
  <c r="AX335" i="2"/>
  <c r="AX332" i="2"/>
  <c r="AX329" i="2"/>
  <c r="AX326" i="2"/>
  <c r="AX323" i="2"/>
  <c r="AX320" i="2"/>
  <c r="AX317" i="2"/>
  <c r="AX314" i="2"/>
  <c r="AX311" i="2"/>
  <c r="AX308" i="2"/>
  <c r="AX305" i="2"/>
  <c r="AX302" i="2"/>
  <c r="AX299" i="2"/>
  <c r="AX296" i="2"/>
  <c r="AX293" i="2"/>
  <c r="AX290" i="2"/>
  <c r="AX287" i="2"/>
  <c r="AX284" i="2"/>
  <c r="AX281" i="2"/>
  <c r="AX278" i="2"/>
  <c r="AX275" i="2"/>
  <c r="AX272" i="2"/>
  <c r="AX269" i="2"/>
  <c r="AX266" i="2"/>
  <c r="AX263" i="2"/>
  <c r="AX260" i="2"/>
  <c r="AX257" i="2"/>
  <c r="AX254" i="2"/>
  <c r="AX251" i="2"/>
  <c r="AX248" i="2"/>
  <c r="AX245" i="2"/>
  <c r="AX242" i="2"/>
  <c r="AX239" i="2"/>
  <c r="AX236" i="2"/>
  <c r="AX233" i="2"/>
  <c r="AX230" i="2"/>
  <c r="AX227" i="2"/>
  <c r="AX221" i="2"/>
  <c r="AX218" i="2"/>
  <c r="AX209" i="2"/>
  <c r="AX206" i="2"/>
  <c r="AX203" i="2"/>
  <c r="AX200" i="2"/>
  <c r="AX197" i="2"/>
  <c r="AX194" i="2"/>
  <c r="AX191" i="2"/>
  <c r="AX188" i="2"/>
  <c r="AX185" i="2"/>
  <c r="AX182" i="2"/>
  <c r="AX173" i="2"/>
  <c r="AX170" i="2"/>
  <c r="AX167" i="2"/>
  <c r="AX164" i="2"/>
  <c r="AX161" i="2"/>
  <c r="AX158" i="2"/>
  <c r="AX155" i="2"/>
  <c r="AX152" i="2"/>
  <c r="AX149" i="2"/>
  <c r="AX146" i="2"/>
  <c r="AX143" i="2"/>
  <c r="AX140" i="2"/>
  <c r="AX137" i="2"/>
  <c r="AX134" i="2"/>
  <c r="AX131" i="2"/>
  <c r="AX128" i="2"/>
  <c r="AX125" i="2"/>
  <c r="AX122" i="2"/>
  <c r="AX119" i="2"/>
  <c r="AX116" i="2"/>
  <c r="AX113" i="2"/>
  <c r="AX110" i="2"/>
  <c r="AX107" i="2"/>
  <c r="AX104" i="2"/>
  <c r="AX101" i="2"/>
  <c r="AX98" i="2"/>
  <c r="AX95" i="2"/>
  <c r="AX92" i="2"/>
  <c r="AX89" i="2"/>
  <c r="AX86" i="2"/>
  <c r="AX83" i="2"/>
  <c r="AX80" i="2"/>
  <c r="AX77" i="2"/>
  <c r="AX74" i="2"/>
  <c r="AX71" i="2"/>
  <c r="AX68" i="2"/>
  <c r="AX65" i="2"/>
  <c r="AX62" i="2"/>
  <c r="AX59" i="2"/>
  <c r="AX56" i="2"/>
  <c r="AX53" i="2"/>
  <c r="AX50" i="2"/>
  <c r="AX47" i="2"/>
  <c r="AX44" i="2"/>
  <c r="AX38" i="2"/>
  <c r="AX35" i="2"/>
  <c r="AX32" i="2"/>
  <c r="AX29" i="2"/>
  <c r="AX26" i="2"/>
  <c r="AX23" i="2"/>
  <c r="AX20" i="2"/>
  <c r="AX17" i="2"/>
  <c r="AX14" i="2"/>
  <c r="AX11" i="2"/>
  <c r="AX8" i="2"/>
  <c r="AX5" i="2"/>
  <c r="AX2" i="2"/>
  <c r="AD1001" i="2"/>
  <c r="AD998" i="2"/>
  <c r="AD995" i="2"/>
  <c r="AD992" i="2"/>
  <c r="AD989" i="2"/>
  <c r="AD986" i="2"/>
  <c r="AD983" i="2"/>
  <c r="AD980" i="2"/>
  <c r="AD977" i="2"/>
  <c r="AD974" i="2"/>
  <c r="AD971" i="2"/>
  <c r="AD968" i="2"/>
  <c r="AD965" i="2"/>
  <c r="AD962" i="2"/>
  <c r="AD959" i="2"/>
  <c r="AD956" i="2"/>
  <c r="AD953" i="2"/>
  <c r="AD950" i="2"/>
  <c r="AD947" i="2"/>
  <c r="AD944" i="2"/>
  <c r="AD941" i="2"/>
  <c r="AD938" i="2"/>
  <c r="AD935" i="2"/>
  <c r="AD932" i="2"/>
  <c r="AD929" i="2"/>
  <c r="AD926" i="2"/>
  <c r="AD923" i="2"/>
  <c r="AD920" i="2"/>
  <c r="AD917" i="2"/>
  <c r="AD914" i="2"/>
  <c r="AD911" i="2"/>
  <c r="AD908" i="2"/>
  <c r="AD905" i="2"/>
  <c r="AD902" i="2"/>
  <c r="AD899" i="2"/>
  <c r="AD896" i="2"/>
  <c r="AD893" i="2"/>
  <c r="AD890" i="2"/>
  <c r="AD887" i="2"/>
  <c r="AD884" i="2"/>
  <c r="AD881" i="2"/>
  <c r="AD878" i="2"/>
  <c r="AD875" i="2"/>
  <c r="AD872" i="2"/>
  <c r="AD869" i="2"/>
  <c r="AD866" i="2"/>
  <c r="AD863" i="2"/>
  <c r="AD860" i="2"/>
  <c r="AD857" i="2"/>
  <c r="AD854" i="2"/>
  <c r="AD851" i="2"/>
  <c r="AD848" i="2"/>
  <c r="AD845" i="2"/>
  <c r="AD842" i="2"/>
  <c r="AD839" i="2"/>
  <c r="AD836" i="2"/>
  <c r="AD833" i="2"/>
  <c r="AD830" i="2"/>
  <c r="AD827" i="2"/>
  <c r="AD824" i="2"/>
  <c r="AD821" i="2"/>
  <c r="AD818" i="2"/>
  <c r="AD815" i="2"/>
  <c r="AD812" i="2"/>
  <c r="AD809" i="2"/>
  <c r="AD806" i="2"/>
  <c r="AD803" i="2"/>
  <c r="AD800" i="2"/>
  <c r="AD797" i="2"/>
  <c r="AD794" i="2"/>
  <c r="AD791" i="2"/>
  <c r="AD788" i="2"/>
  <c r="AD785" i="2"/>
  <c r="AD782" i="2"/>
  <c r="AD779" i="2"/>
  <c r="AD776" i="2"/>
  <c r="AD773" i="2"/>
  <c r="AD770" i="2"/>
  <c r="AD767" i="2"/>
  <c r="AD764" i="2"/>
  <c r="AD761" i="2"/>
  <c r="AD758" i="2"/>
  <c r="AD755" i="2"/>
  <c r="AD752" i="2"/>
  <c r="AD749" i="2"/>
  <c r="AD746" i="2"/>
  <c r="AD743" i="2"/>
  <c r="AD740" i="2"/>
  <c r="AD737" i="2"/>
  <c r="AD734" i="2"/>
  <c r="AD731" i="2"/>
  <c r="AD728" i="2"/>
  <c r="AD725" i="2"/>
  <c r="AD722" i="2"/>
  <c r="AD719" i="2"/>
  <c r="AD716" i="2"/>
  <c r="AD713" i="2"/>
  <c r="AD710" i="2"/>
  <c r="AD707" i="2"/>
  <c r="AD704" i="2"/>
  <c r="AD701" i="2"/>
  <c r="AD698" i="2"/>
  <c r="AD695" i="2"/>
  <c r="AD692" i="2"/>
  <c r="AD689" i="2"/>
  <c r="AD686" i="2"/>
  <c r="AD683" i="2"/>
  <c r="AD680" i="2"/>
  <c r="AD677" i="2"/>
  <c r="AD674" i="2"/>
  <c r="AD671" i="2"/>
  <c r="AD668" i="2"/>
  <c r="AD665" i="2"/>
  <c r="AD662" i="2"/>
  <c r="AD659" i="2"/>
  <c r="AD656" i="2"/>
  <c r="AD653" i="2"/>
  <c r="AD650" i="2"/>
  <c r="AD647" i="2"/>
  <c r="AD644" i="2"/>
  <c r="AD641" i="2"/>
  <c r="AD638" i="2"/>
  <c r="AD635" i="2"/>
  <c r="AD632" i="2"/>
  <c r="AD629" i="2"/>
  <c r="AD626" i="2"/>
  <c r="AD623" i="2"/>
  <c r="AD620" i="2"/>
  <c r="AD617" i="2"/>
  <c r="AD614" i="2"/>
  <c r="AD611" i="2"/>
  <c r="AD608" i="2"/>
  <c r="AD605" i="2"/>
  <c r="AD602" i="2"/>
  <c r="AD599" i="2"/>
  <c r="AD596" i="2"/>
  <c r="AD593" i="2"/>
  <c r="AD590" i="2"/>
  <c r="AD587" i="2"/>
  <c r="AD584" i="2"/>
  <c r="AD581" i="2"/>
  <c r="AD578" i="2"/>
  <c r="AD575" i="2"/>
  <c r="AD572" i="2"/>
  <c r="AD569" i="2"/>
  <c r="AD566" i="2"/>
  <c r="AD563" i="2"/>
  <c r="AD560" i="2"/>
  <c r="AD557" i="2"/>
  <c r="AD554" i="2"/>
  <c r="AD551" i="2"/>
  <c r="AD548" i="2"/>
  <c r="AD545" i="2"/>
  <c r="AD542" i="2"/>
  <c r="AD539" i="2"/>
  <c r="AD536" i="2"/>
  <c r="AD533" i="2"/>
  <c r="AD530" i="2"/>
  <c r="AD527" i="2"/>
  <c r="AD524" i="2"/>
  <c r="AD521" i="2"/>
  <c r="AD518" i="2"/>
  <c r="AD515" i="2"/>
  <c r="AD512" i="2"/>
  <c r="AD509" i="2"/>
  <c r="AD506" i="2"/>
  <c r="AD503" i="2"/>
  <c r="AD500" i="2"/>
  <c r="AD497" i="2"/>
  <c r="AD494" i="2"/>
  <c r="AD491" i="2"/>
  <c r="AD488" i="2"/>
  <c r="AD485" i="2"/>
  <c r="AD482" i="2"/>
  <c r="AD479" i="2"/>
  <c r="AD476" i="2"/>
  <c r="AD473" i="2"/>
  <c r="AD470" i="2"/>
  <c r="AD467" i="2"/>
  <c r="AD464" i="2"/>
  <c r="AD461" i="2"/>
  <c r="AD458" i="2"/>
  <c r="AD455" i="2"/>
  <c r="AD452" i="2"/>
  <c r="AD449" i="2"/>
  <c r="AD446" i="2"/>
  <c r="AD443" i="2"/>
  <c r="AD440" i="2"/>
  <c r="AD437" i="2"/>
  <c r="AD434" i="2"/>
  <c r="AD431" i="2"/>
  <c r="AD428" i="2"/>
  <c r="AD425" i="2"/>
  <c r="AD422" i="2"/>
  <c r="AD419" i="2"/>
  <c r="AD416" i="2"/>
  <c r="AD413" i="2"/>
  <c r="AD410" i="2"/>
  <c r="AD407" i="2"/>
  <c r="AD404" i="2"/>
  <c r="AD401" i="2"/>
  <c r="AD398" i="2"/>
  <c r="AD395" i="2"/>
  <c r="AD392" i="2"/>
  <c r="AD389" i="2"/>
  <c r="AD386" i="2"/>
  <c r="AD383" i="2"/>
  <c r="AD380" i="2"/>
  <c r="AD377" i="2"/>
  <c r="AD374" i="2"/>
  <c r="AD371" i="2"/>
  <c r="AD368" i="2"/>
  <c r="AD365" i="2"/>
  <c r="AD362" i="2"/>
  <c r="AD359" i="2"/>
  <c r="AD356" i="2"/>
  <c r="AD353" i="2"/>
  <c r="AD350" i="2"/>
  <c r="AD347" i="2"/>
  <c r="AD344" i="2"/>
  <c r="AD341" i="2"/>
  <c r="AD338" i="2"/>
  <c r="AD335" i="2"/>
  <c r="AD332" i="2"/>
  <c r="AD329" i="2"/>
  <c r="AD326" i="2"/>
  <c r="AD323" i="2"/>
  <c r="AD320" i="2"/>
  <c r="AD317" i="2"/>
  <c r="AD314" i="2"/>
  <c r="AD311" i="2"/>
  <c r="AD308" i="2"/>
  <c r="AD305" i="2"/>
  <c r="AD302" i="2"/>
  <c r="AD299" i="2"/>
  <c r="AD296" i="2"/>
  <c r="AD293" i="2"/>
  <c r="AD290" i="2"/>
  <c r="AD287" i="2"/>
  <c r="AD284" i="2"/>
  <c r="AD281" i="2"/>
  <c r="AD278" i="2"/>
  <c r="AD275" i="2"/>
  <c r="AD272" i="2"/>
  <c r="AD269" i="2"/>
  <c r="AD266" i="2"/>
  <c r="AD263" i="2"/>
  <c r="AD260" i="2"/>
  <c r="AD257" i="2"/>
  <c r="AD254" i="2"/>
  <c r="AD251" i="2"/>
  <c r="AD248" i="2"/>
  <c r="AD245" i="2"/>
  <c r="AD242" i="2"/>
  <c r="AD239" i="2"/>
  <c r="AD236" i="2"/>
  <c r="AD233" i="2"/>
  <c r="AD230" i="2"/>
  <c r="AD227" i="2"/>
  <c r="AD221" i="2"/>
  <c r="AD218" i="2"/>
  <c r="AD209" i="2"/>
  <c r="AD206" i="2"/>
  <c r="AD203" i="2"/>
  <c r="AD200" i="2"/>
  <c r="AD197" i="2"/>
  <c r="AD194" i="2"/>
  <c r="AD191" i="2"/>
  <c r="AD188" i="2"/>
  <c r="AD185" i="2"/>
  <c r="AD182" i="2"/>
  <c r="AD173" i="2"/>
  <c r="AD170" i="2"/>
  <c r="AD167" i="2"/>
  <c r="AD164" i="2"/>
  <c r="AD161" i="2"/>
  <c r="AD158" i="2"/>
  <c r="AD155" i="2"/>
  <c r="AD152" i="2"/>
  <c r="AD149" i="2"/>
  <c r="AD146" i="2"/>
  <c r="AD143" i="2"/>
  <c r="AD140" i="2"/>
  <c r="AD137" i="2"/>
  <c r="AD134" i="2"/>
  <c r="AD131" i="2"/>
  <c r="AD128" i="2"/>
  <c r="AD125" i="2"/>
  <c r="AD122" i="2"/>
  <c r="AD119" i="2"/>
  <c r="AD116" i="2"/>
  <c r="AD113" i="2"/>
  <c r="AD110" i="2"/>
  <c r="AD107" i="2"/>
  <c r="AD104" i="2"/>
  <c r="AD101" i="2"/>
  <c r="AD98" i="2"/>
  <c r="AD95" i="2"/>
  <c r="AD92" i="2"/>
  <c r="AD89" i="2"/>
  <c r="AD86" i="2"/>
  <c r="AD83" i="2"/>
  <c r="AD80" i="2"/>
  <c r="AD77" i="2"/>
  <c r="AD74" i="2"/>
  <c r="AD71" i="2"/>
  <c r="AD68" i="2"/>
  <c r="AD65" i="2"/>
  <c r="AD62" i="2"/>
  <c r="AD59" i="2"/>
  <c r="AD56" i="2"/>
  <c r="AD53" i="2"/>
  <c r="AD50" i="2"/>
  <c r="AD47" i="2"/>
  <c r="AD44" i="2"/>
  <c r="AD38" i="2"/>
  <c r="AD35" i="2"/>
  <c r="AD32" i="2"/>
  <c r="AD29" i="2"/>
  <c r="AD26" i="2"/>
  <c r="AD23" i="2"/>
  <c r="AD20" i="2"/>
  <c r="AD17" i="2"/>
  <c r="AD14" i="2"/>
  <c r="AD11" i="2"/>
  <c r="AD8" i="2"/>
  <c r="AD5" i="2"/>
  <c r="AD2" i="2"/>
  <c r="F5" i="2"/>
  <c r="F8" i="2"/>
  <c r="F11" i="2"/>
  <c r="F14" i="2"/>
  <c r="F17" i="2"/>
  <c r="F20" i="2"/>
  <c r="F23" i="2"/>
  <c r="F26" i="2"/>
  <c r="F29" i="2"/>
  <c r="F32" i="2"/>
  <c r="F35" i="2"/>
  <c r="F38" i="2"/>
  <c r="F44" i="2"/>
  <c r="F47" i="2"/>
  <c r="F50" i="2"/>
  <c r="F53" i="2"/>
  <c r="F56" i="2"/>
  <c r="F59" i="2"/>
  <c r="F62" i="2"/>
  <c r="F65" i="2"/>
  <c r="F68" i="2"/>
  <c r="F71" i="2"/>
  <c r="F74" i="2"/>
  <c r="F77" i="2"/>
  <c r="F80" i="2"/>
  <c r="F83" i="2"/>
  <c r="F86" i="2"/>
  <c r="F89" i="2"/>
  <c r="F92" i="2"/>
  <c r="F95" i="2"/>
  <c r="F98" i="2"/>
  <c r="F101" i="2"/>
  <c r="F104" i="2"/>
  <c r="F107" i="2"/>
  <c r="F110" i="2"/>
  <c r="F113" i="2"/>
  <c r="F116" i="2"/>
  <c r="F119" i="2"/>
  <c r="F122" i="2"/>
  <c r="F125" i="2"/>
  <c r="F128" i="2"/>
  <c r="F131" i="2"/>
  <c r="F134" i="2"/>
  <c r="F137" i="2"/>
  <c r="F140" i="2"/>
  <c r="F143" i="2"/>
  <c r="F146" i="2"/>
  <c r="F149" i="2"/>
  <c r="F152" i="2"/>
  <c r="F155" i="2"/>
  <c r="F158" i="2"/>
  <c r="F161" i="2"/>
  <c r="F164" i="2"/>
  <c r="F167" i="2"/>
  <c r="F170" i="2"/>
  <c r="F173" i="2"/>
  <c r="F182" i="2"/>
  <c r="F185" i="2"/>
  <c r="F188" i="2"/>
  <c r="F191" i="2"/>
  <c r="F194" i="2"/>
  <c r="F197" i="2"/>
  <c r="F200" i="2"/>
  <c r="F203" i="2"/>
  <c r="F206" i="2"/>
  <c r="F209" i="2"/>
  <c r="F218" i="2"/>
  <c r="F221" i="2"/>
  <c r="F227" i="2"/>
  <c r="F230" i="2"/>
  <c r="F233" i="2"/>
  <c r="F236" i="2"/>
  <c r="F239" i="2"/>
  <c r="F242" i="2"/>
  <c r="F245" i="2"/>
  <c r="F248" i="2"/>
  <c r="F251" i="2"/>
  <c r="F254" i="2"/>
  <c r="F257" i="2"/>
  <c r="F260" i="2"/>
  <c r="F263" i="2"/>
  <c r="F266" i="2"/>
  <c r="F269" i="2"/>
  <c r="F272" i="2"/>
  <c r="F275" i="2"/>
  <c r="F278" i="2"/>
  <c r="F281" i="2"/>
  <c r="F284" i="2"/>
  <c r="F287" i="2"/>
  <c r="F290" i="2"/>
  <c r="F293" i="2"/>
  <c r="F296" i="2"/>
  <c r="F299" i="2"/>
  <c r="F302" i="2"/>
  <c r="F305" i="2"/>
  <c r="F308" i="2"/>
  <c r="F311" i="2"/>
  <c r="F314" i="2"/>
  <c r="F317" i="2"/>
  <c r="F320" i="2"/>
  <c r="F323" i="2"/>
  <c r="F326" i="2"/>
  <c r="F329" i="2"/>
  <c r="F332" i="2"/>
  <c r="F335" i="2"/>
  <c r="F338" i="2"/>
  <c r="F341" i="2"/>
  <c r="F344" i="2"/>
  <c r="F347" i="2"/>
  <c r="F350" i="2"/>
  <c r="F353" i="2"/>
  <c r="F356" i="2"/>
  <c r="F359" i="2"/>
  <c r="F362" i="2"/>
  <c r="F365" i="2"/>
  <c r="F368" i="2"/>
  <c r="F371" i="2"/>
  <c r="F374" i="2"/>
  <c r="F377" i="2"/>
  <c r="F380" i="2"/>
  <c r="F383" i="2"/>
  <c r="F386" i="2"/>
  <c r="F389" i="2"/>
  <c r="F392" i="2"/>
  <c r="F395" i="2"/>
  <c r="F398" i="2"/>
  <c r="F401" i="2"/>
  <c r="F404" i="2"/>
  <c r="F407" i="2"/>
  <c r="F410" i="2"/>
  <c r="F413" i="2"/>
  <c r="F416" i="2"/>
  <c r="F419" i="2"/>
  <c r="F422" i="2"/>
  <c r="F425" i="2"/>
  <c r="F428" i="2"/>
  <c r="F431" i="2"/>
  <c r="F434" i="2"/>
  <c r="F437" i="2"/>
  <c r="F440" i="2"/>
  <c r="F443" i="2"/>
  <c r="F446" i="2"/>
  <c r="F449" i="2"/>
  <c r="F452" i="2"/>
  <c r="F455" i="2"/>
  <c r="F458" i="2"/>
  <c r="F461" i="2"/>
  <c r="F464" i="2"/>
  <c r="F467" i="2"/>
  <c r="F470" i="2"/>
  <c r="F473" i="2"/>
  <c r="F476" i="2"/>
  <c r="F479" i="2"/>
  <c r="F482" i="2"/>
  <c r="F485" i="2"/>
  <c r="F488" i="2"/>
  <c r="F491" i="2"/>
  <c r="F494" i="2"/>
  <c r="F497" i="2"/>
  <c r="F500" i="2"/>
  <c r="F503" i="2"/>
  <c r="F506" i="2"/>
  <c r="F509" i="2"/>
  <c r="F512" i="2"/>
  <c r="F515" i="2"/>
  <c r="F518" i="2"/>
  <c r="F521" i="2"/>
  <c r="F524" i="2"/>
  <c r="F527" i="2"/>
  <c r="F530" i="2"/>
  <c r="F533" i="2"/>
  <c r="F536" i="2"/>
  <c r="F539" i="2"/>
  <c r="F542" i="2"/>
  <c r="F545" i="2"/>
  <c r="F548" i="2"/>
  <c r="F551" i="2"/>
  <c r="F554" i="2"/>
  <c r="F557" i="2"/>
  <c r="F560" i="2"/>
  <c r="F563" i="2"/>
  <c r="F566" i="2"/>
  <c r="F569" i="2"/>
  <c r="F572" i="2"/>
  <c r="F575" i="2"/>
  <c r="F578" i="2"/>
  <c r="F581" i="2"/>
  <c r="F584" i="2"/>
  <c r="F587" i="2"/>
  <c r="F590" i="2"/>
  <c r="F593" i="2"/>
  <c r="F596" i="2"/>
  <c r="F599" i="2"/>
  <c r="F602" i="2"/>
  <c r="F605" i="2"/>
  <c r="F608" i="2"/>
  <c r="F611" i="2"/>
  <c r="F614" i="2"/>
  <c r="F617" i="2"/>
  <c r="F620" i="2"/>
  <c r="F623" i="2"/>
  <c r="F626" i="2"/>
  <c r="F629" i="2"/>
  <c r="F632" i="2"/>
  <c r="F635" i="2"/>
  <c r="F638" i="2"/>
  <c r="F641" i="2"/>
  <c r="F644" i="2"/>
  <c r="F647" i="2"/>
  <c r="F650" i="2"/>
  <c r="F653" i="2"/>
  <c r="F656" i="2"/>
  <c r="F659" i="2"/>
  <c r="F662" i="2"/>
  <c r="F665" i="2"/>
  <c r="F668" i="2"/>
  <c r="F671" i="2"/>
  <c r="F674" i="2"/>
  <c r="F677" i="2"/>
  <c r="F680" i="2"/>
  <c r="F683" i="2"/>
  <c r="F686" i="2"/>
  <c r="F689" i="2"/>
  <c r="F692" i="2"/>
  <c r="F695" i="2"/>
  <c r="F698" i="2"/>
  <c r="F701" i="2"/>
  <c r="F704" i="2"/>
  <c r="F707" i="2"/>
  <c r="F710" i="2"/>
  <c r="F713" i="2"/>
  <c r="F716" i="2"/>
  <c r="F719" i="2"/>
  <c r="F722" i="2"/>
  <c r="F725" i="2"/>
  <c r="F728" i="2"/>
  <c r="F731" i="2"/>
  <c r="F734" i="2"/>
  <c r="F737" i="2"/>
  <c r="F740" i="2"/>
  <c r="F743" i="2"/>
  <c r="F746" i="2"/>
  <c r="F749" i="2"/>
  <c r="F752" i="2"/>
  <c r="F755" i="2"/>
  <c r="F758" i="2"/>
  <c r="F761" i="2"/>
  <c r="F764" i="2"/>
  <c r="F767" i="2"/>
  <c r="F770" i="2"/>
  <c r="F773" i="2"/>
  <c r="F776" i="2"/>
  <c r="F779" i="2"/>
  <c r="F782" i="2"/>
  <c r="F785" i="2"/>
  <c r="F788" i="2"/>
  <c r="F791" i="2"/>
  <c r="F794" i="2"/>
  <c r="F797" i="2"/>
  <c r="F800" i="2"/>
  <c r="F803" i="2"/>
  <c r="F806" i="2"/>
  <c r="F809" i="2"/>
  <c r="F812" i="2"/>
  <c r="F815" i="2"/>
  <c r="F818" i="2"/>
  <c r="F821" i="2"/>
  <c r="F824" i="2"/>
  <c r="F827" i="2"/>
  <c r="F830" i="2"/>
  <c r="F833" i="2"/>
  <c r="F836" i="2"/>
  <c r="F839" i="2"/>
  <c r="F842" i="2"/>
  <c r="F845" i="2"/>
  <c r="F848" i="2"/>
  <c r="F851" i="2"/>
  <c r="F854" i="2"/>
  <c r="F857" i="2"/>
  <c r="F860" i="2"/>
  <c r="F863" i="2"/>
  <c r="F866" i="2"/>
  <c r="F869" i="2"/>
  <c r="F872" i="2"/>
  <c r="F875" i="2"/>
  <c r="F878" i="2"/>
  <c r="F881" i="2"/>
  <c r="F884" i="2"/>
  <c r="F887" i="2"/>
  <c r="F890" i="2"/>
  <c r="F893" i="2"/>
  <c r="F896" i="2"/>
  <c r="F899" i="2"/>
  <c r="F902" i="2"/>
  <c r="F905" i="2"/>
  <c r="F908" i="2"/>
  <c r="F911" i="2"/>
  <c r="F914" i="2"/>
  <c r="F917" i="2"/>
  <c r="F920" i="2"/>
  <c r="F923" i="2"/>
  <c r="F926" i="2"/>
  <c r="F929" i="2"/>
  <c r="F932" i="2"/>
  <c r="F935" i="2"/>
  <c r="F938" i="2"/>
  <c r="F941" i="2"/>
  <c r="F944" i="2"/>
  <c r="F947" i="2"/>
  <c r="F950" i="2"/>
  <c r="F953" i="2"/>
  <c r="F956" i="2"/>
  <c r="F959" i="2"/>
  <c r="F962" i="2"/>
  <c r="F965" i="2"/>
  <c r="F968" i="2"/>
  <c r="F971" i="2"/>
  <c r="F974" i="2"/>
  <c r="F977" i="2"/>
  <c r="F980" i="2"/>
  <c r="F983" i="2"/>
  <c r="F986" i="2"/>
  <c r="F989" i="2"/>
  <c r="F992" i="2"/>
  <c r="F995" i="2"/>
  <c r="F998" i="2"/>
  <c r="F1001" i="2"/>
  <c r="F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Good, David</author>
  </authors>
  <commentList>
    <comment ref="FC6" authorId="0" shapeId="0" xr:uid="{7629F8B9-B0E4-447B-8CE7-C9ADEEB8EDD9}">
      <text>
        <r>
          <rPr>
            <sz val="11"/>
            <color indexed="81"/>
            <rFont val="Tahoma"/>
            <family val="2"/>
          </rPr>
          <t>Good, David:  This value should be calculated using any voluntarily decreased charge depleting or charge sustaining driving range values.</t>
        </r>
      </text>
    </comment>
  </commentList>
</comments>
</file>

<file path=xl/sharedStrings.xml><?xml version="1.0" encoding="utf-8"?>
<sst xmlns="http://schemas.openxmlformats.org/spreadsheetml/2006/main" count="68200" uniqueCount="2724">
  <si>
    <t>Model Year</t>
  </si>
  <si>
    <t>Mfr Name</t>
  </si>
  <si>
    <t>Division</t>
  </si>
  <si>
    <t>Carline</t>
  </si>
  <si>
    <t>Verify Mfr Cd</t>
  </si>
  <si>
    <t>Index (Model Type Index)</t>
  </si>
  <si>
    <t>Eng Displ</t>
  </si>
  <si>
    <t># Cyl</t>
  </si>
  <si>
    <t>Transmission</t>
  </si>
  <si>
    <t>City FE (Guide) - Conventional Fuel</t>
  </si>
  <si>
    <t>Hwy FE (Guide) - Conventional Fuel</t>
  </si>
  <si>
    <t>Comb FE (Guide) - Conventional Fuel</t>
  </si>
  <si>
    <t>City Unadj FE - Conventional Fuel</t>
  </si>
  <si>
    <t>Hwy Unadj FE - Conventional Fuel</t>
  </si>
  <si>
    <t>Comb Unadj FE - Conventional Fuel</t>
  </si>
  <si>
    <t>City Unrd Adj FE - Conventional Fuel</t>
  </si>
  <si>
    <t>Hwy Unrd Adj FE - Conventional Fuel</t>
  </si>
  <si>
    <t>Comb Unrd Adj FE - Conventional Fuel</t>
  </si>
  <si>
    <t xml:space="preserve">Guzzler? </t>
  </si>
  <si>
    <t>Air Aspir Method</t>
  </si>
  <si>
    <t>Air Aspiration Method Desc</t>
  </si>
  <si>
    <t>Trans</t>
  </si>
  <si>
    <t>Trans Desc</t>
  </si>
  <si>
    <t>Trans, Other</t>
  </si>
  <si>
    <t># Gears</t>
  </si>
  <si>
    <t>Lockup Torque Converter</t>
  </si>
  <si>
    <t>Trans Creeper Gear</t>
  </si>
  <si>
    <t>Drive Sys</t>
  </si>
  <si>
    <t>Drive Desc</t>
  </si>
  <si>
    <t>Max Ethanol % - Gasoline</t>
  </si>
  <si>
    <t>Max Biodiesel %</t>
  </si>
  <si>
    <t>Range1 - Model Type Driving Range - Conventional Fuel</t>
  </si>
  <si>
    <t>Fuel Usage  - Conventional Fuel</t>
  </si>
  <si>
    <t>Fuel Usage Desc - Conventional Fuel</t>
  </si>
  <si>
    <t>Fuel Unit - Conventional Fuel</t>
  </si>
  <si>
    <t>Fuel Unit Desc - Conventional Fuel</t>
  </si>
  <si>
    <t>Gas Guzzler Exempt (Where Truck = 1975 NHTSA truck definition)</t>
  </si>
  <si>
    <t>Gas Guzzler Exempt Desc (Where Truck = 1975 NHTSA truck definition)</t>
  </si>
  <si>
    <t>2Dr Pass Vol</t>
  </si>
  <si>
    <t>2Dr Lugg Vol</t>
  </si>
  <si>
    <t>4Dr Pass Vol</t>
  </si>
  <si>
    <t>4Dr Lugg Vol</t>
  </si>
  <si>
    <t>Htchbk Pass Vol</t>
  </si>
  <si>
    <t>Htchbk Lugg Vol</t>
  </si>
  <si>
    <t>Annual Fuel1 Cost - Conventional Fuel</t>
  </si>
  <si>
    <t xml:space="preserve">EPA Calculated Annual Fuel Cost - Conventional Fuel -----  Annual fuel cost error. Please revise Verify. </t>
  </si>
  <si>
    <t>City2 FE (Guide) - Alternative Fuel</t>
  </si>
  <si>
    <t>Hwy2 Fuel FE (Guide) - Alternative Fuel</t>
  </si>
  <si>
    <t>Comb2 Fuel FE (Guide) - Alternative Fuel</t>
  </si>
  <si>
    <t>City2 Unadj FE - Alternative Fuel</t>
  </si>
  <si>
    <t>Hwy2 Unadj FE - Alternative Fuel</t>
  </si>
  <si>
    <t>Comb2 Unadj FE - Alternative Fuel</t>
  </si>
  <si>
    <t>City2 Unrd Adj FE - Alternative Fuel</t>
  </si>
  <si>
    <t>Hwy2 Unrd Adj FE - Alternative Fuel</t>
  </si>
  <si>
    <t>Cmb2 Unrd Adj FE - Alternative Fuel</t>
  </si>
  <si>
    <t xml:space="preserve"> Range2 - Alt Fuel Model Typ Driving Range - Alternative Fuel</t>
  </si>
  <si>
    <t>Fuel2 Usage - Alternative Fuel</t>
  </si>
  <si>
    <t>Fuel2 Usage Desc - Alternative Fuel</t>
  </si>
  <si>
    <t>Fuel2 Unit - Alternative Fuel</t>
  </si>
  <si>
    <t>Fuel2 Unit Desc - Alternative Fuel</t>
  </si>
  <si>
    <t>Fuel2 Annual Fuel Cost - Alternative Fuel</t>
  </si>
  <si>
    <t>City CO2 Rounded Adjusted - Fuel2</t>
  </si>
  <si>
    <t>Hwy CO2 Rounded Adjusted - Fuel2</t>
  </si>
  <si>
    <t>Comb CO2 Rounded Adjusted - Fuel2</t>
  </si>
  <si>
    <t>Fuel2 EPA Calculated Annual Fuel Cost - Alternative Fuel</t>
  </si>
  <si>
    <t>Descriptor - Model Type (40 Char or less)</t>
  </si>
  <si>
    <t>Intake Valves Per Cyl</t>
  </si>
  <si>
    <t>Exhaust Valves Per Cyl</t>
  </si>
  <si>
    <t>Carline Class</t>
  </si>
  <si>
    <t>Carline Class Desc</t>
  </si>
  <si>
    <t>Car/Truck Category - Cash for Clunkers Bill.</t>
  </si>
  <si>
    <t>Calc Approach Desc</t>
  </si>
  <si>
    <t>Release Date</t>
  </si>
  <si>
    <t>EPA FE Label Dataset ID</t>
  </si>
  <si>
    <t>Unique Label?</t>
  </si>
  <si>
    <t>Label Recalc?</t>
  </si>
  <si>
    <t>Relabel</t>
  </si>
  <si>
    <t>Relabel Desc</t>
  </si>
  <si>
    <t>Suppressed?</t>
  </si>
  <si>
    <t>Police/Emerg?</t>
  </si>
  <si>
    <t>Comments - Mfr Eng Cnfg</t>
  </si>
  <si>
    <t>Cyl Deact?</t>
  </si>
  <si>
    <t>Cyl Deact Desc</t>
  </si>
  <si>
    <t>Var Valve Timing?</t>
  </si>
  <si>
    <t>Var Valve Timing Desc</t>
  </si>
  <si>
    <t>Var Valve Lift?</t>
  </si>
  <si>
    <t>Var Valve Lift Desc</t>
  </si>
  <si>
    <t>Energy Storage Device Desc</t>
  </si>
  <si>
    <t>Energy Storage Device,If Other</t>
  </si>
  <si>
    <t># Batteries</t>
  </si>
  <si>
    <t>Battery Type Desc</t>
  </si>
  <si>
    <t>Battery Type, If Other</t>
  </si>
  <si>
    <t>Total Voltage for Battery Pack(s)</t>
  </si>
  <si>
    <t>Batt Energy Capacity (Amp-hrs)</t>
  </si>
  <si>
    <t>Batt Specific Energy (Watt-hr/kg)</t>
  </si>
  <si>
    <t>Batt Charger Type Desc</t>
  </si>
  <si>
    <t>Comments</t>
  </si>
  <si>
    <t># Capacitors</t>
  </si>
  <si>
    <t>Regen Braking Type Desc</t>
  </si>
  <si>
    <t>Regen Braking Type, If Other</t>
  </si>
  <si>
    <t>Regen Braking Wheels Source (Front, Rear, Both)</t>
  </si>
  <si>
    <t>Driver Cntrl Regen Braking?</t>
  </si>
  <si>
    <t>Fuel Cell Desc</t>
  </si>
  <si>
    <t>Usable H2 Fill Capacity (kg)</t>
  </si>
  <si>
    <t>Fuel Cell Onboard H2 Capacity (kg)</t>
  </si>
  <si>
    <t>HEV-EV Comments</t>
  </si>
  <si>
    <t># Drive Motor Gen</t>
  </si>
  <si>
    <t>Motor Gen Type Desc</t>
  </si>
  <si>
    <t>Motor Gen Type, If Other</t>
  </si>
  <si>
    <t>Rated Motor Gen Power (kW)</t>
  </si>
  <si>
    <t>Fuel Metering Type 1 Desc</t>
  </si>
  <si>
    <t>Fuel Metering Type 2 Desc</t>
  </si>
  <si>
    <t>Fuel Metering Sys Cd</t>
  </si>
  <si>
    <t>Fuel Metering Sys Desc</t>
  </si>
  <si>
    <t>Fuel Cell Vehicle (Y or N)</t>
  </si>
  <si>
    <t>Off Board Charge Capable (Y or N)</t>
  </si>
  <si>
    <t>Camless Valvetrain (Y or N)</t>
  </si>
  <si>
    <t>Oil Viscosity</t>
  </si>
  <si>
    <t>Stop/Start System (Engine Management System) Code</t>
  </si>
  <si>
    <t>Stop/Start System (Engine Management System)  Description</t>
  </si>
  <si>
    <t>Model Type Desc (MFR entered)</t>
  </si>
  <si>
    <t>Charge Depleting Calc Appr Code (PHEV only)</t>
  </si>
  <si>
    <t>Charge Depleting Calc Appr Desc (PHEV only)</t>
  </si>
  <si>
    <t>Charge Sustaining Calc Appr Code (PHEV only)</t>
  </si>
  <si>
    <t>Charge Sustaining Calc Appr Desc (PHEV only)</t>
  </si>
  <si>
    <t>EPA Calculated Annual Fuel Cost</t>
  </si>
  <si>
    <t>EPA Calculated Gas Guzzler MPG</t>
  </si>
  <si>
    <t xml:space="preserve">MFR Calculated Gas Guzzler MPG </t>
  </si>
  <si>
    <t>EPA Calculated Gas Guzzler Indicator (Y or N)</t>
  </si>
  <si>
    <t>FE Rating (1-10 rating on Label)</t>
  </si>
  <si>
    <t>GHG Rating (1-10 rating on Label)</t>
  </si>
  <si>
    <t>GHG 1-10 rating on Ethanol (EPA Determined)</t>
  </si>
  <si>
    <t>#1 Smog Rating Test Group</t>
  </si>
  <si>
    <t>#1 Mfr Smog Rating (Mfr Smog 1-10 Rating on Label for Test Group 1)</t>
  </si>
  <si>
    <t>#1 EPA Smog Rating (EPA Smog 1-10 Rating on Label for Test Group 1)</t>
  </si>
  <si>
    <t>SmartWay1 (EPA-derived SmartWay rating for Test Group 1)</t>
  </si>
  <si>
    <t>#2 Smog Rating Test Group</t>
  </si>
  <si>
    <t>#2 Mfr Smog Rating (Mfr Smog 1-10 Rating on Label for Test Group 2)</t>
  </si>
  <si>
    <t>#2 EPA Smog Rating (EPA Smog 1-10 Rating on Label for Test Group 2)</t>
  </si>
  <si>
    <t>SmartWay2 (EPA-derived SmartWay rating for Test Group 2)</t>
  </si>
  <si>
    <t>#3 Smog Rating Test Group</t>
  </si>
  <si>
    <t>#3 Mfr Smog Rating (Mfr Smog 1-10 Rating on Label for Test Group 3)</t>
  </si>
  <si>
    <t>#3 EPA Smog Rating (EPA Smog 1-10 Rating on Label for Test Group 3)</t>
  </si>
  <si>
    <t>SmartWay3 (EPA-derived SmartWay rating for Test Group 3)</t>
  </si>
  <si>
    <t>#4 Smog Rating Test Group</t>
  </si>
  <si>
    <t>#4 Mfr Smog Rating (Mfr Smog 1-10 Rating on Label for Test Group 4)</t>
  </si>
  <si>
    <t>#4 EPA Smog Rating (EPA Smog 1-10 Rating on Label for Test Group 4)</t>
  </si>
  <si>
    <t>SmartWay4 (EPA-derived SmartWay rating for Test Group 4)</t>
  </si>
  <si>
    <t xml:space="preserve">$ You Save over 5 years (amount saved in fuel costs over 5 years - on label) </t>
  </si>
  <si>
    <t xml:space="preserve">$ You Spend over 5 years (increased amount spent in fuel costs over 5 years - on label) </t>
  </si>
  <si>
    <t>City CO2 Rounded Adjusted</t>
  </si>
  <si>
    <t>Hwy CO2 Rounded Adjusted</t>
  </si>
  <si>
    <t>Comb CO2 Rounded Adjusted (as shown on FE Label)</t>
  </si>
  <si>
    <t>CO2-PHEV Composite Rounded Adjusted Combined CO2</t>
  </si>
  <si>
    <t>240V Charge Time at 240 volts (hours)</t>
  </si>
  <si>
    <t>120V Charge time at 120 Volts (hours)</t>
  </si>
  <si>
    <t>PHEV Total Driving Range (rounded to nearest 10 miles)DISTANCE</t>
  </si>
  <si>
    <t>City PHEV Composite MPGe</t>
  </si>
  <si>
    <t>Hwy PHEV Composite MPGe</t>
  </si>
  <si>
    <t>Comb PHEV Composite MPGe</t>
  </si>
  <si>
    <t>aston martin</t>
  </si>
  <si>
    <t>Aston Martin Lagonda Ltd</t>
  </si>
  <si>
    <t>Vantage</t>
  </si>
  <si>
    <t>ASX</t>
  </si>
  <si>
    <t>Auto(A8)</t>
  </si>
  <si>
    <t>TC</t>
  </si>
  <si>
    <t>Turbocharged</t>
  </si>
  <si>
    <t>A</t>
  </si>
  <si>
    <t>Automatic</t>
  </si>
  <si>
    <t>Y</t>
  </si>
  <si>
    <t>N</t>
  </si>
  <si>
    <t>R</t>
  </si>
  <si>
    <t>2-Wheel Drive, Rear</t>
  </si>
  <si>
    <t>GP</t>
  </si>
  <si>
    <t>Gasoline (Premium Unleaded Recommended)</t>
  </si>
  <si>
    <t>MPG</t>
  </si>
  <si>
    <t>miles per gallon</t>
  </si>
  <si>
    <t>Not exempt</t>
  </si>
  <si>
    <t xml:space="preserve">SIDI; </t>
  </si>
  <si>
    <t>Two Seaters</t>
  </si>
  <si>
    <t>car</t>
  </si>
  <si>
    <t>Derived 5-cycle label</t>
  </si>
  <si>
    <t>Vantage Power Spec</t>
  </si>
  <si>
    <t>Inlet and exhaust cam phasing</t>
  </si>
  <si>
    <t>GDI</t>
  </si>
  <si>
    <t>Spark Ignition Direct Injection</t>
  </si>
  <si>
    <t>0W40</t>
  </si>
  <si>
    <t>No</t>
  </si>
  <si>
    <t>SASXJ04.0AEX</t>
  </si>
  <si>
    <t>BMW</t>
  </si>
  <si>
    <t>Z4 M40i</t>
  </si>
  <si>
    <t>BMX</t>
  </si>
  <si>
    <t>Auto(S8)</t>
  </si>
  <si>
    <t>SA</t>
  </si>
  <si>
    <t>Semi-Automatic</t>
  </si>
  <si>
    <t>variable valve timing at inlet and outlet valves</t>
  </si>
  <si>
    <t>variable valve lift only at inlet valves</t>
  </si>
  <si>
    <t>0W20</t>
  </si>
  <si>
    <t>Yes</t>
  </si>
  <si>
    <t>SBMXV03.0B5X</t>
  </si>
  <si>
    <t>Manual(M6)</t>
  </si>
  <si>
    <t>M</t>
  </si>
  <si>
    <t>Manual</t>
  </si>
  <si>
    <t>Z4 sDrive30i</t>
  </si>
  <si>
    <t>SBMXJ02.0B4X</t>
  </si>
  <si>
    <t>Volkswagen Group of</t>
  </si>
  <si>
    <t>Bugatti</t>
  </si>
  <si>
    <t>Mistral</t>
  </si>
  <si>
    <t>VGA</t>
  </si>
  <si>
    <t>Auto(AM-S7)</t>
  </si>
  <si>
    <t>G</t>
  </si>
  <si>
    <t>AMS</t>
  </si>
  <si>
    <t>Automated Manual- Selectable (e.g. Automated Manual with paddles)</t>
  </si>
  <si>
    <t>All Wheel Drive</t>
  </si>
  <si>
    <t>GPR</t>
  </si>
  <si>
    <t>Gasoline (Premium Unleaded Required)</t>
  </si>
  <si>
    <t>Applies to DVVA var: 0</t>
  </si>
  <si>
    <t>INLET AND OUTLET CONTINUOUSLY VARIABLE / MECHANICAL-HYDRAULIC</t>
  </si>
  <si>
    <t>10W60 VW50101 / VW50500</t>
  </si>
  <si>
    <t>SVGAV08.0GLB</t>
  </si>
  <si>
    <t>General Motors</t>
  </si>
  <si>
    <t>Chevrolet</t>
  </si>
  <si>
    <t>CORVETTE</t>
  </si>
  <si>
    <t>GMX</t>
  </si>
  <si>
    <t>Naturally Aspirated</t>
  </si>
  <si>
    <t>Vehicle Specific 5-cycle label</t>
  </si>
  <si>
    <t>ZERV Y2 Engine</t>
  </si>
  <si>
    <t>Active Fuel Management</t>
  </si>
  <si>
    <t>Dual equal cam phaser, single cam, continuously variable.</t>
  </si>
  <si>
    <t>SGMXV06.2088</t>
  </si>
  <si>
    <t xml:space="preserve">Hybrid; </t>
  </si>
  <si>
    <t>CORVETTE E-RAY</t>
  </si>
  <si>
    <t xml:space="preserve">SIDI; Hybrid; </t>
  </si>
  <si>
    <t>Battery(s)</t>
  </si>
  <si>
    <t>Lithium Ion</t>
  </si>
  <si>
    <t>On-Board</t>
  </si>
  <si>
    <t>Not applicable</t>
  </si>
  <si>
    <t>AC Induction</t>
  </si>
  <si>
    <t>SGMXV06.2093</t>
  </si>
  <si>
    <t>CORVETTE Z06</t>
  </si>
  <si>
    <t>Cam Phaser</t>
  </si>
  <si>
    <t>SGMXV06.2094</t>
  </si>
  <si>
    <t>CORVETTE Z06 CARBON AERO</t>
  </si>
  <si>
    <t>CORVETTE ZR1</t>
  </si>
  <si>
    <t>Ferrari</t>
  </si>
  <si>
    <t>Ferrari North America, Inc.</t>
  </si>
  <si>
    <t>F167 ABA</t>
  </si>
  <si>
    <t>FEX</t>
  </si>
  <si>
    <t>Auto(AM8)</t>
  </si>
  <si>
    <t>AM</t>
  </si>
  <si>
    <t>Automated Manual</t>
  </si>
  <si>
    <t>Ferrari 12Cilindri</t>
  </si>
  <si>
    <t>Not applicable.</t>
  </si>
  <si>
    <t>Variable camshaft timing for exhaust and inlet.</t>
  </si>
  <si>
    <t>10W60</t>
  </si>
  <si>
    <t>SFEXV06.5G50</t>
  </si>
  <si>
    <t>Ferrari Daytona SP3</t>
  </si>
  <si>
    <t>Auto(AM7)</t>
  </si>
  <si>
    <t>See application</t>
  </si>
  <si>
    <t>5W40</t>
  </si>
  <si>
    <t>SFEXV06.5GDI</t>
  </si>
  <si>
    <t>Maserati</t>
  </si>
  <si>
    <t>MASERATI</t>
  </si>
  <si>
    <t>MC20</t>
  </si>
  <si>
    <t>MAX</t>
  </si>
  <si>
    <t xml:space="preserve">SIDI &amp; PFI; </t>
  </si>
  <si>
    <t>Variable camshaft timing for exhaust and inlet</t>
  </si>
  <si>
    <t>GDPI</t>
  </si>
  <si>
    <t>Spark Ignition direct &amp; ported injection</t>
  </si>
  <si>
    <t>SAE 5W-40</t>
  </si>
  <si>
    <t>SMAXV03.0SPR</t>
  </si>
  <si>
    <t>MC20 Spyder</t>
  </si>
  <si>
    <t>MAZDA</t>
  </si>
  <si>
    <t>MX-5</t>
  </si>
  <si>
    <t>TKX</t>
  </si>
  <si>
    <t>Auto(S6)</t>
  </si>
  <si>
    <t>This technology optimizes the valve timing by using computer control to continuously switch the intake and exhaust valve opening/closing timing according to driving conditions.</t>
  </si>
  <si>
    <t>GF-6 0W-20</t>
  </si>
  <si>
    <t>STKXV02.0FFB</t>
  </si>
  <si>
    <t>Mercedes-Benz</t>
  </si>
  <si>
    <t>AMG GT 55 4MATIC+ (coupe)</t>
  </si>
  <si>
    <t>MBX</t>
  </si>
  <si>
    <t>Auto(A9)</t>
  </si>
  <si>
    <t>AMG SL 63 4MATIC+, AMG GT 63 4MATIC+</t>
  </si>
  <si>
    <t>Allows timing of the intake / exhaust valves to be changed while the engine is in operation</t>
  </si>
  <si>
    <t>SMBXV04.0U3A</t>
  </si>
  <si>
    <t>AMG GT 63 4MATIC+ (coupe)</t>
  </si>
  <si>
    <t>AMG GT 63 PRO 4MATIC+ (coupe)</t>
  </si>
  <si>
    <t>Nissan</t>
  </si>
  <si>
    <t>NISSAN</t>
  </si>
  <si>
    <t>Z</t>
  </si>
  <si>
    <t>NSX</t>
  </si>
  <si>
    <t>Auto(S9)</t>
  </si>
  <si>
    <t>For Z</t>
  </si>
  <si>
    <t>EXH;ECM controlled, Oil pressure driven INT;ECM and VTC controller controlled, Electric driven</t>
  </si>
  <si>
    <t>SAE 0W-20</t>
  </si>
  <si>
    <t>SNSXV03.0PXA</t>
  </si>
  <si>
    <t>Z NISMO</t>
  </si>
  <si>
    <t>For Z NISMO</t>
  </si>
  <si>
    <t>Porsche</t>
  </si>
  <si>
    <t>718 Boxster</t>
  </si>
  <si>
    <t>PRX</t>
  </si>
  <si>
    <t>718 Boxster / 718 Cayman models</t>
  </si>
  <si>
    <t>VarioCam Plus</t>
  </si>
  <si>
    <t>SPRXV02.5B82</t>
  </si>
  <si>
    <t>718 Boxster GTS 4.0</t>
  </si>
  <si>
    <t>Engine for 718 Cayman/Boxster GTS 4.0</t>
  </si>
  <si>
    <t>SPRXV04.0S82</t>
  </si>
  <si>
    <t>718 Boxster S</t>
  </si>
  <si>
    <t>718 Boxster S / 718 Cayman S models</t>
  </si>
  <si>
    <t>718 Cayman</t>
  </si>
  <si>
    <t>718 Cayman GTS 4.0</t>
  </si>
  <si>
    <t>718 Cayman S</t>
  </si>
  <si>
    <t>718 GT4 RS</t>
  </si>
  <si>
    <t>VarioCam</t>
  </si>
  <si>
    <t>SPRXV04.0R82</t>
  </si>
  <si>
    <t>718 Spyder RS</t>
  </si>
  <si>
    <t>TOYOTA</t>
  </si>
  <si>
    <t>Supra 2.0</t>
  </si>
  <si>
    <t>Supra 3.0</t>
  </si>
  <si>
    <t>DB12 V8</t>
  </si>
  <si>
    <t>Minicompact Cars</t>
  </si>
  <si>
    <t>Power specification DB12</t>
  </si>
  <si>
    <t>Inlet and Exhaust Cam Phasing</t>
  </si>
  <si>
    <t>Roma Spider</t>
  </si>
  <si>
    <t>Ferrari Roma Spider</t>
  </si>
  <si>
    <t>SFEXV03.9T50</t>
  </si>
  <si>
    <t>Toyota</t>
  </si>
  <si>
    <t>LEXUS</t>
  </si>
  <si>
    <t>LC 500 CONVERTIBLE</t>
  </si>
  <si>
    <t>TYX</t>
  </si>
  <si>
    <t>Auto(S10)</t>
  </si>
  <si>
    <t>APPLIED TO LC 500 AND LC 500 CONVERTIBLE.</t>
  </si>
  <si>
    <t>Intake and exhaust</t>
  </si>
  <si>
    <t>5W-30</t>
  </si>
  <si>
    <t>STYXV05.0M5A</t>
  </si>
  <si>
    <t xml:space="preserve">Mild Hybrid; </t>
  </si>
  <si>
    <t>AMG SL 43</t>
  </si>
  <si>
    <t xml:space="preserve">SIDI; Mild Hybrid; </t>
  </si>
  <si>
    <t>M139-20DETC</t>
  </si>
  <si>
    <t>Camtronic on the exhaust camshift with 2 cams for each cylinder: Low/High</t>
  </si>
  <si>
    <t>Electrical Regen Brake</t>
  </si>
  <si>
    <t>Both</t>
  </si>
  <si>
    <t>RSG Engine with 48V Technology</t>
  </si>
  <si>
    <t>DC Brushless</t>
  </si>
  <si>
    <t>0W30</t>
  </si>
  <si>
    <t>SMBXV02.0HY7</t>
  </si>
  <si>
    <t>AMG SL 55 4MATIC+</t>
  </si>
  <si>
    <t>AMG SL 63 4MATIC+</t>
  </si>
  <si>
    <t>Mini</t>
  </si>
  <si>
    <t>Cooper Convertible</t>
  </si>
  <si>
    <t>F</t>
  </si>
  <si>
    <t>2-Wheel Drive, Front</t>
  </si>
  <si>
    <t>SBMXJ02.0F6X</t>
  </si>
  <si>
    <t>Cooper S Convertible</t>
  </si>
  <si>
    <t>JCW Convertible</t>
  </si>
  <si>
    <t>Variable Valve Timing at inlet and outlet valves</t>
  </si>
  <si>
    <t>Variable Valve Lift at inlet valves</t>
  </si>
  <si>
    <t>0W-20</t>
  </si>
  <si>
    <t>SBMXV02.0M4P</t>
  </si>
  <si>
    <t>911 Carrera</t>
  </si>
  <si>
    <t>Auto(AM-S8)</t>
  </si>
  <si>
    <t>Base models; engine code DYH</t>
  </si>
  <si>
    <t>SPRXV03.0C92</t>
  </si>
  <si>
    <t>911 Carrera 4 GTS</t>
  </si>
  <si>
    <t>SPRXV03.6T92</t>
  </si>
  <si>
    <t>911 Carrera 4 GTS Cabriolet</t>
  </si>
  <si>
    <t>911 Carrera Cabriolet</t>
  </si>
  <si>
    <t>911 Carrera GTS Cabriolet</t>
  </si>
  <si>
    <t>911 Carrera T</t>
  </si>
  <si>
    <t>911 Carrera T Cabriolet</t>
  </si>
  <si>
    <t>911 Targa 4 GTS</t>
  </si>
  <si>
    <t>911 Turbo</t>
  </si>
  <si>
    <t>Engine for 911 Turbo</t>
  </si>
  <si>
    <t>911 Turbo Cabriolet</t>
  </si>
  <si>
    <t>911 Turbo S</t>
  </si>
  <si>
    <t>Engine for 911 Turbo S</t>
  </si>
  <si>
    <t>911 Turbo S Cabriolet</t>
  </si>
  <si>
    <t>Subaru</t>
  </si>
  <si>
    <t>BRZ</t>
  </si>
  <si>
    <t>FJX</t>
  </si>
  <si>
    <t>Intake and Exhaust</t>
  </si>
  <si>
    <t>ILSAC GF-6 0W-20</t>
  </si>
  <si>
    <t>SFJXV02.4AJM</t>
  </si>
  <si>
    <t>GR86</t>
  </si>
  <si>
    <t>Audi</t>
  </si>
  <si>
    <t>A3 quattro</t>
  </si>
  <si>
    <t>Subcompact Cars</t>
  </si>
  <si>
    <t>Applies to DYWA var: 0</t>
  </si>
  <si>
    <t>CONTINUOUSLY VARIABLE VALVE TIMING</t>
  </si>
  <si>
    <t>AUDI VALVE LIFT SYSTEM</t>
  </si>
  <si>
    <t>0W20 VW50800</t>
  </si>
  <si>
    <t>SVGAV02.0A3N</t>
  </si>
  <si>
    <t>S3</t>
  </si>
  <si>
    <t>Applies to DSFD var: 0</t>
  </si>
  <si>
    <t>0W30 VW50400 / VW50700</t>
  </si>
  <si>
    <t>SVGAV02.0A7N</t>
  </si>
  <si>
    <t>230i Coupe</t>
  </si>
  <si>
    <t>SBMXV02.0M48</t>
  </si>
  <si>
    <t>230i xDrive Coupe</t>
  </si>
  <si>
    <t>430i Convertible</t>
  </si>
  <si>
    <t xml:space="preserve">SIDI &amp; PFI; Mild Hybrid; </t>
  </si>
  <si>
    <t>Variable Valve Lift at inlet valves and two settings at outlet valves</t>
  </si>
  <si>
    <t>330i Sedan, 330i xDrive Sedan, 430i Convertible, 430i Coupe , 430i Gran Coupe, 430i xDrive Convertible, 430i xDrive Coupe and 430i xDrive Gran Coupe: Battery Energy Capacity 10.0 Ah, Total Voltage of Battery Pack(s) 44 V, Battery Specific Energy 40.0 Wh/kg, Motor/Generator Type: EESM 8 kW X3 xDrive30i: Battery Energy Capacity 19.5 Ah, Total Voltage of Battery Pack(s) 43.9 V, Battery Specific Energy 66.0 Wh/kg, Motor/Generator Type: EESM 8 kW Starter Generator Engine with 48V Technology; Motor/Generator Type: externally excited synchronuous machine (EESM)</t>
  </si>
  <si>
    <t>Other</t>
  </si>
  <si>
    <t>EESM</t>
  </si>
  <si>
    <t>0W-12</t>
  </si>
  <si>
    <t>SBMXJ02.0B4P</t>
  </si>
  <si>
    <t>430i Coupe</t>
  </si>
  <si>
    <t>430i xDrive Convertible</t>
  </si>
  <si>
    <t>430i xDrive Coupe</t>
  </si>
  <si>
    <t>840i Convertible</t>
  </si>
  <si>
    <t>SBMXV03.0B07</t>
  </si>
  <si>
    <t>840i Coupe</t>
  </si>
  <si>
    <t>840i xDrive Convertible</t>
  </si>
  <si>
    <t>840i xDrive Coupe</t>
  </si>
  <si>
    <t>M2 Coupe</t>
  </si>
  <si>
    <t>variable valve lift at inlet valves</t>
  </si>
  <si>
    <t>SBMXV03.0SM3</t>
  </si>
  <si>
    <t>M240i Coupe</t>
  </si>
  <si>
    <t>M240i xDrive Coupe</t>
  </si>
  <si>
    <t>M4 Competition Coupe</t>
  </si>
  <si>
    <t>M4 Competition M xDrive Coupe</t>
  </si>
  <si>
    <t>M4 Coupe</t>
  </si>
  <si>
    <t>M4 CS Coupe</t>
  </si>
  <si>
    <t>M440i Convertible</t>
  </si>
  <si>
    <t>M340i Sedan, M340i xDrive Sedan, M440i Convertible, M440i Coupe, M440i Gran Coupe, M440i xDrive Convertible, M440i xDrive Coupe and M440i xDrive Gran Coupe: Battery Energy Capacity 10.4 Ah, Total Voltage of Battery Pack(s) 44 V, Battery Specific Energy 38.0 Wh/kg, Motor/Generator Type: PMSM 9 kW; X3 M50i xDrive: Battery Energy Capacity 19.5 Ah, Total Voltage of Battery Pack(s) 43.9 V, Battery Specific Energy 66.0 Wh/kg, Motor/Generator Type: PMSM 13 kW Starter Generator Engine with 48V Technology; Motor/Generator Type: permanent magnet synchronous machine (PMSM)</t>
  </si>
  <si>
    <t>PMSM</t>
  </si>
  <si>
    <t>SBMXJ03.0B5P</t>
  </si>
  <si>
    <t>M440i Coupe</t>
  </si>
  <si>
    <t>M440i xDrive Convertible</t>
  </si>
  <si>
    <t>M440i xDrive Coupe</t>
  </si>
  <si>
    <t>M4CompetitionMxDriveConvertible</t>
  </si>
  <si>
    <t>M8 Competition Convertible</t>
  </si>
  <si>
    <t>SBMXV04.4SM5</t>
  </si>
  <si>
    <t>M8 Competition Coupe</t>
  </si>
  <si>
    <t>M850i xDrive Convertible</t>
  </si>
  <si>
    <t>SBMXV04.4N63</t>
  </si>
  <si>
    <t>M850i xDrive Coupe</t>
  </si>
  <si>
    <t>Ford Motor Company</t>
  </si>
  <si>
    <t>Ford</t>
  </si>
  <si>
    <t>MUSTANG</t>
  </si>
  <si>
    <t>FMX</t>
  </si>
  <si>
    <t>Auto(A10)</t>
  </si>
  <si>
    <t>Gasoline (Regular Unleaded Recommended)</t>
  </si>
  <si>
    <t>SAE 5W-30 / ILSAC GF-6</t>
  </si>
  <si>
    <t>SFMXV02.3VJY</t>
  </si>
  <si>
    <t>Mustang GT Non-Active Exhaust</t>
  </si>
  <si>
    <t>TiVCT</t>
  </si>
  <si>
    <t>MFI</t>
  </si>
  <si>
    <t>Multipoint/sequential fuel injection</t>
  </si>
  <si>
    <t>SFMXV05.0VKN</t>
  </si>
  <si>
    <t>MUSTANG DARK HORSE</t>
  </si>
  <si>
    <t>Mustang Dark Horse</t>
  </si>
  <si>
    <t>MUSTANG GTD</t>
  </si>
  <si>
    <t>SC</t>
  </si>
  <si>
    <t>Supercharged</t>
  </si>
  <si>
    <t>Derived Vehicle Specific 5-cycle Calculation Approach for city label but Modified 5-cycle Calculation Approach for Highway label</t>
  </si>
  <si>
    <t>SAE 5W-50 / API SN</t>
  </si>
  <si>
    <t>SFMXV05.2GTD</t>
  </si>
  <si>
    <t>LC 500</t>
  </si>
  <si>
    <t>LC 500h</t>
  </si>
  <si>
    <t>Auto(AV-S10)</t>
  </si>
  <si>
    <t>SCV</t>
  </si>
  <si>
    <t>Selectable Continuously Variable (e.g. CVT with paddles)</t>
  </si>
  <si>
    <t xml:space="preserve">SIDI &amp; PFI; Hybrid; </t>
  </si>
  <si>
    <t>AC SYNCHRONOUS</t>
  </si>
  <si>
    <t>HYBRID</t>
  </si>
  <si>
    <t>STYXV03.5P35</t>
  </si>
  <si>
    <t>RC 300</t>
  </si>
  <si>
    <t>STYXV02.0M5A</t>
  </si>
  <si>
    <t>RC 300 AWD</t>
  </si>
  <si>
    <t>APPLIED TO IS 300 AWD, RC 300 AWD.</t>
  </si>
  <si>
    <t>STYXV03.5M5A</t>
  </si>
  <si>
    <t>RC 350</t>
  </si>
  <si>
    <t>APPLIED TO IS 350, IS 350 AWD, RC 350, RC 350 AWD.</t>
  </si>
  <si>
    <t>RC 350 AWD</t>
  </si>
  <si>
    <t>RC F</t>
  </si>
  <si>
    <t>APPLIED TO IS 500 and RC F.</t>
  </si>
  <si>
    <t>Grancabrio Trofeo</t>
  </si>
  <si>
    <t>Half Engine Mode</t>
  </si>
  <si>
    <t>SMAXJ03.0TJI</t>
  </si>
  <si>
    <t>Granturismo Trofeo</t>
  </si>
  <si>
    <t>AMG CLE 53 4MATIC+ (convertible)</t>
  </si>
  <si>
    <t>TS</t>
  </si>
  <si>
    <t>Turbocharged+Supercharged</t>
  </si>
  <si>
    <t>AMG CLE 53 4MATIC+ (coupe), AMG CLE 53 4MATIC+ (convertible)</t>
  </si>
  <si>
    <t>Camtronic on the intake camshaft with 3 cams for each cylinder: low / mid / high</t>
  </si>
  <si>
    <t>ISG Engine 48V Technologie Data for battery type BB200 as above (GLS 450 4MATIC, GLE 450 4MATIC, GLE 450 4MATIC (coupe), AMG GLE 53 4MATIC+, AMG GLE 53 4MATIC+ (coupe)) / Data for battery type BB300 as follows (AMG CLE 53 4MATIC+ (coupe), AMG CLE 53 4MATIC+ (convertible)): Battery Type: LI; Number of Battery Packs: 1; Total Voltage of Battery Pack (Volts): 48; Battery Energy Capacity (Ah): 17.5; Battery Specific Energy (Whr/kg): 78.2; Battery Charger Type: ON / Data of the electric motor for GLS 450 4MATIC, GLE 450 4MATIC, GLE 450 4MATIC (coupe), AMG GLE 53 4MATIC+, AMG GLE 53 4MATIC+ (coupe) as above / Data of the electric motor for AMG CLE 53 4MATIC+ (coupe), AMG CLE 53 4MATIC+ (convertible) as follows: Motor Type: PSM; Rated Motor Power (kWatt): 17</t>
  </si>
  <si>
    <t>PSM</t>
  </si>
  <si>
    <t>5W30</t>
  </si>
  <si>
    <t>AMG CLE 53 4MATIC+ (convert.)</t>
  </si>
  <si>
    <t>SMBXJ03.0HY1</t>
  </si>
  <si>
    <t>AMG CLE 53 4MATIC+ (coupe)</t>
  </si>
  <si>
    <t>AMG GT 43 (coupe)</t>
  </si>
  <si>
    <t>CLE 300 4MATIC (convertible)</t>
  </si>
  <si>
    <t>M254-20DETC 48V (ISG2)</t>
  </si>
  <si>
    <t>Allows variable valve lift of the intake valves to be changed while the engine is in operation</t>
  </si>
  <si>
    <t>ISG2 Engine 48V technology (BB300)</t>
  </si>
  <si>
    <t>permanent magnet synchronous</t>
  </si>
  <si>
    <t>SMBXV02.0HY1</t>
  </si>
  <si>
    <t>CLE 300 4MATIC (Coupe)</t>
  </si>
  <si>
    <t>CLE 300 4MATIC (coupe)</t>
  </si>
  <si>
    <t>CLE 450 4MATIC (Convertible)</t>
  </si>
  <si>
    <t>E 450 4MATIC (sedan and station wagon), CLE 450 4MATIC (convertible and coupe)</t>
  </si>
  <si>
    <t>Allows timing of the intake/exhaust valves to be changed while the engine is in operation</t>
  </si>
  <si>
    <t>Camtronic on the intake camshaft with 3 cams for each cylinder: low/mid/high</t>
  </si>
  <si>
    <t>ISG2 Engine 48V technology</t>
  </si>
  <si>
    <t>CLE 450 4MATIC (convertible)</t>
  </si>
  <si>
    <t>SMBXV03.0HY3</t>
  </si>
  <si>
    <t>CLE 450 4MATIC (Coupe)</t>
  </si>
  <si>
    <t>CLE 450 4MATIC (coupe)</t>
  </si>
  <si>
    <t>Cooper Hardtop 2 Door</t>
  </si>
  <si>
    <t>COOPER S HARDTOP 2 DOOR</t>
  </si>
  <si>
    <t>JCW Hardtop 2 Door</t>
  </si>
  <si>
    <t>GR COROLLA</t>
  </si>
  <si>
    <t>STYXV01.6B5A</t>
  </si>
  <si>
    <t>Honda</t>
  </si>
  <si>
    <t>Acura</t>
  </si>
  <si>
    <t>TLX AWD A-SPEC</t>
  </si>
  <si>
    <t>HNX</t>
  </si>
  <si>
    <t>Compact Cars</t>
  </si>
  <si>
    <t>Variable valve Timing and lift Electronic Control (VTEC/VTC) system is applied.</t>
  </si>
  <si>
    <t>Variable valve Timing and lift Electronic Control (VTEC) system is applied.</t>
  </si>
  <si>
    <t>SHNXV02.0AEC</t>
  </si>
  <si>
    <t>TLX FWD</t>
  </si>
  <si>
    <t>TLX Type-S</t>
  </si>
  <si>
    <t>Variable Cylinder Management (VCM) is applied.</t>
  </si>
  <si>
    <t>Variable valve Timing Control (VTC) system is applied.</t>
  </si>
  <si>
    <t>SHNXV03.0BCC</t>
  </si>
  <si>
    <t>A4 quattro</t>
  </si>
  <si>
    <t>Applies to DMSA var: 0</t>
  </si>
  <si>
    <t>Electronic / Hydraulic</t>
  </si>
  <si>
    <t>Audi Valve Lift for B-cycle</t>
  </si>
  <si>
    <t>Alternate-current-synchronousm</t>
  </si>
  <si>
    <t>SVGAJ02.0A7E</t>
  </si>
  <si>
    <t>A4 S line quattro</t>
  </si>
  <si>
    <t>Applies to DPAA var: 0</t>
  </si>
  <si>
    <t>Audi Valve Lift</t>
  </si>
  <si>
    <t>SVGAJ02.0A7G</t>
  </si>
  <si>
    <t>S4</t>
  </si>
  <si>
    <t>Applies to CWGD var: 0</t>
  </si>
  <si>
    <t>-</t>
  </si>
  <si>
    <t>SVGAJ03.0N7F</t>
  </si>
  <si>
    <t>228 xDrive Gran Coupe</t>
  </si>
  <si>
    <t>330i Sedan</t>
  </si>
  <si>
    <t>330i xDrive Sedan</t>
  </si>
  <si>
    <t>430i Gran Coupe</t>
  </si>
  <si>
    <t>430i xDrive Gran Coupe</t>
  </si>
  <si>
    <t>M235 xDrive Gran Coupe</t>
  </si>
  <si>
    <t>SBMXV02.0T4P</t>
  </si>
  <si>
    <t>M3 Competition M xDrive Sedan</t>
  </si>
  <si>
    <t>M3 Competition Sedan</t>
  </si>
  <si>
    <t>M3 Sedan</t>
  </si>
  <si>
    <t>M340i Sedan</t>
  </si>
  <si>
    <t>M340i xDrive Sedan</t>
  </si>
  <si>
    <t>M440i Gran Coupe</t>
  </si>
  <si>
    <t>M440i xDrive Gran Coupe</t>
  </si>
  <si>
    <t>Cadillac</t>
  </si>
  <si>
    <t>CT4</t>
  </si>
  <si>
    <t>AFM and Stop/Start</t>
  </si>
  <si>
    <t>High,Low,Zero(Cylinder Deactivation)</t>
  </si>
  <si>
    <t>SGMXV02.7105</t>
  </si>
  <si>
    <t>CT4 AWD</t>
  </si>
  <si>
    <t>SGMXV02.0041</t>
  </si>
  <si>
    <t>CT4 V</t>
  </si>
  <si>
    <t>CAM PHASER</t>
  </si>
  <si>
    <t>SGMXV03.6043</t>
  </si>
  <si>
    <t>CT4 V AWD</t>
  </si>
  <si>
    <t>Hyundai</t>
  </si>
  <si>
    <t>GENESIS</t>
  </si>
  <si>
    <t>G70 AWD</t>
  </si>
  <si>
    <t>HYX</t>
  </si>
  <si>
    <t>APPLY CVVT</t>
  </si>
  <si>
    <t>0W-30</t>
  </si>
  <si>
    <t>SHYXV02.5GP5</t>
  </si>
  <si>
    <t>This engine match with Variable Exhaust Valve option only.</t>
  </si>
  <si>
    <t>Fixed3(more than two or continuous)</t>
  </si>
  <si>
    <t>5W30 ACEA A5</t>
  </si>
  <si>
    <t>SHYXV03.3GK7</t>
  </si>
  <si>
    <t>G70 RWD</t>
  </si>
  <si>
    <t>IS 300</t>
  </si>
  <si>
    <t>IS 300 AWD</t>
  </si>
  <si>
    <t>IS 350</t>
  </si>
  <si>
    <t>IS 350 AWD</t>
  </si>
  <si>
    <t>IS 500</t>
  </si>
  <si>
    <t>UX 300h</t>
  </si>
  <si>
    <t>Auto(AV)</t>
  </si>
  <si>
    <t>CVT</t>
  </si>
  <si>
    <t>Continuously Variable</t>
  </si>
  <si>
    <t>"30kWatt" of Rated Motor/Generator Power is only for AWD.</t>
  </si>
  <si>
    <t>83 and 30</t>
  </si>
  <si>
    <t>0W-8</t>
  </si>
  <si>
    <t>STYXV02.0H3A</t>
  </si>
  <si>
    <t>Auto(AV-S6)</t>
  </si>
  <si>
    <t>UX 300h AWD</t>
  </si>
  <si>
    <t>MAZDA3 4-Door 2WD</t>
  </si>
  <si>
    <t>MAZDA3 2.5L-DI w/cylinder deactivation, CX-30 2.5L-DI w/cylinder deactivation</t>
  </si>
  <si>
    <t>Switchable HLA(Hydraulic Lash Adjuster) makes the discrete valve state through oil pressure controlled by OCV(Oil Control Valve). #1 and #4 cylinders are deactivated with Switchable HLA and OCV.</t>
  </si>
  <si>
    <t>STKXV02.5CDF</t>
  </si>
  <si>
    <t>MAZDA3 4-Door 4WD</t>
  </si>
  <si>
    <t>4-Wheel Drive</t>
  </si>
  <si>
    <t>GF-6 5W-30</t>
  </si>
  <si>
    <t>STKXV02.5EGA</t>
  </si>
  <si>
    <t>AMG C 43 4MATIC</t>
  </si>
  <si>
    <t>AMG CLA 35 4MATIC</t>
  </si>
  <si>
    <t>High/Low position on inlet side</t>
  </si>
  <si>
    <t>SMBXV02.0HY4</t>
  </si>
  <si>
    <t>AMG CLA 45 S 4MATIC</t>
  </si>
  <si>
    <t>Engine has both Direct Fuel Injection and Port Fuel Injection.</t>
  </si>
  <si>
    <t>Camtronic on the exhaust camshaft with 2 cam profiles for each cylinder: low/high</t>
  </si>
  <si>
    <t>AMG CLA 45 S 4MATIC+</t>
  </si>
  <si>
    <t>SMBXV02.0U3B</t>
  </si>
  <si>
    <t>AMG GT 63 4MATIC+</t>
  </si>
  <si>
    <t>ALLOWS TIMING OF INTAKE AND EXHAUST VALVES TO BE CHANGED WHILE ENGINE IS IN OPERATION</t>
  </si>
  <si>
    <t>SMBXV04.0U3B</t>
  </si>
  <si>
    <t>C 300</t>
  </si>
  <si>
    <t>C 300 4MATIC</t>
  </si>
  <si>
    <t>CLA 250</t>
  </si>
  <si>
    <t>RSG2 Engine 48V technology</t>
  </si>
  <si>
    <t>SMBXJ02.0HY3</t>
  </si>
  <si>
    <t>CLA 250 4MATIC</t>
  </si>
  <si>
    <t>Cooper Hardtop 4 Door</t>
  </si>
  <si>
    <t>Cooper S Hardtop 4 Door</t>
  </si>
  <si>
    <t>VERSA</t>
  </si>
  <si>
    <t>ECM controlled, Oil pressure driven</t>
  </si>
  <si>
    <t>SNSXV01.6RNA</t>
  </si>
  <si>
    <t>Manual(M5)</t>
  </si>
  <si>
    <t>COROLLA</t>
  </si>
  <si>
    <t>STYXV02.0P3C</t>
  </si>
  <si>
    <t>1-mode TM</t>
  </si>
  <si>
    <t>3-mode TM</t>
  </si>
  <si>
    <t>COROLLA FX</t>
  </si>
  <si>
    <t>COROLLA HATCHBACK</t>
  </si>
  <si>
    <t>COROLLA HATCHBACK XSE</t>
  </si>
  <si>
    <t>COROLLA HYBRID</t>
  </si>
  <si>
    <t>Intake</t>
  </si>
  <si>
    <t>"30kWatt" of Rated Motor/Generator Power is only for COROLLA HYBRID AWD.</t>
  </si>
  <si>
    <t>AC Synchronous</t>
  </si>
  <si>
    <t>70 and 30</t>
  </si>
  <si>
    <t>0W-16</t>
  </si>
  <si>
    <t>STYXV01.8H3A</t>
  </si>
  <si>
    <t>COROLLA HYBRID AWD</t>
  </si>
  <si>
    <t>Volkswagen</t>
  </si>
  <si>
    <t>GLI</t>
  </si>
  <si>
    <t>Applies to DXSA var: 1</t>
  </si>
  <si>
    <t>CONTINOUSLY VARIABLE VALVE TIMING</t>
  </si>
  <si>
    <t>SVGAJ02.0V3A</t>
  </si>
  <si>
    <t>Golf R</t>
  </si>
  <si>
    <t>Applies to DSFE, DSFF, DSFD var: 0</t>
  </si>
  <si>
    <t>0W30 VW50200 / VW50400</t>
  </si>
  <si>
    <t>SVGAV02.0V7B</t>
  </si>
  <si>
    <t>GTI</t>
  </si>
  <si>
    <t>Applies to DRNA,DZMA var: 0</t>
  </si>
  <si>
    <t>Jetta</t>
  </si>
  <si>
    <t>Applies to DNKA var: 0</t>
  </si>
  <si>
    <t>SVGAV01.5V2Q</t>
  </si>
  <si>
    <t>Jetta Sport/SE/SEL</t>
  </si>
  <si>
    <t>Volvo</t>
  </si>
  <si>
    <t>Volvo Cars of North America, LLC</t>
  </si>
  <si>
    <t>S60 B5</t>
  </si>
  <si>
    <t>VVX</t>
  </si>
  <si>
    <t>Timing on both intake and exhaust side.</t>
  </si>
  <si>
    <t>DC Permanent Magnet, brushless</t>
  </si>
  <si>
    <t>0W-20 C6 (API SP)</t>
  </si>
  <si>
    <t>Blank</t>
  </si>
  <si>
    <t>SVVXJ02.0U70</t>
  </si>
  <si>
    <t>S60 B5 AWD</t>
  </si>
  <si>
    <t>FCA US LLC</t>
  </si>
  <si>
    <t>ALFA ROMEO</t>
  </si>
  <si>
    <t>Giulia</t>
  </si>
  <si>
    <t>CRX</t>
  </si>
  <si>
    <t>Midsize Cars</t>
  </si>
  <si>
    <t>multi-air electro-hydraulic control</t>
  </si>
  <si>
    <t>SCRXJ02.05P2</t>
  </si>
  <si>
    <t>Giulia AWD</t>
  </si>
  <si>
    <t>A5 quattro</t>
  </si>
  <si>
    <t>DXBA var: 0</t>
  </si>
  <si>
    <t>Electronic/Hydraulic</t>
  </si>
  <si>
    <t>SVGAV02.0A7H</t>
  </si>
  <si>
    <t>A5 Sportback quattro</t>
  </si>
  <si>
    <t>A5 Sportback S line quattro</t>
  </si>
  <si>
    <t>A6 quattro</t>
  </si>
  <si>
    <t>Applies to DLZA var. 0</t>
  </si>
  <si>
    <t>INTAKE AND EXHAUST CONTINUOUSLY VARIABLE/MECHNICAL</t>
  </si>
  <si>
    <t>Audi Valve Lift System</t>
  </si>
  <si>
    <t>Belt-Driven-Starter-Generator</t>
  </si>
  <si>
    <t>SVGAJ03.0N7N</t>
  </si>
  <si>
    <t>A7 quattro</t>
  </si>
  <si>
    <t>RS 5 Sportback</t>
  </si>
  <si>
    <t>Applies to DECA var: 0</t>
  </si>
  <si>
    <t>RS 7</t>
  </si>
  <si>
    <t>Applies to DWKA var: 0</t>
  </si>
  <si>
    <t>Fuel saving by reduction of active cylinders. Mechanical deactivation of 4 inlet and outlet vales with injection cut-off on these 4 cylinders.</t>
  </si>
  <si>
    <t>The variable valve timing is a substantial engine feature for: * Reducing engine out emissions * Optimizing full load performance * Optimizing fuel consumption ? Reducing engine roughness Adjust the inlet and outlet camshaft position continously between retard and advanced position.</t>
  </si>
  <si>
    <t>0W40 VW50200 / VW50500</t>
  </si>
  <si>
    <t>SVGAJ04.0NAT</t>
  </si>
  <si>
    <t>S5</t>
  </si>
  <si>
    <t>Applies to DWVA var: 0</t>
  </si>
  <si>
    <t>Controlling the inlet and outlet camshaft position. Under all conditions a stoichiometric air fuel ratio for best catalyst efficiency is ensured.</t>
  </si>
  <si>
    <t>Two stage inlet valve lift for emission reduction (GHG). Inlet valve lift switchable between large and small valve lift for GHG reduction.</t>
  </si>
  <si>
    <t>SVGAJ03.0N7S</t>
  </si>
  <si>
    <t>S5 Sportback</t>
  </si>
  <si>
    <t>S6</t>
  </si>
  <si>
    <t>OT</t>
  </si>
  <si>
    <t>Applies to DKMB var. 0</t>
  </si>
  <si>
    <t>Electro/Hydraulic</t>
  </si>
  <si>
    <t>Audi Valve System Exhaust valve control</t>
  </si>
  <si>
    <t>S7</t>
  </si>
  <si>
    <t>530i Sedan</t>
  </si>
  <si>
    <t>Starter Generator Engine with 48V Technology; Motor/Generator Type: externally excited synchronuous machine (EESM)</t>
  </si>
  <si>
    <t>SBMXV02.0B4D</t>
  </si>
  <si>
    <t>530i xDrive Sedan</t>
  </si>
  <si>
    <t>540i xDrive Sedan</t>
  </si>
  <si>
    <t>Starter Generator Engine with 48V Technology; Motor/Generator Type: permanent magnet synchronous machine (PMSM); Rated Motor/Generator Power: 9 kW (X7 xDrive40i, X5 sDrive40i, X5 xDrive40i and X6 xDrive40i), 13 kW (740i Sedan, 740i xDrive Sedan and 540i xDrive Sedan) / X7 xDrive40i, X5 sDrive40i, X5 xDrive40i and X6 xDrive40i; Battery Energy Capacity: 10.4 Ah, Total Voltage of Battery Pack(s): 44 V, Battery Specific Energy: 40 Wh/kg / 740i Sedan, 740i xDrive Sedan and 540i xDrive Sedan; Battery Energy Capacity: 20 Ah, Total Voltage of Battery Pack(s): 46.2 V, Battery Specific Energy: 47.1 Wh/kg</t>
  </si>
  <si>
    <t>SBMXJ03.0B58</t>
  </si>
  <si>
    <t>840i Gran Coupe</t>
  </si>
  <si>
    <t>840i xDrive Gran Coupe</t>
  </si>
  <si>
    <t>ALPINA B8 Gran Coupe</t>
  </si>
  <si>
    <t>M8 Competition Gran Coupe</t>
  </si>
  <si>
    <t>M850i xDrive Gran Coupe</t>
  </si>
  <si>
    <t>CT5</t>
  </si>
  <si>
    <t>CT5 AWD</t>
  </si>
  <si>
    <t>CT5 V</t>
  </si>
  <si>
    <t>CT5 V AWD</t>
  </si>
  <si>
    <t>MALIBU</t>
  </si>
  <si>
    <t>Multiple Positions</t>
  </si>
  <si>
    <t>SGMXV01.5010</t>
  </si>
  <si>
    <t>ACCORD SPORT/TOURING</t>
  </si>
  <si>
    <t>Front Wheels</t>
  </si>
  <si>
    <t>AC PMSM</t>
  </si>
  <si>
    <t>SHNXV02.07EB</t>
  </si>
  <si>
    <t>CIVIC 4Dr</t>
  </si>
  <si>
    <t>Variable valve Timing and lift Electronic Control (VTEC) system and Variable valve Timing Control (VTC) system are applied.</t>
  </si>
  <si>
    <t>SHNXV01.5SDC</t>
  </si>
  <si>
    <t>SHNXV02.0JEK</t>
  </si>
  <si>
    <t>SHNXV02.0GES</t>
  </si>
  <si>
    <t>Auto(AV-S7)</t>
  </si>
  <si>
    <t>NON-ISG</t>
  </si>
  <si>
    <t>HYUNDAI MOTOR COMPANY</t>
  </si>
  <si>
    <t>Elantra</t>
  </si>
  <si>
    <t>Auto(AV-S1)</t>
  </si>
  <si>
    <t>Fixed3</t>
  </si>
  <si>
    <t>SAE 0W20</t>
  </si>
  <si>
    <t>SHYXV02.0CE3</t>
  </si>
  <si>
    <t>STOP-START</t>
  </si>
  <si>
    <t>Elantra Hybrid</t>
  </si>
  <si>
    <t>Auto(AM-S6)</t>
  </si>
  <si>
    <t>APPLY VVT</t>
  </si>
  <si>
    <t>SAE 0W-20 API SN</t>
  </si>
  <si>
    <t>SHYXV01.6C13</t>
  </si>
  <si>
    <t>Elantra Hybrid Blue</t>
  </si>
  <si>
    <t>Elantra N</t>
  </si>
  <si>
    <t>Fixed 3 (More than two or continuous)</t>
  </si>
  <si>
    <t>SAE 0W30</t>
  </si>
  <si>
    <t>SHYXV02.0CG8</t>
  </si>
  <si>
    <t>Kia</t>
  </si>
  <si>
    <t>KIA</t>
  </si>
  <si>
    <t>K4</t>
  </si>
  <si>
    <t>KMX</t>
  </si>
  <si>
    <t>Fixed3(More than two or continuous)</t>
  </si>
  <si>
    <t>SAE 0W-20 API SN PLUS</t>
  </si>
  <si>
    <t>SKMXV01.6CC3</t>
  </si>
  <si>
    <t>with DMS</t>
  </si>
  <si>
    <t>SKMXV02.0CE3</t>
  </si>
  <si>
    <t>without DMS</t>
  </si>
  <si>
    <t>ES 250 AWD</t>
  </si>
  <si>
    <t>STYXV02.5N4A</t>
  </si>
  <si>
    <t>ES 300h</t>
  </si>
  <si>
    <t>STYXV02.5P33</t>
  </si>
  <si>
    <t>ES 350</t>
  </si>
  <si>
    <t>STYXV03.5M5B</t>
  </si>
  <si>
    <t>ES 350 F SPORT</t>
  </si>
  <si>
    <t>LS 500</t>
  </si>
  <si>
    <t>STYXV03.5B5C</t>
  </si>
  <si>
    <t>LS 500h AWD</t>
  </si>
  <si>
    <t>MAZDA3 5-Door 2WD</t>
  </si>
  <si>
    <t>MAZDA3 5-Door 4WD</t>
  </si>
  <si>
    <t>E 350</t>
  </si>
  <si>
    <t>E 350 4MATIC</t>
  </si>
  <si>
    <t>E 450 4MATIC</t>
  </si>
  <si>
    <t>ALTIMA AWD</t>
  </si>
  <si>
    <t>For ALTIMA AWD, ALTIMA AWD SR/PLATINUM</t>
  </si>
  <si>
    <t>SNSXV02.5RPC</t>
  </si>
  <si>
    <t>ALTIMA SL/SR</t>
  </si>
  <si>
    <t>For ALTIMA, ALTIMA SL/SR</t>
  </si>
  <si>
    <t>KICKS PLAY</t>
  </si>
  <si>
    <t>SNSXV01.6RNB</t>
  </si>
  <si>
    <t>SENTRA</t>
  </si>
  <si>
    <t>INT;ECM and VTC controller controlled, Electric driven EXH;ECM controlled, Oil pressure driven</t>
  </si>
  <si>
    <t>SNSXV02.0RME</t>
  </si>
  <si>
    <t>SENTRA SR</t>
  </si>
  <si>
    <t>LEGACY</t>
  </si>
  <si>
    <t>Auto(AV-S8)</t>
  </si>
  <si>
    <t>ILSAC GF-6A 0W-20</t>
  </si>
  <si>
    <t>SFJXJ02.4RAB</t>
  </si>
  <si>
    <t>SFJXJ02.5BUY</t>
  </si>
  <si>
    <t>WRX</t>
  </si>
  <si>
    <t>ILSAC GF6 0W-20</t>
  </si>
  <si>
    <t>SFJXV02.4CZA</t>
  </si>
  <si>
    <t>CAMRY HEV AWD LE</t>
  </si>
  <si>
    <t>STYXV02.5P3A</t>
  </si>
  <si>
    <t>CAMRY HEV AWD SE/XLE</t>
  </si>
  <si>
    <t>CAMRY HEV AWD XSE</t>
  </si>
  <si>
    <t>CAMRY HEV FF LE</t>
  </si>
  <si>
    <t>CAMRY HEV FF SE/XLE/XSE</t>
  </si>
  <si>
    <t>PRIUS</t>
  </si>
  <si>
    <t>STYXJ02.0P33</t>
  </si>
  <si>
    <t>PRIUS AWD</t>
  </si>
  <si>
    <t>P</t>
  </si>
  <si>
    <t>Part-time 4-Wheel Drive</t>
  </si>
  <si>
    <t>PRIUS AWD XLE/LTD</t>
  </si>
  <si>
    <t>PRIUS XLE/LTD</t>
  </si>
  <si>
    <t>TOYOTA CROWN AWD</t>
  </si>
  <si>
    <t>NiMH</t>
  </si>
  <si>
    <t>"59kWatt" of Rated Motor/Generator Power is only for AWD.</t>
  </si>
  <si>
    <t>59 and 61</t>
  </si>
  <si>
    <t>STYXV02.4H33</t>
  </si>
  <si>
    <t>88 and 40</t>
  </si>
  <si>
    <t>STYXV02.5P34</t>
  </si>
  <si>
    <t>S90 B6 AWD</t>
  </si>
  <si>
    <t>Mechanical Turbo and Electric supercharger</t>
  </si>
  <si>
    <t>0W-20 / C6 (API SP)</t>
  </si>
  <si>
    <t>SVVXJ02.0S30</t>
  </si>
  <si>
    <t>INTEGRA</t>
  </si>
  <si>
    <t>Large Cars</t>
  </si>
  <si>
    <t>SHNXV01.54EC</t>
  </si>
  <si>
    <t>INTEGRA TYPE-S</t>
  </si>
  <si>
    <t>Variable Valve Timing (VTC) and Lift Electronic Control (VTEC) system is applied.</t>
  </si>
  <si>
    <t>SHNXV02.0TDC</t>
  </si>
  <si>
    <t>INTEGRA A-SPEC</t>
  </si>
  <si>
    <t>SHNXV01.55DC</t>
  </si>
  <si>
    <t>S8</t>
  </si>
  <si>
    <t>Applies to DWNA var: 0</t>
  </si>
  <si>
    <t>740i Sedan</t>
  </si>
  <si>
    <t>740i xDrive Sedan</t>
  </si>
  <si>
    <t>760i xDrive Sedan</t>
  </si>
  <si>
    <t>Starter Generator Engine with 48V Technology; Motor/Generator Type: permanent magnet synchronous machine (PMSM); Rated Motor/Generator Power: 9 kW (X7 M60i xDrive, X5 M60i xDrive, X6 M60i xDrive and ALPINA XB7), 13 kW (760i xDrive Sedan) / X7 M60i xDrive, X5 M60i xDrive, X6 M60i xDrive and ALPINA XB7; Battery Energy Capacity: 10.4 Ah, Total Voltage of Battery Pack(s): 44 V, Battery Specific Energy: 40 Wh/kg / 760i xDrive Sedan; Battery Energy Capacity: 20 Ah, Total Voltage of Battery Pack(s): 46.2 V, Battery Specific Energy: 47.1 Wh/kg</t>
  </si>
  <si>
    <t>SBMXJ04.4S68</t>
  </si>
  <si>
    <t>G80 AWD</t>
  </si>
  <si>
    <t>SHYXV02.5HP3</t>
  </si>
  <si>
    <t>SHYXV03.5HT5</t>
  </si>
  <si>
    <t>G90 AWD</t>
  </si>
  <si>
    <t>CVVT</t>
  </si>
  <si>
    <t>SHYXV03.5JT7</t>
  </si>
  <si>
    <t>G90 MHEV</t>
  </si>
  <si>
    <t>2 Turbo charger + 1 Super charger</t>
  </si>
  <si>
    <t>This vehicle is mild hybrid vehicle.</t>
  </si>
  <si>
    <t>claw pole</t>
  </si>
  <si>
    <t>SHYXV03.5J17</t>
  </si>
  <si>
    <t>ACCORD</t>
  </si>
  <si>
    <t>SHNXV01.56EB</t>
  </si>
  <si>
    <t>CIVIC 5Dr</t>
  </si>
  <si>
    <t>CIVIC TYPE-R</t>
  </si>
  <si>
    <t>Sonata AWD</t>
  </si>
  <si>
    <t>VVT</t>
  </si>
  <si>
    <t>SHYXV02.5ER3</t>
  </si>
  <si>
    <t>Sonata FWD</t>
  </si>
  <si>
    <t>E-CVVT is an electric device that improve fuel efficiency and reduce toxic exhaust gas by allowing the timing of the intake valves to be changed while the engine is on opration.</t>
  </si>
  <si>
    <t>SHYXV02.5EP7</t>
  </si>
  <si>
    <t>DN8 2.5 FWD 8SA</t>
  </si>
  <si>
    <t>Sonata Hybrid</t>
  </si>
  <si>
    <t>SAE 0W16</t>
  </si>
  <si>
    <t>SHYXV02.0E13</t>
  </si>
  <si>
    <t>K5</t>
  </si>
  <si>
    <t>SAE 0W-30</t>
  </si>
  <si>
    <t>SKMXV02.5DP7</t>
  </si>
  <si>
    <t>SKMXV02.5DR3</t>
  </si>
  <si>
    <t>K5 AWD</t>
  </si>
  <si>
    <t>S 500 4MATIC</t>
  </si>
  <si>
    <t>S 580 4MATIC</t>
  </si>
  <si>
    <t>ISG (Integrated-Starter-Generator) Engine with 48V Technology</t>
  </si>
  <si>
    <t>permanent synchronous motor</t>
  </si>
  <si>
    <t>SMBXV04.0HY1</t>
  </si>
  <si>
    <t>S 580 4MATIC Maybach</t>
  </si>
  <si>
    <t>S 680 4MATIC Maybach</t>
  </si>
  <si>
    <t>M279M like MOPF or Facelift</t>
  </si>
  <si>
    <t>5W40 / 229.5</t>
  </si>
  <si>
    <t>SMBXV06.0U3A</t>
  </si>
  <si>
    <t>Panamera</t>
  </si>
  <si>
    <t>SPRXV02.9PV6</t>
  </si>
  <si>
    <t>Panamera 4</t>
  </si>
  <si>
    <t>Panamera GTS</t>
  </si>
  <si>
    <t>Adaptive Cylinder Control</t>
  </si>
  <si>
    <t>SPRXV04.0PV8</t>
  </si>
  <si>
    <t>Rolls-Royce</t>
  </si>
  <si>
    <t>Rolls-Royce Motor Cars Limited</t>
  </si>
  <si>
    <t>Black Badge Ghost</t>
  </si>
  <si>
    <t>RRG</t>
  </si>
  <si>
    <t>Peak-Torque 664 foot-pounds: Black Badge Cullinan, Black Badge Ghost</t>
  </si>
  <si>
    <t>SRRGV06.7N74</t>
  </si>
  <si>
    <t>Ghost</t>
  </si>
  <si>
    <t>Peak-Torque 627 foot-pounds: Cullinan, Ghost, Ghost Extended; 664 foot-pounds: Phantom, Phantom Extended</t>
  </si>
  <si>
    <t>Ghost Extended</t>
  </si>
  <si>
    <t>Phantom</t>
  </si>
  <si>
    <t>Phantom Extended</t>
  </si>
  <si>
    <t>ADX AWD</t>
  </si>
  <si>
    <t>Small Station Wagons</t>
  </si>
  <si>
    <t>SHNXV01.58ND</t>
  </si>
  <si>
    <t>ADX FWD</t>
  </si>
  <si>
    <t>A4 allroad quattro</t>
  </si>
  <si>
    <t>Buick</t>
  </si>
  <si>
    <t>ENVISTA</t>
  </si>
  <si>
    <t>Auto(A6)</t>
  </si>
  <si>
    <t>CSS Prime</t>
  </si>
  <si>
    <t>Cam phaser</t>
  </si>
  <si>
    <t>SGMXV01.2003</t>
  </si>
  <si>
    <t>E</t>
  </si>
  <si>
    <t>Ethanol (E85)</t>
  </si>
  <si>
    <t xml:space="preserve">SIDI; FFV; </t>
  </si>
  <si>
    <t>SGMXV01.2002</t>
  </si>
  <si>
    <t>TRAX</t>
  </si>
  <si>
    <t>HR-V AWD</t>
  </si>
  <si>
    <t>SHNXV02.02EC</t>
  </si>
  <si>
    <t>HR-V FWD</t>
  </si>
  <si>
    <t>Soul</t>
  </si>
  <si>
    <t>0W20 API SN+/SP</t>
  </si>
  <si>
    <t>SKMXV02.0BE3</t>
  </si>
  <si>
    <t>Soul Eco dynamics</t>
  </si>
  <si>
    <t>AMG GLA 35 4MATIC</t>
  </si>
  <si>
    <t>AMG GLC 43 4MATIC</t>
  </si>
  <si>
    <t>AMG GLC 43 4MATIC (coupe)</t>
  </si>
  <si>
    <t>AMG GT 43 4MATIC+</t>
  </si>
  <si>
    <t>ICE: 429 HP ; Electric Motor: 21 HP</t>
  </si>
  <si>
    <t>SMBXV03.0HY2</t>
  </si>
  <si>
    <t>AMG GT 53 4MATIC+</t>
  </si>
  <si>
    <t>IMPREZA</t>
  </si>
  <si>
    <t>ILSAC GF-6B 0W-16</t>
  </si>
  <si>
    <t>SFJXJ02.5BBG</t>
  </si>
  <si>
    <t>TOYOTA CROWN SIGNIA AWD</t>
  </si>
  <si>
    <t>134 and 40</t>
  </si>
  <si>
    <t>STYXV02.5H3A</t>
  </si>
  <si>
    <t>A6 allroad quattro</t>
  </si>
  <si>
    <t>Midsize Station Wagons</t>
  </si>
  <si>
    <t>RS 6 Avant</t>
  </si>
  <si>
    <t>AMG GLB 35 4MATIC</t>
  </si>
  <si>
    <t>E 450 4MATIC All-Terrain Wagon</t>
  </si>
  <si>
    <t>E 450 4MATIC All-Terrain (sw)</t>
  </si>
  <si>
    <t>V90CC B6 AWD</t>
  </si>
  <si>
    <t>MAVERICK HEV FWD</t>
  </si>
  <si>
    <t>T</t>
  </si>
  <si>
    <t>Truck</t>
  </si>
  <si>
    <t>Small Pick-up Trucks 2WD</t>
  </si>
  <si>
    <t>FHEV Maverick</t>
  </si>
  <si>
    <t>Hydraulic actuated Variable Cam Timing</t>
  </si>
  <si>
    <t>Motor/Generator Type Other is Permanent Magnet Synchronous Motor.</t>
  </si>
  <si>
    <t>SAE 0W-20 / ILSAC GF-6</t>
  </si>
  <si>
    <t>SFMXT02.54F1</t>
  </si>
  <si>
    <t>TACOMA 2WD</t>
  </si>
  <si>
    <t>APPLIED TO TACOMA 2WD/4WD</t>
  </si>
  <si>
    <t>STYXT02.4H3A</t>
  </si>
  <si>
    <t>3-mode(Sport/Normal/Eco), w/SS</t>
  </si>
  <si>
    <t>TACOMA SR5/SPORT/PRERUNNER 2WD</t>
  </si>
  <si>
    <t>APPLIED TO TACOMA SR5/SPORT/PRERUNNER 2WD AND TACOMA SR5/SPORT/OFFROAD/LIMITED 4WD</t>
  </si>
  <si>
    <t>2-mode(Power/Normal) TM, w/SS</t>
  </si>
  <si>
    <t>MAVERICK AWD</t>
  </si>
  <si>
    <t>Small Pick-up Trucks 4WD</t>
  </si>
  <si>
    <t>25MY 2.0L GTPFDI Bronco Sport 4WD, Maverick AWD, Maverick Tremor AWD, Maverick Lobo AWD. Rated HP and Peak Torque values based on 98 RON testing.</t>
  </si>
  <si>
    <t>Intake/Exhaust, Hydraulic Actuated VCT</t>
  </si>
  <si>
    <t>SFMXT02.02Y3</t>
  </si>
  <si>
    <t>MAVERICK HEV AWD</t>
  </si>
  <si>
    <t>MAVERICK LOBO AWD</t>
  </si>
  <si>
    <t>MAVERICK TREMOR AWD</t>
  </si>
  <si>
    <t>TACOMA 4WD</t>
  </si>
  <si>
    <t>TACOMA 4WD MT</t>
  </si>
  <si>
    <t>STYXT02.4B5M</t>
  </si>
  <si>
    <t>2-mode (Power/Normal) TM</t>
  </si>
  <si>
    <t>TACOMA SR5/SPORT/OFFROAD/LIMITED 4WD</t>
  </si>
  <si>
    <t>3-mode (Sport/Normal/Eco) TM</t>
  </si>
  <si>
    <t>3-mode (Sport/Normal/Eco) w/SS</t>
  </si>
  <si>
    <t>COLORADO 2WD</t>
  </si>
  <si>
    <t>Standard Pick-up Trucks 2WD</t>
  </si>
  <si>
    <t>SGMXT02.7100</t>
  </si>
  <si>
    <t>SILVERADO 2WD</t>
  </si>
  <si>
    <t>with Sport Mode</t>
  </si>
  <si>
    <t>DU</t>
  </si>
  <si>
    <t>Diesel, ultra low sulfur (15 ppm, maximum)</t>
  </si>
  <si>
    <t>CRDI</t>
  </si>
  <si>
    <t>Common Rail Direct Diesel Injection</t>
  </si>
  <si>
    <t>SGMXT03.0354</t>
  </si>
  <si>
    <t>Dynamic Fuel Management</t>
  </si>
  <si>
    <t>cam phaser</t>
  </si>
  <si>
    <t>SGMXT05.3330</t>
  </si>
  <si>
    <t>F150 PICKUP 2WD</t>
  </si>
  <si>
    <t>2.7L TiVCT GTPFDI;</t>
  </si>
  <si>
    <t>dual intake &amp;amp; exhaust</t>
  </si>
  <si>
    <t>5W-30 / API SP</t>
  </si>
  <si>
    <t>SFMXT02.73JK</t>
  </si>
  <si>
    <t>F150 Base/Tremor/Police (91 RON Ratings)</t>
  </si>
  <si>
    <t>SAE 5W-30 API SP ILSACGF6</t>
  </si>
  <si>
    <t>SFMXT03.57AT</t>
  </si>
  <si>
    <t>Variable Displacement Engine</t>
  </si>
  <si>
    <t>VVT active/enabled</t>
  </si>
  <si>
    <t>SFMXT05.03DP</t>
  </si>
  <si>
    <t>GMC</t>
  </si>
  <si>
    <t>CANYON 2WD</t>
  </si>
  <si>
    <t>SIERRA 2WD</t>
  </si>
  <si>
    <t>FRONTIER 2WD</t>
  </si>
  <si>
    <t>SNSXT03.8ARA</t>
  </si>
  <si>
    <t>RAM</t>
  </si>
  <si>
    <t>1500 4X2</t>
  </si>
  <si>
    <t>3.0L EFH GDI Dual Turbo</t>
  </si>
  <si>
    <t>electro-hydraulic controlled</t>
  </si>
  <si>
    <t>0w-20</t>
  </si>
  <si>
    <t>SCRXT03.05P4</t>
  </si>
  <si>
    <t>SCRXT03.65PN</t>
  </si>
  <si>
    <t>1500 HFE 4X2</t>
  </si>
  <si>
    <t>TUNDRA 2WD</t>
  </si>
  <si>
    <t>APPLIED TO TUNDRA (1-drive mode)</t>
  </si>
  <si>
    <t>STYXT03.4B5A</t>
  </si>
  <si>
    <t>APPLIED TO TUNDRA (3-drive mode)</t>
  </si>
  <si>
    <t>APPLIED TO SEQUOIA AND TUNDRA</t>
  </si>
  <si>
    <t>Rear Wheels</t>
  </si>
  <si>
    <t>Regenerative Braking Source is "Both" for TUNDRA 4WD, TUNDRA 4WD PRO, SEQUOIA 4WD and LX 700h.</t>
  </si>
  <si>
    <t>STYXT03.4M53</t>
  </si>
  <si>
    <t>COLORADO 4WD</t>
  </si>
  <si>
    <t>Standard Pick-up Trucks 4WD</t>
  </si>
  <si>
    <t>COLORADO 4WD MUD TERRAIN TIRES</t>
  </si>
  <si>
    <t>COLORADO ZR2 4WD</t>
  </si>
  <si>
    <t>COLORADO ZR2 BISON 4WD</t>
  </si>
  <si>
    <t>SILVERADO 4WD</t>
  </si>
  <si>
    <t>MUNICIPAL</t>
  </si>
  <si>
    <t>408/481</t>
  </si>
  <si>
    <t>288/340</t>
  </si>
  <si>
    <t>SGMXT05.3387</t>
  </si>
  <si>
    <t>SGMXT06.2375</t>
  </si>
  <si>
    <t>SILVERADO 4WD MUD TERRAIN TIRES</t>
  </si>
  <si>
    <t>SILVERADO 4WD ZR2</t>
  </si>
  <si>
    <t>SGMXT03.0355</t>
  </si>
  <si>
    <t>F150 PICKUP 4WD</t>
  </si>
  <si>
    <t>F150 PICKUP 4WD HEV</t>
  </si>
  <si>
    <t>3.5L F150 FHEV</t>
  </si>
  <si>
    <t>5W-30 / ILSAC GF-6</t>
  </si>
  <si>
    <t>SFMXT03.51F1</t>
  </si>
  <si>
    <t>F150 PICKUP TREMOR 4WD</t>
  </si>
  <si>
    <t>RANGER 4WD</t>
  </si>
  <si>
    <t>TIVCT</t>
  </si>
  <si>
    <t>5W-30 / ILSAC GF-6 API SP</t>
  </si>
  <si>
    <t>SFMXT02.36HG</t>
  </si>
  <si>
    <t>RANGER RAPTOR 4WD</t>
  </si>
  <si>
    <t>Bronco Raptor 97 RON Rated HP/Torque</t>
  </si>
  <si>
    <t>Intake/Exhaust, Oil Pressure Actuated VCT</t>
  </si>
  <si>
    <t>SFMXT03.03V7</t>
  </si>
  <si>
    <t>CANYON 4WD</t>
  </si>
  <si>
    <t>CANYON AT4X 4WD</t>
  </si>
  <si>
    <t>CANYON AT4X AEV 4WD</t>
  </si>
  <si>
    <t>SIERRA 4WD</t>
  </si>
  <si>
    <t>SIERRA 4WD AT4X</t>
  </si>
  <si>
    <t>SIERRA 4WD MUD TERRAIN TIRES</t>
  </si>
  <si>
    <t>RIDGELINE AWD TrailSport</t>
  </si>
  <si>
    <t>SHNXT03.53TC</t>
  </si>
  <si>
    <t>Jeep</t>
  </si>
  <si>
    <t>Gladiator 4X4</t>
  </si>
  <si>
    <t>SCRXT03.65P5</t>
  </si>
  <si>
    <t>FRONTIER 4WD</t>
  </si>
  <si>
    <t>FRONTIER 4WD PRO-4X</t>
  </si>
  <si>
    <t>1500 4X4</t>
  </si>
  <si>
    <t>1500 HO 4x4</t>
  </si>
  <si>
    <t>3.0L EFC GDI Dual Turbo</t>
  </si>
  <si>
    <t>SCRXT03.05P2</t>
  </si>
  <si>
    <t>1500 RHO 4x4</t>
  </si>
  <si>
    <t>0w-40 SN+</t>
  </si>
  <si>
    <t>SCRXT03.05P3</t>
  </si>
  <si>
    <t>TACOMA HYBRID 4WD</t>
  </si>
  <si>
    <t>Except for High-mount intake</t>
  </si>
  <si>
    <t>STYXT02.4H3H</t>
  </si>
  <si>
    <t>TUNDRA 4WD</t>
  </si>
  <si>
    <t>TUNDRA 4WD PRO</t>
  </si>
  <si>
    <t>GLA 250</t>
  </si>
  <si>
    <t>Special Purpose Vehicle 2WD</t>
  </si>
  <si>
    <t>??</t>
  </si>
  <si>
    <t>GLB 250</t>
  </si>
  <si>
    <t>SILVERADO 2WD CAB CHASSIS</t>
  </si>
  <si>
    <t>Special Purpose Vehicle cab chassis</t>
  </si>
  <si>
    <t>SILVERADO 4WD CAB CHASSIS</t>
  </si>
  <si>
    <t>SIERRA 2WD CAB CHASSIS</t>
  </si>
  <si>
    <t>SIERRA 4WD CAB CHASSIS</t>
  </si>
  <si>
    <t>Chrysler</t>
  </si>
  <si>
    <t>Pacifica</t>
  </si>
  <si>
    <t>Special Purpose Vehicle, minivan 2WD</t>
  </si>
  <si>
    <t>SCRXT03.65P6</t>
  </si>
  <si>
    <t>Voyager</t>
  </si>
  <si>
    <t>ODYSSEY FWD</t>
  </si>
  <si>
    <t>Variable Cylinder Management (VCM) system is applied.</t>
  </si>
  <si>
    <t>SHNXT03.5R4C</t>
  </si>
  <si>
    <t>Carnival</t>
  </si>
  <si>
    <t>SKMXT03.5KU5</t>
  </si>
  <si>
    <t>Carnival Hybrid</t>
  </si>
  <si>
    <t>SAE 0W-20; API SN PLUS</t>
  </si>
  <si>
    <t>SKMXT01.6K13</t>
  </si>
  <si>
    <t>SIENNA</t>
  </si>
  <si>
    <t>Applied to NX 350h and SIENNA.</t>
  </si>
  <si>
    <t>"40kWatt" of Rated Motor/Generator Power is only for AWD.</t>
  </si>
  <si>
    <t>0W-16,0W-8</t>
  </si>
  <si>
    <t>STYXT02.5H3A</t>
  </si>
  <si>
    <t>Pacifica AWD</t>
  </si>
  <si>
    <t>Special Purpose Vehicle, minivan 4WD</t>
  </si>
  <si>
    <t>SIENNA AWD</t>
  </si>
  <si>
    <t>MDX FWD</t>
  </si>
  <si>
    <t>Small SUV 2WD</t>
  </si>
  <si>
    <t>SHNXT03.5CCC</t>
  </si>
  <si>
    <t>ENCORE GX FWD</t>
  </si>
  <si>
    <t>SGMXV01.3550</t>
  </si>
  <si>
    <t>XT5 FWD</t>
  </si>
  <si>
    <t>SGMXT02.0500</t>
  </si>
  <si>
    <t>SGMXT03.6151</t>
  </si>
  <si>
    <t>XT6 FWD</t>
  </si>
  <si>
    <t>BLAZER FWD</t>
  </si>
  <si>
    <t>EQUINOX FWD</t>
  </si>
  <si>
    <t>SGMXT01.5080</t>
  </si>
  <si>
    <t>TRAILBLAZER FWD</t>
  </si>
  <si>
    <t>ESCAPE FWD</t>
  </si>
  <si>
    <t>0W-20 / ILSAC GF-6</t>
  </si>
  <si>
    <t>SFMXT01.52X1</t>
  </si>
  <si>
    <t>ESCAPE FWD HEV</t>
  </si>
  <si>
    <t>FHEV Escape</t>
  </si>
  <si>
    <t>SFMXT02.52F1</t>
  </si>
  <si>
    <t>TERRAIN FWD</t>
  </si>
  <si>
    <t>CR-V FWD</t>
  </si>
  <si>
    <t>SHNXT01.5M8T</t>
  </si>
  <si>
    <t>Another Hybrid Li-ion battery may be installed.(Total Voltage of Battery Pack (Volts): 259.2/ Battery Energy Capacity (Ah): 4.0/ Battery Specific Energy (Whr/kg): 75.0)</t>
  </si>
  <si>
    <t>SHNXT02.0PWC</t>
  </si>
  <si>
    <t>PILOT FWD</t>
  </si>
  <si>
    <t>SHNXV03.513D</t>
  </si>
  <si>
    <t>Kona FWD</t>
  </si>
  <si>
    <t>SX2 1.6T 8AT FWD</t>
  </si>
  <si>
    <t>SHYXT01.6KC3</t>
  </si>
  <si>
    <t>SHYXT02.0KE3</t>
  </si>
  <si>
    <t>Palisade FWD</t>
  </si>
  <si>
    <t>SHYXT03.8NL5</t>
  </si>
  <si>
    <t>Santa Cruz FWD</t>
  </si>
  <si>
    <t>NX4 OB 2.5 FWD 8SA</t>
  </si>
  <si>
    <t>SHYXT02.5VR3</t>
  </si>
  <si>
    <t>Santa Fe FWD</t>
  </si>
  <si>
    <t>SHYXT02.5MP3</t>
  </si>
  <si>
    <t>Santa Fe Hybrid FWD</t>
  </si>
  <si>
    <t>Fixed 3 (Continuous Variable Valve Timing)</t>
  </si>
  <si>
    <t>SAE 0W-20, API SN PLUS</t>
  </si>
  <si>
    <t>SHYXV01.6M13</t>
  </si>
  <si>
    <t>Tucson FWD</t>
  </si>
  <si>
    <t>NX4 2.5 8AT FWD</t>
  </si>
  <si>
    <t>SHYXT02.5LR3</t>
  </si>
  <si>
    <t>Venue</t>
  </si>
  <si>
    <t>SHYXV01.6SB7</t>
  </si>
  <si>
    <t>INFINITI</t>
  </si>
  <si>
    <t>QX50</t>
  </si>
  <si>
    <t>INT:ECM controlled, Motor driven EXH:ECM controlled, Oil pressure driven</t>
  </si>
  <si>
    <t>SNSXT02.0AVC</t>
  </si>
  <si>
    <t>Niro</t>
  </si>
  <si>
    <t>Fixed3, CVVT is an oil pressure device that improve fuel efficiency and reduce toxic exhaust gas by allowing the  timing (some or all) of the intake or exhaust valves (or both ) to be changed  while the engine is in operation.</t>
  </si>
  <si>
    <t>SAE 0W-16 API SN PLUS</t>
  </si>
  <si>
    <t>SKMXV01.6213</t>
  </si>
  <si>
    <t>Niro FE</t>
  </si>
  <si>
    <t>Seltos FWD</t>
  </si>
  <si>
    <t>0W20 API SN or ILSAC GF-6</t>
  </si>
  <si>
    <t>SKMXT02.0NE3</t>
  </si>
  <si>
    <t>Sorento FWD</t>
  </si>
  <si>
    <t>SKMXT02.5JP3</t>
  </si>
  <si>
    <t>SKMXT02.5JR3</t>
  </si>
  <si>
    <t>Sorento Hybrid FWD</t>
  </si>
  <si>
    <t>Fixed 3 (Continous Variable Valve Timing)</t>
  </si>
  <si>
    <t>SKMXV01.6J13</t>
  </si>
  <si>
    <t>Sportage FWD</t>
  </si>
  <si>
    <t>SKMXT02.5PR3</t>
  </si>
  <si>
    <t>Telluride FWD</t>
  </si>
  <si>
    <t>SKMXT03.8ML5</t>
  </si>
  <si>
    <t>NX 250</t>
  </si>
  <si>
    <t>STYXT02.5E4M</t>
  </si>
  <si>
    <t>RX 350</t>
  </si>
  <si>
    <t>Applied to NX 350, RX 350 and TX 350</t>
  </si>
  <si>
    <t>STYXJ02.4P3G</t>
  </si>
  <si>
    <t>Lincoln</t>
  </si>
  <si>
    <t>CORSAIR FWD</t>
  </si>
  <si>
    <t>2.0L GTPFDI Nautilus AWD, Escape FWD, Corsair FWD/AWD</t>
  </si>
  <si>
    <t>Dual intake &amp;amp; Exhaust</t>
  </si>
  <si>
    <t>5W-30 ILSAC GF-6 API SP</t>
  </si>
  <si>
    <t>SFMXT02.02JB</t>
  </si>
  <si>
    <t>MITSUBISHI MOTORS</t>
  </si>
  <si>
    <t>Outlander 2WD</t>
  </si>
  <si>
    <t>EXH; ECM controlled, Oil pressure driven INT; ECM and VTC controller controlled, Electric driven</t>
  </si>
  <si>
    <t>SNSXT02.5APA</t>
  </si>
  <si>
    <t>Mitsubishi Motors Co</t>
  </si>
  <si>
    <t>Mitsubishi Motors Corporation</t>
  </si>
  <si>
    <t>ECLIPSE CROSS 2WD</t>
  </si>
  <si>
    <t>MTX</t>
  </si>
  <si>
    <t>DOHC continuous Variable Valve Timing System with both inlet and exhaust</t>
  </si>
  <si>
    <t>SMTXT01.5G5P</t>
  </si>
  <si>
    <t>KICKS</t>
  </si>
  <si>
    <t>Fof KICKS</t>
  </si>
  <si>
    <t>SNSXT02.0RMD</t>
  </si>
  <si>
    <t>MURANO FWD</t>
  </si>
  <si>
    <t>MURANO FWD, MURANO AWD</t>
  </si>
  <si>
    <t>SNSXT02.0AVD</t>
  </si>
  <si>
    <t>PATHFINDER 2WD</t>
  </si>
  <si>
    <t>EXH;ECM controlled, Oil pressure driven, INT;ECM and VTC controller controlled, Electric driven</t>
  </si>
  <si>
    <t>SNSXT03.5PTC</t>
  </si>
  <si>
    <t>ROGUE FWD</t>
  </si>
  <si>
    <t>EXH; ECM controlled, Oil pressure driven INT; ECM controlled, Motor driven</t>
  </si>
  <si>
    <t>SNSXT01.5A3D</t>
  </si>
  <si>
    <t>ROGUE FWD SL/PLATINUM</t>
  </si>
  <si>
    <t>COROLLA CROSS</t>
  </si>
  <si>
    <t>STYXT02.0P3H</t>
  </si>
  <si>
    <t>HIGHLANDER</t>
  </si>
  <si>
    <t>Applied to GRAND HIGHLANDER and HIGHLANDER</t>
  </si>
  <si>
    <t>RAV4</t>
  </si>
  <si>
    <t>STYXT02.5P3H</t>
  </si>
  <si>
    <t>Atlas</t>
  </si>
  <si>
    <t>Applies to DRKB var: 0</t>
  </si>
  <si>
    <t>SVGAT02.0V7A</t>
  </si>
  <si>
    <t>Atlas Cross Sport</t>
  </si>
  <si>
    <t>Taos</t>
  </si>
  <si>
    <t>Applies to DYBA var: 0</t>
  </si>
  <si>
    <t>SVGAJ01.5V2L</t>
  </si>
  <si>
    <t>Tiguan</t>
  </si>
  <si>
    <t>DYLB var: 0 for FWD</t>
  </si>
  <si>
    <t>Hydraulic/Hydraulic</t>
  </si>
  <si>
    <t>SVGAJ02.0V3G</t>
  </si>
  <si>
    <t>Tiguan S</t>
  </si>
  <si>
    <t>MDX AWD</t>
  </si>
  <si>
    <t>Small SUV 4WD</t>
  </si>
  <si>
    <t>RDX AWD</t>
  </si>
  <si>
    <t>Variable valve Timing (VTC) and lift Electronic Control (VTEC) system is applied.</t>
  </si>
  <si>
    <t>SHNXT02.0V7S</t>
  </si>
  <si>
    <t>RDX AWD A-SPEC</t>
  </si>
  <si>
    <t>SHNXT02.0W7S</t>
  </si>
  <si>
    <t>Stelvio AWD</t>
  </si>
  <si>
    <t>Tonale AWD</t>
  </si>
  <si>
    <t>electro-hydraulic control</t>
  </si>
  <si>
    <t>SCRXT02.05P1</t>
  </si>
  <si>
    <t>Q3</t>
  </si>
  <si>
    <t>Applies to DSPA var: 0</t>
  </si>
  <si>
    <t>SVGAT02.0A5T</t>
  </si>
  <si>
    <t>Q3 S line</t>
  </si>
  <si>
    <t>Applies to DSNA var: 0</t>
  </si>
  <si>
    <t>CONTINUOUS VARIABLE VALVE TIMING</t>
  </si>
  <si>
    <t>SVGAT02.0A3T</t>
  </si>
  <si>
    <t>Q5 quattro</t>
  </si>
  <si>
    <t>Q5 S line quattro</t>
  </si>
  <si>
    <t xml:space="preserve">SIDI; Mild Hybrid; Under EPA regulations, the manufacturer revised the fuel economy label values on . Previous values were XX MPG city, XX MPG highway, and XX MPG combined; </t>
  </si>
  <si>
    <t>RL</t>
  </si>
  <si>
    <t>Relabel - label value decreased</t>
  </si>
  <si>
    <t>Applies to DPVA var: 0</t>
  </si>
  <si>
    <t>Q5 Sportback S line quattro</t>
  </si>
  <si>
    <t>Q5 Sportback TFSI quattro</t>
  </si>
  <si>
    <t>DXCA var: 0</t>
  </si>
  <si>
    <t>SVGAT02.0A3H</t>
  </si>
  <si>
    <t>Q5 TFSI quattro</t>
  </si>
  <si>
    <t>SQ5</t>
  </si>
  <si>
    <t>SQ5 Sportback</t>
  </si>
  <si>
    <t>X1 M35i</t>
  </si>
  <si>
    <t>SBMXT02.0U1X</t>
  </si>
  <si>
    <t>X1 xDrive28i</t>
  </si>
  <si>
    <t>SBMXT02.0B48</t>
  </si>
  <si>
    <t>X2 M35i</t>
  </si>
  <si>
    <t>X2 xDrive28i</t>
  </si>
  <si>
    <t>X3 M50i xDrive</t>
  </si>
  <si>
    <t>X3 xDrive30i</t>
  </si>
  <si>
    <t>X4 M</t>
  </si>
  <si>
    <t>SBMXT03.0S58</t>
  </si>
  <si>
    <t>X4 M Competition</t>
  </si>
  <si>
    <t>X4 M40i</t>
  </si>
  <si>
    <t>BSG (Belt-Driven Starter Generator) Engine with 48V Technology; 2.2 kW (30 seconds), 8 kW (10 seconds); Motor/Generator Type: externally excited synchronuous machine (EESM)</t>
  </si>
  <si>
    <t>SBMXT03.0G2X</t>
  </si>
  <si>
    <t>X4 xDrive30i</t>
  </si>
  <si>
    <t>ENCORE GX AWD</t>
  </si>
  <si>
    <t>ENVISION AWD</t>
  </si>
  <si>
    <t>SGMXT02.0400</t>
  </si>
  <si>
    <t>XT4 AWD</t>
  </si>
  <si>
    <t>XT5 AWD</t>
  </si>
  <si>
    <t>XT6 AWD</t>
  </si>
  <si>
    <t>BLAZER AWD</t>
  </si>
  <si>
    <t>EQUINOX AWD</t>
  </si>
  <si>
    <t>TRAILBLAZER AWD</t>
  </si>
  <si>
    <t>Dodge</t>
  </si>
  <si>
    <t>Hornet AWD</t>
  </si>
  <si>
    <t>BRONCO 4WD</t>
  </si>
  <si>
    <t>SFMXT02.31EM</t>
  </si>
  <si>
    <t>Manual(M7)</t>
  </si>
  <si>
    <t>2.7L TiVCT GTPFDI; HP based on Regular Grade Fuel</t>
  </si>
  <si>
    <t>dual intake &amp; exhaust</t>
  </si>
  <si>
    <t>SFMXT02.72V6</t>
  </si>
  <si>
    <t>BRONCO BADLANDS 4WD</t>
  </si>
  <si>
    <t>BRONCO SPORT 4WD</t>
  </si>
  <si>
    <t>SFMXT01.52X2</t>
  </si>
  <si>
    <t>SFMXT01.52X4</t>
  </si>
  <si>
    <t>BRONCO SPORT SASQUATCH</t>
  </si>
  <si>
    <t>ESCAPE AWD</t>
  </si>
  <si>
    <t>ESCAPE AWD HEV</t>
  </si>
  <si>
    <t>5-mode transmission(Sport+)</t>
  </si>
  <si>
    <t>GV70 AWD</t>
  </si>
  <si>
    <t>SHYXV02.5UP7</t>
  </si>
  <si>
    <t>4-mode transmission</t>
  </si>
  <si>
    <t>SHYXV03.5UT7</t>
  </si>
  <si>
    <t>TERRAIN AWD</t>
  </si>
  <si>
    <t>CR-V AWD</t>
  </si>
  <si>
    <t>SHNXT01.5N7S</t>
  </si>
  <si>
    <t>PASSPORT AWD</t>
  </si>
  <si>
    <t>Kona AWD</t>
  </si>
  <si>
    <t>SX2 1.6T 8AT AWD</t>
  </si>
  <si>
    <t>Non stop-start</t>
  </si>
  <si>
    <t>Palisade AWD</t>
  </si>
  <si>
    <t>Santa Cruz AWD</t>
  </si>
  <si>
    <t>NX4 OB 2.5T AWD 8DCT</t>
  </si>
  <si>
    <t>SHYXT02.5VP3</t>
  </si>
  <si>
    <t>NX4 OB 2.5 AWD 8AT</t>
  </si>
  <si>
    <t>Santa Cruz XRT AWD</t>
  </si>
  <si>
    <t>NX4 OB 2.5T XRT AWD 8DCT</t>
  </si>
  <si>
    <t>Santa Fe AWD</t>
  </si>
  <si>
    <t>Santa Fe AWD XRT</t>
  </si>
  <si>
    <t>Santa Fe Hybrid AWD</t>
  </si>
  <si>
    <t>Tucson Hybrid</t>
  </si>
  <si>
    <t>Fixed 3</t>
  </si>
  <si>
    <t>SHYXT01.6L13</t>
  </si>
  <si>
    <t>Tucson Hybrid Blue</t>
  </si>
  <si>
    <t>QX50 AWD</t>
  </si>
  <si>
    <t>Jaguar Land Rover L</t>
  </si>
  <si>
    <t>Jaguar</t>
  </si>
  <si>
    <t>F-PACE</t>
  </si>
  <si>
    <t>JLX</t>
  </si>
  <si>
    <t>Inlet and Exhaust Camshaft Phasing controlled by Engine Management System</t>
  </si>
  <si>
    <t>Continuously variable inlet valve lift</t>
  </si>
  <si>
    <t>SJLXJ02.0RTX</t>
  </si>
  <si>
    <t>F-PACE MHEV</t>
  </si>
  <si>
    <t>Inlet and Exhaust Camshaft Phasing controlled by Engine Management System.</t>
  </si>
  <si>
    <t>F-PACE P400 MHEV</t>
  </si>
  <si>
    <t>SJLXJ03.0FSC</t>
  </si>
  <si>
    <t>F-PACE SVR</t>
  </si>
  <si>
    <t>F-Pace SVR</t>
  </si>
  <si>
    <t>SJLXJ05.0FSM</t>
  </si>
  <si>
    <t>Compass 4X4</t>
  </si>
  <si>
    <t>Wrangler 2dr 4X4</t>
  </si>
  <si>
    <t>SCRXT02.05P2</t>
  </si>
  <si>
    <t>Wrangler 4dr 4X4</t>
  </si>
  <si>
    <t>solenoids</t>
  </si>
  <si>
    <t>0W-40</t>
  </si>
  <si>
    <t>SCRXT06.45P1</t>
  </si>
  <si>
    <t>Seltos AWD</t>
  </si>
  <si>
    <t>SKMXT01.6NC3</t>
  </si>
  <si>
    <t>Sorento AWD</t>
  </si>
  <si>
    <t>Sorento Hybrid AWD</t>
  </si>
  <si>
    <t>Sportage AWD</t>
  </si>
  <si>
    <t>Sportage Hybrid AWD</t>
  </si>
  <si>
    <t>SKMXT01.6P13</t>
  </si>
  <si>
    <t>Sportage Hybrid FWD</t>
  </si>
  <si>
    <t>Sportage X-pro</t>
  </si>
  <si>
    <t>Telluride AWD</t>
  </si>
  <si>
    <t>Land Rover</t>
  </si>
  <si>
    <t>Discovery Sport</t>
  </si>
  <si>
    <t>Land Rover Discovery Sport</t>
  </si>
  <si>
    <t>SJLXT02.0RTV</t>
  </si>
  <si>
    <t>Range Rover Evoque</t>
  </si>
  <si>
    <t>Range Rover Velar</t>
  </si>
  <si>
    <t>Velar</t>
  </si>
  <si>
    <t>Range Rover Velar P340 MHEV</t>
  </si>
  <si>
    <t>Range Rover Velar P400 MHEV</t>
  </si>
  <si>
    <t>Range Rover Velar MHEV</t>
  </si>
  <si>
    <t>NX 250 AWD</t>
  </si>
  <si>
    <t>NX 350 AWD</t>
  </si>
  <si>
    <t>NX 350 AWD F SPORT</t>
  </si>
  <si>
    <t>NX 350h AWD</t>
  </si>
  <si>
    <t>RX 350 AWD</t>
  </si>
  <si>
    <t>RX 350h AWD</t>
  </si>
  <si>
    <t>Applied to GRAND HIGHLANDER HYBRID and RX 350h.</t>
  </si>
  <si>
    <t>RX 500h AWD</t>
  </si>
  <si>
    <t>APPLIED TO TX 500h, RX 500h</t>
  </si>
  <si>
    <t>64 and 76</t>
  </si>
  <si>
    <t>STYXT02.4H3L</t>
  </si>
  <si>
    <t>CORSAIR AWD</t>
  </si>
  <si>
    <t>NAUTILUS HEV AWD</t>
  </si>
  <si>
    <t>SFMXT02.02JF</t>
  </si>
  <si>
    <t>Grecale Trofeo</t>
  </si>
  <si>
    <t>CX-30 4WD</t>
  </si>
  <si>
    <t>CX-5 4WD</t>
  </si>
  <si>
    <t>STKXT02.5EGB</t>
  </si>
  <si>
    <t>without cylinder deactivation</t>
  </si>
  <si>
    <t>STKXT02.5CDA</t>
  </si>
  <si>
    <t>STKXT02.5CDG</t>
  </si>
  <si>
    <t>STKXT02.5CDE</t>
  </si>
  <si>
    <t>MAZDA CX-50 4WD</t>
  </si>
  <si>
    <t>This technology optimizes the valve timing by using computer control to continuously switch the intake and exhasust valve opening/closing timing according to driving conditions.</t>
  </si>
  <si>
    <t>AC  SYNCHRONOUS</t>
  </si>
  <si>
    <t>0W16</t>
  </si>
  <si>
    <t>STKXT02.5CDC</t>
  </si>
  <si>
    <t>STKXT02.5EGD</t>
  </si>
  <si>
    <t>STKXT02.5CDD</t>
  </si>
  <si>
    <t>GLA 250 4MATIC</t>
  </si>
  <si>
    <t>GLB 250 4MATIC</t>
  </si>
  <si>
    <t>GLC 300 4MATIC (Coupe)</t>
  </si>
  <si>
    <t>GLC 300, GLC 300 4MATIC, GLC 300 4MATIC (coupe) - ICE: 255 HP / E: 23 HP</t>
  </si>
  <si>
    <t>Allows timing of the intake/exhaust valves to be changed while the engineis in operation</t>
  </si>
  <si>
    <t>SMBXJ02.0HY1</t>
  </si>
  <si>
    <t>GLE 350</t>
  </si>
  <si>
    <t>SMBXT02.0HY1</t>
  </si>
  <si>
    <t>GLE 350 4MATIC</t>
  </si>
  <si>
    <t>Countryman S ALL4</t>
  </si>
  <si>
    <t>JCW Countryman ALL4</t>
  </si>
  <si>
    <t>Outlander 4WD</t>
  </si>
  <si>
    <t>ECLIPSE CROSS 4WD</t>
  </si>
  <si>
    <t>ECLIPSE CROSS ES 4WD</t>
  </si>
  <si>
    <t>Outlander Sport 4WD</t>
  </si>
  <si>
    <t>SMTXT02.4G5P</t>
  </si>
  <si>
    <t>KICKS AWD</t>
  </si>
  <si>
    <t>Fof KICKS AWD</t>
  </si>
  <si>
    <t>MURANO AWD</t>
  </si>
  <si>
    <t>PATHFINDER 4WD</t>
  </si>
  <si>
    <t>PATHFINDER 4WD ROCK CREEK</t>
  </si>
  <si>
    <t>SNSXT03.5PTD</t>
  </si>
  <si>
    <t>ROGUE AWD</t>
  </si>
  <si>
    <t>ROGUE AWD ROCK CREEK</t>
  </si>
  <si>
    <t>SNSXT01.5A3E</t>
  </si>
  <si>
    <t>ROGUE AWD SL/PLATINUM</t>
  </si>
  <si>
    <t>Macan</t>
  </si>
  <si>
    <t>TWC/MAP/DFI/WR-HO2S/HO2S/TC/CAC</t>
  </si>
  <si>
    <t>SPRXT02.0MR4</t>
  </si>
  <si>
    <t>Macan GTS</t>
  </si>
  <si>
    <t>SPRXT03.0CV6</t>
  </si>
  <si>
    <t>Macan S</t>
  </si>
  <si>
    <t>Engine for Macan S</t>
  </si>
  <si>
    <t>Macan T</t>
  </si>
  <si>
    <t>CROSSTREK AWD</t>
  </si>
  <si>
    <t>CROSSTREK WILDERNESS AWD</t>
  </si>
  <si>
    <t>FORESTER AWD</t>
  </si>
  <si>
    <t>SFJXT02.5VDH</t>
  </si>
  <si>
    <t>FORESTER HYBRID AWD</t>
  </si>
  <si>
    <t>SFJXT02.5XEJ</t>
  </si>
  <si>
    <t>FORESTER SPORT/TOURING AWD</t>
  </si>
  <si>
    <t>FORESTER WILDERNESS AWD</t>
  </si>
  <si>
    <t>OUTBACK AWD</t>
  </si>
  <si>
    <t>OUTBACK WILDERNESS AWD</t>
  </si>
  <si>
    <t>COROLLA CROSS AWD</t>
  </si>
  <si>
    <t>COROLLA CROSS HYBRID AWD</t>
  </si>
  <si>
    <t>30 and 83</t>
  </si>
  <si>
    <t>HIGHLANDER AWD</t>
  </si>
  <si>
    <t>W/O STOP-START</t>
  </si>
  <si>
    <t>RAV4 AWD</t>
  </si>
  <si>
    <t>RAV4 AWD LE</t>
  </si>
  <si>
    <t>RAV4 HYBRID AWD</t>
  </si>
  <si>
    <t>Li-Ion and NiMH</t>
  </si>
  <si>
    <t>RAV4 Hybrid has LI ION and NiMH batteries. Input values are for RAV4 Hybrid with LI ION battery. For RAV4 Hybrid with NiMH battery:Number of Battery Packs:1, Total Voltage of Battery Packs:245, Battery Energy Capacity:6.5, Battery Specific Energy:46.4, Battery Charger Type:ON.</t>
  </si>
  <si>
    <t>88 and  40</t>
  </si>
  <si>
    <t>STYXT02.5H3B</t>
  </si>
  <si>
    <t>RAV4 HYBRID AWD WOODLAND EDITION</t>
  </si>
  <si>
    <t>Atlas 4Motion Peak Edition</t>
  </si>
  <si>
    <t>Atlas Cross Sport 4Motion</t>
  </si>
  <si>
    <t>Atlas SE 4Motion</t>
  </si>
  <si>
    <t>Atlas SEL 4Motion</t>
  </si>
  <si>
    <t>Taos 4Motion</t>
  </si>
  <si>
    <t>Tiguan 4Motion</t>
  </si>
  <si>
    <t>DYLA var: 0 for AWD</t>
  </si>
  <si>
    <t>XC40 B5 AWD</t>
  </si>
  <si>
    <t>XC60 B5 AWD</t>
  </si>
  <si>
    <t>SVVXT02.0S31</t>
  </si>
  <si>
    <t>X5 sDrive40i</t>
  </si>
  <si>
    <t>Standard SUV 2WD</t>
  </si>
  <si>
    <t>ENCLAVE FWD</t>
  </si>
  <si>
    <t>SGMXT02.5000</t>
  </si>
  <si>
    <t>ESCALADE 2WD</t>
  </si>
  <si>
    <t>SUBURBAN 2WD</t>
  </si>
  <si>
    <t>SGMXT03.0353</t>
  </si>
  <si>
    <t>TAHOE 2WD</t>
  </si>
  <si>
    <t>TRAVERSE FWD</t>
  </si>
  <si>
    <t>Durango RWD</t>
  </si>
  <si>
    <t>GM</t>
  </si>
  <si>
    <t>Gasoline (Mid Grade Unleaded Recommended)</t>
  </si>
  <si>
    <t>Solenoids</t>
  </si>
  <si>
    <t>Cam phasers</t>
  </si>
  <si>
    <t>SCRXT05.75P0</t>
  </si>
  <si>
    <t>EXPEDITION 2WD</t>
  </si>
  <si>
    <t>Expedition (97 RON Ratings)</t>
  </si>
  <si>
    <t>EXPLORER RWD</t>
  </si>
  <si>
    <t>SFMXT02.34K2</t>
  </si>
  <si>
    <t>DOHC with VCT</t>
  </si>
  <si>
    <t>SFMXT03.03U2</t>
  </si>
  <si>
    <t>ACADIA FWD</t>
  </si>
  <si>
    <t>YUKON 2WD</t>
  </si>
  <si>
    <t>YUKON XL 2WD</t>
  </si>
  <si>
    <t>QX60 FWD</t>
  </si>
  <si>
    <t>QX60 FWD, QX60 AWD</t>
  </si>
  <si>
    <t>QX80 2WD</t>
  </si>
  <si>
    <t>For QX80 2WD and QX80 4WD</t>
  </si>
  <si>
    <t>SNSXT03.5AWA</t>
  </si>
  <si>
    <t>Grand Cherokee 4X2</t>
  </si>
  <si>
    <t>Grand Cherokee L 4X2</t>
  </si>
  <si>
    <t>Wagoneer 4x2</t>
  </si>
  <si>
    <t>Wagoneer L 4x2</t>
  </si>
  <si>
    <t>TX 350</t>
  </si>
  <si>
    <t>AVIATOR RWD</t>
  </si>
  <si>
    <t>ARMADA 2WD</t>
  </si>
  <si>
    <t>For ARMADA 2WD, ARMADA 4WD and ARMADA 4WD PRO4X</t>
  </si>
  <si>
    <t>4RUNNER 2WD</t>
  </si>
  <si>
    <t>STYXT02.4H3C</t>
  </si>
  <si>
    <t>GRAND HIGHLANDER HYBRID</t>
  </si>
  <si>
    <t>40 and 134</t>
  </si>
  <si>
    <t>GRAND HIGHLANDER LE/XLE</t>
  </si>
  <si>
    <t>GRAND HIGHLANDER LIMITED</t>
  </si>
  <si>
    <t>SEQUOIA 2WD</t>
  </si>
  <si>
    <t>MDX AWD Type-S</t>
  </si>
  <si>
    <t>Standard SUV 4WD</t>
  </si>
  <si>
    <t>Variable valve Timing control(VTC) system is applied.</t>
  </si>
  <si>
    <t>SHNXT03.0HTC</t>
  </si>
  <si>
    <t>DBX 707</t>
  </si>
  <si>
    <t>DBX707 Power Spec</t>
  </si>
  <si>
    <t>Individual cylinder de-activation based on torque demand</t>
  </si>
  <si>
    <t>Q7</t>
  </si>
  <si>
    <t>Applies to DUVA var: 0</t>
  </si>
  <si>
    <t>Audi Valve System</t>
  </si>
  <si>
    <t>SVGAT02.0A77</t>
  </si>
  <si>
    <t>Applies to DCBD var. 0</t>
  </si>
  <si>
    <t>Adjust the inlet and outlet camshaft continuously between retarded and advanced position. The maximum adjustment speed is limited by mechanical system, e.g. oil viscosity.</t>
  </si>
  <si>
    <t>Q8 quattro</t>
  </si>
  <si>
    <t>RS Q8 Performance</t>
  </si>
  <si>
    <t>SQ7</t>
  </si>
  <si>
    <t>Applies to DWRB var: 0</t>
  </si>
  <si>
    <t>The variable valve timing is a substantial engine feature for: Reducing engine out emissions Optimizing full load performance Optimizing fuel consumption Reducing engine roughness Adjust the inlet and outlet camshaft position continously between retard and advanced position.</t>
  </si>
  <si>
    <t>SVGAT04.0NAV</t>
  </si>
  <si>
    <t>SQ8</t>
  </si>
  <si>
    <t>Bentley</t>
  </si>
  <si>
    <t>Bentayga</t>
  </si>
  <si>
    <t>Applies to DWRA var: 0</t>
  </si>
  <si>
    <t>The variable valve timing is a substantial engine feature for: ? Reducing engine out emissions ? Optimizing full load performance ? Optimizing fuel consumption ? Reducing engine roughness Adjust the inlet and outlet camshaft position continuously between retard and advanced position.</t>
  </si>
  <si>
    <t>SVGAT04.0PAA</t>
  </si>
  <si>
    <t>Bentayga EWB</t>
  </si>
  <si>
    <t>X5 M Competition</t>
  </si>
  <si>
    <t>Starter Generator Engine with 48V Technology; Motor/Generator Type: permanent magnet synchronous machine (PMSM)</t>
  </si>
  <si>
    <t>SBMXT04.4S6M</t>
  </si>
  <si>
    <t>X5 M60i xDrive</t>
  </si>
  <si>
    <t>X5 xDrive40i</t>
  </si>
  <si>
    <t>X6 M Competition</t>
  </si>
  <si>
    <t>X6 M60i xDrive</t>
  </si>
  <si>
    <t>X6 xDrive40i</t>
  </si>
  <si>
    <t>X7 M60i xDrive</t>
  </si>
  <si>
    <t>X7 xDrive40i</t>
  </si>
  <si>
    <t>ENCLAVE AWD</t>
  </si>
  <si>
    <t>ESCALADE 4WD</t>
  </si>
  <si>
    <t>ESCALADE V AWD</t>
  </si>
  <si>
    <t>SGMXT06.2376</t>
  </si>
  <si>
    <t>SUBURBAN 4WD</t>
  </si>
  <si>
    <t>TAHOE 4WD</t>
  </si>
  <si>
    <t>Municipal</t>
  </si>
  <si>
    <t>TRAVERSE AWD</t>
  </si>
  <si>
    <t>Durango AWD</t>
  </si>
  <si>
    <t>Durango SRT AWD</t>
  </si>
  <si>
    <t>SCRXT06.25P1</t>
  </si>
  <si>
    <t>BRONCO OUTER BANKS 4WD</t>
  </si>
  <si>
    <t>BRONCO RAPTOR 4WD</t>
  </si>
  <si>
    <t>EXPEDITION 4WD</t>
  </si>
  <si>
    <t>EXPLORER AWD</t>
  </si>
  <si>
    <t>GV80 AWD</t>
  </si>
  <si>
    <t>SHYXT02.5TP3</t>
  </si>
  <si>
    <t>SHYXT03.5TT5</t>
  </si>
  <si>
    <t>GV80 MHEV</t>
  </si>
  <si>
    <t>2 Turbocharger + 1 Supercharger</t>
  </si>
  <si>
    <t>Claw pole</t>
  </si>
  <si>
    <t>SHYXT03.5T15</t>
  </si>
  <si>
    <t>ACADIA AWD</t>
  </si>
  <si>
    <t>YUKON 4WD</t>
  </si>
  <si>
    <t>YUKON XL 4WD</t>
  </si>
  <si>
    <t>PILOT AWD</t>
  </si>
  <si>
    <t>Pilot AWD Touring/Elite/Black</t>
  </si>
  <si>
    <t>Pilot AWD TRAILSPORT</t>
  </si>
  <si>
    <t>Ineos Automotive Li</t>
  </si>
  <si>
    <t>INEOS Automotive Limited</t>
  </si>
  <si>
    <t>Grenadier Station Wagon</t>
  </si>
  <si>
    <t>IAL</t>
  </si>
  <si>
    <t>Inlet and exhaust camshaft phasing controlled by the engine control module</t>
  </si>
  <si>
    <t>The BMW VVL system is used for the inlet valves</t>
  </si>
  <si>
    <t>Grenadier</t>
  </si>
  <si>
    <t>SIALT03.0001</t>
  </si>
  <si>
    <t>Grenadier Trialmaster Edition</t>
  </si>
  <si>
    <t>QX60 AWD</t>
  </si>
  <si>
    <t>QX80 4WD</t>
  </si>
  <si>
    <t>Grand Cherokee 4X4</t>
  </si>
  <si>
    <t>Grand Cherokee L 4X4</t>
  </si>
  <si>
    <t>Grand Wagoneer 4x4</t>
  </si>
  <si>
    <t>Grand Wagoneer L 4x4</t>
  </si>
  <si>
    <t>Wagoneer 4x4</t>
  </si>
  <si>
    <t>Wagoneer L 4x4</t>
  </si>
  <si>
    <t>Defender 110</t>
  </si>
  <si>
    <t>SJLXT02.0RTW</t>
  </si>
  <si>
    <t>SJLXT05.0FSR</t>
  </si>
  <si>
    <t>Defender 110 MHEV</t>
  </si>
  <si>
    <t>SJLXT04.4GTH</t>
  </si>
  <si>
    <t>Defender 130</t>
  </si>
  <si>
    <t>Defender 130 Outbound</t>
  </si>
  <si>
    <t>Mechanical turbocharger and electronic supercharger.</t>
  </si>
  <si>
    <t>Defender 130 Outbound MHEV</t>
  </si>
  <si>
    <t>SJLXT03.0HTS</t>
  </si>
  <si>
    <t>Defender 130 P300 MHEV</t>
  </si>
  <si>
    <t>SJLXT03.0HTT</t>
  </si>
  <si>
    <t>Defender 130 P400 MHEV</t>
  </si>
  <si>
    <t>Defender 90</t>
  </si>
  <si>
    <t>Defender 90 MHEV</t>
  </si>
  <si>
    <t>Discovery</t>
  </si>
  <si>
    <t>Range Rover LWB MHEV</t>
  </si>
  <si>
    <t>Range Rover MHEV LWB</t>
  </si>
  <si>
    <t>SJLXT04.4GTG</t>
  </si>
  <si>
    <t>Range Rover MHEV</t>
  </si>
  <si>
    <t>Range Rover P400 LWB MHEV</t>
  </si>
  <si>
    <t>SJLXT03.0HTV</t>
  </si>
  <si>
    <t>Range Rover P400 MHEV</t>
  </si>
  <si>
    <t>Range Rover Sport MHEV</t>
  </si>
  <si>
    <t>Range Rover Sport P360 MHEV</t>
  </si>
  <si>
    <t>Range Rover Sport P400 MHEV</t>
  </si>
  <si>
    <t>Range Rover Sport SVR MHEV</t>
  </si>
  <si>
    <t>Range Rover SV LWB MHEV</t>
  </si>
  <si>
    <t>Range Rover SV MHEV</t>
  </si>
  <si>
    <t>GX 550</t>
  </si>
  <si>
    <t>STYXT03.4B5B</t>
  </si>
  <si>
    <t>LX 600</t>
  </si>
  <si>
    <t>APPLIED TO LX 600</t>
  </si>
  <si>
    <t>LX 700h</t>
  </si>
  <si>
    <t>APPLIED TO LX 700h.</t>
  </si>
  <si>
    <t>TX 350 AWD</t>
  </si>
  <si>
    <t>TX 500h AWD</t>
  </si>
  <si>
    <t>76 and 64</t>
  </si>
  <si>
    <t>AVIATOR AWD</t>
  </si>
  <si>
    <t>NAVIGATOR 4WD</t>
  </si>
  <si>
    <t>MAZDA CX-70 4WD</t>
  </si>
  <si>
    <t>STKXT03.3DHB</t>
  </si>
  <si>
    <t>STKXT03.3DHA</t>
  </si>
  <si>
    <t>MAZDA CX-90 4WD</t>
  </si>
  <si>
    <t>AMG G 63</t>
  </si>
  <si>
    <t>AMG G 63ICE: 577 HP / E: 20 HP</t>
  </si>
  <si>
    <t>Camtronic is used to deactivate cylinder 2,3,5,8 by changing the valve lift (intake and exhaust valves) of the mentioned cylinders to 0 mm.</t>
  </si>
  <si>
    <t>SMBXT04.0HY2</t>
  </si>
  <si>
    <t>AMG GLE 53 4MATIC+</t>
  </si>
  <si>
    <t>GLS 450 4MATIC, GLE 450 4MATIC, GLE 450 4MATIC (coupe)</t>
  </si>
  <si>
    <t>AMG GLE 53 4MATIC+ (coupe)</t>
  </si>
  <si>
    <t>AMG GLE 63 S 4MATIC+</t>
  </si>
  <si>
    <t>ENGINE: GLS 63, GLE 63, GLE 63 coupe (AWD)/ 603 HP COMBUSTION AND 21 HP ELECTRIC MOTOR</t>
  </si>
  <si>
    <t>SMBXT04.0HY1</t>
  </si>
  <si>
    <t>AMG GLE 63 S 4MATIC+ (coupe)</t>
  </si>
  <si>
    <t>AMG GLS 63 4MATIC+</t>
  </si>
  <si>
    <t>G 550</t>
  </si>
  <si>
    <t>Electric motor: max. power 15kW</t>
  </si>
  <si>
    <t>SMBXT03.0HY1</t>
  </si>
  <si>
    <t>GLE 450 4MATIC</t>
  </si>
  <si>
    <t>GLE 450 4MATIC (coupe)</t>
  </si>
  <si>
    <t>GLE 580 4MATIC</t>
  </si>
  <si>
    <t>GLS 450 4MATIC</t>
  </si>
  <si>
    <t>GLS 580 4MATIC</t>
  </si>
  <si>
    <t>GLS 600 4MATIC Maybach</t>
  </si>
  <si>
    <t>ARMADA 4WD</t>
  </si>
  <si>
    <t>ARMADA 4WD PRO-4X</t>
  </si>
  <si>
    <t>PATHFINDER 4WD PLATINUM</t>
  </si>
  <si>
    <t>Cayenne</t>
  </si>
  <si>
    <t>engine for Cayenne and Cayenne Coupe TWC/MAP/DFI/WR-HO2S/HO2S/1TC/2CAC</t>
  </si>
  <si>
    <t>Cayenne Coupe</t>
  </si>
  <si>
    <t>Cayenne GTS Coupe</t>
  </si>
  <si>
    <t>2TWC/MAP/DFI/2WR-HO2S/2HO2S/2TC/2CAC</t>
  </si>
  <si>
    <t>SPRXT04.0CE8</t>
  </si>
  <si>
    <t>Cayenne S</t>
  </si>
  <si>
    <t>Cayenne S Coupe</t>
  </si>
  <si>
    <t>Cayenne Turbo GT</t>
  </si>
  <si>
    <t>Engine for Cayenne Turbo GT</t>
  </si>
  <si>
    <t>SPRXT04.0CV8</t>
  </si>
  <si>
    <t>Black Badge Cullinan</t>
  </si>
  <si>
    <t>Cullinan</t>
  </si>
  <si>
    <t>ASCENT AWD</t>
  </si>
  <si>
    <t>SFJXT02.4SAF</t>
  </si>
  <si>
    <t>ASCENT LIMITED/TOURING/ONYX EDITION AWD</t>
  </si>
  <si>
    <t>4RUNNER 4WD</t>
  </si>
  <si>
    <t>HYBRID. FULL-TIME 4WD</t>
  </si>
  <si>
    <t>STYXT02.4H3J</t>
  </si>
  <si>
    <t>HYBRID. PART-TIME 4WD.</t>
  </si>
  <si>
    <t>GRAND HIGHLANDER AWD LE/XLE</t>
  </si>
  <si>
    <t>GRAND HIGHLANDER AWD LIMITED/PLATINUM</t>
  </si>
  <si>
    <t>GRAND HIGHLANDER HYBRID AWD</t>
  </si>
  <si>
    <t>APPLIED TO GRAND HIGHLANDER</t>
  </si>
  <si>
    <t>HIGHLANDER HYBRID AWD</t>
  </si>
  <si>
    <t>APPLIED TO HIGHLANDER HYBRID</t>
  </si>
  <si>
    <t>HIGHLANDER HYBRID AWD LTD/PLAT</t>
  </si>
  <si>
    <t>LAND CRUISER</t>
  </si>
  <si>
    <t>STYXT02.4E4A</t>
  </si>
  <si>
    <t>SEQUOIA 4WD</t>
  </si>
  <si>
    <t>XC90 B5 AWD</t>
  </si>
  <si>
    <t>XC90 B6 AWD</t>
  </si>
  <si>
    <t>Vanquish</t>
  </si>
  <si>
    <t>Vanquish base engine spec</t>
  </si>
  <si>
    <t>SASXV05.2AMV</t>
  </si>
  <si>
    <t>BRONCO SASQUATCH 4WD</t>
  </si>
  <si>
    <t>F150 RAPTOR 4WD</t>
  </si>
  <si>
    <t>F150 Raptor (97 RON Ratings)</t>
  </si>
  <si>
    <t>F150 RAPTOR R 4WD</t>
  </si>
  <si>
    <t>F150 RAPTOR R. Rated Power and Peak Torque values based on 98 RON testing.</t>
  </si>
  <si>
    <t>SFMXT05.2AHS</t>
  </si>
  <si>
    <t>NAUTILUS AWD</t>
  </si>
  <si>
    <t>RANGER 2WD</t>
  </si>
  <si>
    <t>SFMXT02.71HS</t>
  </si>
  <si>
    <t>XT4 FWD</t>
  </si>
  <si>
    <t>SHNXV02.0FEK</t>
  </si>
  <si>
    <t>RIDGELINE AWD</t>
  </si>
  <si>
    <t>Fixed3 - Continuously variable cam timing both intake and exhaust for the best performance and fuel economy</t>
  </si>
  <si>
    <t>SHYXV01.6CC7</t>
  </si>
  <si>
    <t>Lotus</t>
  </si>
  <si>
    <t>Lotus Cars Ltd</t>
  </si>
  <si>
    <t>Emira</t>
  </si>
  <si>
    <t>LTX</t>
  </si>
  <si>
    <t>The 2GR engine is a proven Toyota engine, in use on such vehicles as the US specification Toyota Camry. Lotus has previously used Toyota powertrains and found both reliability and emissions durability to be excellent. This engine does not feature any new, unproven technology.</t>
  </si>
  <si>
    <t>VVT mechanisms are on the inlet and exhaust camshafts for both engine banks. The system changes inlet and exhaust valve timing over the entire speed range in accordance to engine speed and load.</t>
  </si>
  <si>
    <t>Emira V6 Automatic</t>
  </si>
  <si>
    <t>SLTXV03.5JHB</t>
  </si>
  <si>
    <t>Emira V6</t>
  </si>
  <si>
    <t>Grancabrio</t>
  </si>
  <si>
    <t>Granturismo</t>
  </si>
  <si>
    <t>Grecale</t>
  </si>
  <si>
    <t>Multi-air electro-hydraulic control</t>
  </si>
  <si>
    <t>Claw Pole Motor</t>
  </si>
  <si>
    <t>SMAXT02.0DUV</t>
  </si>
  <si>
    <t>Grecale Modena</t>
  </si>
  <si>
    <t>GT2 Stradale</t>
  </si>
  <si>
    <t>GLC 300</t>
  </si>
  <si>
    <t>GLC 300 4MATIC</t>
  </si>
  <si>
    <t>ALTIMA</t>
  </si>
  <si>
    <t>911 Carrera GTS</t>
  </si>
  <si>
    <t>911 Carrera S</t>
  </si>
  <si>
    <t>S models, engine code DYH</t>
  </si>
  <si>
    <t>911 Carrera S Cabriolet</t>
  </si>
  <si>
    <t>Cayenne GTS</t>
  </si>
  <si>
    <t>LS 500 AWD</t>
  </si>
  <si>
    <t>A8 quattro</t>
  </si>
  <si>
    <t>Applies to CZSE var: 0</t>
  </si>
  <si>
    <t>--</t>
  </si>
  <si>
    <t>SVGAV03.0N7M</t>
  </si>
  <si>
    <t>RS 3</t>
  </si>
  <si>
    <t xml:space="preserve">SIDI; Under EPA regulations, the manufacturer revised the fuel economy label values on . Previous values were XX MPG city, XX MPG highway, and XX MPG combined; </t>
  </si>
  <si>
    <t>Applies to DXHB var: 0</t>
  </si>
  <si>
    <t>SVGAV02.5NAG</t>
  </si>
  <si>
    <t>Tucson AWD</t>
  </si>
  <si>
    <t>NX4 2.5 8AT AWD</t>
  </si>
  <si>
    <t>City Range (miles)</t>
  </si>
  <si>
    <t>Hwy Range (miles)</t>
  </si>
  <si>
    <t>Comb Range as shown on FE Label (miles)</t>
  </si>
  <si>
    <t>Q4 45 e-tron</t>
  </si>
  <si>
    <t>Auto(A1)</t>
  </si>
  <si>
    <t>EL</t>
  </si>
  <si>
    <t>Electricity</t>
  </si>
  <si>
    <t>Vehicle can not operate on gasoline or diesel fuel</t>
  </si>
  <si>
    <t>Electric Vehicle 2-cycle label</t>
  </si>
  <si>
    <t>Off-Board</t>
  </si>
  <si>
    <t>3 Phase PSM</t>
  </si>
  <si>
    <t>SVGAV00.0NZ4</t>
  </si>
  <si>
    <t>KW-HR/100Miles</t>
  </si>
  <si>
    <t>kilowatt-hour per 100 miles</t>
  </si>
  <si>
    <t>Q4 55 e-tron quattro</t>
  </si>
  <si>
    <t>EV direct drive</t>
  </si>
  <si>
    <t>RC: Q4 55: Front Motor EDDA, Rear Motor EDFA. Total combined power rating : 250Kw.</t>
  </si>
  <si>
    <t>3 Phase Asynchron Drive Motor</t>
  </si>
  <si>
    <t>80 and 170</t>
  </si>
  <si>
    <t>SVGAV00.0NZ5</t>
  </si>
  <si>
    <t>Q4 Sportback 55 e-tron quattro</t>
  </si>
  <si>
    <t>Q6 e-tron</t>
  </si>
  <si>
    <t>Both On-Board and Off-Board</t>
  </si>
  <si>
    <t>Battery Total Voltage = Nominal Voltage</t>
  </si>
  <si>
    <t>3 Phase Permanent Magnet ECCE</t>
  </si>
  <si>
    <t>Q6 e-tron 20in wheels</t>
  </si>
  <si>
    <t>SVGAV00.0B6A</t>
  </si>
  <si>
    <t>Q6 e-tron quattro</t>
  </si>
  <si>
    <t>Battery Total Voltage = Nominal Voltage Max. System-Power split between SQ6 and Q6 is limited by the ASG SW</t>
  </si>
  <si>
    <t>3 Phase PSM ECCA</t>
  </si>
  <si>
    <t>140 and 280</t>
  </si>
  <si>
    <t>SVGAT00.0B6B</t>
  </si>
  <si>
    <t>3 PhaseAsynchronDrive ECFA</t>
  </si>
  <si>
    <t>Q6 e-tron quattro 20in wheels</t>
  </si>
  <si>
    <t>Q6 e-tron ultra</t>
  </si>
  <si>
    <t>Q6 Sportback e-tron quattro</t>
  </si>
  <si>
    <t>Q6 Sportback e-tron 19in whls</t>
  </si>
  <si>
    <t>Q6 Sportback e-tron 20in whls</t>
  </si>
  <si>
    <t>Q8 e-tron quattro</t>
  </si>
  <si>
    <t>Electric Vehicle 5-cycle label</t>
  </si>
  <si>
    <t>EASA/EDEA motors</t>
  </si>
  <si>
    <t>141 and 172</t>
  </si>
  <si>
    <t>SVGAT00.0AZE</t>
  </si>
  <si>
    <t>Q8 e-tron (21in wheels)</t>
  </si>
  <si>
    <t>Q8 Sportback e-tron quattro</t>
  </si>
  <si>
    <t>Q8 e-tron Sportback (21in)</t>
  </si>
  <si>
    <t>RS e-tron GT Performance</t>
  </si>
  <si>
    <t>Front Axle: 176 kW motor (EBGE, S e-tron GT) or 252 kW motor (EBGD, RS e-tron GT Performance), Rear Axle: 415 kW motor (ECXA). Both models use the same rear axle motor.</t>
  </si>
  <si>
    <t>252 and 415</t>
  </si>
  <si>
    <t>SVGAV00.0NZG</t>
  </si>
  <si>
    <t>S e-tron GT (21in wheels)</t>
  </si>
  <si>
    <t>S e-tron GT (20in. Wheels)</t>
  </si>
  <si>
    <t>S e-tron GT (20in wheels)</t>
  </si>
  <si>
    <t>176, 176 and 415</t>
  </si>
  <si>
    <t>S e-tron GT (21in. Wheels)</t>
  </si>
  <si>
    <t>252, 252 and 415</t>
  </si>
  <si>
    <t>SQ6 e-tron</t>
  </si>
  <si>
    <t>140 and 140</t>
  </si>
  <si>
    <t>SQ6 Sportback e-tron</t>
  </si>
  <si>
    <t>SQ8 e-tron (20in wheels)</t>
  </si>
  <si>
    <t>Rear twin co-axle e-motors have a rating of 138Kw.</t>
  </si>
  <si>
    <t>138 and 157</t>
  </si>
  <si>
    <t>SVGAT00.0AZS</t>
  </si>
  <si>
    <t>SQ8 e-tron (21/22in wheels)</t>
  </si>
  <si>
    <t>SQ8 Sportback e-tron (20in wheels)</t>
  </si>
  <si>
    <t>SQ8 Sportback e-tron (21/22in wheels)</t>
  </si>
  <si>
    <t>i4 eDrive35 Gran Coupe (18'' Wheels)</t>
  </si>
  <si>
    <t>I4 eDrive 40 Gran Coupe and I5 eDrive 40 Sedan: Number of Battery Packs 7, Battery Energy Capacity 210.6 Ah, Total Voltage of Battery Pack(s) 399 V, Battery Specific Energy 149 Wh/kg, Motor/Generator EESM 250 kW; I4 eDrive 35 Gran Coupe: Number of Battery Packs 4, Battery Energy Capacity 198.6 Ah, Total Voltage of Battery Pack(s) 353 V, Battery Specific Energy 138 Wh/kg, Motor/Generator: EESM 210 kW; Motor/Generator Type: externally excited synchronuous machine (EESM)</t>
  </si>
  <si>
    <t>SBMXV00.0G2S</t>
  </si>
  <si>
    <t>i4 eDrive35 Gran Coupe (19'' Wheels)</t>
  </si>
  <si>
    <t>i4 eDrive40 Gran Coupe (18'' Wheels)</t>
  </si>
  <si>
    <t>i4 eDrive40 Gran Coupe (19'' Wheels)</t>
  </si>
  <si>
    <t>i4 M50 Gran Coupe (19'' Wheels)</t>
  </si>
  <si>
    <t>i4 M50 Gran Coupe, i4 xDrive40 Gran Coupe and i5 xDrive40 Sedan: Number of Battery Packs 7, Battery Energy Capacity 210,6 Ah, Total Voltage of Battery Pack(s) 398,5 V, Battery Specific Energy 149 Wh/kg, Motor/Generator Type 1: EESM 190 kW, Motor/Generator Type 2: EESM 230 kW; i5 M60 xDrive Sedan: Number of Battery Packs 7, Battery Energy Capacity 210,6 Ah, Total Voltage of Battery Pack(s) 398,5 V, Battery Specific Energy 149 Wh/kg, Motor/Generator Type 1: EESM 192 kW, Motor/Generator Type 2: EESM 250 kW; i7 xDrive60 Sedan: Number of Battery Packs 9, Battery Energy Capacity 280,8 Ah, Total Voltage of Battery Pack(s) 376,4 V, Battery Specific Energy 154 Wh/kg, Motor/Generator Type 1: EESM 190 kW, Motor/Generator Type 2: EESM 230 kW; Motor/Generator Type: externally excited synchronuous machine (EESM)</t>
  </si>
  <si>
    <t>190 and 230</t>
  </si>
  <si>
    <t>SBMXV00.0G2X</t>
  </si>
  <si>
    <t>i4 M50 Gran Coupe (20'' Wheels)</t>
  </si>
  <si>
    <t>i4 xDrive40 Gran Coupe (18'' Wheels)</t>
  </si>
  <si>
    <t>i4 xDrive40 Gran Coupe (19'' Wheels)</t>
  </si>
  <si>
    <t>i5 eDrive40 Sedan (19'' Wheels)</t>
  </si>
  <si>
    <t>i5 eDrive40 Sedan (20'' Wheels)</t>
  </si>
  <si>
    <t>i5 eDrive40 Sedan (21'' Wheels)</t>
  </si>
  <si>
    <t>i5 M60 xDrive Sedan (19'' Wheels)</t>
  </si>
  <si>
    <t>i5 M60 xDrive Sedan (20'' Wheels)</t>
  </si>
  <si>
    <t>i5 M60 xDrive Sedan (21'' Wheels)</t>
  </si>
  <si>
    <t>i5 xDrive40 Sedan (19'' Wheels)</t>
  </si>
  <si>
    <t>i5 xDrive40 Sedan (20'' Wheels)</t>
  </si>
  <si>
    <t>192 and 250</t>
  </si>
  <si>
    <t>i5 xDrive40 Sedan (21'' Wheels)</t>
  </si>
  <si>
    <t>i7 eDrive50 Sedan (19'' Wheels)</t>
  </si>
  <si>
    <t>Motor/Generator Type: externally excited synchronuous machine (EESM)</t>
  </si>
  <si>
    <t>SBMXV00.0G7S</t>
  </si>
  <si>
    <t>i7 eDrive50 Sedan (20'' Wheels)</t>
  </si>
  <si>
    <t>i7 eDrive50 Sedan (21'' Wheels)</t>
  </si>
  <si>
    <t>i7 M70 xDrive Sedan (20'' Wheels)</t>
  </si>
  <si>
    <t>iX M60: Number of Battery Packs 11, Battery Energy Capacity 303 Ah, Total Voltage of Battery Pack(s) 369 V, Battery Specific Energy 174 Wh/kg, Motor/Generator Type 1: EESM 190 kW, Motor/Generator Type 2: EESM 360 kW; i7 M70 xDrive Sedan: Number of Battery Packs 9, Battery, Energy Capacity 280.8 Ah, Total Voltage of Battery Pack(s) 376 V, Battery Specific Energy 154 Wh/kg, Motor/Generator Type 1: EESM 190 kW, Motor/Generator Type 2: EESM 360 kW; Motor/Generator Type: externally excited synchronuous machine (EESM)</t>
  </si>
  <si>
    <t>190 and 360</t>
  </si>
  <si>
    <t>SBMXJ00.0I2T</t>
  </si>
  <si>
    <t>i7 M70 xDrive Sedan (21'' Wheels)</t>
  </si>
  <si>
    <t>i7 xDrive60 Sedan (19'' Wheels)</t>
  </si>
  <si>
    <t>i7 xDrive60 Sedan (20'' Wheels)</t>
  </si>
  <si>
    <t>i7 xDrive60 Sedan (21'' Wheels)</t>
  </si>
  <si>
    <t>iX M60 (21'' Wheels)</t>
  </si>
  <si>
    <t>iX M60 (22'' Wheels)</t>
  </si>
  <si>
    <t>iX xDrive40 (20'' Wheels)</t>
  </si>
  <si>
    <t>iX xDrive50: Number of Battery Packs 11, Battery Energy Capacity 303 Ah, Total Voltage of Battery Pack(s) 369 V, Battery Specific Energy 174 Wh/kg, Motor/Generator Type 1: EESM 190 kW, Motor/Generator Type 2: EESM 230 kW; iX xDrive40: Number of Battery Packs 5, Battery Energy Capacity 232 Ah, Total Voltage of Battery Pack(s) 330 V, Battery Specific Energy 147 Wh/kg, Motor/Generator Type 1: EESM 190 kW, Motor/Generator Type 2: EESM 200 kW; Motor/Generator Type: externally excited synchronuous machine (EESM)</t>
  </si>
  <si>
    <t>SBMXT00.0I2M</t>
  </si>
  <si>
    <t>iX xDrive40 (21'' Wheels)</t>
  </si>
  <si>
    <t>iX xDrive40 (22'' Wheels)</t>
  </si>
  <si>
    <t>iX xDrive50 (20'' Wheels)</t>
  </si>
  <si>
    <t>iX xDrive50 (21'' Wheels)</t>
  </si>
  <si>
    <t>iX xDrive50 (22'' Wheels)</t>
  </si>
  <si>
    <t>Bugatti Rimac LLC</t>
  </si>
  <si>
    <t>Bugatti Rimac</t>
  </si>
  <si>
    <t>Nevera</t>
  </si>
  <si>
    <t>BGR</t>
  </si>
  <si>
    <t>226, 226, 450 and 450</t>
  </si>
  <si>
    <t>NEVERA</t>
  </si>
  <si>
    <t>SBGRV00.0CJP</t>
  </si>
  <si>
    <t>CELESTIQ</t>
  </si>
  <si>
    <t>A1</t>
  </si>
  <si>
    <t>AC PERMENENT MAGNET</t>
  </si>
  <si>
    <t>155 and 220</t>
  </si>
  <si>
    <t>SGMXV00.0018</t>
  </si>
  <si>
    <t>Lyriq RWD</t>
  </si>
  <si>
    <t>AC PERMANENT MAGNET</t>
  </si>
  <si>
    <t>SGMXT00.0006</t>
  </si>
  <si>
    <t>LYRIQ AWD</t>
  </si>
  <si>
    <t>Lyriq AWD 11kW Charger</t>
  </si>
  <si>
    <t>11 kW Charger;</t>
  </si>
  <si>
    <t>AC Permanent Magnet</t>
  </si>
  <si>
    <t>Lyriq AWD</t>
  </si>
  <si>
    <t>SGMXT00.0017</t>
  </si>
  <si>
    <t>19 kW Charger;</t>
  </si>
  <si>
    <t>BLAZER EV AWD</t>
  </si>
  <si>
    <t>67 and 180</t>
  </si>
  <si>
    <t>Blazer EV AWD</t>
  </si>
  <si>
    <t>SGMXT00.0014</t>
  </si>
  <si>
    <t>BLAZER EV AWD SS</t>
  </si>
  <si>
    <t>BLAZER EV FWD</t>
  </si>
  <si>
    <t>Blazer EV FWD</t>
  </si>
  <si>
    <t>SGMXT00.0013</t>
  </si>
  <si>
    <t>BLAZER EV FWD, 22 inch tire</t>
  </si>
  <si>
    <t>Blazer EV FWD 22 inch</t>
  </si>
  <si>
    <t>BLAZER EV RWD</t>
  </si>
  <si>
    <t>EQUINOX EV AWD</t>
  </si>
  <si>
    <t>Equinox EV AWD</t>
  </si>
  <si>
    <t>EQUINOX EV FWD</t>
  </si>
  <si>
    <t>Equinox EV FWD</t>
  </si>
  <si>
    <t>SILVERADO EV 8WT</t>
  </si>
  <si>
    <t>189 and 189</t>
  </si>
  <si>
    <t>8WT</t>
  </si>
  <si>
    <t>SGMXT00.0005</t>
  </si>
  <si>
    <t>SILVERADO EV 5WT</t>
  </si>
  <si>
    <t>5WT 11 kW Charger</t>
  </si>
  <si>
    <t>11 kW Charger</t>
  </si>
  <si>
    <t>19 kW Charger</t>
  </si>
  <si>
    <t>5WT 19 kW Charger</t>
  </si>
  <si>
    <t>2WT</t>
  </si>
  <si>
    <t>Charger Daytona R/T AWD 245/55ZR18</t>
  </si>
  <si>
    <t>250 and 250</t>
  </si>
  <si>
    <t>SCRXV00.05P4</t>
  </si>
  <si>
    <t>Charger Daytona R/T AWD 255/45R20</t>
  </si>
  <si>
    <t>Charger Daytona R/T AWD 275/40R20</t>
  </si>
  <si>
    <t>Charger Daytona R/T AWD 305/35ZR20</t>
  </si>
  <si>
    <t>Charger Daytona Scat Pack AWD 305/35ZR20</t>
  </si>
  <si>
    <t>Charger Daytona Scat Pack AWD 325/35ZR20 Rear</t>
  </si>
  <si>
    <t>Charger Daytona Scat Pack AWD 325/35ZR20 Rear A/S</t>
  </si>
  <si>
    <t>FIAT</t>
  </si>
  <si>
    <t>500e</t>
  </si>
  <si>
    <t>SCRXV00.05P7</t>
  </si>
  <si>
    <t>500e All Season</t>
  </si>
  <si>
    <t>F150 LIGHTNING 4WD ER1</t>
  </si>
  <si>
    <t>AC permanent magnet synchronou</t>
  </si>
  <si>
    <t>210 and 210</t>
  </si>
  <si>
    <t>SFMXT00.0BG2</t>
  </si>
  <si>
    <t>F150 LIGHTNING 4WD ER2</t>
  </si>
  <si>
    <t>SFMXT00.0BG4</t>
  </si>
  <si>
    <t>AC permanent magnet synchrono</t>
  </si>
  <si>
    <t>F150 LIGHTNING 4WD PRO ER1</t>
  </si>
  <si>
    <t>F150 LIGHTNING 4WD SR</t>
  </si>
  <si>
    <t>This is a pure BEV vehicle. The Drive Motors are both AC permanent magnet synchronous machines.</t>
  </si>
  <si>
    <t>358 and 358</t>
  </si>
  <si>
    <t>SFMXT00.0BG1</t>
  </si>
  <si>
    <t>F150 LIGHTNING PLATINUM 4WD</t>
  </si>
  <si>
    <t>MUSTANG MACH-E AWD</t>
  </si>
  <si>
    <t>This is a pure BEV vehicle. The drive motor is an AC permanent magnet synchronous machine</t>
  </si>
  <si>
    <t>AC Permanent Magnet synchronou</t>
  </si>
  <si>
    <t>1 and 242</t>
  </si>
  <si>
    <t>SFMXV00.0BLA</t>
  </si>
  <si>
    <t>MUSTANG MACH-E AWD EXTENDED</t>
  </si>
  <si>
    <t>SFMXV00.0B4A</t>
  </si>
  <si>
    <t>MUSTANG MACH-E GT</t>
  </si>
  <si>
    <t>SFMXV00.0G4A</t>
  </si>
  <si>
    <t>MUSTANG MACH-E RALLY</t>
  </si>
  <si>
    <t>MUSTANG MACH-E RWD</t>
  </si>
  <si>
    <t>This is a pure BEV vehicle. The Drive Motor is an AC permanent magnet synchronous machine.</t>
  </si>
  <si>
    <t>SFMXV00.0BLR</t>
  </si>
  <si>
    <t>MUSTANG MACH-E RWD EXTENDED</t>
  </si>
  <si>
    <t>SFMXV00.0B4R</t>
  </si>
  <si>
    <t>Electrified G80</t>
  </si>
  <si>
    <t>Reduction Gear</t>
  </si>
  <si>
    <t>PMSM : Permanent Magnet Synchronous Motor</t>
  </si>
  <si>
    <t>136 and 136</t>
  </si>
  <si>
    <t>19inch tire</t>
  </si>
  <si>
    <t>SHYXV00.0H00</t>
  </si>
  <si>
    <t>Electrified GV70</t>
  </si>
  <si>
    <t>PMSM : Permanent Magnet Synchronous Motor Motor Power is temporarily increased to 180 kW in boost mode.</t>
  </si>
  <si>
    <t>74 and 160</t>
  </si>
  <si>
    <t>SHYXV00.0U00</t>
  </si>
  <si>
    <t>GV60 AWD Advanced with 20''</t>
  </si>
  <si>
    <t>AWD Advanced with 20''</t>
  </si>
  <si>
    <t>SHYXV00.0301</t>
  </si>
  <si>
    <t>GV60 AWD Performance</t>
  </si>
  <si>
    <t>AWD Performance</t>
  </si>
  <si>
    <t>SHYXV00.0302</t>
  </si>
  <si>
    <t>GV60 AWD with 19''</t>
  </si>
  <si>
    <t>AWD with  19''</t>
  </si>
  <si>
    <t>GV60 RWD</t>
  </si>
  <si>
    <t>PMSM : Permanent Magnet Synchronous Motor IPM : Interior Permanent Magnet</t>
  </si>
  <si>
    <t>PMSM (IPM)</t>
  </si>
  <si>
    <t>RWD</t>
  </si>
  <si>
    <t>SHYXV00.0300</t>
  </si>
  <si>
    <t>HUMMER EV PICKUP</t>
  </si>
  <si>
    <t>195 and 215</t>
  </si>
  <si>
    <t>Hummer EV Pickup</t>
  </si>
  <si>
    <t>SGMXT00.0012</t>
  </si>
  <si>
    <t>AC PERMANANT MAGNET</t>
  </si>
  <si>
    <t>195, 195 and 195</t>
  </si>
  <si>
    <t>SGMXT00.0009</t>
  </si>
  <si>
    <t>HUMMER EV PICKUP MT TIRES</t>
  </si>
  <si>
    <t>Hummer EV Pickup MT Tires</t>
  </si>
  <si>
    <t>HUMMER EV SUV</t>
  </si>
  <si>
    <t>Hummer EV SUV</t>
  </si>
  <si>
    <t>195, 195 and 215</t>
  </si>
  <si>
    <t>HUMMER EV SUV MT TIRES</t>
  </si>
  <si>
    <t>Hummer EV SUV MT Tires</t>
  </si>
  <si>
    <t>SIERRA EV</t>
  </si>
  <si>
    <t>Vinfast Trading and</t>
  </si>
  <si>
    <t xml:space="preserve">Hai Phong manufacturing plant </t>
  </si>
  <si>
    <t>VF 6 Plus</t>
  </si>
  <si>
    <t>VTP</t>
  </si>
  <si>
    <t>AC 3 Phase Permanent Magnet</t>
  </si>
  <si>
    <t>VF6 Plus</t>
  </si>
  <si>
    <t>SVTPV00.06EP</t>
  </si>
  <si>
    <t>VF 7 Plus</t>
  </si>
  <si>
    <t>Special Purpose Vehicle 4WD</t>
  </si>
  <si>
    <t>VF7 Plus</t>
  </si>
  <si>
    <t>SVTPV00.07PL</t>
  </si>
  <si>
    <t>VF 8 Eco</t>
  </si>
  <si>
    <t>260 and 300</t>
  </si>
  <si>
    <t>VF8 Eco</t>
  </si>
  <si>
    <t>SVTPT00.0C89</t>
  </si>
  <si>
    <t>VF 8 Plus</t>
  </si>
  <si>
    <t>VF8 Plus</t>
  </si>
  <si>
    <t>VF 9 Plus</t>
  </si>
  <si>
    <t>VF9 Plus</t>
  </si>
  <si>
    <t>Prologue AWD Touring</t>
  </si>
  <si>
    <t>AC Permanent</t>
  </si>
  <si>
    <t>PROLOGUE AWD</t>
  </si>
  <si>
    <t>SGMXT00.0023</t>
  </si>
  <si>
    <t>Prologue AWD Elite</t>
  </si>
  <si>
    <t>Prologue FWD</t>
  </si>
  <si>
    <t>PROLOGUE FWD</t>
  </si>
  <si>
    <t>SGMXT00.0022</t>
  </si>
  <si>
    <t>Ioniq 5 AWD (19inch Wheels)</t>
  </si>
  <si>
    <t>74 and 165</t>
  </si>
  <si>
    <t>SHYXV00.0W00</t>
  </si>
  <si>
    <t>Ioniq 5 AWD (20inch Wheels)</t>
  </si>
  <si>
    <t>Ioniq 5 AWD XRT</t>
  </si>
  <si>
    <t>Ioniq 5 N</t>
  </si>
  <si>
    <t>166 and 282</t>
  </si>
  <si>
    <t>SHYXV00.0W04</t>
  </si>
  <si>
    <t>Ioniq 5 Robo taxi</t>
  </si>
  <si>
    <t>SHYXV00.0W03</t>
  </si>
  <si>
    <t>Ioniq 5 RWD</t>
  </si>
  <si>
    <t>SHYXV00.0W02</t>
  </si>
  <si>
    <t>Ioniq 5 Standard range</t>
  </si>
  <si>
    <t>SHYXV00.0W01</t>
  </si>
  <si>
    <t>IONIQ 6 AWD (18'' Wheels)</t>
  </si>
  <si>
    <t>18'' Wheels</t>
  </si>
  <si>
    <t>SHYXV00.0202</t>
  </si>
  <si>
    <t>IONIQ 6 RWD (18'' Wheels)</t>
  </si>
  <si>
    <t>SHYXV00.0201</t>
  </si>
  <si>
    <t>IONIQ 6 RWD (20'' Wheels)</t>
  </si>
  <si>
    <t>20'' Wheels</t>
  </si>
  <si>
    <t>Ioniq 6 Standard Range</t>
  </si>
  <si>
    <t>SHYXV00.0200</t>
  </si>
  <si>
    <t>IONIQ6 AWD (20'' Wheels)</t>
  </si>
  <si>
    <t>Kona Electric (17inch Wheels)</t>
  </si>
  <si>
    <t>PMSM : Permanent Magnet Synchronous Motor IPM : Interior Permanent Magnet Battery Specific Energy(Whr/kg) : 136.6(with battery heating system), 141.3(with out battery heating system)</t>
  </si>
  <si>
    <t>SHYXV00.0K01</t>
  </si>
  <si>
    <t>Kona Electric (19inch Wheels)</t>
  </si>
  <si>
    <t>Kona Electric Standard Range</t>
  </si>
  <si>
    <t>SHYXV00.0K00</t>
  </si>
  <si>
    <t>Wagoneer S AWD (Falken tire)</t>
  </si>
  <si>
    <t>SCRXJ00.05P2</t>
  </si>
  <si>
    <t>EV6 AWD GT</t>
  </si>
  <si>
    <t>175 and 303</t>
  </si>
  <si>
    <t>SKMXV00.0103</t>
  </si>
  <si>
    <t>EV6 Long Range AWD (19'' Wheels)</t>
  </si>
  <si>
    <t>SKMXV00.0100</t>
  </si>
  <si>
    <t>EV6 Long Range AWD (20'' Wheels)</t>
  </si>
  <si>
    <t>EV6 Long Range RWD</t>
  </si>
  <si>
    <t>SKMXV00.0102</t>
  </si>
  <si>
    <t>EV6 Standard Range RWD</t>
  </si>
  <si>
    <t>SKMXV00.0101</t>
  </si>
  <si>
    <t>EV9 Long Range AWD</t>
  </si>
  <si>
    <t>141 and 141</t>
  </si>
  <si>
    <t>SKMXV00.0300</t>
  </si>
  <si>
    <t>EV9 Long Range AWD GT-Line</t>
  </si>
  <si>
    <t>EV9 Long Range RWD</t>
  </si>
  <si>
    <t>SKMXV00.0301</t>
  </si>
  <si>
    <t>EV9 Standard Range RWD</t>
  </si>
  <si>
    <t>SKMXV00.0302</t>
  </si>
  <si>
    <t>Niro Electric</t>
  </si>
  <si>
    <t>SKMXV00.0200</t>
  </si>
  <si>
    <t>RZ 300e (18inch Wheels)</t>
  </si>
  <si>
    <t>BEV</t>
  </si>
  <si>
    <t>STYXV00.0D13</t>
  </si>
  <si>
    <t>RZ 300e (20inch Wheels)</t>
  </si>
  <si>
    <t>RZ 450e AWD (18inch Wheels)</t>
  </si>
  <si>
    <t>80 and 150</t>
  </si>
  <si>
    <t>STYXV00.0D14</t>
  </si>
  <si>
    <t>RZ 450e AWD (20inch Wheels)</t>
  </si>
  <si>
    <t>Lucid USA, Inc</t>
  </si>
  <si>
    <t>Lucid</t>
  </si>
  <si>
    <t>Air G Touring XR AWD w/19" wheels</t>
  </si>
  <si>
    <t>LMU</t>
  </si>
  <si>
    <t>Permanent Magnet AC Motor</t>
  </si>
  <si>
    <t>178 and 433</t>
  </si>
  <si>
    <t>SLMUV00.0ZA2</t>
  </si>
  <si>
    <t>Air G Touring XR AWD w/20" wheels</t>
  </si>
  <si>
    <t>Air G Touring XR AWD w/21" wheels</t>
  </si>
  <si>
    <t>Air Pure RWD w/19" wheels</t>
  </si>
  <si>
    <t>SLMUV00.0NR1</t>
  </si>
  <si>
    <t>Air Pure RWD w/20" wheels</t>
  </si>
  <si>
    <t>Air Sapphire AWD</t>
  </si>
  <si>
    <t>310, 310 and 310</t>
  </si>
  <si>
    <t>SLMUV00.0GJ3</t>
  </si>
  <si>
    <t>Air Touring AWD w/19" wheels</t>
  </si>
  <si>
    <t>Air Touring AWD w/20" wheels</t>
  </si>
  <si>
    <t>Air Touring AWD w/21" wheels</t>
  </si>
  <si>
    <t>Lucid USA Inc.</t>
  </si>
  <si>
    <t>Gravity GT w/20F21R wheels (2R)</t>
  </si>
  <si>
    <t>170 and 448</t>
  </si>
  <si>
    <t>SLMUT00.0GL2</t>
  </si>
  <si>
    <t>Gravity GT w/20F21R wheels (3R)</t>
  </si>
  <si>
    <t>Gravity GT w/21F22R wheels (2R)</t>
  </si>
  <si>
    <t>Gravity GT w/21F22R wheels (3R)</t>
  </si>
  <si>
    <t>Gravity GT w/22F23R wheels (2R)</t>
  </si>
  <si>
    <t>Gravity GT w/22F23R wheels (3R)</t>
  </si>
  <si>
    <t>Grancabrio Folgore</t>
  </si>
  <si>
    <t>275, 275 and 275</t>
  </si>
  <si>
    <t>SMAXV00.0189</t>
  </si>
  <si>
    <t>Granturismo Folgore</t>
  </si>
  <si>
    <t>Grecale Folgore (20" Wheel)</t>
  </si>
  <si>
    <t>205 and 205</t>
  </si>
  <si>
    <t>SMAXT00.0182</t>
  </si>
  <si>
    <t>Grecale Folgore (21" Wheel)</t>
  </si>
  <si>
    <t>AMG EQE 4MATIC+</t>
  </si>
  <si>
    <t>AC 6 Phase permanent magnet</t>
  </si>
  <si>
    <t>165 and 295</t>
  </si>
  <si>
    <t>SMBXV00.0ED3</t>
  </si>
  <si>
    <t>AMG EQE 4MATIC+ (SUV)</t>
  </si>
  <si>
    <t>AMG EQE 4MATIC (SUV)</t>
  </si>
  <si>
    <t>AC 3 Phase permanent magnet</t>
  </si>
  <si>
    <t>AMG EQS 4MATIC+</t>
  </si>
  <si>
    <t>EQS 450 4MATIC and EQS 450 4MATIC (SUV): AC 3 Phase permanent magnet = 88 KW/ AC 6 Phase permanent magnet = 178 KW, EQS 580 4MATIC and EQS 580 4MATIC (SUV): AC 3 Phase permanent magnet = 135 KW/ AC 6 Phase permanent magnet = 265 KW, EQS 680 4MATIC Maybach (SUV): AC 3 Phase permanent magnet = 174 KW/ AC 6 Phase permanent magnet = 310 KW, AMG EQS 4MATIC+: AC 3 Phase permanent magnet = 174 KW/ AC 6 Phase permanent magnet = 310 KW</t>
  </si>
  <si>
    <t>174 and 310</t>
  </si>
  <si>
    <t>SMBXJ00.0ED2</t>
  </si>
  <si>
    <t>EQB 250+</t>
  </si>
  <si>
    <t>SMBXV00.0ED4</t>
  </si>
  <si>
    <t>EQB 300 4MATIC</t>
  </si>
  <si>
    <t>Above values belong to EQB 300 4MATIC ; Drive Motor/Generator details for EQB 350 4MATIC: FRONT AC 3 Phase ASM w/ 143kW and REAR AC 3 Phase PSM w/ 72kW ; both models share the same battery EB330</t>
  </si>
  <si>
    <t>AC 3 Phase PSM</t>
  </si>
  <si>
    <t>72 and 96</t>
  </si>
  <si>
    <t>SMBXV00.0ED5</t>
  </si>
  <si>
    <t>AC 3 Phase ASM</t>
  </si>
  <si>
    <t>EQB 350 4MATIC</t>
  </si>
  <si>
    <t>EQE 350 4MATIC</t>
  </si>
  <si>
    <t>71 and 144</t>
  </si>
  <si>
    <t>SMBXV00.0ED2</t>
  </si>
  <si>
    <t>EQE 350 4MATIC (SUV)</t>
  </si>
  <si>
    <t>EQE 350+</t>
  </si>
  <si>
    <t>SMBXV00.0ED1</t>
  </si>
  <si>
    <t>EQE 350+ (SUV)</t>
  </si>
  <si>
    <t>EQE 500 4MATIC</t>
  </si>
  <si>
    <t>EQE 500 4MATIC (SUV)</t>
  </si>
  <si>
    <t>EQS 450 4MATIC</t>
  </si>
  <si>
    <t>EQS 450 4MATIC (SUV)</t>
  </si>
  <si>
    <t>EQS 450+</t>
  </si>
  <si>
    <t>SMBXJ00.0ED1</t>
  </si>
  <si>
    <t>EQS 450+ (SUV)</t>
  </si>
  <si>
    <t>EQS 580 4MATIC</t>
  </si>
  <si>
    <t>EQS 580 4MATIC (SUV)</t>
  </si>
  <si>
    <t>EQS 680 4MATIC Maybach (SUV)</t>
  </si>
  <si>
    <t>G 580 with EQ Technology</t>
  </si>
  <si>
    <t>Auto(A2)</t>
  </si>
  <si>
    <t>SMBXT00.0ED4</t>
  </si>
  <si>
    <t>Countryman SE ALL4 (18'' Wheels)</t>
  </si>
  <si>
    <t>SBMXV00.0U2X</t>
  </si>
  <si>
    <t>Countryman SE ALL4 (19'' Wheels)</t>
  </si>
  <si>
    <t>ARIYA e-4ORCE 63kWh</t>
  </si>
  <si>
    <t>Alternating Current 3-phase</t>
  </si>
  <si>
    <t>160 and 160</t>
  </si>
  <si>
    <t>SNSXV0000D3A</t>
  </si>
  <si>
    <t>ARIYA ENGAGE+/EVOLVE+ e-4ORCE 87kWh</t>
  </si>
  <si>
    <t>SNSXV0000D4A</t>
  </si>
  <si>
    <t>ARIYA EVOLVE+ FWD 87kWh</t>
  </si>
  <si>
    <t>SNSXV0000C4A</t>
  </si>
  <si>
    <t>ARIYA FWD 63kWh</t>
  </si>
  <si>
    <t>SNSXV0000C3A</t>
  </si>
  <si>
    <t>ARIYA PLATINUM+ e-4ORCE 87kWh 19in. Wheels</t>
  </si>
  <si>
    <t>ARIYA PLATINUM+ e-4ORCE 87kWh 20in. Wheels</t>
  </si>
  <si>
    <t>Polestar Automotive USA Inc</t>
  </si>
  <si>
    <t>Polestar 2 Dual Motor (19 Inch Wheels)</t>
  </si>
  <si>
    <t>Motor PMSM = Permanent Magnet Synch Machine Motor:EX40,EC40 Twin have ACI 110 kWatt front and PMSM 190 kWatt Rear. Motor:Polestar2 Dual motor (19 Inch wheel) have ACI 110 kWatt front and PMSM 200 kWatt rear. Motor:Polestar2 Dual Motor Performance Pack have ACI 135 kWatt front and PMSM 215 kWatt rear.</t>
  </si>
  <si>
    <t>200 and 215</t>
  </si>
  <si>
    <t>SVVXV00.0Z0A</t>
  </si>
  <si>
    <t>Polestar 2 Dual Motor (20 Inch Wheels)</t>
  </si>
  <si>
    <t>190 and 215</t>
  </si>
  <si>
    <t>Polestar 2 Dual Motor Performance Pack</t>
  </si>
  <si>
    <t>Polestar 2 Single Motor (19 Inch Wheels)</t>
  </si>
  <si>
    <t>Motor PMSM = Permanent Magnet Synch Machine Motor:EX40,EC40 have PMSM 185 kWatt Rear. Motor:Polestar2 Dual motor  ACPM 220 kWatt rear.</t>
  </si>
  <si>
    <t>185 and 220</t>
  </si>
  <si>
    <t>SVVXV00.0Z0B</t>
  </si>
  <si>
    <t>Polestar 2 Single Motor (20 Inch Wheels)</t>
  </si>
  <si>
    <t>Polestar 3 Long Range Dual Motor (20 Inch Wheels)</t>
  </si>
  <si>
    <t>Motor PMSM = Permanent Magnet Synch Machine Motor:Polestar3 Long Range Dual motor have PMSM 180 kWatt front and PMSM 180 kWatt rear. Motor:Polestar3 long range Dual Motor Performance Pack have PMSM 180 kWatt front and PMSM 200 kWatt rear. Motor:EX90 Twin Motor have PMSM 173 kWatt front and PMSM 127 kWatt rear Motor:EX90 Twin Motor Performance have PMSM 180kWatt front and PMSM 200 kWatt rear</t>
  </si>
  <si>
    <t>173 and 180</t>
  </si>
  <si>
    <t>SVVXT00.0Z0E</t>
  </si>
  <si>
    <t>Polestar 3 Long Range Dual Motor (21 Inch Wheels)</t>
  </si>
  <si>
    <t>127 and 180</t>
  </si>
  <si>
    <t>Polestar 3 Long Range Dual Motor (22 Inch Wheels)</t>
  </si>
  <si>
    <t>173 and 200</t>
  </si>
  <si>
    <t>Polestar 3 Long Range Dual Motor Performance Pack</t>
  </si>
  <si>
    <t>127 and 200</t>
  </si>
  <si>
    <t>Polestar 3 Long Range Single Motor 20 Inch Wheels</t>
  </si>
  <si>
    <t>Motor PMSM = Permanent Magnet Synch Machine Motor:Polestar3 Long Range Single motor have PMSM 220 kWatt rear.</t>
  </si>
  <si>
    <t>SVVXT00.0Z0F</t>
  </si>
  <si>
    <t>Polestar 3 Long Range Single Motor 21 Inch Wheels</t>
  </si>
  <si>
    <t>Polestar 3 Long Range Single Motor 22 Inch Wheels</t>
  </si>
  <si>
    <t>Polestar 4 Long Range Dual Motor</t>
  </si>
  <si>
    <t>Motor PMSM = Permanent Magnet Synch Machine Polestar 4 have PMSM front with 200kW and PMSM Rear with 200 kW</t>
  </si>
  <si>
    <t>SVVXV00.0Z0I</t>
  </si>
  <si>
    <t>Polestar 4 Long Range Single Motor</t>
  </si>
  <si>
    <t>Motor PMSM = Permanent Magnet Synch Machine</t>
  </si>
  <si>
    <t>SVVXV00.0Z0J</t>
  </si>
  <si>
    <t>Macan 4 Electric</t>
  </si>
  <si>
    <t>Total battery voltage can vary from 240 to 916; Driver can select if regenerative braking occurs only with brake pedal, or both pedal and coasting (Sport mode)</t>
  </si>
  <si>
    <t>AC, Perm Magnet, Synchronous</t>
  </si>
  <si>
    <t>175, 280, and 495</t>
  </si>
  <si>
    <t>SPRXT00.0EMT</t>
  </si>
  <si>
    <t>Macan 4S Electric</t>
  </si>
  <si>
    <t>280,280 and 495</t>
  </si>
  <si>
    <t>Macan Electric</t>
  </si>
  <si>
    <t>SPRXV00.0EMS</t>
  </si>
  <si>
    <t>Macan Turbo Electric</t>
  </si>
  <si>
    <t>Taycan 4 Cross Turismo</t>
  </si>
  <si>
    <t>Total battery voltage can vary from 450 to 850; Driver can select if regenerative braking occurs only with brake pedal, or both pedal and coasting (Sport mode)</t>
  </si>
  <si>
    <t>150 and 354</t>
  </si>
  <si>
    <t>SPRXV00.0ETT</t>
  </si>
  <si>
    <t>Taycan 4 Perf Battery Plus</t>
  </si>
  <si>
    <t>150, 175, 190, 201, 234, 235, 254, 415, and 503</t>
  </si>
  <si>
    <t>Taycan 4S Cross Turismo</t>
  </si>
  <si>
    <t>150 and 175</t>
  </si>
  <si>
    <t>Taycan 4S Perf Battery Plus</t>
  </si>
  <si>
    <t>201 and 234</t>
  </si>
  <si>
    <t>Taycan 4S Perf Battery Plus 19in All-Season (M+S)</t>
  </si>
  <si>
    <t>201 and 235</t>
  </si>
  <si>
    <t>Taycan 4S Performance Battery</t>
  </si>
  <si>
    <t>150 and 234</t>
  </si>
  <si>
    <t>Taycan GTS</t>
  </si>
  <si>
    <t>Taycan GTS Sport Turismo</t>
  </si>
  <si>
    <t>Taycan Perf Battery Plus</t>
  </si>
  <si>
    <t>Total battery voltage can vary from 450 to 850; Driver can select if regenerative braking occurs only with brake pedal, or both pedal and coasting (Sport Mode)</t>
  </si>
  <si>
    <t>300 and 320</t>
  </si>
  <si>
    <t>SPRXV00.0ETS</t>
  </si>
  <si>
    <t>Taycan Performance Battery</t>
  </si>
  <si>
    <t>Taycan Turbo</t>
  </si>
  <si>
    <t>175 and 234</t>
  </si>
  <si>
    <t>Taycan Turbo 21in Aero-Design wheel (285/35)</t>
  </si>
  <si>
    <t>Taycan Turbo Cross Turismo</t>
  </si>
  <si>
    <t>190 and 201</t>
  </si>
  <si>
    <t>Taycan Turbo GT</t>
  </si>
  <si>
    <t>150 and 253</t>
  </si>
  <si>
    <t>Taycan Turbo GT with Weissach Package</t>
  </si>
  <si>
    <t>Taycan Turbo S</t>
  </si>
  <si>
    <t>Taycan Turbo S 21in Aero-Design wheel (285/35)</t>
  </si>
  <si>
    <t>234 and 254</t>
  </si>
  <si>
    <t>Taycan Turbo S Cross Turismo</t>
  </si>
  <si>
    <t>Rivian Automotive L</t>
  </si>
  <si>
    <t>Rivian</t>
  </si>
  <si>
    <t>R1S All-Terrain Dual Large Plus (20in)</t>
  </si>
  <si>
    <t>RIV</t>
  </si>
  <si>
    <t>All-Purpose (Default) Drive Mode</t>
  </si>
  <si>
    <t>264 and 264</t>
  </si>
  <si>
    <t>R1S AT DUAL LARGE PLUS (20IN)</t>
  </si>
  <si>
    <t>SRIVT00.0SEP</t>
  </si>
  <si>
    <t>R1S All-Terrain Dual Max (20in)</t>
  </si>
  <si>
    <t>R1S AT DUAL MAX (20IN)</t>
  </si>
  <si>
    <t>R1S All-Terrain Performance  Dual Max (20in)</t>
  </si>
  <si>
    <t>R1S AT PERF DUAL MAX (20IN)</t>
  </si>
  <si>
    <t>R1S All-Terrain Performance Dual Large Plus (20in)</t>
  </si>
  <si>
    <t>R1S AT PRF DUAL LRG PLUS(20IN)</t>
  </si>
  <si>
    <t>R1S All-Terrain Tri Max (20in)</t>
  </si>
  <si>
    <t>All-Purpose Drive Mode and Conserve Drive Mode.</t>
  </si>
  <si>
    <t>201 and 233</t>
  </si>
  <si>
    <t>R1S ALL-TERRAIN TRI MAX (20IN)</t>
  </si>
  <si>
    <t>SRIVT00.0193</t>
  </si>
  <si>
    <t>R1S Dual Large Plus (20in)</t>
  </si>
  <si>
    <t>R1S DUAL LARGE PLUS (20IN)</t>
  </si>
  <si>
    <t>R1S Dual Large Plus (22in)</t>
  </si>
  <si>
    <t>R1S DUAL LARGE PLUS (22IN)</t>
  </si>
  <si>
    <t>R1S Dual Max (20in)</t>
  </si>
  <si>
    <t>R1S DUAL MAX (20IN)</t>
  </si>
  <si>
    <t>R1S Dual Max (22in)</t>
  </si>
  <si>
    <t>R1S DUAL MAX (22IN)</t>
  </si>
  <si>
    <t>R1S Dual Standard (20in)</t>
  </si>
  <si>
    <t>LITHIUM FERRO-PHOSPHATE</t>
  </si>
  <si>
    <t>208 and 208</t>
  </si>
  <si>
    <t>R1S DUAL STANDARD (20IN)</t>
  </si>
  <si>
    <t>SRIVT00.01L2</t>
  </si>
  <si>
    <t>R1S Dual Standard (22in)</t>
  </si>
  <si>
    <t>R1S DUAL STANDARD (22IN)</t>
  </si>
  <si>
    <t>R1S Performance Dual Large Plus (20in)</t>
  </si>
  <si>
    <t>R1S PRF DUAL LARGE PLUS 20IN</t>
  </si>
  <si>
    <t>R1S Performance Dual Large Plus (22in)</t>
  </si>
  <si>
    <t>R1S PRF DUAL LARGE PLUS (22IN)</t>
  </si>
  <si>
    <t>R1S Performance Dual Max (20in)</t>
  </si>
  <si>
    <t>R1S PERF DUAL MAX (20IN)</t>
  </si>
  <si>
    <t>R1S Performance Dual Max (22in)</t>
  </si>
  <si>
    <t>R1S PERF DUAL MAX (22IN)</t>
  </si>
  <si>
    <t>R1T All-Terrain Dual Large Plus (20in)</t>
  </si>
  <si>
    <t>R1T AT DUAL LARGE PLUS (20IN)</t>
  </si>
  <si>
    <t>R1T All-Terrain Dual Max (20in)</t>
  </si>
  <si>
    <t>R1T AT DUAL MAX (20IN)</t>
  </si>
  <si>
    <t>R1T All-Terrain Performance Dual Large Plus (20in)</t>
  </si>
  <si>
    <t>R1T AT PRF DUAL LRG PLUS(20IN)</t>
  </si>
  <si>
    <t>R1T All-Terrain Performance Dual Max (20in)</t>
  </si>
  <si>
    <t>R1T AT PERF DUAL MAX (20IN)</t>
  </si>
  <si>
    <t>R1T All-Terrain Tri Max (20in)</t>
  </si>
  <si>
    <t>201, 201 and 233</t>
  </si>
  <si>
    <t>R1T ALL-TERRAIN TRI MAX (20IN)</t>
  </si>
  <si>
    <t>R1T Dual Large Plus (20in)</t>
  </si>
  <si>
    <t>R1T DUAL LARGE PLUS (20IN)</t>
  </si>
  <si>
    <t>R1T Dual Large Plus (22in)</t>
  </si>
  <si>
    <t>R1T DUAL LARGE PLUS (22IN)</t>
  </si>
  <si>
    <t>R1T Dual Max (20in)</t>
  </si>
  <si>
    <t>R1T DUAL MAX (20IN)</t>
  </si>
  <si>
    <t>R1T Dual Max (22in)</t>
  </si>
  <si>
    <t>R1T DUAL MAX (22IN)</t>
  </si>
  <si>
    <t>R1T Dual Standard (20in)</t>
  </si>
  <si>
    <t>R1T DUAL STANDARD (20IN)</t>
  </si>
  <si>
    <t>R1T Dual Standard (22in)</t>
  </si>
  <si>
    <t>R1T DUAL STANDARD (22IN)</t>
  </si>
  <si>
    <t>R1T Performance Dual Large Plus (20in)</t>
  </si>
  <si>
    <t>R1T PRF DUAL LARGE PLUS 20IN</t>
  </si>
  <si>
    <t>R1T Performance Dual Large Plus (22in)</t>
  </si>
  <si>
    <t>R1T PRF DUAL LARGE PLUS (22IN)</t>
  </si>
  <si>
    <t>R1T Performance Dual Max (20in)</t>
  </si>
  <si>
    <t>R1T PERFORMANC DUAL MAX (20IN)</t>
  </si>
  <si>
    <t>R1T Performance Dual Max (22in)</t>
  </si>
  <si>
    <t>R1T PERF DUAL MAX (22IN)</t>
  </si>
  <si>
    <t>Black Badge Spectre (22'' Wheels)</t>
  </si>
  <si>
    <t>SRRGV00.0R2B</t>
  </si>
  <si>
    <t>Black Badge Spectre (23'' Wheels)</t>
  </si>
  <si>
    <t>Spectre (22'' Wheels)</t>
  </si>
  <si>
    <t>Spectre (23'' Wheels)</t>
  </si>
  <si>
    <t>SOLTERRA AWD</t>
  </si>
  <si>
    <t>STYXT00.0D12</t>
  </si>
  <si>
    <t>SOLTERRA LIMITED/TOURING AWD</t>
  </si>
  <si>
    <t>Tesla</t>
  </si>
  <si>
    <t>Tesla Motors</t>
  </si>
  <si>
    <t>Cybertruck AWD</t>
  </si>
  <si>
    <t>TSL</t>
  </si>
  <si>
    <t>MY2025 Cybertruck AWD Test Group; FRONT Motor Power - 239 kW ; REAR Motor Power - 224 kW;</t>
  </si>
  <si>
    <t>224 and 239</t>
  </si>
  <si>
    <t>STSLT00.0L2C</t>
  </si>
  <si>
    <t>AC 3 PHASE PERMANENT MAGNET</t>
  </si>
  <si>
    <t>Model 3 Long Range AWD</t>
  </si>
  <si>
    <t>Three MY2025 carlines (Long Range AWD, Long Range AWD-I, and Performance AWD) are available for STSLV00.0L23. Long Range AWD: Front - 88 kW; Rear - 208 kW Long Range AWD-I: Front -  85 kW; Rear - 191 kW Performance AWD: Front -  85 kW; Rear - 191 kW</t>
  </si>
  <si>
    <t>85, 88, 98, 191, 208, and 282</t>
  </si>
  <si>
    <t>Long Range AWD</t>
  </si>
  <si>
    <t>STSLV00.0L23</t>
  </si>
  <si>
    <t>Model 3 Long Range RWD</t>
  </si>
  <si>
    <t>Two MY2025 carlines (RWD, Long Range RWD) are available for STSLV00.0L13. RWD: Rear - 192 kW, Long Range RWD - 225 kW</t>
  </si>
  <si>
    <t>192 and 225</t>
  </si>
  <si>
    <t>STSLV00.0L13</t>
  </si>
  <si>
    <t>Model 3 Performance AWD</t>
  </si>
  <si>
    <t>Performance AWD</t>
  </si>
  <si>
    <t>Model S</t>
  </si>
  <si>
    <t>1 carline (Model S) is available for MY2025 Model S vehicles. LR: Perf Front - 243 kW; Rear - 248 kW</t>
  </si>
  <si>
    <t>243 and 248</t>
  </si>
  <si>
    <t>STSLV00.0L2S</t>
  </si>
  <si>
    <t>Model S Plaid (19in Wheels)</t>
  </si>
  <si>
    <t>2 carlines (Plaid (21in Wheels), Plaid (19in Wheels)) is available for Model S Tri-motor vehicles. Plaid: Front - 250 kW; Rear - 250 kW x 2</t>
  </si>
  <si>
    <t>Plaid (19" Wheels)</t>
  </si>
  <si>
    <t>STSLV00.0L3S</t>
  </si>
  <si>
    <t>Model S Plaid (21in Wheels)</t>
  </si>
  <si>
    <t>Plaid (21" Wheels)</t>
  </si>
  <si>
    <t>Model X</t>
  </si>
  <si>
    <t>MY2025 Model X; FRONT Motor Power - 243 kW, REAR Motor Power - 248 kW</t>
  </si>
  <si>
    <t>STSLV00.0L2X</t>
  </si>
  <si>
    <t>Model X Plaid (20in Wheels)</t>
  </si>
  <si>
    <t>MY2025 Model X Plaid includes 2 carlines (Plaid (22in Wheels), Plaid (20in Wheels)) FRONT Motor Power - 230 kW; REAR Motor Power - 230 kW x 2</t>
  </si>
  <si>
    <t>Model X Plaid (20")</t>
  </si>
  <si>
    <t>STSLV00.0L3X</t>
  </si>
  <si>
    <t>Model X Plaid (22in Wheels)</t>
  </si>
  <si>
    <t>Model X Plaid (22")</t>
  </si>
  <si>
    <t>Model Y Long Range AWD</t>
  </si>
  <si>
    <t>MY2025 Model Y AWD Carlines; Long Range AWD Front - 91 kW; Rear - 200 kW Long Range AWD-I Front - 83 kW; Rear - 183 kW Performance AWD Front - 135 kW; Rear - 202 kW</t>
  </si>
  <si>
    <t>83, 91, 135, 183, 200, 202</t>
  </si>
  <si>
    <t>STSLV00.0L2Y</t>
  </si>
  <si>
    <t>Model Y Long Range RWD</t>
  </si>
  <si>
    <t>MY2025 Model Y Long Range RWD; REAR Motor Power - 221 kW</t>
  </si>
  <si>
    <t>STSLV00.0L1Y</t>
  </si>
  <si>
    <t>Model Y Performance AWD</t>
  </si>
  <si>
    <t>bZ4X</t>
  </si>
  <si>
    <t>STYXT00.0D11</t>
  </si>
  <si>
    <t>bZ4X AWD (18inch Wheels)</t>
  </si>
  <si>
    <t>bZ4X AWD (20inch Wheels)</t>
  </si>
  <si>
    <t>bZ4X LIMITED</t>
  </si>
  <si>
    <t>bZ4X LIMITED AWD</t>
  </si>
  <si>
    <t>ID. Buzz</t>
  </si>
  <si>
    <t>1 Battery Pack contains 13 Battery Modules, Battery Total Voltage = Nominal Voltage</t>
  </si>
  <si>
    <t>Alternating Current / 3 phases</t>
  </si>
  <si>
    <t>SVGAV00.0VZ2</t>
  </si>
  <si>
    <t>ID. Buzz 4Motion</t>
  </si>
  <si>
    <t>1 Battery Pack contains 13 Battery Modules, Battery Total Voltage = Nominal Voltage, 2 Drive Motor: EDDB + ECNB</t>
  </si>
  <si>
    <t>80 and 210</t>
  </si>
  <si>
    <t>SVGAV00.0VZB</t>
  </si>
  <si>
    <t>ID.4 AWD Pro</t>
  </si>
  <si>
    <t>*Battery capacity and energy density were measured on a single cell basis and this single cell data was used to estimate the pack level capacity and energy density</t>
  </si>
  <si>
    <t>AC Permanent-field synchronous</t>
  </si>
  <si>
    <t>SVGAJ00.0VZA</t>
  </si>
  <si>
    <t>ID.4 AWD Pro S</t>
  </si>
  <si>
    <t>AC Asynchronous machine</t>
  </si>
  <si>
    <t>EC40</t>
  </si>
  <si>
    <t>EC40 Twin</t>
  </si>
  <si>
    <t>135 and 215</t>
  </si>
  <si>
    <t>EX30 Single Motor extended range (18 Inch Wheels)</t>
  </si>
  <si>
    <t>SVVXV00.0Z0D</t>
  </si>
  <si>
    <t>EX30 Single Motor extended range(19_20 Inch Wheel)</t>
  </si>
  <si>
    <t>EX30 Twin Performance (19 Inch Wheels)</t>
  </si>
  <si>
    <t>115 and 185</t>
  </si>
  <si>
    <t>SVVXV00.0Z0C</t>
  </si>
  <si>
    <t>EX30 Twin Performance (20 Inch Wheels)</t>
  </si>
  <si>
    <t>EX40</t>
  </si>
  <si>
    <t>EX40 Twin</t>
  </si>
  <si>
    <t>190 and 210</t>
  </si>
  <si>
    <t>EX90 Twin Motor (20 and 22 Inch Wheels)</t>
  </si>
  <si>
    <t>EX90 Twin Motor (21 Inch Wheels)</t>
  </si>
  <si>
    <t>127 and 173</t>
  </si>
  <si>
    <t>EX90 Twin Motor Performance (21 Inch Wheels)</t>
  </si>
  <si>
    <t>EX90 Twin Motor Performance 20 and 22 Inch Wheels</t>
  </si>
  <si>
    <t>Nevera R</t>
  </si>
  <si>
    <t>Values included are from Nevera model. Specific values for Nevera R are: Battery Energy Capacity = 180 Ah; Battery Specific Energy = 158 Whr/kg; (Rear) Drive Motors Rated Power = 500 kWatt (instead of 450 kWatt for Nevera).</t>
  </si>
  <si>
    <t>226 and 500</t>
  </si>
  <si>
    <t>NEVERA R</t>
  </si>
  <si>
    <t>Model 3 Long Range RWD-I (19" Wheels)</t>
  </si>
  <si>
    <t>Three MY2025 carlines (RWD, Long Range RWD, Long Range RWD-I, Long Range RWD-I) are available for STSLV00.0L13. RWD: Rear - 192 kW, Long Range RWD - 225 kW; Long Range RWD-I - 213 kW; Long Range RWD-I (19" Wheel) - 213 kW</t>
  </si>
  <si>
    <t>192, 213, and 225</t>
  </si>
  <si>
    <t>Model 3 LR RWD-I (19in Wheels)</t>
  </si>
  <si>
    <t>Cybertruck Long Range</t>
  </si>
  <si>
    <t>MY2025 Cybertruck Long Range Test Group; Rear Motor Power - 240 kW;</t>
  </si>
  <si>
    <t>STSLT00.0L1C</t>
  </si>
  <si>
    <t>Cybertruck Long Range (20" Cyber wheels)</t>
  </si>
  <si>
    <t>Cybertruck Long Range (20in)</t>
  </si>
  <si>
    <t>ID.4</t>
  </si>
  <si>
    <t>*Battery capacity and energy density were measured on a single cell basis and this single cell data was used to estimate the pack level capacity and energy density, 1 HV pack contains 12 modules.</t>
  </si>
  <si>
    <t>AC 3 Phase Brushless Motor</t>
  </si>
  <si>
    <t>SVGAV00.0VZR</t>
  </si>
  <si>
    <t>ID.4 Pro</t>
  </si>
  <si>
    <t>ID.4 Pro S</t>
  </si>
  <si>
    <t>ID.4 S</t>
  </si>
  <si>
    <t>Wagoneer S AWD (Pirelli tire)</t>
  </si>
  <si>
    <t>R1T Dual Large (20in)</t>
  </si>
  <si>
    <t>All-Purpose Drive Mode (DEFAULT)</t>
  </si>
  <si>
    <t>R1T DUAL LARGE (20IN)</t>
  </si>
  <si>
    <t>SRIVT00.0172</t>
  </si>
  <si>
    <t>R1S All-Terrain Performance Dual Large (20in)</t>
  </si>
  <si>
    <t>R1S PERF AT DUAL LARGE (20IN)</t>
  </si>
  <si>
    <t>R1S Performance Dual Large (20in)</t>
  </si>
  <si>
    <t>R1S PERF DUAL LARGE (20IN)</t>
  </si>
  <si>
    <t>R1S Dual Large (20in)</t>
  </si>
  <si>
    <t>R1S DUAL LARGE (20IN)</t>
  </si>
  <si>
    <t>R1S Performance Dual Large (22in)</t>
  </si>
  <si>
    <t>R1S PERF DUAL LARGE (22IN)</t>
  </si>
  <si>
    <t>LEAF</t>
  </si>
  <si>
    <t>SNSXV0000TS4</t>
  </si>
  <si>
    <t>R1T Performance Dual Large (22in)</t>
  </si>
  <si>
    <t>R1T PERF DUAL LARGE (22IN)</t>
  </si>
  <si>
    <t>R1T All-Terrain Dual Large (20in)</t>
  </si>
  <si>
    <t>R1T AT DUAL LARGE (20IN)</t>
  </si>
  <si>
    <t>R1T Tri Max (22in)</t>
  </si>
  <si>
    <t>R1T TRI MAX (22IN)</t>
  </si>
  <si>
    <t>R1S Dual Large (22in)</t>
  </si>
  <si>
    <t>R1S DUAL LARGE (22IN)</t>
  </si>
  <si>
    <t>R1T All-Terrain Performance Dual Large (20in)</t>
  </si>
  <si>
    <t>R1T AT PERF DUAL LARGE (20IN)</t>
  </si>
  <si>
    <t>Battery Specific Energy for Canada is 131.1 (Whr/kg).</t>
  </si>
  <si>
    <t>SNSXV0000TL2</t>
  </si>
  <si>
    <t>R1S Tri Max (22in)</t>
  </si>
  <si>
    <t>R1S TRI MAX (22IN)</t>
  </si>
  <si>
    <t>R1S All-Terrain Dual Large (20in)</t>
  </si>
  <si>
    <t>R1S AT DUAL LARGE (20IN)</t>
  </si>
  <si>
    <t>R1T Performance Dual Large (20in)</t>
  </si>
  <si>
    <t>R1T PERF DUAL LARGE (20IN)</t>
  </si>
  <si>
    <t>Q6 e-tron 19in wheels</t>
  </si>
  <si>
    <t>R1T Dual Large (22in)</t>
  </si>
  <si>
    <t>R1T DUAL LARGE (22IN)</t>
  </si>
  <si>
    <t xml:space="preserve"> Fuel2 Usage - Alternative Fuel</t>
  </si>
  <si>
    <t xml:space="preserve"> Fuel2 Usage Desc - Alternative Fuel</t>
  </si>
  <si>
    <t xml:space="preserve"> </t>
  </si>
  <si>
    <t>SILVERADO EV 19kW Charger</t>
  </si>
  <si>
    <t>SILVERADO EV 11 kW Charger</t>
  </si>
  <si>
    <t>SILVERADO EV 2WT</t>
  </si>
  <si>
    <t>SILVERADO EV 5WT 11kW Charger</t>
  </si>
  <si>
    <t>(Not Confidential)</t>
  </si>
  <si>
    <t>PHEV</t>
  </si>
  <si>
    <t xml:space="preserve">Total </t>
  </si>
  <si>
    <t>New fields added by D. Good</t>
  </si>
  <si>
    <t>Model Type Information</t>
  </si>
  <si>
    <t>Charge Sustaining Information  (Gasoline Operation)</t>
  </si>
  <si>
    <t>Vehicle Information</t>
  </si>
  <si>
    <t>Ann Fuel Cost</t>
  </si>
  <si>
    <t>Charge Depleting Information (Electricity Operation)</t>
  </si>
  <si>
    <t>General Information</t>
  </si>
  <si>
    <t>General Hybrid Vehicle Information - Engine, Motor/Generator, Battery Information, etc.                                                                                                                                                                                                                                                                                                                               General Hybrid Vehicle Information - Engine, Motor/Generator, Battery Information, etc.</t>
  </si>
  <si>
    <t>FE &amp; GHG Ratings</t>
  </si>
  <si>
    <t>You Save/You Spend</t>
  </si>
  <si>
    <t>Gasoline Adjusted CO2</t>
  </si>
  <si>
    <t>Battery Charge Time</t>
  </si>
  <si>
    <t>Range</t>
  </si>
  <si>
    <t>PHEV Composite  MPGe</t>
  </si>
  <si>
    <t>Composite CO2</t>
  </si>
  <si>
    <t>Charge Depleting Driving Range</t>
  </si>
  <si>
    <t>Individual Utility Factors (Rcda MDIUFs)</t>
  </si>
  <si>
    <t>PHEV Charge Depleting Fuel Consumption</t>
  </si>
  <si>
    <t>Fuel Tank</t>
  </si>
  <si>
    <t>Model Yr  (gold fill means release date is after today's date)</t>
  </si>
  <si>
    <t>Trans Lockup</t>
  </si>
  <si>
    <t>Comb CO2 Rounded Adjusted</t>
  </si>
  <si>
    <t>Release Date (gold fill means release date is after today's date)</t>
  </si>
  <si>
    <t>Charge Depleting Calc Appr Code (PHEVs only)</t>
  </si>
  <si>
    <t>Charge Depleting Calc Appr Desc  (PHEVs only)</t>
  </si>
  <si>
    <t>Charge Sustaining Calc Appr Code  (PHEVs only)</t>
  </si>
  <si>
    <t>Charge Sustaining Calc Appr Desc  (PHEVs only)</t>
  </si>
  <si>
    <t>City CO2-PHEV Composite Rounded Adjusted Combined CO2</t>
  </si>
  <si>
    <t>Hwy CO2-PHEV Composite Rounded Adjusted Combined CO2</t>
  </si>
  <si>
    <t>City Range on Electricity (miles)</t>
  </si>
  <si>
    <t>Hwy Range on Electricity (miles)</t>
  </si>
  <si>
    <t>Comb Range on Electricity as shown on FE Label (miles)</t>
  </si>
  <si>
    <t>City Utility Factor (MDIUF)</t>
  </si>
  <si>
    <t>Hwy Utility Factor (MDIUF)</t>
  </si>
  <si>
    <t>Comb Utility Factor (MDIUF)</t>
  </si>
  <si>
    <t>City (gal/100 mi)</t>
  </si>
  <si>
    <t>Hwy (gal/100 mi)</t>
  </si>
  <si>
    <t>Combined (gal/100 mi) as listed on blended PHEV labels</t>
  </si>
  <si>
    <t>Size (gal)</t>
  </si>
  <si>
    <t>Tonale eAWD</t>
  </si>
  <si>
    <t xml:space="preserve">SIDI; PHEV; </t>
  </si>
  <si>
    <t>Plug-in Hybrid Label</t>
  </si>
  <si>
    <t>Mulit-air-electro-hydraulic control</t>
  </si>
  <si>
    <t>CD-2C</t>
  </si>
  <si>
    <t>Charge Depleting 2-cycle</t>
  </si>
  <si>
    <t>CS-5C</t>
  </si>
  <si>
    <t>Charge Sustaining 5-cycle</t>
  </si>
  <si>
    <t>SCRXV01.35PH</t>
  </si>
  <si>
    <t>All Electric Range = 0-33 miles (combined)</t>
  </si>
  <si>
    <t>Q5 Plug-In Hybrid quattro</t>
  </si>
  <si>
    <t>Engine Code: DSMA var 0</t>
  </si>
  <si>
    <t>Continuous</t>
  </si>
  <si>
    <t>ACpermanentMagnetSynchronous</t>
  </si>
  <si>
    <t>SVGAT02.0A3P</t>
  </si>
  <si>
    <t>Volkswagen Group of America</t>
  </si>
  <si>
    <t>All Electric Range = 0-28 miles (combined)</t>
  </si>
  <si>
    <t>Bentayga Hybrid</t>
  </si>
  <si>
    <t>Applies to DCBE + EALD var: 0</t>
  </si>
  <si>
    <t>CD-5C</t>
  </si>
  <si>
    <t>Charge Depleting 5-cycle</t>
  </si>
  <si>
    <t>CS-2C</t>
  </si>
  <si>
    <t>Charge Sustaining 2-cycle</t>
  </si>
  <si>
    <t>SVGAT03.0NAQ</t>
  </si>
  <si>
    <t>All Electric Range = 0-25 miles (combined)</t>
  </si>
  <si>
    <t>Continental GT</t>
  </si>
  <si>
    <t>Applies to DVTC+ECSA var: 0</t>
  </si>
  <si>
    <t>The variable valve timing is a substantial engine feature for: - Reducing engine out emissions - Optimizing full load performance - Optimizing fuel consumption - Reducing engine roughness</t>
  </si>
  <si>
    <t>.</t>
  </si>
  <si>
    <t>VW51100</t>
  </si>
  <si>
    <t>SVGAV04.0P7B</t>
  </si>
  <si>
    <t>All Electric Range = 0-30 miles (combined)</t>
  </si>
  <si>
    <t>Continental GT Speed</t>
  </si>
  <si>
    <t>Continental GTC</t>
  </si>
  <si>
    <t>Continental GTC Speed</t>
  </si>
  <si>
    <t>Flying Spur</t>
  </si>
  <si>
    <t>Flying Spur Speed</t>
  </si>
  <si>
    <t>Lamborghini</t>
  </si>
  <si>
    <t>Urus SE</t>
  </si>
  <si>
    <t>Applies to DWHE var: 0</t>
  </si>
  <si>
    <t>The variable valve timing is a substantial engine feature for: * Reducing engine out emissions * Optimizing full load performance * Optimizing fuel consumption * Reducing engine roughness Adjust the inlet and outlet camshaft position continuously between retard and advanced position.</t>
  </si>
  <si>
    <t>1 battery, no modules Number of battery cells = 103 1 e-motors @ 141kW</t>
  </si>
  <si>
    <t>AC 3-phase</t>
  </si>
  <si>
    <t>SVGAT04.0LAA</t>
  </si>
  <si>
    <t>All Electric Range = 0-35 miles (combined)</t>
  </si>
  <si>
    <t>550e xDrive Sedan</t>
  </si>
  <si>
    <t>permanent magnet synchronous machine (PMSM)</t>
  </si>
  <si>
    <t>(PMSM)</t>
  </si>
  <si>
    <t>0W12</t>
  </si>
  <si>
    <t>SBMXV03.0H5P</t>
  </si>
  <si>
    <t>M5 Sedan</t>
  </si>
  <si>
    <t>SBMXV04.4H9X</t>
  </si>
  <si>
    <t>M5 Touring</t>
  </si>
  <si>
    <t>750e xDrive Sedan</t>
  </si>
  <si>
    <t>All Electric Range = 0-24 miles (combined)</t>
  </si>
  <si>
    <t>permanent magnet synchronous machine (PMSM) / 750e xDrive Sedan: Number of Battery Packs = 3, Battery Energy Capacity (Ah) = 63.5, Total Voltage of Battery Pack(s) (Volts) = 348, Battery Specific Energy (Whr/kg) = 107</t>
  </si>
  <si>
    <t>SBMXJ03.0H70</t>
  </si>
  <si>
    <t>X5 xDrive50e</t>
  </si>
  <si>
    <t>All Electric Range = 0-39 miles (combined)</t>
  </si>
  <si>
    <t>XM</t>
  </si>
  <si>
    <t>SBMXT04.4H09</t>
  </si>
  <si>
    <t>All Electric Range = 0-31 miles (combined)</t>
  </si>
  <si>
    <t>XM Label</t>
  </si>
  <si>
    <t>All Electric Range = 0-31 miles (Combined)</t>
  </si>
  <si>
    <t>Pacifica Hybrid</t>
  </si>
  <si>
    <t>NA</t>
  </si>
  <si>
    <t xml:space="preserve">PHEV; </t>
  </si>
  <si>
    <t>5W20</t>
  </si>
  <si>
    <t>SCRXT03.65PH</t>
  </si>
  <si>
    <t>All Electric Range = 0-32 miles (combined)</t>
  </si>
  <si>
    <t>Hornet PHEV AWD</t>
  </si>
  <si>
    <t>296 GTB</t>
  </si>
  <si>
    <t>PMSM = Perm Magnet Synchronous</t>
  </si>
  <si>
    <t>SFEXV02.9HYB</t>
  </si>
  <si>
    <t>All Electric Range = 0-8 miles (combined)</t>
  </si>
  <si>
    <t>296 GTS</t>
  </si>
  <si>
    <t>All Electric Range = 0-7 miles (combined)</t>
  </si>
  <si>
    <t>SF90 Spider</t>
  </si>
  <si>
    <t>99, 99 and 150</t>
  </si>
  <si>
    <t>Ferrari SF90 Spider</t>
  </si>
  <si>
    <t>SFEXV03.9HYB</t>
  </si>
  <si>
    <t>SF90 XX Spider</t>
  </si>
  <si>
    <t>SFEXV03.9H70</t>
  </si>
  <si>
    <t>SF90 XX Stradale</t>
  </si>
  <si>
    <t>ESCAPE FWD PHEV</t>
  </si>
  <si>
    <t>PHEV FWD Escape</t>
  </si>
  <si>
    <t>SAE 0W-20 ILSAC GF6 APISP</t>
  </si>
  <si>
    <t>CS-3C</t>
  </si>
  <si>
    <t>Charge Sustaining 3-cycle</t>
  </si>
  <si>
    <t>SFMXT02.52P1</t>
  </si>
  <si>
    <t>All Electric Range = 0-37 miles (combined)</t>
  </si>
  <si>
    <t>Tucson Plug-in Hybrid</t>
  </si>
  <si>
    <t>Fixed3 (Continous Variable Valve Timing)</t>
  </si>
  <si>
    <t>0W20, API SN PLUS</t>
  </si>
  <si>
    <t>SHYXT01.6L2T</t>
  </si>
  <si>
    <t>Wrangler 4dr 4xe</t>
  </si>
  <si>
    <t>SCRXT02.05PH</t>
  </si>
  <si>
    <t>All Electric Range = 0-21 miles (combined)</t>
  </si>
  <si>
    <t>Grand Cherokee 4xe</t>
  </si>
  <si>
    <t>Niro Plug-in Hybrid</t>
  </si>
  <si>
    <t>Hydraulic Regen Brake</t>
  </si>
  <si>
    <t>SKMXV01.622T</t>
  </si>
  <si>
    <t>Sorento Plug-in Hybrid</t>
  </si>
  <si>
    <t>SKMXV01.6J2T</t>
  </si>
  <si>
    <t>All-Electric Range = 0-31 miles (combined</t>
  </si>
  <si>
    <t>Sportage Plug-in Hybrid</t>
  </si>
  <si>
    <t>IPMSM</t>
  </si>
  <si>
    <t>0W20, API SN PLUS/SP</t>
  </si>
  <si>
    <t>SKMXT01.6P2T</t>
  </si>
  <si>
    <t>All Electric Range = 0-34 miles (combined)</t>
  </si>
  <si>
    <t>Range Rover P550 PHEV</t>
  </si>
  <si>
    <t>Continuously Variable Valve Lift system for the intake valves only</t>
  </si>
  <si>
    <t>Battery nominal capacity is 96 Ah, rated capacity is 75 Ah.</t>
  </si>
  <si>
    <t>Range Rover PHEV</t>
  </si>
  <si>
    <t>SJLXT03.0PTC</t>
  </si>
  <si>
    <t>All Electric Range = 0-53 miles (combined)</t>
  </si>
  <si>
    <t>Range Rover Sport P460 PHEV</t>
  </si>
  <si>
    <t>Range Rover Sport PHEV</t>
  </si>
  <si>
    <t>NX 450h+ AWD</t>
  </si>
  <si>
    <t xml:space="preserve">SIDI &amp; PFI; PHEV; </t>
  </si>
  <si>
    <t>APPLIED TO NX 450h+ AWD</t>
  </si>
  <si>
    <t>Batteries are charged from an external power supply through the charger.</t>
  </si>
  <si>
    <t>STYXT02.5P3W</t>
  </si>
  <si>
    <t>RX 450h+ AWD</t>
  </si>
  <si>
    <t>APPLIED TO RX 450h+ AWD</t>
  </si>
  <si>
    <t>TX 550h+ AWD</t>
  </si>
  <si>
    <t>80 and 134</t>
  </si>
  <si>
    <t>STYXT03.5P33</t>
  </si>
  <si>
    <t>Prius PHEV</t>
  </si>
  <si>
    <t>STYXV02.0P35</t>
  </si>
  <si>
    <t>All Electric Range = 0-40 miles (combined)</t>
  </si>
  <si>
    <t>Prius PHEV SE</t>
  </si>
  <si>
    <t>All Electric Range = 0-45 miles (combined)</t>
  </si>
  <si>
    <t>RAV4 PHEV AWD</t>
  </si>
  <si>
    <t>All Electric Range = 0-42 miles (combined)</t>
  </si>
  <si>
    <t>CORSAIR AWD PHEV</t>
  </si>
  <si>
    <t>2.5L PHEV</t>
  </si>
  <si>
    <t>50 and 96</t>
  </si>
  <si>
    <t>SFMXT02.53CE</t>
  </si>
  <si>
    <t>All Electric Range = 0-27 miles (combined)</t>
  </si>
  <si>
    <t>STKXT02.5CDB</t>
  </si>
  <si>
    <t>AMG GT 63 S E PERFORMANCE (coupe)</t>
  </si>
  <si>
    <t>M177-40DETC-P3/ 8-Cylinder V-Shaped Engine Plug-In Hybrid / AMG S 63 E PERFORMANCE (PHEV) / COMBUSTION: 603 HP and 664 LB-FT / ELECTRIC : 188 HP and 236 LB-FT</t>
  </si>
  <si>
    <t>Different values for AMG SL 63 S E PERFORMANCE and AMG GT 63 S E PERFORMANCE: Total Voltage of Battery Pack(s) (Volts)=409; Battery Specific Energy (Whr/kg)=68.5; Rated Motor/Generator Power (kWatt)= 140 (AMG S 63 E PERFORMANCE) / 150 (AMG SL 63 S E PERFORMANCE + AMG GT 63 S E PERFORMANCE)</t>
  </si>
  <si>
    <t>140 and 150</t>
  </si>
  <si>
    <t>AMG GT 63 S E PERFORM (coupe)</t>
  </si>
  <si>
    <t>SMBXV04.0HY5</t>
  </si>
  <si>
    <t>All Electric Range = 0-1 miles (combined)</t>
  </si>
  <si>
    <t>AMG SL 63 S E PERFORMANCE</t>
  </si>
  <si>
    <t>AMG GT 63 S E PERFORMANCE</t>
  </si>
  <si>
    <t>M177-40DETC-P3/ 8-Cylinder V-Shaped Engine Plug-In Hybrid Engine / AMG GT 63 S E PERFORMANCE (PHEV) / COMBUSTION: 630 HP and 664 LB-FT / ELECTRIC : 201 HP and 236 LB-FT</t>
  </si>
  <si>
    <t>AMG GT 63 S E Performance</t>
  </si>
  <si>
    <t>SMBXV04.0HY3</t>
  </si>
  <si>
    <t>AMG C 63 S E Performance</t>
  </si>
  <si>
    <t>M139-20DETC-P3/ 4-Cylinder Plug-In Hybrid / AMG C + GLC 63 S E PERFORMANCE (PHEV) / COMBUSTION: 469 HP and 402 LB-FT / ELECTRIC : 201 HP and 236 LB-FT</t>
  </si>
  <si>
    <t>M139-20DETC-P3/ 4-Cylinder Plug-In Hybrid / AMG GLC + C 63 S E PERFORMANCE (PHEV) / ELECTRIC : 201 HP and 236 LB-FT / HPB80</t>
  </si>
  <si>
    <t>AMG C 63 S E PERFORMANCE</t>
  </si>
  <si>
    <t>SMBXV02.0HY5</t>
  </si>
  <si>
    <t>AMG E 53 HYBRID 4MATIC+</t>
  </si>
  <si>
    <t>M256M-30DETC-P2/ 6-Cylinder Inline Engine Plug-In Hybrid / AMG E 53 HYBRID 4MATIC+ (PHEV) / COMBUSTION: 443 HP and 413 LB-FT / ELECTRIC : 161 HP and 354 LB-FT</t>
  </si>
  <si>
    <t>SMBXV03.0HY4</t>
  </si>
  <si>
    <t>All Electric range = 0-43 miles (combined)</t>
  </si>
  <si>
    <t>AMG S 63 E PERFORMANCE</t>
  </si>
  <si>
    <t>All Electric Range = 0-16 miles (combined)</t>
  </si>
  <si>
    <t>S 580 e 4MATIC</t>
  </si>
  <si>
    <t>M256-30DETC-P2 / 6-Cylinder Inline Plug-In Hybrid Engine / S 580 E 4MATIC (PLUG-IN HYBRID) / COMBUSTION: 362 HP and 369 LB-FT / ELECTRIC: 148 HP and 325 LB-FT</t>
  </si>
  <si>
    <t>S 580e 4MATIC</t>
  </si>
  <si>
    <t>SMBXV03.0HY1</t>
  </si>
  <si>
    <t>All Electric Range = 0-47 miles (combined)</t>
  </si>
  <si>
    <t>AMG GLC 63 S E Performance</t>
  </si>
  <si>
    <t>AMG GLC 63 S E PERFORMANCE</t>
  </si>
  <si>
    <t>AMG GLC 63 S E Performance (Coupe)</t>
  </si>
  <si>
    <t>AMG GLC 63 S E PERFORM (coupe)</t>
  </si>
  <si>
    <t>GLC 350 e 4MATIC with EQ Hybrid Technology</t>
  </si>
  <si>
    <t>M254-20DETC-P2 / 4-Cylinder Inline Plug-In Hybrid Engine / GLE 450 E 4MATIC (PLUG-IN HYBRID) : COMBUSTION: 248 HP and 295 LB-FT / ELECTRIC: 134 HP and 325 LB-FT / and GLC 350 e 4MATIC with EQ Hybrid Technology (PLUG-IN HYBRID) : COMBUSTION: 201 HP and 236 LB-FT / ELECTRIC : 134 HP and 325 LB-FT</t>
  </si>
  <si>
    <t>M254-20DETC-P2 / 4-Cylinder Inline Plug-In Hybrid Engine / GLE 450 E 4MATIC (PLUG-IN HYBRID) and GLC 350 e 4MATIC with EQ Hybrid Technology (PLUG-IN HYBRID) / COMBUSTION: 248 HP and 295 LB-FT / ELECTRIC: 134 HP and 325 LB-FT</t>
  </si>
  <si>
    <t>SMBXT02.0HY2</t>
  </si>
  <si>
    <t>All Electric Range = 0-54 miles (combined)</t>
  </si>
  <si>
    <t>GLE 450 e 4MATIC</t>
  </si>
  <si>
    <t>All Electric Range = 0-50 miles (combined)</t>
  </si>
  <si>
    <t>Mitsubishi</t>
  </si>
  <si>
    <t>Outlander PHEV</t>
  </si>
  <si>
    <t>2024.9.18 Cooled EGR column is corrected to Yes from No since EGR Cooler (EGRC) has equipped in the current exhaust emission control system.</t>
  </si>
  <si>
    <t>DOHC continuous Variable Valve Timing System with inlet</t>
  </si>
  <si>
    <t>85 and 100</t>
  </si>
  <si>
    <t>SMTXT02.4H3M</t>
  </si>
  <si>
    <t>All Electric Range = 0-38 miles (combined)</t>
  </si>
  <si>
    <t>Cayenne E-Hybrid</t>
  </si>
  <si>
    <t>TWC/MAP/DFI/WR-HO2S/HO2S/1TC/2CAC</t>
  </si>
  <si>
    <t>Inlet valve is variable</t>
  </si>
  <si>
    <t>SPRXT03.0CH6</t>
  </si>
  <si>
    <t>All Electric Range = 0-29 miles (combined)</t>
  </si>
  <si>
    <t>Cayenne E-Hybrid Coupe</t>
  </si>
  <si>
    <t>Cayenne S E-Hybrid</t>
  </si>
  <si>
    <t>Cayenne S E-Hybrid Coupe</t>
  </si>
  <si>
    <t>Cayenne Turbo E-Hybrid</t>
  </si>
  <si>
    <t>ELECTRIC MOTOR HORSEPOWER IS 174.</t>
  </si>
  <si>
    <t>SPRXT04.0CH8</t>
  </si>
  <si>
    <t>Cayenne Turbo E-Hybrid Coupe</t>
  </si>
  <si>
    <t>Panamera 4 E-Hybrid</t>
  </si>
  <si>
    <t>Panamera 4S E-Hybrid (PHEV)</t>
  </si>
  <si>
    <t>SPRXV02.9PH6</t>
  </si>
  <si>
    <t>Panamera 4S E-Hybrid</t>
  </si>
  <si>
    <t>Panamera 4 E-Hybrid (PHEV)</t>
  </si>
  <si>
    <t>S60 T8 AWD</t>
  </si>
  <si>
    <t>All variants/models are AWD.</t>
  </si>
  <si>
    <t>Timing on both intake and exhaust sides.</t>
  </si>
  <si>
    <t>N/A</t>
  </si>
  <si>
    <t>3 phase synchronous electric</t>
  </si>
  <si>
    <t>34 and 107</t>
  </si>
  <si>
    <t>SVVXJ02.0P30</t>
  </si>
  <si>
    <t>Integrated starter generator</t>
  </si>
  <si>
    <t>All Electric Range = 0-41 miles (combined)</t>
  </si>
  <si>
    <t>(Voluntarily added CD fuel consumption)</t>
  </si>
  <si>
    <t>S90 T8 AWD</t>
  </si>
  <si>
    <t>V60 T8 AWD</t>
  </si>
  <si>
    <t>XC60 T8 AWD</t>
  </si>
  <si>
    <t>XC90 T8 AWD</t>
  </si>
  <si>
    <t>Blank2</t>
  </si>
  <si>
    <t>MIRAI XLE</t>
  </si>
  <si>
    <t>H</t>
  </si>
  <si>
    <t>Hydrogen</t>
  </si>
  <si>
    <t>polymer electrolyte fuel cell</t>
  </si>
  <si>
    <t>FCEV</t>
  </si>
  <si>
    <t>STYXV00.0D15</t>
  </si>
  <si>
    <t>MPK</t>
  </si>
  <si>
    <t>miles per kilogram</t>
  </si>
  <si>
    <t>NEXO</t>
  </si>
  <si>
    <t>reduction gear unit</t>
  </si>
  <si>
    <t>PEM(Proton Exchange Membrane) IPMSM(Interior Permanent Magnet Synchronous Motor)</t>
  </si>
  <si>
    <t>SHYXV00.0R30</t>
  </si>
  <si>
    <t>NEXO Blue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</si>
</sst>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quot;$&quot;#,##0"/>
    <numFmt numFmtId="166" formatCode="0.0"/>
  </numFmts>
  <fonts count="12" x14ac:knownFonts="1">
    <font>
      <sz val="11"/>
      <color theme="1"/>
      <name val="Calibri"/>
      <family val="2"/>
      <scheme val="minor"/>
    </font>
    <font>
      <sz val="11"/>
      <color rgb="FFFF0000"/>
      <name val="Calibri"/>
      <family val="2"/>
      <scheme val="minor"/>
    </font>
    <font>
      <b/>
      <sz val="11"/>
      <color theme="1"/>
      <name val="Calibri"/>
      <family val="2"/>
      <scheme val="minor"/>
    </font>
    <font>
      <sz val="10"/>
      <name val="Arial"/>
      <family val="2"/>
    </font>
    <font>
      <b/>
      <sz val="10"/>
      <name val="Arial"/>
      <family val="2"/>
    </font>
    <font>
      <b/>
      <sz val="10"/>
      <color indexed="10"/>
      <name val="Arial"/>
      <family val="2"/>
    </font>
    <font>
      <b/>
      <sz val="10"/>
      <color indexed="12"/>
      <name val="Arial"/>
      <family val="2"/>
    </font>
    <font>
      <b/>
      <sz val="11"/>
      <color rgb="FFFF0000"/>
      <name val="Calibri"/>
      <family val="2"/>
      <scheme val="minor"/>
    </font>
    <font>
      <b/>
      <sz val="14"/>
      <color theme="1"/>
      <name val="Calibri"/>
      <family val="2"/>
      <scheme val="minor"/>
    </font>
    <font>
      <b/>
      <sz val="10"/>
      <color rgb="FFFF0000"/>
      <name val="Arial"/>
      <family val="2"/>
    </font>
    <font>
      <sz val="11"/>
      <name val="Calibri"/>
      <family val="2"/>
      <scheme val="minor"/>
    </font>
    <font>
      <sz val="11"/>
      <color indexed="81"/>
      <name val="Tahoma"/>
      <family val="2"/>
    </font>
  </fonts>
  <fills count="17">
    <fill>
      <patternFill patternType="none"/>
    </fill>
    <fill>
      <patternFill patternType="gray125"/>
    </fill>
    <fill>
      <patternFill patternType="solid">
        <fgColor indexed="15"/>
        <bgColor indexed="64"/>
      </patternFill>
    </fill>
    <fill>
      <patternFill patternType="solid">
        <fgColor indexed="50"/>
        <bgColor indexed="64"/>
      </patternFill>
    </fill>
    <fill>
      <patternFill patternType="solid">
        <fgColor indexed="13"/>
        <bgColor indexed="64"/>
      </patternFill>
    </fill>
    <fill>
      <patternFill patternType="solid">
        <fgColor indexed="45"/>
        <bgColor indexed="64"/>
      </patternFill>
    </fill>
    <fill>
      <patternFill patternType="solid">
        <fgColor indexed="14"/>
        <bgColor indexed="64"/>
      </patternFill>
    </fill>
    <fill>
      <patternFill patternType="solid">
        <fgColor rgb="FFFFFF00"/>
        <bgColor indexed="64"/>
      </patternFill>
    </fill>
    <fill>
      <patternFill patternType="solid">
        <fgColor rgb="FFFFFF99"/>
        <bgColor indexed="64"/>
      </patternFill>
    </fill>
    <fill>
      <patternFill patternType="solid">
        <fgColor rgb="FF92D050"/>
        <bgColor indexed="64"/>
      </patternFill>
    </fill>
    <fill>
      <patternFill patternType="solid">
        <fgColor rgb="FFFFC000"/>
        <bgColor indexed="64"/>
      </patternFill>
    </fill>
    <fill>
      <patternFill patternType="solid">
        <fgColor rgb="FF6699FF"/>
        <bgColor indexed="64"/>
      </patternFill>
    </fill>
    <fill>
      <patternFill patternType="solid">
        <fgColor rgb="FFF808DB"/>
        <bgColor indexed="64"/>
      </patternFill>
    </fill>
    <fill>
      <patternFill patternType="solid">
        <fgColor rgb="FF39AD39"/>
        <bgColor indexed="64"/>
      </patternFill>
    </fill>
    <fill>
      <patternFill patternType="solid">
        <fgColor rgb="FF0000FF"/>
        <bgColor indexed="64"/>
      </patternFill>
    </fill>
    <fill>
      <patternFill patternType="solid">
        <fgColor theme="8" tint="0.59999389629810485"/>
        <bgColor indexed="64"/>
      </patternFill>
    </fill>
    <fill>
      <patternFill patternType="solid">
        <fgColor rgb="FF00B050"/>
        <bgColor indexed="64"/>
      </patternFill>
    </fill>
  </fills>
  <borders count="1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style="thin">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s>
  <cellStyleXfs count="1">
    <xf numFmtId="0" fontId="0" fillId="0" borderId="0"/>
  </cellStyleXfs>
  <cellXfs count="183">
    <xf numFmtId="0" fontId="0" fillId="0" borderId="0" xfId="0"/>
    <xf numFmtId="164" fontId="0" fillId="0" borderId="0" xfId="0" applyNumberFormat="1"/>
    <xf numFmtId="0" fontId="4" fillId="0" borderId="0" xfId="0" applyFont="1"/>
    <xf numFmtId="0" fontId="5" fillId="0" borderId="0" xfId="0" applyFont="1"/>
    <xf numFmtId="0" fontId="4" fillId="2" borderId="0" xfId="0" applyFont="1" applyFill="1"/>
    <xf numFmtId="0" fontId="4" fillId="3" borderId="0" xfId="0" applyFont="1" applyFill="1"/>
    <xf numFmtId="0" fontId="6" fillId="2" borderId="0" xfId="0" applyFont="1" applyFill="1"/>
    <xf numFmtId="0" fontId="4" fillId="4" borderId="0" xfId="0" applyFont="1" applyFill="1"/>
    <xf numFmtId="165" fontId="5" fillId="2" borderId="0" xfId="0" applyNumberFormat="1" applyFont="1" applyFill="1"/>
    <xf numFmtId="1" fontId="4" fillId="5" borderId="0" xfId="0" applyNumberFormat="1" applyFont="1" applyFill="1"/>
    <xf numFmtId="14" fontId="4" fillId="0" borderId="0" xfId="0" applyNumberFormat="1" applyFont="1"/>
    <xf numFmtId="0" fontId="4" fillId="5" borderId="0" xfId="0" applyFont="1" applyFill="1"/>
    <xf numFmtId="0" fontId="4" fillId="6" borderId="0" xfId="0" applyFont="1" applyFill="1"/>
    <xf numFmtId="0" fontId="2" fillId="0" borderId="0" xfId="0" applyFont="1"/>
    <xf numFmtId="0" fontId="2" fillId="7" borderId="0" xfId="0" applyFont="1" applyFill="1"/>
    <xf numFmtId="0" fontId="0" fillId="8" borderId="0" xfId="0" applyFill="1"/>
    <xf numFmtId="0" fontId="0" fillId="7" borderId="0" xfId="0" applyFill="1"/>
    <xf numFmtId="0" fontId="2" fillId="9" borderId="0" xfId="0" applyFont="1" applyFill="1"/>
    <xf numFmtId="0" fontId="2" fillId="10" borderId="0" xfId="0" applyFont="1" applyFill="1"/>
    <xf numFmtId="0" fontId="2" fillId="11" borderId="0" xfId="0" applyFont="1" applyFill="1"/>
    <xf numFmtId="0" fontId="2" fillId="12" borderId="1" xfId="0" applyFont="1" applyFill="1" applyBorder="1"/>
    <xf numFmtId="0" fontId="2" fillId="12" borderId="2" xfId="0" applyFont="1" applyFill="1" applyBorder="1"/>
    <xf numFmtId="0" fontId="2" fillId="12" borderId="3" xfId="0" applyFont="1" applyFill="1" applyBorder="1"/>
    <xf numFmtId="0" fontId="2" fillId="12" borderId="0" xfId="0" applyFont="1" applyFill="1"/>
    <xf numFmtId="0" fontId="2" fillId="0" borderId="3" xfId="0" applyFont="1" applyBorder="1"/>
    <xf numFmtId="0" fontId="7" fillId="0" borderId="0" xfId="0" applyFont="1"/>
    <xf numFmtId="0" fontId="8" fillId="0" borderId="0" xfId="0" applyFont="1"/>
    <xf numFmtId="0" fontId="0" fillId="0" borderId="0" xfId="0" applyAlignment="1">
      <alignment horizontal="center"/>
    </xf>
    <xf numFmtId="0" fontId="9" fillId="0" borderId="0" xfId="0" applyFont="1"/>
    <xf numFmtId="0" fontId="2" fillId="0" borderId="4" xfId="0" applyFont="1" applyBorder="1" applyAlignment="1">
      <alignment horizontal="center"/>
    </xf>
    <xf numFmtId="0" fontId="2" fillId="0" borderId="5" xfId="0" applyFont="1" applyBorder="1" applyAlignment="1">
      <alignment horizontal="center"/>
    </xf>
    <xf numFmtId="0" fontId="3" fillId="13" borderId="9" xfId="0" applyFont="1" applyFill="1" applyBorder="1"/>
    <xf numFmtId="0" fontId="3" fillId="14" borderId="0" xfId="0" applyFont="1" applyFill="1"/>
    <xf numFmtId="0" fontId="2" fillId="0" borderId="9" xfId="0" applyFont="1" applyBorder="1" applyAlignment="1">
      <alignment horizontal="center"/>
    </xf>
    <xf numFmtId="0" fontId="2" fillId="0" borderId="6" xfId="0" applyFont="1" applyBorder="1"/>
    <xf numFmtId="0" fontId="2" fillId="0" borderId="7" xfId="0" applyFont="1" applyBorder="1"/>
    <xf numFmtId="0" fontId="2" fillId="0" borderId="10" xfId="0" applyFont="1" applyBorder="1" applyAlignment="1">
      <alignment horizontal="center"/>
    </xf>
    <xf numFmtId="0" fontId="0" fillId="7" borderId="4" xfId="0" applyFill="1" applyBorder="1" applyAlignment="1">
      <alignment horizontal="center"/>
    </xf>
    <xf numFmtId="0" fontId="4" fillId="0" borderId="2" xfId="0" applyFont="1" applyBorder="1"/>
    <xf numFmtId="0" fontId="5" fillId="0" borderId="2" xfId="0" applyFont="1" applyBorder="1"/>
    <xf numFmtId="0" fontId="4" fillId="2" borderId="3" xfId="0" applyFont="1" applyFill="1" applyBorder="1"/>
    <xf numFmtId="0" fontId="4" fillId="3" borderId="2" xfId="0" applyFont="1" applyFill="1" applyBorder="1"/>
    <xf numFmtId="0" fontId="6" fillId="2" borderId="2" xfId="0" applyFont="1" applyFill="1" applyBorder="1"/>
    <xf numFmtId="0" fontId="4" fillId="0" borderId="1" xfId="0" applyFont="1" applyBorder="1"/>
    <xf numFmtId="0" fontId="4" fillId="0" borderId="3" xfId="0" applyFont="1" applyBorder="1"/>
    <xf numFmtId="0" fontId="4" fillId="3" borderId="1" xfId="0" applyFont="1" applyFill="1" applyBorder="1"/>
    <xf numFmtId="0" fontId="4" fillId="4" borderId="2" xfId="0" applyFont="1" applyFill="1" applyBorder="1"/>
    <xf numFmtId="165" fontId="5" fillId="2" borderId="2" xfId="0" applyNumberFormat="1" applyFont="1" applyFill="1" applyBorder="1"/>
    <xf numFmtId="0" fontId="4" fillId="5" borderId="1" xfId="0" applyFont="1" applyFill="1" applyBorder="1"/>
    <xf numFmtId="0" fontId="3" fillId="13" borderId="4" xfId="0" applyFont="1" applyFill="1" applyBorder="1"/>
    <xf numFmtId="14" fontId="4" fillId="0" borderId="2" xfId="0" applyNumberFormat="1" applyFont="1" applyBorder="1"/>
    <xf numFmtId="0" fontId="4" fillId="5" borderId="2" xfId="0" applyFont="1" applyFill="1" applyBorder="1"/>
    <xf numFmtId="0" fontId="4" fillId="2" borderId="2" xfId="0" applyFont="1" applyFill="1" applyBorder="1"/>
    <xf numFmtId="0" fontId="4" fillId="6" borderId="2" xfId="0" applyFont="1" applyFill="1" applyBorder="1"/>
    <xf numFmtId="0" fontId="2" fillId="0" borderId="2" xfId="0" applyFont="1" applyBorder="1"/>
    <xf numFmtId="0" fontId="2" fillId="7" borderId="2" xfId="0" applyFont="1" applyFill="1" applyBorder="1"/>
    <xf numFmtId="0" fontId="3" fillId="14" borderId="4" xfId="0" applyFont="1" applyFill="1" applyBorder="1"/>
    <xf numFmtId="0" fontId="2" fillId="7" borderId="1" xfId="0" applyFont="1" applyFill="1" applyBorder="1"/>
    <xf numFmtId="0" fontId="0" fillId="8" borderId="1" xfId="0" applyFill="1" applyBorder="1"/>
    <xf numFmtId="0" fontId="0" fillId="8" borderId="2" xfId="0" applyFill="1" applyBorder="1"/>
    <xf numFmtId="0" fontId="0" fillId="8" borderId="3" xfId="0" applyFill="1" applyBorder="1"/>
    <xf numFmtId="0" fontId="0" fillId="7" borderId="2" xfId="0" applyFill="1" applyBorder="1"/>
    <xf numFmtId="0" fontId="0" fillId="7" borderId="1" xfId="0" applyFill="1" applyBorder="1"/>
    <xf numFmtId="0" fontId="2" fillId="9" borderId="1" xfId="0" applyFont="1" applyFill="1" applyBorder="1"/>
    <xf numFmtId="0" fontId="2" fillId="9" borderId="3" xfId="0" applyFont="1" applyFill="1" applyBorder="1"/>
    <xf numFmtId="0" fontId="2" fillId="10" borderId="2" xfId="0" applyFont="1" applyFill="1" applyBorder="1"/>
    <xf numFmtId="0" fontId="2" fillId="11" borderId="2" xfId="0" applyFont="1" applyFill="1" applyBorder="1"/>
    <xf numFmtId="0" fontId="2" fillId="10" borderId="4" xfId="0" applyFont="1" applyFill="1" applyBorder="1"/>
    <xf numFmtId="0" fontId="2" fillId="11" borderId="4" xfId="0" applyFont="1" applyFill="1" applyBorder="1"/>
    <xf numFmtId="0" fontId="2" fillId="11" borderId="3" xfId="0" applyFont="1" applyFill="1" applyBorder="1"/>
    <xf numFmtId="0" fontId="2" fillId="10" borderId="1" xfId="0" applyFont="1" applyFill="1" applyBorder="1"/>
    <xf numFmtId="0" fontId="2" fillId="10" borderId="3" xfId="0" applyFont="1" applyFill="1" applyBorder="1"/>
    <xf numFmtId="0" fontId="2" fillId="11" borderId="1" xfId="0" applyFont="1" applyFill="1" applyBorder="1"/>
    <xf numFmtId="0" fontId="2" fillId="9" borderId="2" xfId="0" applyFont="1" applyFill="1" applyBorder="1"/>
    <xf numFmtId="0" fontId="0" fillId="7" borderId="10" xfId="0" applyFill="1" applyBorder="1" applyAlignment="1">
      <alignment horizontal="center"/>
    </xf>
    <xf numFmtId="0" fontId="1" fillId="0" borderId="12" xfId="0" applyFont="1" applyBorder="1"/>
    <xf numFmtId="0" fontId="10" fillId="0" borderId="0" xfId="0" applyFont="1"/>
    <xf numFmtId="0" fontId="1" fillId="0" borderId="0" xfId="0" applyFont="1"/>
    <xf numFmtId="166" fontId="10" fillId="0" borderId="0" xfId="0" applyNumberFormat="1" applyFont="1"/>
    <xf numFmtId="0" fontId="10" fillId="0" borderId="12" xfId="0" applyFont="1" applyBorder="1"/>
    <xf numFmtId="0" fontId="7" fillId="0" borderId="11" xfId="0" applyFont="1" applyBorder="1"/>
    <xf numFmtId="0" fontId="9" fillId="0" borderId="12" xfId="0" applyFont="1" applyBorder="1"/>
    <xf numFmtId="0" fontId="4" fillId="0" borderId="11" xfId="0" applyFont="1" applyBorder="1"/>
    <xf numFmtId="0" fontId="4" fillId="0" borderId="12" xfId="0" applyFont="1" applyBorder="1"/>
    <xf numFmtId="0" fontId="9" fillId="0" borderId="11" xfId="0" applyFont="1" applyBorder="1"/>
    <xf numFmtId="0" fontId="7" fillId="0" borderId="12" xfId="0" applyFont="1" applyBorder="1"/>
    <xf numFmtId="165" fontId="4" fillId="0" borderId="0" xfId="0" applyNumberFormat="1" applyFont="1"/>
    <xf numFmtId="1" fontId="3" fillId="13" borderId="5" xfId="0" applyNumberFormat="1" applyFont="1" applyFill="1" applyBorder="1"/>
    <xf numFmtId="0" fontId="3" fillId="0" borderId="0" xfId="0" applyFont="1"/>
    <xf numFmtId="49" fontId="3" fillId="14" borderId="5" xfId="0" applyNumberFormat="1" applyFont="1" applyFill="1" applyBorder="1"/>
    <xf numFmtId="0" fontId="1" fillId="0" borderId="11" xfId="0" applyFont="1" applyBorder="1"/>
    <xf numFmtId="0" fontId="1" fillId="0" borderId="5" xfId="0" applyFont="1" applyBorder="1"/>
    <xf numFmtId="0" fontId="7" fillId="0" borderId="11" xfId="0" applyFont="1" applyBorder="1" applyAlignment="1">
      <alignment horizontal="center"/>
    </xf>
    <xf numFmtId="0" fontId="7" fillId="0" borderId="0" xfId="0" applyFont="1" applyAlignment="1">
      <alignment horizontal="center"/>
    </xf>
    <xf numFmtId="0" fontId="7" fillId="0" borderId="12" xfId="0" applyFont="1" applyBorder="1" applyAlignment="1">
      <alignment horizontal="center"/>
    </xf>
    <xf numFmtId="166" fontId="7" fillId="0" borderId="5" xfId="0" applyNumberFormat="1" applyFont="1" applyBorder="1" applyAlignment="1">
      <alignment horizontal="center"/>
    </xf>
    <xf numFmtId="0" fontId="10" fillId="0" borderId="11" xfId="0" applyFont="1" applyBorder="1"/>
    <xf numFmtId="0" fontId="10" fillId="0" borderId="5" xfId="0" applyFont="1" applyBorder="1"/>
    <xf numFmtId="1" fontId="10" fillId="0" borderId="11" xfId="0" applyNumberFormat="1" applyFont="1" applyBorder="1"/>
    <xf numFmtId="14" fontId="10" fillId="0" borderId="0" xfId="0" applyNumberFormat="1" applyFont="1"/>
    <xf numFmtId="0" fontId="10" fillId="13" borderId="5" xfId="0" applyFont="1" applyFill="1" applyBorder="1"/>
    <xf numFmtId="0" fontId="10" fillId="14" borderId="5" xfId="0" applyFont="1" applyFill="1" applyBorder="1"/>
    <xf numFmtId="1" fontId="10" fillId="0" borderId="5" xfId="0" applyNumberFormat="1" applyFont="1" applyBorder="1"/>
    <xf numFmtId="1" fontId="10" fillId="0" borderId="12" xfId="0" applyNumberFormat="1" applyFont="1" applyBorder="1"/>
    <xf numFmtId="2" fontId="10" fillId="0" borderId="11" xfId="0" applyNumberFormat="1" applyFont="1" applyBorder="1"/>
    <xf numFmtId="2" fontId="10" fillId="0" borderId="0" xfId="0" applyNumberFormat="1" applyFont="1"/>
    <xf numFmtId="0" fontId="10" fillId="0" borderId="11" xfId="0" applyFont="1" applyBorder="1" applyAlignment="1">
      <alignment horizontal="center"/>
    </xf>
    <xf numFmtId="0" fontId="10" fillId="0" borderId="0" xfId="0" applyFont="1" applyAlignment="1">
      <alignment horizontal="center"/>
    </xf>
    <xf numFmtId="166" fontId="0" fillId="0" borderId="5" xfId="0" applyNumberFormat="1" applyBorder="1" applyAlignment="1">
      <alignment horizontal="center"/>
    </xf>
    <xf numFmtId="0" fontId="10" fillId="0" borderId="0" xfId="0" applyFont="1" applyAlignment="1">
      <alignment horizontal="left"/>
    </xf>
    <xf numFmtId="0" fontId="10" fillId="0" borderId="12" xfId="0" applyFont="1" applyBorder="1" applyAlignment="1">
      <alignment horizontal="left"/>
    </xf>
    <xf numFmtId="1" fontId="10" fillId="0" borderId="0" xfId="0" applyNumberFormat="1" applyFont="1"/>
    <xf numFmtId="0" fontId="10" fillId="14" borderId="0" xfId="0" applyFont="1" applyFill="1"/>
    <xf numFmtId="0" fontId="10" fillId="15" borderId="0" xfId="0" applyFont="1" applyFill="1"/>
    <xf numFmtId="2" fontId="10" fillId="15" borderId="11" xfId="0" applyNumberFormat="1" applyFont="1" applyFill="1" applyBorder="1"/>
    <xf numFmtId="2" fontId="10" fillId="15" borderId="0" xfId="0" applyNumberFormat="1" applyFont="1" applyFill="1"/>
    <xf numFmtId="2" fontId="10" fillId="15" borderId="12" xfId="0" applyNumberFormat="1" applyFont="1" applyFill="1" applyBorder="1"/>
    <xf numFmtId="1" fontId="10" fillId="15" borderId="12" xfId="0" applyNumberFormat="1" applyFont="1" applyFill="1" applyBorder="1"/>
    <xf numFmtId="1" fontId="10" fillId="15" borderId="11" xfId="0" applyNumberFormat="1" applyFont="1" applyFill="1" applyBorder="1"/>
    <xf numFmtId="1" fontId="10" fillId="15" borderId="0" xfId="0" applyNumberFormat="1" applyFont="1" applyFill="1"/>
    <xf numFmtId="0" fontId="10" fillId="13" borderId="12" xfId="0" applyFont="1" applyFill="1" applyBorder="1"/>
    <xf numFmtId="1" fontId="3" fillId="13" borderId="12" xfId="0" applyNumberFormat="1" applyFont="1" applyFill="1" applyBorder="1"/>
    <xf numFmtId="2" fontId="10" fillId="0" borderId="11" xfId="0" applyNumberFormat="1" applyFont="1" applyBorder="1" applyAlignment="1">
      <alignment horizontal="center"/>
    </xf>
    <xf numFmtId="2" fontId="10" fillId="0" borderId="0" xfId="0" applyNumberFormat="1" applyFont="1" applyAlignment="1">
      <alignment horizontal="center"/>
    </xf>
    <xf numFmtId="0" fontId="10" fillId="15" borderId="11" xfId="0" applyFont="1" applyFill="1" applyBorder="1"/>
    <xf numFmtId="0" fontId="10" fillId="15" borderId="12" xfId="0" applyFont="1" applyFill="1" applyBorder="1"/>
    <xf numFmtId="0" fontId="10" fillId="0" borderId="11" xfId="0" applyFont="1" applyBorder="1" applyAlignment="1">
      <alignment horizontal="center" vertical="center"/>
    </xf>
    <xf numFmtId="0" fontId="10" fillId="0" borderId="0" xfId="0" applyFont="1" applyAlignment="1">
      <alignment horizontal="center" vertical="center"/>
    </xf>
    <xf numFmtId="0" fontId="10" fillId="0" borderId="5" xfId="0" applyFont="1" applyBorder="1" applyAlignment="1">
      <alignment horizontal="center"/>
    </xf>
    <xf numFmtId="0" fontId="10" fillId="14" borderId="12" xfId="0" applyFont="1" applyFill="1" applyBorder="1"/>
    <xf numFmtId="49" fontId="3" fillId="14" borderId="12" xfId="0" applyNumberFormat="1" applyFont="1" applyFill="1" applyBorder="1"/>
    <xf numFmtId="1" fontId="10" fillId="0" borderId="12" xfId="0" applyNumberFormat="1" applyFont="1" applyBorder="1" applyAlignment="1">
      <alignment horizontal="center"/>
    </xf>
    <xf numFmtId="1" fontId="10" fillId="0" borderId="13" xfId="0" applyNumberFormat="1" applyFont="1" applyBorder="1"/>
    <xf numFmtId="0" fontId="10" fillId="0" borderId="11" xfId="0" applyFont="1" applyBorder="1" applyAlignment="1">
      <alignment horizontal="left"/>
    </xf>
    <xf numFmtId="166" fontId="0" fillId="0" borderId="0" xfId="0" applyNumberFormat="1" applyAlignment="1">
      <alignment horizontal="center"/>
    </xf>
    <xf numFmtId="0" fontId="10" fillId="0" borderId="14" xfId="0" applyFont="1" applyBorder="1"/>
    <xf numFmtId="0" fontId="10" fillId="0" borderId="15" xfId="0" applyFont="1" applyBorder="1"/>
    <xf numFmtId="0" fontId="10" fillId="0" borderId="16" xfId="0" applyFont="1" applyBorder="1"/>
    <xf numFmtId="0" fontId="10" fillId="0" borderId="10" xfId="0" applyFont="1" applyBorder="1"/>
    <xf numFmtId="1" fontId="10" fillId="0" borderId="14" xfId="0" applyNumberFormat="1" applyFont="1" applyBorder="1"/>
    <xf numFmtId="14" fontId="10" fillId="0" borderId="16" xfId="0" applyNumberFormat="1" applyFont="1" applyBorder="1"/>
    <xf numFmtId="0" fontId="10" fillId="13" borderId="10" xfId="0" applyFont="1" applyFill="1" applyBorder="1"/>
    <xf numFmtId="0" fontId="10" fillId="14" borderId="10" xfId="0" applyFont="1" applyFill="1" applyBorder="1"/>
    <xf numFmtId="1" fontId="10" fillId="0" borderId="10" xfId="0" applyNumberFormat="1" applyFont="1" applyBorder="1"/>
    <xf numFmtId="1" fontId="10" fillId="0" borderId="15" xfId="0" applyNumberFormat="1" applyFont="1" applyBorder="1"/>
    <xf numFmtId="1" fontId="10" fillId="0" borderId="16" xfId="0" applyNumberFormat="1" applyFont="1" applyBorder="1"/>
    <xf numFmtId="0" fontId="10" fillId="0" borderId="14" xfId="0" applyFont="1" applyBorder="1" applyAlignment="1">
      <alignment horizontal="center"/>
    </xf>
    <xf numFmtId="0" fontId="10" fillId="0" borderId="16" xfId="0" applyFont="1" applyBorder="1" applyAlignment="1">
      <alignment horizontal="center"/>
    </xf>
    <xf numFmtId="166" fontId="0" fillId="0" borderId="10" xfId="0" applyNumberFormat="1" applyBorder="1" applyAlignment="1">
      <alignment horizontal="center"/>
    </xf>
    <xf numFmtId="0" fontId="4" fillId="16" borderId="0" xfId="0" applyFont="1" applyFill="1"/>
    <xf numFmtId="0" fontId="0" fillId="16" borderId="0" xfId="0" applyFill="1"/>
    <xf numFmtId="0" fontId="3" fillId="16" borderId="9" xfId="0" applyFont="1" applyFill="1" applyBorder="1"/>
    <xf numFmtId="0" fontId="3" fillId="16" borderId="4" xfId="0" applyFont="1" applyFill="1" applyBorder="1"/>
    <xf numFmtId="1" fontId="3" fillId="16" borderId="5" xfId="0" applyNumberFormat="1" applyFont="1" applyFill="1" applyBorder="1"/>
    <xf numFmtId="0" fontId="10" fillId="16" borderId="5" xfId="0" applyFont="1" applyFill="1" applyBorder="1"/>
    <xf numFmtId="0" fontId="10" fillId="16" borderId="12" xfId="0" applyFont="1" applyFill="1" applyBorder="1"/>
    <xf numFmtId="1" fontId="3" fillId="16" borderId="12" xfId="0" applyNumberFormat="1" applyFont="1" applyFill="1" applyBorder="1"/>
    <xf numFmtId="0" fontId="10" fillId="16" borderId="10" xfId="0" applyFont="1" applyFill="1" applyBorder="1"/>
    <xf numFmtId="0" fontId="2" fillId="14" borderId="0" xfId="0" applyFont="1" applyFill="1"/>
    <xf numFmtId="0" fontId="0" fillId="14" borderId="0" xfId="0" applyFill="1"/>
    <xf numFmtId="0" fontId="10" fillId="0" borderId="16" xfId="0" applyFont="1" applyBorder="1" applyAlignment="1">
      <alignment horizontal="left"/>
    </xf>
    <xf numFmtId="0" fontId="10" fillId="0" borderId="15" xfId="0" applyFont="1" applyBorder="1" applyAlignment="1">
      <alignment horizontal="left"/>
    </xf>
    <xf numFmtId="0" fontId="10" fillId="0" borderId="0" xfId="0" applyFont="1" applyAlignment="1">
      <alignment horizontal="left"/>
    </xf>
    <xf numFmtId="0" fontId="10" fillId="0" borderId="12" xfId="0" applyFont="1" applyBorder="1" applyAlignment="1">
      <alignment horizontal="left"/>
    </xf>
    <xf numFmtId="1" fontId="10" fillId="0" borderId="11" xfId="0" applyNumberFormat="1" applyFont="1" applyBorder="1" applyAlignment="1">
      <alignment horizontal="left"/>
    </xf>
    <xf numFmtId="1" fontId="10" fillId="0" borderId="0" xfId="0" applyNumberFormat="1" applyFont="1" applyAlignment="1">
      <alignment horizontal="left"/>
    </xf>
    <xf numFmtId="1" fontId="10" fillId="0" borderId="13" xfId="0" applyNumberFormat="1" applyFont="1" applyBorder="1" applyAlignment="1">
      <alignment horizontal="left"/>
    </xf>
    <xf numFmtId="1" fontId="10" fillId="0" borderId="11" xfId="0" applyNumberFormat="1" applyFont="1" applyBorder="1" applyAlignment="1">
      <alignment horizontal="center"/>
    </xf>
    <xf numFmtId="1" fontId="10" fillId="0" borderId="0" xfId="0" applyNumberFormat="1" applyFont="1" applyAlignment="1">
      <alignment horizontal="center"/>
    </xf>
    <xf numFmtId="1" fontId="10" fillId="0" borderId="12" xfId="0" applyNumberFormat="1" applyFont="1" applyBorder="1" applyAlignment="1">
      <alignment horizontal="center"/>
    </xf>
    <xf numFmtId="2" fontId="10" fillId="0" borderId="11" xfId="0" applyNumberFormat="1" applyFont="1" applyBorder="1" applyAlignment="1">
      <alignment horizontal="center"/>
    </xf>
    <xf numFmtId="2" fontId="10" fillId="0" borderId="0" xfId="0" applyNumberFormat="1" applyFont="1" applyAlignment="1">
      <alignment horizontal="center"/>
    </xf>
    <xf numFmtId="2" fontId="10" fillId="0" borderId="12" xfId="0" applyNumberFormat="1" applyFont="1" applyBorder="1" applyAlignment="1">
      <alignment horizontal="center"/>
    </xf>
    <xf numFmtId="0" fontId="2" fillId="0" borderId="6" xfId="0" applyFont="1" applyBorder="1" applyAlignment="1">
      <alignment horizontal="center"/>
    </xf>
    <xf numFmtId="0" fontId="2" fillId="0" borderId="7" xfId="0" applyFont="1" applyBorder="1" applyAlignment="1">
      <alignment horizontal="center"/>
    </xf>
    <xf numFmtId="0" fontId="2" fillId="0" borderId="8" xfId="0" applyFont="1"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166" fontId="0" fillId="0" borderId="0" xfId="0" applyNumberFormat="1"/>
    <xf numFmtId="1" fontId="0" fillId="0" borderId="0" xfId="0" applyNumberFormat="1"/>
    <xf numFmtId="14" fontId="0" fillId="0" borderId="0" xfId="0" applyNumberFormat="1"/>
    <xf numFmtId="0" fontId="0" fillId="13" borderId="0" xfId="0" applyFill="1"/>
  </cellXfs>
  <cellStyles count="1">
    <cellStyle name="Normal" xfId="0" builtinId="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K869"/>
  <sheetViews>
    <sheetView tabSelected="1" workbookViewId="0"/>
  </sheetViews>
  <sheetFormatPr defaultRowHeight="14.5" x14ac:dyDescent="0.35"/>
  <cols>
    <col min="73" max="73" width="10.453125" bestFit="1" customWidth="1"/>
    <col min="75" max="75" width="9.1796875" style="150"/>
    <col min="131" max="131" width="9.1796875" style="159"/>
  </cols>
  <sheetData>
    <row r="1" spans="1:167" x14ac:dyDescent="0.35">
      <c r="A1" s="2" t="s">
        <v>0</v>
      </c>
      <c r="B1" s="2" t="s">
        <v>1</v>
      </c>
      <c r="C1" s="2" t="s">
        <v>2</v>
      </c>
      <c r="D1" s="2" t="s">
        <v>3</v>
      </c>
      <c r="E1" s="2" t="s">
        <v>4</v>
      </c>
      <c r="F1" s="3" t="s">
        <v>5</v>
      </c>
      <c r="G1" s="2" t="s">
        <v>6</v>
      </c>
      <c r="H1" s="2" t="s">
        <v>7</v>
      </c>
      <c r="I1" s="4" t="s">
        <v>8</v>
      </c>
      <c r="J1" s="5" t="s">
        <v>9</v>
      </c>
      <c r="K1" s="5" t="s">
        <v>10</v>
      </c>
      <c r="L1" s="5" t="s">
        <v>11</v>
      </c>
      <c r="M1" s="5" t="s">
        <v>12</v>
      </c>
      <c r="N1" s="5" t="s">
        <v>13</v>
      </c>
      <c r="O1" s="5" t="s">
        <v>14</v>
      </c>
      <c r="P1" s="5" t="s">
        <v>15</v>
      </c>
      <c r="Q1" s="5" t="s">
        <v>16</v>
      </c>
      <c r="R1" s="5" t="s">
        <v>17</v>
      </c>
      <c r="S1" s="6" t="s">
        <v>18</v>
      </c>
      <c r="T1" s="2" t="s">
        <v>19</v>
      </c>
      <c r="U1" s="2" t="s">
        <v>20</v>
      </c>
      <c r="V1" s="2" t="s">
        <v>21</v>
      </c>
      <c r="W1" s="2" t="s">
        <v>22</v>
      </c>
      <c r="X1" s="2" t="s">
        <v>23</v>
      </c>
      <c r="Y1" s="2" t="s">
        <v>24</v>
      </c>
      <c r="Z1" s="2" t="s">
        <v>25</v>
      </c>
      <c r="AA1" s="2" t="s">
        <v>26</v>
      </c>
      <c r="AB1" s="2" t="s">
        <v>27</v>
      </c>
      <c r="AC1" s="2" t="s">
        <v>28</v>
      </c>
      <c r="AD1" s="2" t="s">
        <v>29</v>
      </c>
      <c r="AE1" s="2" t="s">
        <v>30</v>
      </c>
      <c r="AF1" s="5" t="s">
        <v>31</v>
      </c>
      <c r="AG1" s="5" t="s">
        <v>32</v>
      </c>
      <c r="AH1" s="5" t="s">
        <v>33</v>
      </c>
      <c r="AI1" s="5" t="s">
        <v>34</v>
      </c>
      <c r="AJ1" s="5" t="s">
        <v>35</v>
      </c>
      <c r="AK1" s="2" t="s">
        <v>36</v>
      </c>
      <c r="AL1" s="2" t="s">
        <v>37</v>
      </c>
      <c r="AM1" s="2" t="s">
        <v>38</v>
      </c>
      <c r="AN1" s="2" t="s">
        <v>39</v>
      </c>
      <c r="AO1" s="2" t="s">
        <v>40</v>
      </c>
      <c r="AP1" s="2" t="s">
        <v>41</v>
      </c>
      <c r="AQ1" s="2" t="s">
        <v>42</v>
      </c>
      <c r="AR1" s="2" t="s">
        <v>43</v>
      </c>
      <c r="AS1" s="5" t="s">
        <v>44</v>
      </c>
      <c r="AT1" s="4"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8" t="s">
        <v>64</v>
      </c>
      <c r="BN1" s="9" t="s">
        <v>65</v>
      </c>
      <c r="BO1" s="2" t="s">
        <v>66</v>
      </c>
      <c r="BP1" s="2" t="s">
        <v>67</v>
      </c>
      <c r="BQ1" s="2" t="s">
        <v>68</v>
      </c>
      <c r="BR1" s="2" t="s">
        <v>69</v>
      </c>
      <c r="BS1" s="2" t="s">
        <v>70</v>
      </c>
      <c r="BT1" s="2" t="s">
        <v>71</v>
      </c>
      <c r="BU1" s="2" t="s">
        <v>72</v>
      </c>
      <c r="BV1" s="2" t="s">
        <v>73</v>
      </c>
      <c r="BW1" s="149" t="s">
        <v>665</v>
      </c>
      <c r="BX1" t="s">
        <v>74</v>
      </c>
      <c r="BY1" s="10" t="s">
        <v>75</v>
      </c>
      <c r="BZ1" s="2" t="s">
        <v>76</v>
      </c>
      <c r="CA1" s="11" t="s">
        <v>77</v>
      </c>
      <c r="CB1" s="2" t="s">
        <v>78</v>
      </c>
      <c r="CC1" s="2" t="s">
        <v>79</v>
      </c>
      <c r="CD1" s="2" t="s">
        <v>80</v>
      </c>
      <c r="CE1" s="2" t="s">
        <v>81</v>
      </c>
      <c r="CF1" s="2" t="s">
        <v>82</v>
      </c>
      <c r="CG1" s="11" t="s">
        <v>83</v>
      </c>
      <c r="CH1" s="2" t="s">
        <v>84</v>
      </c>
      <c r="CI1" s="2" t="s">
        <v>85</v>
      </c>
      <c r="CJ1" s="2" t="s">
        <v>86</v>
      </c>
      <c r="CK1" s="2" t="s">
        <v>87</v>
      </c>
      <c r="CL1" s="4" t="s">
        <v>88</v>
      </c>
      <c r="CM1" s="4" t="s">
        <v>89</v>
      </c>
      <c r="CN1" s="4" t="s">
        <v>90</v>
      </c>
      <c r="CO1" s="4" t="s">
        <v>91</v>
      </c>
      <c r="CP1" s="4" t="s">
        <v>92</v>
      </c>
      <c r="CQ1" s="4" t="s">
        <v>93</v>
      </c>
      <c r="CR1" s="4" t="s">
        <v>94</v>
      </c>
      <c r="CS1" s="4" t="s">
        <v>95</v>
      </c>
      <c r="CT1" s="4" t="s">
        <v>96</v>
      </c>
      <c r="CU1" s="4" t="s">
        <v>97</v>
      </c>
      <c r="CV1" s="4" t="s">
        <v>98</v>
      </c>
      <c r="CW1" s="4" t="s">
        <v>99</v>
      </c>
      <c r="CX1" s="4" t="s">
        <v>100</v>
      </c>
      <c r="CY1" s="4" t="s">
        <v>101</v>
      </c>
      <c r="CZ1" s="4" t="s">
        <v>102</v>
      </c>
      <c r="DA1" s="12" t="s">
        <v>103</v>
      </c>
      <c r="DB1" s="12" t="s">
        <v>104</v>
      </c>
      <c r="DC1" s="12" t="s">
        <v>105</v>
      </c>
      <c r="DD1" s="4" t="s">
        <v>106</v>
      </c>
      <c r="DE1" s="4" t="s">
        <v>107</v>
      </c>
      <c r="DF1" s="4" t="s">
        <v>108</v>
      </c>
      <c r="DG1" s="4" t="s">
        <v>109</v>
      </c>
      <c r="DH1" s="4" t="s">
        <v>110</v>
      </c>
      <c r="DI1" s="2" t="s">
        <v>111</v>
      </c>
      <c r="DJ1" s="2" t="s">
        <v>112</v>
      </c>
      <c r="DK1" s="13" t="s">
        <v>113</v>
      </c>
      <c r="DL1" s="13" t="s">
        <v>114</v>
      </c>
      <c r="DM1" s="14" t="s">
        <v>115</v>
      </c>
      <c r="DN1" s="13" t="s">
        <v>116</v>
      </c>
      <c r="DO1" s="13" t="s">
        <v>117</v>
      </c>
      <c r="DP1" s="13" t="s">
        <v>118</v>
      </c>
      <c r="DQ1" s="13" t="s">
        <v>119</v>
      </c>
      <c r="DR1" s="13" t="s">
        <v>120</v>
      </c>
      <c r="DS1" s="13" t="s">
        <v>121</v>
      </c>
      <c r="DT1" s="14" t="s">
        <v>122</v>
      </c>
      <c r="DU1" s="14" t="s">
        <v>123</v>
      </c>
      <c r="DV1" s="14" t="s">
        <v>124</v>
      </c>
      <c r="DW1" s="14" t="s">
        <v>125</v>
      </c>
      <c r="DX1" s="13" t="s">
        <v>126</v>
      </c>
      <c r="DY1" s="13" t="s">
        <v>127</v>
      </c>
      <c r="DZ1" s="14" t="s">
        <v>128</v>
      </c>
      <c r="EA1" s="158" t="s">
        <v>2710</v>
      </c>
      <c r="EB1" s="13" t="s">
        <v>129</v>
      </c>
      <c r="EC1" s="13" t="s">
        <v>130</v>
      </c>
      <c r="ED1" s="14" t="s">
        <v>131</v>
      </c>
      <c r="EE1" s="14" t="s">
        <v>132</v>
      </c>
      <c r="EF1" s="14" t="s">
        <v>133</v>
      </c>
      <c r="EG1" s="15" t="s">
        <v>134</v>
      </c>
      <c r="EH1" s="15" t="s">
        <v>135</v>
      </c>
      <c r="EI1" s="15" t="s">
        <v>136</v>
      </c>
      <c r="EJ1" s="15" t="s">
        <v>137</v>
      </c>
      <c r="EK1" s="16" t="s">
        <v>138</v>
      </c>
      <c r="EL1" s="15" t="s">
        <v>139</v>
      </c>
      <c r="EM1" s="15" t="s">
        <v>140</v>
      </c>
      <c r="EN1" s="15" t="s">
        <v>141</v>
      </c>
      <c r="EO1" s="16" t="s">
        <v>142</v>
      </c>
      <c r="EP1" s="15" t="s">
        <v>143</v>
      </c>
      <c r="EQ1" s="15" t="s">
        <v>144</v>
      </c>
      <c r="ER1" s="15" t="s">
        <v>145</v>
      </c>
      <c r="ES1" s="16" t="s">
        <v>146</v>
      </c>
      <c r="ET1" s="15" t="s">
        <v>147</v>
      </c>
      <c r="EU1" s="15" t="s">
        <v>148</v>
      </c>
      <c r="EV1" s="15" t="s">
        <v>149</v>
      </c>
      <c r="EW1" s="17" t="s">
        <v>150</v>
      </c>
      <c r="EX1" s="17" t="s">
        <v>151</v>
      </c>
      <c r="EY1" s="17" t="s">
        <v>152</v>
      </c>
      <c r="EZ1" s="18" t="s">
        <v>153</v>
      </c>
      <c r="FA1" s="19" t="s">
        <v>154</v>
      </c>
      <c r="FB1" s="18" t="s">
        <v>155</v>
      </c>
      <c r="FC1" s="19" t="s">
        <v>156</v>
      </c>
      <c r="FD1" s="19" t="s">
        <v>157</v>
      </c>
      <c r="FE1" s="19" t="s">
        <v>158</v>
      </c>
      <c r="FF1" s="19" t="s">
        <v>159</v>
      </c>
      <c r="FG1" s="13"/>
      <c r="FH1" s="13"/>
      <c r="FI1" s="13"/>
      <c r="FJ1" s="13"/>
      <c r="FK1" s="13"/>
    </row>
    <row r="2" spans="1:167" x14ac:dyDescent="0.35">
      <c r="A2">
        <v>2025</v>
      </c>
      <c r="B2" t="s">
        <v>517</v>
      </c>
      <c r="C2" t="s">
        <v>518</v>
      </c>
      <c r="D2" t="s">
        <v>896</v>
      </c>
      <c r="E2" t="s">
        <v>520</v>
      </c>
      <c r="F2">
        <v>581</v>
      </c>
      <c r="G2">
        <v>1.5</v>
      </c>
      <c r="H2">
        <v>4</v>
      </c>
      <c r="I2" t="s">
        <v>737</v>
      </c>
      <c r="J2">
        <v>25</v>
      </c>
      <c r="K2">
        <v>30</v>
      </c>
      <c r="L2">
        <v>27</v>
      </c>
      <c r="M2">
        <v>33.614800000000002</v>
      </c>
      <c r="N2">
        <v>43.655200000000001</v>
      </c>
      <c r="O2">
        <v>37.4955</v>
      </c>
      <c r="P2">
        <v>25</v>
      </c>
      <c r="Q2">
        <v>30.447099999999999</v>
      </c>
      <c r="R2">
        <v>27</v>
      </c>
      <c r="T2" t="s">
        <v>165</v>
      </c>
      <c r="U2" t="s">
        <v>166</v>
      </c>
      <c r="V2" t="s">
        <v>463</v>
      </c>
      <c r="W2" t="s">
        <v>464</v>
      </c>
      <c r="Y2">
        <v>7</v>
      </c>
      <c r="Z2" t="s">
        <v>169</v>
      </c>
      <c r="AA2" t="s">
        <v>170</v>
      </c>
      <c r="AB2" t="s">
        <v>167</v>
      </c>
      <c r="AC2" t="s">
        <v>213</v>
      </c>
      <c r="AD2">
        <v>10</v>
      </c>
      <c r="AG2" t="s">
        <v>173</v>
      </c>
      <c r="AH2" t="s">
        <v>174</v>
      </c>
      <c r="AI2" t="s">
        <v>175</v>
      </c>
      <c r="AJ2" t="s">
        <v>176</v>
      </c>
      <c r="AK2" t="s">
        <v>170</v>
      </c>
      <c r="AL2" t="s">
        <v>177</v>
      </c>
      <c r="AO2">
        <v>97</v>
      </c>
      <c r="AP2">
        <v>24</v>
      </c>
      <c r="AS2">
        <v>2350</v>
      </c>
      <c r="AT2">
        <v>2350</v>
      </c>
      <c r="BN2" t="s">
        <v>178</v>
      </c>
      <c r="BO2">
        <v>2</v>
      </c>
      <c r="BP2">
        <v>2</v>
      </c>
      <c r="BQ2">
        <v>7</v>
      </c>
      <c r="BR2" t="s">
        <v>897</v>
      </c>
      <c r="BS2" t="s">
        <v>180</v>
      </c>
      <c r="BT2" t="s">
        <v>181</v>
      </c>
      <c r="BU2" s="1">
        <v>45734</v>
      </c>
      <c r="BV2">
        <v>36184</v>
      </c>
      <c r="BX2" t="s">
        <v>170</v>
      </c>
      <c r="BY2" t="s">
        <v>170</v>
      </c>
      <c r="CB2" t="s">
        <v>170</v>
      </c>
      <c r="CC2" t="s">
        <v>170</v>
      </c>
      <c r="CE2" t="s">
        <v>170</v>
      </c>
      <c r="CG2" t="s">
        <v>169</v>
      </c>
      <c r="CH2" t="s">
        <v>522</v>
      </c>
      <c r="CI2" t="s">
        <v>169</v>
      </c>
      <c r="CJ2" t="s">
        <v>523</v>
      </c>
      <c r="DJ2" t="s">
        <v>184</v>
      </c>
      <c r="DK2" t="s">
        <v>185</v>
      </c>
      <c r="DL2" t="s">
        <v>170</v>
      </c>
      <c r="DM2" t="s">
        <v>170</v>
      </c>
      <c r="DN2" t="s">
        <v>170</v>
      </c>
      <c r="DO2" t="s">
        <v>358</v>
      </c>
      <c r="DP2" t="s">
        <v>169</v>
      </c>
      <c r="DQ2" t="s">
        <v>198</v>
      </c>
      <c r="DY2">
        <v>37.700000000000003</v>
      </c>
      <c r="EB2">
        <v>5</v>
      </c>
      <c r="EC2">
        <v>5</v>
      </c>
      <c r="EE2" t="s">
        <v>898</v>
      </c>
      <c r="EF2">
        <v>5</v>
      </c>
      <c r="EV2">
        <v>2250</v>
      </c>
      <c r="EW2">
        <v>355</v>
      </c>
      <c r="EX2">
        <v>291</v>
      </c>
      <c r="EY2">
        <v>329</v>
      </c>
    </row>
    <row r="3" spans="1:167" x14ac:dyDescent="0.35">
      <c r="A3">
        <v>2025</v>
      </c>
      <c r="B3" t="s">
        <v>517</v>
      </c>
      <c r="C3" t="s">
        <v>518</v>
      </c>
      <c r="D3" t="s">
        <v>899</v>
      </c>
      <c r="E3" t="s">
        <v>520</v>
      </c>
      <c r="F3">
        <v>582</v>
      </c>
      <c r="G3">
        <v>1.5</v>
      </c>
      <c r="H3">
        <v>4</v>
      </c>
      <c r="I3" t="s">
        <v>737</v>
      </c>
      <c r="J3">
        <v>26</v>
      </c>
      <c r="K3">
        <v>31</v>
      </c>
      <c r="L3">
        <v>28</v>
      </c>
      <c r="M3">
        <v>35.299999999999997</v>
      </c>
      <c r="N3">
        <v>46.4</v>
      </c>
      <c r="O3">
        <v>39.558500000000002</v>
      </c>
      <c r="P3">
        <v>26</v>
      </c>
      <c r="Q3">
        <v>31</v>
      </c>
      <c r="R3">
        <v>28</v>
      </c>
      <c r="T3" t="s">
        <v>165</v>
      </c>
      <c r="U3" t="s">
        <v>166</v>
      </c>
      <c r="V3" t="s">
        <v>463</v>
      </c>
      <c r="W3" t="s">
        <v>464</v>
      </c>
      <c r="Y3">
        <v>7</v>
      </c>
      <c r="Z3" t="s">
        <v>169</v>
      </c>
      <c r="AA3" t="s">
        <v>170</v>
      </c>
      <c r="AB3" t="s">
        <v>351</v>
      </c>
      <c r="AC3" t="s">
        <v>352</v>
      </c>
      <c r="AD3">
        <v>10</v>
      </c>
      <c r="AG3" t="s">
        <v>173</v>
      </c>
      <c r="AH3" t="s">
        <v>174</v>
      </c>
      <c r="AI3" t="s">
        <v>175</v>
      </c>
      <c r="AJ3" t="s">
        <v>176</v>
      </c>
      <c r="AK3" t="s">
        <v>170</v>
      </c>
      <c r="AL3" t="s">
        <v>177</v>
      </c>
      <c r="AO3">
        <v>97</v>
      </c>
      <c r="AP3">
        <v>24</v>
      </c>
      <c r="AS3">
        <v>2300</v>
      </c>
      <c r="AT3">
        <v>2300</v>
      </c>
      <c r="BN3" t="s">
        <v>178</v>
      </c>
      <c r="BO3">
        <v>2</v>
      </c>
      <c r="BP3">
        <v>2</v>
      </c>
      <c r="BQ3">
        <v>7</v>
      </c>
      <c r="BR3" t="s">
        <v>897</v>
      </c>
      <c r="BS3" t="s">
        <v>180</v>
      </c>
      <c r="BT3" t="s">
        <v>181</v>
      </c>
      <c r="BU3" s="1">
        <v>45734</v>
      </c>
      <c r="BV3">
        <v>36185</v>
      </c>
      <c r="BX3" t="s">
        <v>170</v>
      </c>
      <c r="BY3" t="s">
        <v>170</v>
      </c>
      <c r="CB3" t="s">
        <v>170</v>
      </c>
      <c r="CC3" t="s">
        <v>170</v>
      </c>
      <c r="CE3" t="s">
        <v>170</v>
      </c>
      <c r="CG3" t="s">
        <v>169</v>
      </c>
      <c r="CH3" t="s">
        <v>522</v>
      </c>
      <c r="CI3" t="s">
        <v>169</v>
      </c>
      <c r="CJ3" t="s">
        <v>523</v>
      </c>
      <c r="DJ3" t="s">
        <v>184</v>
      </c>
      <c r="DK3" t="s">
        <v>185</v>
      </c>
      <c r="DL3" t="s">
        <v>170</v>
      </c>
      <c r="DM3" t="s">
        <v>170</v>
      </c>
      <c r="DN3" t="s">
        <v>170</v>
      </c>
      <c r="DO3" t="s">
        <v>358</v>
      </c>
      <c r="DP3" t="s">
        <v>169</v>
      </c>
      <c r="DQ3" t="s">
        <v>198</v>
      </c>
      <c r="DY3">
        <v>39.799999999999997</v>
      </c>
      <c r="EB3">
        <v>6</v>
      </c>
      <c r="EC3">
        <v>6</v>
      </c>
      <c r="EE3" t="s">
        <v>898</v>
      </c>
      <c r="EF3">
        <v>5</v>
      </c>
      <c r="EV3">
        <v>2000</v>
      </c>
      <c r="EW3">
        <v>341</v>
      </c>
      <c r="EX3">
        <v>286</v>
      </c>
      <c r="EY3">
        <v>317</v>
      </c>
    </row>
    <row r="4" spans="1:167" x14ac:dyDescent="0.35">
      <c r="A4">
        <v>2025</v>
      </c>
      <c r="B4" t="s">
        <v>517</v>
      </c>
      <c r="C4" t="s">
        <v>518</v>
      </c>
      <c r="D4" t="s">
        <v>824</v>
      </c>
      <c r="E4" t="s">
        <v>520</v>
      </c>
      <c r="F4">
        <v>541</v>
      </c>
      <c r="G4">
        <v>1.5</v>
      </c>
      <c r="H4">
        <v>4</v>
      </c>
      <c r="I4" t="s">
        <v>737</v>
      </c>
      <c r="J4">
        <v>30</v>
      </c>
      <c r="K4">
        <v>37</v>
      </c>
      <c r="L4">
        <v>33</v>
      </c>
      <c r="M4">
        <v>39.4</v>
      </c>
      <c r="N4">
        <v>54.8</v>
      </c>
      <c r="O4">
        <v>45.1038</v>
      </c>
      <c r="P4">
        <v>29.819400000000002</v>
      </c>
      <c r="Q4">
        <v>37.295000000000002</v>
      </c>
      <c r="R4">
        <v>32.775799999999997</v>
      </c>
      <c r="T4" t="s">
        <v>165</v>
      </c>
      <c r="U4" t="s">
        <v>166</v>
      </c>
      <c r="V4" t="s">
        <v>463</v>
      </c>
      <c r="W4" t="s">
        <v>464</v>
      </c>
      <c r="Y4">
        <v>7</v>
      </c>
      <c r="Z4" t="s">
        <v>169</v>
      </c>
      <c r="AA4" t="s">
        <v>170</v>
      </c>
      <c r="AB4" t="s">
        <v>351</v>
      </c>
      <c r="AC4" t="s">
        <v>352</v>
      </c>
      <c r="AD4">
        <v>10</v>
      </c>
      <c r="AG4" t="s">
        <v>173</v>
      </c>
      <c r="AH4" t="s">
        <v>174</v>
      </c>
      <c r="AI4" t="s">
        <v>175</v>
      </c>
      <c r="AJ4" t="s">
        <v>176</v>
      </c>
      <c r="AK4" t="s">
        <v>170</v>
      </c>
      <c r="AL4" t="s">
        <v>177</v>
      </c>
      <c r="AO4">
        <v>96</v>
      </c>
      <c r="AP4">
        <v>24</v>
      </c>
      <c r="AS4">
        <v>1950</v>
      </c>
      <c r="AT4">
        <v>1950</v>
      </c>
      <c r="BN4" t="s">
        <v>178</v>
      </c>
      <c r="BO4">
        <v>2</v>
      </c>
      <c r="BP4">
        <v>2</v>
      </c>
      <c r="BQ4">
        <v>6</v>
      </c>
      <c r="BR4" t="s">
        <v>825</v>
      </c>
      <c r="BS4" t="s">
        <v>180</v>
      </c>
      <c r="BT4" t="s">
        <v>181</v>
      </c>
      <c r="BU4" s="1">
        <v>45427</v>
      </c>
      <c r="BV4">
        <v>34697</v>
      </c>
      <c r="BX4" t="s">
        <v>170</v>
      </c>
      <c r="BY4" t="s">
        <v>170</v>
      </c>
      <c r="CB4" t="s">
        <v>170</v>
      </c>
      <c r="CC4" t="s">
        <v>170</v>
      </c>
      <c r="CE4" t="s">
        <v>170</v>
      </c>
      <c r="CG4" t="s">
        <v>169</v>
      </c>
      <c r="CH4" t="s">
        <v>733</v>
      </c>
      <c r="CI4" t="s">
        <v>169</v>
      </c>
      <c r="CJ4" t="s">
        <v>523</v>
      </c>
      <c r="DJ4" t="s">
        <v>184</v>
      </c>
      <c r="DK4" t="s">
        <v>185</v>
      </c>
      <c r="DL4" t="s">
        <v>170</v>
      </c>
      <c r="DM4" t="s">
        <v>170</v>
      </c>
      <c r="DN4" t="s">
        <v>170</v>
      </c>
      <c r="DO4" t="s">
        <v>358</v>
      </c>
      <c r="DP4" t="s">
        <v>169</v>
      </c>
      <c r="DQ4" t="s">
        <v>198</v>
      </c>
      <c r="DY4">
        <v>45.4</v>
      </c>
      <c r="EB4">
        <v>6</v>
      </c>
      <c r="EC4">
        <v>6</v>
      </c>
      <c r="EE4" t="s">
        <v>826</v>
      </c>
      <c r="EF4">
        <v>6</v>
      </c>
      <c r="EV4">
        <v>250</v>
      </c>
      <c r="EW4">
        <v>296</v>
      </c>
      <c r="EX4">
        <v>237</v>
      </c>
      <c r="EY4">
        <v>269</v>
      </c>
    </row>
    <row r="5" spans="1:167" x14ac:dyDescent="0.35">
      <c r="A5">
        <v>2025</v>
      </c>
      <c r="B5" t="s">
        <v>517</v>
      </c>
      <c r="C5" t="s">
        <v>518</v>
      </c>
      <c r="D5" t="s">
        <v>824</v>
      </c>
      <c r="E5" t="s">
        <v>520</v>
      </c>
      <c r="F5">
        <v>544</v>
      </c>
      <c r="G5">
        <v>2</v>
      </c>
      <c r="H5">
        <v>4</v>
      </c>
      <c r="I5" t="s">
        <v>200</v>
      </c>
      <c r="J5">
        <v>21</v>
      </c>
      <c r="K5">
        <v>28</v>
      </c>
      <c r="L5">
        <v>24</v>
      </c>
      <c r="M5">
        <v>26.799600000000002</v>
      </c>
      <c r="N5">
        <v>40.347000000000001</v>
      </c>
      <c r="O5">
        <v>31.569700000000001</v>
      </c>
      <c r="P5">
        <v>21.106400000000001</v>
      </c>
      <c r="Q5">
        <v>28.348600000000001</v>
      </c>
      <c r="R5">
        <v>23.847999999999999</v>
      </c>
      <c r="T5" t="s">
        <v>165</v>
      </c>
      <c r="U5" t="s">
        <v>166</v>
      </c>
      <c r="V5" t="s">
        <v>201</v>
      </c>
      <c r="W5" t="s">
        <v>202</v>
      </c>
      <c r="Y5">
        <v>6</v>
      </c>
      <c r="Z5" t="s">
        <v>170</v>
      </c>
      <c r="AA5" t="s">
        <v>170</v>
      </c>
      <c r="AB5" t="s">
        <v>351</v>
      </c>
      <c r="AC5" t="s">
        <v>352</v>
      </c>
      <c r="AD5">
        <v>10</v>
      </c>
      <c r="AG5" t="s">
        <v>173</v>
      </c>
      <c r="AH5" t="s">
        <v>174</v>
      </c>
      <c r="AI5" t="s">
        <v>175</v>
      </c>
      <c r="AJ5" t="s">
        <v>176</v>
      </c>
      <c r="AK5" t="s">
        <v>170</v>
      </c>
      <c r="AL5" t="s">
        <v>177</v>
      </c>
      <c r="AO5">
        <v>96</v>
      </c>
      <c r="AP5">
        <v>24</v>
      </c>
      <c r="AS5">
        <v>2650</v>
      </c>
      <c r="AT5">
        <v>2650</v>
      </c>
      <c r="BN5" t="s">
        <v>178</v>
      </c>
      <c r="BO5">
        <v>2</v>
      </c>
      <c r="BP5">
        <v>2</v>
      </c>
      <c r="BQ5">
        <v>6</v>
      </c>
      <c r="BR5" t="s">
        <v>825</v>
      </c>
      <c r="BS5" t="s">
        <v>180</v>
      </c>
      <c r="BT5" t="s">
        <v>181</v>
      </c>
      <c r="BU5" s="1">
        <v>45502</v>
      </c>
      <c r="BV5">
        <v>35085</v>
      </c>
      <c r="BX5" t="s">
        <v>169</v>
      </c>
      <c r="BY5" t="s">
        <v>170</v>
      </c>
      <c r="CB5" t="s">
        <v>170</v>
      </c>
      <c r="CC5" t="s">
        <v>170</v>
      </c>
      <c r="CD5" t="s">
        <v>827</v>
      </c>
      <c r="CE5" t="s">
        <v>170</v>
      </c>
      <c r="CG5" t="s">
        <v>169</v>
      </c>
      <c r="CH5" t="s">
        <v>828</v>
      </c>
      <c r="CI5" t="s">
        <v>169</v>
      </c>
      <c r="CJ5" t="s">
        <v>828</v>
      </c>
      <c r="DJ5" t="s">
        <v>184</v>
      </c>
      <c r="DK5" t="s">
        <v>185</v>
      </c>
      <c r="DL5" t="s">
        <v>170</v>
      </c>
      <c r="DM5" t="s">
        <v>170</v>
      </c>
      <c r="DN5" t="s">
        <v>170</v>
      </c>
      <c r="DO5" t="s">
        <v>358</v>
      </c>
      <c r="DP5" t="s">
        <v>170</v>
      </c>
      <c r="DQ5" t="s">
        <v>187</v>
      </c>
      <c r="DY5">
        <v>31.8</v>
      </c>
      <c r="EB5">
        <v>5</v>
      </c>
      <c r="EC5">
        <v>5</v>
      </c>
      <c r="EE5" t="s">
        <v>829</v>
      </c>
      <c r="EF5">
        <v>5</v>
      </c>
      <c r="EV5">
        <v>3750</v>
      </c>
      <c r="EW5">
        <v>419</v>
      </c>
      <c r="EX5">
        <v>312</v>
      </c>
      <c r="EY5">
        <v>371</v>
      </c>
    </row>
    <row r="6" spans="1:167" x14ac:dyDescent="0.35">
      <c r="A6">
        <v>2025</v>
      </c>
      <c r="B6" t="s">
        <v>517</v>
      </c>
      <c r="C6" t="s">
        <v>518</v>
      </c>
      <c r="D6" t="s">
        <v>830</v>
      </c>
      <c r="E6" t="s">
        <v>520</v>
      </c>
      <c r="F6">
        <v>542</v>
      </c>
      <c r="G6">
        <v>1.5</v>
      </c>
      <c r="H6">
        <v>4</v>
      </c>
      <c r="I6" t="s">
        <v>737</v>
      </c>
      <c r="J6">
        <v>29</v>
      </c>
      <c r="K6">
        <v>36</v>
      </c>
      <c r="L6">
        <v>32</v>
      </c>
      <c r="M6">
        <v>38.193800000000003</v>
      </c>
      <c r="N6">
        <v>52.786900000000003</v>
      </c>
      <c r="O6">
        <v>43.6203</v>
      </c>
      <c r="P6">
        <v>29.014900000000001</v>
      </c>
      <c r="Q6">
        <v>36.082700000000003</v>
      </c>
      <c r="R6">
        <v>31.819600000000001</v>
      </c>
      <c r="T6" t="s">
        <v>165</v>
      </c>
      <c r="U6" t="s">
        <v>166</v>
      </c>
      <c r="V6" t="s">
        <v>463</v>
      </c>
      <c r="W6" t="s">
        <v>464</v>
      </c>
      <c r="Y6">
        <v>7</v>
      </c>
      <c r="Z6" t="s">
        <v>169</v>
      </c>
      <c r="AA6" t="s">
        <v>170</v>
      </c>
      <c r="AB6" t="s">
        <v>351</v>
      </c>
      <c r="AC6" t="s">
        <v>352</v>
      </c>
      <c r="AD6">
        <v>10</v>
      </c>
      <c r="AG6" t="s">
        <v>173</v>
      </c>
      <c r="AH6" t="s">
        <v>174</v>
      </c>
      <c r="AI6" t="s">
        <v>175</v>
      </c>
      <c r="AJ6" t="s">
        <v>176</v>
      </c>
      <c r="AK6" t="s">
        <v>170</v>
      </c>
      <c r="AL6" t="s">
        <v>177</v>
      </c>
      <c r="AO6">
        <v>96</v>
      </c>
      <c r="AP6">
        <v>24</v>
      </c>
      <c r="AS6">
        <v>2000</v>
      </c>
      <c r="AT6">
        <v>2000</v>
      </c>
      <c r="BN6" t="s">
        <v>178</v>
      </c>
      <c r="BO6">
        <v>2</v>
      </c>
      <c r="BP6">
        <v>2</v>
      </c>
      <c r="BQ6">
        <v>6</v>
      </c>
      <c r="BR6" t="s">
        <v>825</v>
      </c>
      <c r="BS6" t="s">
        <v>180</v>
      </c>
      <c r="BT6" t="s">
        <v>181</v>
      </c>
      <c r="BU6" s="1">
        <v>45427</v>
      </c>
      <c r="BV6">
        <v>34693</v>
      </c>
      <c r="BX6" t="s">
        <v>170</v>
      </c>
      <c r="BY6" t="s">
        <v>170</v>
      </c>
      <c r="CB6" t="s">
        <v>170</v>
      </c>
      <c r="CC6" t="s">
        <v>170</v>
      </c>
      <c r="CE6" t="s">
        <v>170</v>
      </c>
      <c r="CG6" t="s">
        <v>169</v>
      </c>
      <c r="CH6" t="s">
        <v>733</v>
      </c>
      <c r="CI6" t="s">
        <v>169</v>
      </c>
      <c r="CJ6" t="s">
        <v>523</v>
      </c>
      <c r="DJ6" t="s">
        <v>184</v>
      </c>
      <c r="DK6" t="s">
        <v>185</v>
      </c>
      <c r="DL6" t="s">
        <v>170</v>
      </c>
      <c r="DM6" t="s">
        <v>170</v>
      </c>
      <c r="DN6" t="s">
        <v>170</v>
      </c>
      <c r="DO6" t="s">
        <v>358</v>
      </c>
      <c r="DP6" t="s">
        <v>169</v>
      </c>
      <c r="DQ6" t="s">
        <v>198</v>
      </c>
      <c r="DY6">
        <v>43.9</v>
      </c>
      <c r="EB6">
        <v>6</v>
      </c>
      <c r="EC6">
        <v>6</v>
      </c>
      <c r="EE6" t="s">
        <v>826</v>
      </c>
      <c r="EF6">
        <v>6</v>
      </c>
      <c r="EV6">
        <v>500</v>
      </c>
      <c r="EW6">
        <v>304</v>
      </c>
      <c r="EX6">
        <v>245</v>
      </c>
      <c r="EY6">
        <v>277</v>
      </c>
    </row>
    <row r="7" spans="1:167" ht="15" thickBot="1" x14ac:dyDescent="0.4">
      <c r="A7">
        <v>2025</v>
      </c>
      <c r="B7" t="s">
        <v>517</v>
      </c>
      <c r="C7" t="s">
        <v>518</v>
      </c>
      <c r="D7" t="s">
        <v>830</v>
      </c>
      <c r="E7" t="s">
        <v>520</v>
      </c>
      <c r="F7">
        <v>543</v>
      </c>
      <c r="G7">
        <v>1.5</v>
      </c>
      <c r="H7">
        <v>4</v>
      </c>
      <c r="I7" t="s">
        <v>200</v>
      </c>
      <c r="J7">
        <v>26</v>
      </c>
      <c r="K7">
        <v>36</v>
      </c>
      <c r="L7">
        <v>30</v>
      </c>
      <c r="M7">
        <v>35.4925</v>
      </c>
      <c r="N7">
        <v>53.388199999999998</v>
      </c>
      <c r="O7">
        <v>41.797199999999997</v>
      </c>
      <c r="P7">
        <v>26</v>
      </c>
      <c r="Q7">
        <v>36.445900000000002</v>
      </c>
      <c r="R7">
        <v>30</v>
      </c>
      <c r="T7" t="s">
        <v>165</v>
      </c>
      <c r="U7" t="s">
        <v>166</v>
      </c>
      <c r="V7" t="s">
        <v>201</v>
      </c>
      <c r="W7" t="s">
        <v>202</v>
      </c>
      <c r="Y7">
        <v>6</v>
      </c>
      <c r="Z7" t="s">
        <v>170</v>
      </c>
      <c r="AA7" t="s">
        <v>170</v>
      </c>
      <c r="AB7" t="s">
        <v>351</v>
      </c>
      <c r="AC7" t="s">
        <v>352</v>
      </c>
      <c r="AD7">
        <v>10</v>
      </c>
      <c r="AG7" t="s">
        <v>173</v>
      </c>
      <c r="AH7" t="s">
        <v>174</v>
      </c>
      <c r="AI7" t="s">
        <v>175</v>
      </c>
      <c r="AJ7" t="s">
        <v>176</v>
      </c>
      <c r="AK7" t="s">
        <v>170</v>
      </c>
      <c r="AL7" t="s">
        <v>177</v>
      </c>
      <c r="AO7">
        <v>96</v>
      </c>
      <c r="AP7">
        <v>24</v>
      </c>
      <c r="AS7">
        <v>2100</v>
      </c>
      <c r="AT7">
        <v>2100</v>
      </c>
      <c r="BN7" t="s">
        <v>178</v>
      </c>
      <c r="BO7">
        <v>2</v>
      </c>
      <c r="BP7">
        <v>2</v>
      </c>
      <c r="BQ7">
        <v>6</v>
      </c>
      <c r="BR7" t="s">
        <v>825</v>
      </c>
      <c r="BS7" t="s">
        <v>180</v>
      </c>
      <c r="BT7" t="s">
        <v>181</v>
      </c>
      <c r="BU7" s="1">
        <v>45427</v>
      </c>
      <c r="BV7">
        <v>34692</v>
      </c>
      <c r="BX7" t="s">
        <v>170</v>
      </c>
      <c r="BY7" t="s">
        <v>170</v>
      </c>
      <c r="CB7" t="s">
        <v>170</v>
      </c>
      <c r="CC7" t="s">
        <v>170</v>
      </c>
      <c r="CE7" t="s">
        <v>170</v>
      </c>
      <c r="CG7" t="s">
        <v>169</v>
      </c>
      <c r="CH7" t="s">
        <v>733</v>
      </c>
      <c r="CI7" t="s">
        <v>169</v>
      </c>
      <c r="CJ7" t="s">
        <v>523</v>
      </c>
      <c r="DJ7" t="s">
        <v>184</v>
      </c>
      <c r="DK7" t="s">
        <v>185</v>
      </c>
      <c r="DL7" t="s">
        <v>170</v>
      </c>
      <c r="DM7" t="s">
        <v>170</v>
      </c>
      <c r="DN7" t="s">
        <v>170</v>
      </c>
      <c r="DO7" t="s">
        <v>358</v>
      </c>
      <c r="DP7" t="s">
        <v>169</v>
      </c>
      <c r="DQ7" t="s">
        <v>198</v>
      </c>
      <c r="DY7">
        <v>42.1</v>
      </c>
      <c r="EB7">
        <v>6</v>
      </c>
      <c r="EC7">
        <v>6</v>
      </c>
      <c r="EE7" t="s">
        <v>831</v>
      </c>
      <c r="EF7">
        <v>5</v>
      </c>
      <c r="EV7">
        <v>1000</v>
      </c>
      <c r="EW7">
        <v>339</v>
      </c>
      <c r="EX7">
        <v>241</v>
      </c>
      <c r="EY7">
        <v>293</v>
      </c>
    </row>
    <row r="8" spans="1:167" ht="15" thickBot="1" x14ac:dyDescent="0.4">
      <c r="A8">
        <v>2025</v>
      </c>
      <c r="B8" t="s">
        <v>517</v>
      </c>
      <c r="C8" t="s">
        <v>518</v>
      </c>
      <c r="D8" t="s">
        <v>1218</v>
      </c>
      <c r="E8" t="s">
        <v>520</v>
      </c>
      <c r="F8">
        <v>501</v>
      </c>
      <c r="G8">
        <v>3.5</v>
      </c>
      <c r="H8">
        <v>6</v>
      </c>
      <c r="I8" t="s">
        <v>331</v>
      </c>
      <c r="J8">
        <v>19</v>
      </c>
      <c r="K8">
        <v>25</v>
      </c>
      <c r="L8">
        <v>21</v>
      </c>
      <c r="M8">
        <v>23.4</v>
      </c>
      <c r="N8">
        <v>36</v>
      </c>
      <c r="O8">
        <v>27.7745</v>
      </c>
      <c r="P8">
        <v>18.633099999999999</v>
      </c>
      <c r="Q8">
        <v>25</v>
      </c>
      <c r="R8">
        <v>21.215800000000002</v>
      </c>
      <c r="U8" t="s">
        <v>224</v>
      </c>
      <c r="V8" t="s">
        <v>193</v>
      </c>
      <c r="W8" t="s">
        <v>194</v>
      </c>
      <c r="Y8">
        <v>10</v>
      </c>
      <c r="Z8" t="s">
        <v>169</v>
      </c>
      <c r="AA8" t="s">
        <v>170</v>
      </c>
      <c r="AB8" t="s">
        <v>167</v>
      </c>
      <c r="AC8" t="s">
        <v>213</v>
      </c>
      <c r="AD8">
        <v>10</v>
      </c>
      <c r="AG8" t="s">
        <v>173</v>
      </c>
      <c r="AH8" t="s">
        <v>174</v>
      </c>
      <c r="AI8" t="s">
        <v>175</v>
      </c>
      <c r="AJ8" t="s">
        <v>176</v>
      </c>
      <c r="AK8" t="s">
        <v>940</v>
      </c>
      <c r="AL8" t="s">
        <v>941</v>
      </c>
      <c r="AS8">
        <v>3050</v>
      </c>
      <c r="AT8">
        <v>3050</v>
      </c>
      <c r="BN8" t="s">
        <v>178</v>
      </c>
      <c r="BO8">
        <v>2</v>
      </c>
      <c r="BP8">
        <v>2</v>
      </c>
      <c r="BQ8">
        <v>31</v>
      </c>
      <c r="BR8" t="s">
        <v>1219</v>
      </c>
      <c r="BT8" t="s">
        <v>181</v>
      </c>
      <c r="BU8" s="1">
        <v>45440</v>
      </c>
      <c r="BV8">
        <v>34776</v>
      </c>
      <c r="BW8" s="151" t="s">
        <v>2445</v>
      </c>
      <c r="BX8" t="s">
        <v>170</v>
      </c>
      <c r="BY8" t="s">
        <v>170</v>
      </c>
      <c r="CB8" t="s">
        <v>170</v>
      </c>
      <c r="CC8" t="s">
        <v>170</v>
      </c>
      <c r="CE8" t="s">
        <v>169</v>
      </c>
      <c r="CF8" t="s">
        <v>527</v>
      </c>
      <c r="CG8" t="s">
        <v>169</v>
      </c>
      <c r="CH8" t="s">
        <v>523</v>
      </c>
      <c r="CI8" t="s">
        <v>169</v>
      </c>
      <c r="CJ8" t="s">
        <v>523</v>
      </c>
      <c r="DJ8" t="s">
        <v>184</v>
      </c>
      <c r="DK8" t="s">
        <v>185</v>
      </c>
      <c r="DL8" t="s">
        <v>170</v>
      </c>
      <c r="DM8" t="s">
        <v>170</v>
      </c>
      <c r="DN8" t="s">
        <v>170</v>
      </c>
      <c r="DO8" t="s">
        <v>358</v>
      </c>
      <c r="DP8" t="s">
        <v>169</v>
      </c>
      <c r="DQ8" t="s">
        <v>198</v>
      </c>
      <c r="EA8" s="32"/>
      <c r="EB8">
        <v>4</v>
      </c>
      <c r="EC8">
        <v>4</v>
      </c>
      <c r="EE8" t="s">
        <v>1100</v>
      </c>
      <c r="EF8">
        <v>4</v>
      </c>
      <c r="EV8">
        <v>5750</v>
      </c>
      <c r="EW8">
        <v>477</v>
      </c>
      <c r="EX8">
        <v>357</v>
      </c>
      <c r="EY8">
        <v>423</v>
      </c>
    </row>
    <row r="9" spans="1:167" x14ac:dyDescent="0.35">
      <c r="A9">
        <v>2025</v>
      </c>
      <c r="B9" t="s">
        <v>517</v>
      </c>
      <c r="C9" t="s">
        <v>518</v>
      </c>
      <c r="D9" t="s">
        <v>1496</v>
      </c>
      <c r="E9" t="s">
        <v>520</v>
      </c>
      <c r="F9">
        <v>506</v>
      </c>
      <c r="G9">
        <v>3</v>
      </c>
      <c r="H9">
        <v>6</v>
      </c>
      <c r="I9" t="s">
        <v>331</v>
      </c>
      <c r="J9">
        <v>17</v>
      </c>
      <c r="K9">
        <v>21</v>
      </c>
      <c r="L9">
        <v>19</v>
      </c>
      <c r="M9">
        <v>22.7</v>
      </c>
      <c r="N9">
        <v>32.1</v>
      </c>
      <c r="O9">
        <v>26.145299999999999</v>
      </c>
      <c r="P9">
        <v>17</v>
      </c>
      <c r="Q9">
        <v>21.488299999999999</v>
      </c>
      <c r="R9">
        <v>19.493200000000002</v>
      </c>
      <c r="T9" t="s">
        <v>165</v>
      </c>
      <c r="U9" t="s">
        <v>166</v>
      </c>
      <c r="V9" t="s">
        <v>193</v>
      </c>
      <c r="W9" t="s">
        <v>194</v>
      </c>
      <c r="Y9">
        <v>10</v>
      </c>
      <c r="Z9" t="s">
        <v>169</v>
      </c>
      <c r="AA9" t="s">
        <v>170</v>
      </c>
      <c r="AB9" t="s">
        <v>167</v>
      </c>
      <c r="AC9" t="s">
        <v>213</v>
      </c>
      <c r="AD9">
        <v>10</v>
      </c>
      <c r="AG9" t="s">
        <v>173</v>
      </c>
      <c r="AH9" t="s">
        <v>174</v>
      </c>
      <c r="AI9" t="s">
        <v>175</v>
      </c>
      <c r="AJ9" t="s">
        <v>176</v>
      </c>
      <c r="AK9" t="s">
        <v>940</v>
      </c>
      <c r="AL9" t="s">
        <v>941</v>
      </c>
      <c r="AS9">
        <v>3350</v>
      </c>
      <c r="AT9">
        <v>3350</v>
      </c>
      <c r="BN9" t="s">
        <v>178</v>
      </c>
      <c r="BO9">
        <v>2</v>
      </c>
      <c r="BP9">
        <v>2</v>
      </c>
      <c r="BQ9">
        <v>33</v>
      </c>
      <c r="BR9" t="s">
        <v>1497</v>
      </c>
      <c r="BT9" t="s">
        <v>457</v>
      </c>
      <c r="BU9" s="1">
        <v>45440</v>
      </c>
      <c r="BV9">
        <v>34777</v>
      </c>
      <c r="BW9" s="152" t="s">
        <v>2445</v>
      </c>
      <c r="BX9" t="s">
        <v>170</v>
      </c>
      <c r="BY9" t="s">
        <v>170</v>
      </c>
      <c r="CB9" t="s">
        <v>170</v>
      </c>
      <c r="CC9" t="s">
        <v>170</v>
      </c>
      <c r="CE9" t="s">
        <v>169</v>
      </c>
      <c r="CF9" t="s">
        <v>527</v>
      </c>
      <c r="CG9" t="s">
        <v>169</v>
      </c>
      <c r="CH9" t="s">
        <v>1498</v>
      </c>
      <c r="CI9" t="s">
        <v>170</v>
      </c>
      <c r="DJ9" t="s">
        <v>184</v>
      </c>
      <c r="DK9" t="s">
        <v>185</v>
      </c>
      <c r="DL9" t="s">
        <v>170</v>
      </c>
      <c r="DM9" t="s">
        <v>170</v>
      </c>
      <c r="DN9" t="s">
        <v>170</v>
      </c>
      <c r="DO9" t="s">
        <v>358</v>
      </c>
      <c r="DP9" t="s">
        <v>169</v>
      </c>
      <c r="DQ9" t="s">
        <v>198</v>
      </c>
      <c r="EA9" s="56" t="s">
        <v>2445</v>
      </c>
      <c r="EB9">
        <v>4</v>
      </c>
      <c r="EC9">
        <v>4</v>
      </c>
      <c r="EE9" t="s">
        <v>1499</v>
      </c>
      <c r="EF9">
        <v>4</v>
      </c>
      <c r="EV9">
        <v>7250</v>
      </c>
      <c r="EW9">
        <v>523</v>
      </c>
      <c r="EX9">
        <v>414</v>
      </c>
      <c r="EY9">
        <v>474</v>
      </c>
    </row>
    <row r="10" spans="1:167" x14ac:dyDescent="0.35">
      <c r="A10">
        <v>2025</v>
      </c>
      <c r="B10" t="s">
        <v>517</v>
      </c>
      <c r="C10" t="s">
        <v>518</v>
      </c>
      <c r="D10" t="s">
        <v>1098</v>
      </c>
      <c r="E10" t="s">
        <v>520</v>
      </c>
      <c r="F10">
        <v>502</v>
      </c>
      <c r="G10">
        <v>3.5</v>
      </c>
      <c r="H10">
        <v>6</v>
      </c>
      <c r="I10" t="s">
        <v>331</v>
      </c>
      <c r="J10">
        <v>19</v>
      </c>
      <c r="K10">
        <v>26</v>
      </c>
      <c r="L10">
        <v>22</v>
      </c>
      <c r="M10">
        <v>25</v>
      </c>
      <c r="N10">
        <v>37.200000000000003</v>
      </c>
      <c r="O10">
        <v>29.328299999999999</v>
      </c>
      <c r="P10">
        <v>19</v>
      </c>
      <c r="Q10">
        <v>26.3231</v>
      </c>
      <c r="R10">
        <v>22.287800000000001</v>
      </c>
      <c r="U10" t="s">
        <v>224</v>
      </c>
      <c r="V10" t="s">
        <v>193</v>
      </c>
      <c r="W10" t="s">
        <v>194</v>
      </c>
      <c r="Y10">
        <v>10</v>
      </c>
      <c r="Z10" t="s">
        <v>169</v>
      </c>
      <c r="AA10" t="s">
        <v>170</v>
      </c>
      <c r="AB10" t="s">
        <v>351</v>
      </c>
      <c r="AC10" t="s">
        <v>352</v>
      </c>
      <c r="AD10">
        <v>10</v>
      </c>
      <c r="AG10" t="s">
        <v>173</v>
      </c>
      <c r="AH10" t="s">
        <v>174</v>
      </c>
      <c r="AI10" t="s">
        <v>175</v>
      </c>
      <c r="AJ10" t="s">
        <v>176</v>
      </c>
      <c r="AK10" t="s">
        <v>940</v>
      </c>
      <c r="AL10" t="s">
        <v>941</v>
      </c>
      <c r="AS10">
        <v>2900</v>
      </c>
      <c r="AT10">
        <v>2900</v>
      </c>
      <c r="BN10" t="s">
        <v>178</v>
      </c>
      <c r="BO10">
        <v>2</v>
      </c>
      <c r="BP10">
        <v>2</v>
      </c>
      <c r="BQ10">
        <v>30</v>
      </c>
      <c r="BR10" t="s">
        <v>1099</v>
      </c>
      <c r="BT10" t="s">
        <v>181</v>
      </c>
      <c r="BU10" s="1">
        <v>45440</v>
      </c>
      <c r="BV10">
        <v>34778</v>
      </c>
      <c r="BW10" s="153"/>
      <c r="BX10" t="s">
        <v>170</v>
      </c>
      <c r="BY10" t="s">
        <v>170</v>
      </c>
      <c r="CB10" t="s">
        <v>170</v>
      </c>
      <c r="CC10" t="s">
        <v>170</v>
      </c>
      <c r="CE10" t="s">
        <v>169</v>
      </c>
      <c r="CF10" t="s">
        <v>527</v>
      </c>
      <c r="CG10" t="s">
        <v>169</v>
      </c>
      <c r="CH10" t="s">
        <v>523</v>
      </c>
      <c r="CI10" t="s">
        <v>169</v>
      </c>
      <c r="CJ10" t="s">
        <v>523</v>
      </c>
      <c r="DJ10" t="s">
        <v>184</v>
      </c>
      <c r="DK10" t="s">
        <v>185</v>
      </c>
      <c r="DL10" t="s">
        <v>170</v>
      </c>
      <c r="DM10" t="s">
        <v>170</v>
      </c>
      <c r="DN10" t="s">
        <v>170</v>
      </c>
      <c r="DO10" t="s">
        <v>358</v>
      </c>
      <c r="DP10" t="s">
        <v>169</v>
      </c>
      <c r="DQ10" t="s">
        <v>198</v>
      </c>
      <c r="EA10" s="89"/>
      <c r="EB10">
        <v>5</v>
      </c>
      <c r="EC10">
        <v>5</v>
      </c>
      <c r="EE10" t="s">
        <v>1100</v>
      </c>
      <c r="EF10">
        <v>4</v>
      </c>
      <c r="EV10">
        <v>5000</v>
      </c>
      <c r="EW10">
        <v>470</v>
      </c>
      <c r="EX10">
        <v>339</v>
      </c>
      <c r="EY10">
        <v>411</v>
      </c>
    </row>
    <row r="11" spans="1:167" x14ac:dyDescent="0.35">
      <c r="A11">
        <v>2025</v>
      </c>
      <c r="B11" t="s">
        <v>517</v>
      </c>
      <c r="C11" t="s">
        <v>518</v>
      </c>
      <c r="D11" t="s">
        <v>1220</v>
      </c>
      <c r="E11" t="s">
        <v>520</v>
      </c>
      <c r="F11">
        <v>481</v>
      </c>
      <c r="G11">
        <v>2</v>
      </c>
      <c r="H11">
        <v>4</v>
      </c>
      <c r="I11" t="s">
        <v>331</v>
      </c>
      <c r="J11">
        <v>21</v>
      </c>
      <c r="K11">
        <v>27</v>
      </c>
      <c r="L11">
        <v>23</v>
      </c>
      <c r="M11">
        <v>27.2</v>
      </c>
      <c r="N11">
        <v>39</v>
      </c>
      <c r="O11">
        <v>31.487100000000002</v>
      </c>
      <c r="P11">
        <v>21.394200000000001</v>
      </c>
      <c r="Q11">
        <v>27.485099999999999</v>
      </c>
      <c r="R11">
        <v>23</v>
      </c>
      <c r="T11" t="s">
        <v>165</v>
      </c>
      <c r="U11" t="s">
        <v>166</v>
      </c>
      <c r="V11" t="s">
        <v>193</v>
      </c>
      <c r="W11" t="s">
        <v>194</v>
      </c>
      <c r="Y11">
        <v>10</v>
      </c>
      <c r="Z11" t="s">
        <v>169</v>
      </c>
      <c r="AA11" t="s">
        <v>170</v>
      </c>
      <c r="AB11" t="s">
        <v>167</v>
      </c>
      <c r="AC11" t="s">
        <v>213</v>
      </c>
      <c r="AD11">
        <v>10</v>
      </c>
      <c r="AG11" t="s">
        <v>173</v>
      </c>
      <c r="AH11" t="s">
        <v>174</v>
      </c>
      <c r="AI11" t="s">
        <v>175</v>
      </c>
      <c r="AJ11" t="s">
        <v>176</v>
      </c>
      <c r="AK11" t="s">
        <v>940</v>
      </c>
      <c r="AL11" t="s">
        <v>941</v>
      </c>
      <c r="AS11">
        <v>2750</v>
      </c>
      <c r="AT11">
        <v>2750</v>
      </c>
      <c r="BN11" t="s">
        <v>178</v>
      </c>
      <c r="BO11">
        <v>2</v>
      </c>
      <c r="BP11">
        <v>2</v>
      </c>
      <c r="BQ11">
        <v>31</v>
      </c>
      <c r="BR11" t="s">
        <v>1219</v>
      </c>
      <c r="BT11" t="s">
        <v>181</v>
      </c>
      <c r="BU11" s="1">
        <v>45531</v>
      </c>
      <c r="BV11">
        <v>35269</v>
      </c>
      <c r="BW11" s="153"/>
      <c r="BX11" t="s">
        <v>170</v>
      </c>
      <c r="BY11" t="s">
        <v>170</v>
      </c>
      <c r="CB11" t="s">
        <v>170</v>
      </c>
      <c r="CC11" t="s">
        <v>170</v>
      </c>
      <c r="CE11" t="s">
        <v>170</v>
      </c>
      <c r="CG11" t="s">
        <v>169</v>
      </c>
      <c r="CH11" t="s">
        <v>1221</v>
      </c>
      <c r="CI11" t="s">
        <v>169</v>
      </c>
      <c r="CJ11" t="s">
        <v>1221</v>
      </c>
      <c r="DJ11" t="s">
        <v>184</v>
      </c>
      <c r="DK11" t="s">
        <v>185</v>
      </c>
      <c r="DL11" t="s">
        <v>170</v>
      </c>
      <c r="DM11" t="s">
        <v>170</v>
      </c>
      <c r="DN11" t="s">
        <v>170</v>
      </c>
      <c r="DO11" t="s">
        <v>358</v>
      </c>
      <c r="DP11" t="s">
        <v>169</v>
      </c>
      <c r="DQ11" t="s">
        <v>198</v>
      </c>
      <c r="EA11" s="89"/>
      <c r="EB11">
        <v>5</v>
      </c>
      <c r="EC11">
        <v>5</v>
      </c>
      <c r="EE11" t="s">
        <v>1222</v>
      </c>
      <c r="EF11">
        <v>5</v>
      </c>
      <c r="EV11">
        <v>4250</v>
      </c>
      <c r="EW11">
        <v>415</v>
      </c>
      <c r="EX11">
        <v>322</v>
      </c>
      <c r="EY11">
        <v>385</v>
      </c>
    </row>
    <row r="12" spans="1:167" x14ac:dyDescent="0.35">
      <c r="A12">
        <v>2025</v>
      </c>
      <c r="B12" t="s">
        <v>517</v>
      </c>
      <c r="C12" t="s">
        <v>518</v>
      </c>
      <c r="D12" t="s">
        <v>1223</v>
      </c>
      <c r="E12" t="s">
        <v>520</v>
      </c>
      <c r="F12">
        <v>483</v>
      </c>
      <c r="G12">
        <v>2</v>
      </c>
      <c r="H12">
        <v>4</v>
      </c>
      <c r="I12" t="s">
        <v>331</v>
      </c>
      <c r="J12">
        <v>21</v>
      </c>
      <c r="K12">
        <v>26</v>
      </c>
      <c r="L12">
        <v>23</v>
      </c>
      <c r="M12">
        <v>26.6</v>
      </c>
      <c r="N12">
        <v>38.5</v>
      </c>
      <c r="O12">
        <v>30.897600000000001</v>
      </c>
      <c r="P12">
        <v>20.962700000000002</v>
      </c>
      <c r="Q12">
        <v>25.906500000000001</v>
      </c>
      <c r="R12">
        <v>22.931999999999999</v>
      </c>
      <c r="T12" t="s">
        <v>165</v>
      </c>
      <c r="U12" t="s">
        <v>166</v>
      </c>
      <c r="V12" t="s">
        <v>193</v>
      </c>
      <c r="W12" t="s">
        <v>194</v>
      </c>
      <c r="Y12">
        <v>10</v>
      </c>
      <c r="Z12" t="s">
        <v>169</v>
      </c>
      <c r="AA12" t="s">
        <v>170</v>
      </c>
      <c r="AB12" t="s">
        <v>167</v>
      </c>
      <c r="AC12" t="s">
        <v>213</v>
      </c>
      <c r="AD12">
        <v>10</v>
      </c>
      <c r="AG12" t="s">
        <v>173</v>
      </c>
      <c r="AH12" t="s">
        <v>174</v>
      </c>
      <c r="AI12" t="s">
        <v>175</v>
      </c>
      <c r="AJ12" t="s">
        <v>176</v>
      </c>
      <c r="AK12" t="s">
        <v>940</v>
      </c>
      <c r="AL12" t="s">
        <v>941</v>
      </c>
      <c r="AS12">
        <v>2750</v>
      </c>
      <c r="AT12">
        <v>2750</v>
      </c>
      <c r="BN12" t="s">
        <v>178</v>
      </c>
      <c r="BO12">
        <v>2</v>
      </c>
      <c r="BP12">
        <v>2</v>
      </c>
      <c r="BQ12">
        <v>31</v>
      </c>
      <c r="BR12" t="s">
        <v>1219</v>
      </c>
      <c r="BT12" t="s">
        <v>457</v>
      </c>
      <c r="BU12" s="1">
        <v>45531</v>
      </c>
      <c r="BV12">
        <v>35270</v>
      </c>
      <c r="BW12" s="154"/>
      <c r="BX12" t="s">
        <v>170</v>
      </c>
      <c r="BY12" t="s">
        <v>170</v>
      </c>
      <c r="CB12" t="s">
        <v>170</v>
      </c>
      <c r="CC12" t="s">
        <v>170</v>
      </c>
      <c r="CE12" t="s">
        <v>170</v>
      </c>
      <c r="CG12" t="s">
        <v>169</v>
      </c>
      <c r="CH12" t="s">
        <v>1221</v>
      </c>
      <c r="CI12" t="s">
        <v>169</v>
      </c>
      <c r="CJ12" t="s">
        <v>1221</v>
      </c>
      <c r="DJ12" t="s">
        <v>184</v>
      </c>
      <c r="DK12" t="s">
        <v>185</v>
      </c>
      <c r="DL12" t="s">
        <v>170</v>
      </c>
      <c r="DM12" t="s">
        <v>170</v>
      </c>
      <c r="DN12" t="s">
        <v>170</v>
      </c>
      <c r="DO12" t="s">
        <v>358</v>
      </c>
      <c r="DP12" t="s">
        <v>169</v>
      </c>
      <c r="DQ12" t="s">
        <v>198</v>
      </c>
      <c r="EA12" s="101"/>
      <c r="EB12">
        <v>5</v>
      </c>
      <c r="EC12">
        <v>5</v>
      </c>
      <c r="EE12" t="s">
        <v>1224</v>
      </c>
      <c r="EF12">
        <v>5</v>
      </c>
      <c r="EV12">
        <v>4250</v>
      </c>
      <c r="EW12">
        <v>423</v>
      </c>
      <c r="EX12">
        <v>342</v>
      </c>
      <c r="EY12">
        <v>386</v>
      </c>
    </row>
    <row r="13" spans="1:167" x14ac:dyDescent="0.35">
      <c r="A13">
        <v>2025</v>
      </c>
      <c r="B13" t="s">
        <v>517</v>
      </c>
      <c r="C13" t="s">
        <v>518</v>
      </c>
      <c r="D13" t="s">
        <v>519</v>
      </c>
      <c r="E13" t="s">
        <v>520</v>
      </c>
      <c r="F13">
        <v>463</v>
      </c>
      <c r="G13">
        <v>2</v>
      </c>
      <c r="H13">
        <v>4</v>
      </c>
      <c r="I13" t="s">
        <v>331</v>
      </c>
      <c r="J13">
        <v>21</v>
      </c>
      <c r="K13">
        <v>29</v>
      </c>
      <c r="L13">
        <v>24</v>
      </c>
      <c r="M13">
        <v>26.5</v>
      </c>
      <c r="N13">
        <v>41.4</v>
      </c>
      <c r="O13">
        <v>31.621300000000002</v>
      </c>
      <c r="P13">
        <v>20.890599999999999</v>
      </c>
      <c r="Q13">
        <v>29.0199</v>
      </c>
      <c r="R13">
        <v>23.9039</v>
      </c>
      <c r="T13" t="s">
        <v>165</v>
      </c>
      <c r="U13" t="s">
        <v>166</v>
      </c>
      <c r="V13" t="s">
        <v>193</v>
      </c>
      <c r="W13" t="s">
        <v>194</v>
      </c>
      <c r="Y13">
        <v>10</v>
      </c>
      <c r="Z13" t="s">
        <v>169</v>
      </c>
      <c r="AA13" t="s">
        <v>170</v>
      </c>
      <c r="AB13" t="s">
        <v>167</v>
      </c>
      <c r="AC13" t="s">
        <v>213</v>
      </c>
      <c r="AD13">
        <v>10</v>
      </c>
      <c r="AG13" t="s">
        <v>173</v>
      </c>
      <c r="AH13" t="s">
        <v>174</v>
      </c>
      <c r="AI13" t="s">
        <v>175</v>
      </c>
      <c r="AJ13" t="s">
        <v>176</v>
      </c>
      <c r="AK13" t="s">
        <v>170</v>
      </c>
      <c r="AL13" t="s">
        <v>177</v>
      </c>
      <c r="AO13">
        <v>93</v>
      </c>
      <c r="AP13">
        <v>14</v>
      </c>
      <c r="AS13">
        <v>2650</v>
      </c>
      <c r="AT13">
        <v>2650</v>
      </c>
      <c r="BN13" t="s">
        <v>178</v>
      </c>
      <c r="BO13">
        <v>2</v>
      </c>
      <c r="BP13">
        <v>2</v>
      </c>
      <c r="BQ13">
        <v>4</v>
      </c>
      <c r="BR13" t="s">
        <v>521</v>
      </c>
      <c r="BS13" t="s">
        <v>180</v>
      </c>
      <c r="BT13" t="s">
        <v>181</v>
      </c>
      <c r="BU13" s="1">
        <v>45505</v>
      </c>
      <c r="BV13">
        <v>35001</v>
      </c>
      <c r="BW13" s="154"/>
      <c r="BX13" t="s">
        <v>170</v>
      </c>
      <c r="BY13" t="s">
        <v>170</v>
      </c>
      <c r="CB13" t="s">
        <v>170</v>
      </c>
      <c r="CC13" t="s">
        <v>170</v>
      </c>
      <c r="CE13" t="s">
        <v>170</v>
      </c>
      <c r="CG13" t="s">
        <v>169</v>
      </c>
      <c r="CH13" t="s">
        <v>522</v>
      </c>
      <c r="CI13" t="s">
        <v>169</v>
      </c>
      <c r="CJ13" t="s">
        <v>523</v>
      </c>
      <c r="DJ13" t="s">
        <v>184</v>
      </c>
      <c r="DK13" t="s">
        <v>185</v>
      </c>
      <c r="DL13" t="s">
        <v>170</v>
      </c>
      <c r="DM13" t="s">
        <v>170</v>
      </c>
      <c r="DN13" t="s">
        <v>170</v>
      </c>
      <c r="DO13" t="s">
        <v>358</v>
      </c>
      <c r="DP13" t="s">
        <v>169</v>
      </c>
      <c r="DQ13" t="s">
        <v>198</v>
      </c>
      <c r="DY13">
        <v>31.8</v>
      </c>
      <c r="EA13" s="101"/>
      <c r="EB13">
        <v>5</v>
      </c>
      <c r="EC13">
        <v>5</v>
      </c>
      <c r="EE13" t="s">
        <v>524</v>
      </c>
      <c r="EF13">
        <v>6</v>
      </c>
      <c r="EV13">
        <v>3750</v>
      </c>
      <c r="EW13">
        <v>425</v>
      </c>
      <c r="EX13">
        <v>305</v>
      </c>
      <c r="EY13">
        <v>371</v>
      </c>
    </row>
    <row r="14" spans="1:167" x14ac:dyDescent="0.35">
      <c r="A14">
        <v>2025</v>
      </c>
      <c r="B14" t="s">
        <v>517</v>
      </c>
      <c r="C14" t="s">
        <v>518</v>
      </c>
      <c r="D14" t="s">
        <v>525</v>
      </c>
      <c r="E14" t="s">
        <v>520</v>
      </c>
      <c r="F14">
        <v>462</v>
      </c>
      <c r="G14">
        <v>2</v>
      </c>
      <c r="H14">
        <v>4</v>
      </c>
      <c r="I14" t="s">
        <v>331</v>
      </c>
      <c r="J14">
        <v>22</v>
      </c>
      <c r="K14">
        <v>31</v>
      </c>
      <c r="L14">
        <v>25</v>
      </c>
      <c r="M14">
        <v>28</v>
      </c>
      <c r="N14">
        <v>44.1</v>
      </c>
      <c r="O14">
        <v>33.504300000000001</v>
      </c>
      <c r="P14">
        <v>21.966799999999999</v>
      </c>
      <c r="Q14">
        <v>30.726900000000001</v>
      </c>
      <c r="R14">
        <v>25.1998</v>
      </c>
      <c r="T14" t="s">
        <v>165</v>
      </c>
      <c r="U14" t="s">
        <v>166</v>
      </c>
      <c r="V14" t="s">
        <v>193</v>
      </c>
      <c r="W14" t="s">
        <v>194</v>
      </c>
      <c r="Y14">
        <v>10</v>
      </c>
      <c r="Z14" t="s">
        <v>169</v>
      </c>
      <c r="AA14" t="s">
        <v>170</v>
      </c>
      <c r="AB14" t="s">
        <v>351</v>
      </c>
      <c r="AC14" t="s">
        <v>352</v>
      </c>
      <c r="AD14">
        <v>10</v>
      </c>
      <c r="AG14" t="s">
        <v>173</v>
      </c>
      <c r="AH14" t="s">
        <v>174</v>
      </c>
      <c r="AI14" t="s">
        <v>175</v>
      </c>
      <c r="AJ14" t="s">
        <v>176</v>
      </c>
      <c r="AK14" t="s">
        <v>170</v>
      </c>
      <c r="AL14" t="s">
        <v>177</v>
      </c>
      <c r="AO14">
        <v>93</v>
      </c>
      <c r="AP14">
        <v>14</v>
      </c>
      <c r="AS14">
        <v>2550</v>
      </c>
      <c r="AT14">
        <v>2550</v>
      </c>
      <c r="BN14" t="s">
        <v>178</v>
      </c>
      <c r="BO14">
        <v>2</v>
      </c>
      <c r="BP14">
        <v>2</v>
      </c>
      <c r="BQ14">
        <v>4</v>
      </c>
      <c r="BR14" t="s">
        <v>521</v>
      </c>
      <c r="BS14" t="s">
        <v>180</v>
      </c>
      <c r="BT14" t="s">
        <v>181</v>
      </c>
      <c r="BU14" s="1">
        <v>45505</v>
      </c>
      <c r="BV14">
        <v>35000</v>
      </c>
      <c r="BW14" s="153"/>
      <c r="BX14" t="s">
        <v>170</v>
      </c>
      <c r="BY14" t="s">
        <v>170</v>
      </c>
      <c r="CB14" t="s">
        <v>170</v>
      </c>
      <c r="CC14" t="s">
        <v>170</v>
      </c>
      <c r="CE14" t="s">
        <v>170</v>
      </c>
      <c r="CG14" t="s">
        <v>169</v>
      </c>
      <c r="CH14" t="s">
        <v>522</v>
      </c>
      <c r="CI14" t="s">
        <v>169</v>
      </c>
      <c r="CJ14" t="s">
        <v>523</v>
      </c>
      <c r="DJ14" t="s">
        <v>184</v>
      </c>
      <c r="DK14" t="s">
        <v>185</v>
      </c>
      <c r="DL14" t="s">
        <v>170</v>
      </c>
      <c r="DM14" t="s">
        <v>170</v>
      </c>
      <c r="DN14" t="s">
        <v>170</v>
      </c>
      <c r="DO14" t="s">
        <v>358</v>
      </c>
      <c r="DP14" t="s">
        <v>169</v>
      </c>
      <c r="DQ14" t="s">
        <v>198</v>
      </c>
      <c r="DY14">
        <v>33.700000000000003</v>
      </c>
      <c r="EA14" s="89"/>
      <c r="EB14">
        <v>5</v>
      </c>
      <c r="EC14">
        <v>5</v>
      </c>
      <c r="EE14" t="s">
        <v>524</v>
      </c>
      <c r="EF14">
        <v>6</v>
      </c>
      <c r="EV14">
        <v>3250</v>
      </c>
      <c r="EW14">
        <v>404</v>
      </c>
      <c r="EX14">
        <v>289</v>
      </c>
      <c r="EY14">
        <v>352</v>
      </c>
    </row>
    <row r="15" spans="1:167" x14ac:dyDescent="0.35">
      <c r="A15">
        <v>2025</v>
      </c>
      <c r="B15" t="s">
        <v>517</v>
      </c>
      <c r="C15" t="s">
        <v>518</v>
      </c>
      <c r="D15" t="s">
        <v>526</v>
      </c>
      <c r="E15" t="s">
        <v>520</v>
      </c>
      <c r="F15">
        <v>466</v>
      </c>
      <c r="G15">
        <v>3</v>
      </c>
      <c r="H15">
        <v>6</v>
      </c>
      <c r="I15" t="s">
        <v>331</v>
      </c>
      <c r="J15">
        <v>19</v>
      </c>
      <c r="K15">
        <v>25</v>
      </c>
      <c r="L15">
        <v>21</v>
      </c>
      <c r="M15">
        <v>24.8</v>
      </c>
      <c r="N15">
        <v>37.1</v>
      </c>
      <c r="O15">
        <v>29.148700000000002</v>
      </c>
      <c r="P15">
        <v>19</v>
      </c>
      <c r="Q15">
        <v>25</v>
      </c>
      <c r="R15">
        <v>21</v>
      </c>
      <c r="T15" t="s">
        <v>165</v>
      </c>
      <c r="U15" t="s">
        <v>166</v>
      </c>
      <c r="V15" t="s">
        <v>193</v>
      </c>
      <c r="W15" t="s">
        <v>194</v>
      </c>
      <c r="Y15">
        <v>10</v>
      </c>
      <c r="Z15" t="s">
        <v>169</v>
      </c>
      <c r="AA15" t="s">
        <v>170</v>
      </c>
      <c r="AB15" t="s">
        <v>167</v>
      </c>
      <c r="AC15" t="s">
        <v>213</v>
      </c>
      <c r="AD15">
        <v>10</v>
      </c>
      <c r="AG15" t="s">
        <v>173</v>
      </c>
      <c r="AH15" t="s">
        <v>174</v>
      </c>
      <c r="AI15" t="s">
        <v>175</v>
      </c>
      <c r="AJ15" t="s">
        <v>176</v>
      </c>
      <c r="AK15" t="s">
        <v>170</v>
      </c>
      <c r="AL15" t="s">
        <v>177</v>
      </c>
      <c r="AO15">
        <v>93</v>
      </c>
      <c r="AP15">
        <v>13</v>
      </c>
      <c r="AS15">
        <v>3050</v>
      </c>
      <c r="AT15">
        <v>3050</v>
      </c>
      <c r="BN15" t="s">
        <v>178</v>
      </c>
      <c r="BO15">
        <v>2</v>
      </c>
      <c r="BP15">
        <v>2</v>
      </c>
      <c r="BQ15">
        <v>4</v>
      </c>
      <c r="BR15" t="s">
        <v>521</v>
      </c>
      <c r="BS15" t="s">
        <v>180</v>
      </c>
      <c r="BT15" t="s">
        <v>181</v>
      </c>
      <c r="BU15" s="1">
        <v>45505</v>
      </c>
      <c r="BV15">
        <v>35002</v>
      </c>
      <c r="BW15" s="154"/>
      <c r="BX15" t="s">
        <v>170</v>
      </c>
      <c r="BY15" t="s">
        <v>170</v>
      </c>
      <c r="CB15" t="s">
        <v>170</v>
      </c>
      <c r="CC15" t="s">
        <v>170</v>
      </c>
      <c r="CE15" t="s">
        <v>169</v>
      </c>
      <c r="CF15" t="s">
        <v>527</v>
      </c>
      <c r="CG15" t="s">
        <v>169</v>
      </c>
      <c r="CH15" t="s">
        <v>528</v>
      </c>
      <c r="CI15" t="s">
        <v>170</v>
      </c>
      <c r="DJ15" t="s">
        <v>184</v>
      </c>
      <c r="DK15" t="s">
        <v>185</v>
      </c>
      <c r="DL15" t="s">
        <v>170</v>
      </c>
      <c r="DM15" t="s">
        <v>170</v>
      </c>
      <c r="DN15" t="s">
        <v>170</v>
      </c>
      <c r="DO15" t="s">
        <v>358</v>
      </c>
      <c r="DP15" t="s">
        <v>169</v>
      </c>
      <c r="DQ15" t="s">
        <v>198</v>
      </c>
      <c r="DY15">
        <v>29.3</v>
      </c>
      <c r="EA15" s="101"/>
      <c r="EB15">
        <v>4</v>
      </c>
      <c r="EC15">
        <v>4</v>
      </c>
      <c r="EE15" t="s">
        <v>529</v>
      </c>
      <c r="EF15">
        <v>4</v>
      </c>
      <c r="EV15">
        <v>5750</v>
      </c>
      <c r="EW15">
        <v>464</v>
      </c>
      <c r="EX15">
        <v>353</v>
      </c>
      <c r="EY15">
        <v>420</v>
      </c>
    </row>
    <row r="16" spans="1:167" x14ac:dyDescent="0.35">
      <c r="A16">
        <v>2025</v>
      </c>
      <c r="B16" t="s">
        <v>668</v>
      </c>
      <c r="C16" t="s">
        <v>669</v>
      </c>
      <c r="D16" t="s">
        <v>670</v>
      </c>
      <c r="E16" t="s">
        <v>671</v>
      </c>
      <c r="F16">
        <v>402</v>
      </c>
      <c r="G16">
        <v>2</v>
      </c>
      <c r="H16">
        <v>4</v>
      </c>
      <c r="I16" t="s">
        <v>164</v>
      </c>
      <c r="J16">
        <v>24</v>
      </c>
      <c r="K16">
        <v>33</v>
      </c>
      <c r="L16">
        <v>27</v>
      </c>
      <c r="M16">
        <v>30.299700000000001</v>
      </c>
      <c r="N16">
        <v>47.148699999999998</v>
      </c>
      <c r="O16">
        <v>36.105899999999998</v>
      </c>
      <c r="P16">
        <v>23.596900000000002</v>
      </c>
      <c r="Q16">
        <v>32.630000000000003</v>
      </c>
      <c r="R16">
        <v>26.954799999999999</v>
      </c>
      <c r="T16" t="s">
        <v>165</v>
      </c>
      <c r="U16" t="s">
        <v>166</v>
      </c>
      <c r="V16" t="s">
        <v>167</v>
      </c>
      <c r="W16" t="s">
        <v>168</v>
      </c>
      <c r="Y16">
        <v>8</v>
      </c>
      <c r="Z16" t="s">
        <v>169</v>
      </c>
      <c r="AA16" t="s">
        <v>170</v>
      </c>
      <c r="AB16" t="s">
        <v>171</v>
      </c>
      <c r="AC16" t="s">
        <v>172</v>
      </c>
      <c r="AD16">
        <v>10</v>
      </c>
      <c r="AG16" t="s">
        <v>173</v>
      </c>
      <c r="AH16" t="s">
        <v>174</v>
      </c>
      <c r="AI16" t="s">
        <v>175</v>
      </c>
      <c r="AJ16" t="s">
        <v>176</v>
      </c>
      <c r="AK16" t="s">
        <v>170</v>
      </c>
      <c r="AL16" t="s">
        <v>177</v>
      </c>
      <c r="AO16">
        <v>100</v>
      </c>
      <c r="AP16">
        <v>12</v>
      </c>
      <c r="AS16">
        <v>2350</v>
      </c>
      <c r="AT16">
        <v>2350</v>
      </c>
      <c r="BN16" t="s">
        <v>178</v>
      </c>
      <c r="BO16">
        <v>2</v>
      </c>
      <c r="BP16">
        <v>2</v>
      </c>
      <c r="BQ16">
        <v>5</v>
      </c>
      <c r="BR16" t="s">
        <v>672</v>
      </c>
      <c r="BS16" t="s">
        <v>180</v>
      </c>
      <c r="BT16" t="s">
        <v>181</v>
      </c>
      <c r="BU16" s="1">
        <v>45474</v>
      </c>
      <c r="BV16">
        <v>34687</v>
      </c>
      <c r="BW16" s="154"/>
      <c r="BX16" t="s">
        <v>170</v>
      </c>
      <c r="BY16" t="s">
        <v>170</v>
      </c>
      <c r="CB16" t="s">
        <v>170</v>
      </c>
      <c r="CC16" t="s">
        <v>170</v>
      </c>
      <c r="CE16" t="s">
        <v>170</v>
      </c>
      <c r="CG16" t="s">
        <v>169</v>
      </c>
      <c r="CH16" t="s">
        <v>673</v>
      </c>
      <c r="CI16" t="s">
        <v>169</v>
      </c>
      <c r="CJ16" t="s">
        <v>673</v>
      </c>
      <c r="DJ16" t="s">
        <v>184</v>
      </c>
      <c r="DK16" t="s">
        <v>185</v>
      </c>
      <c r="DN16" t="s">
        <v>169</v>
      </c>
      <c r="DO16" t="s">
        <v>574</v>
      </c>
      <c r="DP16" t="s">
        <v>169</v>
      </c>
      <c r="DQ16" t="s">
        <v>198</v>
      </c>
      <c r="DY16">
        <v>36.4</v>
      </c>
      <c r="EA16" s="101"/>
      <c r="EB16">
        <v>5</v>
      </c>
      <c r="EC16">
        <v>5</v>
      </c>
      <c r="EE16" t="s">
        <v>674</v>
      </c>
      <c r="EF16">
        <v>4</v>
      </c>
      <c r="EV16">
        <v>2250</v>
      </c>
      <c r="EW16">
        <v>377</v>
      </c>
      <c r="EX16">
        <v>273</v>
      </c>
      <c r="EY16">
        <v>330</v>
      </c>
    </row>
    <row r="17" spans="1:155" x14ac:dyDescent="0.35">
      <c r="A17">
        <v>2025</v>
      </c>
      <c r="B17" t="s">
        <v>668</v>
      </c>
      <c r="C17" t="s">
        <v>669</v>
      </c>
      <c r="D17" t="s">
        <v>675</v>
      </c>
      <c r="E17" t="s">
        <v>671</v>
      </c>
      <c r="F17">
        <v>403</v>
      </c>
      <c r="G17">
        <v>2</v>
      </c>
      <c r="H17">
        <v>4</v>
      </c>
      <c r="I17" t="s">
        <v>164</v>
      </c>
      <c r="J17">
        <v>23</v>
      </c>
      <c r="K17">
        <v>31</v>
      </c>
      <c r="L17">
        <v>26</v>
      </c>
      <c r="M17">
        <v>28.749199999999998</v>
      </c>
      <c r="N17">
        <v>43.9</v>
      </c>
      <c r="O17">
        <v>34.034999999999997</v>
      </c>
      <c r="P17">
        <v>22.500499999999999</v>
      </c>
      <c r="Q17">
        <v>30.601199999999999</v>
      </c>
      <c r="R17">
        <v>25.543299999999999</v>
      </c>
      <c r="T17" t="s">
        <v>165</v>
      </c>
      <c r="U17" t="s">
        <v>166</v>
      </c>
      <c r="V17" t="s">
        <v>167</v>
      </c>
      <c r="W17" t="s">
        <v>168</v>
      </c>
      <c r="Y17">
        <v>8</v>
      </c>
      <c r="Z17" t="s">
        <v>169</v>
      </c>
      <c r="AA17" t="s">
        <v>170</v>
      </c>
      <c r="AB17" t="s">
        <v>167</v>
      </c>
      <c r="AC17" t="s">
        <v>213</v>
      </c>
      <c r="AD17">
        <v>10</v>
      </c>
      <c r="AG17" t="s">
        <v>173</v>
      </c>
      <c r="AH17" t="s">
        <v>174</v>
      </c>
      <c r="AI17" t="s">
        <v>175</v>
      </c>
      <c r="AJ17" t="s">
        <v>176</v>
      </c>
      <c r="AK17" t="s">
        <v>170</v>
      </c>
      <c r="AL17" t="s">
        <v>177</v>
      </c>
      <c r="AO17">
        <v>100</v>
      </c>
      <c r="AP17">
        <v>12</v>
      </c>
      <c r="AS17">
        <v>2450</v>
      </c>
      <c r="AT17">
        <v>2450</v>
      </c>
      <c r="BN17" t="s">
        <v>178</v>
      </c>
      <c r="BO17">
        <v>2</v>
      </c>
      <c r="BP17">
        <v>2</v>
      </c>
      <c r="BQ17">
        <v>5</v>
      </c>
      <c r="BR17" t="s">
        <v>672</v>
      </c>
      <c r="BS17" t="s">
        <v>180</v>
      </c>
      <c r="BT17" t="s">
        <v>181</v>
      </c>
      <c r="BU17" s="1">
        <v>45474</v>
      </c>
      <c r="BV17">
        <v>34686</v>
      </c>
      <c r="BW17" s="153"/>
      <c r="BX17" t="s">
        <v>170</v>
      </c>
      <c r="BY17" t="s">
        <v>170</v>
      </c>
      <c r="CB17" t="s">
        <v>170</v>
      </c>
      <c r="CC17" t="s">
        <v>170</v>
      </c>
      <c r="CE17" t="s">
        <v>170</v>
      </c>
      <c r="CG17" t="s">
        <v>169</v>
      </c>
      <c r="CH17" t="s">
        <v>673</v>
      </c>
      <c r="CI17" t="s">
        <v>169</v>
      </c>
      <c r="CJ17" t="s">
        <v>673</v>
      </c>
      <c r="DJ17" t="s">
        <v>184</v>
      </c>
      <c r="DK17" t="s">
        <v>185</v>
      </c>
      <c r="DN17" t="s">
        <v>169</v>
      </c>
      <c r="DO17" t="s">
        <v>574</v>
      </c>
      <c r="DP17" t="s">
        <v>169</v>
      </c>
      <c r="DQ17" t="s">
        <v>198</v>
      </c>
      <c r="DY17">
        <v>34.299999999999997</v>
      </c>
      <c r="EA17" s="89"/>
      <c r="EB17">
        <v>5</v>
      </c>
      <c r="EC17">
        <v>5</v>
      </c>
      <c r="EE17" t="s">
        <v>674</v>
      </c>
      <c r="EF17">
        <v>4</v>
      </c>
      <c r="EV17">
        <v>2750</v>
      </c>
      <c r="EW17">
        <v>395</v>
      </c>
      <c r="EX17">
        <v>291</v>
      </c>
      <c r="EY17">
        <v>348</v>
      </c>
    </row>
    <row r="18" spans="1:155" x14ac:dyDescent="0.35">
      <c r="A18">
        <v>2025</v>
      </c>
      <c r="B18" t="s">
        <v>668</v>
      </c>
      <c r="C18" t="s">
        <v>669</v>
      </c>
      <c r="D18" t="s">
        <v>1225</v>
      </c>
      <c r="E18" t="s">
        <v>671</v>
      </c>
      <c r="F18">
        <v>512</v>
      </c>
      <c r="G18">
        <v>2</v>
      </c>
      <c r="H18">
        <v>4</v>
      </c>
      <c r="I18" t="s">
        <v>164</v>
      </c>
      <c r="J18">
        <v>22</v>
      </c>
      <c r="K18">
        <v>28</v>
      </c>
      <c r="L18">
        <v>24</v>
      </c>
      <c r="M18">
        <v>27.849900000000002</v>
      </c>
      <c r="N18">
        <v>40.549900000000001</v>
      </c>
      <c r="O18">
        <v>32.418900000000001</v>
      </c>
      <c r="P18">
        <v>21.8596</v>
      </c>
      <c r="Q18">
        <v>28.478200000000001</v>
      </c>
      <c r="R18">
        <v>24.412800000000001</v>
      </c>
      <c r="T18" t="s">
        <v>165</v>
      </c>
      <c r="U18" t="s">
        <v>166</v>
      </c>
      <c r="V18" t="s">
        <v>167</v>
      </c>
      <c r="W18" t="s">
        <v>168</v>
      </c>
      <c r="Y18">
        <v>8</v>
      </c>
      <c r="Z18" t="s">
        <v>169</v>
      </c>
      <c r="AA18" t="s">
        <v>170</v>
      </c>
      <c r="AB18" t="s">
        <v>167</v>
      </c>
      <c r="AC18" t="s">
        <v>213</v>
      </c>
      <c r="AD18">
        <v>10</v>
      </c>
      <c r="AG18" t="s">
        <v>173</v>
      </c>
      <c r="AH18" t="s">
        <v>174</v>
      </c>
      <c r="AI18" t="s">
        <v>175</v>
      </c>
      <c r="AJ18" t="s">
        <v>176</v>
      </c>
      <c r="AK18" t="s">
        <v>940</v>
      </c>
      <c r="AL18" t="s">
        <v>941</v>
      </c>
      <c r="AS18">
        <v>2650</v>
      </c>
      <c r="AT18">
        <v>2650</v>
      </c>
      <c r="BN18" t="s">
        <v>178</v>
      </c>
      <c r="BO18">
        <v>2</v>
      </c>
      <c r="BP18">
        <v>2</v>
      </c>
      <c r="BQ18">
        <v>31</v>
      </c>
      <c r="BR18" t="s">
        <v>1219</v>
      </c>
      <c r="BT18" t="s">
        <v>181</v>
      </c>
      <c r="BU18" s="1">
        <v>45442</v>
      </c>
      <c r="BV18">
        <v>34668</v>
      </c>
      <c r="BW18" s="154"/>
      <c r="BX18" t="s">
        <v>170</v>
      </c>
      <c r="BY18" t="s">
        <v>170</v>
      </c>
      <c r="CB18" t="s">
        <v>170</v>
      </c>
      <c r="CC18" t="s">
        <v>170</v>
      </c>
      <c r="CE18" t="s">
        <v>170</v>
      </c>
      <c r="CG18" t="s">
        <v>169</v>
      </c>
      <c r="CH18" t="s">
        <v>673</v>
      </c>
      <c r="CI18" t="s">
        <v>169</v>
      </c>
      <c r="CJ18" t="s">
        <v>673</v>
      </c>
      <c r="DJ18" t="s">
        <v>184</v>
      </c>
      <c r="DK18" t="s">
        <v>185</v>
      </c>
      <c r="DN18" t="s">
        <v>169</v>
      </c>
      <c r="DO18" t="s">
        <v>574</v>
      </c>
      <c r="DP18" t="s">
        <v>169</v>
      </c>
      <c r="DQ18" t="s">
        <v>198</v>
      </c>
      <c r="EA18" s="101"/>
      <c r="EB18">
        <v>5</v>
      </c>
      <c r="EC18">
        <v>5</v>
      </c>
      <c r="EE18" t="s">
        <v>674</v>
      </c>
      <c r="EF18">
        <v>4</v>
      </c>
      <c r="EV18">
        <v>3750</v>
      </c>
      <c r="EW18">
        <v>407</v>
      </c>
      <c r="EX18">
        <v>311</v>
      </c>
      <c r="EY18">
        <v>364</v>
      </c>
    </row>
    <row r="19" spans="1:155" x14ac:dyDescent="0.35">
      <c r="A19">
        <v>2025</v>
      </c>
      <c r="B19" t="s">
        <v>668</v>
      </c>
      <c r="C19" t="s">
        <v>669</v>
      </c>
      <c r="D19" t="s">
        <v>1226</v>
      </c>
      <c r="E19" t="s">
        <v>671</v>
      </c>
      <c r="F19">
        <v>407</v>
      </c>
      <c r="G19">
        <v>2</v>
      </c>
      <c r="H19">
        <v>4</v>
      </c>
      <c r="I19" t="s">
        <v>282</v>
      </c>
      <c r="J19">
        <v>21</v>
      </c>
      <c r="K19">
        <v>29</v>
      </c>
      <c r="L19">
        <v>24</v>
      </c>
      <c r="M19">
        <v>26.5</v>
      </c>
      <c r="N19">
        <v>41.2</v>
      </c>
      <c r="O19">
        <v>31.5686</v>
      </c>
      <c r="P19">
        <v>20.890599999999999</v>
      </c>
      <c r="Q19">
        <v>28.892600000000002</v>
      </c>
      <c r="R19">
        <v>23.864899999999999</v>
      </c>
      <c r="T19" t="s">
        <v>165</v>
      </c>
      <c r="U19" t="s">
        <v>166</v>
      </c>
      <c r="V19" t="s">
        <v>167</v>
      </c>
      <c r="W19" t="s">
        <v>168</v>
      </c>
      <c r="Y19">
        <v>9</v>
      </c>
      <c r="Z19" t="s">
        <v>169</v>
      </c>
      <c r="AA19" t="s">
        <v>170</v>
      </c>
      <c r="AB19" t="s">
        <v>167</v>
      </c>
      <c r="AC19" t="s">
        <v>213</v>
      </c>
      <c r="AD19">
        <v>10</v>
      </c>
      <c r="AG19" t="s">
        <v>210</v>
      </c>
      <c r="AH19" t="s">
        <v>444</v>
      </c>
      <c r="AI19" t="s">
        <v>175</v>
      </c>
      <c r="AJ19" t="s">
        <v>176</v>
      </c>
      <c r="AK19" t="s">
        <v>940</v>
      </c>
      <c r="AL19" t="s">
        <v>941</v>
      </c>
      <c r="AS19">
        <v>2200</v>
      </c>
      <c r="AT19">
        <v>2200</v>
      </c>
      <c r="BN19" t="s">
        <v>178</v>
      </c>
      <c r="BO19">
        <v>2</v>
      </c>
      <c r="BP19">
        <v>2</v>
      </c>
      <c r="BQ19">
        <v>31</v>
      </c>
      <c r="BR19" t="s">
        <v>1219</v>
      </c>
      <c r="BT19" t="s">
        <v>181</v>
      </c>
      <c r="BU19" s="1">
        <v>45600</v>
      </c>
      <c r="BV19">
        <v>35770</v>
      </c>
      <c r="BW19" s="154"/>
      <c r="BX19" t="s">
        <v>170</v>
      </c>
      <c r="BY19" t="s">
        <v>170</v>
      </c>
      <c r="CB19" t="s">
        <v>170</v>
      </c>
      <c r="CC19" t="s">
        <v>170</v>
      </c>
      <c r="CE19" t="s">
        <v>170</v>
      </c>
      <c r="CG19" t="s">
        <v>169</v>
      </c>
      <c r="CH19" t="s">
        <v>1227</v>
      </c>
      <c r="CI19" t="s">
        <v>170</v>
      </c>
      <c r="DJ19" t="s">
        <v>184</v>
      </c>
      <c r="DK19" t="s">
        <v>185</v>
      </c>
      <c r="DN19" t="s">
        <v>170</v>
      </c>
      <c r="DO19" t="s">
        <v>574</v>
      </c>
      <c r="DP19" t="s">
        <v>169</v>
      </c>
      <c r="DQ19" t="s">
        <v>198</v>
      </c>
      <c r="EA19" s="101"/>
      <c r="EB19">
        <v>5</v>
      </c>
      <c r="EC19">
        <v>5</v>
      </c>
      <c r="EE19" t="s">
        <v>1228</v>
      </c>
      <c r="EF19">
        <v>6</v>
      </c>
      <c r="EV19">
        <v>1500</v>
      </c>
      <c r="EW19">
        <v>425</v>
      </c>
      <c r="EX19">
        <v>308</v>
      </c>
      <c r="EY19">
        <v>372</v>
      </c>
    </row>
    <row r="20" spans="1:155" x14ac:dyDescent="0.35">
      <c r="A20">
        <v>2025</v>
      </c>
      <c r="B20" t="s">
        <v>160</v>
      </c>
      <c r="C20" t="s">
        <v>161</v>
      </c>
      <c r="D20" t="s">
        <v>320</v>
      </c>
      <c r="E20" t="s">
        <v>163</v>
      </c>
      <c r="F20">
        <v>1</v>
      </c>
      <c r="G20">
        <v>4</v>
      </c>
      <c r="H20">
        <v>8</v>
      </c>
      <c r="I20" t="s">
        <v>164</v>
      </c>
      <c r="J20">
        <v>15</v>
      </c>
      <c r="K20">
        <v>22</v>
      </c>
      <c r="L20">
        <v>17</v>
      </c>
      <c r="M20">
        <v>18.263200000000001</v>
      </c>
      <c r="N20">
        <v>31.287299999999998</v>
      </c>
      <c r="O20">
        <v>22.472899999999999</v>
      </c>
      <c r="P20">
        <v>14.7902</v>
      </c>
      <c r="Q20">
        <v>22.438800000000001</v>
      </c>
      <c r="R20">
        <v>17.469899999999999</v>
      </c>
      <c r="T20" t="s">
        <v>165</v>
      </c>
      <c r="U20" t="s">
        <v>166</v>
      </c>
      <c r="V20" t="s">
        <v>167</v>
      </c>
      <c r="W20" t="s">
        <v>168</v>
      </c>
      <c r="Y20">
        <v>8</v>
      </c>
      <c r="Z20" t="s">
        <v>169</v>
      </c>
      <c r="AA20" t="s">
        <v>170</v>
      </c>
      <c r="AB20" t="s">
        <v>171</v>
      </c>
      <c r="AC20" t="s">
        <v>172</v>
      </c>
      <c r="AD20">
        <v>10</v>
      </c>
      <c r="AG20" t="s">
        <v>173</v>
      </c>
      <c r="AH20" t="s">
        <v>174</v>
      </c>
      <c r="AI20" t="s">
        <v>175</v>
      </c>
      <c r="AJ20" t="s">
        <v>176</v>
      </c>
      <c r="AK20" t="s">
        <v>170</v>
      </c>
      <c r="AL20" t="s">
        <v>177</v>
      </c>
      <c r="AM20">
        <v>72</v>
      </c>
      <c r="AN20">
        <v>9</v>
      </c>
      <c r="AS20">
        <v>3750</v>
      </c>
      <c r="AT20">
        <v>3750</v>
      </c>
      <c r="BN20" t="s">
        <v>178</v>
      </c>
      <c r="BO20">
        <v>2</v>
      </c>
      <c r="BP20">
        <v>2</v>
      </c>
      <c r="BQ20">
        <v>2</v>
      </c>
      <c r="BR20" t="s">
        <v>321</v>
      </c>
      <c r="BS20" t="s">
        <v>180</v>
      </c>
      <c r="BT20" t="s">
        <v>181</v>
      </c>
      <c r="BU20" s="1">
        <v>45413</v>
      </c>
      <c r="BV20">
        <v>34748</v>
      </c>
      <c r="BW20" s="153"/>
      <c r="BX20" t="s">
        <v>170</v>
      </c>
      <c r="BY20" t="s">
        <v>170</v>
      </c>
      <c r="CB20" t="s">
        <v>170</v>
      </c>
      <c r="CC20" t="s">
        <v>170</v>
      </c>
      <c r="CD20" t="s">
        <v>322</v>
      </c>
      <c r="CE20" t="s">
        <v>170</v>
      </c>
      <c r="CG20" t="s">
        <v>169</v>
      </c>
      <c r="CH20" t="s">
        <v>323</v>
      </c>
      <c r="CI20" t="s">
        <v>170</v>
      </c>
      <c r="DJ20" t="s">
        <v>184</v>
      </c>
      <c r="DK20" t="s">
        <v>185</v>
      </c>
      <c r="DL20" t="s">
        <v>170</v>
      </c>
      <c r="DN20" t="s">
        <v>170</v>
      </c>
      <c r="DO20" t="s">
        <v>186</v>
      </c>
      <c r="DP20" t="s">
        <v>170</v>
      </c>
      <c r="DQ20" t="s">
        <v>187</v>
      </c>
      <c r="DR20" t="s">
        <v>320</v>
      </c>
      <c r="DY20">
        <v>22.6</v>
      </c>
      <c r="EA20" s="89"/>
      <c r="EB20">
        <v>3</v>
      </c>
      <c r="EC20">
        <v>3</v>
      </c>
      <c r="EE20" t="s">
        <v>188</v>
      </c>
      <c r="EF20">
        <v>5</v>
      </c>
      <c r="EV20">
        <v>9250</v>
      </c>
      <c r="EW20">
        <v>599</v>
      </c>
      <c r="EX20">
        <v>395</v>
      </c>
      <c r="EY20">
        <v>507</v>
      </c>
    </row>
    <row r="21" spans="1:155" x14ac:dyDescent="0.35">
      <c r="A21">
        <v>2025</v>
      </c>
      <c r="B21" t="s">
        <v>160</v>
      </c>
      <c r="C21" t="s">
        <v>161</v>
      </c>
      <c r="D21" t="s">
        <v>1500</v>
      </c>
      <c r="E21" t="s">
        <v>163</v>
      </c>
      <c r="F21">
        <v>3</v>
      </c>
      <c r="G21">
        <v>4</v>
      </c>
      <c r="H21">
        <v>8</v>
      </c>
      <c r="I21" t="s">
        <v>282</v>
      </c>
      <c r="J21">
        <v>15</v>
      </c>
      <c r="K21">
        <v>20</v>
      </c>
      <c r="L21">
        <v>17</v>
      </c>
      <c r="M21">
        <v>18.469200000000001</v>
      </c>
      <c r="N21">
        <v>27.187100000000001</v>
      </c>
      <c r="O21">
        <v>21.5837</v>
      </c>
      <c r="P21">
        <v>14.946899999999999</v>
      </c>
      <c r="Q21">
        <v>19.6829</v>
      </c>
      <c r="R21">
        <v>16.761800000000001</v>
      </c>
      <c r="T21" t="s">
        <v>165</v>
      </c>
      <c r="U21" t="s">
        <v>166</v>
      </c>
      <c r="V21" t="s">
        <v>167</v>
      </c>
      <c r="W21" t="s">
        <v>168</v>
      </c>
      <c r="Y21">
        <v>9</v>
      </c>
      <c r="Z21" t="s">
        <v>169</v>
      </c>
      <c r="AA21" t="s">
        <v>170</v>
      </c>
      <c r="AB21">
        <v>4</v>
      </c>
      <c r="AC21" t="s">
        <v>601</v>
      </c>
      <c r="AD21">
        <v>10</v>
      </c>
      <c r="AG21" t="s">
        <v>173</v>
      </c>
      <c r="AH21" t="s">
        <v>174</v>
      </c>
      <c r="AI21" t="s">
        <v>175</v>
      </c>
      <c r="AJ21" t="s">
        <v>176</v>
      </c>
      <c r="AK21" t="s">
        <v>940</v>
      </c>
      <c r="AL21" t="s">
        <v>941</v>
      </c>
      <c r="AQ21">
        <v>105</v>
      </c>
      <c r="AR21">
        <v>29</v>
      </c>
      <c r="AS21">
        <v>3750</v>
      </c>
      <c r="AT21">
        <v>3750</v>
      </c>
      <c r="BN21" t="s">
        <v>178</v>
      </c>
      <c r="BO21">
        <v>2</v>
      </c>
      <c r="BP21">
        <v>2</v>
      </c>
      <c r="BQ21">
        <v>33</v>
      </c>
      <c r="BR21" t="s">
        <v>1497</v>
      </c>
      <c r="BT21" t="s">
        <v>181</v>
      </c>
      <c r="BU21" s="1">
        <v>45413</v>
      </c>
      <c r="BV21">
        <v>34749</v>
      </c>
      <c r="BW21" s="154"/>
      <c r="BX21" t="s">
        <v>170</v>
      </c>
      <c r="BY21" t="s">
        <v>170</v>
      </c>
      <c r="CB21" t="s">
        <v>170</v>
      </c>
      <c r="CC21" t="s">
        <v>170</v>
      </c>
      <c r="CD21" t="s">
        <v>1501</v>
      </c>
      <c r="CE21" t="s">
        <v>169</v>
      </c>
      <c r="CF21" t="s">
        <v>1502</v>
      </c>
      <c r="CG21" t="s">
        <v>169</v>
      </c>
      <c r="CH21" t="s">
        <v>323</v>
      </c>
      <c r="CI21" t="s">
        <v>170</v>
      </c>
      <c r="DJ21" t="s">
        <v>184</v>
      </c>
      <c r="DK21" t="s">
        <v>185</v>
      </c>
      <c r="DL21" t="s">
        <v>170</v>
      </c>
      <c r="DN21" t="s">
        <v>170</v>
      </c>
      <c r="DO21" t="s">
        <v>186</v>
      </c>
      <c r="DP21" t="s">
        <v>170</v>
      </c>
      <c r="DQ21" t="s">
        <v>187</v>
      </c>
      <c r="DR21" t="s">
        <v>1500</v>
      </c>
      <c r="EA21" s="112"/>
      <c r="EB21">
        <v>3</v>
      </c>
      <c r="EC21">
        <v>3</v>
      </c>
      <c r="EE21" t="s">
        <v>188</v>
      </c>
      <c r="EF21">
        <v>5</v>
      </c>
      <c r="EV21">
        <v>9250</v>
      </c>
      <c r="EW21">
        <v>602</v>
      </c>
      <c r="EX21">
        <v>457</v>
      </c>
      <c r="EY21">
        <v>536</v>
      </c>
    </row>
    <row r="22" spans="1:155" x14ac:dyDescent="0.35">
      <c r="A22">
        <v>2025</v>
      </c>
      <c r="B22" t="s">
        <v>160</v>
      </c>
      <c r="C22" t="s">
        <v>161</v>
      </c>
      <c r="D22" t="s">
        <v>1677</v>
      </c>
      <c r="E22" t="s">
        <v>163</v>
      </c>
      <c r="F22">
        <v>4</v>
      </c>
      <c r="G22">
        <v>5.2</v>
      </c>
      <c r="H22">
        <v>12</v>
      </c>
      <c r="I22" t="s">
        <v>164</v>
      </c>
      <c r="J22">
        <v>13</v>
      </c>
      <c r="K22">
        <v>21</v>
      </c>
      <c r="L22">
        <v>16</v>
      </c>
      <c r="M22">
        <v>16.409400000000002</v>
      </c>
      <c r="N22">
        <v>28.855399999999999</v>
      </c>
      <c r="O22">
        <v>20.361499999999999</v>
      </c>
      <c r="P22">
        <v>13.3711</v>
      </c>
      <c r="Q22">
        <v>20.810500000000001</v>
      </c>
      <c r="R22">
        <v>15.9344</v>
      </c>
      <c r="S22" t="s">
        <v>210</v>
      </c>
      <c r="T22" t="s">
        <v>165</v>
      </c>
      <c r="U22" t="s">
        <v>166</v>
      </c>
      <c r="V22" t="s">
        <v>167</v>
      </c>
      <c r="W22" t="s">
        <v>168</v>
      </c>
      <c r="Y22">
        <v>8</v>
      </c>
      <c r="Z22" t="s">
        <v>169</v>
      </c>
      <c r="AA22" t="s">
        <v>170</v>
      </c>
      <c r="AB22" t="s">
        <v>171</v>
      </c>
      <c r="AC22" t="s">
        <v>172</v>
      </c>
      <c r="AD22">
        <v>10</v>
      </c>
      <c r="AG22" t="s">
        <v>173</v>
      </c>
      <c r="AH22" t="s">
        <v>174</v>
      </c>
      <c r="AI22" t="s">
        <v>175</v>
      </c>
      <c r="AJ22" t="s">
        <v>176</v>
      </c>
      <c r="AK22" t="s">
        <v>170</v>
      </c>
      <c r="AL22" t="s">
        <v>177</v>
      </c>
      <c r="AS22">
        <v>4000</v>
      </c>
      <c r="AT22">
        <v>4000</v>
      </c>
      <c r="BO22">
        <v>2</v>
      </c>
      <c r="BP22">
        <v>2</v>
      </c>
      <c r="BQ22">
        <v>1</v>
      </c>
      <c r="BR22" t="s">
        <v>179</v>
      </c>
      <c r="BS22" t="s">
        <v>180</v>
      </c>
      <c r="BT22" t="s">
        <v>181</v>
      </c>
      <c r="BV22">
        <v>35987</v>
      </c>
      <c r="BW22" s="154"/>
      <c r="BX22" t="s">
        <v>170</v>
      </c>
      <c r="BY22" t="s">
        <v>170</v>
      </c>
      <c r="CB22" t="s">
        <v>170</v>
      </c>
      <c r="CC22" t="s">
        <v>170</v>
      </c>
      <c r="CD22" t="s">
        <v>1678</v>
      </c>
      <c r="CE22" t="s">
        <v>170</v>
      </c>
      <c r="CG22" t="s">
        <v>169</v>
      </c>
      <c r="CH22" t="s">
        <v>323</v>
      </c>
      <c r="CI22" t="s">
        <v>170</v>
      </c>
      <c r="DJ22" t="s">
        <v>449</v>
      </c>
      <c r="DK22" t="s">
        <v>450</v>
      </c>
      <c r="DL22" t="s">
        <v>170</v>
      </c>
      <c r="DN22" t="s">
        <v>170</v>
      </c>
      <c r="DO22" t="s">
        <v>186</v>
      </c>
      <c r="DP22" t="s">
        <v>170</v>
      </c>
      <c r="DQ22" t="s">
        <v>187</v>
      </c>
      <c r="DR22" t="s">
        <v>1677</v>
      </c>
      <c r="DY22">
        <v>20.5</v>
      </c>
      <c r="EA22" s="112"/>
      <c r="EB22">
        <v>3</v>
      </c>
      <c r="EC22">
        <v>3</v>
      </c>
      <c r="EE22" t="s">
        <v>1679</v>
      </c>
      <c r="EF22">
        <v>2</v>
      </c>
      <c r="EV22">
        <v>10500</v>
      </c>
      <c r="EW22">
        <v>671</v>
      </c>
      <c r="EX22">
        <v>431</v>
      </c>
      <c r="EY22">
        <v>563</v>
      </c>
    </row>
    <row r="23" spans="1:155" x14ac:dyDescent="0.35">
      <c r="A23">
        <v>2025</v>
      </c>
      <c r="B23" t="s">
        <v>160</v>
      </c>
      <c r="C23" t="s">
        <v>161</v>
      </c>
      <c r="D23" t="s">
        <v>162</v>
      </c>
      <c r="E23" t="s">
        <v>163</v>
      </c>
      <c r="F23">
        <v>2</v>
      </c>
      <c r="G23">
        <v>4</v>
      </c>
      <c r="H23">
        <v>8</v>
      </c>
      <c r="I23" t="s">
        <v>164</v>
      </c>
      <c r="J23">
        <v>15</v>
      </c>
      <c r="K23">
        <v>22</v>
      </c>
      <c r="L23">
        <v>18</v>
      </c>
      <c r="M23">
        <v>19.0837</v>
      </c>
      <c r="N23">
        <v>31.216799999999999</v>
      </c>
      <c r="O23">
        <v>23.129000000000001</v>
      </c>
      <c r="P23">
        <v>15.412800000000001</v>
      </c>
      <c r="Q23">
        <v>22.3919</v>
      </c>
      <c r="R23">
        <v>17.927199999999999</v>
      </c>
      <c r="T23" t="s">
        <v>165</v>
      </c>
      <c r="U23" t="s">
        <v>166</v>
      </c>
      <c r="V23" t="s">
        <v>167</v>
      </c>
      <c r="W23" t="s">
        <v>168</v>
      </c>
      <c r="Y23">
        <v>8</v>
      </c>
      <c r="Z23" t="s">
        <v>169</v>
      </c>
      <c r="AA23" t="s">
        <v>170</v>
      </c>
      <c r="AB23" t="s">
        <v>171</v>
      </c>
      <c r="AC23" t="s">
        <v>172</v>
      </c>
      <c r="AD23">
        <v>10</v>
      </c>
      <c r="AG23" t="s">
        <v>173</v>
      </c>
      <c r="AH23" t="s">
        <v>174</v>
      </c>
      <c r="AI23" t="s">
        <v>175</v>
      </c>
      <c r="AJ23" t="s">
        <v>176</v>
      </c>
      <c r="AK23" t="s">
        <v>170</v>
      </c>
      <c r="AL23" t="s">
        <v>177</v>
      </c>
      <c r="AS23">
        <v>3550</v>
      </c>
      <c r="AT23">
        <v>3550</v>
      </c>
      <c r="BN23" t="s">
        <v>178</v>
      </c>
      <c r="BO23">
        <v>2</v>
      </c>
      <c r="BP23">
        <v>2</v>
      </c>
      <c r="BQ23">
        <v>1</v>
      </c>
      <c r="BR23" t="s">
        <v>179</v>
      </c>
      <c r="BS23" t="s">
        <v>180</v>
      </c>
      <c r="BT23" t="s">
        <v>181</v>
      </c>
      <c r="BU23" s="1">
        <v>45413</v>
      </c>
      <c r="BV23">
        <v>34754</v>
      </c>
      <c r="BW23" s="153"/>
      <c r="BX23" t="s">
        <v>170</v>
      </c>
      <c r="BY23" t="s">
        <v>170</v>
      </c>
      <c r="CB23" t="s">
        <v>170</v>
      </c>
      <c r="CC23" t="s">
        <v>170</v>
      </c>
      <c r="CD23" t="s">
        <v>182</v>
      </c>
      <c r="CE23" t="s">
        <v>170</v>
      </c>
      <c r="CG23" t="s">
        <v>169</v>
      </c>
      <c r="CH23" t="s">
        <v>183</v>
      </c>
      <c r="CI23" t="s">
        <v>170</v>
      </c>
      <c r="DJ23" t="s">
        <v>184</v>
      </c>
      <c r="DK23" t="s">
        <v>185</v>
      </c>
      <c r="DL23" t="s">
        <v>170</v>
      </c>
      <c r="DN23" t="s">
        <v>170</v>
      </c>
      <c r="DO23" t="s">
        <v>186</v>
      </c>
      <c r="DP23" t="s">
        <v>170</v>
      </c>
      <c r="DQ23" t="s">
        <v>187</v>
      </c>
      <c r="DR23" t="s">
        <v>162</v>
      </c>
      <c r="DY23">
        <v>23.3</v>
      </c>
      <c r="EA23" s="89"/>
      <c r="EB23">
        <v>4</v>
      </c>
      <c r="EC23">
        <v>4</v>
      </c>
      <c r="EE23" t="s">
        <v>188</v>
      </c>
      <c r="EF23">
        <v>5</v>
      </c>
      <c r="EV23">
        <v>8250</v>
      </c>
      <c r="EW23">
        <v>579</v>
      </c>
      <c r="EX23">
        <v>399</v>
      </c>
      <c r="EY23">
        <v>498</v>
      </c>
    </row>
    <row r="24" spans="1:155" x14ac:dyDescent="0.35">
      <c r="A24">
        <v>2025</v>
      </c>
      <c r="B24" t="s">
        <v>205</v>
      </c>
      <c r="C24" t="s">
        <v>385</v>
      </c>
      <c r="D24" t="s">
        <v>386</v>
      </c>
      <c r="E24" t="s">
        <v>208</v>
      </c>
      <c r="F24">
        <v>35</v>
      </c>
      <c r="G24">
        <v>2</v>
      </c>
      <c r="H24">
        <v>4</v>
      </c>
      <c r="I24" t="s">
        <v>209</v>
      </c>
      <c r="J24">
        <v>24</v>
      </c>
      <c r="K24">
        <v>34</v>
      </c>
      <c r="L24">
        <v>28</v>
      </c>
      <c r="M24">
        <v>31.2</v>
      </c>
      <c r="N24">
        <v>47.8</v>
      </c>
      <c r="O24">
        <v>36.978900000000003</v>
      </c>
      <c r="P24">
        <v>24.425799999999999</v>
      </c>
      <c r="Q24">
        <v>34.091900000000003</v>
      </c>
      <c r="R24">
        <v>27.998000000000001</v>
      </c>
      <c r="T24" t="s">
        <v>165</v>
      </c>
      <c r="U24" t="s">
        <v>166</v>
      </c>
      <c r="V24" t="s">
        <v>211</v>
      </c>
      <c r="W24" t="s">
        <v>212</v>
      </c>
      <c r="Y24">
        <v>7</v>
      </c>
      <c r="Z24" t="s">
        <v>170</v>
      </c>
      <c r="AA24" t="s">
        <v>170</v>
      </c>
      <c r="AB24" t="s">
        <v>167</v>
      </c>
      <c r="AC24" t="s">
        <v>213</v>
      </c>
      <c r="AD24">
        <v>15</v>
      </c>
      <c r="AG24" t="s">
        <v>173</v>
      </c>
      <c r="AH24" t="s">
        <v>174</v>
      </c>
      <c r="AI24" t="s">
        <v>175</v>
      </c>
      <c r="AJ24" t="s">
        <v>176</v>
      </c>
      <c r="AK24" t="s">
        <v>170</v>
      </c>
      <c r="AL24" t="s">
        <v>177</v>
      </c>
      <c r="AO24">
        <v>87</v>
      </c>
      <c r="AP24">
        <v>8</v>
      </c>
      <c r="AS24">
        <v>2300</v>
      </c>
      <c r="AT24">
        <v>2300</v>
      </c>
      <c r="BN24" t="s">
        <v>178</v>
      </c>
      <c r="BO24">
        <v>2</v>
      </c>
      <c r="BP24">
        <v>2</v>
      </c>
      <c r="BQ24">
        <v>3</v>
      </c>
      <c r="BR24" t="s">
        <v>387</v>
      </c>
      <c r="BS24" t="s">
        <v>180</v>
      </c>
      <c r="BT24" t="s">
        <v>225</v>
      </c>
      <c r="BU24" s="1">
        <v>45485</v>
      </c>
      <c r="BV24">
        <v>35305</v>
      </c>
      <c r="BW24" s="154"/>
      <c r="BX24" t="s">
        <v>170</v>
      </c>
      <c r="BY24" t="s">
        <v>170</v>
      </c>
      <c r="CB24" t="s">
        <v>170</v>
      </c>
      <c r="CC24" t="s">
        <v>170</v>
      </c>
      <c r="CD24" t="s">
        <v>388</v>
      </c>
      <c r="CE24" t="s">
        <v>170</v>
      </c>
      <c r="CG24" t="s">
        <v>169</v>
      </c>
      <c r="CH24" t="s">
        <v>389</v>
      </c>
      <c r="CI24" t="s">
        <v>169</v>
      </c>
      <c r="CJ24" t="s">
        <v>390</v>
      </c>
      <c r="DJ24" t="s">
        <v>184</v>
      </c>
      <c r="DK24" t="s">
        <v>185</v>
      </c>
      <c r="DL24" t="s">
        <v>170</v>
      </c>
      <c r="DN24" t="s">
        <v>170</v>
      </c>
      <c r="DO24" t="s">
        <v>391</v>
      </c>
      <c r="DP24" t="s">
        <v>169</v>
      </c>
      <c r="DQ24" t="s">
        <v>198</v>
      </c>
      <c r="DY24">
        <v>37</v>
      </c>
      <c r="EA24" s="112"/>
      <c r="EB24">
        <v>6</v>
      </c>
      <c r="EC24">
        <v>6</v>
      </c>
      <c r="EE24" t="s">
        <v>392</v>
      </c>
      <c r="EF24">
        <v>6</v>
      </c>
      <c r="EV24">
        <v>2000</v>
      </c>
      <c r="EW24">
        <v>364</v>
      </c>
      <c r="EX24">
        <v>262</v>
      </c>
      <c r="EY24">
        <v>318</v>
      </c>
    </row>
    <row r="25" spans="1:155" x14ac:dyDescent="0.35">
      <c r="A25">
        <v>2025</v>
      </c>
      <c r="B25" t="s">
        <v>205</v>
      </c>
      <c r="C25" t="s">
        <v>385</v>
      </c>
      <c r="D25" t="s">
        <v>900</v>
      </c>
      <c r="E25" t="s">
        <v>208</v>
      </c>
      <c r="F25">
        <v>18</v>
      </c>
      <c r="G25">
        <v>2</v>
      </c>
      <c r="H25">
        <v>4</v>
      </c>
      <c r="I25" t="s">
        <v>209</v>
      </c>
      <c r="J25">
        <v>23</v>
      </c>
      <c r="K25">
        <v>30</v>
      </c>
      <c r="L25">
        <v>26</v>
      </c>
      <c r="M25">
        <v>28.9</v>
      </c>
      <c r="N25">
        <v>42.1</v>
      </c>
      <c r="O25">
        <v>33.647399999999998</v>
      </c>
      <c r="P25">
        <v>22.7834</v>
      </c>
      <c r="Q25">
        <v>30.252199999999998</v>
      </c>
      <c r="R25">
        <v>25.6309</v>
      </c>
      <c r="T25" t="s">
        <v>165</v>
      </c>
      <c r="U25" t="s">
        <v>166</v>
      </c>
      <c r="V25" t="s">
        <v>211</v>
      </c>
      <c r="W25" t="s">
        <v>212</v>
      </c>
      <c r="Y25">
        <v>7</v>
      </c>
      <c r="Z25" t="s">
        <v>170</v>
      </c>
      <c r="AA25" t="s">
        <v>170</v>
      </c>
      <c r="AB25" t="s">
        <v>167</v>
      </c>
      <c r="AC25" t="s">
        <v>213</v>
      </c>
      <c r="AD25">
        <v>15</v>
      </c>
      <c r="AG25" t="s">
        <v>173</v>
      </c>
      <c r="AH25" t="s">
        <v>174</v>
      </c>
      <c r="AI25" t="s">
        <v>175</v>
      </c>
      <c r="AJ25" t="s">
        <v>176</v>
      </c>
      <c r="AK25" t="s">
        <v>170</v>
      </c>
      <c r="AL25" t="s">
        <v>177</v>
      </c>
      <c r="AO25">
        <v>92</v>
      </c>
      <c r="AP25">
        <v>24</v>
      </c>
      <c r="AS25">
        <v>2450</v>
      </c>
      <c r="AT25">
        <v>2450</v>
      </c>
      <c r="BN25" t="s">
        <v>338</v>
      </c>
      <c r="BO25">
        <v>2</v>
      </c>
      <c r="BP25">
        <v>2</v>
      </c>
      <c r="BQ25">
        <v>7</v>
      </c>
      <c r="BR25" t="s">
        <v>897</v>
      </c>
      <c r="BS25" t="s">
        <v>180</v>
      </c>
      <c r="BT25" t="s">
        <v>225</v>
      </c>
      <c r="BU25" s="1">
        <v>45478</v>
      </c>
      <c r="BV25">
        <v>35005</v>
      </c>
      <c r="BW25" s="154"/>
      <c r="BX25" t="s">
        <v>170</v>
      </c>
      <c r="BY25" t="s">
        <v>170</v>
      </c>
      <c r="CB25" t="s">
        <v>170</v>
      </c>
      <c r="CC25" t="s">
        <v>170</v>
      </c>
      <c r="CD25" t="s">
        <v>537</v>
      </c>
      <c r="CE25" t="s">
        <v>170</v>
      </c>
      <c r="CG25" t="s">
        <v>169</v>
      </c>
      <c r="CH25" t="s">
        <v>532</v>
      </c>
      <c r="CI25" t="s">
        <v>169</v>
      </c>
      <c r="CJ25" t="s">
        <v>538</v>
      </c>
      <c r="CK25" t="s">
        <v>233</v>
      </c>
      <c r="CM25">
        <v>1</v>
      </c>
      <c r="CN25" t="s">
        <v>234</v>
      </c>
      <c r="CP25">
        <v>14</v>
      </c>
      <c r="CQ25">
        <v>11</v>
      </c>
      <c r="CR25">
        <v>40</v>
      </c>
      <c r="CS25" t="s">
        <v>235</v>
      </c>
      <c r="CV25" t="s">
        <v>236</v>
      </c>
      <c r="DD25">
        <v>1</v>
      </c>
      <c r="DE25" t="s">
        <v>404</v>
      </c>
      <c r="DF25" t="s">
        <v>534</v>
      </c>
      <c r="DG25">
        <v>1</v>
      </c>
      <c r="DJ25" t="s">
        <v>184</v>
      </c>
      <c r="DK25" t="s">
        <v>185</v>
      </c>
      <c r="DL25" t="s">
        <v>170</v>
      </c>
      <c r="DM25" t="s">
        <v>170</v>
      </c>
      <c r="DN25" t="s">
        <v>170</v>
      </c>
      <c r="DO25" t="s">
        <v>391</v>
      </c>
      <c r="DP25" t="s">
        <v>169</v>
      </c>
      <c r="DQ25" t="s">
        <v>198</v>
      </c>
      <c r="DY25">
        <v>33.9</v>
      </c>
      <c r="EA25" s="112"/>
      <c r="EB25">
        <v>5</v>
      </c>
      <c r="EC25">
        <v>5</v>
      </c>
      <c r="EE25" t="s">
        <v>539</v>
      </c>
      <c r="EF25">
        <v>4</v>
      </c>
      <c r="EV25">
        <v>2750</v>
      </c>
      <c r="EW25">
        <v>389</v>
      </c>
      <c r="EX25">
        <v>293</v>
      </c>
      <c r="EY25">
        <v>346</v>
      </c>
    </row>
    <row r="26" spans="1:155" x14ac:dyDescent="0.35">
      <c r="A26">
        <v>2025</v>
      </c>
      <c r="B26" t="s">
        <v>205</v>
      </c>
      <c r="C26" t="s">
        <v>385</v>
      </c>
      <c r="D26" t="s">
        <v>530</v>
      </c>
      <c r="E26" t="s">
        <v>208</v>
      </c>
      <c r="F26">
        <v>22</v>
      </c>
      <c r="G26">
        <v>2</v>
      </c>
      <c r="H26">
        <v>4</v>
      </c>
      <c r="I26" t="s">
        <v>209</v>
      </c>
      <c r="J26">
        <v>26</v>
      </c>
      <c r="K26">
        <v>36</v>
      </c>
      <c r="L26">
        <v>29</v>
      </c>
      <c r="M26">
        <v>33.025100000000002</v>
      </c>
      <c r="N26">
        <v>48.8536</v>
      </c>
      <c r="O26">
        <v>38.661999999999999</v>
      </c>
      <c r="P26">
        <v>25.764800000000001</v>
      </c>
      <c r="Q26">
        <v>35.677300000000002</v>
      </c>
      <c r="R26">
        <v>29.446400000000001</v>
      </c>
      <c r="T26" t="s">
        <v>165</v>
      </c>
      <c r="U26" t="s">
        <v>166</v>
      </c>
      <c r="V26" t="s">
        <v>211</v>
      </c>
      <c r="W26" t="s">
        <v>212</v>
      </c>
      <c r="Y26">
        <v>7</v>
      </c>
      <c r="Z26" t="s">
        <v>170</v>
      </c>
      <c r="AA26" t="s">
        <v>170</v>
      </c>
      <c r="AB26" t="s">
        <v>167</v>
      </c>
      <c r="AC26" t="s">
        <v>213</v>
      </c>
      <c r="AD26">
        <v>15</v>
      </c>
      <c r="AG26" t="s">
        <v>173</v>
      </c>
      <c r="AH26" t="s">
        <v>174</v>
      </c>
      <c r="AI26" t="s">
        <v>175</v>
      </c>
      <c r="AJ26" t="s">
        <v>176</v>
      </c>
      <c r="AK26" t="s">
        <v>170</v>
      </c>
      <c r="AL26" t="s">
        <v>177</v>
      </c>
      <c r="AO26">
        <v>92</v>
      </c>
      <c r="AP26">
        <v>12</v>
      </c>
      <c r="AS26">
        <v>2200</v>
      </c>
      <c r="AT26">
        <v>2200</v>
      </c>
      <c r="BN26" t="s">
        <v>338</v>
      </c>
      <c r="BO26">
        <v>2</v>
      </c>
      <c r="BP26">
        <v>2</v>
      </c>
      <c r="BQ26">
        <v>4</v>
      </c>
      <c r="BR26" t="s">
        <v>521</v>
      </c>
      <c r="BS26" t="s">
        <v>180</v>
      </c>
      <c r="BT26" t="s">
        <v>225</v>
      </c>
      <c r="BU26" s="1">
        <v>45478</v>
      </c>
      <c r="BV26">
        <v>35021</v>
      </c>
      <c r="BW26" s="153"/>
      <c r="BX26" t="s">
        <v>170</v>
      </c>
      <c r="BY26" t="s">
        <v>170</v>
      </c>
      <c r="CB26" t="s">
        <v>170</v>
      </c>
      <c r="CC26" t="s">
        <v>170</v>
      </c>
      <c r="CD26" t="s">
        <v>531</v>
      </c>
      <c r="CE26" t="s">
        <v>170</v>
      </c>
      <c r="CG26" t="s">
        <v>169</v>
      </c>
      <c r="CH26" t="s">
        <v>532</v>
      </c>
      <c r="CI26" t="s">
        <v>169</v>
      </c>
      <c r="CJ26" t="s">
        <v>533</v>
      </c>
      <c r="CK26" t="s">
        <v>233</v>
      </c>
      <c r="CM26">
        <v>1</v>
      </c>
      <c r="CN26" t="s">
        <v>234</v>
      </c>
      <c r="CP26">
        <v>14</v>
      </c>
      <c r="CQ26">
        <v>11</v>
      </c>
      <c r="CR26">
        <v>40</v>
      </c>
      <c r="CS26" t="s">
        <v>235</v>
      </c>
      <c r="CV26" t="s">
        <v>236</v>
      </c>
      <c r="DD26">
        <v>1</v>
      </c>
      <c r="DE26" t="s">
        <v>404</v>
      </c>
      <c r="DF26" t="s">
        <v>534</v>
      </c>
      <c r="DG26">
        <v>1</v>
      </c>
      <c r="DJ26" t="s">
        <v>184</v>
      </c>
      <c r="DK26" t="s">
        <v>185</v>
      </c>
      <c r="DL26" t="s">
        <v>170</v>
      </c>
      <c r="DM26" t="s">
        <v>170</v>
      </c>
      <c r="DN26" t="s">
        <v>170</v>
      </c>
      <c r="DO26" t="s">
        <v>391</v>
      </c>
      <c r="DP26" t="s">
        <v>169</v>
      </c>
      <c r="DQ26" t="s">
        <v>198</v>
      </c>
      <c r="DY26">
        <v>38.9</v>
      </c>
      <c r="EA26" s="89"/>
      <c r="EB26">
        <v>6</v>
      </c>
      <c r="EC26">
        <v>6</v>
      </c>
      <c r="EE26" t="s">
        <v>535</v>
      </c>
      <c r="EF26">
        <v>4</v>
      </c>
      <c r="EV26">
        <v>1500</v>
      </c>
      <c r="EW26">
        <v>344</v>
      </c>
      <c r="EX26">
        <v>248</v>
      </c>
      <c r="EY26">
        <v>301</v>
      </c>
    </row>
    <row r="27" spans="1:155" x14ac:dyDescent="0.35">
      <c r="A27">
        <v>2025</v>
      </c>
      <c r="B27" t="s">
        <v>205</v>
      </c>
      <c r="C27" t="s">
        <v>385</v>
      </c>
      <c r="D27" t="s">
        <v>536</v>
      </c>
      <c r="E27" t="s">
        <v>208</v>
      </c>
      <c r="F27">
        <v>14</v>
      </c>
      <c r="G27">
        <v>2</v>
      </c>
      <c r="H27">
        <v>4</v>
      </c>
      <c r="I27" t="s">
        <v>209</v>
      </c>
      <c r="J27">
        <v>23</v>
      </c>
      <c r="K27">
        <v>32</v>
      </c>
      <c r="L27">
        <v>26</v>
      </c>
      <c r="M27">
        <v>29.4941</v>
      </c>
      <c r="N27">
        <v>43.750700000000002</v>
      </c>
      <c r="O27">
        <v>34.562199999999997</v>
      </c>
      <c r="P27">
        <v>22.886399999999998</v>
      </c>
      <c r="Q27">
        <v>31.893999999999998</v>
      </c>
      <c r="R27">
        <v>26.218499999999999</v>
      </c>
      <c r="T27" t="s">
        <v>165</v>
      </c>
      <c r="U27" t="s">
        <v>166</v>
      </c>
      <c r="V27" t="s">
        <v>211</v>
      </c>
      <c r="W27" t="s">
        <v>212</v>
      </c>
      <c r="Y27">
        <v>7</v>
      </c>
      <c r="Z27" t="s">
        <v>170</v>
      </c>
      <c r="AA27" t="s">
        <v>170</v>
      </c>
      <c r="AB27" t="s">
        <v>167</v>
      </c>
      <c r="AC27" t="s">
        <v>213</v>
      </c>
      <c r="AD27">
        <v>15</v>
      </c>
      <c r="AG27" t="s">
        <v>173</v>
      </c>
      <c r="AH27" t="s">
        <v>174</v>
      </c>
      <c r="AI27" t="s">
        <v>175</v>
      </c>
      <c r="AJ27" t="s">
        <v>176</v>
      </c>
      <c r="AK27" t="s">
        <v>170</v>
      </c>
      <c r="AL27" t="s">
        <v>177</v>
      </c>
      <c r="AO27">
        <v>92</v>
      </c>
      <c r="AP27">
        <v>12</v>
      </c>
      <c r="AS27">
        <v>2450</v>
      </c>
      <c r="AT27">
        <v>2450</v>
      </c>
      <c r="BN27" t="s">
        <v>338</v>
      </c>
      <c r="BO27">
        <v>2</v>
      </c>
      <c r="BP27">
        <v>2</v>
      </c>
      <c r="BQ27">
        <v>4</v>
      </c>
      <c r="BR27" t="s">
        <v>521</v>
      </c>
      <c r="BS27" t="s">
        <v>180</v>
      </c>
      <c r="BT27" t="s">
        <v>225</v>
      </c>
      <c r="BU27" s="1">
        <v>45478</v>
      </c>
      <c r="BV27">
        <v>35003</v>
      </c>
      <c r="BW27" s="154"/>
      <c r="BX27" t="s">
        <v>170</v>
      </c>
      <c r="BY27" t="s">
        <v>170</v>
      </c>
      <c r="CB27" t="s">
        <v>170</v>
      </c>
      <c r="CC27" t="s">
        <v>170</v>
      </c>
      <c r="CD27" t="s">
        <v>537</v>
      </c>
      <c r="CE27" t="s">
        <v>170</v>
      </c>
      <c r="CG27" t="s">
        <v>169</v>
      </c>
      <c r="CH27" t="s">
        <v>532</v>
      </c>
      <c r="CI27" t="s">
        <v>169</v>
      </c>
      <c r="CJ27" t="s">
        <v>538</v>
      </c>
      <c r="CK27" t="s">
        <v>233</v>
      </c>
      <c r="CM27">
        <v>1</v>
      </c>
      <c r="CN27" t="s">
        <v>234</v>
      </c>
      <c r="CP27">
        <v>14</v>
      </c>
      <c r="CQ27">
        <v>11</v>
      </c>
      <c r="CR27">
        <v>40</v>
      </c>
      <c r="CS27" t="s">
        <v>235</v>
      </c>
      <c r="CV27" t="s">
        <v>236</v>
      </c>
      <c r="DD27">
        <v>1</v>
      </c>
      <c r="DE27" t="s">
        <v>404</v>
      </c>
      <c r="DF27" t="s">
        <v>534</v>
      </c>
      <c r="DG27">
        <v>1</v>
      </c>
      <c r="DJ27" t="s">
        <v>184</v>
      </c>
      <c r="DK27" t="s">
        <v>185</v>
      </c>
      <c r="DL27" t="s">
        <v>170</v>
      </c>
      <c r="DM27" t="s">
        <v>170</v>
      </c>
      <c r="DN27" t="s">
        <v>170</v>
      </c>
      <c r="DO27" t="s">
        <v>391</v>
      </c>
      <c r="DP27" t="s">
        <v>169</v>
      </c>
      <c r="DQ27" t="s">
        <v>198</v>
      </c>
      <c r="DY27">
        <v>34.799999999999997</v>
      </c>
      <c r="EA27" s="112"/>
      <c r="EB27">
        <v>5</v>
      </c>
      <c r="EC27">
        <v>5</v>
      </c>
      <c r="EE27" t="s">
        <v>539</v>
      </c>
      <c r="EF27">
        <v>4</v>
      </c>
      <c r="EV27">
        <v>2750</v>
      </c>
      <c r="EW27">
        <v>389</v>
      </c>
      <c r="EX27">
        <v>279</v>
      </c>
      <c r="EY27">
        <v>339</v>
      </c>
    </row>
    <row r="28" spans="1:155" x14ac:dyDescent="0.35">
      <c r="A28">
        <v>2025</v>
      </c>
      <c r="B28" t="s">
        <v>205</v>
      </c>
      <c r="C28" t="s">
        <v>385</v>
      </c>
      <c r="D28" t="s">
        <v>676</v>
      </c>
      <c r="E28" t="s">
        <v>208</v>
      </c>
      <c r="F28">
        <v>53</v>
      </c>
      <c r="G28">
        <v>2</v>
      </c>
      <c r="H28">
        <v>4</v>
      </c>
      <c r="I28" t="s">
        <v>209</v>
      </c>
      <c r="J28">
        <v>22</v>
      </c>
      <c r="K28">
        <v>31</v>
      </c>
      <c r="L28">
        <v>26</v>
      </c>
      <c r="M28">
        <v>28.5</v>
      </c>
      <c r="N28">
        <v>44.6</v>
      </c>
      <c r="O28">
        <v>34.0276</v>
      </c>
      <c r="P28">
        <v>22.3233</v>
      </c>
      <c r="Q28">
        <v>31.040800000000001</v>
      </c>
      <c r="R28">
        <v>25.552600000000002</v>
      </c>
      <c r="T28" t="s">
        <v>165</v>
      </c>
      <c r="U28" t="s">
        <v>166</v>
      </c>
      <c r="V28" t="s">
        <v>211</v>
      </c>
      <c r="W28" t="s">
        <v>212</v>
      </c>
      <c r="Y28">
        <v>7</v>
      </c>
      <c r="Z28" t="s">
        <v>170</v>
      </c>
      <c r="AA28" t="s">
        <v>170</v>
      </c>
      <c r="AB28" t="s">
        <v>167</v>
      </c>
      <c r="AC28" t="s">
        <v>213</v>
      </c>
      <c r="AD28">
        <v>15</v>
      </c>
      <c r="AG28" t="s">
        <v>173</v>
      </c>
      <c r="AH28" t="s">
        <v>174</v>
      </c>
      <c r="AI28" t="s">
        <v>175</v>
      </c>
      <c r="AJ28" t="s">
        <v>176</v>
      </c>
      <c r="AK28" t="s">
        <v>170</v>
      </c>
      <c r="AL28" t="s">
        <v>177</v>
      </c>
      <c r="AO28">
        <v>96</v>
      </c>
      <c r="AP28">
        <v>23</v>
      </c>
      <c r="AS28">
        <v>2450</v>
      </c>
      <c r="AT28">
        <v>2450</v>
      </c>
      <c r="BN28" t="s">
        <v>178</v>
      </c>
      <c r="BO28">
        <v>2</v>
      </c>
      <c r="BP28">
        <v>2</v>
      </c>
      <c r="BQ28">
        <v>5</v>
      </c>
      <c r="BR28" t="s">
        <v>672</v>
      </c>
      <c r="BS28" t="s">
        <v>180</v>
      </c>
      <c r="BT28" t="s">
        <v>181</v>
      </c>
      <c r="BU28" s="1">
        <v>45709</v>
      </c>
      <c r="BV28">
        <v>36140</v>
      </c>
      <c r="BW28" s="154"/>
      <c r="BX28" t="s">
        <v>169</v>
      </c>
      <c r="BY28" t="s">
        <v>170</v>
      </c>
      <c r="CB28" t="s">
        <v>170</v>
      </c>
      <c r="CC28" t="s">
        <v>170</v>
      </c>
      <c r="CD28" t="s">
        <v>677</v>
      </c>
      <c r="CE28" t="s">
        <v>170</v>
      </c>
      <c r="CG28" t="s">
        <v>169</v>
      </c>
      <c r="CH28" t="s">
        <v>678</v>
      </c>
      <c r="CI28" t="s">
        <v>169</v>
      </c>
      <c r="CJ28" t="s">
        <v>538</v>
      </c>
      <c r="DJ28" t="s">
        <v>184</v>
      </c>
      <c r="DK28" t="s">
        <v>185</v>
      </c>
      <c r="DN28" t="s">
        <v>170</v>
      </c>
      <c r="DO28" t="s">
        <v>391</v>
      </c>
      <c r="DP28" t="s">
        <v>169</v>
      </c>
      <c r="DQ28" t="s">
        <v>198</v>
      </c>
      <c r="DY28">
        <v>34.299999999999997</v>
      </c>
      <c r="EA28" s="112"/>
      <c r="EB28">
        <v>5</v>
      </c>
      <c r="EC28">
        <v>5</v>
      </c>
      <c r="EE28" t="s">
        <v>679</v>
      </c>
      <c r="EF28">
        <v>4</v>
      </c>
      <c r="EV28">
        <v>2750</v>
      </c>
      <c r="EW28">
        <v>399</v>
      </c>
      <c r="EX28">
        <v>287</v>
      </c>
      <c r="EY28">
        <v>349</v>
      </c>
    </row>
    <row r="29" spans="1:155" x14ac:dyDescent="0.35">
      <c r="A29">
        <v>2025</v>
      </c>
      <c r="B29" t="s">
        <v>205</v>
      </c>
      <c r="C29" t="s">
        <v>385</v>
      </c>
      <c r="D29" t="s">
        <v>680</v>
      </c>
      <c r="E29" t="s">
        <v>208</v>
      </c>
      <c r="F29">
        <v>23</v>
      </c>
      <c r="G29">
        <v>2</v>
      </c>
      <c r="H29">
        <v>4</v>
      </c>
      <c r="I29" t="s">
        <v>209</v>
      </c>
      <c r="J29">
        <v>26</v>
      </c>
      <c r="K29">
        <v>36</v>
      </c>
      <c r="L29">
        <v>29</v>
      </c>
      <c r="M29">
        <v>33.025100000000002</v>
      </c>
      <c r="N29">
        <v>48.8536</v>
      </c>
      <c r="O29">
        <v>38.661999999999999</v>
      </c>
      <c r="P29">
        <v>25.764800000000001</v>
      </c>
      <c r="Q29">
        <v>35.677300000000002</v>
      </c>
      <c r="R29">
        <v>29.446400000000001</v>
      </c>
      <c r="T29" t="s">
        <v>165</v>
      </c>
      <c r="U29" t="s">
        <v>166</v>
      </c>
      <c r="V29" t="s">
        <v>211</v>
      </c>
      <c r="W29" t="s">
        <v>212</v>
      </c>
      <c r="Y29">
        <v>7</v>
      </c>
      <c r="Z29" t="s">
        <v>170</v>
      </c>
      <c r="AA29" t="s">
        <v>170</v>
      </c>
      <c r="AB29" t="s">
        <v>167</v>
      </c>
      <c r="AC29" t="s">
        <v>213</v>
      </c>
      <c r="AD29">
        <v>15</v>
      </c>
      <c r="AG29" t="s">
        <v>173</v>
      </c>
      <c r="AH29" t="s">
        <v>174</v>
      </c>
      <c r="AI29" t="s">
        <v>175</v>
      </c>
      <c r="AJ29" t="s">
        <v>176</v>
      </c>
      <c r="AK29" t="s">
        <v>170</v>
      </c>
      <c r="AL29" t="s">
        <v>177</v>
      </c>
      <c r="AQ29">
        <v>91</v>
      </c>
      <c r="AR29">
        <v>22</v>
      </c>
      <c r="AS29">
        <v>2200</v>
      </c>
      <c r="AT29">
        <v>2200</v>
      </c>
      <c r="BN29" t="s">
        <v>338</v>
      </c>
      <c r="BO29">
        <v>2</v>
      </c>
      <c r="BP29">
        <v>2</v>
      </c>
      <c r="BQ29">
        <v>5</v>
      </c>
      <c r="BR29" t="s">
        <v>672</v>
      </c>
      <c r="BS29" t="s">
        <v>180</v>
      </c>
      <c r="BT29" t="s">
        <v>225</v>
      </c>
      <c r="BU29" s="1">
        <v>45478</v>
      </c>
      <c r="BV29">
        <v>35020</v>
      </c>
      <c r="BW29" s="153"/>
      <c r="BX29" t="s">
        <v>170</v>
      </c>
      <c r="BY29" t="s">
        <v>170</v>
      </c>
      <c r="CB29" t="s">
        <v>170</v>
      </c>
      <c r="CC29" t="s">
        <v>170</v>
      </c>
      <c r="CD29" t="s">
        <v>531</v>
      </c>
      <c r="CE29" t="s">
        <v>170</v>
      </c>
      <c r="CG29" t="s">
        <v>169</v>
      </c>
      <c r="CH29" t="s">
        <v>532</v>
      </c>
      <c r="CI29" t="s">
        <v>169</v>
      </c>
      <c r="CJ29" t="s">
        <v>533</v>
      </c>
      <c r="CK29" t="s">
        <v>233</v>
      </c>
      <c r="CM29">
        <v>1</v>
      </c>
      <c r="CN29" t="s">
        <v>234</v>
      </c>
      <c r="CP29">
        <v>14</v>
      </c>
      <c r="CQ29">
        <v>11</v>
      </c>
      <c r="CR29">
        <v>40</v>
      </c>
      <c r="CS29" t="s">
        <v>235</v>
      </c>
      <c r="CV29" t="s">
        <v>236</v>
      </c>
      <c r="DD29">
        <v>1</v>
      </c>
      <c r="DE29" t="s">
        <v>404</v>
      </c>
      <c r="DF29" t="s">
        <v>534</v>
      </c>
      <c r="DG29">
        <v>1</v>
      </c>
      <c r="DJ29" t="s">
        <v>184</v>
      </c>
      <c r="DK29" t="s">
        <v>185</v>
      </c>
      <c r="DL29" t="s">
        <v>170</v>
      </c>
      <c r="DM29" t="s">
        <v>170</v>
      </c>
      <c r="DN29" t="s">
        <v>170</v>
      </c>
      <c r="DO29" t="s">
        <v>391</v>
      </c>
      <c r="DP29" t="s">
        <v>169</v>
      </c>
      <c r="DQ29" t="s">
        <v>198</v>
      </c>
      <c r="DY29">
        <v>38.9</v>
      </c>
      <c r="EA29" s="89"/>
      <c r="EB29">
        <v>6</v>
      </c>
      <c r="EC29">
        <v>6</v>
      </c>
      <c r="EE29" t="s">
        <v>535</v>
      </c>
      <c r="EF29">
        <v>4</v>
      </c>
      <c r="EV29">
        <v>1500</v>
      </c>
      <c r="EW29">
        <v>344</v>
      </c>
      <c r="EX29">
        <v>248</v>
      </c>
      <c r="EY29">
        <v>301</v>
      </c>
    </row>
    <row r="30" spans="1:155" x14ac:dyDescent="0.35">
      <c r="A30">
        <v>2025</v>
      </c>
      <c r="B30" t="s">
        <v>205</v>
      </c>
      <c r="C30" t="s">
        <v>385</v>
      </c>
      <c r="D30" t="s">
        <v>681</v>
      </c>
      <c r="E30" t="s">
        <v>208</v>
      </c>
      <c r="F30">
        <v>15</v>
      </c>
      <c r="G30">
        <v>2</v>
      </c>
      <c r="H30">
        <v>4</v>
      </c>
      <c r="I30" t="s">
        <v>209</v>
      </c>
      <c r="J30">
        <v>23</v>
      </c>
      <c r="K30">
        <v>32</v>
      </c>
      <c r="L30">
        <v>26</v>
      </c>
      <c r="M30">
        <v>29.4941</v>
      </c>
      <c r="N30">
        <v>43.750700000000002</v>
      </c>
      <c r="O30">
        <v>34.562199999999997</v>
      </c>
      <c r="P30">
        <v>22.886399999999998</v>
      </c>
      <c r="Q30">
        <v>31.893999999999998</v>
      </c>
      <c r="R30">
        <v>26.218499999999999</v>
      </c>
      <c r="T30" t="s">
        <v>165</v>
      </c>
      <c r="U30" t="s">
        <v>166</v>
      </c>
      <c r="V30" t="s">
        <v>211</v>
      </c>
      <c r="W30" t="s">
        <v>212</v>
      </c>
      <c r="Y30">
        <v>7</v>
      </c>
      <c r="Z30" t="s">
        <v>170</v>
      </c>
      <c r="AA30" t="s">
        <v>170</v>
      </c>
      <c r="AB30" t="s">
        <v>167</v>
      </c>
      <c r="AC30" t="s">
        <v>213</v>
      </c>
      <c r="AD30">
        <v>15</v>
      </c>
      <c r="AG30" t="s">
        <v>173</v>
      </c>
      <c r="AH30" t="s">
        <v>174</v>
      </c>
      <c r="AI30" t="s">
        <v>175</v>
      </c>
      <c r="AJ30" t="s">
        <v>176</v>
      </c>
      <c r="AK30" t="s">
        <v>170</v>
      </c>
      <c r="AL30" t="s">
        <v>177</v>
      </c>
      <c r="AQ30">
        <v>91</v>
      </c>
      <c r="AR30">
        <v>22</v>
      </c>
      <c r="AS30">
        <v>2450</v>
      </c>
      <c r="AT30">
        <v>2450</v>
      </c>
      <c r="BN30" t="s">
        <v>338</v>
      </c>
      <c r="BO30">
        <v>2</v>
      </c>
      <c r="BP30">
        <v>2</v>
      </c>
      <c r="BQ30">
        <v>5</v>
      </c>
      <c r="BR30" t="s">
        <v>672</v>
      </c>
      <c r="BS30" t="s">
        <v>180</v>
      </c>
      <c r="BT30" t="s">
        <v>225</v>
      </c>
      <c r="BU30" s="1">
        <v>45478</v>
      </c>
      <c r="BV30">
        <v>35004</v>
      </c>
      <c r="BW30" s="154"/>
      <c r="BX30" t="s">
        <v>170</v>
      </c>
      <c r="BY30" t="s">
        <v>170</v>
      </c>
      <c r="CB30" t="s">
        <v>170</v>
      </c>
      <c r="CC30" t="s">
        <v>170</v>
      </c>
      <c r="CD30" t="s">
        <v>537</v>
      </c>
      <c r="CE30" t="s">
        <v>170</v>
      </c>
      <c r="CG30" t="s">
        <v>169</v>
      </c>
      <c r="CH30" t="s">
        <v>532</v>
      </c>
      <c r="CI30" t="s">
        <v>169</v>
      </c>
      <c r="CJ30" t="s">
        <v>538</v>
      </c>
      <c r="CK30" t="s">
        <v>233</v>
      </c>
      <c r="CM30">
        <v>1</v>
      </c>
      <c r="CN30" t="s">
        <v>234</v>
      </c>
      <c r="CP30">
        <v>14</v>
      </c>
      <c r="CQ30">
        <v>11</v>
      </c>
      <c r="CR30">
        <v>40</v>
      </c>
      <c r="CS30" t="s">
        <v>235</v>
      </c>
      <c r="CV30" t="s">
        <v>236</v>
      </c>
      <c r="DD30">
        <v>1</v>
      </c>
      <c r="DE30" t="s">
        <v>404</v>
      </c>
      <c r="DF30" t="s">
        <v>534</v>
      </c>
      <c r="DG30">
        <v>1</v>
      </c>
      <c r="DJ30" t="s">
        <v>184</v>
      </c>
      <c r="DK30" t="s">
        <v>185</v>
      </c>
      <c r="DL30" t="s">
        <v>170</v>
      </c>
      <c r="DM30" t="s">
        <v>170</v>
      </c>
      <c r="DN30" t="s">
        <v>170</v>
      </c>
      <c r="DO30" t="s">
        <v>391</v>
      </c>
      <c r="DP30" t="s">
        <v>169</v>
      </c>
      <c r="DQ30" t="s">
        <v>198</v>
      </c>
      <c r="DY30">
        <v>34.799999999999997</v>
      </c>
      <c r="EA30" s="112"/>
      <c r="EB30">
        <v>5</v>
      </c>
      <c r="EC30">
        <v>5</v>
      </c>
      <c r="EE30" t="s">
        <v>539</v>
      </c>
      <c r="EF30">
        <v>4</v>
      </c>
      <c r="EV30">
        <v>2750</v>
      </c>
      <c r="EW30">
        <v>389</v>
      </c>
      <c r="EX30">
        <v>279</v>
      </c>
      <c r="EY30">
        <v>339</v>
      </c>
    </row>
    <row r="31" spans="1:155" x14ac:dyDescent="0.35">
      <c r="A31">
        <v>2025</v>
      </c>
      <c r="B31" t="s">
        <v>205</v>
      </c>
      <c r="C31" t="s">
        <v>385</v>
      </c>
      <c r="D31" t="s">
        <v>932</v>
      </c>
      <c r="E31" t="s">
        <v>208</v>
      </c>
      <c r="F31">
        <v>27</v>
      </c>
      <c r="G31">
        <v>3</v>
      </c>
      <c r="H31">
        <v>6</v>
      </c>
      <c r="I31" t="s">
        <v>209</v>
      </c>
      <c r="J31">
        <v>22</v>
      </c>
      <c r="K31">
        <v>30</v>
      </c>
      <c r="L31">
        <v>25</v>
      </c>
      <c r="M31">
        <v>27.907</v>
      </c>
      <c r="N31">
        <v>43.292200000000001</v>
      </c>
      <c r="O31">
        <v>33.219499999999996</v>
      </c>
      <c r="P31">
        <v>21.900400000000001</v>
      </c>
      <c r="Q31">
        <v>30.218399999999999</v>
      </c>
      <c r="R31">
        <v>24.996700000000001</v>
      </c>
      <c r="T31" t="s">
        <v>165</v>
      </c>
      <c r="U31" t="s">
        <v>166</v>
      </c>
      <c r="V31" t="s">
        <v>211</v>
      </c>
      <c r="W31" t="s">
        <v>212</v>
      </c>
      <c r="Y31">
        <v>7</v>
      </c>
      <c r="Z31" t="s">
        <v>170</v>
      </c>
      <c r="AA31" t="s">
        <v>170</v>
      </c>
      <c r="AB31" t="s">
        <v>167</v>
      </c>
      <c r="AC31" t="s">
        <v>213</v>
      </c>
      <c r="AD31">
        <v>15</v>
      </c>
      <c r="AG31" t="s">
        <v>173</v>
      </c>
      <c r="AH31" t="s">
        <v>174</v>
      </c>
      <c r="AI31" t="s">
        <v>175</v>
      </c>
      <c r="AJ31" t="s">
        <v>176</v>
      </c>
      <c r="AK31" t="s">
        <v>170</v>
      </c>
      <c r="AL31" t="s">
        <v>177</v>
      </c>
      <c r="AO31">
        <v>101</v>
      </c>
      <c r="AP31">
        <v>30</v>
      </c>
      <c r="AS31">
        <v>2550</v>
      </c>
      <c r="AT31">
        <v>2550</v>
      </c>
      <c r="BN31" t="s">
        <v>338</v>
      </c>
      <c r="BO31">
        <v>2</v>
      </c>
      <c r="BP31">
        <v>2</v>
      </c>
      <c r="BQ31">
        <v>8</v>
      </c>
      <c r="BR31" t="s">
        <v>933</v>
      </c>
      <c r="BS31" t="s">
        <v>180</v>
      </c>
      <c r="BT31" t="s">
        <v>181</v>
      </c>
      <c r="BU31" s="1">
        <v>45485</v>
      </c>
      <c r="BV31">
        <v>35061</v>
      </c>
      <c r="BW31" s="154"/>
      <c r="BX31" t="s">
        <v>170</v>
      </c>
      <c r="BY31" t="s">
        <v>170</v>
      </c>
      <c r="CB31" t="s">
        <v>170</v>
      </c>
      <c r="CC31" t="s">
        <v>170</v>
      </c>
      <c r="CD31" t="s">
        <v>683</v>
      </c>
      <c r="CE31" t="s">
        <v>170</v>
      </c>
      <c r="CG31" t="s">
        <v>169</v>
      </c>
      <c r="CH31" t="s">
        <v>684</v>
      </c>
      <c r="CI31" t="s">
        <v>169</v>
      </c>
      <c r="CJ31" t="s">
        <v>685</v>
      </c>
      <c r="CK31" t="s">
        <v>233</v>
      </c>
      <c r="CM31">
        <v>1</v>
      </c>
      <c r="CN31" t="s">
        <v>234</v>
      </c>
      <c r="CP31">
        <v>48</v>
      </c>
      <c r="CQ31">
        <v>9.5</v>
      </c>
      <c r="CR31">
        <v>50.1</v>
      </c>
      <c r="CS31" t="s">
        <v>235</v>
      </c>
      <c r="CV31" t="s">
        <v>341</v>
      </c>
      <c r="CX31" t="s">
        <v>342</v>
      </c>
      <c r="CY31" t="s">
        <v>170</v>
      </c>
      <c r="DD31">
        <v>1</v>
      </c>
      <c r="DE31" t="s">
        <v>404</v>
      </c>
      <c r="DF31" t="s">
        <v>686</v>
      </c>
      <c r="DG31">
        <v>8</v>
      </c>
      <c r="DJ31" t="s">
        <v>184</v>
      </c>
      <c r="DK31" t="s">
        <v>185</v>
      </c>
      <c r="DL31" t="s">
        <v>170</v>
      </c>
      <c r="DM31" t="s">
        <v>170</v>
      </c>
      <c r="DN31" t="s">
        <v>170</v>
      </c>
      <c r="DO31" t="s">
        <v>391</v>
      </c>
      <c r="DP31" t="s">
        <v>169</v>
      </c>
      <c r="DQ31" t="s">
        <v>198</v>
      </c>
      <c r="DY31">
        <v>33.5</v>
      </c>
      <c r="EA31" s="112"/>
      <c r="EB31">
        <v>5</v>
      </c>
      <c r="EC31">
        <v>5</v>
      </c>
      <c r="EE31" t="s">
        <v>687</v>
      </c>
      <c r="EF31">
        <v>4</v>
      </c>
      <c r="EV31">
        <v>3250</v>
      </c>
      <c r="EW31">
        <v>406</v>
      </c>
      <c r="EX31">
        <v>295</v>
      </c>
      <c r="EY31">
        <v>356</v>
      </c>
    </row>
    <row r="32" spans="1:155" x14ac:dyDescent="0.35">
      <c r="A32">
        <v>2025</v>
      </c>
      <c r="B32" t="s">
        <v>205</v>
      </c>
      <c r="C32" t="s">
        <v>385</v>
      </c>
      <c r="D32" t="s">
        <v>682</v>
      </c>
      <c r="E32" t="s">
        <v>208</v>
      </c>
      <c r="F32">
        <v>19</v>
      </c>
      <c r="G32">
        <v>2</v>
      </c>
      <c r="H32">
        <v>4</v>
      </c>
      <c r="I32" t="s">
        <v>209</v>
      </c>
      <c r="J32">
        <v>24</v>
      </c>
      <c r="K32">
        <v>31</v>
      </c>
      <c r="L32">
        <v>26</v>
      </c>
      <c r="M32">
        <v>30.299700000000001</v>
      </c>
      <c r="N32">
        <v>44</v>
      </c>
      <c r="O32">
        <v>35.237000000000002</v>
      </c>
      <c r="P32">
        <v>23.596900000000002</v>
      </c>
      <c r="Q32">
        <v>30.664100000000001</v>
      </c>
      <c r="R32">
        <v>26.327400000000001</v>
      </c>
      <c r="T32" t="s">
        <v>165</v>
      </c>
      <c r="U32" t="s">
        <v>166</v>
      </c>
      <c r="V32" t="s">
        <v>211</v>
      </c>
      <c r="W32" t="s">
        <v>212</v>
      </c>
      <c r="Y32">
        <v>7</v>
      </c>
      <c r="Z32" t="s">
        <v>170</v>
      </c>
      <c r="AA32" t="s">
        <v>170</v>
      </c>
      <c r="AB32" t="s">
        <v>167</v>
      </c>
      <c r="AC32" t="s">
        <v>213</v>
      </c>
      <c r="AD32">
        <v>15</v>
      </c>
      <c r="AG32" t="s">
        <v>173</v>
      </c>
      <c r="AH32" t="s">
        <v>174</v>
      </c>
      <c r="AI32" t="s">
        <v>175</v>
      </c>
      <c r="AJ32" t="s">
        <v>176</v>
      </c>
      <c r="AK32" t="s">
        <v>170</v>
      </c>
      <c r="AL32" t="s">
        <v>177</v>
      </c>
      <c r="AO32">
        <v>99</v>
      </c>
      <c r="AP32">
        <v>14</v>
      </c>
      <c r="AS32">
        <v>2450</v>
      </c>
      <c r="AT32">
        <v>2450</v>
      </c>
      <c r="BN32" t="s">
        <v>338</v>
      </c>
      <c r="BO32">
        <v>2</v>
      </c>
      <c r="BP32">
        <v>2</v>
      </c>
      <c r="BQ32">
        <v>5</v>
      </c>
      <c r="BR32" t="s">
        <v>672</v>
      </c>
      <c r="BS32" t="s">
        <v>180</v>
      </c>
      <c r="BT32" t="s">
        <v>181</v>
      </c>
      <c r="BU32" s="1">
        <v>45478</v>
      </c>
      <c r="BV32">
        <v>35006</v>
      </c>
      <c r="BW32" s="153"/>
      <c r="BX32" t="s">
        <v>170</v>
      </c>
      <c r="BY32" t="s">
        <v>170</v>
      </c>
      <c r="CB32" t="s">
        <v>170</v>
      </c>
      <c r="CC32" t="s">
        <v>170</v>
      </c>
      <c r="CD32" t="s">
        <v>537</v>
      </c>
      <c r="CE32" t="s">
        <v>170</v>
      </c>
      <c r="CG32" t="s">
        <v>169</v>
      </c>
      <c r="CH32" t="s">
        <v>532</v>
      </c>
      <c r="CI32" t="s">
        <v>169</v>
      </c>
      <c r="CJ32" t="s">
        <v>538</v>
      </c>
      <c r="CK32" t="s">
        <v>233</v>
      </c>
      <c r="CM32">
        <v>1</v>
      </c>
      <c r="CN32" t="s">
        <v>234</v>
      </c>
      <c r="CP32">
        <v>14</v>
      </c>
      <c r="CQ32">
        <v>11</v>
      </c>
      <c r="CR32">
        <v>40</v>
      </c>
      <c r="CS32" t="s">
        <v>235</v>
      </c>
      <c r="CV32" t="s">
        <v>236</v>
      </c>
      <c r="DD32">
        <v>1</v>
      </c>
      <c r="DE32" t="s">
        <v>404</v>
      </c>
      <c r="DF32" t="s">
        <v>534</v>
      </c>
      <c r="DG32">
        <v>1</v>
      </c>
      <c r="DJ32" t="s">
        <v>184</v>
      </c>
      <c r="DK32" t="s">
        <v>185</v>
      </c>
      <c r="DL32" t="s">
        <v>170</v>
      </c>
      <c r="DM32" t="s">
        <v>170</v>
      </c>
      <c r="DN32" t="s">
        <v>170</v>
      </c>
      <c r="DO32" t="s">
        <v>391</v>
      </c>
      <c r="DP32" t="s">
        <v>169</v>
      </c>
      <c r="DQ32" t="s">
        <v>198</v>
      </c>
      <c r="DY32">
        <v>35.5</v>
      </c>
      <c r="EA32" s="89"/>
      <c r="EB32">
        <v>5</v>
      </c>
      <c r="EC32">
        <v>5</v>
      </c>
      <c r="EE32" t="s">
        <v>539</v>
      </c>
      <c r="EF32">
        <v>4</v>
      </c>
      <c r="EV32">
        <v>2750</v>
      </c>
      <c r="EW32">
        <v>379</v>
      </c>
      <c r="EX32">
        <v>291</v>
      </c>
      <c r="EY32">
        <v>339</v>
      </c>
    </row>
    <row r="33" spans="1:155" x14ac:dyDescent="0.35">
      <c r="A33">
        <v>2025</v>
      </c>
      <c r="B33" t="s">
        <v>205</v>
      </c>
      <c r="C33" t="s">
        <v>385</v>
      </c>
      <c r="D33" t="s">
        <v>682</v>
      </c>
      <c r="E33" t="s">
        <v>208</v>
      </c>
      <c r="F33">
        <v>26</v>
      </c>
      <c r="G33">
        <v>3</v>
      </c>
      <c r="H33">
        <v>6</v>
      </c>
      <c r="I33" t="s">
        <v>209</v>
      </c>
      <c r="J33">
        <v>22</v>
      </c>
      <c r="K33">
        <v>30</v>
      </c>
      <c r="L33">
        <v>25</v>
      </c>
      <c r="M33">
        <v>27.907</v>
      </c>
      <c r="N33">
        <v>43.292200000000001</v>
      </c>
      <c r="O33">
        <v>33.219499999999996</v>
      </c>
      <c r="P33">
        <v>21.900400000000001</v>
      </c>
      <c r="Q33">
        <v>30.218399999999999</v>
      </c>
      <c r="R33">
        <v>24.996700000000001</v>
      </c>
      <c r="T33" t="s">
        <v>165</v>
      </c>
      <c r="U33" t="s">
        <v>166</v>
      </c>
      <c r="V33" t="s">
        <v>211</v>
      </c>
      <c r="W33" t="s">
        <v>212</v>
      </c>
      <c r="Y33">
        <v>7</v>
      </c>
      <c r="Z33" t="s">
        <v>170</v>
      </c>
      <c r="AA33" t="s">
        <v>170</v>
      </c>
      <c r="AB33" t="s">
        <v>167</v>
      </c>
      <c r="AC33" t="s">
        <v>213</v>
      </c>
      <c r="AD33">
        <v>15</v>
      </c>
      <c r="AG33" t="s">
        <v>173</v>
      </c>
      <c r="AH33" t="s">
        <v>174</v>
      </c>
      <c r="AI33" t="s">
        <v>175</v>
      </c>
      <c r="AJ33" t="s">
        <v>176</v>
      </c>
      <c r="AK33" t="s">
        <v>170</v>
      </c>
      <c r="AL33" t="s">
        <v>177</v>
      </c>
      <c r="AO33">
        <v>99</v>
      </c>
      <c r="AP33">
        <v>14</v>
      </c>
      <c r="AS33">
        <v>2550</v>
      </c>
      <c r="AT33">
        <v>2550</v>
      </c>
      <c r="BN33" t="s">
        <v>338</v>
      </c>
      <c r="BO33">
        <v>2</v>
      </c>
      <c r="BP33">
        <v>2</v>
      </c>
      <c r="BQ33">
        <v>5</v>
      </c>
      <c r="BR33" t="s">
        <v>672</v>
      </c>
      <c r="BS33" t="s">
        <v>180</v>
      </c>
      <c r="BT33" t="s">
        <v>181</v>
      </c>
      <c r="BU33" s="1">
        <v>45485</v>
      </c>
      <c r="BV33">
        <v>35060</v>
      </c>
      <c r="BW33" s="154"/>
      <c r="BX33" t="s">
        <v>170</v>
      </c>
      <c r="BY33" t="s">
        <v>170</v>
      </c>
      <c r="CB33" t="s">
        <v>170</v>
      </c>
      <c r="CC33" t="s">
        <v>170</v>
      </c>
      <c r="CD33" t="s">
        <v>683</v>
      </c>
      <c r="CE33" t="s">
        <v>170</v>
      </c>
      <c r="CG33" t="s">
        <v>169</v>
      </c>
      <c r="CH33" t="s">
        <v>684</v>
      </c>
      <c r="CI33" t="s">
        <v>169</v>
      </c>
      <c r="CJ33" t="s">
        <v>685</v>
      </c>
      <c r="CK33" t="s">
        <v>233</v>
      </c>
      <c r="CM33">
        <v>1</v>
      </c>
      <c r="CN33" t="s">
        <v>234</v>
      </c>
      <c r="CP33">
        <v>48</v>
      </c>
      <c r="CQ33">
        <v>9.5</v>
      </c>
      <c r="CR33">
        <v>50.1</v>
      </c>
      <c r="CS33" t="s">
        <v>235</v>
      </c>
      <c r="CV33" t="s">
        <v>341</v>
      </c>
      <c r="CX33" t="s">
        <v>342</v>
      </c>
      <c r="CY33" t="s">
        <v>170</v>
      </c>
      <c r="DD33">
        <v>1</v>
      </c>
      <c r="DE33" t="s">
        <v>404</v>
      </c>
      <c r="DF33" t="s">
        <v>686</v>
      </c>
      <c r="DG33">
        <v>8</v>
      </c>
      <c r="DJ33" t="s">
        <v>184</v>
      </c>
      <c r="DK33" t="s">
        <v>185</v>
      </c>
      <c r="DL33" t="s">
        <v>170</v>
      </c>
      <c r="DM33" t="s">
        <v>170</v>
      </c>
      <c r="DN33" t="s">
        <v>170</v>
      </c>
      <c r="DO33" t="s">
        <v>391</v>
      </c>
      <c r="DP33" t="s">
        <v>169</v>
      </c>
      <c r="DQ33" t="s">
        <v>198</v>
      </c>
      <c r="DY33">
        <v>33.5</v>
      </c>
      <c r="EA33" s="112"/>
      <c r="EB33">
        <v>5</v>
      </c>
      <c r="EC33">
        <v>5</v>
      </c>
      <c r="EE33" t="s">
        <v>687</v>
      </c>
      <c r="EF33">
        <v>4</v>
      </c>
      <c r="EV33">
        <v>3250</v>
      </c>
      <c r="EW33">
        <v>406</v>
      </c>
      <c r="EX33">
        <v>295</v>
      </c>
      <c r="EY33">
        <v>356</v>
      </c>
    </row>
    <row r="34" spans="1:155" x14ac:dyDescent="0.35">
      <c r="A34">
        <v>2025</v>
      </c>
      <c r="B34" t="s">
        <v>205</v>
      </c>
      <c r="C34" t="s">
        <v>385</v>
      </c>
      <c r="D34" t="s">
        <v>688</v>
      </c>
      <c r="E34" t="s">
        <v>208</v>
      </c>
      <c r="F34">
        <v>25</v>
      </c>
      <c r="G34">
        <v>3</v>
      </c>
      <c r="H34">
        <v>6</v>
      </c>
      <c r="I34" t="s">
        <v>209</v>
      </c>
      <c r="J34">
        <v>22</v>
      </c>
      <c r="K34">
        <v>30</v>
      </c>
      <c r="L34">
        <v>25</v>
      </c>
      <c r="M34">
        <v>27.907</v>
      </c>
      <c r="N34">
        <v>43.292200000000001</v>
      </c>
      <c r="O34">
        <v>33.219499999999996</v>
      </c>
      <c r="P34">
        <v>21.900400000000001</v>
      </c>
      <c r="Q34">
        <v>30.218399999999999</v>
      </c>
      <c r="R34">
        <v>24.996700000000001</v>
      </c>
      <c r="T34" t="s">
        <v>165</v>
      </c>
      <c r="U34" t="s">
        <v>166</v>
      </c>
      <c r="V34" t="s">
        <v>211</v>
      </c>
      <c r="W34" t="s">
        <v>212</v>
      </c>
      <c r="Y34">
        <v>7</v>
      </c>
      <c r="Z34" t="s">
        <v>170</v>
      </c>
      <c r="AA34" t="s">
        <v>170</v>
      </c>
      <c r="AB34" t="s">
        <v>167</v>
      </c>
      <c r="AC34" t="s">
        <v>213</v>
      </c>
      <c r="AD34">
        <v>15</v>
      </c>
      <c r="AG34" t="s">
        <v>173</v>
      </c>
      <c r="AH34" t="s">
        <v>174</v>
      </c>
      <c r="AI34" t="s">
        <v>175</v>
      </c>
      <c r="AJ34" t="s">
        <v>176</v>
      </c>
      <c r="AK34" t="s">
        <v>170</v>
      </c>
      <c r="AL34" t="s">
        <v>177</v>
      </c>
      <c r="AQ34">
        <v>95</v>
      </c>
      <c r="AR34">
        <v>25</v>
      </c>
      <c r="AS34">
        <v>2550</v>
      </c>
      <c r="AT34">
        <v>2550</v>
      </c>
      <c r="BN34" t="s">
        <v>338</v>
      </c>
      <c r="BO34">
        <v>2</v>
      </c>
      <c r="BP34">
        <v>2</v>
      </c>
      <c r="BQ34">
        <v>5</v>
      </c>
      <c r="BR34" t="s">
        <v>672</v>
      </c>
      <c r="BS34" t="s">
        <v>180</v>
      </c>
      <c r="BT34" t="s">
        <v>181</v>
      </c>
      <c r="BU34" s="1">
        <v>45485</v>
      </c>
      <c r="BV34">
        <v>35059</v>
      </c>
      <c r="BW34" s="154"/>
      <c r="BX34" t="s">
        <v>170</v>
      </c>
      <c r="BY34" t="s">
        <v>170</v>
      </c>
      <c r="CB34" t="s">
        <v>170</v>
      </c>
      <c r="CC34" t="s">
        <v>170</v>
      </c>
      <c r="CD34" t="s">
        <v>683</v>
      </c>
      <c r="CE34" t="s">
        <v>170</v>
      </c>
      <c r="CG34" t="s">
        <v>169</v>
      </c>
      <c r="CH34" t="s">
        <v>684</v>
      </c>
      <c r="CI34" t="s">
        <v>169</v>
      </c>
      <c r="CJ34" t="s">
        <v>685</v>
      </c>
      <c r="CK34" t="s">
        <v>233</v>
      </c>
      <c r="CM34">
        <v>1</v>
      </c>
      <c r="CN34" t="s">
        <v>234</v>
      </c>
      <c r="CP34">
        <v>48</v>
      </c>
      <c r="CQ34">
        <v>9.5</v>
      </c>
      <c r="CR34">
        <v>50.1</v>
      </c>
      <c r="CS34" t="s">
        <v>235</v>
      </c>
      <c r="CV34" t="s">
        <v>341</v>
      </c>
      <c r="CX34" t="s">
        <v>342</v>
      </c>
      <c r="CY34" t="s">
        <v>170</v>
      </c>
      <c r="DD34">
        <v>1</v>
      </c>
      <c r="DE34" t="s">
        <v>404</v>
      </c>
      <c r="DF34" t="s">
        <v>686</v>
      </c>
      <c r="DG34">
        <v>8</v>
      </c>
      <c r="DJ34" t="s">
        <v>184</v>
      </c>
      <c r="DK34" t="s">
        <v>185</v>
      </c>
      <c r="DL34" t="s">
        <v>170</v>
      </c>
      <c r="DM34" t="s">
        <v>170</v>
      </c>
      <c r="DN34" t="s">
        <v>170</v>
      </c>
      <c r="DO34" t="s">
        <v>391</v>
      </c>
      <c r="DP34" t="s">
        <v>169</v>
      </c>
      <c r="DQ34" t="s">
        <v>198</v>
      </c>
      <c r="DY34">
        <v>33.5</v>
      </c>
      <c r="EA34" s="112"/>
      <c r="EB34">
        <v>5</v>
      </c>
      <c r="EC34">
        <v>5</v>
      </c>
      <c r="EE34" t="s">
        <v>687</v>
      </c>
      <c r="EF34">
        <v>4</v>
      </c>
      <c r="EV34">
        <v>3250</v>
      </c>
      <c r="EW34">
        <v>406</v>
      </c>
      <c r="EX34">
        <v>295</v>
      </c>
      <c r="EY34">
        <v>356</v>
      </c>
    </row>
    <row r="35" spans="1:155" x14ac:dyDescent="0.35">
      <c r="A35">
        <v>2025</v>
      </c>
      <c r="B35" t="s">
        <v>205</v>
      </c>
      <c r="C35" t="s">
        <v>385</v>
      </c>
      <c r="D35" t="s">
        <v>1720</v>
      </c>
      <c r="E35" t="s">
        <v>208</v>
      </c>
      <c r="F35">
        <v>4</v>
      </c>
      <c r="G35">
        <v>3</v>
      </c>
      <c r="H35">
        <v>6</v>
      </c>
      <c r="I35" t="s">
        <v>192</v>
      </c>
      <c r="J35">
        <v>19</v>
      </c>
      <c r="K35">
        <v>27</v>
      </c>
      <c r="L35">
        <v>22</v>
      </c>
      <c r="M35">
        <v>23.4</v>
      </c>
      <c r="N35">
        <v>37.9</v>
      </c>
      <c r="O35">
        <v>28.266500000000001</v>
      </c>
      <c r="P35">
        <v>18.633099999999999</v>
      </c>
      <c r="Q35">
        <v>26.7761</v>
      </c>
      <c r="R35">
        <v>21.587399999999999</v>
      </c>
      <c r="T35" t="s">
        <v>165</v>
      </c>
      <c r="U35" t="s">
        <v>166</v>
      </c>
      <c r="V35" t="s">
        <v>193</v>
      </c>
      <c r="W35" t="s">
        <v>194</v>
      </c>
      <c r="Y35">
        <v>8</v>
      </c>
      <c r="Z35" t="s">
        <v>169</v>
      </c>
      <c r="AA35" t="s">
        <v>170</v>
      </c>
      <c r="AB35" t="s">
        <v>167</v>
      </c>
      <c r="AC35" t="s">
        <v>213</v>
      </c>
      <c r="AD35">
        <v>15</v>
      </c>
      <c r="AG35" t="s">
        <v>173</v>
      </c>
      <c r="AH35" t="s">
        <v>174</v>
      </c>
      <c r="AI35" t="s">
        <v>175</v>
      </c>
      <c r="AJ35" t="s">
        <v>176</v>
      </c>
      <c r="AK35" t="s">
        <v>170</v>
      </c>
      <c r="AL35" t="s">
        <v>177</v>
      </c>
      <c r="AO35">
        <v>111</v>
      </c>
      <c r="AP35">
        <v>13</v>
      </c>
      <c r="AS35">
        <v>2900</v>
      </c>
      <c r="AT35">
        <v>2900</v>
      </c>
      <c r="BN35" t="s">
        <v>338</v>
      </c>
      <c r="BO35">
        <v>2</v>
      </c>
      <c r="BP35">
        <v>2</v>
      </c>
      <c r="BQ35">
        <v>6</v>
      </c>
      <c r="BR35" t="s">
        <v>825</v>
      </c>
      <c r="BS35" t="s">
        <v>180</v>
      </c>
      <c r="BT35" t="s">
        <v>181</v>
      </c>
      <c r="BV35">
        <v>36379</v>
      </c>
      <c r="BW35" s="153"/>
      <c r="BX35" t="s">
        <v>170</v>
      </c>
      <c r="BY35" t="s">
        <v>170</v>
      </c>
      <c r="CB35" t="s">
        <v>170</v>
      </c>
      <c r="CC35" t="s">
        <v>170</v>
      </c>
      <c r="CD35" t="s">
        <v>1721</v>
      </c>
      <c r="CE35" t="s">
        <v>170</v>
      </c>
      <c r="CG35" t="s">
        <v>169</v>
      </c>
      <c r="CH35" t="s">
        <v>1722</v>
      </c>
      <c r="CI35" t="s">
        <v>169</v>
      </c>
      <c r="CJ35" t="s">
        <v>685</v>
      </c>
      <c r="CK35" t="s">
        <v>233</v>
      </c>
      <c r="CM35">
        <v>1</v>
      </c>
      <c r="CN35" t="s">
        <v>234</v>
      </c>
      <c r="CP35">
        <v>48</v>
      </c>
      <c r="CQ35">
        <v>9.5</v>
      </c>
      <c r="CR35">
        <v>50.1</v>
      </c>
      <c r="CS35" t="s">
        <v>235</v>
      </c>
      <c r="CV35" t="s">
        <v>341</v>
      </c>
      <c r="CX35" t="s">
        <v>342</v>
      </c>
      <c r="CY35" t="s">
        <v>170</v>
      </c>
      <c r="DD35">
        <v>1</v>
      </c>
      <c r="DE35" t="s">
        <v>404</v>
      </c>
      <c r="DF35" t="s">
        <v>686</v>
      </c>
      <c r="DG35">
        <v>8</v>
      </c>
      <c r="DJ35" t="s">
        <v>184</v>
      </c>
      <c r="DK35" t="s">
        <v>185</v>
      </c>
      <c r="DL35" t="s">
        <v>170</v>
      </c>
      <c r="DM35" t="s">
        <v>170</v>
      </c>
      <c r="DN35" t="s">
        <v>170</v>
      </c>
      <c r="DO35" t="s">
        <v>391</v>
      </c>
      <c r="DP35" t="s">
        <v>169</v>
      </c>
      <c r="DQ35" t="s">
        <v>198</v>
      </c>
      <c r="DY35">
        <v>28.5</v>
      </c>
      <c r="EA35" s="89"/>
      <c r="EB35">
        <v>5</v>
      </c>
      <c r="EC35">
        <v>5</v>
      </c>
      <c r="EE35" t="s">
        <v>1723</v>
      </c>
      <c r="EF35">
        <v>4</v>
      </c>
      <c r="EV35">
        <v>5000</v>
      </c>
      <c r="EW35">
        <v>480</v>
      </c>
      <c r="EX35">
        <v>334</v>
      </c>
      <c r="EY35">
        <v>414</v>
      </c>
    </row>
    <row r="36" spans="1:155" x14ac:dyDescent="0.35">
      <c r="A36">
        <v>2025</v>
      </c>
      <c r="B36" t="s">
        <v>205</v>
      </c>
      <c r="C36" t="s">
        <v>385</v>
      </c>
      <c r="D36" t="s">
        <v>1229</v>
      </c>
      <c r="E36" t="s">
        <v>208</v>
      </c>
      <c r="F36">
        <v>38</v>
      </c>
      <c r="G36">
        <v>2</v>
      </c>
      <c r="H36">
        <v>4</v>
      </c>
      <c r="I36" t="s">
        <v>192</v>
      </c>
      <c r="J36">
        <v>22</v>
      </c>
      <c r="K36">
        <v>29</v>
      </c>
      <c r="L36">
        <v>25</v>
      </c>
      <c r="M36">
        <v>28</v>
      </c>
      <c r="N36">
        <v>42.1</v>
      </c>
      <c r="O36">
        <v>32.968800000000002</v>
      </c>
      <c r="P36">
        <v>21.966799999999999</v>
      </c>
      <c r="Q36">
        <v>29.464400000000001</v>
      </c>
      <c r="R36">
        <v>24.807500000000001</v>
      </c>
      <c r="T36" t="s">
        <v>165</v>
      </c>
      <c r="U36" t="s">
        <v>166</v>
      </c>
      <c r="V36" t="s">
        <v>193</v>
      </c>
      <c r="W36" t="s">
        <v>194</v>
      </c>
      <c r="Y36">
        <v>8</v>
      </c>
      <c r="Z36" t="s">
        <v>169</v>
      </c>
      <c r="AA36" t="s">
        <v>170</v>
      </c>
      <c r="AB36" t="s">
        <v>167</v>
      </c>
      <c r="AC36" t="s">
        <v>213</v>
      </c>
      <c r="AD36">
        <v>15</v>
      </c>
      <c r="AG36" t="s">
        <v>210</v>
      </c>
      <c r="AH36" t="s">
        <v>444</v>
      </c>
      <c r="AI36" t="s">
        <v>175</v>
      </c>
      <c r="AJ36" t="s">
        <v>176</v>
      </c>
      <c r="AK36" t="s">
        <v>940</v>
      </c>
      <c r="AL36" t="s">
        <v>941</v>
      </c>
      <c r="AS36">
        <v>2100</v>
      </c>
      <c r="AT36">
        <v>2100</v>
      </c>
      <c r="BN36" t="s">
        <v>178</v>
      </c>
      <c r="BO36">
        <v>2</v>
      </c>
      <c r="BP36">
        <v>2</v>
      </c>
      <c r="BQ36">
        <v>31</v>
      </c>
      <c r="BR36" t="s">
        <v>1219</v>
      </c>
      <c r="BT36" t="s">
        <v>181</v>
      </c>
      <c r="BU36" s="1">
        <v>45520</v>
      </c>
      <c r="BV36">
        <v>35976</v>
      </c>
      <c r="BW36" s="154"/>
      <c r="BX36" t="s">
        <v>169</v>
      </c>
      <c r="BY36" t="s">
        <v>170</v>
      </c>
      <c r="CB36" t="s">
        <v>170</v>
      </c>
      <c r="CC36" t="s">
        <v>170</v>
      </c>
      <c r="CD36" t="s">
        <v>1230</v>
      </c>
      <c r="CE36" t="s">
        <v>170</v>
      </c>
      <c r="CG36" t="s">
        <v>169</v>
      </c>
      <c r="CH36" t="s">
        <v>646</v>
      </c>
      <c r="CI36" t="s">
        <v>169</v>
      </c>
      <c r="CJ36" t="s">
        <v>533</v>
      </c>
      <c r="DJ36" t="s">
        <v>184</v>
      </c>
      <c r="DK36" t="s">
        <v>185</v>
      </c>
      <c r="DN36" t="s">
        <v>169</v>
      </c>
      <c r="DO36" t="s">
        <v>391</v>
      </c>
      <c r="DP36" t="s">
        <v>169</v>
      </c>
      <c r="DQ36" t="s">
        <v>198</v>
      </c>
      <c r="EA36" s="112"/>
      <c r="EB36">
        <v>5</v>
      </c>
      <c r="EC36">
        <v>5</v>
      </c>
      <c r="EE36" t="s">
        <v>1231</v>
      </c>
      <c r="EF36">
        <v>5</v>
      </c>
      <c r="EV36">
        <v>1000</v>
      </c>
      <c r="EW36">
        <v>406</v>
      </c>
      <c r="EX36">
        <v>303</v>
      </c>
      <c r="EY36">
        <v>360</v>
      </c>
    </row>
    <row r="37" spans="1:155" x14ac:dyDescent="0.35">
      <c r="A37">
        <v>2025</v>
      </c>
      <c r="B37" t="s">
        <v>205</v>
      </c>
      <c r="C37" t="s">
        <v>385</v>
      </c>
      <c r="D37" t="s">
        <v>1232</v>
      </c>
      <c r="E37" t="s">
        <v>208</v>
      </c>
      <c r="F37">
        <v>40</v>
      </c>
      <c r="G37">
        <v>2</v>
      </c>
      <c r="H37">
        <v>4</v>
      </c>
      <c r="I37" t="s">
        <v>192</v>
      </c>
      <c r="J37">
        <v>20</v>
      </c>
      <c r="K37">
        <v>28</v>
      </c>
      <c r="L37">
        <v>23</v>
      </c>
      <c r="M37">
        <v>25.3</v>
      </c>
      <c r="N37">
        <v>40.299999999999997</v>
      </c>
      <c r="O37">
        <v>30.3902</v>
      </c>
      <c r="P37">
        <v>20.022099999999998</v>
      </c>
      <c r="Q37">
        <v>28.3185</v>
      </c>
      <c r="R37">
        <v>23.0626</v>
      </c>
      <c r="T37" t="s">
        <v>165</v>
      </c>
      <c r="U37" t="s">
        <v>166</v>
      </c>
      <c r="V37" t="s">
        <v>193</v>
      </c>
      <c r="W37" t="s">
        <v>194</v>
      </c>
      <c r="Y37">
        <v>8</v>
      </c>
      <c r="Z37" t="s">
        <v>169</v>
      </c>
      <c r="AA37" t="s">
        <v>170</v>
      </c>
      <c r="AB37" t="s">
        <v>167</v>
      </c>
      <c r="AC37" t="s">
        <v>213</v>
      </c>
      <c r="AD37">
        <v>15</v>
      </c>
      <c r="AG37" t="s">
        <v>210</v>
      </c>
      <c r="AH37" t="s">
        <v>444</v>
      </c>
      <c r="AI37" t="s">
        <v>175</v>
      </c>
      <c r="AJ37" t="s">
        <v>176</v>
      </c>
      <c r="AK37" t="s">
        <v>940</v>
      </c>
      <c r="AL37" t="s">
        <v>941</v>
      </c>
      <c r="AS37">
        <v>2300</v>
      </c>
      <c r="AT37">
        <v>2300</v>
      </c>
      <c r="BN37" t="s">
        <v>178</v>
      </c>
      <c r="BO37">
        <v>2</v>
      </c>
      <c r="BP37">
        <v>2</v>
      </c>
      <c r="BQ37">
        <v>31</v>
      </c>
      <c r="BR37" t="s">
        <v>1219</v>
      </c>
      <c r="BT37" t="s">
        <v>181</v>
      </c>
      <c r="BU37" s="1">
        <v>45527</v>
      </c>
      <c r="BV37">
        <v>35989</v>
      </c>
      <c r="BW37" s="154"/>
      <c r="BX37" t="s">
        <v>169</v>
      </c>
      <c r="BY37" t="s">
        <v>170</v>
      </c>
      <c r="CB37" t="s">
        <v>170</v>
      </c>
      <c r="CC37" t="s">
        <v>170</v>
      </c>
      <c r="CD37" t="s">
        <v>1233</v>
      </c>
      <c r="CE37" t="s">
        <v>170</v>
      </c>
      <c r="CG37" t="s">
        <v>169</v>
      </c>
      <c r="CH37" t="s">
        <v>1234</v>
      </c>
      <c r="CI37" t="s">
        <v>169</v>
      </c>
      <c r="CJ37" t="s">
        <v>390</v>
      </c>
      <c r="DJ37" t="s">
        <v>184</v>
      </c>
      <c r="DK37" t="s">
        <v>185</v>
      </c>
      <c r="DL37" t="s">
        <v>170</v>
      </c>
      <c r="DN37" t="s">
        <v>170</v>
      </c>
      <c r="DO37" t="s">
        <v>391</v>
      </c>
      <c r="DP37" t="s">
        <v>169</v>
      </c>
      <c r="DQ37" t="s">
        <v>198</v>
      </c>
      <c r="EA37" s="112"/>
      <c r="EB37">
        <v>5</v>
      </c>
      <c r="EC37">
        <v>5</v>
      </c>
      <c r="EE37" t="s">
        <v>1235</v>
      </c>
      <c r="EF37">
        <v>6</v>
      </c>
      <c r="EV37">
        <v>2000</v>
      </c>
      <c r="EW37">
        <v>445</v>
      </c>
      <c r="EX37">
        <v>314</v>
      </c>
      <c r="EY37">
        <v>386</v>
      </c>
    </row>
    <row r="38" spans="1:155" x14ac:dyDescent="0.35">
      <c r="A38">
        <v>2025</v>
      </c>
      <c r="B38" t="s">
        <v>205</v>
      </c>
      <c r="C38" t="s">
        <v>385</v>
      </c>
      <c r="D38" t="s">
        <v>1236</v>
      </c>
      <c r="E38" t="s">
        <v>208</v>
      </c>
      <c r="F38">
        <v>24</v>
      </c>
      <c r="G38">
        <v>2</v>
      </c>
      <c r="H38">
        <v>4</v>
      </c>
      <c r="I38" t="s">
        <v>209</v>
      </c>
      <c r="J38">
        <v>23</v>
      </c>
      <c r="K38">
        <v>29</v>
      </c>
      <c r="L38">
        <v>26</v>
      </c>
      <c r="M38">
        <v>29.8</v>
      </c>
      <c r="N38">
        <v>42.098999999999997</v>
      </c>
      <c r="O38">
        <v>34.310699999999997</v>
      </c>
      <c r="P38">
        <v>23.244700000000002</v>
      </c>
      <c r="Q38">
        <v>29.463799999999999</v>
      </c>
      <c r="R38">
        <v>25.6843</v>
      </c>
      <c r="T38" t="s">
        <v>165</v>
      </c>
      <c r="U38" t="s">
        <v>166</v>
      </c>
      <c r="V38" t="s">
        <v>211</v>
      </c>
      <c r="W38" t="s">
        <v>212</v>
      </c>
      <c r="Y38">
        <v>7</v>
      </c>
      <c r="Z38" t="s">
        <v>170</v>
      </c>
      <c r="AA38" t="s">
        <v>170</v>
      </c>
      <c r="AB38" t="s">
        <v>167</v>
      </c>
      <c r="AC38" t="s">
        <v>213</v>
      </c>
      <c r="AD38">
        <v>15</v>
      </c>
      <c r="AG38" t="s">
        <v>173</v>
      </c>
      <c r="AH38" t="s">
        <v>174</v>
      </c>
      <c r="AI38" t="s">
        <v>175</v>
      </c>
      <c r="AJ38" t="s">
        <v>176</v>
      </c>
      <c r="AK38" t="s">
        <v>940</v>
      </c>
      <c r="AL38" t="s">
        <v>941</v>
      </c>
      <c r="AS38">
        <v>2450</v>
      </c>
      <c r="AT38">
        <v>2450</v>
      </c>
      <c r="BN38" t="s">
        <v>338</v>
      </c>
      <c r="BO38">
        <v>2</v>
      </c>
      <c r="BP38">
        <v>2</v>
      </c>
      <c r="BQ38">
        <v>31</v>
      </c>
      <c r="BR38" t="s">
        <v>1219</v>
      </c>
      <c r="BT38" t="s">
        <v>181</v>
      </c>
      <c r="BU38" s="1">
        <v>45478</v>
      </c>
      <c r="BV38">
        <v>35022</v>
      </c>
      <c r="BW38" s="153"/>
      <c r="BX38" t="s">
        <v>170</v>
      </c>
      <c r="BY38" t="s">
        <v>170</v>
      </c>
      <c r="CB38" t="s">
        <v>170</v>
      </c>
      <c r="CC38" t="s">
        <v>170</v>
      </c>
      <c r="CD38" t="s">
        <v>531</v>
      </c>
      <c r="CE38" t="s">
        <v>170</v>
      </c>
      <c r="CG38" t="s">
        <v>169</v>
      </c>
      <c r="CH38" t="s">
        <v>532</v>
      </c>
      <c r="CI38" t="s">
        <v>169</v>
      </c>
      <c r="CJ38" t="s">
        <v>533</v>
      </c>
      <c r="CK38" t="s">
        <v>233</v>
      </c>
      <c r="CM38">
        <v>1</v>
      </c>
      <c r="CN38" t="s">
        <v>234</v>
      </c>
      <c r="CP38">
        <v>14</v>
      </c>
      <c r="CQ38">
        <v>11</v>
      </c>
      <c r="CR38">
        <v>40</v>
      </c>
      <c r="CS38" t="s">
        <v>235</v>
      </c>
      <c r="CV38" t="s">
        <v>236</v>
      </c>
      <c r="DD38">
        <v>1</v>
      </c>
      <c r="DE38" t="s">
        <v>404</v>
      </c>
      <c r="DF38" t="s">
        <v>534</v>
      </c>
      <c r="DG38">
        <v>1</v>
      </c>
      <c r="DJ38" t="s">
        <v>184</v>
      </c>
      <c r="DK38" t="s">
        <v>185</v>
      </c>
      <c r="DL38" t="s">
        <v>170</v>
      </c>
      <c r="DM38" t="s">
        <v>170</v>
      </c>
      <c r="DN38" t="s">
        <v>170</v>
      </c>
      <c r="DO38" t="s">
        <v>391</v>
      </c>
      <c r="DP38" t="s">
        <v>169</v>
      </c>
      <c r="DQ38" t="s">
        <v>198</v>
      </c>
      <c r="DY38">
        <v>34.5</v>
      </c>
      <c r="EA38" s="89"/>
      <c r="EB38">
        <v>5</v>
      </c>
      <c r="EC38">
        <v>5</v>
      </c>
      <c r="EE38" t="s">
        <v>535</v>
      </c>
      <c r="EF38">
        <v>4</v>
      </c>
      <c r="EV38">
        <v>2750</v>
      </c>
      <c r="EW38">
        <v>382</v>
      </c>
      <c r="EX38">
        <v>301</v>
      </c>
      <c r="EY38">
        <v>346</v>
      </c>
    </row>
    <row r="39" spans="1:155" x14ac:dyDescent="0.35">
      <c r="A39">
        <v>2025</v>
      </c>
      <c r="B39" t="s">
        <v>205</v>
      </c>
      <c r="C39" t="s">
        <v>385</v>
      </c>
      <c r="D39" t="s">
        <v>1237</v>
      </c>
      <c r="E39" t="s">
        <v>208</v>
      </c>
      <c r="F39">
        <v>20</v>
      </c>
      <c r="G39">
        <v>2</v>
      </c>
      <c r="H39">
        <v>4</v>
      </c>
      <c r="I39" t="s">
        <v>209</v>
      </c>
      <c r="J39">
        <v>22</v>
      </c>
      <c r="K39">
        <v>28</v>
      </c>
      <c r="L39">
        <v>25</v>
      </c>
      <c r="M39">
        <v>28.475899999999999</v>
      </c>
      <c r="N39">
        <v>39.4696</v>
      </c>
      <c r="O39">
        <v>32.5565</v>
      </c>
      <c r="P39">
        <v>22.275500000000001</v>
      </c>
      <c r="Q39">
        <v>27.947099999999999</v>
      </c>
      <c r="R39">
        <v>24.514199999999999</v>
      </c>
      <c r="T39" t="s">
        <v>165</v>
      </c>
      <c r="U39" t="s">
        <v>166</v>
      </c>
      <c r="V39" t="s">
        <v>211</v>
      </c>
      <c r="W39" t="s">
        <v>212</v>
      </c>
      <c r="Y39">
        <v>7</v>
      </c>
      <c r="Z39" t="s">
        <v>170</v>
      </c>
      <c r="AA39" t="s">
        <v>170</v>
      </c>
      <c r="AB39" t="s">
        <v>167</v>
      </c>
      <c r="AC39" t="s">
        <v>213</v>
      </c>
      <c r="AD39">
        <v>15</v>
      </c>
      <c r="AG39" t="s">
        <v>173</v>
      </c>
      <c r="AH39" t="s">
        <v>174</v>
      </c>
      <c r="AI39" t="s">
        <v>175</v>
      </c>
      <c r="AJ39" t="s">
        <v>176</v>
      </c>
      <c r="AK39" t="s">
        <v>940</v>
      </c>
      <c r="AL39" t="s">
        <v>941</v>
      </c>
      <c r="AS39">
        <v>2550</v>
      </c>
      <c r="AT39">
        <v>2550</v>
      </c>
      <c r="BN39" t="s">
        <v>1238</v>
      </c>
      <c r="BO39">
        <v>2</v>
      </c>
      <c r="BP39">
        <v>2</v>
      </c>
      <c r="BQ39">
        <v>31</v>
      </c>
      <c r="BR39" t="s">
        <v>1219</v>
      </c>
      <c r="BT39" t="s">
        <v>225</v>
      </c>
      <c r="BU39" s="1">
        <v>45510</v>
      </c>
      <c r="BV39">
        <v>35338</v>
      </c>
      <c r="BW39" s="154"/>
      <c r="BX39" t="s">
        <v>170</v>
      </c>
      <c r="BY39" t="s">
        <v>169</v>
      </c>
      <c r="BZ39" t="s">
        <v>1239</v>
      </c>
      <c r="CA39" t="s">
        <v>1240</v>
      </c>
      <c r="CB39" t="s">
        <v>170</v>
      </c>
      <c r="CC39" t="s">
        <v>170</v>
      </c>
      <c r="CD39" t="s">
        <v>1241</v>
      </c>
      <c r="CE39" t="s">
        <v>170</v>
      </c>
      <c r="CG39" t="s">
        <v>169</v>
      </c>
      <c r="CH39" t="s">
        <v>532</v>
      </c>
      <c r="CI39" t="s">
        <v>169</v>
      </c>
      <c r="CJ39" t="s">
        <v>685</v>
      </c>
      <c r="CK39" t="s">
        <v>233</v>
      </c>
      <c r="CM39">
        <v>1</v>
      </c>
      <c r="CN39" t="s">
        <v>234</v>
      </c>
      <c r="CP39">
        <v>14</v>
      </c>
      <c r="CQ39">
        <v>11</v>
      </c>
      <c r="CR39">
        <v>40</v>
      </c>
      <c r="CS39" t="s">
        <v>235</v>
      </c>
      <c r="CV39" t="s">
        <v>236</v>
      </c>
      <c r="DD39">
        <v>1</v>
      </c>
      <c r="DE39" t="s">
        <v>404</v>
      </c>
      <c r="DF39" t="s">
        <v>534</v>
      </c>
      <c r="DG39">
        <v>1</v>
      </c>
      <c r="DJ39" t="s">
        <v>184</v>
      </c>
      <c r="DK39" t="s">
        <v>185</v>
      </c>
      <c r="DL39" t="s">
        <v>170</v>
      </c>
      <c r="DM39" t="s">
        <v>170</v>
      </c>
      <c r="DN39" t="s">
        <v>170</v>
      </c>
      <c r="DO39" t="s">
        <v>391</v>
      </c>
      <c r="DP39" t="s">
        <v>169</v>
      </c>
      <c r="DQ39" t="s">
        <v>198</v>
      </c>
      <c r="DY39">
        <v>33.4</v>
      </c>
      <c r="EA39" s="101"/>
      <c r="EB39">
        <v>5</v>
      </c>
      <c r="EC39">
        <v>5</v>
      </c>
      <c r="EE39" t="s">
        <v>539</v>
      </c>
      <c r="EF39">
        <v>4</v>
      </c>
      <c r="EV39">
        <v>3250</v>
      </c>
      <c r="EW39">
        <v>400</v>
      </c>
      <c r="EX39">
        <v>319</v>
      </c>
      <c r="EY39">
        <v>363</v>
      </c>
    </row>
    <row r="40" spans="1:155" x14ac:dyDescent="0.35">
      <c r="A40">
        <v>2025</v>
      </c>
      <c r="B40" t="s">
        <v>205</v>
      </c>
      <c r="C40" t="s">
        <v>385</v>
      </c>
      <c r="D40" t="s">
        <v>1242</v>
      </c>
      <c r="E40" t="s">
        <v>208</v>
      </c>
      <c r="F40">
        <v>21</v>
      </c>
      <c r="G40">
        <v>2</v>
      </c>
      <c r="H40">
        <v>4</v>
      </c>
      <c r="I40" t="s">
        <v>209</v>
      </c>
      <c r="J40">
        <v>22</v>
      </c>
      <c r="K40">
        <v>28</v>
      </c>
      <c r="L40">
        <v>25</v>
      </c>
      <c r="M40">
        <v>28.475899999999999</v>
      </c>
      <c r="N40">
        <v>39.4696</v>
      </c>
      <c r="O40">
        <v>32.5565</v>
      </c>
      <c r="P40">
        <v>22.275500000000001</v>
      </c>
      <c r="Q40">
        <v>27.947099999999999</v>
      </c>
      <c r="R40">
        <v>24.514199999999999</v>
      </c>
      <c r="T40" t="s">
        <v>165</v>
      </c>
      <c r="U40" t="s">
        <v>166</v>
      </c>
      <c r="V40" t="s">
        <v>211</v>
      </c>
      <c r="W40" t="s">
        <v>212</v>
      </c>
      <c r="Y40">
        <v>7</v>
      </c>
      <c r="Z40" t="s">
        <v>170</v>
      </c>
      <c r="AA40" t="s">
        <v>170</v>
      </c>
      <c r="AB40" t="s">
        <v>167</v>
      </c>
      <c r="AC40" t="s">
        <v>213</v>
      </c>
      <c r="AD40">
        <v>15</v>
      </c>
      <c r="AG40" t="s">
        <v>173</v>
      </c>
      <c r="AH40" t="s">
        <v>174</v>
      </c>
      <c r="AI40" t="s">
        <v>175</v>
      </c>
      <c r="AJ40" t="s">
        <v>176</v>
      </c>
      <c r="AK40" t="s">
        <v>940</v>
      </c>
      <c r="AL40" t="s">
        <v>941</v>
      </c>
      <c r="AS40">
        <v>2550</v>
      </c>
      <c r="AT40">
        <v>2550</v>
      </c>
      <c r="BN40" t="s">
        <v>1238</v>
      </c>
      <c r="BO40">
        <v>2</v>
      </c>
      <c r="BP40">
        <v>2</v>
      </c>
      <c r="BQ40">
        <v>31</v>
      </c>
      <c r="BR40" t="s">
        <v>1219</v>
      </c>
      <c r="BT40" t="s">
        <v>225</v>
      </c>
      <c r="BU40" s="1">
        <v>45510</v>
      </c>
      <c r="BV40">
        <v>35341</v>
      </c>
      <c r="BW40" s="154"/>
      <c r="BX40" t="s">
        <v>170</v>
      </c>
      <c r="BY40" t="s">
        <v>169</v>
      </c>
      <c r="BZ40" t="s">
        <v>1239</v>
      </c>
      <c r="CA40" t="s">
        <v>1240</v>
      </c>
      <c r="CB40" t="s">
        <v>170</v>
      </c>
      <c r="CC40" t="s">
        <v>170</v>
      </c>
      <c r="CD40" t="s">
        <v>1241</v>
      </c>
      <c r="CE40" t="s">
        <v>170</v>
      </c>
      <c r="CG40" t="s">
        <v>169</v>
      </c>
      <c r="CH40" t="s">
        <v>532</v>
      </c>
      <c r="CI40" t="s">
        <v>169</v>
      </c>
      <c r="CJ40" t="s">
        <v>685</v>
      </c>
      <c r="CK40" t="s">
        <v>233</v>
      </c>
      <c r="CM40">
        <v>1</v>
      </c>
      <c r="CN40" t="s">
        <v>234</v>
      </c>
      <c r="CP40">
        <v>14</v>
      </c>
      <c r="CQ40">
        <v>11</v>
      </c>
      <c r="CR40">
        <v>40</v>
      </c>
      <c r="CS40" t="s">
        <v>235</v>
      </c>
      <c r="CV40" t="s">
        <v>236</v>
      </c>
      <c r="DD40">
        <v>1</v>
      </c>
      <c r="DE40" t="s">
        <v>404</v>
      </c>
      <c r="DF40" t="s">
        <v>534</v>
      </c>
      <c r="DG40">
        <v>1</v>
      </c>
      <c r="DJ40" t="s">
        <v>184</v>
      </c>
      <c r="DK40" t="s">
        <v>185</v>
      </c>
      <c r="DL40" t="s">
        <v>170</v>
      </c>
      <c r="DM40" t="s">
        <v>170</v>
      </c>
      <c r="DN40" t="s">
        <v>170</v>
      </c>
      <c r="DO40" t="s">
        <v>391</v>
      </c>
      <c r="DP40" t="s">
        <v>169</v>
      </c>
      <c r="DQ40" t="s">
        <v>198</v>
      </c>
      <c r="DY40">
        <v>33.4</v>
      </c>
      <c r="EA40" s="101"/>
      <c r="EB40">
        <v>5</v>
      </c>
      <c r="EC40">
        <v>5</v>
      </c>
      <c r="EE40" t="s">
        <v>539</v>
      </c>
      <c r="EF40">
        <v>4</v>
      </c>
      <c r="EV40">
        <v>3250</v>
      </c>
      <c r="EW40">
        <v>400</v>
      </c>
      <c r="EX40">
        <v>319</v>
      </c>
      <c r="EY40">
        <v>363</v>
      </c>
    </row>
    <row r="41" spans="1:155" x14ac:dyDescent="0.35">
      <c r="A41">
        <v>2025</v>
      </c>
      <c r="B41" t="s">
        <v>205</v>
      </c>
      <c r="C41" t="s">
        <v>385</v>
      </c>
      <c r="D41" t="s">
        <v>1243</v>
      </c>
      <c r="E41" t="s">
        <v>208</v>
      </c>
      <c r="F41">
        <v>62</v>
      </c>
      <c r="G41">
        <v>2</v>
      </c>
      <c r="H41">
        <v>4</v>
      </c>
      <c r="I41" t="s">
        <v>209</v>
      </c>
      <c r="J41">
        <v>22</v>
      </c>
      <c r="K41">
        <v>30</v>
      </c>
      <c r="L41">
        <v>25</v>
      </c>
      <c r="M41">
        <v>27.819400000000002</v>
      </c>
      <c r="N41">
        <v>42.699800000000003</v>
      </c>
      <c r="O41">
        <v>32.993499999999997</v>
      </c>
      <c r="P41">
        <v>21.837800000000001</v>
      </c>
      <c r="Q41">
        <v>29.844200000000001</v>
      </c>
      <c r="R41">
        <v>24.836099999999998</v>
      </c>
      <c r="T41" t="s">
        <v>165</v>
      </c>
      <c r="U41" t="s">
        <v>166</v>
      </c>
      <c r="V41" t="s">
        <v>211</v>
      </c>
      <c r="W41" t="s">
        <v>212</v>
      </c>
      <c r="Y41">
        <v>7</v>
      </c>
      <c r="Z41" t="s">
        <v>170</v>
      </c>
      <c r="AA41" t="s">
        <v>170</v>
      </c>
      <c r="AB41" t="s">
        <v>167</v>
      </c>
      <c r="AC41" t="s">
        <v>213</v>
      </c>
      <c r="AD41">
        <v>15</v>
      </c>
      <c r="AG41" t="s">
        <v>173</v>
      </c>
      <c r="AH41" t="s">
        <v>174</v>
      </c>
      <c r="AI41" t="s">
        <v>175</v>
      </c>
      <c r="AJ41" t="s">
        <v>176</v>
      </c>
      <c r="AK41" t="s">
        <v>940</v>
      </c>
      <c r="AL41" t="s">
        <v>941</v>
      </c>
      <c r="AS41">
        <v>2550</v>
      </c>
      <c r="AT41">
        <v>2550</v>
      </c>
      <c r="BN41" t="s">
        <v>178</v>
      </c>
      <c r="BO41">
        <v>2</v>
      </c>
      <c r="BP41">
        <v>2</v>
      </c>
      <c r="BQ41">
        <v>31</v>
      </c>
      <c r="BR41" t="s">
        <v>1219</v>
      </c>
      <c r="BT41" t="s">
        <v>181</v>
      </c>
      <c r="BU41" s="1">
        <v>45740</v>
      </c>
      <c r="BV41">
        <v>36230</v>
      </c>
      <c r="BW41" s="153"/>
      <c r="BX41" t="s">
        <v>170</v>
      </c>
      <c r="BY41" t="s">
        <v>170</v>
      </c>
      <c r="CB41" t="s">
        <v>170</v>
      </c>
      <c r="CC41" t="s">
        <v>170</v>
      </c>
      <c r="CD41" t="s">
        <v>1244</v>
      </c>
      <c r="CE41" t="s">
        <v>170</v>
      </c>
      <c r="CG41" t="s">
        <v>169</v>
      </c>
      <c r="CH41" t="s">
        <v>678</v>
      </c>
      <c r="CI41" t="s">
        <v>169</v>
      </c>
      <c r="CJ41" t="s">
        <v>685</v>
      </c>
      <c r="DJ41" t="s">
        <v>184</v>
      </c>
      <c r="DK41" t="s">
        <v>185</v>
      </c>
      <c r="DL41" t="s">
        <v>170</v>
      </c>
      <c r="DN41" t="s">
        <v>170</v>
      </c>
      <c r="DO41" t="s">
        <v>391</v>
      </c>
      <c r="DP41" t="s">
        <v>169</v>
      </c>
      <c r="DQ41" t="s">
        <v>198</v>
      </c>
      <c r="DY41">
        <v>33.200000000000003</v>
      </c>
      <c r="EA41" s="89"/>
      <c r="EB41">
        <v>5</v>
      </c>
      <c r="EC41">
        <v>5</v>
      </c>
      <c r="EE41" t="s">
        <v>1245</v>
      </c>
      <c r="EF41">
        <v>6</v>
      </c>
      <c r="EV41">
        <v>3250</v>
      </c>
      <c r="EW41">
        <v>408</v>
      </c>
      <c r="EX41">
        <v>298</v>
      </c>
      <c r="EY41">
        <v>358</v>
      </c>
    </row>
    <row r="42" spans="1:155" x14ac:dyDescent="0.35">
      <c r="A42">
        <v>2025</v>
      </c>
      <c r="B42" t="s">
        <v>205</v>
      </c>
      <c r="C42" t="s">
        <v>385</v>
      </c>
      <c r="D42" t="s">
        <v>1246</v>
      </c>
      <c r="E42" t="s">
        <v>208</v>
      </c>
      <c r="F42">
        <v>61</v>
      </c>
      <c r="G42">
        <v>2</v>
      </c>
      <c r="H42">
        <v>4</v>
      </c>
      <c r="I42" t="s">
        <v>209</v>
      </c>
      <c r="J42">
        <v>22</v>
      </c>
      <c r="K42">
        <v>30</v>
      </c>
      <c r="L42">
        <v>25</v>
      </c>
      <c r="M42">
        <v>27.819400000000002</v>
      </c>
      <c r="N42">
        <v>42.699800000000003</v>
      </c>
      <c r="O42">
        <v>32.993499999999997</v>
      </c>
      <c r="P42">
        <v>21.837800000000001</v>
      </c>
      <c r="Q42">
        <v>29.844200000000001</v>
      </c>
      <c r="R42">
        <v>24.836099999999998</v>
      </c>
      <c r="T42" t="s">
        <v>165</v>
      </c>
      <c r="U42" t="s">
        <v>166</v>
      </c>
      <c r="V42" t="s">
        <v>211</v>
      </c>
      <c r="W42" t="s">
        <v>212</v>
      </c>
      <c r="Y42">
        <v>7</v>
      </c>
      <c r="Z42" t="s">
        <v>170</v>
      </c>
      <c r="AA42" t="s">
        <v>170</v>
      </c>
      <c r="AB42" t="s">
        <v>167</v>
      </c>
      <c r="AC42" t="s">
        <v>213</v>
      </c>
      <c r="AD42">
        <v>15</v>
      </c>
      <c r="AG42" t="s">
        <v>173</v>
      </c>
      <c r="AH42" t="s">
        <v>174</v>
      </c>
      <c r="AI42" t="s">
        <v>175</v>
      </c>
      <c r="AJ42" t="s">
        <v>176</v>
      </c>
      <c r="AK42" t="s">
        <v>940</v>
      </c>
      <c r="AL42" t="s">
        <v>941</v>
      </c>
      <c r="AS42">
        <v>2550</v>
      </c>
      <c r="AT42">
        <v>2550</v>
      </c>
      <c r="BN42" t="s">
        <v>178</v>
      </c>
      <c r="BO42">
        <v>2</v>
      </c>
      <c r="BP42">
        <v>2</v>
      </c>
      <c r="BQ42">
        <v>31</v>
      </c>
      <c r="BR42" t="s">
        <v>1219</v>
      </c>
      <c r="BT42" t="s">
        <v>181</v>
      </c>
      <c r="BU42" s="1">
        <v>45740</v>
      </c>
      <c r="BV42">
        <v>36229</v>
      </c>
      <c r="BW42" s="154"/>
      <c r="BX42" t="s">
        <v>170</v>
      </c>
      <c r="BY42" t="s">
        <v>170</v>
      </c>
      <c r="CB42" t="s">
        <v>170</v>
      </c>
      <c r="CC42" t="s">
        <v>170</v>
      </c>
      <c r="CD42" t="s">
        <v>1244</v>
      </c>
      <c r="CE42" t="s">
        <v>170</v>
      </c>
      <c r="CG42" t="s">
        <v>169</v>
      </c>
      <c r="CH42" t="s">
        <v>678</v>
      </c>
      <c r="CI42" t="s">
        <v>169</v>
      </c>
      <c r="CJ42" t="s">
        <v>685</v>
      </c>
      <c r="DJ42" t="s">
        <v>184</v>
      </c>
      <c r="DK42" t="s">
        <v>185</v>
      </c>
      <c r="DL42" t="s">
        <v>170</v>
      </c>
      <c r="DN42" t="s">
        <v>170</v>
      </c>
      <c r="DO42" t="s">
        <v>391</v>
      </c>
      <c r="DP42" t="s">
        <v>169</v>
      </c>
      <c r="DQ42" t="s">
        <v>198</v>
      </c>
      <c r="DY42">
        <v>33.200000000000003</v>
      </c>
      <c r="EA42" s="101"/>
      <c r="EB42">
        <v>5</v>
      </c>
      <c r="EC42">
        <v>5</v>
      </c>
      <c r="EE42" t="s">
        <v>1245</v>
      </c>
      <c r="EF42">
        <v>6</v>
      </c>
      <c r="EV42">
        <v>3250</v>
      </c>
      <c r="EW42">
        <v>408</v>
      </c>
      <c r="EX42">
        <v>298</v>
      </c>
      <c r="EY42">
        <v>358</v>
      </c>
    </row>
    <row r="43" spans="1:155" x14ac:dyDescent="0.35">
      <c r="A43">
        <v>2025</v>
      </c>
      <c r="B43" t="s">
        <v>205</v>
      </c>
      <c r="C43" t="s">
        <v>385</v>
      </c>
      <c r="D43" t="s">
        <v>1503</v>
      </c>
      <c r="E43" t="s">
        <v>208</v>
      </c>
      <c r="F43">
        <v>1</v>
      </c>
      <c r="G43">
        <v>2</v>
      </c>
      <c r="H43">
        <v>4</v>
      </c>
      <c r="I43" t="s">
        <v>192</v>
      </c>
      <c r="J43">
        <v>20</v>
      </c>
      <c r="K43">
        <v>26</v>
      </c>
      <c r="L43">
        <v>22</v>
      </c>
      <c r="M43">
        <v>24.8</v>
      </c>
      <c r="N43">
        <v>36.200000000000003</v>
      </c>
      <c r="O43">
        <v>28.8948</v>
      </c>
      <c r="P43">
        <v>19.658300000000001</v>
      </c>
      <c r="Q43">
        <v>25.673500000000001</v>
      </c>
      <c r="R43">
        <v>21.975200000000001</v>
      </c>
      <c r="T43" t="s">
        <v>165</v>
      </c>
      <c r="U43" t="s">
        <v>166</v>
      </c>
      <c r="V43" t="s">
        <v>193</v>
      </c>
      <c r="W43" t="s">
        <v>194</v>
      </c>
      <c r="Y43">
        <v>8</v>
      </c>
      <c r="Z43" t="s">
        <v>169</v>
      </c>
      <c r="AA43" t="s">
        <v>170</v>
      </c>
      <c r="AB43" t="s">
        <v>167</v>
      </c>
      <c r="AC43" t="s">
        <v>213</v>
      </c>
      <c r="AD43">
        <v>15</v>
      </c>
      <c r="AG43" t="s">
        <v>173</v>
      </c>
      <c r="AH43" t="s">
        <v>174</v>
      </c>
      <c r="AI43" t="s">
        <v>175</v>
      </c>
      <c r="AJ43" t="s">
        <v>176</v>
      </c>
      <c r="AK43" t="s">
        <v>940</v>
      </c>
      <c r="AL43" t="s">
        <v>941</v>
      </c>
      <c r="AS43">
        <v>2900</v>
      </c>
      <c r="AT43">
        <v>2900</v>
      </c>
      <c r="BN43" t="s">
        <v>178</v>
      </c>
      <c r="BO43">
        <v>2</v>
      </c>
      <c r="BP43">
        <v>2</v>
      </c>
      <c r="BQ43">
        <v>33</v>
      </c>
      <c r="BR43" t="s">
        <v>1497</v>
      </c>
      <c r="BT43" t="s">
        <v>181</v>
      </c>
      <c r="BU43" s="1">
        <v>45376</v>
      </c>
      <c r="BV43">
        <v>34616</v>
      </c>
      <c r="BW43" s="154"/>
      <c r="BX43" t="s">
        <v>170</v>
      </c>
      <c r="BY43" t="s">
        <v>170</v>
      </c>
      <c r="CB43" t="s">
        <v>170</v>
      </c>
      <c r="CC43" t="s">
        <v>170</v>
      </c>
      <c r="CD43" t="s">
        <v>1504</v>
      </c>
      <c r="CE43" t="s">
        <v>170</v>
      </c>
      <c r="CG43" t="s">
        <v>169</v>
      </c>
      <c r="CH43" t="s">
        <v>1505</v>
      </c>
      <c r="CI43" t="s">
        <v>169</v>
      </c>
      <c r="CJ43" t="s">
        <v>1505</v>
      </c>
      <c r="DJ43" t="s">
        <v>184</v>
      </c>
      <c r="DK43" t="s">
        <v>185</v>
      </c>
      <c r="DL43" t="s">
        <v>170</v>
      </c>
      <c r="DN43" t="s">
        <v>170</v>
      </c>
      <c r="DO43" t="s">
        <v>391</v>
      </c>
      <c r="DP43" t="s">
        <v>169</v>
      </c>
      <c r="DQ43" t="s">
        <v>198</v>
      </c>
      <c r="EA43" s="101"/>
      <c r="EB43">
        <v>5</v>
      </c>
      <c r="EC43">
        <v>5</v>
      </c>
      <c r="EE43" t="s">
        <v>1506</v>
      </c>
      <c r="EF43">
        <v>4</v>
      </c>
      <c r="EV43">
        <v>5000</v>
      </c>
      <c r="EW43">
        <v>453</v>
      </c>
      <c r="EX43">
        <v>347</v>
      </c>
      <c r="EY43">
        <v>405</v>
      </c>
    </row>
    <row r="44" spans="1:155" x14ac:dyDescent="0.35">
      <c r="A44">
        <v>2025</v>
      </c>
      <c r="B44" t="s">
        <v>205</v>
      </c>
      <c r="C44" t="s">
        <v>385</v>
      </c>
      <c r="D44" t="s">
        <v>1503</v>
      </c>
      <c r="E44" t="s">
        <v>208</v>
      </c>
      <c r="F44">
        <v>2</v>
      </c>
      <c r="G44">
        <v>3</v>
      </c>
      <c r="H44">
        <v>6</v>
      </c>
      <c r="I44" t="s">
        <v>192</v>
      </c>
      <c r="J44">
        <v>18</v>
      </c>
      <c r="K44">
        <v>23</v>
      </c>
      <c r="L44">
        <v>20</v>
      </c>
      <c r="M44">
        <v>22.7</v>
      </c>
      <c r="N44">
        <v>32.799999999999997</v>
      </c>
      <c r="O44">
        <v>26.351400000000002</v>
      </c>
      <c r="P44">
        <v>18.117000000000001</v>
      </c>
      <c r="Q44">
        <v>23.442599999999999</v>
      </c>
      <c r="R44">
        <v>20.18</v>
      </c>
      <c r="T44" t="s">
        <v>165</v>
      </c>
      <c r="U44" t="s">
        <v>166</v>
      </c>
      <c r="V44" t="s">
        <v>193</v>
      </c>
      <c r="W44" t="s">
        <v>194</v>
      </c>
      <c r="Y44">
        <v>8</v>
      </c>
      <c r="Z44" t="s">
        <v>169</v>
      </c>
      <c r="AA44" t="s">
        <v>170</v>
      </c>
      <c r="AB44" t="s">
        <v>167</v>
      </c>
      <c r="AC44" t="s">
        <v>213</v>
      </c>
      <c r="AD44">
        <v>15</v>
      </c>
      <c r="AG44" t="s">
        <v>173</v>
      </c>
      <c r="AH44" t="s">
        <v>174</v>
      </c>
      <c r="AI44" t="s">
        <v>175</v>
      </c>
      <c r="AJ44" t="s">
        <v>176</v>
      </c>
      <c r="AK44" t="s">
        <v>940</v>
      </c>
      <c r="AL44" t="s">
        <v>941</v>
      </c>
      <c r="AS44">
        <v>3200</v>
      </c>
      <c r="AT44">
        <v>3200</v>
      </c>
      <c r="BN44" t="s">
        <v>338</v>
      </c>
      <c r="BO44">
        <v>2</v>
      </c>
      <c r="BP44">
        <v>2</v>
      </c>
      <c r="BQ44">
        <v>33</v>
      </c>
      <c r="BR44" t="s">
        <v>1497</v>
      </c>
      <c r="BT44" t="s">
        <v>181</v>
      </c>
      <c r="BU44" s="1">
        <v>45376</v>
      </c>
      <c r="BV44">
        <v>34615</v>
      </c>
      <c r="BW44" s="153"/>
      <c r="BX44" t="s">
        <v>170</v>
      </c>
      <c r="BY44" t="s">
        <v>170</v>
      </c>
      <c r="CB44" t="s">
        <v>170</v>
      </c>
      <c r="CC44" t="s">
        <v>170</v>
      </c>
      <c r="CD44" t="s">
        <v>1507</v>
      </c>
      <c r="CE44" t="s">
        <v>170</v>
      </c>
      <c r="CG44" t="s">
        <v>169</v>
      </c>
      <c r="CH44" t="s">
        <v>1508</v>
      </c>
      <c r="CI44" t="s">
        <v>169</v>
      </c>
      <c r="CJ44" t="s">
        <v>685</v>
      </c>
      <c r="CK44" t="s">
        <v>233</v>
      </c>
      <c r="CM44">
        <v>1</v>
      </c>
      <c r="CN44" t="s">
        <v>234</v>
      </c>
      <c r="CP44">
        <v>48</v>
      </c>
      <c r="CQ44">
        <v>9.5</v>
      </c>
      <c r="CR44">
        <v>50.1</v>
      </c>
      <c r="CS44" t="s">
        <v>235</v>
      </c>
      <c r="CV44" t="s">
        <v>341</v>
      </c>
      <c r="CX44" t="s">
        <v>342</v>
      </c>
      <c r="CY44" t="s">
        <v>170</v>
      </c>
      <c r="DD44">
        <v>1</v>
      </c>
      <c r="DE44" t="s">
        <v>404</v>
      </c>
      <c r="DF44" t="s">
        <v>686</v>
      </c>
      <c r="DG44">
        <v>8</v>
      </c>
      <c r="DJ44" t="s">
        <v>184</v>
      </c>
      <c r="DK44" t="s">
        <v>185</v>
      </c>
      <c r="DL44" t="s">
        <v>170</v>
      </c>
      <c r="DM44" t="s">
        <v>170</v>
      </c>
      <c r="DN44" t="s">
        <v>170</v>
      </c>
      <c r="DO44" t="s">
        <v>391</v>
      </c>
      <c r="DP44" t="s">
        <v>169</v>
      </c>
      <c r="DQ44" t="s">
        <v>198</v>
      </c>
      <c r="EA44" s="89"/>
      <c r="EB44">
        <v>4</v>
      </c>
      <c r="EC44">
        <v>4</v>
      </c>
      <c r="EE44" t="s">
        <v>687</v>
      </c>
      <c r="EF44">
        <v>4</v>
      </c>
      <c r="EV44">
        <v>6500</v>
      </c>
      <c r="EW44">
        <v>492</v>
      </c>
      <c r="EX44">
        <v>380</v>
      </c>
      <c r="EY44">
        <v>442</v>
      </c>
    </row>
    <row r="45" spans="1:155" x14ac:dyDescent="0.35">
      <c r="A45">
        <v>2025</v>
      </c>
      <c r="B45" t="s">
        <v>205</v>
      </c>
      <c r="C45" t="s">
        <v>385</v>
      </c>
      <c r="D45" t="s">
        <v>1509</v>
      </c>
      <c r="E45" t="s">
        <v>208</v>
      </c>
      <c r="F45">
        <v>37</v>
      </c>
      <c r="G45">
        <v>3</v>
      </c>
      <c r="H45">
        <v>6</v>
      </c>
      <c r="I45" t="s">
        <v>192</v>
      </c>
      <c r="J45">
        <v>17</v>
      </c>
      <c r="K45">
        <v>23</v>
      </c>
      <c r="L45">
        <v>19</v>
      </c>
      <c r="M45">
        <v>21.595800000000001</v>
      </c>
      <c r="N45">
        <v>31.7</v>
      </c>
      <c r="O45">
        <v>25.2121</v>
      </c>
      <c r="P45">
        <v>17.298100000000002</v>
      </c>
      <c r="Q45">
        <v>22.7134</v>
      </c>
      <c r="R45">
        <v>19.376999999999999</v>
      </c>
      <c r="T45" t="s">
        <v>165</v>
      </c>
      <c r="U45" t="s">
        <v>166</v>
      </c>
      <c r="V45" t="s">
        <v>193</v>
      </c>
      <c r="W45" t="s">
        <v>194</v>
      </c>
      <c r="Y45">
        <v>8</v>
      </c>
      <c r="Z45" t="s">
        <v>169</v>
      </c>
      <c r="AA45" t="s">
        <v>170</v>
      </c>
      <c r="AB45" t="s">
        <v>167</v>
      </c>
      <c r="AC45" t="s">
        <v>213</v>
      </c>
      <c r="AD45">
        <v>15</v>
      </c>
      <c r="AG45" t="s">
        <v>173</v>
      </c>
      <c r="AH45" t="s">
        <v>174</v>
      </c>
      <c r="AI45" t="s">
        <v>175</v>
      </c>
      <c r="AJ45" t="s">
        <v>176</v>
      </c>
      <c r="AK45" t="s">
        <v>940</v>
      </c>
      <c r="AL45" t="s">
        <v>941</v>
      </c>
      <c r="AS45">
        <v>3350</v>
      </c>
      <c r="AT45">
        <v>3350</v>
      </c>
      <c r="BN45" t="s">
        <v>338</v>
      </c>
      <c r="BO45">
        <v>2</v>
      </c>
      <c r="BP45">
        <v>2</v>
      </c>
      <c r="BQ45">
        <v>33</v>
      </c>
      <c r="BR45" t="s">
        <v>1497</v>
      </c>
      <c r="BT45" t="s">
        <v>181</v>
      </c>
      <c r="BU45" s="1">
        <v>45506</v>
      </c>
      <c r="BV45">
        <v>35282</v>
      </c>
      <c r="BW45" s="154"/>
      <c r="BX45" t="s">
        <v>170</v>
      </c>
      <c r="BY45" t="s">
        <v>170</v>
      </c>
      <c r="CB45" t="s">
        <v>170</v>
      </c>
      <c r="CC45" t="s">
        <v>170</v>
      </c>
      <c r="CD45" t="s">
        <v>1507</v>
      </c>
      <c r="CE45" t="s">
        <v>170</v>
      </c>
      <c r="CG45" t="s">
        <v>169</v>
      </c>
      <c r="CH45" t="s">
        <v>1508</v>
      </c>
      <c r="CI45" t="s">
        <v>169</v>
      </c>
      <c r="CJ45" t="s">
        <v>685</v>
      </c>
      <c r="CK45" t="s">
        <v>233</v>
      </c>
      <c r="CM45">
        <v>1</v>
      </c>
      <c r="CN45" t="s">
        <v>234</v>
      </c>
      <c r="CP45">
        <v>48</v>
      </c>
      <c r="CQ45">
        <v>9.5</v>
      </c>
      <c r="CR45">
        <v>50.1</v>
      </c>
      <c r="CS45" t="s">
        <v>235</v>
      </c>
      <c r="CV45" t="s">
        <v>341</v>
      </c>
      <c r="CX45" t="s">
        <v>342</v>
      </c>
      <c r="CY45" t="s">
        <v>170</v>
      </c>
      <c r="DD45">
        <v>1</v>
      </c>
      <c r="DE45" t="s">
        <v>404</v>
      </c>
      <c r="DF45" t="s">
        <v>686</v>
      </c>
      <c r="DG45">
        <v>8</v>
      </c>
      <c r="DJ45" t="s">
        <v>184</v>
      </c>
      <c r="DK45" t="s">
        <v>185</v>
      </c>
      <c r="DL45" t="s">
        <v>170</v>
      </c>
      <c r="DM45" t="s">
        <v>170</v>
      </c>
      <c r="DN45" t="s">
        <v>170</v>
      </c>
      <c r="DO45" t="s">
        <v>391</v>
      </c>
      <c r="DP45" t="s">
        <v>169</v>
      </c>
      <c r="DQ45" t="s">
        <v>198</v>
      </c>
      <c r="EA45" s="101"/>
      <c r="EB45">
        <v>4</v>
      </c>
      <c r="EC45">
        <v>4</v>
      </c>
      <c r="EE45" t="s">
        <v>687</v>
      </c>
      <c r="EF45">
        <v>4</v>
      </c>
      <c r="EV45">
        <v>7250</v>
      </c>
      <c r="EW45">
        <v>514</v>
      </c>
      <c r="EX45">
        <v>392</v>
      </c>
      <c r="EY45">
        <v>459</v>
      </c>
    </row>
    <row r="46" spans="1:155" x14ac:dyDescent="0.35">
      <c r="A46">
        <v>2025</v>
      </c>
      <c r="B46" t="s">
        <v>205</v>
      </c>
      <c r="C46" t="s">
        <v>385</v>
      </c>
      <c r="D46" t="s">
        <v>1724</v>
      </c>
      <c r="E46" t="s">
        <v>208</v>
      </c>
      <c r="F46">
        <v>54</v>
      </c>
      <c r="G46">
        <v>2.5</v>
      </c>
      <c r="H46">
        <v>5</v>
      </c>
      <c r="I46" t="s">
        <v>209</v>
      </c>
      <c r="J46">
        <v>20</v>
      </c>
      <c r="K46">
        <v>29</v>
      </c>
      <c r="L46">
        <v>23</v>
      </c>
      <c r="M46">
        <v>24.1</v>
      </c>
      <c r="N46">
        <v>40.4</v>
      </c>
      <c r="O46">
        <v>29.446200000000001</v>
      </c>
      <c r="P46">
        <v>19.610499999999998</v>
      </c>
      <c r="Q46">
        <v>29.349699999999999</v>
      </c>
      <c r="R46">
        <v>23.052900000000001</v>
      </c>
      <c r="T46" t="s">
        <v>165</v>
      </c>
      <c r="U46" t="s">
        <v>166</v>
      </c>
      <c r="V46" t="s">
        <v>211</v>
      </c>
      <c r="W46" t="s">
        <v>212</v>
      </c>
      <c r="Y46">
        <v>7</v>
      </c>
      <c r="Z46" t="s">
        <v>170</v>
      </c>
      <c r="AA46" t="s">
        <v>170</v>
      </c>
      <c r="AB46" t="s">
        <v>167</v>
      </c>
      <c r="AC46" t="s">
        <v>213</v>
      </c>
      <c r="AD46">
        <v>15</v>
      </c>
      <c r="AG46" t="s">
        <v>173</v>
      </c>
      <c r="AH46" t="s">
        <v>174</v>
      </c>
      <c r="AI46" t="s">
        <v>175</v>
      </c>
      <c r="AJ46" t="s">
        <v>176</v>
      </c>
      <c r="AK46" t="s">
        <v>170</v>
      </c>
      <c r="AL46" t="s">
        <v>177</v>
      </c>
      <c r="AO46">
        <v>87</v>
      </c>
      <c r="AP46">
        <v>8</v>
      </c>
      <c r="AS46">
        <v>2750</v>
      </c>
      <c r="AT46">
        <v>2750</v>
      </c>
      <c r="BN46" t="s">
        <v>1725</v>
      </c>
      <c r="BO46">
        <v>2</v>
      </c>
      <c r="BP46">
        <v>2</v>
      </c>
      <c r="BQ46">
        <v>3</v>
      </c>
      <c r="BR46" t="s">
        <v>387</v>
      </c>
      <c r="BS46" t="s">
        <v>180</v>
      </c>
      <c r="BT46" t="s">
        <v>225</v>
      </c>
      <c r="BV46">
        <v>36753</v>
      </c>
      <c r="BW46" s="154"/>
      <c r="BX46" t="s">
        <v>169</v>
      </c>
      <c r="BY46" t="s">
        <v>169</v>
      </c>
      <c r="BZ46" t="s">
        <v>1239</v>
      </c>
      <c r="CA46" t="s">
        <v>1240</v>
      </c>
      <c r="CB46" t="s">
        <v>170</v>
      </c>
      <c r="CC46" t="s">
        <v>170</v>
      </c>
      <c r="CD46" t="s">
        <v>1726</v>
      </c>
      <c r="CE46" t="s">
        <v>170</v>
      </c>
      <c r="CG46" t="s">
        <v>169</v>
      </c>
      <c r="CH46" t="s">
        <v>389</v>
      </c>
      <c r="CI46" t="s">
        <v>169</v>
      </c>
      <c r="CJ46" t="s">
        <v>390</v>
      </c>
      <c r="DJ46" t="s">
        <v>184</v>
      </c>
      <c r="DK46" t="s">
        <v>185</v>
      </c>
      <c r="DN46" t="s">
        <v>170</v>
      </c>
      <c r="DO46" t="s">
        <v>395</v>
      </c>
      <c r="DP46" t="s">
        <v>170</v>
      </c>
      <c r="DQ46" t="s">
        <v>187</v>
      </c>
      <c r="DY46">
        <v>29.7</v>
      </c>
      <c r="EA46" s="101"/>
      <c r="EB46">
        <v>5</v>
      </c>
      <c r="EC46">
        <v>5</v>
      </c>
      <c r="EE46" t="s">
        <v>1727</v>
      </c>
      <c r="EF46">
        <v>2</v>
      </c>
      <c r="EV46">
        <v>4250</v>
      </c>
      <c r="EW46">
        <v>453</v>
      </c>
      <c r="EX46">
        <v>302</v>
      </c>
      <c r="EY46">
        <v>385</v>
      </c>
    </row>
    <row r="47" spans="1:155" x14ac:dyDescent="0.35">
      <c r="A47">
        <v>2025</v>
      </c>
      <c r="B47" t="s">
        <v>205</v>
      </c>
      <c r="C47" t="s">
        <v>385</v>
      </c>
      <c r="D47" t="s">
        <v>689</v>
      </c>
      <c r="E47" t="s">
        <v>208</v>
      </c>
      <c r="F47">
        <v>11</v>
      </c>
      <c r="G47">
        <v>2.9</v>
      </c>
      <c r="H47">
        <v>6</v>
      </c>
      <c r="I47" t="s">
        <v>192</v>
      </c>
      <c r="J47">
        <v>18</v>
      </c>
      <c r="K47">
        <v>25</v>
      </c>
      <c r="L47">
        <v>20</v>
      </c>
      <c r="M47">
        <v>21.778199999999998</v>
      </c>
      <c r="N47">
        <v>34.130000000000003</v>
      </c>
      <c r="O47">
        <v>26.014900000000001</v>
      </c>
      <c r="P47">
        <v>17.6539</v>
      </c>
      <c r="Q47">
        <v>24.526199999999999</v>
      </c>
      <c r="R47">
        <v>20.2011</v>
      </c>
      <c r="T47" t="s">
        <v>165</v>
      </c>
      <c r="U47" t="s">
        <v>166</v>
      </c>
      <c r="V47" t="s">
        <v>193</v>
      </c>
      <c r="W47" t="s">
        <v>194</v>
      </c>
      <c r="Y47">
        <v>8</v>
      </c>
      <c r="Z47" t="s">
        <v>169</v>
      </c>
      <c r="AA47" t="s">
        <v>170</v>
      </c>
      <c r="AB47" t="s">
        <v>167</v>
      </c>
      <c r="AC47" t="s">
        <v>213</v>
      </c>
      <c r="AD47">
        <v>15</v>
      </c>
      <c r="AG47" t="s">
        <v>173</v>
      </c>
      <c r="AH47" t="s">
        <v>174</v>
      </c>
      <c r="AI47" t="s">
        <v>175</v>
      </c>
      <c r="AJ47" t="s">
        <v>176</v>
      </c>
      <c r="AK47" t="s">
        <v>170</v>
      </c>
      <c r="AL47" t="s">
        <v>177</v>
      </c>
      <c r="AQ47">
        <v>91</v>
      </c>
      <c r="AR47">
        <v>22</v>
      </c>
      <c r="AS47">
        <v>3200</v>
      </c>
      <c r="AT47">
        <v>3200</v>
      </c>
      <c r="BN47" t="s">
        <v>178</v>
      </c>
      <c r="BO47">
        <v>2</v>
      </c>
      <c r="BP47">
        <v>2</v>
      </c>
      <c r="BQ47">
        <v>5</v>
      </c>
      <c r="BR47" t="s">
        <v>672</v>
      </c>
      <c r="BS47" t="s">
        <v>180</v>
      </c>
      <c r="BT47" t="s">
        <v>225</v>
      </c>
      <c r="BU47" s="1">
        <v>45464</v>
      </c>
      <c r="BV47">
        <v>35025</v>
      </c>
      <c r="BW47" s="153"/>
      <c r="BX47" t="s">
        <v>170</v>
      </c>
      <c r="BY47" t="s">
        <v>170</v>
      </c>
      <c r="CB47" t="s">
        <v>170</v>
      </c>
      <c r="CC47" t="s">
        <v>170</v>
      </c>
      <c r="CD47" t="s">
        <v>690</v>
      </c>
      <c r="CE47" t="s">
        <v>170</v>
      </c>
      <c r="CG47" t="s">
        <v>169</v>
      </c>
      <c r="CH47" t="s">
        <v>542</v>
      </c>
      <c r="CI47" t="s">
        <v>169</v>
      </c>
      <c r="CJ47" t="s">
        <v>542</v>
      </c>
      <c r="DJ47" t="s">
        <v>184</v>
      </c>
      <c r="DK47" t="s">
        <v>185</v>
      </c>
      <c r="DN47" t="s">
        <v>170</v>
      </c>
      <c r="DO47" t="s">
        <v>391</v>
      </c>
      <c r="DP47" t="s">
        <v>170</v>
      </c>
      <c r="DQ47" t="s">
        <v>187</v>
      </c>
      <c r="DY47">
        <v>26.2</v>
      </c>
      <c r="EA47" s="89"/>
      <c r="EB47">
        <v>4</v>
      </c>
      <c r="EC47">
        <v>4</v>
      </c>
      <c r="EE47" t="s">
        <v>543</v>
      </c>
      <c r="EF47">
        <v>4</v>
      </c>
      <c r="EV47">
        <v>6500</v>
      </c>
      <c r="EW47">
        <v>502</v>
      </c>
      <c r="EX47">
        <v>361</v>
      </c>
      <c r="EY47">
        <v>438</v>
      </c>
    </row>
    <row r="48" spans="1:155" x14ac:dyDescent="0.35">
      <c r="A48">
        <v>2025</v>
      </c>
      <c r="B48" t="s">
        <v>205</v>
      </c>
      <c r="C48" t="s">
        <v>385</v>
      </c>
      <c r="D48" t="s">
        <v>934</v>
      </c>
      <c r="E48" t="s">
        <v>208</v>
      </c>
      <c r="F48">
        <v>12</v>
      </c>
      <c r="G48">
        <v>4</v>
      </c>
      <c r="H48">
        <v>8</v>
      </c>
      <c r="I48" t="s">
        <v>192</v>
      </c>
      <c r="J48">
        <v>14</v>
      </c>
      <c r="K48">
        <v>21</v>
      </c>
      <c r="L48">
        <v>17</v>
      </c>
      <c r="M48">
        <v>17.256499999999999</v>
      </c>
      <c r="N48">
        <v>28.006499999999999</v>
      </c>
      <c r="O48">
        <v>20.859500000000001</v>
      </c>
      <c r="P48">
        <v>13.918100000000001</v>
      </c>
      <c r="Q48">
        <v>21.412099999999999</v>
      </c>
      <c r="R48">
        <v>16.5199</v>
      </c>
      <c r="S48" t="s">
        <v>210</v>
      </c>
      <c r="T48" t="s">
        <v>165</v>
      </c>
      <c r="U48" t="s">
        <v>166</v>
      </c>
      <c r="V48" t="s">
        <v>193</v>
      </c>
      <c r="W48" t="s">
        <v>194</v>
      </c>
      <c r="Y48">
        <v>8</v>
      </c>
      <c r="Z48" t="s">
        <v>169</v>
      </c>
      <c r="AA48" t="s">
        <v>170</v>
      </c>
      <c r="AB48" t="s">
        <v>167</v>
      </c>
      <c r="AC48" t="s">
        <v>213</v>
      </c>
      <c r="AD48">
        <v>15</v>
      </c>
      <c r="AG48" t="s">
        <v>173</v>
      </c>
      <c r="AH48" t="s">
        <v>174</v>
      </c>
      <c r="AI48" t="s">
        <v>175</v>
      </c>
      <c r="AJ48" t="s">
        <v>176</v>
      </c>
      <c r="AK48" t="s">
        <v>170</v>
      </c>
      <c r="AL48" t="s">
        <v>177</v>
      </c>
      <c r="AO48">
        <v>101</v>
      </c>
      <c r="AP48">
        <v>30</v>
      </c>
      <c r="AS48">
        <v>3750</v>
      </c>
      <c r="AT48">
        <v>3750</v>
      </c>
      <c r="BN48" t="s">
        <v>338</v>
      </c>
      <c r="BO48">
        <v>2</v>
      </c>
      <c r="BP48">
        <v>2</v>
      </c>
      <c r="BQ48">
        <v>8</v>
      </c>
      <c r="BR48" t="s">
        <v>933</v>
      </c>
      <c r="BS48" t="s">
        <v>180</v>
      </c>
      <c r="BT48" t="s">
        <v>225</v>
      </c>
      <c r="BU48" s="1">
        <v>45464</v>
      </c>
      <c r="BV48">
        <v>34949</v>
      </c>
      <c r="BW48" s="155"/>
      <c r="BX48" t="s">
        <v>170</v>
      </c>
      <c r="BY48" t="s">
        <v>170</v>
      </c>
      <c r="CB48" t="s">
        <v>170</v>
      </c>
      <c r="CC48" t="s">
        <v>170</v>
      </c>
      <c r="CD48" t="s">
        <v>692</v>
      </c>
      <c r="CE48" t="s">
        <v>169</v>
      </c>
      <c r="CF48" t="s">
        <v>693</v>
      </c>
      <c r="CG48" t="s">
        <v>169</v>
      </c>
      <c r="CH48" t="s">
        <v>694</v>
      </c>
      <c r="CI48" t="s">
        <v>170</v>
      </c>
      <c r="CK48" t="s">
        <v>233</v>
      </c>
      <c r="CM48">
        <v>1</v>
      </c>
      <c r="CN48" t="s">
        <v>234</v>
      </c>
      <c r="CP48">
        <v>48</v>
      </c>
      <c r="CQ48">
        <v>9.5</v>
      </c>
      <c r="CR48">
        <v>50.1</v>
      </c>
      <c r="CS48" t="s">
        <v>235</v>
      </c>
      <c r="CV48" t="s">
        <v>341</v>
      </c>
      <c r="CX48" t="s">
        <v>342</v>
      </c>
      <c r="CY48" t="s">
        <v>170</v>
      </c>
      <c r="DD48">
        <v>1</v>
      </c>
      <c r="DE48" t="s">
        <v>404</v>
      </c>
      <c r="DF48" t="s">
        <v>686</v>
      </c>
      <c r="DG48">
        <v>8</v>
      </c>
      <c r="DJ48" t="s">
        <v>184</v>
      </c>
      <c r="DK48" t="s">
        <v>185</v>
      </c>
      <c r="DL48" t="s">
        <v>170</v>
      </c>
      <c r="DM48" t="s">
        <v>170</v>
      </c>
      <c r="DN48" t="s">
        <v>170</v>
      </c>
      <c r="DO48" t="s">
        <v>695</v>
      </c>
      <c r="DP48" t="s">
        <v>169</v>
      </c>
      <c r="DQ48" t="s">
        <v>198</v>
      </c>
      <c r="DY48">
        <v>21</v>
      </c>
      <c r="EA48" s="101"/>
      <c r="EB48">
        <v>3</v>
      </c>
      <c r="EC48">
        <v>3</v>
      </c>
      <c r="EE48" t="s">
        <v>696</v>
      </c>
      <c r="EF48">
        <v>2</v>
      </c>
      <c r="EV48">
        <v>9250</v>
      </c>
      <c r="EW48">
        <v>638</v>
      </c>
      <c r="EX48">
        <v>416</v>
      </c>
      <c r="EY48">
        <v>538</v>
      </c>
    </row>
    <row r="49" spans="1:155" x14ac:dyDescent="0.35">
      <c r="A49">
        <v>2025</v>
      </c>
      <c r="B49" t="s">
        <v>205</v>
      </c>
      <c r="C49" t="s">
        <v>385</v>
      </c>
      <c r="D49" t="s">
        <v>691</v>
      </c>
      <c r="E49" t="s">
        <v>208</v>
      </c>
      <c r="F49">
        <v>13</v>
      </c>
      <c r="G49">
        <v>4</v>
      </c>
      <c r="H49">
        <v>8</v>
      </c>
      <c r="I49" t="s">
        <v>192</v>
      </c>
      <c r="J49">
        <v>14</v>
      </c>
      <c r="K49">
        <v>21</v>
      </c>
      <c r="L49">
        <v>17</v>
      </c>
      <c r="M49">
        <v>17.256499999999999</v>
      </c>
      <c r="N49">
        <v>28.006499999999999</v>
      </c>
      <c r="O49">
        <v>20.859500000000001</v>
      </c>
      <c r="P49">
        <v>13.918100000000001</v>
      </c>
      <c r="Q49">
        <v>21.412099999999999</v>
      </c>
      <c r="R49">
        <v>16.5199</v>
      </c>
      <c r="S49" t="s">
        <v>210</v>
      </c>
      <c r="T49" t="s">
        <v>165</v>
      </c>
      <c r="U49" t="s">
        <v>166</v>
      </c>
      <c r="V49" t="s">
        <v>193</v>
      </c>
      <c r="W49" t="s">
        <v>194</v>
      </c>
      <c r="Y49">
        <v>8</v>
      </c>
      <c r="Z49" t="s">
        <v>169</v>
      </c>
      <c r="AA49" t="s">
        <v>170</v>
      </c>
      <c r="AB49" t="s">
        <v>167</v>
      </c>
      <c r="AC49" t="s">
        <v>213</v>
      </c>
      <c r="AD49">
        <v>15</v>
      </c>
      <c r="AG49" t="s">
        <v>173</v>
      </c>
      <c r="AH49" t="s">
        <v>174</v>
      </c>
      <c r="AI49" t="s">
        <v>175</v>
      </c>
      <c r="AJ49" t="s">
        <v>176</v>
      </c>
      <c r="AK49" t="s">
        <v>170</v>
      </c>
      <c r="AL49" t="s">
        <v>177</v>
      </c>
      <c r="AQ49">
        <v>95</v>
      </c>
      <c r="AR49">
        <v>25</v>
      </c>
      <c r="AS49">
        <v>3750</v>
      </c>
      <c r="AT49">
        <v>3750</v>
      </c>
      <c r="BN49" t="s">
        <v>338</v>
      </c>
      <c r="BO49">
        <v>2</v>
      </c>
      <c r="BP49">
        <v>2</v>
      </c>
      <c r="BQ49">
        <v>5</v>
      </c>
      <c r="BR49" t="s">
        <v>672</v>
      </c>
      <c r="BS49" t="s">
        <v>180</v>
      </c>
      <c r="BT49" t="s">
        <v>225</v>
      </c>
      <c r="BU49" s="1">
        <v>45464</v>
      </c>
      <c r="BV49">
        <v>34950</v>
      </c>
      <c r="BW49" s="155"/>
      <c r="BX49" t="s">
        <v>170</v>
      </c>
      <c r="BY49" t="s">
        <v>170</v>
      </c>
      <c r="CB49" t="s">
        <v>170</v>
      </c>
      <c r="CC49" t="s">
        <v>170</v>
      </c>
      <c r="CD49" t="s">
        <v>692</v>
      </c>
      <c r="CE49" t="s">
        <v>169</v>
      </c>
      <c r="CF49" t="s">
        <v>693</v>
      </c>
      <c r="CG49" t="s">
        <v>169</v>
      </c>
      <c r="CH49" t="s">
        <v>694</v>
      </c>
      <c r="CI49" t="s">
        <v>170</v>
      </c>
      <c r="CK49" t="s">
        <v>233</v>
      </c>
      <c r="CM49">
        <v>1</v>
      </c>
      <c r="CN49" t="s">
        <v>234</v>
      </c>
      <c r="CP49">
        <v>48</v>
      </c>
      <c r="CQ49">
        <v>9.5</v>
      </c>
      <c r="CR49">
        <v>50.1</v>
      </c>
      <c r="CS49" t="s">
        <v>235</v>
      </c>
      <c r="CV49" t="s">
        <v>341</v>
      </c>
      <c r="CX49" t="s">
        <v>342</v>
      </c>
      <c r="CY49" t="s">
        <v>170</v>
      </c>
      <c r="DD49">
        <v>1</v>
      </c>
      <c r="DE49" t="s">
        <v>404</v>
      </c>
      <c r="DF49" t="s">
        <v>686</v>
      </c>
      <c r="DG49">
        <v>8</v>
      </c>
      <c r="DJ49" t="s">
        <v>184</v>
      </c>
      <c r="DK49" t="s">
        <v>185</v>
      </c>
      <c r="DL49" t="s">
        <v>170</v>
      </c>
      <c r="DM49" t="s">
        <v>170</v>
      </c>
      <c r="DN49" t="s">
        <v>170</v>
      </c>
      <c r="DO49" t="s">
        <v>695</v>
      </c>
      <c r="DP49" t="s">
        <v>169</v>
      </c>
      <c r="DQ49" t="s">
        <v>198</v>
      </c>
      <c r="DY49">
        <v>21</v>
      </c>
      <c r="EA49" s="101"/>
      <c r="EB49">
        <v>3</v>
      </c>
      <c r="EC49">
        <v>3</v>
      </c>
      <c r="EE49" t="s">
        <v>696</v>
      </c>
      <c r="EF49">
        <v>2</v>
      </c>
      <c r="EV49">
        <v>9250</v>
      </c>
      <c r="EW49">
        <v>638</v>
      </c>
      <c r="EX49">
        <v>416</v>
      </c>
      <c r="EY49">
        <v>538</v>
      </c>
    </row>
    <row r="50" spans="1:155" x14ac:dyDescent="0.35">
      <c r="A50">
        <v>2025</v>
      </c>
      <c r="B50" t="s">
        <v>205</v>
      </c>
      <c r="C50" t="s">
        <v>385</v>
      </c>
      <c r="D50" t="s">
        <v>1510</v>
      </c>
      <c r="E50" t="s">
        <v>208</v>
      </c>
      <c r="F50">
        <v>30</v>
      </c>
      <c r="G50">
        <v>4</v>
      </c>
      <c r="H50">
        <v>8</v>
      </c>
      <c r="I50" t="s">
        <v>192</v>
      </c>
      <c r="J50">
        <v>14</v>
      </c>
      <c r="K50">
        <v>20</v>
      </c>
      <c r="L50">
        <v>16</v>
      </c>
      <c r="M50">
        <v>17.7</v>
      </c>
      <c r="N50">
        <v>27.1</v>
      </c>
      <c r="O50">
        <v>20.973800000000001</v>
      </c>
      <c r="P50">
        <v>14.360900000000001</v>
      </c>
      <c r="Q50">
        <v>19.623799999999999</v>
      </c>
      <c r="R50">
        <v>16.331900000000001</v>
      </c>
      <c r="T50" t="s">
        <v>165</v>
      </c>
      <c r="U50" t="s">
        <v>166</v>
      </c>
      <c r="V50" t="s">
        <v>193</v>
      </c>
      <c r="W50" t="s">
        <v>194</v>
      </c>
      <c r="Y50">
        <v>8</v>
      </c>
      <c r="Z50" t="s">
        <v>169</v>
      </c>
      <c r="AA50" t="s">
        <v>170</v>
      </c>
      <c r="AB50" t="s">
        <v>167</v>
      </c>
      <c r="AC50" t="s">
        <v>213</v>
      </c>
      <c r="AD50">
        <v>15</v>
      </c>
      <c r="AG50" t="s">
        <v>173</v>
      </c>
      <c r="AH50" t="s">
        <v>174</v>
      </c>
      <c r="AI50" t="s">
        <v>175</v>
      </c>
      <c r="AJ50" t="s">
        <v>176</v>
      </c>
      <c r="AK50" t="s">
        <v>940</v>
      </c>
      <c r="AL50" t="s">
        <v>941</v>
      </c>
      <c r="AS50">
        <v>4000</v>
      </c>
      <c r="AT50">
        <v>4000</v>
      </c>
      <c r="BN50" t="s">
        <v>338</v>
      </c>
      <c r="BO50">
        <v>2</v>
      </c>
      <c r="BP50">
        <v>2</v>
      </c>
      <c r="BQ50">
        <v>33</v>
      </c>
      <c r="BR50" t="s">
        <v>1497</v>
      </c>
      <c r="BT50" t="s">
        <v>181</v>
      </c>
      <c r="BU50" s="1">
        <v>45485</v>
      </c>
      <c r="BV50">
        <v>35065</v>
      </c>
      <c r="BW50" s="156"/>
      <c r="BX50" t="s">
        <v>169</v>
      </c>
      <c r="BY50" t="s">
        <v>170</v>
      </c>
      <c r="CB50" t="s">
        <v>170</v>
      </c>
      <c r="CC50" t="s">
        <v>170</v>
      </c>
      <c r="CD50" t="s">
        <v>833</v>
      </c>
      <c r="CE50" t="s">
        <v>169</v>
      </c>
      <c r="CF50" t="s">
        <v>693</v>
      </c>
      <c r="CG50" t="s">
        <v>169</v>
      </c>
      <c r="CH50" t="s">
        <v>694</v>
      </c>
      <c r="CI50" t="s">
        <v>170</v>
      </c>
      <c r="CK50" t="s">
        <v>233</v>
      </c>
      <c r="CM50">
        <v>1</v>
      </c>
      <c r="CN50" t="s">
        <v>234</v>
      </c>
      <c r="CP50">
        <v>48</v>
      </c>
      <c r="CQ50">
        <v>9.5</v>
      </c>
      <c r="CR50">
        <v>50.1</v>
      </c>
      <c r="CS50" t="s">
        <v>235</v>
      </c>
      <c r="CV50" t="s">
        <v>341</v>
      </c>
      <c r="CX50" t="s">
        <v>342</v>
      </c>
      <c r="CY50" t="s">
        <v>170</v>
      </c>
      <c r="DD50">
        <v>1</v>
      </c>
      <c r="DE50" t="s">
        <v>404</v>
      </c>
      <c r="DF50" t="s">
        <v>686</v>
      </c>
      <c r="DG50">
        <v>8</v>
      </c>
      <c r="DJ50" t="s">
        <v>184</v>
      </c>
      <c r="DK50" t="s">
        <v>185</v>
      </c>
      <c r="DL50" t="s">
        <v>170</v>
      </c>
      <c r="DM50" t="s">
        <v>170</v>
      </c>
      <c r="DN50" t="s">
        <v>170</v>
      </c>
      <c r="DO50" t="s">
        <v>695</v>
      </c>
      <c r="DP50" t="s">
        <v>169</v>
      </c>
      <c r="DQ50" t="s">
        <v>198</v>
      </c>
      <c r="EA50" s="89"/>
      <c r="EB50">
        <v>3</v>
      </c>
      <c r="EC50">
        <v>3</v>
      </c>
      <c r="EE50" t="s">
        <v>696</v>
      </c>
      <c r="EF50">
        <v>3</v>
      </c>
      <c r="EV50">
        <v>10500</v>
      </c>
      <c r="EW50">
        <v>622</v>
      </c>
      <c r="EX50">
        <v>454</v>
      </c>
      <c r="EY50">
        <v>547</v>
      </c>
    </row>
    <row r="51" spans="1:155" x14ac:dyDescent="0.35">
      <c r="A51">
        <v>2025</v>
      </c>
      <c r="B51" t="s">
        <v>205</v>
      </c>
      <c r="C51" t="s">
        <v>385</v>
      </c>
      <c r="D51" t="s">
        <v>393</v>
      </c>
      <c r="E51" t="s">
        <v>208</v>
      </c>
      <c r="F51">
        <v>36</v>
      </c>
      <c r="G51">
        <v>2</v>
      </c>
      <c r="H51">
        <v>4</v>
      </c>
      <c r="I51" t="s">
        <v>209</v>
      </c>
      <c r="J51">
        <v>23</v>
      </c>
      <c r="K51">
        <v>31</v>
      </c>
      <c r="L51">
        <v>26</v>
      </c>
      <c r="M51">
        <v>28.7</v>
      </c>
      <c r="N51">
        <v>44</v>
      </c>
      <c r="O51">
        <v>34.024000000000001</v>
      </c>
      <c r="P51">
        <v>22.724399999999999</v>
      </c>
      <c r="Q51">
        <v>31.215699999999998</v>
      </c>
      <c r="R51">
        <v>25.894100000000002</v>
      </c>
      <c r="T51" t="s">
        <v>165</v>
      </c>
      <c r="U51" t="s">
        <v>166</v>
      </c>
      <c r="V51" t="s">
        <v>211</v>
      </c>
      <c r="W51" t="s">
        <v>212</v>
      </c>
      <c r="Y51">
        <v>7</v>
      </c>
      <c r="Z51" t="s">
        <v>170</v>
      </c>
      <c r="AA51" t="s">
        <v>170</v>
      </c>
      <c r="AB51" t="s">
        <v>167</v>
      </c>
      <c r="AC51" t="s">
        <v>213</v>
      </c>
      <c r="AD51">
        <v>15</v>
      </c>
      <c r="AG51" t="s">
        <v>173</v>
      </c>
      <c r="AH51" t="s">
        <v>174</v>
      </c>
      <c r="AI51" t="s">
        <v>175</v>
      </c>
      <c r="AJ51" t="s">
        <v>176</v>
      </c>
      <c r="AK51" t="s">
        <v>170</v>
      </c>
      <c r="AL51" t="s">
        <v>177</v>
      </c>
      <c r="AO51">
        <v>87</v>
      </c>
      <c r="AP51">
        <v>8</v>
      </c>
      <c r="AS51">
        <v>2450</v>
      </c>
      <c r="AT51">
        <v>2450</v>
      </c>
      <c r="BN51" t="s">
        <v>178</v>
      </c>
      <c r="BO51">
        <v>2</v>
      </c>
      <c r="BP51">
        <v>2</v>
      </c>
      <c r="BQ51">
        <v>3</v>
      </c>
      <c r="BR51" t="s">
        <v>387</v>
      </c>
      <c r="BS51" t="s">
        <v>180</v>
      </c>
      <c r="BT51" t="s">
        <v>225</v>
      </c>
      <c r="BU51" s="1">
        <v>45499</v>
      </c>
      <c r="BV51">
        <v>35137</v>
      </c>
      <c r="BW51" s="155"/>
      <c r="BX51" t="s">
        <v>170</v>
      </c>
      <c r="BY51" t="s">
        <v>170</v>
      </c>
      <c r="CB51" t="s">
        <v>170</v>
      </c>
      <c r="CC51" t="s">
        <v>170</v>
      </c>
      <c r="CD51" t="s">
        <v>394</v>
      </c>
      <c r="CE51" t="s">
        <v>170</v>
      </c>
      <c r="CG51" t="s">
        <v>169</v>
      </c>
      <c r="CH51" t="s">
        <v>389</v>
      </c>
      <c r="CI51" t="s">
        <v>169</v>
      </c>
      <c r="CJ51" t="s">
        <v>390</v>
      </c>
      <c r="DJ51" t="s">
        <v>184</v>
      </c>
      <c r="DK51" t="s">
        <v>185</v>
      </c>
      <c r="DL51" t="s">
        <v>170</v>
      </c>
      <c r="DN51" t="s">
        <v>170</v>
      </c>
      <c r="DO51" t="s">
        <v>395</v>
      </c>
      <c r="DP51" t="s">
        <v>169</v>
      </c>
      <c r="DQ51" t="s">
        <v>198</v>
      </c>
      <c r="DY51">
        <v>34.299999999999997</v>
      </c>
      <c r="EA51" s="101"/>
      <c r="EB51">
        <v>5</v>
      </c>
      <c r="EC51">
        <v>5</v>
      </c>
      <c r="EE51" t="s">
        <v>396</v>
      </c>
      <c r="EF51">
        <v>4</v>
      </c>
      <c r="EV51">
        <v>2750</v>
      </c>
      <c r="EW51">
        <v>392</v>
      </c>
      <c r="EX51">
        <v>285</v>
      </c>
      <c r="EY51">
        <v>344</v>
      </c>
    </row>
    <row r="52" spans="1:155" x14ac:dyDescent="0.35">
      <c r="A52">
        <v>2025</v>
      </c>
      <c r="B52" t="s">
        <v>205</v>
      </c>
      <c r="C52" t="s">
        <v>385</v>
      </c>
      <c r="D52" t="s">
        <v>540</v>
      </c>
      <c r="E52" t="s">
        <v>208</v>
      </c>
      <c r="F52">
        <v>10</v>
      </c>
      <c r="G52">
        <v>3</v>
      </c>
      <c r="H52">
        <v>6</v>
      </c>
      <c r="I52" t="s">
        <v>192</v>
      </c>
      <c r="J52">
        <v>20</v>
      </c>
      <c r="K52">
        <v>29</v>
      </c>
      <c r="L52">
        <v>24</v>
      </c>
      <c r="M52">
        <v>25.9</v>
      </c>
      <c r="N52">
        <v>41</v>
      </c>
      <c r="O52">
        <v>31.045200000000001</v>
      </c>
      <c r="P52">
        <v>20.4572</v>
      </c>
      <c r="Q52">
        <v>28.7652</v>
      </c>
      <c r="R52">
        <v>23.513200000000001</v>
      </c>
      <c r="T52" t="s">
        <v>165</v>
      </c>
      <c r="U52" t="s">
        <v>166</v>
      </c>
      <c r="V52" t="s">
        <v>193</v>
      </c>
      <c r="W52" t="s">
        <v>194</v>
      </c>
      <c r="Y52">
        <v>8</v>
      </c>
      <c r="Z52" t="s">
        <v>169</v>
      </c>
      <c r="AA52" t="s">
        <v>170</v>
      </c>
      <c r="AB52" t="s">
        <v>167</v>
      </c>
      <c r="AC52" t="s">
        <v>213</v>
      </c>
      <c r="AD52">
        <v>15</v>
      </c>
      <c r="AG52" t="s">
        <v>173</v>
      </c>
      <c r="AH52" t="s">
        <v>174</v>
      </c>
      <c r="AI52" t="s">
        <v>175</v>
      </c>
      <c r="AJ52" t="s">
        <v>176</v>
      </c>
      <c r="AK52" t="s">
        <v>170</v>
      </c>
      <c r="AL52" t="s">
        <v>177</v>
      </c>
      <c r="AO52">
        <v>92</v>
      </c>
      <c r="AP52">
        <v>12</v>
      </c>
      <c r="AS52">
        <v>2650</v>
      </c>
      <c r="AT52">
        <v>2650</v>
      </c>
      <c r="BN52" t="s">
        <v>178</v>
      </c>
      <c r="BO52">
        <v>2</v>
      </c>
      <c r="BP52">
        <v>2</v>
      </c>
      <c r="BQ52">
        <v>4</v>
      </c>
      <c r="BR52" t="s">
        <v>521</v>
      </c>
      <c r="BS52" t="s">
        <v>180</v>
      </c>
      <c r="BT52" t="s">
        <v>181</v>
      </c>
      <c r="BU52" s="1">
        <v>45464</v>
      </c>
      <c r="BV52">
        <v>34930</v>
      </c>
      <c r="BW52" s="155"/>
      <c r="BX52" t="s">
        <v>170</v>
      </c>
      <c r="BY52" t="s">
        <v>170</v>
      </c>
      <c r="CB52" t="s">
        <v>170</v>
      </c>
      <c r="CC52" t="s">
        <v>170</v>
      </c>
      <c r="CD52" t="s">
        <v>541</v>
      </c>
      <c r="CE52" t="s">
        <v>170</v>
      </c>
      <c r="CG52" t="s">
        <v>169</v>
      </c>
      <c r="CH52" t="s">
        <v>542</v>
      </c>
      <c r="CI52" t="s">
        <v>169</v>
      </c>
      <c r="CJ52" t="s">
        <v>542</v>
      </c>
      <c r="DJ52" t="s">
        <v>184</v>
      </c>
      <c r="DK52" t="s">
        <v>185</v>
      </c>
      <c r="DN52" t="s">
        <v>170</v>
      </c>
      <c r="DO52" t="s">
        <v>391</v>
      </c>
      <c r="DP52" t="s">
        <v>169</v>
      </c>
      <c r="DQ52" t="s">
        <v>198</v>
      </c>
      <c r="DY52">
        <v>31.3</v>
      </c>
      <c r="EA52" s="101"/>
      <c r="EB52">
        <v>5</v>
      </c>
      <c r="EC52">
        <v>5</v>
      </c>
      <c r="EE52" t="s">
        <v>543</v>
      </c>
      <c r="EF52">
        <v>4</v>
      </c>
      <c r="EV52">
        <v>3750</v>
      </c>
      <c r="EW52">
        <v>433</v>
      </c>
      <c r="EX52">
        <v>308</v>
      </c>
      <c r="EY52">
        <v>377</v>
      </c>
    </row>
    <row r="53" spans="1:155" x14ac:dyDescent="0.35">
      <c r="A53">
        <v>2025</v>
      </c>
      <c r="B53" t="s">
        <v>205</v>
      </c>
      <c r="C53" t="s">
        <v>385</v>
      </c>
      <c r="D53" t="s">
        <v>697</v>
      </c>
      <c r="E53" t="s">
        <v>208</v>
      </c>
      <c r="F53">
        <v>55</v>
      </c>
      <c r="G53">
        <v>3</v>
      </c>
      <c r="H53">
        <v>6</v>
      </c>
      <c r="I53" t="s">
        <v>209</v>
      </c>
      <c r="J53">
        <v>19</v>
      </c>
      <c r="K53">
        <v>28</v>
      </c>
      <c r="L53">
        <v>22</v>
      </c>
      <c r="M53">
        <v>24.2</v>
      </c>
      <c r="N53">
        <v>39</v>
      </c>
      <c r="O53">
        <v>29.183700000000002</v>
      </c>
      <c r="P53">
        <v>19.084900000000001</v>
      </c>
      <c r="Q53">
        <v>28.2895</v>
      </c>
      <c r="R53">
        <v>22.358599999999999</v>
      </c>
      <c r="T53" t="s">
        <v>165</v>
      </c>
      <c r="U53" t="s">
        <v>166</v>
      </c>
      <c r="V53" t="s">
        <v>211</v>
      </c>
      <c r="W53" t="s">
        <v>212</v>
      </c>
      <c r="Y53">
        <v>7</v>
      </c>
      <c r="Z53" t="s">
        <v>170</v>
      </c>
      <c r="AA53" t="s">
        <v>170</v>
      </c>
      <c r="AB53" t="s">
        <v>167</v>
      </c>
      <c r="AC53" t="s">
        <v>213</v>
      </c>
      <c r="AD53">
        <v>15</v>
      </c>
      <c r="AG53" t="s">
        <v>173</v>
      </c>
      <c r="AH53" t="s">
        <v>174</v>
      </c>
      <c r="AI53" t="s">
        <v>175</v>
      </c>
      <c r="AJ53" t="s">
        <v>176</v>
      </c>
      <c r="AK53" t="s">
        <v>170</v>
      </c>
      <c r="AL53" t="s">
        <v>177</v>
      </c>
      <c r="AQ53">
        <v>91</v>
      </c>
      <c r="AR53">
        <v>22</v>
      </c>
      <c r="AS53">
        <v>2900</v>
      </c>
      <c r="AT53">
        <v>2900</v>
      </c>
      <c r="BN53" t="s">
        <v>178</v>
      </c>
      <c r="BO53">
        <v>2</v>
      </c>
      <c r="BP53">
        <v>2</v>
      </c>
      <c r="BQ53">
        <v>5</v>
      </c>
      <c r="BR53" t="s">
        <v>672</v>
      </c>
      <c r="BS53" t="s">
        <v>180</v>
      </c>
      <c r="BT53" t="s">
        <v>225</v>
      </c>
      <c r="BU53" s="1">
        <v>45716</v>
      </c>
      <c r="BV53">
        <v>36159</v>
      </c>
      <c r="BW53" s="156"/>
      <c r="BX53" t="s">
        <v>169</v>
      </c>
      <c r="BY53" t="s">
        <v>170</v>
      </c>
      <c r="CB53" t="s">
        <v>170</v>
      </c>
      <c r="CC53" t="s">
        <v>170</v>
      </c>
      <c r="CD53" t="s">
        <v>698</v>
      </c>
      <c r="CE53" t="s">
        <v>170</v>
      </c>
      <c r="CG53" t="s">
        <v>169</v>
      </c>
      <c r="CH53" t="s">
        <v>699</v>
      </c>
      <c r="CI53" t="s">
        <v>169</v>
      </c>
      <c r="CJ53" t="s">
        <v>700</v>
      </c>
      <c r="DJ53" t="s">
        <v>184</v>
      </c>
      <c r="DK53" t="s">
        <v>185</v>
      </c>
      <c r="DL53" t="s">
        <v>170</v>
      </c>
      <c r="DN53" t="s">
        <v>170</v>
      </c>
      <c r="DO53" t="s">
        <v>391</v>
      </c>
      <c r="DP53" t="s">
        <v>169</v>
      </c>
      <c r="DQ53" t="s">
        <v>198</v>
      </c>
      <c r="DY53">
        <v>29.4</v>
      </c>
      <c r="EA53" s="89"/>
      <c r="EB53">
        <v>5</v>
      </c>
      <c r="EC53">
        <v>5</v>
      </c>
      <c r="EE53" t="s">
        <v>701</v>
      </c>
      <c r="EF53">
        <v>4</v>
      </c>
      <c r="EV53">
        <v>5000</v>
      </c>
      <c r="EW53">
        <v>466</v>
      </c>
      <c r="EX53">
        <v>314</v>
      </c>
      <c r="EY53">
        <v>397</v>
      </c>
    </row>
    <row r="54" spans="1:155" x14ac:dyDescent="0.35">
      <c r="A54">
        <v>2025</v>
      </c>
      <c r="B54" t="s">
        <v>205</v>
      </c>
      <c r="C54" t="s">
        <v>385</v>
      </c>
      <c r="D54" t="s">
        <v>702</v>
      </c>
      <c r="E54" t="s">
        <v>208</v>
      </c>
      <c r="F54">
        <v>6</v>
      </c>
      <c r="G54">
        <v>3</v>
      </c>
      <c r="H54">
        <v>6</v>
      </c>
      <c r="I54" t="s">
        <v>192</v>
      </c>
      <c r="J54">
        <v>20</v>
      </c>
      <c r="K54">
        <v>29</v>
      </c>
      <c r="L54">
        <v>23</v>
      </c>
      <c r="M54">
        <v>25.2</v>
      </c>
      <c r="N54">
        <v>40.799999999999997</v>
      </c>
      <c r="O54">
        <v>30.436900000000001</v>
      </c>
      <c r="P54">
        <v>19.949400000000001</v>
      </c>
      <c r="Q54">
        <v>28.637799999999999</v>
      </c>
      <c r="R54">
        <v>23.1036</v>
      </c>
      <c r="T54" t="s">
        <v>165</v>
      </c>
      <c r="U54" t="s">
        <v>166</v>
      </c>
      <c r="V54" t="s">
        <v>193</v>
      </c>
      <c r="W54" t="s">
        <v>194</v>
      </c>
      <c r="Y54">
        <v>8</v>
      </c>
      <c r="Z54" t="s">
        <v>169</v>
      </c>
      <c r="AA54" t="s">
        <v>170</v>
      </c>
      <c r="AB54" t="s">
        <v>167</v>
      </c>
      <c r="AC54" t="s">
        <v>213</v>
      </c>
      <c r="AD54">
        <v>15</v>
      </c>
      <c r="AG54" t="s">
        <v>173</v>
      </c>
      <c r="AH54" t="s">
        <v>174</v>
      </c>
      <c r="AI54" t="s">
        <v>175</v>
      </c>
      <c r="AJ54" t="s">
        <v>176</v>
      </c>
      <c r="AK54" t="s">
        <v>170</v>
      </c>
      <c r="AL54" t="s">
        <v>177</v>
      </c>
      <c r="AQ54">
        <v>91</v>
      </c>
      <c r="AR54">
        <v>22</v>
      </c>
      <c r="AS54">
        <v>2750</v>
      </c>
      <c r="AT54">
        <v>2750</v>
      </c>
      <c r="BN54" t="s">
        <v>178</v>
      </c>
      <c r="BO54">
        <v>2</v>
      </c>
      <c r="BP54">
        <v>2</v>
      </c>
      <c r="BQ54">
        <v>5</v>
      </c>
      <c r="BR54" t="s">
        <v>672</v>
      </c>
      <c r="BS54" t="s">
        <v>180</v>
      </c>
      <c r="BT54" t="s">
        <v>181</v>
      </c>
      <c r="BU54" s="1">
        <v>45464</v>
      </c>
      <c r="BV54">
        <v>34925</v>
      </c>
      <c r="BW54" s="155"/>
      <c r="BX54" t="s">
        <v>170</v>
      </c>
      <c r="BY54" t="s">
        <v>170</v>
      </c>
      <c r="CB54" t="s">
        <v>170</v>
      </c>
      <c r="CC54" t="s">
        <v>170</v>
      </c>
      <c r="CD54" t="s">
        <v>541</v>
      </c>
      <c r="CE54" t="s">
        <v>170</v>
      </c>
      <c r="CG54" t="s">
        <v>169</v>
      </c>
      <c r="CH54" t="s">
        <v>542</v>
      </c>
      <c r="CI54" t="s">
        <v>169</v>
      </c>
      <c r="CJ54" t="s">
        <v>542</v>
      </c>
      <c r="DJ54" t="s">
        <v>184</v>
      </c>
      <c r="DK54" t="s">
        <v>185</v>
      </c>
      <c r="DN54" t="s">
        <v>170</v>
      </c>
      <c r="DO54" t="s">
        <v>391</v>
      </c>
      <c r="DP54" t="s">
        <v>169</v>
      </c>
      <c r="DQ54" t="s">
        <v>198</v>
      </c>
      <c r="DY54">
        <v>30.7</v>
      </c>
      <c r="EA54" s="101"/>
      <c r="EB54">
        <v>5</v>
      </c>
      <c r="EC54">
        <v>5</v>
      </c>
      <c r="EE54" t="s">
        <v>543</v>
      </c>
      <c r="EF54">
        <v>4</v>
      </c>
      <c r="EV54">
        <v>4250</v>
      </c>
      <c r="EW54">
        <v>444</v>
      </c>
      <c r="EX54">
        <v>311</v>
      </c>
      <c r="EY54">
        <v>384</v>
      </c>
    </row>
    <row r="55" spans="1:155" x14ac:dyDescent="0.35">
      <c r="A55">
        <v>2025</v>
      </c>
      <c r="B55" t="s">
        <v>205</v>
      </c>
      <c r="C55" t="s">
        <v>385</v>
      </c>
      <c r="D55" t="s">
        <v>703</v>
      </c>
      <c r="E55" t="s">
        <v>208</v>
      </c>
      <c r="F55">
        <v>28</v>
      </c>
      <c r="G55">
        <v>2.9</v>
      </c>
      <c r="H55">
        <v>6</v>
      </c>
      <c r="I55" t="s">
        <v>192</v>
      </c>
      <c r="J55">
        <v>19</v>
      </c>
      <c r="K55">
        <v>27</v>
      </c>
      <c r="L55">
        <v>22</v>
      </c>
      <c r="M55">
        <v>23.898499999999999</v>
      </c>
      <c r="N55">
        <v>37.606299999999997</v>
      </c>
      <c r="O55">
        <v>28.587700000000002</v>
      </c>
      <c r="P55">
        <v>18.999199999999998</v>
      </c>
      <c r="Q55">
        <v>26.586300000000001</v>
      </c>
      <c r="R55">
        <v>21.7986</v>
      </c>
      <c r="T55" t="s">
        <v>704</v>
      </c>
      <c r="U55" t="s">
        <v>404</v>
      </c>
      <c r="V55" t="s">
        <v>193</v>
      </c>
      <c r="W55" t="s">
        <v>194</v>
      </c>
      <c r="Y55">
        <v>8</v>
      </c>
      <c r="Z55" t="s">
        <v>169</v>
      </c>
      <c r="AA55" t="s">
        <v>170</v>
      </c>
      <c r="AB55" t="s">
        <v>167</v>
      </c>
      <c r="AC55" t="s">
        <v>213</v>
      </c>
      <c r="AD55">
        <v>15</v>
      </c>
      <c r="AG55" t="s">
        <v>173</v>
      </c>
      <c r="AH55" t="s">
        <v>174</v>
      </c>
      <c r="AI55" t="s">
        <v>175</v>
      </c>
      <c r="AJ55" t="s">
        <v>176</v>
      </c>
      <c r="AK55" t="s">
        <v>170</v>
      </c>
      <c r="AL55" t="s">
        <v>177</v>
      </c>
      <c r="AO55">
        <v>99</v>
      </c>
      <c r="AP55">
        <v>14</v>
      </c>
      <c r="AS55">
        <v>2900</v>
      </c>
      <c r="AT55">
        <v>2900</v>
      </c>
      <c r="BN55" t="s">
        <v>338</v>
      </c>
      <c r="BO55">
        <v>2</v>
      </c>
      <c r="BP55">
        <v>2</v>
      </c>
      <c r="BQ55">
        <v>5</v>
      </c>
      <c r="BR55" t="s">
        <v>672</v>
      </c>
      <c r="BS55" t="s">
        <v>180</v>
      </c>
      <c r="BT55" t="s">
        <v>181</v>
      </c>
      <c r="BU55" s="1">
        <v>45492</v>
      </c>
      <c r="BV55">
        <v>35141</v>
      </c>
      <c r="BW55" s="155"/>
      <c r="BX55" t="s">
        <v>170</v>
      </c>
      <c r="BY55" t="s">
        <v>170</v>
      </c>
      <c r="CB55" t="s">
        <v>170</v>
      </c>
      <c r="CC55" t="s">
        <v>170</v>
      </c>
      <c r="CD55" t="s">
        <v>705</v>
      </c>
      <c r="CE55" t="s">
        <v>170</v>
      </c>
      <c r="CG55" t="s">
        <v>169</v>
      </c>
      <c r="CH55" t="s">
        <v>706</v>
      </c>
      <c r="CI55" t="s">
        <v>169</v>
      </c>
      <c r="CJ55" t="s">
        <v>707</v>
      </c>
      <c r="CK55" t="s">
        <v>233</v>
      </c>
      <c r="CM55">
        <v>1</v>
      </c>
      <c r="CN55" t="s">
        <v>234</v>
      </c>
      <c r="CP55">
        <v>48</v>
      </c>
      <c r="CQ55">
        <v>9.5</v>
      </c>
      <c r="CR55">
        <v>50.1</v>
      </c>
      <c r="CS55" t="s">
        <v>235</v>
      </c>
      <c r="CV55" t="s">
        <v>341</v>
      </c>
      <c r="CX55" t="s">
        <v>342</v>
      </c>
      <c r="CY55" t="s">
        <v>170</v>
      </c>
      <c r="DD55">
        <v>1</v>
      </c>
      <c r="DE55" t="s">
        <v>404</v>
      </c>
      <c r="DF55" t="s">
        <v>686</v>
      </c>
      <c r="DG55">
        <v>8</v>
      </c>
      <c r="DJ55" t="s">
        <v>184</v>
      </c>
      <c r="DK55" t="s">
        <v>185</v>
      </c>
      <c r="DL55" t="s">
        <v>170</v>
      </c>
      <c r="DM55" t="s">
        <v>170</v>
      </c>
      <c r="DN55" t="s">
        <v>170</v>
      </c>
      <c r="DO55" t="s">
        <v>391</v>
      </c>
      <c r="DP55" t="s">
        <v>169</v>
      </c>
      <c r="DQ55" t="s">
        <v>198</v>
      </c>
      <c r="DY55">
        <v>28.8</v>
      </c>
      <c r="EA55" s="101"/>
      <c r="EB55">
        <v>5</v>
      </c>
      <c r="EC55">
        <v>5</v>
      </c>
      <c r="EE55" t="s">
        <v>687</v>
      </c>
      <c r="EF55">
        <v>4</v>
      </c>
      <c r="EV55">
        <v>5000</v>
      </c>
      <c r="EW55">
        <v>468</v>
      </c>
      <c r="EX55">
        <v>335</v>
      </c>
      <c r="EY55">
        <v>408</v>
      </c>
    </row>
    <row r="56" spans="1:155" x14ac:dyDescent="0.35">
      <c r="A56">
        <v>2025</v>
      </c>
      <c r="B56" t="s">
        <v>205</v>
      </c>
      <c r="C56" t="s">
        <v>385</v>
      </c>
      <c r="D56" t="s">
        <v>708</v>
      </c>
      <c r="E56" t="s">
        <v>208</v>
      </c>
      <c r="F56">
        <v>29</v>
      </c>
      <c r="G56">
        <v>2.9</v>
      </c>
      <c r="H56">
        <v>6</v>
      </c>
      <c r="I56" t="s">
        <v>192</v>
      </c>
      <c r="J56">
        <v>19</v>
      </c>
      <c r="K56">
        <v>27</v>
      </c>
      <c r="L56">
        <v>22</v>
      </c>
      <c r="M56">
        <v>23.898499999999999</v>
      </c>
      <c r="N56">
        <v>37.606299999999997</v>
      </c>
      <c r="O56">
        <v>28.587700000000002</v>
      </c>
      <c r="P56">
        <v>18.999199999999998</v>
      </c>
      <c r="Q56">
        <v>26.586300000000001</v>
      </c>
      <c r="R56">
        <v>21.7986</v>
      </c>
      <c r="T56" t="s">
        <v>704</v>
      </c>
      <c r="U56" t="s">
        <v>404</v>
      </c>
      <c r="V56" t="s">
        <v>193</v>
      </c>
      <c r="W56" t="s">
        <v>194</v>
      </c>
      <c r="Y56">
        <v>8</v>
      </c>
      <c r="Z56" t="s">
        <v>169</v>
      </c>
      <c r="AA56" t="s">
        <v>170</v>
      </c>
      <c r="AB56" t="s">
        <v>167</v>
      </c>
      <c r="AC56" t="s">
        <v>213</v>
      </c>
      <c r="AD56">
        <v>15</v>
      </c>
      <c r="AG56" t="s">
        <v>173</v>
      </c>
      <c r="AH56" t="s">
        <v>174</v>
      </c>
      <c r="AI56" t="s">
        <v>175</v>
      </c>
      <c r="AJ56" t="s">
        <v>176</v>
      </c>
      <c r="AK56" t="s">
        <v>170</v>
      </c>
      <c r="AL56" t="s">
        <v>177</v>
      </c>
      <c r="AQ56">
        <v>94</v>
      </c>
      <c r="AR56">
        <v>25</v>
      </c>
      <c r="AS56">
        <v>2900</v>
      </c>
      <c r="AT56">
        <v>2900</v>
      </c>
      <c r="BN56" t="s">
        <v>338</v>
      </c>
      <c r="BO56">
        <v>2</v>
      </c>
      <c r="BP56">
        <v>2</v>
      </c>
      <c r="BQ56">
        <v>5</v>
      </c>
      <c r="BR56" t="s">
        <v>672</v>
      </c>
      <c r="BS56" t="s">
        <v>180</v>
      </c>
      <c r="BT56" t="s">
        <v>181</v>
      </c>
      <c r="BU56" s="1">
        <v>45492</v>
      </c>
      <c r="BV56">
        <v>35146</v>
      </c>
      <c r="BW56" s="156"/>
      <c r="BX56" t="s">
        <v>170</v>
      </c>
      <c r="BY56" t="s">
        <v>170</v>
      </c>
      <c r="CB56" t="s">
        <v>170</v>
      </c>
      <c r="CC56" t="s">
        <v>170</v>
      </c>
      <c r="CD56" t="s">
        <v>705</v>
      </c>
      <c r="CE56" t="s">
        <v>170</v>
      </c>
      <c r="CG56" t="s">
        <v>169</v>
      </c>
      <c r="CH56" t="s">
        <v>706</v>
      </c>
      <c r="CI56" t="s">
        <v>169</v>
      </c>
      <c r="CJ56" t="s">
        <v>707</v>
      </c>
      <c r="CK56" t="s">
        <v>233</v>
      </c>
      <c r="CM56">
        <v>1</v>
      </c>
      <c r="CN56" t="s">
        <v>234</v>
      </c>
      <c r="CP56">
        <v>48</v>
      </c>
      <c r="CQ56">
        <v>9.5</v>
      </c>
      <c r="CR56">
        <v>50.1</v>
      </c>
      <c r="CS56" t="s">
        <v>235</v>
      </c>
      <c r="CV56" t="s">
        <v>341</v>
      </c>
      <c r="CX56" t="s">
        <v>342</v>
      </c>
      <c r="CY56" t="s">
        <v>170</v>
      </c>
      <c r="DD56">
        <v>1</v>
      </c>
      <c r="DE56" t="s">
        <v>404</v>
      </c>
      <c r="DF56" t="s">
        <v>686</v>
      </c>
      <c r="DG56">
        <v>8</v>
      </c>
      <c r="DJ56" t="s">
        <v>184</v>
      </c>
      <c r="DK56" t="s">
        <v>185</v>
      </c>
      <c r="DL56" t="s">
        <v>170</v>
      </c>
      <c r="DM56" t="s">
        <v>170</v>
      </c>
      <c r="DN56" t="s">
        <v>170</v>
      </c>
      <c r="DO56" t="s">
        <v>391</v>
      </c>
      <c r="DP56" t="s">
        <v>169</v>
      </c>
      <c r="DQ56" t="s">
        <v>198</v>
      </c>
      <c r="DY56">
        <v>28.8</v>
      </c>
      <c r="EA56" s="89"/>
      <c r="EB56">
        <v>5</v>
      </c>
      <c r="EC56">
        <v>5</v>
      </c>
      <c r="EE56" t="s">
        <v>687</v>
      </c>
      <c r="EF56">
        <v>4</v>
      </c>
      <c r="EV56">
        <v>5000</v>
      </c>
      <c r="EW56">
        <v>468</v>
      </c>
      <c r="EX56">
        <v>335</v>
      </c>
      <c r="EY56">
        <v>408</v>
      </c>
    </row>
    <row r="57" spans="1:155" x14ac:dyDescent="0.35">
      <c r="A57">
        <v>2025</v>
      </c>
      <c r="B57" t="s">
        <v>205</v>
      </c>
      <c r="C57" t="s">
        <v>385</v>
      </c>
      <c r="D57" t="s">
        <v>832</v>
      </c>
      <c r="E57" t="s">
        <v>208</v>
      </c>
      <c r="F57">
        <v>9</v>
      </c>
      <c r="G57">
        <v>4</v>
      </c>
      <c r="H57">
        <v>8</v>
      </c>
      <c r="I57" t="s">
        <v>192</v>
      </c>
      <c r="J57">
        <v>15</v>
      </c>
      <c r="K57">
        <v>24</v>
      </c>
      <c r="L57">
        <v>18</v>
      </c>
      <c r="M57">
        <v>19.146699999999999</v>
      </c>
      <c r="N57">
        <v>32.799999999999997</v>
      </c>
      <c r="O57">
        <v>23.559899999999999</v>
      </c>
      <c r="P57">
        <v>14.6875</v>
      </c>
      <c r="Q57">
        <v>23.5456</v>
      </c>
      <c r="R57">
        <v>17.680800000000001</v>
      </c>
      <c r="T57" t="s">
        <v>165</v>
      </c>
      <c r="U57" t="s">
        <v>166</v>
      </c>
      <c r="V57" t="s">
        <v>193</v>
      </c>
      <c r="W57" t="s">
        <v>194</v>
      </c>
      <c r="Y57">
        <v>8</v>
      </c>
      <c r="Z57" t="s">
        <v>169</v>
      </c>
      <c r="AA57" t="s">
        <v>170</v>
      </c>
      <c r="AB57" t="s">
        <v>167</v>
      </c>
      <c r="AC57" t="s">
        <v>213</v>
      </c>
      <c r="AD57">
        <v>15</v>
      </c>
      <c r="AG57" t="s">
        <v>173</v>
      </c>
      <c r="AH57" t="s">
        <v>174</v>
      </c>
      <c r="AI57" t="s">
        <v>175</v>
      </c>
      <c r="AJ57" t="s">
        <v>176</v>
      </c>
      <c r="AK57" t="s">
        <v>170</v>
      </c>
      <c r="AL57" t="s">
        <v>177</v>
      </c>
      <c r="AO57">
        <v>111</v>
      </c>
      <c r="AP57">
        <v>13</v>
      </c>
      <c r="AS57">
        <v>3550</v>
      </c>
      <c r="AT57">
        <v>3550</v>
      </c>
      <c r="BN57" t="s">
        <v>338</v>
      </c>
      <c r="BO57">
        <v>2</v>
      </c>
      <c r="BP57">
        <v>2</v>
      </c>
      <c r="BQ57">
        <v>6</v>
      </c>
      <c r="BR57" t="s">
        <v>825</v>
      </c>
      <c r="BS57" t="s">
        <v>180</v>
      </c>
      <c r="BT57" t="s">
        <v>225</v>
      </c>
      <c r="BU57" s="1">
        <v>45464</v>
      </c>
      <c r="BV57">
        <v>34926</v>
      </c>
      <c r="BW57" s="155"/>
      <c r="BX57" t="s">
        <v>169</v>
      </c>
      <c r="BY57" t="s">
        <v>170</v>
      </c>
      <c r="CB57" t="s">
        <v>170</v>
      </c>
      <c r="CC57" t="s">
        <v>170</v>
      </c>
      <c r="CD57" t="s">
        <v>833</v>
      </c>
      <c r="CE57" t="s">
        <v>169</v>
      </c>
      <c r="CF57" t="s">
        <v>693</v>
      </c>
      <c r="CG57" t="s">
        <v>169</v>
      </c>
      <c r="CH57" t="s">
        <v>694</v>
      </c>
      <c r="CI57" t="s">
        <v>170</v>
      </c>
      <c r="CK57" t="s">
        <v>233</v>
      </c>
      <c r="CM57">
        <v>1</v>
      </c>
      <c r="CN57" t="s">
        <v>234</v>
      </c>
      <c r="CP57">
        <v>48</v>
      </c>
      <c r="CQ57">
        <v>9.5</v>
      </c>
      <c r="CR57">
        <v>50.1</v>
      </c>
      <c r="CS57" t="s">
        <v>235</v>
      </c>
      <c r="CV57" t="s">
        <v>341</v>
      </c>
      <c r="CX57" t="s">
        <v>342</v>
      </c>
      <c r="CY57" t="s">
        <v>170</v>
      </c>
      <c r="DD57">
        <v>1</v>
      </c>
      <c r="DE57" t="s">
        <v>404</v>
      </c>
      <c r="DF57" t="s">
        <v>686</v>
      </c>
      <c r="DG57">
        <v>8</v>
      </c>
      <c r="DJ57" t="s">
        <v>184</v>
      </c>
      <c r="DK57" t="s">
        <v>185</v>
      </c>
      <c r="DL57" t="s">
        <v>170</v>
      </c>
      <c r="DM57" t="s">
        <v>170</v>
      </c>
      <c r="DN57" t="s">
        <v>170</v>
      </c>
      <c r="DO57" t="s">
        <v>695</v>
      </c>
      <c r="DP57" t="s">
        <v>169</v>
      </c>
      <c r="DQ57" t="s">
        <v>198</v>
      </c>
      <c r="DY57">
        <v>23.7</v>
      </c>
      <c r="EA57" s="101"/>
      <c r="EB57">
        <v>4</v>
      </c>
      <c r="EC57">
        <v>4</v>
      </c>
      <c r="EE57" t="s">
        <v>696</v>
      </c>
      <c r="EF57">
        <v>2</v>
      </c>
      <c r="EV57">
        <v>8250</v>
      </c>
      <c r="EW57">
        <v>605</v>
      </c>
      <c r="EX57">
        <v>377</v>
      </c>
      <c r="EY57">
        <v>502</v>
      </c>
    </row>
    <row r="58" spans="1:155" x14ac:dyDescent="0.35">
      <c r="A58">
        <v>2025</v>
      </c>
      <c r="B58" t="s">
        <v>205</v>
      </c>
      <c r="C58" t="s">
        <v>385</v>
      </c>
      <c r="D58" t="s">
        <v>1247</v>
      </c>
      <c r="E58" t="s">
        <v>208</v>
      </c>
      <c r="F58">
        <v>7</v>
      </c>
      <c r="G58">
        <v>3</v>
      </c>
      <c r="H58">
        <v>6</v>
      </c>
      <c r="I58" t="s">
        <v>192</v>
      </c>
      <c r="J58">
        <v>19</v>
      </c>
      <c r="K58">
        <v>24</v>
      </c>
      <c r="L58">
        <v>21</v>
      </c>
      <c r="M58">
        <v>23.5</v>
      </c>
      <c r="N58">
        <v>33.628999999999998</v>
      </c>
      <c r="O58">
        <v>27.1846</v>
      </c>
      <c r="P58">
        <v>18.706600000000002</v>
      </c>
      <c r="Q58">
        <v>23.989699999999999</v>
      </c>
      <c r="R58">
        <v>20.764399999999998</v>
      </c>
      <c r="T58" t="s">
        <v>165</v>
      </c>
      <c r="U58" t="s">
        <v>166</v>
      </c>
      <c r="V58" t="s">
        <v>193</v>
      </c>
      <c r="W58" t="s">
        <v>194</v>
      </c>
      <c r="Y58">
        <v>8</v>
      </c>
      <c r="Z58" t="s">
        <v>169</v>
      </c>
      <c r="AA58" t="s">
        <v>170</v>
      </c>
      <c r="AB58" t="s">
        <v>167</v>
      </c>
      <c r="AC58" t="s">
        <v>213</v>
      </c>
      <c r="AD58">
        <v>15</v>
      </c>
      <c r="AG58" t="s">
        <v>173</v>
      </c>
      <c r="AH58" t="s">
        <v>174</v>
      </c>
      <c r="AI58" t="s">
        <v>175</v>
      </c>
      <c r="AJ58" t="s">
        <v>176</v>
      </c>
      <c r="AK58" t="s">
        <v>940</v>
      </c>
      <c r="AL58" t="s">
        <v>941</v>
      </c>
      <c r="AS58">
        <v>3050</v>
      </c>
      <c r="AT58">
        <v>3050</v>
      </c>
      <c r="BN58" t="s">
        <v>178</v>
      </c>
      <c r="BO58">
        <v>2</v>
      </c>
      <c r="BP58">
        <v>2</v>
      </c>
      <c r="BQ58">
        <v>31</v>
      </c>
      <c r="BR58" t="s">
        <v>1219</v>
      </c>
      <c r="BT58" t="s">
        <v>181</v>
      </c>
      <c r="BU58" s="1">
        <v>45464</v>
      </c>
      <c r="BV58">
        <v>34923</v>
      </c>
      <c r="BW58" s="155"/>
      <c r="BX58" t="s">
        <v>170</v>
      </c>
      <c r="BY58" t="s">
        <v>170</v>
      </c>
      <c r="CB58" t="s">
        <v>170</v>
      </c>
      <c r="CC58" t="s">
        <v>170</v>
      </c>
      <c r="CD58" t="s">
        <v>541</v>
      </c>
      <c r="CE58" t="s">
        <v>170</v>
      </c>
      <c r="CG58" t="s">
        <v>169</v>
      </c>
      <c r="CH58" t="s">
        <v>542</v>
      </c>
      <c r="CI58" t="s">
        <v>169</v>
      </c>
      <c r="CJ58" t="s">
        <v>542</v>
      </c>
      <c r="DJ58" t="s">
        <v>184</v>
      </c>
      <c r="DK58" t="s">
        <v>185</v>
      </c>
      <c r="DN58" t="s">
        <v>170</v>
      </c>
      <c r="DO58" t="s">
        <v>391</v>
      </c>
      <c r="DP58" t="s">
        <v>169</v>
      </c>
      <c r="DQ58" t="s">
        <v>198</v>
      </c>
      <c r="EA58" s="101"/>
      <c r="EB58">
        <v>4</v>
      </c>
      <c r="EC58">
        <v>4</v>
      </c>
      <c r="EE58" t="s">
        <v>543</v>
      </c>
      <c r="EF58">
        <v>4</v>
      </c>
      <c r="EV58">
        <v>5750</v>
      </c>
      <c r="EW58">
        <v>474</v>
      </c>
      <c r="EX58">
        <v>370</v>
      </c>
      <c r="EY58">
        <v>427</v>
      </c>
    </row>
    <row r="59" spans="1:155" x14ac:dyDescent="0.35">
      <c r="A59">
        <v>2025</v>
      </c>
      <c r="B59" t="s">
        <v>205</v>
      </c>
      <c r="C59" t="s">
        <v>385</v>
      </c>
      <c r="D59" t="s">
        <v>1247</v>
      </c>
      <c r="E59" t="s">
        <v>208</v>
      </c>
      <c r="F59">
        <v>56</v>
      </c>
      <c r="G59">
        <v>3</v>
      </c>
      <c r="H59">
        <v>6</v>
      </c>
      <c r="I59" t="s">
        <v>209</v>
      </c>
      <c r="J59">
        <v>19</v>
      </c>
      <c r="K59">
        <v>26</v>
      </c>
      <c r="L59">
        <v>22</v>
      </c>
      <c r="M59">
        <v>23.7</v>
      </c>
      <c r="N59">
        <v>36</v>
      </c>
      <c r="O59">
        <v>28.0059</v>
      </c>
      <c r="P59">
        <v>19.316199999999998</v>
      </c>
      <c r="Q59">
        <v>26.456800000000001</v>
      </c>
      <c r="R59">
        <v>21.986499999999999</v>
      </c>
      <c r="T59" t="s">
        <v>165</v>
      </c>
      <c r="U59" t="s">
        <v>166</v>
      </c>
      <c r="V59" t="s">
        <v>211</v>
      </c>
      <c r="W59" t="s">
        <v>212</v>
      </c>
      <c r="Y59">
        <v>7</v>
      </c>
      <c r="Z59" t="s">
        <v>170</v>
      </c>
      <c r="AA59" t="s">
        <v>170</v>
      </c>
      <c r="AB59" t="s">
        <v>167</v>
      </c>
      <c r="AC59" t="s">
        <v>213</v>
      </c>
      <c r="AD59">
        <v>15</v>
      </c>
      <c r="AG59" t="s">
        <v>173</v>
      </c>
      <c r="AH59" t="s">
        <v>174</v>
      </c>
      <c r="AI59" t="s">
        <v>175</v>
      </c>
      <c r="AJ59" t="s">
        <v>176</v>
      </c>
      <c r="AK59" t="s">
        <v>940</v>
      </c>
      <c r="AL59" t="s">
        <v>941</v>
      </c>
      <c r="AS59">
        <v>2900</v>
      </c>
      <c r="AT59">
        <v>2900</v>
      </c>
      <c r="BN59" t="s">
        <v>178</v>
      </c>
      <c r="BO59">
        <v>2</v>
      </c>
      <c r="BP59">
        <v>2</v>
      </c>
      <c r="BQ59">
        <v>31</v>
      </c>
      <c r="BR59" t="s">
        <v>1219</v>
      </c>
      <c r="BT59" t="s">
        <v>225</v>
      </c>
      <c r="BU59" s="1">
        <v>45730</v>
      </c>
      <c r="BV59">
        <v>36175</v>
      </c>
      <c r="BW59" s="156"/>
      <c r="BX59" t="s">
        <v>170</v>
      </c>
      <c r="BY59" t="s">
        <v>170</v>
      </c>
      <c r="CB59" t="s">
        <v>170</v>
      </c>
      <c r="CC59" t="s">
        <v>170</v>
      </c>
      <c r="CD59" t="s">
        <v>698</v>
      </c>
      <c r="CE59" t="s">
        <v>170</v>
      </c>
      <c r="CG59" t="s">
        <v>169</v>
      </c>
      <c r="CH59" t="s">
        <v>699</v>
      </c>
      <c r="CI59" t="s">
        <v>169</v>
      </c>
      <c r="CJ59" t="s">
        <v>700</v>
      </c>
      <c r="DJ59" t="s">
        <v>184</v>
      </c>
      <c r="DK59" t="s">
        <v>185</v>
      </c>
      <c r="DL59" t="s">
        <v>170</v>
      </c>
      <c r="DN59" t="s">
        <v>170</v>
      </c>
      <c r="DO59" t="s">
        <v>391</v>
      </c>
      <c r="DP59" t="s">
        <v>169</v>
      </c>
      <c r="DQ59" t="s">
        <v>198</v>
      </c>
      <c r="EA59" s="89"/>
      <c r="EB59">
        <v>5</v>
      </c>
      <c r="EC59">
        <v>5</v>
      </c>
      <c r="EE59" t="s">
        <v>701</v>
      </c>
      <c r="EF59">
        <v>4</v>
      </c>
      <c r="EV59">
        <v>5000</v>
      </c>
      <c r="EW59">
        <v>460</v>
      </c>
      <c r="EX59">
        <v>336</v>
      </c>
      <c r="EY59">
        <v>404</v>
      </c>
    </row>
    <row r="60" spans="1:155" x14ac:dyDescent="0.35">
      <c r="A60">
        <v>2025</v>
      </c>
      <c r="B60" t="s">
        <v>205</v>
      </c>
      <c r="C60" t="s">
        <v>385</v>
      </c>
      <c r="D60" t="s">
        <v>1248</v>
      </c>
      <c r="E60" t="s">
        <v>208</v>
      </c>
      <c r="F60">
        <v>8</v>
      </c>
      <c r="G60">
        <v>3</v>
      </c>
      <c r="H60">
        <v>6</v>
      </c>
      <c r="I60" t="s">
        <v>192</v>
      </c>
      <c r="J60">
        <v>19</v>
      </c>
      <c r="K60">
        <v>24</v>
      </c>
      <c r="L60">
        <v>21</v>
      </c>
      <c r="M60">
        <v>23.5</v>
      </c>
      <c r="N60">
        <v>33.628999999999998</v>
      </c>
      <c r="O60">
        <v>27.1846</v>
      </c>
      <c r="P60">
        <v>18.706600000000002</v>
      </c>
      <c r="Q60">
        <v>23.989699999999999</v>
      </c>
      <c r="R60">
        <v>20.764399999999998</v>
      </c>
      <c r="T60" t="s">
        <v>165</v>
      </c>
      <c r="U60" t="s">
        <v>166</v>
      </c>
      <c r="V60" t="s">
        <v>193</v>
      </c>
      <c r="W60" t="s">
        <v>194</v>
      </c>
      <c r="Y60">
        <v>8</v>
      </c>
      <c r="Z60" t="s">
        <v>169</v>
      </c>
      <c r="AA60" t="s">
        <v>170</v>
      </c>
      <c r="AB60" t="s">
        <v>167</v>
      </c>
      <c r="AC60" t="s">
        <v>213</v>
      </c>
      <c r="AD60">
        <v>15</v>
      </c>
      <c r="AG60" t="s">
        <v>173</v>
      </c>
      <c r="AH60" t="s">
        <v>174</v>
      </c>
      <c r="AI60" t="s">
        <v>175</v>
      </c>
      <c r="AJ60" t="s">
        <v>176</v>
      </c>
      <c r="AK60" t="s">
        <v>940</v>
      </c>
      <c r="AL60" t="s">
        <v>941</v>
      </c>
      <c r="AS60">
        <v>3050</v>
      </c>
      <c r="AT60">
        <v>3050</v>
      </c>
      <c r="BN60" t="s">
        <v>178</v>
      </c>
      <c r="BO60">
        <v>2</v>
      </c>
      <c r="BP60">
        <v>2</v>
      </c>
      <c r="BQ60">
        <v>31</v>
      </c>
      <c r="BR60" t="s">
        <v>1219</v>
      </c>
      <c r="BT60" t="s">
        <v>181</v>
      </c>
      <c r="BU60" s="1">
        <v>45464</v>
      </c>
      <c r="BV60">
        <v>34924</v>
      </c>
      <c r="BW60" s="155"/>
      <c r="BX60" t="s">
        <v>170</v>
      </c>
      <c r="BY60" t="s">
        <v>170</v>
      </c>
      <c r="CB60" t="s">
        <v>170</v>
      </c>
      <c r="CC60" t="s">
        <v>170</v>
      </c>
      <c r="CD60" t="s">
        <v>541</v>
      </c>
      <c r="CE60" t="s">
        <v>170</v>
      </c>
      <c r="CG60" t="s">
        <v>169</v>
      </c>
      <c r="CH60" t="s">
        <v>542</v>
      </c>
      <c r="CI60" t="s">
        <v>169</v>
      </c>
      <c r="CJ60" t="s">
        <v>542</v>
      </c>
      <c r="DJ60" t="s">
        <v>184</v>
      </c>
      <c r="DK60" t="s">
        <v>185</v>
      </c>
      <c r="DN60" t="s">
        <v>170</v>
      </c>
      <c r="DO60" t="s">
        <v>391</v>
      </c>
      <c r="DP60" t="s">
        <v>169</v>
      </c>
      <c r="DQ60" t="s">
        <v>198</v>
      </c>
      <c r="EA60" s="101"/>
      <c r="EB60">
        <v>4</v>
      </c>
      <c r="EC60">
        <v>4</v>
      </c>
      <c r="EE60" t="s">
        <v>543</v>
      </c>
      <c r="EF60">
        <v>4</v>
      </c>
      <c r="EV60">
        <v>5750</v>
      </c>
      <c r="EW60">
        <v>474</v>
      </c>
      <c r="EX60">
        <v>370</v>
      </c>
      <c r="EY60">
        <v>427</v>
      </c>
    </row>
    <row r="61" spans="1:155" x14ac:dyDescent="0.35">
      <c r="A61">
        <v>2025</v>
      </c>
      <c r="B61" t="s">
        <v>205</v>
      </c>
      <c r="C61" t="s">
        <v>385</v>
      </c>
      <c r="D61" t="s">
        <v>1248</v>
      </c>
      <c r="E61" t="s">
        <v>208</v>
      </c>
      <c r="F61">
        <v>57</v>
      </c>
      <c r="G61">
        <v>3</v>
      </c>
      <c r="H61">
        <v>6</v>
      </c>
      <c r="I61" t="s">
        <v>209</v>
      </c>
      <c r="J61">
        <v>19</v>
      </c>
      <c r="K61">
        <v>26</v>
      </c>
      <c r="L61">
        <v>22</v>
      </c>
      <c r="M61">
        <v>23.7</v>
      </c>
      <c r="N61">
        <v>36</v>
      </c>
      <c r="O61">
        <v>28.0059</v>
      </c>
      <c r="P61">
        <v>19.316199999999998</v>
      </c>
      <c r="Q61">
        <v>26.456800000000001</v>
      </c>
      <c r="R61">
        <v>21.986499999999999</v>
      </c>
      <c r="T61" t="s">
        <v>165</v>
      </c>
      <c r="U61" t="s">
        <v>166</v>
      </c>
      <c r="V61" t="s">
        <v>211</v>
      </c>
      <c r="W61" t="s">
        <v>212</v>
      </c>
      <c r="Y61">
        <v>7</v>
      </c>
      <c r="Z61" t="s">
        <v>170</v>
      </c>
      <c r="AA61" t="s">
        <v>170</v>
      </c>
      <c r="AB61" t="s">
        <v>167</v>
      </c>
      <c r="AC61" t="s">
        <v>213</v>
      </c>
      <c r="AD61">
        <v>15</v>
      </c>
      <c r="AG61" t="s">
        <v>173</v>
      </c>
      <c r="AH61" t="s">
        <v>174</v>
      </c>
      <c r="AI61" t="s">
        <v>175</v>
      </c>
      <c r="AJ61" t="s">
        <v>176</v>
      </c>
      <c r="AK61" t="s">
        <v>940</v>
      </c>
      <c r="AL61" t="s">
        <v>941</v>
      </c>
      <c r="AS61">
        <v>2900</v>
      </c>
      <c r="AT61">
        <v>2900</v>
      </c>
      <c r="BN61" t="s">
        <v>178</v>
      </c>
      <c r="BO61">
        <v>2</v>
      </c>
      <c r="BP61">
        <v>2</v>
      </c>
      <c r="BQ61">
        <v>31</v>
      </c>
      <c r="BR61" t="s">
        <v>1219</v>
      </c>
      <c r="BT61" t="s">
        <v>225</v>
      </c>
      <c r="BU61" s="1">
        <v>45730</v>
      </c>
      <c r="BV61">
        <v>36176</v>
      </c>
      <c r="BW61" s="155"/>
      <c r="BX61" t="s">
        <v>170</v>
      </c>
      <c r="BY61" t="s">
        <v>170</v>
      </c>
      <c r="CB61" t="s">
        <v>170</v>
      </c>
      <c r="CC61" t="s">
        <v>170</v>
      </c>
      <c r="CD61" t="s">
        <v>698</v>
      </c>
      <c r="CE61" t="s">
        <v>170</v>
      </c>
      <c r="CG61" t="s">
        <v>169</v>
      </c>
      <c r="CH61" t="s">
        <v>699</v>
      </c>
      <c r="CI61" t="s">
        <v>169</v>
      </c>
      <c r="CJ61" t="s">
        <v>700</v>
      </c>
      <c r="DJ61" t="s">
        <v>184</v>
      </c>
      <c r="DK61" t="s">
        <v>185</v>
      </c>
      <c r="DL61" t="s">
        <v>170</v>
      </c>
      <c r="DN61" t="s">
        <v>170</v>
      </c>
      <c r="DO61" t="s">
        <v>391</v>
      </c>
      <c r="DP61" t="s">
        <v>169</v>
      </c>
      <c r="DQ61" t="s">
        <v>198</v>
      </c>
      <c r="EA61" s="101"/>
      <c r="EB61">
        <v>5</v>
      </c>
      <c r="EC61">
        <v>5</v>
      </c>
      <c r="EE61" t="s">
        <v>701</v>
      </c>
      <c r="EF61">
        <v>4</v>
      </c>
      <c r="EV61">
        <v>5000</v>
      </c>
      <c r="EW61">
        <v>460</v>
      </c>
      <c r="EX61">
        <v>336</v>
      </c>
      <c r="EY61">
        <v>404</v>
      </c>
    </row>
    <row r="62" spans="1:155" x14ac:dyDescent="0.35">
      <c r="A62">
        <v>2025</v>
      </c>
      <c r="B62" t="s">
        <v>205</v>
      </c>
      <c r="C62" t="s">
        <v>385</v>
      </c>
      <c r="D62" t="s">
        <v>1511</v>
      </c>
      <c r="E62" t="s">
        <v>208</v>
      </c>
      <c r="F62">
        <v>3</v>
      </c>
      <c r="G62">
        <v>4</v>
      </c>
      <c r="H62">
        <v>8</v>
      </c>
      <c r="I62" t="s">
        <v>192</v>
      </c>
      <c r="J62">
        <v>15</v>
      </c>
      <c r="K62">
        <v>21</v>
      </c>
      <c r="L62">
        <v>17</v>
      </c>
      <c r="M62">
        <v>18.399999999999999</v>
      </c>
      <c r="N62">
        <v>28.3</v>
      </c>
      <c r="O62">
        <v>21.837700000000002</v>
      </c>
      <c r="P62">
        <v>14.746499999999999</v>
      </c>
      <c r="Q62">
        <v>21.004899999999999</v>
      </c>
      <c r="R62">
        <v>17.029800000000002</v>
      </c>
      <c r="T62" t="s">
        <v>165</v>
      </c>
      <c r="U62" t="s">
        <v>166</v>
      </c>
      <c r="V62" t="s">
        <v>193</v>
      </c>
      <c r="W62" t="s">
        <v>194</v>
      </c>
      <c r="Y62">
        <v>8</v>
      </c>
      <c r="Z62" t="s">
        <v>169</v>
      </c>
      <c r="AA62" t="s">
        <v>170</v>
      </c>
      <c r="AB62" t="s">
        <v>167</v>
      </c>
      <c r="AC62" t="s">
        <v>213</v>
      </c>
      <c r="AD62">
        <v>15</v>
      </c>
      <c r="AG62" t="s">
        <v>173</v>
      </c>
      <c r="AH62" t="s">
        <v>174</v>
      </c>
      <c r="AI62" t="s">
        <v>175</v>
      </c>
      <c r="AJ62" t="s">
        <v>176</v>
      </c>
      <c r="AK62" t="s">
        <v>940</v>
      </c>
      <c r="AL62" t="s">
        <v>941</v>
      </c>
      <c r="AS62">
        <v>3750</v>
      </c>
      <c r="AT62">
        <v>3750</v>
      </c>
      <c r="BN62" t="s">
        <v>178</v>
      </c>
      <c r="BO62">
        <v>2</v>
      </c>
      <c r="BP62">
        <v>2</v>
      </c>
      <c r="BQ62">
        <v>33</v>
      </c>
      <c r="BR62" t="s">
        <v>1497</v>
      </c>
      <c r="BT62" t="s">
        <v>225</v>
      </c>
      <c r="BU62" s="1">
        <v>45376</v>
      </c>
      <c r="BV62">
        <v>34617</v>
      </c>
      <c r="BW62" s="156"/>
      <c r="BX62" t="s">
        <v>169</v>
      </c>
      <c r="BY62" t="s">
        <v>170</v>
      </c>
      <c r="CB62" t="s">
        <v>170</v>
      </c>
      <c r="CC62" t="s">
        <v>170</v>
      </c>
      <c r="CD62" t="s">
        <v>1512</v>
      </c>
      <c r="CE62" t="s">
        <v>169</v>
      </c>
      <c r="CF62" t="s">
        <v>693</v>
      </c>
      <c r="CG62" t="s">
        <v>169</v>
      </c>
      <c r="CH62" t="s">
        <v>1513</v>
      </c>
      <c r="CI62" t="s">
        <v>170</v>
      </c>
      <c r="DJ62" t="s">
        <v>184</v>
      </c>
      <c r="DK62" t="s">
        <v>185</v>
      </c>
      <c r="DN62" t="s">
        <v>170</v>
      </c>
      <c r="DO62" t="s">
        <v>695</v>
      </c>
      <c r="DP62" t="s">
        <v>169</v>
      </c>
      <c r="DQ62" t="s">
        <v>198</v>
      </c>
      <c r="EA62" s="89"/>
      <c r="EB62">
        <v>3</v>
      </c>
      <c r="EC62">
        <v>3</v>
      </c>
      <c r="EE62" t="s">
        <v>1514</v>
      </c>
      <c r="EF62">
        <v>2</v>
      </c>
      <c r="EV62">
        <v>9250</v>
      </c>
      <c r="EW62">
        <v>604</v>
      </c>
      <c r="EX62">
        <v>425</v>
      </c>
      <c r="EY62">
        <v>524</v>
      </c>
    </row>
    <row r="63" spans="1:155" x14ac:dyDescent="0.35">
      <c r="A63">
        <v>2025</v>
      </c>
      <c r="B63" t="s">
        <v>205</v>
      </c>
      <c r="C63" t="s">
        <v>385</v>
      </c>
      <c r="D63" t="s">
        <v>1515</v>
      </c>
      <c r="E63" t="s">
        <v>208</v>
      </c>
      <c r="F63">
        <v>5</v>
      </c>
      <c r="G63">
        <v>4</v>
      </c>
      <c r="H63">
        <v>8</v>
      </c>
      <c r="I63" t="s">
        <v>192</v>
      </c>
      <c r="J63">
        <v>15</v>
      </c>
      <c r="K63">
        <v>21</v>
      </c>
      <c r="L63">
        <v>17</v>
      </c>
      <c r="M63">
        <v>18.600000000000001</v>
      </c>
      <c r="N63">
        <v>28.4</v>
      </c>
      <c r="O63">
        <v>22.019200000000001</v>
      </c>
      <c r="P63">
        <v>15.046200000000001</v>
      </c>
      <c r="Q63">
        <v>20.503599999999999</v>
      </c>
      <c r="R63">
        <v>17.093599999999999</v>
      </c>
      <c r="T63" t="s">
        <v>165</v>
      </c>
      <c r="U63" t="s">
        <v>166</v>
      </c>
      <c r="V63" t="s">
        <v>193</v>
      </c>
      <c r="W63" t="s">
        <v>194</v>
      </c>
      <c r="Y63">
        <v>8</v>
      </c>
      <c r="Z63" t="s">
        <v>169</v>
      </c>
      <c r="AA63" t="s">
        <v>170</v>
      </c>
      <c r="AB63" t="s">
        <v>167</v>
      </c>
      <c r="AC63" t="s">
        <v>213</v>
      </c>
      <c r="AD63">
        <v>15</v>
      </c>
      <c r="AG63" t="s">
        <v>173</v>
      </c>
      <c r="AH63" t="s">
        <v>174</v>
      </c>
      <c r="AI63" t="s">
        <v>175</v>
      </c>
      <c r="AJ63" t="s">
        <v>176</v>
      </c>
      <c r="AK63" t="s">
        <v>940</v>
      </c>
      <c r="AL63" t="s">
        <v>941</v>
      </c>
      <c r="AS63">
        <v>3750</v>
      </c>
      <c r="AT63">
        <v>3750</v>
      </c>
      <c r="BN63" t="s">
        <v>178</v>
      </c>
      <c r="BO63">
        <v>2</v>
      </c>
      <c r="BP63">
        <v>2</v>
      </c>
      <c r="BQ63">
        <v>33</v>
      </c>
      <c r="BR63" t="s">
        <v>1497</v>
      </c>
      <c r="BT63" t="s">
        <v>181</v>
      </c>
      <c r="BU63" s="1">
        <v>45464</v>
      </c>
      <c r="BV63">
        <v>34909</v>
      </c>
      <c r="BW63" s="155"/>
      <c r="BX63" t="s">
        <v>169</v>
      </c>
      <c r="BY63" t="s">
        <v>170</v>
      </c>
      <c r="CB63" t="s">
        <v>170</v>
      </c>
      <c r="CC63" t="s">
        <v>170</v>
      </c>
      <c r="CD63" t="s">
        <v>1512</v>
      </c>
      <c r="CE63" t="s">
        <v>169</v>
      </c>
      <c r="CF63" t="s">
        <v>693</v>
      </c>
      <c r="CG63" t="s">
        <v>169</v>
      </c>
      <c r="CH63" t="s">
        <v>1513</v>
      </c>
      <c r="CI63" t="s">
        <v>170</v>
      </c>
      <c r="DJ63" t="s">
        <v>184</v>
      </c>
      <c r="DK63" t="s">
        <v>185</v>
      </c>
      <c r="DN63" t="s">
        <v>170</v>
      </c>
      <c r="DO63" t="s">
        <v>695</v>
      </c>
      <c r="DP63" t="s">
        <v>169</v>
      </c>
      <c r="DQ63" t="s">
        <v>198</v>
      </c>
      <c r="EA63" s="101"/>
      <c r="EB63">
        <v>3</v>
      </c>
      <c r="EC63">
        <v>3</v>
      </c>
      <c r="EE63" t="s">
        <v>1514</v>
      </c>
      <c r="EF63">
        <v>2</v>
      </c>
      <c r="EV63">
        <v>9250</v>
      </c>
      <c r="EW63">
        <v>587</v>
      </c>
      <c r="EX63">
        <v>432</v>
      </c>
      <c r="EY63">
        <v>518</v>
      </c>
    </row>
    <row r="64" spans="1:155" x14ac:dyDescent="0.35">
      <c r="A64">
        <v>2025</v>
      </c>
      <c r="B64" t="s">
        <v>205</v>
      </c>
      <c r="C64" t="s">
        <v>1516</v>
      </c>
      <c r="D64" t="s">
        <v>1517</v>
      </c>
      <c r="E64" t="s">
        <v>208</v>
      </c>
      <c r="F64">
        <v>41</v>
      </c>
      <c r="G64">
        <v>4</v>
      </c>
      <c r="H64">
        <v>8</v>
      </c>
      <c r="I64" t="s">
        <v>192</v>
      </c>
      <c r="J64">
        <v>14</v>
      </c>
      <c r="K64">
        <v>21</v>
      </c>
      <c r="L64">
        <v>16</v>
      </c>
      <c r="M64">
        <v>17.2</v>
      </c>
      <c r="N64">
        <v>28.3</v>
      </c>
      <c r="O64">
        <v>20.886500000000002</v>
      </c>
      <c r="P64">
        <v>13.724600000000001</v>
      </c>
      <c r="Q64">
        <v>20.5717</v>
      </c>
      <c r="R64">
        <v>16.142399999999999</v>
      </c>
      <c r="T64" t="s">
        <v>165</v>
      </c>
      <c r="U64" t="s">
        <v>166</v>
      </c>
      <c r="V64" t="s">
        <v>193</v>
      </c>
      <c r="W64" t="s">
        <v>194</v>
      </c>
      <c r="Y64">
        <v>8</v>
      </c>
      <c r="Z64" t="s">
        <v>169</v>
      </c>
      <c r="AA64" t="s">
        <v>170</v>
      </c>
      <c r="AB64" t="s">
        <v>167</v>
      </c>
      <c r="AC64" t="s">
        <v>213</v>
      </c>
      <c r="AD64">
        <v>15</v>
      </c>
      <c r="AG64" t="s">
        <v>173</v>
      </c>
      <c r="AH64" t="s">
        <v>174</v>
      </c>
      <c r="AI64" t="s">
        <v>175</v>
      </c>
      <c r="AJ64" t="s">
        <v>176</v>
      </c>
      <c r="AK64" t="s">
        <v>940</v>
      </c>
      <c r="AL64" t="s">
        <v>941</v>
      </c>
      <c r="AS64">
        <v>4000</v>
      </c>
      <c r="AT64">
        <v>4000</v>
      </c>
      <c r="BN64" t="s">
        <v>178</v>
      </c>
      <c r="BO64">
        <v>2</v>
      </c>
      <c r="BP64">
        <v>2</v>
      </c>
      <c r="BQ64">
        <v>33</v>
      </c>
      <c r="BR64" t="s">
        <v>1497</v>
      </c>
      <c r="BT64" t="s">
        <v>225</v>
      </c>
      <c r="BU64" s="1">
        <v>45525</v>
      </c>
      <c r="BV64">
        <v>35385</v>
      </c>
      <c r="BW64" s="155"/>
      <c r="BX64" t="s">
        <v>170</v>
      </c>
      <c r="BY64" t="s">
        <v>170</v>
      </c>
      <c r="CB64" t="s">
        <v>170</v>
      </c>
      <c r="CC64" t="s">
        <v>170</v>
      </c>
      <c r="CD64" t="s">
        <v>1518</v>
      </c>
      <c r="CE64" t="s">
        <v>169</v>
      </c>
      <c r="CF64" t="s">
        <v>693</v>
      </c>
      <c r="CG64" t="s">
        <v>169</v>
      </c>
      <c r="CH64" t="s">
        <v>1519</v>
      </c>
      <c r="CI64" t="s">
        <v>170</v>
      </c>
      <c r="DJ64" t="s">
        <v>184</v>
      </c>
      <c r="DK64" t="s">
        <v>185</v>
      </c>
      <c r="DN64" t="s">
        <v>170</v>
      </c>
      <c r="DO64" t="s">
        <v>695</v>
      </c>
      <c r="DP64" t="s">
        <v>169</v>
      </c>
      <c r="DQ64" t="s">
        <v>198</v>
      </c>
      <c r="EA64" s="101"/>
      <c r="EB64">
        <v>3</v>
      </c>
      <c r="EC64">
        <v>3</v>
      </c>
      <c r="EE64" t="s">
        <v>1520</v>
      </c>
      <c r="EF64">
        <v>2</v>
      </c>
      <c r="EV64">
        <v>10500</v>
      </c>
      <c r="EW64">
        <v>650</v>
      </c>
      <c r="EX64">
        <v>433</v>
      </c>
      <c r="EY64">
        <v>553</v>
      </c>
    </row>
    <row r="65" spans="1:155" x14ac:dyDescent="0.35">
      <c r="A65">
        <v>2025</v>
      </c>
      <c r="B65" t="s">
        <v>205</v>
      </c>
      <c r="C65" t="s">
        <v>1516</v>
      </c>
      <c r="D65" t="s">
        <v>1521</v>
      </c>
      <c r="E65" t="s">
        <v>208</v>
      </c>
      <c r="F65">
        <v>42</v>
      </c>
      <c r="G65">
        <v>4</v>
      </c>
      <c r="H65">
        <v>8</v>
      </c>
      <c r="I65" t="s">
        <v>192</v>
      </c>
      <c r="J65">
        <v>14</v>
      </c>
      <c r="K65">
        <v>21</v>
      </c>
      <c r="L65">
        <v>16</v>
      </c>
      <c r="M65">
        <v>17.2</v>
      </c>
      <c r="N65">
        <v>28.3</v>
      </c>
      <c r="O65">
        <v>20.886500000000002</v>
      </c>
      <c r="P65">
        <v>13.724600000000001</v>
      </c>
      <c r="Q65">
        <v>20.5717</v>
      </c>
      <c r="R65">
        <v>16.142399999999999</v>
      </c>
      <c r="T65" t="s">
        <v>165</v>
      </c>
      <c r="U65" t="s">
        <v>166</v>
      </c>
      <c r="V65" t="s">
        <v>193</v>
      </c>
      <c r="W65" t="s">
        <v>194</v>
      </c>
      <c r="Y65">
        <v>8</v>
      </c>
      <c r="Z65" t="s">
        <v>169</v>
      </c>
      <c r="AA65" t="s">
        <v>170</v>
      </c>
      <c r="AB65" t="s">
        <v>167</v>
      </c>
      <c r="AC65" t="s">
        <v>213</v>
      </c>
      <c r="AD65">
        <v>15</v>
      </c>
      <c r="AG65" t="s">
        <v>173</v>
      </c>
      <c r="AH65" t="s">
        <v>174</v>
      </c>
      <c r="AI65" t="s">
        <v>175</v>
      </c>
      <c r="AJ65" t="s">
        <v>176</v>
      </c>
      <c r="AK65" t="s">
        <v>940</v>
      </c>
      <c r="AL65" t="s">
        <v>941</v>
      </c>
      <c r="AS65">
        <v>4000</v>
      </c>
      <c r="AT65">
        <v>4000</v>
      </c>
      <c r="BN65" t="s">
        <v>178</v>
      </c>
      <c r="BO65">
        <v>2</v>
      </c>
      <c r="BP65">
        <v>2</v>
      </c>
      <c r="BQ65">
        <v>33</v>
      </c>
      <c r="BR65" t="s">
        <v>1497</v>
      </c>
      <c r="BT65" t="s">
        <v>225</v>
      </c>
      <c r="BU65" s="1">
        <v>45525</v>
      </c>
      <c r="BV65">
        <v>35386</v>
      </c>
      <c r="BW65" s="156"/>
      <c r="BX65" t="s">
        <v>170</v>
      </c>
      <c r="BY65" t="s">
        <v>170</v>
      </c>
      <c r="CB65" t="s">
        <v>170</v>
      </c>
      <c r="CC65" t="s">
        <v>170</v>
      </c>
      <c r="CD65" t="s">
        <v>1518</v>
      </c>
      <c r="CE65" t="s">
        <v>169</v>
      </c>
      <c r="CF65" t="s">
        <v>693</v>
      </c>
      <c r="CG65" t="s">
        <v>169</v>
      </c>
      <c r="CH65" t="s">
        <v>1519</v>
      </c>
      <c r="CI65" t="s">
        <v>170</v>
      </c>
      <c r="DJ65" t="s">
        <v>184</v>
      </c>
      <c r="DK65" t="s">
        <v>185</v>
      </c>
      <c r="DN65" t="s">
        <v>170</v>
      </c>
      <c r="DO65" t="s">
        <v>695</v>
      </c>
      <c r="DP65" t="s">
        <v>169</v>
      </c>
      <c r="DQ65" t="s">
        <v>198</v>
      </c>
      <c r="EA65" s="89"/>
      <c r="EB65">
        <v>3</v>
      </c>
      <c r="EC65">
        <v>3</v>
      </c>
      <c r="EE65" t="s">
        <v>1520</v>
      </c>
      <c r="EF65">
        <v>2</v>
      </c>
      <c r="EV65">
        <v>10500</v>
      </c>
      <c r="EW65">
        <v>650</v>
      </c>
      <c r="EX65">
        <v>433</v>
      </c>
      <c r="EY65">
        <v>553</v>
      </c>
    </row>
    <row r="66" spans="1:155" x14ac:dyDescent="0.35">
      <c r="A66">
        <v>2025</v>
      </c>
      <c r="B66" t="s">
        <v>189</v>
      </c>
      <c r="C66" t="s">
        <v>189</v>
      </c>
      <c r="D66" t="s">
        <v>544</v>
      </c>
      <c r="E66" t="s">
        <v>191</v>
      </c>
      <c r="F66">
        <v>210</v>
      </c>
      <c r="G66">
        <v>2</v>
      </c>
      <c r="H66">
        <v>4</v>
      </c>
      <c r="I66" t="s">
        <v>209</v>
      </c>
      <c r="J66">
        <v>26</v>
      </c>
      <c r="K66">
        <v>38</v>
      </c>
      <c r="L66">
        <v>30</v>
      </c>
      <c r="M66">
        <v>34.113</v>
      </c>
      <c r="N66">
        <v>55.257399999999997</v>
      </c>
      <c r="O66">
        <v>41.2089</v>
      </c>
      <c r="P66">
        <v>26.247699999999998</v>
      </c>
      <c r="Q66">
        <v>37.568899999999999</v>
      </c>
      <c r="R66">
        <v>30.365400000000001</v>
      </c>
      <c r="T66" t="s">
        <v>165</v>
      </c>
      <c r="U66" t="s">
        <v>166</v>
      </c>
      <c r="V66" t="s">
        <v>211</v>
      </c>
      <c r="W66" t="s">
        <v>212</v>
      </c>
      <c r="Y66">
        <v>7</v>
      </c>
      <c r="Z66" t="s">
        <v>170</v>
      </c>
      <c r="AA66" t="s">
        <v>170</v>
      </c>
      <c r="AB66" t="s">
        <v>167</v>
      </c>
      <c r="AC66" t="s">
        <v>213</v>
      </c>
      <c r="AD66">
        <v>10</v>
      </c>
      <c r="AG66" t="s">
        <v>173</v>
      </c>
      <c r="AH66" t="s">
        <v>174</v>
      </c>
      <c r="AI66" t="s">
        <v>175</v>
      </c>
      <c r="AJ66" t="s">
        <v>176</v>
      </c>
      <c r="AK66" t="s">
        <v>170</v>
      </c>
      <c r="AL66" t="s">
        <v>177</v>
      </c>
      <c r="AO66">
        <v>91</v>
      </c>
      <c r="AP66">
        <v>12</v>
      </c>
      <c r="AS66">
        <v>2100</v>
      </c>
      <c r="AT66">
        <v>2100</v>
      </c>
      <c r="BN66" t="s">
        <v>265</v>
      </c>
      <c r="BO66">
        <v>2</v>
      </c>
      <c r="BP66">
        <v>2</v>
      </c>
      <c r="BQ66">
        <v>4</v>
      </c>
      <c r="BR66" t="s">
        <v>521</v>
      </c>
      <c r="BS66" t="s">
        <v>180</v>
      </c>
      <c r="BT66" t="s">
        <v>181</v>
      </c>
      <c r="BU66" s="1">
        <v>45625</v>
      </c>
      <c r="BV66">
        <v>35840</v>
      </c>
      <c r="BW66" s="155"/>
      <c r="BX66" t="s">
        <v>170</v>
      </c>
      <c r="BY66" t="s">
        <v>170</v>
      </c>
      <c r="CB66" t="s">
        <v>170</v>
      </c>
      <c r="CC66" t="s">
        <v>170</v>
      </c>
      <c r="CE66" t="s">
        <v>170</v>
      </c>
      <c r="CG66" t="s">
        <v>169</v>
      </c>
      <c r="CH66" t="s">
        <v>356</v>
      </c>
      <c r="CI66" t="s">
        <v>169</v>
      </c>
      <c r="CJ66" t="s">
        <v>357</v>
      </c>
      <c r="DJ66" t="s">
        <v>267</v>
      </c>
      <c r="DK66" t="s">
        <v>268</v>
      </c>
      <c r="DL66" t="s">
        <v>170</v>
      </c>
      <c r="DM66" t="s">
        <v>170</v>
      </c>
      <c r="DN66" t="s">
        <v>170</v>
      </c>
      <c r="DO66" t="s">
        <v>358</v>
      </c>
      <c r="DP66" t="s">
        <v>169</v>
      </c>
      <c r="DQ66" t="s">
        <v>198</v>
      </c>
      <c r="DY66">
        <v>41.5</v>
      </c>
      <c r="EA66" s="101"/>
      <c r="EB66">
        <v>6</v>
      </c>
      <c r="EC66">
        <v>6</v>
      </c>
      <c r="EE66" t="s">
        <v>359</v>
      </c>
      <c r="EF66">
        <v>7</v>
      </c>
      <c r="EV66">
        <v>1000</v>
      </c>
      <c r="EW66">
        <v>333</v>
      </c>
      <c r="EX66">
        <v>233</v>
      </c>
      <c r="EY66">
        <v>288</v>
      </c>
    </row>
    <row r="67" spans="1:155" x14ac:dyDescent="0.35">
      <c r="A67">
        <v>2025</v>
      </c>
      <c r="B67" t="s">
        <v>189</v>
      </c>
      <c r="C67" t="s">
        <v>189</v>
      </c>
      <c r="D67" t="s">
        <v>397</v>
      </c>
      <c r="E67" t="s">
        <v>191</v>
      </c>
      <c r="F67">
        <v>200</v>
      </c>
      <c r="G67">
        <v>2</v>
      </c>
      <c r="H67">
        <v>4</v>
      </c>
      <c r="I67" t="s">
        <v>192</v>
      </c>
      <c r="J67">
        <v>26</v>
      </c>
      <c r="K67">
        <v>35</v>
      </c>
      <c r="L67">
        <v>30</v>
      </c>
      <c r="M67">
        <v>34.299999999999997</v>
      </c>
      <c r="N67">
        <v>50.9</v>
      </c>
      <c r="O67">
        <v>40.199599999999997</v>
      </c>
      <c r="P67">
        <v>26.376100000000001</v>
      </c>
      <c r="Q67">
        <v>34.936700000000002</v>
      </c>
      <c r="R67">
        <v>29.6448</v>
      </c>
      <c r="T67" t="s">
        <v>165</v>
      </c>
      <c r="U67" t="s">
        <v>166</v>
      </c>
      <c r="V67" t="s">
        <v>193</v>
      </c>
      <c r="W67" t="s">
        <v>194</v>
      </c>
      <c r="Y67">
        <v>8</v>
      </c>
      <c r="Z67" t="s">
        <v>169</v>
      </c>
      <c r="AA67" t="s">
        <v>170</v>
      </c>
      <c r="AB67" t="s">
        <v>171</v>
      </c>
      <c r="AC67" t="s">
        <v>172</v>
      </c>
      <c r="AD67">
        <v>10</v>
      </c>
      <c r="AG67" t="s">
        <v>173</v>
      </c>
      <c r="AH67" t="s">
        <v>174</v>
      </c>
      <c r="AI67" t="s">
        <v>175</v>
      </c>
      <c r="AJ67" t="s">
        <v>176</v>
      </c>
      <c r="AK67" t="s">
        <v>170</v>
      </c>
      <c r="AL67" t="s">
        <v>177</v>
      </c>
      <c r="AM67">
        <v>88</v>
      </c>
      <c r="AN67">
        <v>10</v>
      </c>
      <c r="AS67">
        <v>2100</v>
      </c>
      <c r="AT67">
        <v>2100</v>
      </c>
      <c r="BN67" t="s">
        <v>178</v>
      </c>
      <c r="BO67">
        <v>2</v>
      </c>
      <c r="BP67">
        <v>2</v>
      </c>
      <c r="BQ67">
        <v>3</v>
      </c>
      <c r="BR67" t="s">
        <v>387</v>
      </c>
      <c r="BS67" t="s">
        <v>180</v>
      </c>
      <c r="BT67" t="s">
        <v>181</v>
      </c>
      <c r="BU67" s="1">
        <v>45499</v>
      </c>
      <c r="BV67">
        <v>35197</v>
      </c>
      <c r="BW67" s="155"/>
      <c r="BX67" t="s">
        <v>169</v>
      </c>
      <c r="BY67" t="s">
        <v>170</v>
      </c>
      <c r="CB67" t="s">
        <v>170</v>
      </c>
      <c r="CC67" t="s">
        <v>170</v>
      </c>
      <c r="CE67" t="s">
        <v>170</v>
      </c>
      <c r="CG67" t="s">
        <v>169</v>
      </c>
      <c r="CH67" t="s">
        <v>195</v>
      </c>
      <c r="CI67" t="s">
        <v>169</v>
      </c>
      <c r="CJ67" t="s">
        <v>196</v>
      </c>
      <c r="DJ67" t="s">
        <v>184</v>
      </c>
      <c r="DK67" t="s">
        <v>185</v>
      </c>
      <c r="DN67" t="s">
        <v>170</v>
      </c>
      <c r="DO67" t="s">
        <v>197</v>
      </c>
      <c r="DP67" t="s">
        <v>169</v>
      </c>
      <c r="DQ67" t="s">
        <v>198</v>
      </c>
      <c r="DY67">
        <v>40.5</v>
      </c>
      <c r="EA67" s="101"/>
      <c r="EB67">
        <v>6</v>
      </c>
      <c r="EC67">
        <v>6</v>
      </c>
      <c r="EE67" t="s">
        <v>398</v>
      </c>
      <c r="EF67">
        <v>2</v>
      </c>
      <c r="EV67">
        <v>1000</v>
      </c>
      <c r="EW67">
        <v>333</v>
      </c>
      <c r="EX67">
        <v>251</v>
      </c>
      <c r="EY67">
        <v>296</v>
      </c>
    </row>
    <row r="68" spans="1:155" x14ac:dyDescent="0.35">
      <c r="A68">
        <v>2025</v>
      </c>
      <c r="B68" t="s">
        <v>189</v>
      </c>
      <c r="C68" t="s">
        <v>189</v>
      </c>
      <c r="D68" t="s">
        <v>399</v>
      </c>
      <c r="E68" t="s">
        <v>191</v>
      </c>
      <c r="F68">
        <v>201</v>
      </c>
      <c r="G68">
        <v>2</v>
      </c>
      <c r="H68">
        <v>4</v>
      </c>
      <c r="I68" t="s">
        <v>192</v>
      </c>
      <c r="J68">
        <v>25</v>
      </c>
      <c r="K68">
        <v>33</v>
      </c>
      <c r="L68">
        <v>28</v>
      </c>
      <c r="M68">
        <v>31.8</v>
      </c>
      <c r="N68">
        <v>48.2</v>
      </c>
      <c r="O68">
        <v>37.549199999999999</v>
      </c>
      <c r="P68">
        <v>24.647500000000001</v>
      </c>
      <c r="Q68">
        <v>33.280299999999997</v>
      </c>
      <c r="R68">
        <v>27.904699999999998</v>
      </c>
      <c r="T68" t="s">
        <v>165</v>
      </c>
      <c r="U68" t="s">
        <v>166</v>
      </c>
      <c r="V68" t="s">
        <v>193</v>
      </c>
      <c r="W68" t="s">
        <v>194</v>
      </c>
      <c r="Y68">
        <v>8</v>
      </c>
      <c r="Z68" t="s">
        <v>169</v>
      </c>
      <c r="AA68" t="s">
        <v>170</v>
      </c>
      <c r="AB68" t="s">
        <v>167</v>
      </c>
      <c r="AC68" t="s">
        <v>213</v>
      </c>
      <c r="AD68">
        <v>10</v>
      </c>
      <c r="AG68" t="s">
        <v>173</v>
      </c>
      <c r="AH68" t="s">
        <v>174</v>
      </c>
      <c r="AI68" t="s">
        <v>175</v>
      </c>
      <c r="AJ68" t="s">
        <v>176</v>
      </c>
      <c r="AK68" t="s">
        <v>170</v>
      </c>
      <c r="AL68" t="s">
        <v>177</v>
      </c>
      <c r="AM68">
        <v>88</v>
      </c>
      <c r="AN68">
        <v>10</v>
      </c>
      <c r="AS68">
        <v>2300</v>
      </c>
      <c r="AT68">
        <v>2300</v>
      </c>
      <c r="BN68" t="s">
        <v>178</v>
      </c>
      <c r="BO68">
        <v>2</v>
      </c>
      <c r="BP68">
        <v>2</v>
      </c>
      <c r="BQ68">
        <v>3</v>
      </c>
      <c r="BR68" t="s">
        <v>387</v>
      </c>
      <c r="BS68" t="s">
        <v>180</v>
      </c>
      <c r="BT68" t="s">
        <v>181</v>
      </c>
      <c r="BU68" s="1">
        <v>45499</v>
      </c>
      <c r="BV68">
        <v>35198</v>
      </c>
      <c r="BW68" s="156"/>
      <c r="BX68" t="s">
        <v>169</v>
      </c>
      <c r="BY68" t="s">
        <v>170</v>
      </c>
      <c r="CB68" t="s">
        <v>170</v>
      </c>
      <c r="CC68" t="s">
        <v>170</v>
      </c>
      <c r="CE68" t="s">
        <v>170</v>
      </c>
      <c r="CG68" t="s">
        <v>169</v>
      </c>
      <c r="CH68" t="s">
        <v>195</v>
      </c>
      <c r="CI68" t="s">
        <v>169</v>
      </c>
      <c r="CJ68" t="s">
        <v>196</v>
      </c>
      <c r="DJ68" t="s">
        <v>184</v>
      </c>
      <c r="DK68" t="s">
        <v>185</v>
      </c>
      <c r="DN68" t="s">
        <v>170</v>
      </c>
      <c r="DO68" t="s">
        <v>197</v>
      </c>
      <c r="DP68" t="s">
        <v>169</v>
      </c>
      <c r="DQ68" t="s">
        <v>198</v>
      </c>
      <c r="DY68">
        <v>37.799999999999997</v>
      </c>
      <c r="EA68" s="89"/>
      <c r="EB68">
        <v>6</v>
      </c>
      <c r="EC68">
        <v>6</v>
      </c>
      <c r="EE68" t="s">
        <v>398</v>
      </c>
      <c r="EF68">
        <v>2</v>
      </c>
      <c r="EV68">
        <v>2000</v>
      </c>
      <c r="EW68">
        <v>355</v>
      </c>
      <c r="EX68">
        <v>262</v>
      </c>
      <c r="EY68">
        <v>313</v>
      </c>
    </row>
    <row r="69" spans="1:155" x14ac:dyDescent="0.35">
      <c r="A69">
        <v>2025</v>
      </c>
      <c r="B69" t="s">
        <v>189</v>
      </c>
      <c r="C69" t="s">
        <v>189</v>
      </c>
      <c r="D69" t="s">
        <v>545</v>
      </c>
      <c r="E69" t="s">
        <v>191</v>
      </c>
      <c r="F69">
        <v>300</v>
      </c>
      <c r="G69">
        <v>2</v>
      </c>
      <c r="H69">
        <v>4</v>
      </c>
      <c r="I69" t="s">
        <v>192</v>
      </c>
      <c r="J69">
        <v>28</v>
      </c>
      <c r="K69">
        <v>35</v>
      </c>
      <c r="L69">
        <v>31</v>
      </c>
      <c r="M69">
        <v>36.066200000000002</v>
      </c>
      <c r="N69">
        <v>51.360599999999998</v>
      </c>
      <c r="O69">
        <v>41.647100000000002</v>
      </c>
      <c r="P69">
        <v>27.581</v>
      </c>
      <c r="Q69">
        <v>35.217300000000002</v>
      </c>
      <c r="R69">
        <v>30.563199999999998</v>
      </c>
      <c r="T69" t="s">
        <v>165</v>
      </c>
      <c r="U69" t="s">
        <v>166</v>
      </c>
      <c r="V69" t="s">
        <v>193</v>
      </c>
      <c r="W69" t="s">
        <v>194</v>
      </c>
      <c r="Y69">
        <v>8</v>
      </c>
      <c r="Z69" t="s">
        <v>169</v>
      </c>
      <c r="AA69" t="s">
        <v>170</v>
      </c>
      <c r="AB69" t="s">
        <v>171</v>
      </c>
      <c r="AC69" t="s">
        <v>172</v>
      </c>
      <c r="AD69">
        <v>10</v>
      </c>
      <c r="AG69" t="s">
        <v>173</v>
      </c>
      <c r="AH69" t="s">
        <v>174</v>
      </c>
      <c r="AI69" t="s">
        <v>175</v>
      </c>
      <c r="AJ69" t="s">
        <v>176</v>
      </c>
      <c r="AK69" t="s">
        <v>170</v>
      </c>
      <c r="AL69" t="s">
        <v>177</v>
      </c>
      <c r="AO69">
        <v>94</v>
      </c>
      <c r="AP69">
        <v>13</v>
      </c>
      <c r="AS69">
        <v>2050</v>
      </c>
      <c r="AT69">
        <v>2050</v>
      </c>
      <c r="BN69" t="s">
        <v>401</v>
      </c>
      <c r="BO69">
        <v>2</v>
      </c>
      <c r="BP69">
        <v>2</v>
      </c>
      <c r="BQ69">
        <v>4</v>
      </c>
      <c r="BR69" t="s">
        <v>521</v>
      </c>
      <c r="BS69" t="s">
        <v>180</v>
      </c>
      <c r="BT69" t="s">
        <v>181</v>
      </c>
      <c r="BU69" s="1">
        <v>45499</v>
      </c>
      <c r="BV69">
        <v>35139</v>
      </c>
      <c r="BW69" s="155"/>
      <c r="BX69" t="s">
        <v>169</v>
      </c>
      <c r="BY69" t="s">
        <v>170</v>
      </c>
      <c r="CB69" t="s">
        <v>170</v>
      </c>
      <c r="CC69" t="s">
        <v>170</v>
      </c>
      <c r="CE69" t="s">
        <v>170</v>
      </c>
      <c r="CG69" t="s">
        <v>169</v>
      </c>
      <c r="CH69" t="s">
        <v>356</v>
      </c>
      <c r="CI69" t="s">
        <v>169</v>
      </c>
      <c r="CJ69" t="s">
        <v>402</v>
      </c>
      <c r="CK69" t="s">
        <v>233</v>
      </c>
      <c r="CM69">
        <v>1</v>
      </c>
      <c r="CN69" t="s">
        <v>234</v>
      </c>
      <c r="CP69">
        <v>44</v>
      </c>
      <c r="CQ69">
        <v>10</v>
      </c>
      <c r="CR69">
        <v>40</v>
      </c>
      <c r="CS69" t="s">
        <v>235</v>
      </c>
      <c r="CV69" t="s">
        <v>341</v>
      </c>
      <c r="CX69" t="s">
        <v>342</v>
      </c>
      <c r="CY69" t="s">
        <v>170</v>
      </c>
      <c r="DC69" t="s">
        <v>403</v>
      </c>
      <c r="DD69">
        <v>1</v>
      </c>
      <c r="DE69" t="s">
        <v>404</v>
      </c>
      <c r="DF69" t="s">
        <v>405</v>
      </c>
      <c r="DG69">
        <v>8</v>
      </c>
      <c r="DJ69" t="s">
        <v>267</v>
      </c>
      <c r="DK69" t="s">
        <v>268</v>
      </c>
      <c r="DL69" t="s">
        <v>170</v>
      </c>
      <c r="DM69" t="s">
        <v>170</v>
      </c>
      <c r="DN69" t="s">
        <v>170</v>
      </c>
      <c r="DO69" t="s">
        <v>406</v>
      </c>
      <c r="DP69" t="s">
        <v>169</v>
      </c>
      <c r="DQ69" t="s">
        <v>198</v>
      </c>
      <c r="DY69">
        <v>41.9</v>
      </c>
      <c r="EA69" s="101"/>
      <c r="EB69">
        <v>6</v>
      </c>
      <c r="EC69">
        <v>6</v>
      </c>
      <c r="EE69" t="s">
        <v>407</v>
      </c>
      <c r="EF69">
        <v>7</v>
      </c>
      <c r="EV69">
        <v>750</v>
      </c>
      <c r="EW69">
        <v>317</v>
      </c>
      <c r="EX69">
        <v>248</v>
      </c>
      <c r="EY69">
        <v>286</v>
      </c>
    </row>
    <row r="70" spans="1:155" x14ac:dyDescent="0.35">
      <c r="A70">
        <v>2025</v>
      </c>
      <c r="B70" t="s">
        <v>189</v>
      </c>
      <c r="C70" t="s">
        <v>189</v>
      </c>
      <c r="D70" t="s">
        <v>546</v>
      </c>
      <c r="E70" t="s">
        <v>191</v>
      </c>
      <c r="F70">
        <v>304</v>
      </c>
      <c r="G70">
        <v>2</v>
      </c>
      <c r="H70">
        <v>4</v>
      </c>
      <c r="I70" t="s">
        <v>192</v>
      </c>
      <c r="J70">
        <v>26</v>
      </c>
      <c r="K70">
        <v>34</v>
      </c>
      <c r="L70">
        <v>29</v>
      </c>
      <c r="M70">
        <v>34.171399999999998</v>
      </c>
      <c r="N70">
        <v>49.729599999999998</v>
      </c>
      <c r="O70">
        <v>39.770400000000002</v>
      </c>
      <c r="P70">
        <v>26.287800000000001</v>
      </c>
      <c r="Q70">
        <v>34.2211</v>
      </c>
      <c r="R70">
        <v>29.349599999999999</v>
      </c>
      <c r="T70" t="s">
        <v>165</v>
      </c>
      <c r="U70" t="s">
        <v>166</v>
      </c>
      <c r="V70" t="s">
        <v>193</v>
      </c>
      <c r="W70" t="s">
        <v>194</v>
      </c>
      <c r="Y70">
        <v>8</v>
      </c>
      <c r="Z70" t="s">
        <v>169</v>
      </c>
      <c r="AA70" t="s">
        <v>170</v>
      </c>
      <c r="AB70" t="s">
        <v>167</v>
      </c>
      <c r="AC70" t="s">
        <v>213</v>
      </c>
      <c r="AD70">
        <v>10</v>
      </c>
      <c r="AG70" t="s">
        <v>173</v>
      </c>
      <c r="AH70" t="s">
        <v>174</v>
      </c>
      <c r="AI70" t="s">
        <v>175</v>
      </c>
      <c r="AJ70" t="s">
        <v>176</v>
      </c>
      <c r="AK70" t="s">
        <v>170</v>
      </c>
      <c r="AL70" t="s">
        <v>177</v>
      </c>
      <c r="AO70">
        <v>94</v>
      </c>
      <c r="AP70">
        <v>13</v>
      </c>
      <c r="AS70">
        <v>2200</v>
      </c>
      <c r="AT70">
        <v>2200</v>
      </c>
      <c r="BN70" t="s">
        <v>401</v>
      </c>
      <c r="BO70">
        <v>2</v>
      </c>
      <c r="BP70">
        <v>2</v>
      </c>
      <c r="BQ70">
        <v>4</v>
      </c>
      <c r="BR70" t="s">
        <v>521</v>
      </c>
      <c r="BS70" t="s">
        <v>180</v>
      </c>
      <c r="BT70" t="s">
        <v>181</v>
      </c>
      <c r="BU70" s="1">
        <v>45499</v>
      </c>
      <c r="BV70">
        <v>35144</v>
      </c>
      <c r="BW70" s="155"/>
      <c r="BX70" t="s">
        <v>169</v>
      </c>
      <c r="BY70" t="s">
        <v>170</v>
      </c>
      <c r="CB70" t="s">
        <v>170</v>
      </c>
      <c r="CC70" t="s">
        <v>170</v>
      </c>
      <c r="CE70" t="s">
        <v>170</v>
      </c>
      <c r="CG70" t="s">
        <v>169</v>
      </c>
      <c r="CH70" t="s">
        <v>356</v>
      </c>
      <c r="CI70" t="s">
        <v>169</v>
      </c>
      <c r="CJ70" t="s">
        <v>402</v>
      </c>
      <c r="CK70" t="s">
        <v>233</v>
      </c>
      <c r="CM70">
        <v>1</v>
      </c>
      <c r="CN70" t="s">
        <v>234</v>
      </c>
      <c r="CP70">
        <v>44</v>
      </c>
      <c r="CQ70">
        <v>10</v>
      </c>
      <c r="CR70">
        <v>40</v>
      </c>
      <c r="CS70" t="s">
        <v>235</v>
      </c>
      <c r="CV70" t="s">
        <v>341</v>
      </c>
      <c r="CX70" t="s">
        <v>342</v>
      </c>
      <c r="CY70" t="s">
        <v>170</v>
      </c>
      <c r="DC70" t="s">
        <v>403</v>
      </c>
      <c r="DD70">
        <v>1</v>
      </c>
      <c r="DE70" t="s">
        <v>404</v>
      </c>
      <c r="DF70" t="s">
        <v>405</v>
      </c>
      <c r="DG70">
        <v>8</v>
      </c>
      <c r="DJ70" t="s">
        <v>267</v>
      </c>
      <c r="DK70" t="s">
        <v>268</v>
      </c>
      <c r="DL70" t="s">
        <v>170</v>
      </c>
      <c r="DM70" t="s">
        <v>170</v>
      </c>
      <c r="DN70" t="s">
        <v>170</v>
      </c>
      <c r="DO70" t="s">
        <v>406</v>
      </c>
      <c r="DP70" t="s">
        <v>169</v>
      </c>
      <c r="DQ70" t="s">
        <v>198</v>
      </c>
      <c r="DY70">
        <v>40</v>
      </c>
      <c r="EA70" s="101"/>
      <c r="EB70">
        <v>6</v>
      </c>
      <c r="EC70">
        <v>6</v>
      </c>
      <c r="EE70" t="s">
        <v>407</v>
      </c>
      <c r="EF70">
        <v>7</v>
      </c>
      <c r="EV70">
        <v>1500</v>
      </c>
      <c r="EW70">
        <v>332</v>
      </c>
      <c r="EX70">
        <v>256</v>
      </c>
      <c r="EY70">
        <v>298</v>
      </c>
    </row>
    <row r="71" spans="1:155" x14ac:dyDescent="0.35">
      <c r="A71">
        <v>2025</v>
      </c>
      <c r="B71" t="s">
        <v>189</v>
      </c>
      <c r="C71" t="s">
        <v>189</v>
      </c>
      <c r="D71" t="s">
        <v>400</v>
      </c>
      <c r="E71" t="s">
        <v>191</v>
      </c>
      <c r="F71">
        <v>404</v>
      </c>
      <c r="G71">
        <v>2</v>
      </c>
      <c r="H71">
        <v>4</v>
      </c>
      <c r="I71" t="s">
        <v>192</v>
      </c>
      <c r="J71">
        <v>27</v>
      </c>
      <c r="K71">
        <v>35</v>
      </c>
      <c r="L71">
        <v>30</v>
      </c>
      <c r="M71">
        <v>34.532499999999999</v>
      </c>
      <c r="N71">
        <v>50.465699999999998</v>
      </c>
      <c r="O71">
        <v>40.251199999999997</v>
      </c>
      <c r="P71">
        <v>26.535399999999999</v>
      </c>
      <c r="Q71">
        <v>34.671599999999998</v>
      </c>
      <c r="R71">
        <v>29.668399999999998</v>
      </c>
      <c r="T71" t="s">
        <v>165</v>
      </c>
      <c r="U71" t="s">
        <v>166</v>
      </c>
      <c r="V71" t="s">
        <v>193</v>
      </c>
      <c r="W71" t="s">
        <v>194</v>
      </c>
      <c r="Y71">
        <v>8</v>
      </c>
      <c r="Z71" t="s">
        <v>169</v>
      </c>
      <c r="AA71" t="s">
        <v>170</v>
      </c>
      <c r="AB71" t="s">
        <v>171</v>
      </c>
      <c r="AC71" t="s">
        <v>172</v>
      </c>
      <c r="AD71">
        <v>10</v>
      </c>
      <c r="AG71" t="s">
        <v>173</v>
      </c>
      <c r="AH71" t="s">
        <v>174</v>
      </c>
      <c r="AI71" t="s">
        <v>175</v>
      </c>
      <c r="AJ71" t="s">
        <v>176</v>
      </c>
      <c r="AK71" t="s">
        <v>170</v>
      </c>
      <c r="AL71" t="s">
        <v>177</v>
      </c>
      <c r="AM71">
        <v>84</v>
      </c>
      <c r="AN71">
        <v>9</v>
      </c>
      <c r="AS71">
        <v>2100</v>
      </c>
      <c r="AT71">
        <v>2100</v>
      </c>
      <c r="BN71" t="s">
        <v>401</v>
      </c>
      <c r="BO71">
        <v>2</v>
      </c>
      <c r="BP71">
        <v>2</v>
      </c>
      <c r="BQ71">
        <v>3</v>
      </c>
      <c r="BR71" t="s">
        <v>387</v>
      </c>
      <c r="BS71" t="s">
        <v>180</v>
      </c>
      <c r="BT71" t="s">
        <v>181</v>
      </c>
      <c r="BU71" s="1">
        <v>45394</v>
      </c>
      <c r="BV71">
        <v>34655</v>
      </c>
      <c r="BW71" s="156"/>
      <c r="BX71" t="s">
        <v>169</v>
      </c>
      <c r="BY71" t="s">
        <v>170</v>
      </c>
      <c r="CB71" t="s">
        <v>170</v>
      </c>
      <c r="CC71" t="s">
        <v>170</v>
      </c>
      <c r="CE71" t="s">
        <v>170</v>
      </c>
      <c r="CG71" t="s">
        <v>169</v>
      </c>
      <c r="CH71" t="s">
        <v>356</v>
      </c>
      <c r="CI71" t="s">
        <v>169</v>
      </c>
      <c r="CJ71" t="s">
        <v>402</v>
      </c>
      <c r="CK71" t="s">
        <v>233</v>
      </c>
      <c r="CM71">
        <v>1</v>
      </c>
      <c r="CN71" t="s">
        <v>234</v>
      </c>
      <c r="CP71">
        <v>44</v>
      </c>
      <c r="CQ71">
        <v>10</v>
      </c>
      <c r="CR71">
        <v>40</v>
      </c>
      <c r="CS71" t="s">
        <v>235</v>
      </c>
      <c r="CV71" t="s">
        <v>341</v>
      </c>
      <c r="CX71" t="s">
        <v>342</v>
      </c>
      <c r="CY71" t="s">
        <v>170</v>
      </c>
      <c r="DC71" t="s">
        <v>403</v>
      </c>
      <c r="DD71">
        <v>1</v>
      </c>
      <c r="DE71" t="s">
        <v>404</v>
      </c>
      <c r="DF71" t="s">
        <v>405</v>
      </c>
      <c r="DG71">
        <v>8</v>
      </c>
      <c r="DJ71" t="s">
        <v>267</v>
      </c>
      <c r="DK71" t="s">
        <v>268</v>
      </c>
      <c r="DL71" t="s">
        <v>170</v>
      </c>
      <c r="DM71" t="s">
        <v>170</v>
      </c>
      <c r="DN71" t="s">
        <v>170</v>
      </c>
      <c r="DO71" t="s">
        <v>406</v>
      </c>
      <c r="DP71" t="s">
        <v>169</v>
      </c>
      <c r="DQ71" t="s">
        <v>198</v>
      </c>
      <c r="DY71">
        <v>40.5</v>
      </c>
      <c r="EA71" s="89"/>
      <c r="EB71">
        <v>6</v>
      </c>
      <c r="EC71">
        <v>6</v>
      </c>
      <c r="EE71" t="s">
        <v>407</v>
      </c>
      <c r="EF71">
        <v>7</v>
      </c>
      <c r="EV71">
        <v>1000</v>
      </c>
      <c r="EW71">
        <v>329</v>
      </c>
      <c r="EX71">
        <v>253</v>
      </c>
      <c r="EY71">
        <v>295</v>
      </c>
    </row>
    <row r="72" spans="1:155" x14ac:dyDescent="0.35">
      <c r="A72">
        <v>2025</v>
      </c>
      <c r="B72" t="s">
        <v>189</v>
      </c>
      <c r="C72" t="s">
        <v>189</v>
      </c>
      <c r="D72" t="s">
        <v>408</v>
      </c>
      <c r="E72" t="s">
        <v>191</v>
      </c>
      <c r="F72">
        <v>400</v>
      </c>
      <c r="G72">
        <v>2</v>
      </c>
      <c r="H72">
        <v>4</v>
      </c>
      <c r="I72" t="s">
        <v>192</v>
      </c>
      <c r="J72">
        <v>28</v>
      </c>
      <c r="K72">
        <v>36</v>
      </c>
      <c r="L72">
        <v>31</v>
      </c>
      <c r="M72">
        <v>36.305599999999998</v>
      </c>
      <c r="N72">
        <v>52.443199999999997</v>
      </c>
      <c r="O72">
        <v>42.140999999999998</v>
      </c>
      <c r="P72">
        <v>27.743300000000001</v>
      </c>
      <c r="Q72">
        <v>35.874600000000001</v>
      </c>
      <c r="R72">
        <v>30.894400000000001</v>
      </c>
      <c r="T72" t="s">
        <v>165</v>
      </c>
      <c r="U72" t="s">
        <v>166</v>
      </c>
      <c r="V72" t="s">
        <v>193</v>
      </c>
      <c r="W72" t="s">
        <v>194</v>
      </c>
      <c r="Y72">
        <v>8</v>
      </c>
      <c r="Z72" t="s">
        <v>169</v>
      </c>
      <c r="AA72" t="s">
        <v>170</v>
      </c>
      <c r="AB72" t="s">
        <v>171</v>
      </c>
      <c r="AC72" t="s">
        <v>172</v>
      </c>
      <c r="AD72">
        <v>10</v>
      </c>
      <c r="AG72" t="s">
        <v>173</v>
      </c>
      <c r="AH72" t="s">
        <v>174</v>
      </c>
      <c r="AI72" t="s">
        <v>175</v>
      </c>
      <c r="AJ72" t="s">
        <v>176</v>
      </c>
      <c r="AK72" t="s">
        <v>170</v>
      </c>
      <c r="AL72" t="s">
        <v>177</v>
      </c>
      <c r="AM72">
        <v>86</v>
      </c>
      <c r="AN72">
        <v>12</v>
      </c>
      <c r="AS72">
        <v>2050</v>
      </c>
      <c r="AT72">
        <v>2050</v>
      </c>
      <c r="BN72" t="s">
        <v>401</v>
      </c>
      <c r="BO72">
        <v>2</v>
      </c>
      <c r="BP72">
        <v>2</v>
      </c>
      <c r="BQ72">
        <v>3</v>
      </c>
      <c r="BR72" t="s">
        <v>387</v>
      </c>
      <c r="BS72" t="s">
        <v>180</v>
      </c>
      <c r="BT72" t="s">
        <v>181</v>
      </c>
      <c r="BU72" s="1">
        <v>45394</v>
      </c>
      <c r="BV72">
        <v>34654</v>
      </c>
      <c r="BW72" s="155"/>
      <c r="BX72" t="s">
        <v>170</v>
      </c>
      <c r="BY72" t="s">
        <v>170</v>
      </c>
      <c r="CB72" t="s">
        <v>170</v>
      </c>
      <c r="CC72" t="s">
        <v>170</v>
      </c>
      <c r="CE72" t="s">
        <v>170</v>
      </c>
      <c r="CG72" t="s">
        <v>169</v>
      </c>
      <c r="CH72" t="s">
        <v>356</v>
      </c>
      <c r="CI72" t="s">
        <v>169</v>
      </c>
      <c r="CJ72" t="s">
        <v>402</v>
      </c>
      <c r="CK72" t="s">
        <v>233</v>
      </c>
      <c r="CM72">
        <v>1</v>
      </c>
      <c r="CN72" t="s">
        <v>234</v>
      </c>
      <c r="CP72">
        <v>44</v>
      </c>
      <c r="CQ72">
        <v>10</v>
      </c>
      <c r="CR72">
        <v>40</v>
      </c>
      <c r="CS72" t="s">
        <v>235</v>
      </c>
      <c r="CV72" t="s">
        <v>341</v>
      </c>
      <c r="CX72" t="s">
        <v>342</v>
      </c>
      <c r="CY72" t="s">
        <v>170</v>
      </c>
      <c r="DC72" t="s">
        <v>403</v>
      </c>
      <c r="DD72">
        <v>1</v>
      </c>
      <c r="DE72" t="s">
        <v>404</v>
      </c>
      <c r="DF72" t="s">
        <v>405</v>
      </c>
      <c r="DG72">
        <v>8</v>
      </c>
      <c r="DJ72" t="s">
        <v>267</v>
      </c>
      <c r="DK72" t="s">
        <v>268</v>
      </c>
      <c r="DL72" t="s">
        <v>170</v>
      </c>
      <c r="DM72" t="s">
        <v>170</v>
      </c>
      <c r="DN72" t="s">
        <v>170</v>
      </c>
      <c r="DO72" t="s">
        <v>406</v>
      </c>
      <c r="DP72" t="s">
        <v>169</v>
      </c>
      <c r="DQ72" t="s">
        <v>198</v>
      </c>
      <c r="DY72">
        <v>42.4</v>
      </c>
      <c r="EA72" s="101"/>
      <c r="EB72">
        <v>6</v>
      </c>
      <c r="EC72">
        <v>6</v>
      </c>
      <c r="EE72" t="s">
        <v>407</v>
      </c>
      <c r="EF72">
        <v>7</v>
      </c>
      <c r="EV72">
        <v>750</v>
      </c>
      <c r="EW72">
        <v>315</v>
      </c>
      <c r="EX72">
        <v>248</v>
      </c>
      <c r="EY72">
        <v>285</v>
      </c>
    </row>
    <row r="73" spans="1:155" x14ac:dyDescent="0.35">
      <c r="A73">
        <v>2025</v>
      </c>
      <c r="B73" t="s">
        <v>189</v>
      </c>
      <c r="C73" t="s">
        <v>189</v>
      </c>
      <c r="D73" t="s">
        <v>547</v>
      </c>
      <c r="E73" t="s">
        <v>191</v>
      </c>
      <c r="F73">
        <v>406</v>
      </c>
      <c r="G73">
        <v>2</v>
      </c>
      <c r="H73">
        <v>4</v>
      </c>
      <c r="I73" t="s">
        <v>192</v>
      </c>
      <c r="J73">
        <v>27</v>
      </c>
      <c r="K73">
        <v>35</v>
      </c>
      <c r="L73">
        <v>30</v>
      </c>
      <c r="M73">
        <v>35.561599999999999</v>
      </c>
      <c r="N73">
        <v>50.695700000000002</v>
      </c>
      <c r="O73">
        <v>41.080199999999998</v>
      </c>
      <c r="P73">
        <v>27.238099999999999</v>
      </c>
      <c r="Q73">
        <v>34.811999999999998</v>
      </c>
      <c r="R73">
        <v>30.194299999999998</v>
      </c>
      <c r="T73" t="s">
        <v>165</v>
      </c>
      <c r="U73" t="s">
        <v>166</v>
      </c>
      <c r="V73" t="s">
        <v>193</v>
      </c>
      <c r="W73" t="s">
        <v>194</v>
      </c>
      <c r="Y73">
        <v>8</v>
      </c>
      <c r="Z73" t="s">
        <v>169</v>
      </c>
      <c r="AA73" t="s">
        <v>170</v>
      </c>
      <c r="AB73" t="s">
        <v>171</v>
      </c>
      <c r="AC73" t="s">
        <v>172</v>
      </c>
      <c r="AD73">
        <v>10</v>
      </c>
      <c r="AG73" t="s">
        <v>173</v>
      </c>
      <c r="AH73" t="s">
        <v>174</v>
      </c>
      <c r="AI73" t="s">
        <v>175</v>
      </c>
      <c r="AJ73" t="s">
        <v>176</v>
      </c>
      <c r="AK73" t="s">
        <v>170</v>
      </c>
      <c r="AL73" t="s">
        <v>177</v>
      </c>
      <c r="AO73">
        <v>91</v>
      </c>
      <c r="AP73">
        <v>12</v>
      </c>
      <c r="AS73">
        <v>2100</v>
      </c>
      <c r="AT73">
        <v>2100</v>
      </c>
      <c r="BN73" t="s">
        <v>401</v>
      </c>
      <c r="BO73">
        <v>2</v>
      </c>
      <c r="BP73">
        <v>2</v>
      </c>
      <c r="BQ73">
        <v>4</v>
      </c>
      <c r="BR73" t="s">
        <v>521</v>
      </c>
      <c r="BS73" t="s">
        <v>180</v>
      </c>
      <c r="BT73" t="s">
        <v>181</v>
      </c>
      <c r="BU73" s="1">
        <v>45499</v>
      </c>
      <c r="BV73">
        <v>35138</v>
      </c>
      <c r="BW73" s="155"/>
      <c r="BX73" t="s">
        <v>169</v>
      </c>
      <c r="BY73" t="s">
        <v>170</v>
      </c>
      <c r="CB73" t="s">
        <v>170</v>
      </c>
      <c r="CC73" t="s">
        <v>170</v>
      </c>
      <c r="CE73" t="s">
        <v>170</v>
      </c>
      <c r="CG73" t="s">
        <v>169</v>
      </c>
      <c r="CH73" t="s">
        <v>356</v>
      </c>
      <c r="CI73" t="s">
        <v>169</v>
      </c>
      <c r="CJ73" t="s">
        <v>402</v>
      </c>
      <c r="CK73" t="s">
        <v>233</v>
      </c>
      <c r="CM73">
        <v>1</v>
      </c>
      <c r="CN73" t="s">
        <v>234</v>
      </c>
      <c r="CP73">
        <v>44</v>
      </c>
      <c r="CQ73">
        <v>10</v>
      </c>
      <c r="CR73">
        <v>40</v>
      </c>
      <c r="CS73" t="s">
        <v>235</v>
      </c>
      <c r="CV73" t="s">
        <v>341</v>
      </c>
      <c r="CX73" t="s">
        <v>342</v>
      </c>
      <c r="CY73" t="s">
        <v>170</v>
      </c>
      <c r="DC73" t="s">
        <v>403</v>
      </c>
      <c r="DD73">
        <v>1</v>
      </c>
      <c r="DE73" t="s">
        <v>404</v>
      </c>
      <c r="DF73" t="s">
        <v>405</v>
      </c>
      <c r="DG73">
        <v>8</v>
      </c>
      <c r="DJ73" t="s">
        <v>267</v>
      </c>
      <c r="DK73" t="s">
        <v>268</v>
      </c>
      <c r="DL73" t="s">
        <v>170</v>
      </c>
      <c r="DM73" t="s">
        <v>170</v>
      </c>
      <c r="DN73" t="s">
        <v>170</v>
      </c>
      <c r="DO73" t="s">
        <v>406</v>
      </c>
      <c r="DP73" t="s">
        <v>169</v>
      </c>
      <c r="DQ73" t="s">
        <v>198</v>
      </c>
      <c r="DY73">
        <v>41.4</v>
      </c>
      <c r="EA73" s="101"/>
      <c r="EB73">
        <v>6</v>
      </c>
      <c r="EC73">
        <v>6</v>
      </c>
      <c r="EE73" t="s">
        <v>407</v>
      </c>
      <c r="EF73">
        <v>7</v>
      </c>
      <c r="EV73">
        <v>1000</v>
      </c>
      <c r="EW73">
        <v>320</v>
      </c>
      <c r="EX73">
        <v>252</v>
      </c>
      <c r="EY73">
        <v>290</v>
      </c>
    </row>
    <row r="74" spans="1:155" x14ac:dyDescent="0.35">
      <c r="A74">
        <v>2025</v>
      </c>
      <c r="B74" t="s">
        <v>189</v>
      </c>
      <c r="C74" t="s">
        <v>189</v>
      </c>
      <c r="D74" t="s">
        <v>409</v>
      </c>
      <c r="E74" t="s">
        <v>191</v>
      </c>
      <c r="F74">
        <v>405</v>
      </c>
      <c r="G74">
        <v>2</v>
      </c>
      <c r="H74">
        <v>4</v>
      </c>
      <c r="I74" t="s">
        <v>192</v>
      </c>
      <c r="J74">
        <v>24</v>
      </c>
      <c r="K74">
        <v>33</v>
      </c>
      <c r="L74">
        <v>28</v>
      </c>
      <c r="M74">
        <v>31.443100000000001</v>
      </c>
      <c r="N74">
        <v>47.988799999999998</v>
      </c>
      <c r="O74">
        <v>37.217500000000001</v>
      </c>
      <c r="P74">
        <v>24.398399999999999</v>
      </c>
      <c r="Q74">
        <v>33.149900000000002</v>
      </c>
      <c r="R74">
        <v>27.6877</v>
      </c>
      <c r="T74" t="s">
        <v>165</v>
      </c>
      <c r="U74" t="s">
        <v>166</v>
      </c>
      <c r="V74" t="s">
        <v>193</v>
      </c>
      <c r="W74" t="s">
        <v>194</v>
      </c>
      <c r="Y74">
        <v>8</v>
      </c>
      <c r="Z74" t="s">
        <v>169</v>
      </c>
      <c r="AA74" t="s">
        <v>170</v>
      </c>
      <c r="AB74" t="s">
        <v>167</v>
      </c>
      <c r="AC74" t="s">
        <v>213</v>
      </c>
      <c r="AD74">
        <v>10</v>
      </c>
      <c r="AG74" t="s">
        <v>173</v>
      </c>
      <c r="AH74" t="s">
        <v>174</v>
      </c>
      <c r="AI74" t="s">
        <v>175</v>
      </c>
      <c r="AJ74" t="s">
        <v>176</v>
      </c>
      <c r="AK74" t="s">
        <v>170</v>
      </c>
      <c r="AL74" t="s">
        <v>177</v>
      </c>
      <c r="AM74">
        <v>84</v>
      </c>
      <c r="AN74">
        <v>9</v>
      </c>
      <c r="AS74">
        <v>2300</v>
      </c>
      <c r="AT74">
        <v>2300</v>
      </c>
      <c r="BN74" t="s">
        <v>401</v>
      </c>
      <c r="BO74">
        <v>2</v>
      </c>
      <c r="BP74">
        <v>2</v>
      </c>
      <c r="BQ74">
        <v>3</v>
      </c>
      <c r="BR74" t="s">
        <v>387</v>
      </c>
      <c r="BS74" t="s">
        <v>180</v>
      </c>
      <c r="BT74" t="s">
        <v>181</v>
      </c>
      <c r="BU74" s="1">
        <v>45383</v>
      </c>
      <c r="BV74">
        <v>34555</v>
      </c>
      <c r="BW74" s="156"/>
      <c r="BX74" t="s">
        <v>170</v>
      </c>
      <c r="BY74" t="s">
        <v>170</v>
      </c>
      <c r="CB74" t="s">
        <v>170</v>
      </c>
      <c r="CC74" t="s">
        <v>170</v>
      </c>
      <c r="CE74" t="s">
        <v>170</v>
      </c>
      <c r="CG74" t="s">
        <v>169</v>
      </c>
      <c r="CH74" t="s">
        <v>356</v>
      </c>
      <c r="CI74" t="s">
        <v>169</v>
      </c>
      <c r="CJ74" t="s">
        <v>402</v>
      </c>
      <c r="CK74" t="s">
        <v>233</v>
      </c>
      <c r="CM74">
        <v>1</v>
      </c>
      <c r="CN74" t="s">
        <v>234</v>
      </c>
      <c r="CP74">
        <v>44</v>
      </c>
      <c r="CQ74">
        <v>10</v>
      </c>
      <c r="CR74">
        <v>40</v>
      </c>
      <c r="CS74" t="s">
        <v>235</v>
      </c>
      <c r="CV74" t="s">
        <v>341</v>
      </c>
      <c r="CX74" t="s">
        <v>342</v>
      </c>
      <c r="CY74" t="s">
        <v>170</v>
      </c>
      <c r="DC74" t="s">
        <v>403</v>
      </c>
      <c r="DD74">
        <v>1</v>
      </c>
      <c r="DE74" t="s">
        <v>404</v>
      </c>
      <c r="DF74" t="s">
        <v>405</v>
      </c>
      <c r="DG74">
        <v>8</v>
      </c>
      <c r="DJ74" t="s">
        <v>267</v>
      </c>
      <c r="DK74" t="s">
        <v>268</v>
      </c>
      <c r="DL74" t="s">
        <v>170</v>
      </c>
      <c r="DM74" t="s">
        <v>170</v>
      </c>
      <c r="DN74" t="s">
        <v>170</v>
      </c>
      <c r="DO74" t="s">
        <v>406</v>
      </c>
      <c r="DP74" t="s">
        <v>169</v>
      </c>
      <c r="DQ74" t="s">
        <v>198</v>
      </c>
      <c r="DY74">
        <v>37.5</v>
      </c>
      <c r="EA74" s="89"/>
      <c r="EB74">
        <v>6</v>
      </c>
      <c r="EC74">
        <v>6</v>
      </c>
      <c r="EE74" t="s">
        <v>407</v>
      </c>
      <c r="EF74">
        <v>7</v>
      </c>
      <c r="EV74">
        <v>2000</v>
      </c>
      <c r="EW74">
        <v>359</v>
      </c>
      <c r="EX74">
        <v>263</v>
      </c>
      <c r="EY74">
        <v>316</v>
      </c>
    </row>
    <row r="75" spans="1:155" x14ac:dyDescent="0.35">
      <c r="A75">
        <v>2025</v>
      </c>
      <c r="B75" t="s">
        <v>189</v>
      </c>
      <c r="C75" t="s">
        <v>189</v>
      </c>
      <c r="D75" t="s">
        <v>410</v>
      </c>
      <c r="E75" t="s">
        <v>191</v>
      </c>
      <c r="F75">
        <v>402</v>
      </c>
      <c r="G75">
        <v>2</v>
      </c>
      <c r="H75">
        <v>4</v>
      </c>
      <c r="I75" t="s">
        <v>192</v>
      </c>
      <c r="J75">
        <v>27</v>
      </c>
      <c r="K75">
        <v>34</v>
      </c>
      <c r="L75">
        <v>30</v>
      </c>
      <c r="M75">
        <v>35.148299999999999</v>
      </c>
      <c r="N75">
        <v>49.7121</v>
      </c>
      <c r="O75">
        <v>40.485599999999998</v>
      </c>
      <c r="P75">
        <v>26.956499999999998</v>
      </c>
      <c r="Q75">
        <v>34.210299999999997</v>
      </c>
      <c r="R75">
        <v>29.799900000000001</v>
      </c>
      <c r="T75" t="s">
        <v>165</v>
      </c>
      <c r="U75" t="s">
        <v>166</v>
      </c>
      <c r="V75" t="s">
        <v>193</v>
      </c>
      <c r="W75" t="s">
        <v>194</v>
      </c>
      <c r="Y75">
        <v>8</v>
      </c>
      <c r="Z75" t="s">
        <v>169</v>
      </c>
      <c r="AA75" t="s">
        <v>170</v>
      </c>
      <c r="AB75" t="s">
        <v>167</v>
      </c>
      <c r="AC75" t="s">
        <v>213</v>
      </c>
      <c r="AD75">
        <v>10</v>
      </c>
      <c r="AG75" t="s">
        <v>173</v>
      </c>
      <c r="AH75" t="s">
        <v>174</v>
      </c>
      <c r="AI75" t="s">
        <v>175</v>
      </c>
      <c r="AJ75" t="s">
        <v>176</v>
      </c>
      <c r="AK75" t="s">
        <v>170</v>
      </c>
      <c r="AL75" t="s">
        <v>177</v>
      </c>
      <c r="AM75">
        <v>86</v>
      </c>
      <c r="AN75">
        <v>12</v>
      </c>
      <c r="AS75">
        <v>2100</v>
      </c>
      <c r="AT75">
        <v>2100</v>
      </c>
      <c r="BN75" t="s">
        <v>401</v>
      </c>
      <c r="BO75">
        <v>2</v>
      </c>
      <c r="BP75">
        <v>2</v>
      </c>
      <c r="BQ75">
        <v>3</v>
      </c>
      <c r="BR75" t="s">
        <v>387</v>
      </c>
      <c r="BS75" t="s">
        <v>180</v>
      </c>
      <c r="BT75" t="s">
        <v>181</v>
      </c>
      <c r="BU75" s="1">
        <v>45383</v>
      </c>
      <c r="BV75">
        <v>34551</v>
      </c>
      <c r="BW75" s="155"/>
      <c r="BX75" t="s">
        <v>170</v>
      </c>
      <c r="BY75" t="s">
        <v>170</v>
      </c>
      <c r="CB75" t="s">
        <v>170</v>
      </c>
      <c r="CC75" t="s">
        <v>170</v>
      </c>
      <c r="CE75" t="s">
        <v>170</v>
      </c>
      <c r="CG75" t="s">
        <v>169</v>
      </c>
      <c r="CH75" t="s">
        <v>356</v>
      </c>
      <c r="CI75" t="s">
        <v>169</v>
      </c>
      <c r="CJ75" t="s">
        <v>402</v>
      </c>
      <c r="CK75" t="s">
        <v>233</v>
      </c>
      <c r="CM75">
        <v>1</v>
      </c>
      <c r="CN75" t="s">
        <v>234</v>
      </c>
      <c r="CP75">
        <v>44</v>
      </c>
      <c r="CQ75">
        <v>10</v>
      </c>
      <c r="CR75">
        <v>40</v>
      </c>
      <c r="CS75" t="s">
        <v>235</v>
      </c>
      <c r="CV75" t="s">
        <v>341</v>
      </c>
      <c r="CX75" t="s">
        <v>342</v>
      </c>
      <c r="CY75" t="s">
        <v>170</v>
      </c>
      <c r="DC75" t="s">
        <v>403</v>
      </c>
      <c r="DD75">
        <v>1</v>
      </c>
      <c r="DE75" t="s">
        <v>404</v>
      </c>
      <c r="DF75" t="s">
        <v>405</v>
      </c>
      <c r="DG75">
        <v>8</v>
      </c>
      <c r="DJ75" t="s">
        <v>267</v>
      </c>
      <c r="DK75" t="s">
        <v>268</v>
      </c>
      <c r="DL75" t="s">
        <v>170</v>
      </c>
      <c r="DM75" t="s">
        <v>170</v>
      </c>
      <c r="DN75" t="s">
        <v>170</v>
      </c>
      <c r="DO75" t="s">
        <v>406</v>
      </c>
      <c r="DP75" t="s">
        <v>169</v>
      </c>
      <c r="DQ75" t="s">
        <v>198</v>
      </c>
      <c r="DY75">
        <v>40.799999999999997</v>
      </c>
      <c r="EA75" s="101"/>
      <c r="EB75">
        <v>6</v>
      </c>
      <c r="EC75">
        <v>6</v>
      </c>
      <c r="EE75" t="s">
        <v>407</v>
      </c>
      <c r="EF75">
        <v>7</v>
      </c>
      <c r="EV75">
        <v>1000</v>
      </c>
      <c r="EW75">
        <v>325</v>
      </c>
      <c r="EX75">
        <v>256</v>
      </c>
      <c r="EY75">
        <v>294</v>
      </c>
    </row>
    <row r="76" spans="1:155" x14ac:dyDescent="0.35">
      <c r="A76">
        <v>2025</v>
      </c>
      <c r="B76" t="s">
        <v>189</v>
      </c>
      <c r="C76" t="s">
        <v>189</v>
      </c>
      <c r="D76" t="s">
        <v>548</v>
      </c>
      <c r="E76" t="s">
        <v>191</v>
      </c>
      <c r="F76">
        <v>407</v>
      </c>
      <c r="G76">
        <v>2</v>
      </c>
      <c r="H76">
        <v>4</v>
      </c>
      <c r="I76" t="s">
        <v>192</v>
      </c>
      <c r="J76">
        <v>25</v>
      </c>
      <c r="K76">
        <v>34</v>
      </c>
      <c r="L76">
        <v>29</v>
      </c>
      <c r="M76">
        <v>32.832599999999999</v>
      </c>
      <c r="N76">
        <v>49.179900000000004</v>
      </c>
      <c r="O76">
        <v>38.607399999999998</v>
      </c>
      <c r="P76">
        <v>25.364799999999999</v>
      </c>
      <c r="Q76">
        <v>33.883699999999997</v>
      </c>
      <c r="R76">
        <v>28.6006</v>
      </c>
      <c r="T76" t="s">
        <v>165</v>
      </c>
      <c r="U76" t="s">
        <v>166</v>
      </c>
      <c r="V76" t="s">
        <v>193</v>
      </c>
      <c r="W76" t="s">
        <v>194</v>
      </c>
      <c r="Y76">
        <v>8</v>
      </c>
      <c r="Z76" t="s">
        <v>169</v>
      </c>
      <c r="AA76" t="s">
        <v>170</v>
      </c>
      <c r="AB76" t="s">
        <v>167</v>
      </c>
      <c r="AC76" t="s">
        <v>213</v>
      </c>
      <c r="AD76">
        <v>10</v>
      </c>
      <c r="AG76" t="s">
        <v>173</v>
      </c>
      <c r="AH76" t="s">
        <v>174</v>
      </c>
      <c r="AI76" t="s">
        <v>175</v>
      </c>
      <c r="AJ76" t="s">
        <v>176</v>
      </c>
      <c r="AK76" t="s">
        <v>170</v>
      </c>
      <c r="AL76" t="s">
        <v>177</v>
      </c>
      <c r="AO76">
        <v>91</v>
      </c>
      <c r="AP76">
        <v>12</v>
      </c>
      <c r="AS76">
        <v>2200</v>
      </c>
      <c r="AT76">
        <v>2200</v>
      </c>
      <c r="BN76" t="s">
        <v>401</v>
      </c>
      <c r="BO76">
        <v>2</v>
      </c>
      <c r="BP76">
        <v>2</v>
      </c>
      <c r="BQ76">
        <v>4</v>
      </c>
      <c r="BR76" t="s">
        <v>521</v>
      </c>
      <c r="BS76" t="s">
        <v>180</v>
      </c>
      <c r="BT76" t="s">
        <v>181</v>
      </c>
      <c r="BU76" s="1">
        <v>45499</v>
      </c>
      <c r="BV76">
        <v>35145</v>
      </c>
      <c r="BW76" s="155"/>
      <c r="BX76" t="s">
        <v>169</v>
      </c>
      <c r="BY76" t="s">
        <v>170</v>
      </c>
      <c r="CB76" t="s">
        <v>170</v>
      </c>
      <c r="CC76" t="s">
        <v>170</v>
      </c>
      <c r="CE76" t="s">
        <v>170</v>
      </c>
      <c r="CG76" t="s">
        <v>169</v>
      </c>
      <c r="CH76" t="s">
        <v>356</v>
      </c>
      <c r="CI76" t="s">
        <v>169</v>
      </c>
      <c r="CJ76" t="s">
        <v>402</v>
      </c>
      <c r="CK76" t="s">
        <v>233</v>
      </c>
      <c r="CM76">
        <v>1</v>
      </c>
      <c r="CN76" t="s">
        <v>234</v>
      </c>
      <c r="CP76">
        <v>44</v>
      </c>
      <c r="CQ76">
        <v>10</v>
      </c>
      <c r="CR76">
        <v>40</v>
      </c>
      <c r="CS76" t="s">
        <v>235</v>
      </c>
      <c r="CV76" t="s">
        <v>341</v>
      </c>
      <c r="CX76" t="s">
        <v>342</v>
      </c>
      <c r="CY76" t="s">
        <v>170</v>
      </c>
      <c r="DC76" t="s">
        <v>403</v>
      </c>
      <c r="DD76">
        <v>1</v>
      </c>
      <c r="DE76" t="s">
        <v>404</v>
      </c>
      <c r="DF76" t="s">
        <v>405</v>
      </c>
      <c r="DG76">
        <v>8</v>
      </c>
      <c r="DJ76" t="s">
        <v>267</v>
      </c>
      <c r="DK76" t="s">
        <v>268</v>
      </c>
      <c r="DL76" t="s">
        <v>170</v>
      </c>
      <c r="DM76" t="s">
        <v>170</v>
      </c>
      <c r="DN76" t="s">
        <v>170</v>
      </c>
      <c r="DO76" t="s">
        <v>406</v>
      </c>
      <c r="DP76" t="s">
        <v>169</v>
      </c>
      <c r="DQ76" t="s">
        <v>198</v>
      </c>
      <c r="DY76">
        <v>38.9</v>
      </c>
      <c r="EA76" s="101"/>
      <c r="EB76">
        <v>6</v>
      </c>
      <c r="EC76">
        <v>6</v>
      </c>
      <c r="EE76" t="s">
        <v>407</v>
      </c>
      <c r="EF76">
        <v>7</v>
      </c>
      <c r="EV76">
        <v>1500</v>
      </c>
      <c r="EW76">
        <v>345</v>
      </c>
      <c r="EX76">
        <v>257</v>
      </c>
      <c r="EY76">
        <v>305</v>
      </c>
    </row>
    <row r="77" spans="1:155" x14ac:dyDescent="0.35">
      <c r="A77">
        <v>2025</v>
      </c>
      <c r="B77" t="s">
        <v>189</v>
      </c>
      <c r="C77" t="s">
        <v>189</v>
      </c>
      <c r="D77" t="s">
        <v>709</v>
      </c>
      <c r="E77" t="s">
        <v>191</v>
      </c>
      <c r="F77">
        <v>530</v>
      </c>
      <c r="G77">
        <v>2</v>
      </c>
      <c r="H77">
        <v>4</v>
      </c>
      <c r="I77" t="s">
        <v>192</v>
      </c>
      <c r="J77">
        <v>28</v>
      </c>
      <c r="K77">
        <v>35</v>
      </c>
      <c r="L77">
        <v>31</v>
      </c>
      <c r="M77">
        <v>36.401400000000002</v>
      </c>
      <c r="N77">
        <v>51.352499999999999</v>
      </c>
      <c r="O77">
        <v>41.889600000000002</v>
      </c>
      <c r="P77">
        <v>27.808199999999999</v>
      </c>
      <c r="Q77">
        <v>35.212400000000002</v>
      </c>
      <c r="R77">
        <v>30.714500000000001</v>
      </c>
      <c r="T77" t="s">
        <v>165</v>
      </c>
      <c r="U77" t="s">
        <v>166</v>
      </c>
      <c r="V77" t="s">
        <v>193</v>
      </c>
      <c r="W77" t="s">
        <v>194</v>
      </c>
      <c r="Y77">
        <v>8</v>
      </c>
      <c r="Z77" t="s">
        <v>169</v>
      </c>
      <c r="AA77" t="s">
        <v>170</v>
      </c>
      <c r="AB77" t="s">
        <v>171</v>
      </c>
      <c r="AC77" t="s">
        <v>172</v>
      </c>
      <c r="AD77">
        <v>10</v>
      </c>
      <c r="AG77" t="s">
        <v>173</v>
      </c>
      <c r="AH77" t="s">
        <v>174</v>
      </c>
      <c r="AI77" t="s">
        <v>175</v>
      </c>
      <c r="AJ77" t="s">
        <v>176</v>
      </c>
      <c r="AK77" t="s">
        <v>170</v>
      </c>
      <c r="AL77" t="s">
        <v>177</v>
      </c>
      <c r="AO77">
        <v>98</v>
      </c>
      <c r="AP77">
        <v>14</v>
      </c>
      <c r="AS77">
        <v>2050</v>
      </c>
      <c r="AT77">
        <v>2050</v>
      </c>
      <c r="BN77" t="s">
        <v>401</v>
      </c>
      <c r="BO77">
        <v>2</v>
      </c>
      <c r="BP77">
        <v>2</v>
      </c>
      <c r="BQ77">
        <v>5</v>
      </c>
      <c r="BR77" t="s">
        <v>672</v>
      </c>
      <c r="BS77" t="s">
        <v>180</v>
      </c>
      <c r="BT77" t="s">
        <v>181</v>
      </c>
      <c r="BU77" s="1">
        <v>45499</v>
      </c>
      <c r="BV77">
        <v>35231</v>
      </c>
      <c r="BW77" s="156"/>
      <c r="BX77" t="s">
        <v>170</v>
      </c>
      <c r="BY77" t="s">
        <v>170</v>
      </c>
      <c r="CB77" t="s">
        <v>170</v>
      </c>
      <c r="CC77" t="s">
        <v>170</v>
      </c>
      <c r="CE77" t="s">
        <v>170</v>
      </c>
      <c r="CG77" t="s">
        <v>169</v>
      </c>
      <c r="CH77" t="s">
        <v>356</v>
      </c>
      <c r="CI77" t="s">
        <v>169</v>
      </c>
      <c r="CJ77" t="s">
        <v>402</v>
      </c>
      <c r="CK77" t="s">
        <v>233</v>
      </c>
      <c r="CM77">
        <v>1</v>
      </c>
      <c r="CN77" t="s">
        <v>234</v>
      </c>
      <c r="CP77">
        <v>46</v>
      </c>
      <c r="CQ77">
        <v>20</v>
      </c>
      <c r="CR77">
        <v>47</v>
      </c>
      <c r="CS77" t="s">
        <v>235</v>
      </c>
      <c r="CV77" t="s">
        <v>341</v>
      </c>
      <c r="CX77" t="s">
        <v>342</v>
      </c>
      <c r="CY77" t="s">
        <v>170</v>
      </c>
      <c r="DC77" t="s">
        <v>710</v>
      </c>
      <c r="DD77">
        <v>1</v>
      </c>
      <c r="DE77" t="s">
        <v>404</v>
      </c>
      <c r="DF77" t="s">
        <v>405</v>
      </c>
      <c r="DG77">
        <v>8</v>
      </c>
      <c r="DJ77" t="s">
        <v>267</v>
      </c>
      <c r="DK77" t="s">
        <v>268</v>
      </c>
      <c r="DL77" t="s">
        <v>170</v>
      </c>
      <c r="DM77" t="s">
        <v>170</v>
      </c>
      <c r="DN77" t="s">
        <v>170</v>
      </c>
      <c r="DO77" t="s">
        <v>406</v>
      </c>
      <c r="DP77" t="s">
        <v>169</v>
      </c>
      <c r="DQ77" t="s">
        <v>198</v>
      </c>
      <c r="DY77">
        <v>42.2</v>
      </c>
      <c r="EA77" s="89"/>
      <c r="EB77">
        <v>6</v>
      </c>
      <c r="EC77">
        <v>6</v>
      </c>
      <c r="EE77" t="s">
        <v>711</v>
      </c>
      <c r="EF77">
        <v>6</v>
      </c>
      <c r="EV77">
        <v>750</v>
      </c>
      <c r="EW77">
        <v>315</v>
      </c>
      <c r="EX77">
        <v>249</v>
      </c>
      <c r="EY77">
        <v>285</v>
      </c>
    </row>
    <row r="78" spans="1:155" x14ac:dyDescent="0.35">
      <c r="A78">
        <v>2025</v>
      </c>
      <c r="B78" t="s">
        <v>189</v>
      </c>
      <c r="C78" t="s">
        <v>189</v>
      </c>
      <c r="D78" t="s">
        <v>712</v>
      </c>
      <c r="E78" t="s">
        <v>191</v>
      </c>
      <c r="F78">
        <v>531</v>
      </c>
      <c r="G78">
        <v>2</v>
      </c>
      <c r="H78">
        <v>4</v>
      </c>
      <c r="I78" t="s">
        <v>192</v>
      </c>
      <c r="J78">
        <v>27</v>
      </c>
      <c r="K78">
        <v>35</v>
      </c>
      <c r="L78">
        <v>30</v>
      </c>
      <c r="M78">
        <v>35.119100000000003</v>
      </c>
      <c r="N78">
        <v>50.255499999999998</v>
      </c>
      <c r="O78">
        <v>40.625300000000003</v>
      </c>
      <c r="P78">
        <v>26.936499999999999</v>
      </c>
      <c r="Q78">
        <v>34.543100000000003</v>
      </c>
      <c r="R78">
        <v>29.8993</v>
      </c>
      <c r="T78" t="s">
        <v>165</v>
      </c>
      <c r="U78" t="s">
        <v>166</v>
      </c>
      <c r="V78" t="s">
        <v>193</v>
      </c>
      <c r="W78" t="s">
        <v>194</v>
      </c>
      <c r="Y78">
        <v>8</v>
      </c>
      <c r="Z78" t="s">
        <v>169</v>
      </c>
      <c r="AA78" t="s">
        <v>170</v>
      </c>
      <c r="AB78" t="s">
        <v>167</v>
      </c>
      <c r="AC78" t="s">
        <v>213</v>
      </c>
      <c r="AD78">
        <v>10</v>
      </c>
      <c r="AG78" t="s">
        <v>173</v>
      </c>
      <c r="AH78" t="s">
        <v>174</v>
      </c>
      <c r="AI78" t="s">
        <v>175</v>
      </c>
      <c r="AJ78" t="s">
        <v>176</v>
      </c>
      <c r="AK78" t="s">
        <v>170</v>
      </c>
      <c r="AL78" t="s">
        <v>177</v>
      </c>
      <c r="AO78">
        <v>98</v>
      </c>
      <c r="AP78">
        <v>14</v>
      </c>
      <c r="AS78">
        <v>2100</v>
      </c>
      <c r="AT78">
        <v>2100</v>
      </c>
      <c r="BN78" t="s">
        <v>401</v>
      </c>
      <c r="BO78">
        <v>2</v>
      </c>
      <c r="BP78">
        <v>2</v>
      </c>
      <c r="BQ78">
        <v>5</v>
      </c>
      <c r="BR78" t="s">
        <v>672</v>
      </c>
      <c r="BS78" t="s">
        <v>180</v>
      </c>
      <c r="BT78" t="s">
        <v>181</v>
      </c>
      <c r="BU78" s="1">
        <v>45499</v>
      </c>
      <c r="BV78">
        <v>35232</v>
      </c>
      <c r="BW78" s="155"/>
      <c r="BX78" t="s">
        <v>170</v>
      </c>
      <c r="BY78" t="s">
        <v>170</v>
      </c>
      <c r="CB78" t="s">
        <v>170</v>
      </c>
      <c r="CC78" t="s">
        <v>170</v>
      </c>
      <c r="CE78" t="s">
        <v>170</v>
      </c>
      <c r="CG78" t="s">
        <v>169</v>
      </c>
      <c r="CH78" t="s">
        <v>356</v>
      </c>
      <c r="CI78" t="s">
        <v>169</v>
      </c>
      <c r="CJ78" t="s">
        <v>402</v>
      </c>
      <c r="CK78" t="s">
        <v>233</v>
      </c>
      <c r="CM78">
        <v>1</v>
      </c>
      <c r="CN78" t="s">
        <v>234</v>
      </c>
      <c r="CP78">
        <v>46</v>
      </c>
      <c r="CQ78">
        <v>20</v>
      </c>
      <c r="CR78">
        <v>47</v>
      </c>
      <c r="CS78" t="s">
        <v>235</v>
      </c>
      <c r="CV78" t="s">
        <v>341</v>
      </c>
      <c r="CX78" t="s">
        <v>342</v>
      </c>
      <c r="CY78" t="s">
        <v>170</v>
      </c>
      <c r="DC78" t="s">
        <v>710</v>
      </c>
      <c r="DD78">
        <v>1</v>
      </c>
      <c r="DE78" t="s">
        <v>404</v>
      </c>
      <c r="DF78" t="s">
        <v>405</v>
      </c>
      <c r="DG78">
        <v>8</v>
      </c>
      <c r="DJ78" t="s">
        <v>267</v>
      </c>
      <c r="DK78" t="s">
        <v>268</v>
      </c>
      <c r="DL78" t="s">
        <v>170</v>
      </c>
      <c r="DM78" t="s">
        <v>170</v>
      </c>
      <c r="DN78" t="s">
        <v>170</v>
      </c>
      <c r="DO78" t="s">
        <v>406</v>
      </c>
      <c r="DP78" t="s">
        <v>169</v>
      </c>
      <c r="DQ78" t="s">
        <v>198</v>
      </c>
      <c r="DY78">
        <v>40.9</v>
      </c>
      <c r="EA78" s="101"/>
      <c r="EB78">
        <v>6</v>
      </c>
      <c r="EC78">
        <v>6</v>
      </c>
      <c r="EE78" t="s">
        <v>711</v>
      </c>
      <c r="EF78">
        <v>6</v>
      </c>
      <c r="EV78">
        <v>1000</v>
      </c>
      <c r="EW78">
        <v>325</v>
      </c>
      <c r="EX78">
        <v>253</v>
      </c>
      <c r="EY78">
        <v>292</v>
      </c>
    </row>
    <row r="79" spans="1:155" x14ac:dyDescent="0.35">
      <c r="A79">
        <v>2025</v>
      </c>
      <c r="B79" t="s">
        <v>189</v>
      </c>
      <c r="C79" t="s">
        <v>189</v>
      </c>
      <c r="D79" t="s">
        <v>713</v>
      </c>
      <c r="E79" t="s">
        <v>191</v>
      </c>
      <c r="F79">
        <v>541</v>
      </c>
      <c r="G79">
        <v>3</v>
      </c>
      <c r="H79">
        <v>6</v>
      </c>
      <c r="I79" t="s">
        <v>192</v>
      </c>
      <c r="J79">
        <v>26</v>
      </c>
      <c r="K79">
        <v>33</v>
      </c>
      <c r="L79">
        <v>28</v>
      </c>
      <c r="M79">
        <v>33.3705</v>
      </c>
      <c r="N79">
        <v>47.167200000000001</v>
      </c>
      <c r="O79">
        <v>38.428800000000003</v>
      </c>
      <c r="P79">
        <v>25.736599999999999</v>
      </c>
      <c r="Q79">
        <v>32.641399999999997</v>
      </c>
      <c r="R79">
        <v>28.444199999999999</v>
      </c>
      <c r="T79" t="s">
        <v>165</v>
      </c>
      <c r="U79" t="s">
        <v>166</v>
      </c>
      <c r="V79" t="s">
        <v>193</v>
      </c>
      <c r="W79" t="s">
        <v>194</v>
      </c>
      <c r="Y79">
        <v>8</v>
      </c>
      <c r="Z79" t="s">
        <v>169</v>
      </c>
      <c r="AA79" t="s">
        <v>170</v>
      </c>
      <c r="AB79" t="s">
        <v>167</v>
      </c>
      <c r="AC79" t="s">
        <v>213</v>
      </c>
      <c r="AD79">
        <v>10</v>
      </c>
      <c r="AG79" t="s">
        <v>173</v>
      </c>
      <c r="AH79" t="s">
        <v>174</v>
      </c>
      <c r="AI79" t="s">
        <v>175</v>
      </c>
      <c r="AJ79" t="s">
        <v>176</v>
      </c>
      <c r="AK79" t="s">
        <v>170</v>
      </c>
      <c r="AL79" t="s">
        <v>177</v>
      </c>
      <c r="AO79">
        <v>98</v>
      </c>
      <c r="AP79">
        <v>14</v>
      </c>
      <c r="AS79">
        <v>2300</v>
      </c>
      <c r="AT79">
        <v>2300</v>
      </c>
      <c r="BN79" t="s">
        <v>401</v>
      </c>
      <c r="BO79">
        <v>2</v>
      </c>
      <c r="BP79">
        <v>2</v>
      </c>
      <c r="BQ79">
        <v>5</v>
      </c>
      <c r="BR79" t="s">
        <v>672</v>
      </c>
      <c r="BS79" t="s">
        <v>180</v>
      </c>
      <c r="BT79" t="s">
        <v>181</v>
      </c>
      <c r="BU79" s="1">
        <v>45492</v>
      </c>
      <c r="BV79">
        <v>35099</v>
      </c>
      <c r="BW79" s="155"/>
      <c r="BX79" t="s">
        <v>170</v>
      </c>
      <c r="BY79" t="s">
        <v>170</v>
      </c>
      <c r="CB79" t="s">
        <v>170</v>
      </c>
      <c r="CC79" t="s">
        <v>170</v>
      </c>
      <c r="CE79" t="s">
        <v>170</v>
      </c>
      <c r="CG79" t="s">
        <v>169</v>
      </c>
      <c r="CH79" t="s">
        <v>356</v>
      </c>
      <c r="CI79" t="s">
        <v>169</v>
      </c>
      <c r="CJ79" t="s">
        <v>402</v>
      </c>
      <c r="CK79" t="s">
        <v>233</v>
      </c>
      <c r="CM79">
        <v>1</v>
      </c>
      <c r="CN79" t="s">
        <v>234</v>
      </c>
      <c r="CP79">
        <v>44</v>
      </c>
      <c r="CQ79">
        <v>10.4</v>
      </c>
      <c r="CR79">
        <v>40</v>
      </c>
      <c r="CS79" t="s">
        <v>235</v>
      </c>
      <c r="CV79" t="s">
        <v>341</v>
      </c>
      <c r="CX79" t="s">
        <v>342</v>
      </c>
      <c r="CY79" t="s">
        <v>170</v>
      </c>
      <c r="DC79" t="s">
        <v>714</v>
      </c>
      <c r="DD79">
        <v>1</v>
      </c>
      <c r="DE79" t="s">
        <v>404</v>
      </c>
      <c r="DF79" t="s">
        <v>427</v>
      </c>
      <c r="DG79">
        <v>9</v>
      </c>
      <c r="DJ79" t="s">
        <v>267</v>
      </c>
      <c r="DK79" t="s">
        <v>268</v>
      </c>
      <c r="DL79" t="s">
        <v>170</v>
      </c>
      <c r="DM79" t="s">
        <v>170</v>
      </c>
      <c r="DN79" t="s">
        <v>170</v>
      </c>
      <c r="DO79" t="s">
        <v>406</v>
      </c>
      <c r="DP79" t="s">
        <v>169</v>
      </c>
      <c r="DQ79" t="s">
        <v>198</v>
      </c>
      <c r="DY79">
        <v>38.700000000000003</v>
      </c>
      <c r="EA79" s="101"/>
      <c r="EB79">
        <v>6</v>
      </c>
      <c r="EC79">
        <v>6</v>
      </c>
      <c r="EE79" t="s">
        <v>715</v>
      </c>
      <c r="EF79">
        <v>6</v>
      </c>
      <c r="EV79">
        <v>2000</v>
      </c>
      <c r="EW79">
        <v>339</v>
      </c>
      <c r="EX79">
        <v>267</v>
      </c>
      <c r="EY79">
        <v>307</v>
      </c>
    </row>
    <row r="80" spans="1:155" x14ac:dyDescent="0.35">
      <c r="A80">
        <v>2025</v>
      </c>
      <c r="B80" t="s">
        <v>189</v>
      </c>
      <c r="C80" t="s">
        <v>189</v>
      </c>
      <c r="D80" t="s">
        <v>834</v>
      </c>
      <c r="E80" t="s">
        <v>191</v>
      </c>
      <c r="F80">
        <v>740</v>
      </c>
      <c r="G80">
        <v>3</v>
      </c>
      <c r="H80">
        <v>6</v>
      </c>
      <c r="I80" t="s">
        <v>192</v>
      </c>
      <c r="J80">
        <v>25</v>
      </c>
      <c r="K80">
        <v>31</v>
      </c>
      <c r="L80">
        <v>28</v>
      </c>
      <c r="M80">
        <v>32.587200000000003</v>
      </c>
      <c r="N80">
        <v>45.194600000000001</v>
      </c>
      <c r="O80">
        <v>37.2652</v>
      </c>
      <c r="P80">
        <v>25.194700000000001</v>
      </c>
      <c r="Q80">
        <v>31.4131</v>
      </c>
      <c r="R80">
        <v>27.6585</v>
      </c>
      <c r="T80" t="s">
        <v>165</v>
      </c>
      <c r="U80" t="s">
        <v>166</v>
      </c>
      <c r="V80" t="s">
        <v>193</v>
      </c>
      <c r="W80" t="s">
        <v>194</v>
      </c>
      <c r="Y80">
        <v>8</v>
      </c>
      <c r="Z80" t="s">
        <v>169</v>
      </c>
      <c r="AA80" t="s">
        <v>170</v>
      </c>
      <c r="AB80" t="s">
        <v>171</v>
      </c>
      <c r="AC80" t="s">
        <v>172</v>
      </c>
      <c r="AD80">
        <v>10</v>
      </c>
      <c r="AG80" t="s">
        <v>173</v>
      </c>
      <c r="AH80" t="s">
        <v>174</v>
      </c>
      <c r="AI80" t="s">
        <v>175</v>
      </c>
      <c r="AJ80" t="s">
        <v>176</v>
      </c>
      <c r="AK80" t="s">
        <v>170</v>
      </c>
      <c r="AL80" t="s">
        <v>177</v>
      </c>
      <c r="AO80">
        <v>110</v>
      </c>
      <c r="AP80">
        <v>14</v>
      </c>
      <c r="AS80">
        <v>2300</v>
      </c>
      <c r="AT80">
        <v>2300</v>
      </c>
      <c r="BN80" t="s">
        <v>401</v>
      </c>
      <c r="BO80">
        <v>2</v>
      </c>
      <c r="BP80">
        <v>2</v>
      </c>
      <c r="BQ80">
        <v>6</v>
      </c>
      <c r="BR80" t="s">
        <v>825</v>
      </c>
      <c r="BS80" t="s">
        <v>180</v>
      </c>
      <c r="BT80" t="s">
        <v>181</v>
      </c>
      <c r="BU80" s="1">
        <v>45492</v>
      </c>
      <c r="BV80">
        <v>35100</v>
      </c>
      <c r="BW80" s="156"/>
      <c r="BX80" t="s">
        <v>170</v>
      </c>
      <c r="BY80" t="s">
        <v>170</v>
      </c>
      <c r="CB80" t="s">
        <v>170</v>
      </c>
      <c r="CC80" t="s">
        <v>170</v>
      </c>
      <c r="CE80" t="s">
        <v>170</v>
      </c>
      <c r="CG80" t="s">
        <v>169</v>
      </c>
      <c r="CH80" t="s">
        <v>356</v>
      </c>
      <c r="CI80" t="s">
        <v>169</v>
      </c>
      <c r="CJ80" t="s">
        <v>402</v>
      </c>
      <c r="CK80" t="s">
        <v>233</v>
      </c>
      <c r="CM80">
        <v>1</v>
      </c>
      <c r="CN80" t="s">
        <v>234</v>
      </c>
      <c r="CP80">
        <v>44</v>
      </c>
      <c r="CQ80">
        <v>10.4</v>
      </c>
      <c r="CR80">
        <v>40</v>
      </c>
      <c r="CS80" t="s">
        <v>235</v>
      </c>
      <c r="CV80" t="s">
        <v>341</v>
      </c>
      <c r="CX80" t="s">
        <v>342</v>
      </c>
      <c r="CY80" t="s">
        <v>170</v>
      </c>
      <c r="DC80" t="s">
        <v>714</v>
      </c>
      <c r="DD80">
        <v>1</v>
      </c>
      <c r="DE80" t="s">
        <v>404</v>
      </c>
      <c r="DF80" t="s">
        <v>427</v>
      </c>
      <c r="DG80">
        <v>9</v>
      </c>
      <c r="DJ80" t="s">
        <v>267</v>
      </c>
      <c r="DK80" t="s">
        <v>268</v>
      </c>
      <c r="DL80" t="s">
        <v>170</v>
      </c>
      <c r="DM80" t="s">
        <v>170</v>
      </c>
      <c r="DN80" t="s">
        <v>170</v>
      </c>
      <c r="DO80" t="s">
        <v>406</v>
      </c>
      <c r="DP80" t="s">
        <v>169</v>
      </c>
      <c r="DQ80" t="s">
        <v>198</v>
      </c>
      <c r="DY80">
        <v>37.5</v>
      </c>
      <c r="EA80" s="89"/>
      <c r="EB80">
        <v>6</v>
      </c>
      <c r="EC80">
        <v>6</v>
      </c>
      <c r="EE80" t="s">
        <v>715</v>
      </c>
      <c r="EF80">
        <v>6</v>
      </c>
      <c r="EV80">
        <v>2000</v>
      </c>
      <c r="EW80">
        <v>347</v>
      </c>
      <c r="EX80">
        <v>279</v>
      </c>
      <c r="EY80">
        <v>317</v>
      </c>
    </row>
    <row r="81" spans="1:155" x14ac:dyDescent="0.35">
      <c r="A81">
        <v>2025</v>
      </c>
      <c r="B81" t="s">
        <v>189</v>
      </c>
      <c r="C81" t="s">
        <v>189</v>
      </c>
      <c r="D81" t="s">
        <v>835</v>
      </c>
      <c r="E81" t="s">
        <v>191</v>
      </c>
      <c r="F81">
        <v>741</v>
      </c>
      <c r="G81">
        <v>3</v>
      </c>
      <c r="H81">
        <v>6</v>
      </c>
      <c r="I81" t="s">
        <v>192</v>
      </c>
      <c r="J81">
        <v>24</v>
      </c>
      <c r="K81">
        <v>31</v>
      </c>
      <c r="L81">
        <v>27</v>
      </c>
      <c r="M81">
        <v>31.417999999999999</v>
      </c>
      <c r="N81">
        <v>44.145099999999999</v>
      </c>
      <c r="O81">
        <v>36.101700000000001</v>
      </c>
      <c r="P81">
        <v>24.3809</v>
      </c>
      <c r="Q81">
        <v>30.755299999999998</v>
      </c>
      <c r="R81">
        <v>26.8888</v>
      </c>
      <c r="T81" t="s">
        <v>165</v>
      </c>
      <c r="U81" t="s">
        <v>166</v>
      </c>
      <c r="V81" t="s">
        <v>193</v>
      </c>
      <c r="W81" t="s">
        <v>194</v>
      </c>
      <c r="Y81">
        <v>8</v>
      </c>
      <c r="Z81" t="s">
        <v>169</v>
      </c>
      <c r="AA81" t="s">
        <v>170</v>
      </c>
      <c r="AB81" t="s">
        <v>167</v>
      </c>
      <c r="AC81" t="s">
        <v>213</v>
      </c>
      <c r="AD81">
        <v>10</v>
      </c>
      <c r="AG81" t="s">
        <v>173</v>
      </c>
      <c r="AH81" t="s">
        <v>174</v>
      </c>
      <c r="AI81" t="s">
        <v>175</v>
      </c>
      <c r="AJ81" t="s">
        <v>176</v>
      </c>
      <c r="AK81" t="s">
        <v>170</v>
      </c>
      <c r="AL81" t="s">
        <v>177</v>
      </c>
      <c r="AO81">
        <v>110</v>
      </c>
      <c r="AP81">
        <v>14</v>
      </c>
      <c r="AS81">
        <v>2350</v>
      </c>
      <c r="AT81">
        <v>2350</v>
      </c>
      <c r="BN81" t="s">
        <v>401</v>
      </c>
      <c r="BO81">
        <v>2</v>
      </c>
      <c r="BP81">
        <v>2</v>
      </c>
      <c r="BQ81">
        <v>6</v>
      </c>
      <c r="BR81" t="s">
        <v>825</v>
      </c>
      <c r="BS81" t="s">
        <v>180</v>
      </c>
      <c r="BT81" t="s">
        <v>181</v>
      </c>
      <c r="BU81" s="1">
        <v>45492</v>
      </c>
      <c r="BV81">
        <v>35101</v>
      </c>
      <c r="BW81" s="155"/>
      <c r="BX81" t="s">
        <v>170</v>
      </c>
      <c r="BY81" t="s">
        <v>170</v>
      </c>
      <c r="CB81" t="s">
        <v>170</v>
      </c>
      <c r="CC81" t="s">
        <v>170</v>
      </c>
      <c r="CE81" t="s">
        <v>170</v>
      </c>
      <c r="CG81" t="s">
        <v>169</v>
      </c>
      <c r="CH81" t="s">
        <v>356</v>
      </c>
      <c r="CI81" t="s">
        <v>169</v>
      </c>
      <c r="CJ81" t="s">
        <v>402</v>
      </c>
      <c r="CK81" t="s">
        <v>233</v>
      </c>
      <c r="CM81">
        <v>1</v>
      </c>
      <c r="CN81" t="s">
        <v>234</v>
      </c>
      <c r="CP81">
        <v>44</v>
      </c>
      <c r="CQ81">
        <v>10.4</v>
      </c>
      <c r="CR81">
        <v>40</v>
      </c>
      <c r="CS81" t="s">
        <v>235</v>
      </c>
      <c r="CV81" t="s">
        <v>341</v>
      </c>
      <c r="CX81" t="s">
        <v>342</v>
      </c>
      <c r="CY81" t="s">
        <v>170</v>
      </c>
      <c r="DC81" t="s">
        <v>714</v>
      </c>
      <c r="DD81">
        <v>1</v>
      </c>
      <c r="DE81" t="s">
        <v>404</v>
      </c>
      <c r="DF81" t="s">
        <v>427</v>
      </c>
      <c r="DG81">
        <v>9</v>
      </c>
      <c r="DJ81" t="s">
        <v>267</v>
      </c>
      <c r="DK81" t="s">
        <v>268</v>
      </c>
      <c r="DL81" t="s">
        <v>170</v>
      </c>
      <c r="DM81" t="s">
        <v>170</v>
      </c>
      <c r="DN81" t="s">
        <v>170</v>
      </c>
      <c r="DO81" t="s">
        <v>406</v>
      </c>
      <c r="DP81" t="s">
        <v>169</v>
      </c>
      <c r="DQ81" t="s">
        <v>198</v>
      </c>
      <c r="DY81">
        <v>36.299999999999997</v>
      </c>
      <c r="EA81" s="101"/>
      <c r="EB81">
        <v>5</v>
      </c>
      <c r="EC81">
        <v>5</v>
      </c>
      <c r="EE81" t="s">
        <v>715</v>
      </c>
      <c r="EF81">
        <v>6</v>
      </c>
      <c r="EV81">
        <v>2250</v>
      </c>
      <c r="EW81">
        <v>359</v>
      </c>
      <c r="EX81">
        <v>285</v>
      </c>
      <c r="EY81">
        <v>326</v>
      </c>
    </row>
    <row r="82" spans="1:155" x14ac:dyDescent="0.35">
      <c r="A82">
        <v>2025</v>
      </c>
      <c r="B82" t="s">
        <v>189</v>
      </c>
      <c r="C82" t="s">
        <v>189</v>
      </c>
      <c r="D82" t="s">
        <v>836</v>
      </c>
      <c r="E82" t="s">
        <v>191</v>
      </c>
      <c r="F82">
        <v>760</v>
      </c>
      <c r="G82">
        <v>4.4000000000000004</v>
      </c>
      <c r="H82">
        <v>8</v>
      </c>
      <c r="I82" t="s">
        <v>192</v>
      </c>
      <c r="J82">
        <v>18</v>
      </c>
      <c r="K82">
        <v>25</v>
      </c>
      <c r="L82">
        <v>20</v>
      </c>
      <c r="M82">
        <v>22.0594</v>
      </c>
      <c r="N82">
        <v>35.678600000000003</v>
      </c>
      <c r="O82">
        <v>26.634499999999999</v>
      </c>
      <c r="P82">
        <v>17.642700000000001</v>
      </c>
      <c r="Q82">
        <v>25.333600000000001</v>
      </c>
      <c r="R82">
        <v>20.4343</v>
      </c>
      <c r="T82" t="s">
        <v>165</v>
      </c>
      <c r="U82" t="s">
        <v>166</v>
      </c>
      <c r="V82" t="s">
        <v>193</v>
      </c>
      <c r="W82" t="s">
        <v>194</v>
      </c>
      <c r="Y82">
        <v>8</v>
      </c>
      <c r="Z82" t="s">
        <v>169</v>
      </c>
      <c r="AA82" t="s">
        <v>170</v>
      </c>
      <c r="AB82" t="s">
        <v>167</v>
      </c>
      <c r="AC82" t="s">
        <v>213</v>
      </c>
      <c r="AD82">
        <v>10</v>
      </c>
      <c r="AG82" t="s">
        <v>173</v>
      </c>
      <c r="AH82" t="s">
        <v>174</v>
      </c>
      <c r="AI82" t="s">
        <v>175</v>
      </c>
      <c r="AJ82" t="s">
        <v>176</v>
      </c>
      <c r="AK82" t="s">
        <v>170</v>
      </c>
      <c r="AL82" t="s">
        <v>177</v>
      </c>
      <c r="AO82">
        <v>110</v>
      </c>
      <c r="AP82">
        <v>14</v>
      </c>
      <c r="AS82">
        <v>3200</v>
      </c>
      <c r="AT82">
        <v>3200</v>
      </c>
      <c r="BN82" t="s">
        <v>338</v>
      </c>
      <c r="BO82">
        <v>2</v>
      </c>
      <c r="BP82">
        <v>2</v>
      </c>
      <c r="BQ82">
        <v>6</v>
      </c>
      <c r="BR82" t="s">
        <v>825</v>
      </c>
      <c r="BS82" t="s">
        <v>180</v>
      </c>
      <c r="BT82" t="s">
        <v>181</v>
      </c>
      <c r="BU82" s="1">
        <v>45492</v>
      </c>
      <c r="BV82">
        <v>35104</v>
      </c>
      <c r="BW82" s="155"/>
      <c r="BX82" t="s">
        <v>170</v>
      </c>
      <c r="BY82" t="s">
        <v>170</v>
      </c>
      <c r="CB82" t="s">
        <v>170</v>
      </c>
      <c r="CC82" t="s">
        <v>170</v>
      </c>
      <c r="CE82" t="s">
        <v>170</v>
      </c>
      <c r="CG82" t="s">
        <v>169</v>
      </c>
      <c r="CH82" t="s">
        <v>356</v>
      </c>
      <c r="CI82" t="s">
        <v>169</v>
      </c>
      <c r="CJ82" t="s">
        <v>357</v>
      </c>
      <c r="CK82" t="s">
        <v>233</v>
      </c>
      <c r="CM82">
        <v>1</v>
      </c>
      <c r="CN82" t="s">
        <v>234</v>
      </c>
      <c r="CP82">
        <v>44</v>
      </c>
      <c r="CQ82">
        <v>10.4</v>
      </c>
      <c r="CR82">
        <v>40</v>
      </c>
      <c r="CS82" t="s">
        <v>235</v>
      </c>
      <c r="CV82" t="s">
        <v>341</v>
      </c>
      <c r="CX82" t="s">
        <v>342</v>
      </c>
      <c r="CY82" t="s">
        <v>170</v>
      </c>
      <c r="DC82" t="s">
        <v>837</v>
      </c>
      <c r="DD82">
        <v>1</v>
      </c>
      <c r="DE82" t="s">
        <v>404</v>
      </c>
      <c r="DF82" t="s">
        <v>427</v>
      </c>
      <c r="DG82">
        <v>9</v>
      </c>
      <c r="DJ82" t="s">
        <v>184</v>
      </c>
      <c r="DK82" t="s">
        <v>185</v>
      </c>
      <c r="DL82" t="s">
        <v>170</v>
      </c>
      <c r="DM82" t="s">
        <v>170</v>
      </c>
      <c r="DN82" t="s">
        <v>170</v>
      </c>
      <c r="DO82" t="s">
        <v>345</v>
      </c>
      <c r="DP82" t="s">
        <v>169</v>
      </c>
      <c r="DQ82" t="s">
        <v>198</v>
      </c>
      <c r="DY82">
        <v>26.8</v>
      </c>
      <c r="EA82" s="101"/>
      <c r="EB82">
        <v>4</v>
      </c>
      <c r="EC82">
        <v>4</v>
      </c>
      <c r="EE82" t="s">
        <v>838</v>
      </c>
      <c r="EF82">
        <v>4</v>
      </c>
      <c r="EV82">
        <v>6500</v>
      </c>
      <c r="EW82">
        <v>494</v>
      </c>
      <c r="EX82">
        <v>344</v>
      </c>
      <c r="EY82">
        <v>427</v>
      </c>
    </row>
    <row r="83" spans="1:155" x14ac:dyDescent="0.35">
      <c r="A83">
        <v>2025</v>
      </c>
      <c r="B83" t="s">
        <v>189</v>
      </c>
      <c r="C83" t="s">
        <v>189</v>
      </c>
      <c r="D83" t="s">
        <v>411</v>
      </c>
      <c r="E83" t="s">
        <v>191</v>
      </c>
      <c r="F83">
        <v>804</v>
      </c>
      <c r="G83">
        <v>3</v>
      </c>
      <c r="H83">
        <v>6</v>
      </c>
      <c r="I83" t="s">
        <v>192</v>
      </c>
      <c r="J83">
        <v>21</v>
      </c>
      <c r="K83">
        <v>29</v>
      </c>
      <c r="L83">
        <v>24</v>
      </c>
      <c r="M83">
        <v>26.808</v>
      </c>
      <c r="N83">
        <v>41.457299999999996</v>
      </c>
      <c r="O83">
        <v>31.876799999999999</v>
      </c>
      <c r="P83">
        <v>21.112500000000001</v>
      </c>
      <c r="Q83">
        <v>29.0563</v>
      </c>
      <c r="R83">
        <v>24.074300000000001</v>
      </c>
      <c r="T83" t="s">
        <v>165</v>
      </c>
      <c r="U83" t="s">
        <v>166</v>
      </c>
      <c r="V83" t="s">
        <v>193</v>
      </c>
      <c r="W83" t="s">
        <v>194</v>
      </c>
      <c r="Y83">
        <v>8</v>
      </c>
      <c r="Z83" t="s">
        <v>169</v>
      </c>
      <c r="AA83" t="s">
        <v>170</v>
      </c>
      <c r="AB83" t="s">
        <v>171</v>
      </c>
      <c r="AC83" t="s">
        <v>172</v>
      </c>
      <c r="AD83">
        <v>10</v>
      </c>
      <c r="AG83" t="s">
        <v>173</v>
      </c>
      <c r="AH83" t="s">
        <v>174</v>
      </c>
      <c r="AI83" t="s">
        <v>175</v>
      </c>
      <c r="AJ83" t="s">
        <v>176</v>
      </c>
      <c r="AK83" t="s">
        <v>170</v>
      </c>
      <c r="AL83" t="s">
        <v>177</v>
      </c>
      <c r="AM83">
        <v>81</v>
      </c>
      <c r="AN83">
        <v>12</v>
      </c>
      <c r="AS83">
        <v>2650</v>
      </c>
      <c r="AT83">
        <v>2650</v>
      </c>
      <c r="BN83" t="s">
        <v>178</v>
      </c>
      <c r="BO83">
        <v>2</v>
      </c>
      <c r="BP83">
        <v>2</v>
      </c>
      <c r="BQ83">
        <v>3</v>
      </c>
      <c r="BR83" t="s">
        <v>387</v>
      </c>
      <c r="BS83" t="s">
        <v>180</v>
      </c>
      <c r="BT83" t="s">
        <v>181</v>
      </c>
      <c r="BU83" s="1">
        <v>45345</v>
      </c>
      <c r="BV83">
        <v>34419</v>
      </c>
      <c r="BW83" s="156"/>
      <c r="BX83" t="s">
        <v>170</v>
      </c>
      <c r="BY83" t="s">
        <v>170</v>
      </c>
      <c r="CB83" t="s">
        <v>170</v>
      </c>
      <c r="CC83" t="s">
        <v>170</v>
      </c>
      <c r="CE83" t="s">
        <v>170</v>
      </c>
      <c r="CG83" t="s">
        <v>169</v>
      </c>
      <c r="CH83" t="s">
        <v>356</v>
      </c>
      <c r="CI83" t="s">
        <v>169</v>
      </c>
      <c r="CJ83" t="s">
        <v>357</v>
      </c>
      <c r="DJ83" t="s">
        <v>184</v>
      </c>
      <c r="DK83" t="s">
        <v>185</v>
      </c>
      <c r="DN83" t="s">
        <v>170</v>
      </c>
      <c r="DO83" t="s">
        <v>358</v>
      </c>
      <c r="DP83" t="s">
        <v>169</v>
      </c>
      <c r="DQ83" t="s">
        <v>198</v>
      </c>
      <c r="DY83">
        <v>32.1</v>
      </c>
      <c r="EA83" s="89"/>
      <c r="EB83">
        <v>5</v>
      </c>
      <c r="EC83">
        <v>5</v>
      </c>
      <c r="EE83" t="s">
        <v>412</v>
      </c>
      <c r="EF83">
        <v>2</v>
      </c>
      <c r="EV83">
        <v>3750</v>
      </c>
      <c r="EW83">
        <v>420</v>
      </c>
      <c r="EX83">
        <v>305</v>
      </c>
      <c r="EY83">
        <v>368</v>
      </c>
    </row>
    <row r="84" spans="1:155" x14ac:dyDescent="0.35">
      <c r="A84">
        <v>2025</v>
      </c>
      <c r="B84" t="s">
        <v>189</v>
      </c>
      <c r="C84" t="s">
        <v>189</v>
      </c>
      <c r="D84" t="s">
        <v>413</v>
      </c>
      <c r="E84" t="s">
        <v>191</v>
      </c>
      <c r="F84">
        <v>800</v>
      </c>
      <c r="G84">
        <v>3</v>
      </c>
      <c r="H84">
        <v>6</v>
      </c>
      <c r="I84" t="s">
        <v>192</v>
      </c>
      <c r="J84">
        <v>21</v>
      </c>
      <c r="K84">
        <v>29</v>
      </c>
      <c r="L84">
        <v>24</v>
      </c>
      <c r="M84">
        <v>26.808499999999999</v>
      </c>
      <c r="N84">
        <v>41.457999999999998</v>
      </c>
      <c r="O84">
        <v>31.877300000000002</v>
      </c>
      <c r="P84">
        <v>21.1128</v>
      </c>
      <c r="Q84">
        <v>29.056799999999999</v>
      </c>
      <c r="R84">
        <v>24.0747</v>
      </c>
      <c r="T84" t="s">
        <v>165</v>
      </c>
      <c r="U84" t="s">
        <v>166</v>
      </c>
      <c r="V84" t="s">
        <v>193</v>
      </c>
      <c r="W84" t="s">
        <v>194</v>
      </c>
      <c r="Y84">
        <v>8</v>
      </c>
      <c r="Z84" t="s">
        <v>169</v>
      </c>
      <c r="AA84" t="s">
        <v>170</v>
      </c>
      <c r="AB84" t="s">
        <v>171</v>
      </c>
      <c r="AC84" t="s">
        <v>172</v>
      </c>
      <c r="AD84">
        <v>10</v>
      </c>
      <c r="AG84" t="s">
        <v>173</v>
      </c>
      <c r="AH84" t="s">
        <v>174</v>
      </c>
      <c r="AI84" t="s">
        <v>175</v>
      </c>
      <c r="AJ84" t="s">
        <v>176</v>
      </c>
      <c r="AK84" t="s">
        <v>170</v>
      </c>
      <c r="AL84" t="s">
        <v>177</v>
      </c>
      <c r="AM84">
        <v>81</v>
      </c>
      <c r="AN84">
        <v>15</v>
      </c>
      <c r="AS84">
        <v>2650</v>
      </c>
      <c r="AT84">
        <v>2650</v>
      </c>
      <c r="BN84" t="s">
        <v>178</v>
      </c>
      <c r="BO84">
        <v>2</v>
      </c>
      <c r="BP84">
        <v>2</v>
      </c>
      <c r="BQ84">
        <v>3</v>
      </c>
      <c r="BR84" t="s">
        <v>387</v>
      </c>
      <c r="BS84" t="s">
        <v>180</v>
      </c>
      <c r="BT84" t="s">
        <v>181</v>
      </c>
      <c r="BU84" s="1">
        <v>45345</v>
      </c>
      <c r="BV84">
        <v>34417</v>
      </c>
      <c r="BW84" s="155"/>
      <c r="BX84" t="s">
        <v>170</v>
      </c>
      <c r="BY84" t="s">
        <v>170</v>
      </c>
      <c r="CB84" t="s">
        <v>170</v>
      </c>
      <c r="CC84" t="s">
        <v>170</v>
      </c>
      <c r="CE84" t="s">
        <v>170</v>
      </c>
      <c r="CG84" t="s">
        <v>169</v>
      </c>
      <c r="CH84" t="s">
        <v>356</v>
      </c>
      <c r="CI84" t="s">
        <v>169</v>
      </c>
      <c r="CJ84" t="s">
        <v>357</v>
      </c>
      <c r="DJ84" t="s">
        <v>184</v>
      </c>
      <c r="DK84" t="s">
        <v>185</v>
      </c>
      <c r="DN84" t="s">
        <v>170</v>
      </c>
      <c r="DO84" t="s">
        <v>358</v>
      </c>
      <c r="DP84" t="s">
        <v>169</v>
      </c>
      <c r="DQ84" t="s">
        <v>198</v>
      </c>
      <c r="DY84">
        <v>32.1</v>
      </c>
      <c r="EA84" s="101"/>
      <c r="EB84">
        <v>5</v>
      </c>
      <c r="EC84">
        <v>5</v>
      </c>
      <c r="EE84" t="s">
        <v>412</v>
      </c>
      <c r="EF84">
        <v>2</v>
      </c>
      <c r="EV84">
        <v>3750</v>
      </c>
      <c r="EW84">
        <v>420</v>
      </c>
      <c r="EX84">
        <v>305</v>
      </c>
      <c r="EY84">
        <v>368</v>
      </c>
    </row>
    <row r="85" spans="1:155" x14ac:dyDescent="0.35">
      <c r="A85">
        <v>2025</v>
      </c>
      <c r="B85" t="s">
        <v>189</v>
      </c>
      <c r="C85" t="s">
        <v>189</v>
      </c>
      <c r="D85" t="s">
        <v>716</v>
      </c>
      <c r="E85" t="s">
        <v>191</v>
      </c>
      <c r="F85">
        <v>808</v>
      </c>
      <c r="G85">
        <v>3</v>
      </c>
      <c r="H85">
        <v>6</v>
      </c>
      <c r="I85" t="s">
        <v>192</v>
      </c>
      <c r="J85">
        <v>21</v>
      </c>
      <c r="K85">
        <v>29</v>
      </c>
      <c r="L85">
        <v>24</v>
      </c>
      <c r="M85">
        <v>26.808</v>
      </c>
      <c r="N85">
        <v>41.457299999999996</v>
      </c>
      <c r="O85">
        <v>31.876799999999999</v>
      </c>
      <c r="P85">
        <v>21.112500000000001</v>
      </c>
      <c r="Q85">
        <v>29.0563</v>
      </c>
      <c r="R85">
        <v>24.074300000000001</v>
      </c>
      <c r="T85" t="s">
        <v>165</v>
      </c>
      <c r="U85" t="s">
        <v>166</v>
      </c>
      <c r="V85" t="s">
        <v>193</v>
      </c>
      <c r="W85" t="s">
        <v>194</v>
      </c>
      <c r="Y85">
        <v>8</v>
      </c>
      <c r="Z85" t="s">
        <v>169</v>
      </c>
      <c r="AA85" t="s">
        <v>170</v>
      </c>
      <c r="AB85" t="s">
        <v>171</v>
      </c>
      <c r="AC85" t="s">
        <v>172</v>
      </c>
      <c r="AD85">
        <v>10</v>
      </c>
      <c r="AG85" t="s">
        <v>173</v>
      </c>
      <c r="AH85" t="s">
        <v>174</v>
      </c>
      <c r="AI85" t="s">
        <v>175</v>
      </c>
      <c r="AJ85" t="s">
        <v>176</v>
      </c>
      <c r="AK85" t="s">
        <v>170</v>
      </c>
      <c r="AL85" t="s">
        <v>177</v>
      </c>
      <c r="AO85">
        <v>100</v>
      </c>
      <c r="AP85">
        <v>16</v>
      </c>
      <c r="AS85">
        <v>2650</v>
      </c>
      <c r="AT85">
        <v>2650</v>
      </c>
      <c r="BN85" t="s">
        <v>178</v>
      </c>
      <c r="BO85">
        <v>2</v>
      </c>
      <c r="BP85">
        <v>2</v>
      </c>
      <c r="BQ85">
        <v>5</v>
      </c>
      <c r="BR85" t="s">
        <v>672</v>
      </c>
      <c r="BS85" t="s">
        <v>180</v>
      </c>
      <c r="BT85" t="s">
        <v>181</v>
      </c>
      <c r="BU85" s="1">
        <v>45345</v>
      </c>
      <c r="BV85">
        <v>34418</v>
      </c>
      <c r="BW85" s="155"/>
      <c r="BX85" t="s">
        <v>170</v>
      </c>
      <c r="BY85" t="s">
        <v>170</v>
      </c>
      <c r="CB85" t="s">
        <v>170</v>
      </c>
      <c r="CC85" t="s">
        <v>170</v>
      </c>
      <c r="CE85" t="s">
        <v>170</v>
      </c>
      <c r="CG85" t="s">
        <v>169</v>
      </c>
      <c r="CH85" t="s">
        <v>356</v>
      </c>
      <c r="CI85" t="s">
        <v>169</v>
      </c>
      <c r="CJ85" t="s">
        <v>357</v>
      </c>
      <c r="DJ85" t="s">
        <v>184</v>
      </c>
      <c r="DK85" t="s">
        <v>185</v>
      </c>
      <c r="DN85" t="s">
        <v>170</v>
      </c>
      <c r="DO85" t="s">
        <v>358</v>
      </c>
      <c r="DP85" t="s">
        <v>169</v>
      </c>
      <c r="DQ85" t="s">
        <v>198</v>
      </c>
      <c r="DY85">
        <v>32.1</v>
      </c>
      <c r="EA85" s="101"/>
      <c r="EB85">
        <v>5</v>
      </c>
      <c r="EC85">
        <v>5</v>
      </c>
      <c r="EE85" t="s">
        <v>412</v>
      </c>
      <c r="EF85">
        <v>2</v>
      </c>
      <c r="EV85">
        <v>3750</v>
      </c>
      <c r="EW85">
        <v>420</v>
      </c>
      <c r="EX85">
        <v>305</v>
      </c>
      <c r="EY85">
        <v>368</v>
      </c>
    </row>
    <row r="86" spans="1:155" x14ac:dyDescent="0.35">
      <c r="A86">
        <v>2025</v>
      </c>
      <c r="B86" t="s">
        <v>189</v>
      </c>
      <c r="C86" t="s">
        <v>189</v>
      </c>
      <c r="D86" t="s">
        <v>414</v>
      </c>
      <c r="E86" t="s">
        <v>191</v>
      </c>
      <c r="F86">
        <v>806</v>
      </c>
      <c r="G86">
        <v>3</v>
      </c>
      <c r="H86">
        <v>6</v>
      </c>
      <c r="I86" t="s">
        <v>192</v>
      </c>
      <c r="J86">
        <v>21</v>
      </c>
      <c r="K86">
        <v>29</v>
      </c>
      <c r="L86">
        <v>24</v>
      </c>
      <c r="M86">
        <v>26.2746</v>
      </c>
      <c r="N86">
        <v>40.8339</v>
      </c>
      <c r="O86">
        <v>31.295999999999999</v>
      </c>
      <c r="P86">
        <v>20.728000000000002</v>
      </c>
      <c r="Q86">
        <v>28.659400000000002</v>
      </c>
      <c r="R86">
        <v>23.676600000000001</v>
      </c>
      <c r="T86" t="s">
        <v>165</v>
      </c>
      <c r="U86" t="s">
        <v>166</v>
      </c>
      <c r="V86" t="s">
        <v>193</v>
      </c>
      <c r="W86" t="s">
        <v>194</v>
      </c>
      <c r="Y86">
        <v>8</v>
      </c>
      <c r="Z86" t="s">
        <v>169</v>
      </c>
      <c r="AA86" t="s">
        <v>170</v>
      </c>
      <c r="AB86" t="s">
        <v>167</v>
      </c>
      <c r="AC86" t="s">
        <v>213</v>
      </c>
      <c r="AD86">
        <v>10</v>
      </c>
      <c r="AG86" t="s">
        <v>173</v>
      </c>
      <c r="AH86" t="s">
        <v>174</v>
      </c>
      <c r="AI86" t="s">
        <v>175</v>
      </c>
      <c r="AJ86" t="s">
        <v>176</v>
      </c>
      <c r="AK86" t="s">
        <v>170</v>
      </c>
      <c r="AL86" t="s">
        <v>177</v>
      </c>
      <c r="AM86">
        <v>81</v>
      </c>
      <c r="AN86">
        <v>12</v>
      </c>
      <c r="AS86">
        <v>2650</v>
      </c>
      <c r="AT86">
        <v>2650</v>
      </c>
      <c r="BN86" t="s">
        <v>178</v>
      </c>
      <c r="BO86">
        <v>2</v>
      </c>
      <c r="BP86">
        <v>2</v>
      </c>
      <c r="BQ86">
        <v>3</v>
      </c>
      <c r="BR86" t="s">
        <v>387</v>
      </c>
      <c r="BS86" t="s">
        <v>180</v>
      </c>
      <c r="BT86" t="s">
        <v>181</v>
      </c>
      <c r="BU86" s="1">
        <v>45345</v>
      </c>
      <c r="BV86">
        <v>34416</v>
      </c>
      <c r="BW86" s="156"/>
      <c r="BX86" t="s">
        <v>170</v>
      </c>
      <c r="BY86" t="s">
        <v>170</v>
      </c>
      <c r="CB86" t="s">
        <v>170</v>
      </c>
      <c r="CC86" t="s">
        <v>170</v>
      </c>
      <c r="CE86" t="s">
        <v>170</v>
      </c>
      <c r="CG86" t="s">
        <v>169</v>
      </c>
      <c r="CH86" t="s">
        <v>356</v>
      </c>
      <c r="CI86" t="s">
        <v>169</v>
      </c>
      <c r="CJ86" t="s">
        <v>357</v>
      </c>
      <c r="DJ86" t="s">
        <v>184</v>
      </c>
      <c r="DK86" t="s">
        <v>185</v>
      </c>
      <c r="DN86" t="s">
        <v>170</v>
      </c>
      <c r="DO86" t="s">
        <v>358</v>
      </c>
      <c r="DP86" t="s">
        <v>169</v>
      </c>
      <c r="DQ86" t="s">
        <v>198</v>
      </c>
      <c r="DY86">
        <v>31.5</v>
      </c>
      <c r="EA86" s="89"/>
      <c r="EB86">
        <v>5</v>
      </c>
      <c r="EC86">
        <v>5</v>
      </c>
      <c r="EE86" t="s">
        <v>412</v>
      </c>
      <c r="EF86">
        <v>2</v>
      </c>
      <c r="EV86">
        <v>3750</v>
      </c>
      <c r="EW86">
        <v>426</v>
      </c>
      <c r="EX86">
        <v>308</v>
      </c>
      <c r="EY86">
        <v>373</v>
      </c>
    </row>
    <row r="87" spans="1:155" x14ac:dyDescent="0.35">
      <c r="A87">
        <v>2025</v>
      </c>
      <c r="B87" t="s">
        <v>189</v>
      </c>
      <c r="C87" t="s">
        <v>189</v>
      </c>
      <c r="D87" t="s">
        <v>415</v>
      </c>
      <c r="E87" t="s">
        <v>191</v>
      </c>
      <c r="F87">
        <v>802</v>
      </c>
      <c r="G87">
        <v>3</v>
      </c>
      <c r="H87">
        <v>6</v>
      </c>
      <c r="I87" t="s">
        <v>192</v>
      </c>
      <c r="J87">
        <v>21</v>
      </c>
      <c r="K87">
        <v>29</v>
      </c>
      <c r="L87">
        <v>24</v>
      </c>
      <c r="M87">
        <v>26.274899999999999</v>
      </c>
      <c r="N87">
        <v>40.834200000000003</v>
      </c>
      <c r="O87">
        <v>31.296199999999999</v>
      </c>
      <c r="P87">
        <v>20.728200000000001</v>
      </c>
      <c r="Q87">
        <v>28.659600000000001</v>
      </c>
      <c r="R87">
        <v>23.6768</v>
      </c>
      <c r="T87" t="s">
        <v>165</v>
      </c>
      <c r="U87" t="s">
        <v>166</v>
      </c>
      <c r="V87" t="s">
        <v>193</v>
      </c>
      <c r="W87" t="s">
        <v>194</v>
      </c>
      <c r="Y87">
        <v>8</v>
      </c>
      <c r="Z87" t="s">
        <v>169</v>
      </c>
      <c r="AA87" t="s">
        <v>170</v>
      </c>
      <c r="AB87" t="s">
        <v>167</v>
      </c>
      <c r="AC87" t="s">
        <v>213</v>
      </c>
      <c r="AD87">
        <v>10</v>
      </c>
      <c r="AG87" t="s">
        <v>173</v>
      </c>
      <c r="AH87" t="s">
        <v>174</v>
      </c>
      <c r="AI87" t="s">
        <v>175</v>
      </c>
      <c r="AJ87" t="s">
        <v>176</v>
      </c>
      <c r="AK87" t="s">
        <v>170</v>
      </c>
      <c r="AL87" t="s">
        <v>177</v>
      </c>
      <c r="AM87">
        <v>81</v>
      </c>
      <c r="AN87">
        <v>15</v>
      </c>
      <c r="AS87">
        <v>2650</v>
      </c>
      <c r="AT87">
        <v>2650</v>
      </c>
      <c r="BN87" t="s">
        <v>178</v>
      </c>
      <c r="BO87">
        <v>2</v>
      </c>
      <c r="BP87">
        <v>2</v>
      </c>
      <c r="BQ87">
        <v>3</v>
      </c>
      <c r="BR87" t="s">
        <v>387</v>
      </c>
      <c r="BS87" t="s">
        <v>180</v>
      </c>
      <c r="BT87" t="s">
        <v>181</v>
      </c>
      <c r="BU87" s="1">
        <v>45345</v>
      </c>
      <c r="BV87">
        <v>34412</v>
      </c>
      <c r="BW87" s="155"/>
      <c r="BX87" t="s">
        <v>170</v>
      </c>
      <c r="BY87" t="s">
        <v>170</v>
      </c>
      <c r="CB87" t="s">
        <v>170</v>
      </c>
      <c r="CC87" t="s">
        <v>170</v>
      </c>
      <c r="CE87" t="s">
        <v>170</v>
      </c>
      <c r="CG87" t="s">
        <v>169</v>
      </c>
      <c r="CH87" t="s">
        <v>356</v>
      </c>
      <c r="CI87" t="s">
        <v>169</v>
      </c>
      <c r="CJ87" t="s">
        <v>357</v>
      </c>
      <c r="DJ87" t="s">
        <v>184</v>
      </c>
      <c r="DK87" t="s">
        <v>185</v>
      </c>
      <c r="DN87" t="s">
        <v>170</v>
      </c>
      <c r="DO87" t="s">
        <v>358</v>
      </c>
      <c r="DP87" t="s">
        <v>169</v>
      </c>
      <c r="DQ87" t="s">
        <v>198</v>
      </c>
      <c r="DY87">
        <v>31.5</v>
      </c>
      <c r="EA87" s="101"/>
      <c r="EB87">
        <v>5</v>
      </c>
      <c r="EC87">
        <v>5</v>
      </c>
      <c r="EE87" t="s">
        <v>412</v>
      </c>
      <c r="EF87">
        <v>2</v>
      </c>
      <c r="EV87">
        <v>3750</v>
      </c>
      <c r="EW87">
        <v>426</v>
      </c>
      <c r="EX87">
        <v>308</v>
      </c>
      <c r="EY87">
        <v>373</v>
      </c>
    </row>
    <row r="88" spans="1:155" x14ac:dyDescent="0.35">
      <c r="A88">
        <v>2025</v>
      </c>
      <c r="B88" t="s">
        <v>189</v>
      </c>
      <c r="C88" t="s">
        <v>189</v>
      </c>
      <c r="D88" t="s">
        <v>717</v>
      </c>
      <c r="E88" t="s">
        <v>191</v>
      </c>
      <c r="F88">
        <v>810</v>
      </c>
      <c r="G88">
        <v>3</v>
      </c>
      <c r="H88">
        <v>6</v>
      </c>
      <c r="I88" t="s">
        <v>192</v>
      </c>
      <c r="J88">
        <v>21</v>
      </c>
      <c r="K88">
        <v>29</v>
      </c>
      <c r="L88">
        <v>24</v>
      </c>
      <c r="M88">
        <v>26.2746</v>
      </c>
      <c r="N88">
        <v>40.8339</v>
      </c>
      <c r="O88">
        <v>31.295999999999999</v>
      </c>
      <c r="P88">
        <v>20.728000000000002</v>
      </c>
      <c r="Q88">
        <v>28.659400000000002</v>
      </c>
      <c r="R88">
        <v>23.676600000000001</v>
      </c>
      <c r="T88" t="s">
        <v>165</v>
      </c>
      <c r="U88" t="s">
        <v>166</v>
      </c>
      <c r="V88" t="s">
        <v>193</v>
      </c>
      <c r="W88" t="s">
        <v>194</v>
      </c>
      <c r="Y88">
        <v>8</v>
      </c>
      <c r="Z88" t="s">
        <v>169</v>
      </c>
      <c r="AA88" t="s">
        <v>170</v>
      </c>
      <c r="AB88" t="s">
        <v>167</v>
      </c>
      <c r="AC88" t="s">
        <v>213</v>
      </c>
      <c r="AD88">
        <v>10</v>
      </c>
      <c r="AG88" t="s">
        <v>173</v>
      </c>
      <c r="AH88" t="s">
        <v>174</v>
      </c>
      <c r="AI88" t="s">
        <v>175</v>
      </c>
      <c r="AJ88" t="s">
        <v>176</v>
      </c>
      <c r="AK88" t="s">
        <v>170</v>
      </c>
      <c r="AL88" t="s">
        <v>177</v>
      </c>
      <c r="AO88">
        <v>100</v>
      </c>
      <c r="AP88">
        <v>16</v>
      </c>
      <c r="AS88">
        <v>2650</v>
      </c>
      <c r="AT88">
        <v>2650</v>
      </c>
      <c r="BN88" t="s">
        <v>178</v>
      </c>
      <c r="BO88">
        <v>2</v>
      </c>
      <c r="BP88">
        <v>2</v>
      </c>
      <c r="BQ88">
        <v>5</v>
      </c>
      <c r="BR88" t="s">
        <v>672</v>
      </c>
      <c r="BS88" t="s">
        <v>180</v>
      </c>
      <c r="BT88" t="s">
        <v>181</v>
      </c>
      <c r="BU88" s="1">
        <v>45345</v>
      </c>
      <c r="BV88">
        <v>34415</v>
      </c>
      <c r="BW88" s="155"/>
      <c r="BX88" t="s">
        <v>170</v>
      </c>
      <c r="BY88" t="s">
        <v>170</v>
      </c>
      <c r="CB88" t="s">
        <v>170</v>
      </c>
      <c r="CC88" t="s">
        <v>170</v>
      </c>
      <c r="CE88" t="s">
        <v>170</v>
      </c>
      <c r="CG88" t="s">
        <v>169</v>
      </c>
      <c r="CH88" t="s">
        <v>356</v>
      </c>
      <c r="CI88" t="s">
        <v>169</v>
      </c>
      <c r="CJ88" t="s">
        <v>357</v>
      </c>
      <c r="DJ88" t="s">
        <v>184</v>
      </c>
      <c r="DK88" t="s">
        <v>185</v>
      </c>
      <c r="DN88" t="s">
        <v>170</v>
      </c>
      <c r="DO88" t="s">
        <v>358</v>
      </c>
      <c r="DP88" t="s">
        <v>169</v>
      </c>
      <c r="DQ88" t="s">
        <v>198</v>
      </c>
      <c r="DY88">
        <v>31.5</v>
      </c>
      <c r="EA88" s="101"/>
      <c r="EB88">
        <v>5</v>
      </c>
      <c r="EC88">
        <v>5</v>
      </c>
      <c r="EE88" t="s">
        <v>412</v>
      </c>
      <c r="EF88">
        <v>2</v>
      </c>
      <c r="EV88">
        <v>3750</v>
      </c>
      <c r="EW88">
        <v>426</v>
      </c>
      <c r="EX88">
        <v>308</v>
      </c>
      <c r="EY88">
        <v>373</v>
      </c>
    </row>
    <row r="89" spans="1:155" x14ac:dyDescent="0.35">
      <c r="A89">
        <v>2025</v>
      </c>
      <c r="B89" t="s">
        <v>189</v>
      </c>
      <c r="C89" t="s">
        <v>189</v>
      </c>
      <c r="D89" t="s">
        <v>718</v>
      </c>
      <c r="E89" t="s">
        <v>191</v>
      </c>
      <c r="F89">
        <v>857</v>
      </c>
      <c r="G89">
        <v>4.4000000000000004</v>
      </c>
      <c r="H89">
        <v>8</v>
      </c>
      <c r="I89" t="s">
        <v>192</v>
      </c>
      <c r="J89">
        <v>17</v>
      </c>
      <c r="K89">
        <v>24</v>
      </c>
      <c r="L89">
        <v>19</v>
      </c>
      <c r="M89">
        <v>20.66</v>
      </c>
      <c r="N89">
        <v>33.352400000000003</v>
      </c>
      <c r="O89">
        <v>24.929099999999998</v>
      </c>
      <c r="P89">
        <v>16.599399999999999</v>
      </c>
      <c r="Q89">
        <v>23.807400000000001</v>
      </c>
      <c r="R89">
        <v>19.217700000000001</v>
      </c>
      <c r="T89" t="s">
        <v>165</v>
      </c>
      <c r="U89" t="s">
        <v>166</v>
      </c>
      <c r="V89" t="s">
        <v>193</v>
      </c>
      <c r="W89" t="s">
        <v>194</v>
      </c>
      <c r="Y89">
        <v>8</v>
      </c>
      <c r="Z89" t="s">
        <v>169</v>
      </c>
      <c r="AA89" t="s">
        <v>170</v>
      </c>
      <c r="AB89" t="s">
        <v>167</v>
      </c>
      <c r="AC89" t="s">
        <v>213</v>
      </c>
      <c r="AD89">
        <v>10</v>
      </c>
      <c r="AG89" t="s">
        <v>173</v>
      </c>
      <c r="AH89" t="s">
        <v>174</v>
      </c>
      <c r="AI89" t="s">
        <v>175</v>
      </c>
      <c r="AJ89" t="s">
        <v>176</v>
      </c>
      <c r="AK89" t="s">
        <v>170</v>
      </c>
      <c r="AL89" t="s">
        <v>177</v>
      </c>
      <c r="AO89">
        <v>100</v>
      </c>
      <c r="AP89">
        <v>16</v>
      </c>
      <c r="AS89">
        <v>3350</v>
      </c>
      <c r="AT89">
        <v>3350</v>
      </c>
      <c r="BN89" t="s">
        <v>178</v>
      </c>
      <c r="BO89">
        <v>2</v>
      </c>
      <c r="BP89">
        <v>2</v>
      </c>
      <c r="BQ89">
        <v>5</v>
      </c>
      <c r="BR89" t="s">
        <v>672</v>
      </c>
      <c r="BS89" t="s">
        <v>180</v>
      </c>
      <c r="BT89" t="s">
        <v>181</v>
      </c>
      <c r="BU89" s="1">
        <v>45345</v>
      </c>
      <c r="BV89">
        <v>34441</v>
      </c>
      <c r="BW89" s="156"/>
      <c r="BX89" t="s">
        <v>170</v>
      </c>
      <c r="BY89" t="s">
        <v>170</v>
      </c>
      <c r="CB89" t="s">
        <v>170</v>
      </c>
      <c r="CC89" t="s">
        <v>170</v>
      </c>
      <c r="CE89" t="s">
        <v>170</v>
      </c>
      <c r="CG89" t="s">
        <v>169</v>
      </c>
      <c r="CH89" t="s">
        <v>356</v>
      </c>
      <c r="CI89" t="s">
        <v>169</v>
      </c>
      <c r="CJ89" t="s">
        <v>357</v>
      </c>
      <c r="DJ89" t="s">
        <v>184</v>
      </c>
      <c r="DK89" t="s">
        <v>185</v>
      </c>
      <c r="DN89" t="s">
        <v>170</v>
      </c>
      <c r="DO89" t="s">
        <v>345</v>
      </c>
      <c r="DP89" t="s">
        <v>169</v>
      </c>
      <c r="DQ89" t="s">
        <v>198</v>
      </c>
      <c r="DY89">
        <v>25.1</v>
      </c>
      <c r="EA89" s="89"/>
      <c r="EB89">
        <v>4</v>
      </c>
      <c r="EC89">
        <v>4</v>
      </c>
      <c r="EE89" t="s">
        <v>437</v>
      </c>
      <c r="EF89">
        <v>2</v>
      </c>
      <c r="EV89">
        <v>7250</v>
      </c>
      <c r="EW89">
        <v>530</v>
      </c>
      <c r="EX89">
        <v>371</v>
      </c>
      <c r="EY89">
        <v>458</v>
      </c>
    </row>
    <row r="90" spans="1:155" x14ac:dyDescent="0.35">
      <c r="A90">
        <v>2025</v>
      </c>
      <c r="B90" t="s">
        <v>189</v>
      </c>
      <c r="C90" t="s">
        <v>189</v>
      </c>
      <c r="D90" t="s">
        <v>416</v>
      </c>
      <c r="E90" t="s">
        <v>191</v>
      </c>
      <c r="F90">
        <v>280</v>
      </c>
      <c r="G90">
        <v>3</v>
      </c>
      <c r="H90">
        <v>6</v>
      </c>
      <c r="I90" t="s">
        <v>200</v>
      </c>
      <c r="J90">
        <v>16</v>
      </c>
      <c r="K90">
        <v>23</v>
      </c>
      <c r="L90">
        <v>19</v>
      </c>
      <c r="M90">
        <v>19.8398</v>
      </c>
      <c r="N90">
        <v>32.840800000000002</v>
      </c>
      <c r="O90">
        <v>24.1403</v>
      </c>
      <c r="P90">
        <v>15.983499999999999</v>
      </c>
      <c r="Q90">
        <v>23.4695</v>
      </c>
      <c r="R90">
        <v>18.662199999999999</v>
      </c>
      <c r="T90" t="s">
        <v>165</v>
      </c>
      <c r="U90" t="s">
        <v>166</v>
      </c>
      <c r="V90" t="s">
        <v>201</v>
      </c>
      <c r="W90" t="s">
        <v>202</v>
      </c>
      <c r="Y90">
        <v>6</v>
      </c>
      <c r="Z90" t="s">
        <v>170</v>
      </c>
      <c r="AA90" t="s">
        <v>170</v>
      </c>
      <c r="AB90" t="s">
        <v>171</v>
      </c>
      <c r="AC90" t="s">
        <v>172</v>
      </c>
      <c r="AD90">
        <v>10</v>
      </c>
      <c r="AG90" t="s">
        <v>214</v>
      </c>
      <c r="AH90" t="s">
        <v>215</v>
      </c>
      <c r="AI90" t="s">
        <v>175</v>
      </c>
      <c r="AJ90" t="s">
        <v>176</v>
      </c>
      <c r="AK90" t="s">
        <v>170</v>
      </c>
      <c r="AL90" t="s">
        <v>177</v>
      </c>
      <c r="AM90">
        <v>88</v>
      </c>
      <c r="AN90">
        <v>10</v>
      </c>
      <c r="AS90">
        <v>3350</v>
      </c>
      <c r="AT90">
        <v>3350</v>
      </c>
      <c r="BN90" t="s">
        <v>178</v>
      </c>
      <c r="BO90">
        <v>2</v>
      </c>
      <c r="BP90">
        <v>2</v>
      </c>
      <c r="BQ90">
        <v>3</v>
      </c>
      <c r="BR90" t="s">
        <v>387</v>
      </c>
      <c r="BS90" t="s">
        <v>180</v>
      </c>
      <c r="BT90" t="s">
        <v>181</v>
      </c>
      <c r="BU90" s="1">
        <v>45499</v>
      </c>
      <c r="BV90">
        <v>35195</v>
      </c>
      <c r="BW90" s="155"/>
      <c r="BX90" t="s">
        <v>169</v>
      </c>
      <c r="BY90" t="s">
        <v>170</v>
      </c>
      <c r="CB90" t="s">
        <v>170</v>
      </c>
      <c r="CC90" t="s">
        <v>170</v>
      </c>
      <c r="CE90" t="s">
        <v>170</v>
      </c>
      <c r="CG90" t="s">
        <v>169</v>
      </c>
      <c r="CH90" t="s">
        <v>195</v>
      </c>
      <c r="CI90" t="s">
        <v>169</v>
      </c>
      <c r="CJ90" t="s">
        <v>417</v>
      </c>
      <c r="DJ90" t="s">
        <v>184</v>
      </c>
      <c r="DK90" t="s">
        <v>185</v>
      </c>
      <c r="DN90" t="s">
        <v>170</v>
      </c>
      <c r="DO90" t="s">
        <v>345</v>
      </c>
      <c r="DP90" t="s">
        <v>169</v>
      </c>
      <c r="DQ90" t="s">
        <v>198</v>
      </c>
      <c r="DY90">
        <v>24.3</v>
      </c>
      <c r="EA90" s="101"/>
      <c r="EB90">
        <v>4</v>
      </c>
      <c r="EC90">
        <v>4</v>
      </c>
      <c r="EE90" t="s">
        <v>418</v>
      </c>
      <c r="EF90">
        <v>4</v>
      </c>
      <c r="EV90">
        <v>7250</v>
      </c>
      <c r="EW90">
        <v>552</v>
      </c>
      <c r="EX90">
        <v>377</v>
      </c>
      <c r="EY90">
        <v>473</v>
      </c>
    </row>
    <row r="91" spans="1:155" x14ac:dyDescent="0.35">
      <c r="A91">
        <v>2025</v>
      </c>
      <c r="B91" t="s">
        <v>189</v>
      </c>
      <c r="C91" t="s">
        <v>189</v>
      </c>
      <c r="D91" t="s">
        <v>416</v>
      </c>
      <c r="E91" t="s">
        <v>191</v>
      </c>
      <c r="F91">
        <v>281</v>
      </c>
      <c r="G91">
        <v>3</v>
      </c>
      <c r="H91">
        <v>6</v>
      </c>
      <c r="I91" t="s">
        <v>192</v>
      </c>
      <c r="J91">
        <v>16</v>
      </c>
      <c r="K91">
        <v>23</v>
      </c>
      <c r="L91">
        <v>19</v>
      </c>
      <c r="M91">
        <v>20.321300000000001</v>
      </c>
      <c r="N91">
        <v>31.983000000000001</v>
      </c>
      <c r="O91">
        <v>24.310099999999998</v>
      </c>
      <c r="P91">
        <v>16.345500000000001</v>
      </c>
      <c r="Q91">
        <v>22.901299999999999</v>
      </c>
      <c r="R91">
        <v>18.762499999999999</v>
      </c>
      <c r="T91" t="s">
        <v>165</v>
      </c>
      <c r="U91" t="s">
        <v>166</v>
      </c>
      <c r="V91" t="s">
        <v>193</v>
      </c>
      <c r="W91" t="s">
        <v>194</v>
      </c>
      <c r="Y91">
        <v>8</v>
      </c>
      <c r="Z91" t="s">
        <v>169</v>
      </c>
      <c r="AA91" t="s">
        <v>170</v>
      </c>
      <c r="AB91" t="s">
        <v>171</v>
      </c>
      <c r="AC91" t="s">
        <v>172</v>
      </c>
      <c r="AD91">
        <v>10</v>
      </c>
      <c r="AG91" t="s">
        <v>214</v>
      </c>
      <c r="AH91" t="s">
        <v>215</v>
      </c>
      <c r="AI91" t="s">
        <v>175</v>
      </c>
      <c r="AJ91" t="s">
        <v>176</v>
      </c>
      <c r="AK91" t="s">
        <v>170</v>
      </c>
      <c r="AL91" t="s">
        <v>177</v>
      </c>
      <c r="AM91">
        <v>88</v>
      </c>
      <c r="AN91">
        <v>10</v>
      </c>
      <c r="AS91">
        <v>3350</v>
      </c>
      <c r="AT91">
        <v>3350</v>
      </c>
      <c r="BN91" t="s">
        <v>178</v>
      </c>
      <c r="BO91">
        <v>2</v>
      </c>
      <c r="BP91">
        <v>2</v>
      </c>
      <c r="BQ91">
        <v>3</v>
      </c>
      <c r="BR91" t="s">
        <v>387</v>
      </c>
      <c r="BS91" t="s">
        <v>180</v>
      </c>
      <c r="BT91" t="s">
        <v>181</v>
      </c>
      <c r="BU91" s="1">
        <v>45471</v>
      </c>
      <c r="BV91">
        <v>34971</v>
      </c>
      <c r="BW91" s="155"/>
      <c r="BX91" t="s">
        <v>169</v>
      </c>
      <c r="BY91" t="s">
        <v>170</v>
      </c>
      <c r="CB91" t="s">
        <v>170</v>
      </c>
      <c r="CC91" t="s">
        <v>170</v>
      </c>
      <c r="CE91" t="s">
        <v>170</v>
      </c>
      <c r="CG91" t="s">
        <v>169</v>
      </c>
      <c r="CH91" t="s">
        <v>195</v>
      </c>
      <c r="CI91" t="s">
        <v>169</v>
      </c>
      <c r="CJ91" t="s">
        <v>417</v>
      </c>
      <c r="DJ91" t="s">
        <v>184</v>
      </c>
      <c r="DK91" t="s">
        <v>185</v>
      </c>
      <c r="DN91" t="s">
        <v>170</v>
      </c>
      <c r="DO91" t="s">
        <v>345</v>
      </c>
      <c r="DP91" t="s">
        <v>169</v>
      </c>
      <c r="DQ91" t="s">
        <v>198</v>
      </c>
      <c r="DY91">
        <v>24.5</v>
      </c>
      <c r="EA91" s="101"/>
      <c r="EB91">
        <v>4</v>
      </c>
      <c r="EC91">
        <v>4</v>
      </c>
      <c r="EE91" t="s">
        <v>418</v>
      </c>
      <c r="EF91">
        <v>4</v>
      </c>
      <c r="EV91">
        <v>7250</v>
      </c>
      <c r="EW91">
        <v>535</v>
      </c>
      <c r="EX91">
        <v>381</v>
      </c>
      <c r="EY91">
        <v>466</v>
      </c>
    </row>
    <row r="92" spans="1:155" x14ac:dyDescent="0.35">
      <c r="A92">
        <v>2025</v>
      </c>
      <c r="B92" t="s">
        <v>189</v>
      </c>
      <c r="C92" t="s">
        <v>189</v>
      </c>
      <c r="D92" t="s">
        <v>549</v>
      </c>
      <c r="E92" t="s">
        <v>191</v>
      </c>
      <c r="F92">
        <v>212</v>
      </c>
      <c r="G92">
        <v>2</v>
      </c>
      <c r="H92">
        <v>4</v>
      </c>
      <c r="I92" t="s">
        <v>209</v>
      </c>
      <c r="J92">
        <v>24</v>
      </c>
      <c r="K92">
        <v>33</v>
      </c>
      <c r="L92">
        <v>27</v>
      </c>
      <c r="M92">
        <v>30.521999999999998</v>
      </c>
      <c r="N92">
        <v>47.986199999999997</v>
      </c>
      <c r="O92">
        <v>36.499699999999997</v>
      </c>
      <c r="P92">
        <v>23.7532</v>
      </c>
      <c r="Q92">
        <v>33.148200000000003</v>
      </c>
      <c r="R92">
        <v>27.2256</v>
      </c>
      <c r="T92" t="s">
        <v>165</v>
      </c>
      <c r="U92" t="s">
        <v>166</v>
      </c>
      <c r="V92" t="s">
        <v>211</v>
      </c>
      <c r="W92" t="s">
        <v>212</v>
      </c>
      <c r="Y92">
        <v>7</v>
      </c>
      <c r="Z92" t="s">
        <v>170</v>
      </c>
      <c r="AA92" t="s">
        <v>170</v>
      </c>
      <c r="AB92" t="s">
        <v>167</v>
      </c>
      <c r="AC92" t="s">
        <v>213</v>
      </c>
      <c r="AD92">
        <v>10</v>
      </c>
      <c r="AG92" t="s">
        <v>173</v>
      </c>
      <c r="AH92" t="s">
        <v>174</v>
      </c>
      <c r="AI92" t="s">
        <v>175</v>
      </c>
      <c r="AJ92" t="s">
        <v>176</v>
      </c>
      <c r="AK92" t="s">
        <v>170</v>
      </c>
      <c r="AL92" t="s">
        <v>177</v>
      </c>
      <c r="AO92">
        <v>91</v>
      </c>
      <c r="AP92">
        <v>12</v>
      </c>
      <c r="AS92">
        <v>2350</v>
      </c>
      <c r="AT92">
        <v>2350</v>
      </c>
      <c r="BN92" t="s">
        <v>265</v>
      </c>
      <c r="BO92">
        <v>2</v>
      </c>
      <c r="BP92">
        <v>2</v>
      </c>
      <c r="BQ92">
        <v>4</v>
      </c>
      <c r="BR92" t="s">
        <v>521</v>
      </c>
      <c r="BS92" t="s">
        <v>180</v>
      </c>
      <c r="BT92" t="s">
        <v>181</v>
      </c>
      <c r="BU92" s="1">
        <v>45604</v>
      </c>
      <c r="BV92">
        <v>35778</v>
      </c>
      <c r="BW92" s="156"/>
      <c r="BX92" t="s">
        <v>169</v>
      </c>
      <c r="BY92" t="s">
        <v>170</v>
      </c>
      <c r="CB92" t="s">
        <v>170</v>
      </c>
      <c r="CC92" t="s">
        <v>170</v>
      </c>
      <c r="CE92" t="s">
        <v>170</v>
      </c>
      <c r="CG92" t="s">
        <v>169</v>
      </c>
      <c r="CH92" t="s">
        <v>356</v>
      </c>
      <c r="CI92" t="s">
        <v>169</v>
      </c>
      <c r="CJ92" t="s">
        <v>402</v>
      </c>
      <c r="DJ92" t="s">
        <v>267</v>
      </c>
      <c r="DK92" t="s">
        <v>268</v>
      </c>
      <c r="DN92" t="s">
        <v>170</v>
      </c>
      <c r="DO92" t="s">
        <v>358</v>
      </c>
      <c r="DP92" t="s">
        <v>169</v>
      </c>
      <c r="DQ92" t="s">
        <v>198</v>
      </c>
      <c r="DY92">
        <v>36.799999999999997</v>
      </c>
      <c r="EA92" s="89"/>
      <c r="EB92">
        <v>5</v>
      </c>
      <c r="EC92">
        <v>5</v>
      </c>
      <c r="EE92" t="s">
        <v>550</v>
      </c>
      <c r="EF92">
        <v>5</v>
      </c>
      <c r="EV92">
        <v>2250</v>
      </c>
      <c r="EW92">
        <v>368</v>
      </c>
      <c r="EX92">
        <v>264</v>
      </c>
      <c r="EY92">
        <v>321</v>
      </c>
    </row>
    <row r="93" spans="1:155" x14ac:dyDescent="0.35">
      <c r="A93">
        <v>2025</v>
      </c>
      <c r="B93" t="s">
        <v>189</v>
      </c>
      <c r="C93" t="s">
        <v>189</v>
      </c>
      <c r="D93" t="s">
        <v>419</v>
      </c>
      <c r="E93" t="s">
        <v>191</v>
      </c>
      <c r="F93">
        <v>236</v>
      </c>
      <c r="G93">
        <v>3</v>
      </c>
      <c r="H93">
        <v>6</v>
      </c>
      <c r="I93" t="s">
        <v>192</v>
      </c>
      <c r="J93">
        <v>23</v>
      </c>
      <c r="K93">
        <v>32</v>
      </c>
      <c r="L93">
        <v>26</v>
      </c>
      <c r="M93">
        <v>28.845199999999998</v>
      </c>
      <c r="N93">
        <v>46.111400000000003</v>
      </c>
      <c r="O93">
        <v>34.690600000000003</v>
      </c>
      <c r="P93">
        <v>22.5687</v>
      </c>
      <c r="Q93">
        <v>31.985299999999999</v>
      </c>
      <c r="R93">
        <v>26.0153</v>
      </c>
      <c r="T93" t="s">
        <v>165</v>
      </c>
      <c r="U93" t="s">
        <v>166</v>
      </c>
      <c r="V93" t="s">
        <v>193</v>
      </c>
      <c r="W93" t="s">
        <v>194</v>
      </c>
      <c r="Y93">
        <v>8</v>
      </c>
      <c r="Z93" t="s">
        <v>169</v>
      </c>
      <c r="AA93" t="s">
        <v>170</v>
      </c>
      <c r="AB93" t="s">
        <v>171</v>
      </c>
      <c r="AC93" t="s">
        <v>172</v>
      </c>
      <c r="AD93">
        <v>10</v>
      </c>
      <c r="AG93" t="s">
        <v>173</v>
      </c>
      <c r="AH93" t="s">
        <v>174</v>
      </c>
      <c r="AI93" t="s">
        <v>175</v>
      </c>
      <c r="AJ93" t="s">
        <v>176</v>
      </c>
      <c r="AK93" t="s">
        <v>170</v>
      </c>
      <c r="AL93" t="s">
        <v>177</v>
      </c>
      <c r="AM93">
        <v>88</v>
      </c>
      <c r="AN93">
        <v>10</v>
      </c>
      <c r="AS93">
        <v>2450</v>
      </c>
      <c r="AT93">
        <v>2450</v>
      </c>
      <c r="BN93" t="s">
        <v>178</v>
      </c>
      <c r="BO93">
        <v>2</v>
      </c>
      <c r="BP93">
        <v>2</v>
      </c>
      <c r="BQ93">
        <v>3</v>
      </c>
      <c r="BR93" t="s">
        <v>387</v>
      </c>
      <c r="BS93" t="s">
        <v>180</v>
      </c>
      <c r="BT93" t="s">
        <v>181</v>
      </c>
      <c r="BU93" s="1">
        <v>45492</v>
      </c>
      <c r="BV93">
        <v>35105</v>
      </c>
      <c r="BW93" s="155"/>
      <c r="BX93" t="s">
        <v>169</v>
      </c>
      <c r="BY93" t="s">
        <v>170</v>
      </c>
      <c r="CB93" t="s">
        <v>170</v>
      </c>
      <c r="CC93" t="s">
        <v>170</v>
      </c>
      <c r="CE93" t="s">
        <v>170</v>
      </c>
      <c r="CG93" t="s">
        <v>169</v>
      </c>
      <c r="CH93" t="s">
        <v>195</v>
      </c>
      <c r="CI93" t="s">
        <v>169</v>
      </c>
      <c r="CJ93" t="s">
        <v>196</v>
      </c>
      <c r="DJ93" t="s">
        <v>184</v>
      </c>
      <c r="DK93" t="s">
        <v>185</v>
      </c>
      <c r="DN93" t="s">
        <v>170</v>
      </c>
      <c r="DO93" t="s">
        <v>197</v>
      </c>
      <c r="DP93" t="s">
        <v>169</v>
      </c>
      <c r="DQ93" t="s">
        <v>198</v>
      </c>
      <c r="DY93">
        <v>34.9</v>
      </c>
      <c r="EA93" s="101"/>
      <c r="EB93">
        <v>5</v>
      </c>
      <c r="EC93">
        <v>5</v>
      </c>
      <c r="EE93" t="s">
        <v>199</v>
      </c>
      <c r="EF93">
        <v>4</v>
      </c>
      <c r="EV93">
        <v>2750</v>
      </c>
      <c r="EW93">
        <v>391</v>
      </c>
      <c r="EX93">
        <v>276</v>
      </c>
      <c r="EY93">
        <v>339</v>
      </c>
    </row>
    <row r="94" spans="1:155" x14ac:dyDescent="0.35">
      <c r="A94">
        <v>2025</v>
      </c>
      <c r="B94" t="s">
        <v>189</v>
      </c>
      <c r="C94" t="s">
        <v>189</v>
      </c>
      <c r="D94" t="s">
        <v>420</v>
      </c>
      <c r="E94" t="s">
        <v>191</v>
      </c>
      <c r="F94">
        <v>237</v>
      </c>
      <c r="G94">
        <v>3</v>
      </c>
      <c r="H94">
        <v>6</v>
      </c>
      <c r="I94" t="s">
        <v>192</v>
      </c>
      <c r="J94">
        <v>23</v>
      </c>
      <c r="K94">
        <v>32</v>
      </c>
      <c r="L94">
        <v>26</v>
      </c>
      <c r="M94">
        <v>29.1431</v>
      </c>
      <c r="N94">
        <v>46.566299999999998</v>
      </c>
      <c r="O94">
        <v>35.043500000000002</v>
      </c>
      <c r="P94">
        <v>22.780100000000001</v>
      </c>
      <c r="Q94">
        <v>32.2684</v>
      </c>
      <c r="R94">
        <v>26.254000000000001</v>
      </c>
      <c r="T94" t="s">
        <v>165</v>
      </c>
      <c r="U94" t="s">
        <v>166</v>
      </c>
      <c r="V94" t="s">
        <v>193</v>
      </c>
      <c r="W94" t="s">
        <v>194</v>
      </c>
      <c r="Y94">
        <v>8</v>
      </c>
      <c r="Z94" t="s">
        <v>169</v>
      </c>
      <c r="AA94" t="s">
        <v>170</v>
      </c>
      <c r="AB94" t="s">
        <v>167</v>
      </c>
      <c r="AC94" t="s">
        <v>213</v>
      </c>
      <c r="AD94">
        <v>10</v>
      </c>
      <c r="AG94" t="s">
        <v>173</v>
      </c>
      <c r="AH94" t="s">
        <v>174</v>
      </c>
      <c r="AI94" t="s">
        <v>175</v>
      </c>
      <c r="AJ94" t="s">
        <v>176</v>
      </c>
      <c r="AK94" t="s">
        <v>170</v>
      </c>
      <c r="AL94" t="s">
        <v>177</v>
      </c>
      <c r="AM94">
        <v>88</v>
      </c>
      <c r="AN94">
        <v>10</v>
      </c>
      <c r="AS94">
        <v>2450</v>
      </c>
      <c r="AT94">
        <v>2450</v>
      </c>
      <c r="BN94" t="s">
        <v>178</v>
      </c>
      <c r="BO94">
        <v>2</v>
      </c>
      <c r="BP94">
        <v>2</v>
      </c>
      <c r="BQ94">
        <v>3</v>
      </c>
      <c r="BR94" t="s">
        <v>387</v>
      </c>
      <c r="BS94" t="s">
        <v>180</v>
      </c>
      <c r="BT94" t="s">
        <v>181</v>
      </c>
      <c r="BU94" s="1">
        <v>45492</v>
      </c>
      <c r="BV94">
        <v>35106</v>
      </c>
      <c r="BW94" s="155"/>
      <c r="BX94" t="s">
        <v>169</v>
      </c>
      <c r="BY94" t="s">
        <v>170</v>
      </c>
      <c r="CB94" t="s">
        <v>170</v>
      </c>
      <c r="CC94" t="s">
        <v>170</v>
      </c>
      <c r="CE94" t="s">
        <v>170</v>
      </c>
      <c r="CG94" t="s">
        <v>169</v>
      </c>
      <c r="CH94" t="s">
        <v>195</v>
      </c>
      <c r="CI94" t="s">
        <v>169</v>
      </c>
      <c r="CJ94" t="s">
        <v>196</v>
      </c>
      <c r="DJ94" t="s">
        <v>184</v>
      </c>
      <c r="DK94" t="s">
        <v>185</v>
      </c>
      <c r="DN94" t="s">
        <v>170</v>
      </c>
      <c r="DO94" t="s">
        <v>197</v>
      </c>
      <c r="DP94" t="s">
        <v>169</v>
      </c>
      <c r="DQ94" t="s">
        <v>198</v>
      </c>
      <c r="DY94">
        <v>35.299999999999997</v>
      </c>
      <c r="EA94" s="101"/>
      <c r="EB94">
        <v>5</v>
      </c>
      <c r="EC94">
        <v>5</v>
      </c>
      <c r="EE94" t="s">
        <v>199</v>
      </c>
      <c r="EF94">
        <v>4</v>
      </c>
      <c r="EV94">
        <v>2750</v>
      </c>
      <c r="EW94">
        <v>387</v>
      </c>
      <c r="EX94">
        <v>274</v>
      </c>
      <c r="EY94">
        <v>336</v>
      </c>
    </row>
    <row r="95" spans="1:155" x14ac:dyDescent="0.35">
      <c r="A95">
        <v>2025</v>
      </c>
      <c r="B95" t="s">
        <v>189</v>
      </c>
      <c r="C95" t="s">
        <v>189</v>
      </c>
      <c r="D95" t="s">
        <v>551</v>
      </c>
      <c r="E95" t="s">
        <v>191</v>
      </c>
      <c r="F95">
        <v>392</v>
      </c>
      <c r="G95">
        <v>3</v>
      </c>
      <c r="H95">
        <v>6</v>
      </c>
      <c r="I95" t="s">
        <v>192</v>
      </c>
      <c r="J95">
        <v>16</v>
      </c>
      <c r="K95">
        <v>23</v>
      </c>
      <c r="L95">
        <v>18</v>
      </c>
      <c r="M95">
        <v>19.519500000000001</v>
      </c>
      <c r="N95">
        <v>32.043300000000002</v>
      </c>
      <c r="O95">
        <v>23.685199999999998</v>
      </c>
      <c r="P95">
        <v>15.742100000000001</v>
      </c>
      <c r="Q95">
        <v>22.941299999999998</v>
      </c>
      <c r="R95">
        <v>18.3307</v>
      </c>
      <c r="T95" t="s">
        <v>165</v>
      </c>
      <c r="U95" t="s">
        <v>166</v>
      </c>
      <c r="V95" t="s">
        <v>193</v>
      </c>
      <c r="W95" t="s">
        <v>194</v>
      </c>
      <c r="Y95">
        <v>8</v>
      </c>
      <c r="Z95" t="s">
        <v>169</v>
      </c>
      <c r="AA95" t="s">
        <v>170</v>
      </c>
      <c r="AB95" t="s">
        <v>167</v>
      </c>
      <c r="AC95" t="s">
        <v>213</v>
      </c>
      <c r="AD95">
        <v>10</v>
      </c>
      <c r="AG95" t="s">
        <v>214</v>
      </c>
      <c r="AH95" t="s">
        <v>215</v>
      </c>
      <c r="AI95" t="s">
        <v>175</v>
      </c>
      <c r="AJ95" t="s">
        <v>176</v>
      </c>
      <c r="AK95" t="s">
        <v>170</v>
      </c>
      <c r="AL95" t="s">
        <v>177</v>
      </c>
      <c r="AO95">
        <v>95</v>
      </c>
      <c r="AP95">
        <v>13</v>
      </c>
      <c r="AS95">
        <v>3550</v>
      </c>
      <c r="AT95">
        <v>3550</v>
      </c>
      <c r="BN95" t="s">
        <v>178</v>
      </c>
      <c r="BO95">
        <v>2</v>
      </c>
      <c r="BP95">
        <v>2</v>
      </c>
      <c r="BQ95">
        <v>4</v>
      </c>
      <c r="BR95" t="s">
        <v>521</v>
      </c>
      <c r="BS95" t="s">
        <v>180</v>
      </c>
      <c r="BT95" t="s">
        <v>181</v>
      </c>
      <c r="BU95" s="1">
        <v>45471</v>
      </c>
      <c r="BV95">
        <v>34978</v>
      </c>
      <c r="BW95" s="156"/>
      <c r="BX95" t="s">
        <v>169</v>
      </c>
      <c r="BY95" t="s">
        <v>170</v>
      </c>
      <c r="CB95" t="s">
        <v>170</v>
      </c>
      <c r="CC95" t="s">
        <v>170</v>
      </c>
      <c r="CE95" t="s">
        <v>170</v>
      </c>
      <c r="CG95" t="s">
        <v>169</v>
      </c>
      <c r="CH95" t="s">
        <v>195</v>
      </c>
      <c r="CI95" t="s">
        <v>169</v>
      </c>
      <c r="CJ95" t="s">
        <v>417</v>
      </c>
      <c r="DJ95" t="s">
        <v>184</v>
      </c>
      <c r="DK95" t="s">
        <v>185</v>
      </c>
      <c r="DN95" t="s">
        <v>170</v>
      </c>
      <c r="DO95" t="s">
        <v>345</v>
      </c>
      <c r="DP95" t="s">
        <v>169</v>
      </c>
      <c r="DQ95" t="s">
        <v>198</v>
      </c>
      <c r="DY95">
        <v>24.1</v>
      </c>
      <c r="EA95" s="89"/>
      <c r="EB95">
        <v>4</v>
      </c>
      <c r="EC95">
        <v>4</v>
      </c>
      <c r="EE95" t="s">
        <v>418</v>
      </c>
      <c r="EF95">
        <v>4</v>
      </c>
      <c r="EV95">
        <v>8250</v>
      </c>
      <c r="EW95">
        <v>556</v>
      </c>
      <c r="EX95">
        <v>381</v>
      </c>
      <c r="EY95">
        <v>477</v>
      </c>
    </row>
    <row r="96" spans="1:155" x14ac:dyDescent="0.35">
      <c r="A96">
        <v>2025</v>
      </c>
      <c r="B96" t="s">
        <v>189</v>
      </c>
      <c r="C96" t="s">
        <v>189</v>
      </c>
      <c r="D96" t="s">
        <v>552</v>
      </c>
      <c r="E96" t="s">
        <v>191</v>
      </c>
      <c r="F96">
        <v>391</v>
      </c>
      <c r="G96">
        <v>3</v>
      </c>
      <c r="H96">
        <v>6</v>
      </c>
      <c r="I96" t="s">
        <v>192</v>
      </c>
      <c r="J96">
        <v>16</v>
      </c>
      <c r="K96">
        <v>23</v>
      </c>
      <c r="L96">
        <v>19</v>
      </c>
      <c r="M96">
        <v>20.181999999999999</v>
      </c>
      <c r="N96">
        <v>32.061599999999999</v>
      </c>
      <c r="O96">
        <v>24.220400000000001</v>
      </c>
      <c r="P96">
        <v>16.2409</v>
      </c>
      <c r="Q96">
        <v>22.953499999999998</v>
      </c>
      <c r="R96">
        <v>18.702100000000002</v>
      </c>
      <c r="T96" t="s">
        <v>165</v>
      </c>
      <c r="U96" t="s">
        <v>166</v>
      </c>
      <c r="V96" t="s">
        <v>193</v>
      </c>
      <c r="W96" t="s">
        <v>194</v>
      </c>
      <c r="Y96">
        <v>8</v>
      </c>
      <c r="Z96" t="s">
        <v>169</v>
      </c>
      <c r="AA96" t="s">
        <v>170</v>
      </c>
      <c r="AB96" t="s">
        <v>171</v>
      </c>
      <c r="AC96" t="s">
        <v>172</v>
      </c>
      <c r="AD96">
        <v>10</v>
      </c>
      <c r="AG96" t="s">
        <v>214</v>
      </c>
      <c r="AH96" t="s">
        <v>215</v>
      </c>
      <c r="AI96" t="s">
        <v>175</v>
      </c>
      <c r="AJ96" t="s">
        <v>176</v>
      </c>
      <c r="AK96" t="s">
        <v>170</v>
      </c>
      <c r="AL96" t="s">
        <v>177</v>
      </c>
      <c r="AO96">
        <v>95</v>
      </c>
      <c r="AP96">
        <v>13</v>
      </c>
      <c r="AS96">
        <v>3350</v>
      </c>
      <c r="AT96">
        <v>3350</v>
      </c>
      <c r="BN96" t="s">
        <v>178</v>
      </c>
      <c r="BO96">
        <v>2</v>
      </c>
      <c r="BP96">
        <v>2</v>
      </c>
      <c r="BQ96">
        <v>4</v>
      </c>
      <c r="BR96" t="s">
        <v>521</v>
      </c>
      <c r="BS96" t="s">
        <v>180</v>
      </c>
      <c r="BT96" t="s">
        <v>181</v>
      </c>
      <c r="BU96" s="1">
        <v>45471</v>
      </c>
      <c r="BV96">
        <v>34970</v>
      </c>
      <c r="BW96" s="155"/>
      <c r="BX96" t="s">
        <v>170</v>
      </c>
      <c r="BY96" t="s">
        <v>170</v>
      </c>
      <c r="CB96" t="s">
        <v>170</v>
      </c>
      <c r="CC96" t="s">
        <v>170</v>
      </c>
      <c r="CE96" t="s">
        <v>170</v>
      </c>
      <c r="CG96" t="s">
        <v>169</v>
      </c>
      <c r="CH96" t="s">
        <v>195</v>
      </c>
      <c r="CI96" t="s">
        <v>169</v>
      </c>
      <c r="CJ96" t="s">
        <v>417</v>
      </c>
      <c r="DJ96" t="s">
        <v>184</v>
      </c>
      <c r="DK96" t="s">
        <v>185</v>
      </c>
      <c r="DN96" t="s">
        <v>170</v>
      </c>
      <c r="DO96" t="s">
        <v>345</v>
      </c>
      <c r="DP96" t="s">
        <v>169</v>
      </c>
      <c r="DQ96" t="s">
        <v>198</v>
      </c>
      <c r="DY96">
        <v>24.4</v>
      </c>
      <c r="EA96" s="101"/>
      <c r="EB96">
        <v>4</v>
      </c>
      <c r="EC96">
        <v>4</v>
      </c>
      <c r="EE96" t="s">
        <v>418</v>
      </c>
      <c r="EF96">
        <v>4</v>
      </c>
      <c r="EV96">
        <v>7250</v>
      </c>
      <c r="EW96">
        <v>541</v>
      </c>
      <c r="EX96">
        <v>383</v>
      </c>
      <c r="EY96">
        <v>470</v>
      </c>
    </row>
    <row r="97" spans="1:155" x14ac:dyDescent="0.35">
      <c r="A97">
        <v>2025</v>
      </c>
      <c r="B97" t="s">
        <v>189</v>
      </c>
      <c r="C97" t="s">
        <v>189</v>
      </c>
      <c r="D97" t="s">
        <v>553</v>
      </c>
      <c r="E97" t="s">
        <v>191</v>
      </c>
      <c r="F97">
        <v>380</v>
      </c>
      <c r="G97">
        <v>3</v>
      </c>
      <c r="H97">
        <v>6</v>
      </c>
      <c r="I97" t="s">
        <v>200</v>
      </c>
      <c r="J97">
        <v>16</v>
      </c>
      <c r="K97">
        <v>23</v>
      </c>
      <c r="L97">
        <v>19</v>
      </c>
      <c r="M97">
        <v>19.895499999999998</v>
      </c>
      <c r="N97">
        <v>32.497199999999999</v>
      </c>
      <c r="O97">
        <v>24.101199999999999</v>
      </c>
      <c r="P97">
        <v>16.025500000000001</v>
      </c>
      <c r="Q97">
        <v>23.2422</v>
      </c>
      <c r="R97">
        <v>18.628299999999999</v>
      </c>
      <c r="T97" t="s">
        <v>165</v>
      </c>
      <c r="U97" t="s">
        <v>166</v>
      </c>
      <c r="V97" t="s">
        <v>201</v>
      </c>
      <c r="W97" t="s">
        <v>202</v>
      </c>
      <c r="Y97">
        <v>6</v>
      </c>
      <c r="Z97" t="s">
        <v>170</v>
      </c>
      <c r="AA97" t="s">
        <v>170</v>
      </c>
      <c r="AB97" t="s">
        <v>171</v>
      </c>
      <c r="AC97" t="s">
        <v>172</v>
      </c>
      <c r="AD97">
        <v>10</v>
      </c>
      <c r="AG97" t="s">
        <v>214</v>
      </c>
      <c r="AH97" t="s">
        <v>215</v>
      </c>
      <c r="AI97" t="s">
        <v>175</v>
      </c>
      <c r="AJ97" t="s">
        <v>176</v>
      </c>
      <c r="AK97" t="s">
        <v>170</v>
      </c>
      <c r="AL97" t="s">
        <v>177</v>
      </c>
      <c r="AO97">
        <v>95</v>
      </c>
      <c r="AP97">
        <v>13</v>
      </c>
      <c r="AS97">
        <v>3350</v>
      </c>
      <c r="AT97">
        <v>3350</v>
      </c>
      <c r="BN97" t="s">
        <v>178</v>
      </c>
      <c r="BO97">
        <v>2</v>
      </c>
      <c r="BP97">
        <v>2</v>
      </c>
      <c r="BQ97">
        <v>4</v>
      </c>
      <c r="BR97" t="s">
        <v>521</v>
      </c>
      <c r="BS97" t="s">
        <v>180</v>
      </c>
      <c r="BT97" t="s">
        <v>181</v>
      </c>
      <c r="BU97" s="1">
        <v>45471</v>
      </c>
      <c r="BV97">
        <v>34968</v>
      </c>
      <c r="BW97" s="155"/>
      <c r="BX97" t="s">
        <v>170</v>
      </c>
      <c r="BY97" t="s">
        <v>170</v>
      </c>
      <c r="CB97" t="s">
        <v>170</v>
      </c>
      <c r="CC97" t="s">
        <v>170</v>
      </c>
      <c r="CE97" t="s">
        <v>170</v>
      </c>
      <c r="CG97" t="s">
        <v>169</v>
      </c>
      <c r="CH97" t="s">
        <v>195</v>
      </c>
      <c r="CI97" t="s">
        <v>169</v>
      </c>
      <c r="CJ97" t="s">
        <v>417</v>
      </c>
      <c r="DJ97" t="s">
        <v>184</v>
      </c>
      <c r="DK97" t="s">
        <v>185</v>
      </c>
      <c r="DN97" t="s">
        <v>170</v>
      </c>
      <c r="DO97" t="s">
        <v>345</v>
      </c>
      <c r="DP97" t="s">
        <v>169</v>
      </c>
      <c r="DQ97" t="s">
        <v>198</v>
      </c>
      <c r="DY97">
        <v>24.3</v>
      </c>
      <c r="EA97" s="101"/>
      <c r="EB97">
        <v>4</v>
      </c>
      <c r="EC97">
        <v>4</v>
      </c>
      <c r="EE97" t="s">
        <v>418</v>
      </c>
      <c r="EF97">
        <v>4</v>
      </c>
      <c r="EV97">
        <v>7250</v>
      </c>
      <c r="EW97">
        <v>548</v>
      </c>
      <c r="EX97">
        <v>379</v>
      </c>
      <c r="EY97">
        <v>472</v>
      </c>
    </row>
    <row r="98" spans="1:155" x14ac:dyDescent="0.35">
      <c r="A98">
        <v>2025</v>
      </c>
      <c r="B98" t="s">
        <v>189</v>
      </c>
      <c r="C98" t="s">
        <v>189</v>
      </c>
      <c r="D98" t="s">
        <v>554</v>
      </c>
      <c r="E98" t="s">
        <v>191</v>
      </c>
      <c r="F98">
        <v>340</v>
      </c>
      <c r="G98">
        <v>3</v>
      </c>
      <c r="H98">
        <v>4</v>
      </c>
      <c r="I98" t="s">
        <v>192</v>
      </c>
      <c r="J98">
        <v>27</v>
      </c>
      <c r="K98">
        <v>33</v>
      </c>
      <c r="L98">
        <v>29</v>
      </c>
      <c r="M98">
        <v>34.839199999999998</v>
      </c>
      <c r="N98">
        <v>47.814100000000003</v>
      </c>
      <c r="O98">
        <v>39.685200000000002</v>
      </c>
      <c r="P98">
        <v>26.7453</v>
      </c>
      <c r="Q98">
        <v>33.041899999999998</v>
      </c>
      <c r="R98">
        <v>29.254000000000001</v>
      </c>
      <c r="T98" t="s">
        <v>165</v>
      </c>
      <c r="U98" t="s">
        <v>166</v>
      </c>
      <c r="V98" t="s">
        <v>193</v>
      </c>
      <c r="W98" t="s">
        <v>194</v>
      </c>
      <c r="Y98">
        <v>8</v>
      </c>
      <c r="Z98" t="s">
        <v>169</v>
      </c>
      <c r="AA98" t="s">
        <v>170</v>
      </c>
      <c r="AB98" t="s">
        <v>171</v>
      </c>
      <c r="AC98" t="s">
        <v>172</v>
      </c>
      <c r="AD98">
        <v>10</v>
      </c>
      <c r="AG98" t="s">
        <v>173</v>
      </c>
      <c r="AH98" t="s">
        <v>174</v>
      </c>
      <c r="AI98" t="s">
        <v>175</v>
      </c>
      <c r="AJ98" t="s">
        <v>176</v>
      </c>
      <c r="AK98" t="s">
        <v>170</v>
      </c>
      <c r="AL98" t="s">
        <v>177</v>
      </c>
      <c r="AO98">
        <v>94</v>
      </c>
      <c r="AP98">
        <v>13</v>
      </c>
      <c r="AS98">
        <v>2200</v>
      </c>
      <c r="AT98">
        <v>2200</v>
      </c>
      <c r="BN98" t="s">
        <v>401</v>
      </c>
      <c r="BO98">
        <v>2</v>
      </c>
      <c r="BP98">
        <v>2</v>
      </c>
      <c r="BQ98">
        <v>4</v>
      </c>
      <c r="BR98" t="s">
        <v>521</v>
      </c>
      <c r="BS98" t="s">
        <v>180</v>
      </c>
      <c r="BT98" t="s">
        <v>181</v>
      </c>
      <c r="BU98" s="1">
        <v>45499</v>
      </c>
      <c r="BV98">
        <v>35151</v>
      </c>
      <c r="BW98" s="156"/>
      <c r="BX98" t="s">
        <v>169</v>
      </c>
      <c r="BY98" t="s">
        <v>170</v>
      </c>
      <c r="CB98" t="s">
        <v>170</v>
      </c>
      <c r="CC98" t="s">
        <v>170</v>
      </c>
      <c r="CE98" t="s">
        <v>170</v>
      </c>
      <c r="CG98" t="s">
        <v>169</v>
      </c>
      <c r="CH98" t="s">
        <v>356</v>
      </c>
      <c r="CI98" t="s">
        <v>169</v>
      </c>
      <c r="CJ98" t="s">
        <v>402</v>
      </c>
      <c r="CK98" t="s">
        <v>233</v>
      </c>
      <c r="CM98">
        <v>1</v>
      </c>
      <c r="CN98" t="s">
        <v>234</v>
      </c>
      <c r="CP98">
        <v>44</v>
      </c>
      <c r="CQ98">
        <v>10.4</v>
      </c>
      <c r="CR98">
        <v>38</v>
      </c>
      <c r="CS98" t="s">
        <v>235</v>
      </c>
      <c r="CV98" t="s">
        <v>341</v>
      </c>
      <c r="CX98" t="s">
        <v>342</v>
      </c>
      <c r="CY98" t="s">
        <v>170</v>
      </c>
      <c r="DC98" t="s">
        <v>426</v>
      </c>
      <c r="DD98">
        <v>1</v>
      </c>
      <c r="DE98" t="s">
        <v>404</v>
      </c>
      <c r="DF98" t="s">
        <v>427</v>
      </c>
      <c r="DG98">
        <v>9</v>
      </c>
      <c r="DJ98" t="s">
        <v>267</v>
      </c>
      <c r="DK98" t="s">
        <v>268</v>
      </c>
      <c r="DL98" t="s">
        <v>170</v>
      </c>
      <c r="DM98" t="s">
        <v>170</v>
      </c>
      <c r="DN98" t="s">
        <v>170</v>
      </c>
      <c r="DO98" t="s">
        <v>406</v>
      </c>
      <c r="DP98" t="s">
        <v>169</v>
      </c>
      <c r="DQ98" t="s">
        <v>198</v>
      </c>
      <c r="DY98">
        <v>39.9</v>
      </c>
      <c r="EA98" s="89"/>
      <c r="EB98">
        <v>6</v>
      </c>
      <c r="EC98">
        <v>6</v>
      </c>
      <c r="EE98" t="s">
        <v>428</v>
      </c>
      <c r="EF98">
        <v>6</v>
      </c>
      <c r="EV98">
        <v>1500</v>
      </c>
      <c r="EW98">
        <v>326</v>
      </c>
      <c r="EX98">
        <v>265</v>
      </c>
      <c r="EY98">
        <v>299</v>
      </c>
    </row>
    <row r="99" spans="1:155" x14ac:dyDescent="0.35">
      <c r="A99">
        <v>2025</v>
      </c>
      <c r="B99" t="s">
        <v>189</v>
      </c>
      <c r="C99" t="s">
        <v>189</v>
      </c>
      <c r="D99" t="s">
        <v>555</v>
      </c>
      <c r="E99" t="s">
        <v>191</v>
      </c>
      <c r="F99">
        <v>341</v>
      </c>
      <c r="G99">
        <v>3</v>
      </c>
      <c r="H99">
        <v>4</v>
      </c>
      <c r="I99" t="s">
        <v>192</v>
      </c>
      <c r="J99">
        <v>26</v>
      </c>
      <c r="K99">
        <v>33</v>
      </c>
      <c r="L99">
        <v>29</v>
      </c>
      <c r="M99">
        <v>33.822000000000003</v>
      </c>
      <c r="N99">
        <v>47.837000000000003</v>
      </c>
      <c r="O99">
        <v>38.958199999999998</v>
      </c>
      <c r="P99">
        <v>26.047699999999999</v>
      </c>
      <c r="Q99">
        <v>33.056100000000001</v>
      </c>
      <c r="R99">
        <v>28.794899999999998</v>
      </c>
      <c r="T99" t="s">
        <v>165</v>
      </c>
      <c r="U99" t="s">
        <v>166</v>
      </c>
      <c r="V99" t="s">
        <v>193</v>
      </c>
      <c r="W99" t="s">
        <v>194</v>
      </c>
      <c r="Y99">
        <v>8</v>
      </c>
      <c r="Z99" t="s">
        <v>169</v>
      </c>
      <c r="AA99" t="s">
        <v>170</v>
      </c>
      <c r="AB99" t="s">
        <v>167</v>
      </c>
      <c r="AC99" t="s">
        <v>213</v>
      </c>
      <c r="AD99">
        <v>10</v>
      </c>
      <c r="AG99" t="s">
        <v>173</v>
      </c>
      <c r="AH99" t="s">
        <v>174</v>
      </c>
      <c r="AI99" t="s">
        <v>175</v>
      </c>
      <c r="AJ99" t="s">
        <v>176</v>
      </c>
      <c r="AK99" t="s">
        <v>170</v>
      </c>
      <c r="AL99" t="s">
        <v>177</v>
      </c>
      <c r="AO99">
        <v>94</v>
      </c>
      <c r="AP99">
        <v>13</v>
      </c>
      <c r="AS99">
        <v>2200</v>
      </c>
      <c r="AT99">
        <v>2200</v>
      </c>
      <c r="BN99" t="s">
        <v>401</v>
      </c>
      <c r="BO99">
        <v>2</v>
      </c>
      <c r="BP99">
        <v>2</v>
      </c>
      <c r="BQ99">
        <v>4</v>
      </c>
      <c r="BR99" t="s">
        <v>521</v>
      </c>
      <c r="BS99" t="s">
        <v>180</v>
      </c>
      <c r="BT99" t="s">
        <v>181</v>
      </c>
      <c r="BU99" s="1">
        <v>45499</v>
      </c>
      <c r="BV99">
        <v>35155</v>
      </c>
      <c r="BW99" s="155"/>
      <c r="BX99" t="s">
        <v>169</v>
      </c>
      <c r="BY99" t="s">
        <v>170</v>
      </c>
      <c r="CB99" t="s">
        <v>170</v>
      </c>
      <c r="CC99" t="s">
        <v>170</v>
      </c>
      <c r="CE99" t="s">
        <v>170</v>
      </c>
      <c r="CG99" t="s">
        <v>169</v>
      </c>
      <c r="CH99" t="s">
        <v>356</v>
      </c>
      <c r="CI99" t="s">
        <v>169</v>
      </c>
      <c r="CJ99" t="s">
        <v>402</v>
      </c>
      <c r="CK99" t="s">
        <v>233</v>
      </c>
      <c r="CM99">
        <v>1</v>
      </c>
      <c r="CN99" t="s">
        <v>234</v>
      </c>
      <c r="CP99">
        <v>44</v>
      </c>
      <c r="CQ99">
        <v>10.4</v>
      </c>
      <c r="CR99">
        <v>38</v>
      </c>
      <c r="CS99" t="s">
        <v>235</v>
      </c>
      <c r="CV99" t="s">
        <v>341</v>
      </c>
      <c r="CX99" t="s">
        <v>342</v>
      </c>
      <c r="CY99" t="s">
        <v>170</v>
      </c>
      <c r="DC99" t="s">
        <v>426</v>
      </c>
      <c r="DD99">
        <v>1</v>
      </c>
      <c r="DE99" t="s">
        <v>404</v>
      </c>
      <c r="DF99" t="s">
        <v>427</v>
      </c>
      <c r="DG99">
        <v>9</v>
      </c>
      <c r="DJ99" t="s">
        <v>267</v>
      </c>
      <c r="DK99" t="s">
        <v>268</v>
      </c>
      <c r="DL99" t="s">
        <v>170</v>
      </c>
      <c r="DM99" t="s">
        <v>170</v>
      </c>
      <c r="DN99" t="s">
        <v>170</v>
      </c>
      <c r="DO99" t="s">
        <v>406</v>
      </c>
      <c r="DP99" t="s">
        <v>169</v>
      </c>
      <c r="DQ99" t="s">
        <v>198</v>
      </c>
      <c r="DY99">
        <v>39.200000000000003</v>
      </c>
      <c r="EA99" s="101"/>
      <c r="EB99">
        <v>6</v>
      </c>
      <c r="EC99">
        <v>6</v>
      </c>
      <c r="EE99" t="s">
        <v>428</v>
      </c>
      <c r="EF99">
        <v>6</v>
      </c>
      <c r="EV99">
        <v>1500</v>
      </c>
      <c r="EW99">
        <v>336</v>
      </c>
      <c r="EX99">
        <v>264</v>
      </c>
      <c r="EY99">
        <v>304</v>
      </c>
    </row>
    <row r="100" spans="1:155" x14ac:dyDescent="0.35">
      <c r="A100">
        <v>2025</v>
      </c>
      <c r="B100" t="s">
        <v>189</v>
      </c>
      <c r="C100" t="s">
        <v>189</v>
      </c>
      <c r="D100" t="s">
        <v>421</v>
      </c>
      <c r="E100" t="s">
        <v>191</v>
      </c>
      <c r="F100">
        <v>491</v>
      </c>
      <c r="G100">
        <v>3</v>
      </c>
      <c r="H100">
        <v>6</v>
      </c>
      <c r="I100" t="s">
        <v>192</v>
      </c>
      <c r="J100">
        <v>16</v>
      </c>
      <c r="K100">
        <v>23</v>
      </c>
      <c r="L100">
        <v>19</v>
      </c>
      <c r="M100">
        <v>20.181999999999999</v>
      </c>
      <c r="N100">
        <v>32.061599999999999</v>
      </c>
      <c r="O100">
        <v>24.220400000000001</v>
      </c>
      <c r="P100">
        <v>16.2409</v>
      </c>
      <c r="Q100">
        <v>22.953499999999998</v>
      </c>
      <c r="R100">
        <v>18.702100000000002</v>
      </c>
      <c r="T100" t="s">
        <v>165</v>
      </c>
      <c r="U100" t="s">
        <v>166</v>
      </c>
      <c r="V100" t="s">
        <v>193</v>
      </c>
      <c r="W100" t="s">
        <v>194</v>
      </c>
      <c r="Y100">
        <v>8</v>
      </c>
      <c r="Z100" t="s">
        <v>169</v>
      </c>
      <c r="AA100" t="s">
        <v>170</v>
      </c>
      <c r="AB100" t="s">
        <v>171</v>
      </c>
      <c r="AC100" t="s">
        <v>172</v>
      </c>
      <c r="AD100">
        <v>10</v>
      </c>
      <c r="AG100" t="s">
        <v>214</v>
      </c>
      <c r="AH100" t="s">
        <v>215</v>
      </c>
      <c r="AI100" t="s">
        <v>175</v>
      </c>
      <c r="AJ100" t="s">
        <v>176</v>
      </c>
      <c r="AK100" t="s">
        <v>170</v>
      </c>
      <c r="AL100" t="s">
        <v>177</v>
      </c>
      <c r="AM100">
        <v>87</v>
      </c>
      <c r="AN100">
        <v>12</v>
      </c>
      <c r="AS100">
        <v>3350</v>
      </c>
      <c r="AT100">
        <v>3350</v>
      </c>
      <c r="BN100" t="s">
        <v>178</v>
      </c>
      <c r="BO100">
        <v>2</v>
      </c>
      <c r="BP100">
        <v>2</v>
      </c>
      <c r="BQ100">
        <v>3</v>
      </c>
      <c r="BR100" t="s">
        <v>387</v>
      </c>
      <c r="BS100" t="s">
        <v>180</v>
      </c>
      <c r="BT100" t="s">
        <v>181</v>
      </c>
      <c r="BU100" s="1">
        <v>45373</v>
      </c>
      <c r="BV100">
        <v>34969</v>
      </c>
      <c r="BW100" s="155"/>
      <c r="BX100" t="s">
        <v>170</v>
      </c>
      <c r="BY100" t="s">
        <v>170</v>
      </c>
      <c r="CB100" t="s">
        <v>170</v>
      </c>
      <c r="CC100" t="s">
        <v>170</v>
      </c>
      <c r="CE100" t="s">
        <v>170</v>
      </c>
      <c r="CG100" t="s">
        <v>169</v>
      </c>
      <c r="CH100" t="s">
        <v>195</v>
      </c>
      <c r="CI100" t="s">
        <v>169</v>
      </c>
      <c r="CJ100" t="s">
        <v>417</v>
      </c>
      <c r="DJ100" t="s">
        <v>184</v>
      </c>
      <c r="DK100" t="s">
        <v>185</v>
      </c>
      <c r="DN100" t="s">
        <v>170</v>
      </c>
      <c r="DO100" t="s">
        <v>345</v>
      </c>
      <c r="DP100" t="s">
        <v>169</v>
      </c>
      <c r="DQ100" t="s">
        <v>198</v>
      </c>
      <c r="DY100">
        <v>24.4</v>
      </c>
      <c r="EA100" s="101"/>
      <c r="EB100">
        <v>4</v>
      </c>
      <c r="EC100">
        <v>4</v>
      </c>
      <c r="EE100" t="s">
        <v>418</v>
      </c>
      <c r="EF100">
        <v>4</v>
      </c>
      <c r="EV100">
        <v>7250</v>
      </c>
      <c r="EW100">
        <v>541</v>
      </c>
      <c r="EX100">
        <v>383</v>
      </c>
      <c r="EY100">
        <v>470</v>
      </c>
    </row>
    <row r="101" spans="1:155" x14ac:dyDescent="0.35">
      <c r="A101">
        <v>2025</v>
      </c>
      <c r="B101" t="s">
        <v>189</v>
      </c>
      <c r="C101" t="s">
        <v>189</v>
      </c>
      <c r="D101" t="s">
        <v>422</v>
      </c>
      <c r="E101" t="s">
        <v>191</v>
      </c>
      <c r="F101">
        <v>492</v>
      </c>
      <c r="G101">
        <v>3</v>
      </c>
      <c r="H101">
        <v>6</v>
      </c>
      <c r="I101" t="s">
        <v>192</v>
      </c>
      <c r="J101">
        <v>16</v>
      </c>
      <c r="K101">
        <v>23</v>
      </c>
      <c r="L101">
        <v>18</v>
      </c>
      <c r="M101">
        <v>19.801500000000001</v>
      </c>
      <c r="N101">
        <v>32.062399999999997</v>
      </c>
      <c r="O101">
        <v>23.917300000000001</v>
      </c>
      <c r="P101">
        <v>15.954700000000001</v>
      </c>
      <c r="Q101">
        <v>22.954000000000001</v>
      </c>
      <c r="R101">
        <v>18.492100000000001</v>
      </c>
      <c r="T101" t="s">
        <v>165</v>
      </c>
      <c r="U101" t="s">
        <v>166</v>
      </c>
      <c r="V101" t="s">
        <v>193</v>
      </c>
      <c r="W101" t="s">
        <v>194</v>
      </c>
      <c r="Y101">
        <v>8</v>
      </c>
      <c r="Z101" t="s">
        <v>169</v>
      </c>
      <c r="AA101" t="s">
        <v>170</v>
      </c>
      <c r="AB101" t="s">
        <v>167</v>
      </c>
      <c r="AC101" t="s">
        <v>213</v>
      </c>
      <c r="AD101">
        <v>10</v>
      </c>
      <c r="AG101" t="s">
        <v>214</v>
      </c>
      <c r="AH101" t="s">
        <v>215</v>
      </c>
      <c r="AI101" t="s">
        <v>175</v>
      </c>
      <c r="AJ101" t="s">
        <v>176</v>
      </c>
      <c r="AK101" t="s">
        <v>170</v>
      </c>
      <c r="AL101" t="s">
        <v>177</v>
      </c>
      <c r="AM101">
        <v>87</v>
      </c>
      <c r="AN101">
        <v>12</v>
      </c>
      <c r="AS101">
        <v>3550</v>
      </c>
      <c r="AT101">
        <v>3550</v>
      </c>
      <c r="BN101" t="s">
        <v>178</v>
      </c>
      <c r="BO101">
        <v>2</v>
      </c>
      <c r="BP101">
        <v>2</v>
      </c>
      <c r="BQ101">
        <v>3</v>
      </c>
      <c r="BR101" t="s">
        <v>387</v>
      </c>
      <c r="BS101" t="s">
        <v>180</v>
      </c>
      <c r="BT101" t="s">
        <v>181</v>
      </c>
      <c r="BU101" s="1">
        <v>45373</v>
      </c>
      <c r="BV101">
        <v>34506</v>
      </c>
      <c r="BW101" s="156"/>
      <c r="BX101" t="s">
        <v>170</v>
      </c>
      <c r="BY101" t="s">
        <v>170</v>
      </c>
      <c r="CB101" t="s">
        <v>170</v>
      </c>
      <c r="CC101" t="s">
        <v>170</v>
      </c>
      <c r="CE101" t="s">
        <v>170</v>
      </c>
      <c r="CG101" t="s">
        <v>169</v>
      </c>
      <c r="CH101" t="s">
        <v>195</v>
      </c>
      <c r="CI101" t="s">
        <v>169</v>
      </c>
      <c r="CJ101" t="s">
        <v>417</v>
      </c>
      <c r="DJ101" t="s">
        <v>184</v>
      </c>
      <c r="DK101" t="s">
        <v>185</v>
      </c>
      <c r="DN101" t="s">
        <v>170</v>
      </c>
      <c r="DO101" t="s">
        <v>345</v>
      </c>
      <c r="DP101" t="s">
        <v>169</v>
      </c>
      <c r="DQ101" t="s">
        <v>198</v>
      </c>
      <c r="DY101">
        <v>24.1</v>
      </c>
      <c r="EA101" s="89"/>
      <c r="EB101">
        <v>4</v>
      </c>
      <c r="EC101">
        <v>4</v>
      </c>
      <c r="EE101" t="s">
        <v>418</v>
      </c>
      <c r="EF101">
        <v>4</v>
      </c>
      <c r="EV101">
        <v>8250</v>
      </c>
      <c r="EW101">
        <v>547</v>
      </c>
      <c r="EX101">
        <v>381</v>
      </c>
      <c r="EY101">
        <v>472</v>
      </c>
    </row>
    <row r="102" spans="1:155" x14ac:dyDescent="0.35">
      <c r="A102">
        <v>2025</v>
      </c>
      <c r="B102" t="s">
        <v>189</v>
      </c>
      <c r="C102" t="s">
        <v>189</v>
      </c>
      <c r="D102" t="s">
        <v>423</v>
      </c>
      <c r="E102" t="s">
        <v>191</v>
      </c>
      <c r="F102">
        <v>480</v>
      </c>
      <c r="G102">
        <v>3</v>
      </c>
      <c r="H102">
        <v>6</v>
      </c>
      <c r="I102" t="s">
        <v>200</v>
      </c>
      <c r="J102">
        <v>16</v>
      </c>
      <c r="K102">
        <v>23</v>
      </c>
      <c r="L102">
        <v>19</v>
      </c>
      <c r="M102">
        <v>19.895499999999998</v>
      </c>
      <c r="N102">
        <v>32.497199999999999</v>
      </c>
      <c r="O102">
        <v>24.101199999999999</v>
      </c>
      <c r="P102">
        <v>16.025500000000001</v>
      </c>
      <c r="Q102">
        <v>23.2422</v>
      </c>
      <c r="R102">
        <v>18.628299999999999</v>
      </c>
      <c r="T102" t="s">
        <v>165</v>
      </c>
      <c r="U102" t="s">
        <v>166</v>
      </c>
      <c r="V102" t="s">
        <v>201</v>
      </c>
      <c r="W102" t="s">
        <v>202</v>
      </c>
      <c r="Y102">
        <v>6</v>
      </c>
      <c r="Z102" t="s">
        <v>170</v>
      </c>
      <c r="AA102" t="s">
        <v>170</v>
      </c>
      <c r="AB102" t="s">
        <v>171</v>
      </c>
      <c r="AC102" t="s">
        <v>172</v>
      </c>
      <c r="AD102">
        <v>10</v>
      </c>
      <c r="AG102" t="s">
        <v>214</v>
      </c>
      <c r="AH102" t="s">
        <v>215</v>
      </c>
      <c r="AI102" t="s">
        <v>175</v>
      </c>
      <c r="AJ102" t="s">
        <v>176</v>
      </c>
      <c r="AK102" t="s">
        <v>170</v>
      </c>
      <c r="AL102" t="s">
        <v>177</v>
      </c>
      <c r="AM102">
        <v>87</v>
      </c>
      <c r="AN102">
        <v>12</v>
      </c>
      <c r="AS102">
        <v>3350</v>
      </c>
      <c r="AT102">
        <v>3350</v>
      </c>
      <c r="BN102" t="s">
        <v>178</v>
      </c>
      <c r="BO102">
        <v>2</v>
      </c>
      <c r="BP102">
        <v>2</v>
      </c>
      <c r="BQ102">
        <v>3</v>
      </c>
      <c r="BR102" t="s">
        <v>387</v>
      </c>
      <c r="BS102" t="s">
        <v>180</v>
      </c>
      <c r="BT102" t="s">
        <v>181</v>
      </c>
      <c r="BU102" s="1">
        <v>45373</v>
      </c>
      <c r="BV102">
        <v>34967</v>
      </c>
      <c r="BW102" s="155"/>
      <c r="BX102" t="s">
        <v>170</v>
      </c>
      <c r="BY102" t="s">
        <v>170</v>
      </c>
      <c r="CB102" t="s">
        <v>170</v>
      </c>
      <c r="CC102" t="s">
        <v>170</v>
      </c>
      <c r="CE102" t="s">
        <v>170</v>
      </c>
      <c r="CG102" t="s">
        <v>169</v>
      </c>
      <c r="CH102" t="s">
        <v>195</v>
      </c>
      <c r="CI102" t="s">
        <v>169</v>
      </c>
      <c r="CJ102" t="s">
        <v>417</v>
      </c>
      <c r="DJ102" t="s">
        <v>184</v>
      </c>
      <c r="DK102" t="s">
        <v>185</v>
      </c>
      <c r="DN102" t="s">
        <v>170</v>
      </c>
      <c r="DO102" t="s">
        <v>345</v>
      </c>
      <c r="DP102" t="s">
        <v>169</v>
      </c>
      <c r="DQ102" t="s">
        <v>198</v>
      </c>
      <c r="DY102">
        <v>24.3</v>
      </c>
      <c r="EA102" s="101"/>
      <c r="EB102">
        <v>4</v>
      </c>
      <c r="EC102">
        <v>4</v>
      </c>
      <c r="EE102" t="s">
        <v>418</v>
      </c>
      <c r="EF102">
        <v>4</v>
      </c>
      <c r="EV102">
        <v>7250</v>
      </c>
      <c r="EW102">
        <v>548</v>
      </c>
      <c r="EX102">
        <v>379</v>
      </c>
      <c r="EY102">
        <v>472</v>
      </c>
    </row>
    <row r="103" spans="1:155" x14ac:dyDescent="0.35">
      <c r="A103">
        <v>2025</v>
      </c>
      <c r="B103" t="s">
        <v>189</v>
      </c>
      <c r="C103" t="s">
        <v>189</v>
      </c>
      <c r="D103" t="s">
        <v>424</v>
      </c>
      <c r="E103" t="s">
        <v>191</v>
      </c>
      <c r="F103">
        <v>496</v>
      </c>
      <c r="G103">
        <v>3</v>
      </c>
      <c r="H103">
        <v>6</v>
      </c>
      <c r="I103" t="s">
        <v>192</v>
      </c>
      <c r="J103">
        <v>16</v>
      </c>
      <c r="K103">
        <v>23</v>
      </c>
      <c r="L103">
        <v>18</v>
      </c>
      <c r="M103">
        <v>19.469000000000001</v>
      </c>
      <c r="N103">
        <v>31.920500000000001</v>
      </c>
      <c r="O103">
        <v>23.614100000000001</v>
      </c>
      <c r="P103">
        <v>15.704000000000001</v>
      </c>
      <c r="Q103">
        <v>22.8598</v>
      </c>
      <c r="R103">
        <v>18.2788</v>
      </c>
      <c r="T103" t="s">
        <v>165</v>
      </c>
      <c r="U103" t="s">
        <v>166</v>
      </c>
      <c r="V103" t="s">
        <v>193</v>
      </c>
      <c r="W103" t="s">
        <v>194</v>
      </c>
      <c r="Y103">
        <v>8</v>
      </c>
      <c r="Z103" t="s">
        <v>169</v>
      </c>
      <c r="AA103" t="s">
        <v>170</v>
      </c>
      <c r="AB103" t="s">
        <v>167</v>
      </c>
      <c r="AC103" t="s">
        <v>213</v>
      </c>
      <c r="AD103">
        <v>10</v>
      </c>
      <c r="AG103" t="s">
        <v>214</v>
      </c>
      <c r="AH103" t="s">
        <v>215</v>
      </c>
      <c r="AI103" t="s">
        <v>175</v>
      </c>
      <c r="AJ103" t="s">
        <v>176</v>
      </c>
      <c r="AK103" t="s">
        <v>170</v>
      </c>
      <c r="AL103" t="s">
        <v>177</v>
      </c>
      <c r="AM103">
        <v>87</v>
      </c>
      <c r="AN103">
        <v>12</v>
      </c>
      <c r="AS103">
        <v>3550</v>
      </c>
      <c r="AT103">
        <v>3550</v>
      </c>
      <c r="BN103" t="s">
        <v>178</v>
      </c>
      <c r="BO103">
        <v>2</v>
      </c>
      <c r="BP103">
        <v>2</v>
      </c>
      <c r="BQ103">
        <v>3</v>
      </c>
      <c r="BR103" t="s">
        <v>387</v>
      </c>
      <c r="BS103" t="s">
        <v>180</v>
      </c>
      <c r="BT103" t="s">
        <v>181</v>
      </c>
      <c r="BU103" s="1">
        <v>45471</v>
      </c>
      <c r="BV103">
        <v>34977</v>
      </c>
      <c r="BW103" s="155"/>
      <c r="BX103" t="s">
        <v>169</v>
      </c>
      <c r="BY103" t="s">
        <v>170</v>
      </c>
      <c r="CB103" t="s">
        <v>170</v>
      </c>
      <c r="CC103" t="s">
        <v>170</v>
      </c>
      <c r="CE103" t="s">
        <v>170</v>
      </c>
      <c r="CG103" t="s">
        <v>169</v>
      </c>
      <c r="CH103" t="s">
        <v>195</v>
      </c>
      <c r="CI103" t="s">
        <v>169</v>
      </c>
      <c r="CJ103" t="s">
        <v>417</v>
      </c>
      <c r="DJ103" t="s">
        <v>184</v>
      </c>
      <c r="DK103" t="s">
        <v>185</v>
      </c>
      <c r="DN103" t="s">
        <v>170</v>
      </c>
      <c r="DO103" t="s">
        <v>345</v>
      </c>
      <c r="DP103" t="s">
        <v>169</v>
      </c>
      <c r="DQ103" t="s">
        <v>198</v>
      </c>
      <c r="DY103">
        <v>23.8</v>
      </c>
      <c r="EA103" s="101"/>
      <c r="EB103">
        <v>4</v>
      </c>
      <c r="EC103">
        <v>4</v>
      </c>
      <c r="EE103" t="s">
        <v>418</v>
      </c>
      <c r="EF103">
        <v>4</v>
      </c>
      <c r="EV103">
        <v>8250</v>
      </c>
      <c r="EW103">
        <v>557</v>
      </c>
      <c r="EX103">
        <v>382</v>
      </c>
      <c r="EY103">
        <v>478</v>
      </c>
    </row>
    <row r="104" spans="1:155" x14ac:dyDescent="0.35">
      <c r="A104">
        <v>2025</v>
      </c>
      <c r="B104" t="s">
        <v>189</v>
      </c>
      <c r="C104" t="s">
        <v>189</v>
      </c>
      <c r="D104" t="s">
        <v>425</v>
      </c>
      <c r="E104" t="s">
        <v>191</v>
      </c>
      <c r="F104">
        <v>414</v>
      </c>
      <c r="G104">
        <v>3</v>
      </c>
      <c r="H104">
        <v>4</v>
      </c>
      <c r="I104" t="s">
        <v>192</v>
      </c>
      <c r="J104">
        <v>27</v>
      </c>
      <c r="K104">
        <v>33</v>
      </c>
      <c r="L104">
        <v>29</v>
      </c>
      <c r="M104">
        <v>34.7502</v>
      </c>
      <c r="N104">
        <v>47.440300000000001</v>
      </c>
      <c r="O104">
        <v>39.505699999999997</v>
      </c>
      <c r="P104">
        <v>26.6845</v>
      </c>
      <c r="Q104">
        <v>32.810600000000001</v>
      </c>
      <c r="R104">
        <v>29.132200000000001</v>
      </c>
      <c r="T104" t="s">
        <v>165</v>
      </c>
      <c r="U104" t="s">
        <v>166</v>
      </c>
      <c r="V104" t="s">
        <v>193</v>
      </c>
      <c r="W104" t="s">
        <v>194</v>
      </c>
      <c r="Y104">
        <v>8</v>
      </c>
      <c r="Z104" t="s">
        <v>169</v>
      </c>
      <c r="AA104" t="s">
        <v>170</v>
      </c>
      <c r="AB104" t="s">
        <v>171</v>
      </c>
      <c r="AC104" t="s">
        <v>172</v>
      </c>
      <c r="AD104">
        <v>10</v>
      </c>
      <c r="AG104" t="s">
        <v>173</v>
      </c>
      <c r="AH104" t="s">
        <v>174</v>
      </c>
      <c r="AI104" t="s">
        <v>175</v>
      </c>
      <c r="AJ104" t="s">
        <v>176</v>
      </c>
      <c r="AK104" t="s">
        <v>170</v>
      </c>
      <c r="AL104" t="s">
        <v>177</v>
      </c>
      <c r="AM104">
        <v>84</v>
      </c>
      <c r="AN104">
        <v>9</v>
      </c>
      <c r="AS104">
        <v>2200</v>
      </c>
      <c r="AT104">
        <v>2200</v>
      </c>
      <c r="BN104" t="s">
        <v>401</v>
      </c>
      <c r="BO104">
        <v>2</v>
      </c>
      <c r="BP104">
        <v>2</v>
      </c>
      <c r="BQ104">
        <v>3</v>
      </c>
      <c r="BR104" t="s">
        <v>387</v>
      </c>
      <c r="BS104" t="s">
        <v>180</v>
      </c>
      <c r="BT104" t="s">
        <v>181</v>
      </c>
      <c r="BU104" s="1">
        <v>45383</v>
      </c>
      <c r="BV104">
        <v>34565</v>
      </c>
      <c r="BW104" s="156"/>
      <c r="BX104" t="s">
        <v>170</v>
      </c>
      <c r="BY104" t="s">
        <v>170</v>
      </c>
      <c r="CB104" t="s">
        <v>170</v>
      </c>
      <c r="CC104" t="s">
        <v>170</v>
      </c>
      <c r="CE104" t="s">
        <v>170</v>
      </c>
      <c r="CG104" t="s">
        <v>169</v>
      </c>
      <c r="CH104" t="s">
        <v>356</v>
      </c>
      <c r="CI104" t="s">
        <v>169</v>
      </c>
      <c r="CJ104" t="s">
        <v>402</v>
      </c>
      <c r="CK104" t="s">
        <v>233</v>
      </c>
      <c r="CM104">
        <v>1</v>
      </c>
      <c r="CN104" t="s">
        <v>234</v>
      </c>
      <c r="CP104">
        <v>44</v>
      </c>
      <c r="CQ104">
        <v>10.4</v>
      </c>
      <c r="CR104">
        <v>38</v>
      </c>
      <c r="CS104" t="s">
        <v>235</v>
      </c>
      <c r="CV104" t="s">
        <v>341</v>
      </c>
      <c r="CX104" t="s">
        <v>342</v>
      </c>
      <c r="CY104" t="s">
        <v>170</v>
      </c>
      <c r="DC104" t="s">
        <v>426</v>
      </c>
      <c r="DD104">
        <v>1</v>
      </c>
      <c r="DE104" t="s">
        <v>404</v>
      </c>
      <c r="DF104" t="s">
        <v>427</v>
      </c>
      <c r="DG104">
        <v>9</v>
      </c>
      <c r="DJ104" t="s">
        <v>267</v>
      </c>
      <c r="DK104" t="s">
        <v>268</v>
      </c>
      <c r="DL104" t="s">
        <v>170</v>
      </c>
      <c r="DM104" t="s">
        <v>170</v>
      </c>
      <c r="DN104" t="s">
        <v>170</v>
      </c>
      <c r="DO104" t="s">
        <v>406</v>
      </c>
      <c r="DP104" t="s">
        <v>169</v>
      </c>
      <c r="DQ104" t="s">
        <v>198</v>
      </c>
      <c r="DY104">
        <v>39.799999999999997</v>
      </c>
      <c r="EA104" s="89"/>
      <c r="EB104">
        <v>6</v>
      </c>
      <c r="EC104">
        <v>6</v>
      </c>
      <c r="EE104" t="s">
        <v>428</v>
      </c>
      <c r="EF104">
        <v>6</v>
      </c>
      <c r="EV104">
        <v>1500</v>
      </c>
      <c r="EW104">
        <v>328</v>
      </c>
      <c r="EX104">
        <v>267</v>
      </c>
      <c r="EY104">
        <v>301</v>
      </c>
    </row>
    <row r="105" spans="1:155" x14ac:dyDescent="0.35">
      <c r="A105">
        <v>2025</v>
      </c>
      <c r="B105" t="s">
        <v>189</v>
      </c>
      <c r="C105" t="s">
        <v>189</v>
      </c>
      <c r="D105" t="s">
        <v>429</v>
      </c>
      <c r="E105" t="s">
        <v>191</v>
      </c>
      <c r="F105">
        <v>410</v>
      </c>
      <c r="G105">
        <v>3</v>
      </c>
      <c r="H105">
        <v>4</v>
      </c>
      <c r="I105" t="s">
        <v>192</v>
      </c>
      <c r="J105">
        <v>27</v>
      </c>
      <c r="K105">
        <v>34</v>
      </c>
      <c r="L105">
        <v>30</v>
      </c>
      <c r="M105">
        <v>35.333100000000002</v>
      </c>
      <c r="N105">
        <v>49.3568</v>
      </c>
      <c r="O105">
        <v>40.512999999999998</v>
      </c>
      <c r="P105">
        <v>27.0825</v>
      </c>
      <c r="Q105">
        <v>33.9923</v>
      </c>
      <c r="R105">
        <v>29.8093</v>
      </c>
      <c r="T105" t="s">
        <v>165</v>
      </c>
      <c r="U105" t="s">
        <v>166</v>
      </c>
      <c r="V105" t="s">
        <v>193</v>
      </c>
      <c r="W105" t="s">
        <v>194</v>
      </c>
      <c r="Y105">
        <v>8</v>
      </c>
      <c r="Z105" t="s">
        <v>169</v>
      </c>
      <c r="AA105" t="s">
        <v>170</v>
      </c>
      <c r="AB105" t="s">
        <v>171</v>
      </c>
      <c r="AC105" t="s">
        <v>172</v>
      </c>
      <c r="AD105">
        <v>10</v>
      </c>
      <c r="AG105" t="s">
        <v>173</v>
      </c>
      <c r="AH105" t="s">
        <v>174</v>
      </c>
      <c r="AI105" t="s">
        <v>175</v>
      </c>
      <c r="AJ105" t="s">
        <v>176</v>
      </c>
      <c r="AK105" t="s">
        <v>170</v>
      </c>
      <c r="AL105" t="s">
        <v>177</v>
      </c>
      <c r="AM105">
        <v>86</v>
      </c>
      <c r="AN105">
        <v>12</v>
      </c>
      <c r="AS105">
        <v>2100</v>
      </c>
      <c r="AT105">
        <v>2100</v>
      </c>
      <c r="BN105" t="s">
        <v>401</v>
      </c>
      <c r="BO105">
        <v>2</v>
      </c>
      <c r="BP105">
        <v>2</v>
      </c>
      <c r="BQ105">
        <v>3</v>
      </c>
      <c r="BR105" t="s">
        <v>387</v>
      </c>
      <c r="BS105" t="s">
        <v>180</v>
      </c>
      <c r="BT105" t="s">
        <v>181</v>
      </c>
      <c r="BU105" s="1">
        <v>45394</v>
      </c>
      <c r="BV105">
        <v>34653</v>
      </c>
      <c r="BW105" s="155"/>
      <c r="BX105" t="s">
        <v>170</v>
      </c>
      <c r="BY105" t="s">
        <v>170</v>
      </c>
      <c r="CB105" t="s">
        <v>170</v>
      </c>
      <c r="CC105" t="s">
        <v>170</v>
      </c>
      <c r="CE105" t="s">
        <v>170</v>
      </c>
      <c r="CG105" t="s">
        <v>169</v>
      </c>
      <c r="CH105" t="s">
        <v>356</v>
      </c>
      <c r="CI105" t="s">
        <v>169</v>
      </c>
      <c r="CJ105" t="s">
        <v>402</v>
      </c>
      <c r="CK105" t="s">
        <v>233</v>
      </c>
      <c r="CM105">
        <v>1</v>
      </c>
      <c r="CN105" t="s">
        <v>234</v>
      </c>
      <c r="CP105">
        <v>44</v>
      </c>
      <c r="CQ105">
        <v>10.4</v>
      </c>
      <c r="CR105">
        <v>38</v>
      </c>
      <c r="CS105" t="s">
        <v>235</v>
      </c>
      <c r="CV105" t="s">
        <v>341</v>
      </c>
      <c r="CX105" t="s">
        <v>342</v>
      </c>
      <c r="CY105" t="s">
        <v>170</v>
      </c>
      <c r="DC105" t="s">
        <v>426</v>
      </c>
      <c r="DD105">
        <v>1</v>
      </c>
      <c r="DE105" t="s">
        <v>404</v>
      </c>
      <c r="DF105" t="s">
        <v>427</v>
      </c>
      <c r="DG105">
        <v>9</v>
      </c>
      <c r="DJ105" t="s">
        <v>267</v>
      </c>
      <c r="DK105" t="s">
        <v>268</v>
      </c>
      <c r="DL105" t="s">
        <v>170</v>
      </c>
      <c r="DM105" t="s">
        <v>170</v>
      </c>
      <c r="DN105" t="s">
        <v>170</v>
      </c>
      <c r="DO105" t="s">
        <v>406</v>
      </c>
      <c r="DP105" t="s">
        <v>169</v>
      </c>
      <c r="DQ105" t="s">
        <v>198</v>
      </c>
      <c r="DY105">
        <v>40.799999999999997</v>
      </c>
      <c r="EA105" s="101"/>
      <c r="EB105">
        <v>6</v>
      </c>
      <c r="EC105">
        <v>6</v>
      </c>
      <c r="EE105" t="s">
        <v>428</v>
      </c>
      <c r="EF105">
        <v>6</v>
      </c>
      <c r="EV105">
        <v>1000</v>
      </c>
      <c r="EW105">
        <v>323</v>
      </c>
      <c r="EX105">
        <v>262</v>
      </c>
      <c r="EY105">
        <v>296</v>
      </c>
    </row>
    <row r="106" spans="1:155" x14ac:dyDescent="0.35">
      <c r="A106">
        <v>2025</v>
      </c>
      <c r="B106" t="s">
        <v>189</v>
      </c>
      <c r="C106" t="s">
        <v>189</v>
      </c>
      <c r="D106" t="s">
        <v>556</v>
      </c>
      <c r="E106" t="s">
        <v>191</v>
      </c>
      <c r="F106">
        <v>416</v>
      </c>
      <c r="G106">
        <v>3</v>
      </c>
      <c r="H106">
        <v>4</v>
      </c>
      <c r="I106" t="s">
        <v>192</v>
      </c>
      <c r="J106">
        <v>26</v>
      </c>
      <c r="K106">
        <v>32</v>
      </c>
      <c r="L106">
        <v>28</v>
      </c>
      <c r="M106">
        <v>33.1</v>
      </c>
      <c r="N106">
        <v>45.7</v>
      </c>
      <c r="O106">
        <v>37.788400000000003</v>
      </c>
      <c r="P106">
        <v>25.549700000000001</v>
      </c>
      <c r="Q106">
        <v>31.728899999999999</v>
      </c>
      <c r="R106">
        <v>28.003900000000002</v>
      </c>
      <c r="T106" t="s">
        <v>165</v>
      </c>
      <c r="U106" t="s">
        <v>166</v>
      </c>
      <c r="V106" t="s">
        <v>193</v>
      </c>
      <c r="W106" t="s">
        <v>194</v>
      </c>
      <c r="Y106">
        <v>8</v>
      </c>
      <c r="Z106" t="s">
        <v>169</v>
      </c>
      <c r="AA106" t="s">
        <v>170</v>
      </c>
      <c r="AB106" t="s">
        <v>171</v>
      </c>
      <c r="AC106" t="s">
        <v>172</v>
      </c>
      <c r="AD106">
        <v>10</v>
      </c>
      <c r="AG106" t="s">
        <v>173</v>
      </c>
      <c r="AH106" t="s">
        <v>174</v>
      </c>
      <c r="AI106" t="s">
        <v>175</v>
      </c>
      <c r="AJ106" t="s">
        <v>176</v>
      </c>
      <c r="AK106" t="s">
        <v>170</v>
      </c>
      <c r="AL106" t="s">
        <v>177</v>
      </c>
      <c r="AO106">
        <v>91</v>
      </c>
      <c r="AP106">
        <v>12</v>
      </c>
      <c r="AS106">
        <v>2300</v>
      </c>
      <c r="AT106">
        <v>2300</v>
      </c>
      <c r="BN106" t="s">
        <v>401</v>
      </c>
      <c r="BO106">
        <v>2</v>
      </c>
      <c r="BP106">
        <v>2</v>
      </c>
      <c r="BQ106">
        <v>4</v>
      </c>
      <c r="BR106" t="s">
        <v>521</v>
      </c>
      <c r="BS106" t="s">
        <v>180</v>
      </c>
      <c r="BT106" t="s">
        <v>181</v>
      </c>
      <c r="BU106" s="1">
        <v>45499</v>
      </c>
      <c r="BV106">
        <v>35183</v>
      </c>
      <c r="BW106" s="155"/>
      <c r="BX106" t="s">
        <v>169</v>
      </c>
      <c r="BY106" t="s">
        <v>170</v>
      </c>
      <c r="CB106" t="s">
        <v>170</v>
      </c>
      <c r="CC106" t="s">
        <v>170</v>
      </c>
      <c r="CE106" t="s">
        <v>170</v>
      </c>
      <c r="CG106" t="s">
        <v>169</v>
      </c>
      <c r="CH106" t="s">
        <v>356</v>
      </c>
      <c r="CI106" t="s">
        <v>169</v>
      </c>
      <c r="CJ106" t="s">
        <v>402</v>
      </c>
      <c r="CK106" t="s">
        <v>233</v>
      </c>
      <c r="CM106">
        <v>1</v>
      </c>
      <c r="CN106" t="s">
        <v>234</v>
      </c>
      <c r="CP106">
        <v>44</v>
      </c>
      <c r="CQ106">
        <v>10.4</v>
      </c>
      <c r="CR106">
        <v>38</v>
      </c>
      <c r="CS106" t="s">
        <v>235</v>
      </c>
      <c r="CV106" t="s">
        <v>341</v>
      </c>
      <c r="CX106" t="s">
        <v>342</v>
      </c>
      <c r="CY106" t="s">
        <v>170</v>
      </c>
      <c r="DC106" t="s">
        <v>426</v>
      </c>
      <c r="DD106">
        <v>1</v>
      </c>
      <c r="DE106" t="s">
        <v>404</v>
      </c>
      <c r="DF106" t="s">
        <v>427</v>
      </c>
      <c r="DG106">
        <v>9</v>
      </c>
      <c r="DJ106" t="s">
        <v>267</v>
      </c>
      <c r="DK106" t="s">
        <v>268</v>
      </c>
      <c r="DL106" t="s">
        <v>170</v>
      </c>
      <c r="DM106" t="s">
        <v>170</v>
      </c>
      <c r="DN106" t="s">
        <v>170</v>
      </c>
      <c r="DO106" t="s">
        <v>406</v>
      </c>
      <c r="DP106" t="s">
        <v>169</v>
      </c>
      <c r="DQ106" t="s">
        <v>198</v>
      </c>
      <c r="DY106">
        <v>38</v>
      </c>
      <c r="EA106" s="101"/>
      <c r="EB106">
        <v>6</v>
      </c>
      <c r="EC106">
        <v>6</v>
      </c>
      <c r="EE106" t="s">
        <v>428</v>
      </c>
      <c r="EF106">
        <v>6</v>
      </c>
      <c r="EV106">
        <v>2000</v>
      </c>
      <c r="EW106">
        <v>342</v>
      </c>
      <c r="EX106">
        <v>275</v>
      </c>
      <c r="EY106">
        <v>312</v>
      </c>
    </row>
    <row r="107" spans="1:155" x14ac:dyDescent="0.35">
      <c r="A107">
        <v>2025</v>
      </c>
      <c r="B107" t="s">
        <v>189</v>
      </c>
      <c r="C107" t="s">
        <v>189</v>
      </c>
      <c r="D107" t="s">
        <v>430</v>
      </c>
      <c r="E107" t="s">
        <v>191</v>
      </c>
      <c r="F107">
        <v>415</v>
      </c>
      <c r="G107">
        <v>3</v>
      </c>
      <c r="H107">
        <v>4</v>
      </c>
      <c r="I107" t="s">
        <v>192</v>
      </c>
      <c r="J107">
        <v>25</v>
      </c>
      <c r="K107">
        <v>32</v>
      </c>
      <c r="L107">
        <v>28</v>
      </c>
      <c r="M107">
        <v>32.966500000000003</v>
      </c>
      <c r="N107">
        <v>46.348300000000002</v>
      </c>
      <c r="O107">
        <v>37.889299999999999</v>
      </c>
      <c r="P107">
        <v>25.4574</v>
      </c>
      <c r="Q107">
        <v>32.132800000000003</v>
      </c>
      <c r="R107">
        <v>28.082699999999999</v>
      </c>
      <c r="T107" t="s">
        <v>165</v>
      </c>
      <c r="U107" t="s">
        <v>166</v>
      </c>
      <c r="V107" t="s">
        <v>193</v>
      </c>
      <c r="W107" t="s">
        <v>194</v>
      </c>
      <c r="Y107">
        <v>8</v>
      </c>
      <c r="Z107" t="s">
        <v>169</v>
      </c>
      <c r="AA107" t="s">
        <v>170</v>
      </c>
      <c r="AB107" t="s">
        <v>167</v>
      </c>
      <c r="AC107" t="s">
        <v>213</v>
      </c>
      <c r="AD107">
        <v>10</v>
      </c>
      <c r="AG107" t="s">
        <v>173</v>
      </c>
      <c r="AH107" t="s">
        <v>174</v>
      </c>
      <c r="AI107" t="s">
        <v>175</v>
      </c>
      <c r="AJ107" t="s">
        <v>176</v>
      </c>
      <c r="AK107" t="s">
        <v>170</v>
      </c>
      <c r="AL107" t="s">
        <v>177</v>
      </c>
      <c r="AM107">
        <v>84</v>
      </c>
      <c r="AN107">
        <v>9</v>
      </c>
      <c r="AS107">
        <v>2300</v>
      </c>
      <c r="AT107">
        <v>2300</v>
      </c>
      <c r="BN107" t="s">
        <v>401</v>
      </c>
      <c r="BO107">
        <v>2</v>
      </c>
      <c r="BP107">
        <v>2</v>
      </c>
      <c r="BQ107">
        <v>3</v>
      </c>
      <c r="BR107" t="s">
        <v>387</v>
      </c>
      <c r="BS107" t="s">
        <v>180</v>
      </c>
      <c r="BT107" t="s">
        <v>181</v>
      </c>
      <c r="BU107" s="1">
        <v>45383</v>
      </c>
      <c r="BV107">
        <v>34567</v>
      </c>
      <c r="BW107" s="156"/>
      <c r="BX107" t="s">
        <v>170</v>
      </c>
      <c r="BY107" t="s">
        <v>170</v>
      </c>
      <c r="CB107" t="s">
        <v>170</v>
      </c>
      <c r="CC107" t="s">
        <v>170</v>
      </c>
      <c r="CE107" t="s">
        <v>170</v>
      </c>
      <c r="CG107" t="s">
        <v>169</v>
      </c>
      <c r="CH107" t="s">
        <v>356</v>
      </c>
      <c r="CI107" t="s">
        <v>169</v>
      </c>
      <c r="CJ107" t="s">
        <v>402</v>
      </c>
      <c r="CK107" t="s">
        <v>233</v>
      </c>
      <c r="CM107">
        <v>1</v>
      </c>
      <c r="CN107" t="s">
        <v>234</v>
      </c>
      <c r="CP107">
        <v>44</v>
      </c>
      <c r="CQ107">
        <v>10.4</v>
      </c>
      <c r="CR107">
        <v>38</v>
      </c>
      <c r="CS107" t="s">
        <v>235</v>
      </c>
      <c r="CV107" t="s">
        <v>341</v>
      </c>
      <c r="CX107" t="s">
        <v>342</v>
      </c>
      <c r="CY107" t="s">
        <v>170</v>
      </c>
      <c r="DC107" t="s">
        <v>426</v>
      </c>
      <c r="DD107">
        <v>1</v>
      </c>
      <c r="DE107" t="s">
        <v>404</v>
      </c>
      <c r="DF107" t="s">
        <v>427</v>
      </c>
      <c r="DG107">
        <v>9</v>
      </c>
      <c r="DJ107" t="s">
        <v>267</v>
      </c>
      <c r="DK107" t="s">
        <v>268</v>
      </c>
      <c r="DL107" t="s">
        <v>170</v>
      </c>
      <c r="DM107" t="s">
        <v>170</v>
      </c>
      <c r="DN107" t="s">
        <v>170</v>
      </c>
      <c r="DO107" t="s">
        <v>406</v>
      </c>
      <c r="DP107" t="s">
        <v>169</v>
      </c>
      <c r="DQ107" t="s">
        <v>198</v>
      </c>
      <c r="DY107">
        <v>38.1</v>
      </c>
      <c r="EA107" s="89"/>
      <c r="EB107">
        <v>6</v>
      </c>
      <c r="EC107">
        <v>6</v>
      </c>
      <c r="EE107" t="s">
        <v>428</v>
      </c>
      <c r="EF107">
        <v>6</v>
      </c>
      <c r="EV107">
        <v>2000</v>
      </c>
      <c r="EW107">
        <v>344</v>
      </c>
      <c r="EX107">
        <v>273</v>
      </c>
      <c r="EY107">
        <v>312</v>
      </c>
    </row>
    <row r="108" spans="1:155" x14ac:dyDescent="0.35">
      <c r="A108">
        <v>2025</v>
      </c>
      <c r="B108" t="s">
        <v>189</v>
      </c>
      <c r="C108" t="s">
        <v>189</v>
      </c>
      <c r="D108" t="s">
        <v>431</v>
      </c>
      <c r="E108" t="s">
        <v>191</v>
      </c>
      <c r="F108">
        <v>412</v>
      </c>
      <c r="G108">
        <v>3</v>
      </c>
      <c r="H108">
        <v>4</v>
      </c>
      <c r="I108" t="s">
        <v>192</v>
      </c>
      <c r="J108">
        <v>26</v>
      </c>
      <c r="K108">
        <v>33</v>
      </c>
      <c r="L108">
        <v>29</v>
      </c>
      <c r="M108">
        <v>34.321800000000003</v>
      </c>
      <c r="N108">
        <v>48.261099999999999</v>
      </c>
      <c r="O108">
        <v>39.449100000000001</v>
      </c>
      <c r="P108">
        <v>26.390999999999998</v>
      </c>
      <c r="Q108">
        <v>33.317999999999998</v>
      </c>
      <c r="R108">
        <v>29.114899999999999</v>
      </c>
      <c r="T108" t="s">
        <v>165</v>
      </c>
      <c r="U108" t="s">
        <v>166</v>
      </c>
      <c r="V108" t="s">
        <v>193</v>
      </c>
      <c r="W108" t="s">
        <v>194</v>
      </c>
      <c r="Y108">
        <v>8</v>
      </c>
      <c r="Z108" t="s">
        <v>169</v>
      </c>
      <c r="AA108" t="s">
        <v>170</v>
      </c>
      <c r="AB108" t="s">
        <v>167</v>
      </c>
      <c r="AC108" t="s">
        <v>213</v>
      </c>
      <c r="AD108">
        <v>10</v>
      </c>
      <c r="AG108" t="s">
        <v>173</v>
      </c>
      <c r="AH108" t="s">
        <v>174</v>
      </c>
      <c r="AI108" t="s">
        <v>175</v>
      </c>
      <c r="AJ108" t="s">
        <v>176</v>
      </c>
      <c r="AK108" t="s">
        <v>170</v>
      </c>
      <c r="AL108" t="s">
        <v>177</v>
      </c>
      <c r="AM108">
        <v>86</v>
      </c>
      <c r="AN108">
        <v>12</v>
      </c>
      <c r="AS108">
        <v>2200</v>
      </c>
      <c r="AT108">
        <v>2200</v>
      </c>
      <c r="BN108" t="s">
        <v>401</v>
      </c>
      <c r="BO108">
        <v>2</v>
      </c>
      <c r="BP108">
        <v>2</v>
      </c>
      <c r="BQ108">
        <v>3</v>
      </c>
      <c r="BR108" t="s">
        <v>387</v>
      </c>
      <c r="BS108" t="s">
        <v>180</v>
      </c>
      <c r="BT108" t="s">
        <v>181</v>
      </c>
      <c r="BU108" s="1">
        <v>45383</v>
      </c>
      <c r="BV108">
        <v>34566</v>
      </c>
      <c r="BW108" s="155"/>
      <c r="BX108" t="s">
        <v>170</v>
      </c>
      <c r="BY108" t="s">
        <v>170</v>
      </c>
      <c r="CB108" t="s">
        <v>170</v>
      </c>
      <c r="CC108" t="s">
        <v>170</v>
      </c>
      <c r="CE108" t="s">
        <v>170</v>
      </c>
      <c r="CG108" t="s">
        <v>169</v>
      </c>
      <c r="CH108" t="s">
        <v>356</v>
      </c>
      <c r="CI108" t="s">
        <v>169</v>
      </c>
      <c r="CJ108" t="s">
        <v>402</v>
      </c>
      <c r="CK108" t="s">
        <v>233</v>
      </c>
      <c r="CM108">
        <v>1</v>
      </c>
      <c r="CN108" t="s">
        <v>234</v>
      </c>
      <c r="CP108">
        <v>44</v>
      </c>
      <c r="CQ108">
        <v>10.4</v>
      </c>
      <c r="CR108">
        <v>38</v>
      </c>
      <c r="CS108" t="s">
        <v>235</v>
      </c>
      <c r="CV108" t="s">
        <v>341</v>
      </c>
      <c r="CX108" t="s">
        <v>342</v>
      </c>
      <c r="CY108" t="s">
        <v>170</v>
      </c>
      <c r="DC108" t="s">
        <v>426</v>
      </c>
      <c r="DD108">
        <v>1</v>
      </c>
      <c r="DE108" t="s">
        <v>404</v>
      </c>
      <c r="DF108" t="s">
        <v>427</v>
      </c>
      <c r="DG108">
        <v>9</v>
      </c>
      <c r="DJ108" t="s">
        <v>267</v>
      </c>
      <c r="DK108" t="s">
        <v>268</v>
      </c>
      <c r="DL108" t="s">
        <v>170</v>
      </c>
      <c r="DM108" t="s">
        <v>170</v>
      </c>
      <c r="DN108" t="s">
        <v>170</v>
      </c>
      <c r="DO108" t="s">
        <v>406</v>
      </c>
      <c r="DP108" t="s">
        <v>169</v>
      </c>
      <c r="DQ108" t="s">
        <v>198</v>
      </c>
      <c r="DY108">
        <v>39.700000000000003</v>
      </c>
      <c r="EA108" s="101"/>
      <c r="EB108">
        <v>6</v>
      </c>
      <c r="EC108">
        <v>6</v>
      </c>
      <c r="EE108" t="s">
        <v>428</v>
      </c>
      <c r="EF108">
        <v>6</v>
      </c>
      <c r="EV108">
        <v>1500</v>
      </c>
      <c r="EW108">
        <v>332</v>
      </c>
      <c r="EX108">
        <v>263</v>
      </c>
      <c r="EY108">
        <v>301</v>
      </c>
    </row>
    <row r="109" spans="1:155" x14ac:dyDescent="0.35">
      <c r="A109">
        <v>2025</v>
      </c>
      <c r="B109" t="s">
        <v>189</v>
      </c>
      <c r="C109" t="s">
        <v>189</v>
      </c>
      <c r="D109" t="s">
        <v>557</v>
      </c>
      <c r="E109" t="s">
        <v>191</v>
      </c>
      <c r="F109">
        <v>417</v>
      </c>
      <c r="G109">
        <v>3</v>
      </c>
      <c r="H109">
        <v>4</v>
      </c>
      <c r="I109" t="s">
        <v>192</v>
      </c>
      <c r="J109">
        <v>25</v>
      </c>
      <c r="K109">
        <v>31</v>
      </c>
      <c r="L109">
        <v>27</v>
      </c>
      <c r="M109">
        <v>32.200000000000003</v>
      </c>
      <c r="N109">
        <v>44.143099999999997</v>
      </c>
      <c r="O109">
        <v>36.663800000000002</v>
      </c>
      <c r="P109">
        <v>24.925899999999999</v>
      </c>
      <c r="Q109">
        <v>30.754000000000001</v>
      </c>
      <c r="R109">
        <v>27.249700000000001</v>
      </c>
      <c r="T109" t="s">
        <v>165</v>
      </c>
      <c r="U109" t="s">
        <v>166</v>
      </c>
      <c r="V109" t="s">
        <v>193</v>
      </c>
      <c r="W109" t="s">
        <v>194</v>
      </c>
      <c r="Y109">
        <v>8</v>
      </c>
      <c r="Z109" t="s">
        <v>169</v>
      </c>
      <c r="AA109" t="s">
        <v>170</v>
      </c>
      <c r="AB109" t="s">
        <v>167</v>
      </c>
      <c r="AC109" t="s">
        <v>213</v>
      </c>
      <c r="AD109">
        <v>10</v>
      </c>
      <c r="AG109" t="s">
        <v>173</v>
      </c>
      <c r="AH109" t="s">
        <v>174</v>
      </c>
      <c r="AI109" t="s">
        <v>175</v>
      </c>
      <c r="AJ109" t="s">
        <v>176</v>
      </c>
      <c r="AK109" t="s">
        <v>170</v>
      </c>
      <c r="AL109" t="s">
        <v>177</v>
      </c>
      <c r="AO109">
        <v>91</v>
      </c>
      <c r="AP109">
        <v>12</v>
      </c>
      <c r="AS109">
        <v>2350</v>
      </c>
      <c r="AT109">
        <v>2350</v>
      </c>
      <c r="BN109" t="s">
        <v>401</v>
      </c>
      <c r="BO109">
        <v>2</v>
      </c>
      <c r="BP109">
        <v>2</v>
      </c>
      <c r="BQ109">
        <v>4</v>
      </c>
      <c r="BR109" t="s">
        <v>521</v>
      </c>
      <c r="BS109" t="s">
        <v>180</v>
      </c>
      <c r="BT109" t="s">
        <v>181</v>
      </c>
      <c r="BU109" s="1">
        <v>45499</v>
      </c>
      <c r="BV109">
        <v>35182</v>
      </c>
      <c r="BW109" s="155"/>
      <c r="BX109" t="s">
        <v>169</v>
      </c>
      <c r="BY109" t="s">
        <v>170</v>
      </c>
      <c r="CB109" t="s">
        <v>170</v>
      </c>
      <c r="CC109" t="s">
        <v>170</v>
      </c>
      <c r="CE109" t="s">
        <v>170</v>
      </c>
      <c r="CG109" t="s">
        <v>169</v>
      </c>
      <c r="CH109" t="s">
        <v>356</v>
      </c>
      <c r="CI109" t="s">
        <v>169</v>
      </c>
      <c r="CJ109" t="s">
        <v>402</v>
      </c>
      <c r="CK109" t="s">
        <v>233</v>
      </c>
      <c r="CM109">
        <v>1</v>
      </c>
      <c r="CN109" t="s">
        <v>234</v>
      </c>
      <c r="CP109">
        <v>44</v>
      </c>
      <c r="CQ109">
        <v>10.4</v>
      </c>
      <c r="CR109">
        <v>38</v>
      </c>
      <c r="CS109" t="s">
        <v>235</v>
      </c>
      <c r="CV109" t="s">
        <v>341</v>
      </c>
      <c r="CX109" t="s">
        <v>342</v>
      </c>
      <c r="CY109" t="s">
        <v>170</v>
      </c>
      <c r="DC109" t="s">
        <v>426</v>
      </c>
      <c r="DD109">
        <v>1</v>
      </c>
      <c r="DE109" t="s">
        <v>404</v>
      </c>
      <c r="DF109" t="s">
        <v>427</v>
      </c>
      <c r="DG109">
        <v>9</v>
      </c>
      <c r="DJ109" t="s">
        <v>267</v>
      </c>
      <c r="DK109" t="s">
        <v>268</v>
      </c>
      <c r="DL109" t="s">
        <v>170</v>
      </c>
      <c r="DM109" t="s">
        <v>170</v>
      </c>
      <c r="DN109" t="s">
        <v>170</v>
      </c>
      <c r="DO109" t="s">
        <v>406</v>
      </c>
      <c r="DP109" t="s">
        <v>169</v>
      </c>
      <c r="DQ109" t="s">
        <v>198</v>
      </c>
      <c r="DY109">
        <v>36.9</v>
      </c>
      <c r="EA109" s="101"/>
      <c r="EB109">
        <v>5</v>
      </c>
      <c r="EC109">
        <v>5</v>
      </c>
      <c r="EE109" t="s">
        <v>428</v>
      </c>
      <c r="EF109">
        <v>6</v>
      </c>
      <c r="EV109">
        <v>2250</v>
      </c>
      <c r="EW109">
        <v>350</v>
      </c>
      <c r="EX109">
        <v>284</v>
      </c>
      <c r="EY109">
        <v>320</v>
      </c>
    </row>
    <row r="110" spans="1:155" x14ac:dyDescent="0.35">
      <c r="A110">
        <v>2025</v>
      </c>
      <c r="B110" t="s">
        <v>189</v>
      </c>
      <c r="C110" t="s">
        <v>189</v>
      </c>
      <c r="D110" t="s">
        <v>432</v>
      </c>
      <c r="E110" t="s">
        <v>191</v>
      </c>
      <c r="F110">
        <v>493</v>
      </c>
      <c r="G110">
        <v>3</v>
      </c>
      <c r="H110">
        <v>6</v>
      </c>
      <c r="I110" t="s">
        <v>192</v>
      </c>
      <c r="J110">
        <v>16</v>
      </c>
      <c r="K110">
        <v>22</v>
      </c>
      <c r="L110">
        <v>18</v>
      </c>
      <c r="M110">
        <v>19.6355</v>
      </c>
      <c r="N110">
        <v>31.376999999999999</v>
      </c>
      <c r="O110">
        <v>23.611499999999999</v>
      </c>
      <c r="P110">
        <v>15.829599999999999</v>
      </c>
      <c r="Q110">
        <v>22.4985</v>
      </c>
      <c r="R110">
        <v>18.266100000000002</v>
      </c>
      <c r="T110" t="s">
        <v>165</v>
      </c>
      <c r="U110" t="s">
        <v>166</v>
      </c>
      <c r="V110" t="s">
        <v>193</v>
      </c>
      <c r="W110" t="s">
        <v>194</v>
      </c>
      <c r="Y110">
        <v>8</v>
      </c>
      <c r="Z110" t="s">
        <v>169</v>
      </c>
      <c r="AA110" t="s">
        <v>170</v>
      </c>
      <c r="AB110" t="s">
        <v>167</v>
      </c>
      <c r="AC110" t="s">
        <v>213</v>
      </c>
      <c r="AD110">
        <v>10</v>
      </c>
      <c r="AG110" t="s">
        <v>214</v>
      </c>
      <c r="AH110" t="s">
        <v>215</v>
      </c>
      <c r="AI110" t="s">
        <v>175</v>
      </c>
      <c r="AJ110" t="s">
        <v>176</v>
      </c>
      <c r="AK110" t="s">
        <v>170</v>
      </c>
      <c r="AL110" t="s">
        <v>177</v>
      </c>
      <c r="AM110">
        <v>84</v>
      </c>
      <c r="AN110">
        <v>9</v>
      </c>
      <c r="AS110">
        <v>3550</v>
      </c>
      <c r="AT110">
        <v>3550</v>
      </c>
      <c r="BN110" t="s">
        <v>178</v>
      </c>
      <c r="BO110">
        <v>2</v>
      </c>
      <c r="BP110">
        <v>2</v>
      </c>
      <c r="BQ110">
        <v>3</v>
      </c>
      <c r="BR110" t="s">
        <v>387</v>
      </c>
      <c r="BS110" t="s">
        <v>180</v>
      </c>
      <c r="BT110" t="s">
        <v>181</v>
      </c>
      <c r="BU110" s="1">
        <v>45373</v>
      </c>
      <c r="BV110">
        <v>34508</v>
      </c>
      <c r="BW110" s="156"/>
      <c r="BX110" t="s">
        <v>170</v>
      </c>
      <c r="BY110" t="s">
        <v>170</v>
      </c>
      <c r="CB110" t="s">
        <v>170</v>
      </c>
      <c r="CC110" t="s">
        <v>170</v>
      </c>
      <c r="CE110" t="s">
        <v>170</v>
      </c>
      <c r="CG110" t="s">
        <v>169</v>
      </c>
      <c r="CH110" t="s">
        <v>195</v>
      </c>
      <c r="CI110" t="s">
        <v>169</v>
      </c>
      <c r="CJ110" t="s">
        <v>417</v>
      </c>
      <c r="DJ110" t="s">
        <v>184</v>
      </c>
      <c r="DK110" t="s">
        <v>185</v>
      </c>
      <c r="DN110" t="s">
        <v>170</v>
      </c>
      <c r="DO110" t="s">
        <v>345</v>
      </c>
      <c r="DP110" t="s">
        <v>169</v>
      </c>
      <c r="DQ110" t="s">
        <v>198</v>
      </c>
      <c r="DY110">
        <v>23.8</v>
      </c>
      <c r="EA110" s="89"/>
      <c r="EB110">
        <v>4</v>
      </c>
      <c r="EC110">
        <v>4</v>
      </c>
      <c r="EE110" t="s">
        <v>418</v>
      </c>
      <c r="EF110">
        <v>4</v>
      </c>
      <c r="EV110">
        <v>8250</v>
      </c>
      <c r="EW110">
        <v>553</v>
      </c>
      <c r="EX110">
        <v>388</v>
      </c>
      <c r="EY110">
        <v>479</v>
      </c>
    </row>
    <row r="111" spans="1:155" x14ac:dyDescent="0.35">
      <c r="A111">
        <v>2025</v>
      </c>
      <c r="B111" t="s">
        <v>189</v>
      </c>
      <c r="C111" t="s">
        <v>189</v>
      </c>
      <c r="D111" t="s">
        <v>433</v>
      </c>
      <c r="E111" t="s">
        <v>191</v>
      </c>
      <c r="F111">
        <v>862</v>
      </c>
      <c r="G111">
        <v>4.4000000000000004</v>
      </c>
      <c r="H111">
        <v>8</v>
      </c>
      <c r="I111" t="s">
        <v>192</v>
      </c>
      <c r="J111">
        <v>15</v>
      </c>
      <c r="K111">
        <v>22</v>
      </c>
      <c r="L111">
        <v>17</v>
      </c>
      <c r="M111">
        <v>18.075099999999999</v>
      </c>
      <c r="N111">
        <v>29.913599999999999</v>
      </c>
      <c r="O111">
        <v>21.991599999999998</v>
      </c>
      <c r="P111">
        <v>14.647</v>
      </c>
      <c r="Q111">
        <v>21.5213</v>
      </c>
      <c r="R111">
        <v>17.105799999999999</v>
      </c>
      <c r="S111" t="s">
        <v>210</v>
      </c>
      <c r="T111" t="s">
        <v>165</v>
      </c>
      <c r="U111" t="s">
        <v>166</v>
      </c>
      <c r="V111" t="s">
        <v>193</v>
      </c>
      <c r="W111" t="s">
        <v>194</v>
      </c>
      <c r="Y111">
        <v>8</v>
      </c>
      <c r="Z111" t="s">
        <v>169</v>
      </c>
      <c r="AA111" t="s">
        <v>170</v>
      </c>
      <c r="AB111" t="s">
        <v>167</v>
      </c>
      <c r="AC111" t="s">
        <v>213</v>
      </c>
      <c r="AD111">
        <v>10</v>
      </c>
      <c r="AG111" t="s">
        <v>214</v>
      </c>
      <c r="AH111" t="s">
        <v>215</v>
      </c>
      <c r="AI111" t="s">
        <v>175</v>
      </c>
      <c r="AJ111" t="s">
        <v>176</v>
      </c>
      <c r="AK111" t="s">
        <v>170</v>
      </c>
      <c r="AL111" t="s">
        <v>177</v>
      </c>
      <c r="AM111">
        <v>81</v>
      </c>
      <c r="AN111">
        <v>12</v>
      </c>
      <c r="AS111">
        <v>3750</v>
      </c>
      <c r="AT111">
        <v>3750</v>
      </c>
      <c r="BN111" t="s">
        <v>178</v>
      </c>
      <c r="BO111">
        <v>2</v>
      </c>
      <c r="BP111">
        <v>2</v>
      </c>
      <c r="BQ111">
        <v>3</v>
      </c>
      <c r="BR111" t="s">
        <v>387</v>
      </c>
      <c r="BS111" t="s">
        <v>180</v>
      </c>
      <c r="BT111" t="s">
        <v>181</v>
      </c>
      <c r="BU111" s="1">
        <v>45345</v>
      </c>
      <c r="BV111">
        <v>34444</v>
      </c>
      <c r="BW111" s="155"/>
      <c r="BX111" t="s">
        <v>170</v>
      </c>
      <c r="BY111" t="s">
        <v>170</v>
      </c>
      <c r="CB111" t="s">
        <v>170</v>
      </c>
      <c r="CC111" t="s">
        <v>170</v>
      </c>
      <c r="CE111" t="s">
        <v>170</v>
      </c>
      <c r="CG111" t="s">
        <v>169</v>
      </c>
      <c r="CH111" t="s">
        <v>195</v>
      </c>
      <c r="CI111" t="s">
        <v>169</v>
      </c>
      <c r="CJ111" t="s">
        <v>417</v>
      </c>
      <c r="DJ111" t="s">
        <v>184</v>
      </c>
      <c r="DK111" t="s">
        <v>185</v>
      </c>
      <c r="DN111" t="s">
        <v>170</v>
      </c>
      <c r="DO111" t="s">
        <v>345</v>
      </c>
      <c r="DP111" t="s">
        <v>169</v>
      </c>
      <c r="DQ111" t="s">
        <v>198</v>
      </c>
      <c r="DY111">
        <v>22.1</v>
      </c>
      <c r="EA111" s="89"/>
      <c r="EB111">
        <v>3</v>
      </c>
      <c r="EC111">
        <v>3</v>
      </c>
      <c r="EE111" t="s">
        <v>434</v>
      </c>
      <c r="EF111">
        <v>2</v>
      </c>
      <c r="EV111">
        <v>9250</v>
      </c>
      <c r="EW111">
        <v>604</v>
      </c>
      <c r="EX111">
        <v>411</v>
      </c>
      <c r="EY111">
        <v>517</v>
      </c>
    </row>
    <row r="112" spans="1:155" x14ac:dyDescent="0.35">
      <c r="A112">
        <v>2025</v>
      </c>
      <c r="B112" t="s">
        <v>189</v>
      </c>
      <c r="C112" t="s">
        <v>189</v>
      </c>
      <c r="D112" t="s">
        <v>435</v>
      </c>
      <c r="E112" t="s">
        <v>191</v>
      </c>
      <c r="F112">
        <v>860</v>
      </c>
      <c r="G112">
        <v>4.4000000000000004</v>
      </c>
      <c r="H112">
        <v>8</v>
      </c>
      <c r="I112" t="s">
        <v>192</v>
      </c>
      <c r="J112">
        <v>15</v>
      </c>
      <c r="K112">
        <v>22</v>
      </c>
      <c r="L112">
        <v>17</v>
      </c>
      <c r="M112">
        <v>18.075099999999999</v>
      </c>
      <c r="N112">
        <v>29.913599999999999</v>
      </c>
      <c r="O112">
        <v>21.991599999999998</v>
      </c>
      <c r="P112">
        <v>14.647</v>
      </c>
      <c r="Q112">
        <v>21.5213</v>
      </c>
      <c r="R112">
        <v>17.105799999999999</v>
      </c>
      <c r="S112" t="s">
        <v>210</v>
      </c>
      <c r="T112" t="s">
        <v>165</v>
      </c>
      <c r="U112" t="s">
        <v>166</v>
      </c>
      <c r="V112" t="s">
        <v>193</v>
      </c>
      <c r="W112" t="s">
        <v>194</v>
      </c>
      <c r="Y112">
        <v>8</v>
      </c>
      <c r="Z112" t="s">
        <v>169</v>
      </c>
      <c r="AA112" t="s">
        <v>170</v>
      </c>
      <c r="AB112" t="s">
        <v>167</v>
      </c>
      <c r="AC112" t="s">
        <v>213</v>
      </c>
      <c r="AD112">
        <v>10</v>
      </c>
      <c r="AG112" t="s">
        <v>214</v>
      </c>
      <c r="AH112" t="s">
        <v>215</v>
      </c>
      <c r="AI112" t="s">
        <v>175</v>
      </c>
      <c r="AJ112" t="s">
        <v>176</v>
      </c>
      <c r="AK112" t="s">
        <v>170</v>
      </c>
      <c r="AL112" t="s">
        <v>177</v>
      </c>
      <c r="AM112">
        <v>81</v>
      </c>
      <c r="AN112">
        <v>15</v>
      </c>
      <c r="AS112">
        <v>3750</v>
      </c>
      <c r="AT112">
        <v>3750</v>
      </c>
      <c r="BN112" t="s">
        <v>178</v>
      </c>
      <c r="BO112">
        <v>2</v>
      </c>
      <c r="BP112">
        <v>2</v>
      </c>
      <c r="BQ112">
        <v>3</v>
      </c>
      <c r="BR112" t="s">
        <v>387</v>
      </c>
      <c r="BS112" t="s">
        <v>180</v>
      </c>
      <c r="BT112" t="s">
        <v>181</v>
      </c>
      <c r="BU112" s="1">
        <v>45345</v>
      </c>
      <c r="BV112">
        <v>34442</v>
      </c>
      <c r="BW112" s="155"/>
      <c r="BX112" t="s">
        <v>170</v>
      </c>
      <c r="BY112" t="s">
        <v>170</v>
      </c>
      <c r="CB112" t="s">
        <v>170</v>
      </c>
      <c r="CC112" t="s">
        <v>170</v>
      </c>
      <c r="CE112" t="s">
        <v>170</v>
      </c>
      <c r="CG112" t="s">
        <v>169</v>
      </c>
      <c r="CH112" t="s">
        <v>195</v>
      </c>
      <c r="CI112" t="s">
        <v>169</v>
      </c>
      <c r="CJ112" t="s">
        <v>417</v>
      </c>
      <c r="DJ112" t="s">
        <v>184</v>
      </c>
      <c r="DK112" t="s">
        <v>185</v>
      </c>
      <c r="DN112" t="s">
        <v>170</v>
      </c>
      <c r="DO112" t="s">
        <v>345</v>
      </c>
      <c r="DP112" t="s">
        <v>169</v>
      </c>
      <c r="DQ112" t="s">
        <v>198</v>
      </c>
      <c r="DY112">
        <v>22.1</v>
      </c>
      <c r="EA112" s="89"/>
      <c r="EB112">
        <v>3</v>
      </c>
      <c r="EC112">
        <v>3</v>
      </c>
      <c r="EE112" t="s">
        <v>434</v>
      </c>
      <c r="EF112">
        <v>2</v>
      </c>
      <c r="EV112">
        <v>9250</v>
      </c>
      <c r="EW112">
        <v>604</v>
      </c>
      <c r="EX112">
        <v>411</v>
      </c>
      <c r="EY112">
        <v>517</v>
      </c>
    </row>
    <row r="113" spans="1:155" x14ac:dyDescent="0.35">
      <c r="A113">
        <v>2025</v>
      </c>
      <c r="B113" t="s">
        <v>189</v>
      </c>
      <c r="C113" t="s">
        <v>189</v>
      </c>
      <c r="D113" t="s">
        <v>719</v>
      </c>
      <c r="E113" t="s">
        <v>191</v>
      </c>
      <c r="F113">
        <v>864</v>
      </c>
      <c r="G113">
        <v>4.4000000000000004</v>
      </c>
      <c r="H113">
        <v>8</v>
      </c>
      <c r="I113" t="s">
        <v>192</v>
      </c>
      <c r="J113">
        <v>15</v>
      </c>
      <c r="K113">
        <v>22</v>
      </c>
      <c r="L113">
        <v>17</v>
      </c>
      <c r="M113">
        <v>18.075099999999999</v>
      </c>
      <c r="N113">
        <v>29.913599999999999</v>
      </c>
      <c r="O113">
        <v>21.991599999999998</v>
      </c>
      <c r="P113">
        <v>14.647</v>
      </c>
      <c r="Q113">
        <v>21.5213</v>
      </c>
      <c r="R113">
        <v>17.105799999999999</v>
      </c>
      <c r="S113" t="s">
        <v>210</v>
      </c>
      <c r="T113" t="s">
        <v>165</v>
      </c>
      <c r="U113" t="s">
        <v>166</v>
      </c>
      <c r="V113" t="s">
        <v>193</v>
      </c>
      <c r="W113" t="s">
        <v>194</v>
      </c>
      <c r="Y113">
        <v>8</v>
      </c>
      <c r="Z113" t="s">
        <v>169</v>
      </c>
      <c r="AA113" t="s">
        <v>170</v>
      </c>
      <c r="AB113" t="s">
        <v>167</v>
      </c>
      <c r="AC113" t="s">
        <v>213</v>
      </c>
      <c r="AD113">
        <v>10</v>
      </c>
      <c r="AG113" t="s">
        <v>214</v>
      </c>
      <c r="AH113" t="s">
        <v>215</v>
      </c>
      <c r="AI113" t="s">
        <v>175</v>
      </c>
      <c r="AJ113" t="s">
        <v>176</v>
      </c>
      <c r="AK113" t="s">
        <v>170</v>
      </c>
      <c r="AL113" t="s">
        <v>177</v>
      </c>
      <c r="AO113">
        <v>100</v>
      </c>
      <c r="AP113">
        <v>11</v>
      </c>
      <c r="AS113">
        <v>3750</v>
      </c>
      <c r="AT113">
        <v>3750</v>
      </c>
      <c r="BN113" t="s">
        <v>178</v>
      </c>
      <c r="BO113">
        <v>2</v>
      </c>
      <c r="BP113">
        <v>2</v>
      </c>
      <c r="BQ113">
        <v>5</v>
      </c>
      <c r="BR113" t="s">
        <v>672</v>
      </c>
      <c r="BS113" t="s">
        <v>180</v>
      </c>
      <c r="BT113" t="s">
        <v>181</v>
      </c>
      <c r="BU113" s="1">
        <v>45345</v>
      </c>
      <c r="BV113">
        <v>34443</v>
      </c>
      <c r="BW113" s="156"/>
      <c r="BX113" t="s">
        <v>170</v>
      </c>
      <c r="BY113" t="s">
        <v>170</v>
      </c>
      <c r="CB113" t="s">
        <v>170</v>
      </c>
      <c r="CC113" t="s">
        <v>170</v>
      </c>
      <c r="CE113" t="s">
        <v>170</v>
      </c>
      <c r="CG113" t="s">
        <v>169</v>
      </c>
      <c r="CH113" t="s">
        <v>195</v>
      </c>
      <c r="CI113" t="s">
        <v>169</v>
      </c>
      <c r="CJ113" t="s">
        <v>417</v>
      </c>
      <c r="DJ113" t="s">
        <v>184</v>
      </c>
      <c r="DK113" t="s">
        <v>185</v>
      </c>
      <c r="DN113" t="s">
        <v>170</v>
      </c>
      <c r="DO113" t="s">
        <v>345</v>
      </c>
      <c r="DP113" t="s">
        <v>169</v>
      </c>
      <c r="DQ113" t="s">
        <v>198</v>
      </c>
      <c r="DY113">
        <v>22.1</v>
      </c>
      <c r="EA113" s="89"/>
      <c r="EB113">
        <v>3</v>
      </c>
      <c r="EC113">
        <v>3</v>
      </c>
      <c r="EE113" t="s">
        <v>434</v>
      </c>
      <c r="EF113">
        <v>2</v>
      </c>
      <c r="EV113">
        <v>9250</v>
      </c>
      <c r="EW113">
        <v>604</v>
      </c>
      <c r="EX113">
        <v>411</v>
      </c>
      <c r="EY113">
        <v>517</v>
      </c>
    </row>
    <row r="114" spans="1:155" x14ac:dyDescent="0.35">
      <c r="A114">
        <v>2025</v>
      </c>
      <c r="B114" t="s">
        <v>189</v>
      </c>
      <c r="C114" t="s">
        <v>189</v>
      </c>
      <c r="D114" t="s">
        <v>436</v>
      </c>
      <c r="E114" t="s">
        <v>191</v>
      </c>
      <c r="F114">
        <v>852</v>
      </c>
      <c r="G114">
        <v>4.4000000000000004</v>
      </c>
      <c r="H114">
        <v>8</v>
      </c>
      <c r="I114" t="s">
        <v>192</v>
      </c>
      <c r="J114">
        <v>17</v>
      </c>
      <c r="K114">
        <v>24</v>
      </c>
      <c r="L114">
        <v>19</v>
      </c>
      <c r="M114">
        <v>20.66</v>
      </c>
      <c r="N114">
        <v>33.352400000000003</v>
      </c>
      <c r="O114">
        <v>24.929099999999998</v>
      </c>
      <c r="P114">
        <v>16.599399999999999</v>
      </c>
      <c r="Q114">
        <v>23.807400000000001</v>
      </c>
      <c r="R114">
        <v>19.217700000000001</v>
      </c>
      <c r="T114" t="s">
        <v>165</v>
      </c>
      <c r="U114" t="s">
        <v>166</v>
      </c>
      <c r="V114" t="s">
        <v>193</v>
      </c>
      <c r="W114" t="s">
        <v>194</v>
      </c>
      <c r="Y114">
        <v>8</v>
      </c>
      <c r="Z114" t="s">
        <v>169</v>
      </c>
      <c r="AA114" t="s">
        <v>170</v>
      </c>
      <c r="AB114" t="s">
        <v>167</v>
      </c>
      <c r="AC114" t="s">
        <v>213</v>
      </c>
      <c r="AD114">
        <v>10</v>
      </c>
      <c r="AG114" t="s">
        <v>173</v>
      </c>
      <c r="AH114" t="s">
        <v>174</v>
      </c>
      <c r="AI114" t="s">
        <v>175</v>
      </c>
      <c r="AJ114" t="s">
        <v>176</v>
      </c>
      <c r="AK114" t="s">
        <v>170</v>
      </c>
      <c r="AL114" t="s">
        <v>177</v>
      </c>
      <c r="AM114">
        <v>81</v>
      </c>
      <c r="AN114">
        <v>12</v>
      </c>
      <c r="AS114">
        <v>3350</v>
      </c>
      <c r="AT114">
        <v>3350</v>
      </c>
      <c r="BN114" t="s">
        <v>178</v>
      </c>
      <c r="BO114">
        <v>2</v>
      </c>
      <c r="BP114">
        <v>2</v>
      </c>
      <c r="BQ114">
        <v>3</v>
      </c>
      <c r="BR114" t="s">
        <v>387</v>
      </c>
      <c r="BS114" t="s">
        <v>180</v>
      </c>
      <c r="BT114" t="s">
        <v>181</v>
      </c>
      <c r="BU114" s="1">
        <v>45345</v>
      </c>
      <c r="BV114">
        <v>34439</v>
      </c>
      <c r="BW114" s="154"/>
      <c r="BX114" t="s">
        <v>170</v>
      </c>
      <c r="BY114" t="s">
        <v>170</v>
      </c>
      <c r="CB114" t="s">
        <v>170</v>
      </c>
      <c r="CC114" t="s">
        <v>170</v>
      </c>
      <c r="CE114" t="s">
        <v>170</v>
      </c>
      <c r="CG114" t="s">
        <v>169</v>
      </c>
      <c r="CH114" t="s">
        <v>356</v>
      </c>
      <c r="CI114" t="s">
        <v>169</v>
      </c>
      <c r="CJ114" t="s">
        <v>357</v>
      </c>
      <c r="DJ114" t="s">
        <v>184</v>
      </c>
      <c r="DK114" t="s">
        <v>185</v>
      </c>
      <c r="DN114" t="s">
        <v>170</v>
      </c>
      <c r="DO114" t="s">
        <v>345</v>
      </c>
      <c r="DP114" t="s">
        <v>169</v>
      </c>
      <c r="DQ114" t="s">
        <v>198</v>
      </c>
      <c r="DY114">
        <v>25.1</v>
      </c>
      <c r="EA114" s="101"/>
      <c r="EB114">
        <v>4</v>
      </c>
      <c r="EC114">
        <v>4</v>
      </c>
      <c r="EE114" t="s">
        <v>437</v>
      </c>
      <c r="EF114">
        <v>2</v>
      </c>
      <c r="EV114">
        <v>7250</v>
      </c>
      <c r="EW114">
        <v>530</v>
      </c>
      <c r="EX114">
        <v>371</v>
      </c>
      <c r="EY114">
        <v>458</v>
      </c>
    </row>
    <row r="115" spans="1:155" x14ac:dyDescent="0.35">
      <c r="A115">
        <v>2025</v>
      </c>
      <c r="B115" t="s">
        <v>189</v>
      </c>
      <c r="C115" t="s">
        <v>189</v>
      </c>
      <c r="D115" t="s">
        <v>438</v>
      </c>
      <c r="E115" t="s">
        <v>191</v>
      </c>
      <c r="F115">
        <v>850</v>
      </c>
      <c r="G115">
        <v>4.4000000000000004</v>
      </c>
      <c r="H115">
        <v>8</v>
      </c>
      <c r="I115" t="s">
        <v>192</v>
      </c>
      <c r="J115">
        <v>17</v>
      </c>
      <c r="K115">
        <v>24</v>
      </c>
      <c r="L115">
        <v>19</v>
      </c>
      <c r="M115">
        <v>20.81</v>
      </c>
      <c r="N115">
        <v>33.359400000000001</v>
      </c>
      <c r="O115">
        <v>25.050699999999999</v>
      </c>
      <c r="P115">
        <v>16.7117</v>
      </c>
      <c r="Q115">
        <v>23.812000000000001</v>
      </c>
      <c r="R115">
        <v>19.301600000000001</v>
      </c>
      <c r="T115" t="s">
        <v>165</v>
      </c>
      <c r="U115" t="s">
        <v>166</v>
      </c>
      <c r="V115" t="s">
        <v>193</v>
      </c>
      <c r="W115" t="s">
        <v>194</v>
      </c>
      <c r="Y115">
        <v>8</v>
      </c>
      <c r="Z115" t="s">
        <v>169</v>
      </c>
      <c r="AA115" t="s">
        <v>170</v>
      </c>
      <c r="AB115" t="s">
        <v>167</v>
      </c>
      <c r="AC115" t="s">
        <v>213</v>
      </c>
      <c r="AD115">
        <v>10</v>
      </c>
      <c r="AG115" t="s">
        <v>173</v>
      </c>
      <c r="AH115" t="s">
        <v>174</v>
      </c>
      <c r="AI115" t="s">
        <v>175</v>
      </c>
      <c r="AJ115" t="s">
        <v>176</v>
      </c>
      <c r="AK115" t="s">
        <v>170</v>
      </c>
      <c r="AL115" t="s">
        <v>177</v>
      </c>
      <c r="AM115">
        <v>81</v>
      </c>
      <c r="AN115">
        <v>15</v>
      </c>
      <c r="AS115">
        <v>3350</v>
      </c>
      <c r="AT115">
        <v>3350</v>
      </c>
      <c r="BN115" t="s">
        <v>178</v>
      </c>
      <c r="BO115">
        <v>2</v>
      </c>
      <c r="BP115">
        <v>2</v>
      </c>
      <c r="BQ115">
        <v>3</v>
      </c>
      <c r="BR115" t="s">
        <v>387</v>
      </c>
      <c r="BS115" t="s">
        <v>180</v>
      </c>
      <c r="BT115" t="s">
        <v>181</v>
      </c>
      <c r="BU115" s="1">
        <v>45345</v>
      </c>
      <c r="BV115">
        <v>34438</v>
      </c>
      <c r="BW115" s="154"/>
      <c r="BX115" t="s">
        <v>170</v>
      </c>
      <c r="BY115" t="s">
        <v>170</v>
      </c>
      <c r="CB115" t="s">
        <v>170</v>
      </c>
      <c r="CC115" t="s">
        <v>170</v>
      </c>
      <c r="CE115" t="s">
        <v>170</v>
      </c>
      <c r="CG115" t="s">
        <v>169</v>
      </c>
      <c r="CH115" t="s">
        <v>356</v>
      </c>
      <c r="CI115" t="s">
        <v>169</v>
      </c>
      <c r="CJ115" t="s">
        <v>357</v>
      </c>
      <c r="DJ115" t="s">
        <v>184</v>
      </c>
      <c r="DK115" t="s">
        <v>185</v>
      </c>
      <c r="DN115" t="s">
        <v>170</v>
      </c>
      <c r="DO115" t="s">
        <v>345</v>
      </c>
      <c r="DP115" t="s">
        <v>169</v>
      </c>
      <c r="DQ115" t="s">
        <v>198</v>
      </c>
      <c r="DY115">
        <v>25.2</v>
      </c>
      <c r="EA115" s="101"/>
      <c r="EB115">
        <v>4</v>
      </c>
      <c r="EC115">
        <v>4</v>
      </c>
      <c r="EE115" t="s">
        <v>437</v>
      </c>
      <c r="EF115">
        <v>2</v>
      </c>
      <c r="EV115">
        <v>7250</v>
      </c>
      <c r="EW115">
        <v>526</v>
      </c>
      <c r="EX115">
        <v>371</v>
      </c>
      <c r="EY115">
        <v>456</v>
      </c>
    </row>
    <row r="116" spans="1:155" x14ac:dyDescent="0.35">
      <c r="A116">
        <v>2025</v>
      </c>
      <c r="B116" t="s">
        <v>189</v>
      </c>
      <c r="C116" t="s">
        <v>189</v>
      </c>
      <c r="D116" t="s">
        <v>720</v>
      </c>
      <c r="E116" t="s">
        <v>191</v>
      </c>
      <c r="F116">
        <v>854</v>
      </c>
      <c r="G116">
        <v>4.4000000000000004</v>
      </c>
      <c r="H116">
        <v>8</v>
      </c>
      <c r="I116" t="s">
        <v>192</v>
      </c>
      <c r="J116">
        <v>17</v>
      </c>
      <c r="K116">
        <v>24</v>
      </c>
      <c r="L116">
        <v>19</v>
      </c>
      <c r="M116">
        <v>20.66</v>
      </c>
      <c r="N116">
        <v>33.352400000000003</v>
      </c>
      <c r="O116">
        <v>24.929099999999998</v>
      </c>
      <c r="P116">
        <v>16.599399999999999</v>
      </c>
      <c r="Q116">
        <v>23.807400000000001</v>
      </c>
      <c r="R116">
        <v>19.217700000000001</v>
      </c>
      <c r="T116" t="s">
        <v>165</v>
      </c>
      <c r="U116" t="s">
        <v>166</v>
      </c>
      <c r="V116" t="s">
        <v>193</v>
      </c>
      <c r="W116" t="s">
        <v>194</v>
      </c>
      <c r="Y116">
        <v>8</v>
      </c>
      <c r="Z116" t="s">
        <v>169</v>
      </c>
      <c r="AA116" t="s">
        <v>170</v>
      </c>
      <c r="AB116" t="s">
        <v>167</v>
      </c>
      <c r="AC116" t="s">
        <v>213</v>
      </c>
      <c r="AD116">
        <v>10</v>
      </c>
      <c r="AG116" t="s">
        <v>173</v>
      </c>
      <c r="AH116" t="s">
        <v>174</v>
      </c>
      <c r="AI116" t="s">
        <v>175</v>
      </c>
      <c r="AJ116" t="s">
        <v>176</v>
      </c>
      <c r="AK116" t="s">
        <v>170</v>
      </c>
      <c r="AL116" t="s">
        <v>177</v>
      </c>
      <c r="AO116">
        <v>100</v>
      </c>
      <c r="AP116">
        <v>16</v>
      </c>
      <c r="AS116">
        <v>3350</v>
      </c>
      <c r="AT116">
        <v>3350</v>
      </c>
      <c r="BN116" t="s">
        <v>178</v>
      </c>
      <c r="BO116">
        <v>2</v>
      </c>
      <c r="BP116">
        <v>2</v>
      </c>
      <c r="BQ116">
        <v>5</v>
      </c>
      <c r="BR116" t="s">
        <v>672</v>
      </c>
      <c r="BS116" t="s">
        <v>180</v>
      </c>
      <c r="BT116" t="s">
        <v>181</v>
      </c>
      <c r="BU116" s="1">
        <v>45345</v>
      </c>
      <c r="BV116">
        <v>34440</v>
      </c>
      <c r="BW116" s="153"/>
      <c r="BX116" t="s">
        <v>170</v>
      </c>
      <c r="BY116" t="s">
        <v>170</v>
      </c>
      <c r="CB116" t="s">
        <v>170</v>
      </c>
      <c r="CC116" t="s">
        <v>170</v>
      </c>
      <c r="CE116" t="s">
        <v>170</v>
      </c>
      <c r="CG116" t="s">
        <v>169</v>
      </c>
      <c r="CH116" t="s">
        <v>356</v>
      </c>
      <c r="CI116" t="s">
        <v>169</v>
      </c>
      <c r="CJ116" t="s">
        <v>357</v>
      </c>
      <c r="DJ116" t="s">
        <v>184</v>
      </c>
      <c r="DK116" t="s">
        <v>185</v>
      </c>
      <c r="DN116" t="s">
        <v>170</v>
      </c>
      <c r="DO116" t="s">
        <v>345</v>
      </c>
      <c r="DP116" t="s">
        <v>169</v>
      </c>
      <c r="DQ116" t="s">
        <v>198</v>
      </c>
      <c r="DY116">
        <v>25.1</v>
      </c>
      <c r="EA116" s="89"/>
      <c r="EB116">
        <v>4</v>
      </c>
      <c r="EC116">
        <v>4</v>
      </c>
      <c r="EE116" t="s">
        <v>437</v>
      </c>
      <c r="EF116">
        <v>2</v>
      </c>
      <c r="EV116">
        <v>7250</v>
      </c>
      <c r="EW116">
        <v>530</v>
      </c>
      <c r="EX116">
        <v>371</v>
      </c>
      <c r="EY116">
        <v>458</v>
      </c>
    </row>
    <row r="117" spans="1:155" x14ac:dyDescent="0.35">
      <c r="A117">
        <v>2025</v>
      </c>
      <c r="B117" t="s">
        <v>189</v>
      </c>
      <c r="C117" t="s">
        <v>189</v>
      </c>
      <c r="D117" t="s">
        <v>1249</v>
      </c>
      <c r="E117" t="s">
        <v>191</v>
      </c>
      <c r="F117">
        <v>152</v>
      </c>
      <c r="G117">
        <v>2</v>
      </c>
      <c r="H117">
        <v>4</v>
      </c>
      <c r="I117" t="s">
        <v>209</v>
      </c>
      <c r="J117">
        <v>23</v>
      </c>
      <c r="K117">
        <v>31</v>
      </c>
      <c r="L117">
        <v>26</v>
      </c>
      <c r="M117">
        <v>29.7637</v>
      </c>
      <c r="N117">
        <v>44.726399999999998</v>
      </c>
      <c r="O117">
        <v>35.038400000000003</v>
      </c>
      <c r="P117">
        <v>23.219100000000001</v>
      </c>
      <c r="Q117">
        <v>31.12</v>
      </c>
      <c r="R117">
        <v>26.213999999999999</v>
      </c>
      <c r="T117" t="s">
        <v>165</v>
      </c>
      <c r="U117" t="s">
        <v>166</v>
      </c>
      <c r="V117" t="s">
        <v>211</v>
      </c>
      <c r="W117" t="s">
        <v>212</v>
      </c>
      <c r="Y117">
        <v>7</v>
      </c>
      <c r="Z117" t="s">
        <v>170</v>
      </c>
      <c r="AA117" t="s">
        <v>170</v>
      </c>
      <c r="AB117" t="s">
        <v>167</v>
      </c>
      <c r="AC117" t="s">
        <v>213</v>
      </c>
      <c r="AD117">
        <v>10</v>
      </c>
      <c r="AG117" t="s">
        <v>173</v>
      </c>
      <c r="AH117" t="s">
        <v>174</v>
      </c>
      <c r="AI117" t="s">
        <v>175</v>
      </c>
      <c r="AJ117" t="s">
        <v>176</v>
      </c>
      <c r="AK117" t="s">
        <v>940</v>
      </c>
      <c r="AL117" t="s">
        <v>941</v>
      </c>
      <c r="AS117">
        <v>2450</v>
      </c>
      <c r="AT117">
        <v>2450</v>
      </c>
      <c r="BN117" t="s">
        <v>265</v>
      </c>
      <c r="BO117">
        <v>2</v>
      </c>
      <c r="BP117">
        <v>2</v>
      </c>
      <c r="BQ117">
        <v>31</v>
      </c>
      <c r="BR117" t="s">
        <v>1219</v>
      </c>
      <c r="BT117" t="s">
        <v>181</v>
      </c>
      <c r="BU117" s="1">
        <v>45492</v>
      </c>
      <c r="BV117">
        <v>35098</v>
      </c>
      <c r="BW117" s="154"/>
      <c r="BX117" t="s">
        <v>169</v>
      </c>
      <c r="BY117" t="s">
        <v>170</v>
      </c>
      <c r="CB117" t="s">
        <v>170</v>
      </c>
      <c r="CC117" t="s">
        <v>170</v>
      </c>
      <c r="CE117" t="s">
        <v>170</v>
      </c>
      <c r="CG117" t="s">
        <v>169</v>
      </c>
      <c r="CH117" t="s">
        <v>195</v>
      </c>
      <c r="CI117" t="s">
        <v>169</v>
      </c>
      <c r="CJ117" t="s">
        <v>196</v>
      </c>
      <c r="DJ117" t="s">
        <v>267</v>
      </c>
      <c r="DK117" t="s">
        <v>268</v>
      </c>
      <c r="DN117" t="s">
        <v>170</v>
      </c>
      <c r="DO117" t="s">
        <v>197</v>
      </c>
      <c r="DP117" t="s">
        <v>169</v>
      </c>
      <c r="DQ117" t="s">
        <v>198</v>
      </c>
      <c r="EA117" s="101"/>
      <c r="EB117">
        <v>5</v>
      </c>
      <c r="EC117">
        <v>5</v>
      </c>
      <c r="EE117" t="s">
        <v>1250</v>
      </c>
      <c r="EF117">
        <v>5</v>
      </c>
      <c r="EV117">
        <v>2750</v>
      </c>
      <c r="EW117">
        <v>377</v>
      </c>
      <c r="EX117">
        <v>282</v>
      </c>
      <c r="EY117">
        <v>334</v>
      </c>
    </row>
    <row r="118" spans="1:155" x14ac:dyDescent="0.35">
      <c r="A118">
        <v>2025</v>
      </c>
      <c r="B118" t="s">
        <v>189</v>
      </c>
      <c r="C118" t="s">
        <v>189</v>
      </c>
      <c r="D118" t="s">
        <v>1251</v>
      </c>
      <c r="E118" t="s">
        <v>191</v>
      </c>
      <c r="F118">
        <v>150</v>
      </c>
      <c r="G118">
        <v>2</v>
      </c>
      <c r="H118">
        <v>4</v>
      </c>
      <c r="I118" t="s">
        <v>209</v>
      </c>
      <c r="J118">
        <v>24</v>
      </c>
      <c r="K118">
        <v>33</v>
      </c>
      <c r="L118">
        <v>28</v>
      </c>
      <c r="M118">
        <v>31.2577</v>
      </c>
      <c r="N118">
        <v>47.843800000000002</v>
      </c>
      <c r="O118">
        <v>37.035299999999999</v>
      </c>
      <c r="P118">
        <v>24.268899999999999</v>
      </c>
      <c r="Q118">
        <v>33.060299999999998</v>
      </c>
      <c r="R118">
        <v>27.567699999999999</v>
      </c>
      <c r="T118" t="s">
        <v>165</v>
      </c>
      <c r="U118" t="s">
        <v>166</v>
      </c>
      <c r="V118" t="s">
        <v>211</v>
      </c>
      <c r="W118" t="s">
        <v>212</v>
      </c>
      <c r="Y118">
        <v>7</v>
      </c>
      <c r="Z118" t="s">
        <v>170</v>
      </c>
      <c r="AA118" t="s">
        <v>170</v>
      </c>
      <c r="AB118" t="s">
        <v>167</v>
      </c>
      <c r="AC118" t="s">
        <v>213</v>
      </c>
      <c r="AD118">
        <v>10</v>
      </c>
      <c r="AG118" t="s">
        <v>173</v>
      </c>
      <c r="AH118" t="s">
        <v>174</v>
      </c>
      <c r="AI118" t="s">
        <v>175</v>
      </c>
      <c r="AJ118" t="s">
        <v>176</v>
      </c>
      <c r="AK118" t="s">
        <v>940</v>
      </c>
      <c r="AL118" t="s">
        <v>941</v>
      </c>
      <c r="AS118">
        <v>2300</v>
      </c>
      <c r="AT118">
        <v>2300</v>
      </c>
      <c r="BN118" t="s">
        <v>265</v>
      </c>
      <c r="BO118">
        <v>2</v>
      </c>
      <c r="BP118">
        <v>2</v>
      </c>
      <c r="BQ118">
        <v>31</v>
      </c>
      <c r="BR118" t="s">
        <v>1219</v>
      </c>
      <c r="BT118" t="s">
        <v>181</v>
      </c>
      <c r="BU118" s="1">
        <v>45499</v>
      </c>
      <c r="BV118">
        <v>35227</v>
      </c>
      <c r="BW118" s="154"/>
      <c r="BX118" t="s">
        <v>169</v>
      </c>
      <c r="BY118" t="s">
        <v>170</v>
      </c>
      <c r="CB118" t="s">
        <v>170</v>
      </c>
      <c r="CC118" t="s">
        <v>170</v>
      </c>
      <c r="CE118" t="s">
        <v>170</v>
      </c>
      <c r="CG118" t="s">
        <v>169</v>
      </c>
      <c r="CH118" t="s">
        <v>195</v>
      </c>
      <c r="CI118" t="s">
        <v>169</v>
      </c>
      <c r="CJ118" t="s">
        <v>196</v>
      </c>
      <c r="DJ118" t="s">
        <v>267</v>
      </c>
      <c r="DK118" t="s">
        <v>268</v>
      </c>
      <c r="DN118" t="s">
        <v>170</v>
      </c>
      <c r="DO118" t="s">
        <v>197</v>
      </c>
      <c r="DP118" t="s">
        <v>169</v>
      </c>
      <c r="DQ118" t="s">
        <v>198</v>
      </c>
      <c r="DY118">
        <v>37.299999999999997</v>
      </c>
      <c r="EA118" s="101"/>
      <c r="EB118">
        <v>6</v>
      </c>
      <c r="EC118">
        <v>6</v>
      </c>
      <c r="EE118" t="s">
        <v>1252</v>
      </c>
      <c r="EF118">
        <v>7</v>
      </c>
      <c r="EV118">
        <v>2000</v>
      </c>
      <c r="EW118">
        <v>361</v>
      </c>
      <c r="EX118">
        <v>265</v>
      </c>
      <c r="EY118">
        <v>318</v>
      </c>
    </row>
    <row r="119" spans="1:155" x14ac:dyDescent="0.35">
      <c r="A119">
        <v>2025</v>
      </c>
      <c r="B119" t="s">
        <v>189</v>
      </c>
      <c r="C119" t="s">
        <v>189</v>
      </c>
      <c r="D119" t="s">
        <v>1253</v>
      </c>
      <c r="E119" t="s">
        <v>191</v>
      </c>
      <c r="F119">
        <v>252</v>
      </c>
      <c r="G119">
        <v>2</v>
      </c>
      <c r="H119">
        <v>4</v>
      </c>
      <c r="I119" t="s">
        <v>209</v>
      </c>
      <c r="J119">
        <v>23</v>
      </c>
      <c r="K119">
        <v>32</v>
      </c>
      <c r="L119">
        <v>26</v>
      </c>
      <c r="M119">
        <v>29.361499999999999</v>
      </c>
      <c r="N119">
        <v>46.393799999999999</v>
      </c>
      <c r="O119">
        <v>35.1721</v>
      </c>
      <c r="P119">
        <v>22.934799999999999</v>
      </c>
      <c r="Q119">
        <v>32.161099999999998</v>
      </c>
      <c r="R119">
        <v>26.334399999999999</v>
      </c>
      <c r="T119" t="s">
        <v>165</v>
      </c>
      <c r="U119" t="s">
        <v>166</v>
      </c>
      <c r="V119" t="s">
        <v>211</v>
      </c>
      <c r="W119" t="s">
        <v>212</v>
      </c>
      <c r="Y119">
        <v>7</v>
      </c>
      <c r="Z119" t="s">
        <v>170</v>
      </c>
      <c r="AA119" t="s">
        <v>170</v>
      </c>
      <c r="AB119" t="s">
        <v>167</v>
      </c>
      <c r="AC119" t="s">
        <v>213</v>
      </c>
      <c r="AD119">
        <v>10</v>
      </c>
      <c r="AG119" t="s">
        <v>173</v>
      </c>
      <c r="AH119" t="s">
        <v>174</v>
      </c>
      <c r="AI119" t="s">
        <v>175</v>
      </c>
      <c r="AJ119" t="s">
        <v>176</v>
      </c>
      <c r="AK119" t="s">
        <v>940</v>
      </c>
      <c r="AL119" t="s">
        <v>941</v>
      </c>
      <c r="AS119">
        <v>2450</v>
      </c>
      <c r="AT119">
        <v>2450</v>
      </c>
      <c r="BN119" t="s">
        <v>265</v>
      </c>
      <c r="BO119">
        <v>2</v>
      </c>
      <c r="BP119">
        <v>2</v>
      </c>
      <c r="BQ119">
        <v>31</v>
      </c>
      <c r="BR119" t="s">
        <v>1219</v>
      </c>
      <c r="BT119" t="s">
        <v>181</v>
      </c>
      <c r="BU119" s="1">
        <v>45499</v>
      </c>
      <c r="BV119">
        <v>35229</v>
      </c>
      <c r="BW119" s="153"/>
      <c r="BX119" t="s">
        <v>169</v>
      </c>
      <c r="BY119" t="s">
        <v>170</v>
      </c>
      <c r="CB119" t="s">
        <v>170</v>
      </c>
      <c r="CC119" t="s">
        <v>170</v>
      </c>
      <c r="CE119" t="s">
        <v>170</v>
      </c>
      <c r="CG119" t="s">
        <v>169</v>
      </c>
      <c r="CH119" t="s">
        <v>195</v>
      </c>
      <c r="CI119" t="s">
        <v>169</v>
      </c>
      <c r="CJ119" t="s">
        <v>196</v>
      </c>
      <c r="DJ119" t="s">
        <v>267</v>
      </c>
      <c r="DK119" t="s">
        <v>268</v>
      </c>
      <c r="DN119" t="s">
        <v>170</v>
      </c>
      <c r="DO119" t="s">
        <v>197</v>
      </c>
      <c r="DP119" t="s">
        <v>169</v>
      </c>
      <c r="DQ119" t="s">
        <v>198</v>
      </c>
      <c r="EA119" s="89"/>
      <c r="EB119">
        <v>5</v>
      </c>
      <c r="EC119">
        <v>5</v>
      </c>
      <c r="EE119" t="s">
        <v>1250</v>
      </c>
      <c r="EF119">
        <v>5</v>
      </c>
      <c r="EV119">
        <v>2750</v>
      </c>
      <c r="EW119">
        <v>382</v>
      </c>
      <c r="EX119">
        <v>272</v>
      </c>
      <c r="EY119">
        <v>332</v>
      </c>
    </row>
    <row r="120" spans="1:155" x14ac:dyDescent="0.35">
      <c r="A120">
        <v>2025</v>
      </c>
      <c r="B120" t="s">
        <v>189</v>
      </c>
      <c r="C120" t="s">
        <v>189</v>
      </c>
      <c r="D120" t="s">
        <v>1254</v>
      </c>
      <c r="E120" t="s">
        <v>191</v>
      </c>
      <c r="F120">
        <v>250</v>
      </c>
      <c r="G120">
        <v>2</v>
      </c>
      <c r="H120">
        <v>4</v>
      </c>
      <c r="I120" t="s">
        <v>209</v>
      </c>
      <c r="J120">
        <v>24</v>
      </c>
      <c r="K120">
        <v>33</v>
      </c>
      <c r="L120">
        <v>28</v>
      </c>
      <c r="M120">
        <v>31.2546</v>
      </c>
      <c r="N120">
        <v>47.838999999999999</v>
      </c>
      <c r="O120">
        <v>37.031599999999997</v>
      </c>
      <c r="P120">
        <v>24.2667</v>
      </c>
      <c r="Q120">
        <v>33.057299999999998</v>
      </c>
      <c r="R120">
        <v>27.565300000000001</v>
      </c>
      <c r="T120" t="s">
        <v>165</v>
      </c>
      <c r="U120" t="s">
        <v>166</v>
      </c>
      <c r="V120" t="s">
        <v>211</v>
      </c>
      <c r="W120" t="s">
        <v>212</v>
      </c>
      <c r="Y120">
        <v>7</v>
      </c>
      <c r="Z120" t="s">
        <v>170</v>
      </c>
      <c r="AA120" t="s">
        <v>170</v>
      </c>
      <c r="AB120" t="s">
        <v>167</v>
      </c>
      <c r="AC120" t="s">
        <v>213</v>
      </c>
      <c r="AD120">
        <v>10</v>
      </c>
      <c r="AG120" t="s">
        <v>173</v>
      </c>
      <c r="AH120" t="s">
        <v>174</v>
      </c>
      <c r="AI120" t="s">
        <v>175</v>
      </c>
      <c r="AJ120" t="s">
        <v>176</v>
      </c>
      <c r="AK120" t="s">
        <v>940</v>
      </c>
      <c r="AL120" t="s">
        <v>941</v>
      </c>
      <c r="AS120">
        <v>2300</v>
      </c>
      <c r="AT120">
        <v>2300</v>
      </c>
      <c r="BN120" t="s">
        <v>265</v>
      </c>
      <c r="BO120">
        <v>2</v>
      </c>
      <c r="BP120">
        <v>2</v>
      </c>
      <c r="BQ120">
        <v>31</v>
      </c>
      <c r="BR120" t="s">
        <v>1219</v>
      </c>
      <c r="BT120" t="s">
        <v>181</v>
      </c>
      <c r="BU120" s="1">
        <v>45499</v>
      </c>
      <c r="BV120">
        <v>35228</v>
      </c>
      <c r="BW120" s="155"/>
      <c r="BX120" t="s">
        <v>169</v>
      </c>
      <c r="BY120" t="s">
        <v>170</v>
      </c>
      <c r="CB120" t="s">
        <v>170</v>
      </c>
      <c r="CC120" t="s">
        <v>170</v>
      </c>
      <c r="CE120" t="s">
        <v>170</v>
      </c>
      <c r="CG120" t="s">
        <v>169</v>
      </c>
      <c r="CH120" t="s">
        <v>195</v>
      </c>
      <c r="CI120" t="s">
        <v>169</v>
      </c>
      <c r="CJ120" t="s">
        <v>196</v>
      </c>
      <c r="DJ120" t="s">
        <v>267</v>
      </c>
      <c r="DK120" t="s">
        <v>268</v>
      </c>
      <c r="DN120" t="s">
        <v>170</v>
      </c>
      <c r="DO120" t="s">
        <v>197</v>
      </c>
      <c r="DP120" t="s">
        <v>169</v>
      </c>
      <c r="DQ120" t="s">
        <v>198</v>
      </c>
      <c r="DY120">
        <v>37.299999999999997</v>
      </c>
      <c r="EA120" s="101"/>
      <c r="EB120">
        <v>6</v>
      </c>
      <c r="EC120">
        <v>6</v>
      </c>
      <c r="EE120" t="s">
        <v>1252</v>
      </c>
      <c r="EF120">
        <v>7</v>
      </c>
      <c r="EV120">
        <v>2000</v>
      </c>
      <c r="EW120">
        <v>361</v>
      </c>
      <c r="EX120">
        <v>265</v>
      </c>
      <c r="EY120">
        <v>318</v>
      </c>
    </row>
    <row r="121" spans="1:155" x14ac:dyDescent="0.35">
      <c r="A121">
        <v>2025</v>
      </c>
      <c r="B121" t="s">
        <v>189</v>
      </c>
      <c r="C121" t="s">
        <v>189</v>
      </c>
      <c r="D121" t="s">
        <v>1255</v>
      </c>
      <c r="E121" t="s">
        <v>191</v>
      </c>
      <c r="F121">
        <v>372</v>
      </c>
      <c r="G121">
        <v>3</v>
      </c>
      <c r="H121">
        <v>4</v>
      </c>
      <c r="I121" t="s">
        <v>192</v>
      </c>
      <c r="J121">
        <v>25</v>
      </c>
      <c r="K121">
        <v>30</v>
      </c>
      <c r="L121">
        <v>27</v>
      </c>
      <c r="M121">
        <v>32.688400000000001</v>
      </c>
      <c r="N121">
        <v>43.569600000000001</v>
      </c>
      <c r="O121">
        <v>36.827199999999998</v>
      </c>
      <c r="P121">
        <v>25.264900000000001</v>
      </c>
      <c r="Q121">
        <v>30.3932</v>
      </c>
      <c r="R121">
        <v>27.340900000000001</v>
      </c>
      <c r="T121" t="s">
        <v>165</v>
      </c>
      <c r="U121" t="s">
        <v>166</v>
      </c>
      <c r="V121" t="s">
        <v>193</v>
      </c>
      <c r="W121" t="s">
        <v>194</v>
      </c>
      <c r="Y121">
        <v>8</v>
      </c>
      <c r="Z121" t="s">
        <v>169</v>
      </c>
      <c r="AA121" t="s">
        <v>170</v>
      </c>
      <c r="AB121" t="s">
        <v>167</v>
      </c>
      <c r="AC121" t="s">
        <v>213</v>
      </c>
      <c r="AD121">
        <v>10</v>
      </c>
      <c r="AG121" t="s">
        <v>173</v>
      </c>
      <c r="AH121" t="s">
        <v>174</v>
      </c>
      <c r="AI121" t="s">
        <v>175</v>
      </c>
      <c r="AJ121" t="s">
        <v>176</v>
      </c>
      <c r="AK121" t="s">
        <v>940</v>
      </c>
      <c r="AL121" t="s">
        <v>941</v>
      </c>
      <c r="AS121">
        <v>2350</v>
      </c>
      <c r="AT121">
        <v>2350</v>
      </c>
      <c r="BN121" t="s">
        <v>401</v>
      </c>
      <c r="BO121">
        <v>2</v>
      </c>
      <c r="BP121">
        <v>2</v>
      </c>
      <c r="BQ121">
        <v>31</v>
      </c>
      <c r="BR121" t="s">
        <v>1219</v>
      </c>
      <c r="BT121" t="s">
        <v>181</v>
      </c>
      <c r="BU121" s="1">
        <v>45478</v>
      </c>
      <c r="BV121">
        <v>35023</v>
      </c>
      <c r="BW121" s="155"/>
      <c r="BX121" t="s">
        <v>170</v>
      </c>
      <c r="BY121" t="s">
        <v>170</v>
      </c>
      <c r="CB121" t="s">
        <v>170</v>
      </c>
      <c r="CC121" t="s">
        <v>170</v>
      </c>
      <c r="CE121" t="s">
        <v>170</v>
      </c>
      <c r="CG121" t="s">
        <v>169</v>
      </c>
      <c r="CH121" t="s">
        <v>356</v>
      </c>
      <c r="CI121" t="s">
        <v>169</v>
      </c>
      <c r="CJ121" t="s">
        <v>402</v>
      </c>
      <c r="CK121" t="s">
        <v>233</v>
      </c>
      <c r="CM121">
        <v>1</v>
      </c>
      <c r="CN121" t="s">
        <v>234</v>
      </c>
      <c r="CP121">
        <v>44</v>
      </c>
      <c r="CQ121">
        <v>10.4</v>
      </c>
      <c r="CR121">
        <v>38</v>
      </c>
      <c r="CS121" t="s">
        <v>235</v>
      </c>
      <c r="CV121" t="s">
        <v>341</v>
      </c>
      <c r="CX121" t="s">
        <v>342</v>
      </c>
      <c r="CY121" t="s">
        <v>170</v>
      </c>
      <c r="DC121" t="s">
        <v>426</v>
      </c>
      <c r="DD121">
        <v>1</v>
      </c>
      <c r="DE121" t="s">
        <v>404</v>
      </c>
      <c r="DF121" t="s">
        <v>427</v>
      </c>
      <c r="DG121">
        <v>9</v>
      </c>
      <c r="DJ121" t="s">
        <v>267</v>
      </c>
      <c r="DK121" t="s">
        <v>268</v>
      </c>
      <c r="DL121" t="s">
        <v>170</v>
      </c>
      <c r="DM121" t="s">
        <v>170</v>
      </c>
      <c r="DN121" t="s">
        <v>170</v>
      </c>
      <c r="DO121" t="s">
        <v>406</v>
      </c>
      <c r="DP121" t="s">
        <v>169</v>
      </c>
      <c r="DQ121" t="s">
        <v>198</v>
      </c>
      <c r="EA121" s="101"/>
      <c r="EB121">
        <v>5</v>
      </c>
      <c r="EC121">
        <v>5</v>
      </c>
      <c r="EE121" t="s">
        <v>428</v>
      </c>
      <c r="EF121">
        <v>6</v>
      </c>
      <c r="EV121">
        <v>2250</v>
      </c>
      <c r="EW121">
        <v>346</v>
      </c>
      <c r="EX121">
        <v>288</v>
      </c>
      <c r="EY121">
        <v>320</v>
      </c>
    </row>
    <row r="122" spans="1:155" x14ac:dyDescent="0.35">
      <c r="A122">
        <v>2025</v>
      </c>
      <c r="B122" t="s">
        <v>189</v>
      </c>
      <c r="C122" t="s">
        <v>189</v>
      </c>
      <c r="D122" t="s">
        <v>1256</v>
      </c>
      <c r="E122" t="s">
        <v>191</v>
      </c>
      <c r="F122">
        <v>370</v>
      </c>
      <c r="G122">
        <v>2</v>
      </c>
      <c r="H122">
        <v>4</v>
      </c>
      <c r="I122" t="s">
        <v>192</v>
      </c>
      <c r="J122">
        <v>27</v>
      </c>
      <c r="K122">
        <v>33</v>
      </c>
      <c r="L122">
        <v>29</v>
      </c>
      <c r="M122">
        <v>34.803100000000001</v>
      </c>
      <c r="N122">
        <v>47.706200000000003</v>
      </c>
      <c r="O122">
        <v>39.625999999999998</v>
      </c>
      <c r="P122">
        <v>26.720700000000001</v>
      </c>
      <c r="Q122">
        <v>32.975200000000001</v>
      </c>
      <c r="R122">
        <v>29.214200000000002</v>
      </c>
      <c r="T122" t="s">
        <v>165</v>
      </c>
      <c r="U122" t="s">
        <v>166</v>
      </c>
      <c r="V122" t="s">
        <v>193</v>
      </c>
      <c r="W122" t="s">
        <v>194</v>
      </c>
      <c r="Y122">
        <v>8</v>
      </c>
      <c r="Z122" t="s">
        <v>169</v>
      </c>
      <c r="AA122" t="s">
        <v>170</v>
      </c>
      <c r="AB122" t="s">
        <v>167</v>
      </c>
      <c r="AC122" t="s">
        <v>213</v>
      </c>
      <c r="AD122">
        <v>10</v>
      </c>
      <c r="AG122" t="s">
        <v>173</v>
      </c>
      <c r="AH122" t="s">
        <v>174</v>
      </c>
      <c r="AI122" t="s">
        <v>175</v>
      </c>
      <c r="AJ122" t="s">
        <v>176</v>
      </c>
      <c r="AK122" t="s">
        <v>940</v>
      </c>
      <c r="AL122" t="s">
        <v>941</v>
      </c>
      <c r="AS122">
        <v>2200</v>
      </c>
      <c r="AT122">
        <v>2200</v>
      </c>
      <c r="BN122" t="s">
        <v>401</v>
      </c>
      <c r="BO122">
        <v>2</v>
      </c>
      <c r="BP122">
        <v>2</v>
      </c>
      <c r="BQ122">
        <v>31</v>
      </c>
      <c r="BR122" t="s">
        <v>1219</v>
      </c>
      <c r="BT122" t="s">
        <v>181</v>
      </c>
      <c r="BU122" s="1">
        <v>45471</v>
      </c>
      <c r="BV122">
        <v>34955</v>
      </c>
      <c r="BW122" s="156"/>
      <c r="BX122" t="s">
        <v>170</v>
      </c>
      <c r="BY122" t="s">
        <v>170</v>
      </c>
      <c r="CB122" t="s">
        <v>170</v>
      </c>
      <c r="CC122" t="s">
        <v>170</v>
      </c>
      <c r="CE122" t="s">
        <v>170</v>
      </c>
      <c r="CG122" t="s">
        <v>169</v>
      </c>
      <c r="CH122" t="s">
        <v>356</v>
      </c>
      <c r="CI122" t="s">
        <v>169</v>
      </c>
      <c r="CJ122" t="s">
        <v>402</v>
      </c>
      <c r="CK122" t="s">
        <v>233</v>
      </c>
      <c r="CM122">
        <v>1</v>
      </c>
      <c r="CN122" t="s">
        <v>234</v>
      </c>
      <c r="CP122">
        <v>44</v>
      </c>
      <c r="CQ122">
        <v>10</v>
      </c>
      <c r="CR122">
        <v>40</v>
      </c>
      <c r="CS122" t="s">
        <v>235</v>
      </c>
      <c r="CV122" t="s">
        <v>341</v>
      </c>
      <c r="CX122" t="s">
        <v>342</v>
      </c>
      <c r="CY122" t="s">
        <v>170</v>
      </c>
      <c r="DC122" t="s">
        <v>403</v>
      </c>
      <c r="DD122">
        <v>1</v>
      </c>
      <c r="DE122" t="s">
        <v>404</v>
      </c>
      <c r="DF122" t="s">
        <v>405</v>
      </c>
      <c r="DG122">
        <v>8</v>
      </c>
      <c r="DJ122" t="s">
        <v>267</v>
      </c>
      <c r="DK122" t="s">
        <v>268</v>
      </c>
      <c r="DL122" t="s">
        <v>170</v>
      </c>
      <c r="DM122" t="s">
        <v>170</v>
      </c>
      <c r="DN122" t="s">
        <v>170</v>
      </c>
      <c r="DO122" t="s">
        <v>406</v>
      </c>
      <c r="DP122" t="s">
        <v>169</v>
      </c>
      <c r="DQ122" t="s">
        <v>198</v>
      </c>
      <c r="EA122" s="89"/>
      <c r="EB122">
        <v>6</v>
      </c>
      <c r="EC122">
        <v>6</v>
      </c>
      <c r="EE122" t="s">
        <v>407</v>
      </c>
      <c r="EF122">
        <v>7</v>
      </c>
      <c r="EV122">
        <v>1500</v>
      </c>
      <c r="EW122">
        <v>327</v>
      </c>
      <c r="EX122">
        <v>265</v>
      </c>
      <c r="EY122">
        <v>299</v>
      </c>
    </row>
    <row r="123" spans="1:155" x14ac:dyDescent="0.35">
      <c r="A123">
        <v>2025</v>
      </c>
      <c r="B123" t="s">
        <v>189</v>
      </c>
      <c r="C123" t="s">
        <v>189</v>
      </c>
      <c r="D123" t="s">
        <v>1257</v>
      </c>
      <c r="E123" t="s">
        <v>191</v>
      </c>
      <c r="F123">
        <v>497</v>
      </c>
      <c r="G123">
        <v>3</v>
      </c>
      <c r="H123">
        <v>6</v>
      </c>
      <c r="I123" t="s">
        <v>192</v>
      </c>
      <c r="J123">
        <v>15</v>
      </c>
      <c r="K123">
        <v>20</v>
      </c>
      <c r="L123">
        <v>17</v>
      </c>
      <c r="M123">
        <v>18.477499999999999</v>
      </c>
      <c r="N123">
        <v>27.8811</v>
      </c>
      <c r="O123">
        <v>21.7837</v>
      </c>
      <c r="P123">
        <v>14.953200000000001</v>
      </c>
      <c r="Q123">
        <v>20.152999999999999</v>
      </c>
      <c r="R123">
        <v>16.917400000000001</v>
      </c>
      <c r="T123" t="s">
        <v>165</v>
      </c>
      <c r="U123" t="s">
        <v>166</v>
      </c>
      <c r="V123" t="s">
        <v>193</v>
      </c>
      <c r="W123" t="s">
        <v>194</v>
      </c>
      <c r="Y123">
        <v>8</v>
      </c>
      <c r="Z123" t="s">
        <v>169</v>
      </c>
      <c r="AA123" t="s">
        <v>170</v>
      </c>
      <c r="AB123" t="s">
        <v>167</v>
      </c>
      <c r="AC123" t="s">
        <v>213</v>
      </c>
      <c r="AD123">
        <v>10</v>
      </c>
      <c r="AG123" t="s">
        <v>173</v>
      </c>
      <c r="AH123" t="s">
        <v>174</v>
      </c>
      <c r="AI123" t="s">
        <v>175</v>
      </c>
      <c r="AJ123" t="s">
        <v>176</v>
      </c>
      <c r="AK123" t="s">
        <v>940</v>
      </c>
      <c r="AL123" t="s">
        <v>941</v>
      </c>
      <c r="AS123">
        <v>3750</v>
      </c>
      <c r="AT123">
        <v>3750</v>
      </c>
      <c r="BN123" t="s">
        <v>178</v>
      </c>
      <c r="BO123">
        <v>2</v>
      </c>
      <c r="BP123">
        <v>2</v>
      </c>
      <c r="BQ123">
        <v>31</v>
      </c>
      <c r="BR123" t="s">
        <v>1219</v>
      </c>
      <c r="BT123" t="s">
        <v>181</v>
      </c>
      <c r="BU123" s="1">
        <v>45471</v>
      </c>
      <c r="BV123">
        <v>34951</v>
      </c>
      <c r="BW123" s="155"/>
      <c r="BX123" t="s">
        <v>170</v>
      </c>
      <c r="BY123" t="s">
        <v>170</v>
      </c>
      <c r="CB123" t="s">
        <v>170</v>
      </c>
      <c r="CC123" t="s">
        <v>170</v>
      </c>
      <c r="CE123" t="s">
        <v>170</v>
      </c>
      <c r="CG123" t="s">
        <v>169</v>
      </c>
      <c r="CH123" t="s">
        <v>195</v>
      </c>
      <c r="CI123" t="s">
        <v>169</v>
      </c>
      <c r="CJ123" t="s">
        <v>417</v>
      </c>
      <c r="DJ123" t="s">
        <v>184</v>
      </c>
      <c r="DK123" t="s">
        <v>185</v>
      </c>
      <c r="DN123" t="s">
        <v>170</v>
      </c>
      <c r="DO123" t="s">
        <v>345</v>
      </c>
      <c r="DP123" t="s">
        <v>169</v>
      </c>
      <c r="DQ123" t="s">
        <v>198</v>
      </c>
      <c r="EA123" s="101"/>
      <c r="EB123">
        <v>3</v>
      </c>
      <c r="EC123">
        <v>3</v>
      </c>
      <c r="EE123" t="s">
        <v>1258</v>
      </c>
      <c r="EF123">
        <v>2</v>
      </c>
      <c r="EV123">
        <v>9250</v>
      </c>
      <c r="EW123">
        <v>587</v>
      </c>
      <c r="EX123">
        <v>437</v>
      </c>
      <c r="EY123">
        <v>519</v>
      </c>
    </row>
    <row r="124" spans="1:155" x14ac:dyDescent="0.35">
      <c r="A124">
        <v>2025</v>
      </c>
      <c r="B124" t="s">
        <v>189</v>
      </c>
      <c r="C124" t="s">
        <v>189</v>
      </c>
      <c r="D124" t="s">
        <v>1259</v>
      </c>
      <c r="E124" t="s">
        <v>191</v>
      </c>
      <c r="F124">
        <v>498</v>
      </c>
      <c r="G124">
        <v>3</v>
      </c>
      <c r="H124">
        <v>6</v>
      </c>
      <c r="I124" t="s">
        <v>192</v>
      </c>
      <c r="J124">
        <v>15</v>
      </c>
      <c r="K124">
        <v>20</v>
      </c>
      <c r="L124">
        <v>17</v>
      </c>
      <c r="M124">
        <v>18.477499999999999</v>
      </c>
      <c r="N124">
        <v>27.8811</v>
      </c>
      <c r="O124">
        <v>21.7837</v>
      </c>
      <c r="P124">
        <v>14.953200000000001</v>
      </c>
      <c r="Q124">
        <v>20.152999999999999</v>
      </c>
      <c r="R124">
        <v>16.917400000000001</v>
      </c>
      <c r="T124" t="s">
        <v>165</v>
      </c>
      <c r="U124" t="s">
        <v>166</v>
      </c>
      <c r="V124" t="s">
        <v>193</v>
      </c>
      <c r="W124" t="s">
        <v>194</v>
      </c>
      <c r="Y124">
        <v>8</v>
      </c>
      <c r="Z124" t="s">
        <v>169</v>
      </c>
      <c r="AA124" t="s">
        <v>170</v>
      </c>
      <c r="AB124" t="s">
        <v>167</v>
      </c>
      <c r="AC124" t="s">
        <v>213</v>
      </c>
      <c r="AD124">
        <v>10</v>
      </c>
      <c r="AG124" t="s">
        <v>173</v>
      </c>
      <c r="AH124" t="s">
        <v>174</v>
      </c>
      <c r="AI124" t="s">
        <v>175</v>
      </c>
      <c r="AJ124" t="s">
        <v>176</v>
      </c>
      <c r="AK124" t="s">
        <v>940</v>
      </c>
      <c r="AL124" t="s">
        <v>941</v>
      </c>
      <c r="AS124">
        <v>3750</v>
      </c>
      <c r="AT124">
        <v>3750</v>
      </c>
      <c r="BN124" t="s">
        <v>178</v>
      </c>
      <c r="BO124">
        <v>2</v>
      </c>
      <c r="BP124">
        <v>2</v>
      </c>
      <c r="BQ124">
        <v>31</v>
      </c>
      <c r="BR124" t="s">
        <v>1219</v>
      </c>
      <c r="BT124" t="s">
        <v>181</v>
      </c>
      <c r="BU124" s="1">
        <v>45471</v>
      </c>
      <c r="BV124">
        <v>34952</v>
      </c>
      <c r="BW124" s="155"/>
      <c r="BX124" t="s">
        <v>170</v>
      </c>
      <c r="BY124" t="s">
        <v>170</v>
      </c>
      <c r="CB124" t="s">
        <v>170</v>
      </c>
      <c r="CC124" t="s">
        <v>170</v>
      </c>
      <c r="CE124" t="s">
        <v>170</v>
      </c>
      <c r="CG124" t="s">
        <v>169</v>
      </c>
      <c r="CH124" t="s">
        <v>195</v>
      </c>
      <c r="CI124" t="s">
        <v>169</v>
      </c>
      <c r="CJ124" t="s">
        <v>417</v>
      </c>
      <c r="DJ124" t="s">
        <v>184</v>
      </c>
      <c r="DK124" t="s">
        <v>185</v>
      </c>
      <c r="DN124" t="s">
        <v>170</v>
      </c>
      <c r="DO124" t="s">
        <v>345</v>
      </c>
      <c r="DP124" t="s">
        <v>169</v>
      </c>
      <c r="DQ124" t="s">
        <v>198</v>
      </c>
      <c r="EA124" s="101"/>
      <c r="EB124">
        <v>3</v>
      </c>
      <c r="EC124">
        <v>3</v>
      </c>
      <c r="EE124" t="s">
        <v>1258</v>
      </c>
      <c r="EF124">
        <v>2</v>
      </c>
      <c r="EV124">
        <v>9250</v>
      </c>
      <c r="EW124">
        <v>587</v>
      </c>
      <c r="EX124">
        <v>437</v>
      </c>
      <c r="EY124">
        <v>519</v>
      </c>
    </row>
    <row r="125" spans="1:155" x14ac:dyDescent="0.35">
      <c r="A125">
        <v>2025</v>
      </c>
      <c r="B125" t="s">
        <v>189</v>
      </c>
      <c r="C125" t="s">
        <v>189</v>
      </c>
      <c r="D125" t="s">
        <v>1260</v>
      </c>
      <c r="E125" t="s">
        <v>191</v>
      </c>
      <c r="F125">
        <v>472</v>
      </c>
      <c r="G125">
        <v>3</v>
      </c>
      <c r="H125">
        <v>6</v>
      </c>
      <c r="I125" t="s">
        <v>192</v>
      </c>
      <c r="J125">
        <v>22</v>
      </c>
      <c r="K125">
        <v>26</v>
      </c>
      <c r="L125">
        <v>23</v>
      </c>
      <c r="M125">
        <v>27.4556</v>
      </c>
      <c r="N125">
        <v>36.8872</v>
      </c>
      <c r="O125">
        <v>31.025400000000001</v>
      </c>
      <c r="P125">
        <v>21.577500000000001</v>
      </c>
      <c r="Q125">
        <v>26.120200000000001</v>
      </c>
      <c r="R125">
        <v>23.409600000000001</v>
      </c>
      <c r="T125" t="s">
        <v>165</v>
      </c>
      <c r="U125" t="s">
        <v>166</v>
      </c>
      <c r="V125" t="s">
        <v>193</v>
      </c>
      <c r="W125" t="s">
        <v>194</v>
      </c>
      <c r="Y125">
        <v>8</v>
      </c>
      <c r="Z125" t="s">
        <v>169</v>
      </c>
      <c r="AA125" t="s">
        <v>170</v>
      </c>
      <c r="AB125" t="s">
        <v>167</v>
      </c>
      <c r="AC125" t="s">
        <v>213</v>
      </c>
      <c r="AD125">
        <v>10</v>
      </c>
      <c r="AG125" t="s">
        <v>173</v>
      </c>
      <c r="AH125" t="s">
        <v>174</v>
      </c>
      <c r="AI125" t="s">
        <v>175</v>
      </c>
      <c r="AJ125" t="s">
        <v>176</v>
      </c>
      <c r="AK125" t="s">
        <v>940</v>
      </c>
      <c r="AL125" t="s">
        <v>941</v>
      </c>
      <c r="AS125">
        <v>2750</v>
      </c>
      <c r="AT125">
        <v>2750</v>
      </c>
      <c r="BN125" t="s">
        <v>338</v>
      </c>
      <c r="BO125">
        <v>2</v>
      </c>
      <c r="BP125">
        <v>2</v>
      </c>
      <c r="BQ125">
        <v>31</v>
      </c>
      <c r="BR125" t="s">
        <v>1219</v>
      </c>
      <c r="BT125" t="s">
        <v>181</v>
      </c>
      <c r="BU125" s="1">
        <v>45471</v>
      </c>
      <c r="BV125">
        <v>34947</v>
      </c>
      <c r="BW125" s="156"/>
      <c r="BX125" t="s">
        <v>170</v>
      </c>
      <c r="BY125" t="s">
        <v>170</v>
      </c>
      <c r="CB125" t="s">
        <v>170</v>
      </c>
      <c r="CC125" t="s">
        <v>170</v>
      </c>
      <c r="CE125" t="s">
        <v>170</v>
      </c>
      <c r="CG125" t="s">
        <v>169</v>
      </c>
      <c r="CH125" t="s">
        <v>195</v>
      </c>
      <c r="CI125" t="s">
        <v>169</v>
      </c>
      <c r="CJ125" t="s">
        <v>196</v>
      </c>
      <c r="CK125" t="s">
        <v>233</v>
      </c>
      <c r="CM125">
        <v>1</v>
      </c>
      <c r="CN125" t="s">
        <v>234</v>
      </c>
      <c r="CP125">
        <v>44</v>
      </c>
      <c r="CQ125">
        <v>10</v>
      </c>
      <c r="CR125">
        <v>40</v>
      </c>
      <c r="CS125" t="s">
        <v>235</v>
      </c>
      <c r="CV125" t="s">
        <v>341</v>
      </c>
      <c r="CX125" t="s">
        <v>342</v>
      </c>
      <c r="CY125" t="s">
        <v>170</v>
      </c>
      <c r="DC125" t="s">
        <v>1261</v>
      </c>
      <c r="DD125">
        <v>1</v>
      </c>
      <c r="DE125" t="s">
        <v>404</v>
      </c>
      <c r="DF125" t="s">
        <v>405</v>
      </c>
      <c r="DG125">
        <v>2</v>
      </c>
      <c r="DJ125" t="s">
        <v>184</v>
      </c>
      <c r="DK125" t="s">
        <v>185</v>
      </c>
      <c r="DL125" t="s">
        <v>170</v>
      </c>
      <c r="DM125" t="s">
        <v>170</v>
      </c>
      <c r="DN125" t="s">
        <v>170</v>
      </c>
      <c r="DO125" t="s">
        <v>197</v>
      </c>
      <c r="DP125" t="s">
        <v>169</v>
      </c>
      <c r="DQ125" t="s">
        <v>198</v>
      </c>
      <c r="EA125" s="89"/>
      <c r="EB125">
        <v>5</v>
      </c>
      <c r="EC125">
        <v>5</v>
      </c>
      <c r="EE125" t="s">
        <v>1262</v>
      </c>
      <c r="EF125">
        <v>4</v>
      </c>
      <c r="EV125">
        <v>4250</v>
      </c>
      <c r="EW125">
        <v>409</v>
      </c>
      <c r="EX125">
        <v>337</v>
      </c>
      <c r="EY125">
        <v>377</v>
      </c>
    </row>
    <row r="126" spans="1:155" x14ac:dyDescent="0.35">
      <c r="A126">
        <v>2025</v>
      </c>
      <c r="B126" t="s">
        <v>189</v>
      </c>
      <c r="C126" t="s">
        <v>189</v>
      </c>
      <c r="D126" t="s">
        <v>1263</v>
      </c>
      <c r="E126" t="s">
        <v>191</v>
      </c>
      <c r="F126">
        <v>470</v>
      </c>
      <c r="G126">
        <v>2</v>
      </c>
      <c r="H126">
        <v>4</v>
      </c>
      <c r="I126" t="s">
        <v>192</v>
      </c>
      <c r="J126">
        <v>21</v>
      </c>
      <c r="K126">
        <v>27</v>
      </c>
      <c r="L126">
        <v>24</v>
      </c>
      <c r="M126">
        <v>27.015599999999999</v>
      </c>
      <c r="N126">
        <v>38.8902</v>
      </c>
      <c r="O126">
        <v>31.3188</v>
      </c>
      <c r="P126">
        <v>21.261700000000001</v>
      </c>
      <c r="Q126">
        <v>27.4145</v>
      </c>
      <c r="R126">
        <v>23.650300000000001</v>
      </c>
      <c r="T126" t="s">
        <v>165</v>
      </c>
      <c r="U126" t="s">
        <v>166</v>
      </c>
      <c r="V126" t="s">
        <v>193</v>
      </c>
      <c r="W126" t="s">
        <v>194</v>
      </c>
      <c r="Y126">
        <v>8</v>
      </c>
      <c r="Z126" t="s">
        <v>169</v>
      </c>
      <c r="AA126" t="s">
        <v>170</v>
      </c>
      <c r="AB126" t="s">
        <v>167</v>
      </c>
      <c r="AC126" t="s">
        <v>213</v>
      </c>
      <c r="AD126">
        <v>10</v>
      </c>
      <c r="AG126" t="s">
        <v>173</v>
      </c>
      <c r="AH126" t="s">
        <v>174</v>
      </c>
      <c r="AI126" t="s">
        <v>175</v>
      </c>
      <c r="AJ126" t="s">
        <v>176</v>
      </c>
      <c r="AK126" t="s">
        <v>940</v>
      </c>
      <c r="AL126" t="s">
        <v>941</v>
      </c>
      <c r="AS126">
        <v>2650</v>
      </c>
      <c r="AT126">
        <v>2650</v>
      </c>
      <c r="BN126" t="s">
        <v>178</v>
      </c>
      <c r="BO126">
        <v>2</v>
      </c>
      <c r="BP126">
        <v>2</v>
      </c>
      <c r="BQ126">
        <v>31</v>
      </c>
      <c r="BR126" t="s">
        <v>1219</v>
      </c>
      <c r="BT126" t="s">
        <v>181</v>
      </c>
      <c r="BU126" s="1">
        <v>45471</v>
      </c>
      <c r="BV126">
        <v>34960</v>
      </c>
      <c r="BW126" s="154"/>
      <c r="BX126" t="s">
        <v>170</v>
      </c>
      <c r="BY126" t="s">
        <v>170</v>
      </c>
      <c r="CB126" t="s">
        <v>170</v>
      </c>
      <c r="CC126" t="s">
        <v>170</v>
      </c>
      <c r="CE126" t="s">
        <v>170</v>
      </c>
      <c r="CG126" t="s">
        <v>169</v>
      </c>
      <c r="CH126" t="s">
        <v>195</v>
      </c>
      <c r="CI126" t="s">
        <v>169</v>
      </c>
      <c r="CJ126" t="s">
        <v>196</v>
      </c>
      <c r="DJ126" t="s">
        <v>184</v>
      </c>
      <c r="DK126" t="s">
        <v>185</v>
      </c>
      <c r="DN126" t="s">
        <v>170</v>
      </c>
      <c r="DO126" t="s">
        <v>197</v>
      </c>
      <c r="DP126" t="s">
        <v>169</v>
      </c>
      <c r="DQ126" t="s">
        <v>198</v>
      </c>
      <c r="EA126" s="129"/>
      <c r="EB126">
        <v>5</v>
      </c>
      <c r="EC126">
        <v>5</v>
      </c>
      <c r="EE126" t="s">
        <v>204</v>
      </c>
      <c r="EF126">
        <v>6</v>
      </c>
      <c r="EV126">
        <v>3750</v>
      </c>
      <c r="EW126">
        <v>413</v>
      </c>
      <c r="EX126">
        <v>321</v>
      </c>
      <c r="EY126">
        <v>372</v>
      </c>
    </row>
    <row r="127" spans="1:155" x14ac:dyDescent="0.35">
      <c r="A127">
        <v>2025</v>
      </c>
      <c r="B127" t="s">
        <v>189</v>
      </c>
      <c r="C127" t="s">
        <v>189</v>
      </c>
      <c r="D127" t="s">
        <v>1522</v>
      </c>
      <c r="E127" t="s">
        <v>191</v>
      </c>
      <c r="F127">
        <v>591</v>
      </c>
      <c r="G127">
        <v>4.4000000000000004</v>
      </c>
      <c r="H127">
        <v>8</v>
      </c>
      <c r="I127" t="s">
        <v>192</v>
      </c>
      <c r="J127">
        <v>13</v>
      </c>
      <c r="K127">
        <v>18</v>
      </c>
      <c r="L127">
        <v>15</v>
      </c>
      <c r="M127">
        <v>15.8142</v>
      </c>
      <c r="N127">
        <v>25.0123</v>
      </c>
      <c r="O127">
        <v>18.950199999999999</v>
      </c>
      <c r="P127">
        <v>12.9117</v>
      </c>
      <c r="Q127">
        <v>18.1998</v>
      </c>
      <c r="R127">
        <v>14.853899999999999</v>
      </c>
      <c r="T127" t="s">
        <v>165</v>
      </c>
      <c r="U127" t="s">
        <v>166</v>
      </c>
      <c r="V127" t="s">
        <v>193</v>
      </c>
      <c r="W127" t="s">
        <v>194</v>
      </c>
      <c r="Y127">
        <v>8</v>
      </c>
      <c r="Z127" t="s">
        <v>169</v>
      </c>
      <c r="AA127" t="s">
        <v>170</v>
      </c>
      <c r="AB127" t="s">
        <v>167</v>
      </c>
      <c r="AC127" t="s">
        <v>213</v>
      </c>
      <c r="AD127">
        <v>10</v>
      </c>
      <c r="AG127" t="s">
        <v>214</v>
      </c>
      <c r="AH127" t="s">
        <v>215</v>
      </c>
      <c r="AI127" t="s">
        <v>175</v>
      </c>
      <c r="AJ127" t="s">
        <v>176</v>
      </c>
      <c r="AK127" t="s">
        <v>940</v>
      </c>
      <c r="AL127" t="s">
        <v>941</v>
      </c>
      <c r="AS127">
        <v>4250</v>
      </c>
      <c r="AT127">
        <v>4250</v>
      </c>
      <c r="BN127" t="s">
        <v>338</v>
      </c>
      <c r="BO127">
        <v>2</v>
      </c>
      <c r="BP127">
        <v>2</v>
      </c>
      <c r="BQ127">
        <v>33</v>
      </c>
      <c r="BR127" t="s">
        <v>1497</v>
      </c>
      <c r="BT127" t="s">
        <v>181</v>
      </c>
      <c r="BU127" s="1">
        <v>45359</v>
      </c>
      <c r="BV127">
        <v>34463</v>
      </c>
      <c r="BW127" s="154"/>
      <c r="BX127" t="s">
        <v>169</v>
      </c>
      <c r="BY127" t="s">
        <v>170</v>
      </c>
      <c r="CB127" t="s">
        <v>170</v>
      </c>
      <c r="CC127" t="s">
        <v>170</v>
      </c>
      <c r="CE127" t="s">
        <v>170</v>
      </c>
      <c r="CG127" t="s">
        <v>169</v>
      </c>
      <c r="CH127" t="s">
        <v>356</v>
      </c>
      <c r="CI127" t="s">
        <v>169</v>
      </c>
      <c r="CJ127" t="s">
        <v>357</v>
      </c>
      <c r="CK127" t="s">
        <v>233</v>
      </c>
      <c r="CM127">
        <v>1</v>
      </c>
      <c r="CN127" t="s">
        <v>234</v>
      </c>
      <c r="CP127">
        <v>44</v>
      </c>
      <c r="CQ127">
        <v>10.4</v>
      </c>
      <c r="CR127">
        <v>40</v>
      </c>
      <c r="CS127" t="s">
        <v>235</v>
      </c>
      <c r="CV127" t="s">
        <v>341</v>
      </c>
      <c r="CX127" t="s">
        <v>342</v>
      </c>
      <c r="CY127" t="s">
        <v>170</v>
      </c>
      <c r="DC127" t="s">
        <v>1523</v>
      </c>
      <c r="DD127">
        <v>1</v>
      </c>
      <c r="DE127" t="s">
        <v>404</v>
      </c>
      <c r="DF127" t="s">
        <v>427</v>
      </c>
      <c r="DG127">
        <v>9</v>
      </c>
      <c r="DJ127" t="s">
        <v>184</v>
      </c>
      <c r="DK127" t="s">
        <v>185</v>
      </c>
      <c r="DL127" t="s">
        <v>170</v>
      </c>
      <c r="DM127" t="s">
        <v>170</v>
      </c>
      <c r="DN127" t="s">
        <v>170</v>
      </c>
      <c r="DO127" t="s">
        <v>345</v>
      </c>
      <c r="DP127" t="s">
        <v>169</v>
      </c>
      <c r="DQ127" t="s">
        <v>198</v>
      </c>
      <c r="EA127" s="129"/>
      <c r="EB127">
        <v>2</v>
      </c>
      <c r="EC127">
        <v>2</v>
      </c>
      <c r="EE127" t="s">
        <v>1524</v>
      </c>
      <c r="EF127">
        <v>4</v>
      </c>
      <c r="EV127">
        <v>11750</v>
      </c>
      <c r="EW127">
        <v>678</v>
      </c>
      <c r="EX127">
        <v>481</v>
      </c>
      <c r="EY127">
        <v>589</v>
      </c>
    </row>
    <row r="128" spans="1:155" x14ac:dyDescent="0.35">
      <c r="A128">
        <v>2025</v>
      </c>
      <c r="B128" t="s">
        <v>189</v>
      </c>
      <c r="C128" t="s">
        <v>189</v>
      </c>
      <c r="D128" t="s">
        <v>1525</v>
      </c>
      <c r="E128" t="s">
        <v>191</v>
      </c>
      <c r="F128">
        <v>574</v>
      </c>
      <c r="G128">
        <v>4.4000000000000004</v>
      </c>
      <c r="H128">
        <v>8</v>
      </c>
      <c r="I128" t="s">
        <v>192</v>
      </c>
      <c r="J128">
        <v>17</v>
      </c>
      <c r="K128">
        <v>22</v>
      </c>
      <c r="L128">
        <v>19</v>
      </c>
      <c r="M128">
        <v>21.329599999999999</v>
      </c>
      <c r="N128">
        <v>31.210100000000001</v>
      </c>
      <c r="O128">
        <v>24.873000000000001</v>
      </c>
      <c r="P128">
        <v>17.099799999999998</v>
      </c>
      <c r="Q128">
        <v>22.3874</v>
      </c>
      <c r="R128">
        <v>19.133400000000002</v>
      </c>
      <c r="T128" t="s">
        <v>165</v>
      </c>
      <c r="U128" t="s">
        <v>166</v>
      </c>
      <c r="V128" t="s">
        <v>193</v>
      </c>
      <c r="W128" t="s">
        <v>194</v>
      </c>
      <c r="Y128">
        <v>8</v>
      </c>
      <c r="Z128" t="s">
        <v>169</v>
      </c>
      <c r="AA128" t="s">
        <v>170</v>
      </c>
      <c r="AB128" t="s">
        <v>167</v>
      </c>
      <c r="AC128" t="s">
        <v>213</v>
      </c>
      <c r="AD128">
        <v>10</v>
      </c>
      <c r="AG128" t="s">
        <v>173</v>
      </c>
      <c r="AH128" t="s">
        <v>174</v>
      </c>
      <c r="AI128" t="s">
        <v>175</v>
      </c>
      <c r="AJ128" t="s">
        <v>176</v>
      </c>
      <c r="AK128" t="s">
        <v>940</v>
      </c>
      <c r="AL128" t="s">
        <v>941</v>
      </c>
      <c r="AS128">
        <v>3350</v>
      </c>
      <c r="AT128">
        <v>3350</v>
      </c>
      <c r="BN128" t="s">
        <v>338</v>
      </c>
      <c r="BO128">
        <v>2</v>
      </c>
      <c r="BP128">
        <v>2</v>
      </c>
      <c r="BQ128">
        <v>33</v>
      </c>
      <c r="BR128" t="s">
        <v>1497</v>
      </c>
      <c r="BT128" t="s">
        <v>181</v>
      </c>
      <c r="BU128" s="1">
        <v>45359</v>
      </c>
      <c r="BV128">
        <v>34459</v>
      </c>
      <c r="BW128" s="153"/>
      <c r="BX128" t="s">
        <v>170</v>
      </c>
      <c r="BY128" t="s">
        <v>170</v>
      </c>
      <c r="CB128" t="s">
        <v>170</v>
      </c>
      <c r="CC128" t="s">
        <v>170</v>
      </c>
      <c r="CE128" t="s">
        <v>170</v>
      </c>
      <c r="CG128" t="s">
        <v>169</v>
      </c>
      <c r="CH128" t="s">
        <v>356</v>
      </c>
      <c r="CI128" t="s">
        <v>169</v>
      </c>
      <c r="CJ128" t="s">
        <v>357</v>
      </c>
      <c r="CK128" t="s">
        <v>233</v>
      </c>
      <c r="CM128">
        <v>1</v>
      </c>
      <c r="CN128" t="s">
        <v>234</v>
      </c>
      <c r="CP128">
        <v>44</v>
      </c>
      <c r="CQ128">
        <v>10.4</v>
      </c>
      <c r="CR128">
        <v>40</v>
      </c>
      <c r="CS128" t="s">
        <v>235</v>
      </c>
      <c r="CV128" t="s">
        <v>341</v>
      </c>
      <c r="CX128" t="s">
        <v>342</v>
      </c>
      <c r="CY128" t="s">
        <v>170</v>
      </c>
      <c r="DC128" t="s">
        <v>837</v>
      </c>
      <c r="DD128">
        <v>1</v>
      </c>
      <c r="DE128" t="s">
        <v>404</v>
      </c>
      <c r="DF128" t="s">
        <v>427</v>
      </c>
      <c r="DG128">
        <v>9</v>
      </c>
      <c r="DJ128" t="s">
        <v>184</v>
      </c>
      <c r="DK128" t="s">
        <v>185</v>
      </c>
      <c r="DL128" t="s">
        <v>170</v>
      </c>
      <c r="DM128" t="s">
        <v>170</v>
      </c>
      <c r="DN128" t="s">
        <v>170</v>
      </c>
      <c r="DO128" t="s">
        <v>345</v>
      </c>
      <c r="DP128" t="s">
        <v>169</v>
      </c>
      <c r="DQ128" t="s">
        <v>198</v>
      </c>
      <c r="EA128" s="130"/>
      <c r="EB128">
        <v>4</v>
      </c>
      <c r="EC128">
        <v>4</v>
      </c>
      <c r="EE128" t="s">
        <v>838</v>
      </c>
      <c r="EF128">
        <v>4</v>
      </c>
      <c r="EV128">
        <v>7250</v>
      </c>
      <c r="EW128">
        <v>512</v>
      </c>
      <c r="EX128">
        <v>391</v>
      </c>
      <c r="EY128">
        <v>458</v>
      </c>
    </row>
    <row r="129" spans="1:155" x14ac:dyDescent="0.35">
      <c r="A129">
        <v>2025</v>
      </c>
      <c r="B129" t="s">
        <v>189</v>
      </c>
      <c r="C129" t="s">
        <v>189</v>
      </c>
      <c r="D129" t="s">
        <v>1452</v>
      </c>
      <c r="E129" t="s">
        <v>191</v>
      </c>
      <c r="F129">
        <v>570</v>
      </c>
      <c r="G129">
        <v>3</v>
      </c>
      <c r="H129">
        <v>6</v>
      </c>
      <c r="I129" t="s">
        <v>192</v>
      </c>
      <c r="J129">
        <v>23</v>
      </c>
      <c r="K129">
        <v>27</v>
      </c>
      <c r="L129">
        <v>25</v>
      </c>
      <c r="M129">
        <v>29.7</v>
      </c>
      <c r="N129">
        <v>37.9</v>
      </c>
      <c r="O129">
        <v>32.903500000000001</v>
      </c>
      <c r="P129">
        <v>23.174099999999999</v>
      </c>
      <c r="Q129">
        <v>26.7761</v>
      </c>
      <c r="R129">
        <v>24.667400000000001</v>
      </c>
      <c r="T129" t="s">
        <v>165</v>
      </c>
      <c r="U129" t="s">
        <v>166</v>
      </c>
      <c r="V129" t="s">
        <v>193</v>
      </c>
      <c r="W129" t="s">
        <v>194</v>
      </c>
      <c r="Y129">
        <v>8</v>
      </c>
      <c r="Z129" t="s">
        <v>169</v>
      </c>
      <c r="AA129" t="s">
        <v>170</v>
      </c>
      <c r="AB129" t="s">
        <v>171</v>
      </c>
      <c r="AC129" t="s">
        <v>172</v>
      </c>
      <c r="AD129">
        <v>10</v>
      </c>
      <c r="AG129" t="s">
        <v>173</v>
      </c>
      <c r="AH129" t="s">
        <v>174</v>
      </c>
      <c r="AI129" t="s">
        <v>175</v>
      </c>
      <c r="AJ129" t="s">
        <v>176</v>
      </c>
      <c r="AK129" t="s">
        <v>940</v>
      </c>
      <c r="AL129" t="s">
        <v>941</v>
      </c>
      <c r="AS129">
        <v>2550</v>
      </c>
      <c r="AT129">
        <v>2550</v>
      </c>
      <c r="BN129" t="s">
        <v>401</v>
      </c>
      <c r="BO129">
        <v>2</v>
      </c>
      <c r="BP129">
        <v>2</v>
      </c>
      <c r="BQ129">
        <v>32</v>
      </c>
      <c r="BR129" t="s">
        <v>1453</v>
      </c>
      <c r="BT129" t="s">
        <v>181</v>
      </c>
      <c r="BU129" s="1">
        <v>45345</v>
      </c>
      <c r="BV129">
        <v>34448</v>
      </c>
      <c r="BW129" s="155"/>
      <c r="BX129" t="s">
        <v>170</v>
      </c>
      <c r="BY129" t="s">
        <v>170</v>
      </c>
      <c r="CB129" t="s">
        <v>170</v>
      </c>
      <c r="CC129" t="s">
        <v>170</v>
      </c>
      <c r="CE129" t="s">
        <v>170</v>
      </c>
      <c r="CG129" t="s">
        <v>169</v>
      </c>
      <c r="CH129" t="s">
        <v>356</v>
      </c>
      <c r="CI129" t="s">
        <v>169</v>
      </c>
      <c r="CJ129" t="s">
        <v>402</v>
      </c>
      <c r="CK129" t="s">
        <v>233</v>
      </c>
      <c r="CM129">
        <v>1</v>
      </c>
      <c r="CN129" t="s">
        <v>234</v>
      </c>
      <c r="CP129">
        <v>44</v>
      </c>
      <c r="CQ129">
        <v>10.4</v>
      </c>
      <c r="CR129">
        <v>40</v>
      </c>
      <c r="CS129" t="s">
        <v>235</v>
      </c>
      <c r="CV129" t="s">
        <v>341</v>
      </c>
      <c r="CX129" t="s">
        <v>342</v>
      </c>
      <c r="CY129" t="s">
        <v>170</v>
      </c>
      <c r="DC129" t="s">
        <v>714</v>
      </c>
      <c r="DD129">
        <v>1</v>
      </c>
      <c r="DE129" t="s">
        <v>404</v>
      </c>
      <c r="DF129" t="s">
        <v>427</v>
      </c>
      <c r="DG129">
        <v>9</v>
      </c>
      <c r="DJ129" t="s">
        <v>267</v>
      </c>
      <c r="DK129" t="s">
        <v>268</v>
      </c>
      <c r="DL129" t="s">
        <v>170</v>
      </c>
      <c r="DM129" t="s">
        <v>170</v>
      </c>
      <c r="DN129" t="s">
        <v>170</v>
      </c>
      <c r="DO129" t="s">
        <v>406</v>
      </c>
      <c r="DP129" t="s">
        <v>169</v>
      </c>
      <c r="DQ129" t="s">
        <v>198</v>
      </c>
      <c r="EA129" s="101"/>
      <c r="EB129">
        <v>5</v>
      </c>
      <c r="EC129">
        <v>5</v>
      </c>
      <c r="EE129" t="s">
        <v>715</v>
      </c>
      <c r="EF129">
        <v>6</v>
      </c>
      <c r="EV129">
        <v>3250</v>
      </c>
      <c r="EW129">
        <v>383</v>
      </c>
      <c r="EX129">
        <v>331</v>
      </c>
      <c r="EY129">
        <v>360</v>
      </c>
    </row>
    <row r="130" spans="1:155" x14ac:dyDescent="0.35">
      <c r="A130">
        <v>2025</v>
      </c>
      <c r="B130" t="s">
        <v>189</v>
      </c>
      <c r="C130" t="s">
        <v>189</v>
      </c>
      <c r="D130" t="s">
        <v>1526</v>
      </c>
      <c r="E130" t="s">
        <v>191</v>
      </c>
      <c r="F130">
        <v>571</v>
      </c>
      <c r="G130">
        <v>3</v>
      </c>
      <c r="H130">
        <v>6</v>
      </c>
      <c r="I130" t="s">
        <v>192</v>
      </c>
      <c r="J130">
        <v>23</v>
      </c>
      <c r="K130">
        <v>27</v>
      </c>
      <c r="L130">
        <v>25</v>
      </c>
      <c r="M130">
        <v>30</v>
      </c>
      <c r="N130">
        <v>38.4</v>
      </c>
      <c r="O130">
        <v>33.275599999999997</v>
      </c>
      <c r="P130">
        <v>23.3858</v>
      </c>
      <c r="Q130">
        <v>27.098800000000001</v>
      </c>
      <c r="R130">
        <v>24.922499999999999</v>
      </c>
      <c r="T130" t="s">
        <v>165</v>
      </c>
      <c r="U130" t="s">
        <v>166</v>
      </c>
      <c r="V130" t="s">
        <v>193</v>
      </c>
      <c r="W130" t="s">
        <v>194</v>
      </c>
      <c r="Y130">
        <v>8</v>
      </c>
      <c r="Z130" t="s">
        <v>169</v>
      </c>
      <c r="AA130" t="s">
        <v>170</v>
      </c>
      <c r="AB130" t="s">
        <v>167</v>
      </c>
      <c r="AC130" t="s">
        <v>213</v>
      </c>
      <c r="AD130">
        <v>10</v>
      </c>
      <c r="AG130" t="s">
        <v>173</v>
      </c>
      <c r="AH130" t="s">
        <v>174</v>
      </c>
      <c r="AI130" t="s">
        <v>175</v>
      </c>
      <c r="AJ130" t="s">
        <v>176</v>
      </c>
      <c r="AK130" t="s">
        <v>940</v>
      </c>
      <c r="AL130" t="s">
        <v>941</v>
      </c>
      <c r="AS130">
        <v>2550</v>
      </c>
      <c r="AT130">
        <v>2550</v>
      </c>
      <c r="BN130" t="s">
        <v>401</v>
      </c>
      <c r="BO130">
        <v>2</v>
      </c>
      <c r="BP130">
        <v>2</v>
      </c>
      <c r="BQ130">
        <v>33</v>
      </c>
      <c r="BR130" t="s">
        <v>1497</v>
      </c>
      <c r="BT130" t="s">
        <v>181</v>
      </c>
      <c r="BU130" s="1">
        <v>45345</v>
      </c>
      <c r="BV130">
        <v>34445</v>
      </c>
      <c r="BW130" s="155"/>
      <c r="BX130" t="s">
        <v>170</v>
      </c>
      <c r="BY130" t="s">
        <v>170</v>
      </c>
      <c r="CB130" t="s">
        <v>170</v>
      </c>
      <c r="CC130" t="s">
        <v>170</v>
      </c>
      <c r="CE130" t="s">
        <v>170</v>
      </c>
      <c r="CG130" t="s">
        <v>169</v>
      </c>
      <c r="CH130" t="s">
        <v>356</v>
      </c>
      <c r="CI130" t="s">
        <v>169</v>
      </c>
      <c r="CJ130" t="s">
        <v>402</v>
      </c>
      <c r="CK130" t="s">
        <v>233</v>
      </c>
      <c r="CM130">
        <v>1</v>
      </c>
      <c r="CN130" t="s">
        <v>234</v>
      </c>
      <c r="CP130">
        <v>44</v>
      </c>
      <c r="CQ130">
        <v>10.4</v>
      </c>
      <c r="CR130">
        <v>40</v>
      </c>
      <c r="CS130" t="s">
        <v>235</v>
      </c>
      <c r="CV130" t="s">
        <v>341</v>
      </c>
      <c r="CX130" t="s">
        <v>342</v>
      </c>
      <c r="CY130" t="s">
        <v>170</v>
      </c>
      <c r="DC130" t="s">
        <v>714</v>
      </c>
      <c r="DD130">
        <v>1</v>
      </c>
      <c r="DE130" t="s">
        <v>404</v>
      </c>
      <c r="DF130" t="s">
        <v>427</v>
      </c>
      <c r="DG130">
        <v>9</v>
      </c>
      <c r="DJ130" t="s">
        <v>267</v>
      </c>
      <c r="DK130" t="s">
        <v>268</v>
      </c>
      <c r="DL130" t="s">
        <v>170</v>
      </c>
      <c r="DM130" t="s">
        <v>170</v>
      </c>
      <c r="DN130" t="s">
        <v>170</v>
      </c>
      <c r="DO130" t="s">
        <v>406</v>
      </c>
      <c r="DP130" t="s">
        <v>169</v>
      </c>
      <c r="DQ130" t="s">
        <v>198</v>
      </c>
      <c r="EA130" s="101"/>
      <c r="EB130">
        <v>5</v>
      </c>
      <c r="EC130">
        <v>5</v>
      </c>
      <c r="EE130" t="s">
        <v>715</v>
      </c>
      <c r="EF130">
        <v>6</v>
      </c>
      <c r="EV130">
        <v>3250</v>
      </c>
      <c r="EW130">
        <v>375</v>
      </c>
      <c r="EX130">
        <v>323</v>
      </c>
      <c r="EY130">
        <v>352</v>
      </c>
    </row>
    <row r="131" spans="1:155" x14ac:dyDescent="0.35">
      <c r="A131">
        <v>2025</v>
      </c>
      <c r="B131" t="s">
        <v>189</v>
      </c>
      <c r="C131" t="s">
        <v>189</v>
      </c>
      <c r="D131" t="s">
        <v>1527</v>
      </c>
      <c r="E131" t="s">
        <v>191</v>
      </c>
      <c r="F131">
        <v>691</v>
      </c>
      <c r="G131">
        <v>4.4000000000000004</v>
      </c>
      <c r="H131">
        <v>8</v>
      </c>
      <c r="I131" t="s">
        <v>192</v>
      </c>
      <c r="J131">
        <v>13</v>
      </c>
      <c r="K131">
        <v>18</v>
      </c>
      <c r="L131">
        <v>15</v>
      </c>
      <c r="M131">
        <v>15.8142</v>
      </c>
      <c r="N131">
        <v>25.0123</v>
      </c>
      <c r="O131">
        <v>18.950199999999999</v>
      </c>
      <c r="P131">
        <v>12.9117</v>
      </c>
      <c r="Q131">
        <v>18.1998</v>
      </c>
      <c r="R131">
        <v>14.853899999999999</v>
      </c>
      <c r="T131" t="s">
        <v>165</v>
      </c>
      <c r="U131" t="s">
        <v>166</v>
      </c>
      <c r="V131" t="s">
        <v>193</v>
      </c>
      <c r="W131" t="s">
        <v>194</v>
      </c>
      <c r="Y131">
        <v>8</v>
      </c>
      <c r="Z131" t="s">
        <v>169</v>
      </c>
      <c r="AA131" t="s">
        <v>170</v>
      </c>
      <c r="AB131" t="s">
        <v>167</v>
      </c>
      <c r="AC131" t="s">
        <v>213</v>
      </c>
      <c r="AD131">
        <v>10</v>
      </c>
      <c r="AG131" t="s">
        <v>214</v>
      </c>
      <c r="AH131" t="s">
        <v>215</v>
      </c>
      <c r="AI131" t="s">
        <v>175</v>
      </c>
      <c r="AJ131" t="s">
        <v>176</v>
      </c>
      <c r="AK131" t="s">
        <v>940</v>
      </c>
      <c r="AL131" t="s">
        <v>941</v>
      </c>
      <c r="AS131">
        <v>4250</v>
      </c>
      <c r="AT131">
        <v>4250</v>
      </c>
      <c r="BN131" t="s">
        <v>338</v>
      </c>
      <c r="BO131">
        <v>2</v>
      </c>
      <c r="BP131">
        <v>2</v>
      </c>
      <c r="BQ131">
        <v>33</v>
      </c>
      <c r="BR131" t="s">
        <v>1497</v>
      </c>
      <c r="BT131" t="s">
        <v>181</v>
      </c>
      <c r="BU131" s="1">
        <v>45359</v>
      </c>
      <c r="BV131">
        <v>34464</v>
      </c>
      <c r="BW131" s="156"/>
      <c r="BX131" t="s">
        <v>169</v>
      </c>
      <c r="BY131" t="s">
        <v>170</v>
      </c>
      <c r="CB131" t="s">
        <v>170</v>
      </c>
      <c r="CC131" t="s">
        <v>170</v>
      </c>
      <c r="CE131" t="s">
        <v>170</v>
      </c>
      <c r="CG131" t="s">
        <v>169</v>
      </c>
      <c r="CH131" t="s">
        <v>356</v>
      </c>
      <c r="CI131" t="s">
        <v>169</v>
      </c>
      <c r="CJ131" t="s">
        <v>357</v>
      </c>
      <c r="CK131" t="s">
        <v>233</v>
      </c>
      <c r="CM131">
        <v>1</v>
      </c>
      <c r="CN131" t="s">
        <v>234</v>
      </c>
      <c r="CP131">
        <v>44</v>
      </c>
      <c r="CQ131">
        <v>10.4</v>
      </c>
      <c r="CR131">
        <v>40</v>
      </c>
      <c r="CS131" t="s">
        <v>235</v>
      </c>
      <c r="CV131" t="s">
        <v>341</v>
      </c>
      <c r="CX131" t="s">
        <v>342</v>
      </c>
      <c r="CY131" t="s">
        <v>170</v>
      </c>
      <c r="DC131" t="s">
        <v>1523</v>
      </c>
      <c r="DD131">
        <v>1</v>
      </c>
      <c r="DE131" t="s">
        <v>404</v>
      </c>
      <c r="DF131" t="s">
        <v>427</v>
      </c>
      <c r="DG131">
        <v>9</v>
      </c>
      <c r="DJ131" t="s">
        <v>184</v>
      </c>
      <c r="DK131" t="s">
        <v>185</v>
      </c>
      <c r="DL131" t="s">
        <v>170</v>
      </c>
      <c r="DM131" t="s">
        <v>170</v>
      </c>
      <c r="DN131" t="s">
        <v>170</v>
      </c>
      <c r="DO131" t="s">
        <v>345</v>
      </c>
      <c r="DP131" t="s">
        <v>169</v>
      </c>
      <c r="DQ131" t="s">
        <v>198</v>
      </c>
      <c r="EA131" s="89"/>
      <c r="EB131">
        <v>2</v>
      </c>
      <c r="EC131">
        <v>2</v>
      </c>
      <c r="EE131" t="s">
        <v>1524</v>
      </c>
      <c r="EF131">
        <v>4</v>
      </c>
      <c r="EV131">
        <v>11750</v>
      </c>
      <c r="EW131">
        <v>678</v>
      </c>
      <c r="EX131">
        <v>481</v>
      </c>
      <c r="EY131">
        <v>589</v>
      </c>
    </row>
    <row r="132" spans="1:155" x14ac:dyDescent="0.35">
      <c r="A132">
        <v>2025</v>
      </c>
      <c r="B132" t="s">
        <v>189</v>
      </c>
      <c r="C132" t="s">
        <v>189</v>
      </c>
      <c r="D132" t="s">
        <v>1528</v>
      </c>
      <c r="E132" t="s">
        <v>191</v>
      </c>
      <c r="F132">
        <v>674</v>
      </c>
      <c r="G132">
        <v>4.4000000000000004</v>
      </c>
      <c r="H132">
        <v>8</v>
      </c>
      <c r="I132" t="s">
        <v>192</v>
      </c>
      <c r="J132">
        <v>17</v>
      </c>
      <c r="K132">
        <v>22</v>
      </c>
      <c r="L132">
        <v>19</v>
      </c>
      <c r="M132">
        <v>21.329599999999999</v>
      </c>
      <c r="N132">
        <v>31.210100000000001</v>
      </c>
      <c r="O132">
        <v>24.873000000000001</v>
      </c>
      <c r="P132">
        <v>17.099799999999998</v>
      </c>
      <c r="Q132">
        <v>22.3874</v>
      </c>
      <c r="R132">
        <v>19.133400000000002</v>
      </c>
      <c r="T132" t="s">
        <v>165</v>
      </c>
      <c r="U132" t="s">
        <v>166</v>
      </c>
      <c r="V132" t="s">
        <v>193</v>
      </c>
      <c r="W132" t="s">
        <v>194</v>
      </c>
      <c r="Y132">
        <v>8</v>
      </c>
      <c r="Z132" t="s">
        <v>169</v>
      </c>
      <c r="AA132" t="s">
        <v>170</v>
      </c>
      <c r="AB132" t="s">
        <v>167</v>
      </c>
      <c r="AC132" t="s">
        <v>213</v>
      </c>
      <c r="AD132">
        <v>10</v>
      </c>
      <c r="AG132" t="s">
        <v>173</v>
      </c>
      <c r="AH132" t="s">
        <v>174</v>
      </c>
      <c r="AI132" t="s">
        <v>175</v>
      </c>
      <c r="AJ132" t="s">
        <v>176</v>
      </c>
      <c r="AK132" t="s">
        <v>940</v>
      </c>
      <c r="AL132" t="s">
        <v>941</v>
      </c>
      <c r="AS132">
        <v>3350</v>
      </c>
      <c r="AT132">
        <v>3350</v>
      </c>
      <c r="BN132" t="s">
        <v>338</v>
      </c>
      <c r="BO132">
        <v>2</v>
      </c>
      <c r="BP132">
        <v>2</v>
      </c>
      <c r="BQ132">
        <v>33</v>
      </c>
      <c r="BR132" t="s">
        <v>1497</v>
      </c>
      <c r="BT132" t="s">
        <v>181</v>
      </c>
      <c r="BU132" s="1">
        <v>45359</v>
      </c>
      <c r="BV132">
        <v>34460</v>
      </c>
      <c r="BW132" s="155"/>
      <c r="BX132" t="s">
        <v>170</v>
      </c>
      <c r="BY132" t="s">
        <v>170</v>
      </c>
      <c r="CB132" t="s">
        <v>170</v>
      </c>
      <c r="CC132" t="s">
        <v>170</v>
      </c>
      <c r="CE132" t="s">
        <v>170</v>
      </c>
      <c r="CG132" t="s">
        <v>169</v>
      </c>
      <c r="CH132" t="s">
        <v>356</v>
      </c>
      <c r="CI132" t="s">
        <v>169</v>
      </c>
      <c r="CJ132" t="s">
        <v>357</v>
      </c>
      <c r="CK132" t="s">
        <v>233</v>
      </c>
      <c r="CM132">
        <v>1</v>
      </c>
      <c r="CN132" t="s">
        <v>234</v>
      </c>
      <c r="CP132">
        <v>44</v>
      </c>
      <c r="CQ132">
        <v>10.4</v>
      </c>
      <c r="CR132">
        <v>40</v>
      </c>
      <c r="CS132" t="s">
        <v>235</v>
      </c>
      <c r="CV132" t="s">
        <v>341</v>
      </c>
      <c r="CX132" t="s">
        <v>342</v>
      </c>
      <c r="CY132" t="s">
        <v>170</v>
      </c>
      <c r="DC132" t="s">
        <v>837</v>
      </c>
      <c r="DD132">
        <v>1</v>
      </c>
      <c r="DE132" t="s">
        <v>404</v>
      </c>
      <c r="DF132" t="s">
        <v>427</v>
      </c>
      <c r="DG132">
        <v>9</v>
      </c>
      <c r="DJ132" t="s">
        <v>184</v>
      </c>
      <c r="DK132" t="s">
        <v>185</v>
      </c>
      <c r="DL132" t="s">
        <v>170</v>
      </c>
      <c r="DM132" t="s">
        <v>170</v>
      </c>
      <c r="DN132" t="s">
        <v>170</v>
      </c>
      <c r="DO132" t="s">
        <v>345</v>
      </c>
      <c r="DP132" t="s">
        <v>169</v>
      </c>
      <c r="DQ132" t="s">
        <v>198</v>
      </c>
      <c r="EA132" s="101"/>
      <c r="EB132">
        <v>4</v>
      </c>
      <c r="EC132">
        <v>4</v>
      </c>
      <c r="EE132" t="s">
        <v>838</v>
      </c>
      <c r="EF132">
        <v>4</v>
      </c>
      <c r="EV132">
        <v>7250</v>
      </c>
      <c r="EW132">
        <v>512</v>
      </c>
      <c r="EX132">
        <v>391</v>
      </c>
      <c r="EY132">
        <v>458</v>
      </c>
    </row>
    <row r="133" spans="1:155" x14ac:dyDescent="0.35">
      <c r="A133">
        <v>2025</v>
      </c>
      <c r="B133" t="s">
        <v>189</v>
      </c>
      <c r="C133" t="s">
        <v>189</v>
      </c>
      <c r="D133" t="s">
        <v>1529</v>
      </c>
      <c r="E133" t="s">
        <v>191</v>
      </c>
      <c r="F133">
        <v>671</v>
      </c>
      <c r="G133">
        <v>3</v>
      </c>
      <c r="H133">
        <v>6</v>
      </c>
      <c r="I133" t="s">
        <v>192</v>
      </c>
      <c r="J133">
        <v>23</v>
      </c>
      <c r="K133">
        <v>26</v>
      </c>
      <c r="L133">
        <v>24</v>
      </c>
      <c r="M133">
        <v>29.327999999999999</v>
      </c>
      <c r="N133">
        <v>37.400100000000002</v>
      </c>
      <c r="O133">
        <v>32.482900000000001</v>
      </c>
      <c r="P133">
        <v>22.911100000000001</v>
      </c>
      <c r="Q133">
        <v>26.4528</v>
      </c>
      <c r="R133">
        <v>24.379899999999999</v>
      </c>
      <c r="T133" t="s">
        <v>165</v>
      </c>
      <c r="U133" t="s">
        <v>166</v>
      </c>
      <c r="V133" t="s">
        <v>193</v>
      </c>
      <c r="W133" t="s">
        <v>194</v>
      </c>
      <c r="Y133">
        <v>8</v>
      </c>
      <c r="Z133" t="s">
        <v>169</v>
      </c>
      <c r="AA133" t="s">
        <v>170</v>
      </c>
      <c r="AB133" t="s">
        <v>167</v>
      </c>
      <c r="AC133" t="s">
        <v>213</v>
      </c>
      <c r="AD133">
        <v>10</v>
      </c>
      <c r="AG133" t="s">
        <v>173</v>
      </c>
      <c r="AH133" t="s">
        <v>174</v>
      </c>
      <c r="AI133" t="s">
        <v>175</v>
      </c>
      <c r="AJ133" t="s">
        <v>176</v>
      </c>
      <c r="AK133" t="s">
        <v>940</v>
      </c>
      <c r="AL133" t="s">
        <v>941</v>
      </c>
      <c r="AS133">
        <v>2650</v>
      </c>
      <c r="AT133">
        <v>2650</v>
      </c>
      <c r="BN133" t="s">
        <v>401</v>
      </c>
      <c r="BO133">
        <v>2</v>
      </c>
      <c r="BP133">
        <v>2</v>
      </c>
      <c r="BQ133">
        <v>33</v>
      </c>
      <c r="BR133" t="s">
        <v>1497</v>
      </c>
      <c r="BT133" t="s">
        <v>181</v>
      </c>
      <c r="BU133" s="1">
        <v>45345</v>
      </c>
      <c r="BV133">
        <v>34446</v>
      </c>
      <c r="BW133" s="155"/>
      <c r="BX133" t="s">
        <v>169</v>
      </c>
      <c r="BY133" t="s">
        <v>170</v>
      </c>
      <c r="CB133" t="s">
        <v>170</v>
      </c>
      <c r="CC133" t="s">
        <v>170</v>
      </c>
      <c r="CE133" t="s">
        <v>170</v>
      </c>
      <c r="CG133" t="s">
        <v>169</v>
      </c>
      <c r="CH133" t="s">
        <v>356</v>
      </c>
      <c r="CI133" t="s">
        <v>169</v>
      </c>
      <c r="CJ133" t="s">
        <v>402</v>
      </c>
      <c r="CK133" t="s">
        <v>233</v>
      </c>
      <c r="CM133">
        <v>1</v>
      </c>
      <c r="CN133" t="s">
        <v>234</v>
      </c>
      <c r="CP133">
        <v>44</v>
      </c>
      <c r="CQ133">
        <v>10.4</v>
      </c>
      <c r="CR133">
        <v>40</v>
      </c>
      <c r="CS133" t="s">
        <v>235</v>
      </c>
      <c r="CV133" t="s">
        <v>341</v>
      </c>
      <c r="CX133" t="s">
        <v>342</v>
      </c>
      <c r="CY133" t="s">
        <v>170</v>
      </c>
      <c r="DC133" t="s">
        <v>714</v>
      </c>
      <c r="DD133">
        <v>1</v>
      </c>
      <c r="DE133" t="s">
        <v>404</v>
      </c>
      <c r="DF133" t="s">
        <v>427</v>
      </c>
      <c r="DG133">
        <v>9</v>
      </c>
      <c r="DJ133" t="s">
        <v>267</v>
      </c>
      <c r="DK133" t="s">
        <v>268</v>
      </c>
      <c r="DL133" t="s">
        <v>170</v>
      </c>
      <c r="DM133" t="s">
        <v>170</v>
      </c>
      <c r="DN133" t="s">
        <v>170</v>
      </c>
      <c r="DO133" t="s">
        <v>406</v>
      </c>
      <c r="DP133" t="s">
        <v>169</v>
      </c>
      <c r="DQ133" t="s">
        <v>198</v>
      </c>
      <c r="EA133" s="101"/>
      <c r="EB133">
        <v>5</v>
      </c>
      <c r="EC133">
        <v>5</v>
      </c>
      <c r="EE133" t="s">
        <v>715</v>
      </c>
      <c r="EF133">
        <v>6</v>
      </c>
      <c r="EV133">
        <v>3750</v>
      </c>
      <c r="EW133">
        <v>382</v>
      </c>
      <c r="EX133">
        <v>331</v>
      </c>
      <c r="EY133">
        <v>359</v>
      </c>
    </row>
    <row r="134" spans="1:155" x14ac:dyDescent="0.35">
      <c r="A134">
        <v>2025</v>
      </c>
      <c r="B134" t="s">
        <v>189</v>
      </c>
      <c r="C134" t="s">
        <v>189</v>
      </c>
      <c r="D134" t="s">
        <v>1530</v>
      </c>
      <c r="E134" t="s">
        <v>191</v>
      </c>
      <c r="F134">
        <v>774</v>
      </c>
      <c r="G134">
        <v>4.4000000000000004</v>
      </c>
      <c r="H134">
        <v>8</v>
      </c>
      <c r="I134" t="s">
        <v>192</v>
      </c>
      <c r="J134">
        <v>16</v>
      </c>
      <c r="K134">
        <v>20</v>
      </c>
      <c r="L134">
        <v>18</v>
      </c>
      <c r="M134">
        <v>19.8825</v>
      </c>
      <c r="N134">
        <v>28.1127</v>
      </c>
      <c r="O134">
        <v>22.8993</v>
      </c>
      <c r="P134">
        <v>16.015699999999999</v>
      </c>
      <c r="Q134">
        <v>20.3096</v>
      </c>
      <c r="R134">
        <v>17.6996</v>
      </c>
      <c r="T134" t="s">
        <v>165</v>
      </c>
      <c r="U134" t="s">
        <v>166</v>
      </c>
      <c r="V134" t="s">
        <v>193</v>
      </c>
      <c r="W134" t="s">
        <v>194</v>
      </c>
      <c r="Y134">
        <v>8</v>
      </c>
      <c r="Z134" t="s">
        <v>169</v>
      </c>
      <c r="AA134" t="s">
        <v>170</v>
      </c>
      <c r="AB134" t="s">
        <v>167</v>
      </c>
      <c r="AC134" t="s">
        <v>213</v>
      </c>
      <c r="AD134">
        <v>10</v>
      </c>
      <c r="AG134" t="s">
        <v>173</v>
      </c>
      <c r="AH134" t="s">
        <v>174</v>
      </c>
      <c r="AI134" t="s">
        <v>175</v>
      </c>
      <c r="AJ134" t="s">
        <v>176</v>
      </c>
      <c r="AK134" t="s">
        <v>940</v>
      </c>
      <c r="AL134" t="s">
        <v>941</v>
      </c>
      <c r="AS134">
        <v>3550</v>
      </c>
      <c r="AT134">
        <v>3550</v>
      </c>
      <c r="BN134" t="s">
        <v>338</v>
      </c>
      <c r="BO134">
        <v>2</v>
      </c>
      <c r="BP134">
        <v>2</v>
      </c>
      <c r="BQ134">
        <v>33</v>
      </c>
      <c r="BR134" t="s">
        <v>1497</v>
      </c>
      <c r="BT134" t="s">
        <v>181</v>
      </c>
      <c r="BU134" s="1">
        <v>45359</v>
      </c>
      <c r="BV134">
        <v>34461</v>
      </c>
      <c r="BW134" s="156"/>
      <c r="BX134" t="s">
        <v>170</v>
      </c>
      <c r="BY134" t="s">
        <v>170</v>
      </c>
      <c r="CB134" t="s">
        <v>170</v>
      </c>
      <c r="CC134" t="s">
        <v>170</v>
      </c>
      <c r="CE134" t="s">
        <v>170</v>
      </c>
      <c r="CG134" t="s">
        <v>169</v>
      </c>
      <c r="CH134" t="s">
        <v>356</v>
      </c>
      <c r="CI134" t="s">
        <v>169</v>
      </c>
      <c r="CJ134" t="s">
        <v>357</v>
      </c>
      <c r="CK134" t="s">
        <v>233</v>
      </c>
      <c r="CM134">
        <v>1</v>
      </c>
      <c r="CN134" t="s">
        <v>234</v>
      </c>
      <c r="CP134">
        <v>44</v>
      </c>
      <c r="CQ134">
        <v>10.4</v>
      </c>
      <c r="CR134">
        <v>40</v>
      </c>
      <c r="CS134" t="s">
        <v>235</v>
      </c>
      <c r="CV134" t="s">
        <v>341</v>
      </c>
      <c r="CX134" t="s">
        <v>342</v>
      </c>
      <c r="CY134" t="s">
        <v>170</v>
      </c>
      <c r="DC134" t="s">
        <v>837</v>
      </c>
      <c r="DD134">
        <v>1</v>
      </c>
      <c r="DE134" t="s">
        <v>404</v>
      </c>
      <c r="DF134" t="s">
        <v>427</v>
      </c>
      <c r="DG134">
        <v>9</v>
      </c>
      <c r="DJ134" t="s">
        <v>184</v>
      </c>
      <c r="DK134" t="s">
        <v>185</v>
      </c>
      <c r="DL134" t="s">
        <v>170</v>
      </c>
      <c r="DM134" t="s">
        <v>170</v>
      </c>
      <c r="DN134" t="s">
        <v>170</v>
      </c>
      <c r="DO134" t="s">
        <v>345</v>
      </c>
      <c r="DP134" t="s">
        <v>169</v>
      </c>
      <c r="DQ134" t="s">
        <v>198</v>
      </c>
      <c r="EA134" s="89"/>
      <c r="EB134">
        <v>4</v>
      </c>
      <c r="EC134">
        <v>4</v>
      </c>
      <c r="EE134" t="s">
        <v>838</v>
      </c>
      <c r="EF134">
        <v>4</v>
      </c>
      <c r="EV134">
        <v>8250</v>
      </c>
      <c r="EW134">
        <v>550</v>
      </c>
      <c r="EX134">
        <v>435</v>
      </c>
      <c r="EY134">
        <v>498</v>
      </c>
    </row>
    <row r="135" spans="1:155" x14ac:dyDescent="0.35">
      <c r="A135">
        <v>2025</v>
      </c>
      <c r="B135" t="s">
        <v>189</v>
      </c>
      <c r="C135" t="s">
        <v>189</v>
      </c>
      <c r="D135" t="s">
        <v>1531</v>
      </c>
      <c r="E135" t="s">
        <v>191</v>
      </c>
      <c r="F135">
        <v>770</v>
      </c>
      <c r="G135">
        <v>3</v>
      </c>
      <c r="H135">
        <v>6</v>
      </c>
      <c r="I135" t="s">
        <v>192</v>
      </c>
      <c r="J135">
        <v>20</v>
      </c>
      <c r="K135">
        <v>24</v>
      </c>
      <c r="L135">
        <v>22</v>
      </c>
      <c r="M135">
        <v>25.768999999999998</v>
      </c>
      <c r="N135">
        <v>34.266599999999997</v>
      </c>
      <c r="O135">
        <v>29.005800000000001</v>
      </c>
      <c r="P135">
        <v>20.362400000000001</v>
      </c>
      <c r="Q135">
        <v>24.409099999999999</v>
      </c>
      <c r="R135">
        <v>22.004000000000001</v>
      </c>
      <c r="T135" t="s">
        <v>165</v>
      </c>
      <c r="U135" t="s">
        <v>166</v>
      </c>
      <c r="V135" t="s">
        <v>193</v>
      </c>
      <c r="W135" t="s">
        <v>194</v>
      </c>
      <c r="Y135">
        <v>8</v>
      </c>
      <c r="Z135" t="s">
        <v>169</v>
      </c>
      <c r="AA135" t="s">
        <v>170</v>
      </c>
      <c r="AB135" t="s">
        <v>167</v>
      </c>
      <c r="AC135" t="s">
        <v>213</v>
      </c>
      <c r="AD135">
        <v>10</v>
      </c>
      <c r="AG135" t="s">
        <v>173</v>
      </c>
      <c r="AH135" t="s">
        <v>174</v>
      </c>
      <c r="AI135" t="s">
        <v>175</v>
      </c>
      <c r="AJ135" t="s">
        <v>176</v>
      </c>
      <c r="AK135" t="s">
        <v>940</v>
      </c>
      <c r="AL135" t="s">
        <v>941</v>
      </c>
      <c r="AS135">
        <v>2900</v>
      </c>
      <c r="AT135">
        <v>2900</v>
      </c>
      <c r="BN135" t="s">
        <v>401</v>
      </c>
      <c r="BO135">
        <v>2</v>
      </c>
      <c r="BP135">
        <v>2</v>
      </c>
      <c r="BQ135">
        <v>33</v>
      </c>
      <c r="BR135" t="s">
        <v>1497</v>
      </c>
      <c r="BT135" t="s">
        <v>181</v>
      </c>
      <c r="BU135" s="1">
        <v>45373</v>
      </c>
      <c r="BV135">
        <v>34515</v>
      </c>
      <c r="BW135" s="155"/>
      <c r="BX135" t="s">
        <v>170</v>
      </c>
      <c r="BY135" t="s">
        <v>170</v>
      </c>
      <c r="CB135" t="s">
        <v>170</v>
      </c>
      <c r="CC135" t="s">
        <v>170</v>
      </c>
      <c r="CE135" t="s">
        <v>170</v>
      </c>
      <c r="CG135" t="s">
        <v>169</v>
      </c>
      <c r="CH135" t="s">
        <v>356</v>
      </c>
      <c r="CI135" t="s">
        <v>169</v>
      </c>
      <c r="CJ135" t="s">
        <v>402</v>
      </c>
      <c r="CK135" t="s">
        <v>233</v>
      </c>
      <c r="CM135">
        <v>1</v>
      </c>
      <c r="CN135" t="s">
        <v>234</v>
      </c>
      <c r="CP135">
        <v>44</v>
      </c>
      <c r="CQ135">
        <v>10.4</v>
      </c>
      <c r="CR135">
        <v>40</v>
      </c>
      <c r="CS135" t="s">
        <v>235</v>
      </c>
      <c r="CV135" t="s">
        <v>341</v>
      </c>
      <c r="CX135" t="s">
        <v>342</v>
      </c>
      <c r="CY135" t="s">
        <v>170</v>
      </c>
      <c r="DC135" t="s">
        <v>714</v>
      </c>
      <c r="DD135">
        <v>1</v>
      </c>
      <c r="DE135" t="s">
        <v>404</v>
      </c>
      <c r="DF135" t="s">
        <v>427</v>
      </c>
      <c r="DG135">
        <v>9</v>
      </c>
      <c r="DJ135" t="s">
        <v>267</v>
      </c>
      <c r="DK135" t="s">
        <v>268</v>
      </c>
      <c r="DL135" t="s">
        <v>170</v>
      </c>
      <c r="DM135" t="s">
        <v>170</v>
      </c>
      <c r="DN135" t="s">
        <v>170</v>
      </c>
      <c r="DO135" t="s">
        <v>406</v>
      </c>
      <c r="DP135" t="s">
        <v>169</v>
      </c>
      <c r="DQ135" t="s">
        <v>198</v>
      </c>
      <c r="EA135" s="101"/>
      <c r="EB135">
        <v>5</v>
      </c>
      <c r="EC135">
        <v>5</v>
      </c>
      <c r="EE135" t="s">
        <v>715</v>
      </c>
      <c r="EF135">
        <v>6</v>
      </c>
      <c r="EV135">
        <v>5000</v>
      </c>
      <c r="EW135">
        <v>430</v>
      </c>
      <c r="EX135">
        <v>358</v>
      </c>
      <c r="EY135">
        <v>397</v>
      </c>
    </row>
    <row r="136" spans="1:155" x14ac:dyDescent="0.35">
      <c r="A136">
        <v>2025</v>
      </c>
      <c r="B136" t="s">
        <v>189</v>
      </c>
      <c r="C136" t="s">
        <v>189</v>
      </c>
      <c r="D136" t="s">
        <v>190</v>
      </c>
      <c r="E136" t="s">
        <v>191</v>
      </c>
      <c r="F136">
        <v>352</v>
      </c>
      <c r="G136">
        <v>3</v>
      </c>
      <c r="H136">
        <v>6</v>
      </c>
      <c r="I136" t="s">
        <v>192</v>
      </c>
      <c r="J136">
        <v>23</v>
      </c>
      <c r="K136">
        <v>29</v>
      </c>
      <c r="L136">
        <v>25</v>
      </c>
      <c r="M136">
        <v>29</v>
      </c>
      <c r="N136">
        <v>42.1</v>
      </c>
      <c r="O136">
        <v>33.721899999999998</v>
      </c>
      <c r="P136">
        <v>22.678599999999999</v>
      </c>
      <c r="Q136">
        <v>29.464400000000001</v>
      </c>
      <c r="R136">
        <v>25.300699999999999</v>
      </c>
      <c r="T136" t="s">
        <v>165</v>
      </c>
      <c r="U136" t="s">
        <v>166</v>
      </c>
      <c r="V136" t="s">
        <v>193</v>
      </c>
      <c r="W136" t="s">
        <v>194</v>
      </c>
      <c r="Y136">
        <v>8</v>
      </c>
      <c r="Z136" t="s">
        <v>169</v>
      </c>
      <c r="AA136" t="s">
        <v>170</v>
      </c>
      <c r="AB136" t="s">
        <v>171</v>
      </c>
      <c r="AC136" t="s">
        <v>172</v>
      </c>
      <c r="AD136">
        <v>10</v>
      </c>
      <c r="AG136" t="s">
        <v>173</v>
      </c>
      <c r="AH136" t="s">
        <v>174</v>
      </c>
      <c r="AI136" t="s">
        <v>175</v>
      </c>
      <c r="AJ136" t="s">
        <v>176</v>
      </c>
      <c r="AK136" t="s">
        <v>170</v>
      </c>
      <c r="AL136" t="s">
        <v>177</v>
      </c>
      <c r="AS136">
        <v>2550</v>
      </c>
      <c r="AT136">
        <v>2550</v>
      </c>
      <c r="BN136" t="s">
        <v>178</v>
      </c>
      <c r="BO136">
        <v>2</v>
      </c>
      <c r="BP136">
        <v>2</v>
      </c>
      <c r="BQ136">
        <v>1</v>
      </c>
      <c r="BR136" t="s">
        <v>179</v>
      </c>
      <c r="BS136" t="s">
        <v>180</v>
      </c>
      <c r="BT136" t="s">
        <v>181</v>
      </c>
      <c r="BU136" s="1">
        <v>45373</v>
      </c>
      <c r="BV136">
        <v>34509</v>
      </c>
      <c r="BW136" s="155"/>
      <c r="BX136" t="s">
        <v>169</v>
      </c>
      <c r="BY136" t="s">
        <v>170</v>
      </c>
      <c r="CB136" t="s">
        <v>170</v>
      </c>
      <c r="CC136" t="s">
        <v>170</v>
      </c>
      <c r="CE136" t="s">
        <v>170</v>
      </c>
      <c r="CG136" t="s">
        <v>169</v>
      </c>
      <c r="CH136" t="s">
        <v>195</v>
      </c>
      <c r="CI136" t="s">
        <v>169</v>
      </c>
      <c r="CJ136" t="s">
        <v>196</v>
      </c>
      <c r="DJ136" t="s">
        <v>184</v>
      </c>
      <c r="DK136" t="s">
        <v>185</v>
      </c>
      <c r="DN136" t="s">
        <v>170</v>
      </c>
      <c r="DO136" t="s">
        <v>197</v>
      </c>
      <c r="DP136" t="s">
        <v>169</v>
      </c>
      <c r="DQ136" t="s">
        <v>198</v>
      </c>
      <c r="DY136">
        <v>34</v>
      </c>
      <c r="EA136" s="101"/>
      <c r="EB136">
        <v>5</v>
      </c>
      <c r="EC136">
        <v>5</v>
      </c>
      <c r="EE136" t="s">
        <v>199</v>
      </c>
      <c r="EF136">
        <v>4</v>
      </c>
      <c r="EV136">
        <v>3250</v>
      </c>
      <c r="EW136">
        <v>386</v>
      </c>
      <c r="EX136">
        <v>297</v>
      </c>
      <c r="EY136">
        <v>346</v>
      </c>
    </row>
    <row r="137" spans="1:155" x14ac:dyDescent="0.35">
      <c r="A137">
        <v>2025</v>
      </c>
      <c r="B137" t="s">
        <v>189</v>
      </c>
      <c r="C137" t="s">
        <v>189</v>
      </c>
      <c r="D137" t="s">
        <v>190</v>
      </c>
      <c r="E137" t="s">
        <v>191</v>
      </c>
      <c r="F137">
        <v>353</v>
      </c>
      <c r="G137">
        <v>3</v>
      </c>
      <c r="H137">
        <v>6</v>
      </c>
      <c r="I137" t="s">
        <v>200</v>
      </c>
      <c r="J137">
        <v>19</v>
      </c>
      <c r="K137">
        <v>26</v>
      </c>
      <c r="L137">
        <v>22</v>
      </c>
      <c r="M137">
        <v>23.5</v>
      </c>
      <c r="N137">
        <v>37.4</v>
      </c>
      <c r="O137">
        <v>28.2196</v>
      </c>
      <c r="P137">
        <v>18.706600000000002</v>
      </c>
      <c r="Q137">
        <v>26.4527</v>
      </c>
      <c r="R137">
        <v>21.5458</v>
      </c>
      <c r="T137" t="s">
        <v>165</v>
      </c>
      <c r="U137" t="s">
        <v>166</v>
      </c>
      <c r="V137" t="s">
        <v>201</v>
      </c>
      <c r="W137" t="s">
        <v>202</v>
      </c>
      <c r="Y137">
        <v>6</v>
      </c>
      <c r="Z137" t="s">
        <v>170</v>
      </c>
      <c r="AA137" t="s">
        <v>170</v>
      </c>
      <c r="AB137" t="s">
        <v>171</v>
      </c>
      <c r="AC137" t="s">
        <v>172</v>
      </c>
      <c r="AD137">
        <v>10</v>
      </c>
      <c r="AG137" t="s">
        <v>173</v>
      </c>
      <c r="AH137" t="s">
        <v>174</v>
      </c>
      <c r="AI137" t="s">
        <v>175</v>
      </c>
      <c r="AJ137" t="s">
        <v>176</v>
      </c>
      <c r="AK137" t="s">
        <v>170</v>
      </c>
      <c r="AL137" t="s">
        <v>177</v>
      </c>
      <c r="AS137">
        <v>2900</v>
      </c>
      <c r="AT137">
        <v>2900</v>
      </c>
      <c r="BN137" t="s">
        <v>178</v>
      </c>
      <c r="BO137">
        <v>2</v>
      </c>
      <c r="BP137">
        <v>2</v>
      </c>
      <c r="BQ137">
        <v>1</v>
      </c>
      <c r="BR137" t="s">
        <v>179</v>
      </c>
      <c r="BS137" t="s">
        <v>180</v>
      </c>
      <c r="BT137" t="s">
        <v>181</v>
      </c>
      <c r="BU137" s="1">
        <v>45373</v>
      </c>
      <c r="BV137">
        <v>34510</v>
      </c>
      <c r="BW137" s="156"/>
      <c r="BX137" t="s">
        <v>170</v>
      </c>
      <c r="BY137" t="s">
        <v>170</v>
      </c>
      <c r="CB137" t="s">
        <v>170</v>
      </c>
      <c r="CC137" t="s">
        <v>170</v>
      </c>
      <c r="CE137" t="s">
        <v>170</v>
      </c>
      <c r="CG137" t="s">
        <v>169</v>
      </c>
      <c r="CH137" t="s">
        <v>195</v>
      </c>
      <c r="CI137" t="s">
        <v>169</v>
      </c>
      <c r="CJ137" t="s">
        <v>196</v>
      </c>
      <c r="DJ137" t="s">
        <v>184</v>
      </c>
      <c r="DK137" t="s">
        <v>185</v>
      </c>
      <c r="DN137" t="s">
        <v>170</v>
      </c>
      <c r="DO137" t="s">
        <v>197</v>
      </c>
      <c r="DP137" t="s">
        <v>169</v>
      </c>
      <c r="DQ137" t="s">
        <v>198</v>
      </c>
      <c r="DY137">
        <v>28.4</v>
      </c>
      <c r="EA137" s="89"/>
      <c r="EB137">
        <v>5</v>
      </c>
      <c r="EC137">
        <v>5</v>
      </c>
      <c r="EE137" t="s">
        <v>199</v>
      </c>
      <c r="EF137">
        <v>4</v>
      </c>
      <c r="EV137">
        <v>5000</v>
      </c>
      <c r="EW137">
        <v>469</v>
      </c>
      <c r="EX137">
        <v>332</v>
      </c>
      <c r="EY137">
        <v>407</v>
      </c>
    </row>
    <row r="138" spans="1:155" x14ac:dyDescent="0.35">
      <c r="A138">
        <v>2025</v>
      </c>
      <c r="B138" t="s">
        <v>189</v>
      </c>
      <c r="C138" t="s">
        <v>189</v>
      </c>
      <c r="D138" t="s">
        <v>203</v>
      </c>
      <c r="E138" t="s">
        <v>191</v>
      </c>
      <c r="F138">
        <v>350</v>
      </c>
      <c r="G138">
        <v>2</v>
      </c>
      <c r="H138">
        <v>4</v>
      </c>
      <c r="I138" t="s">
        <v>192</v>
      </c>
      <c r="J138">
        <v>25</v>
      </c>
      <c r="K138">
        <v>33</v>
      </c>
      <c r="L138">
        <v>28</v>
      </c>
      <c r="M138">
        <v>32.299999999999997</v>
      </c>
      <c r="N138">
        <v>47.6</v>
      </c>
      <c r="O138">
        <v>37.762</v>
      </c>
      <c r="P138">
        <v>24.9954</v>
      </c>
      <c r="Q138">
        <v>32.909500000000001</v>
      </c>
      <c r="R138">
        <v>28.028500000000001</v>
      </c>
      <c r="T138" t="s">
        <v>165</v>
      </c>
      <c r="U138" t="s">
        <v>166</v>
      </c>
      <c r="V138" t="s">
        <v>193</v>
      </c>
      <c r="W138" t="s">
        <v>194</v>
      </c>
      <c r="Y138">
        <v>8</v>
      </c>
      <c r="Z138" t="s">
        <v>169</v>
      </c>
      <c r="AA138" t="s">
        <v>170</v>
      </c>
      <c r="AB138" t="s">
        <v>171</v>
      </c>
      <c r="AC138" t="s">
        <v>172</v>
      </c>
      <c r="AD138">
        <v>10</v>
      </c>
      <c r="AG138" t="s">
        <v>173</v>
      </c>
      <c r="AH138" t="s">
        <v>174</v>
      </c>
      <c r="AI138" t="s">
        <v>175</v>
      </c>
      <c r="AJ138" t="s">
        <v>176</v>
      </c>
      <c r="AK138" t="s">
        <v>170</v>
      </c>
      <c r="AL138" t="s">
        <v>177</v>
      </c>
      <c r="AS138">
        <v>2300</v>
      </c>
      <c r="AT138">
        <v>2300</v>
      </c>
      <c r="BN138" t="s">
        <v>178</v>
      </c>
      <c r="BO138">
        <v>2</v>
      </c>
      <c r="BP138">
        <v>2</v>
      </c>
      <c r="BQ138">
        <v>1</v>
      </c>
      <c r="BR138" t="s">
        <v>179</v>
      </c>
      <c r="BS138" t="s">
        <v>180</v>
      </c>
      <c r="BT138" t="s">
        <v>181</v>
      </c>
      <c r="BU138" s="1">
        <v>45359</v>
      </c>
      <c r="BV138">
        <v>34465</v>
      </c>
      <c r="BW138" s="155"/>
      <c r="BX138" t="s">
        <v>170</v>
      </c>
      <c r="BY138" t="s">
        <v>170</v>
      </c>
      <c r="CB138" t="s">
        <v>170</v>
      </c>
      <c r="CC138" t="s">
        <v>170</v>
      </c>
      <c r="CE138" t="s">
        <v>170</v>
      </c>
      <c r="CG138" t="s">
        <v>169</v>
      </c>
      <c r="CH138" t="s">
        <v>195</v>
      </c>
      <c r="CI138" t="s">
        <v>169</v>
      </c>
      <c r="CJ138" t="s">
        <v>196</v>
      </c>
      <c r="DJ138" t="s">
        <v>184</v>
      </c>
      <c r="DK138" t="s">
        <v>185</v>
      </c>
      <c r="DN138" t="s">
        <v>170</v>
      </c>
      <c r="DO138" t="s">
        <v>197</v>
      </c>
      <c r="DP138" t="s">
        <v>169</v>
      </c>
      <c r="DQ138" t="s">
        <v>198</v>
      </c>
      <c r="DY138">
        <v>38</v>
      </c>
      <c r="EA138" s="101"/>
      <c r="EB138">
        <v>6</v>
      </c>
      <c r="EC138">
        <v>6</v>
      </c>
      <c r="EE138" t="s">
        <v>204</v>
      </c>
      <c r="EF138">
        <v>6</v>
      </c>
      <c r="EV138">
        <v>2000</v>
      </c>
      <c r="EW138">
        <v>351</v>
      </c>
      <c r="EX138">
        <v>266</v>
      </c>
      <c r="EY138">
        <v>312</v>
      </c>
    </row>
    <row r="139" spans="1:155" x14ac:dyDescent="0.35">
      <c r="A139">
        <v>2025</v>
      </c>
      <c r="B139" t="s">
        <v>205</v>
      </c>
      <c r="C139" t="s">
        <v>206</v>
      </c>
      <c r="D139" t="s">
        <v>207</v>
      </c>
      <c r="E139" t="s">
        <v>208</v>
      </c>
      <c r="F139">
        <v>48</v>
      </c>
      <c r="G139">
        <v>8</v>
      </c>
      <c r="H139">
        <v>16</v>
      </c>
      <c r="I139" t="s">
        <v>209</v>
      </c>
      <c r="J139">
        <v>8</v>
      </c>
      <c r="K139">
        <v>12</v>
      </c>
      <c r="L139">
        <v>9</v>
      </c>
      <c r="M139">
        <v>9.5</v>
      </c>
      <c r="N139">
        <v>16.5</v>
      </c>
      <c r="O139">
        <v>11.7416</v>
      </c>
      <c r="P139">
        <v>7.9234999999999998</v>
      </c>
      <c r="Q139">
        <v>12.248100000000001</v>
      </c>
      <c r="R139">
        <v>9.4202999999999992</v>
      </c>
      <c r="S139" t="s">
        <v>210</v>
      </c>
      <c r="T139" t="s">
        <v>165</v>
      </c>
      <c r="U139" t="s">
        <v>166</v>
      </c>
      <c r="V139" t="s">
        <v>211</v>
      </c>
      <c r="W139" t="s">
        <v>212</v>
      </c>
      <c r="Y139">
        <v>7</v>
      </c>
      <c r="Z139" t="s">
        <v>170</v>
      </c>
      <c r="AA139" t="s">
        <v>170</v>
      </c>
      <c r="AB139" t="s">
        <v>167</v>
      </c>
      <c r="AC139" t="s">
        <v>213</v>
      </c>
      <c r="AD139">
        <v>15</v>
      </c>
      <c r="AG139" t="s">
        <v>214</v>
      </c>
      <c r="AH139" t="s">
        <v>215</v>
      </c>
      <c r="AI139" t="s">
        <v>175</v>
      </c>
      <c r="AJ139" t="s">
        <v>176</v>
      </c>
      <c r="AK139" t="s">
        <v>170</v>
      </c>
      <c r="AL139" t="s">
        <v>177</v>
      </c>
      <c r="AS139">
        <v>7100</v>
      </c>
      <c r="AT139">
        <v>7100</v>
      </c>
      <c r="BN139" t="s">
        <v>178</v>
      </c>
      <c r="BO139">
        <v>2</v>
      </c>
      <c r="BP139">
        <v>2</v>
      </c>
      <c r="BQ139">
        <v>1</v>
      </c>
      <c r="BR139" t="s">
        <v>179</v>
      </c>
      <c r="BS139" t="s">
        <v>180</v>
      </c>
      <c r="BT139" t="s">
        <v>181</v>
      </c>
      <c r="BU139" s="1">
        <v>45555</v>
      </c>
      <c r="BV139">
        <v>35630</v>
      </c>
      <c r="BW139" s="155"/>
      <c r="BX139" t="s">
        <v>169</v>
      </c>
      <c r="BY139" t="s">
        <v>170</v>
      </c>
      <c r="CB139" t="s">
        <v>170</v>
      </c>
      <c r="CC139" t="s">
        <v>170</v>
      </c>
      <c r="CD139" t="s">
        <v>216</v>
      </c>
      <c r="CE139" t="s">
        <v>170</v>
      </c>
      <c r="CG139" t="s">
        <v>169</v>
      </c>
      <c r="CH139" t="s">
        <v>217</v>
      </c>
      <c r="CI139" t="s">
        <v>170</v>
      </c>
      <c r="DJ139" t="s">
        <v>184</v>
      </c>
      <c r="DK139" t="s">
        <v>185</v>
      </c>
      <c r="DN139" t="s">
        <v>170</v>
      </c>
      <c r="DO139" t="s">
        <v>218</v>
      </c>
      <c r="DP139" t="s">
        <v>170</v>
      </c>
      <c r="DQ139" t="s">
        <v>187</v>
      </c>
      <c r="DY139">
        <v>11.8</v>
      </c>
      <c r="EA139" s="101"/>
      <c r="EB139">
        <v>1</v>
      </c>
      <c r="EC139">
        <v>1</v>
      </c>
      <c r="EE139" t="s">
        <v>219</v>
      </c>
      <c r="EF139">
        <v>1</v>
      </c>
      <c r="EV139">
        <v>26000</v>
      </c>
      <c r="EW139">
        <v>1121</v>
      </c>
      <c r="EX139">
        <v>726</v>
      </c>
      <c r="EY139">
        <v>943</v>
      </c>
    </row>
    <row r="140" spans="1:155" x14ac:dyDescent="0.35">
      <c r="A140">
        <v>2025</v>
      </c>
      <c r="B140" t="s">
        <v>220</v>
      </c>
      <c r="C140" t="s">
        <v>901</v>
      </c>
      <c r="D140" t="s">
        <v>1532</v>
      </c>
      <c r="E140" t="s">
        <v>223</v>
      </c>
      <c r="F140">
        <v>855</v>
      </c>
      <c r="G140">
        <v>2.5</v>
      </c>
      <c r="H140">
        <v>4</v>
      </c>
      <c r="I140" t="s">
        <v>164</v>
      </c>
      <c r="J140">
        <v>19</v>
      </c>
      <c r="K140">
        <v>24</v>
      </c>
      <c r="L140">
        <v>21</v>
      </c>
      <c r="M140">
        <v>25.3765</v>
      </c>
      <c r="N140">
        <v>35.774099999999997</v>
      </c>
      <c r="O140">
        <v>29.194900000000001</v>
      </c>
      <c r="P140">
        <v>19.102799999999998</v>
      </c>
      <c r="Q140">
        <v>23.7789</v>
      </c>
      <c r="R140">
        <v>20.9574</v>
      </c>
      <c r="T140" t="s">
        <v>165</v>
      </c>
      <c r="U140" t="s">
        <v>166</v>
      </c>
      <c r="V140" t="s">
        <v>167</v>
      </c>
      <c r="W140" t="s">
        <v>168</v>
      </c>
      <c r="Y140">
        <v>8</v>
      </c>
      <c r="Z140" t="s">
        <v>169</v>
      </c>
      <c r="AA140" t="s">
        <v>170</v>
      </c>
      <c r="AB140" t="s">
        <v>167</v>
      </c>
      <c r="AC140" t="s">
        <v>213</v>
      </c>
      <c r="AD140">
        <v>10</v>
      </c>
      <c r="AG140" t="s">
        <v>210</v>
      </c>
      <c r="AH140" t="s">
        <v>444</v>
      </c>
      <c r="AI140" t="s">
        <v>175</v>
      </c>
      <c r="AJ140" t="s">
        <v>176</v>
      </c>
      <c r="AK140" t="s">
        <v>940</v>
      </c>
      <c r="AL140" t="s">
        <v>941</v>
      </c>
      <c r="AS140">
        <v>2500</v>
      </c>
      <c r="AT140">
        <v>2500</v>
      </c>
      <c r="BN140" t="s">
        <v>178</v>
      </c>
      <c r="BO140">
        <v>2</v>
      </c>
      <c r="BP140">
        <v>2</v>
      </c>
      <c r="BQ140">
        <v>33</v>
      </c>
      <c r="BR140" t="s">
        <v>1497</v>
      </c>
      <c r="BT140" t="s">
        <v>225</v>
      </c>
      <c r="BU140" s="1">
        <v>45460</v>
      </c>
      <c r="BV140">
        <v>34933</v>
      </c>
      <c r="BW140" s="156"/>
      <c r="BX140" t="s">
        <v>170</v>
      </c>
      <c r="BY140" t="s">
        <v>170</v>
      </c>
      <c r="CB140" t="s">
        <v>170</v>
      </c>
      <c r="CC140" t="s">
        <v>170</v>
      </c>
      <c r="CE140" t="s">
        <v>170</v>
      </c>
      <c r="CG140" t="s">
        <v>169</v>
      </c>
      <c r="CH140" t="s">
        <v>240</v>
      </c>
      <c r="CI140" t="s">
        <v>170</v>
      </c>
      <c r="DJ140" t="s">
        <v>184</v>
      </c>
      <c r="DK140" t="s">
        <v>185</v>
      </c>
      <c r="DN140" t="s">
        <v>170</v>
      </c>
      <c r="DO140" t="s">
        <v>197</v>
      </c>
      <c r="DP140" t="s">
        <v>169</v>
      </c>
      <c r="DQ140" t="s">
        <v>198</v>
      </c>
      <c r="EA140" s="89"/>
      <c r="EB140">
        <v>4</v>
      </c>
      <c r="EC140">
        <v>4</v>
      </c>
      <c r="EE140" t="s">
        <v>1455</v>
      </c>
      <c r="EF140">
        <v>5</v>
      </c>
      <c r="EV140">
        <v>3000</v>
      </c>
      <c r="EW140">
        <v>462</v>
      </c>
      <c r="EX140">
        <v>374</v>
      </c>
      <c r="EY140">
        <v>422</v>
      </c>
    </row>
    <row r="141" spans="1:155" x14ac:dyDescent="0.35">
      <c r="A141">
        <v>2025</v>
      </c>
      <c r="B141" t="s">
        <v>220</v>
      </c>
      <c r="C141" t="s">
        <v>901</v>
      </c>
      <c r="D141" t="s">
        <v>1454</v>
      </c>
      <c r="E141" t="s">
        <v>223</v>
      </c>
      <c r="F141">
        <v>854</v>
      </c>
      <c r="G141">
        <v>2.5</v>
      </c>
      <c r="H141">
        <v>4</v>
      </c>
      <c r="I141" t="s">
        <v>164</v>
      </c>
      <c r="J141">
        <v>20</v>
      </c>
      <c r="K141">
        <v>27</v>
      </c>
      <c r="L141">
        <v>23</v>
      </c>
      <c r="M141">
        <v>26.6</v>
      </c>
      <c r="N141">
        <v>39.799999999999997</v>
      </c>
      <c r="O141">
        <v>31.266400000000001</v>
      </c>
      <c r="P141">
        <v>20.4602</v>
      </c>
      <c r="Q141">
        <v>26.6433</v>
      </c>
      <c r="R141">
        <v>22.846</v>
      </c>
      <c r="T141" t="s">
        <v>165</v>
      </c>
      <c r="U141" t="s">
        <v>166</v>
      </c>
      <c r="V141" t="s">
        <v>167</v>
      </c>
      <c r="W141" t="s">
        <v>168</v>
      </c>
      <c r="Y141">
        <v>8</v>
      </c>
      <c r="Z141" t="s">
        <v>169</v>
      </c>
      <c r="AA141" t="s">
        <v>170</v>
      </c>
      <c r="AB141" t="s">
        <v>351</v>
      </c>
      <c r="AC141" t="s">
        <v>352</v>
      </c>
      <c r="AD141">
        <v>10</v>
      </c>
      <c r="AG141" t="s">
        <v>210</v>
      </c>
      <c r="AH141" t="s">
        <v>444</v>
      </c>
      <c r="AI141" t="s">
        <v>175</v>
      </c>
      <c r="AJ141" t="s">
        <v>176</v>
      </c>
      <c r="AK141" t="s">
        <v>940</v>
      </c>
      <c r="AL141" t="s">
        <v>941</v>
      </c>
      <c r="AS141">
        <v>2300</v>
      </c>
      <c r="AT141">
        <v>2300</v>
      </c>
      <c r="BN141" t="s">
        <v>178</v>
      </c>
      <c r="BO141">
        <v>2</v>
      </c>
      <c r="BP141">
        <v>2</v>
      </c>
      <c r="BQ141">
        <v>32</v>
      </c>
      <c r="BR141" t="s">
        <v>1453</v>
      </c>
      <c r="BT141" t="s">
        <v>225</v>
      </c>
      <c r="BU141" s="1">
        <v>45460</v>
      </c>
      <c r="BV141">
        <v>34937</v>
      </c>
      <c r="BW141" s="155"/>
      <c r="BX141" t="s">
        <v>170</v>
      </c>
      <c r="BY141" t="s">
        <v>170</v>
      </c>
      <c r="CB141" t="s">
        <v>170</v>
      </c>
      <c r="CC141" t="s">
        <v>170</v>
      </c>
      <c r="CE141" t="s">
        <v>170</v>
      </c>
      <c r="CG141" t="s">
        <v>169</v>
      </c>
      <c r="CH141" t="s">
        <v>240</v>
      </c>
      <c r="CI141" t="s">
        <v>170</v>
      </c>
      <c r="DJ141" t="s">
        <v>184</v>
      </c>
      <c r="DK141" t="s">
        <v>185</v>
      </c>
      <c r="DN141" t="s">
        <v>170</v>
      </c>
      <c r="DO141" t="s">
        <v>197</v>
      </c>
      <c r="DP141" t="s">
        <v>169</v>
      </c>
      <c r="DQ141" t="s">
        <v>198</v>
      </c>
      <c r="EA141" s="101"/>
      <c r="EB141">
        <v>5</v>
      </c>
      <c r="EC141">
        <v>5</v>
      </c>
      <c r="EE141" t="s">
        <v>1455</v>
      </c>
      <c r="EF141">
        <v>5</v>
      </c>
      <c r="EV141">
        <v>2000</v>
      </c>
      <c r="EW141">
        <v>431</v>
      </c>
      <c r="EX141">
        <v>334</v>
      </c>
      <c r="EY141">
        <v>387</v>
      </c>
    </row>
    <row r="142" spans="1:155" x14ac:dyDescent="0.35">
      <c r="A142">
        <v>2025</v>
      </c>
      <c r="B142" t="s">
        <v>220</v>
      </c>
      <c r="C142" t="s">
        <v>901</v>
      </c>
      <c r="D142" t="s">
        <v>1264</v>
      </c>
      <c r="E142" t="s">
        <v>223</v>
      </c>
      <c r="F142">
        <v>850</v>
      </c>
      <c r="G142">
        <v>1.3</v>
      </c>
      <c r="H142">
        <v>3</v>
      </c>
      <c r="I142" t="s">
        <v>282</v>
      </c>
      <c r="J142">
        <v>26</v>
      </c>
      <c r="K142">
        <v>28</v>
      </c>
      <c r="L142">
        <v>27</v>
      </c>
      <c r="M142">
        <v>33.398699999999998</v>
      </c>
      <c r="N142">
        <v>43.200400000000002</v>
      </c>
      <c r="O142">
        <v>37.1965</v>
      </c>
      <c r="P142">
        <v>25.7561</v>
      </c>
      <c r="Q142">
        <v>28</v>
      </c>
      <c r="R142">
        <v>27.1066</v>
      </c>
      <c r="T142" t="s">
        <v>165</v>
      </c>
      <c r="U142" t="s">
        <v>166</v>
      </c>
      <c r="V142" t="s">
        <v>167</v>
      </c>
      <c r="W142" t="s">
        <v>168</v>
      </c>
      <c r="Y142">
        <v>9</v>
      </c>
      <c r="Z142" t="s">
        <v>169</v>
      </c>
      <c r="AA142" t="s">
        <v>170</v>
      </c>
      <c r="AB142" t="s">
        <v>167</v>
      </c>
      <c r="AC142" t="s">
        <v>213</v>
      </c>
      <c r="AD142">
        <v>10</v>
      </c>
      <c r="AG142" t="s">
        <v>210</v>
      </c>
      <c r="AH142" t="s">
        <v>444</v>
      </c>
      <c r="AI142" t="s">
        <v>175</v>
      </c>
      <c r="AJ142" t="s">
        <v>176</v>
      </c>
      <c r="AK142" t="s">
        <v>940</v>
      </c>
      <c r="AL142" t="s">
        <v>941</v>
      </c>
      <c r="AO142">
        <v>94</v>
      </c>
      <c r="AP142">
        <v>24</v>
      </c>
      <c r="AS142">
        <v>1950</v>
      </c>
      <c r="AT142">
        <v>1950</v>
      </c>
      <c r="BN142" t="s">
        <v>178</v>
      </c>
      <c r="BO142">
        <v>2</v>
      </c>
      <c r="BP142">
        <v>2</v>
      </c>
      <c r="BQ142">
        <v>31</v>
      </c>
      <c r="BR142" t="s">
        <v>1219</v>
      </c>
      <c r="BT142" t="s">
        <v>457</v>
      </c>
      <c r="BU142" s="1">
        <v>45383</v>
      </c>
      <c r="BV142">
        <v>34590</v>
      </c>
      <c r="BW142" s="155"/>
      <c r="BX142" t="s">
        <v>170</v>
      </c>
      <c r="BY142" t="s">
        <v>170</v>
      </c>
      <c r="CB142" t="s">
        <v>170</v>
      </c>
      <c r="CC142" t="s">
        <v>170</v>
      </c>
      <c r="CE142" t="s">
        <v>170</v>
      </c>
      <c r="CG142" t="s">
        <v>169</v>
      </c>
      <c r="CH142" t="s">
        <v>905</v>
      </c>
      <c r="CI142" t="s">
        <v>170</v>
      </c>
      <c r="DJ142" t="s">
        <v>184</v>
      </c>
      <c r="DK142" t="s">
        <v>185</v>
      </c>
      <c r="DN142" t="s">
        <v>170</v>
      </c>
      <c r="DO142" t="s">
        <v>490</v>
      </c>
      <c r="DP142" t="s">
        <v>169</v>
      </c>
      <c r="DQ142" t="s">
        <v>198</v>
      </c>
      <c r="EA142" s="101"/>
      <c r="EB142">
        <v>5</v>
      </c>
      <c r="EC142">
        <v>5</v>
      </c>
      <c r="EE142" t="s">
        <v>1102</v>
      </c>
      <c r="EF142">
        <v>6</v>
      </c>
      <c r="EV142">
        <v>250</v>
      </c>
      <c r="EW142">
        <v>347</v>
      </c>
      <c r="EX142">
        <v>328</v>
      </c>
      <c r="EY142">
        <v>339</v>
      </c>
    </row>
    <row r="143" spans="1:155" x14ac:dyDescent="0.35">
      <c r="A143">
        <v>2025</v>
      </c>
      <c r="B143" t="s">
        <v>220</v>
      </c>
      <c r="C143" t="s">
        <v>901</v>
      </c>
      <c r="D143" t="s">
        <v>1101</v>
      </c>
      <c r="E143" t="s">
        <v>223</v>
      </c>
      <c r="F143">
        <v>301</v>
      </c>
      <c r="G143">
        <v>1.3</v>
      </c>
      <c r="H143">
        <v>3</v>
      </c>
      <c r="I143" t="s">
        <v>587</v>
      </c>
      <c r="J143">
        <v>29</v>
      </c>
      <c r="K143">
        <v>31</v>
      </c>
      <c r="L143">
        <v>30</v>
      </c>
      <c r="M143">
        <v>38.9</v>
      </c>
      <c r="N143">
        <v>49.8</v>
      </c>
      <c r="O143">
        <v>43.15</v>
      </c>
      <c r="P143">
        <v>29.486699999999999</v>
      </c>
      <c r="Q143">
        <v>31</v>
      </c>
      <c r="R143">
        <v>30</v>
      </c>
      <c r="T143" t="s">
        <v>165</v>
      </c>
      <c r="U143" t="s">
        <v>166</v>
      </c>
      <c r="V143" t="s">
        <v>588</v>
      </c>
      <c r="W143" t="s">
        <v>589</v>
      </c>
      <c r="Y143">
        <v>1</v>
      </c>
      <c r="Z143" t="s">
        <v>170</v>
      </c>
      <c r="AA143" t="s">
        <v>170</v>
      </c>
      <c r="AB143" t="s">
        <v>351</v>
      </c>
      <c r="AC143" t="s">
        <v>352</v>
      </c>
      <c r="AD143">
        <v>10</v>
      </c>
      <c r="AG143" t="s">
        <v>210</v>
      </c>
      <c r="AH143" t="s">
        <v>444</v>
      </c>
      <c r="AI143" t="s">
        <v>175</v>
      </c>
      <c r="AJ143" t="s">
        <v>176</v>
      </c>
      <c r="AK143" t="s">
        <v>940</v>
      </c>
      <c r="AL143" t="s">
        <v>941</v>
      </c>
      <c r="AS143">
        <v>1750</v>
      </c>
      <c r="AT143">
        <v>1750</v>
      </c>
      <c r="BN143" t="s">
        <v>178</v>
      </c>
      <c r="BO143">
        <v>2</v>
      </c>
      <c r="BP143">
        <v>2</v>
      </c>
      <c r="BQ143">
        <v>30</v>
      </c>
      <c r="BR143" t="s">
        <v>1099</v>
      </c>
      <c r="BT143" t="s">
        <v>457</v>
      </c>
      <c r="BU143" s="1">
        <v>45383</v>
      </c>
      <c r="BV143">
        <v>34605</v>
      </c>
      <c r="BW143" s="156"/>
      <c r="BX143" t="s">
        <v>170</v>
      </c>
      <c r="BY143" t="s">
        <v>170</v>
      </c>
      <c r="CB143" t="s">
        <v>170</v>
      </c>
      <c r="CC143" t="s">
        <v>170</v>
      </c>
      <c r="CE143" t="s">
        <v>170</v>
      </c>
      <c r="CG143" t="s">
        <v>169</v>
      </c>
      <c r="CH143" t="s">
        <v>905</v>
      </c>
      <c r="CI143" t="s">
        <v>170</v>
      </c>
      <c r="DJ143" t="s">
        <v>184</v>
      </c>
      <c r="DK143" t="s">
        <v>185</v>
      </c>
      <c r="DN143" t="s">
        <v>170</v>
      </c>
      <c r="DO143" t="s">
        <v>490</v>
      </c>
      <c r="DP143" t="s">
        <v>169</v>
      </c>
      <c r="DQ143" t="s">
        <v>198</v>
      </c>
      <c r="DY143">
        <v>43.4</v>
      </c>
      <c r="EA143" s="89"/>
      <c r="EB143">
        <v>6</v>
      </c>
      <c r="EC143">
        <v>6</v>
      </c>
      <c r="EE143" t="s">
        <v>1102</v>
      </c>
      <c r="EF143">
        <v>6</v>
      </c>
      <c r="EU143">
        <v>750</v>
      </c>
      <c r="EW143">
        <v>302</v>
      </c>
      <c r="EX143">
        <v>287</v>
      </c>
      <c r="EY143">
        <v>297</v>
      </c>
    </row>
    <row r="144" spans="1:155" x14ac:dyDescent="0.35">
      <c r="A144">
        <v>2025</v>
      </c>
      <c r="B144" t="s">
        <v>220</v>
      </c>
      <c r="C144" t="s">
        <v>901</v>
      </c>
      <c r="D144" t="s">
        <v>1101</v>
      </c>
      <c r="E144" t="s">
        <v>223</v>
      </c>
      <c r="F144">
        <v>305</v>
      </c>
      <c r="G144">
        <v>1.2</v>
      </c>
      <c r="H144">
        <v>3</v>
      </c>
      <c r="I144" t="s">
        <v>587</v>
      </c>
      <c r="J144">
        <v>30</v>
      </c>
      <c r="K144">
        <v>31</v>
      </c>
      <c r="L144">
        <v>30</v>
      </c>
      <c r="M144">
        <v>40.242400000000004</v>
      </c>
      <c r="N144">
        <v>47.840600000000002</v>
      </c>
      <c r="O144">
        <v>43.3399</v>
      </c>
      <c r="P144">
        <v>30.377800000000001</v>
      </c>
      <c r="Q144">
        <v>31.354600000000001</v>
      </c>
      <c r="R144">
        <v>30</v>
      </c>
      <c r="T144" t="s">
        <v>165</v>
      </c>
      <c r="U144" t="s">
        <v>166</v>
      </c>
      <c r="V144" t="s">
        <v>588</v>
      </c>
      <c r="W144" t="s">
        <v>589</v>
      </c>
      <c r="Y144">
        <v>1</v>
      </c>
      <c r="Z144" t="s">
        <v>170</v>
      </c>
      <c r="AA144" t="s">
        <v>170</v>
      </c>
      <c r="AB144" t="s">
        <v>351</v>
      </c>
      <c r="AC144" t="s">
        <v>352</v>
      </c>
      <c r="AD144">
        <v>85</v>
      </c>
      <c r="AF144">
        <v>396</v>
      </c>
      <c r="AG144" t="s">
        <v>210</v>
      </c>
      <c r="AH144" t="s">
        <v>444</v>
      </c>
      <c r="AI144" t="s">
        <v>175</v>
      </c>
      <c r="AJ144" t="s">
        <v>176</v>
      </c>
      <c r="AK144" t="s">
        <v>940</v>
      </c>
      <c r="AL144" t="s">
        <v>941</v>
      </c>
      <c r="AS144">
        <v>1750</v>
      </c>
      <c r="AT144">
        <v>1750</v>
      </c>
      <c r="AU144">
        <v>22</v>
      </c>
      <c r="AV144">
        <v>23</v>
      </c>
      <c r="AW144">
        <v>22</v>
      </c>
      <c r="AX144">
        <v>28.691700000000001</v>
      </c>
      <c r="AY144">
        <v>35.078800000000001</v>
      </c>
      <c r="AZ144">
        <v>31.252400000000002</v>
      </c>
      <c r="BA144">
        <v>21.659400000000002</v>
      </c>
      <c r="BB144">
        <v>22.991700000000002</v>
      </c>
      <c r="BC144">
        <v>22.2393</v>
      </c>
      <c r="BD144">
        <v>290</v>
      </c>
      <c r="BE144" t="s">
        <v>907</v>
      </c>
      <c r="BF144" t="s">
        <v>908</v>
      </c>
      <c r="BG144" t="s">
        <v>175</v>
      </c>
      <c r="BH144" t="s">
        <v>176</v>
      </c>
      <c r="BI144">
        <v>2100</v>
      </c>
      <c r="BJ144">
        <v>291</v>
      </c>
      <c r="BK144">
        <v>274</v>
      </c>
      <c r="BL144">
        <v>284</v>
      </c>
      <c r="BM144">
        <v>2100</v>
      </c>
      <c r="BN144" t="s">
        <v>909</v>
      </c>
      <c r="BO144">
        <v>2</v>
      </c>
      <c r="BP144">
        <v>2</v>
      </c>
      <c r="BQ144">
        <v>30</v>
      </c>
      <c r="BR144" t="s">
        <v>1099</v>
      </c>
      <c r="BT144" t="s">
        <v>457</v>
      </c>
      <c r="BU144" s="1">
        <v>45386</v>
      </c>
      <c r="BV144">
        <v>34635</v>
      </c>
      <c r="BW144" s="155"/>
      <c r="BX144" t="s">
        <v>170</v>
      </c>
      <c r="BY144" t="s">
        <v>170</v>
      </c>
      <c r="CB144" t="s">
        <v>170</v>
      </c>
      <c r="CC144" t="s">
        <v>170</v>
      </c>
      <c r="CD144" t="s">
        <v>904</v>
      </c>
      <c r="CE144" t="s">
        <v>170</v>
      </c>
      <c r="CG144" t="s">
        <v>169</v>
      </c>
      <c r="CH144" t="s">
        <v>905</v>
      </c>
      <c r="CI144" t="s">
        <v>170</v>
      </c>
      <c r="DJ144" t="s">
        <v>184</v>
      </c>
      <c r="DK144" t="s">
        <v>185</v>
      </c>
      <c r="DN144" t="s">
        <v>170</v>
      </c>
      <c r="DO144" t="s">
        <v>197</v>
      </c>
      <c r="DP144" t="s">
        <v>169</v>
      </c>
      <c r="DQ144" t="s">
        <v>198</v>
      </c>
      <c r="DY144">
        <v>43.6</v>
      </c>
      <c r="EA144" s="101"/>
      <c r="EB144">
        <v>6</v>
      </c>
      <c r="EC144">
        <v>6</v>
      </c>
      <c r="ED144">
        <v>6</v>
      </c>
      <c r="EE144" t="s">
        <v>910</v>
      </c>
      <c r="EF144">
        <v>6</v>
      </c>
      <c r="EU144">
        <v>750</v>
      </c>
      <c r="EW144">
        <v>293</v>
      </c>
      <c r="EX144">
        <v>284</v>
      </c>
      <c r="EY144">
        <v>297</v>
      </c>
    </row>
    <row r="145" spans="1:155" x14ac:dyDescent="0.35">
      <c r="A145">
        <v>2025</v>
      </c>
      <c r="B145" t="s">
        <v>220</v>
      </c>
      <c r="C145" t="s">
        <v>901</v>
      </c>
      <c r="D145" t="s">
        <v>1265</v>
      </c>
      <c r="E145" t="s">
        <v>223</v>
      </c>
      <c r="F145">
        <v>935</v>
      </c>
      <c r="G145">
        <v>2</v>
      </c>
      <c r="H145">
        <v>4</v>
      </c>
      <c r="I145" t="s">
        <v>292</v>
      </c>
      <c r="J145">
        <v>22</v>
      </c>
      <c r="K145">
        <v>28</v>
      </c>
      <c r="L145">
        <v>24</v>
      </c>
      <c r="M145">
        <v>27.3</v>
      </c>
      <c r="N145">
        <v>40.799999999999997</v>
      </c>
      <c r="O145">
        <v>32.076000000000001</v>
      </c>
      <c r="P145">
        <v>22</v>
      </c>
      <c r="Q145">
        <v>28.244900000000001</v>
      </c>
      <c r="R145">
        <v>24</v>
      </c>
      <c r="T145" t="s">
        <v>165</v>
      </c>
      <c r="U145" t="s">
        <v>166</v>
      </c>
      <c r="V145" t="s">
        <v>193</v>
      </c>
      <c r="W145" t="s">
        <v>194</v>
      </c>
      <c r="Y145">
        <v>9</v>
      </c>
      <c r="Z145" t="s">
        <v>169</v>
      </c>
      <c r="AA145" t="s">
        <v>170</v>
      </c>
      <c r="AB145" t="s">
        <v>167</v>
      </c>
      <c r="AC145" t="s">
        <v>213</v>
      </c>
      <c r="AD145">
        <v>10</v>
      </c>
      <c r="AG145" t="s">
        <v>210</v>
      </c>
      <c r="AH145" t="s">
        <v>444</v>
      </c>
      <c r="AI145" t="s">
        <v>175</v>
      </c>
      <c r="AJ145" t="s">
        <v>176</v>
      </c>
      <c r="AK145" t="s">
        <v>940</v>
      </c>
      <c r="AL145" t="s">
        <v>941</v>
      </c>
      <c r="AS145">
        <v>2200</v>
      </c>
      <c r="AT145">
        <v>2200</v>
      </c>
      <c r="BN145" t="s">
        <v>178</v>
      </c>
      <c r="BO145">
        <v>2</v>
      </c>
      <c r="BP145">
        <v>2</v>
      </c>
      <c r="BQ145">
        <v>31</v>
      </c>
      <c r="BR145" t="s">
        <v>1219</v>
      </c>
      <c r="BT145" t="s">
        <v>457</v>
      </c>
      <c r="BU145" s="1">
        <v>45484</v>
      </c>
      <c r="BV145">
        <v>35154</v>
      </c>
      <c r="BW145" s="155"/>
      <c r="BX145" t="s">
        <v>170</v>
      </c>
      <c r="BY145" t="s">
        <v>170</v>
      </c>
      <c r="CB145" t="s">
        <v>170</v>
      </c>
      <c r="CC145" t="s">
        <v>170</v>
      </c>
      <c r="CE145" t="s">
        <v>169</v>
      </c>
      <c r="CF145" t="s">
        <v>227</v>
      </c>
      <c r="CG145" t="s">
        <v>169</v>
      </c>
      <c r="CH145" t="s">
        <v>240</v>
      </c>
      <c r="CI145" t="s">
        <v>169</v>
      </c>
      <c r="CJ145" t="s">
        <v>561</v>
      </c>
      <c r="DJ145" t="s">
        <v>184</v>
      </c>
      <c r="DK145" t="s">
        <v>185</v>
      </c>
      <c r="DN145" t="s">
        <v>170</v>
      </c>
      <c r="DO145" t="s">
        <v>197</v>
      </c>
      <c r="DP145" t="s">
        <v>169</v>
      </c>
      <c r="DQ145" t="s">
        <v>198</v>
      </c>
      <c r="EA145" s="101"/>
      <c r="EB145">
        <v>5</v>
      </c>
      <c r="EC145">
        <v>5</v>
      </c>
      <c r="EE145" t="s">
        <v>1266</v>
      </c>
      <c r="EF145">
        <v>6</v>
      </c>
      <c r="EV145">
        <v>1500</v>
      </c>
      <c r="EW145">
        <v>404</v>
      </c>
      <c r="EX145">
        <v>315</v>
      </c>
      <c r="EY145">
        <v>371</v>
      </c>
    </row>
    <row r="146" spans="1:155" x14ac:dyDescent="0.35">
      <c r="A146">
        <v>2025</v>
      </c>
      <c r="B146" t="s">
        <v>220</v>
      </c>
      <c r="C146" t="s">
        <v>901</v>
      </c>
      <c r="D146" t="s">
        <v>902</v>
      </c>
      <c r="E146" t="s">
        <v>223</v>
      </c>
      <c r="F146">
        <v>304</v>
      </c>
      <c r="G146">
        <v>1.2</v>
      </c>
      <c r="H146">
        <v>3</v>
      </c>
      <c r="I146" t="s">
        <v>903</v>
      </c>
      <c r="J146">
        <v>28</v>
      </c>
      <c r="K146">
        <v>32</v>
      </c>
      <c r="L146">
        <v>30</v>
      </c>
      <c r="M146">
        <v>36.9</v>
      </c>
      <c r="N146">
        <v>50.3</v>
      </c>
      <c r="O146">
        <v>41.926099999999998</v>
      </c>
      <c r="P146">
        <v>28.145199999999999</v>
      </c>
      <c r="Q146">
        <v>32</v>
      </c>
      <c r="R146">
        <v>30</v>
      </c>
      <c r="T146" t="s">
        <v>165</v>
      </c>
      <c r="U146" t="s">
        <v>166</v>
      </c>
      <c r="V146" t="s">
        <v>167</v>
      </c>
      <c r="W146" t="s">
        <v>168</v>
      </c>
      <c r="Y146">
        <v>6</v>
      </c>
      <c r="Z146" t="s">
        <v>169</v>
      </c>
      <c r="AA146" t="s">
        <v>170</v>
      </c>
      <c r="AB146" t="s">
        <v>351</v>
      </c>
      <c r="AC146" t="s">
        <v>352</v>
      </c>
      <c r="AD146">
        <v>10</v>
      </c>
      <c r="AG146" t="s">
        <v>210</v>
      </c>
      <c r="AH146" t="s">
        <v>444</v>
      </c>
      <c r="AI146" t="s">
        <v>175</v>
      </c>
      <c r="AJ146" t="s">
        <v>176</v>
      </c>
      <c r="AK146" t="s">
        <v>170</v>
      </c>
      <c r="AL146" t="s">
        <v>177</v>
      </c>
      <c r="AO146">
        <v>94</v>
      </c>
      <c r="AP146">
        <v>24</v>
      </c>
      <c r="AS146">
        <v>1750</v>
      </c>
      <c r="AT146">
        <v>1750</v>
      </c>
      <c r="BN146" t="s">
        <v>178</v>
      </c>
      <c r="BO146">
        <v>2</v>
      </c>
      <c r="BP146">
        <v>2</v>
      </c>
      <c r="BQ146">
        <v>7</v>
      </c>
      <c r="BR146" t="s">
        <v>897</v>
      </c>
      <c r="BS146" t="s">
        <v>180</v>
      </c>
      <c r="BT146" t="s">
        <v>457</v>
      </c>
      <c r="BU146" s="1">
        <v>45373</v>
      </c>
      <c r="BV146">
        <v>34603</v>
      </c>
      <c r="BW146" s="156"/>
      <c r="BX146" t="s">
        <v>170</v>
      </c>
      <c r="BY146" t="s">
        <v>170</v>
      </c>
      <c r="CB146" t="s">
        <v>170</v>
      </c>
      <c r="CC146" t="s">
        <v>170</v>
      </c>
      <c r="CD146" t="s">
        <v>904</v>
      </c>
      <c r="CE146" t="s">
        <v>170</v>
      </c>
      <c r="CG146" t="s">
        <v>169</v>
      </c>
      <c r="CH146" t="s">
        <v>905</v>
      </c>
      <c r="CI146" t="s">
        <v>170</v>
      </c>
      <c r="DJ146" t="s">
        <v>184</v>
      </c>
      <c r="DK146" t="s">
        <v>185</v>
      </c>
      <c r="DN146" t="s">
        <v>170</v>
      </c>
      <c r="DO146" t="s">
        <v>197</v>
      </c>
      <c r="DP146" t="s">
        <v>169</v>
      </c>
      <c r="DQ146" t="s">
        <v>198</v>
      </c>
      <c r="DY146">
        <v>42.2</v>
      </c>
      <c r="EA146" s="89"/>
      <c r="EB146">
        <v>6</v>
      </c>
      <c r="EC146">
        <v>6</v>
      </c>
      <c r="EE146" t="s">
        <v>906</v>
      </c>
      <c r="EF146">
        <v>6</v>
      </c>
      <c r="EU146">
        <v>750</v>
      </c>
      <c r="EW146">
        <v>316</v>
      </c>
      <c r="EX146">
        <v>277</v>
      </c>
      <c r="EY146">
        <v>296</v>
      </c>
    </row>
    <row r="147" spans="1:155" x14ac:dyDescent="0.35">
      <c r="A147">
        <v>2025</v>
      </c>
      <c r="B147" t="s">
        <v>220</v>
      </c>
      <c r="C147" t="s">
        <v>901</v>
      </c>
      <c r="D147" t="s">
        <v>902</v>
      </c>
      <c r="E147" t="s">
        <v>223</v>
      </c>
      <c r="F147">
        <v>307</v>
      </c>
      <c r="G147">
        <v>1.2</v>
      </c>
      <c r="H147">
        <v>3</v>
      </c>
      <c r="I147" t="s">
        <v>903</v>
      </c>
      <c r="J147">
        <v>28</v>
      </c>
      <c r="K147">
        <v>32</v>
      </c>
      <c r="L147">
        <v>30</v>
      </c>
      <c r="M147">
        <v>37.200000000000003</v>
      </c>
      <c r="N147">
        <v>52.1</v>
      </c>
      <c r="O147">
        <v>42.694600000000001</v>
      </c>
      <c r="P147">
        <v>28.3475</v>
      </c>
      <c r="Q147">
        <v>32</v>
      </c>
      <c r="R147">
        <v>30.193999999999999</v>
      </c>
      <c r="T147" t="s">
        <v>165</v>
      </c>
      <c r="U147" t="s">
        <v>166</v>
      </c>
      <c r="V147" t="s">
        <v>167</v>
      </c>
      <c r="W147" t="s">
        <v>168</v>
      </c>
      <c r="Y147">
        <v>6</v>
      </c>
      <c r="Z147" t="s">
        <v>169</v>
      </c>
      <c r="AA147" t="s">
        <v>170</v>
      </c>
      <c r="AB147" t="s">
        <v>351</v>
      </c>
      <c r="AC147" t="s">
        <v>352</v>
      </c>
      <c r="AD147">
        <v>85</v>
      </c>
      <c r="AF147">
        <v>393</v>
      </c>
      <c r="AG147" t="s">
        <v>210</v>
      </c>
      <c r="AH147" t="s">
        <v>444</v>
      </c>
      <c r="AI147" t="s">
        <v>175</v>
      </c>
      <c r="AJ147" t="s">
        <v>176</v>
      </c>
      <c r="AK147" t="s">
        <v>170</v>
      </c>
      <c r="AL147" t="s">
        <v>177</v>
      </c>
      <c r="AO147">
        <v>94</v>
      </c>
      <c r="AP147">
        <v>24</v>
      </c>
      <c r="AS147">
        <v>1750</v>
      </c>
      <c r="AT147">
        <v>1750</v>
      </c>
      <c r="AU147">
        <v>20</v>
      </c>
      <c r="AV147">
        <v>24</v>
      </c>
      <c r="AW147">
        <v>22</v>
      </c>
      <c r="AX147">
        <v>26.9</v>
      </c>
      <c r="AY147">
        <v>38</v>
      </c>
      <c r="AZ147">
        <v>30.9711</v>
      </c>
      <c r="BA147">
        <v>20.4986</v>
      </c>
      <c r="BB147">
        <v>23.927499999999998</v>
      </c>
      <c r="BC147">
        <v>21.9116</v>
      </c>
      <c r="BD147">
        <v>288</v>
      </c>
      <c r="BE147" t="s">
        <v>907</v>
      </c>
      <c r="BF147" t="s">
        <v>908</v>
      </c>
      <c r="BG147" t="s">
        <v>175</v>
      </c>
      <c r="BH147" t="s">
        <v>176</v>
      </c>
      <c r="BI147">
        <v>2100</v>
      </c>
      <c r="BJ147">
        <v>307</v>
      </c>
      <c r="BK147">
        <v>262</v>
      </c>
      <c r="BL147">
        <v>287</v>
      </c>
      <c r="BM147">
        <v>2100</v>
      </c>
      <c r="BN147" t="s">
        <v>909</v>
      </c>
      <c r="BO147">
        <v>2</v>
      </c>
      <c r="BP147">
        <v>2</v>
      </c>
      <c r="BQ147">
        <v>7</v>
      </c>
      <c r="BR147" t="s">
        <v>897</v>
      </c>
      <c r="BS147" t="s">
        <v>180</v>
      </c>
      <c r="BT147" t="s">
        <v>457</v>
      </c>
      <c r="BU147" s="1">
        <v>45418</v>
      </c>
      <c r="BV147">
        <v>34674</v>
      </c>
      <c r="BW147" s="155"/>
      <c r="BX147" t="s">
        <v>170</v>
      </c>
      <c r="BY147" t="s">
        <v>170</v>
      </c>
      <c r="CB147" t="s">
        <v>170</v>
      </c>
      <c r="CC147" t="s">
        <v>170</v>
      </c>
      <c r="CD147" t="s">
        <v>904</v>
      </c>
      <c r="CE147" t="s">
        <v>170</v>
      </c>
      <c r="CG147" t="s">
        <v>169</v>
      </c>
      <c r="CH147" t="s">
        <v>905</v>
      </c>
      <c r="CI147" t="s">
        <v>170</v>
      </c>
      <c r="DJ147" t="s">
        <v>184</v>
      </c>
      <c r="DK147" t="s">
        <v>185</v>
      </c>
      <c r="DN147" t="s">
        <v>170</v>
      </c>
      <c r="DO147" t="s">
        <v>197</v>
      </c>
      <c r="DP147" t="s">
        <v>169</v>
      </c>
      <c r="DQ147" t="s">
        <v>198</v>
      </c>
      <c r="DY147">
        <v>43</v>
      </c>
      <c r="EA147" s="101"/>
      <c r="EB147">
        <v>6</v>
      </c>
      <c r="EC147">
        <v>6</v>
      </c>
      <c r="ED147">
        <v>6</v>
      </c>
      <c r="EE147" t="s">
        <v>910</v>
      </c>
      <c r="EF147">
        <v>6</v>
      </c>
      <c r="EU147">
        <v>750</v>
      </c>
      <c r="EW147">
        <v>314</v>
      </c>
      <c r="EX147">
        <v>277</v>
      </c>
      <c r="EY147">
        <v>297</v>
      </c>
    </row>
    <row r="148" spans="1:155" x14ac:dyDescent="0.35">
      <c r="A148">
        <v>2025</v>
      </c>
      <c r="B148" t="s">
        <v>220</v>
      </c>
      <c r="C148" t="s">
        <v>558</v>
      </c>
      <c r="D148" t="s">
        <v>559</v>
      </c>
      <c r="E148" t="s">
        <v>223</v>
      </c>
      <c r="F148">
        <v>316</v>
      </c>
      <c r="G148">
        <v>2.7</v>
      </c>
      <c r="H148">
        <v>4</v>
      </c>
      <c r="I148" t="s">
        <v>331</v>
      </c>
      <c r="J148">
        <v>21</v>
      </c>
      <c r="K148">
        <v>31</v>
      </c>
      <c r="L148">
        <v>25</v>
      </c>
      <c r="M148">
        <v>27.2</v>
      </c>
      <c r="N148">
        <v>44.2</v>
      </c>
      <c r="O148">
        <v>32.893000000000001</v>
      </c>
      <c r="P148">
        <v>21.394200000000001</v>
      </c>
      <c r="Q148">
        <v>30.7898</v>
      </c>
      <c r="R148">
        <v>24.799700000000001</v>
      </c>
      <c r="T148" t="s">
        <v>165</v>
      </c>
      <c r="U148" t="s">
        <v>166</v>
      </c>
      <c r="V148" t="s">
        <v>193</v>
      </c>
      <c r="W148" t="s">
        <v>194</v>
      </c>
      <c r="Y148">
        <v>10</v>
      </c>
      <c r="Z148" t="s">
        <v>169</v>
      </c>
      <c r="AA148" t="s">
        <v>170</v>
      </c>
      <c r="AB148" t="s">
        <v>171</v>
      </c>
      <c r="AC148" t="s">
        <v>172</v>
      </c>
      <c r="AD148">
        <v>10</v>
      </c>
      <c r="AG148" t="s">
        <v>214</v>
      </c>
      <c r="AH148" t="s">
        <v>215</v>
      </c>
      <c r="AI148" t="s">
        <v>175</v>
      </c>
      <c r="AJ148" t="s">
        <v>176</v>
      </c>
      <c r="AK148" t="s">
        <v>170</v>
      </c>
      <c r="AL148" t="s">
        <v>177</v>
      </c>
      <c r="AO148">
        <v>90</v>
      </c>
      <c r="AP148">
        <v>11</v>
      </c>
      <c r="AS148">
        <v>2550</v>
      </c>
      <c r="AT148">
        <v>2550</v>
      </c>
      <c r="BN148" t="s">
        <v>178</v>
      </c>
      <c r="BO148">
        <v>2</v>
      </c>
      <c r="BP148">
        <v>2</v>
      </c>
      <c r="BQ148">
        <v>4</v>
      </c>
      <c r="BR148" t="s">
        <v>521</v>
      </c>
      <c r="BS148" t="s">
        <v>180</v>
      </c>
      <c r="BT148" t="s">
        <v>181</v>
      </c>
      <c r="BU148" s="1">
        <v>45446</v>
      </c>
      <c r="BV148">
        <v>34823</v>
      </c>
      <c r="BW148" s="155"/>
      <c r="BX148" t="s">
        <v>170</v>
      </c>
      <c r="BY148" t="s">
        <v>170</v>
      </c>
      <c r="CB148" t="s">
        <v>170</v>
      </c>
      <c r="CC148" t="s">
        <v>170</v>
      </c>
      <c r="CD148" t="s">
        <v>560</v>
      </c>
      <c r="CE148" t="s">
        <v>169</v>
      </c>
      <c r="CF148" t="s">
        <v>227</v>
      </c>
      <c r="CG148" t="s">
        <v>169</v>
      </c>
      <c r="CH148" t="s">
        <v>240</v>
      </c>
      <c r="CI148" t="s">
        <v>169</v>
      </c>
      <c r="CJ148" t="s">
        <v>561</v>
      </c>
      <c r="DJ148" t="s">
        <v>184</v>
      </c>
      <c r="DK148" t="s">
        <v>185</v>
      </c>
      <c r="DN148" t="s">
        <v>170</v>
      </c>
      <c r="DO148" t="s">
        <v>197</v>
      </c>
      <c r="DP148" t="s">
        <v>169</v>
      </c>
      <c r="DQ148" t="s">
        <v>198</v>
      </c>
      <c r="DY148">
        <v>33.1</v>
      </c>
      <c r="EA148" s="101"/>
      <c r="EB148">
        <v>5</v>
      </c>
      <c r="EC148">
        <v>5</v>
      </c>
      <c r="EE148" t="s">
        <v>562</v>
      </c>
      <c r="EF148">
        <v>5</v>
      </c>
      <c r="EV148">
        <v>3250</v>
      </c>
      <c r="EW148">
        <v>412</v>
      </c>
      <c r="EX148">
        <v>287</v>
      </c>
      <c r="EY148">
        <v>356</v>
      </c>
    </row>
    <row r="149" spans="1:155" x14ac:dyDescent="0.35">
      <c r="A149">
        <v>2025</v>
      </c>
      <c r="B149" t="s">
        <v>220</v>
      </c>
      <c r="C149" t="s">
        <v>558</v>
      </c>
      <c r="D149" t="s">
        <v>563</v>
      </c>
      <c r="E149" t="s">
        <v>223</v>
      </c>
      <c r="F149">
        <v>315</v>
      </c>
      <c r="G149">
        <v>2</v>
      </c>
      <c r="H149">
        <v>4</v>
      </c>
      <c r="I149" t="s">
        <v>192</v>
      </c>
      <c r="J149">
        <v>21</v>
      </c>
      <c r="K149">
        <v>31</v>
      </c>
      <c r="L149">
        <v>25</v>
      </c>
      <c r="M149">
        <v>27.3</v>
      </c>
      <c r="N149">
        <v>45.9</v>
      </c>
      <c r="O149">
        <v>33.388500000000001</v>
      </c>
      <c r="P149">
        <v>21.465900000000001</v>
      </c>
      <c r="Q149">
        <v>31</v>
      </c>
      <c r="R149">
        <v>25.157800000000002</v>
      </c>
      <c r="T149" t="s">
        <v>165</v>
      </c>
      <c r="U149" t="s">
        <v>166</v>
      </c>
      <c r="V149" t="s">
        <v>193</v>
      </c>
      <c r="W149" t="s">
        <v>194</v>
      </c>
      <c r="Y149">
        <v>8</v>
      </c>
      <c r="Z149" t="s">
        <v>169</v>
      </c>
      <c r="AA149" t="s">
        <v>170</v>
      </c>
      <c r="AB149" t="s">
        <v>167</v>
      </c>
      <c r="AC149" t="s">
        <v>213</v>
      </c>
      <c r="AD149">
        <v>10</v>
      </c>
      <c r="AG149" t="s">
        <v>214</v>
      </c>
      <c r="AH149" t="s">
        <v>215</v>
      </c>
      <c r="AI149" t="s">
        <v>175</v>
      </c>
      <c r="AJ149" t="s">
        <v>176</v>
      </c>
      <c r="AK149" t="s">
        <v>170</v>
      </c>
      <c r="AL149" t="s">
        <v>177</v>
      </c>
      <c r="AO149">
        <v>90</v>
      </c>
      <c r="AP149">
        <v>11</v>
      </c>
      <c r="AS149">
        <v>2550</v>
      </c>
      <c r="AT149">
        <v>2550</v>
      </c>
      <c r="BN149" t="s">
        <v>178</v>
      </c>
      <c r="BO149">
        <v>2</v>
      </c>
      <c r="BP149">
        <v>2</v>
      </c>
      <c r="BQ149">
        <v>4</v>
      </c>
      <c r="BR149" t="s">
        <v>521</v>
      </c>
      <c r="BS149" t="s">
        <v>180</v>
      </c>
      <c r="BT149" t="s">
        <v>181</v>
      </c>
      <c r="BU149" s="1">
        <v>45446</v>
      </c>
      <c r="BV149">
        <v>34797</v>
      </c>
      <c r="BW149" s="156"/>
      <c r="BX149" t="s">
        <v>170</v>
      </c>
      <c r="BY149" t="s">
        <v>170</v>
      </c>
      <c r="CB149" t="s">
        <v>170</v>
      </c>
      <c r="CC149" t="s">
        <v>170</v>
      </c>
      <c r="CE149" t="s">
        <v>169</v>
      </c>
      <c r="CF149" t="s">
        <v>227</v>
      </c>
      <c r="CG149" t="s">
        <v>169</v>
      </c>
      <c r="CH149" t="s">
        <v>240</v>
      </c>
      <c r="CI149" t="s">
        <v>169</v>
      </c>
      <c r="CJ149" t="s">
        <v>561</v>
      </c>
      <c r="DJ149" t="s">
        <v>184</v>
      </c>
      <c r="DK149" t="s">
        <v>185</v>
      </c>
      <c r="DN149" t="s">
        <v>170</v>
      </c>
      <c r="DO149" t="s">
        <v>197</v>
      </c>
      <c r="DP149" t="s">
        <v>169</v>
      </c>
      <c r="DQ149" t="s">
        <v>198</v>
      </c>
      <c r="DY149">
        <v>33.6</v>
      </c>
      <c r="EA149" s="89"/>
      <c r="EB149">
        <v>5</v>
      </c>
      <c r="EC149">
        <v>5</v>
      </c>
      <c r="EE149" t="s">
        <v>564</v>
      </c>
      <c r="EF149">
        <v>6</v>
      </c>
      <c r="EV149">
        <v>3250</v>
      </c>
      <c r="EW149">
        <v>415</v>
      </c>
      <c r="EX149">
        <v>287</v>
      </c>
      <c r="EY149">
        <v>357</v>
      </c>
    </row>
    <row r="150" spans="1:155" x14ac:dyDescent="0.35">
      <c r="A150">
        <v>2025</v>
      </c>
      <c r="B150" t="s">
        <v>220</v>
      </c>
      <c r="C150" t="s">
        <v>558</v>
      </c>
      <c r="D150" t="s">
        <v>563</v>
      </c>
      <c r="E150" t="s">
        <v>223</v>
      </c>
      <c r="F150">
        <v>318</v>
      </c>
      <c r="G150">
        <v>2.7</v>
      </c>
      <c r="H150">
        <v>4</v>
      </c>
      <c r="I150" t="s">
        <v>331</v>
      </c>
      <c r="J150">
        <v>21</v>
      </c>
      <c r="K150">
        <v>29</v>
      </c>
      <c r="L150">
        <v>24</v>
      </c>
      <c r="M150">
        <v>26.4</v>
      </c>
      <c r="N150">
        <v>41.3</v>
      </c>
      <c r="O150">
        <v>31.5167</v>
      </c>
      <c r="P150">
        <v>20.8185</v>
      </c>
      <c r="Q150">
        <v>28.956299999999999</v>
      </c>
      <c r="R150">
        <v>23.8325</v>
      </c>
      <c r="T150" t="s">
        <v>165</v>
      </c>
      <c r="U150" t="s">
        <v>166</v>
      </c>
      <c r="V150" t="s">
        <v>193</v>
      </c>
      <c r="W150" t="s">
        <v>194</v>
      </c>
      <c r="Y150">
        <v>10</v>
      </c>
      <c r="Z150" t="s">
        <v>169</v>
      </c>
      <c r="AA150" t="s">
        <v>170</v>
      </c>
      <c r="AB150" t="s">
        <v>167</v>
      </c>
      <c r="AC150" t="s">
        <v>213</v>
      </c>
      <c r="AD150">
        <v>10</v>
      </c>
      <c r="AG150" t="s">
        <v>214</v>
      </c>
      <c r="AH150" t="s">
        <v>215</v>
      </c>
      <c r="AI150" t="s">
        <v>175</v>
      </c>
      <c r="AJ150" t="s">
        <v>176</v>
      </c>
      <c r="AK150" t="s">
        <v>170</v>
      </c>
      <c r="AL150" t="s">
        <v>177</v>
      </c>
      <c r="AO150">
        <v>90</v>
      </c>
      <c r="AP150">
        <v>11</v>
      </c>
      <c r="AS150">
        <v>2650</v>
      </c>
      <c r="AT150">
        <v>2650</v>
      </c>
      <c r="BN150" t="s">
        <v>178</v>
      </c>
      <c r="BO150">
        <v>2</v>
      </c>
      <c r="BP150">
        <v>2</v>
      </c>
      <c r="BQ150">
        <v>4</v>
      </c>
      <c r="BR150" t="s">
        <v>521</v>
      </c>
      <c r="BS150" t="s">
        <v>180</v>
      </c>
      <c r="BT150" t="s">
        <v>181</v>
      </c>
      <c r="BU150" s="1">
        <v>45446</v>
      </c>
      <c r="BV150">
        <v>34825</v>
      </c>
      <c r="BW150" s="155"/>
      <c r="BX150" t="s">
        <v>170</v>
      </c>
      <c r="BY150" t="s">
        <v>170</v>
      </c>
      <c r="CB150" t="s">
        <v>170</v>
      </c>
      <c r="CC150" t="s">
        <v>170</v>
      </c>
      <c r="CD150" t="s">
        <v>560</v>
      </c>
      <c r="CE150" t="s">
        <v>169</v>
      </c>
      <c r="CF150" t="s">
        <v>227</v>
      </c>
      <c r="CG150" t="s">
        <v>169</v>
      </c>
      <c r="CH150" t="s">
        <v>240</v>
      </c>
      <c r="CI150" t="s">
        <v>169</v>
      </c>
      <c r="CJ150" t="s">
        <v>561</v>
      </c>
      <c r="DJ150" t="s">
        <v>184</v>
      </c>
      <c r="DK150" t="s">
        <v>185</v>
      </c>
      <c r="DN150" t="s">
        <v>170</v>
      </c>
      <c r="DO150" t="s">
        <v>197</v>
      </c>
      <c r="DP150" t="s">
        <v>169</v>
      </c>
      <c r="DQ150" t="s">
        <v>198</v>
      </c>
      <c r="DY150">
        <v>31.7</v>
      </c>
      <c r="EA150" s="101"/>
      <c r="EB150">
        <v>5</v>
      </c>
      <c r="EC150">
        <v>5</v>
      </c>
      <c r="EE150" t="s">
        <v>562</v>
      </c>
      <c r="EF150">
        <v>5</v>
      </c>
      <c r="EV150">
        <v>3750</v>
      </c>
      <c r="EW150">
        <v>425</v>
      </c>
      <c r="EX150">
        <v>305</v>
      </c>
      <c r="EY150">
        <v>371</v>
      </c>
    </row>
    <row r="151" spans="1:155" x14ac:dyDescent="0.35">
      <c r="A151">
        <v>2025</v>
      </c>
      <c r="B151" t="s">
        <v>220</v>
      </c>
      <c r="C151" t="s">
        <v>558</v>
      </c>
      <c r="D151" t="s">
        <v>565</v>
      </c>
      <c r="E151" t="s">
        <v>223</v>
      </c>
      <c r="F151">
        <v>317</v>
      </c>
      <c r="G151">
        <v>2.7</v>
      </c>
      <c r="H151">
        <v>4</v>
      </c>
      <c r="I151" t="s">
        <v>331</v>
      </c>
      <c r="J151">
        <v>20</v>
      </c>
      <c r="K151">
        <v>29</v>
      </c>
      <c r="L151">
        <v>23</v>
      </c>
      <c r="M151">
        <v>25.1873</v>
      </c>
      <c r="N151">
        <v>40.8187</v>
      </c>
      <c r="O151">
        <v>30.4314</v>
      </c>
      <c r="P151">
        <v>19.940200000000001</v>
      </c>
      <c r="Q151">
        <v>28.649699999999999</v>
      </c>
      <c r="R151">
        <v>23.100300000000001</v>
      </c>
      <c r="T151" t="s">
        <v>165</v>
      </c>
      <c r="U151" t="s">
        <v>166</v>
      </c>
      <c r="V151" t="s">
        <v>193</v>
      </c>
      <c r="W151" t="s">
        <v>194</v>
      </c>
      <c r="Y151">
        <v>10</v>
      </c>
      <c r="Z151" t="s">
        <v>169</v>
      </c>
      <c r="AA151" t="s">
        <v>170</v>
      </c>
      <c r="AB151" t="s">
        <v>171</v>
      </c>
      <c r="AC151" t="s">
        <v>172</v>
      </c>
      <c r="AD151">
        <v>10</v>
      </c>
      <c r="AG151" t="s">
        <v>214</v>
      </c>
      <c r="AH151" t="s">
        <v>215</v>
      </c>
      <c r="AI151" t="s">
        <v>175</v>
      </c>
      <c r="AJ151" t="s">
        <v>176</v>
      </c>
      <c r="AK151" t="s">
        <v>170</v>
      </c>
      <c r="AL151" t="s">
        <v>177</v>
      </c>
      <c r="AO151">
        <v>90</v>
      </c>
      <c r="AP151">
        <v>11</v>
      </c>
      <c r="AS151">
        <v>2750</v>
      </c>
      <c r="AT151">
        <v>2750</v>
      </c>
      <c r="BN151" t="s">
        <v>178</v>
      </c>
      <c r="BO151">
        <v>2</v>
      </c>
      <c r="BP151">
        <v>2</v>
      </c>
      <c r="BQ151">
        <v>4</v>
      </c>
      <c r="BR151" t="s">
        <v>521</v>
      </c>
      <c r="BS151" t="s">
        <v>180</v>
      </c>
      <c r="BT151" t="s">
        <v>181</v>
      </c>
      <c r="BU151" s="1">
        <v>45446</v>
      </c>
      <c r="BV151">
        <v>34824</v>
      </c>
      <c r="BW151" s="155"/>
      <c r="BX151" t="s">
        <v>170</v>
      </c>
      <c r="BY151" t="s">
        <v>170</v>
      </c>
      <c r="CB151" t="s">
        <v>170</v>
      </c>
      <c r="CC151" t="s">
        <v>170</v>
      </c>
      <c r="CD151" t="s">
        <v>560</v>
      </c>
      <c r="CE151" t="s">
        <v>169</v>
      </c>
      <c r="CF151" t="s">
        <v>227</v>
      </c>
      <c r="CG151" t="s">
        <v>169</v>
      </c>
      <c r="CH151" t="s">
        <v>240</v>
      </c>
      <c r="CI151" t="s">
        <v>169</v>
      </c>
      <c r="CJ151" t="s">
        <v>561</v>
      </c>
      <c r="DJ151" t="s">
        <v>184</v>
      </c>
      <c r="DK151" t="s">
        <v>185</v>
      </c>
      <c r="DN151" t="s">
        <v>170</v>
      </c>
      <c r="DO151" t="s">
        <v>197</v>
      </c>
      <c r="DP151" t="s">
        <v>169</v>
      </c>
      <c r="DQ151" t="s">
        <v>198</v>
      </c>
      <c r="DY151">
        <v>30.6</v>
      </c>
      <c r="EA151" s="101"/>
      <c r="EB151">
        <v>5</v>
      </c>
      <c r="EC151">
        <v>5</v>
      </c>
      <c r="EE151" t="s">
        <v>562</v>
      </c>
      <c r="EF151">
        <v>5</v>
      </c>
      <c r="EV151">
        <v>4250</v>
      </c>
      <c r="EW151">
        <v>444</v>
      </c>
      <c r="EX151">
        <v>309</v>
      </c>
      <c r="EY151">
        <v>383</v>
      </c>
    </row>
    <row r="152" spans="1:155" x14ac:dyDescent="0.35">
      <c r="A152">
        <v>2025</v>
      </c>
      <c r="B152" t="s">
        <v>220</v>
      </c>
      <c r="C152" t="s">
        <v>558</v>
      </c>
      <c r="D152" t="s">
        <v>565</v>
      </c>
      <c r="E152" t="s">
        <v>223</v>
      </c>
      <c r="F152">
        <v>320</v>
      </c>
      <c r="G152">
        <v>3.6</v>
      </c>
      <c r="H152">
        <v>6</v>
      </c>
      <c r="I152" t="s">
        <v>331</v>
      </c>
      <c r="J152">
        <v>16</v>
      </c>
      <c r="K152">
        <v>24</v>
      </c>
      <c r="L152">
        <v>19</v>
      </c>
      <c r="M152">
        <v>19.399999999999999</v>
      </c>
      <c r="N152">
        <v>33.9</v>
      </c>
      <c r="O152">
        <v>24.024100000000001</v>
      </c>
      <c r="P152">
        <v>15.651899999999999</v>
      </c>
      <c r="Q152">
        <v>24.168099999999999</v>
      </c>
      <c r="R152">
        <v>18.601500000000001</v>
      </c>
      <c r="T152" t="s">
        <v>165</v>
      </c>
      <c r="U152" t="s">
        <v>166</v>
      </c>
      <c r="V152" t="s">
        <v>193</v>
      </c>
      <c r="W152" t="s">
        <v>194</v>
      </c>
      <c r="Y152">
        <v>10</v>
      </c>
      <c r="Z152" t="s">
        <v>169</v>
      </c>
      <c r="AA152" t="s">
        <v>170</v>
      </c>
      <c r="AB152" t="s">
        <v>171</v>
      </c>
      <c r="AC152" t="s">
        <v>172</v>
      </c>
      <c r="AD152">
        <v>10</v>
      </c>
      <c r="AG152" t="s">
        <v>214</v>
      </c>
      <c r="AH152" t="s">
        <v>215</v>
      </c>
      <c r="AI152" t="s">
        <v>175</v>
      </c>
      <c r="AJ152" t="s">
        <v>176</v>
      </c>
      <c r="AK152" t="s">
        <v>170</v>
      </c>
      <c r="AL152" t="s">
        <v>177</v>
      </c>
      <c r="AO152">
        <v>90</v>
      </c>
      <c r="AP152">
        <v>11</v>
      </c>
      <c r="AS152">
        <v>3350</v>
      </c>
      <c r="AT152">
        <v>3350</v>
      </c>
      <c r="BN152" t="s">
        <v>178</v>
      </c>
      <c r="BO152">
        <v>2</v>
      </c>
      <c r="BP152">
        <v>2</v>
      </c>
      <c r="BQ152">
        <v>4</v>
      </c>
      <c r="BR152" t="s">
        <v>521</v>
      </c>
      <c r="BS152" t="s">
        <v>180</v>
      </c>
      <c r="BT152" t="s">
        <v>181</v>
      </c>
      <c r="BU152" s="1">
        <v>45446</v>
      </c>
      <c r="BV152">
        <v>34817</v>
      </c>
      <c r="BW152" s="156"/>
      <c r="BX152" t="s">
        <v>170</v>
      </c>
      <c r="BY152" t="s">
        <v>170</v>
      </c>
      <c r="CB152" t="s">
        <v>170</v>
      </c>
      <c r="CC152" t="s">
        <v>170</v>
      </c>
      <c r="CE152" t="s">
        <v>170</v>
      </c>
      <c r="CG152" t="s">
        <v>169</v>
      </c>
      <c r="CH152" t="s">
        <v>566</v>
      </c>
      <c r="CI152" t="s">
        <v>170</v>
      </c>
      <c r="DJ152" t="s">
        <v>184</v>
      </c>
      <c r="DK152" t="s">
        <v>185</v>
      </c>
      <c r="DN152" t="s">
        <v>170</v>
      </c>
      <c r="DO152" t="s">
        <v>490</v>
      </c>
      <c r="DP152" t="s">
        <v>170</v>
      </c>
      <c r="DQ152" t="s">
        <v>187</v>
      </c>
      <c r="DY152">
        <v>24.2</v>
      </c>
      <c r="EA152" s="89"/>
      <c r="EB152">
        <v>4</v>
      </c>
      <c r="EC152">
        <v>4</v>
      </c>
      <c r="EE152" t="s">
        <v>567</v>
      </c>
      <c r="EF152">
        <v>4</v>
      </c>
      <c r="EV152">
        <v>7250</v>
      </c>
      <c r="EW152">
        <v>568</v>
      </c>
      <c r="EX152">
        <v>368</v>
      </c>
      <c r="EY152">
        <v>478</v>
      </c>
    </row>
    <row r="153" spans="1:155" x14ac:dyDescent="0.35">
      <c r="A153">
        <v>2025</v>
      </c>
      <c r="B153" t="s">
        <v>220</v>
      </c>
      <c r="C153" t="s">
        <v>558</v>
      </c>
      <c r="D153" t="s">
        <v>565</v>
      </c>
      <c r="E153" t="s">
        <v>223</v>
      </c>
      <c r="F153">
        <v>321</v>
      </c>
      <c r="G153">
        <v>3.6</v>
      </c>
      <c r="H153">
        <v>6</v>
      </c>
      <c r="I153" t="s">
        <v>200</v>
      </c>
      <c r="J153">
        <v>15</v>
      </c>
      <c r="K153">
        <v>23</v>
      </c>
      <c r="L153">
        <v>18</v>
      </c>
      <c r="M153">
        <v>18.7087</v>
      </c>
      <c r="N153">
        <v>30.375399999999999</v>
      </c>
      <c r="O153">
        <v>22.617899999999999</v>
      </c>
      <c r="P153">
        <v>15</v>
      </c>
      <c r="Q153">
        <v>22.9528</v>
      </c>
      <c r="R153">
        <v>18.297499999999999</v>
      </c>
      <c r="T153" t="s">
        <v>165</v>
      </c>
      <c r="U153" t="s">
        <v>166</v>
      </c>
      <c r="V153" t="s">
        <v>201</v>
      </c>
      <c r="W153" t="s">
        <v>202</v>
      </c>
      <c r="Y153">
        <v>6</v>
      </c>
      <c r="Z153" t="s">
        <v>170</v>
      </c>
      <c r="AA153" t="s">
        <v>170</v>
      </c>
      <c r="AB153" t="s">
        <v>171</v>
      </c>
      <c r="AC153" t="s">
        <v>172</v>
      </c>
      <c r="AD153">
        <v>10</v>
      </c>
      <c r="AG153" t="s">
        <v>214</v>
      </c>
      <c r="AH153" t="s">
        <v>215</v>
      </c>
      <c r="AI153" t="s">
        <v>175</v>
      </c>
      <c r="AJ153" t="s">
        <v>176</v>
      </c>
      <c r="AK153" t="s">
        <v>170</v>
      </c>
      <c r="AL153" t="s">
        <v>177</v>
      </c>
      <c r="AO153">
        <v>90</v>
      </c>
      <c r="AP153">
        <v>11</v>
      </c>
      <c r="AS153">
        <v>3550</v>
      </c>
      <c r="AT153">
        <v>3550</v>
      </c>
      <c r="BN153" t="s">
        <v>178</v>
      </c>
      <c r="BO153">
        <v>2</v>
      </c>
      <c r="BP153">
        <v>2</v>
      </c>
      <c r="BQ153">
        <v>4</v>
      </c>
      <c r="BR153" t="s">
        <v>521</v>
      </c>
      <c r="BS153" t="s">
        <v>180</v>
      </c>
      <c r="BT153" t="s">
        <v>225</v>
      </c>
      <c r="BU153" s="1">
        <v>45446</v>
      </c>
      <c r="BV153">
        <v>34818</v>
      </c>
      <c r="BW153" s="155"/>
      <c r="BX153" t="s">
        <v>170</v>
      </c>
      <c r="BY153" t="s">
        <v>170</v>
      </c>
      <c r="CB153" t="s">
        <v>170</v>
      </c>
      <c r="CC153" t="s">
        <v>170</v>
      </c>
      <c r="CE153" t="s">
        <v>170</v>
      </c>
      <c r="CG153" t="s">
        <v>169</v>
      </c>
      <c r="CH153" t="s">
        <v>566</v>
      </c>
      <c r="CI153" t="s">
        <v>170</v>
      </c>
      <c r="DJ153" t="s">
        <v>184</v>
      </c>
      <c r="DK153" t="s">
        <v>185</v>
      </c>
      <c r="DN153" t="s">
        <v>170</v>
      </c>
      <c r="DO153" t="s">
        <v>490</v>
      </c>
      <c r="DP153" t="s">
        <v>170</v>
      </c>
      <c r="DQ153" t="s">
        <v>187</v>
      </c>
      <c r="DY153">
        <v>22.8</v>
      </c>
      <c r="EA153" s="101"/>
      <c r="EB153">
        <v>4</v>
      </c>
      <c r="EC153">
        <v>4</v>
      </c>
      <c r="EE153" t="s">
        <v>567</v>
      </c>
      <c r="EF153">
        <v>4</v>
      </c>
      <c r="EV153">
        <v>8250</v>
      </c>
      <c r="EW153">
        <v>591</v>
      </c>
      <c r="EX153">
        <v>387</v>
      </c>
      <c r="EY153">
        <v>493</v>
      </c>
    </row>
    <row r="154" spans="1:155" x14ac:dyDescent="0.35">
      <c r="A154">
        <v>2025</v>
      </c>
      <c r="B154" t="s">
        <v>220</v>
      </c>
      <c r="C154" t="s">
        <v>558</v>
      </c>
      <c r="D154" t="s">
        <v>568</v>
      </c>
      <c r="E154" t="s">
        <v>223</v>
      </c>
      <c r="F154">
        <v>319</v>
      </c>
      <c r="G154">
        <v>2.7</v>
      </c>
      <c r="H154">
        <v>4</v>
      </c>
      <c r="I154" t="s">
        <v>331</v>
      </c>
      <c r="J154">
        <v>20</v>
      </c>
      <c r="K154">
        <v>28</v>
      </c>
      <c r="L154">
        <v>23</v>
      </c>
      <c r="M154">
        <v>26</v>
      </c>
      <c r="N154">
        <v>40.6</v>
      </c>
      <c r="O154">
        <v>31.0197</v>
      </c>
      <c r="P154">
        <v>20</v>
      </c>
      <c r="Q154">
        <v>28</v>
      </c>
      <c r="R154">
        <v>23.488299999999999</v>
      </c>
      <c r="T154" t="s">
        <v>165</v>
      </c>
      <c r="U154" t="s">
        <v>166</v>
      </c>
      <c r="V154" t="s">
        <v>193</v>
      </c>
      <c r="W154" t="s">
        <v>194</v>
      </c>
      <c r="Y154">
        <v>10</v>
      </c>
      <c r="Z154" t="s">
        <v>169</v>
      </c>
      <c r="AA154" t="s">
        <v>170</v>
      </c>
      <c r="AB154" t="s">
        <v>167</v>
      </c>
      <c r="AC154" t="s">
        <v>213</v>
      </c>
      <c r="AD154">
        <v>10</v>
      </c>
      <c r="AG154" t="s">
        <v>214</v>
      </c>
      <c r="AH154" t="s">
        <v>215</v>
      </c>
      <c r="AI154" t="s">
        <v>175</v>
      </c>
      <c r="AJ154" t="s">
        <v>176</v>
      </c>
      <c r="AK154" t="s">
        <v>170</v>
      </c>
      <c r="AL154" t="s">
        <v>177</v>
      </c>
      <c r="AO154">
        <v>90</v>
      </c>
      <c r="AP154">
        <v>11</v>
      </c>
      <c r="AS154">
        <v>2750</v>
      </c>
      <c r="AT154">
        <v>2750</v>
      </c>
      <c r="BN154" t="s">
        <v>178</v>
      </c>
      <c r="BO154">
        <v>2</v>
      </c>
      <c r="BP154">
        <v>2</v>
      </c>
      <c r="BQ154">
        <v>4</v>
      </c>
      <c r="BR154" t="s">
        <v>521</v>
      </c>
      <c r="BS154" t="s">
        <v>180</v>
      </c>
      <c r="BT154" t="s">
        <v>181</v>
      </c>
      <c r="BU154" s="1">
        <v>45446</v>
      </c>
      <c r="BV154">
        <v>34826</v>
      </c>
      <c r="BW154" s="155"/>
      <c r="BX154" t="s">
        <v>170</v>
      </c>
      <c r="BY154" t="s">
        <v>170</v>
      </c>
      <c r="CB154" t="s">
        <v>170</v>
      </c>
      <c r="CC154" t="s">
        <v>170</v>
      </c>
      <c r="CD154" t="s">
        <v>560</v>
      </c>
      <c r="CE154" t="s">
        <v>169</v>
      </c>
      <c r="CF154" t="s">
        <v>227</v>
      </c>
      <c r="CG154" t="s">
        <v>169</v>
      </c>
      <c r="CH154" t="s">
        <v>240</v>
      </c>
      <c r="CI154" t="s">
        <v>169</v>
      </c>
      <c r="CJ154" t="s">
        <v>561</v>
      </c>
      <c r="DJ154" t="s">
        <v>184</v>
      </c>
      <c r="DK154" t="s">
        <v>185</v>
      </c>
      <c r="DN154" t="s">
        <v>170</v>
      </c>
      <c r="DO154" t="s">
        <v>197</v>
      </c>
      <c r="DP154" t="s">
        <v>169</v>
      </c>
      <c r="DQ154" t="s">
        <v>198</v>
      </c>
      <c r="DY154">
        <v>31.2</v>
      </c>
      <c r="EA154" s="101"/>
      <c r="EB154">
        <v>5</v>
      </c>
      <c r="EC154">
        <v>5</v>
      </c>
      <c r="EE154" t="s">
        <v>562</v>
      </c>
      <c r="EF154">
        <v>5</v>
      </c>
      <c r="EV154">
        <v>4250</v>
      </c>
      <c r="EW154">
        <v>445</v>
      </c>
      <c r="EX154">
        <v>318</v>
      </c>
      <c r="EY154">
        <v>387</v>
      </c>
    </row>
    <row r="155" spans="1:155" x14ac:dyDescent="0.35">
      <c r="A155">
        <v>2025</v>
      </c>
      <c r="B155" t="s">
        <v>220</v>
      </c>
      <c r="C155" t="s">
        <v>558</v>
      </c>
      <c r="D155" t="s">
        <v>721</v>
      </c>
      <c r="E155" t="s">
        <v>223</v>
      </c>
      <c r="F155">
        <v>309</v>
      </c>
      <c r="G155">
        <v>3</v>
      </c>
      <c r="H155">
        <v>6</v>
      </c>
      <c r="I155" t="s">
        <v>331</v>
      </c>
      <c r="J155">
        <v>19</v>
      </c>
      <c r="K155">
        <v>28</v>
      </c>
      <c r="L155">
        <v>22</v>
      </c>
      <c r="M155">
        <v>24.1</v>
      </c>
      <c r="N155">
        <v>40.700000000000003</v>
      </c>
      <c r="O155">
        <v>29.517600000000002</v>
      </c>
      <c r="P155">
        <v>19.146799999999999</v>
      </c>
      <c r="Q155">
        <v>28</v>
      </c>
      <c r="R155">
        <v>22.484999999999999</v>
      </c>
      <c r="T155" t="s">
        <v>165</v>
      </c>
      <c r="U155" t="s">
        <v>166</v>
      </c>
      <c r="V155" t="s">
        <v>193</v>
      </c>
      <c r="W155" t="s">
        <v>194</v>
      </c>
      <c r="Y155">
        <v>10</v>
      </c>
      <c r="Z155" t="s">
        <v>169</v>
      </c>
      <c r="AA155" t="s">
        <v>170</v>
      </c>
      <c r="AB155" t="s">
        <v>171</v>
      </c>
      <c r="AC155" t="s">
        <v>172</v>
      </c>
      <c r="AD155">
        <v>10</v>
      </c>
      <c r="AG155" t="s">
        <v>214</v>
      </c>
      <c r="AH155" t="s">
        <v>215</v>
      </c>
      <c r="AI155" t="s">
        <v>175</v>
      </c>
      <c r="AJ155" t="s">
        <v>176</v>
      </c>
      <c r="AK155" t="s">
        <v>170</v>
      </c>
      <c r="AL155" t="s">
        <v>177</v>
      </c>
      <c r="AO155">
        <v>99</v>
      </c>
      <c r="AP155">
        <v>11</v>
      </c>
      <c r="AS155">
        <v>2900</v>
      </c>
      <c r="AT155">
        <v>2900</v>
      </c>
      <c r="BN155" t="s">
        <v>178</v>
      </c>
      <c r="BO155">
        <v>2</v>
      </c>
      <c r="BP155">
        <v>2</v>
      </c>
      <c r="BQ155">
        <v>5</v>
      </c>
      <c r="BR155" t="s">
        <v>672</v>
      </c>
      <c r="BS155" t="s">
        <v>180</v>
      </c>
      <c r="BT155" t="s">
        <v>181</v>
      </c>
      <c r="BU155" s="1">
        <v>45418</v>
      </c>
      <c r="BV155">
        <v>34730</v>
      </c>
      <c r="BW155" s="156"/>
      <c r="BX155" t="s">
        <v>170</v>
      </c>
      <c r="BY155" t="s">
        <v>170</v>
      </c>
      <c r="CB155" t="s">
        <v>170</v>
      </c>
      <c r="CC155" t="s">
        <v>170</v>
      </c>
      <c r="CE155" t="s">
        <v>169</v>
      </c>
      <c r="CF155" t="s">
        <v>227</v>
      </c>
      <c r="CG155" t="s">
        <v>169</v>
      </c>
      <c r="CH155" t="s">
        <v>566</v>
      </c>
      <c r="CI155" t="s">
        <v>170</v>
      </c>
      <c r="DJ155" t="s">
        <v>184</v>
      </c>
      <c r="DK155" t="s">
        <v>185</v>
      </c>
      <c r="DN155" t="s">
        <v>170</v>
      </c>
      <c r="DO155" t="s">
        <v>490</v>
      </c>
      <c r="DP155" t="s">
        <v>169</v>
      </c>
      <c r="DQ155" t="s">
        <v>198</v>
      </c>
      <c r="DY155">
        <v>29.7</v>
      </c>
      <c r="EA155" s="89"/>
      <c r="EB155">
        <v>5</v>
      </c>
      <c r="EC155">
        <v>5</v>
      </c>
      <c r="EE155" t="s">
        <v>567</v>
      </c>
      <c r="EF155">
        <v>4</v>
      </c>
      <c r="EV155">
        <v>5000</v>
      </c>
      <c r="EW155">
        <v>466</v>
      </c>
      <c r="EX155">
        <v>318</v>
      </c>
      <c r="EY155">
        <v>399</v>
      </c>
    </row>
    <row r="156" spans="1:155" x14ac:dyDescent="0.35">
      <c r="A156">
        <v>2025</v>
      </c>
      <c r="B156" t="s">
        <v>220</v>
      </c>
      <c r="C156" t="s">
        <v>558</v>
      </c>
      <c r="D156" t="s">
        <v>721</v>
      </c>
      <c r="E156" t="s">
        <v>223</v>
      </c>
      <c r="F156">
        <v>312</v>
      </c>
      <c r="G156">
        <v>2</v>
      </c>
      <c r="H156">
        <v>4</v>
      </c>
      <c r="I156" t="s">
        <v>331</v>
      </c>
      <c r="J156">
        <v>23</v>
      </c>
      <c r="K156">
        <v>32</v>
      </c>
      <c r="L156">
        <v>26</v>
      </c>
      <c r="M156">
        <v>28.8</v>
      </c>
      <c r="N156">
        <v>46.2</v>
      </c>
      <c r="O156">
        <v>34.677100000000003</v>
      </c>
      <c r="P156">
        <v>22.5366</v>
      </c>
      <c r="Q156">
        <v>32.040500000000002</v>
      </c>
      <c r="R156">
        <v>26.008199999999999</v>
      </c>
      <c r="T156" t="s">
        <v>165</v>
      </c>
      <c r="U156" t="s">
        <v>166</v>
      </c>
      <c r="V156" t="s">
        <v>193</v>
      </c>
      <c r="W156" t="s">
        <v>194</v>
      </c>
      <c r="Y156">
        <v>10</v>
      </c>
      <c r="Z156" t="s">
        <v>169</v>
      </c>
      <c r="AA156" t="s">
        <v>170</v>
      </c>
      <c r="AB156" t="s">
        <v>171</v>
      </c>
      <c r="AC156" t="s">
        <v>172</v>
      </c>
      <c r="AD156">
        <v>10</v>
      </c>
      <c r="AG156" t="s">
        <v>214</v>
      </c>
      <c r="AH156" t="s">
        <v>215</v>
      </c>
      <c r="AI156" t="s">
        <v>175</v>
      </c>
      <c r="AJ156" t="s">
        <v>176</v>
      </c>
      <c r="AK156" t="s">
        <v>170</v>
      </c>
      <c r="AL156" t="s">
        <v>177</v>
      </c>
      <c r="AO156">
        <v>99</v>
      </c>
      <c r="AP156">
        <v>11</v>
      </c>
      <c r="AS156">
        <v>2450</v>
      </c>
      <c r="AT156">
        <v>2450</v>
      </c>
      <c r="BN156" t="s">
        <v>178</v>
      </c>
      <c r="BO156">
        <v>2</v>
      </c>
      <c r="BP156">
        <v>2</v>
      </c>
      <c r="BQ156">
        <v>5</v>
      </c>
      <c r="BR156" t="s">
        <v>672</v>
      </c>
      <c r="BS156" t="s">
        <v>180</v>
      </c>
      <c r="BT156" t="s">
        <v>181</v>
      </c>
      <c r="BU156" s="1">
        <v>45418</v>
      </c>
      <c r="BV156">
        <v>34733</v>
      </c>
      <c r="BW156" s="155"/>
      <c r="BX156" t="s">
        <v>170</v>
      </c>
      <c r="BY156" t="s">
        <v>170</v>
      </c>
      <c r="CB156" t="s">
        <v>170</v>
      </c>
      <c r="CC156" t="s">
        <v>170</v>
      </c>
      <c r="CE156" t="s">
        <v>169</v>
      </c>
      <c r="CF156" t="s">
        <v>227</v>
      </c>
      <c r="CG156" t="s">
        <v>169</v>
      </c>
      <c r="CH156" t="s">
        <v>240</v>
      </c>
      <c r="CI156" t="s">
        <v>169</v>
      </c>
      <c r="CJ156" t="s">
        <v>561</v>
      </c>
      <c r="DJ156" t="s">
        <v>184</v>
      </c>
      <c r="DK156" t="s">
        <v>185</v>
      </c>
      <c r="DN156" t="s">
        <v>170</v>
      </c>
      <c r="DO156" t="s">
        <v>197</v>
      </c>
      <c r="DP156" t="s">
        <v>169</v>
      </c>
      <c r="DQ156" t="s">
        <v>198</v>
      </c>
      <c r="DY156">
        <v>34.9</v>
      </c>
      <c r="EA156" s="101"/>
      <c r="EB156">
        <v>5</v>
      </c>
      <c r="EC156">
        <v>5</v>
      </c>
      <c r="EE156" t="s">
        <v>564</v>
      </c>
      <c r="EF156">
        <v>6</v>
      </c>
      <c r="EV156">
        <v>2750</v>
      </c>
      <c r="EW156">
        <v>394</v>
      </c>
      <c r="EX156">
        <v>276</v>
      </c>
      <c r="EY156">
        <v>341</v>
      </c>
    </row>
    <row r="157" spans="1:155" x14ac:dyDescent="0.35">
      <c r="A157">
        <v>2025</v>
      </c>
      <c r="B157" t="s">
        <v>220</v>
      </c>
      <c r="C157" t="s">
        <v>558</v>
      </c>
      <c r="D157" t="s">
        <v>722</v>
      </c>
      <c r="E157" t="s">
        <v>223</v>
      </c>
      <c r="F157">
        <v>311</v>
      </c>
      <c r="G157">
        <v>3</v>
      </c>
      <c r="H157">
        <v>6</v>
      </c>
      <c r="I157" t="s">
        <v>331</v>
      </c>
      <c r="J157">
        <v>18</v>
      </c>
      <c r="K157">
        <v>26</v>
      </c>
      <c r="L157">
        <v>21</v>
      </c>
      <c r="M157">
        <v>22.695599999999999</v>
      </c>
      <c r="N157">
        <v>37.328800000000001</v>
      </c>
      <c r="O157">
        <v>27.556699999999999</v>
      </c>
      <c r="P157">
        <v>18.113800000000001</v>
      </c>
      <c r="Q157">
        <v>26.406600000000001</v>
      </c>
      <c r="R157">
        <v>21.094899999999999</v>
      </c>
      <c r="T157" t="s">
        <v>165</v>
      </c>
      <c r="U157" t="s">
        <v>166</v>
      </c>
      <c r="V157" t="s">
        <v>193</v>
      </c>
      <c r="W157" t="s">
        <v>194</v>
      </c>
      <c r="Y157">
        <v>10</v>
      </c>
      <c r="Z157" t="s">
        <v>169</v>
      </c>
      <c r="AA157" t="s">
        <v>170</v>
      </c>
      <c r="AB157" t="s">
        <v>167</v>
      </c>
      <c r="AC157" t="s">
        <v>213</v>
      </c>
      <c r="AD157">
        <v>10</v>
      </c>
      <c r="AG157" t="s">
        <v>214</v>
      </c>
      <c r="AH157" t="s">
        <v>215</v>
      </c>
      <c r="AI157" t="s">
        <v>175</v>
      </c>
      <c r="AJ157" t="s">
        <v>176</v>
      </c>
      <c r="AK157" t="s">
        <v>170</v>
      </c>
      <c r="AL157" t="s">
        <v>177</v>
      </c>
      <c r="AO157">
        <v>99</v>
      </c>
      <c r="AP157">
        <v>11</v>
      </c>
      <c r="AS157">
        <v>3050</v>
      </c>
      <c r="AT157">
        <v>3050</v>
      </c>
      <c r="BN157" t="s">
        <v>178</v>
      </c>
      <c r="BO157">
        <v>2</v>
      </c>
      <c r="BP157">
        <v>2</v>
      </c>
      <c r="BQ157">
        <v>5</v>
      </c>
      <c r="BR157" t="s">
        <v>672</v>
      </c>
      <c r="BS157" t="s">
        <v>180</v>
      </c>
      <c r="BT157" t="s">
        <v>181</v>
      </c>
      <c r="BU157" s="1">
        <v>45418</v>
      </c>
      <c r="BV157">
        <v>34732</v>
      </c>
      <c r="BW157" s="155"/>
      <c r="BX157" t="s">
        <v>170</v>
      </c>
      <c r="BY157" t="s">
        <v>170</v>
      </c>
      <c r="CB157" t="s">
        <v>170</v>
      </c>
      <c r="CC157" t="s">
        <v>170</v>
      </c>
      <c r="CE157" t="s">
        <v>169</v>
      </c>
      <c r="CF157" t="s">
        <v>227</v>
      </c>
      <c r="CG157" t="s">
        <v>169</v>
      </c>
      <c r="CH157" t="s">
        <v>566</v>
      </c>
      <c r="CI157" t="s">
        <v>170</v>
      </c>
      <c r="DJ157" t="s">
        <v>184</v>
      </c>
      <c r="DK157" t="s">
        <v>185</v>
      </c>
      <c r="DN157" t="s">
        <v>170</v>
      </c>
      <c r="DO157" t="s">
        <v>490</v>
      </c>
      <c r="DP157" t="s">
        <v>169</v>
      </c>
      <c r="DQ157" t="s">
        <v>198</v>
      </c>
      <c r="DY157">
        <v>27.8</v>
      </c>
      <c r="EA157" s="101"/>
      <c r="EB157">
        <v>4</v>
      </c>
      <c r="EC157">
        <v>4</v>
      </c>
      <c r="EE157" t="s">
        <v>567</v>
      </c>
      <c r="EF157">
        <v>4</v>
      </c>
      <c r="EV157">
        <v>5750</v>
      </c>
      <c r="EW157">
        <v>491</v>
      </c>
      <c r="EX157">
        <v>338</v>
      </c>
      <c r="EY157">
        <v>422</v>
      </c>
    </row>
    <row r="158" spans="1:155" x14ac:dyDescent="0.35">
      <c r="A158">
        <v>2025</v>
      </c>
      <c r="B158" t="s">
        <v>220</v>
      </c>
      <c r="C158" t="s">
        <v>558</v>
      </c>
      <c r="D158" t="s">
        <v>722</v>
      </c>
      <c r="E158" t="s">
        <v>223</v>
      </c>
      <c r="F158">
        <v>313</v>
      </c>
      <c r="G158">
        <v>2</v>
      </c>
      <c r="H158">
        <v>4</v>
      </c>
      <c r="I158" t="s">
        <v>331</v>
      </c>
      <c r="J158">
        <v>21</v>
      </c>
      <c r="K158">
        <v>30</v>
      </c>
      <c r="L158">
        <v>25</v>
      </c>
      <c r="M158">
        <v>27.215</v>
      </c>
      <c r="N158">
        <v>42.953000000000003</v>
      </c>
      <c r="O158">
        <v>32.588099999999997</v>
      </c>
      <c r="P158">
        <v>21.404900000000001</v>
      </c>
      <c r="Q158">
        <v>30.004300000000001</v>
      </c>
      <c r="R158">
        <v>24.574300000000001</v>
      </c>
      <c r="T158" t="s">
        <v>165</v>
      </c>
      <c r="U158" t="s">
        <v>166</v>
      </c>
      <c r="V158" t="s">
        <v>193</v>
      </c>
      <c r="W158" t="s">
        <v>194</v>
      </c>
      <c r="Y158">
        <v>10</v>
      </c>
      <c r="Z158" t="s">
        <v>169</v>
      </c>
      <c r="AA158" t="s">
        <v>170</v>
      </c>
      <c r="AB158" t="s">
        <v>167</v>
      </c>
      <c r="AC158" t="s">
        <v>213</v>
      </c>
      <c r="AD158">
        <v>10</v>
      </c>
      <c r="AG158" t="s">
        <v>214</v>
      </c>
      <c r="AH158" t="s">
        <v>215</v>
      </c>
      <c r="AI158" t="s">
        <v>175</v>
      </c>
      <c r="AJ158" t="s">
        <v>176</v>
      </c>
      <c r="AK158" t="s">
        <v>170</v>
      </c>
      <c r="AL158" t="s">
        <v>177</v>
      </c>
      <c r="AO158">
        <v>99</v>
      </c>
      <c r="AP158">
        <v>11</v>
      </c>
      <c r="AS158">
        <v>2550</v>
      </c>
      <c r="AT158">
        <v>2550</v>
      </c>
      <c r="BN158" t="s">
        <v>178</v>
      </c>
      <c r="BO158">
        <v>2</v>
      </c>
      <c r="BP158">
        <v>2</v>
      </c>
      <c r="BQ158">
        <v>5</v>
      </c>
      <c r="BR158" t="s">
        <v>672</v>
      </c>
      <c r="BS158" t="s">
        <v>180</v>
      </c>
      <c r="BT158" t="s">
        <v>181</v>
      </c>
      <c r="BU158" s="1">
        <v>45418</v>
      </c>
      <c r="BV158">
        <v>34734</v>
      </c>
      <c r="BW158" s="156"/>
      <c r="BX158" t="s">
        <v>170</v>
      </c>
      <c r="BY158" t="s">
        <v>170</v>
      </c>
      <c r="CB158" t="s">
        <v>170</v>
      </c>
      <c r="CC158" t="s">
        <v>170</v>
      </c>
      <c r="CE158" t="s">
        <v>169</v>
      </c>
      <c r="CF158" t="s">
        <v>227</v>
      </c>
      <c r="CG158" t="s">
        <v>169</v>
      </c>
      <c r="CH158" t="s">
        <v>240</v>
      </c>
      <c r="CI158" t="s">
        <v>169</v>
      </c>
      <c r="CJ158" t="s">
        <v>561</v>
      </c>
      <c r="DJ158" t="s">
        <v>184</v>
      </c>
      <c r="DK158" t="s">
        <v>185</v>
      </c>
      <c r="DN158" t="s">
        <v>170</v>
      </c>
      <c r="DO158" t="s">
        <v>197</v>
      </c>
      <c r="DP158" t="s">
        <v>169</v>
      </c>
      <c r="DQ158" t="s">
        <v>198</v>
      </c>
      <c r="DY158">
        <v>32.799999999999997</v>
      </c>
      <c r="EA158" s="89"/>
      <c r="EB158">
        <v>5</v>
      </c>
      <c r="EC158">
        <v>5</v>
      </c>
      <c r="EE158" t="s">
        <v>564</v>
      </c>
      <c r="EF158">
        <v>6</v>
      </c>
      <c r="EV158">
        <v>3250</v>
      </c>
      <c r="EW158">
        <v>415</v>
      </c>
      <c r="EX158">
        <v>295</v>
      </c>
      <c r="EY158">
        <v>361</v>
      </c>
    </row>
    <row r="159" spans="1:155" x14ac:dyDescent="0.35">
      <c r="A159">
        <v>2025</v>
      </c>
      <c r="B159" t="s">
        <v>220</v>
      </c>
      <c r="C159" t="s">
        <v>558</v>
      </c>
      <c r="D159" t="s">
        <v>723</v>
      </c>
      <c r="E159" t="s">
        <v>223</v>
      </c>
      <c r="F159">
        <v>308</v>
      </c>
      <c r="G159">
        <v>3</v>
      </c>
      <c r="H159">
        <v>6</v>
      </c>
      <c r="I159" t="s">
        <v>331</v>
      </c>
      <c r="J159">
        <v>18</v>
      </c>
      <c r="K159">
        <v>27</v>
      </c>
      <c r="L159">
        <v>21</v>
      </c>
      <c r="M159">
        <v>24.1</v>
      </c>
      <c r="N159">
        <v>40.700000000000003</v>
      </c>
      <c r="O159">
        <v>29.517600000000002</v>
      </c>
      <c r="P159">
        <v>18</v>
      </c>
      <c r="Q159">
        <v>27</v>
      </c>
      <c r="R159">
        <v>21</v>
      </c>
      <c r="T159" t="s">
        <v>165</v>
      </c>
      <c r="U159" t="s">
        <v>166</v>
      </c>
      <c r="V159" t="s">
        <v>193</v>
      </c>
      <c r="W159" t="s">
        <v>194</v>
      </c>
      <c r="Y159">
        <v>10</v>
      </c>
      <c r="Z159" t="s">
        <v>169</v>
      </c>
      <c r="AA159" t="s">
        <v>170</v>
      </c>
      <c r="AB159" t="s">
        <v>171</v>
      </c>
      <c r="AC159" t="s">
        <v>172</v>
      </c>
      <c r="AD159">
        <v>10</v>
      </c>
      <c r="AG159" t="s">
        <v>214</v>
      </c>
      <c r="AH159" t="s">
        <v>215</v>
      </c>
      <c r="AI159" t="s">
        <v>175</v>
      </c>
      <c r="AJ159" t="s">
        <v>176</v>
      </c>
      <c r="AK159" t="s">
        <v>170</v>
      </c>
      <c r="AL159" t="s">
        <v>177</v>
      </c>
      <c r="AO159">
        <v>99</v>
      </c>
      <c r="AP159">
        <v>11</v>
      </c>
      <c r="AS159">
        <v>3050</v>
      </c>
      <c r="AT159">
        <v>3050</v>
      </c>
      <c r="BN159" t="s">
        <v>178</v>
      </c>
      <c r="BO159">
        <v>2</v>
      </c>
      <c r="BP159">
        <v>2</v>
      </c>
      <c r="BQ159">
        <v>5</v>
      </c>
      <c r="BR159" t="s">
        <v>672</v>
      </c>
      <c r="BS159" t="s">
        <v>180</v>
      </c>
      <c r="BT159" t="s">
        <v>181</v>
      </c>
      <c r="BU159" s="1">
        <v>45418</v>
      </c>
      <c r="BV159">
        <v>34729</v>
      </c>
      <c r="BW159" s="155"/>
      <c r="BX159" t="s">
        <v>170</v>
      </c>
      <c r="BY159" t="s">
        <v>170</v>
      </c>
      <c r="CB159" t="s">
        <v>170</v>
      </c>
      <c r="CC159" t="s">
        <v>170</v>
      </c>
      <c r="CE159" t="s">
        <v>169</v>
      </c>
      <c r="CF159" t="s">
        <v>227</v>
      </c>
      <c r="CG159" t="s">
        <v>169</v>
      </c>
      <c r="CH159" t="s">
        <v>566</v>
      </c>
      <c r="CI159" t="s">
        <v>170</v>
      </c>
      <c r="DJ159" t="s">
        <v>184</v>
      </c>
      <c r="DK159" t="s">
        <v>185</v>
      </c>
      <c r="DN159" t="s">
        <v>170</v>
      </c>
      <c r="DO159" t="s">
        <v>490</v>
      </c>
      <c r="DP159" t="s">
        <v>169</v>
      </c>
      <c r="DQ159" t="s">
        <v>198</v>
      </c>
      <c r="DY159">
        <v>29.7</v>
      </c>
      <c r="EA159" s="101"/>
      <c r="EB159">
        <v>4</v>
      </c>
      <c r="EC159">
        <v>4</v>
      </c>
      <c r="EE159" t="s">
        <v>567</v>
      </c>
      <c r="EF159">
        <v>4</v>
      </c>
      <c r="EV159">
        <v>5750</v>
      </c>
      <c r="EW159">
        <v>495</v>
      </c>
      <c r="EX159">
        <v>330</v>
      </c>
      <c r="EY159">
        <v>424</v>
      </c>
    </row>
    <row r="160" spans="1:155" x14ac:dyDescent="0.35">
      <c r="A160">
        <v>2025</v>
      </c>
      <c r="B160" t="s">
        <v>220</v>
      </c>
      <c r="C160" t="s">
        <v>558</v>
      </c>
      <c r="D160" t="s">
        <v>723</v>
      </c>
      <c r="E160" t="s">
        <v>223</v>
      </c>
      <c r="F160">
        <v>322</v>
      </c>
      <c r="G160">
        <v>6.2</v>
      </c>
      <c r="H160">
        <v>8</v>
      </c>
      <c r="I160" t="s">
        <v>331</v>
      </c>
      <c r="J160">
        <v>13</v>
      </c>
      <c r="K160">
        <v>20</v>
      </c>
      <c r="L160">
        <v>15</v>
      </c>
      <c r="M160">
        <v>15.6</v>
      </c>
      <c r="N160">
        <v>28.323699999999999</v>
      </c>
      <c r="O160">
        <v>19.552600000000002</v>
      </c>
      <c r="P160">
        <v>12.745900000000001</v>
      </c>
      <c r="Q160">
        <v>20.452100000000002</v>
      </c>
      <c r="R160">
        <v>15.3483</v>
      </c>
      <c r="S160" t="s">
        <v>210</v>
      </c>
      <c r="T160" t="s">
        <v>455</v>
      </c>
      <c r="U160" t="s">
        <v>456</v>
      </c>
      <c r="V160" t="s">
        <v>193</v>
      </c>
      <c r="W160" t="s">
        <v>194</v>
      </c>
      <c r="Y160">
        <v>10</v>
      </c>
      <c r="Z160" t="s">
        <v>169</v>
      </c>
      <c r="AA160" t="s">
        <v>170</v>
      </c>
      <c r="AB160" t="s">
        <v>171</v>
      </c>
      <c r="AC160" t="s">
        <v>172</v>
      </c>
      <c r="AD160">
        <v>10</v>
      </c>
      <c r="AG160" t="s">
        <v>214</v>
      </c>
      <c r="AH160" t="s">
        <v>215</v>
      </c>
      <c r="AI160" t="s">
        <v>175</v>
      </c>
      <c r="AJ160" t="s">
        <v>176</v>
      </c>
      <c r="AK160" t="s">
        <v>170</v>
      </c>
      <c r="AL160" t="s">
        <v>177</v>
      </c>
      <c r="AO160">
        <v>99</v>
      </c>
      <c r="AP160">
        <v>11</v>
      </c>
      <c r="AS160">
        <v>4250</v>
      </c>
      <c r="AT160">
        <v>4250</v>
      </c>
      <c r="BN160" t="s">
        <v>178</v>
      </c>
      <c r="BO160">
        <v>1</v>
      </c>
      <c r="BP160">
        <v>1</v>
      </c>
      <c r="BQ160">
        <v>5</v>
      </c>
      <c r="BR160" t="s">
        <v>672</v>
      </c>
      <c r="BS160" t="s">
        <v>180</v>
      </c>
      <c r="BT160" t="s">
        <v>181</v>
      </c>
      <c r="BU160" s="1">
        <v>45488</v>
      </c>
      <c r="BV160">
        <v>35026</v>
      </c>
      <c r="BW160" s="155"/>
      <c r="BX160" t="s">
        <v>170</v>
      </c>
      <c r="BY160" t="s">
        <v>170</v>
      </c>
      <c r="CB160" t="s">
        <v>170</v>
      </c>
      <c r="CC160" t="s">
        <v>170</v>
      </c>
      <c r="CE160" t="s">
        <v>169</v>
      </c>
      <c r="CF160" t="s">
        <v>227</v>
      </c>
      <c r="CG160" t="s">
        <v>169</v>
      </c>
      <c r="CH160" t="s">
        <v>240</v>
      </c>
      <c r="CI160" t="s">
        <v>170</v>
      </c>
      <c r="DJ160" t="s">
        <v>184</v>
      </c>
      <c r="DK160" t="s">
        <v>185</v>
      </c>
      <c r="DN160" t="s">
        <v>170</v>
      </c>
      <c r="DO160" t="s">
        <v>186</v>
      </c>
      <c r="DP160" t="s">
        <v>170</v>
      </c>
      <c r="DQ160" t="s">
        <v>187</v>
      </c>
      <c r="DY160">
        <v>19.7</v>
      </c>
      <c r="EA160" s="101"/>
      <c r="EB160">
        <v>2</v>
      </c>
      <c r="EC160">
        <v>2</v>
      </c>
      <c r="EE160" t="s">
        <v>241</v>
      </c>
      <c r="EF160">
        <v>2</v>
      </c>
      <c r="EV160">
        <v>11750</v>
      </c>
      <c r="EW160">
        <v>697</v>
      </c>
      <c r="EX160">
        <v>436</v>
      </c>
      <c r="EY160">
        <v>579</v>
      </c>
    </row>
    <row r="161" spans="1:155" x14ac:dyDescent="0.35">
      <c r="A161">
        <v>2025</v>
      </c>
      <c r="B161" t="s">
        <v>220</v>
      </c>
      <c r="C161" t="s">
        <v>558</v>
      </c>
      <c r="D161" t="s">
        <v>723</v>
      </c>
      <c r="E161" t="s">
        <v>223</v>
      </c>
      <c r="F161">
        <v>323</v>
      </c>
      <c r="G161">
        <v>6.2</v>
      </c>
      <c r="H161">
        <v>8</v>
      </c>
      <c r="I161" t="s">
        <v>200</v>
      </c>
      <c r="J161">
        <v>13</v>
      </c>
      <c r="K161">
        <v>20</v>
      </c>
      <c r="L161">
        <v>15</v>
      </c>
      <c r="M161">
        <v>14.9</v>
      </c>
      <c r="N161">
        <v>25.5</v>
      </c>
      <c r="O161">
        <v>18.328499999999998</v>
      </c>
      <c r="P161">
        <v>12.545500000000001</v>
      </c>
      <c r="Q161">
        <v>20.284400000000002</v>
      </c>
      <c r="R161">
        <v>15.145799999999999</v>
      </c>
      <c r="S161" t="s">
        <v>210</v>
      </c>
      <c r="T161" t="s">
        <v>455</v>
      </c>
      <c r="U161" t="s">
        <v>456</v>
      </c>
      <c r="V161" t="s">
        <v>201</v>
      </c>
      <c r="W161" t="s">
        <v>202</v>
      </c>
      <c r="Y161">
        <v>6</v>
      </c>
      <c r="Z161" t="s">
        <v>170</v>
      </c>
      <c r="AA161" t="s">
        <v>170</v>
      </c>
      <c r="AB161" t="s">
        <v>171</v>
      </c>
      <c r="AC161" t="s">
        <v>172</v>
      </c>
      <c r="AD161">
        <v>10</v>
      </c>
      <c r="AG161" t="s">
        <v>214</v>
      </c>
      <c r="AH161" t="s">
        <v>215</v>
      </c>
      <c r="AI161" t="s">
        <v>175</v>
      </c>
      <c r="AJ161" t="s">
        <v>176</v>
      </c>
      <c r="AK161" t="s">
        <v>170</v>
      </c>
      <c r="AL161" t="s">
        <v>177</v>
      </c>
      <c r="AO161">
        <v>99</v>
      </c>
      <c r="AP161">
        <v>11</v>
      </c>
      <c r="AS161">
        <v>4250</v>
      </c>
      <c r="AT161">
        <v>4250</v>
      </c>
      <c r="BN161" t="s">
        <v>178</v>
      </c>
      <c r="BO161">
        <v>1</v>
      </c>
      <c r="BP161">
        <v>1</v>
      </c>
      <c r="BQ161">
        <v>5</v>
      </c>
      <c r="BR161" t="s">
        <v>672</v>
      </c>
      <c r="BS161" t="s">
        <v>180</v>
      </c>
      <c r="BT161" t="s">
        <v>225</v>
      </c>
      <c r="BU161" s="1">
        <v>45488</v>
      </c>
      <c r="BV161">
        <v>35027</v>
      </c>
      <c r="BW161" s="156"/>
      <c r="BX161" t="s">
        <v>170</v>
      </c>
      <c r="BY161" t="s">
        <v>170</v>
      </c>
      <c r="CB161" t="s">
        <v>170</v>
      </c>
      <c r="CC161" t="s">
        <v>170</v>
      </c>
      <c r="CE161" t="s">
        <v>170</v>
      </c>
      <c r="CG161" t="s">
        <v>169</v>
      </c>
      <c r="CH161" t="s">
        <v>240</v>
      </c>
      <c r="CI161" t="s">
        <v>170</v>
      </c>
      <c r="DJ161" t="s">
        <v>184</v>
      </c>
      <c r="DK161" t="s">
        <v>185</v>
      </c>
      <c r="DN161" t="s">
        <v>170</v>
      </c>
      <c r="DO161" t="s">
        <v>186</v>
      </c>
      <c r="DP161" t="s">
        <v>170</v>
      </c>
      <c r="DQ161" t="s">
        <v>187</v>
      </c>
      <c r="DY161">
        <v>18.5</v>
      </c>
      <c r="EA161" s="89"/>
      <c r="EB161">
        <v>2</v>
      </c>
      <c r="EC161">
        <v>2</v>
      </c>
      <c r="EE161" t="s">
        <v>241</v>
      </c>
      <c r="EF161">
        <v>2</v>
      </c>
      <c r="EV161">
        <v>11750</v>
      </c>
      <c r="EW161">
        <v>708</v>
      </c>
      <c r="EX161">
        <v>438</v>
      </c>
      <c r="EY161">
        <v>587</v>
      </c>
    </row>
    <row r="162" spans="1:155" x14ac:dyDescent="0.35">
      <c r="A162">
        <v>2025</v>
      </c>
      <c r="B162" t="s">
        <v>220</v>
      </c>
      <c r="C162" t="s">
        <v>558</v>
      </c>
      <c r="D162" t="s">
        <v>724</v>
      </c>
      <c r="E162" t="s">
        <v>223</v>
      </c>
      <c r="F162">
        <v>310</v>
      </c>
      <c r="G162">
        <v>3</v>
      </c>
      <c r="H162">
        <v>6</v>
      </c>
      <c r="I162" t="s">
        <v>331</v>
      </c>
      <c r="J162">
        <v>17</v>
      </c>
      <c r="K162">
        <v>26</v>
      </c>
      <c r="L162">
        <v>20</v>
      </c>
      <c r="M162">
        <v>22.695599999999999</v>
      </c>
      <c r="N162">
        <v>37.328800000000001</v>
      </c>
      <c r="O162">
        <v>27.556699999999999</v>
      </c>
      <c r="P162">
        <v>17</v>
      </c>
      <c r="Q162">
        <v>26.406600000000001</v>
      </c>
      <c r="R162">
        <v>20</v>
      </c>
      <c r="T162" t="s">
        <v>165</v>
      </c>
      <c r="U162" t="s">
        <v>166</v>
      </c>
      <c r="V162" t="s">
        <v>193</v>
      </c>
      <c r="W162" t="s">
        <v>194</v>
      </c>
      <c r="Y162">
        <v>10</v>
      </c>
      <c r="Z162" t="s">
        <v>169</v>
      </c>
      <c r="AA162" t="s">
        <v>170</v>
      </c>
      <c r="AB162" t="s">
        <v>167</v>
      </c>
      <c r="AC162" t="s">
        <v>213</v>
      </c>
      <c r="AD162">
        <v>10</v>
      </c>
      <c r="AG162" t="s">
        <v>214</v>
      </c>
      <c r="AH162" t="s">
        <v>215</v>
      </c>
      <c r="AI162" t="s">
        <v>175</v>
      </c>
      <c r="AJ162" t="s">
        <v>176</v>
      </c>
      <c r="AK162" t="s">
        <v>170</v>
      </c>
      <c r="AL162" t="s">
        <v>177</v>
      </c>
      <c r="AO162">
        <v>99</v>
      </c>
      <c r="AP162">
        <v>11</v>
      </c>
      <c r="AS162">
        <v>3200</v>
      </c>
      <c r="AT162">
        <v>3200</v>
      </c>
      <c r="BN162" t="s">
        <v>178</v>
      </c>
      <c r="BO162">
        <v>2</v>
      </c>
      <c r="BP162">
        <v>2</v>
      </c>
      <c r="BQ162">
        <v>5</v>
      </c>
      <c r="BR162" t="s">
        <v>672</v>
      </c>
      <c r="BS162" t="s">
        <v>180</v>
      </c>
      <c r="BT162" t="s">
        <v>181</v>
      </c>
      <c r="BU162" s="1">
        <v>45418</v>
      </c>
      <c r="BV162">
        <v>34731</v>
      </c>
      <c r="BW162" s="155"/>
      <c r="BX162" t="s">
        <v>170</v>
      </c>
      <c r="BY162" t="s">
        <v>170</v>
      </c>
      <c r="CB162" t="s">
        <v>170</v>
      </c>
      <c r="CC162" t="s">
        <v>170</v>
      </c>
      <c r="CE162" t="s">
        <v>169</v>
      </c>
      <c r="CF162" t="s">
        <v>227</v>
      </c>
      <c r="CG162" t="s">
        <v>169</v>
      </c>
      <c r="CH162" t="s">
        <v>566</v>
      </c>
      <c r="CI162" t="s">
        <v>170</v>
      </c>
      <c r="DJ162" t="s">
        <v>184</v>
      </c>
      <c r="DK162" t="s">
        <v>185</v>
      </c>
      <c r="DN162" t="s">
        <v>170</v>
      </c>
      <c r="DO162" t="s">
        <v>490</v>
      </c>
      <c r="DP162" t="s">
        <v>169</v>
      </c>
      <c r="DQ162" t="s">
        <v>198</v>
      </c>
      <c r="DY162">
        <v>27.8</v>
      </c>
      <c r="EA162" s="101"/>
      <c r="EB162">
        <v>4</v>
      </c>
      <c r="EC162">
        <v>4</v>
      </c>
      <c r="EE162" t="s">
        <v>567</v>
      </c>
      <c r="EF162">
        <v>4</v>
      </c>
      <c r="EV162">
        <v>6500</v>
      </c>
      <c r="EW162">
        <v>523</v>
      </c>
      <c r="EX162">
        <v>338</v>
      </c>
      <c r="EY162">
        <v>445</v>
      </c>
    </row>
    <row r="163" spans="1:155" x14ac:dyDescent="0.35">
      <c r="A163">
        <v>2025</v>
      </c>
      <c r="B163" t="s">
        <v>220</v>
      </c>
      <c r="C163" t="s">
        <v>558</v>
      </c>
      <c r="D163" t="s">
        <v>1456</v>
      </c>
      <c r="E163" t="s">
        <v>223</v>
      </c>
      <c r="F163">
        <v>585</v>
      </c>
      <c r="G163">
        <v>6.2</v>
      </c>
      <c r="H163">
        <v>8</v>
      </c>
      <c r="I163" t="s">
        <v>443</v>
      </c>
      <c r="J163">
        <v>15</v>
      </c>
      <c r="K163">
        <v>19</v>
      </c>
      <c r="L163">
        <v>17</v>
      </c>
      <c r="M163">
        <v>18.534700000000001</v>
      </c>
      <c r="N163">
        <v>28.699400000000001</v>
      </c>
      <c r="O163">
        <v>22.0488</v>
      </c>
      <c r="P163">
        <v>14.996600000000001</v>
      </c>
      <c r="Q163">
        <v>19</v>
      </c>
      <c r="R163">
        <v>16.7605</v>
      </c>
      <c r="U163" t="s">
        <v>224</v>
      </c>
      <c r="V163" t="s">
        <v>167</v>
      </c>
      <c r="W163" t="s">
        <v>168</v>
      </c>
      <c r="Y163">
        <v>10</v>
      </c>
      <c r="Z163" t="s">
        <v>169</v>
      </c>
      <c r="AA163" t="s">
        <v>170</v>
      </c>
      <c r="AB163" t="s">
        <v>171</v>
      </c>
      <c r="AC163" t="s">
        <v>172</v>
      </c>
      <c r="AD163">
        <v>10</v>
      </c>
      <c r="AG163" t="s">
        <v>214</v>
      </c>
      <c r="AH163" t="s">
        <v>215</v>
      </c>
      <c r="AI163" t="s">
        <v>175</v>
      </c>
      <c r="AJ163" t="s">
        <v>176</v>
      </c>
      <c r="AK163" t="s">
        <v>940</v>
      </c>
      <c r="AL163" t="s">
        <v>941</v>
      </c>
      <c r="AS163">
        <v>3750</v>
      </c>
      <c r="AT163">
        <v>3750</v>
      </c>
      <c r="BN163" t="s">
        <v>178</v>
      </c>
      <c r="BO163">
        <v>1</v>
      </c>
      <c r="BP163">
        <v>1</v>
      </c>
      <c r="BQ163">
        <v>32</v>
      </c>
      <c r="BR163" t="s">
        <v>1453</v>
      </c>
      <c r="BT163" t="s">
        <v>457</v>
      </c>
      <c r="BU163" s="1">
        <v>45572</v>
      </c>
      <c r="BV163">
        <v>35603</v>
      </c>
      <c r="BW163" s="155"/>
      <c r="BX163" t="s">
        <v>170</v>
      </c>
      <c r="BY163" t="s">
        <v>170</v>
      </c>
      <c r="CB163" t="s">
        <v>170</v>
      </c>
      <c r="CC163" t="s">
        <v>170</v>
      </c>
      <c r="CE163" t="s">
        <v>169</v>
      </c>
      <c r="CF163" t="s">
        <v>980</v>
      </c>
      <c r="CG163" t="s">
        <v>169</v>
      </c>
      <c r="CH163" t="s">
        <v>981</v>
      </c>
      <c r="CI163" t="s">
        <v>170</v>
      </c>
      <c r="DJ163" t="s">
        <v>184</v>
      </c>
      <c r="DK163" t="s">
        <v>185</v>
      </c>
      <c r="DN163" t="s">
        <v>170</v>
      </c>
      <c r="DO163" t="s">
        <v>197</v>
      </c>
      <c r="DP163" t="s">
        <v>169</v>
      </c>
      <c r="DQ163" t="s">
        <v>198</v>
      </c>
      <c r="EA163" s="101"/>
      <c r="EB163">
        <v>3</v>
      </c>
      <c r="EC163">
        <v>3</v>
      </c>
      <c r="EE163" t="s">
        <v>1025</v>
      </c>
      <c r="EF163">
        <v>5</v>
      </c>
      <c r="EV163">
        <v>9250</v>
      </c>
      <c r="EW163">
        <v>594</v>
      </c>
      <c r="EX163">
        <v>467</v>
      </c>
      <c r="EY163">
        <v>537</v>
      </c>
    </row>
    <row r="164" spans="1:155" x14ac:dyDescent="0.35">
      <c r="A164">
        <v>2025</v>
      </c>
      <c r="B164" t="s">
        <v>220</v>
      </c>
      <c r="C164" t="s">
        <v>558</v>
      </c>
      <c r="D164" t="s">
        <v>1533</v>
      </c>
      <c r="E164" t="s">
        <v>223</v>
      </c>
      <c r="F164">
        <v>590</v>
      </c>
      <c r="G164">
        <v>6.2</v>
      </c>
      <c r="H164">
        <v>8</v>
      </c>
      <c r="I164" t="s">
        <v>443</v>
      </c>
      <c r="J164">
        <v>14</v>
      </c>
      <c r="K164">
        <v>18</v>
      </c>
      <c r="L164">
        <v>16</v>
      </c>
      <c r="M164">
        <v>18.2</v>
      </c>
      <c r="N164">
        <v>27.3</v>
      </c>
      <c r="O164">
        <v>21.411799999999999</v>
      </c>
      <c r="P164">
        <v>14</v>
      </c>
      <c r="Q164">
        <v>18</v>
      </c>
      <c r="R164">
        <v>16.296900000000001</v>
      </c>
      <c r="U164" t="s">
        <v>224</v>
      </c>
      <c r="V164" t="s">
        <v>167</v>
      </c>
      <c r="W164" t="s">
        <v>168</v>
      </c>
      <c r="Y164">
        <v>10</v>
      </c>
      <c r="Z164" t="s">
        <v>169</v>
      </c>
      <c r="AA164" t="s">
        <v>170</v>
      </c>
      <c r="AB164">
        <v>4</v>
      </c>
      <c r="AC164" t="s">
        <v>601</v>
      </c>
      <c r="AD164">
        <v>10</v>
      </c>
      <c r="AG164" t="s">
        <v>214</v>
      </c>
      <c r="AH164" t="s">
        <v>215</v>
      </c>
      <c r="AI164" t="s">
        <v>175</v>
      </c>
      <c r="AJ164" t="s">
        <v>176</v>
      </c>
      <c r="AK164" t="s">
        <v>940</v>
      </c>
      <c r="AL164" t="s">
        <v>941</v>
      </c>
      <c r="AS164">
        <v>4000</v>
      </c>
      <c r="AT164">
        <v>4000</v>
      </c>
      <c r="BN164" t="s">
        <v>178</v>
      </c>
      <c r="BO164">
        <v>1</v>
      </c>
      <c r="BP164">
        <v>1</v>
      </c>
      <c r="BQ164">
        <v>33</v>
      </c>
      <c r="BR164" t="s">
        <v>1497</v>
      </c>
      <c r="BT164" t="s">
        <v>457</v>
      </c>
      <c r="BU164" s="1">
        <v>45572</v>
      </c>
      <c r="BV164">
        <v>35605</v>
      </c>
      <c r="BW164" s="156"/>
      <c r="BX164" t="s">
        <v>170</v>
      </c>
      <c r="BY164" t="s">
        <v>170</v>
      </c>
      <c r="CB164" t="s">
        <v>170</v>
      </c>
      <c r="CC164" t="s">
        <v>170</v>
      </c>
      <c r="CE164" t="s">
        <v>169</v>
      </c>
      <c r="CF164" t="s">
        <v>980</v>
      </c>
      <c r="CG164" t="s">
        <v>169</v>
      </c>
      <c r="CH164" t="s">
        <v>981</v>
      </c>
      <c r="CI164" t="s">
        <v>170</v>
      </c>
      <c r="DJ164" t="s">
        <v>184</v>
      </c>
      <c r="DK164" t="s">
        <v>185</v>
      </c>
      <c r="DN164" t="s">
        <v>170</v>
      </c>
      <c r="DO164" t="s">
        <v>197</v>
      </c>
      <c r="DP164" t="s">
        <v>169</v>
      </c>
      <c r="DQ164" t="s">
        <v>198</v>
      </c>
      <c r="EA164" s="89"/>
      <c r="EB164">
        <v>3</v>
      </c>
      <c r="EC164">
        <v>3</v>
      </c>
      <c r="EE164" t="s">
        <v>1025</v>
      </c>
      <c r="EF164">
        <v>5</v>
      </c>
      <c r="EV164">
        <v>10500</v>
      </c>
      <c r="EW164">
        <v>634</v>
      </c>
      <c r="EX164">
        <v>495</v>
      </c>
      <c r="EY164">
        <v>572</v>
      </c>
    </row>
    <row r="165" spans="1:155" x14ac:dyDescent="0.35">
      <c r="A165">
        <v>2025</v>
      </c>
      <c r="B165" t="s">
        <v>220</v>
      </c>
      <c r="C165" t="s">
        <v>558</v>
      </c>
      <c r="D165" t="s">
        <v>1534</v>
      </c>
      <c r="E165" t="s">
        <v>223</v>
      </c>
      <c r="F165">
        <v>522</v>
      </c>
      <c r="G165">
        <v>6.2</v>
      </c>
      <c r="H165">
        <v>8</v>
      </c>
      <c r="I165" t="s">
        <v>331</v>
      </c>
      <c r="J165">
        <v>11</v>
      </c>
      <c r="K165">
        <v>17</v>
      </c>
      <c r="L165">
        <v>13</v>
      </c>
      <c r="M165">
        <v>13.8161</v>
      </c>
      <c r="N165">
        <v>24.244599999999998</v>
      </c>
      <c r="O165">
        <v>17.132200000000001</v>
      </c>
      <c r="P165">
        <v>11.3561</v>
      </c>
      <c r="Q165">
        <v>17</v>
      </c>
      <c r="R165">
        <v>13</v>
      </c>
      <c r="T165" t="s">
        <v>455</v>
      </c>
      <c r="U165" t="s">
        <v>456</v>
      </c>
      <c r="V165" t="s">
        <v>193</v>
      </c>
      <c r="W165" t="s">
        <v>194</v>
      </c>
      <c r="Y165">
        <v>10</v>
      </c>
      <c r="Z165" t="s">
        <v>169</v>
      </c>
      <c r="AA165" t="s">
        <v>170</v>
      </c>
      <c r="AB165">
        <v>4</v>
      </c>
      <c r="AC165" t="s">
        <v>601</v>
      </c>
      <c r="AD165">
        <v>10</v>
      </c>
      <c r="AG165" t="s">
        <v>214</v>
      </c>
      <c r="AH165" t="s">
        <v>215</v>
      </c>
      <c r="AI165" t="s">
        <v>175</v>
      </c>
      <c r="AJ165" t="s">
        <v>176</v>
      </c>
      <c r="AK165" t="s">
        <v>940</v>
      </c>
      <c r="AL165" t="s">
        <v>941</v>
      </c>
      <c r="AS165">
        <v>4900</v>
      </c>
      <c r="AT165">
        <v>4900</v>
      </c>
      <c r="BN165" t="s">
        <v>178</v>
      </c>
      <c r="BO165">
        <v>1</v>
      </c>
      <c r="BP165">
        <v>1</v>
      </c>
      <c r="BQ165">
        <v>33</v>
      </c>
      <c r="BR165" t="s">
        <v>1497</v>
      </c>
      <c r="BT165" t="s">
        <v>181</v>
      </c>
      <c r="BU165" s="1">
        <v>45533</v>
      </c>
      <c r="BV165">
        <v>35453</v>
      </c>
      <c r="BW165" s="155"/>
      <c r="BX165" t="s">
        <v>170</v>
      </c>
      <c r="BY165" t="s">
        <v>170</v>
      </c>
      <c r="CB165" t="s">
        <v>170</v>
      </c>
      <c r="CC165" t="s">
        <v>170</v>
      </c>
      <c r="CE165" t="s">
        <v>170</v>
      </c>
      <c r="CG165" t="s">
        <v>169</v>
      </c>
      <c r="CH165" t="s">
        <v>240</v>
      </c>
      <c r="CI165" t="s">
        <v>170</v>
      </c>
      <c r="DJ165" t="s">
        <v>184</v>
      </c>
      <c r="DK165" t="s">
        <v>185</v>
      </c>
      <c r="DN165" t="s">
        <v>170</v>
      </c>
      <c r="DO165" t="s">
        <v>186</v>
      </c>
      <c r="DP165" t="s">
        <v>170</v>
      </c>
      <c r="DQ165" t="s">
        <v>187</v>
      </c>
      <c r="EA165" s="101"/>
      <c r="EB165">
        <v>1</v>
      </c>
      <c r="EC165">
        <v>1</v>
      </c>
      <c r="EE165" t="s">
        <v>1535</v>
      </c>
      <c r="EF165">
        <v>2</v>
      </c>
      <c r="EV165">
        <v>15000</v>
      </c>
      <c r="EW165">
        <v>782</v>
      </c>
      <c r="EX165">
        <v>523</v>
      </c>
      <c r="EY165">
        <v>683</v>
      </c>
    </row>
    <row r="166" spans="1:155" x14ac:dyDescent="0.35">
      <c r="A166">
        <v>2025</v>
      </c>
      <c r="B166" t="s">
        <v>220</v>
      </c>
      <c r="C166" t="s">
        <v>558</v>
      </c>
      <c r="D166" t="s">
        <v>1267</v>
      </c>
      <c r="E166" t="s">
        <v>223</v>
      </c>
      <c r="F166">
        <v>931</v>
      </c>
      <c r="G166">
        <v>2</v>
      </c>
      <c r="H166">
        <v>4</v>
      </c>
      <c r="I166" t="s">
        <v>292</v>
      </c>
      <c r="J166">
        <v>23</v>
      </c>
      <c r="K166">
        <v>28</v>
      </c>
      <c r="L166">
        <v>25</v>
      </c>
      <c r="M166">
        <v>27.3</v>
      </c>
      <c r="N166">
        <v>40.799999999999997</v>
      </c>
      <c r="O166">
        <v>32.076000000000001</v>
      </c>
      <c r="P166">
        <v>22.685600000000001</v>
      </c>
      <c r="Q166">
        <v>28.244900000000001</v>
      </c>
      <c r="R166">
        <v>24.8902</v>
      </c>
      <c r="T166" t="s">
        <v>165</v>
      </c>
      <c r="U166" t="s">
        <v>166</v>
      </c>
      <c r="V166" t="s">
        <v>193</v>
      </c>
      <c r="W166" t="s">
        <v>194</v>
      </c>
      <c r="Y166">
        <v>9</v>
      </c>
      <c r="Z166" t="s">
        <v>169</v>
      </c>
      <c r="AA166" t="s">
        <v>170</v>
      </c>
      <c r="AB166" t="s">
        <v>167</v>
      </c>
      <c r="AC166" t="s">
        <v>213</v>
      </c>
      <c r="AD166">
        <v>10</v>
      </c>
      <c r="AG166" t="s">
        <v>214</v>
      </c>
      <c r="AH166" t="s">
        <v>215</v>
      </c>
      <c r="AI166" t="s">
        <v>175</v>
      </c>
      <c r="AJ166" t="s">
        <v>176</v>
      </c>
      <c r="AK166" t="s">
        <v>940</v>
      </c>
      <c r="AL166" t="s">
        <v>941</v>
      </c>
      <c r="AO166">
        <v>101</v>
      </c>
      <c r="AP166">
        <v>23</v>
      </c>
      <c r="AS166">
        <v>2550</v>
      </c>
      <c r="AT166">
        <v>2550</v>
      </c>
      <c r="BN166" t="s">
        <v>178</v>
      </c>
      <c r="BO166">
        <v>2</v>
      </c>
      <c r="BP166">
        <v>2</v>
      </c>
      <c r="BQ166">
        <v>31</v>
      </c>
      <c r="BR166" t="s">
        <v>1219</v>
      </c>
      <c r="BT166" t="s">
        <v>457</v>
      </c>
      <c r="BU166" s="1">
        <v>45484</v>
      </c>
      <c r="BV166">
        <v>35153</v>
      </c>
      <c r="BW166" s="155"/>
      <c r="BX166" t="s">
        <v>170</v>
      </c>
      <c r="BY166" t="s">
        <v>170</v>
      </c>
      <c r="CB166" t="s">
        <v>170</v>
      </c>
      <c r="CC166" t="s">
        <v>170</v>
      </c>
      <c r="CE166" t="s">
        <v>169</v>
      </c>
      <c r="CF166" t="s">
        <v>227</v>
      </c>
      <c r="CG166" t="s">
        <v>169</v>
      </c>
      <c r="CH166" t="s">
        <v>240</v>
      </c>
      <c r="CI166" t="s">
        <v>169</v>
      </c>
      <c r="CJ166" t="s">
        <v>561</v>
      </c>
      <c r="DJ166" t="s">
        <v>184</v>
      </c>
      <c r="DK166" t="s">
        <v>185</v>
      </c>
      <c r="DN166" t="s">
        <v>170</v>
      </c>
      <c r="DO166" t="s">
        <v>197</v>
      </c>
      <c r="DP166" t="s">
        <v>169</v>
      </c>
      <c r="DQ166" t="s">
        <v>198</v>
      </c>
      <c r="EA166" s="101"/>
      <c r="EB166">
        <v>5</v>
      </c>
      <c r="EC166">
        <v>5</v>
      </c>
      <c r="EE166" t="s">
        <v>1266</v>
      </c>
      <c r="EF166">
        <v>6</v>
      </c>
      <c r="EV166">
        <v>3250</v>
      </c>
      <c r="EW166">
        <v>392</v>
      </c>
      <c r="EX166">
        <v>315</v>
      </c>
      <c r="EY166">
        <v>357</v>
      </c>
    </row>
    <row r="167" spans="1:155" x14ac:dyDescent="0.35">
      <c r="A167">
        <v>2025</v>
      </c>
      <c r="B167" t="s">
        <v>220</v>
      </c>
      <c r="C167" t="s">
        <v>558</v>
      </c>
      <c r="D167" t="s">
        <v>1689</v>
      </c>
      <c r="E167" t="s">
        <v>223</v>
      </c>
      <c r="F167">
        <v>100</v>
      </c>
      <c r="G167">
        <v>2</v>
      </c>
      <c r="H167">
        <v>4</v>
      </c>
      <c r="I167" t="s">
        <v>292</v>
      </c>
      <c r="J167">
        <v>24</v>
      </c>
      <c r="K167">
        <v>29</v>
      </c>
      <c r="L167">
        <v>26</v>
      </c>
      <c r="M167">
        <v>30.4</v>
      </c>
      <c r="N167">
        <v>43.8</v>
      </c>
      <c r="O167">
        <v>35.253399999999999</v>
      </c>
      <c r="P167">
        <v>23.667400000000001</v>
      </c>
      <c r="Q167">
        <v>29.434000000000001</v>
      </c>
      <c r="R167">
        <v>25.9557</v>
      </c>
      <c r="T167" t="s">
        <v>165</v>
      </c>
      <c r="U167" t="s">
        <v>166</v>
      </c>
      <c r="V167" t="s">
        <v>193</v>
      </c>
      <c r="W167" t="s">
        <v>194</v>
      </c>
      <c r="Y167">
        <v>9</v>
      </c>
      <c r="Z167" t="s">
        <v>169</v>
      </c>
      <c r="AA167" t="s">
        <v>170</v>
      </c>
      <c r="AB167" t="s">
        <v>351</v>
      </c>
      <c r="AC167" t="s">
        <v>352</v>
      </c>
      <c r="AD167">
        <v>10</v>
      </c>
      <c r="AG167" t="s">
        <v>214</v>
      </c>
      <c r="AH167" t="s">
        <v>215</v>
      </c>
      <c r="AI167" t="s">
        <v>175</v>
      </c>
      <c r="AJ167" t="s">
        <v>176</v>
      </c>
      <c r="AK167" t="s">
        <v>940</v>
      </c>
      <c r="AL167" t="s">
        <v>941</v>
      </c>
      <c r="AO167">
        <v>101</v>
      </c>
      <c r="AP167">
        <v>23</v>
      </c>
      <c r="AS167">
        <v>2450</v>
      </c>
      <c r="AT167">
        <v>2450</v>
      </c>
      <c r="BN167" t="s">
        <v>178</v>
      </c>
      <c r="BO167">
        <v>2</v>
      </c>
      <c r="BP167">
        <v>2</v>
      </c>
      <c r="BQ167">
        <v>30</v>
      </c>
      <c r="BR167" t="s">
        <v>1099</v>
      </c>
      <c r="BT167" t="s">
        <v>457</v>
      </c>
      <c r="BV167">
        <v>36305</v>
      </c>
      <c r="BW167" s="156"/>
      <c r="BX167" t="s">
        <v>170</v>
      </c>
      <c r="BY167" t="s">
        <v>170</v>
      </c>
      <c r="CB167" t="s">
        <v>170</v>
      </c>
      <c r="CC167" t="s">
        <v>170</v>
      </c>
      <c r="CE167" t="s">
        <v>169</v>
      </c>
      <c r="CF167" t="s">
        <v>227</v>
      </c>
      <c r="CG167" t="s">
        <v>169</v>
      </c>
      <c r="CH167" t="s">
        <v>240</v>
      </c>
      <c r="CI167" t="s">
        <v>169</v>
      </c>
      <c r="CJ167" t="s">
        <v>561</v>
      </c>
      <c r="DJ167" t="s">
        <v>184</v>
      </c>
      <c r="DK167" t="s">
        <v>185</v>
      </c>
      <c r="DN167" t="s">
        <v>170</v>
      </c>
      <c r="DO167" t="s">
        <v>197</v>
      </c>
      <c r="DP167" t="s">
        <v>169</v>
      </c>
      <c r="DQ167" t="s">
        <v>198</v>
      </c>
      <c r="EA167" s="89"/>
      <c r="EB167">
        <v>5</v>
      </c>
      <c r="EC167">
        <v>5</v>
      </c>
      <c r="EE167" t="s">
        <v>1266</v>
      </c>
      <c r="EF167">
        <v>6</v>
      </c>
      <c r="EV167">
        <v>2750</v>
      </c>
      <c r="EW167">
        <v>376</v>
      </c>
      <c r="EX167">
        <v>303</v>
      </c>
      <c r="EY167">
        <v>343</v>
      </c>
    </row>
    <row r="168" spans="1:155" x14ac:dyDescent="0.35">
      <c r="A168">
        <v>2025</v>
      </c>
      <c r="B168" t="s">
        <v>220</v>
      </c>
      <c r="C168" t="s">
        <v>558</v>
      </c>
      <c r="D168" t="s">
        <v>1268</v>
      </c>
      <c r="E168" t="s">
        <v>223</v>
      </c>
      <c r="F168">
        <v>905</v>
      </c>
      <c r="G168">
        <v>2</v>
      </c>
      <c r="H168">
        <v>4</v>
      </c>
      <c r="I168" t="s">
        <v>292</v>
      </c>
      <c r="J168">
        <v>21</v>
      </c>
      <c r="K168">
        <v>27</v>
      </c>
      <c r="L168">
        <v>23</v>
      </c>
      <c r="M168">
        <v>27.6206</v>
      </c>
      <c r="N168">
        <v>39.270800000000001</v>
      </c>
      <c r="O168">
        <v>31.876000000000001</v>
      </c>
      <c r="P168">
        <v>21</v>
      </c>
      <c r="Q168">
        <v>27</v>
      </c>
      <c r="R168">
        <v>23</v>
      </c>
      <c r="T168" t="s">
        <v>165</v>
      </c>
      <c r="U168" t="s">
        <v>166</v>
      </c>
      <c r="V168" t="s">
        <v>193</v>
      </c>
      <c r="W168" t="s">
        <v>194</v>
      </c>
      <c r="Y168">
        <v>9</v>
      </c>
      <c r="Z168" t="s">
        <v>169</v>
      </c>
      <c r="AA168" t="s">
        <v>170</v>
      </c>
      <c r="AB168" t="s">
        <v>167</v>
      </c>
      <c r="AC168" t="s">
        <v>213</v>
      </c>
      <c r="AD168">
        <v>10</v>
      </c>
      <c r="AG168" t="s">
        <v>214</v>
      </c>
      <c r="AH168" t="s">
        <v>215</v>
      </c>
      <c r="AI168" t="s">
        <v>175</v>
      </c>
      <c r="AJ168" t="s">
        <v>176</v>
      </c>
      <c r="AK168" t="s">
        <v>940</v>
      </c>
      <c r="AL168" t="s">
        <v>941</v>
      </c>
      <c r="AS168">
        <v>2750</v>
      </c>
      <c r="AT168">
        <v>2750</v>
      </c>
      <c r="BN168" t="s">
        <v>178</v>
      </c>
      <c r="BO168">
        <v>2</v>
      </c>
      <c r="BP168">
        <v>2</v>
      </c>
      <c r="BQ168">
        <v>31</v>
      </c>
      <c r="BR168" t="s">
        <v>1219</v>
      </c>
      <c r="BT168" t="s">
        <v>181</v>
      </c>
      <c r="BU168" s="1">
        <v>45474</v>
      </c>
      <c r="BV168">
        <v>35072</v>
      </c>
      <c r="BW168" s="155"/>
      <c r="BX168" t="s">
        <v>170</v>
      </c>
      <c r="BY168" t="s">
        <v>170</v>
      </c>
      <c r="CB168" t="s">
        <v>170</v>
      </c>
      <c r="CC168" t="s">
        <v>170</v>
      </c>
      <c r="CE168" t="s">
        <v>169</v>
      </c>
      <c r="CF168" t="s">
        <v>227</v>
      </c>
      <c r="CG168" t="s">
        <v>169</v>
      </c>
      <c r="CH168" t="s">
        <v>240</v>
      </c>
      <c r="CI168" t="s">
        <v>169</v>
      </c>
      <c r="CJ168" t="s">
        <v>561</v>
      </c>
      <c r="DJ168" t="s">
        <v>184</v>
      </c>
      <c r="DK168" t="s">
        <v>185</v>
      </c>
      <c r="DN168" t="s">
        <v>170</v>
      </c>
      <c r="DO168" t="s">
        <v>197</v>
      </c>
      <c r="DP168" t="s">
        <v>169</v>
      </c>
      <c r="DQ168" t="s">
        <v>198</v>
      </c>
      <c r="EA168" s="101"/>
      <c r="EB168">
        <v>5</v>
      </c>
      <c r="EC168">
        <v>5</v>
      </c>
      <c r="EE168" t="s">
        <v>1104</v>
      </c>
      <c r="EF168">
        <v>6</v>
      </c>
      <c r="EV168">
        <v>4250</v>
      </c>
      <c r="EW168">
        <v>422</v>
      </c>
      <c r="EX168">
        <v>329</v>
      </c>
      <c r="EY168">
        <v>386</v>
      </c>
    </row>
    <row r="169" spans="1:155" x14ac:dyDescent="0.35">
      <c r="A169">
        <v>2025</v>
      </c>
      <c r="B169" t="s">
        <v>220</v>
      </c>
      <c r="C169" t="s">
        <v>558</v>
      </c>
      <c r="D169" t="s">
        <v>1268</v>
      </c>
      <c r="E169" t="s">
        <v>223</v>
      </c>
      <c r="F169">
        <v>921</v>
      </c>
      <c r="G169">
        <v>3.6</v>
      </c>
      <c r="H169">
        <v>6</v>
      </c>
      <c r="I169" t="s">
        <v>292</v>
      </c>
      <c r="J169">
        <v>18</v>
      </c>
      <c r="K169">
        <v>26</v>
      </c>
      <c r="L169">
        <v>21</v>
      </c>
      <c r="M169">
        <v>22.9</v>
      </c>
      <c r="N169">
        <v>36</v>
      </c>
      <c r="O169">
        <v>27.3842</v>
      </c>
      <c r="P169">
        <v>18.264700000000001</v>
      </c>
      <c r="Q169">
        <v>25.543199999999999</v>
      </c>
      <c r="R169">
        <v>20.9512</v>
      </c>
      <c r="U169" t="s">
        <v>224</v>
      </c>
      <c r="V169" t="s">
        <v>193</v>
      </c>
      <c r="W169" t="s">
        <v>194</v>
      </c>
      <c r="Y169">
        <v>9</v>
      </c>
      <c r="Z169" t="s">
        <v>169</v>
      </c>
      <c r="AA169" t="s">
        <v>170</v>
      </c>
      <c r="AB169" t="s">
        <v>167</v>
      </c>
      <c r="AC169" t="s">
        <v>213</v>
      </c>
      <c r="AD169">
        <v>10</v>
      </c>
      <c r="AG169" t="s">
        <v>210</v>
      </c>
      <c r="AH169" t="s">
        <v>444</v>
      </c>
      <c r="AI169" t="s">
        <v>175</v>
      </c>
      <c r="AJ169" t="s">
        <v>176</v>
      </c>
      <c r="AK169" t="s">
        <v>940</v>
      </c>
      <c r="AL169" t="s">
        <v>941</v>
      </c>
      <c r="AS169">
        <v>2500</v>
      </c>
      <c r="AT169">
        <v>2500</v>
      </c>
      <c r="BN169" t="s">
        <v>178</v>
      </c>
      <c r="BO169">
        <v>2</v>
      </c>
      <c r="BP169">
        <v>2</v>
      </c>
      <c r="BQ169">
        <v>31</v>
      </c>
      <c r="BR169" t="s">
        <v>1219</v>
      </c>
      <c r="BT169" t="s">
        <v>181</v>
      </c>
      <c r="BU169" s="1">
        <v>45474</v>
      </c>
      <c r="BV169">
        <v>35033</v>
      </c>
      <c r="BW169" s="155"/>
      <c r="BX169" t="s">
        <v>170</v>
      </c>
      <c r="BY169" t="s">
        <v>170</v>
      </c>
      <c r="CB169" t="s">
        <v>170</v>
      </c>
      <c r="CC169" t="s">
        <v>170</v>
      </c>
      <c r="CE169" t="s">
        <v>169</v>
      </c>
      <c r="CF169" t="s">
        <v>227</v>
      </c>
      <c r="CG169" t="s">
        <v>169</v>
      </c>
      <c r="CH169" t="s">
        <v>566</v>
      </c>
      <c r="CI169" t="s">
        <v>170</v>
      </c>
      <c r="DJ169" t="s">
        <v>184</v>
      </c>
      <c r="DK169" t="s">
        <v>185</v>
      </c>
      <c r="DN169" t="s">
        <v>170</v>
      </c>
      <c r="DO169" t="s">
        <v>490</v>
      </c>
      <c r="DP169" t="s">
        <v>169</v>
      </c>
      <c r="DQ169" t="s">
        <v>198</v>
      </c>
      <c r="EA169" s="101"/>
      <c r="EB169">
        <v>4</v>
      </c>
      <c r="EC169">
        <v>4</v>
      </c>
      <c r="EE169" t="s">
        <v>1105</v>
      </c>
      <c r="EF169">
        <v>5</v>
      </c>
      <c r="EV169">
        <v>3000</v>
      </c>
      <c r="EW169">
        <v>486</v>
      </c>
      <c r="EX169">
        <v>348</v>
      </c>
      <c r="EY169">
        <v>424</v>
      </c>
    </row>
    <row r="170" spans="1:155" x14ac:dyDescent="0.35">
      <c r="A170">
        <v>2025</v>
      </c>
      <c r="B170" t="s">
        <v>220</v>
      </c>
      <c r="C170" t="s">
        <v>558</v>
      </c>
      <c r="D170" t="s">
        <v>1103</v>
      </c>
      <c r="E170" t="s">
        <v>223</v>
      </c>
      <c r="F170">
        <v>902</v>
      </c>
      <c r="G170">
        <v>2</v>
      </c>
      <c r="H170">
        <v>4</v>
      </c>
      <c r="I170" t="s">
        <v>292</v>
      </c>
      <c r="J170">
        <v>22</v>
      </c>
      <c r="K170">
        <v>29</v>
      </c>
      <c r="L170">
        <v>24</v>
      </c>
      <c r="M170">
        <v>29</v>
      </c>
      <c r="N170">
        <v>41.8</v>
      </c>
      <c r="O170">
        <v>33.634900000000002</v>
      </c>
      <c r="P170">
        <v>22</v>
      </c>
      <c r="Q170">
        <v>29.274100000000001</v>
      </c>
      <c r="R170">
        <v>24</v>
      </c>
      <c r="T170" t="s">
        <v>165</v>
      </c>
      <c r="U170" t="s">
        <v>166</v>
      </c>
      <c r="V170" t="s">
        <v>193</v>
      </c>
      <c r="W170" t="s">
        <v>194</v>
      </c>
      <c r="Y170">
        <v>9</v>
      </c>
      <c r="Z170" t="s">
        <v>169</v>
      </c>
      <c r="AA170" t="s">
        <v>170</v>
      </c>
      <c r="AB170" t="s">
        <v>351</v>
      </c>
      <c r="AC170" t="s">
        <v>352</v>
      </c>
      <c r="AD170">
        <v>10</v>
      </c>
      <c r="AG170" t="s">
        <v>214</v>
      </c>
      <c r="AH170" t="s">
        <v>215</v>
      </c>
      <c r="AI170" t="s">
        <v>175</v>
      </c>
      <c r="AJ170" t="s">
        <v>176</v>
      </c>
      <c r="AK170" t="s">
        <v>940</v>
      </c>
      <c r="AL170" t="s">
        <v>941</v>
      </c>
      <c r="AS170">
        <v>2650</v>
      </c>
      <c r="AT170">
        <v>2650</v>
      </c>
      <c r="BN170" t="s">
        <v>178</v>
      </c>
      <c r="BO170">
        <v>2</v>
      </c>
      <c r="BP170">
        <v>2</v>
      </c>
      <c r="BQ170">
        <v>30</v>
      </c>
      <c r="BR170" t="s">
        <v>1099</v>
      </c>
      <c r="BT170" t="s">
        <v>181</v>
      </c>
      <c r="BU170" s="1">
        <v>45474</v>
      </c>
      <c r="BV170">
        <v>35039</v>
      </c>
      <c r="BW170" s="156"/>
      <c r="BX170" t="s">
        <v>170</v>
      </c>
      <c r="BY170" t="s">
        <v>170</v>
      </c>
      <c r="CB170" t="s">
        <v>170</v>
      </c>
      <c r="CC170" t="s">
        <v>170</v>
      </c>
      <c r="CE170" t="s">
        <v>169</v>
      </c>
      <c r="CF170" t="s">
        <v>227</v>
      </c>
      <c r="CG170" t="s">
        <v>169</v>
      </c>
      <c r="CH170" t="s">
        <v>240</v>
      </c>
      <c r="CI170" t="s">
        <v>169</v>
      </c>
      <c r="CJ170" t="s">
        <v>561</v>
      </c>
      <c r="DJ170" t="s">
        <v>184</v>
      </c>
      <c r="DK170" t="s">
        <v>185</v>
      </c>
      <c r="DN170" t="s">
        <v>170</v>
      </c>
      <c r="DO170" t="s">
        <v>197</v>
      </c>
      <c r="DP170" t="s">
        <v>169</v>
      </c>
      <c r="DQ170" t="s">
        <v>198</v>
      </c>
      <c r="EA170" s="89"/>
      <c r="EB170">
        <v>5</v>
      </c>
      <c r="EC170">
        <v>5</v>
      </c>
      <c r="EE170" t="s">
        <v>1104</v>
      </c>
      <c r="EF170">
        <v>6</v>
      </c>
      <c r="EV170">
        <v>3750</v>
      </c>
      <c r="EW170">
        <v>403</v>
      </c>
      <c r="EX170">
        <v>303</v>
      </c>
      <c r="EY170">
        <v>370</v>
      </c>
    </row>
    <row r="171" spans="1:155" x14ac:dyDescent="0.35">
      <c r="A171">
        <v>2025</v>
      </c>
      <c r="B171" t="s">
        <v>220</v>
      </c>
      <c r="C171" t="s">
        <v>558</v>
      </c>
      <c r="D171" t="s">
        <v>1103</v>
      </c>
      <c r="E171" t="s">
        <v>223</v>
      </c>
      <c r="F171">
        <v>920</v>
      </c>
      <c r="G171">
        <v>3.6</v>
      </c>
      <c r="H171">
        <v>6</v>
      </c>
      <c r="I171" t="s">
        <v>292</v>
      </c>
      <c r="J171">
        <v>19</v>
      </c>
      <c r="K171">
        <v>26</v>
      </c>
      <c r="L171">
        <v>21</v>
      </c>
      <c r="M171">
        <v>23.306999999999999</v>
      </c>
      <c r="N171">
        <v>36.410699999999999</v>
      </c>
      <c r="O171">
        <v>27.8109</v>
      </c>
      <c r="P171">
        <v>18.564699999999998</v>
      </c>
      <c r="Q171">
        <v>25.810600000000001</v>
      </c>
      <c r="R171">
        <v>21.249099999999999</v>
      </c>
      <c r="U171" t="s">
        <v>224</v>
      </c>
      <c r="V171" t="s">
        <v>193</v>
      </c>
      <c r="W171" t="s">
        <v>194</v>
      </c>
      <c r="Y171">
        <v>9</v>
      </c>
      <c r="Z171" t="s">
        <v>169</v>
      </c>
      <c r="AA171" t="s">
        <v>170</v>
      </c>
      <c r="AB171" t="s">
        <v>351</v>
      </c>
      <c r="AC171" t="s">
        <v>352</v>
      </c>
      <c r="AD171">
        <v>10</v>
      </c>
      <c r="AG171" t="s">
        <v>210</v>
      </c>
      <c r="AH171" t="s">
        <v>444</v>
      </c>
      <c r="AI171" t="s">
        <v>175</v>
      </c>
      <c r="AJ171" t="s">
        <v>176</v>
      </c>
      <c r="AK171" t="s">
        <v>940</v>
      </c>
      <c r="AL171" t="s">
        <v>941</v>
      </c>
      <c r="AS171">
        <v>2500</v>
      </c>
      <c r="AT171">
        <v>2500</v>
      </c>
      <c r="BN171" t="s">
        <v>178</v>
      </c>
      <c r="BO171">
        <v>2</v>
      </c>
      <c r="BP171">
        <v>2</v>
      </c>
      <c r="BQ171">
        <v>30</v>
      </c>
      <c r="BR171" t="s">
        <v>1099</v>
      </c>
      <c r="BT171" t="s">
        <v>181</v>
      </c>
      <c r="BU171" s="1">
        <v>45474</v>
      </c>
      <c r="BV171">
        <v>35036</v>
      </c>
      <c r="BW171" s="155"/>
      <c r="BX171" t="s">
        <v>170</v>
      </c>
      <c r="BY171" t="s">
        <v>170</v>
      </c>
      <c r="CB171" t="s">
        <v>170</v>
      </c>
      <c r="CC171" t="s">
        <v>170</v>
      </c>
      <c r="CE171" t="s">
        <v>169</v>
      </c>
      <c r="CF171" t="s">
        <v>227</v>
      </c>
      <c r="CG171" t="s">
        <v>169</v>
      </c>
      <c r="CH171" t="s">
        <v>566</v>
      </c>
      <c r="CI171" t="s">
        <v>170</v>
      </c>
      <c r="DJ171" t="s">
        <v>184</v>
      </c>
      <c r="DK171" t="s">
        <v>185</v>
      </c>
      <c r="DN171" t="s">
        <v>170</v>
      </c>
      <c r="DO171" t="s">
        <v>490</v>
      </c>
      <c r="DP171" t="s">
        <v>169</v>
      </c>
      <c r="DQ171" t="s">
        <v>198</v>
      </c>
      <c r="EA171" s="101"/>
      <c r="EB171">
        <v>4</v>
      </c>
      <c r="EC171">
        <v>4</v>
      </c>
      <c r="EE171" t="s">
        <v>1105</v>
      </c>
      <c r="EF171">
        <v>5</v>
      </c>
      <c r="EV171">
        <v>3000</v>
      </c>
      <c r="EW171">
        <v>479</v>
      </c>
      <c r="EX171">
        <v>344</v>
      </c>
      <c r="EY171">
        <v>418</v>
      </c>
    </row>
    <row r="172" spans="1:155" x14ac:dyDescent="0.35">
      <c r="A172">
        <v>2025</v>
      </c>
      <c r="B172" t="s">
        <v>220</v>
      </c>
      <c r="C172" t="s">
        <v>558</v>
      </c>
      <c r="D172" t="s">
        <v>1269</v>
      </c>
      <c r="E172" t="s">
        <v>223</v>
      </c>
      <c r="F172">
        <v>906</v>
      </c>
      <c r="G172">
        <v>2</v>
      </c>
      <c r="H172">
        <v>4</v>
      </c>
      <c r="I172" t="s">
        <v>292</v>
      </c>
      <c r="J172">
        <v>21</v>
      </c>
      <c r="K172">
        <v>26</v>
      </c>
      <c r="L172">
        <v>23</v>
      </c>
      <c r="M172">
        <v>27.6206</v>
      </c>
      <c r="N172">
        <v>39.270800000000001</v>
      </c>
      <c r="O172">
        <v>31.876000000000001</v>
      </c>
      <c r="P172">
        <v>21</v>
      </c>
      <c r="Q172">
        <v>26</v>
      </c>
      <c r="R172">
        <v>23</v>
      </c>
      <c r="T172" t="s">
        <v>165</v>
      </c>
      <c r="U172" t="s">
        <v>166</v>
      </c>
      <c r="V172" t="s">
        <v>193</v>
      </c>
      <c r="W172" t="s">
        <v>194</v>
      </c>
      <c r="Y172">
        <v>9</v>
      </c>
      <c r="Z172" t="s">
        <v>169</v>
      </c>
      <c r="AA172" t="s">
        <v>170</v>
      </c>
      <c r="AB172" t="s">
        <v>167</v>
      </c>
      <c r="AC172" t="s">
        <v>213</v>
      </c>
      <c r="AD172">
        <v>10</v>
      </c>
      <c r="AG172" t="s">
        <v>214</v>
      </c>
      <c r="AH172" t="s">
        <v>215</v>
      </c>
      <c r="AI172" t="s">
        <v>175</v>
      </c>
      <c r="AJ172" t="s">
        <v>176</v>
      </c>
      <c r="AK172" t="s">
        <v>940</v>
      </c>
      <c r="AL172" t="s">
        <v>941</v>
      </c>
      <c r="AO172">
        <v>137</v>
      </c>
      <c r="AP172">
        <v>13</v>
      </c>
      <c r="AS172">
        <v>2750</v>
      </c>
      <c r="AT172">
        <v>2750</v>
      </c>
      <c r="BN172" t="s">
        <v>178</v>
      </c>
      <c r="BO172">
        <v>2</v>
      </c>
      <c r="BP172">
        <v>2</v>
      </c>
      <c r="BQ172">
        <v>31</v>
      </c>
      <c r="BR172" t="s">
        <v>1219</v>
      </c>
      <c r="BT172" t="s">
        <v>181</v>
      </c>
      <c r="BU172" s="1">
        <v>45474</v>
      </c>
      <c r="BV172">
        <v>35073</v>
      </c>
      <c r="BW172" s="155"/>
      <c r="BX172" t="s">
        <v>170</v>
      </c>
      <c r="BY172" t="s">
        <v>170</v>
      </c>
      <c r="CB172" t="s">
        <v>170</v>
      </c>
      <c r="CC172" t="s">
        <v>170</v>
      </c>
      <c r="CE172" t="s">
        <v>169</v>
      </c>
      <c r="CF172" t="s">
        <v>227</v>
      </c>
      <c r="CG172" t="s">
        <v>169</v>
      </c>
      <c r="CH172" t="s">
        <v>240</v>
      </c>
      <c r="CI172" t="s">
        <v>169</v>
      </c>
      <c r="CJ172" t="s">
        <v>561</v>
      </c>
      <c r="DJ172" t="s">
        <v>184</v>
      </c>
      <c r="DK172" t="s">
        <v>185</v>
      </c>
      <c r="DN172" t="s">
        <v>170</v>
      </c>
      <c r="DO172" t="s">
        <v>197</v>
      </c>
      <c r="DP172" t="s">
        <v>169</v>
      </c>
      <c r="DQ172" t="s">
        <v>198</v>
      </c>
      <c r="EA172" s="101"/>
      <c r="EB172">
        <v>5</v>
      </c>
      <c r="EC172">
        <v>5</v>
      </c>
      <c r="EE172" t="s">
        <v>1104</v>
      </c>
      <c r="EF172">
        <v>6</v>
      </c>
      <c r="EV172">
        <v>4250</v>
      </c>
      <c r="EW172">
        <v>422</v>
      </c>
      <c r="EX172">
        <v>341</v>
      </c>
      <c r="EY172">
        <v>386</v>
      </c>
    </row>
    <row r="173" spans="1:155" x14ac:dyDescent="0.35">
      <c r="A173">
        <v>2025</v>
      </c>
      <c r="B173" t="s">
        <v>220</v>
      </c>
      <c r="C173" t="s">
        <v>558</v>
      </c>
      <c r="D173" t="s">
        <v>1269</v>
      </c>
      <c r="E173" t="s">
        <v>223</v>
      </c>
      <c r="F173">
        <v>923</v>
      </c>
      <c r="G173">
        <v>3.6</v>
      </c>
      <c r="H173">
        <v>6</v>
      </c>
      <c r="I173" t="s">
        <v>292</v>
      </c>
      <c r="J173">
        <v>18</v>
      </c>
      <c r="K173">
        <v>25</v>
      </c>
      <c r="L173">
        <v>20</v>
      </c>
      <c r="M173">
        <v>22.4</v>
      </c>
      <c r="N173">
        <v>34.799999999999997</v>
      </c>
      <c r="O173">
        <v>26.677600000000002</v>
      </c>
      <c r="P173">
        <v>17.895099999999999</v>
      </c>
      <c r="Q173">
        <v>24.759</v>
      </c>
      <c r="R173">
        <v>20.445799999999998</v>
      </c>
      <c r="U173" t="s">
        <v>224</v>
      </c>
      <c r="V173" t="s">
        <v>193</v>
      </c>
      <c r="W173" t="s">
        <v>194</v>
      </c>
      <c r="Y173">
        <v>9</v>
      </c>
      <c r="Z173" t="s">
        <v>169</v>
      </c>
      <c r="AA173" t="s">
        <v>170</v>
      </c>
      <c r="AB173" t="s">
        <v>167</v>
      </c>
      <c r="AC173" t="s">
        <v>213</v>
      </c>
      <c r="AD173">
        <v>10</v>
      </c>
      <c r="AG173" t="s">
        <v>210</v>
      </c>
      <c r="AH173" t="s">
        <v>444</v>
      </c>
      <c r="AI173" t="s">
        <v>175</v>
      </c>
      <c r="AJ173" t="s">
        <v>176</v>
      </c>
      <c r="AK173" t="s">
        <v>940</v>
      </c>
      <c r="AL173" t="s">
        <v>941</v>
      </c>
      <c r="AO173">
        <v>137</v>
      </c>
      <c r="AP173">
        <v>13</v>
      </c>
      <c r="AS173">
        <v>2600</v>
      </c>
      <c r="AT173">
        <v>2600</v>
      </c>
      <c r="BN173" t="s">
        <v>178</v>
      </c>
      <c r="BO173">
        <v>2</v>
      </c>
      <c r="BP173">
        <v>2</v>
      </c>
      <c r="BQ173">
        <v>31</v>
      </c>
      <c r="BR173" t="s">
        <v>1219</v>
      </c>
      <c r="BT173" t="s">
        <v>181</v>
      </c>
      <c r="BU173" s="1">
        <v>45474</v>
      </c>
      <c r="BV173">
        <v>35034</v>
      </c>
      <c r="BW173" s="156"/>
      <c r="BX173" t="s">
        <v>170</v>
      </c>
      <c r="BY173" t="s">
        <v>170</v>
      </c>
      <c r="CB173" t="s">
        <v>170</v>
      </c>
      <c r="CC173" t="s">
        <v>170</v>
      </c>
      <c r="CE173" t="s">
        <v>169</v>
      </c>
      <c r="CF173" t="s">
        <v>227</v>
      </c>
      <c r="CG173" t="s">
        <v>169</v>
      </c>
      <c r="CH173" t="s">
        <v>566</v>
      </c>
      <c r="CI173" t="s">
        <v>170</v>
      </c>
      <c r="DJ173" t="s">
        <v>184</v>
      </c>
      <c r="DK173" t="s">
        <v>185</v>
      </c>
      <c r="DN173" t="s">
        <v>170</v>
      </c>
      <c r="DO173" t="s">
        <v>490</v>
      </c>
      <c r="DP173" t="s">
        <v>169</v>
      </c>
      <c r="DQ173" t="s">
        <v>198</v>
      </c>
      <c r="EA173" s="89"/>
      <c r="EB173">
        <v>4</v>
      </c>
      <c r="EC173">
        <v>4</v>
      </c>
      <c r="EE173" t="s">
        <v>1105</v>
      </c>
      <c r="EF173">
        <v>5</v>
      </c>
      <c r="EV173">
        <v>3500</v>
      </c>
      <c r="EW173">
        <v>497</v>
      </c>
      <c r="EX173">
        <v>360</v>
      </c>
      <c r="EY173">
        <v>435</v>
      </c>
    </row>
    <row r="174" spans="1:155" x14ac:dyDescent="0.35">
      <c r="A174">
        <v>2025</v>
      </c>
      <c r="B174" t="s">
        <v>220</v>
      </c>
      <c r="C174" t="s">
        <v>558</v>
      </c>
      <c r="D174" t="s">
        <v>1106</v>
      </c>
      <c r="E174" t="s">
        <v>223</v>
      </c>
      <c r="F174">
        <v>903</v>
      </c>
      <c r="G174">
        <v>2</v>
      </c>
      <c r="H174">
        <v>4</v>
      </c>
      <c r="I174" t="s">
        <v>292</v>
      </c>
      <c r="J174">
        <v>21</v>
      </c>
      <c r="K174">
        <v>27</v>
      </c>
      <c r="L174">
        <v>23</v>
      </c>
      <c r="M174">
        <v>27</v>
      </c>
      <c r="N174">
        <v>38.9</v>
      </c>
      <c r="O174">
        <v>31.310199999999998</v>
      </c>
      <c r="P174">
        <v>21.250499999999999</v>
      </c>
      <c r="Q174">
        <v>27.4208</v>
      </c>
      <c r="R174">
        <v>23</v>
      </c>
      <c r="T174" t="s">
        <v>165</v>
      </c>
      <c r="U174" t="s">
        <v>166</v>
      </c>
      <c r="V174" t="s">
        <v>193</v>
      </c>
      <c r="W174" t="s">
        <v>194</v>
      </c>
      <c r="Y174">
        <v>9</v>
      </c>
      <c r="Z174" t="s">
        <v>169</v>
      </c>
      <c r="AA174" t="s">
        <v>170</v>
      </c>
      <c r="AB174" t="s">
        <v>351</v>
      </c>
      <c r="AC174" t="s">
        <v>352</v>
      </c>
      <c r="AD174">
        <v>10</v>
      </c>
      <c r="AG174" t="s">
        <v>214</v>
      </c>
      <c r="AH174" t="s">
        <v>215</v>
      </c>
      <c r="AI174" t="s">
        <v>175</v>
      </c>
      <c r="AJ174" t="s">
        <v>176</v>
      </c>
      <c r="AK174" t="s">
        <v>940</v>
      </c>
      <c r="AL174" t="s">
        <v>941</v>
      </c>
      <c r="AO174">
        <v>137</v>
      </c>
      <c r="AP174">
        <v>13</v>
      </c>
      <c r="AS174">
        <v>2750</v>
      </c>
      <c r="AT174">
        <v>2750</v>
      </c>
      <c r="BN174" t="s">
        <v>178</v>
      </c>
      <c r="BO174">
        <v>2</v>
      </c>
      <c r="BP174">
        <v>2</v>
      </c>
      <c r="BQ174">
        <v>30</v>
      </c>
      <c r="BR174" t="s">
        <v>1099</v>
      </c>
      <c r="BT174" t="s">
        <v>181</v>
      </c>
      <c r="BU174" s="1">
        <v>45474</v>
      </c>
      <c r="BV174">
        <v>35040</v>
      </c>
      <c r="BW174" s="155"/>
      <c r="BX174" t="s">
        <v>170</v>
      </c>
      <c r="BY174" t="s">
        <v>170</v>
      </c>
      <c r="CB174" t="s">
        <v>170</v>
      </c>
      <c r="CC174" t="s">
        <v>170</v>
      </c>
      <c r="CE174" t="s">
        <v>169</v>
      </c>
      <c r="CF174" t="s">
        <v>227</v>
      </c>
      <c r="CG174" t="s">
        <v>169</v>
      </c>
      <c r="CH174" t="s">
        <v>240</v>
      </c>
      <c r="CI174" t="s">
        <v>169</v>
      </c>
      <c r="CJ174" t="s">
        <v>561</v>
      </c>
      <c r="DJ174" t="s">
        <v>184</v>
      </c>
      <c r="DK174" t="s">
        <v>185</v>
      </c>
      <c r="DN174" t="s">
        <v>170</v>
      </c>
      <c r="DO174" t="s">
        <v>197</v>
      </c>
      <c r="DP174" t="s">
        <v>169</v>
      </c>
      <c r="DQ174" t="s">
        <v>198</v>
      </c>
      <c r="EA174" s="101"/>
      <c r="EB174">
        <v>5</v>
      </c>
      <c r="EC174">
        <v>5</v>
      </c>
      <c r="EE174" t="s">
        <v>1104</v>
      </c>
      <c r="EF174">
        <v>6</v>
      </c>
      <c r="EV174">
        <v>4250</v>
      </c>
      <c r="EW174">
        <v>418</v>
      </c>
      <c r="EX174">
        <v>324</v>
      </c>
      <c r="EY174">
        <v>386</v>
      </c>
    </row>
    <row r="175" spans="1:155" x14ac:dyDescent="0.35">
      <c r="A175">
        <v>2025</v>
      </c>
      <c r="B175" t="s">
        <v>220</v>
      </c>
      <c r="C175" t="s">
        <v>558</v>
      </c>
      <c r="D175" t="s">
        <v>1106</v>
      </c>
      <c r="E175" t="s">
        <v>223</v>
      </c>
      <c r="F175">
        <v>922</v>
      </c>
      <c r="G175">
        <v>3.6</v>
      </c>
      <c r="H175">
        <v>6</v>
      </c>
      <c r="I175" t="s">
        <v>292</v>
      </c>
      <c r="J175">
        <v>19</v>
      </c>
      <c r="K175">
        <v>26</v>
      </c>
      <c r="L175">
        <v>21</v>
      </c>
      <c r="M175">
        <v>23.306999999999999</v>
      </c>
      <c r="N175">
        <v>36.410699999999999</v>
      </c>
      <c r="O175">
        <v>27.8109</v>
      </c>
      <c r="P175">
        <v>18.564699999999998</v>
      </c>
      <c r="Q175">
        <v>25.810600000000001</v>
      </c>
      <c r="R175">
        <v>21.249099999999999</v>
      </c>
      <c r="U175" t="s">
        <v>224</v>
      </c>
      <c r="V175" t="s">
        <v>193</v>
      </c>
      <c r="W175" t="s">
        <v>194</v>
      </c>
      <c r="Y175">
        <v>9</v>
      </c>
      <c r="Z175" t="s">
        <v>169</v>
      </c>
      <c r="AA175" t="s">
        <v>170</v>
      </c>
      <c r="AB175" t="s">
        <v>351</v>
      </c>
      <c r="AC175" t="s">
        <v>352</v>
      </c>
      <c r="AD175">
        <v>10</v>
      </c>
      <c r="AG175" t="s">
        <v>210</v>
      </c>
      <c r="AH175" t="s">
        <v>444</v>
      </c>
      <c r="AI175" t="s">
        <v>175</v>
      </c>
      <c r="AJ175" t="s">
        <v>176</v>
      </c>
      <c r="AK175" t="s">
        <v>940</v>
      </c>
      <c r="AL175" t="s">
        <v>941</v>
      </c>
      <c r="AO175">
        <v>137</v>
      </c>
      <c r="AP175">
        <v>13</v>
      </c>
      <c r="AS175">
        <v>2500</v>
      </c>
      <c r="AT175">
        <v>2500</v>
      </c>
      <c r="BN175" t="s">
        <v>178</v>
      </c>
      <c r="BO175">
        <v>2</v>
      </c>
      <c r="BP175">
        <v>2</v>
      </c>
      <c r="BQ175">
        <v>30</v>
      </c>
      <c r="BR175" t="s">
        <v>1099</v>
      </c>
      <c r="BT175" t="s">
        <v>181</v>
      </c>
      <c r="BU175" s="1">
        <v>45474</v>
      </c>
      <c r="BV175">
        <v>35032</v>
      </c>
      <c r="BW175" s="155"/>
      <c r="BX175" t="s">
        <v>170</v>
      </c>
      <c r="BY175" t="s">
        <v>170</v>
      </c>
      <c r="CB175" t="s">
        <v>170</v>
      </c>
      <c r="CC175" t="s">
        <v>170</v>
      </c>
      <c r="CE175" t="s">
        <v>169</v>
      </c>
      <c r="CF175" t="s">
        <v>227</v>
      </c>
      <c r="CG175" t="s">
        <v>169</v>
      </c>
      <c r="CH175" t="s">
        <v>566</v>
      </c>
      <c r="CI175" t="s">
        <v>170</v>
      </c>
      <c r="DJ175" t="s">
        <v>184</v>
      </c>
      <c r="DK175" t="s">
        <v>185</v>
      </c>
      <c r="DN175" t="s">
        <v>170</v>
      </c>
      <c r="DO175" t="s">
        <v>490</v>
      </c>
      <c r="DP175" t="s">
        <v>169</v>
      </c>
      <c r="DQ175" t="s">
        <v>198</v>
      </c>
      <c r="EA175" s="101"/>
      <c r="EB175">
        <v>4</v>
      </c>
      <c r="EC175">
        <v>4</v>
      </c>
      <c r="EE175" t="s">
        <v>1105</v>
      </c>
      <c r="EF175">
        <v>5</v>
      </c>
      <c r="EV175">
        <v>3000</v>
      </c>
      <c r="EW175">
        <v>479</v>
      </c>
      <c r="EX175">
        <v>344</v>
      </c>
      <c r="EY175">
        <v>418</v>
      </c>
    </row>
    <row r="176" spans="1:155" x14ac:dyDescent="0.35">
      <c r="A176">
        <v>2025</v>
      </c>
      <c r="B176" t="s">
        <v>220</v>
      </c>
      <c r="C176" t="s">
        <v>221</v>
      </c>
      <c r="D176" t="s">
        <v>1270</v>
      </c>
      <c r="E176" t="s">
        <v>223</v>
      </c>
      <c r="F176">
        <v>901</v>
      </c>
      <c r="G176">
        <v>2</v>
      </c>
      <c r="H176">
        <v>4</v>
      </c>
      <c r="I176" t="s">
        <v>282</v>
      </c>
      <c r="J176">
        <v>22</v>
      </c>
      <c r="K176">
        <v>27</v>
      </c>
      <c r="L176">
        <v>24</v>
      </c>
      <c r="M176">
        <v>28.2</v>
      </c>
      <c r="N176">
        <v>40</v>
      </c>
      <c r="O176">
        <v>32.516599999999997</v>
      </c>
      <c r="P176">
        <v>22.1096</v>
      </c>
      <c r="Q176">
        <v>27</v>
      </c>
      <c r="R176">
        <v>24.464700000000001</v>
      </c>
      <c r="T176" t="s">
        <v>165</v>
      </c>
      <c r="U176" t="s">
        <v>166</v>
      </c>
      <c r="V176" t="s">
        <v>167</v>
      </c>
      <c r="W176" t="s">
        <v>168</v>
      </c>
      <c r="Y176">
        <v>9</v>
      </c>
      <c r="Z176" t="s">
        <v>169</v>
      </c>
      <c r="AA176" t="s">
        <v>170</v>
      </c>
      <c r="AB176" t="s">
        <v>167</v>
      </c>
      <c r="AC176" t="s">
        <v>213</v>
      </c>
      <c r="AD176">
        <v>10</v>
      </c>
      <c r="AG176" t="s">
        <v>210</v>
      </c>
      <c r="AH176" t="s">
        <v>444</v>
      </c>
      <c r="AI176" t="s">
        <v>175</v>
      </c>
      <c r="AJ176" t="s">
        <v>176</v>
      </c>
      <c r="AK176" t="s">
        <v>940</v>
      </c>
      <c r="AL176" t="s">
        <v>941</v>
      </c>
      <c r="AO176">
        <v>107</v>
      </c>
      <c r="AP176">
        <v>31</v>
      </c>
      <c r="AS176">
        <v>2200</v>
      </c>
      <c r="AT176">
        <v>2200</v>
      </c>
      <c r="BN176" t="s">
        <v>178</v>
      </c>
      <c r="BO176">
        <v>2</v>
      </c>
      <c r="BP176">
        <v>2</v>
      </c>
      <c r="BQ176">
        <v>31</v>
      </c>
      <c r="BR176" t="s">
        <v>1219</v>
      </c>
      <c r="BT176" t="s">
        <v>181</v>
      </c>
      <c r="BU176" s="1">
        <v>45474</v>
      </c>
      <c r="BV176">
        <v>35075</v>
      </c>
      <c r="BW176" s="156"/>
      <c r="BX176" t="s">
        <v>170</v>
      </c>
      <c r="BY176" t="s">
        <v>170</v>
      </c>
      <c r="CB176" t="s">
        <v>170</v>
      </c>
      <c r="CC176" t="s">
        <v>170</v>
      </c>
      <c r="CE176" t="s">
        <v>169</v>
      </c>
      <c r="CF176" t="s">
        <v>227</v>
      </c>
      <c r="CG176" t="s">
        <v>169</v>
      </c>
      <c r="CH176" t="s">
        <v>240</v>
      </c>
      <c r="CI176" t="s">
        <v>169</v>
      </c>
      <c r="CJ176" t="s">
        <v>561</v>
      </c>
      <c r="DJ176" t="s">
        <v>184</v>
      </c>
      <c r="DK176" t="s">
        <v>185</v>
      </c>
      <c r="DN176" t="s">
        <v>170</v>
      </c>
      <c r="DO176" t="s">
        <v>197</v>
      </c>
      <c r="DP176" t="s">
        <v>169</v>
      </c>
      <c r="DQ176" t="s">
        <v>198</v>
      </c>
      <c r="EA176" s="89"/>
      <c r="EB176">
        <v>5</v>
      </c>
      <c r="EC176">
        <v>5</v>
      </c>
      <c r="EE176" t="s">
        <v>1104</v>
      </c>
      <c r="EF176">
        <v>6</v>
      </c>
      <c r="EV176">
        <v>1500</v>
      </c>
      <c r="EW176">
        <v>402</v>
      </c>
      <c r="EX176">
        <v>328</v>
      </c>
      <c r="EY176">
        <v>368</v>
      </c>
    </row>
    <row r="177" spans="1:155" x14ac:dyDescent="0.35">
      <c r="A177">
        <v>2025</v>
      </c>
      <c r="B177" t="s">
        <v>220</v>
      </c>
      <c r="C177" t="s">
        <v>221</v>
      </c>
      <c r="D177" t="s">
        <v>1270</v>
      </c>
      <c r="E177" t="s">
        <v>223</v>
      </c>
      <c r="F177">
        <v>916</v>
      </c>
      <c r="G177">
        <v>3.6</v>
      </c>
      <c r="H177">
        <v>6</v>
      </c>
      <c r="I177" t="s">
        <v>282</v>
      </c>
      <c r="J177">
        <v>18</v>
      </c>
      <c r="K177">
        <v>26</v>
      </c>
      <c r="L177">
        <v>21</v>
      </c>
      <c r="M177">
        <v>23</v>
      </c>
      <c r="N177">
        <v>36.299999999999997</v>
      </c>
      <c r="O177">
        <v>27.540800000000001</v>
      </c>
      <c r="P177">
        <v>18.3385</v>
      </c>
      <c r="Q177">
        <v>25.738600000000002</v>
      </c>
      <c r="R177">
        <v>21.063700000000001</v>
      </c>
      <c r="U177" t="s">
        <v>224</v>
      </c>
      <c r="V177" t="s">
        <v>167</v>
      </c>
      <c r="W177" t="s">
        <v>168</v>
      </c>
      <c r="Y177">
        <v>9</v>
      </c>
      <c r="Z177" t="s">
        <v>169</v>
      </c>
      <c r="AA177" t="s">
        <v>170</v>
      </c>
      <c r="AB177" t="s">
        <v>167</v>
      </c>
      <c r="AC177" t="s">
        <v>213</v>
      </c>
      <c r="AD177">
        <v>10</v>
      </c>
      <c r="AG177" t="s">
        <v>210</v>
      </c>
      <c r="AH177" t="s">
        <v>444</v>
      </c>
      <c r="AI177" t="s">
        <v>175</v>
      </c>
      <c r="AJ177" t="s">
        <v>176</v>
      </c>
      <c r="AK177" t="s">
        <v>940</v>
      </c>
      <c r="AL177" t="s">
        <v>941</v>
      </c>
      <c r="AO177">
        <v>107</v>
      </c>
      <c r="AP177">
        <v>31</v>
      </c>
      <c r="AS177">
        <v>2500</v>
      </c>
      <c r="AT177">
        <v>2500</v>
      </c>
      <c r="BN177" t="s">
        <v>178</v>
      </c>
      <c r="BO177">
        <v>2</v>
      </c>
      <c r="BP177">
        <v>2</v>
      </c>
      <c r="BQ177">
        <v>31</v>
      </c>
      <c r="BR177" t="s">
        <v>1219</v>
      </c>
      <c r="BT177" t="s">
        <v>181</v>
      </c>
      <c r="BU177" s="1">
        <v>45474</v>
      </c>
      <c r="BV177">
        <v>35035</v>
      </c>
      <c r="BW177" s="155"/>
      <c r="BX177" t="s">
        <v>170</v>
      </c>
      <c r="BY177" t="s">
        <v>170</v>
      </c>
      <c r="CB177" t="s">
        <v>170</v>
      </c>
      <c r="CC177" t="s">
        <v>170</v>
      </c>
      <c r="CE177" t="s">
        <v>169</v>
      </c>
      <c r="CF177" t="s">
        <v>227</v>
      </c>
      <c r="CG177" t="s">
        <v>169</v>
      </c>
      <c r="CH177" t="s">
        <v>566</v>
      </c>
      <c r="CI177" t="s">
        <v>170</v>
      </c>
      <c r="DJ177" t="s">
        <v>184</v>
      </c>
      <c r="DK177" t="s">
        <v>185</v>
      </c>
      <c r="DN177" t="s">
        <v>170</v>
      </c>
      <c r="DO177" t="s">
        <v>490</v>
      </c>
      <c r="DP177" t="s">
        <v>169</v>
      </c>
      <c r="DQ177" t="s">
        <v>198</v>
      </c>
      <c r="EA177" s="101"/>
      <c r="EB177">
        <v>4</v>
      </c>
      <c r="EC177">
        <v>4</v>
      </c>
      <c r="EE177" t="s">
        <v>1105</v>
      </c>
      <c r="EF177">
        <v>5</v>
      </c>
      <c r="EV177">
        <v>3000</v>
      </c>
      <c r="EW177">
        <v>485</v>
      </c>
      <c r="EX177">
        <v>345</v>
      </c>
      <c r="EY177">
        <v>422</v>
      </c>
    </row>
    <row r="178" spans="1:155" x14ac:dyDescent="0.35">
      <c r="A178">
        <v>2025</v>
      </c>
      <c r="B178" t="s">
        <v>220</v>
      </c>
      <c r="C178" t="s">
        <v>221</v>
      </c>
      <c r="D178" t="s">
        <v>1107</v>
      </c>
      <c r="E178" t="s">
        <v>223</v>
      </c>
      <c r="F178">
        <v>900</v>
      </c>
      <c r="G178">
        <v>2</v>
      </c>
      <c r="H178">
        <v>4</v>
      </c>
      <c r="I178" t="s">
        <v>282</v>
      </c>
      <c r="J178">
        <v>22</v>
      </c>
      <c r="K178">
        <v>29</v>
      </c>
      <c r="L178">
        <v>25</v>
      </c>
      <c r="M178">
        <v>29.1</v>
      </c>
      <c r="N178">
        <v>41.8</v>
      </c>
      <c r="O178">
        <v>33.7087</v>
      </c>
      <c r="P178">
        <v>22.749500000000001</v>
      </c>
      <c r="Q178">
        <v>29.274100000000001</v>
      </c>
      <c r="R178">
        <v>25.285499999999999</v>
      </c>
      <c r="T178" t="s">
        <v>165</v>
      </c>
      <c r="U178" t="s">
        <v>166</v>
      </c>
      <c r="V178" t="s">
        <v>167</v>
      </c>
      <c r="W178" t="s">
        <v>168</v>
      </c>
      <c r="Y178">
        <v>9</v>
      </c>
      <c r="Z178" t="s">
        <v>169</v>
      </c>
      <c r="AA178" t="s">
        <v>170</v>
      </c>
      <c r="AB178" t="s">
        <v>351</v>
      </c>
      <c r="AC178" t="s">
        <v>352</v>
      </c>
      <c r="AD178">
        <v>10</v>
      </c>
      <c r="AG178" t="s">
        <v>210</v>
      </c>
      <c r="AH178" t="s">
        <v>444</v>
      </c>
      <c r="AI178" t="s">
        <v>175</v>
      </c>
      <c r="AJ178" t="s">
        <v>176</v>
      </c>
      <c r="AK178" t="s">
        <v>940</v>
      </c>
      <c r="AL178" t="s">
        <v>941</v>
      </c>
      <c r="AO178">
        <v>107</v>
      </c>
      <c r="AP178">
        <v>31</v>
      </c>
      <c r="AS178">
        <v>2100</v>
      </c>
      <c r="AT178">
        <v>2100</v>
      </c>
      <c r="BN178" t="s">
        <v>178</v>
      </c>
      <c r="BO178">
        <v>2</v>
      </c>
      <c r="BP178">
        <v>2</v>
      </c>
      <c r="BQ178">
        <v>30</v>
      </c>
      <c r="BR178" t="s">
        <v>1099</v>
      </c>
      <c r="BT178" t="s">
        <v>181</v>
      </c>
      <c r="BV178">
        <v>36304</v>
      </c>
      <c r="BW178" s="155"/>
      <c r="BX178" t="s">
        <v>170</v>
      </c>
      <c r="BY178" t="s">
        <v>170</v>
      </c>
      <c r="CB178" t="s">
        <v>170</v>
      </c>
      <c r="CC178" t="s">
        <v>170</v>
      </c>
      <c r="CE178" t="s">
        <v>169</v>
      </c>
      <c r="CF178" t="s">
        <v>227</v>
      </c>
      <c r="CG178" t="s">
        <v>169</v>
      </c>
      <c r="CH178" t="s">
        <v>240</v>
      </c>
      <c r="CI178" t="s">
        <v>169</v>
      </c>
      <c r="CJ178" t="s">
        <v>561</v>
      </c>
      <c r="DJ178" t="s">
        <v>184</v>
      </c>
      <c r="DK178" t="s">
        <v>185</v>
      </c>
      <c r="DN178" t="s">
        <v>170</v>
      </c>
      <c r="DO178" t="s">
        <v>197</v>
      </c>
      <c r="DP178" t="s">
        <v>169</v>
      </c>
      <c r="DQ178" t="s">
        <v>198</v>
      </c>
      <c r="EA178" s="101"/>
      <c r="EB178">
        <v>5</v>
      </c>
      <c r="EC178">
        <v>5</v>
      </c>
      <c r="EE178" t="s">
        <v>1104</v>
      </c>
      <c r="EF178">
        <v>6</v>
      </c>
      <c r="EV178">
        <v>1000</v>
      </c>
      <c r="EW178">
        <v>390</v>
      </c>
      <c r="EX178">
        <v>302</v>
      </c>
      <c r="EY178">
        <v>350</v>
      </c>
    </row>
    <row r="179" spans="1:155" x14ac:dyDescent="0.35">
      <c r="A179">
        <v>2025</v>
      </c>
      <c r="B179" t="s">
        <v>220</v>
      </c>
      <c r="C179" t="s">
        <v>221</v>
      </c>
      <c r="D179" t="s">
        <v>1107</v>
      </c>
      <c r="E179" t="s">
        <v>223</v>
      </c>
      <c r="F179">
        <v>915</v>
      </c>
      <c r="G179">
        <v>3.6</v>
      </c>
      <c r="H179">
        <v>6</v>
      </c>
      <c r="I179" t="s">
        <v>282</v>
      </c>
      <c r="J179">
        <v>19</v>
      </c>
      <c r="K179">
        <v>26</v>
      </c>
      <c r="L179">
        <v>22</v>
      </c>
      <c r="M179">
        <v>23.9</v>
      </c>
      <c r="N179">
        <v>37.700000000000003</v>
      </c>
      <c r="O179">
        <v>28.613199999999999</v>
      </c>
      <c r="P179">
        <v>19.000299999999999</v>
      </c>
      <c r="Q179">
        <v>26</v>
      </c>
      <c r="R179">
        <v>21.817699999999999</v>
      </c>
      <c r="U179" t="s">
        <v>224</v>
      </c>
      <c r="V179" t="s">
        <v>167</v>
      </c>
      <c r="W179" t="s">
        <v>168</v>
      </c>
      <c r="Y179">
        <v>9</v>
      </c>
      <c r="Z179" t="s">
        <v>169</v>
      </c>
      <c r="AA179" t="s">
        <v>170</v>
      </c>
      <c r="AB179" t="s">
        <v>351</v>
      </c>
      <c r="AC179" t="s">
        <v>352</v>
      </c>
      <c r="AD179">
        <v>10</v>
      </c>
      <c r="AG179" t="s">
        <v>210</v>
      </c>
      <c r="AH179" t="s">
        <v>444</v>
      </c>
      <c r="AI179" t="s">
        <v>175</v>
      </c>
      <c r="AJ179" t="s">
        <v>176</v>
      </c>
      <c r="AK179" t="s">
        <v>940</v>
      </c>
      <c r="AL179" t="s">
        <v>941</v>
      </c>
      <c r="AO179">
        <v>107</v>
      </c>
      <c r="AP179">
        <v>31</v>
      </c>
      <c r="AS179">
        <v>2400</v>
      </c>
      <c r="AT179">
        <v>2400</v>
      </c>
      <c r="BN179" t="s">
        <v>178</v>
      </c>
      <c r="BO179">
        <v>2</v>
      </c>
      <c r="BP179">
        <v>2</v>
      </c>
      <c r="BQ179">
        <v>30</v>
      </c>
      <c r="BR179" t="s">
        <v>1099</v>
      </c>
      <c r="BT179" t="s">
        <v>181</v>
      </c>
      <c r="BU179" s="1">
        <v>45474</v>
      </c>
      <c r="BV179">
        <v>35030</v>
      </c>
      <c r="BW179" s="156"/>
      <c r="BX179" t="s">
        <v>170</v>
      </c>
      <c r="BY179" t="s">
        <v>170</v>
      </c>
      <c r="CB179" t="s">
        <v>170</v>
      </c>
      <c r="CC179" t="s">
        <v>170</v>
      </c>
      <c r="CE179" t="s">
        <v>169</v>
      </c>
      <c r="CF179" t="s">
        <v>227</v>
      </c>
      <c r="CG179" t="s">
        <v>169</v>
      </c>
      <c r="CH179" t="s">
        <v>566</v>
      </c>
      <c r="CI179" t="s">
        <v>170</v>
      </c>
      <c r="DJ179" t="s">
        <v>184</v>
      </c>
      <c r="DK179" t="s">
        <v>185</v>
      </c>
      <c r="DN179" t="s">
        <v>170</v>
      </c>
      <c r="DO179" t="s">
        <v>490</v>
      </c>
      <c r="DP179" t="s">
        <v>169</v>
      </c>
      <c r="DQ179" t="s">
        <v>198</v>
      </c>
      <c r="EA179" s="89"/>
      <c r="EB179">
        <v>5</v>
      </c>
      <c r="EC179">
        <v>5</v>
      </c>
      <c r="EE179" t="s">
        <v>1105</v>
      </c>
      <c r="EF179">
        <v>5</v>
      </c>
      <c r="EV179">
        <v>2500</v>
      </c>
      <c r="EW179">
        <v>467</v>
      </c>
      <c r="EX179">
        <v>342</v>
      </c>
      <c r="EY179">
        <v>411</v>
      </c>
    </row>
    <row r="180" spans="1:155" x14ac:dyDescent="0.35">
      <c r="A180">
        <v>2025</v>
      </c>
      <c r="B180" t="s">
        <v>220</v>
      </c>
      <c r="C180" t="s">
        <v>221</v>
      </c>
      <c r="D180" t="s">
        <v>970</v>
      </c>
      <c r="E180" t="s">
        <v>223</v>
      </c>
      <c r="F180">
        <v>721</v>
      </c>
      <c r="G180">
        <v>2.7</v>
      </c>
      <c r="H180">
        <v>4</v>
      </c>
      <c r="I180" t="s">
        <v>164</v>
      </c>
      <c r="J180">
        <v>19</v>
      </c>
      <c r="K180">
        <v>23</v>
      </c>
      <c r="L180">
        <v>20</v>
      </c>
      <c r="M180">
        <v>23.770399999999999</v>
      </c>
      <c r="N180">
        <v>35.867600000000003</v>
      </c>
      <c r="O180">
        <v>28.023599999999998</v>
      </c>
      <c r="P180">
        <v>18.7881</v>
      </c>
      <c r="Q180">
        <v>22.931000000000001</v>
      </c>
      <c r="R180">
        <v>20.450800000000001</v>
      </c>
      <c r="T180" t="s">
        <v>165</v>
      </c>
      <c r="U180" t="s">
        <v>166</v>
      </c>
      <c r="V180" t="s">
        <v>167</v>
      </c>
      <c r="W180" t="s">
        <v>168</v>
      </c>
      <c r="Y180">
        <v>8</v>
      </c>
      <c r="Z180" t="s">
        <v>169</v>
      </c>
      <c r="AA180" t="s">
        <v>170</v>
      </c>
      <c r="AB180" t="s">
        <v>171</v>
      </c>
      <c r="AC180" t="s">
        <v>172</v>
      </c>
      <c r="AD180">
        <v>10</v>
      </c>
      <c r="AG180" t="s">
        <v>210</v>
      </c>
      <c r="AH180" t="s">
        <v>444</v>
      </c>
      <c r="AI180" t="s">
        <v>175</v>
      </c>
      <c r="AJ180" t="s">
        <v>176</v>
      </c>
      <c r="AK180" t="s">
        <v>940</v>
      </c>
      <c r="AL180" t="s">
        <v>941</v>
      </c>
      <c r="AS180">
        <v>2600</v>
      </c>
      <c r="AT180">
        <v>2600</v>
      </c>
      <c r="BN180" t="s">
        <v>178</v>
      </c>
      <c r="BO180">
        <v>2</v>
      </c>
      <c r="BP180">
        <v>2</v>
      </c>
      <c r="BQ180">
        <v>12</v>
      </c>
      <c r="BR180" t="s">
        <v>971</v>
      </c>
      <c r="BT180" t="s">
        <v>225</v>
      </c>
      <c r="BU180" s="1">
        <v>45618</v>
      </c>
      <c r="BV180">
        <v>35830</v>
      </c>
      <c r="BW180" s="155"/>
      <c r="BX180" t="s">
        <v>170</v>
      </c>
      <c r="BY180" t="s">
        <v>170</v>
      </c>
      <c r="CB180" t="s">
        <v>170</v>
      </c>
      <c r="CC180" t="s">
        <v>170</v>
      </c>
      <c r="CD180" t="s">
        <v>560</v>
      </c>
      <c r="CE180" t="s">
        <v>169</v>
      </c>
      <c r="CF180" t="s">
        <v>227</v>
      </c>
      <c r="CG180" t="s">
        <v>169</v>
      </c>
      <c r="CH180" t="s">
        <v>240</v>
      </c>
      <c r="CI180" t="s">
        <v>169</v>
      </c>
      <c r="CJ180" t="s">
        <v>561</v>
      </c>
      <c r="DJ180" t="s">
        <v>184</v>
      </c>
      <c r="DK180" t="s">
        <v>185</v>
      </c>
      <c r="DN180" t="s">
        <v>170</v>
      </c>
      <c r="DO180" t="s">
        <v>197</v>
      </c>
      <c r="DP180" t="s">
        <v>169</v>
      </c>
      <c r="DQ180" t="s">
        <v>198</v>
      </c>
      <c r="EA180" s="101"/>
      <c r="EB180">
        <v>4</v>
      </c>
      <c r="EC180">
        <v>4</v>
      </c>
      <c r="EE180" t="s">
        <v>972</v>
      </c>
      <c r="EF180">
        <v>6</v>
      </c>
      <c r="EV180">
        <v>3500</v>
      </c>
      <c r="EW180">
        <v>472</v>
      </c>
      <c r="EX180">
        <v>388</v>
      </c>
      <c r="EY180">
        <v>434</v>
      </c>
    </row>
    <row r="181" spans="1:155" x14ac:dyDescent="0.35">
      <c r="A181">
        <v>2025</v>
      </c>
      <c r="B181" t="s">
        <v>220</v>
      </c>
      <c r="C181" t="s">
        <v>221</v>
      </c>
      <c r="D181" t="s">
        <v>1015</v>
      </c>
      <c r="E181" t="s">
        <v>223</v>
      </c>
      <c r="F181">
        <v>726</v>
      </c>
      <c r="G181">
        <v>2.7</v>
      </c>
      <c r="H181">
        <v>4</v>
      </c>
      <c r="I181" t="s">
        <v>164</v>
      </c>
      <c r="J181">
        <v>17</v>
      </c>
      <c r="K181">
        <v>21</v>
      </c>
      <c r="L181">
        <v>19</v>
      </c>
      <c r="M181">
        <v>22.345500000000001</v>
      </c>
      <c r="N181">
        <v>32.511000000000003</v>
      </c>
      <c r="O181">
        <v>26.0045</v>
      </c>
      <c r="P181">
        <v>17.3719</v>
      </c>
      <c r="Q181">
        <v>21.157</v>
      </c>
      <c r="R181">
        <v>18.892900000000001</v>
      </c>
      <c r="T181" t="s">
        <v>165</v>
      </c>
      <c r="U181" t="s">
        <v>166</v>
      </c>
      <c r="V181" t="s">
        <v>167</v>
      </c>
      <c r="W181" t="s">
        <v>168</v>
      </c>
      <c r="Y181">
        <v>8</v>
      </c>
      <c r="Z181" t="s">
        <v>169</v>
      </c>
      <c r="AA181" t="s">
        <v>170</v>
      </c>
      <c r="AB181">
        <v>4</v>
      </c>
      <c r="AC181" t="s">
        <v>601</v>
      </c>
      <c r="AD181">
        <v>10</v>
      </c>
      <c r="AG181" t="s">
        <v>210</v>
      </c>
      <c r="AH181" t="s">
        <v>444</v>
      </c>
      <c r="AI181" t="s">
        <v>175</v>
      </c>
      <c r="AJ181" t="s">
        <v>176</v>
      </c>
      <c r="AK181" t="s">
        <v>940</v>
      </c>
      <c r="AL181" t="s">
        <v>941</v>
      </c>
      <c r="AS181">
        <v>2750</v>
      </c>
      <c r="AT181">
        <v>2750</v>
      </c>
      <c r="BN181" t="s">
        <v>178</v>
      </c>
      <c r="BO181">
        <v>2</v>
      </c>
      <c r="BP181">
        <v>2</v>
      </c>
      <c r="BQ181">
        <v>13</v>
      </c>
      <c r="BR181" t="s">
        <v>1016</v>
      </c>
      <c r="BT181" t="s">
        <v>225</v>
      </c>
      <c r="BU181" s="1">
        <v>45618</v>
      </c>
      <c r="BV181">
        <v>35832</v>
      </c>
      <c r="BW181" s="155"/>
      <c r="BX181" t="s">
        <v>170</v>
      </c>
      <c r="BY181" t="s">
        <v>170</v>
      </c>
      <c r="CB181" t="s">
        <v>170</v>
      </c>
      <c r="CC181" t="s">
        <v>170</v>
      </c>
      <c r="CD181" t="s">
        <v>560</v>
      </c>
      <c r="CE181" t="s">
        <v>169</v>
      </c>
      <c r="CF181" t="s">
        <v>227</v>
      </c>
      <c r="CG181" t="s">
        <v>169</v>
      </c>
      <c r="CH181" t="s">
        <v>240</v>
      </c>
      <c r="CI181" t="s">
        <v>169</v>
      </c>
      <c r="CJ181" t="s">
        <v>561</v>
      </c>
      <c r="DJ181" t="s">
        <v>184</v>
      </c>
      <c r="DK181" t="s">
        <v>185</v>
      </c>
      <c r="DN181" t="s">
        <v>170</v>
      </c>
      <c r="DO181" t="s">
        <v>197</v>
      </c>
      <c r="DP181" t="s">
        <v>169</v>
      </c>
      <c r="DQ181" t="s">
        <v>198</v>
      </c>
      <c r="EA181" s="101"/>
      <c r="EB181">
        <v>4</v>
      </c>
      <c r="EC181">
        <v>4</v>
      </c>
      <c r="EE181" t="s">
        <v>972</v>
      </c>
      <c r="EF181">
        <v>6</v>
      </c>
      <c r="EV181">
        <v>4250</v>
      </c>
      <c r="EW181">
        <v>520</v>
      </c>
      <c r="EX181">
        <v>446</v>
      </c>
      <c r="EY181">
        <v>487</v>
      </c>
    </row>
    <row r="182" spans="1:155" x14ac:dyDescent="0.35">
      <c r="A182">
        <v>2025</v>
      </c>
      <c r="B182" t="s">
        <v>220</v>
      </c>
      <c r="C182" t="s">
        <v>221</v>
      </c>
      <c r="D182" t="s">
        <v>1017</v>
      </c>
      <c r="E182" t="s">
        <v>223</v>
      </c>
      <c r="F182">
        <v>729</v>
      </c>
      <c r="G182">
        <v>2.7</v>
      </c>
      <c r="H182">
        <v>4</v>
      </c>
      <c r="I182" t="s">
        <v>164</v>
      </c>
      <c r="J182">
        <v>17</v>
      </c>
      <c r="K182">
        <v>20</v>
      </c>
      <c r="L182">
        <v>18</v>
      </c>
      <c r="M182">
        <v>22</v>
      </c>
      <c r="N182">
        <v>30.9</v>
      </c>
      <c r="O182">
        <v>25.2761</v>
      </c>
      <c r="P182">
        <v>16.7605</v>
      </c>
      <c r="Q182">
        <v>19.723299999999998</v>
      </c>
      <c r="R182">
        <v>17.9756</v>
      </c>
      <c r="T182" t="s">
        <v>165</v>
      </c>
      <c r="U182" t="s">
        <v>166</v>
      </c>
      <c r="V182" t="s">
        <v>167</v>
      </c>
      <c r="W182" t="s">
        <v>168</v>
      </c>
      <c r="Y182">
        <v>8</v>
      </c>
      <c r="Z182" t="s">
        <v>169</v>
      </c>
      <c r="AA182" t="s">
        <v>170</v>
      </c>
      <c r="AB182">
        <v>4</v>
      </c>
      <c r="AC182" t="s">
        <v>601</v>
      </c>
      <c r="AD182">
        <v>10</v>
      </c>
      <c r="AG182" t="s">
        <v>210</v>
      </c>
      <c r="AH182" t="s">
        <v>444</v>
      </c>
      <c r="AI182" t="s">
        <v>175</v>
      </c>
      <c r="AJ182" t="s">
        <v>176</v>
      </c>
      <c r="AK182" t="s">
        <v>940</v>
      </c>
      <c r="AL182" t="s">
        <v>941</v>
      </c>
      <c r="AS182">
        <v>2900</v>
      </c>
      <c r="AT182">
        <v>2900</v>
      </c>
      <c r="BN182" t="s">
        <v>178</v>
      </c>
      <c r="BO182">
        <v>2</v>
      </c>
      <c r="BP182">
        <v>2</v>
      </c>
      <c r="BQ182">
        <v>13</v>
      </c>
      <c r="BR182" t="s">
        <v>1016</v>
      </c>
      <c r="BT182" t="s">
        <v>225</v>
      </c>
      <c r="BU182" s="1">
        <v>45618</v>
      </c>
      <c r="BV182">
        <v>35833</v>
      </c>
      <c r="BW182" s="156"/>
      <c r="BX182" t="s">
        <v>169</v>
      </c>
      <c r="BY182" t="s">
        <v>170</v>
      </c>
      <c r="CB182" t="s">
        <v>170</v>
      </c>
      <c r="CC182" t="s">
        <v>170</v>
      </c>
      <c r="CD182" t="s">
        <v>560</v>
      </c>
      <c r="CE182" t="s">
        <v>169</v>
      </c>
      <c r="CF182" t="s">
        <v>227</v>
      </c>
      <c r="CG182" t="s">
        <v>169</v>
      </c>
      <c r="CH182" t="s">
        <v>240</v>
      </c>
      <c r="CI182" t="s">
        <v>169</v>
      </c>
      <c r="CJ182" t="s">
        <v>561</v>
      </c>
      <c r="DJ182" t="s">
        <v>184</v>
      </c>
      <c r="DK182" t="s">
        <v>185</v>
      </c>
      <c r="DN182" t="s">
        <v>170</v>
      </c>
      <c r="DO182" t="s">
        <v>197</v>
      </c>
      <c r="DP182" t="s">
        <v>169</v>
      </c>
      <c r="DQ182" t="s">
        <v>198</v>
      </c>
      <c r="EA182" s="89"/>
      <c r="EB182">
        <v>4</v>
      </c>
      <c r="EC182">
        <v>4</v>
      </c>
      <c r="EE182" t="s">
        <v>972</v>
      </c>
      <c r="EF182">
        <v>6</v>
      </c>
      <c r="EV182">
        <v>5000</v>
      </c>
      <c r="EW182">
        <v>529</v>
      </c>
      <c r="EX182">
        <v>451</v>
      </c>
      <c r="EY182">
        <v>494</v>
      </c>
    </row>
    <row r="183" spans="1:155" x14ac:dyDescent="0.35">
      <c r="A183">
        <v>2025</v>
      </c>
      <c r="B183" t="s">
        <v>220</v>
      </c>
      <c r="C183" t="s">
        <v>221</v>
      </c>
      <c r="D183" t="s">
        <v>1018</v>
      </c>
      <c r="E183" t="s">
        <v>223</v>
      </c>
      <c r="F183">
        <v>730</v>
      </c>
      <c r="G183">
        <v>2.7</v>
      </c>
      <c r="H183">
        <v>4</v>
      </c>
      <c r="I183" t="s">
        <v>164</v>
      </c>
      <c r="J183">
        <v>17</v>
      </c>
      <c r="K183">
        <v>17</v>
      </c>
      <c r="L183">
        <v>17</v>
      </c>
      <c r="M183">
        <v>20.8995</v>
      </c>
      <c r="N183">
        <v>28.3</v>
      </c>
      <c r="O183">
        <v>23.686900000000001</v>
      </c>
      <c r="P183">
        <v>16.674700000000001</v>
      </c>
      <c r="Q183">
        <v>17</v>
      </c>
      <c r="R183">
        <v>17.323599999999999</v>
      </c>
      <c r="T183" t="s">
        <v>165</v>
      </c>
      <c r="U183" t="s">
        <v>166</v>
      </c>
      <c r="V183" t="s">
        <v>167</v>
      </c>
      <c r="W183" t="s">
        <v>168</v>
      </c>
      <c r="Y183">
        <v>8</v>
      </c>
      <c r="Z183" t="s">
        <v>169</v>
      </c>
      <c r="AA183" t="s">
        <v>170</v>
      </c>
      <c r="AB183">
        <v>4</v>
      </c>
      <c r="AC183" t="s">
        <v>601</v>
      </c>
      <c r="AD183">
        <v>10</v>
      </c>
      <c r="AG183" t="s">
        <v>210</v>
      </c>
      <c r="AH183" t="s">
        <v>444</v>
      </c>
      <c r="AI183" t="s">
        <v>175</v>
      </c>
      <c r="AJ183" t="s">
        <v>176</v>
      </c>
      <c r="AK183" t="s">
        <v>940</v>
      </c>
      <c r="AL183" t="s">
        <v>941</v>
      </c>
      <c r="AS183">
        <v>3100</v>
      </c>
      <c r="AT183">
        <v>3100</v>
      </c>
      <c r="BN183" t="s">
        <v>178</v>
      </c>
      <c r="BO183">
        <v>2</v>
      </c>
      <c r="BP183">
        <v>2</v>
      </c>
      <c r="BQ183">
        <v>13</v>
      </c>
      <c r="BR183" t="s">
        <v>1016</v>
      </c>
      <c r="BT183" t="s">
        <v>225</v>
      </c>
      <c r="BU183" s="1">
        <v>45618</v>
      </c>
      <c r="BV183">
        <v>35834</v>
      </c>
      <c r="BW183" s="155"/>
      <c r="BX183" t="s">
        <v>169</v>
      </c>
      <c r="BY183" t="s">
        <v>170</v>
      </c>
      <c r="CB183" t="s">
        <v>170</v>
      </c>
      <c r="CC183" t="s">
        <v>170</v>
      </c>
      <c r="CD183" t="s">
        <v>560</v>
      </c>
      <c r="CE183" t="s">
        <v>169</v>
      </c>
      <c r="CF183" t="s">
        <v>227</v>
      </c>
      <c r="CG183" t="s">
        <v>169</v>
      </c>
      <c r="CH183" t="s">
        <v>240</v>
      </c>
      <c r="CI183" t="s">
        <v>169</v>
      </c>
      <c r="CJ183" t="s">
        <v>561</v>
      </c>
      <c r="DJ183" t="s">
        <v>184</v>
      </c>
      <c r="DK183" t="s">
        <v>185</v>
      </c>
      <c r="DN183" t="s">
        <v>170</v>
      </c>
      <c r="DO183" t="s">
        <v>197</v>
      </c>
      <c r="DP183" t="s">
        <v>169</v>
      </c>
      <c r="DQ183" t="s">
        <v>198</v>
      </c>
      <c r="EA183" s="101"/>
      <c r="EB183">
        <v>3</v>
      </c>
      <c r="EC183">
        <v>3</v>
      </c>
      <c r="EE183" t="s">
        <v>972</v>
      </c>
      <c r="EF183">
        <v>6</v>
      </c>
      <c r="EV183">
        <v>6000</v>
      </c>
      <c r="EW183">
        <v>531</v>
      </c>
      <c r="EX183">
        <v>522</v>
      </c>
      <c r="EY183">
        <v>527</v>
      </c>
    </row>
    <row r="184" spans="1:155" x14ac:dyDescent="0.35">
      <c r="A184">
        <v>2025</v>
      </c>
      <c r="B184" t="s">
        <v>220</v>
      </c>
      <c r="C184" t="s">
        <v>221</v>
      </c>
      <c r="D184" t="s">
        <v>1019</v>
      </c>
      <c r="E184" t="s">
        <v>223</v>
      </c>
      <c r="F184">
        <v>732</v>
      </c>
      <c r="G184">
        <v>2.7</v>
      </c>
      <c r="H184">
        <v>4</v>
      </c>
      <c r="I184" t="s">
        <v>164</v>
      </c>
      <c r="J184">
        <v>16</v>
      </c>
      <c r="K184">
        <v>16</v>
      </c>
      <c r="L184">
        <v>16</v>
      </c>
      <c r="M184">
        <v>20.3</v>
      </c>
      <c r="N184">
        <v>25.3</v>
      </c>
      <c r="O184">
        <v>22.281600000000001</v>
      </c>
      <c r="P184">
        <v>15.848599999999999</v>
      </c>
      <c r="Q184">
        <v>15.596500000000001</v>
      </c>
      <c r="R184">
        <v>15.7342</v>
      </c>
      <c r="T184" t="s">
        <v>165</v>
      </c>
      <c r="U184" t="s">
        <v>166</v>
      </c>
      <c r="V184" t="s">
        <v>167</v>
      </c>
      <c r="W184" t="s">
        <v>168</v>
      </c>
      <c r="Y184">
        <v>8</v>
      </c>
      <c r="Z184" t="s">
        <v>169</v>
      </c>
      <c r="AA184" t="s">
        <v>170</v>
      </c>
      <c r="AB184">
        <v>4</v>
      </c>
      <c r="AC184" t="s">
        <v>601</v>
      </c>
      <c r="AD184">
        <v>10</v>
      </c>
      <c r="AG184" t="s">
        <v>210</v>
      </c>
      <c r="AH184" t="s">
        <v>444</v>
      </c>
      <c r="AI184" t="s">
        <v>175</v>
      </c>
      <c r="AJ184" t="s">
        <v>176</v>
      </c>
      <c r="AK184" t="s">
        <v>940</v>
      </c>
      <c r="AL184" t="s">
        <v>941</v>
      </c>
      <c r="AS184">
        <v>3300</v>
      </c>
      <c r="AT184">
        <v>3300</v>
      </c>
      <c r="BN184" t="s">
        <v>178</v>
      </c>
      <c r="BO184">
        <v>2</v>
      </c>
      <c r="BP184">
        <v>2</v>
      </c>
      <c r="BQ184">
        <v>13</v>
      </c>
      <c r="BR184" t="s">
        <v>1016</v>
      </c>
      <c r="BT184" t="s">
        <v>225</v>
      </c>
      <c r="BU184" s="1">
        <v>45618</v>
      </c>
      <c r="BV184">
        <v>35836</v>
      </c>
      <c r="BW184" s="155"/>
      <c r="BX184" t="s">
        <v>169</v>
      </c>
      <c r="BY184" t="s">
        <v>170</v>
      </c>
      <c r="CB184" t="s">
        <v>170</v>
      </c>
      <c r="CC184" t="s">
        <v>170</v>
      </c>
      <c r="CD184" t="s">
        <v>560</v>
      </c>
      <c r="CE184" t="s">
        <v>169</v>
      </c>
      <c r="CF184" t="s">
        <v>227</v>
      </c>
      <c r="CG184" t="s">
        <v>169</v>
      </c>
      <c r="CH184" t="s">
        <v>240</v>
      </c>
      <c r="CI184" t="s">
        <v>169</v>
      </c>
      <c r="CJ184" t="s">
        <v>561</v>
      </c>
      <c r="DJ184" t="s">
        <v>184</v>
      </c>
      <c r="DK184" t="s">
        <v>185</v>
      </c>
      <c r="DN184" t="s">
        <v>170</v>
      </c>
      <c r="DO184" t="s">
        <v>197</v>
      </c>
      <c r="DP184" t="s">
        <v>169</v>
      </c>
      <c r="DQ184" t="s">
        <v>198</v>
      </c>
      <c r="EA184" s="101"/>
      <c r="EB184">
        <v>3</v>
      </c>
      <c r="EC184">
        <v>3</v>
      </c>
      <c r="EE184" t="s">
        <v>972</v>
      </c>
      <c r="EF184">
        <v>6</v>
      </c>
      <c r="EV184">
        <v>7000</v>
      </c>
      <c r="EW184">
        <v>559</v>
      </c>
      <c r="EX184">
        <v>570</v>
      </c>
      <c r="EY184">
        <v>564</v>
      </c>
    </row>
    <row r="185" spans="1:155" x14ac:dyDescent="0.35">
      <c r="A185">
        <v>2025</v>
      </c>
      <c r="B185" t="s">
        <v>220</v>
      </c>
      <c r="C185" t="s">
        <v>221</v>
      </c>
      <c r="D185" t="s">
        <v>222</v>
      </c>
      <c r="E185" t="s">
        <v>223</v>
      </c>
      <c r="F185">
        <v>50</v>
      </c>
      <c r="G185">
        <v>6.2</v>
      </c>
      <c r="H185">
        <v>8</v>
      </c>
      <c r="I185" t="s">
        <v>192</v>
      </c>
      <c r="J185">
        <v>16</v>
      </c>
      <c r="K185">
        <v>25</v>
      </c>
      <c r="L185">
        <v>19</v>
      </c>
      <c r="M185">
        <v>19.090199999999999</v>
      </c>
      <c r="N185">
        <v>35.049799999999998</v>
      </c>
      <c r="O185">
        <v>24.009899999999998</v>
      </c>
      <c r="P185">
        <v>15.753500000000001</v>
      </c>
      <c r="Q185">
        <v>25</v>
      </c>
      <c r="R185">
        <v>19.110700000000001</v>
      </c>
      <c r="U185" t="s">
        <v>224</v>
      </c>
      <c r="V185" t="s">
        <v>193</v>
      </c>
      <c r="W185" t="s">
        <v>194</v>
      </c>
      <c r="Y185">
        <v>8</v>
      </c>
      <c r="Z185" t="s">
        <v>169</v>
      </c>
      <c r="AA185" t="s">
        <v>170</v>
      </c>
      <c r="AB185" t="s">
        <v>171</v>
      </c>
      <c r="AC185" t="s">
        <v>172</v>
      </c>
      <c r="AD185">
        <v>10</v>
      </c>
      <c r="AG185" t="s">
        <v>214</v>
      </c>
      <c r="AH185" t="s">
        <v>215</v>
      </c>
      <c r="AI185" t="s">
        <v>175</v>
      </c>
      <c r="AJ185" t="s">
        <v>176</v>
      </c>
      <c r="AK185" t="s">
        <v>170</v>
      </c>
      <c r="AL185" t="s">
        <v>177</v>
      </c>
      <c r="AS185">
        <v>3350</v>
      </c>
      <c r="AT185">
        <v>3350</v>
      </c>
      <c r="BN185" t="s">
        <v>178</v>
      </c>
      <c r="BO185">
        <v>1</v>
      </c>
      <c r="BP185">
        <v>1</v>
      </c>
      <c r="BQ185">
        <v>1</v>
      </c>
      <c r="BR185" t="s">
        <v>179</v>
      </c>
      <c r="BS185" t="s">
        <v>180</v>
      </c>
      <c r="BT185" t="s">
        <v>225</v>
      </c>
      <c r="BU185" s="1">
        <v>45532</v>
      </c>
      <c r="BV185">
        <v>35434</v>
      </c>
      <c r="BW185" s="156"/>
      <c r="BX185" t="s">
        <v>170</v>
      </c>
      <c r="BY185" t="s">
        <v>170</v>
      </c>
      <c r="CB185" t="s">
        <v>170</v>
      </c>
      <c r="CC185" t="s">
        <v>170</v>
      </c>
      <c r="CD185" t="s">
        <v>226</v>
      </c>
      <c r="CE185" t="s">
        <v>169</v>
      </c>
      <c r="CF185" t="s">
        <v>227</v>
      </c>
      <c r="CG185" t="s">
        <v>169</v>
      </c>
      <c r="CH185" t="s">
        <v>228</v>
      </c>
      <c r="CI185" t="s">
        <v>170</v>
      </c>
      <c r="DJ185" t="s">
        <v>184</v>
      </c>
      <c r="DK185" t="s">
        <v>185</v>
      </c>
      <c r="DN185" t="s">
        <v>170</v>
      </c>
      <c r="DO185" t="s">
        <v>186</v>
      </c>
      <c r="DP185" t="s">
        <v>170</v>
      </c>
      <c r="DQ185" t="s">
        <v>187</v>
      </c>
      <c r="DY185">
        <v>24.2</v>
      </c>
      <c r="EA185" s="89"/>
      <c r="EB185">
        <v>4</v>
      </c>
      <c r="EC185">
        <v>4</v>
      </c>
      <c r="EE185" t="s">
        <v>229</v>
      </c>
      <c r="EF185">
        <v>4</v>
      </c>
      <c r="EV185">
        <v>7250</v>
      </c>
      <c r="EW185">
        <v>565</v>
      </c>
      <c r="EX185">
        <v>356</v>
      </c>
      <c r="EY185">
        <v>471</v>
      </c>
    </row>
    <row r="186" spans="1:155" x14ac:dyDescent="0.35">
      <c r="A186">
        <v>2025</v>
      </c>
      <c r="B186" t="s">
        <v>220</v>
      </c>
      <c r="C186" t="s">
        <v>221</v>
      </c>
      <c r="D186" t="s">
        <v>231</v>
      </c>
      <c r="E186" t="s">
        <v>223</v>
      </c>
      <c r="F186">
        <v>51</v>
      </c>
      <c r="G186">
        <v>6.2</v>
      </c>
      <c r="H186">
        <v>8</v>
      </c>
      <c r="I186" t="s">
        <v>192</v>
      </c>
      <c r="J186">
        <v>16</v>
      </c>
      <c r="K186">
        <v>24</v>
      </c>
      <c r="L186">
        <v>19</v>
      </c>
      <c r="M186">
        <v>19.3474</v>
      </c>
      <c r="N186">
        <v>32.225700000000003</v>
      </c>
      <c r="O186">
        <v>23.589600000000001</v>
      </c>
      <c r="P186">
        <v>15.541</v>
      </c>
      <c r="Q186">
        <v>24.188400000000001</v>
      </c>
      <c r="R186">
        <v>18.520499999999998</v>
      </c>
      <c r="U186" t="s">
        <v>224</v>
      </c>
      <c r="V186" t="s">
        <v>193</v>
      </c>
      <c r="W186" t="s">
        <v>194</v>
      </c>
      <c r="Y186">
        <v>8</v>
      </c>
      <c r="Z186" t="s">
        <v>169</v>
      </c>
      <c r="AA186" t="s">
        <v>170</v>
      </c>
      <c r="AB186" t="s">
        <v>167</v>
      </c>
      <c r="AC186" t="s">
        <v>213</v>
      </c>
      <c r="AD186">
        <v>10</v>
      </c>
      <c r="AG186" t="s">
        <v>214</v>
      </c>
      <c r="AH186" t="s">
        <v>215</v>
      </c>
      <c r="AI186" t="s">
        <v>175</v>
      </c>
      <c r="AJ186" t="s">
        <v>176</v>
      </c>
      <c r="AK186" t="s">
        <v>170</v>
      </c>
      <c r="AL186" t="s">
        <v>177</v>
      </c>
      <c r="AS186">
        <v>3350</v>
      </c>
      <c r="AT186">
        <v>3350</v>
      </c>
      <c r="BN186" t="s">
        <v>232</v>
      </c>
      <c r="BO186">
        <v>1</v>
      </c>
      <c r="BP186">
        <v>1</v>
      </c>
      <c r="BQ186">
        <v>1</v>
      </c>
      <c r="BR186" t="s">
        <v>179</v>
      </c>
      <c r="BS186" t="s">
        <v>180</v>
      </c>
      <c r="BT186" t="s">
        <v>225</v>
      </c>
      <c r="BU186" s="1">
        <v>45541</v>
      </c>
      <c r="BV186">
        <v>35511</v>
      </c>
      <c r="BW186" s="155"/>
      <c r="BX186" t="s">
        <v>170</v>
      </c>
      <c r="BY186" t="s">
        <v>170</v>
      </c>
      <c r="CB186" t="s">
        <v>170</v>
      </c>
      <c r="CC186" t="s">
        <v>170</v>
      </c>
      <c r="CD186" t="s">
        <v>226</v>
      </c>
      <c r="CE186" t="s">
        <v>169</v>
      </c>
      <c r="CF186" t="s">
        <v>227</v>
      </c>
      <c r="CG186" t="s">
        <v>169</v>
      </c>
      <c r="CH186" t="s">
        <v>228</v>
      </c>
      <c r="CI186" t="s">
        <v>170</v>
      </c>
      <c r="CK186" t="s">
        <v>233</v>
      </c>
      <c r="CM186">
        <v>1</v>
      </c>
      <c r="CN186" t="s">
        <v>234</v>
      </c>
      <c r="CP186">
        <v>300</v>
      </c>
      <c r="CQ186">
        <v>6.4</v>
      </c>
      <c r="CR186">
        <v>59.2</v>
      </c>
      <c r="CS186" t="s">
        <v>235</v>
      </c>
      <c r="CV186" t="s">
        <v>236</v>
      </c>
      <c r="DD186">
        <v>1</v>
      </c>
      <c r="DE186" t="s">
        <v>237</v>
      </c>
      <c r="DG186">
        <v>119</v>
      </c>
      <c r="DJ186" t="s">
        <v>184</v>
      </c>
      <c r="DK186" t="s">
        <v>185</v>
      </c>
      <c r="DL186" t="s">
        <v>170</v>
      </c>
      <c r="DM186" t="s">
        <v>170</v>
      </c>
      <c r="DN186" t="s">
        <v>170</v>
      </c>
      <c r="DO186" t="s">
        <v>186</v>
      </c>
      <c r="DP186" t="s">
        <v>169</v>
      </c>
      <c r="DQ186" t="s">
        <v>198</v>
      </c>
      <c r="DY186">
        <v>23.8</v>
      </c>
      <c r="EA186" s="101"/>
      <c r="EB186">
        <v>4</v>
      </c>
      <c r="EC186">
        <v>4</v>
      </c>
      <c r="EE186" t="s">
        <v>238</v>
      </c>
      <c r="EF186">
        <v>2</v>
      </c>
      <c r="EV186">
        <v>7250</v>
      </c>
      <c r="EW186">
        <v>566</v>
      </c>
      <c r="EX186">
        <v>368</v>
      </c>
      <c r="EY186">
        <v>477</v>
      </c>
    </row>
    <row r="187" spans="1:155" x14ac:dyDescent="0.35">
      <c r="A187">
        <v>2025</v>
      </c>
      <c r="B187" t="s">
        <v>220</v>
      </c>
      <c r="C187" t="s">
        <v>221</v>
      </c>
      <c r="D187" t="s">
        <v>239</v>
      </c>
      <c r="E187" t="s">
        <v>223</v>
      </c>
      <c r="F187">
        <v>55</v>
      </c>
      <c r="G187">
        <v>5.5</v>
      </c>
      <c r="H187">
        <v>8</v>
      </c>
      <c r="I187" t="s">
        <v>192</v>
      </c>
      <c r="J187">
        <v>12</v>
      </c>
      <c r="K187">
        <v>20</v>
      </c>
      <c r="L187">
        <v>14</v>
      </c>
      <c r="M187">
        <v>13.6813</v>
      </c>
      <c r="N187">
        <v>24.8188</v>
      </c>
      <c r="O187">
        <v>17.1432</v>
      </c>
      <c r="P187">
        <v>11.7783</v>
      </c>
      <c r="Q187">
        <v>20.1633</v>
      </c>
      <c r="R187">
        <v>14.4899</v>
      </c>
      <c r="S187" t="s">
        <v>210</v>
      </c>
      <c r="U187" t="s">
        <v>224</v>
      </c>
      <c r="V187" t="s">
        <v>193</v>
      </c>
      <c r="W187" t="s">
        <v>194</v>
      </c>
      <c r="Y187">
        <v>8</v>
      </c>
      <c r="Z187" t="s">
        <v>170</v>
      </c>
      <c r="AA187" t="s">
        <v>170</v>
      </c>
      <c r="AB187" t="s">
        <v>171</v>
      </c>
      <c r="AC187" t="s">
        <v>172</v>
      </c>
      <c r="AD187">
        <v>10</v>
      </c>
      <c r="AG187" t="s">
        <v>214</v>
      </c>
      <c r="AH187" t="s">
        <v>215</v>
      </c>
      <c r="AI187" t="s">
        <v>175</v>
      </c>
      <c r="AJ187" t="s">
        <v>176</v>
      </c>
      <c r="AK187" t="s">
        <v>170</v>
      </c>
      <c r="AL187" t="s">
        <v>177</v>
      </c>
      <c r="AM187">
        <v>51</v>
      </c>
      <c r="AN187">
        <v>0</v>
      </c>
      <c r="AS187">
        <v>4550</v>
      </c>
      <c r="AT187">
        <v>4550</v>
      </c>
      <c r="BN187" t="s">
        <v>178</v>
      </c>
      <c r="BO187">
        <v>2</v>
      </c>
      <c r="BP187">
        <v>2</v>
      </c>
      <c r="BQ187">
        <v>1</v>
      </c>
      <c r="BR187" t="s">
        <v>179</v>
      </c>
      <c r="BS187" t="s">
        <v>180</v>
      </c>
      <c r="BT187" t="s">
        <v>225</v>
      </c>
      <c r="BU187" s="1">
        <v>45526</v>
      </c>
      <c r="BV187">
        <v>35416</v>
      </c>
      <c r="BW187" s="155"/>
      <c r="BX187" t="s">
        <v>170</v>
      </c>
      <c r="BY187" t="s">
        <v>170</v>
      </c>
      <c r="CB187" t="s">
        <v>170</v>
      </c>
      <c r="CC187" t="s">
        <v>170</v>
      </c>
      <c r="CE187" t="s">
        <v>170</v>
      </c>
      <c r="CG187" t="s">
        <v>169</v>
      </c>
      <c r="CH187" t="s">
        <v>240</v>
      </c>
      <c r="CI187" t="s">
        <v>170</v>
      </c>
      <c r="DJ187" t="s">
        <v>184</v>
      </c>
      <c r="DK187" t="s">
        <v>185</v>
      </c>
      <c r="DN187" t="s">
        <v>170</v>
      </c>
      <c r="DO187" t="s">
        <v>186</v>
      </c>
      <c r="DP187" t="s">
        <v>170</v>
      </c>
      <c r="DQ187" t="s">
        <v>187</v>
      </c>
      <c r="DY187">
        <v>17.3</v>
      </c>
      <c r="EA187" s="101"/>
      <c r="EB187">
        <v>2</v>
      </c>
      <c r="EC187">
        <v>2</v>
      </c>
      <c r="EE187" t="s">
        <v>241</v>
      </c>
      <c r="EF187">
        <v>2</v>
      </c>
      <c r="EV187">
        <v>13250</v>
      </c>
      <c r="EW187">
        <v>755</v>
      </c>
      <c r="EX187">
        <v>442</v>
      </c>
      <c r="EY187">
        <v>614</v>
      </c>
    </row>
    <row r="188" spans="1:155" x14ac:dyDescent="0.35">
      <c r="A188">
        <v>2025</v>
      </c>
      <c r="B188" t="s">
        <v>220</v>
      </c>
      <c r="C188" t="s">
        <v>221</v>
      </c>
      <c r="D188" t="s">
        <v>242</v>
      </c>
      <c r="E188" t="s">
        <v>223</v>
      </c>
      <c r="F188">
        <v>56</v>
      </c>
      <c r="G188">
        <v>5.5</v>
      </c>
      <c r="H188">
        <v>8</v>
      </c>
      <c r="I188" t="s">
        <v>192</v>
      </c>
      <c r="J188">
        <v>12</v>
      </c>
      <c r="K188">
        <v>19</v>
      </c>
      <c r="L188">
        <v>14</v>
      </c>
      <c r="M188">
        <v>13.805400000000001</v>
      </c>
      <c r="N188">
        <v>23.7514</v>
      </c>
      <c r="O188">
        <v>17.010899999999999</v>
      </c>
      <c r="P188">
        <v>11.745900000000001</v>
      </c>
      <c r="Q188">
        <v>18.637899999999998</v>
      </c>
      <c r="R188">
        <v>14.0906</v>
      </c>
      <c r="S188" t="s">
        <v>210</v>
      </c>
      <c r="U188" t="s">
        <v>224</v>
      </c>
      <c r="V188" t="s">
        <v>193</v>
      </c>
      <c r="W188" t="s">
        <v>194</v>
      </c>
      <c r="Y188">
        <v>8</v>
      </c>
      <c r="Z188" t="s">
        <v>170</v>
      </c>
      <c r="AA188" t="s">
        <v>170</v>
      </c>
      <c r="AB188" t="s">
        <v>171</v>
      </c>
      <c r="AC188" t="s">
        <v>172</v>
      </c>
      <c r="AD188">
        <v>10</v>
      </c>
      <c r="AG188" t="s">
        <v>214</v>
      </c>
      <c r="AH188" t="s">
        <v>215</v>
      </c>
      <c r="AI188" t="s">
        <v>175</v>
      </c>
      <c r="AJ188" t="s">
        <v>176</v>
      </c>
      <c r="AK188" t="s">
        <v>170</v>
      </c>
      <c r="AL188" t="s">
        <v>177</v>
      </c>
      <c r="AM188">
        <v>51</v>
      </c>
      <c r="AN188">
        <v>0</v>
      </c>
      <c r="AS188">
        <v>4550</v>
      </c>
      <c r="AT188">
        <v>4550</v>
      </c>
      <c r="BN188" t="s">
        <v>178</v>
      </c>
      <c r="BO188">
        <v>2</v>
      </c>
      <c r="BP188">
        <v>2</v>
      </c>
      <c r="BQ188">
        <v>1</v>
      </c>
      <c r="BR188" t="s">
        <v>179</v>
      </c>
      <c r="BS188" t="s">
        <v>180</v>
      </c>
      <c r="BT188" t="s">
        <v>225</v>
      </c>
      <c r="BU188" s="1">
        <v>45526</v>
      </c>
      <c r="BV188">
        <v>35417</v>
      </c>
      <c r="BW188" s="156"/>
      <c r="BX188" t="s">
        <v>170</v>
      </c>
      <c r="BY188" t="s">
        <v>170</v>
      </c>
      <c r="CB188" t="s">
        <v>170</v>
      </c>
      <c r="CC188" t="s">
        <v>170</v>
      </c>
      <c r="CE188" t="s">
        <v>170</v>
      </c>
      <c r="CG188" t="s">
        <v>169</v>
      </c>
      <c r="CH188" t="s">
        <v>240</v>
      </c>
      <c r="CI188" t="s">
        <v>170</v>
      </c>
      <c r="DJ188" t="s">
        <v>184</v>
      </c>
      <c r="DK188" t="s">
        <v>185</v>
      </c>
      <c r="DN188" t="s">
        <v>170</v>
      </c>
      <c r="DO188" t="s">
        <v>186</v>
      </c>
      <c r="DP188" t="s">
        <v>170</v>
      </c>
      <c r="DQ188" t="s">
        <v>187</v>
      </c>
      <c r="DY188">
        <v>17.100000000000001</v>
      </c>
      <c r="EA188" s="89"/>
      <c r="EB188">
        <v>2</v>
      </c>
      <c r="EC188">
        <v>2</v>
      </c>
      <c r="EE188" t="s">
        <v>241</v>
      </c>
      <c r="EF188">
        <v>2</v>
      </c>
      <c r="EV188">
        <v>13250</v>
      </c>
      <c r="EW188">
        <v>756</v>
      </c>
      <c r="EX188">
        <v>478</v>
      </c>
      <c r="EY188">
        <v>631</v>
      </c>
    </row>
    <row r="189" spans="1:155" x14ac:dyDescent="0.35">
      <c r="A189">
        <v>2025</v>
      </c>
      <c r="B189" t="s">
        <v>220</v>
      </c>
      <c r="C189" t="s">
        <v>221</v>
      </c>
      <c r="D189" t="s">
        <v>243</v>
      </c>
      <c r="E189" t="s">
        <v>223</v>
      </c>
      <c r="F189">
        <v>57</v>
      </c>
      <c r="G189">
        <v>5.5</v>
      </c>
      <c r="H189">
        <v>8</v>
      </c>
      <c r="I189" t="s">
        <v>192</v>
      </c>
      <c r="J189">
        <v>12</v>
      </c>
      <c r="K189">
        <v>18</v>
      </c>
      <c r="L189">
        <v>14</v>
      </c>
      <c r="M189">
        <v>13.7</v>
      </c>
      <c r="N189">
        <v>22.8</v>
      </c>
      <c r="O189">
        <v>16.699300000000001</v>
      </c>
      <c r="P189">
        <v>11.737399999999999</v>
      </c>
      <c r="Q189">
        <v>18.100300000000001</v>
      </c>
      <c r="R189">
        <v>13.943099999999999</v>
      </c>
      <c r="S189" t="s">
        <v>210</v>
      </c>
      <c r="T189" t="s">
        <v>165</v>
      </c>
      <c r="U189" t="s">
        <v>166</v>
      </c>
      <c r="V189" t="s">
        <v>193</v>
      </c>
      <c r="W189" t="s">
        <v>194</v>
      </c>
      <c r="Y189">
        <v>8</v>
      </c>
      <c r="Z189" t="s">
        <v>170</v>
      </c>
      <c r="AA189" t="s">
        <v>170</v>
      </c>
      <c r="AB189" t="s">
        <v>171</v>
      </c>
      <c r="AC189" t="s">
        <v>172</v>
      </c>
      <c r="AD189">
        <v>10</v>
      </c>
      <c r="AG189" t="s">
        <v>214</v>
      </c>
      <c r="AH189" t="s">
        <v>215</v>
      </c>
      <c r="AI189" t="s">
        <v>175</v>
      </c>
      <c r="AJ189" t="s">
        <v>176</v>
      </c>
      <c r="AK189" t="s">
        <v>170</v>
      </c>
      <c r="AL189" t="s">
        <v>177</v>
      </c>
      <c r="AM189">
        <v>50</v>
      </c>
      <c r="AN189">
        <v>0</v>
      </c>
      <c r="AS189">
        <v>4550</v>
      </c>
      <c r="AT189">
        <v>4550</v>
      </c>
      <c r="BN189" t="s">
        <v>178</v>
      </c>
      <c r="BO189">
        <v>2</v>
      </c>
      <c r="BP189">
        <v>2</v>
      </c>
      <c r="BQ189">
        <v>1</v>
      </c>
      <c r="BR189" t="s">
        <v>179</v>
      </c>
      <c r="BS189" t="s">
        <v>180</v>
      </c>
      <c r="BT189" t="s">
        <v>225</v>
      </c>
      <c r="BU189" s="1">
        <v>45736</v>
      </c>
      <c r="BV189">
        <v>36257</v>
      </c>
      <c r="BW189" s="155"/>
      <c r="BX189" t="s">
        <v>170</v>
      </c>
      <c r="BY189" t="s">
        <v>170</v>
      </c>
      <c r="CB189" t="s">
        <v>170</v>
      </c>
      <c r="CC189" t="s">
        <v>170</v>
      </c>
      <c r="CE189" t="s">
        <v>170</v>
      </c>
      <c r="CG189" t="s">
        <v>169</v>
      </c>
      <c r="CH189" t="s">
        <v>240</v>
      </c>
      <c r="CI189" t="s">
        <v>170</v>
      </c>
      <c r="DJ189" t="s">
        <v>184</v>
      </c>
      <c r="DK189" t="s">
        <v>185</v>
      </c>
      <c r="DN189" t="s">
        <v>170</v>
      </c>
      <c r="DO189" t="s">
        <v>186</v>
      </c>
      <c r="DP189" t="s">
        <v>170</v>
      </c>
      <c r="DQ189" t="s">
        <v>187</v>
      </c>
      <c r="DY189">
        <v>16.8</v>
      </c>
      <c r="EA189" s="101"/>
      <c r="EB189">
        <v>2</v>
      </c>
      <c r="EC189">
        <v>2</v>
      </c>
      <c r="EE189" t="s">
        <v>241</v>
      </c>
      <c r="EF189">
        <v>2</v>
      </c>
      <c r="EV189">
        <v>13250</v>
      </c>
      <c r="EW189">
        <v>756</v>
      </c>
      <c r="EX189">
        <v>490</v>
      </c>
      <c r="EY189">
        <v>637</v>
      </c>
    </row>
    <row r="190" spans="1:155" x14ac:dyDescent="0.35">
      <c r="A190">
        <v>2025</v>
      </c>
      <c r="B190" t="s">
        <v>220</v>
      </c>
      <c r="C190" t="s">
        <v>221</v>
      </c>
      <c r="D190" t="s">
        <v>1271</v>
      </c>
      <c r="E190" t="s">
        <v>223</v>
      </c>
      <c r="F190">
        <v>710</v>
      </c>
      <c r="G190">
        <v>1.5</v>
      </c>
      <c r="H190">
        <v>4</v>
      </c>
      <c r="I190" t="s">
        <v>164</v>
      </c>
      <c r="J190">
        <v>24</v>
      </c>
      <c r="K190">
        <v>29</v>
      </c>
      <c r="L190">
        <v>26</v>
      </c>
      <c r="M190">
        <v>30.3264</v>
      </c>
      <c r="N190">
        <v>43.6233</v>
      </c>
      <c r="O190">
        <v>35.147399999999998</v>
      </c>
      <c r="P190">
        <v>23.6157</v>
      </c>
      <c r="Q190">
        <v>29.174900000000001</v>
      </c>
      <c r="R190">
        <v>25.8306</v>
      </c>
      <c r="T190" t="s">
        <v>165</v>
      </c>
      <c r="U190" t="s">
        <v>166</v>
      </c>
      <c r="V190" t="s">
        <v>167</v>
      </c>
      <c r="W190" t="s">
        <v>168</v>
      </c>
      <c r="Y190">
        <v>8</v>
      </c>
      <c r="Z190" t="s">
        <v>169</v>
      </c>
      <c r="AA190" t="s">
        <v>170</v>
      </c>
      <c r="AB190" t="s">
        <v>167</v>
      </c>
      <c r="AC190" t="s">
        <v>213</v>
      </c>
      <c r="AD190">
        <v>10</v>
      </c>
      <c r="AG190" t="s">
        <v>210</v>
      </c>
      <c r="AH190" t="s">
        <v>444</v>
      </c>
      <c r="AI190" t="s">
        <v>175</v>
      </c>
      <c r="AJ190" t="s">
        <v>176</v>
      </c>
      <c r="AK190" t="s">
        <v>940</v>
      </c>
      <c r="AL190" t="s">
        <v>941</v>
      </c>
      <c r="AO190">
        <v>104</v>
      </c>
      <c r="AP190">
        <v>30</v>
      </c>
      <c r="AS190">
        <v>2000</v>
      </c>
      <c r="AT190">
        <v>2000</v>
      </c>
      <c r="BN190" t="s">
        <v>178</v>
      </c>
      <c r="BO190">
        <v>2</v>
      </c>
      <c r="BP190">
        <v>2</v>
      </c>
      <c r="BQ190">
        <v>31</v>
      </c>
      <c r="BR190" t="s">
        <v>1219</v>
      </c>
      <c r="BT190" t="s">
        <v>457</v>
      </c>
      <c r="BU190" s="1">
        <v>45467</v>
      </c>
      <c r="BV190">
        <v>35149</v>
      </c>
      <c r="BW190" s="155"/>
      <c r="BX190" t="s">
        <v>170</v>
      </c>
      <c r="BY190" t="s">
        <v>170</v>
      </c>
      <c r="CB190" t="s">
        <v>170</v>
      </c>
      <c r="CC190" t="s">
        <v>170</v>
      </c>
      <c r="CE190" t="s">
        <v>170</v>
      </c>
      <c r="CG190" t="s">
        <v>169</v>
      </c>
      <c r="CH190" t="s">
        <v>726</v>
      </c>
      <c r="CI190" t="s">
        <v>170</v>
      </c>
      <c r="DJ190" t="s">
        <v>184</v>
      </c>
      <c r="DK190" t="s">
        <v>185</v>
      </c>
      <c r="DN190" t="s">
        <v>170</v>
      </c>
      <c r="DO190" t="s">
        <v>197</v>
      </c>
      <c r="DP190" t="s">
        <v>169</v>
      </c>
      <c r="DQ190" t="s">
        <v>198</v>
      </c>
      <c r="EA190" s="101"/>
      <c r="EB190">
        <v>5</v>
      </c>
      <c r="EC190">
        <v>5</v>
      </c>
      <c r="EE190" t="s">
        <v>1109</v>
      </c>
      <c r="EF190">
        <v>6</v>
      </c>
      <c r="EV190">
        <v>500</v>
      </c>
      <c r="EW190">
        <v>377</v>
      </c>
      <c r="EX190">
        <v>305</v>
      </c>
      <c r="EY190">
        <v>344</v>
      </c>
    </row>
    <row r="191" spans="1:155" x14ac:dyDescent="0.35">
      <c r="A191">
        <v>2025</v>
      </c>
      <c r="B191" t="s">
        <v>220</v>
      </c>
      <c r="C191" t="s">
        <v>221</v>
      </c>
      <c r="D191" t="s">
        <v>1108</v>
      </c>
      <c r="E191" t="s">
        <v>223</v>
      </c>
      <c r="F191">
        <v>210</v>
      </c>
      <c r="G191">
        <v>1.5</v>
      </c>
      <c r="H191">
        <v>4</v>
      </c>
      <c r="I191" t="s">
        <v>587</v>
      </c>
      <c r="J191">
        <v>26</v>
      </c>
      <c r="K191">
        <v>28</v>
      </c>
      <c r="L191">
        <v>27</v>
      </c>
      <c r="M191">
        <v>33.299999999999997</v>
      </c>
      <c r="N191">
        <v>43.9</v>
      </c>
      <c r="O191">
        <v>37.359299999999998</v>
      </c>
      <c r="P191">
        <v>25.687899999999999</v>
      </c>
      <c r="Q191">
        <v>28.331099999999999</v>
      </c>
      <c r="R191">
        <v>26.813600000000001</v>
      </c>
      <c r="T191" t="s">
        <v>165</v>
      </c>
      <c r="U191" t="s">
        <v>166</v>
      </c>
      <c r="V191" t="s">
        <v>588</v>
      </c>
      <c r="W191" t="s">
        <v>589</v>
      </c>
      <c r="Y191">
        <v>1</v>
      </c>
      <c r="Z191" t="s">
        <v>170</v>
      </c>
      <c r="AA191" t="s">
        <v>170</v>
      </c>
      <c r="AB191" t="s">
        <v>351</v>
      </c>
      <c r="AC191" t="s">
        <v>352</v>
      </c>
      <c r="AD191">
        <v>10</v>
      </c>
      <c r="AG191" t="s">
        <v>210</v>
      </c>
      <c r="AH191" t="s">
        <v>444</v>
      </c>
      <c r="AI191" t="s">
        <v>175</v>
      </c>
      <c r="AJ191" t="s">
        <v>176</v>
      </c>
      <c r="AK191" t="s">
        <v>940</v>
      </c>
      <c r="AL191" t="s">
        <v>941</v>
      </c>
      <c r="AO191">
        <v>104</v>
      </c>
      <c r="AP191">
        <v>30</v>
      </c>
      <c r="AS191">
        <v>1950</v>
      </c>
      <c r="AT191">
        <v>1950</v>
      </c>
      <c r="BN191" t="s">
        <v>178</v>
      </c>
      <c r="BO191">
        <v>2</v>
      </c>
      <c r="BP191">
        <v>2</v>
      </c>
      <c r="BQ191">
        <v>30</v>
      </c>
      <c r="BR191" t="s">
        <v>1099</v>
      </c>
      <c r="BT191" t="s">
        <v>457</v>
      </c>
      <c r="BU191" s="1">
        <v>45467</v>
      </c>
      <c r="BV191">
        <v>35150</v>
      </c>
      <c r="BW191" s="156"/>
      <c r="BX191" t="s">
        <v>170</v>
      </c>
      <c r="BY191" t="s">
        <v>170</v>
      </c>
      <c r="CB191" t="s">
        <v>170</v>
      </c>
      <c r="CC191" t="s">
        <v>170</v>
      </c>
      <c r="CE191" t="s">
        <v>170</v>
      </c>
      <c r="CG191" t="s">
        <v>169</v>
      </c>
      <c r="CH191" t="s">
        <v>726</v>
      </c>
      <c r="CI191" t="s">
        <v>170</v>
      </c>
      <c r="DJ191" t="s">
        <v>184</v>
      </c>
      <c r="DK191" t="s">
        <v>185</v>
      </c>
      <c r="DN191" t="s">
        <v>170</v>
      </c>
      <c r="DO191" t="s">
        <v>197</v>
      </c>
      <c r="DP191" t="s">
        <v>169</v>
      </c>
      <c r="DQ191" t="s">
        <v>198</v>
      </c>
      <c r="DY191">
        <v>37.6</v>
      </c>
      <c r="EA191" s="89"/>
      <c r="EB191">
        <v>5</v>
      </c>
      <c r="EC191">
        <v>5</v>
      </c>
      <c r="EE191" t="s">
        <v>1109</v>
      </c>
      <c r="EF191">
        <v>6</v>
      </c>
      <c r="EV191">
        <v>250</v>
      </c>
      <c r="EW191">
        <v>346</v>
      </c>
      <c r="EX191">
        <v>314</v>
      </c>
      <c r="EY191">
        <v>332</v>
      </c>
    </row>
    <row r="192" spans="1:155" x14ac:dyDescent="0.35">
      <c r="A192">
        <v>2025</v>
      </c>
      <c r="B192" t="s">
        <v>220</v>
      </c>
      <c r="C192" t="s">
        <v>221</v>
      </c>
      <c r="D192" t="s">
        <v>725</v>
      </c>
      <c r="E192" t="s">
        <v>223</v>
      </c>
      <c r="F192">
        <v>215</v>
      </c>
      <c r="G192">
        <v>1.5</v>
      </c>
      <c r="H192">
        <v>4</v>
      </c>
      <c r="I192" t="s">
        <v>587</v>
      </c>
      <c r="J192">
        <v>28</v>
      </c>
      <c r="K192">
        <v>36</v>
      </c>
      <c r="L192">
        <v>31</v>
      </c>
      <c r="M192">
        <v>37.137500000000003</v>
      </c>
      <c r="N192">
        <v>52.659399999999998</v>
      </c>
      <c r="O192">
        <v>42.816800000000001</v>
      </c>
      <c r="P192">
        <v>28.305399999999999</v>
      </c>
      <c r="Q192">
        <v>36.005499999999998</v>
      </c>
      <c r="R192">
        <v>31.319500000000001</v>
      </c>
      <c r="T192" t="s">
        <v>165</v>
      </c>
      <c r="U192" t="s">
        <v>166</v>
      </c>
      <c r="V192" t="s">
        <v>588</v>
      </c>
      <c r="W192" t="s">
        <v>589</v>
      </c>
      <c r="Y192">
        <v>1</v>
      </c>
      <c r="Z192" t="s">
        <v>170</v>
      </c>
      <c r="AA192" t="s">
        <v>170</v>
      </c>
      <c r="AB192" t="s">
        <v>351</v>
      </c>
      <c r="AC192" t="s">
        <v>352</v>
      </c>
      <c r="AD192">
        <v>10</v>
      </c>
      <c r="AG192" t="s">
        <v>210</v>
      </c>
      <c r="AH192" t="s">
        <v>444</v>
      </c>
      <c r="AI192" t="s">
        <v>175</v>
      </c>
      <c r="AJ192" t="s">
        <v>176</v>
      </c>
      <c r="AK192" t="s">
        <v>170</v>
      </c>
      <c r="AL192" t="s">
        <v>177</v>
      </c>
      <c r="AO192">
        <v>102</v>
      </c>
      <c r="AP192">
        <v>16</v>
      </c>
      <c r="AS192">
        <v>1700</v>
      </c>
      <c r="AT192">
        <v>1700</v>
      </c>
      <c r="BN192" t="s">
        <v>178</v>
      </c>
      <c r="BO192">
        <v>2</v>
      </c>
      <c r="BP192">
        <v>2</v>
      </c>
      <c r="BQ192">
        <v>5</v>
      </c>
      <c r="BR192" t="s">
        <v>672</v>
      </c>
      <c r="BS192" t="s">
        <v>180</v>
      </c>
      <c r="BT192" t="s">
        <v>181</v>
      </c>
      <c r="BU192" s="1">
        <v>45482</v>
      </c>
      <c r="BV192">
        <v>35056</v>
      </c>
      <c r="BW192" s="155"/>
      <c r="BX192" t="s">
        <v>170</v>
      </c>
      <c r="BY192" t="s">
        <v>170</v>
      </c>
      <c r="CB192" t="s">
        <v>170</v>
      </c>
      <c r="CC192" t="s">
        <v>170</v>
      </c>
      <c r="CE192" t="s">
        <v>170</v>
      </c>
      <c r="CG192" t="s">
        <v>169</v>
      </c>
      <c r="CH192" t="s">
        <v>726</v>
      </c>
      <c r="CI192" t="s">
        <v>170</v>
      </c>
      <c r="DJ192" t="s">
        <v>184</v>
      </c>
      <c r="DK192" t="s">
        <v>185</v>
      </c>
      <c r="DN192" t="s">
        <v>170</v>
      </c>
      <c r="DO192" t="s">
        <v>197</v>
      </c>
      <c r="DP192" t="s">
        <v>169</v>
      </c>
      <c r="DQ192" t="s">
        <v>198</v>
      </c>
      <c r="DY192">
        <v>43.1</v>
      </c>
      <c r="EA192" s="101"/>
      <c r="EB192">
        <v>6</v>
      </c>
      <c r="EC192">
        <v>6</v>
      </c>
      <c r="EE192" t="s">
        <v>727</v>
      </c>
      <c r="EF192">
        <v>6</v>
      </c>
      <c r="EU192">
        <v>1000</v>
      </c>
      <c r="EW192">
        <v>313</v>
      </c>
      <c r="EX192">
        <v>246</v>
      </c>
      <c r="EY192">
        <v>283</v>
      </c>
    </row>
    <row r="193" spans="1:155" x14ac:dyDescent="0.35">
      <c r="A193">
        <v>2025</v>
      </c>
      <c r="B193" t="s">
        <v>220</v>
      </c>
      <c r="C193" t="s">
        <v>221</v>
      </c>
      <c r="D193" t="s">
        <v>973</v>
      </c>
      <c r="E193" t="s">
        <v>223</v>
      </c>
      <c r="F193">
        <v>501</v>
      </c>
      <c r="G193">
        <v>3</v>
      </c>
      <c r="H193">
        <v>6</v>
      </c>
      <c r="I193" t="s">
        <v>443</v>
      </c>
      <c r="J193">
        <v>23</v>
      </c>
      <c r="K193">
        <v>29</v>
      </c>
      <c r="L193">
        <v>26</v>
      </c>
      <c r="M193">
        <v>30.082599999999999</v>
      </c>
      <c r="N193">
        <v>44.963000000000001</v>
      </c>
      <c r="O193">
        <v>35.346699999999998</v>
      </c>
      <c r="P193">
        <v>23.443999999999999</v>
      </c>
      <c r="Q193">
        <v>28.5871</v>
      </c>
      <c r="R193">
        <v>25.5092</v>
      </c>
      <c r="T193" t="s">
        <v>165</v>
      </c>
      <c r="U193" t="s">
        <v>166</v>
      </c>
      <c r="V193" t="s">
        <v>167</v>
      </c>
      <c r="W193" t="s">
        <v>168</v>
      </c>
      <c r="Y193">
        <v>10</v>
      </c>
      <c r="Z193" t="s">
        <v>169</v>
      </c>
      <c r="AA193" t="s">
        <v>170</v>
      </c>
      <c r="AB193" t="s">
        <v>171</v>
      </c>
      <c r="AC193" t="s">
        <v>172</v>
      </c>
      <c r="AE193">
        <v>20</v>
      </c>
      <c r="AG193" t="s">
        <v>975</v>
      </c>
      <c r="AH193" t="s">
        <v>976</v>
      </c>
      <c r="AI193" t="s">
        <v>175</v>
      </c>
      <c r="AJ193" t="s">
        <v>176</v>
      </c>
      <c r="AK193" t="s">
        <v>940</v>
      </c>
      <c r="AL193" t="s">
        <v>941</v>
      </c>
      <c r="AS193">
        <v>2350</v>
      </c>
      <c r="AT193">
        <v>2350</v>
      </c>
      <c r="BO193">
        <v>2</v>
      </c>
      <c r="BP193">
        <v>2</v>
      </c>
      <c r="BQ193">
        <v>12</v>
      </c>
      <c r="BR193" t="s">
        <v>971</v>
      </c>
      <c r="BT193" t="s">
        <v>457</v>
      </c>
      <c r="BU193" s="1">
        <v>45511</v>
      </c>
      <c r="BV193">
        <v>35345</v>
      </c>
      <c r="BW193" s="155"/>
      <c r="BX193" t="s">
        <v>170</v>
      </c>
      <c r="BY193" t="s">
        <v>170</v>
      </c>
      <c r="CB193" t="s">
        <v>170</v>
      </c>
      <c r="CC193" t="s">
        <v>170</v>
      </c>
      <c r="CE193" t="s">
        <v>170</v>
      </c>
      <c r="CG193" t="s">
        <v>170</v>
      </c>
      <c r="CI193" t="s">
        <v>170</v>
      </c>
      <c r="DJ193" t="s">
        <v>977</v>
      </c>
      <c r="DK193" t="s">
        <v>978</v>
      </c>
      <c r="DN193" t="s">
        <v>170</v>
      </c>
      <c r="DO193" t="s">
        <v>197</v>
      </c>
      <c r="DP193" t="s">
        <v>169</v>
      </c>
      <c r="DQ193" t="s">
        <v>198</v>
      </c>
      <c r="EA193" s="101"/>
      <c r="EB193">
        <v>5</v>
      </c>
      <c r="EC193">
        <v>5</v>
      </c>
      <c r="EE193" t="s">
        <v>979</v>
      </c>
      <c r="EF193">
        <v>4</v>
      </c>
      <c r="EV193">
        <v>2250</v>
      </c>
      <c r="EW193">
        <v>434</v>
      </c>
      <c r="EX193">
        <v>356</v>
      </c>
      <c r="EY193">
        <v>399</v>
      </c>
    </row>
    <row r="194" spans="1:155" x14ac:dyDescent="0.35">
      <c r="A194">
        <v>2025</v>
      </c>
      <c r="B194" t="s">
        <v>220</v>
      </c>
      <c r="C194" t="s">
        <v>221</v>
      </c>
      <c r="D194" t="s">
        <v>973</v>
      </c>
      <c r="E194" t="s">
        <v>223</v>
      </c>
      <c r="F194">
        <v>510</v>
      </c>
      <c r="G194">
        <v>2.7</v>
      </c>
      <c r="H194">
        <v>4</v>
      </c>
      <c r="I194" t="s">
        <v>164</v>
      </c>
      <c r="J194">
        <v>17</v>
      </c>
      <c r="K194">
        <v>21</v>
      </c>
      <c r="L194">
        <v>19</v>
      </c>
      <c r="M194">
        <v>22.247199999999999</v>
      </c>
      <c r="N194">
        <v>34.299999999999997</v>
      </c>
      <c r="O194">
        <v>26.425799999999999</v>
      </c>
      <c r="P194">
        <v>17.491800000000001</v>
      </c>
      <c r="Q194">
        <v>20.925999999999998</v>
      </c>
      <c r="R194">
        <v>18.886600000000001</v>
      </c>
      <c r="T194" t="s">
        <v>165</v>
      </c>
      <c r="U194" t="s">
        <v>166</v>
      </c>
      <c r="V194" t="s">
        <v>167</v>
      </c>
      <c r="W194" t="s">
        <v>168</v>
      </c>
      <c r="Y194">
        <v>8</v>
      </c>
      <c r="Z194" t="s">
        <v>169</v>
      </c>
      <c r="AA194" t="s">
        <v>170</v>
      </c>
      <c r="AB194" t="s">
        <v>171</v>
      </c>
      <c r="AC194" t="s">
        <v>172</v>
      </c>
      <c r="AD194">
        <v>10</v>
      </c>
      <c r="AG194" t="s">
        <v>210</v>
      </c>
      <c r="AH194" t="s">
        <v>444</v>
      </c>
      <c r="AI194" t="s">
        <v>175</v>
      </c>
      <c r="AJ194" t="s">
        <v>176</v>
      </c>
      <c r="AK194" t="s">
        <v>940</v>
      </c>
      <c r="AL194" t="s">
        <v>941</v>
      </c>
      <c r="AS194">
        <v>2750</v>
      </c>
      <c r="AT194">
        <v>2750</v>
      </c>
      <c r="BN194" t="s">
        <v>178</v>
      </c>
      <c r="BO194">
        <v>2</v>
      </c>
      <c r="BP194">
        <v>2</v>
      </c>
      <c r="BQ194">
        <v>12</v>
      </c>
      <c r="BR194" t="s">
        <v>971</v>
      </c>
      <c r="BT194" t="s">
        <v>225</v>
      </c>
      <c r="BU194" s="1">
        <v>45512</v>
      </c>
      <c r="BV194">
        <v>35371</v>
      </c>
      <c r="BW194" s="156"/>
      <c r="BX194" t="s">
        <v>170</v>
      </c>
      <c r="BY194" t="s">
        <v>170</v>
      </c>
      <c r="CB194" t="s">
        <v>170</v>
      </c>
      <c r="CC194" t="s">
        <v>170</v>
      </c>
      <c r="CD194" t="s">
        <v>560</v>
      </c>
      <c r="CE194" t="s">
        <v>169</v>
      </c>
      <c r="CF194" t="s">
        <v>227</v>
      </c>
      <c r="CG194" t="s">
        <v>169</v>
      </c>
      <c r="CH194" t="s">
        <v>240</v>
      </c>
      <c r="CI194" t="s">
        <v>169</v>
      </c>
      <c r="CJ194" t="s">
        <v>561</v>
      </c>
      <c r="DJ194" t="s">
        <v>184</v>
      </c>
      <c r="DK194" t="s">
        <v>185</v>
      </c>
      <c r="DN194" t="s">
        <v>170</v>
      </c>
      <c r="DO194" t="s">
        <v>197</v>
      </c>
      <c r="DP194" t="s">
        <v>169</v>
      </c>
      <c r="DQ194" t="s">
        <v>198</v>
      </c>
      <c r="DR194" t="s">
        <v>974</v>
      </c>
      <c r="EA194" s="89"/>
      <c r="EB194">
        <v>4</v>
      </c>
      <c r="EC194">
        <v>4</v>
      </c>
      <c r="EE194" t="s">
        <v>972</v>
      </c>
      <c r="EF194">
        <v>6</v>
      </c>
      <c r="EV194">
        <v>4250</v>
      </c>
      <c r="EW194">
        <v>506</v>
      </c>
      <c r="EX194">
        <v>426</v>
      </c>
      <c r="EY194">
        <v>470</v>
      </c>
    </row>
    <row r="195" spans="1:155" x14ac:dyDescent="0.35">
      <c r="A195">
        <v>2025</v>
      </c>
      <c r="B195" t="s">
        <v>220</v>
      </c>
      <c r="C195" t="s">
        <v>221</v>
      </c>
      <c r="D195" t="s">
        <v>973</v>
      </c>
      <c r="E195" t="s">
        <v>223</v>
      </c>
      <c r="F195">
        <v>512</v>
      </c>
      <c r="G195">
        <v>2.7</v>
      </c>
      <c r="H195">
        <v>4</v>
      </c>
      <c r="I195" t="s">
        <v>164</v>
      </c>
      <c r="J195">
        <v>18</v>
      </c>
      <c r="K195">
        <v>21</v>
      </c>
      <c r="L195">
        <v>19</v>
      </c>
      <c r="M195">
        <v>22.389399999999998</v>
      </c>
      <c r="N195">
        <v>34.284500000000001</v>
      </c>
      <c r="O195">
        <v>26.5318</v>
      </c>
      <c r="P195">
        <v>17.598700000000001</v>
      </c>
      <c r="Q195">
        <v>20.9237</v>
      </c>
      <c r="R195">
        <v>18.9541</v>
      </c>
      <c r="T195" t="s">
        <v>165</v>
      </c>
      <c r="U195" t="s">
        <v>166</v>
      </c>
      <c r="V195" t="s">
        <v>167</v>
      </c>
      <c r="W195" t="s">
        <v>168</v>
      </c>
      <c r="Y195">
        <v>8</v>
      </c>
      <c r="Z195" t="s">
        <v>169</v>
      </c>
      <c r="AA195" t="s">
        <v>170</v>
      </c>
      <c r="AB195" t="s">
        <v>171</v>
      </c>
      <c r="AC195" t="s">
        <v>172</v>
      </c>
      <c r="AD195">
        <v>10</v>
      </c>
      <c r="AG195" t="s">
        <v>210</v>
      </c>
      <c r="AH195" t="s">
        <v>444</v>
      </c>
      <c r="AI195" t="s">
        <v>175</v>
      </c>
      <c r="AJ195" t="s">
        <v>176</v>
      </c>
      <c r="AK195" t="s">
        <v>940</v>
      </c>
      <c r="AL195" t="s">
        <v>941</v>
      </c>
      <c r="AS195">
        <v>2750</v>
      </c>
      <c r="AT195">
        <v>2750</v>
      </c>
      <c r="BN195" t="s">
        <v>178</v>
      </c>
      <c r="BO195">
        <v>2</v>
      </c>
      <c r="BP195">
        <v>2</v>
      </c>
      <c r="BQ195">
        <v>12</v>
      </c>
      <c r="BR195" t="s">
        <v>971</v>
      </c>
      <c r="BT195" t="s">
        <v>225</v>
      </c>
      <c r="BU195" s="1">
        <v>45512</v>
      </c>
      <c r="BV195">
        <v>35365</v>
      </c>
      <c r="BW195" s="155"/>
      <c r="BX195" t="s">
        <v>170</v>
      </c>
      <c r="BY195" t="s">
        <v>170</v>
      </c>
      <c r="CB195" t="s">
        <v>170</v>
      </c>
      <c r="CC195" t="s">
        <v>170</v>
      </c>
      <c r="CD195" t="s">
        <v>560</v>
      </c>
      <c r="CE195" t="s">
        <v>169</v>
      </c>
      <c r="CF195" t="s">
        <v>227</v>
      </c>
      <c r="CG195" t="s">
        <v>169</v>
      </c>
      <c r="CH195" t="s">
        <v>240</v>
      </c>
      <c r="CI195" t="s">
        <v>169</v>
      </c>
      <c r="CJ195" t="s">
        <v>561</v>
      </c>
      <c r="DJ195" t="s">
        <v>184</v>
      </c>
      <c r="DK195" t="s">
        <v>185</v>
      </c>
      <c r="DN195" t="s">
        <v>170</v>
      </c>
      <c r="DO195" t="s">
        <v>197</v>
      </c>
      <c r="DP195" t="s">
        <v>169</v>
      </c>
      <c r="DQ195" t="s">
        <v>198</v>
      </c>
      <c r="EA195" s="101"/>
      <c r="EB195">
        <v>4</v>
      </c>
      <c r="EC195">
        <v>4</v>
      </c>
      <c r="EE195" t="s">
        <v>972</v>
      </c>
      <c r="EF195">
        <v>6</v>
      </c>
      <c r="EV195">
        <v>4250</v>
      </c>
      <c r="EW195">
        <v>503</v>
      </c>
      <c r="EX195">
        <v>426</v>
      </c>
      <c r="EY195">
        <v>468</v>
      </c>
    </row>
    <row r="196" spans="1:155" x14ac:dyDescent="0.35">
      <c r="A196">
        <v>2025</v>
      </c>
      <c r="B196" t="s">
        <v>220</v>
      </c>
      <c r="C196" t="s">
        <v>221</v>
      </c>
      <c r="D196" t="s">
        <v>973</v>
      </c>
      <c r="E196" t="s">
        <v>223</v>
      </c>
      <c r="F196">
        <v>565</v>
      </c>
      <c r="G196">
        <v>5.3</v>
      </c>
      <c r="H196">
        <v>8</v>
      </c>
      <c r="I196" t="s">
        <v>443</v>
      </c>
      <c r="J196">
        <v>16</v>
      </c>
      <c r="K196">
        <v>21</v>
      </c>
      <c r="L196">
        <v>18</v>
      </c>
      <c r="M196">
        <v>20.959700000000002</v>
      </c>
      <c r="N196">
        <v>31.841699999999999</v>
      </c>
      <c r="O196">
        <v>24.768899999999999</v>
      </c>
      <c r="P196">
        <v>16.388200000000001</v>
      </c>
      <c r="Q196">
        <v>20.738199999999999</v>
      </c>
      <c r="R196">
        <v>18.096299999999999</v>
      </c>
      <c r="U196" t="s">
        <v>224</v>
      </c>
      <c r="V196" t="s">
        <v>167</v>
      </c>
      <c r="W196" t="s">
        <v>168</v>
      </c>
      <c r="Y196">
        <v>10</v>
      </c>
      <c r="Z196" t="s">
        <v>169</v>
      </c>
      <c r="AA196" t="s">
        <v>170</v>
      </c>
      <c r="AB196" t="s">
        <v>171</v>
      </c>
      <c r="AC196" t="s">
        <v>172</v>
      </c>
      <c r="AD196">
        <v>10</v>
      </c>
      <c r="AG196" t="s">
        <v>210</v>
      </c>
      <c r="AH196" t="s">
        <v>444</v>
      </c>
      <c r="AI196" t="s">
        <v>175</v>
      </c>
      <c r="AJ196" t="s">
        <v>176</v>
      </c>
      <c r="AK196" t="s">
        <v>940</v>
      </c>
      <c r="AL196" t="s">
        <v>941</v>
      </c>
      <c r="AS196">
        <v>2900</v>
      </c>
      <c r="AT196">
        <v>2900</v>
      </c>
      <c r="BN196" t="s">
        <v>178</v>
      </c>
      <c r="BO196">
        <v>1</v>
      </c>
      <c r="BP196">
        <v>1</v>
      </c>
      <c r="BQ196">
        <v>12</v>
      </c>
      <c r="BR196" t="s">
        <v>971</v>
      </c>
      <c r="BT196" t="s">
        <v>225</v>
      </c>
      <c r="BU196" s="1">
        <v>45502</v>
      </c>
      <c r="BV196">
        <v>35295</v>
      </c>
      <c r="BW196" s="155"/>
      <c r="BX196" t="s">
        <v>170</v>
      </c>
      <c r="BY196" t="s">
        <v>170</v>
      </c>
      <c r="CB196" t="s">
        <v>170</v>
      </c>
      <c r="CC196" t="s">
        <v>170</v>
      </c>
      <c r="CE196" t="s">
        <v>169</v>
      </c>
      <c r="CF196" t="s">
        <v>980</v>
      </c>
      <c r="CG196" t="s">
        <v>169</v>
      </c>
      <c r="CH196" t="s">
        <v>981</v>
      </c>
      <c r="CI196" t="s">
        <v>170</v>
      </c>
      <c r="DJ196" t="s">
        <v>184</v>
      </c>
      <c r="DK196" t="s">
        <v>185</v>
      </c>
      <c r="DN196" t="s">
        <v>170</v>
      </c>
      <c r="DO196" t="s">
        <v>197</v>
      </c>
      <c r="DP196" t="s">
        <v>169</v>
      </c>
      <c r="DQ196" t="s">
        <v>198</v>
      </c>
      <c r="DR196" t="s">
        <v>974</v>
      </c>
      <c r="EA196" s="101"/>
      <c r="EB196">
        <v>4</v>
      </c>
      <c r="EC196">
        <v>4</v>
      </c>
      <c r="EE196" t="s">
        <v>982</v>
      </c>
      <c r="EF196">
        <v>6</v>
      </c>
      <c r="EV196">
        <v>5000</v>
      </c>
      <c r="EW196">
        <v>540</v>
      </c>
      <c r="EX196">
        <v>429</v>
      </c>
      <c r="EY196">
        <v>490</v>
      </c>
    </row>
    <row r="197" spans="1:155" x14ac:dyDescent="0.35">
      <c r="A197">
        <v>2025</v>
      </c>
      <c r="B197" t="s">
        <v>220</v>
      </c>
      <c r="C197" t="s">
        <v>221</v>
      </c>
      <c r="D197" t="s">
        <v>973</v>
      </c>
      <c r="E197" t="s">
        <v>223</v>
      </c>
      <c r="F197">
        <v>571</v>
      </c>
      <c r="G197">
        <v>5.3</v>
      </c>
      <c r="H197">
        <v>8</v>
      </c>
      <c r="I197" t="s">
        <v>443</v>
      </c>
      <c r="J197">
        <v>16</v>
      </c>
      <c r="K197">
        <v>21</v>
      </c>
      <c r="L197">
        <v>18</v>
      </c>
      <c r="M197">
        <v>20.107399999999998</v>
      </c>
      <c r="N197">
        <v>32.555999999999997</v>
      </c>
      <c r="O197">
        <v>24.286300000000001</v>
      </c>
      <c r="P197">
        <v>15.945399999999999</v>
      </c>
      <c r="Q197">
        <v>21.478200000000001</v>
      </c>
      <c r="R197">
        <v>18.036200000000001</v>
      </c>
      <c r="U197" t="s">
        <v>224</v>
      </c>
      <c r="V197" t="s">
        <v>167</v>
      </c>
      <c r="W197" t="s">
        <v>168</v>
      </c>
      <c r="Y197">
        <v>10</v>
      </c>
      <c r="Z197" t="s">
        <v>169</v>
      </c>
      <c r="AA197" t="s">
        <v>170</v>
      </c>
      <c r="AB197" t="s">
        <v>171</v>
      </c>
      <c r="AC197" t="s">
        <v>172</v>
      </c>
      <c r="AD197">
        <v>10</v>
      </c>
      <c r="AG197" t="s">
        <v>210</v>
      </c>
      <c r="AH197" t="s">
        <v>444</v>
      </c>
      <c r="AI197" t="s">
        <v>175</v>
      </c>
      <c r="AJ197" t="s">
        <v>176</v>
      </c>
      <c r="AK197" t="s">
        <v>940</v>
      </c>
      <c r="AL197" t="s">
        <v>941</v>
      </c>
      <c r="AS197">
        <v>2900</v>
      </c>
      <c r="AT197">
        <v>2900</v>
      </c>
      <c r="BN197" t="s">
        <v>178</v>
      </c>
      <c r="BO197">
        <v>1</v>
      </c>
      <c r="BP197">
        <v>1</v>
      </c>
      <c r="BQ197">
        <v>12</v>
      </c>
      <c r="BR197" t="s">
        <v>971</v>
      </c>
      <c r="BT197" t="s">
        <v>225</v>
      </c>
      <c r="BU197" s="1">
        <v>45502</v>
      </c>
      <c r="BV197">
        <v>35283</v>
      </c>
      <c r="BW197" s="156"/>
      <c r="BX197" t="s">
        <v>170</v>
      </c>
      <c r="BY197" t="s">
        <v>170</v>
      </c>
      <c r="CB197" t="s">
        <v>170</v>
      </c>
      <c r="CC197" t="s">
        <v>170</v>
      </c>
      <c r="CE197" t="s">
        <v>169</v>
      </c>
      <c r="CF197" t="s">
        <v>980</v>
      </c>
      <c r="CG197" t="s">
        <v>169</v>
      </c>
      <c r="CH197" t="s">
        <v>981</v>
      </c>
      <c r="CI197" t="s">
        <v>170</v>
      </c>
      <c r="DJ197" t="s">
        <v>184</v>
      </c>
      <c r="DK197" t="s">
        <v>185</v>
      </c>
      <c r="DN197" t="s">
        <v>170</v>
      </c>
      <c r="DO197" t="s">
        <v>197</v>
      </c>
      <c r="DP197" t="s">
        <v>169</v>
      </c>
      <c r="DQ197" t="s">
        <v>198</v>
      </c>
      <c r="EA197" s="89"/>
      <c r="EB197">
        <v>4</v>
      </c>
      <c r="EC197">
        <v>4</v>
      </c>
      <c r="EE197" t="s">
        <v>982</v>
      </c>
      <c r="EF197">
        <v>6</v>
      </c>
      <c r="EV197">
        <v>5000</v>
      </c>
      <c r="EW197">
        <v>555</v>
      </c>
      <c r="EX197">
        <v>414</v>
      </c>
      <c r="EY197">
        <v>491</v>
      </c>
    </row>
    <row r="198" spans="1:155" x14ac:dyDescent="0.35">
      <c r="A198">
        <v>2025</v>
      </c>
      <c r="B198" t="s">
        <v>220</v>
      </c>
      <c r="C198" t="s">
        <v>221</v>
      </c>
      <c r="D198" t="s">
        <v>1072</v>
      </c>
      <c r="E198" t="s">
        <v>223</v>
      </c>
      <c r="F198">
        <v>573</v>
      </c>
      <c r="G198">
        <v>5.3</v>
      </c>
      <c r="H198">
        <v>8</v>
      </c>
      <c r="I198" t="s">
        <v>443</v>
      </c>
      <c r="J198">
        <v>15</v>
      </c>
      <c r="K198">
        <v>18</v>
      </c>
      <c r="L198">
        <v>16</v>
      </c>
      <c r="M198">
        <v>18.533200000000001</v>
      </c>
      <c r="N198">
        <v>26.0913</v>
      </c>
      <c r="O198">
        <v>21.311199999999999</v>
      </c>
      <c r="P198">
        <v>15.005699999999999</v>
      </c>
      <c r="Q198">
        <v>17.6371</v>
      </c>
      <c r="R198">
        <v>16.085699999999999</v>
      </c>
      <c r="U198" t="s">
        <v>224</v>
      </c>
      <c r="V198" t="s">
        <v>167</v>
      </c>
      <c r="W198" t="s">
        <v>168</v>
      </c>
      <c r="Y198">
        <v>10</v>
      </c>
      <c r="Z198" t="s">
        <v>169</v>
      </c>
      <c r="AA198" t="s">
        <v>170</v>
      </c>
      <c r="AB198" t="s">
        <v>171</v>
      </c>
      <c r="AC198" t="s">
        <v>172</v>
      </c>
      <c r="AD198">
        <v>10</v>
      </c>
      <c r="AG198" t="s">
        <v>210</v>
      </c>
      <c r="AH198" t="s">
        <v>444</v>
      </c>
      <c r="AI198" t="s">
        <v>175</v>
      </c>
      <c r="AJ198" t="s">
        <v>176</v>
      </c>
      <c r="AK198" t="s">
        <v>940</v>
      </c>
      <c r="AL198" t="s">
        <v>941</v>
      </c>
      <c r="AS198">
        <v>3300</v>
      </c>
      <c r="AT198">
        <v>3300</v>
      </c>
      <c r="BN198" t="s">
        <v>178</v>
      </c>
      <c r="BO198">
        <v>1</v>
      </c>
      <c r="BP198">
        <v>1</v>
      </c>
      <c r="BQ198">
        <v>19</v>
      </c>
      <c r="BR198" t="s">
        <v>1073</v>
      </c>
      <c r="BS198" t="s">
        <v>1070</v>
      </c>
      <c r="BT198" t="s">
        <v>225</v>
      </c>
      <c r="BU198" s="1">
        <v>45502</v>
      </c>
      <c r="BV198">
        <v>35285</v>
      </c>
      <c r="BW198" s="155"/>
      <c r="BX198" t="s">
        <v>169</v>
      </c>
      <c r="BY198" t="s">
        <v>170</v>
      </c>
      <c r="CB198" t="s">
        <v>170</v>
      </c>
      <c r="CC198" t="s">
        <v>170</v>
      </c>
      <c r="CE198" t="s">
        <v>169</v>
      </c>
      <c r="CF198" t="s">
        <v>980</v>
      </c>
      <c r="CG198" t="s">
        <v>169</v>
      </c>
      <c r="CH198" t="s">
        <v>981</v>
      </c>
      <c r="CI198" t="s">
        <v>170</v>
      </c>
      <c r="DJ198" t="s">
        <v>184</v>
      </c>
      <c r="DK198" t="s">
        <v>185</v>
      </c>
      <c r="DN198" t="s">
        <v>170</v>
      </c>
      <c r="DO198" t="s">
        <v>197</v>
      </c>
      <c r="DP198" t="s">
        <v>169</v>
      </c>
      <c r="DQ198" t="s">
        <v>198</v>
      </c>
      <c r="EA198" s="101"/>
      <c r="EB198">
        <v>3</v>
      </c>
      <c r="EC198">
        <v>3</v>
      </c>
      <c r="EE198" t="s">
        <v>982</v>
      </c>
      <c r="EF198">
        <v>6</v>
      </c>
      <c r="EV198">
        <v>7000</v>
      </c>
      <c r="EW198">
        <v>589</v>
      </c>
      <c r="EX198">
        <v>504</v>
      </c>
      <c r="EY198">
        <v>551</v>
      </c>
    </row>
    <row r="199" spans="1:155" x14ac:dyDescent="0.35">
      <c r="A199">
        <v>2025</v>
      </c>
      <c r="B199" t="s">
        <v>220</v>
      </c>
      <c r="C199" t="s">
        <v>221</v>
      </c>
      <c r="D199" t="s">
        <v>1020</v>
      </c>
      <c r="E199" t="s">
        <v>223</v>
      </c>
      <c r="F199">
        <v>502</v>
      </c>
      <c r="G199">
        <v>3</v>
      </c>
      <c r="H199">
        <v>6</v>
      </c>
      <c r="I199" t="s">
        <v>443</v>
      </c>
      <c r="J199">
        <v>22</v>
      </c>
      <c r="K199">
        <v>26</v>
      </c>
      <c r="L199">
        <v>24</v>
      </c>
      <c r="M199">
        <v>28.2</v>
      </c>
      <c r="N199">
        <v>41.4</v>
      </c>
      <c r="O199">
        <v>32.923900000000003</v>
      </c>
      <c r="P199">
        <v>22.1096</v>
      </c>
      <c r="Q199">
        <v>26.038499999999999</v>
      </c>
      <c r="R199">
        <v>23.720199999999998</v>
      </c>
      <c r="T199" t="s">
        <v>165</v>
      </c>
      <c r="U199" t="s">
        <v>166</v>
      </c>
      <c r="V199" t="s">
        <v>167</v>
      </c>
      <c r="W199" t="s">
        <v>168</v>
      </c>
      <c r="Y199">
        <v>10</v>
      </c>
      <c r="Z199" t="s">
        <v>169</v>
      </c>
      <c r="AA199" t="s">
        <v>170</v>
      </c>
      <c r="AB199">
        <v>4</v>
      </c>
      <c r="AC199" t="s">
        <v>601</v>
      </c>
      <c r="AE199">
        <v>20</v>
      </c>
      <c r="AG199" t="s">
        <v>975</v>
      </c>
      <c r="AH199" t="s">
        <v>976</v>
      </c>
      <c r="AI199" t="s">
        <v>175</v>
      </c>
      <c r="AJ199" t="s">
        <v>176</v>
      </c>
      <c r="AK199" t="s">
        <v>940</v>
      </c>
      <c r="AL199" t="s">
        <v>941</v>
      </c>
      <c r="AS199">
        <v>2550</v>
      </c>
      <c r="AT199">
        <v>2550</v>
      </c>
      <c r="BO199">
        <v>2</v>
      </c>
      <c r="BP199">
        <v>2</v>
      </c>
      <c r="BQ199">
        <v>13</v>
      </c>
      <c r="BR199" t="s">
        <v>1016</v>
      </c>
      <c r="BT199" t="s">
        <v>457</v>
      </c>
      <c r="BU199" s="1">
        <v>45510</v>
      </c>
      <c r="BV199">
        <v>35350</v>
      </c>
      <c r="BW199" s="155"/>
      <c r="BX199" t="s">
        <v>170</v>
      </c>
      <c r="BY199" t="s">
        <v>170</v>
      </c>
      <c r="CB199" t="s">
        <v>170</v>
      </c>
      <c r="CC199" t="s">
        <v>170</v>
      </c>
      <c r="CE199" t="s">
        <v>170</v>
      </c>
      <c r="CG199" t="s">
        <v>170</v>
      </c>
      <c r="CI199" t="s">
        <v>170</v>
      </c>
      <c r="DJ199" t="s">
        <v>977</v>
      </c>
      <c r="DK199" t="s">
        <v>978</v>
      </c>
      <c r="DN199" t="s">
        <v>170</v>
      </c>
      <c r="DO199" t="s">
        <v>197</v>
      </c>
      <c r="DP199" t="s">
        <v>169</v>
      </c>
      <c r="DQ199" t="s">
        <v>198</v>
      </c>
      <c r="DR199" t="s">
        <v>974</v>
      </c>
      <c r="EA199" s="101"/>
      <c r="EB199">
        <v>5</v>
      </c>
      <c r="EC199">
        <v>4</v>
      </c>
      <c r="EE199" t="s">
        <v>979</v>
      </c>
      <c r="EF199">
        <v>4</v>
      </c>
      <c r="EV199">
        <v>3250</v>
      </c>
      <c r="EW199">
        <v>459</v>
      </c>
      <c r="EX199">
        <v>391</v>
      </c>
      <c r="EY199">
        <v>428</v>
      </c>
    </row>
    <row r="200" spans="1:155" x14ac:dyDescent="0.35">
      <c r="A200">
        <v>2025</v>
      </c>
      <c r="B200" t="s">
        <v>220</v>
      </c>
      <c r="C200" t="s">
        <v>221</v>
      </c>
      <c r="D200" t="s">
        <v>1020</v>
      </c>
      <c r="E200" t="s">
        <v>223</v>
      </c>
      <c r="F200">
        <v>504</v>
      </c>
      <c r="G200">
        <v>3</v>
      </c>
      <c r="H200">
        <v>6</v>
      </c>
      <c r="I200" t="s">
        <v>443</v>
      </c>
      <c r="J200">
        <v>22</v>
      </c>
      <c r="K200">
        <v>25</v>
      </c>
      <c r="L200">
        <v>23</v>
      </c>
      <c r="M200">
        <v>28</v>
      </c>
      <c r="N200">
        <v>40.1</v>
      </c>
      <c r="O200">
        <v>32.3994</v>
      </c>
      <c r="P200">
        <v>21.966799999999999</v>
      </c>
      <c r="Q200">
        <v>25.351500000000001</v>
      </c>
      <c r="R200">
        <v>23.370899999999999</v>
      </c>
      <c r="T200" t="s">
        <v>165</v>
      </c>
      <c r="U200" t="s">
        <v>166</v>
      </c>
      <c r="V200" t="s">
        <v>167</v>
      </c>
      <c r="W200" t="s">
        <v>168</v>
      </c>
      <c r="Y200">
        <v>10</v>
      </c>
      <c r="Z200" t="s">
        <v>169</v>
      </c>
      <c r="AA200" t="s">
        <v>170</v>
      </c>
      <c r="AB200">
        <v>4</v>
      </c>
      <c r="AC200" t="s">
        <v>601</v>
      </c>
      <c r="AE200">
        <v>20</v>
      </c>
      <c r="AG200" t="s">
        <v>975</v>
      </c>
      <c r="AH200" t="s">
        <v>976</v>
      </c>
      <c r="AI200" t="s">
        <v>175</v>
      </c>
      <c r="AJ200" t="s">
        <v>176</v>
      </c>
      <c r="AK200" t="s">
        <v>940</v>
      </c>
      <c r="AL200" t="s">
        <v>941</v>
      </c>
      <c r="AS200">
        <v>2650</v>
      </c>
      <c r="AT200">
        <v>2650</v>
      </c>
      <c r="BO200">
        <v>2</v>
      </c>
      <c r="BP200">
        <v>2</v>
      </c>
      <c r="BQ200">
        <v>13</v>
      </c>
      <c r="BR200" t="s">
        <v>1016</v>
      </c>
      <c r="BT200" t="s">
        <v>457</v>
      </c>
      <c r="BU200" s="1">
        <v>45510</v>
      </c>
      <c r="BV200">
        <v>35348</v>
      </c>
      <c r="BW200" s="156"/>
      <c r="BX200" t="s">
        <v>170</v>
      </c>
      <c r="BY200" t="s">
        <v>170</v>
      </c>
      <c r="CB200" t="s">
        <v>170</v>
      </c>
      <c r="CC200" t="s">
        <v>170</v>
      </c>
      <c r="CE200" t="s">
        <v>170</v>
      </c>
      <c r="CG200" t="s">
        <v>170</v>
      </c>
      <c r="CI200" t="s">
        <v>170</v>
      </c>
      <c r="DJ200" t="s">
        <v>977</v>
      </c>
      <c r="DK200" t="s">
        <v>978</v>
      </c>
      <c r="DN200" t="s">
        <v>170</v>
      </c>
      <c r="DO200" t="s">
        <v>197</v>
      </c>
      <c r="DP200" t="s">
        <v>169</v>
      </c>
      <c r="DQ200" t="s">
        <v>198</v>
      </c>
      <c r="EA200" s="89"/>
      <c r="EB200">
        <v>5</v>
      </c>
      <c r="EC200">
        <v>4</v>
      </c>
      <c r="EE200" t="s">
        <v>979</v>
      </c>
      <c r="EF200">
        <v>4</v>
      </c>
      <c r="EV200">
        <v>3750</v>
      </c>
      <c r="EW200">
        <v>463</v>
      </c>
      <c r="EX200">
        <v>399</v>
      </c>
      <c r="EY200">
        <v>434</v>
      </c>
    </row>
    <row r="201" spans="1:155" x14ac:dyDescent="0.35">
      <c r="A201">
        <v>2025</v>
      </c>
      <c r="B201" t="s">
        <v>220</v>
      </c>
      <c r="C201" t="s">
        <v>221</v>
      </c>
      <c r="D201" t="s">
        <v>1020</v>
      </c>
      <c r="E201" t="s">
        <v>223</v>
      </c>
      <c r="F201">
        <v>514</v>
      </c>
      <c r="G201">
        <v>2.7</v>
      </c>
      <c r="H201">
        <v>4</v>
      </c>
      <c r="I201" t="s">
        <v>164</v>
      </c>
      <c r="J201">
        <v>17</v>
      </c>
      <c r="K201">
        <v>20</v>
      </c>
      <c r="L201">
        <v>18</v>
      </c>
      <c r="M201">
        <v>22.287400000000002</v>
      </c>
      <c r="N201">
        <v>31.2379</v>
      </c>
      <c r="O201">
        <v>25.586400000000001</v>
      </c>
      <c r="P201">
        <v>17.366900000000001</v>
      </c>
      <c r="Q201">
        <v>19.9405</v>
      </c>
      <c r="R201">
        <v>18.4377</v>
      </c>
      <c r="T201" t="s">
        <v>165</v>
      </c>
      <c r="U201" t="s">
        <v>166</v>
      </c>
      <c r="V201" t="s">
        <v>167</v>
      </c>
      <c r="W201" t="s">
        <v>168</v>
      </c>
      <c r="Y201">
        <v>8</v>
      </c>
      <c r="Z201" t="s">
        <v>169</v>
      </c>
      <c r="AA201" t="s">
        <v>170</v>
      </c>
      <c r="AB201">
        <v>4</v>
      </c>
      <c r="AC201" t="s">
        <v>601</v>
      </c>
      <c r="AD201">
        <v>10</v>
      </c>
      <c r="AG201" t="s">
        <v>210</v>
      </c>
      <c r="AH201" t="s">
        <v>444</v>
      </c>
      <c r="AI201" t="s">
        <v>175</v>
      </c>
      <c r="AJ201" t="s">
        <v>176</v>
      </c>
      <c r="AK201" t="s">
        <v>940</v>
      </c>
      <c r="AL201" t="s">
        <v>941</v>
      </c>
      <c r="AS201">
        <v>2900</v>
      </c>
      <c r="AT201">
        <v>2900</v>
      </c>
      <c r="BN201" t="s">
        <v>178</v>
      </c>
      <c r="BO201">
        <v>2</v>
      </c>
      <c r="BP201">
        <v>2</v>
      </c>
      <c r="BQ201">
        <v>13</v>
      </c>
      <c r="BR201" t="s">
        <v>1016</v>
      </c>
      <c r="BT201" t="s">
        <v>225</v>
      </c>
      <c r="BU201" s="1">
        <v>45512</v>
      </c>
      <c r="BV201">
        <v>35374</v>
      </c>
      <c r="BW201" s="155"/>
      <c r="BX201" t="s">
        <v>170</v>
      </c>
      <c r="BY201" t="s">
        <v>170</v>
      </c>
      <c r="CB201" t="s">
        <v>170</v>
      </c>
      <c r="CC201" t="s">
        <v>170</v>
      </c>
      <c r="CD201" t="s">
        <v>560</v>
      </c>
      <c r="CE201" t="s">
        <v>169</v>
      </c>
      <c r="CF201" t="s">
        <v>227</v>
      </c>
      <c r="CG201" t="s">
        <v>169</v>
      </c>
      <c r="CH201" t="s">
        <v>240</v>
      </c>
      <c r="CI201" t="s">
        <v>169</v>
      </c>
      <c r="CJ201" t="s">
        <v>561</v>
      </c>
      <c r="DJ201" t="s">
        <v>184</v>
      </c>
      <c r="DK201" t="s">
        <v>185</v>
      </c>
      <c r="DN201" t="s">
        <v>170</v>
      </c>
      <c r="DO201" t="s">
        <v>197</v>
      </c>
      <c r="DP201" t="s">
        <v>169</v>
      </c>
      <c r="DQ201" t="s">
        <v>198</v>
      </c>
      <c r="DR201" t="s">
        <v>974</v>
      </c>
      <c r="EA201" s="101"/>
      <c r="EB201">
        <v>4</v>
      </c>
      <c r="EC201">
        <v>4</v>
      </c>
      <c r="EE201" t="s">
        <v>972</v>
      </c>
      <c r="EF201">
        <v>6</v>
      </c>
      <c r="EV201">
        <v>5000</v>
      </c>
      <c r="EW201">
        <v>512</v>
      </c>
      <c r="EX201">
        <v>446</v>
      </c>
      <c r="EY201">
        <v>482</v>
      </c>
    </row>
    <row r="202" spans="1:155" x14ac:dyDescent="0.35">
      <c r="A202">
        <v>2025</v>
      </c>
      <c r="B202" t="s">
        <v>220</v>
      </c>
      <c r="C202" t="s">
        <v>221</v>
      </c>
      <c r="D202" t="s">
        <v>1020</v>
      </c>
      <c r="E202" t="s">
        <v>223</v>
      </c>
      <c r="F202">
        <v>516</v>
      </c>
      <c r="G202">
        <v>2.7</v>
      </c>
      <c r="H202">
        <v>4</v>
      </c>
      <c r="I202" t="s">
        <v>164</v>
      </c>
      <c r="J202">
        <v>17</v>
      </c>
      <c r="K202">
        <v>20</v>
      </c>
      <c r="L202">
        <v>18</v>
      </c>
      <c r="M202">
        <v>22.3034</v>
      </c>
      <c r="N202">
        <v>31.253499999999999</v>
      </c>
      <c r="O202">
        <v>25.602699999999999</v>
      </c>
      <c r="P202">
        <v>17.377700000000001</v>
      </c>
      <c r="Q202">
        <v>20.042200000000001</v>
      </c>
      <c r="R202">
        <v>18.483499999999999</v>
      </c>
      <c r="T202" t="s">
        <v>165</v>
      </c>
      <c r="U202" t="s">
        <v>166</v>
      </c>
      <c r="V202" t="s">
        <v>167</v>
      </c>
      <c r="W202" t="s">
        <v>168</v>
      </c>
      <c r="Y202">
        <v>8</v>
      </c>
      <c r="Z202" t="s">
        <v>169</v>
      </c>
      <c r="AA202" t="s">
        <v>170</v>
      </c>
      <c r="AB202">
        <v>4</v>
      </c>
      <c r="AC202" t="s">
        <v>601</v>
      </c>
      <c r="AD202">
        <v>10</v>
      </c>
      <c r="AG202" t="s">
        <v>210</v>
      </c>
      <c r="AH202" t="s">
        <v>444</v>
      </c>
      <c r="AI202" t="s">
        <v>175</v>
      </c>
      <c r="AJ202" t="s">
        <v>176</v>
      </c>
      <c r="AK202" t="s">
        <v>940</v>
      </c>
      <c r="AL202" t="s">
        <v>941</v>
      </c>
      <c r="AS202">
        <v>2900</v>
      </c>
      <c r="AT202">
        <v>2900</v>
      </c>
      <c r="BN202" t="s">
        <v>178</v>
      </c>
      <c r="BO202">
        <v>2</v>
      </c>
      <c r="BP202">
        <v>2</v>
      </c>
      <c r="BQ202">
        <v>13</v>
      </c>
      <c r="BR202" t="s">
        <v>1016</v>
      </c>
      <c r="BT202" t="s">
        <v>225</v>
      </c>
      <c r="BU202" s="1">
        <v>45512</v>
      </c>
      <c r="BV202">
        <v>35367</v>
      </c>
      <c r="BW202" s="155"/>
      <c r="BX202" t="s">
        <v>170</v>
      </c>
      <c r="BY202" t="s">
        <v>170</v>
      </c>
      <c r="CB202" t="s">
        <v>170</v>
      </c>
      <c r="CC202" t="s">
        <v>170</v>
      </c>
      <c r="CD202" t="s">
        <v>560</v>
      </c>
      <c r="CE202" t="s">
        <v>169</v>
      </c>
      <c r="CF202" t="s">
        <v>227</v>
      </c>
      <c r="CG202" t="s">
        <v>169</v>
      </c>
      <c r="CH202" t="s">
        <v>240</v>
      </c>
      <c r="CI202" t="s">
        <v>169</v>
      </c>
      <c r="CJ202" t="s">
        <v>561</v>
      </c>
      <c r="DJ202" t="s">
        <v>184</v>
      </c>
      <c r="DK202" t="s">
        <v>185</v>
      </c>
      <c r="DN202" t="s">
        <v>170</v>
      </c>
      <c r="DO202" t="s">
        <v>197</v>
      </c>
      <c r="DP202" t="s">
        <v>169</v>
      </c>
      <c r="DQ202" t="s">
        <v>198</v>
      </c>
      <c r="EA202" s="101"/>
      <c r="EB202">
        <v>4</v>
      </c>
      <c r="EC202">
        <v>4</v>
      </c>
      <c r="EE202" t="s">
        <v>972</v>
      </c>
      <c r="EF202">
        <v>6</v>
      </c>
      <c r="EV202">
        <v>5000</v>
      </c>
      <c r="EW202">
        <v>511</v>
      </c>
      <c r="EX202">
        <v>443</v>
      </c>
      <c r="EY202">
        <v>481</v>
      </c>
    </row>
    <row r="203" spans="1:155" x14ac:dyDescent="0.35">
      <c r="A203">
        <v>2025</v>
      </c>
      <c r="B203" t="s">
        <v>220</v>
      </c>
      <c r="C203" t="s">
        <v>221</v>
      </c>
      <c r="D203" t="s">
        <v>1020</v>
      </c>
      <c r="E203" t="s">
        <v>223</v>
      </c>
      <c r="F203">
        <v>550</v>
      </c>
      <c r="G203">
        <v>5.3</v>
      </c>
      <c r="H203">
        <v>8</v>
      </c>
      <c r="I203" t="s">
        <v>443</v>
      </c>
      <c r="J203">
        <v>15</v>
      </c>
      <c r="K203">
        <v>19</v>
      </c>
      <c r="L203">
        <v>17</v>
      </c>
      <c r="M203">
        <v>19.100000000000001</v>
      </c>
      <c r="N203">
        <v>28.7</v>
      </c>
      <c r="O203">
        <v>22.484400000000001</v>
      </c>
      <c r="P203">
        <v>15.4251</v>
      </c>
      <c r="Q203">
        <v>19.2393</v>
      </c>
      <c r="R203">
        <v>16.936</v>
      </c>
      <c r="U203" t="s">
        <v>224</v>
      </c>
      <c r="V203" t="s">
        <v>167</v>
      </c>
      <c r="W203" t="s">
        <v>168</v>
      </c>
      <c r="Y203">
        <v>10</v>
      </c>
      <c r="Z203" t="s">
        <v>169</v>
      </c>
      <c r="AA203" t="s">
        <v>170</v>
      </c>
      <c r="AB203">
        <v>4</v>
      </c>
      <c r="AC203" t="s">
        <v>601</v>
      </c>
      <c r="AD203">
        <v>85</v>
      </c>
      <c r="AF203" t="s">
        <v>1022</v>
      </c>
      <c r="AG203" t="s">
        <v>210</v>
      </c>
      <c r="AH203" t="s">
        <v>444</v>
      </c>
      <c r="AI203" t="s">
        <v>175</v>
      </c>
      <c r="AJ203" t="s">
        <v>176</v>
      </c>
      <c r="AK203" t="s">
        <v>940</v>
      </c>
      <c r="AL203" t="s">
        <v>941</v>
      </c>
      <c r="AS203">
        <v>3100</v>
      </c>
      <c r="AT203">
        <v>3100</v>
      </c>
      <c r="AU203">
        <v>11</v>
      </c>
      <c r="AV203">
        <v>14</v>
      </c>
      <c r="AW203">
        <v>12</v>
      </c>
      <c r="AX203">
        <v>13.7</v>
      </c>
      <c r="AY203">
        <v>21.1</v>
      </c>
      <c r="AZ203">
        <v>16.267299999999999</v>
      </c>
      <c r="BA203">
        <v>11.0641</v>
      </c>
      <c r="BB203">
        <v>14.144600000000001</v>
      </c>
      <c r="BC203">
        <v>12.2662</v>
      </c>
      <c r="BD203" t="s">
        <v>1023</v>
      </c>
      <c r="BE203" t="s">
        <v>907</v>
      </c>
      <c r="BF203" t="s">
        <v>908</v>
      </c>
      <c r="BG203" t="s">
        <v>175</v>
      </c>
      <c r="BH203" t="s">
        <v>176</v>
      </c>
      <c r="BI203">
        <v>3800</v>
      </c>
      <c r="BJ203">
        <v>568</v>
      </c>
      <c r="BK203">
        <v>444</v>
      </c>
      <c r="BL203">
        <v>512</v>
      </c>
      <c r="BM203">
        <v>3800</v>
      </c>
      <c r="BN203" t="s">
        <v>909</v>
      </c>
      <c r="BO203">
        <v>1</v>
      </c>
      <c r="BP203">
        <v>1</v>
      </c>
      <c r="BQ203">
        <v>13</v>
      </c>
      <c r="BR203" t="s">
        <v>1016</v>
      </c>
      <c r="BT203" t="s">
        <v>457</v>
      </c>
      <c r="BU203" s="1">
        <v>45502</v>
      </c>
      <c r="BV203">
        <v>35081</v>
      </c>
      <c r="BW203" s="156"/>
      <c r="BX203" t="s">
        <v>170</v>
      </c>
      <c r="BY203" t="s">
        <v>170</v>
      </c>
      <c r="CB203" t="s">
        <v>170</v>
      </c>
      <c r="CC203" t="s">
        <v>170</v>
      </c>
      <c r="CE203" t="s">
        <v>169</v>
      </c>
      <c r="CF203" t="s">
        <v>980</v>
      </c>
      <c r="CG203" t="s">
        <v>169</v>
      </c>
      <c r="CH203" t="s">
        <v>981</v>
      </c>
      <c r="CI203" t="s">
        <v>170</v>
      </c>
      <c r="DJ203" t="s">
        <v>184</v>
      </c>
      <c r="DK203" t="s">
        <v>185</v>
      </c>
      <c r="DN203" t="s">
        <v>170</v>
      </c>
      <c r="DO203" t="s">
        <v>197</v>
      </c>
      <c r="DP203" t="s">
        <v>170</v>
      </c>
      <c r="DQ203" t="s">
        <v>187</v>
      </c>
      <c r="EA203" s="89"/>
      <c r="EB203">
        <v>3</v>
      </c>
      <c r="EC203">
        <v>3</v>
      </c>
      <c r="ED203">
        <v>3</v>
      </c>
      <c r="EE203" t="s">
        <v>1024</v>
      </c>
      <c r="EF203">
        <v>4</v>
      </c>
      <c r="EV203">
        <v>6000</v>
      </c>
      <c r="EW203">
        <v>576</v>
      </c>
      <c r="EX203">
        <v>462</v>
      </c>
      <c r="EY203">
        <v>524</v>
      </c>
    </row>
    <row r="204" spans="1:155" x14ac:dyDescent="0.35">
      <c r="A204">
        <v>2025</v>
      </c>
      <c r="B204" t="s">
        <v>220</v>
      </c>
      <c r="C204" t="s">
        <v>221</v>
      </c>
      <c r="D204" t="s">
        <v>1020</v>
      </c>
      <c r="E204" t="s">
        <v>223</v>
      </c>
      <c r="F204">
        <v>554</v>
      </c>
      <c r="G204">
        <v>6.2</v>
      </c>
      <c r="H204">
        <v>8</v>
      </c>
      <c r="I204" t="s">
        <v>443</v>
      </c>
      <c r="J204">
        <v>15</v>
      </c>
      <c r="K204">
        <v>20</v>
      </c>
      <c r="L204">
        <v>17</v>
      </c>
      <c r="M204">
        <v>18.547899999999998</v>
      </c>
      <c r="N204">
        <v>29.467600000000001</v>
      </c>
      <c r="O204">
        <v>22.259799999999998</v>
      </c>
      <c r="P204">
        <v>15.0067</v>
      </c>
      <c r="Q204">
        <v>19.784400000000002</v>
      </c>
      <c r="R204">
        <v>16.836300000000001</v>
      </c>
      <c r="U204" t="s">
        <v>224</v>
      </c>
      <c r="V204" t="s">
        <v>167</v>
      </c>
      <c r="W204" t="s">
        <v>168</v>
      </c>
      <c r="Y204">
        <v>10</v>
      </c>
      <c r="Z204" t="s">
        <v>169</v>
      </c>
      <c r="AA204" t="s">
        <v>170</v>
      </c>
      <c r="AB204">
        <v>4</v>
      </c>
      <c r="AC204" t="s">
        <v>601</v>
      </c>
      <c r="AD204">
        <v>10</v>
      </c>
      <c r="AG204" t="s">
        <v>214</v>
      </c>
      <c r="AH204" t="s">
        <v>215</v>
      </c>
      <c r="AI204" t="s">
        <v>175</v>
      </c>
      <c r="AJ204" t="s">
        <v>176</v>
      </c>
      <c r="AK204" t="s">
        <v>940</v>
      </c>
      <c r="AL204" t="s">
        <v>941</v>
      </c>
      <c r="AS204">
        <v>3750</v>
      </c>
      <c r="AT204">
        <v>3750</v>
      </c>
      <c r="BN204" t="s">
        <v>178</v>
      </c>
      <c r="BO204">
        <v>1</v>
      </c>
      <c r="BP204">
        <v>1</v>
      </c>
      <c r="BQ204">
        <v>13</v>
      </c>
      <c r="BR204" t="s">
        <v>1016</v>
      </c>
      <c r="BT204" t="s">
        <v>457</v>
      </c>
      <c r="BU204" s="1">
        <v>45502</v>
      </c>
      <c r="BV204">
        <v>35131</v>
      </c>
      <c r="BW204" s="155"/>
      <c r="BX204" t="s">
        <v>170</v>
      </c>
      <c r="BY204" t="s">
        <v>170</v>
      </c>
      <c r="CB204" t="s">
        <v>170</v>
      </c>
      <c r="CC204" t="s">
        <v>170</v>
      </c>
      <c r="CE204" t="s">
        <v>169</v>
      </c>
      <c r="CF204" t="s">
        <v>980</v>
      </c>
      <c r="CG204" t="s">
        <v>169</v>
      </c>
      <c r="CH204" t="s">
        <v>981</v>
      </c>
      <c r="CI204" t="s">
        <v>170</v>
      </c>
      <c r="DJ204" t="s">
        <v>184</v>
      </c>
      <c r="DK204" t="s">
        <v>185</v>
      </c>
      <c r="DN204" t="s">
        <v>170</v>
      </c>
      <c r="DO204" t="s">
        <v>197</v>
      </c>
      <c r="DP204" t="s">
        <v>169</v>
      </c>
      <c r="DQ204" t="s">
        <v>198</v>
      </c>
      <c r="EA204" s="101"/>
      <c r="EB204">
        <v>3</v>
      </c>
      <c r="EC204">
        <v>3</v>
      </c>
      <c r="EE204" t="s">
        <v>1025</v>
      </c>
      <c r="EF204">
        <v>5</v>
      </c>
      <c r="EV204">
        <v>9250</v>
      </c>
      <c r="EW204">
        <v>592</v>
      </c>
      <c r="EX204">
        <v>450</v>
      </c>
      <c r="EY204">
        <v>528</v>
      </c>
    </row>
    <row r="205" spans="1:155" x14ac:dyDescent="0.35">
      <c r="A205">
        <v>2025</v>
      </c>
      <c r="B205" t="s">
        <v>220</v>
      </c>
      <c r="C205" t="s">
        <v>221</v>
      </c>
      <c r="D205" t="s">
        <v>1020</v>
      </c>
      <c r="E205" t="s">
        <v>223</v>
      </c>
      <c r="F205">
        <v>560</v>
      </c>
      <c r="G205">
        <v>5.3</v>
      </c>
      <c r="H205">
        <v>8</v>
      </c>
      <c r="I205" t="s">
        <v>443</v>
      </c>
      <c r="J205">
        <v>15</v>
      </c>
      <c r="K205">
        <v>19</v>
      </c>
      <c r="L205">
        <v>16</v>
      </c>
      <c r="M205">
        <v>18.5</v>
      </c>
      <c r="N205">
        <v>28</v>
      </c>
      <c r="O205">
        <v>21.833500000000001</v>
      </c>
      <c r="P205">
        <v>14.655900000000001</v>
      </c>
      <c r="Q205">
        <v>18.777200000000001</v>
      </c>
      <c r="R205">
        <v>16.2621</v>
      </c>
      <c r="U205" t="s">
        <v>224</v>
      </c>
      <c r="V205" t="s">
        <v>167</v>
      </c>
      <c r="W205" t="s">
        <v>168</v>
      </c>
      <c r="Y205">
        <v>10</v>
      </c>
      <c r="Z205" t="s">
        <v>169</v>
      </c>
      <c r="AA205" t="s">
        <v>170</v>
      </c>
      <c r="AB205">
        <v>4</v>
      </c>
      <c r="AC205" t="s">
        <v>601</v>
      </c>
      <c r="AD205">
        <v>10</v>
      </c>
      <c r="AG205" t="s">
        <v>210</v>
      </c>
      <c r="AH205" t="s">
        <v>444</v>
      </c>
      <c r="AI205" t="s">
        <v>175</v>
      </c>
      <c r="AJ205" t="s">
        <v>176</v>
      </c>
      <c r="AK205" t="s">
        <v>940</v>
      </c>
      <c r="AL205" t="s">
        <v>941</v>
      </c>
      <c r="AS205">
        <v>3300</v>
      </c>
      <c r="AT205">
        <v>3300</v>
      </c>
      <c r="BN205" t="s">
        <v>178</v>
      </c>
      <c r="BO205">
        <v>1</v>
      </c>
      <c r="BP205">
        <v>1</v>
      </c>
      <c r="BQ205">
        <v>13</v>
      </c>
      <c r="BR205" t="s">
        <v>1016</v>
      </c>
      <c r="BT205" t="s">
        <v>225</v>
      </c>
      <c r="BU205" s="1">
        <v>45502</v>
      </c>
      <c r="BV205">
        <v>35214</v>
      </c>
      <c r="BW205" s="155"/>
      <c r="BX205" t="s">
        <v>170</v>
      </c>
      <c r="BY205" t="s">
        <v>170</v>
      </c>
      <c r="CB205" t="s">
        <v>170</v>
      </c>
      <c r="CC205" t="s">
        <v>170</v>
      </c>
      <c r="CE205" t="s">
        <v>169</v>
      </c>
      <c r="CF205" t="s">
        <v>980</v>
      </c>
      <c r="CG205" t="s">
        <v>169</v>
      </c>
      <c r="CH205" t="s">
        <v>981</v>
      </c>
      <c r="CI205" t="s">
        <v>170</v>
      </c>
      <c r="DJ205" t="s">
        <v>184</v>
      </c>
      <c r="DK205" t="s">
        <v>185</v>
      </c>
      <c r="DN205" t="s">
        <v>170</v>
      </c>
      <c r="DO205" t="s">
        <v>197</v>
      </c>
      <c r="DP205" t="s">
        <v>170</v>
      </c>
      <c r="DQ205" t="s">
        <v>187</v>
      </c>
      <c r="DR205" t="s">
        <v>1021</v>
      </c>
      <c r="EA205" s="101"/>
      <c r="EB205">
        <v>3</v>
      </c>
      <c r="EC205">
        <v>3</v>
      </c>
      <c r="EE205" t="s">
        <v>982</v>
      </c>
      <c r="EF205">
        <v>6</v>
      </c>
      <c r="EV205">
        <v>7000</v>
      </c>
      <c r="EW205">
        <v>604</v>
      </c>
      <c r="EX205">
        <v>475</v>
      </c>
      <c r="EY205">
        <v>546</v>
      </c>
    </row>
    <row r="206" spans="1:155" x14ac:dyDescent="0.35">
      <c r="A206">
        <v>2025</v>
      </c>
      <c r="B206" t="s">
        <v>220</v>
      </c>
      <c r="C206" t="s">
        <v>221</v>
      </c>
      <c r="D206" t="s">
        <v>1020</v>
      </c>
      <c r="E206" t="s">
        <v>223</v>
      </c>
      <c r="F206">
        <v>567</v>
      </c>
      <c r="G206">
        <v>5.3</v>
      </c>
      <c r="H206">
        <v>8</v>
      </c>
      <c r="I206" t="s">
        <v>443</v>
      </c>
      <c r="J206">
        <v>16</v>
      </c>
      <c r="K206">
        <v>19</v>
      </c>
      <c r="L206">
        <v>17</v>
      </c>
      <c r="M206">
        <v>20.2</v>
      </c>
      <c r="N206">
        <v>29.6</v>
      </c>
      <c r="O206">
        <v>23.568000000000001</v>
      </c>
      <c r="P206">
        <v>15.652200000000001</v>
      </c>
      <c r="Q206">
        <v>19.150200000000002</v>
      </c>
      <c r="R206">
        <v>17.053999999999998</v>
      </c>
      <c r="U206" t="s">
        <v>224</v>
      </c>
      <c r="V206" t="s">
        <v>167</v>
      </c>
      <c r="W206" t="s">
        <v>168</v>
      </c>
      <c r="Y206">
        <v>10</v>
      </c>
      <c r="Z206" t="s">
        <v>169</v>
      </c>
      <c r="AA206" t="s">
        <v>170</v>
      </c>
      <c r="AB206">
        <v>4</v>
      </c>
      <c r="AC206" t="s">
        <v>601</v>
      </c>
      <c r="AD206">
        <v>10</v>
      </c>
      <c r="AG206" t="s">
        <v>210</v>
      </c>
      <c r="AH206" t="s">
        <v>444</v>
      </c>
      <c r="AI206" t="s">
        <v>175</v>
      </c>
      <c r="AJ206" t="s">
        <v>176</v>
      </c>
      <c r="AK206" t="s">
        <v>940</v>
      </c>
      <c r="AL206" t="s">
        <v>941</v>
      </c>
      <c r="AS206">
        <v>3100</v>
      </c>
      <c r="AT206">
        <v>3100</v>
      </c>
      <c r="BN206" t="s">
        <v>178</v>
      </c>
      <c r="BO206">
        <v>1</v>
      </c>
      <c r="BP206">
        <v>1</v>
      </c>
      <c r="BQ206">
        <v>13</v>
      </c>
      <c r="BR206" t="s">
        <v>1016</v>
      </c>
      <c r="BT206" t="s">
        <v>225</v>
      </c>
      <c r="BU206" s="1">
        <v>45502</v>
      </c>
      <c r="BV206">
        <v>35296</v>
      </c>
      <c r="BW206" s="156"/>
      <c r="BX206" t="s">
        <v>170</v>
      </c>
      <c r="BY206" t="s">
        <v>170</v>
      </c>
      <c r="CB206" t="s">
        <v>170</v>
      </c>
      <c r="CC206" t="s">
        <v>170</v>
      </c>
      <c r="CE206" t="s">
        <v>169</v>
      </c>
      <c r="CF206" t="s">
        <v>980</v>
      </c>
      <c r="CG206" t="s">
        <v>169</v>
      </c>
      <c r="CH206" t="s">
        <v>981</v>
      </c>
      <c r="CI206" t="s">
        <v>170</v>
      </c>
      <c r="DJ206" t="s">
        <v>184</v>
      </c>
      <c r="DK206" t="s">
        <v>185</v>
      </c>
      <c r="DN206" t="s">
        <v>170</v>
      </c>
      <c r="DO206" t="s">
        <v>197</v>
      </c>
      <c r="DP206" t="s">
        <v>169</v>
      </c>
      <c r="DQ206" t="s">
        <v>198</v>
      </c>
      <c r="DR206" t="s">
        <v>974</v>
      </c>
      <c r="EA206" s="89"/>
      <c r="EB206">
        <v>3</v>
      </c>
      <c r="EC206">
        <v>3</v>
      </c>
      <c r="EE206" t="s">
        <v>982</v>
      </c>
      <c r="EF206">
        <v>6</v>
      </c>
      <c r="EV206">
        <v>6000</v>
      </c>
      <c r="EW206">
        <v>565</v>
      </c>
      <c r="EX206">
        <v>465</v>
      </c>
      <c r="EY206">
        <v>520</v>
      </c>
    </row>
    <row r="207" spans="1:155" x14ac:dyDescent="0.35">
      <c r="A207">
        <v>2025</v>
      </c>
      <c r="B207" t="s">
        <v>220</v>
      </c>
      <c r="C207" t="s">
        <v>221</v>
      </c>
      <c r="D207" t="s">
        <v>1020</v>
      </c>
      <c r="E207" t="s">
        <v>223</v>
      </c>
      <c r="F207">
        <v>575</v>
      </c>
      <c r="G207">
        <v>5.3</v>
      </c>
      <c r="H207">
        <v>8</v>
      </c>
      <c r="I207" t="s">
        <v>443</v>
      </c>
      <c r="J207">
        <v>16</v>
      </c>
      <c r="K207">
        <v>19</v>
      </c>
      <c r="L207">
        <v>17</v>
      </c>
      <c r="M207">
        <v>19.5794</v>
      </c>
      <c r="N207">
        <v>28.492000000000001</v>
      </c>
      <c r="O207">
        <v>22.786999999999999</v>
      </c>
      <c r="P207">
        <v>15.516400000000001</v>
      </c>
      <c r="Q207">
        <v>18.9406</v>
      </c>
      <c r="R207">
        <v>16.890499999999999</v>
      </c>
      <c r="U207" t="s">
        <v>224</v>
      </c>
      <c r="V207" t="s">
        <v>167</v>
      </c>
      <c r="W207" t="s">
        <v>168</v>
      </c>
      <c r="Y207">
        <v>10</v>
      </c>
      <c r="Z207" t="s">
        <v>169</v>
      </c>
      <c r="AA207" t="s">
        <v>170</v>
      </c>
      <c r="AB207">
        <v>4</v>
      </c>
      <c r="AC207" t="s">
        <v>601</v>
      </c>
      <c r="AD207">
        <v>10</v>
      </c>
      <c r="AG207" t="s">
        <v>210</v>
      </c>
      <c r="AH207" t="s">
        <v>444</v>
      </c>
      <c r="AI207" t="s">
        <v>175</v>
      </c>
      <c r="AJ207" t="s">
        <v>176</v>
      </c>
      <c r="AK207" t="s">
        <v>940</v>
      </c>
      <c r="AL207" t="s">
        <v>941</v>
      </c>
      <c r="AS207">
        <v>3100</v>
      </c>
      <c r="AT207">
        <v>3100</v>
      </c>
      <c r="BN207" t="s">
        <v>178</v>
      </c>
      <c r="BO207">
        <v>1</v>
      </c>
      <c r="BP207">
        <v>1</v>
      </c>
      <c r="BQ207">
        <v>13</v>
      </c>
      <c r="BR207" t="s">
        <v>1016</v>
      </c>
      <c r="BT207" t="s">
        <v>225</v>
      </c>
      <c r="BU207" s="1">
        <v>45502</v>
      </c>
      <c r="BV207">
        <v>35291</v>
      </c>
      <c r="BW207" s="155"/>
      <c r="BX207" t="s">
        <v>170</v>
      </c>
      <c r="BY207" t="s">
        <v>170</v>
      </c>
      <c r="CB207" t="s">
        <v>170</v>
      </c>
      <c r="CC207" t="s">
        <v>170</v>
      </c>
      <c r="CE207" t="s">
        <v>169</v>
      </c>
      <c r="CF207" t="s">
        <v>980</v>
      </c>
      <c r="CG207" t="s">
        <v>169</v>
      </c>
      <c r="CH207" t="s">
        <v>981</v>
      </c>
      <c r="CI207" t="s">
        <v>170</v>
      </c>
      <c r="DJ207" t="s">
        <v>184</v>
      </c>
      <c r="DK207" t="s">
        <v>185</v>
      </c>
      <c r="DN207" t="s">
        <v>170</v>
      </c>
      <c r="DO207" t="s">
        <v>197</v>
      </c>
      <c r="DP207" t="s">
        <v>169</v>
      </c>
      <c r="DQ207" t="s">
        <v>198</v>
      </c>
      <c r="EA207" s="101"/>
      <c r="EB207">
        <v>3</v>
      </c>
      <c r="EC207">
        <v>3</v>
      </c>
      <c r="EE207" t="s">
        <v>982</v>
      </c>
      <c r="EF207">
        <v>6</v>
      </c>
      <c r="EV207">
        <v>6000</v>
      </c>
      <c r="EW207">
        <v>570</v>
      </c>
      <c r="EX207">
        <v>470</v>
      </c>
      <c r="EY207">
        <v>525</v>
      </c>
    </row>
    <row r="208" spans="1:155" x14ac:dyDescent="0.35">
      <c r="A208">
        <v>2025</v>
      </c>
      <c r="B208" t="s">
        <v>220</v>
      </c>
      <c r="C208" t="s">
        <v>221</v>
      </c>
      <c r="D208" t="s">
        <v>1074</v>
      </c>
      <c r="E208" t="s">
        <v>223</v>
      </c>
      <c r="F208">
        <v>577</v>
      </c>
      <c r="G208">
        <v>5.3</v>
      </c>
      <c r="H208">
        <v>8</v>
      </c>
      <c r="I208" t="s">
        <v>443</v>
      </c>
      <c r="J208">
        <v>14</v>
      </c>
      <c r="K208">
        <v>16</v>
      </c>
      <c r="L208">
        <v>15</v>
      </c>
      <c r="M208">
        <v>18.7</v>
      </c>
      <c r="N208">
        <v>25.1</v>
      </c>
      <c r="O208">
        <v>21.123799999999999</v>
      </c>
      <c r="P208">
        <v>14</v>
      </c>
      <c r="Q208">
        <v>16.3674</v>
      </c>
      <c r="R208">
        <v>15.2933</v>
      </c>
      <c r="U208" t="s">
        <v>224</v>
      </c>
      <c r="V208" t="s">
        <v>167</v>
      </c>
      <c r="W208" t="s">
        <v>168</v>
      </c>
      <c r="Y208">
        <v>10</v>
      </c>
      <c r="Z208" t="s">
        <v>169</v>
      </c>
      <c r="AA208" t="s">
        <v>170</v>
      </c>
      <c r="AB208">
        <v>4</v>
      </c>
      <c r="AC208" t="s">
        <v>601</v>
      </c>
      <c r="AD208">
        <v>10</v>
      </c>
      <c r="AG208" t="s">
        <v>210</v>
      </c>
      <c r="AH208" t="s">
        <v>444</v>
      </c>
      <c r="AI208" t="s">
        <v>175</v>
      </c>
      <c r="AJ208" t="s">
        <v>176</v>
      </c>
      <c r="AK208" t="s">
        <v>940</v>
      </c>
      <c r="AL208" t="s">
        <v>941</v>
      </c>
      <c r="AS208">
        <v>3500</v>
      </c>
      <c r="AT208">
        <v>3500</v>
      </c>
      <c r="BN208" t="s">
        <v>178</v>
      </c>
      <c r="BO208">
        <v>1</v>
      </c>
      <c r="BP208">
        <v>1</v>
      </c>
      <c r="BQ208">
        <v>19</v>
      </c>
      <c r="BR208" t="s">
        <v>1073</v>
      </c>
      <c r="BS208" t="s">
        <v>1070</v>
      </c>
      <c r="BT208" t="s">
        <v>225</v>
      </c>
      <c r="BU208" s="1">
        <v>45502</v>
      </c>
      <c r="BV208">
        <v>35287</v>
      </c>
      <c r="BW208" s="155"/>
      <c r="BX208" t="s">
        <v>169</v>
      </c>
      <c r="BY208" t="s">
        <v>170</v>
      </c>
      <c r="CB208" t="s">
        <v>170</v>
      </c>
      <c r="CC208" t="s">
        <v>170</v>
      </c>
      <c r="CE208" t="s">
        <v>169</v>
      </c>
      <c r="CF208" t="s">
        <v>980</v>
      </c>
      <c r="CG208" t="s">
        <v>169</v>
      </c>
      <c r="CH208" t="s">
        <v>981</v>
      </c>
      <c r="CI208" t="s">
        <v>170</v>
      </c>
      <c r="DJ208" t="s">
        <v>184</v>
      </c>
      <c r="DK208" t="s">
        <v>185</v>
      </c>
      <c r="DN208" t="s">
        <v>170</v>
      </c>
      <c r="DO208" t="s">
        <v>197</v>
      </c>
      <c r="DP208" t="s">
        <v>169</v>
      </c>
      <c r="DQ208" t="s">
        <v>198</v>
      </c>
      <c r="EA208" s="101"/>
      <c r="EB208">
        <v>2</v>
      </c>
      <c r="EC208">
        <v>2</v>
      </c>
      <c r="EE208" t="s">
        <v>982</v>
      </c>
      <c r="EF208">
        <v>6</v>
      </c>
      <c r="EV208">
        <v>8000</v>
      </c>
      <c r="EW208">
        <v>633</v>
      </c>
      <c r="EX208">
        <v>542</v>
      </c>
      <c r="EY208">
        <v>592</v>
      </c>
    </row>
    <row r="209" spans="1:155" x14ac:dyDescent="0.35">
      <c r="A209">
        <v>2025</v>
      </c>
      <c r="B209" t="s">
        <v>220</v>
      </c>
      <c r="C209" t="s">
        <v>221</v>
      </c>
      <c r="D209" t="s">
        <v>1026</v>
      </c>
      <c r="E209" t="s">
        <v>223</v>
      </c>
      <c r="F209">
        <v>505</v>
      </c>
      <c r="G209">
        <v>3</v>
      </c>
      <c r="H209">
        <v>6</v>
      </c>
      <c r="I209" t="s">
        <v>443</v>
      </c>
      <c r="J209">
        <v>21</v>
      </c>
      <c r="K209">
        <v>24</v>
      </c>
      <c r="L209">
        <v>23</v>
      </c>
      <c r="M209">
        <v>27.283899999999999</v>
      </c>
      <c r="N209">
        <v>37.181100000000001</v>
      </c>
      <c r="O209">
        <v>30.9969</v>
      </c>
      <c r="P209">
        <v>21.454499999999999</v>
      </c>
      <c r="Q209">
        <v>24.1877</v>
      </c>
      <c r="R209">
        <v>22.603899999999999</v>
      </c>
      <c r="T209" t="s">
        <v>165</v>
      </c>
      <c r="U209" t="s">
        <v>166</v>
      </c>
      <c r="V209" t="s">
        <v>167</v>
      </c>
      <c r="W209" t="s">
        <v>168</v>
      </c>
      <c r="Y209">
        <v>10</v>
      </c>
      <c r="Z209" t="s">
        <v>169</v>
      </c>
      <c r="AA209" t="s">
        <v>170</v>
      </c>
      <c r="AB209">
        <v>4</v>
      </c>
      <c r="AC209" t="s">
        <v>601</v>
      </c>
      <c r="AE209">
        <v>20</v>
      </c>
      <c r="AG209" t="s">
        <v>975</v>
      </c>
      <c r="AH209" t="s">
        <v>976</v>
      </c>
      <c r="AI209" t="s">
        <v>175</v>
      </c>
      <c r="AJ209" t="s">
        <v>176</v>
      </c>
      <c r="AK209" t="s">
        <v>940</v>
      </c>
      <c r="AL209" t="s">
        <v>941</v>
      </c>
      <c r="AS209">
        <v>2650</v>
      </c>
      <c r="AT209">
        <v>2650</v>
      </c>
      <c r="BO209">
        <v>2</v>
      </c>
      <c r="BP209">
        <v>2</v>
      </c>
      <c r="BQ209">
        <v>13</v>
      </c>
      <c r="BR209" t="s">
        <v>1016</v>
      </c>
      <c r="BT209" t="s">
        <v>457</v>
      </c>
      <c r="BU209" s="1">
        <v>45511</v>
      </c>
      <c r="BV209">
        <v>35355</v>
      </c>
      <c r="BW209" s="156"/>
      <c r="BX209" t="s">
        <v>170</v>
      </c>
      <c r="BY209" t="s">
        <v>170</v>
      </c>
      <c r="CB209" t="s">
        <v>170</v>
      </c>
      <c r="CC209" t="s">
        <v>170</v>
      </c>
      <c r="CE209" t="s">
        <v>170</v>
      </c>
      <c r="CG209" t="s">
        <v>170</v>
      </c>
      <c r="CI209" t="s">
        <v>170</v>
      </c>
      <c r="DJ209" t="s">
        <v>977</v>
      </c>
      <c r="DK209" t="s">
        <v>978</v>
      </c>
      <c r="DN209" t="s">
        <v>170</v>
      </c>
      <c r="DO209" t="s">
        <v>197</v>
      </c>
      <c r="DP209" t="s">
        <v>169</v>
      </c>
      <c r="DQ209" t="s">
        <v>198</v>
      </c>
      <c r="DR209" t="s">
        <v>974</v>
      </c>
      <c r="EA209" s="89"/>
      <c r="EB209">
        <v>5</v>
      </c>
      <c r="EC209">
        <v>4</v>
      </c>
      <c r="EE209" t="s">
        <v>979</v>
      </c>
      <c r="EF209">
        <v>4</v>
      </c>
      <c r="EV209">
        <v>3750</v>
      </c>
      <c r="EW209">
        <v>475</v>
      </c>
      <c r="EX209">
        <v>420</v>
      </c>
      <c r="EY209">
        <v>450</v>
      </c>
    </row>
    <row r="210" spans="1:155" x14ac:dyDescent="0.35">
      <c r="A210">
        <v>2025</v>
      </c>
      <c r="B210" t="s">
        <v>220</v>
      </c>
      <c r="C210" t="s">
        <v>221</v>
      </c>
      <c r="D210" t="s">
        <v>1026</v>
      </c>
      <c r="E210" t="s">
        <v>223</v>
      </c>
      <c r="F210">
        <v>507</v>
      </c>
      <c r="G210">
        <v>3</v>
      </c>
      <c r="H210">
        <v>6</v>
      </c>
      <c r="I210" t="s">
        <v>443</v>
      </c>
      <c r="J210">
        <v>21</v>
      </c>
      <c r="K210">
        <v>24</v>
      </c>
      <c r="L210">
        <v>22</v>
      </c>
      <c r="M210">
        <v>27.0565</v>
      </c>
      <c r="N210">
        <v>36.719700000000003</v>
      </c>
      <c r="O210">
        <v>30.690999999999999</v>
      </c>
      <c r="P210">
        <v>21.2911</v>
      </c>
      <c r="Q210">
        <v>23.615200000000002</v>
      </c>
      <c r="R210">
        <v>22.277699999999999</v>
      </c>
      <c r="T210" t="s">
        <v>165</v>
      </c>
      <c r="U210" t="s">
        <v>166</v>
      </c>
      <c r="V210" t="s">
        <v>167</v>
      </c>
      <c r="W210" t="s">
        <v>168</v>
      </c>
      <c r="Y210">
        <v>10</v>
      </c>
      <c r="Z210" t="s">
        <v>169</v>
      </c>
      <c r="AA210" t="s">
        <v>170</v>
      </c>
      <c r="AB210">
        <v>4</v>
      </c>
      <c r="AC210" t="s">
        <v>601</v>
      </c>
      <c r="AE210">
        <v>20</v>
      </c>
      <c r="AG210" t="s">
        <v>975</v>
      </c>
      <c r="AH210" t="s">
        <v>976</v>
      </c>
      <c r="AI210" t="s">
        <v>175</v>
      </c>
      <c r="AJ210" t="s">
        <v>176</v>
      </c>
      <c r="AK210" t="s">
        <v>940</v>
      </c>
      <c r="AL210" t="s">
        <v>941</v>
      </c>
      <c r="AS210">
        <v>2800</v>
      </c>
      <c r="AT210">
        <v>2800</v>
      </c>
      <c r="BO210">
        <v>2</v>
      </c>
      <c r="BP210">
        <v>2</v>
      </c>
      <c r="BQ210">
        <v>13</v>
      </c>
      <c r="BR210" t="s">
        <v>1016</v>
      </c>
      <c r="BT210" t="s">
        <v>457</v>
      </c>
      <c r="BU210" s="1">
        <v>45511</v>
      </c>
      <c r="BV210">
        <v>35354</v>
      </c>
      <c r="BW210" s="155"/>
      <c r="BX210" t="s">
        <v>170</v>
      </c>
      <c r="BY210" t="s">
        <v>170</v>
      </c>
      <c r="CB210" t="s">
        <v>170</v>
      </c>
      <c r="CC210" t="s">
        <v>170</v>
      </c>
      <c r="CE210" t="s">
        <v>170</v>
      </c>
      <c r="CG210" t="s">
        <v>170</v>
      </c>
      <c r="CI210" t="s">
        <v>170</v>
      </c>
      <c r="DJ210" t="s">
        <v>977</v>
      </c>
      <c r="DK210" t="s">
        <v>978</v>
      </c>
      <c r="DN210" t="s">
        <v>170</v>
      </c>
      <c r="DO210" t="s">
        <v>197</v>
      </c>
      <c r="DP210" t="s">
        <v>169</v>
      </c>
      <c r="DQ210" t="s">
        <v>198</v>
      </c>
      <c r="EA210" s="101"/>
      <c r="EB210">
        <v>5</v>
      </c>
      <c r="EC210">
        <v>4</v>
      </c>
      <c r="EE210" t="s">
        <v>979</v>
      </c>
      <c r="EF210">
        <v>4</v>
      </c>
      <c r="EV210">
        <v>4500</v>
      </c>
      <c r="EW210">
        <v>478</v>
      </c>
      <c r="EX210">
        <v>429</v>
      </c>
      <c r="EY210">
        <v>456</v>
      </c>
    </row>
    <row r="211" spans="1:155" x14ac:dyDescent="0.35">
      <c r="A211">
        <v>2025</v>
      </c>
      <c r="B211" t="s">
        <v>220</v>
      </c>
      <c r="C211" t="s">
        <v>221</v>
      </c>
      <c r="D211" t="s">
        <v>1026</v>
      </c>
      <c r="E211" t="s">
        <v>223</v>
      </c>
      <c r="F211">
        <v>518</v>
      </c>
      <c r="G211">
        <v>2.7</v>
      </c>
      <c r="H211">
        <v>4</v>
      </c>
      <c r="I211" t="s">
        <v>164</v>
      </c>
      <c r="J211">
        <v>16</v>
      </c>
      <c r="K211">
        <v>17</v>
      </c>
      <c r="L211">
        <v>16</v>
      </c>
      <c r="M211">
        <v>20.894100000000002</v>
      </c>
      <c r="N211">
        <v>27.119700000000002</v>
      </c>
      <c r="O211">
        <v>23.301200000000001</v>
      </c>
      <c r="P211">
        <v>15.992900000000001</v>
      </c>
      <c r="Q211">
        <v>16.887699999999999</v>
      </c>
      <c r="R211">
        <v>16.383500000000002</v>
      </c>
      <c r="T211" t="s">
        <v>165</v>
      </c>
      <c r="U211" t="s">
        <v>166</v>
      </c>
      <c r="V211" t="s">
        <v>167</v>
      </c>
      <c r="W211" t="s">
        <v>168</v>
      </c>
      <c r="Y211">
        <v>8</v>
      </c>
      <c r="Z211" t="s">
        <v>169</v>
      </c>
      <c r="AA211" t="s">
        <v>170</v>
      </c>
      <c r="AB211">
        <v>4</v>
      </c>
      <c r="AC211" t="s">
        <v>601</v>
      </c>
      <c r="AD211">
        <v>10</v>
      </c>
      <c r="AG211" t="s">
        <v>210</v>
      </c>
      <c r="AH211" t="s">
        <v>444</v>
      </c>
      <c r="AI211" t="s">
        <v>175</v>
      </c>
      <c r="AJ211" t="s">
        <v>176</v>
      </c>
      <c r="AK211" t="s">
        <v>940</v>
      </c>
      <c r="AL211" t="s">
        <v>941</v>
      </c>
      <c r="AS211">
        <v>3300</v>
      </c>
      <c r="AT211">
        <v>3300</v>
      </c>
      <c r="BN211" t="s">
        <v>178</v>
      </c>
      <c r="BO211">
        <v>2</v>
      </c>
      <c r="BP211">
        <v>2</v>
      </c>
      <c r="BQ211">
        <v>13</v>
      </c>
      <c r="BR211" t="s">
        <v>1016</v>
      </c>
      <c r="BT211" t="s">
        <v>225</v>
      </c>
      <c r="BU211" s="1">
        <v>45512</v>
      </c>
      <c r="BV211">
        <v>35375</v>
      </c>
      <c r="BW211" s="155"/>
      <c r="BX211" t="s">
        <v>169</v>
      </c>
      <c r="BY211" t="s">
        <v>170</v>
      </c>
      <c r="CB211" t="s">
        <v>170</v>
      </c>
      <c r="CC211" t="s">
        <v>170</v>
      </c>
      <c r="CD211" t="s">
        <v>560</v>
      </c>
      <c r="CE211" t="s">
        <v>169</v>
      </c>
      <c r="CF211" t="s">
        <v>227</v>
      </c>
      <c r="CG211" t="s">
        <v>169</v>
      </c>
      <c r="CH211" t="s">
        <v>240</v>
      </c>
      <c r="CI211" t="s">
        <v>169</v>
      </c>
      <c r="CJ211" t="s">
        <v>561</v>
      </c>
      <c r="DJ211" t="s">
        <v>184</v>
      </c>
      <c r="DK211" t="s">
        <v>185</v>
      </c>
      <c r="DN211" t="s">
        <v>170</v>
      </c>
      <c r="DO211" t="s">
        <v>197</v>
      </c>
      <c r="DP211" t="s">
        <v>169</v>
      </c>
      <c r="DQ211" t="s">
        <v>198</v>
      </c>
      <c r="DR211" t="s">
        <v>974</v>
      </c>
      <c r="EA211" s="101"/>
      <c r="EB211">
        <v>3</v>
      </c>
      <c r="EC211">
        <v>3</v>
      </c>
      <c r="EE211" t="s">
        <v>972</v>
      </c>
      <c r="EF211">
        <v>6</v>
      </c>
      <c r="EV211">
        <v>7000</v>
      </c>
      <c r="EW211">
        <v>554</v>
      </c>
      <c r="EX211">
        <v>527</v>
      </c>
      <c r="EY211">
        <v>541</v>
      </c>
    </row>
    <row r="212" spans="1:155" x14ac:dyDescent="0.35">
      <c r="A212">
        <v>2025</v>
      </c>
      <c r="B212" t="s">
        <v>220</v>
      </c>
      <c r="C212" t="s">
        <v>221</v>
      </c>
      <c r="D212" t="s">
        <v>1026</v>
      </c>
      <c r="E212" t="s">
        <v>223</v>
      </c>
      <c r="F212">
        <v>520</v>
      </c>
      <c r="G212">
        <v>2.7</v>
      </c>
      <c r="H212">
        <v>4</v>
      </c>
      <c r="I212" t="s">
        <v>164</v>
      </c>
      <c r="J212">
        <v>16</v>
      </c>
      <c r="K212">
        <v>17</v>
      </c>
      <c r="L212">
        <v>16</v>
      </c>
      <c r="M212">
        <v>20.987100000000002</v>
      </c>
      <c r="N212">
        <v>27.424399999999999</v>
      </c>
      <c r="O212">
        <v>23.465699999999998</v>
      </c>
      <c r="P212">
        <v>16.027100000000001</v>
      </c>
      <c r="Q212">
        <v>17.0688</v>
      </c>
      <c r="R212">
        <v>16.479700000000001</v>
      </c>
      <c r="T212" t="s">
        <v>165</v>
      </c>
      <c r="U212" t="s">
        <v>166</v>
      </c>
      <c r="V212" t="s">
        <v>167</v>
      </c>
      <c r="W212" t="s">
        <v>168</v>
      </c>
      <c r="Y212">
        <v>8</v>
      </c>
      <c r="Z212" t="s">
        <v>169</v>
      </c>
      <c r="AA212" t="s">
        <v>170</v>
      </c>
      <c r="AB212">
        <v>4</v>
      </c>
      <c r="AC212" t="s">
        <v>601</v>
      </c>
      <c r="AD212">
        <v>10</v>
      </c>
      <c r="AG212" t="s">
        <v>210</v>
      </c>
      <c r="AH212" t="s">
        <v>444</v>
      </c>
      <c r="AI212" t="s">
        <v>175</v>
      </c>
      <c r="AJ212" t="s">
        <v>176</v>
      </c>
      <c r="AK212" t="s">
        <v>940</v>
      </c>
      <c r="AL212" t="s">
        <v>941</v>
      </c>
      <c r="AS212">
        <v>3300</v>
      </c>
      <c r="AT212">
        <v>3300</v>
      </c>
      <c r="BN212" t="s">
        <v>178</v>
      </c>
      <c r="BO212">
        <v>2</v>
      </c>
      <c r="BP212">
        <v>2</v>
      </c>
      <c r="BQ212">
        <v>13</v>
      </c>
      <c r="BR212" t="s">
        <v>1016</v>
      </c>
      <c r="BT212" t="s">
        <v>225</v>
      </c>
      <c r="BU212" s="1">
        <v>45512</v>
      </c>
      <c r="BV212">
        <v>35369</v>
      </c>
      <c r="BW212" s="156"/>
      <c r="BX212" t="s">
        <v>169</v>
      </c>
      <c r="BY212" t="s">
        <v>170</v>
      </c>
      <c r="CB212" t="s">
        <v>170</v>
      </c>
      <c r="CC212" t="s">
        <v>170</v>
      </c>
      <c r="CD212" t="s">
        <v>560</v>
      </c>
      <c r="CE212" t="s">
        <v>169</v>
      </c>
      <c r="CF212" t="s">
        <v>227</v>
      </c>
      <c r="CG212" t="s">
        <v>169</v>
      </c>
      <c r="CH212" t="s">
        <v>240</v>
      </c>
      <c r="CI212" t="s">
        <v>169</v>
      </c>
      <c r="CJ212" t="s">
        <v>561</v>
      </c>
      <c r="DJ212" t="s">
        <v>184</v>
      </c>
      <c r="DK212" t="s">
        <v>185</v>
      </c>
      <c r="DN212" t="s">
        <v>170</v>
      </c>
      <c r="DO212" t="s">
        <v>197</v>
      </c>
      <c r="DP212" t="s">
        <v>169</v>
      </c>
      <c r="DQ212" t="s">
        <v>198</v>
      </c>
      <c r="EA212" s="89"/>
      <c r="EB212">
        <v>3</v>
      </c>
      <c r="EC212">
        <v>3</v>
      </c>
      <c r="EE212" t="s">
        <v>972</v>
      </c>
      <c r="EF212">
        <v>6</v>
      </c>
      <c r="EV212">
        <v>7000</v>
      </c>
      <c r="EW212">
        <v>552</v>
      </c>
      <c r="EX212">
        <v>521</v>
      </c>
      <c r="EY212">
        <v>538</v>
      </c>
    </row>
    <row r="213" spans="1:155" x14ac:dyDescent="0.35">
      <c r="A213">
        <v>2025</v>
      </c>
      <c r="B213" t="s">
        <v>220</v>
      </c>
      <c r="C213" t="s">
        <v>221</v>
      </c>
      <c r="D213" t="s">
        <v>1026</v>
      </c>
      <c r="E213" t="s">
        <v>223</v>
      </c>
      <c r="F213">
        <v>552</v>
      </c>
      <c r="G213">
        <v>5.3</v>
      </c>
      <c r="H213">
        <v>8</v>
      </c>
      <c r="I213" t="s">
        <v>443</v>
      </c>
      <c r="J213">
        <v>15</v>
      </c>
      <c r="K213">
        <v>19</v>
      </c>
      <c r="L213">
        <v>17</v>
      </c>
      <c r="M213">
        <v>19.100000000000001</v>
      </c>
      <c r="N213">
        <v>28.7</v>
      </c>
      <c r="O213">
        <v>22.484400000000001</v>
      </c>
      <c r="P213">
        <v>15.4251</v>
      </c>
      <c r="Q213">
        <v>19.2393</v>
      </c>
      <c r="R213">
        <v>16.936</v>
      </c>
      <c r="U213" t="s">
        <v>224</v>
      </c>
      <c r="V213" t="s">
        <v>167</v>
      </c>
      <c r="W213" t="s">
        <v>168</v>
      </c>
      <c r="Y213">
        <v>10</v>
      </c>
      <c r="Z213" t="s">
        <v>169</v>
      </c>
      <c r="AA213" t="s">
        <v>170</v>
      </c>
      <c r="AB213">
        <v>4</v>
      </c>
      <c r="AC213" t="s">
        <v>601</v>
      </c>
      <c r="AD213">
        <v>85</v>
      </c>
      <c r="AF213">
        <v>408</v>
      </c>
      <c r="AG213" t="s">
        <v>210</v>
      </c>
      <c r="AH213" t="s">
        <v>444</v>
      </c>
      <c r="AI213" t="s">
        <v>175</v>
      </c>
      <c r="AJ213" t="s">
        <v>176</v>
      </c>
      <c r="AK213" t="s">
        <v>940</v>
      </c>
      <c r="AL213" t="s">
        <v>941</v>
      </c>
      <c r="AS213">
        <v>3100</v>
      </c>
      <c r="AT213">
        <v>3100</v>
      </c>
      <c r="AU213">
        <v>11</v>
      </c>
      <c r="AV213">
        <v>14</v>
      </c>
      <c r="AW213">
        <v>12</v>
      </c>
      <c r="AX213">
        <v>13.7</v>
      </c>
      <c r="AY213">
        <v>21.1</v>
      </c>
      <c r="AZ213">
        <v>16.267299999999999</v>
      </c>
      <c r="BA213">
        <v>11.0641</v>
      </c>
      <c r="BB213">
        <v>14.144600000000001</v>
      </c>
      <c r="BC213">
        <v>12.2662</v>
      </c>
      <c r="BD213">
        <v>288</v>
      </c>
      <c r="BE213" t="s">
        <v>907</v>
      </c>
      <c r="BF213" t="s">
        <v>908</v>
      </c>
      <c r="BG213" t="s">
        <v>175</v>
      </c>
      <c r="BH213" t="s">
        <v>176</v>
      </c>
      <c r="BI213">
        <v>3800</v>
      </c>
      <c r="BJ213">
        <v>568</v>
      </c>
      <c r="BK213">
        <v>444</v>
      </c>
      <c r="BL213">
        <v>512</v>
      </c>
      <c r="BM213">
        <v>3800</v>
      </c>
      <c r="BN213" t="s">
        <v>909</v>
      </c>
      <c r="BO213">
        <v>1</v>
      </c>
      <c r="BP213">
        <v>1</v>
      </c>
      <c r="BQ213">
        <v>13</v>
      </c>
      <c r="BR213" t="s">
        <v>1016</v>
      </c>
      <c r="BT213" t="s">
        <v>457</v>
      </c>
      <c r="BU213" s="1">
        <v>45502</v>
      </c>
      <c r="BV213">
        <v>35083</v>
      </c>
      <c r="BW213" s="155"/>
      <c r="BX213" t="s">
        <v>169</v>
      </c>
      <c r="BY213" t="s">
        <v>170</v>
      </c>
      <c r="CB213" t="s">
        <v>170</v>
      </c>
      <c r="CC213" t="s">
        <v>170</v>
      </c>
      <c r="CE213" t="s">
        <v>169</v>
      </c>
      <c r="CF213" t="s">
        <v>980</v>
      </c>
      <c r="CG213" t="s">
        <v>169</v>
      </c>
      <c r="CH213" t="s">
        <v>981</v>
      </c>
      <c r="CI213" t="s">
        <v>170</v>
      </c>
      <c r="DJ213" t="s">
        <v>184</v>
      </c>
      <c r="DK213" t="s">
        <v>185</v>
      </c>
      <c r="DN213" t="s">
        <v>170</v>
      </c>
      <c r="DO213" t="s">
        <v>197</v>
      </c>
      <c r="DP213" t="s">
        <v>170</v>
      </c>
      <c r="DQ213" t="s">
        <v>187</v>
      </c>
      <c r="EA213" s="101"/>
      <c r="EB213">
        <v>3</v>
      </c>
      <c r="EC213">
        <v>3</v>
      </c>
      <c r="ED213">
        <v>3</v>
      </c>
      <c r="EE213" t="s">
        <v>1024</v>
      </c>
      <c r="EF213">
        <v>4</v>
      </c>
      <c r="EV213">
        <v>6000</v>
      </c>
      <c r="EW213">
        <v>576</v>
      </c>
      <c r="EX213">
        <v>462</v>
      </c>
      <c r="EY213">
        <v>524</v>
      </c>
    </row>
    <row r="214" spans="1:155" ht="15" thickBot="1" x14ac:dyDescent="0.4">
      <c r="A214">
        <v>2025</v>
      </c>
      <c r="B214" t="s">
        <v>220</v>
      </c>
      <c r="C214" t="s">
        <v>221</v>
      </c>
      <c r="D214" t="s">
        <v>1026</v>
      </c>
      <c r="E214" t="s">
        <v>223</v>
      </c>
      <c r="F214">
        <v>556</v>
      </c>
      <c r="G214">
        <v>6.2</v>
      </c>
      <c r="H214">
        <v>8</v>
      </c>
      <c r="I214" t="s">
        <v>443</v>
      </c>
      <c r="J214">
        <v>14</v>
      </c>
      <c r="K214">
        <v>17</v>
      </c>
      <c r="L214">
        <v>15</v>
      </c>
      <c r="M214">
        <v>18.213000000000001</v>
      </c>
      <c r="N214">
        <v>26.671299999999999</v>
      </c>
      <c r="O214">
        <v>21.244800000000001</v>
      </c>
      <c r="P214">
        <v>14</v>
      </c>
      <c r="Q214">
        <v>17</v>
      </c>
      <c r="R214">
        <v>15</v>
      </c>
      <c r="U214" t="s">
        <v>224</v>
      </c>
      <c r="V214" t="s">
        <v>167</v>
      </c>
      <c r="W214" t="s">
        <v>168</v>
      </c>
      <c r="Y214">
        <v>10</v>
      </c>
      <c r="Z214" t="s">
        <v>169</v>
      </c>
      <c r="AA214" t="s">
        <v>170</v>
      </c>
      <c r="AB214">
        <v>4</v>
      </c>
      <c r="AC214" t="s">
        <v>601</v>
      </c>
      <c r="AD214">
        <v>10</v>
      </c>
      <c r="AG214" t="s">
        <v>214</v>
      </c>
      <c r="AH214" t="s">
        <v>215</v>
      </c>
      <c r="AI214" t="s">
        <v>175</v>
      </c>
      <c r="AJ214" t="s">
        <v>176</v>
      </c>
      <c r="AK214" t="s">
        <v>940</v>
      </c>
      <c r="AL214" t="s">
        <v>941</v>
      </c>
      <c r="AS214">
        <v>4250</v>
      </c>
      <c r="AT214">
        <v>4250</v>
      </c>
      <c r="BN214" t="s">
        <v>178</v>
      </c>
      <c r="BO214">
        <v>1</v>
      </c>
      <c r="BP214">
        <v>1</v>
      </c>
      <c r="BQ214">
        <v>13</v>
      </c>
      <c r="BR214" t="s">
        <v>1016</v>
      </c>
      <c r="BT214" t="s">
        <v>457</v>
      </c>
      <c r="BU214" s="1">
        <v>45502</v>
      </c>
      <c r="BV214">
        <v>35136</v>
      </c>
      <c r="BW214" s="157"/>
      <c r="BX214" t="s">
        <v>169</v>
      </c>
      <c r="BY214" t="s">
        <v>170</v>
      </c>
      <c r="CB214" t="s">
        <v>170</v>
      </c>
      <c r="CC214" t="s">
        <v>170</v>
      </c>
      <c r="CE214" t="s">
        <v>169</v>
      </c>
      <c r="CF214" t="s">
        <v>980</v>
      </c>
      <c r="CG214" t="s">
        <v>169</v>
      </c>
      <c r="CH214" t="s">
        <v>981</v>
      </c>
      <c r="CI214" t="s">
        <v>170</v>
      </c>
      <c r="DJ214" t="s">
        <v>184</v>
      </c>
      <c r="DK214" t="s">
        <v>185</v>
      </c>
      <c r="DN214" t="s">
        <v>170</v>
      </c>
      <c r="DO214" t="s">
        <v>197</v>
      </c>
      <c r="DP214" t="s">
        <v>169</v>
      </c>
      <c r="DQ214" t="s">
        <v>198</v>
      </c>
      <c r="EA214" s="142"/>
      <c r="EB214">
        <v>2</v>
      </c>
      <c r="EC214">
        <v>2</v>
      </c>
      <c r="EE214" t="s">
        <v>1025</v>
      </c>
      <c r="EF214">
        <v>5</v>
      </c>
      <c r="EV214">
        <v>11750</v>
      </c>
      <c r="EW214">
        <v>635</v>
      </c>
      <c r="EX214">
        <v>524</v>
      </c>
      <c r="EY214">
        <v>593</v>
      </c>
    </row>
    <row r="215" spans="1:155" x14ac:dyDescent="0.35">
      <c r="A215">
        <v>2025</v>
      </c>
      <c r="B215" t="s">
        <v>220</v>
      </c>
      <c r="C215" t="s">
        <v>221</v>
      </c>
      <c r="D215" t="s">
        <v>1026</v>
      </c>
      <c r="E215" t="s">
        <v>223</v>
      </c>
      <c r="F215">
        <v>562</v>
      </c>
      <c r="G215">
        <v>5.3</v>
      </c>
      <c r="H215">
        <v>8</v>
      </c>
      <c r="I215" t="s">
        <v>443</v>
      </c>
      <c r="J215">
        <v>15</v>
      </c>
      <c r="K215">
        <v>19</v>
      </c>
      <c r="L215">
        <v>16</v>
      </c>
      <c r="M215">
        <v>18.5</v>
      </c>
      <c r="N215">
        <v>28</v>
      </c>
      <c r="O215">
        <v>21.833500000000001</v>
      </c>
      <c r="P215">
        <v>14.655900000000001</v>
      </c>
      <c r="Q215">
        <v>18.777200000000001</v>
      </c>
      <c r="R215">
        <v>16.2621</v>
      </c>
      <c r="U215" t="s">
        <v>224</v>
      </c>
      <c r="V215" t="s">
        <v>167</v>
      </c>
      <c r="W215" t="s">
        <v>168</v>
      </c>
      <c r="Y215">
        <v>10</v>
      </c>
      <c r="Z215" t="s">
        <v>169</v>
      </c>
      <c r="AA215" t="s">
        <v>170</v>
      </c>
      <c r="AB215">
        <v>4</v>
      </c>
      <c r="AC215" t="s">
        <v>601</v>
      </c>
      <c r="AD215">
        <v>10</v>
      </c>
      <c r="AG215" t="s">
        <v>210</v>
      </c>
      <c r="AH215" t="s">
        <v>444</v>
      </c>
      <c r="AI215" t="s">
        <v>175</v>
      </c>
      <c r="AJ215" t="s">
        <v>176</v>
      </c>
      <c r="AK215" t="s">
        <v>940</v>
      </c>
      <c r="AL215" t="s">
        <v>941</v>
      </c>
      <c r="AS215">
        <v>3300</v>
      </c>
      <c r="AT215">
        <v>3300</v>
      </c>
      <c r="BN215" t="s">
        <v>178</v>
      </c>
      <c r="BO215">
        <v>1</v>
      </c>
      <c r="BP215">
        <v>1</v>
      </c>
      <c r="BQ215">
        <v>13</v>
      </c>
      <c r="BR215" t="s">
        <v>1016</v>
      </c>
      <c r="BT215" t="s">
        <v>225</v>
      </c>
      <c r="BU215" s="1">
        <v>45502</v>
      </c>
      <c r="BV215">
        <v>35217</v>
      </c>
      <c r="BX215" t="s">
        <v>169</v>
      </c>
      <c r="BY215" t="s">
        <v>170</v>
      </c>
      <c r="CB215" t="s">
        <v>170</v>
      </c>
      <c r="CC215" t="s">
        <v>170</v>
      </c>
      <c r="CE215" t="s">
        <v>169</v>
      </c>
      <c r="CF215" t="s">
        <v>980</v>
      </c>
      <c r="CG215" t="s">
        <v>169</v>
      </c>
      <c r="CH215" t="s">
        <v>981</v>
      </c>
      <c r="CI215" t="s">
        <v>170</v>
      </c>
      <c r="DJ215" t="s">
        <v>184</v>
      </c>
      <c r="DK215" t="s">
        <v>185</v>
      </c>
      <c r="DN215" t="s">
        <v>170</v>
      </c>
      <c r="DO215" t="s">
        <v>197</v>
      </c>
      <c r="DP215" t="s">
        <v>170</v>
      </c>
      <c r="DQ215" t="s">
        <v>187</v>
      </c>
      <c r="DR215" t="s">
        <v>1021</v>
      </c>
      <c r="EB215">
        <v>3</v>
      </c>
      <c r="EC215">
        <v>3</v>
      </c>
      <c r="EE215" t="s">
        <v>982</v>
      </c>
      <c r="EF215">
        <v>6</v>
      </c>
      <c r="EV215">
        <v>7000</v>
      </c>
      <c r="EW215">
        <v>604</v>
      </c>
      <c r="EX215">
        <v>475</v>
      </c>
      <c r="EY215">
        <v>546</v>
      </c>
    </row>
    <row r="216" spans="1:155" x14ac:dyDescent="0.35">
      <c r="A216">
        <v>2025</v>
      </c>
      <c r="B216" t="s">
        <v>220</v>
      </c>
      <c r="C216" t="s">
        <v>221</v>
      </c>
      <c r="D216" t="s">
        <v>1026</v>
      </c>
      <c r="E216" t="s">
        <v>223</v>
      </c>
      <c r="F216">
        <v>569</v>
      </c>
      <c r="G216">
        <v>5.3</v>
      </c>
      <c r="H216">
        <v>8</v>
      </c>
      <c r="I216" t="s">
        <v>443</v>
      </c>
      <c r="J216">
        <v>15</v>
      </c>
      <c r="K216">
        <v>18</v>
      </c>
      <c r="L216">
        <v>16</v>
      </c>
      <c r="M216">
        <v>18.5</v>
      </c>
      <c r="N216">
        <v>26.3</v>
      </c>
      <c r="O216">
        <v>21.349299999999999</v>
      </c>
      <c r="P216">
        <v>15.108499999999999</v>
      </c>
      <c r="Q216">
        <v>17.9163</v>
      </c>
      <c r="R216">
        <v>16.254799999999999</v>
      </c>
      <c r="U216" t="s">
        <v>224</v>
      </c>
      <c r="V216" t="s">
        <v>167</v>
      </c>
      <c r="W216" t="s">
        <v>168</v>
      </c>
      <c r="Y216">
        <v>10</v>
      </c>
      <c r="Z216" t="s">
        <v>169</v>
      </c>
      <c r="AA216" t="s">
        <v>170</v>
      </c>
      <c r="AB216">
        <v>4</v>
      </c>
      <c r="AC216" t="s">
        <v>601</v>
      </c>
      <c r="AD216">
        <v>10</v>
      </c>
      <c r="AG216" t="s">
        <v>210</v>
      </c>
      <c r="AH216" t="s">
        <v>444</v>
      </c>
      <c r="AI216" t="s">
        <v>175</v>
      </c>
      <c r="AJ216" t="s">
        <v>176</v>
      </c>
      <c r="AK216" t="s">
        <v>940</v>
      </c>
      <c r="AL216" t="s">
        <v>941</v>
      </c>
      <c r="AS216">
        <v>3300</v>
      </c>
      <c r="AT216">
        <v>3300</v>
      </c>
      <c r="BN216" t="s">
        <v>178</v>
      </c>
      <c r="BO216">
        <v>1</v>
      </c>
      <c r="BP216">
        <v>1</v>
      </c>
      <c r="BQ216">
        <v>13</v>
      </c>
      <c r="BR216" t="s">
        <v>1016</v>
      </c>
      <c r="BT216" t="s">
        <v>225</v>
      </c>
      <c r="BU216" s="1">
        <v>45502</v>
      </c>
      <c r="BV216">
        <v>35299</v>
      </c>
      <c r="BX216" t="s">
        <v>169</v>
      </c>
      <c r="BY216" t="s">
        <v>170</v>
      </c>
      <c r="CB216" t="s">
        <v>170</v>
      </c>
      <c r="CC216" t="s">
        <v>170</v>
      </c>
      <c r="CE216" t="s">
        <v>169</v>
      </c>
      <c r="CF216" t="s">
        <v>980</v>
      </c>
      <c r="CG216" t="s">
        <v>169</v>
      </c>
      <c r="CH216" t="s">
        <v>981</v>
      </c>
      <c r="CI216" t="s">
        <v>170</v>
      </c>
      <c r="DJ216" t="s">
        <v>184</v>
      </c>
      <c r="DK216" t="s">
        <v>185</v>
      </c>
      <c r="DN216" t="s">
        <v>170</v>
      </c>
      <c r="DO216" t="s">
        <v>197</v>
      </c>
      <c r="DP216" t="s">
        <v>169</v>
      </c>
      <c r="DQ216" t="s">
        <v>198</v>
      </c>
      <c r="DR216" t="s">
        <v>974</v>
      </c>
      <c r="EB216">
        <v>3</v>
      </c>
      <c r="EC216">
        <v>3</v>
      </c>
      <c r="EE216" t="s">
        <v>982</v>
      </c>
      <c r="EF216">
        <v>6</v>
      </c>
      <c r="EV216">
        <v>7000</v>
      </c>
      <c r="EW216">
        <v>585</v>
      </c>
      <c r="EX216">
        <v>496</v>
      </c>
      <c r="EY216">
        <v>545</v>
      </c>
    </row>
    <row r="217" spans="1:155" x14ac:dyDescent="0.35">
      <c r="A217">
        <v>2025</v>
      </c>
      <c r="B217" t="s">
        <v>220</v>
      </c>
      <c r="C217" t="s">
        <v>221</v>
      </c>
      <c r="D217" t="s">
        <v>1026</v>
      </c>
      <c r="E217" t="s">
        <v>223</v>
      </c>
      <c r="F217">
        <v>579</v>
      </c>
      <c r="G217">
        <v>5.3</v>
      </c>
      <c r="H217">
        <v>8</v>
      </c>
      <c r="I217" t="s">
        <v>443</v>
      </c>
      <c r="J217">
        <v>15</v>
      </c>
      <c r="K217">
        <v>18</v>
      </c>
      <c r="L217">
        <v>16</v>
      </c>
      <c r="M217">
        <v>18.5</v>
      </c>
      <c r="N217">
        <v>26.3</v>
      </c>
      <c r="O217">
        <v>21.349299999999999</v>
      </c>
      <c r="P217">
        <v>15.108499999999999</v>
      </c>
      <c r="Q217">
        <v>17.9163</v>
      </c>
      <c r="R217">
        <v>16.254799999999999</v>
      </c>
      <c r="U217" t="s">
        <v>224</v>
      </c>
      <c r="V217" t="s">
        <v>167</v>
      </c>
      <c r="W217" t="s">
        <v>168</v>
      </c>
      <c r="Y217">
        <v>10</v>
      </c>
      <c r="Z217" t="s">
        <v>169</v>
      </c>
      <c r="AA217" t="s">
        <v>170</v>
      </c>
      <c r="AB217">
        <v>4</v>
      </c>
      <c r="AC217" t="s">
        <v>601</v>
      </c>
      <c r="AD217">
        <v>10</v>
      </c>
      <c r="AG217" t="s">
        <v>210</v>
      </c>
      <c r="AH217" t="s">
        <v>444</v>
      </c>
      <c r="AI217" t="s">
        <v>175</v>
      </c>
      <c r="AJ217" t="s">
        <v>176</v>
      </c>
      <c r="AK217" t="s">
        <v>940</v>
      </c>
      <c r="AL217" t="s">
        <v>941</v>
      </c>
      <c r="AS217">
        <v>3300</v>
      </c>
      <c r="AT217">
        <v>3300</v>
      </c>
      <c r="BN217" t="s">
        <v>178</v>
      </c>
      <c r="BO217">
        <v>1</v>
      </c>
      <c r="BP217">
        <v>1</v>
      </c>
      <c r="BQ217">
        <v>13</v>
      </c>
      <c r="BR217" t="s">
        <v>1016</v>
      </c>
      <c r="BT217" t="s">
        <v>225</v>
      </c>
      <c r="BU217" s="1">
        <v>45502</v>
      </c>
      <c r="BV217">
        <v>35289</v>
      </c>
      <c r="BX217" t="s">
        <v>169</v>
      </c>
      <c r="BY217" t="s">
        <v>170</v>
      </c>
      <c r="CB217" t="s">
        <v>170</v>
      </c>
      <c r="CC217" t="s">
        <v>170</v>
      </c>
      <c r="CE217" t="s">
        <v>169</v>
      </c>
      <c r="CF217" t="s">
        <v>980</v>
      </c>
      <c r="CG217" t="s">
        <v>169</v>
      </c>
      <c r="CH217" t="s">
        <v>981</v>
      </c>
      <c r="CI217" t="s">
        <v>170</v>
      </c>
      <c r="DJ217" t="s">
        <v>184</v>
      </c>
      <c r="DK217" t="s">
        <v>185</v>
      </c>
      <c r="DN217" t="s">
        <v>170</v>
      </c>
      <c r="DO217" t="s">
        <v>197</v>
      </c>
      <c r="DP217" t="s">
        <v>169</v>
      </c>
      <c r="DQ217" t="s">
        <v>198</v>
      </c>
      <c r="EB217">
        <v>3</v>
      </c>
      <c r="EC217">
        <v>3</v>
      </c>
      <c r="EE217" t="s">
        <v>982</v>
      </c>
      <c r="EF217">
        <v>6</v>
      </c>
      <c r="EV217">
        <v>7000</v>
      </c>
      <c r="EW217">
        <v>585</v>
      </c>
      <c r="EX217">
        <v>496</v>
      </c>
      <c r="EY217">
        <v>545</v>
      </c>
    </row>
    <row r="218" spans="1:155" x14ac:dyDescent="0.35">
      <c r="A218">
        <v>2025</v>
      </c>
      <c r="B218" t="s">
        <v>220</v>
      </c>
      <c r="C218" t="s">
        <v>221</v>
      </c>
      <c r="D218" t="s">
        <v>1027</v>
      </c>
      <c r="E218" t="s">
        <v>223</v>
      </c>
      <c r="F218">
        <v>508</v>
      </c>
      <c r="G218">
        <v>3</v>
      </c>
      <c r="H218">
        <v>6</v>
      </c>
      <c r="I218" t="s">
        <v>443</v>
      </c>
      <c r="J218">
        <v>20</v>
      </c>
      <c r="K218">
        <v>23</v>
      </c>
      <c r="L218">
        <v>21</v>
      </c>
      <c r="M218">
        <v>25.472100000000001</v>
      </c>
      <c r="N218">
        <v>33.170499999999997</v>
      </c>
      <c r="O218">
        <v>28.442599999999999</v>
      </c>
      <c r="P218">
        <v>20.147200000000002</v>
      </c>
      <c r="Q218">
        <v>22.664300000000001</v>
      </c>
      <c r="R218">
        <v>21.207100000000001</v>
      </c>
      <c r="T218" t="s">
        <v>165</v>
      </c>
      <c r="U218" t="s">
        <v>166</v>
      </c>
      <c r="V218" t="s">
        <v>167</v>
      </c>
      <c r="W218" t="s">
        <v>168</v>
      </c>
      <c r="Y218">
        <v>10</v>
      </c>
      <c r="Z218" t="s">
        <v>169</v>
      </c>
      <c r="AA218" t="s">
        <v>170</v>
      </c>
      <c r="AB218">
        <v>4</v>
      </c>
      <c r="AC218" t="s">
        <v>601</v>
      </c>
      <c r="AE218">
        <v>20</v>
      </c>
      <c r="AG218" t="s">
        <v>975</v>
      </c>
      <c r="AH218" t="s">
        <v>976</v>
      </c>
      <c r="AI218" t="s">
        <v>175</v>
      </c>
      <c r="AJ218" t="s">
        <v>176</v>
      </c>
      <c r="AK218" t="s">
        <v>940</v>
      </c>
      <c r="AL218" t="s">
        <v>941</v>
      </c>
      <c r="AS218">
        <v>2950</v>
      </c>
      <c r="AT218">
        <v>2950</v>
      </c>
      <c r="BO218">
        <v>2</v>
      </c>
      <c r="BP218">
        <v>2</v>
      </c>
      <c r="BQ218">
        <v>13</v>
      </c>
      <c r="BR218" t="s">
        <v>1016</v>
      </c>
      <c r="BT218" t="s">
        <v>457</v>
      </c>
      <c r="BU218" s="1">
        <v>45510</v>
      </c>
      <c r="BV218">
        <v>35346</v>
      </c>
      <c r="BX218" t="s">
        <v>169</v>
      </c>
      <c r="BY218" t="s">
        <v>170</v>
      </c>
      <c r="CB218" t="s">
        <v>170</v>
      </c>
      <c r="CC218" t="s">
        <v>170</v>
      </c>
      <c r="CE218" t="s">
        <v>170</v>
      </c>
      <c r="CG218" t="s">
        <v>170</v>
      </c>
      <c r="CI218" t="s">
        <v>170</v>
      </c>
      <c r="DJ218" t="s">
        <v>977</v>
      </c>
      <c r="DK218" t="s">
        <v>978</v>
      </c>
      <c r="DN218" t="s">
        <v>170</v>
      </c>
      <c r="DO218" t="s">
        <v>197</v>
      </c>
      <c r="DP218" t="s">
        <v>169</v>
      </c>
      <c r="DQ218" t="s">
        <v>198</v>
      </c>
      <c r="EB218">
        <v>4</v>
      </c>
      <c r="EC218">
        <v>4</v>
      </c>
      <c r="EE218" t="s">
        <v>1028</v>
      </c>
      <c r="EF218">
        <v>4</v>
      </c>
      <c r="EV218">
        <v>5250</v>
      </c>
      <c r="EW218">
        <v>504</v>
      </c>
      <c r="EX218">
        <v>448</v>
      </c>
      <c r="EY218">
        <v>479</v>
      </c>
    </row>
    <row r="219" spans="1:155" x14ac:dyDescent="0.35">
      <c r="A219">
        <v>2025</v>
      </c>
      <c r="B219" t="s">
        <v>220</v>
      </c>
      <c r="C219" t="s">
        <v>221</v>
      </c>
      <c r="D219" t="s">
        <v>1027</v>
      </c>
      <c r="E219" t="s">
        <v>223</v>
      </c>
      <c r="F219">
        <v>558</v>
      </c>
      <c r="G219">
        <v>6.2</v>
      </c>
      <c r="H219">
        <v>8</v>
      </c>
      <c r="I219" t="s">
        <v>443</v>
      </c>
      <c r="J219">
        <v>14</v>
      </c>
      <c r="K219">
        <v>17</v>
      </c>
      <c r="L219">
        <v>15</v>
      </c>
      <c r="M219">
        <v>18</v>
      </c>
      <c r="N219">
        <v>24.9</v>
      </c>
      <c r="O219">
        <v>20.564299999999999</v>
      </c>
      <c r="P219">
        <v>14</v>
      </c>
      <c r="Q219">
        <v>16.6617</v>
      </c>
      <c r="R219">
        <v>15.454599999999999</v>
      </c>
      <c r="U219" t="s">
        <v>224</v>
      </c>
      <c r="V219" t="s">
        <v>167</v>
      </c>
      <c r="W219" t="s">
        <v>168</v>
      </c>
      <c r="Y219">
        <v>10</v>
      </c>
      <c r="Z219" t="s">
        <v>169</v>
      </c>
      <c r="AA219" t="s">
        <v>170</v>
      </c>
      <c r="AB219">
        <v>4</v>
      </c>
      <c r="AC219" t="s">
        <v>601</v>
      </c>
      <c r="AD219">
        <v>10</v>
      </c>
      <c r="AG219" t="s">
        <v>214</v>
      </c>
      <c r="AH219" t="s">
        <v>215</v>
      </c>
      <c r="AI219" t="s">
        <v>175</v>
      </c>
      <c r="AJ219" t="s">
        <v>176</v>
      </c>
      <c r="AK219" t="s">
        <v>940</v>
      </c>
      <c r="AL219" t="s">
        <v>941</v>
      </c>
      <c r="AS219">
        <v>4250</v>
      </c>
      <c r="AT219">
        <v>4250</v>
      </c>
      <c r="BN219" t="s">
        <v>178</v>
      </c>
      <c r="BO219">
        <v>1</v>
      </c>
      <c r="BP219">
        <v>1</v>
      </c>
      <c r="BQ219">
        <v>13</v>
      </c>
      <c r="BR219" t="s">
        <v>1016</v>
      </c>
      <c r="BT219" t="s">
        <v>457</v>
      </c>
      <c r="BU219" s="1">
        <v>45502</v>
      </c>
      <c r="BV219">
        <v>35134</v>
      </c>
      <c r="BX219" t="s">
        <v>169</v>
      </c>
      <c r="BY219" t="s">
        <v>170</v>
      </c>
      <c r="CB219" t="s">
        <v>170</v>
      </c>
      <c r="CC219" t="s">
        <v>170</v>
      </c>
      <c r="CE219" t="s">
        <v>169</v>
      </c>
      <c r="CF219" t="s">
        <v>980</v>
      </c>
      <c r="CG219" t="s">
        <v>169</v>
      </c>
      <c r="CH219" t="s">
        <v>981</v>
      </c>
      <c r="CI219" t="s">
        <v>170</v>
      </c>
      <c r="DJ219" t="s">
        <v>184</v>
      </c>
      <c r="DK219" t="s">
        <v>185</v>
      </c>
      <c r="DN219" t="s">
        <v>170</v>
      </c>
      <c r="DO219" t="s">
        <v>197</v>
      </c>
      <c r="DP219" t="s">
        <v>169</v>
      </c>
      <c r="DQ219" t="s">
        <v>198</v>
      </c>
      <c r="EB219">
        <v>2</v>
      </c>
      <c r="EC219">
        <v>2</v>
      </c>
      <c r="EE219" t="s">
        <v>1025</v>
      </c>
      <c r="EF219">
        <v>5</v>
      </c>
      <c r="EV219">
        <v>11750</v>
      </c>
      <c r="EW219">
        <v>638</v>
      </c>
      <c r="EX219">
        <v>535</v>
      </c>
      <c r="EY219">
        <v>591</v>
      </c>
    </row>
    <row r="220" spans="1:155" x14ac:dyDescent="0.35">
      <c r="A220">
        <v>2025</v>
      </c>
      <c r="B220" t="s">
        <v>220</v>
      </c>
      <c r="C220" t="s">
        <v>221</v>
      </c>
      <c r="D220" t="s">
        <v>1457</v>
      </c>
      <c r="E220" t="s">
        <v>223</v>
      </c>
      <c r="F220">
        <v>583</v>
      </c>
      <c r="G220">
        <v>6.2</v>
      </c>
      <c r="H220">
        <v>8</v>
      </c>
      <c r="I220" t="s">
        <v>443</v>
      </c>
      <c r="J220">
        <v>15</v>
      </c>
      <c r="K220">
        <v>19</v>
      </c>
      <c r="L220">
        <v>16</v>
      </c>
      <c r="M220">
        <v>18.2</v>
      </c>
      <c r="N220">
        <v>27.3</v>
      </c>
      <c r="O220">
        <v>21.411799999999999</v>
      </c>
      <c r="P220">
        <v>14.742100000000001</v>
      </c>
      <c r="Q220">
        <v>18.859300000000001</v>
      </c>
      <c r="R220">
        <v>16.348099999999999</v>
      </c>
      <c r="U220" t="s">
        <v>224</v>
      </c>
      <c r="V220" t="s">
        <v>167</v>
      </c>
      <c r="W220" t="s">
        <v>168</v>
      </c>
      <c r="Y220">
        <v>10</v>
      </c>
      <c r="Z220" t="s">
        <v>169</v>
      </c>
      <c r="AA220" t="s">
        <v>170</v>
      </c>
      <c r="AB220" t="s">
        <v>171</v>
      </c>
      <c r="AC220" t="s">
        <v>172</v>
      </c>
      <c r="AD220">
        <v>10</v>
      </c>
      <c r="AG220" t="s">
        <v>214</v>
      </c>
      <c r="AH220" t="s">
        <v>215</v>
      </c>
      <c r="AI220" t="s">
        <v>175</v>
      </c>
      <c r="AJ220" t="s">
        <v>176</v>
      </c>
      <c r="AK220" t="s">
        <v>940</v>
      </c>
      <c r="AL220" t="s">
        <v>941</v>
      </c>
      <c r="AS220">
        <v>4000</v>
      </c>
      <c r="AT220">
        <v>4000</v>
      </c>
      <c r="BN220" t="s">
        <v>178</v>
      </c>
      <c r="BO220">
        <v>1</v>
      </c>
      <c r="BP220">
        <v>1</v>
      </c>
      <c r="BQ220">
        <v>32</v>
      </c>
      <c r="BR220" t="s">
        <v>1453</v>
      </c>
      <c r="BT220" t="s">
        <v>457</v>
      </c>
      <c r="BU220" s="1">
        <v>45572</v>
      </c>
      <c r="BV220">
        <v>35600</v>
      </c>
      <c r="BX220" t="s">
        <v>170</v>
      </c>
      <c r="BY220" t="s">
        <v>170</v>
      </c>
      <c r="CB220" t="s">
        <v>170</v>
      </c>
      <c r="CC220" t="s">
        <v>170</v>
      </c>
      <c r="CE220" t="s">
        <v>169</v>
      </c>
      <c r="CF220" t="s">
        <v>980</v>
      </c>
      <c r="CG220" t="s">
        <v>169</v>
      </c>
      <c r="CH220" t="s">
        <v>981</v>
      </c>
      <c r="CI220" t="s">
        <v>170</v>
      </c>
      <c r="DJ220" t="s">
        <v>184</v>
      </c>
      <c r="DK220" t="s">
        <v>185</v>
      </c>
      <c r="DN220" t="s">
        <v>170</v>
      </c>
      <c r="DO220" t="s">
        <v>197</v>
      </c>
      <c r="DP220" t="s">
        <v>169</v>
      </c>
      <c r="DQ220" t="s">
        <v>198</v>
      </c>
      <c r="EB220">
        <v>3</v>
      </c>
      <c r="EC220">
        <v>3</v>
      </c>
      <c r="EE220" t="s">
        <v>1025</v>
      </c>
      <c r="EF220">
        <v>5</v>
      </c>
      <c r="EV220">
        <v>10500</v>
      </c>
      <c r="EW220">
        <v>605</v>
      </c>
      <c r="EX220">
        <v>470</v>
      </c>
      <c r="EY220">
        <v>544</v>
      </c>
    </row>
    <row r="221" spans="1:155" x14ac:dyDescent="0.35">
      <c r="A221">
        <v>2025</v>
      </c>
      <c r="B221" t="s">
        <v>220</v>
      </c>
      <c r="C221" t="s">
        <v>221</v>
      </c>
      <c r="D221" t="s">
        <v>1457</v>
      </c>
      <c r="E221" t="s">
        <v>223</v>
      </c>
      <c r="F221">
        <v>593</v>
      </c>
      <c r="G221">
        <v>5.3</v>
      </c>
      <c r="H221">
        <v>8</v>
      </c>
      <c r="I221" t="s">
        <v>443</v>
      </c>
      <c r="J221">
        <v>15</v>
      </c>
      <c r="K221">
        <v>20</v>
      </c>
      <c r="L221">
        <v>17</v>
      </c>
      <c r="M221">
        <v>19.5</v>
      </c>
      <c r="N221">
        <v>29.9</v>
      </c>
      <c r="O221">
        <v>23.118600000000001</v>
      </c>
      <c r="P221">
        <v>14.9986</v>
      </c>
      <c r="Q221">
        <v>19.604099999999999</v>
      </c>
      <c r="R221">
        <v>16.771599999999999</v>
      </c>
      <c r="U221" t="s">
        <v>224</v>
      </c>
      <c r="V221" t="s">
        <v>167</v>
      </c>
      <c r="W221" t="s">
        <v>168</v>
      </c>
      <c r="Y221">
        <v>10</v>
      </c>
      <c r="Z221" t="s">
        <v>169</v>
      </c>
      <c r="AA221" t="s">
        <v>170</v>
      </c>
      <c r="AB221" t="s">
        <v>171</v>
      </c>
      <c r="AC221" t="s">
        <v>172</v>
      </c>
      <c r="AD221">
        <v>10</v>
      </c>
      <c r="AG221" t="s">
        <v>210</v>
      </c>
      <c r="AH221" t="s">
        <v>444</v>
      </c>
      <c r="AI221" t="s">
        <v>175</v>
      </c>
      <c r="AJ221" t="s">
        <v>176</v>
      </c>
      <c r="AK221" t="s">
        <v>940</v>
      </c>
      <c r="AL221" t="s">
        <v>941</v>
      </c>
      <c r="AS221">
        <v>3100</v>
      </c>
      <c r="AT221">
        <v>3100</v>
      </c>
      <c r="BN221" t="s">
        <v>178</v>
      </c>
      <c r="BO221">
        <v>1</v>
      </c>
      <c r="BP221">
        <v>1</v>
      </c>
      <c r="BQ221">
        <v>32</v>
      </c>
      <c r="BR221" t="s">
        <v>1453</v>
      </c>
      <c r="BT221" t="s">
        <v>225</v>
      </c>
      <c r="BU221" s="1">
        <v>45572</v>
      </c>
      <c r="BV221">
        <v>35610</v>
      </c>
      <c r="BX221" t="s">
        <v>170</v>
      </c>
      <c r="BY221" t="s">
        <v>170</v>
      </c>
      <c r="CB221" t="s">
        <v>170</v>
      </c>
      <c r="CC221" t="s">
        <v>170</v>
      </c>
      <c r="CE221" t="s">
        <v>169</v>
      </c>
      <c r="CF221" t="s">
        <v>980</v>
      </c>
      <c r="CG221" t="s">
        <v>169</v>
      </c>
      <c r="CH221" t="s">
        <v>981</v>
      </c>
      <c r="CI221" t="s">
        <v>170</v>
      </c>
      <c r="DJ221" t="s">
        <v>184</v>
      </c>
      <c r="DK221" t="s">
        <v>185</v>
      </c>
      <c r="DN221" t="s">
        <v>170</v>
      </c>
      <c r="DO221" t="s">
        <v>197</v>
      </c>
      <c r="DP221" t="s">
        <v>169</v>
      </c>
      <c r="DQ221" t="s">
        <v>198</v>
      </c>
      <c r="EB221">
        <v>3</v>
      </c>
      <c r="EC221">
        <v>3</v>
      </c>
      <c r="EE221" t="s">
        <v>982</v>
      </c>
      <c r="EF221">
        <v>6</v>
      </c>
      <c r="EV221">
        <v>6000</v>
      </c>
      <c r="EW221">
        <v>592</v>
      </c>
      <c r="EX221">
        <v>453</v>
      </c>
      <c r="EY221">
        <v>530</v>
      </c>
    </row>
    <row r="222" spans="1:155" x14ac:dyDescent="0.35">
      <c r="A222">
        <v>2025</v>
      </c>
      <c r="B222" t="s">
        <v>220</v>
      </c>
      <c r="C222" t="s">
        <v>221</v>
      </c>
      <c r="D222" t="s">
        <v>1457</v>
      </c>
      <c r="E222" t="s">
        <v>223</v>
      </c>
      <c r="F222">
        <v>763</v>
      </c>
      <c r="G222">
        <v>3</v>
      </c>
      <c r="H222">
        <v>6</v>
      </c>
      <c r="I222" t="s">
        <v>443</v>
      </c>
      <c r="J222">
        <v>21</v>
      </c>
      <c r="K222">
        <v>26</v>
      </c>
      <c r="L222">
        <v>23</v>
      </c>
      <c r="M222">
        <v>27.5</v>
      </c>
      <c r="N222">
        <v>40.1</v>
      </c>
      <c r="O222">
        <v>32.028799999999997</v>
      </c>
      <c r="P222">
        <v>21</v>
      </c>
      <c r="Q222">
        <v>26.440999999999999</v>
      </c>
      <c r="R222">
        <v>23</v>
      </c>
      <c r="T222" t="s">
        <v>165</v>
      </c>
      <c r="U222" t="s">
        <v>166</v>
      </c>
      <c r="V222" t="s">
        <v>167</v>
      </c>
      <c r="W222" t="s">
        <v>168</v>
      </c>
      <c r="Y222">
        <v>10</v>
      </c>
      <c r="Z222" t="s">
        <v>169</v>
      </c>
      <c r="AA222" t="s">
        <v>170</v>
      </c>
      <c r="AB222" t="s">
        <v>171</v>
      </c>
      <c r="AC222" t="s">
        <v>172</v>
      </c>
      <c r="AE222">
        <v>20</v>
      </c>
      <c r="AG222" t="s">
        <v>975</v>
      </c>
      <c r="AH222" t="s">
        <v>976</v>
      </c>
      <c r="AI222" t="s">
        <v>175</v>
      </c>
      <c r="AJ222" t="s">
        <v>176</v>
      </c>
      <c r="AK222" t="s">
        <v>940</v>
      </c>
      <c r="AL222" t="s">
        <v>941</v>
      </c>
      <c r="AS222">
        <v>2650</v>
      </c>
      <c r="AT222">
        <v>2650</v>
      </c>
      <c r="BO222">
        <v>2</v>
      </c>
      <c r="BP222">
        <v>2</v>
      </c>
      <c r="BQ222">
        <v>32</v>
      </c>
      <c r="BR222" t="s">
        <v>1453</v>
      </c>
      <c r="BT222" t="s">
        <v>457</v>
      </c>
      <c r="BU222" s="1">
        <v>45705</v>
      </c>
      <c r="BV222">
        <v>36127</v>
      </c>
      <c r="BX222" t="s">
        <v>170</v>
      </c>
      <c r="BY222" t="s">
        <v>170</v>
      </c>
      <c r="CB222" t="s">
        <v>170</v>
      </c>
      <c r="CC222" t="s">
        <v>170</v>
      </c>
      <c r="CE222" t="s">
        <v>170</v>
      </c>
      <c r="CG222" t="s">
        <v>170</v>
      </c>
      <c r="CI222" t="s">
        <v>170</v>
      </c>
      <c r="DJ222" t="s">
        <v>977</v>
      </c>
      <c r="DK222" t="s">
        <v>978</v>
      </c>
      <c r="DN222" t="s">
        <v>170</v>
      </c>
      <c r="DO222" t="s">
        <v>197</v>
      </c>
      <c r="DP222" t="s">
        <v>169</v>
      </c>
      <c r="DQ222" t="s">
        <v>198</v>
      </c>
      <c r="EB222">
        <v>5</v>
      </c>
      <c r="EC222">
        <v>4</v>
      </c>
      <c r="EE222" t="s">
        <v>1458</v>
      </c>
      <c r="EF222">
        <v>4</v>
      </c>
      <c r="EV222">
        <v>3750</v>
      </c>
      <c r="EW222">
        <v>485</v>
      </c>
      <c r="EX222">
        <v>385</v>
      </c>
      <c r="EY222">
        <v>442</v>
      </c>
    </row>
    <row r="223" spans="1:155" x14ac:dyDescent="0.35">
      <c r="A223">
        <v>2025</v>
      </c>
      <c r="B223" t="s">
        <v>220</v>
      </c>
      <c r="C223" t="s">
        <v>221</v>
      </c>
      <c r="D223" t="s">
        <v>1536</v>
      </c>
      <c r="E223" t="s">
        <v>223</v>
      </c>
      <c r="F223">
        <v>588</v>
      </c>
      <c r="G223">
        <v>6.2</v>
      </c>
      <c r="H223">
        <v>8</v>
      </c>
      <c r="I223" t="s">
        <v>443</v>
      </c>
      <c r="J223">
        <v>14</v>
      </c>
      <c r="K223">
        <v>18</v>
      </c>
      <c r="L223">
        <v>16</v>
      </c>
      <c r="M223">
        <v>18.2</v>
      </c>
      <c r="N223">
        <v>27.3</v>
      </c>
      <c r="O223">
        <v>21.411799999999999</v>
      </c>
      <c r="P223">
        <v>14</v>
      </c>
      <c r="Q223">
        <v>18</v>
      </c>
      <c r="R223">
        <v>16.296900000000001</v>
      </c>
      <c r="U223" t="s">
        <v>224</v>
      </c>
      <c r="V223" t="s">
        <v>167</v>
      </c>
      <c r="W223" t="s">
        <v>168</v>
      </c>
      <c r="Y223">
        <v>10</v>
      </c>
      <c r="Z223" t="s">
        <v>169</v>
      </c>
      <c r="AA223" t="s">
        <v>170</v>
      </c>
      <c r="AB223">
        <v>4</v>
      </c>
      <c r="AC223" t="s">
        <v>601</v>
      </c>
      <c r="AD223">
        <v>10</v>
      </c>
      <c r="AG223" t="s">
        <v>214</v>
      </c>
      <c r="AH223" t="s">
        <v>215</v>
      </c>
      <c r="AI223" t="s">
        <v>175</v>
      </c>
      <c r="AJ223" t="s">
        <v>176</v>
      </c>
      <c r="AK223" t="s">
        <v>940</v>
      </c>
      <c r="AL223" t="s">
        <v>941</v>
      </c>
      <c r="AS223">
        <v>4000</v>
      </c>
      <c r="AT223">
        <v>4000</v>
      </c>
      <c r="BN223" t="s">
        <v>178</v>
      </c>
      <c r="BO223">
        <v>1</v>
      </c>
      <c r="BP223">
        <v>1</v>
      </c>
      <c r="BQ223">
        <v>33</v>
      </c>
      <c r="BR223" t="s">
        <v>1497</v>
      </c>
      <c r="BT223" t="s">
        <v>457</v>
      </c>
      <c r="BU223" s="1">
        <v>45572</v>
      </c>
      <c r="BV223">
        <v>35606</v>
      </c>
      <c r="BX223" t="s">
        <v>170</v>
      </c>
      <c r="BY223" t="s">
        <v>170</v>
      </c>
      <c r="CB223" t="s">
        <v>170</v>
      </c>
      <c r="CC223" t="s">
        <v>170</v>
      </c>
      <c r="CE223" t="s">
        <v>169</v>
      </c>
      <c r="CF223" t="s">
        <v>980</v>
      </c>
      <c r="CG223" t="s">
        <v>169</v>
      </c>
      <c r="CH223" t="s">
        <v>981</v>
      </c>
      <c r="CI223" t="s">
        <v>170</v>
      </c>
      <c r="DJ223" t="s">
        <v>184</v>
      </c>
      <c r="DK223" t="s">
        <v>185</v>
      </c>
      <c r="DN223" t="s">
        <v>170</v>
      </c>
      <c r="DO223" t="s">
        <v>197</v>
      </c>
      <c r="DP223" t="s">
        <v>169</v>
      </c>
      <c r="DQ223" t="s">
        <v>198</v>
      </c>
      <c r="EB223">
        <v>3</v>
      </c>
      <c r="EC223">
        <v>3</v>
      </c>
      <c r="EE223" t="s">
        <v>1025</v>
      </c>
      <c r="EF223">
        <v>5</v>
      </c>
      <c r="EV223">
        <v>10500</v>
      </c>
      <c r="EW223">
        <v>634</v>
      </c>
      <c r="EX223">
        <v>495</v>
      </c>
      <c r="EY223">
        <v>572</v>
      </c>
    </row>
    <row r="224" spans="1:155" x14ac:dyDescent="0.35">
      <c r="A224">
        <v>2025</v>
      </c>
      <c r="B224" t="s">
        <v>220</v>
      </c>
      <c r="C224" t="s">
        <v>221</v>
      </c>
      <c r="D224" t="s">
        <v>1536</v>
      </c>
      <c r="E224" t="s">
        <v>223</v>
      </c>
      <c r="F224">
        <v>597</v>
      </c>
      <c r="G224">
        <v>5.3</v>
      </c>
      <c r="H224">
        <v>8</v>
      </c>
      <c r="I224" t="s">
        <v>443</v>
      </c>
      <c r="J224">
        <v>14</v>
      </c>
      <c r="K224">
        <v>19</v>
      </c>
      <c r="L224">
        <v>16</v>
      </c>
      <c r="M224">
        <v>17.7087</v>
      </c>
      <c r="N224">
        <v>27.342700000000001</v>
      </c>
      <c r="O224">
        <v>21.0456</v>
      </c>
      <c r="P224">
        <v>13.703099999999999</v>
      </c>
      <c r="Q224">
        <v>18.511199999999999</v>
      </c>
      <c r="R224">
        <v>15.5167</v>
      </c>
      <c r="U224" t="s">
        <v>224</v>
      </c>
      <c r="V224" t="s">
        <v>167</v>
      </c>
      <c r="W224" t="s">
        <v>168</v>
      </c>
      <c r="Y224">
        <v>10</v>
      </c>
      <c r="Z224" t="s">
        <v>169</v>
      </c>
      <c r="AA224" t="s">
        <v>170</v>
      </c>
      <c r="AB224">
        <v>4</v>
      </c>
      <c r="AC224" t="s">
        <v>601</v>
      </c>
      <c r="AD224">
        <v>10</v>
      </c>
      <c r="AG224" t="s">
        <v>210</v>
      </c>
      <c r="AH224" t="s">
        <v>444</v>
      </c>
      <c r="AI224" t="s">
        <v>175</v>
      </c>
      <c r="AJ224" t="s">
        <v>176</v>
      </c>
      <c r="AK224" t="s">
        <v>940</v>
      </c>
      <c r="AL224" t="s">
        <v>941</v>
      </c>
      <c r="AS224">
        <v>3300</v>
      </c>
      <c r="AT224">
        <v>3300</v>
      </c>
      <c r="BN224" t="s">
        <v>178</v>
      </c>
      <c r="BO224">
        <v>1</v>
      </c>
      <c r="BP224">
        <v>1</v>
      </c>
      <c r="BQ224">
        <v>33</v>
      </c>
      <c r="BR224" t="s">
        <v>1497</v>
      </c>
      <c r="BT224" t="s">
        <v>225</v>
      </c>
      <c r="BU224" s="1">
        <v>45572</v>
      </c>
      <c r="BV224">
        <v>35613</v>
      </c>
      <c r="BX224" t="s">
        <v>170</v>
      </c>
      <c r="BY224" t="s">
        <v>170</v>
      </c>
      <c r="CB224" t="s">
        <v>170</v>
      </c>
      <c r="CC224" t="s">
        <v>170</v>
      </c>
      <c r="CE224" t="s">
        <v>169</v>
      </c>
      <c r="CF224" t="s">
        <v>980</v>
      </c>
      <c r="CG224" t="s">
        <v>169</v>
      </c>
      <c r="CH224" t="s">
        <v>981</v>
      </c>
      <c r="CI224" t="s">
        <v>170</v>
      </c>
      <c r="DJ224" t="s">
        <v>184</v>
      </c>
      <c r="DK224" t="s">
        <v>185</v>
      </c>
      <c r="DN224" t="s">
        <v>170</v>
      </c>
      <c r="DO224" t="s">
        <v>197</v>
      </c>
      <c r="DP224" t="s">
        <v>169</v>
      </c>
      <c r="DQ224" t="s">
        <v>198</v>
      </c>
      <c r="EB224">
        <v>3</v>
      </c>
      <c r="EC224">
        <v>3</v>
      </c>
      <c r="EE224" t="s">
        <v>982</v>
      </c>
      <c r="EF224">
        <v>6</v>
      </c>
      <c r="EV224">
        <v>7000</v>
      </c>
      <c r="EW224">
        <v>645</v>
      </c>
      <c r="EX224">
        <v>481</v>
      </c>
      <c r="EY224">
        <v>571</v>
      </c>
    </row>
    <row r="225" spans="1:155" x14ac:dyDescent="0.35">
      <c r="A225">
        <v>2025</v>
      </c>
      <c r="B225" t="s">
        <v>220</v>
      </c>
      <c r="C225" t="s">
        <v>221</v>
      </c>
      <c r="D225" t="s">
        <v>1536</v>
      </c>
      <c r="E225" t="s">
        <v>223</v>
      </c>
      <c r="F225">
        <v>766</v>
      </c>
      <c r="G225">
        <v>3</v>
      </c>
      <c r="H225">
        <v>6</v>
      </c>
      <c r="I225" t="s">
        <v>443</v>
      </c>
      <c r="J225">
        <v>20</v>
      </c>
      <c r="K225">
        <v>26</v>
      </c>
      <c r="L225">
        <v>22</v>
      </c>
      <c r="M225">
        <v>25.5044</v>
      </c>
      <c r="N225">
        <v>36.287399999999998</v>
      </c>
      <c r="O225">
        <v>29.441299999999998</v>
      </c>
      <c r="P225">
        <v>20.170500000000001</v>
      </c>
      <c r="Q225">
        <v>25.730399999999999</v>
      </c>
      <c r="R225">
        <v>22.3431</v>
      </c>
      <c r="T225" t="s">
        <v>165</v>
      </c>
      <c r="U225" t="s">
        <v>166</v>
      </c>
      <c r="V225" t="s">
        <v>167</v>
      </c>
      <c r="W225" t="s">
        <v>168</v>
      </c>
      <c r="Y225">
        <v>10</v>
      </c>
      <c r="Z225" t="s">
        <v>169</v>
      </c>
      <c r="AA225" t="s">
        <v>170</v>
      </c>
      <c r="AB225">
        <v>4</v>
      </c>
      <c r="AC225" t="s">
        <v>601</v>
      </c>
      <c r="AE225">
        <v>20</v>
      </c>
      <c r="AG225" t="s">
        <v>975</v>
      </c>
      <c r="AH225" t="s">
        <v>976</v>
      </c>
      <c r="AI225" t="s">
        <v>175</v>
      </c>
      <c r="AJ225" t="s">
        <v>176</v>
      </c>
      <c r="AK225" t="s">
        <v>940</v>
      </c>
      <c r="AL225" t="s">
        <v>941</v>
      </c>
      <c r="AS225">
        <v>2800</v>
      </c>
      <c r="AT225">
        <v>2800</v>
      </c>
      <c r="BO225">
        <v>2</v>
      </c>
      <c r="BP225">
        <v>2</v>
      </c>
      <c r="BQ225">
        <v>33</v>
      </c>
      <c r="BR225" t="s">
        <v>1497</v>
      </c>
      <c r="BT225" t="s">
        <v>181</v>
      </c>
      <c r="BU225" s="1">
        <v>45705</v>
      </c>
      <c r="BV225">
        <v>36130</v>
      </c>
      <c r="BX225" t="s">
        <v>170</v>
      </c>
      <c r="BY225" t="s">
        <v>170</v>
      </c>
      <c r="CB225" t="s">
        <v>170</v>
      </c>
      <c r="CC225" t="s">
        <v>170</v>
      </c>
      <c r="CE225" t="s">
        <v>170</v>
      </c>
      <c r="CG225" t="s">
        <v>170</v>
      </c>
      <c r="CI225" t="s">
        <v>170</v>
      </c>
      <c r="DJ225" t="s">
        <v>977</v>
      </c>
      <c r="DK225" t="s">
        <v>978</v>
      </c>
      <c r="DN225" t="s">
        <v>170</v>
      </c>
      <c r="DO225" t="s">
        <v>197</v>
      </c>
      <c r="DP225" t="s">
        <v>169</v>
      </c>
      <c r="DQ225" t="s">
        <v>198</v>
      </c>
      <c r="EB225">
        <v>5</v>
      </c>
      <c r="EC225">
        <v>4</v>
      </c>
      <c r="EE225" t="s">
        <v>1458</v>
      </c>
      <c r="EF225">
        <v>4</v>
      </c>
      <c r="EV225">
        <v>4500</v>
      </c>
      <c r="EW225">
        <v>504</v>
      </c>
      <c r="EX225">
        <v>395</v>
      </c>
      <c r="EY225">
        <v>455</v>
      </c>
    </row>
    <row r="226" spans="1:155" x14ac:dyDescent="0.35">
      <c r="A226">
        <v>2025</v>
      </c>
      <c r="B226" t="s">
        <v>220</v>
      </c>
      <c r="C226" t="s">
        <v>221</v>
      </c>
      <c r="D226" t="s">
        <v>1459</v>
      </c>
      <c r="E226" t="s">
        <v>223</v>
      </c>
      <c r="F226">
        <v>581</v>
      </c>
      <c r="G226">
        <v>6.2</v>
      </c>
      <c r="H226">
        <v>8</v>
      </c>
      <c r="I226" t="s">
        <v>443</v>
      </c>
      <c r="J226">
        <v>15</v>
      </c>
      <c r="K226">
        <v>20</v>
      </c>
      <c r="L226">
        <v>17</v>
      </c>
      <c r="M226">
        <v>18.7392</v>
      </c>
      <c r="N226">
        <v>29.6</v>
      </c>
      <c r="O226">
        <v>22.4452</v>
      </c>
      <c r="P226">
        <v>15.1518</v>
      </c>
      <c r="Q226">
        <v>20.024999999999999</v>
      </c>
      <c r="R226">
        <v>17.0151</v>
      </c>
      <c r="U226" t="s">
        <v>224</v>
      </c>
      <c r="V226" t="s">
        <v>167</v>
      </c>
      <c r="W226" t="s">
        <v>168</v>
      </c>
      <c r="Y226">
        <v>10</v>
      </c>
      <c r="Z226" t="s">
        <v>169</v>
      </c>
      <c r="AA226" t="s">
        <v>170</v>
      </c>
      <c r="AB226" t="s">
        <v>171</v>
      </c>
      <c r="AC226" t="s">
        <v>172</v>
      </c>
      <c r="AD226">
        <v>10</v>
      </c>
      <c r="AG226" t="s">
        <v>214</v>
      </c>
      <c r="AH226" t="s">
        <v>215</v>
      </c>
      <c r="AI226" t="s">
        <v>175</v>
      </c>
      <c r="AJ226" t="s">
        <v>176</v>
      </c>
      <c r="AK226" t="s">
        <v>940</v>
      </c>
      <c r="AL226" t="s">
        <v>941</v>
      </c>
      <c r="AS226">
        <v>3750</v>
      </c>
      <c r="AT226">
        <v>3750</v>
      </c>
      <c r="BN226" t="s">
        <v>178</v>
      </c>
      <c r="BO226">
        <v>1</v>
      </c>
      <c r="BP226">
        <v>1</v>
      </c>
      <c r="BQ226">
        <v>32</v>
      </c>
      <c r="BR226" t="s">
        <v>1453</v>
      </c>
      <c r="BT226" t="s">
        <v>457</v>
      </c>
      <c r="BU226" s="1">
        <v>45572</v>
      </c>
      <c r="BV226">
        <v>35597</v>
      </c>
      <c r="BX226" t="s">
        <v>170</v>
      </c>
      <c r="BY226" t="s">
        <v>170</v>
      </c>
      <c r="CB226" t="s">
        <v>170</v>
      </c>
      <c r="CC226" t="s">
        <v>170</v>
      </c>
      <c r="CE226" t="s">
        <v>169</v>
      </c>
      <c r="CF226" t="s">
        <v>980</v>
      </c>
      <c r="CG226" t="s">
        <v>169</v>
      </c>
      <c r="CH226" t="s">
        <v>981</v>
      </c>
      <c r="CI226" t="s">
        <v>170</v>
      </c>
      <c r="DJ226" t="s">
        <v>184</v>
      </c>
      <c r="DK226" t="s">
        <v>185</v>
      </c>
      <c r="DN226" t="s">
        <v>170</v>
      </c>
      <c r="DO226" t="s">
        <v>197</v>
      </c>
      <c r="DP226" t="s">
        <v>169</v>
      </c>
      <c r="DQ226" t="s">
        <v>198</v>
      </c>
      <c r="EB226">
        <v>3</v>
      </c>
      <c r="EC226">
        <v>3</v>
      </c>
      <c r="EE226" t="s">
        <v>1025</v>
      </c>
      <c r="EF226">
        <v>5</v>
      </c>
      <c r="EV226">
        <v>9250</v>
      </c>
      <c r="EW226">
        <v>587</v>
      </c>
      <c r="EX226">
        <v>444</v>
      </c>
      <c r="EY226">
        <v>523</v>
      </c>
    </row>
    <row r="227" spans="1:155" x14ac:dyDescent="0.35">
      <c r="A227">
        <v>2025</v>
      </c>
      <c r="B227" t="s">
        <v>220</v>
      </c>
      <c r="C227" t="s">
        <v>221</v>
      </c>
      <c r="D227" t="s">
        <v>1459</v>
      </c>
      <c r="E227" t="s">
        <v>223</v>
      </c>
      <c r="F227">
        <v>591</v>
      </c>
      <c r="G227">
        <v>5.3</v>
      </c>
      <c r="H227">
        <v>8</v>
      </c>
      <c r="I227" t="s">
        <v>443</v>
      </c>
      <c r="J227">
        <v>15</v>
      </c>
      <c r="K227">
        <v>20</v>
      </c>
      <c r="L227">
        <v>17</v>
      </c>
      <c r="M227">
        <v>19.5</v>
      </c>
      <c r="N227">
        <v>29.9</v>
      </c>
      <c r="O227">
        <v>23.118600000000001</v>
      </c>
      <c r="P227">
        <v>14.9986</v>
      </c>
      <c r="Q227">
        <v>19.604099999999999</v>
      </c>
      <c r="R227">
        <v>16.771599999999999</v>
      </c>
      <c r="U227" t="s">
        <v>224</v>
      </c>
      <c r="V227" t="s">
        <v>167</v>
      </c>
      <c r="W227" t="s">
        <v>168</v>
      </c>
      <c r="Y227">
        <v>10</v>
      </c>
      <c r="Z227" t="s">
        <v>169</v>
      </c>
      <c r="AA227" t="s">
        <v>170</v>
      </c>
      <c r="AB227" t="s">
        <v>171</v>
      </c>
      <c r="AC227" t="s">
        <v>172</v>
      </c>
      <c r="AD227">
        <v>10</v>
      </c>
      <c r="AG227" t="s">
        <v>210</v>
      </c>
      <c r="AH227" t="s">
        <v>444</v>
      </c>
      <c r="AI227" t="s">
        <v>175</v>
      </c>
      <c r="AJ227" t="s">
        <v>176</v>
      </c>
      <c r="AK227" t="s">
        <v>940</v>
      </c>
      <c r="AL227" t="s">
        <v>941</v>
      </c>
      <c r="AS227">
        <v>3100</v>
      </c>
      <c r="AT227">
        <v>3100</v>
      </c>
      <c r="BN227" t="s">
        <v>178</v>
      </c>
      <c r="BO227">
        <v>1</v>
      </c>
      <c r="BP227">
        <v>1</v>
      </c>
      <c r="BQ227">
        <v>32</v>
      </c>
      <c r="BR227" t="s">
        <v>1453</v>
      </c>
      <c r="BT227" t="s">
        <v>225</v>
      </c>
      <c r="BU227" s="1">
        <v>45572</v>
      </c>
      <c r="BV227">
        <v>35612</v>
      </c>
      <c r="BX227" t="s">
        <v>170</v>
      </c>
      <c r="BY227" t="s">
        <v>170</v>
      </c>
      <c r="CB227" t="s">
        <v>170</v>
      </c>
      <c r="CC227" t="s">
        <v>170</v>
      </c>
      <c r="CE227" t="s">
        <v>169</v>
      </c>
      <c r="CF227" t="s">
        <v>980</v>
      </c>
      <c r="CG227" t="s">
        <v>169</v>
      </c>
      <c r="CH227" t="s">
        <v>981</v>
      </c>
      <c r="CI227" t="s">
        <v>170</v>
      </c>
      <c r="DJ227" t="s">
        <v>184</v>
      </c>
      <c r="DK227" t="s">
        <v>185</v>
      </c>
      <c r="DN227" t="s">
        <v>170</v>
      </c>
      <c r="DO227" t="s">
        <v>197</v>
      </c>
      <c r="DP227" t="s">
        <v>169</v>
      </c>
      <c r="DQ227" t="s">
        <v>198</v>
      </c>
      <c r="EB227">
        <v>3</v>
      </c>
      <c r="EC227">
        <v>3</v>
      </c>
      <c r="EE227" t="s">
        <v>982</v>
      </c>
      <c r="EF227">
        <v>6</v>
      </c>
      <c r="EV227">
        <v>6000</v>
      </c>
      <c r="EW227">
        <v>592</v>
      </c>
      <c r="EX227">
        <v>453</v>
      </c>
      <c r="EY227">
        <v>530</v>
      </c>
    </row>
    <row r="228" spans="1:155" x14ac:dyDescent="0.35">
      <c r="A228">
        <v>2025</v>
      </c>
      <c r="B228" t="s">
        <v>220</v>
      </c>
      <c r="C228" t="s">
        <v>221</v>
      </c>
      <c r="D228" t="s">
        <v>1459</v>
      </c>
      <c r="E228" t="s">
        <v>223</v>
      </c>
      <c r="F228">
        <v>778</v>
      </c>
      <c r="G228">
        <v>3</v>
      </c>
      <c r="H228">
        <v>6</v>
      </c>
      <c r="I228" t="s">
        <v>443</v>
      </c>
      <c r="J228">
        <v>22</v>
      </c>
      <c r="K228">
        <v>26</v>
      </c>
      <c r="L228">
        <v>24</v>
      </c>
      <c r="M228">
        <v>28.4</v>
      </c>
      <c r="N228">
        <v>40.1</v>
      </c>
      <c r="O228">
        <v>32.692399999999999</v>
      </c>
      <c r="P228">
        <v>22.252099999999999</v>
      </c>
      <c r="Q228">
        <v>26.014299999999999</v>
      </c>
      <c r="R228">
        <v>23.801100000000002</v>
      </c>
      <c r="T228" t="s">
        <v>165</v>
      </c>
      <c r="U228" t="s">
        <v>166</v>
      </c>
      <c r="V228" t="s">
        <v>167</v>
      </c>
      <c r="W228" t="s">
        <v>168</v>
      </c>
      <c r="Y228">
        <v>10</v>
      </c>
      <c r="Z228" t="s">
        <v>169</v>
      </c>
      <c r="AA228" t="s">
        <v>170</v>
      </c>
      <c r="AB228" t="s">
        <v>171</v>
      </c>
      <c r="AC228" t="s">
        <v>172</v>
      </c>
      <c r="AE228">
        <v>20</v>
      </c>
      <c r="AG228" t="s">
        <v>975</v>
      </c>
      <c r="AH228" t="s">
        <v>976</v>
      </c>
      <c r="AI228" t="s">
        <v>175</v>
      </c>
      <c r="AJ228" t="s">
        <v>176</v>
      </c>
      <c r="AK228" t="s">
        <v>940</v>
      </c>
      <c r="AL228" t="s">
        <v>941</v>
      </c>
      <c r="AS228">
        <v>2550</v>
      </c>
      <c r="AT228">
        <v>2550</v>
      </c>
      <c r="BO228">
        <v>2</v>
      </c>
      <c r="BP228">
        <v>2</v>
      </c>
      <c r="BQ228">
        <v>32</v>
      </c>
      <c r="BR228" t="s">
        <v>1453</v>
      </c>
      <c r="BT228" t="s">
        <v>457</v>
      </c>
      <c r="BU228" s="1">
        <v>45713</v>
      </c>
      <c r="BV228">
        <v>36163</v>
      </c>
      <c r="BX228" t="s">
        <v>170</v>
      </c>
      <c r="BY228" t="s">
        <v>170</v>
      </c>
      <c r="CB228" t="s">
        <v>170</v>
      </c>
      <c r="CC228" t="s">
        <v>170</v>
      </c>
      <c r="CE228" t="s">
        <v>170</v>
      </c>
      <c r="CG228" t="s">
        <v>170</v>
      </c>
      <c r="CI228" t="s">
        <v>170</v>
      </c>
      <c r="DJ228" t="s">
        <v>977</v>
      </c>
      <c r="DK228" t="s">
        <v>978</v>
      </c>
      <c r="DN228" t="s">
        <v>170</v>
      </c>
      <c r="DO228" t="s">
        <v>197</v>
      </c>
      <c r="DP228" t="s">
        <v>169</v>
      </c>
      <c r="DQ228" t="s">
        <v>198</v>
      </c>
      <c r="EB228">
        <v>5</v>
      </c>
      <c r="EC228">
        <v>4</v>
      </c>
      <c r="EE228" t="s">
        <v>1458</v>
      </c>
      <c r="EF228">
        <v>4</v>
      </c>
      <c r="EV228">
        <v>3250</v>
      </c>
      <c r="EW228">
        <v>457</v>
      </c>
      <c r="EX228">
        <v>391</v>
      </c>
      <c r="EY228">
        <v>427</v>
      </c>
    </row>
    <row r="229" spans="1:155" x14ac:dyDescent="0.35">
      <c r="A229">
        <v>2025</v>
      </c>
      <c r="B229" t="s">
        <v>220</v>
      </c>
      <c r="C229" t="s">
        <v>221</v>
      </c>
      <c r="D229" t="s">
        <v>1537</v>
      </c>
      <c r="E229" t="s">
        <v>223</v>
      </c>
      <c r="F229">
        <v>586</v>
      </c>
      <c r="G229">
        <v>6.2</v>
      </c>
      <c r="H229">
        <v>8</v>
      </c>
      <c r="I229" t="s">
        <v>443</v>
      </c>
      <c r="J229">
        <v>14</v>
      </c>
      <c r="K229">
        <v>18</v>
      </c>
      <c r="L229">
        <v>16</v>
      </c>
      <c r="M229">
        <v>18.2</v>
      </c>
      <c r="N229">
        <v>27.3</v>
      </c>
      <c r="O229">
        <v>21.411799999999999</v>
      </c>
      <c r="P229">
        <v>14</v>
      </c>
      <c r="Q229">
        <v>18</v>
      </c>
      <c r="R229">
        <v>16.296900000000001</v>
      </c>
      <c r="U229" t="s">
        <v>224</v>
      </c>
      <c r="V229" t="s">
        <v>167</v>
      </c>
      <c r="W229" t="s">
        <v>168</v>
      </c>
      <c r="Y229">
        <v>10</v>
      </c>
      <c r="Z229" t="s">
        <v>169</v>
      </c>
      <c r="AA229" t="s">
        <v>170</v>
      </c>
      <c r="AB229">
        <v>4</v>
      </c>
      <c r="AC229" t="s">
        <v>601</v>
      </c>
      <c r="AD229">
        <v>10</v>
      </c>
      <c r="AG229" t="s">
        <v>214</v>
      </c>
      <c r="AH229" t="s">
        <v>215</v>
      </c>
      <c r="AI229" t="s">
        <v>175</v>
      </c>
      <c r="AJ229" t="s">
        <v>176</v>
      </c>
      <c r="AK229" t="s">
        <v>940</v>
      </c>
      <c r="AL229" t="s">
        <v>941</v>
      </c>
      <c r="AS229">
        <v>4000</v>
      </c>
      <c r="AT229">
        <v>4000</v>
      </c>
      <c r="BN229" t="s">
        <v>178</v>
      </c>
      <c r="BO229">
        <v>1</v>
      </c>
      <c r="BP229">
        <v>1</v>
      </c>
      <c r="BQ229">
        <v>33</v>
      </c>
      <c r="BR229" t="s">
        <v>1497</v>
      </c>
      <c r="BT229" t="s">
        <v>457</v>
      </c>
      <c r="BU229" s="1">
        <v>45572</v>
      </c>
      <c r="BV229">
        <v>35602</v>
      </c>
      <c r="BX229" t="s">
        <v>170</v>
      </c>
      <c r="BY229" t="s">
        <v>170</v>
      </c>
      <c r="CB229" t="s">
        <v>170</v>
      </c>
      <c r="CC229" t="s">
        <v>170</v>
      </c>
      <c r="CE229" t="s">
        <v>169</v>
      </c>
      <c r="CF229" t="s">
        <v>980</v>
      </c>
      <c r="CG229" t="s">
        <v>169</v>
      </c>
      <c r="CH229" t="s">
        <v>981</v>
      </c>
      <c r="CI229" t="s">
        <v>170</v>
      </c>
      <c r="DJ229" t="s">
        <v>184</v>
      </c>
      <c r="DK229" t="s">
        <v>185</v>
      </c>
      <c r="DN229" t="s">
        <v>170</v>
      </c>
      <c r="DO229" t="s">
        <v>197</v>
      </c>
      <c r="DP229" t="s">
        <v>169</v>
      </c>
      <c r="DQ229" t="s">
        <v>198</v>
      </c>
      <c r="EB229">
        <v>3</v>
      </c>
      <c r="EC229">
        <v>3</v>
      </c>
      <c r="EE229" t="s">
        <v>1025</v>
      </c>
      <c r="EF229">
        <v>5</v>
      </c>
      <c r="EV229">
        <v>10500</v>
      </c>
      <c r="EW229">
        <v>634</v>
      </c>
      <c r="EX229">
        <v>495</v>
      </c>
      <c r="EY229">
        <v>572</v>
      </c>
    </row>
    <row r="230" spans="1:155" x14ac:dyDescent="0.35">
      <c r="A230">
        <v>2025</v>
      </c>
      <c r="B230" t="s">
        <v>220</v>
      </c>
      <c r="C230" t="s">
        <v>221</v>
      </c>
      <c r="D230" t="s">
        <v>1537</v>
      </c>
      <c r="E230" t="s">
        <v>223</v>
      </c>
      <c r="F230">
        <v>595</v>
      </c>
      <c r="G230">
        <v>5.3</v>
      </c>
      <c r="H230">
        <v>8</v>
      </c>
      <c r="I230" t="s">
        <v>443</v>
      </c>
      <c r="J230">
        <v>15</v>
      </c>
      <c r="K230">
        <v>19</v>
      </c>
      <c r="L230">
        <v>17</v>
      </c>
      <c r="M230">
        <v>19.360800000000001</v>
      </c>
      <c r="N230">
        <v>29.342500000000001</v>
      </c>
      <c r="O230">
        <v>22.860299999999999</v>
      </c>
      <c r="P230">
        <v>14.875</v>
      </c>
      <c r="Q230">
        <v>19.2148</v>
      </c>
      <c r="R230">
        <v>16.5579</v>
      </c>
      <c r="U230" t="s">
        <v>224</v>
      </c>
      <c r="V230" t="s">
        <v>167</v>
      </c>
      <c r="W230" t="s">
        <v>168</v>
      </c>
      <c r="Y230">
        <v>10</v>
      </c>
      <c r="Z230" t="s">
        <v>169</v>
      </c>
      <c r="AA230" t="s">
        <v>170</v>
      </c>
      <c r="AB230">
        <v>4</v>
      </c>
      <c r="AC230" t="s">
        <v>601</v>
      </c>
      <c r="AD230">
        <v>10</v>
      </c>
      <c r="AG230" t="s">
        <v>210</v>
      </c>
      <c r="AH230" t="s">
        <v>444</v>
      </c>
      <c r="AI230" t="s">
        <v>175</v>
      </c>
      <c r="AJ230" t="s">
        <v>176</v>
      </c>
      <c r="AK230" t="s">
        <v>940</v>
      </c>
      <c r="AL230" t="s">
        <v>941</v>
      </c>
      <c r="AS230">
        <v>3100</v>
      </c>
      <c r="AT230">
        <v>3100</v>
      </c>
      <c r="BN230" t="s">
        <v>178</v>
      </c>
      <c r="BO230">
        <v>1</v>
      </c>
      <c r="BP230">
        <v>1</v>
      </c>
      <c r="BQ230">
        <v>33</v>
      </c>
      <c r="BR230" t="s">
        <v>1497</v>
      </c>
      <c r="BT230" t="s">
        <v>225</v>
      </c>
      <c r="BU230" s="1">
        <v>45572</v>
      </c>
      <c r="BV230">
        <v>35609</v>
      </c>
      <c r="BX230" t="s">
        <v>170</v>
      </c>
      <c r="BY230" t="s">
        <v>170</v>
      </c>
      <c r="CB230" t="s">
        <v>170</v>
      </c>
      <c r="CC230" t="s">
        <v>170</v>
      </c>
      <c r="CE230" t="s">
        <v>169</v>
      </c>
      <c r="CF230" t="s">
        <v>980</v>
      </c>
      <c r="CG230" t="s">
        <v>169</v>
      </c>
      <c r="CH230" t="s">
        <v>981</v>
      </c>
      <c r="CI230" t="s">
        <v>170</v>
      </c>
      <c r="DJ230" t="s">
        <v>184</v>
      </c>
      <c r="DK230" t="s">
        <v>185</v>
      </c>
      <c r="DN230" t="s">
        <v>170</v>
      </c>
      <c r="DO230" t="s">
        <v>197</v>
      </c>
      <c r="DP230" t="s">
        <v>169</v>
      </c>
      <c r="DQ230" t="s">
        <v>198</v>
      </c>
      <c r="EB230">
        <v>3</v>
      </c>
      <c r="EC230">
        <v>3</v>
      </c>
      <c r="EE230" t="s">
        <v>982</v>
      </c>
      <c r="EF230">
        <v>6</v>
      </c>
      <c r="EV230">
        <v>6000</v>
      </c>
      <c r="EW230">
        <v>594</v>
      </c>
      <c r="EX230">
        <v>462</v>
      </c>
      <c r="EY230">
        <v>535</v>
      </c>
    </row>
    <row r="231" spans="1:155" x14ac:dyDescent="0.35">
      <c r="A231">
        <v>2025</v>
      </c>
      <c r="B231" t="s">
        <v>220</v>
      </c>
      <c r="C231" t="s">
        <v>221</v>
      </c>
      <c r="D231" t="s">
        <v>1537</v>
      </c>
      <c r="E231" t="s">
        <v>223</v>
      </c>
      <c r="F231">
        <v>599</v>
      </c>
      <c r="G231">
        <v>5.3</v>
      </c>
      <c r="H231">
        <v>8</v>
      </c>
      <c r="I231" t="s">
        <v>443</v>
      </c>
      <c r="J231">
        <v>14</v>
      </c>
      <c r="K231">
        <v>18</v>
      </c>
      <c r="L231">
        <v>16</v>
      </c>
      <c r="M231">
        <v>17.399999999999999</v>
      </c>
      <c r="N231">
        <v>27.2</v>
      </c>
      <c r="O231">
        <v>20.766999999999999</v>
      </c>
      <c r="P231">
        <v>13.899699999999999</v>
      </c>
      <c r="Q231">
        <v>18.056899999999999</v>
      </c>
      <c r="R231">
        <v>15.5062</v>
      </c>
      <c r="U231" t="s">
        <v>224</v>
      </c>
      <c r="V231" t="s">
        <v>167</v>
      </c>
      <c r="W231" t="s">
        <v>168</v>
      </c>
      <c r="Y231">
        <v>10</v>
      </c>
      <c r="Z231" t="s">
        <v>169</v>
      </c>
      <c r="AA231" t="s">
        <v>170</v>
      </c>
      <c r="AB231">
        <v>4</v>
      </c>
      <c r="AC231" t="s">
        <v>601</v>
      </c>
      <c r="AD231">
        <v>10</v>
      </c>
      <c r="AG231" t="s">
        <v>210</v>
      </c>
      <c r="AH231" t="s">
        <v>444</v>
      </c>
      <c r="AI231" t="s">
        <v>175</v>
      </c>
      <c r="AJ231" t="s">
        <v>176</v>
      </c>
      <c r="AK231" t="s">
        <v>940</v>
      </c>
      <c r="AL231" t="s">
        <v>941</v>
      </c>
      <c r="AS231">
        <v>3300</v>
      </c>
      <c r="AT231">
        <v>3300</v>
      </c>
      <c r="BN231" t="s">
        <v>178</v>
      </c>
      <c r="BO231">
        <v>1</v>
      </c>
      <c r="BP231">
        <v>1</v>
      </c>
      <c r="BQ231">
        <v>33</v>
      </c>
      <c r="BR231" t="s">
        <v>1497</v>
      </c>
      <c r="BT231" t="s">
        <v>225</v>
      </c>
      <c r="BU231" s="1">
        <v>45297</v>
      </c>
      <c r="BV231">
        <v>36013</v>
      </c>
      <c r="BX231" t="s">
        <v>170</v>
      </c>
      <c r="BY231" t="s">
        <v>170</v>
      </c>
      <c r="CB231" t="s">
        <v>170</v>
      </c>
      <c r="CC231" t="s">
        <v>170</v>
      </c>
      <c r="CE231" t="s">
        <v>169</v>
      </c>
      <c r="CF231" t="s">
        <v>980</v>
      </c>
      <c r="CG231" t="s">
        <v>169</v>
      </c>
      <c r="CH231" t="s">
        <v>981</v>
      </c>
      <c r="CI231" t="s">
        <v>170</v>
      </c>
      <c r="DJ231" t="s">
        <v>184</v>
      </c>
      <c r="DK231" t="s">
        <v>185</v>
      </c>
      <c r="DN231" t="s">
        <v>170</v>
      </c>
      <c r="DO231" t="s">
        <v>197</v>
      </c>
      <c r="DP231" t="s">
        <v>170</v>
      </c>
      <c r="DQ231" t="s">
        <v>187</v>
      </c>
      <c r="DR231" t="s">
        <v>1538</v>
      </c>
      <c r="EB231">
        <v>3</v>
      </c>
      <c r="EC231">
        <v>3</v>
      </c>
      <c r="EE231" t="s">
        <v>982</v>
      </c>
      <c r="EF231">
        <v>6</v>
      </c>
      <c r="EV231">
        <v>7000</v>
      </c>
      <c r="EW231">
        <v>636</v>
      </c>
      <c r="EX231">
        <v>492</v>
      </c>
      <c r="EY231">
        <v>571</v>
      </c>
    </row>
    <row r="232" spans="1:155" x14ac:dyDescent="0.35">
      <c r="A232">
        <v>2025</v>
      </c>
      <c r="B232" t="s">
        <v>220</v>
      </c>
      <c r="C232" t="s">
        <v>221</v>
      </c>
      <c r="D232" t="s">
        <v>1537</v>
      </c>
      <c r="E232" t="s">
        <v>223</v>
      </c>
      <c r="F232">
        <v>767</v>
      </c>
      <c r="G232">
        <v>3</v>
      </c>
      <c r="H232">
        <v>6</v>
      </c>
      <c r="I232" t="s">
        <v>443</v>
      </c>
      <c r="J232">
        <v>20</v>
      </c>
      <c r="K232">
        <v>26</v>
      </c>
      <c r="L232">
        <v>22</v>
      </c>
      <c r="M232">
        <v>25.5044</v>
      </c>
      <c r="N232">
        <v>36.287399999999998</v>
      </c>
      <c r="O232">
        <v>29.441299999999998</v>
      </c>
      <c r="P232">
        <v>20.170500000000001</v>
      </c>
      <c r="Q232">
        <v>25.730399999999999</v>
      </c>
      <c r="R232">
        <v>22.3431</v>
      </c>
      <c r="T232" t="s">
        <v>165</v>
      </c>
      <c r="U232" t="s">
        <v>166</v>
      </c>
      <c r="V232" t="s">
        <v>167</v>
      </c>
      <c r="W232" t="s">
        <v>168</v>
      </c>
      <c r="Y232">
        <v>10</v>
      </c>
      <c r="Z232" t="s">
        <v>169</v>
      </c>
      <c r="AA232" t="s">
        <v>170</v>
      </c>
      <c r="AB232">
        <v>4</v>
      </c>
      <c r="AC232" t="s">
        <v>601</v>
      </c>
      <c r="AE232">
        <v>20</v>
      </c>
      <c r="AG232" t="s">
        <v>975</v>
      </c>
      <c r="AH232" t="s">
        <v>976</v>
      </c>
      <c r="AI232" t="s">
        <v>175</v>
      </c>
      <c r="AJ232" t="s">
        <v>176</v>
      </c>
      <c r="AK232" t="s">
        <v>940</v>
      </c>
      <c r="AL232" t="s">
        <v>941</v>
      </c>
      <c r="AS232">
        <v>2800</v>
      </c>
      <c r="AT232">
        <v>2800</v>
      </c>
      <c r="BO232">
        <v>2</v>
      </c>
      <c r="BP232">
        <v>2</v>
      </c>
      <c r="BQ232">
        <v>33</v>
      </c>
      <c r="BR232" t="s">
        <v>1497</v>
      </c>
      <c r="BT232" t="s">
        <v>181</v>
      </c>
      <c r="BU232" s="1">
        <v>45705</v>
      </c>
      <c r="BV232">
        <v>36131</v>
      </c>
      <c r="BX232" t="s">
        <v>170</v>
      </c>
      <c r="BY232" t="s">
        <v>170</v>
      </c>
      <c r="CB232" t="s">
        <v>170</v>
      </c>
      <c r="CC232" t="s">
        <v>170</v>
      </c>
      <c r="CE232" t="s">
        <v>170</v>
      </c>
      <c r="CG232" t="s">
        <v>170</v>
      </c>
      <c r="CI232" t="s">
        <v>170</v>
      </c>
      <c r="DJ232" t="s">
        <v>977</v>
      </c>
      <c r="DK232" t="s">
        <v>978</v>
      </c>
      <c r="DN232" t="s">
        <v>170</v>
      </c>
      <c r="DO232" t="s">
        <v>197</v>
      </c>
      <c r="DP232" t="s">
        <v>169</v>
      </c>
      <c r="DQ232" t="s">
        <v>198</v>
      </c>
      <c r="EB232">
        <v>5</v>
      </c>
      <c r="EC232">
        <v>4</v>
      </c>
      <c r="EE232" t="s">
        <v>1458</v>
      </c>
      <c r="EF232">
        <v>4</v>
      </c>
      <c r="EV232">
        <v>4500</v>
      </c>
      <c r="EW232">
        <v>504</v>
      </c>
      <c r="EX232">
        <v>395</v>
      </c>
      <c r="EY232">
        <v>455</v>
      </c>
    </row>
    <row r="233" spans="1:155" x14ac:dyDescent="0.35">
      <c r="A233">
        <v>2025</v>
      </c>
      <c r="B233" t="s">
        <v>220</v>
      </c>
      <c r="C233" t="s">
        <v>221</v>
      </c>
      <c r="D233" t="s">
        <v>1272</v>
      </c>
      <c r="E233" t="s">
        <v>223</v>
      </c>
      <c r="F233">
        <v>851</v>
      </c>
      <c r="G233">
        <v>1.3</v>
      </c>
      <c r="H233">
        <v>3</v>
      </c>
      <c r="I233" t="s">
        <v>282</v>
      </c>
      <c r="J233">
        <v>26</v>
      </c>
      <c r="K233">
        <v>29</v>
      </c>
      <c r="L233">
        <v>27</v>
      </c>
      <c r="M233">
        <v>34.5</v>
      </c>
      <c r="N233">
        <v>45.8</v>
      </c>
      <c r="O233">
        <v>38.808799999999998</v>
      </c>
      <c r="P233">
        <v>26</v>
      </c>
      <c r="Q233">
        <v>29</v>
      </c>
      <c r="R233">
        <v>27</v>
      </c>
      <c r="T233" t="s">
        <v>165</v>
      </c>
      <c r="U233" t="s">
        <v>166</v>
      </c>
      <c r="V233" t="s">
        <v>167</v>
      </c>
      <c r="W233" t="s">
        <v>168</v>
      </c>
      <c r="Y233">
        <v>9</v>
      </c>
      <c r="Z233" t="s">
        <v>169</v>
      </c>
      <c r="AA233" t="s">
        <v>170</v>
      </c>
      <c r="AB233" t="s">
        <v>167</v>
      </c>
      <c r="AC233" t="s">
        <v>213</v>
      </c>
      <c r="AD233">
        <v>10</v>
      </c>
      <c r="AG233" t="s">
        <v>210</v>
      </c>
      <c r="AH233" t="s">
        <v>444</v>
      </c>
      <c r="AI233" t="s">
        <v>175</v>
      </c>
      <c r="AJ233" t="s">
        <v>176</v>
      </c>
      <c r="AK233" t="s">
        <v>940</v>
      </c>
      <c r="AL233" t="s">
        <v>941</v>
      </c>
      <c r="AS233">
        <v>1950</v>
      </c>
      <c r="AT233">
        <v>1950</v>
      </c>
      <c r="BN233" t="s">
        <v>178</v>
      </c>
      <c r="BO233">
        <v>2</v>
      </c>
      <c r="BP233">
        <v>2</v>
      </c>
      <c r="BQ233">
        <v>31</v>
      </c>
      <c r="BR233" t="s">
        <v>1219</v>
      </c>
      <c r="BT233" t="s">
        <v>457</v>
      </c>
      <c r="BU233" s="1">
        <v>45383</v>
      </c>
      <c r="BV233">
        <v>34604</v>
      </c>
      <c r="BX233" t="s">
        <v>170</v>
      </c>
      <c r="BY233" t="s">
        <v>170</v>
      </c>
      <c r="CB233" t="s">
        <v>170</v>
      </c>
      <c r="CC233" t="s">
        <v>170</v>
      </c>
      <c r="CE233" t="s">
        <v>170</v>
      </c>
      <c r="CG233" t="s">
        <v>169</v>
      </c>
      <c r="CH233" t="s">
        <v>905</v>
      </c>
      <c r="CI233" t="s">
        <v>170</v>
      </c>
      <c r="DJ233" t="s">
        <v>184</v>
      </c>
      <c r="DK233" t="s">
        <v>185</v>
      </c>
      <c r="DN233" t="s">
        <v>170</v>
      </c>
      <c r="DO233" t="s">
        <v>490</v>
      </c>
      <c r="DP233" t="s">
        <v>169</v>
      </c>
      <c r="DQ233" t="s">
        <v>198</v>
      </c>
      <c r="EB233">
        <v>5</v>
      </c>
      <c r="EC233">
        <v>5</v>
      </c>
      <c r="EE233" t="s">
        <v>1102</v>
      </c>
      <c r="EF233">
        <v>6</v>
      </c>
      <c r="EV233">
        <v>250</v>
      </c>
      <c r="EW233">
        <v>342</v>
      </c>
      <c r="EX233">
        <v>305</v>
      </c>
      <c r="EY233">
        <v>329</v>
      </c>
    </row>
    <row r="234" spans="1:155" x14ac:dyDescent="0.35">
      <c r="A234">
        <v>2025</v>
      </c>
      <c r="B234" t="s">
        <v>220</v>
      </c>
      <c r="C234" t="s">
        <v>221</v>
      </c>
      <c r="D234" t="s">
        <v>1110</v>
      </c>
      <c r="E234" t="s">
        <v>223</v>
      </c>
      <c r="F234">
        <v>302</v>
      </c>
      <c r="G234">
        <v>1.3</v>
      </c>
      <c r="H234">
        <v>3</v>
      </c>
      <c r="I234" t="s">
        <v>587</v>
      </c>
      <c r="J234">
        <v>29</v>
      </c>
      <c r="K234">
        <v>33</v>
      </c>
      <c r="L234">
        <v>31</v>
      </c>
      <c r="M234">
        <v>39.6</v>
      </c>
      <c r="N234">
        <v>50.9</v>
      </c>
      <c r="O234">
        <v>43.995199999999997</v>
      </c>
      <c r="P234">
        <v>29</v>
      </c>
      <c r="Q234">
        <v>33</v>
      </c>
      <c r="R234">
        <v>31.462399999999999</v>
      </c>
      <c r="T234" t="s">
        <v>165</v>
      </c>
      <c r="U234" t="s">
        <v>166</v>
      </c>
      <c r="V234" t="s">
        <v>588</v>
      </c>
      <c r="W234" t="s">
        <v>589</v>
      </c>
      <c r="Y234">
        <v>1</v>
      </c>
      <c r="Z234" t="s">
        <v>170</v>
      </c>
      <c r="AA234" t="s">
        <v>170</v>
      </c>
      <c r="AB234" t="s">
        <v>351</v>
      </c>
      <c r="AC234" t="s">
        <v>352</v>
      </c>
      <c r="AD234">
        <v>10</v>
      </c>
      <c r="AG234" t="s">
        <v>210</v>
      </c>
      <c r="AH234" t="s">
        <v>444</v>
      </c>
      <c r="AI234" t="s">
        <v>175</v>
      </c>
      <c r="AJ234" t="s">
        <v>176</v>
      </c>
      <c r="AK234" t="s">
        <v>940</v>
      </c>
      <c r="AL234" t="s">
        <v>941</v>
      </c>
      <c r="AS234">
        <v>1700</v>
      </c>
      <c r="AT234">
        <v>1700</v>
      </c>
      <c r="BN234" t="s">
        <v>178</v>
      </c>
      <c r="BO234">
        <v>2</v>
      </c>
      <c r="BP234">
        <v>2</v>
      </c>
      <c r="BQ234">
        <v>30</v>
      </c>
      <c r="BR234" t="s">
        <v>1099</v>
      </c>
      <c r="BT234" t="s">
        <v>457</v>
      </c>
      <c r="BU234" s="1">
        <v>45383</v>
      </c>
      <c r="BV234">
        <v>34606</v>
      </c>
      <c r="BX234" t="s">
        <v>170</v>
      </c>
      <c r="BY234" t="s">
        <v>170</v>
      </c>
      <c r="CB234" t="s">
        <v>170</v>
      </c>
      <c r="CC234" t="s">
        <v>170</v>
      </c>
      <c r="CE234" t="s">
        <v>170</v>
      </c>
      <c r="CG234" t="s">
        <v>169</v>
      </c>
      <c r="CH234" t="s">
        <v>905</v>
      </c>
      <c r="CI234" t="s">
        <v>170</v>
      </c>
      <c r="DJ234" t="s">
        <v>184</v>
      </c>
      <c r="DK234" t="s">
        <v>185</v>
      </c>
      <c r="DN234" t="s">
        <v>170</v>
      </c>
      <c r="DO234" t="s">
        <v>490</v>
      </c>
      <c r="DP234" t="s">
        <v>169</v>
      </c>
      <c r="DQ234" t="s">
        <v>198</v>
      </c>
      <c r="DY234">
        <v>44.3</v>
      </c>
      <c r="EB234">
        <v>6</v>
      </c>
      <c r="EC234">
        <v>6</v>
      </c>
      <c r="EE234" t="s">
        <v>1102</v>
      </c>
      <c r="EF234">
        <v>6</v>
      </c>
      <c r="EU234">
        <v>1000</v>
      </c>
      <c r="EW234">
        <v>307</v>
      </c>
      <c r="EX234">
        <v>269</v>
      </c>
      <c r="EY234">
        <v>287</v>
      </c>
    </row>
    <row r="235" spans="1:155" x14ac:dyDescent="0.35">
      <c r="A235">
        <v>2025</v>
      </c>
      <c r="B235" t="s">
        <v>220</v>
      </c>
      <c r="C235" t="s">
        <v>221</v>
      </c>
      <c r="D235" t="s">
        <v>1110</v>
      </c>
      <c r="E235" t="s">
        <v>223</v>
      </c>
      <c r="F235">
        <v>306</v>
      </c>
      <c r="G235">
        <v>1.2</v>
      </c>
      <c r="H235">
        <v>3</v>
      </c>
      <c r="I235" t="s">
        <v>587</v>
      </c>
      <c r="J235">
        <v>30</v>
      </c>
      <c r="K235">
        <v>31</v>
      </c>
      <c r="L235">
        <v>30</v>
      </c>
      <c r="M235">
        <v>40.242400000000004</v>
      </c>
      <c r="N235">
        <v>47.840600000000002</v>
      </c>
      <c r="O235">
        <v>43.3399</v>
      </c>
      <c r="P235">
        <v>30.377800000000001</v>
      </c>
      <c r="Q235">
        <v>31.354600000000001</v>
      </c>
      <c r="R235">
        <v>30</v>
      </c>
      <c r="T235" t="s">
        <v>165</v>
      </c>
      <c r="U235" t="s">
        <v>166</v>
      </c>
      <c r="V235" t="s">
        <v>588</v>
      </c>
      <c r="W235" t="s">
        <v>589</v>
      </c>
      <c r="Y235">
        <v>1</v>
      </c>
      <c r="Z235" t="s">
        <v>170</v>
      </c>
      <c r="AA235" t="s">
        <v>170</v>
      </c>
      <c r="AB235" t="s">
        <v>351</v>
      </c>
      <c r="AC235" t="s">
        <v>352</v>
      </c>
      <c r="AD235">
        <v>85</v>
      </c>
      <c r="AF235">
        <v>396</v>
      </c>
      <c r="AG235" t="s">
        <v>210</v>
      </c>
      <c r="AH235" t="s">
        <v>444</v>
      </c>
      <c r="AI235" t="s">
        <v>175</v>
      </c>
      <c r="AJ235" t="s">
        <v>176</v>
      </c>
      <c r="AK235" t="s">
        <v>940</v>
      </c>
      <c r="AL235" t="s">
        <v>941</v>
      </c>
      <c r="AS235">
        <v>1750</v>
      </c>
      <c r="AT235">
        <v>1750</v>
      </c>
      <c r="AU235">
        <v>22</v>
      </c>
      <c r="AV235">
        <v>23</v>
      </c>
      <c r="AW235">
        <v>22</v>
      </c>
      <c r="AX235">
        <v>28.691700000000001</v>
      </c>
      <c r="AY235">
        <v>35.078800000000001</v>
      </c>
      <c r="AZ235">
        <v>31.252400000000002</v>
      </c>
      <c r="BA235">
        <v>21.659400000000002</v>
      </c>
      <c r="BB235">
        <v>22.991700000000002</v>
      </c>
      <c r="BC235">
        <v>22.2393</v>
      </c>
      <c r="BD235">
        <v>290</v>
      </c>
      <c r="BE235" t="s">
        <v>907</v>
      </c>
      <c r="BF235" t="s">
        <v>908</v>
      </c>
      <c r="BG235" t="s">
        <v>175</v>
      </c>
      <c r="BH235" t="s">
        <v>176</v>
      </c>
      <c r="BI235">
        <v>2100</v>
      </c>
      <c r="BJ235">
        <v>291</v>
      </c>
      <c r="BK235">
        <v>274</v>
      </c>
      <c r="BL235">
        <v>284</v>
      </c>
      <c r="BM235">
        <v>2100</v>
      </c>
      <c r="BN235" t="s">
        <v>909</v>
      </c>
      <c r="BO235">
        <v>2</v>
      </c>
      <c r="BP235">
        <v>2</v>
      </c>
      <c r="BQ235">
        <v>30</v>
      </c>
      <c r="BR235" t="s">
        <v>1099</v>
      </c>
      <c r="BT235" t="s">
        <v>457</v>
      </c>
      <c r="BU235" s="1">
        <v>45386</v>
      </c>
      <c r="BV235">
        <v>34636</v>
      </c>
      <c r="BX235" t="s">
        <v>170</v>
      </c>
      <c r="BY235" t="s">
        <v>170</v>
      </c>
      <c r="CB235" t="s">
        <v>170</v>
      </c>
      <c r="CC235" t="s">
        <v>170</v>
      </c>
      <c r="CD235" t="s">
        <v>904</v>
      </c>
      <c r="CE235" t="s">
        <v>170</v>
      </c>
      <c r="CG235" t="s">
        <v>169</v>
      </c>
      <c r="CH235" t="s">
        <v>905</v>
      </c>
      <c r="CI235" t="s">
        <v>170</v>
      </c>
      <c r="DJ235" t="s">
        <v>184</v>
      </c>
      <c r="DK235" t="s">
        <v>185</v>
      </c>
      <c r="DN235" t="s">
        <v>170</v>
      </c>
      <c r="DO235" t="s">
        <v>197</v>
      </c>
      <c r="DP235" t="s">
        <v>169</v>
      </c>
      <c r="DQ235" t="s">
        <v>198</v>
      </c>
      <c r="DY235">
        <v>43.6</v>
      </c>
      <c r="EB235">
        <v>6</v>
      </c>
      <c r="EC235">
        <v>6</v>
      </c>
      <c r="ED235">
        <v>6</v>
      </c>
      <c r="EE235" t="s">
        <v>910</v>
      </c>
      <c r="EF235">
        <v>6</v>
      </c>
      <c r="EU235">
        <v>750</v>
      </c>
      <c r="EW235">
        <v>293</v>
      </c>
      <c r="EX235">
        <v>284</v>
      </c>
      <c r="EY235">
        <v>297</v>
      </c>
    </row>
    <row r="236" spans="1:155" x14ac:dyDescent="0.35">
      <c r="A236">
        <v>2025</v>
      </c>
      <c r="B236" t="s">
        <v>220</v>
      </c>
      <c r="C236" t="s">
        <v>221</v>
      </c>
      <c r="D236" t="s">
        <v>1539</v>
      </c>
      <c r="E236" t="s">
        <v>223</v>
      </c>
      <c r="F236">
        <v>857</v>
      </c>
      <c r="G236">
        <v>2.5</v>
      </c>
      <c r="H236">
        <v>4</v>
      </c>
      <c r="I236" t="s">
        <v>164</v>
      </c>
      <c r="J236">
        <v>19</v>
      </c>
      <c r="K236">
        <v>24</v>
      </c>
      <c r="L236">
        <v>21</v>
      </c>
      <c r="M236">
        <v>25.3765</v>
      </c>
      <c r="N236">
        <v>35.774099999999997</v>
      </c>
      <c r="O236">
        <v>29.194900000000001</v>
      </c>
      <c r="P236">
        <v>19.102799999999998</v>
      </c>
      <c r="Q236">
        <v>23.7789</v>
      </c>
      <c r="R236">
        <v>20.9574</v>
      </c>
      <c r="T236" t="s">
        <v>165</v>
      </c>
      <c r="U236" t="s">
        <v>166</v>
      </c>
      <c r="V236" t="s">
        <v>167</v>
      </c>
      <c r="W236" t="s">
        <v>168</v>
      </c>
      <c r="Y236">
        <v>8</v>
      </c>
      <c r="Z236" t="s">
        <v>169</v>
      </c>
      <c r="AA236" t="s">
        <v>170</v>
      </c>
      <c r="AB236" t="s">
        <v>167</v>
      </c>
      <c r="AC236" t="s">
        <v>213</v>
      </c>
      <c r="AD236">
        <v>10</v>
      </c>
      <c r="AG236" t="s">
        <v>210</v>
      </c>
      <c r="AH236" t="s">
        <v>444</v>
      </c>
      <c r="AI236" t="s">
        <v>175</v>
      </c>
      <c r="AJ236" t="s">
        <v>176</v>
      </c>
      <c r="AK236" t="s">
        <v>940</v>
      </c>
      <c r="AL236" t="s">
        <v>941</v>
      </c>
      <c r="AS236">
        <v>2500</v>
      </c>
      <c r="AT236">
        <v>2500</v>
      </c>
      <c r="BN236" t="s">
        <v>178</v>
      </c>
      <c r="BO236">
        <v>2</v>
      </c>
      <c r="BP236">
        <v>2</v>
      </c>
      <c r="BQ236">
        <v>33</v>
      </c>
      <c r="BR236" t="s">
        <v>1497</v>
      </c>
      <c r="BT236" t="s">
        <v>225</v>
      </c>
      <c r="BU236" s="1">
        <v>45460</v>
      </c>
      <c r="BV236">
        <v>34935</v>
      </c>
      <c r="BX236" t="s">
        <v>170</v>
      </c>
      <c r="BY236" t="s">
        <v>170</v>
      </c>
      <c r="CB236" t="s">
        <v>170</v>
      </c>
      <c r="CC236" t="s">
        <v>170</v>
      </c>
      <c r="CE236" t="s">
        <v>170</v>
      </c>
      <c r="CG236" t="s">
        <v>169</v>
      </c>
      <c r="CH236" t="s">
        <v>240</v>
      </c>
      <c r="CI236" t="s">
        <v>170</v>
      </c>
      <c r="DJ236" t="s">
        <v>184</v>
      </c>
      <c r="DK236" t="s">
        <v>185</v>
      </c>
      <c r="DN236" t="s">
        <v>170</v>
      </c>
      <c r="DO236" t="s">
        <v>197</v>
      </c>
      <c r="DP236" t="s">
        <v>169</v>
      </c>
      <c r="DQ236" t="s">
        <v>198</v>
      </c>
      <c r="EB236">
        <v>4</v>
      </c>
      <c r="EC236">
        <v>4</v>
      </c>
      <c r="EE236" t="s">
        <v>1455</v>
      </c>
      <c r="EF236">
        <v>5</v>
      </c>
      <c r="EV236">
        <v>3000</v>
      </c>
      <c r="EW236">
        <v>462</v>
      </c>
      <c r="EX236">
        <v>374</v>
      </c>
      <c r="EY236">
        <v>422</v>
      </c>
    </row>
    <row r="237" spans="1:155" x14ac:dyDescent="0.35">
      <c r="A237">
        <v>2025</v>
      </c>
      <c r="B237" t="s">
        <v>220</v>
      </c>
      <c r="C237" t="s">
        <v>221</v>
      </c>
      <c r="D237" t="s">
        <v>1460</v>
      </c>
      <c r="E237" t="s">
        <v>223</v>
      </c>
      <c r="F237">
        <v>852</v>
      </c>
      <c r="G237">
        <v>2.5</v>
      </c>
      <c r="H237">
        <v>4</v>
      </c>
      <c r="I237" t="s">
        <v>164</v>
      </c>
      <c r="J237">
        <v>20</v>
      </c>
      <c r="K237">
        <v>27</v>
      </c>
      <c r="L237">
        <v>23</v>
      </c>
      <c r="M237">
        <v>26.5688</v>
      </c>
      <c r="N237">
        <v>39.743600000000001</v>
      </c>
      <c r="O237">
        <v>31.227</v>
      </c>
      <c r="P237">
        <v>20.4345</v>
      </c>
      <c r="Q237">
        <v>26.6084</v>
      </c>
      <c r="R237">
        <v>22.8169</v>
      </c>
      <c r="T237" t="s">
        <v>165</v>
      </c>
      <c r="U237" t="s">
        <v>166</v>
      </c>
      <c r="V237" t="s">
        <v>167</v>
      </c>
      <c r="W237" t="s">
        <v>168</v>
      </c>
      <c r="Y237">
        <v>8</v>
      </c>
      <c r="Z237" t="s">
        <v>169</v>
      </c>
      <c r="AA237" t="s">
        <v>170</v>
      </c>
      <c r="AB237" t="s">
        <v>351</v>
      </c>
      <c r="AC237" t="s">
        <v>352</v>
      </c>
      <c r="AD237">
        <v>10</v>
      </c>
      <c r="AG237" t="s">
        <v>210</v>
      </c>
      <c r="AH237" t="s">
        <v>444</v>
      </c>
      <c r="AI237" t="s">
        <v>175</v>
      </c>
      <c r="AJ237" t="s">
        <v>176</v>
      </c>
      <c r="AK237" t="s">
        <v>940</v>
      </c>
      <c r="AL237" t="s">
        <v>941</v>
      </c>
      <c r="AS237">
        <v>2300</v>
      </c>
      <c r="AT237">
        <v>2300</v>
      </c>
      <c r="BN237" t="s">
        <v>178</v>
      </c>
      <c r="BO237">
        <v>2</v>
      </c>
      <c r="BP237">
        <v>2</v>
      </c>
      <c r="BQ237">
        <v>32</v>
      </c>
      <c r="BR237" t="s">
        <v>1453</v>
      </c>
      <c r="BT237" t="s">
        <v>225</v>
      </c>
      <c r="BU237" s="1">
        <v>45460</v>
      </c>
      <c r="BV237">
        <v>34936</v>
      </c>
      <c r="BX237" t="s">
        <v>170</v>
      </c>
      <c r="BY237" t="s">
        <v>170</v>
      </c>
      <c r="CB237" t="s">
        <v>170</v>
      </c>
      <c r="CC237" t="s">
        <v>170</v>
      </c>
      <c r="CE237" t="s">
        <v>170</v>
      </c>
      <c r="CG237" t="s">
        <v>169</v>
      </c>
      <c r="CH237" t="s">
        <v>240</v>
      </c>
      <c r="CI237" t="s">
        <v>170</v>
      </c>
      <c r="DJ237" t="s">
        <v>184</v>
      </c>
      <c r="DK237" t="s">
        <v>185</v>
      </c>
      <c r="DN237" t="s">
        <v>170</v>
      </c>
      <c r="DO237" t="s">
        <v>197</v>
      </c>
      <c r="DP237" t="s">
        <v>169</v>
      </c>
      <c r="DQ237" t="s">
        <v>198</v>
      </c>
      <c r="EB237">
        <v>5</v>
      </c>
      <c r="EC237">
        <v>5</v>
      </c>
      <c r="EE237" t="s">
        <v>1455</v>
      </c>
      <c r="EF237">
        <v>5</v>
      </c>
      <c r="EV237">
        <v>2000</v>
      </c>
      <c r="EW237">
        <v>431</v>
      </c>
      <c r="EX237">
        <v>334</v>
      </c>
      <c r="EY237">
        <v>388</v>
      </c>
    </row>
    <row r="238" spans="1:155" x14ac:dyDescent="0.35">
      <c r="A238">
        <v>2025</v>
      </c>
      <c r="B238" t="s">
        <v>220</v>
      </c>
      <c r="C238" t="s">
        <v>221</v>
      </c>
      <c r="D238" t="s">
        <v>911</v>
      </c>
      <c r="E238" t="s">
        <v>223</v>
      </c>
      <c r="F238">
        <v>300</v>
      </c>
      <c r="G238">
        <v>1.2</v>
      </c>
      <c r="H238">
        <v>3</v>
      </c>
      <c r="I238" t="s">
        <v>903</v>
      </c>
      <c r="J238">
        <v>28</v>
      </c>
      <c r="K238">
        <v>32</v>
      </c>
      <c r="L238">
        <v>30</v>
      </c>
      <c r="M238">
        <v>38.1</v>
      </c>
      <c r="N238">
        <v>51.5</v>
      </c>
      <c r="O238">
        <v>43.1526</v>
      </c>
      <c r="P238">
        <v>28</v>
      </c>
      <c r="Q238">
        <v>32</v>
      </c>
      <c r="R238">
        <v>30</v>
      </c>
      <c r="T238" t="s">
        <v>165</v>
      </c>
      <c r="U238" t="s">
        <v>166</v>
      </c>
      <c r="V238" t="s">
        <v>167</v>
      </c>
      <c r="W238" t="s">
        <v>168</v>
      </c>
      <c r="Y238">
        <v>6</v>
      </c>
      <c r="Z238" t="s">
        <v>169</v>
      </c>
      <c r="AA238" t="s">
        <v>170</v>
      </c>
      <c r="AB238" t="s">
        <v>351</v>
      </c>
      <c r="AC238" t="s">
        <v>352</v>
      </c>
      <c r="AD238">
        <v>85</v>
      </c>
      <c r="AF238">
        <v>393</v>
      </c>
      <c r="AG238" t="s">
        <v>210</v>
      </c>
      <c r="AH238" t="s">
        <v>444</v>
      </c>
      <c r="AI238" t="s">
        <v>175</v>
      </c>
      <c r="AJ238" t="s">
        <v>176</v>
      </c>
      <c r="AK238" t="s">
        <v>170</v>
      </c>
      <c r="AL238" t="s">
        <v>177</v>
      </c>
      <c r="AO238">
        <v>98</v>
      </c>
      <c r="AP238">
        <v>25</v>
      </c>
      <c r="AS238">
        <v>1750</v>
      </c>
      <c r="AT238">
        <v>1750</v>
      </c>
      <c r="AU238">
        <v>21</v>
      </c>
      <c r="AV238">
        <v>24</v>
      </c>
      <c r="AW238">
        <v>22</v>
      </c>
      <c r="AX238">
        <v>27.6</v>
      </c>
      <c r="AY238">
        <v>37.700000000000003</v>
      </c>
      <c r="AZ238">
        <v>31.383500000000002</v>
      </c>
      <c r="BA238">
        <v>20.973199999999999</v>
      </c>
      <c r="BB238">
        <v>23.977900000000002</v>
      </c>
      <c r="BC238">
        <v>22.226500000000001</v>
      </c>
      <c r="BD238">
        <v>288</v>
      </c>
      <c r="BE238" t="s">
        <v>907</v>
      </c>
      <c r="BF238" t="s">
        <v>908</v>
      </c>
      <c r="BG238" t="s">
        <v>175</v>
      </c>
      <c r="BH238" t="s">
        <v>176</v>
      </c>
      <c r="BI238">
        <v>2100</v>
      </c>
      <c r="BJ238">
        <v>302</v>
      </c>
      <c r="BK238">
        <v>263</v>
      </c>
      <c r="BL238">
        <v>285</v>
      </c>
      <c r="BM238">
        <v>2100</v>
      </c>
      <c r="BN238" t="s">
        <v>909</v>
      </c>
      <c r="BO238">
        <v>2</v>
      </c>
      <c r="BP238">
        <v>2</v>
      </c>
      <c r="BQ238">
        <v>7</v>
      </c>
      <c r="BR238" t="s">
        <v>897</v>
      </c>
      <c r="BS238" t="s">
        <v>180</v>
      </c>
      <c r="BT238" t="s">
        <v>457</v>
      </c>
      <c r="BU238" s="1">
        <v>45355</v>
      </c>
      <c r="BV238">
        <v>34504</v>
      </c>
      <c r="BX238" t="s">
        <v>170</v>
      </c>
      <c r="BY238" t="s">
        <v>170</v>
      </c>
      <c r="CB238" t="s">
        <v>170</v>
      </c>
      <c r="CC238" t="s">
        <v>170</v>
      </c>
      <c r="CD238" t="s">
        <v>904</v>
      </c>
      <c r="CE238" t="s">
        <v>170</v>
      </c>
      <c r="CG238" t="s">
        <v>169</v>
      </c>
      <c r="CH238" t="s">
        <v>905</v>
      </c>
      <c r="CI238" t="s">
        <v>170</v>
      </c>
      <c r="DJ238" t="s">
        <v>184</v>
      </c>
      <c r="DK238" t="s">
        <v>185</v>
      </c>
      <c r="DN238" t="s">
        <v>170</v>
      </c>
      <c r="DO238" t="s">
        <v>197</v>
      </c>
      <c r="DP238" t="s">
        <v>169</v>
      </c>
      <c r="DQ238" t="s">
        <v>198</v>
      </c>
      <c r="DY238">
        <v>44.2</v>
      </c>
      <c r="EB238">
        <v>6</v>
      </c>
      <c r="EC238">
        <v>6</v>
      </c>
      <c r="ED238">
        <v>6</v>
      </c>
      <c r="EE238" t="s">
        <v>910</v>
      </c>
      <c r="EF238">
        <v>6</v>
      </c>
      <c r="EU238">
        <v>750</v>
      </c>
      <c r="EW238">
        <v>318</v>
      </c>
      <c r="EX238">
        <v>277</v>
      </c>
      <c r="EY238">
        <v>296</v>
      </c>
    </row>
    <row r="239" spans="1:155" x14ac:dyDescent="0.35">
      <c r="A239">
        <v>2025</v>
      </c>
      <c r="B239" t="s">
        <v>220</v>
      </c>
      <c r="C239" t="s">
        <v>221</v>
      </c>
      <c r="D239" t="s">
        <v>911</v>
      </c>
      <c r="E239" t="s">
        <v>223</v>
      </c>
      <c r="F239">
        <v>303</v>
      </c>
      <c r="G239">
        <v>1.2</v>
      </c>
      <c r="H239">
        <v>3</v>
      </c>
      <c r="I239" t="s">
        <v>903</v>
      </c>
      <c r="J239">
        <v>28</v>
      </c>
      <c r="K239">
        <v>31</v>
      </c>
      <c r="L239">
        <v>29</v>
      </c>
      <c r="M239">
        <v>36.060099999999998</v>
      </c>
      <c r="N239">
        <v>47.216099999999997</v>
      </c>
      <c r="O239">
        <v>40.350299999999997</v>
      </c>
      <c r="P239">
        <v>27.576899999999998</v>
      </c>
      <c r="Q239">
        <v>30.976400000000002</v>
      </c>
      <c r="R239">
        <v>29.009499999999999</v>
      </c>
      <c r="T239" t="s">
        <v>165</v>
      </c>
      <c r="U239" t="s">
        <v>166</v>
      </c>
      <c r="V239" t="s">
        <v>167</v>
      </c>
      <c r="W239" t="s">
        <v>168</v>
      </c>
      <c r="Y239">
        <v>6</v>
      </c>
      <c r="Z239" t="s">
        <v>169</v>
      </c>
      <c r="AA239" t="s">
        <v>170</v>
      </c>
      <c r="AB239" t="s">
        <v>351</v>
      </c>
      <c r="AC239" t="s">
        <v>352</v>
      </c>
      <c r="AD239">
        <v>10</v>
      </c>
      <c r="AG239" t="s">
        <v>210</v>
      </c>
      <c r="AH239" t="s">
        <v>444</v>
      </c>
      <c r="AI239" t="s">
        <v>175</v>
      </c>
      <c r="AJ239" t="s">
        <v>176</v>
      </c>
      <c r="AK239" t="s">
        <v>170</v>
      </c>
      <c r="AL239" t="s">
        <v>177</v>
      </c>
      <c r="AO239">
        <v>98</v>
      </c>
      <c r="AP239">
        <v>25</v>
      </c>
      <c r="AS239">
        <v>1800</v>
      </c>
      <c r="AT239">
        <v>1800</v>
      </c>
      <c r="BN239" t="s">
        <v>178</v>
      </c>
      <c r="BO239">
        <v>2</v>
      </c>
      <c r="BP239">
        <v>2</v>
      </c>
      <c r="BQ239">
        <v>7</v>
      </c>
      <c r="BR239" t="s">
        <v>897</v>
      </c>
      <c r="BS239" t="s">
        <v>180</v>
      </c>
      <c r="BT239" t="s">
        <v>457</v>
      </c>
      <c r="BU239" s="1">
        <v>45373</v>
      </c>
      <c r="BV239">
        <v>34602</v>
      </c>
      <c r="BX239" t="s">
        <v>170</v>
      </c>
      <c r="BY239" t="s">
        <v>170</v>
      </c>
      <c r="CB239" t="s">
        <v>170</v>
      </c>
      <c r="CC239" t="s">
        <v>170</v>
      </c>
      <c r="CD239" t="s">
        <v>904</v>
      </c>
      <c r="CE239" t="s">
        <v>170</v>
      </c>
      <c r="CG239" t="s">
        <v>169</v>
      </c>
      <c r="CH239" t="s">
        <v>905</v>
      </c>
      <c r="CI239" t="s">
        <v>170</v>
      </c>
      <c r="DJ239" t="s">
        <v>184</v>
      </c>
      <c r="DK239" t="s">
        <v>185</v>
      </c>
      <c r="DN239" t="s">
        <v>170</v>
      </c>
      <c r="DO239" t="s">
        <v>197</v>
      </c>
      <c r="DP239" t="s">
        <v>169</v>
      </c>
      <c r="DQ239" t="s">
        <v>198</v>
      </c>
      <c r="DY239">
        <v>41.4</v>
      </c>
      <c r="EB239">
        <v>6</v>
      </c>
      <c r="EC239">
        <v>6</v>
      </c>
      <c r="EE239" t="s">
        <v>906</v>
      </c>
      <c r="EF239">
        <v>6</v>
      </c>
      <c r="EU239">
        <v>500</v>
      </c>
      <c r="EW239">
        <v>322</v>
      </c>
      <c r="EX239">
        <v>286</v>
      </c>
      <c r="EY239">
        <v>306</v>
      </c>
    </row>
    <row r="240" spans="1:155" x14ac:dyDescent="0.35">
      <c r="A240">
        <v>2025</v>
      </c>
      <c r="B240" t="s">
        <v>668</v>
      </c>
      <c r="C240" t="s">
        <v>1077</v>
      </c>
      <c r="D240" t="s">
        <v>1078</v>
      </c>
      <c r="E240" t="s">
        <v>671</v>
      </c>
      <c r="F240">
        <v>517</v>
      </c>
      <c r="G240">
        <v>3.6</v>
      </c>
      <c r="H240">
        <v>6</v>
      </c>
      <c r="I240" t="s">
        <v>282</v>
      </c>
      <c r="J240">
        <v>19</v>
      </c>
      <c r="K240">
        <v>28</v>
      </c>
      <c r="L240">
        <v>22</v>
      </c>
      <c r="M240">
        <v>23.8933</v>
      </c>
      <c r="N240">
        <v>40</v>
      </c>
      <c r="O240">
        <v>29.180900000000001</v>
      </c>
      <c r="P240">
        <v>18.9954</v>
      </c>
      <c r="Q240">
        <v>28.1266</v>
      </c>
      <c r="R240">
        <v>22.245200000000001</v>
      </c>
      <c r="U240" t="s">
        <v>224</v>
      </c>
      <c r="V240" t="s">
        <v>167</v>
      </c>
      <c r="W240" t="s">
        <v>168</v>
      </c>
      <c r="Y240">
        <v>9</v>
      </c>
      <c r="Z240" t="s">
        <v>169</v>
      </c>
      <c r="AA240" t="s">
        <v>170</v>
      </c>
      <c r="AB240" t="s">
        <v>351</v>
      </c>
      <c r="AC240" t="s">
        <v>352</v>
      </c>
      <c r="AD240">
        <v>10</v>
      </c>
      <c r="AG240" t="s">
        <v>210</v>
      </c>
      <c r="AH240" t="s">
        <v>444</v>
      </c>
      <c r="AI240" t="s">
        <v>175</v>
      </c>
      <c r="AJ240" t="s">
        <v>176</v>
      </c>
      <c r="AK240" t="s">
        <v>940</v>
      </c>
      <c r="AL240" t="s">
        <v>941</v>
      </c>
      <c r="AS240">
        <v>2400</v>
      </c>
      <c r="AT240">
        <v>2400</v>
      </c>
      <c r="BO240">
        <v>2</v>
      </c>
      <c r="BP240">
        <v>2</v>
      </c>
      <c r="BQ240">
        <v>20</v>
      </c>
      <c r="BR240" t="s">
        <v>1079</v>
      </c>
      <c r="BS240">
        <v>1</v>
      </c>
      <c r="BT240" t="s">
        <v>181</v>
      </c>
      <c r="BU240" s="1">
        <v>45488</v>
      </c>
      <c r="BV240">
        <v>35190</v>
      </c>
      <c r="BX240" t="s">
        <v>170</v>
      </c>
      <c r="BY240" t="s">
        <v>170</v>
      </c>
      <c r="CB240" t="s">
        <v>170</v>
      </c>
      <c r="CC240" t="s">
        <v>170</v>
      </c>
      <c r="CE240" t="s">
        <v>170</v>
      </c>
      <c r="CG240" t="s">
        <v>169</v>
      </c>
      <c r="CH240" t="s">
        <v>240</v>
      </c>
      <c r="CI240" t="s">
        <v>170</v>
      </c>
      <c r="DJ240" t="s">
        <v>449</v>
      </c>
      <c r="DK240" t="s">
        <v>450</v>
      </c>
      <c r="DN240" t="s">
        <v>170</v>
      </c>
      <c r="DO240" t="s">
        <v>358</v>
      </c>
      <c r="DP240" t="s">
        <v>169</v>
      </c>
      <c r="DQ240" t="s">
        <v>198</v>
      </c>
      <c r="EB240">
        <v>5</v>
      </c>
      <c r="EC240">
        <v>5</v>
      </c>
      <c r="EE240" t="s">
        <v>1080</v>
      </c>
      <c r="EF240">
        <v>6</v>
      </c>
      <c r="EV240">
        <v>2500</v>
      </c>
      <c r="EW240">
        <v>469</v>
      </c>
      <c r="EX240">
        <v>317</v>
      </c>
      <c r="EY240">
        <v>401</v>
      </c>
    </row>
    <row r="241" spans="1:155" x14ac:dyDescent="0.35">
      <c r="A241">
        <v>2025</v>
      </c>
      <c r="B241" t="s">
        <v>668</v>
      </c>
      <c r="C241" t="s">
        <v>1077</v>
      </c>
      <c r="D241" t="s">
        <v>1095</v>
      </c>
      <c r="E241" t="s">
        <v>671</v>
      </c>
      <c r="F241">
        <v>532</v>
      </c>
      <c r="G241">
        <v>3.6</v>
      </c>
      <c r="H241">
        <v>6</v>
      </c>
      <c r="I241" t="s">
        <v>282</v>
      </c>
      <c r="J241">
        <v>17</v>
      </c>
      <c r="K241">
        <v>25</v>
      </c>
      <c r="L241">
        <v>20</v>
      </c>
      <c r="M241">
        <v>20.7</v>
      </c>
      <c r="N241">
        <v>35.4</v>
      </c>
      <c r="O241">
        <v>25.457000000000001</v>
      </c>
      <c r="P241">
        <v>16.6294</v>
      </c>
      <c r="Q241">
        <v>25.151700000000002</v>
      </c>
      <c r="R241">
        <v>19.621200000000002</v>
      </c>
      <c r="U241" t="s">
        <v>224</v>
      </c>
      <c r="V241" t="s">
        <v>167</v>
      </c>
      <c r="W241" t="s">
        <v>168</v>
      </c>
      <c r="Y241">
        <v>9</v>
      </c>
      <c r="Z241" t="s">
        <v>169</v>
      </c>
      <c r="AA241" t="s">
        <v>170</v>
      </c>
      <c r="AB241" t="s">
        <v>167</v>
      </c>
      <c r="AC241" t="s">
        <v>213</v>
      </c>
      <c r="AD241">
        <v>10</v>
      </c>
      <c r="AG241" t="s">
        <v>210</v>
      </c>
      <c r="AH241" t="s">
        <v>444</v>
      </c>
      <c r="AI241" t="s">
        <v>175</v>
      </c>
      <c r="AJ241" t="s">
        <v>176</v>
      </c>
      <c r="AK241" t="s">
        <v>940</v>
      </c>
      <c r="AL241" t="s">
        <v>941</v>
      </c>
      <c r="AS241">
        <v>2600</v>
      </c>
      <c r="AT241">
        <v>2600</v>
      </c>
      <c r="BO241">
        <v>2</v>
      </c>
      <c r="BP241">
        <v>2</v>
      </c>
      <c r="BQ241">
        <v>21</v>
      </c>
      <c r="BR241" t="s">
        <v>1096</v>
      </c>
      <c r="BS241">
        <v>1</v>
      </c>
      <c r="BT241" t="s">
        <v>181</v>
      </c>
      <c r="BU241" s="1">
        <v>45500</v>
      </c>
      <c r="BV241">
        <v>35208</v>
      </c>
      <c r="BX241" t="s">
        <v>170</v>
      </c>
      <c r="BY241" t="s">
        <v>170</v>
      </c>
      <c r="CB241" t="s">
        <v>170</v>
      </c>
      <c r="CC241" t="s">
        <v>170</v>
      </c>
      <c r="CE241" t="s">
        <v>170</v>
      </c>
      <c r="CG241" t="s">
        <v>169</v>
      </c>
      <c r="CH241" t="s">
        <v>240</v>
      </c>
      <c r="CI241" t="s">
        <v>170</v>
      </c>
      <c r="DJ241" t="s">
        <v>449</v>
      </c>
      <c r="DK241" t="s">
        <v>450</v>
      </c>
      <c r="DN241" t="s">
        <v>170</v>
      </c>
      <c r="DO241" t="s">
        <v>358</v>
      </c>
      <c r="DP241" t="s">
        <v>169</v>
      </c>
      <c r="DQ241" t="s">
        <v>198</v>
      </c>
      <c r="EB241">
        <v>4</v>
      </c>
      <c r="EC241">
        <v>4</v>
      </c>
      <c r="EE241" t="s">
        <v>1080</v>
      </c>
      <c r="EF241">
        <v>6</v>
      </c>
      <c r="EV241">
        <v>3500</v>
      </c>
      <c r="EW241">
        <v>531</v>
      </c>
      <c r="EX241">
        <v>351</v>
      </c>
      <c r="EY241">
        <v>450</v>
      </c>
    </row>
    <row r="242" spans="1:155" x14ac:dyDescent="0.35">
      <c r="A242">
        <v>2025</v>
      </c>
      <c r="B242" t="s">
        <v>668</v>
      </c>
      <c r="C242" t="s">
        <v>1077</v>
      </c>
      <c r="D242" t="s">
        <v>1081</v>
      </c>
      <c r="E242" t="s">
        <v>671</v>
      </c>
      <c r="F242">
        <v>519</v>
      </c>
      <c r="G242">
        <v>3.6</v>
      </c>
      <c r="H242">
        <v>6</v>
      </c>
      <c r="I242" t="s">
        <v>282</v>
      </c>
      <c r="J242">
        <v>19</v>
      </c>
      <c r="K242">
        <v>28</v>
      </c>
      <c r="L242">
        <v>22</v>
      </c>
      <c r="M242">
        <v>23.8933</v>
      </c>
      <c r="N242">
        <v>40</v>
      </c>
      <c r="O242">
        <v>29.180900000000001</v>
      </c>
      <c r="P242">
        <v>18.9954</v>
      </c>
      <c r="Q242">
        <v>28.1266</v>
      </c>
      <c r="R242">
        <v>22.245200000000001</v>
      </c>
      <c r="U242" t="s">
        <v>224</v>
      </c>
      <c r="V242" t="s">
        <v>167</v>
      </c>
      <c r="W242" t="s">
        <v>168</v>
      </c>
      <c r="Y242">
        <v>9</v>
      </c>
      <c r="Z242" t="s">
        <v>169</v>
      </c>
      <c r="AA242" t="s">
        <v>170</v>
      </c>
      <c r="AB242" t="s">
        <v>351</v>
      </c>
      <c r="AC242" t="s">
        <v>352</v>
      </c>
      <c r="AD242">
        <v>10</v>
      </c>
      <c r="AG242" t="s">
        <v>210</v>
      </c>
      <c r="AH242" t="s">
        <v>444</v>
      </c>
      <c r="AI242" t="s">
        <v>175</v>
      </c>
      <c r="AJ242" t="s">
        <v>176</v>
      </c>
      <c r="AK242" t="s">
        <v>940</v>
      </c>
      <c r="AL242" t="s">
        <v>941</v>
      </c>
      <c r="AS242">
        <v>2400</v>
      </c>
      <c r="AT242">
        <v>2400</v>
      </c>
      <c r="BO242">
        <v>2</v>
      </c>
      <c r="BP242">
        <v>2</v>
      </c>
      <c r="BQ242">
        <v>20</v>
      </c>
      <c r="BR242" t="s">
        <v>1079</v>
      </c>
      <c r="BS242">
        <v>1</v>
      </c>
      <c r="BT242" t="s">
        <v>181</v>
      </c>
      <c r="BU242" s="1">
        <v>45488</v>
      </c>
      <c r="BV242">
        <v>35191</v>
      </c>
      <c r="BX242" t="s">
        <v>170</v>
      </c>
      <c r="BY242" t="s">
        <v>170</v>
      </c>
      <c r="CB242" t="s">
        <v>170</v>
      </c>
      <c r="CC242" t="s">
        <v>170</v>
      </c>
      <c r="CE242" t="s">
        <v>170</v>
      </c>
      <c r="CG242" t="s">
        <v>169</v>
      </c>
      <c r="CH242" t="s">
        <v>240</v>
      </c>
      <c r="CI242" t="s">
        <v>170</v>
      </c>
      <c r="DJ242" t="s">
        <v>449</v>
      </c>
      <c r="DK242" t="s">
        <v>450</v>
      </c>
      <c r="DN242" t="s">
        <v>170</v>
      </c>
      <c r="DO242" t="s">
        <v>358</v>
      </c>
      <c r="DP242" t="s">
        <v>169</v>
      </c>
      <c r="DQ242" t="s">
        <v>198</v>
      </c>
      <c r="EB242">
        <v>5</v>
      </c>
      <c r="EC242">
        <v>5</v>
      </c>
      <c r="EE242" t="s">
        <v>1080</v>
      </c>
      <c r="EF242">
        <v>6</v>
      </c>
      <c r="EV242">
        <v>2500</v>
      </c>
      <c r="EW242">
        <v>469</v>
      </c>
      <c r="EX242">
        <v>317</v>
      </c>
      <c r="EY242">
        <v>401</v>
      </c>
    </row>
    <row r="243" spans="1:155" x14ac:dyDescent="0.35">
      <c r="A243">
        <v>2025</v>
      </c>
      <c r="B243" t="s">
        <v>668</v>
      </c>
      <c r="C243" t="s">
        <v>1273</v>
      </c>
      <c r="D243" t="s">
        <v>1540</v>
      </c>
      <c r="E243" t="s">
        <v>671</v>
      </c>
      <c r="F243">
        <v>513</v>
      </c>
      <c r="G243">
        <v>3.6</v>
      </c>
      <c r="H243">
        <v>6</v>
      </c>
      <c r="I243" t="s">
        <v>164</v>
      </c>
      <c r="J243">
        <v>17</v>
      </c>
      <c r="K243">
        <v>24</v>
      </c>
      <c r="L243">
        <v>20</v>
      </c>
      <c r="M243">
        <v>21.8</v>
      </c>
      <c r="N243">
        <v>33.046300000000002</v>
      </c>
      <c r="O243">
        <v>25.7423</v>
      </c>
      <c r="P243">
        <v>17.45</v>
      </c>
      <c r="Q243">
        <v>23.6053</v>
      </c>
      <c r="R243">
        <v>19.7698</v>
      </c>
      <c r="U243" t="s">
        <v>224</v>
      </c>
      <c r="V243" t="s">
        <v>167</v>
      </c>
      <c r="W243" t="s">
        <v>168</v>
      </c>
      <c r="Y243">
        <v>8</v>
      </c>
      <c r="Z243" t="s">
        <v>169</v>
      </c>
      <c r="AA243" t="s">
        <v>170</v>
      </c>
      <c r="AB243" t="s">
        <v>167</v>
      </c>
      <c r="AC243" t="s">
        <v>213</v>
      </c>
      <c r="AD243">
        <v>10</v>
      </c>
      <c r="AG243" t="s">
        <v>210</v>
      </c>
      <c r="AH243" t="s">
        <v>444</v>
      </c>
      <c r="AI243" t="s">
        <v>175</v>
      </c>
      <c r="AJ243" t="s">
        <v>176</v>
      </c>
      <c r="AK243" t="s">
        <v>940</v>
      </c>
      <c r="AL243" t="s">
        <v>941</v>
      </c>
      <c r="AS243">
        <v>2600</v>
      </c>
      <c r="AT243">
        <v>2600</v>
      </c>
      <c r="BO243">
        <v>2</v>
      </c>
      <c r="BP243">
        <v>2</v>
      </c>
      <c r="BQ243">
        <v>33</v>
      </c>
      <c r="BR243" t="s">
        <v>1497</v>
      </c>
      <c r="BT243" t="s">
        <v>181</v>
      </c>
      <c r="BU243" s="1">
        <v>45502</v>
      </c>
      <c r="BV243">
        <v>35233</v>
      </c>
      <c r="BX243" t="s">
        <v>170</v>
      </c>
      <c r="BY243" t="s">
        <v>170</v>
      </c>
      <c r="CB243" t="s">
        <v>170</v>
      </c>
      <c r="CC243" t="s">
        <v>170</v>
      </c>
      <c r="CE243" t="s">
        <v>170</v>
      </c>
      <c r="CG243" t="s">
        <v>169</v>
      </c>
      <c r="CH243" t="s">
        <v>240</v>
      </c>
      <c r="CI243" t="s">
        <v>170</v>
      </c>
      <c r="DJ243" t="s">
        <v>449</v>
      </c>
      <c r="DK243" t="s">
        <v>450</v>
      </c>
      <c r="DN243" t="s">
        <v>170</v>
      </c>
      <c r="DO243" t="s">
        <v>358</v>
      </c>
      <c r="DP243" t="s">
        <v>169</v>
      </c>
      <c r="DQ243" t="s">
        <v>198</v>
      </c>
      <c r="EB243">
        <v>4</v>
      </c>
      <c r="EC243">
        <v>4</v>
      </c>
      <c r="EE243" t="s">
        <v>1080</v>
      </c>
      <c r="EF243">
        <v>6</v>
      </c>
      <c r="EV243">
        <v>3500</v>
      </c>
      <c r="EW243">
        <v>510</v>
      </c>
      <c r="EX243">
        <v>377</v>
      </c>
      <c r="EY243">
        <v>450</v>
      </c>
    </row>
    <row r="244" spans="1:155" x14ac:dyDescent="0.35">
      <c r="A244">
        <v>2025</v>
      </c>
      <c r="B244" t="s">
        <v>668</v>
      </c>
      <c r="C244" t="s">
        <v>1273</v>
      </c>
      <c r="D244" t="s">
        <v>1540</v>
      </c>
      <c r="E244" t="s">
        <v>671</v>
      </c>
      <c r="F244">
        <v>514</v>
      </c>
      <c r="G244">
        <v>5.7</v>
      </c>
      <c r="H244">
        <v>8</v>
      </c>
      <c r="I244" t="s">
        <v>164</v>
      </c>
      <c r="J244">
        <v>14</v>
      </c>
      <c r="K244">
        <v>22</v>
      </c>
      <c r="L244">
        <v>17</v>
      </c>
      <c r="M244">
        <v>17.3</v>
      </c>
      <c r="N244">
        <v>30.1</v>
      </c>
      <c r="O244">
        <v>21.393999999999998</v>
      </c>
      <c r="P244">
        <v>14.055099999999999</v>
      </c>
      <c r="Q244">
        <v>21.646100000000001</v>
      </c>
      <c r="R244">
        <v>16.688700000000001</v>
      </c>
      <c r="U244" t="s">
        <v>224</v>
      </c>
      <c r="V244" t="s">
        <v>167</v>
      </c>
      <c r="W244" t="s">
        <v>168</v>
      </c>
      <c r="Y244">
        <v>8</v>
      </c>
      <c r="Z244" t="s">
        <v>169</v>
      </c>
      <c r="AA244" t="s">
        <v>170</v>
      </c>
      <c r="AB244" t="s">
        <v>167</v>
      </c>
      <c r="AC244" t="s">
        <v>213</v>
      </c>
      <c r="AD244">
        <v>10</v>
      </c>
      <c r="AG244" t="s">
        <v>1462</v>
      </c>
      <c r="AH244" t="s">
        <v>1463</v>
      </c>
      <c r="AI244" t="s">
        <v>175</v>
      </c>
      <c r="AJ244" t="s">
        <v>176</v>
      </c>
      <c r="AK244" t="s">
        <v>940</v>
      </c>
      <c r="AL244" t="s">
        <v>941</v>
      </c>
      <c r="AS244">
        <v>3550</v>
      </c>
      <c r="AT244">
        <v>3550</v>
      </c>
      <c r="BO244">
        <v>1</v>
      </c>
      <c r="BP244">
        <v>1</v>
      </c>
      <c r="BQ244">
        <v>33</v>
      </c>
      <c r="BR244" t="s">
        <v>1497</v>
      </c>
      <c r="BT244" t="s">
        <v>181</v>
      </c>
      <c r="BU244" s="1">
        <v>45502</v>
      </c>
      <c r="BV244">
        <v>35222</v>
      </c>
      <c r="BX244" t="s">
        <v>170</v>
      </c>
      <c r="BY244" t="s">
        <v>170</v>
      </c>
      <c r="CB244" t="s">
        <v>170</v>
      </c>
      <c r="CC244" t="s">
        <v>170</v>
      </c>
      <c r="CE244" t="s">
        <v>169</v>
      </c>
      <c r="CF244" t="s">
        <v>1464</v>
      </c>
      <c r="CG244" t="s">
        <v>169</v>
      </c>
      <c r="CH244" t="s">
        <v>1465</v>
      </c>
      <c r="CI244" t="s">
        <v>170</v>
      </c>
      <c r="DJ244" t="s">
        <v>449</v>
      </c>
      <c r="DK244" t="s">
        <v>450</v>
      </c>
      <c r="DN244" t="s">
        <v>170</v>
      </c>
      <c r="DO244" t="s">
        <v>295</v>
      </c>
      <c r="DP244" t="s">
        <v>170</v>
      </c>
      <c r="DQ244" t="s">
        <v>187</v>
      </c>
      <c r="EB244">
        <v>3</v>
      </c>
      <c r="EC244">
        <v>3</v>
      </c>
      <c r="EE244" t="s">
        <v>1466</v>
      </c>
      <c r="EF244">
        <v>4</v>
      </c>
      <c r="EV244">
        <v>8250</v>
      </c>
      <c r="EW244">
        <v>633</v>
      </c>
      <c r="EX244">
        <v>410</v>
      </c>
      <c r="EY244">
        <v>533</v>
      </c>
    </row>
    <row r="245" spans="1:155" x14ac:dyDescent="0.35">
      <c r="A245">
        <v>2025</v>
      </c>
      <c r="B245" t="s">
        <v>668</v>
      </c>
      <c r="C245" t="s">
        <v>1273</v>
      </c>
      <c r="D245" t="s">
        <v>1461</v>
      </c>
      <c r="E245" t="s">
        <v>671</v>
      </c>
      <c r="F245">
        <v>520</v>
      </c>
      <c r="G245">
        <v>3.6</v>
      </c>
      <c r="H245">
        <v>6</v>
      </c>
      <c r="I245" t="s">
        <v>164</v>
      </c>
      <c r="J245">
        <v>18</v>
      </c>
      <c r="K245">
        <v>25</v>
      </c>
      <c r="L245">
        <v>20</v>
      </c>
      <c r="M245">
        <v>22.1</v>
      </c>
      <c r="N245">
        <v>34.6</v>
      </c>
      <c r="O245">
        <v>26.3903</v>
      </c>
      <c r="P245">
        <v>17.672799999999999</v>
      </c>
      <c r="Q245">
        <v>24.6279</v>
      </c>
      <c r="R245">
        <v>20.245699999999999</v>
      </c>
      <c r="U245" t="s">
        <v>224</v>
      </c>
      <c r="V245" t="s">
        <v>167</v>
      </c>
      <c r="W245" t="s">
        <v>168</v>
      </c>
      <c r="Y245">
        <v>8</v>
      </c>
      <c r="Z245" t="s">
        <v>169</v>
      </c>
      <c r="AA245" t="s">
        <v>170</v>
      </c>
      <c r="AB245" t="s">
        <v>171</v>
      </c>
      <c r="AC245" t="s">
        <v>172</v>
      </c>
      <c r="AD245">
        <v>10</v>
      </c>
      <c r="AG245" t="s">
        <v>210</v>
      </c>
      <c r="AH245" t="s">
        <v>444</v>
      </c>
      <c r="AI245" t="s">
        <v>175</v>
      </c>
      <c r="AJ245" t="s">
        <v>176</v>
      </c>
      <c r="AK245" t="s">
        <v>940</v>
      </c>
      <c r="AL245" t="s">
        <v>941</v>
      </c>
      <c r="AS245">
        <v>2600</v>
      </c>
      <c r="AT245">
        <v>2600</v>
      </c>
      <c r="BO245">
        <v>2</v>
      </c>
      <c r="BP245">
        <v>2</v>
      </c>
      <c r="BQ245">
        <v>32</v>
      </c>
      <c r="BR245" t="s">
        <v>1453</v>
      </c>
      <c r="BT245" t="s">
        <v>181</v>
      </c>
      <c r="BU245" s="1">
        <v>45502</v>
      </c>
      <c r="BV245">
        <v>35234</v>
      </c>
      <c r="BX245" t="s">
        <v>170</v>
      </c>
      <c r="BY245" t="s">
        <v>170</v>
      </c>
      <c r="CB245" t="s">
        <v>170</v>
      </c>
      <c r="CC245" t="s">
        <v>170</v>
      </c>
      <c r="CE245" t="s">
        <v>170</v>
      </c>
      <c r="CG245" t="s">
        <v>169</v>
      </c>
      <c r="CH245" t="s">
        <v>240</v>
      </c>
      <c r="CI245" t="s">
        <v>170</v>
      </c>
      <c r="DJ245" t="s">
        <v>449</v>
      </c>
      <c r="DK245" t="s">
        <v>450</v>
      </c>
      <c r="DN245" t="s">
        <v>170</v>
      </c>
      <c r="DO245" t="s">
        <v>358</v>
      </c>
      <c r="DP245" t="s">
        <v>169</v>
      </c>
      <c r="DQ245" t="s">
        <v>198</v>
      </c>
      <c r="EB245">
        <v>4</v>
      </c>
      <c r="EC245">
        <v>4</v>
      </c>
      <c r="EE245" t="s">
        <v>1080</v>
      </c>
      <c r="EF245">
        <v>6</v>
      </c>
      <c r="EV245">
        <v>3500</v>
      </c>
      <c r="EW245">
        <v>503</v>
      </c>
      <c r="EX245">
        <v>361</v>
      </c>
      <c r="EY245">
        <v>439</v>
      </c>
    </row>
    <row r="246" spans="1:155" x14ac:dyDescent="0.35">
      <c r="A246">
        <v>2025</v>
      </c>
      <c r="B246" t="s">
        <v>668</v>
      </c>
      <c r="C246" t="s">
        <v>1273</v>
      </c>
      <c r="D246" t="s">
        <v>1461</v>
      </c>
      <c r="E246" t="s">
        <v>671</v>
      </c>
      <c r="F246">
        <v>521</v>
      </c>
      <c r="G246">
        <v>5.7</v>
      </c>
      <c r="H246">
        <v>8</v>
      </c>
      <c r="I246" t="s">
        <v>164</v>
      </c>
      <c r="J246">
        <v>14</v>
      </c>
      <c r="K246">
        <v>22</v>
      </c>
      <c r="L246">
        <v>17</v>
      </c>
      <c r="M246">
        <v>17.399999999999999</v>
      </c>
      <c r="N246">
        <v>31.1</v>
      </c>
      <c r="O246">
        <v>21.702000000000002</v>
      </c>
      <c r="P246">
        <v>14.131600000000001</v>
      </c>
      <c r="Q246">
        <v>22.3141</v>
      </c>
      <c r="R246">
        <v>16.924299999999999</v>
      </c>
      <c r="U246" t="s">
        <v>224</v>
      </c>
      <c r="V246" t="s">
        <v>167</v>
      </c>
      <c r="W246" t="s">
        <v>168</v>
      </c>
      <c r="Y246">
        <v>8</v>
      </c>
      <c r="Z246" t="s">
        <v>169</v>
      </c>
      <c r="AA246" t="s">
        <v>170</v>
      </c>
      <c r="AB246" t="s">
        <v>171</v>
      </c>
      <c r="AC246" t="s">
        <v>172</v>
      </c>
      <c r="AD246">
        <v>10</v>
      </c>
      <c r="AG246" t="s">
        <v>1462</v>
      </c>
      <c r="AH246" t="s">
        <v>1463</v>
      </c>
      <c r="AI246" t="s">
        <v>175</v>
      </c>
      <c r="AJ246" t="s">
        <v>176</v>
      </c>
      <c r="AK246" t="s">
        <v>940</v>
      </c>
      <c r="AL246" t="s">
        <v>941</v>
      </c>
      <c r="AS246">
        <v>3550</v>
      </c>
      <c r="AT246">
        <v>3550</v>
      </c>
      <c r="BO246">
        <v>1</v>
      </c>
      <c r="BP246">
        <v>1</v>
      </c>
      <c r="BQ246">
        <v>32</v>
      </c>
      <c r="BR246" t="s">
        <v>1453</v>
      </c>
      <c r="BT246" t="s">
        <v>181</v>
      </c>
      <c r="BU246" s="1">
        <v>45502</v>
      </c>
      <c r="BV246">
        <v>35221</v>
      </c>
      <c r="BX246" t="s">
        <v>170</v>
      </c>
      <c r="BY246" t="s">
        <v>170</v>
      </c>
      <c r="CB246" t="s">
        <v>170</v>
      </c>
      <c r="CC246" t="s">
        <v>170</v>
      </c>
      <c r="CE246" t="s">
        <v>169</v>
      </c>
      <c r="CF246" t="s">
        <v>1464</v>
      </c>
      <c r="CG246" t="s">
        <v>169</v>
      </c>
      <c r="CH246" t="s">
        <v>1465</v>
      </c>
      <c r="CI246" t="s">
        <v>170</v>
      </c>
      <c r="DJ246" t="s">
        <v>449</v>
      </c>
      <c r="DK246" t="s">
        <v>450</v>
      </c>
      <c r="DN246" t="s">
        <v>170</v>
      </c>
      <c r="DO246" t="s">
        <v>295</v>
      </c>
      <c r="DP246" t="s">
        <v>170</v>
      </c>
      <c r="DQ246" t="s">
        <v>187</v>
      </c>
      <c r="EB246">
        <v>3</v>
      </c>
      <c r="EC246">
        <v>3</v>
      </c>
      <c r="EE246" t="s">
        <v>1466</v>
      </c>
      <c r="EF246">
        <v>4</v>
      </c>
      <c r="EV246">
        <v>8250</v>
      </c>
      <c r="EW246">
        <v>628</v>
      </c>
      <c r="EX246">
        <v>399</v>
      </c>
      <c r="EY246">
        <v>525</v>
      </c>
    </row>
    <row r="247" spans="1:155" x14ac:dyDescent="0.35">
      <c r="A247">
        <v>2025</v>
      </c>
      <c r="B247" t="s">
        <v>668</v>
      </c>
      <c r="C247" t="s">
        <v>1273</v>
      </c>
      <c r="D247" t="s">
        <v>1541</v>
      </c>
      <c r="E247" t="s">
        <v>671</v>
      </c>
      <c r="F247">
        <v>515</v>
      </c>
      <c r="G247">
        <v>6.2</v>
      </c>
      <c r="H247">
        <v>8</v>
      </c>
      <c r="I247" t="s">
        <v>164</v>
      </c>
      <c r="J247">
        <v>12</v>
      </c>
      <c r="K247">
        <v>17</v>
      </c>
      <c r="L247">
        <v>13</v>
      </c>
      <c r="M247">
        <v>14</v>
      </c>
      <c r="N247">
        <v>23.4</v>
      </c>
      <c r="O247">
        <v>17.089200000000002</v>
      </c>
      <c r="P247">
        <v>11.5002</v>
      </c>
      <c r="Q247">
        <v>17.090699999999998</v>
      </c>
      <c r="R247">
        <v>13.485200000000001</v>
      </c>
      <c r="T247" t="s">
        <v>455</v>
      </c>
      <c r="U247" t="s">
        <v>456</v>
      </c>
      <c r="V247" t="s">
        <v>167</v>
      </c>
      <c r="W247" t="s">
        <v>168</v>
      </c>
      <c r="Y247">
        <v>8</v>
      </c>
      <c r="Z247" t="s">
        <v>169</v>
      </c>
      <c r="AA247" t="s">
        <v>170</v>
      </c>
      <c r="AB247" t="s">
        <v>167</v>
      </c>
      <c r="AC247" t="s">
        <v>213</v>
      </c>
      <c r="AD247">
        <v>10</v>
      </c>
      <c r="AG247" t="s">
        <v>173</v>
      </c>
      <c r="AH247" t="s">
        <v>174</v>
      </c>
      <c r="AI247" t="s">
        <v>175</v>
      </c>
      <c r="AJ247" t="s">
        <v>176</v>
      </c>
      <c r="AK247" t="s">
        <v>940</v>
      </c>
      <c r="AL247" t="s">
        <v>941</v>
      </c>
      <c r="AS247">
        <v>4900</v>
      </c>
      <c r="AT247">
        <v>4900</v>
      </c>
      <c r="BO247">
        <v>1</v>
      </c>
      <c r="BP247">
        <v>1</v>
      </c>
      <c r="BQ247">
        <v>33</v>
      </c>
      <c r="BR247" t="s">
        <v>1497</v>
      </c>
      <c r="BT247" t="s">
        <v>181</v>
      </c>
      <c r="BU247" s="1">
        <v>45495</v>
      </c>
      <c r="BV247">
        <v>35031</v>
      </c>
      <c r="BX247" t="s">
        <v>170</v>
      </c>
      <c r="BY247" t="s">
        <v>170</v>
      </c>
      <c r="CB247" t="s">
        <v>170</v>
      </c>
      <c r="CC247" t="s">
        <v>170</v>
      </c>
      <c r="CE247" t="s">
        <v>170</v>
      </c>
      <c r="CG247" t="s">
        <v>169</v>
      </c>
      <c r="CH247" t="s">
        <v>905</v>
      </c>
      <c r="CI247" t="s">
        <v>170</v>
      </c>
      <c r="DJ247" t="s">
        <v>449</v>
      </c>
      <c r="DK247" t="s">
        <v>450</v>
      </c>
      <c r="DN247" t="s">
        <v>170</v>
      </c>
      <c r="DO247" t="s">
        <v>1334</v>
      </c>
      <c r="DP247" t="s">
        <v>170</v>
      </c>
      <c r="DQ247" t="s">
        <v>187</v>
      </c>
      <c r="EB247">
        <v>1</v>
      </c>
      <c r="EC247">
        <v>1</v>
      </c>
      <c r="EE247" t="s">
        <v>1542</v>
      </c>
      <c r="EF247">
        <v>1</v>
      </c>
      <c r="EV247">
        <v>15000</v>
      </c>
      <c r="EW247">
        <v>773</v>
      </c>
      <c r="EX247">
        <v>520</v>
      </c>
      <c r="EY247">
        <v>659</v>
      </c>
    </row>
    <row r="248" spans="1:155" x14ac:dyDescent="0.35">
      <c r="A248">
        <v>2025</v>
      </c>
      <c r="B248" t="s">
        <v>668</v>
      </c>
      <c r="C248" t="s">
        <v>1273</v>
      </c>
      <c r="D248" t="s">
        <v>1274</v>
      </c>
      <c r="E248" t="s">
        <v>671</v>
      </c>
      <c r="F248">
        <v>511</v>
      </c>
      <c r="G248">
        <v>2</v>
      </c>
      <c r="H248">
        <v>4</v>
      </c>
      <c r="I248" t="s">
        <v>282</v>
      </c>
      <c r="J248">
        <v>21</v>
      </c>
      <c r="K248">
        <v>29</v>
      </c>
      <c r="L248">
        <v>24</v>
      </c>
      <c r="M248">
        <v>26.5</v>
      </c>
      <c r="N248">
        <v>41.2</v>
      </c>
      <c r="O248">
        <v>31.5686</v>
      </c>
      <c r="P248">
        <v>20.890599999999999</v>
      </c>
      <c r="Q248">
        <v>28.892600000000002</v>
      </c>
      <c r="R248">
        <v>23.864899999999999</v>
      </c>
      <c r="T248" t="s">
        <v>165</v>
      </c>
      <c r="U248" t="s">
        <v>166</v>
      </c>
      <c r="V248" t="s">
        <v>167</v>
      </c>
      <c r="W248" t="s">
        <v>168</v>
      </c>
      <c r="Y248">
        <v>9</v>
      </c>
      <c r="Z248" t="s">
        <v>169</v>
      </c>
      <c r="AA248" t="s">
        <v>170</v>
      </c>
      <c r="AB248" t="s">
        <v>167</v>
      </c>
      <c r="AC248" t="s">
        <v>213</v>
      </c>
      <c r="AD248">
        <v>10</v>
      </c>
      <c r="AG248" t="s">
        <v>210</v>
      </c>
      <c r="AH248" t="s">
        <v>444</v>
      </c>
      <c r="AI248" t="s">
        <v>175</v>
      </c>
      <c r="AJ248" t="s">
        <v>176</v>
      </c>
      <c r="AK248" t="s">
        <v>940</v>
      </c>
      <c r="AL248" t="s">
        <v>941</v>
      </c>
      <c r="AS248">
        <v>2200</v>
      </c>
      <c r="AT248">
        <v>2200</v>
      </c>
      <c r="BN248" t="s">
        <v>178</v>
      </c>
      <c r="BO248">
        <v>2</v>
      </c>
      <c r="BP248">
        <v>2</v>
      </c>
      <c r="BQ248">
        <v>31</v>
      </c>
      <c r="BR248" t="s">
        <v>1219</v>
      </c>
      <c r="BT248" t="s">
        <v>181</v>
      </c>
      <c r="BU248" s="1">
        <v>45413</v>
      </c>
      <c r="BV248">
        <v>34634</v>
      </c>
      <c r="BX248" t="s">
        <v>170</v>
      </c>
      <c r="BY248" t="s">
        <v>170</v>
      </c>
      <c r="CB248" t="s">
        <v>170</v>
      </c>
      <c r="CC248" t="s">
        <v>170</v>
      </c>
      <c r="CE248" t="s">
        <v>170</v>
      </c>
      <c r="CG248" t="s">
        <v>169</v>
      </c>
      <c r="CH248" t="s">
        <v>1227</v>
      </c>
      <c r="CI248" t="s">
        <v>170</v>
      </c>
      <c r="DJ248" t="s">
        <v>184</v>
      </c>
      <c r="DK248" t="s">
        <v>185</v>
      </c>
      <c r="DN248" t="s">
        <v>170</v>
      </c>
      <c r="DO248" t="s">
        <v>574</v>
      </c>
      <c r="DP248" t="s">
        <v>169</v>
      </c>
      <c r="DQ248" t="s">
        <v>198</v>
      </c>
      <c r="EB248">
        <v>5</v>
      </c>
      <c r="EC248">
        <v>5</v>
      </c>
      <c r="EE248" t="s">
        <v>1228</v>
      </c>
      <c r="EF248">
        <v>6</v>
      </c>
      <c r="EV248">
        <v>1500</v>
      </c>
      <c r="EW248">
        <v>425</v>
      </c>
      <c r="EX248">
        <v>308</v>
      </c>
      <c r="EY248">
        <v>372</v>
      </c>
    </row>
    <row r="249" spans="1:155" x14ac:dyDescent="0.35">
      <c r="A249">
        <v>2025</v>
      </c>
      <c r="B249" t="s">
        <v>244</v>
      </c>
      <c r="C249" t="s">
        <v>245</v>
      </c>
      <c r="D249" t="s">
        <v>246</v>
      </c>
      <c r="E249" t="s">
        <v>247</v>
      </c>
      <c r="F249">
        <v>167</v>
      </c>
      <c r="G249">
        <v>6.5</v>
      </c>
      <c r="H249">
        <v>12</v>
      </c>
      <c r="I249" t="s">
        <v>248</v>
      </c>
      <c r="J249">
        <v>12</v>
      </c>
      <c r="K249">
        <v>19</v>
      </c>
      <c r="L249">
        <v>14</v>
      </c>
      <c r="M249">
        <v>14.632099999999999</v>
      </c>
      <c r="N249">
        <v>25.538599999999999</v>
      </c>
      <c r="O249">
        <v>18.113</v>
      </c>
      <c r="P249">
        <v>11.9939</v>
      </c>
      <c r="Q249">
        <v>18.560099999999998</v>
      </c>
      <c r="R249">
        <v>14.264900000000001</v>
      </c>
      <c r="S249" t="s">
        <v>210</v>
      </c>
      <c r="U249" t="s">
        <v>224</v>
      </c>
      <c r="V249" t="s">
        <v>249</v>
      </c>
      <c r="W249" t="s">
        <v>250</v>
      </c>
      <c r="Y249">
        <v>8</v>
      </c>
      <c r="Z249" t="s">
        <v>170</v>
      </c>
      <c r="AA249" t="s">
        <v>170</v>
      </c>
      <c r="AB249" t="s">
        <v>171</v>
      </c>
      <c r="AC249" t="s">
        <v>172</v>
      </c>
      <c r="AD249">
        <v>10</v>
      </c>
      <c r="AG249" t="s">
        <v>214</v>
      </c>
      <c r="AH249" t="s">
        <v>215</v>
      </c>
      <c r="AI249" t="s">
        <v>175</v>
      </c>
      <c r="AJ249" t="s">
        <v>176</v>
      </c>
      <c r="AK249" t="s">
        <v>170</v>
      </c>
      <c r="AL249" t="s">
        <v>177</v>
      </c>
      <c r="AM249">
        <v>43</v>
      </c>
      <c r="AN249">
        <v>5</v>
      </c>
      <c r="AS249">
        <v>4550</v>
      </c>
      <c r="AT249">
        <v>4550</v>
      </c>
      <c r="BN249" t="s">
        <v>178</v>
      </c>
      <c r="BO249">
        <v>2</v>
      </c>
      <c r="BP249">
        <v>2</v>
      </c>
      <c r="BQ249">
        <v>1</v>
      </c>
      <c r="BR249" t="s">
        <v>179</v>
      </c>
      <c r="BS249" t="s">
        <v>180</v>
      </c>
      <c r="BT249" t="s">
        <v>181</v>
      </c>
      <c r="BU249" s="1">
        <v>45565</v>
      </c>
      <c r="BV249">
        <v>35541</v>
      </c>
      <c r="BX249" t="s">
        <v>169</v>
      </c>
      <c r="BY249" t="s">
        <v>170</v>
      </c>
      <c r="CB249" t="s">
        <v>170</v>
      </c>
      <c r="CC249" t="s">
        <v>170</v>
      </c>
      <c r="CE249" t="s">
        <v>170</v>
      </c>
      <c r="CF249" t="s">
        <v>252</v>
      </c>
      <c r="CG249" t="s">
        <v>169</v>
      </c>
      <c r="CH249" t="s">
        <v>253</v>
      </c>
      <c r="CI249" t="s">
        <v>170</v>
      </c>
      <c r="CJ249" t="s">
        <v>252</v>
      </c>
      <c r="DJ249" t="s">
        <v>184</v>
      </c>
      <c r="DK249" t="s">
        <v>185</v>
      </c>
      <c r="DL249" t="s">
        <v>170</v>
      </c>
      <c r="DN249" t="s">
        <v>170</v>
      </c>
      <c r="DO249" t="s">
        <v>254</v>
      </c>
      <c r="DP249" t="s">
        <v>169</v>
      </c>
      <c r="DQ249" t="s">
        <v>198</v>
      </c>
      <c r="DR249" t="s">
        <v>251</v>
      </c>
      <c r="DY249">
        <v>18.2</v>
      </c>
      <c r="EB249">
        <v>2</v>
      </c>
      <c r="EC249">
        <v>2</v>
      </c>
      <c r="EE249" t="s">
        <v>255</v>
      </c>
      <c r="EF249">
        <v>5</v>
      </c>
      <c r="EV249">
        <v>13250</v>
      </c>
      <c r="EW249">
        <v>736</v>
      </c>
      <c r="EX249">
        <v>477</v>
      </c>
      <c r="EY249">
        <v>619</v>
      </c>
    </row>
    <row r="250" spans="1:155" x14ac:dyDescent="0.35">
      <c r="A250">
        <v>2025</v>
      </c>
      <c r="B250" t="s">
        <v>244</v>
      </c>
      <c r="C250" t="s">
        <v>245</v>
      </c>
      <c r="D250" t="s">
        <v>256</v>
      </c>
      <c r="E250" t="s">
        <v>247</v>
      </c>
      <c r="F250">
        <v>251</v>
      </c>
      <c r="G250">
        <v>6.5</v>
      </c>
      <c r="H250">
        <v>12</v>
      </c>
      <c r="I250" t="s">
        <v>257</v>
      </c>
      <c r="J250">
        <v>12</v>
      </c>
      <c r="K250">
        <v>16</v>
      </c>
      <c r="L250">
        <v>13</v>
      </c>
      <c r="M250">
        <v>14.445399999999999</v>
      </c>
      <c r="N250">
        <v>21.652999999999999</v>
      </c>
      <c r="O250">
        <v>16.990400000000001</v>
      </c>
      <c r="P250">
        <v>11.8483</v>
      </c>
      <c r="Q250">
        <v>15.912100000000001</v>
      </c>
      <c r="R250">
        <v>13.386799999999999</v>
      </c>
      <c r="S250" t="s">
        <v>210</v>
      </c>
      <c r="U250" t="s">
        <v>224</v>
      </c>
      <c r="V250" t="s">
        <v>249</v>
      </c>
      <c r="W250" t="s">
        <v>250</v>
      </c>
      <c r="Y250">
        <v>7</v>
      </c>
      <c r="Z250" t="s">
        <v>170</v>
      </c>
      <c r="AA250" t="s">
        <v>170</v>
      </c>
      <c r="AB250" t="s">
        <v>171</v>
      </c>
      <c r="AC250" t="s">
        <v>172</v>
      </c>
      <c r="AD250">
        <v>10</v>
      </c>
      <c r="AG250" t="s">
        <v>214</v>
      </c>
      <c r="AH250" t="s">
        <v>215</v>
      </c>
      <c r="AI250" t="s">
        <v>175</v>
      </c>
      <c r="AJ250" t="s">
        <v>176</v>
      </c>
      <c r="AK250" t="s">
        <v>170</v>
      </c>
      <c r="AL250" t="s">
        <v>177</v>
      </c>
      <c r="AM250">
        <v>44</v>
      </c>
      <c r="AN250">
        <v>0</v>
      </c>
      <c r="AS250">
        <v>4900</v>
      </c>
      <c r="AT250">
        <v>4900</v>
      </c>
      <c r="BN250" t="s">
        <v>178</v>
      </c>
      <c r="BO250">
        <v>2</v>
      </c>
      <c r="BP250">
        <v>2</v>
      </c>
      <c r="BQ250">
        <v>1</v>
      </c>
      <c r="BR250" t="s">
        <v>179</v>
      </c>
      <c r="BS250" t="s">
        <v>180</v>
      </c>
      <c r="BT250" t="s">
        <v>181</v>
      </c>
      <c r="BU250" s="1">
        <v>45565</v>
      </c>
      <c r="BV250">
        <v>35533</v>
      </c>
      <c r="BX250" t="s">
        <v>169</v>
      </c>
      <c r="BY250" t="s">
        <v>170</v>
      </c>
      <c r="CB250" t="s">
        <v>170</v>
      </c>
      <c r="CC250" t="s">
        <v>170</v>
      </c>
      <c r="CD250" t="s">
        <v>256</v>
      </c>
      <c r="CE250" t="s">
        <v>170</v>
      </c>
      <c r="CF250" t="s">
        <v>236</v>
      </c>
      <c r="CG250" t="s">
        <v>169</v>
      </c>
      <c r="CH250" t="s">
        <v>258</v>
      </c>
      <c r="CI250" t="s">
        <v>170</v>
      </c>
      <c r="CJ250" t="s">
        <v>236</v>
      </c>
      <c r="DJ250" t="s">
        <v>184</v>
      </c>
      <c r="DK250" t="s">
        <v>185</v>
      </c>
      <c r="DL250" t="s">
        <v>170</v>
      </c>
      <c r="DN250" t="s">
        <v>170</v>
      </c>
      <c r="DO250" t="s">
        <v>259</v>
      </c>
      <c r="DP250" t="s">
        <v>169</v>
      </c>
      <c r="DQ250" t="s">
        <v>198</v>
      </c>
      <c r="DR250" t="s">
        <v>256</v>
      </c>
      <c r="DY250">
        <v>17.100000000000001</v>
      </c>
      <c r="EB250">
        <v>1</v>
      </c>
      <c r="EC250">
        <v>1</v>
      </c>
      <c r="EE250" t="s">
        <v>260</v>
      </c>
      <c r="EF250">
        <v>2</v>
      </c>
      <c r="EV250">
        <v>15000</v>
      </c>
      <c r="EW250">
        <v>745</v>
      </c>
      <c r="EX250">
        <v>556</v>
      </c>
      <c r="EY250">
        <v>660</v>
      </c>
    </row>
    <row r="251" spans="1:155" x14ac:dyDescent="0.35">
      <c r="A251">
        <v>2025</v>
      </c>
      <c r="B251" t="s">
        <v>244</v>
      </c>
      <c r="C251" t="s">
        <v>245</v>
      </c>
      <c r="D251" t="s">
        <v>324</v>
      </c>
      <c r="E251" t="s">
        <v>247</v>
      </c>
      <c r="F251">
        <v>174</v>
      </c>
      <c r="G251">
        <v>3.9</v>
      </c>
      <c r="H251">
        <v>8</v>
      </c>
      <c r="I251" t="s">
        <v>248</v>
      </c>
      <c r="J251">
        <v>17</v>
      </c>
      <c r="K251">
        <v>22</v>
      </c>
      <c r="L251">
        <v>19</v>
      </c>
      <c r="M251">
        <v>21.054500000000001</v>
      </c>
      <c r="N251">
        <v>31.146100000000001</v>
      </c>
      <c r="O251">
        <v>26.648299999999999</v>
      </c>
      <c r="P251">
        <v>16.894500000000001</v>
      </c>
      <c r="Q251">
        <v>22.344799999999999</v>
      </c>
      <c r="R251">
        <v>18.977499999999999</v>
      </c>
      <c r="T251" t="s">
        <v>165</v>
      </c>
      <c r="U251" t="s">
        <v>166</v>
      </c>
      <c r="V251" t="s">
        <v>249</v>
      </c>
      <c r="W251" t="s">
        <v>250</v>
      </c>
      <c r="Y251">
        <v>8</v>
      </c>
      <c r="Z251" t="s">
        <v>170</v>
      </c>
      <c r="AA251" t="s">
        <v>170</v>
      </c>
      <c r="AB251" t="s">
        <v>171</v>
      </c>
      <c r="AC251" t="s">
        <v>172</v>
      </c>
      <c r="AD251">
        <v>10</v>
      </c>
      <c r="AG251" t="s">
        <v>214</v>
      </c>
      <c r="AH251" t="s">
        <v>215</v>
      </c>
      <c r="AI251" t="s">
        <v>175</v>
      </c>
      <c r="AJ251" t="s">
        <v>176</v>
      </c>
      <c r="AK251" t="s">
        <v>170</v>
      </c>
      <c r="AL251" t="s">
        <v>177</v>
      </c>
      <c r="AM251">
        <v>78</v>
      </c>
      <c r="AN251">
        <v>6</v>
      </c>
      <c r="AS251">
        <v>3350</v>
      </c>
      <c r="AT251">
        <v>3350</v>
      </c>
      <c r="BN251" t="s">
        <v>178</v>
      </c>
      <c r="BO251">
        <v>2</v>
      </c>
      <c r="BP251">
        <v>2</v>
      </c>
      <c r="BQ251">
        <v>2</v>
      </c>
      <c r="BR251" t="s">
        <v>321</v>
      </c>
      <c r="BS251" t="s">
        <v>180</v>
      </c>
      <c r="BT251" t="s">
        <v>181</v>
      </c>
      <c r="BU251" s="1">
        <v>45565</v>
      </c>
      <c r="BV251">
        <v>35534</v>
      </c>
      <c r="BX251" t="s">
        <v>169</v>
      </c>
      <c r="BY251" t="s">
        <v>170</v>
      </c>
      <c r="CB251" t="s">
        <v>170</v>
      </c>
      <c r="CC251" t="s">
        <v>170</v>
      </c>
      <c r="CE251" t="s">
        <v>170</v>
      </c>
      <c r="CF251" t="s">
        <v>252</v>
      </c>
      <c r="CG251" t="s">
        <v>169</v>
      </c>
      <c r="CH251" t="s">
        <v>253</v>
      </c>
      <c r="CI251" t="s">
        <v>170</v>
      </c>
      <c r="CJ251" t="s">
        <v>252</v>
      </c>
      <c r="DJ251" t="s">
        <v>184</v>
      </c>
      <c r="DK251" t="s">
        <v>185</v>
      </c>
      <c r="DL251" t="s">
        <v>170</v>
      </c>
      <c r="DN251" t="s">
        <v>170</v>
      </c>
      <c r="DO251" t="s">
        <v>259</v>
      </c>
      <c r="DP251" t="s">
        <v>169</v>
      </c>
      <c r="DQ251" t="s">
        <v>198</v>
      </c>
      <c r="DR251" t="s">
        <v>325</v>
      </c>
      <c r="DY251">
        <v>24.8</v>
      </c>
      <c r="EB251">
        <v>4</v>
      </c>
      <c r="EC251">
        <v>4</v>
      </c>
      <c r="EE251" t="s">
        <v>326</v>
      </c>
      <c r="EF251">
        <v>5</v>
      </c>
      <c r="EV251">
        <v>7250</v>
      </c>
      <c r="EW251">
        <v>524</v>
      </c>
      <c r="EX251">
        <v>397</v>
      </c>
      <c r="EY251">
        <v>467</v>
      </c>
    </row>
    <row r="252" spans="1:155" x14ac:dyDescent="0.35">
      <c r="A252">
        <v>2025</v>
      </c>
      <c r="B252" t="s">
        <v>439</v>
      </c>
      <c r="C252" t="s">
        <v>440</v>
      </c>
      <c r="D252" t="s">
        <v>1275</v>
      </c>
      <c r="E252" t="s">
        <v>442</v>
      </c>
      <c r="F252">
        <v>36</v>
      </c>
      <c r="G252">
        <v>2.2999999999999998</v>
      </c>
      <c r="H252">
        <v>4</v>
      </c>
      <c r="I252" t="s">
        <v>331</v>
      </c>
      <c r="J252">
        <v>18</v>
      </c>
      <c r="K252">
        <v>22</v>
      </c>
      <c r="L252">
        <v>20</v>
      </c>
      <c r="M252">
        <v>24</v>
      </c>
      <c r="N252">
        <v>34.4</v>
      </c>
      <c r="O252">
        <v>27.779299999999999</v>
      </c>
      <c r="P252">
        <v>18.215800000000002</v>
      </c>
      <c r="Q252">
        <v>21.665800000000001</v>
      </c>
      <c r="R252">
        <v>19.6218</v>
      </c>
      <c r="T252" t="s">
        <v>165</v>
      </c>
      <c r="U252" t="s">
        <v>166</v>
      </c>
      <c r="V252" t="s">
        <v>193</v>
      </c>
      <c r="W252" t="s">
        <v>194</v>
      </c>
      <c r="Y252">
        <v>10</v>
      </c>
      <c r="Z252" t="s">
        <v>169</v>
      </c>
      <c r="AA252" t="s">
        <v>170</v>
      </c>
      <c r="AB252" t="s">
        <v>809</v>
      </c>
      <c r="AC252" t="s">
        <v>810</v>
      </c>
      <c r="AD252">
        <v>85</v>
      </c>
      <c r="AG252" t="s">
        <v>210</v>
      </c>
      <c r="AH252" t="s">
        <v>444</v>
      </c>
      <c r="AI252" t="s">
        <v>175</v>
      </c>
      <c r="AJ252" t="s">
        <v>176</v>
      </c>
      <c r="AK252" t="s">
        <v>940</v>
      </c>
      <c r="AL252" t="s">
        <v>941</v>
      </c>
      <c r="AS252">
        <v>2600</v>
      </c>
      <c r="AT252">
        <v>2600</v>
      </c>
      <c r="BN252" t="s">
        <v>265</v>
      </c>
      <c r="BO252">
        <v>2</v>
      </c>
      <c r="BP252">
        <v>2</v>
      </c>
      <c r="BQ252">
        <v>31</v>
      </c>
      <c r="BR252" t="s">
        <v>1219</v>
      </c>
      <c r="BT252" t="s">
        <v>225</v>
      </c>
      <c r="BU252" s="1">
        <v>45720</v>
      </c>
      <c r="BV252">
        <v>36093</v>
      </c>
      <c r="BX252" t="s">
        <v>170</v>
      </c>
      <c r="BY252" t="s">
        <v>170</v>
      </c>
      <c r="CB252" t="s">
        <v>170</v>
      </c>
      <c r="CC252" t="s">
        <v>170</v>
      </c>
      <c r="CE252" t="s">
        <v>170</v>
      </c>
      <c r="CG252" t="s">
        <v>169</v>
      </c>
      <c r="CH252" t="s">
        <v>1036</v>
      </c>
      <c r="CI252" t="s">
        <v>170</v>
      </c>
      <c r="DJ252" t="s">
        <v>267</v>
      </c>
      <c r="DK252" t="s">
        <v>268</v>
      </c>
      <c r="DN252" t="s">
        <v>170</v>
      </c>
      <c r="DO252" t="s">
        <v>445</v>
      </c>
      <c r="DP252" t="s">
        <v>169</v>
      </c>
      <c r="DQ252" t="s">
        <v>198</v>
      </c>
      <c r="EB252">
        <v>4</v>
      </c>
      <c r="EC252">
        <v>4</v>
      </c>
      <c r="EE252" t="s">
        <v>1276</v>
      </c>
      <c r="EF252">
        <v>6</v>
      </c>
      <c r="EV252">
        <v>3500</v>
      </c>
      <c r="EW252">
        <v>508</v>
      </c>
      <c r="EX252">
        <v>411</v>
      </c>
      <c r="EY252">
        <v>464</v>
      </c>
    </row>
    <row r="253" spans="1:155" x14ac:dyDescent="0.35">
      <c r="A253">
        <v>2025</v>
      </c>
      <c r="B253" t="s">
        <v>439</v>
      </c>
      <c r="C253" t="s">
        <v>440</v>
      </c>
      <c r="D253" t="s">
        <v>1275</v>
      </c>
      <c r="E253" t="s">
        <v>442</v>
      </c>
      <c r="F253">
        <v>37</v>
      </c>
      <c r="G253">
        <v>2.7</v>
      </c>
      <c r="H253">
        <v>6</v>
      </c>
      <c r="I253" t="s">
        <v>331</v>
      </c>
      <c r="J253">
        <v>17</v>
      </c>
      <c r="K253">
        <v>18</v>
      </c>
      <c r="L253">
        <v>18</v>
      </c>
      <c r="M253">
        <v>22</v>
      </c>
      <c r="N253">
        <v>28.6</v>
      </c>
      <c r="O253">
        <v>24.549399999999999</v>
      </c>
      <c r="P253">
        <v>17</v>
      </c>
      <c r="Q253">
        <v>18.4633</v>
      </c>
      <c r="R253">
        <v>17.977499999999999</v>
      </c>
      <c r="T253" t="s">
        <v>165</v>
      </c>
      <c r="U253" t="s">
        <v>166</v>
      </c>
      <c r="V253" t="s">
        <v>193</v>
      </c>
      <c r="W253" t="s">
        <v>194</v>
      </c>
      <c r="Y253">
        <v>10</v>
      </c>
      <c r="Z253" t="s">
        <v>169</v>
      </c>
      <c r="AA253" t="s">
        <v>170</v>
      </c>
      <c r="AB253" t="s">
        <v>809</v>
      </c>
      <c r="AC253" t="s">
        <v>810</v>
      </c>
      <c r="AD253">
        <v>85</v>
      </c>
      <c r="AG253" t="s">
        <v>210</v>
      </c>
      <c r="AH253" t="s">
        <v>444</v>
      </c>
      <c r="AI253" t="s">
        <v>175</v>
      </c>
      <c r="AJ253" t="s">
        <v>176</v>
      </c>
      <c r="AK253" t="s">
        <v>940</v>
      </c>
      <c r="AL253" t="s">
        <v>941</v>
      </c>
      <c r="AS253">
        <v>2900</v>
      </c>
      <c r="AT253">
        <v>2900</v>
      </c>
      <c r="BN253" t="s">
        <v>265</v>
      </c>
      <c r="BO253">
        <v>2</v>
      </c>
      <c r="BP253">
        <v>2</v>
      </c>
      <c r="BQ253">
        <v>31</v>
      </c>
      <c r="BR253" t="s">
        <v>1219</v>
      </c>
      <c r="BT253" t="s">
        <v>457</v>
      </c>
      <c r="BU253" s="1">
        <v>45705</v>
      </c>
      <c r="BV253">
        <v>36044</v>
      </c>
      <c r="BX253" t="s">
        <v>170</v>
      </c>
      <c r="BY253" t="s">
        <v>170</v>
      </c>
      <c r="CB253" t="s">
        <v>170</v>
      </c>
      <c r="CC253" t="s">
        <v>170</v>
      </c>
      <c r="CD253" t="s">
        <v>1278</v>
      </c>
      <c r="CE253" t="s">
        <v>170</v>
      </c>
      <c r="CG253" t="s">
        <v>169</v>
      </c>
      <c r="CH253" t="s">
        <v>1279</v>
      </c>
      <c r="CI253" t="s">
        <v>170</v>
      </c>
      <c r="DJ253" t="s">
        <v>267</v>
      </c>
      <c r="DK253" t="s">
        <v>268</v>
      </c>
      <c r="DN253" t="s">
        <v>170</v>
      </c>
      <c r="DO253" t="s">
        <v>1032</v>
      </c>
      <c r="DP253" t="s">
        <v>169</v>
      </c>
      <c r="DQ253" t="s">
        <v>198</v>
      </c>
      <c r="EB253">
        <v>4</v>
      </c>
      <c r="EC253">
        <v>4</v>
      </c>
      <c r="EE253" t="s">
        <v>1280</v>
      </c>
      <c r="EF253">
        <v>5</v>
      </c>
      <c r="EV253">
        <v>5000</v>
      </c>
      <c r="EW253">
        <v>523</v>
      </c>
      <c r="EX253">
        <v>482</v>
      </c>
      <c r="EY253">
        <v>494</v>
      </c>
    </row>
    <row r="254" spans="1:155" x14ac:dyDescent="0.35">
      <c r="A254">
        <v>2025</v>
      </c>
      <c r="B254" t="s">
        <v>439</v>
      </c>
      <c r="C254" t="s">
        <v>440</v>
      </c>
      <c r="D254" t="s">
        <v>1275</v>
      </c>
      <c r="E254" t="s">
        <v>442</v>
      </c>
      <c r="F254">
        <v>38</v>
      </c>
      <c r="G254">
        <v>2.2999999999999998</v>
      </c>
      <c r="H254">
        <v>4</v>
      </c>
      <c r="I254" t="s">
        <v>1277</v>
      </c>
      <c r="J254">
        <v>18</v>
      </c>
      <c r="K254">
        <v>21</v>
      </c>
      <c r="L254">
        <v>19</v>
      </c>
      <c r="M254">
        <v>23.3</v>
      </c>
      <c r="N254">
        <v>32.9</v>
      </c>
      <c r="O254">
        <v>26.821899999999999</v>
      </c>
      <c r="P254">
        <v>18.171600000000002</v>
      </c>
      <c r="Q254">
        <v>21.29</v>
      </c>
      <c r="R254">
        <v>19.453900000000001</v>
      </c>
      <c r="T254" t="s">
        <v>165</v>
      </c>
      <c r="U254" t="s">
        <v>166</v>
      </c>
      <c r="V254" t="s">
        <v>201</v>
      </c>
      <c r="W254" t="s">
        <v>202</v>
      </c>
      <c r="Y254">
        <v>7</v>
      </c>
      <c r="Z254" t="s">
        <v>170</v>
      </c>
      <c r="AA254" t="s">
        <v>169</v>
      </c>
      <c r="AB254" t="s">
        <v>809</v>
      </c>
      <c r="AC254" t="s">
        <v>810</v>
      </c>
      <c r="AD254">
        <v>85</v>
      </c>
      <c r="AG254" t="s">
        <v>210</v>
      </c>
      <c r="AH254" t="s">
        <v>444</v>
      </c>
      <c r="AI254" t="s">
        <v>175</v>
      </c>
      <c r="AJ254" t="s">
        <v>176</v>
      </c>
      <c r="AK254" t="s">
        <v>940</v>
      </c>
      <c r="AL254" t="s">
        <v>941</v>
      </c>
      <c r="AS254">
        <v>2750</v>
      </c>
      <c r="AT254">
        <v>2750</v>
      </c>
      <c r="BN254" t="s">
        <v>265</v>
      </c>
      <c r="BO254">
        <v>2</v>
      </c>
      <c r="BP254">
        <v>2</v>
      </c>
      <c r="BQ254">
        <v>31</v>
      </c>
      <c r="BR254" t="s">
        <v>1219</v>
      </c>
      <c r="BT254" t="s">
        <v>225</v>
      </c>
      <c r="BU254" s="1">
        <v>45720</v>
      </c>
      <c r="BV254">
        <v>36078</v>
      </c>
      <c r="BX254" t="s">
        <v>170</v>
      </c>
      <c r="BY254" t="s">
        <v>170</v>
      </c>
      <c r="CB254" t="s">
        <v>170</v>
      </c>
      <c r="CC254" t="s">
        <v>170</v>
      </c>
      <c r="CE254" t="s">
        <v>170</v>
      </c>
      <c r="CG254" t="s">
        <v>169</v>
      </c>
      <c r="CH254" t="s">
        <v>1036</v>
      </c>
      <c r="CI254" t="s">
        <v>170</v>
      </c>
      <c r="DJ254" t="s">
        <v>267</v>
      </c>
      <c r="DK254" t="s">
        <v>268</v>
      </c>
      <c r="DN254" t="s">
        <v>170</v>
      </c>
      <c r="DO254" t="s">
        <v>445</v>
      </c>
      <c r="DP254" t="s">
        <v>169</v>
      </c>
      <c r="DQ254" t="s">
        <v>198</v>
      </c>
      <c r="EB254">
        <v>4</v>
      </c>
      <c r="EC254">
        <v>4</v>
      </c>
      <c r="EE254" t="s">
        <v>1276</v>
      </c>
      <c r="EF254">
        <v>6</v>
      </c>
      <c r="EV254">
        <v>4250</v>
      </c>
      <c r="EW254">
        <v>514</v>
      </c>
      <c r="EX254">
        <v>412</v>
      </c>
      <c r="EY254">
        <v>468</v>
      </c>
    </row>
    <row r="255" spans="1:155" x14ac:dyDescent="0.35">
      <c r="A255">
        <v>2025</v>
      </c>
      <c r="B255" t="s">
        <v>439</v>
      </c>
      <c r="C255" t="s">
        <v>440</v>
      </c>
      <c r="D255" t="s">
        <v>1275</v>
      </c>
      <c r="E255" t="s">
        <v>442</v>
      </c>
      <c r="F255">
        <v>125</v>
      </c>
      <c r="G255">
        <v>2.7</v>
      </c>
      <c r="H255">
        <v>6</v>
      </c>
      <c r="I255" t="s">
        <v>331</v>
      </c>
      <c r="J255">
        <v>17</v>
      </c>
      <c r="K255">
        <v>18</v>
      </c>
      <c r="L255">
        <v>18</v>
      </c>
      <c r="M255">
        <v>21.453399999999998</v>
      </c>
      <c r="N255">
        <v>27.916899999999998</v>
      </c>
      <c r="O255">
        <v>23.948499999999999</v>
      </c>
      <c r="P255">
        <v>17.1921</v>
      </c>
      <c r="Q255">
        <v>18.019400000000001</v>
      </c>
      <c r="R255">
        <v>17.5548</v>
      </c>
      <c r="T255" t="s">
        <v>165</v>
      </c>
      <c r="U255" t="s">
        <v>166</v>
      </c>
      <c r="V255" t="s">
        <v>193</v>
      </c>
      <c r="W255" t="s">
        <v>194</v>
      </c>
      <c r="Y255">
        <v>10</v>
      </c>
      <c r="Z255" t="s">
        <v>169</v>
      </c>
      <c r="AA255" t="s">
        <v>170</v>
      </c>
      <c r="AB255" t="s">
        <v>809</v>
      </c>
      <c r="AC255" t="s">
        <v>810</v>
      </c>
      <c r="AD255">
        <v>85</v>
      </c>
      <c r="AG255" t="s">
        <v>210</v>
      </c>
      <c r="AH255" t="s">
        <v>444</v>
      </c>
      <c r="AI255" t="s">
        <v>175</v>
      </c>
      <c r="AJ255" t="s">
        <v>176</v>
      </c>
      <c r="AK255" t="s">
        <v>940</v>
      </c>
      <c r="AL255" t="s">
        <v>941</v>
      </c>
      <c r="AS255">
        <v>2900</v>
      </c>
      <c r="AT255">
        <v>2900</v>
      </c>
      <c r="BN255" t="s">
        <v>265</v>
      </c>
      <c r="BO255">
        <v>2</v>
      </c>
      <c r="BP255">
        <v>2</v>
      </c>
      <c r="BQ255">
        <v>31</v>
      </c>
      <c r="BR255" t="s">
        <v>1219</v>
      </c>
      <c r="BT255" t="s">
        <v>457</v>
      </c>
      <c r="BU255" s="1">
        <v>45705</v>
      </c>
      <c r="BV255">
        <v>36043</v>
      </c>
      <c r="BX255" t="s">
        <v>170</v>
      </c>
      <c r="BY255" t="s">
        <v>170</v>
      </c>
      <c r="CB255" t="s">
        <v>170</v>
      </c>
      <c r="CC255" t="s">
        <v>170</v>
      </c>
      <c r="CD255" t="s">
        <v>1278</v>
      </c>
      <c r="CE255" t="s">
        <v>170</v>
      </c>
      <c r="CG255" t="s">
        <v>169</v>
      </c>
      <c r="CH255" t="s">
        <v>1279</v>
      </c>
      <c r="CI255" t="s">
        <v>170</v>
      </c>
      <c r="DJ255" t="s">
        <v>267</v>
      </c>
      <c r="DK255" t="s">
        <v>268</v>
      </c>
      <c r="DN255" t="s">
        <v>170</v>
      </c>
      <c r="DO255" t="s">
        <v>1032</v>
      </c>
      <c r="DP255" t="s">
        <v>169</v>
      </c>
      <c r="DQ255" t="s">
        <v>198</v>
      </c>
      <c r="EB255">
        <v>4</v>
      </c>
      <c r="EC255">
        <v>4</v>
      </c>
      <c r="EE255" t="s">
        <v>1280</v>
      </c>
      <c r="EF255">
        <v>5</v>
      </c>
      <c r="EV255">
        <v>5000</v>
      </c>
      <c r="EW255">
        <v>517</v>
      </c>
      <c r="EX255">
        <v>493</v>
      </c>
      <c r="EY255">
        <v>506</v>
      </c>
    </row>
    <row r="256" spans="1:155" x14ac:dyDescent="0.35">
      <c r="A256">
        <v>2025</v>
      </c>
      <c r="B256" t="s">
        <v>439</v>
      </c>
      <c r="C256" t="s">
        <v>440</v>
      </c>
      <c r="D256" t="s">
        <v>1281</v>
      </c>
      <c r="E256" t="s">
        <v>442</v>
      </c>
      <c r="F256">
        <v>42</v>
      </c>
      <c r="G256">
        <v>2.2999999999999998</v>
      </c>
      <c r="H256">
        <v>4</v>
      </c>
      <c r="I256" t="s">
        <v>331</v>
      </c>
      <c r="J256">
        <v>17</v>
      </c>
      <c r="K256">
        <v>19</v>
      </c>
      <c r="L256">
        <v>18</v>
      </c>
      <c r="M256">
        <v>21.8</v>
      </c>
      <c r="N256">
        <v>29.4</v>
      </c>
      <c r="O256">
        <v>24.669699999999999</v>
      </c>
      <c r="P256">
        <v>16.810500000000001</v>
      </c>
      <c r="Q256">
        <v>18.850999999999999</v>
      </c>
      <c r="R256">
        <v>17.671299999999999</v>
      </c>
      <c r="T256" t="s">
        <v>165</v>
      </c>
      <c r="U256" t="s">
        <v>166</v>
      </c>
      <c r="V256" t="s">
        <v>193</v>
      </c>
      <c r="W256" t="s">
        <v>194</v>
      </c>
      <c r="Y256">
        <v>10</v>
      </c>
      <c r="Z256" t="s">
        <v>169</v>
      </c>
      <c r="AA256" t="s">
        <v>170</v>
      </c>
      <c r="AB256" t="s">
        <v>809</v>
      </c>
      <c r="AC256" t="s">
        <v>810</v>
      </c>
      <c r="AD256">
        <v>85</v>
      </c>
      <c r="AG256" t="s">
        <v>210</v>
      </c>
      <c r="AH256" t="s">
        <v>444</v>
      </c>
      <c r="AI256" t="s">
        <v>175</v>
      </c>
      <c r="AJ256" t="s">
        <v>176</v>
      </c>
      <c r="AK256" t="s">
        <v>940</v>
      </c>
      <c r="AL256" t="s">
        <v>941</v>
      </c>
      <c r="AS256">
        <v>2900</v>
      </c>
      <c r="AT256">
        <v>2900</v>
      </c>
      <c r="BN256" t="s">
        <v>265</v>
      </c>
      <c r="BO256">
        <v>2</v>
      </c>
      <c r="BP256">
        <v>2</v>
      </c>
      <c r="BQ256">
        <v>31</v>
      </c>
      <c r="BR256" t="s">
        <v>1219</v>
      </c>
      <c r="BT256" t="s">
        <v>225</v>
      </c>
      <c r="BU256" s="1">
        <v>45720</v>
      </c>
      <c r="BV256">
        <v>36091</v>
      </c>
      <c r="BX256" t="s">
        <v>169</v>
      </c>
      <c r="BY256" t="s">
        <v>170</v>
      </c>
      <c r="CB256" t="s">
        <v>170</v>
      </c>
      <c r="CC256" t="s">
        <v>170</v>
      </c>
      <c r="CE256" t="s">
        <v>170</v>
      </c>
      <c r="CG256" t="s">
        <v>169</v>
      </c>
      <c r="CH256" t="s">
        <v>1036</v>
      </c>
      <c r="CI256" t="s">
        <v>170</v>
      </c>
      <c r="DJ256" t="s">
        <v>267</v>
      </c>
      <c r="DK256" t="s">
        <v>268</v>
      </c>
      <c r="DN256" t="s">
        <v>170</v>
      </c>
      <c r="DO256" t="s">
        <v>445</v>
      </c>
      <c r="DP256" t="s">
        <v>169</v>
      </c>
      <c r="DQ256" t="s">
        <v>198</v>
      </c>
      <c r="EB256">
        <v>4</v>
      </c>
      <c r="EC256">
        <v>4</v>
      </c>
      <c r="EE256" t="s">
        <v>1276</v>
      </c>
      <c r="EF256">
        <v>6</v>
      </c>
      <c r="EV256">
        <v>5000</v>
      </c>
      <c r="EW256">
        <v>554</v>
      </c>
      <c r="EX256">
        <v>472</v>
      </c>
      <c r="EY256">
        <v>517</v>
      </c>
    </row>
    <row r="257" spans="1:155" x14ac:dyDescent="0.35">
      <c r="A257">
        <v>2025</v>
      </c>
      <c r="B257" t="s">
        <v>439</v>
      </c>
      <c r="C257" t="s">
        <v>440</v>
      </c>
      <c r="D257" t="s">
        <v>1281</v>
      </c>
      <c r="E257" t="s">
        <v>442</v>
      </c>
      <c r="F257">
        <v>43</v>
      </c>
      <c r="G257">
        <v>2.2999999999999998</v>
      </c>
      <c r="H257">
        <v>4</v>
      </c>
      <c r="I257" t="s">
        <v>1277</v>
      </c>
      <c r="J257">
        <v>17</v>
      </c>
      <c r="K257">
        <v>18</v>
      </c>
      <c r="L257">
        <v>17</v>
      </c>
      <c r="M257">
        <v>20.951599999999999</v>
      </c>
      <c r="N257">
        <v>28.3781</v>
      </c>
      <c r="O257">
        <v>23.7483</v>
      </c>
      <c r="P257">
        <v>16.839500000000001</v>
      </c>
      <c r="Q257">
        <v>18.225300000000001</v>
      </c>
      <c r="R257">
        <v>17.4361</v>
      </c>
      <c r="T257" t="s">
        <v>165</v>
      </c>
      <c r="U257" t="s">
        <v>166</v>
      </c>
      <c r="V257" t="s">
        <v>201</v>
      </c>
      <c r="W257" t="s">
        <v>202</v>
      </c>
      <c r="Y257">
        <v>7</v>
      </c>
      <c r="Z257" t="s">
        <v>170</v>
      </c>
      <c r="AA257" t="s">
        <v>169</v>
      </c>
      <c r="AB257" t="s">
        <v>809</v>
      </c>
      <c r="AC257" t="s">
        <v>810</v>
      </c>
      <c r="AD257">
        <v>85</v>
      </c>
      <c r="AG257" t="s">
        <v>210</v>
      </c>
      <c r="AH257" t="s">
        <v>444</v>
      </c>
      <c r="AI257" t="s">
        <v>175</v>
      </c>
      <c r="AJ257" t="s">
        <v>176</v>
      </c>
      <c r="AK257" t="s">
        <v>940</v>
      </c>
      <c r="AL257" t="s">
        <v>941</v>
      </c>
      <c r="AS257">
        <v>3100</v>
      </c>
      <c r="AT257">
        <v>3100</v>
      </c>
      <c r="BN257" t="s">
        <v>265</v>
      </c>
      <c r="BO257">
        <v>2</v>
      </c>
      <c r="BP257">
        <v>2</v>
      </c>
      <c r="BQ257">
        <v>31</v>
      </c>
      <c r="BR257" t="s">
        <v>1219</v>
      </c>
      <c r="BT257" t="s">
        <v>225</v>
      </c>
      <c r="BV257">
        <v>36419</v>
      </c>
      <c r="BX257" t="s">
        <v>169</v>
      </c>
      <c r="BY257" t="s">
        <v>170</v>
      </c>
      <c r="CB257" t="s">
        <v>170</v>
      </c>
      <c r="CC257" t="s">
        <v>170</v>
      </c>
      <c r="CE257" t="s">
        <v>170</v>
      </c>
      <c r="CG257" t="s">
        <v>169</v>
      </c>
      <c r="CH257" t="s">
        <v>1036</v>
      </c>
      <c r="CI257" t="s">
        <v>170</v>
      </c>
      <c r="DJ257" t="s">
        <v>267</v>
      </c>
      <c r="DK257" t="s">
        <v>268</v>
      </c>
      <c r="DN257" t="s">
        <v>170</v>
      </c>
      <c r="DO257" t="s">
        <v>445</v>
      </c>
      <c r="DP257" t="s">
        <v>169</v>
      </c>
      <c r="DQ257" t="s">
        <v>198</v>
      </c>
      <c r="EB257">
        <v>3</v>
      </c>
      <c r="EC257">
        <v>3</v>
      </c>
      <c r="EE257" t="s">
        <v>1276</v>
      </c>
      <c r="EF257">
        <v>6</v>
      </c>
      <c r="EV257">
        <v>6000</v>
      </c>
      <c r="EW257">
        <v>560</v>
      </c>
      <c r="EX257">
        <v>485</v>
      </c>
      <c r="EY257">
        <v>526</v>
      </c>
    </row>
    <row r="258" spans="1:155" x14ac:dyDescent="0.35">
      <c r="A258">
        <v>2025</v>
      </c>
      <c r="B258" t="s">
        <v>439</v>
      </c>
      <c r="C258" t="s">
        <v>440</v>
      </c>
      <c r="D258" t="s">
        <v>1543</v>
      </c>
      <c r="E258" t="s">
        <v>442</v>
      </c>
      <c r="F258">
        <v>75</v>
      </c>
      <c r="G258">
        <v>2.7</v>
      </c>
      <c r="H258">
        <v>6</v>
      </c>
      <c r="I258" t="s">
        <v>331</v>
      </c>
      <c r="J258">
        <v>19</v>
      </c>
      <c r="K258">
        <v>21</v>
      </c>
      <c r="L258">
        <v>20</v>
      </c>
      <c r="M258">
        <v>23.734000000000002</v>
      </c>
      <c r="N258">
        <v>32.811599999999999</v>
      </c>
      <c r="O258">
        <v>27.109000000000002</v>
      </c>
      <c r="P258">
        <v>18.878499999999999</v>
      </c>
      <c r="Q258">
        <v>20.681899999999999</v>
      </c>
      <c r="R258">
        <v>19.6495</v>
      </c>
      <c r="T258" t="s">
        <v>165</v>
      </c>
      <c r="U258" t="s">
        <v>166</v>
      </c>
      <c r="V258" t="s">
        <v>193</v>
      </c>
      <c r="W258" t="s">
        <v>194</v>
      </c>
      <c r="Y258">
        <v>10</v>
      </c>
      <c r="Z258" t="s">
        <v>169</v>
      </c>
      <c r="AA258" t="s">
        <v>170</v>
      </c>
      <c r="AB258" t="s">
        <v>809</v>
      </c>
      <c r="AC258" t="s">
        <v>810</v>
      </c>
      <c r="AD258">
        <v>85</v>
      </c>
      <c r="AG258" t="s">
        <v>210</v>
      </c>
      <c r="AH258" t="s">
        <v>444</v>
      </c>
      <c r="AI258" t="s">
        <v>175</v>
      </c>
      <c r="AJ258" t="s">
        <v>176</v>
      </c>
      <c r="AK258" t="s">
        <v>940</v>
      </c>
      <c r="AL258" t="s">
        <v>941</v>
      </c>
      <c r="AS258">
        <v>2600</v>
      </c>
      <c r="AT258">
        <v>2600</v>
      </c>
      <c r="BN258" t="s">
        <v>265</v>
      </c>
      <c r="BO258">
        <v>2</v>
      </c>
      <c r="BP258">
        <v>2</v>
      </c>
      <c r="BQ258">
        <v>33</v>
      </c>
      <c r="BR258" t="s">
        <v>1497</v>
      </c>
      <c r="BT258" t="s">
        <v>457</v>
      </c>
      <c r="BU258" s="1">
        <v>45705</v>
      </c>
      <c r="BV258">
        <v>36045</v>
      </c>
      <c r="BX258" t="s">
        <v>169</v>
      </c>
      <c r="BY258" t="s">
        <v>170</v>
      </c>
      <c r="CB258" t="s">
        <v>170</v>
      </c>
      <c r="CC258" t="s">
        <v>170</v>
      </c>
      <c r="CD258" t="s">
        <v>1278</v>
      </c>
      <c r="CE258" t="s">
        <v>170</v>
      </c>
      <c r="CG258" t="s">
        <v>169</v>
      </c>
      <c r="CH258" t="s">
        <v>1279</v>
      </c>
      <c r="CI258" t="s">
        <v>170</v>
      </c>
      <c r="DJ258" t="s">
        <v>267</v>
      </c>
      <c r="DK258" t="s">
        <v>268</v>
      </c>
      <c r="DN258" t="s">
        <v>170</v>
      </c>
      <c r="DO258" t="s">
        <v>1032</v>
      </c>
      <c r="DP258" t="s">
        <v>169</v>
      </c>
      <c r="DQ258" t="s">
        <v>198</v>
      </c>
      <c r="EB258">
        <v>4</v>
      </c>
      <c r="EC258">
        <v>4</v>
      </c>
      <c r="EE258" t="s">
        <v>1280</v>
      </c>
      <c r="EF258">
        <v>5</v>
      </c>
      <c r="EV258">
        <v>3500</v>
      </c>
      <c r="EW258">
        <v>471</v>
      </c>
      <c r="EX258">
        <v>431</v>
      </c>
      <c r="EY258">
        <v>453</v>
      </c>
    </row>
    <row r="259" spans="1:155" x14ac:dyDescent="0.35">
      <c r="A259">
        <v>2025</v>
      </c>
      <c r="B259" t="s">
        <v>439</v>
      </c>
      <c r="C259" t="s">
        <v>440</v>
      </c>
      <c r="D259" t="s">
        <v>1544</v>
      </c>
      <c r="E259" t="s">
        <v>442</v>
      </c>
      <c r="F259">
        <v>41</v>
      </c>
      <c r="G259">
        <v>3</v>
      </c>
      <c r="H259">
        <v>6</v>
      </c>
      <c r="I259" t="s">
        <v>331</v>
      </c>
      <c r="J259">
        <v>15</v>
      </c>
      <c r="K259">
        <v>16</v>
      </c>
      <c r="L259">
        <v>15</v>
      </c>
      <c r="M259">
        <v>18.5</v>
      </c>
      <c r="N259">
        <v>24</v>
      </c>
      <c r="O259">
        <v>20.627199999999998</v>
      </c>
      <c r="P259">
        <v>14.9703</v>
      </c>
      <c r="Q259">
        <v>15.855499999999999</v>
      </c>
      <c r="R259">
        <v>15.3561</v>
      </c>
      <c r="T259" t="s">
        <v>165</v>
      </c>
      <c r="U259" t="s">
        <v>166</v>
      </c>
      <c r="V259" t="s">
        <v>193</v>
      </c>
      <c r="W259" t="s">
        <v>194</v>
      </c>
      <c r="Y259">
        <v>10</v>
      </c>
      <c r="Z259" t="s">
        <v>169</v>
      </c>
      <c r="AA259" t="s">
        <v>170</v>
      </c>
      <c r="AB259" t="s">
        <v>809</v>
      </c>
      <c r="AC259" t="s">
        <v>810</v>
      </c>
      <c r="AD259">
        <v>85</v>
      </c>
      <c r="AG259" t="s">
        <v>210</v>
      </c>
      <c r="AH259" t="s">
        <v>444</v>
      </c>
      <c r="AI259" t="s">
        <v>175</v>
      </c>
      <c r="AJ259" t="s">
        <v>176</v>
      </c>
      <c r="AK259" t="s">
        <v>940</v>
      </c>
      <c r="AL259" t="s">
        <v>941</v>
      </c>
      <c r="AS259">
        <v>3500</v>
      </c>
      <c r="AT259">
        <v>3500</v>
      </c>
      <c r="BN259" t="s">
        <v>178</v>
      </c>
      <c r="BO259">
        <v>2</v>
      </c>
      <c r="BP259">
        <v>2</v>
      </c>
      <c r="BQ259">
        <v>33</v>
      </c>
      <c r="BR259" t="s">
        <v>1497</v>
      </c>
      <c r="BT259" t="s">
        <v>457</v>
      </c>
      <c r="BU259" s="1">
        <v>45691</v>
      </c>
      <c r="BV259">
        <v>36039</v>
      </c>
      <c r="BX259" t="s">
        <v>170</v>
      </c>
      <c r="BY259" t="s">
        <v>170</v>
      </c>
      <c r="CB259" t="s">
        <v>170</v>
      </c>
      <c r="CC259" t="s">
        <v>170</v>
      </c>
      <c r="CD259" t="s">
        <v>1040</v>
      </c>
      <c r="CE259" t="s">
        <v>170</v>
      </c>
      <c r="CG259" t="s">
        <v>169</v>
      </c>
      <c r="CH259" t="s">
        <v>1041</v>
      </c>
      <c r="CI259" t="s">
        <v>170</v>
      </c>
      <c r="DJ259" t="s">
        <v>184</v>
      </c>
      <c r="DK259" t="s">
        <v>185</v>
      </c>
      <c r="DN259" t="s">
        <v>170</v>
      </c>
      <c r="DO259" t="s">
        <v>445</v>
      </c>
      <c r="DP259" t="s">
        <v>169</v>
      </c>
      <c r="DQ259" t="s">
        <v>198</v>
      </c>
      <c r="EB259">
        <v>2</v>
      </c>
      <c r="EC259">
        <v>2</v>
      </c>
      <c r="EE259" t="s">
        <v>1042</v>
      </c>
      <c r="EF259">
        <v>5</v>
      </c>
      <c r="EV259">
        <v>8000</v>
      </c>
      <c r="EW259">
        <v>592</v>
      </c>
      <c r="EX259">
        <v>558</v>
      </c>
      <c r="EY259">
        <v>577</v>
      </c>
    </row>
    <row r="260" spans="1:155" x14ac:dyDescent="0.35">
      <c r="A260">
        <v>2025</v>
      </c>
      <c r="B260" t="s">
        <v>439</v>
      </c>
      <c r="C260" t="s">
        <v>440</v>
      </c>
      <c r="D260" t="s">
        <v>1680</v>
      </c>
      <c r="E260" t="s">
        <v>442</v>
      </c>
      <c r="F260">
        <v>39</v>
      </c>
      <c r="G260">
        <v>2.2999999999999998</v>
      </c>
      <c r="H260">
        <v>4</v>
      </c>
      <c r="I260" t="s">
        <v>331</v>
      </c>
      <c r="J260">
        <v>17</v>
      </c>
      <c r="K260">
        <v>19</v>
      </c>
      <c r="L260">
        <v>18</v>
      </c>
      <c r="M260">
        <v>24</v>
      </c>
      <c r="N260">
        <v>34.4</v>
      </c>
      <c r="O260">
        <v>27.779299999999999</v>
      </c>
      <c r="P260">
        <v>18.215800000000002</v>
      </c>
      <c r="Q260">
        <v>21.665800000000001</v>
      </c>
      <c r="R260">
        <v>19.6218</v>
      </c>
      <c r="T260" t="s">
        <v>165</v>
      </c>
      <c r="U260" t="s">
        <v>166</v>
      </c>
      <c r="V260" t="s">
        <v>193</v>
      </c>
      <c r="W260" t="s">
        <v>194</v>
      </c>
      <c r="Y260">
        <v>10</v>
      </c>
      <c r="Z260" t="s">
        <v>169</v>
      </c>
      <c r="AA260" t="s">
        <v>170</v>
      </c>
      <c r="AB260" t="s">
        <v>809</v>
      </c>
      <c r="AC260" t="s">
        <v>810</v>
      </c>
      <c r="AD260">
        <v>85</v>
      </c>
      <c r="AG260" t="s">
        <v>210</v>
      </c>
      <c r="AH260" t="s">
        <v>444</v>
      </c>
      <c r="AI260" t="s">
        <v>175</v>
      </c>
      <c r="AJ260" t="s">
        <v>176</v>
      </c>
      <c r="AK260" t="s">
        <v>940</v>
      </c>
      <c r="AL260" t="s">
        <v>941</v>
      </c>
      <c r="AS260">
        <v>2900</v>
      </c>
      <c r="AT260">
        <v>2900</v>
      </c>
      <c r="BN260" t="s">
        <v>265</v>
      </c>
      <c r="BO260">
        <v>2</v>
      </c>
      <c r="BP260">
        <v>2</v>
      </c>
      <c r="BQ260">
        <v>31</v>
      </c>
      <c r="BR260" t="s">
        <v>1219</v>
      </c>
      <c r="BT260" t="s">
        <v>225</v>
      </c>
      <c r="BV260">
        <v>36417</v>
      </c>
      <c r="BX260" t="s">
        <v>170</v>
      </c>
      <c r="BY260" t="s">
        <v>170</v>
      </c>
      <c r="CB260" t="s">
        <v>170</v>
      </c>
      <c r="CC260" t="s">
        <v>170</v>
      </c>
      <c r="CE260" t="s">
        <v>170</v>
      </c>
      <c r="CG260" t="s">
        <v>169</v>
      </c>
      <c r="CH260" t="s">
        <v>1036</v>
      </c>
      <c r="CI260" t="s">
        <v>170</v>
      </c>
      <c r="DJ260" t="s">
        <v>267</v>
      </c>
      <c r="DK260" t="s">
        <v>268</v>
      </c>
      <c r="DN260" t="s">
        <v>170</v>
      </c>
      <c r="DO260" t="s">
        <v>445</v>
      </c>
      <c r="DP260" t="s">
        <v>169</v>
      </c>
      <c r="DQ260" t="s">
        <v>198</v>
      </c>
      <c r="EB260">
        <v>4</v>
      </c>
      <c r="EC260">
        <v>4</v>
      </c>
      <c r="EE260" t="s">
        <v>1276</v>
      </c>
      <c r="EF260">
        <v>6</v>
      </c>
      <c r="EV260">
        <v>5000</v>
      </c>
      <c r="EW260">
        <v>508</v>
      </c>
      <c r="EX260">
        <v>411</v>
      </c>
      <c r="EY260">
        <v>464</v>
      </c>
    </row>
    <row r="261" spans="1:155" x14ac:dyDescent="0.35">
      <c r="A261">
        <v>2025</v>
      </c>
      <c r="B261" t="s">
        <v>439</v>
      </c>
      <c r="C261" t="s">
        <v>440</v>
      </c>
      <c r="D261" t="s">
        <v>1680</v>
      </c>
      <c r="E261" t="s">
        <v>442</v>
      </c>
      <c r="F261">
        <v>40</v>
      </c>
      <c r="G261">
        <v>2.2999999999999998</v>
      </c>
      <c r="H261">
        <v>4</v>
      </c>
      <c r="I261" t="s">
        <v>1277</v>
      </c>
      <c r="J261">
        <v>17</v>
      </c>
      <c r="K261">
        <v>19</v>
      </c>
      <c r="L261">
        <v>18</v>
      </c>
      <c r="M261">
        <v>23.3</v>
      </c>
      <c r="N261">
        <v>32.9</v>
      </c>
      <c r="O261">
        <v>26.821899999999999</v>
      </c>
      <c r="P261">
        <v>18.171600000000002</v>
      </c>
      <c r="Q261">
        <v>21.29</v>
      </c>
      <c r="R261">
        <v>19.453900000000001</v>
      </c>
      <c r="T261" t="s">
        <v>165</v>
      </c>
      <c r="U261" t="s">
        <v>166</v>
      </c>
      <c r="V261" t="s">
        <v>201</v>
      </c>
      <c r="W261" t="s">
        <v>202</v>
      </c>
      <c r="Y261">
        <v>7</v>
      </c>
      <c r="Z261" t="s">
        <v>170</v>
      </c>
      <c r="AA261" t="s">
        <v>169</v>
      </c>
      <c r="AB261" t="s">
        <v>809</v>
      </c>
      <c r="AC261" t="s">
        <v>810</v>
      </c>
      <c r="AD261">
        <v>85</v>
      </c>
      <c r="AG261" t="s">
        <v>210</v>
      </c>
      <c r="AH261" t="s">
        <v>444</v>
      </c>
      <c r="AI261" t="s">
        <v>175</v>
      </c>
      <c r="AJ261" t="s">
        <v>176</v>
      </c>
      <c r="AK261" t="s">
        <v>940</v>
      </c>
      <c r="AL261" t="s">
        <v>941</v>
      </c>
      <c r="AS261">
        <v>2900</v>
      </c>
      <c r="AT261">
        <v>2900</v>
      </c>
      <c r="BN261" t="s">
        <v>265</v>
      </c>
      <c r="BO261">
        <v>2</v>
      </c>
      <c r="BP261">
        <v>2</v>
      </c>
      <c r="BQ261">
        <v>31</v>
      </c>
      <c r="BR261" t="s">
        <v>1219</v>
      </c>
      <c r="BT261" t="s">
        <v>225</v>
      </c>
      <c r="BV261">
        <v>36418</v>
      </c>
      <c r="BX261" t="s">
        <v>170</v>
      </c>
      <c r="BY261" t="s">
        <v>170</v>
      </c>
      <c r="CB261" t="s">
        <v>170</v>
      </c>
      <c r="CC261" t="s">
        <v>170</v>
      </c>
      <c r="CE261" t="s">
        <v>170</v>
      </c>
      <c r="CG261" t="s">
        <v>169</v>
      </c>
      <c r="CH261" t="s">
        <v>1036</v>
      </c>
      <c r="CI261" t="s">
        <v>170</v>
      </c>
      <c r="DJ261" t="s">
        <v>267</v>
      </c>
      <c r="DK261" t="s">
        <v>268</v>
      </c>
      <c r="DN261" t="s">
        <v>170</v>
      </c>
      <c r="DO261" t="s">
        <v>445</v>
      </c>
      <c r="DP261" t="s">
        <v>169</v>
      </c>
      <c r="DQ261" t="s">
        <v>198</v>
      </c>
      <c r="EB261">
        <v>4</v>
      </c>
      <c r="EC261">
        <v>4</v>
      </c>
      <c r="EE261" t="s">
        <v>1276</v>
      </c>
      <c r="EF261">
        <v>6</v>
      </c>
      <c r="EV261">
        <v>5000</v>
      </c>
      <c r="EW261">
        <v>514</v>
      </c>
      <c r="EX261">
        <v>412</v>
      </c>
      <c r="EY261">
        <v>468</v>
      </c>
    </row>
    <row r="262" spans="1:155" x14ac:dyDescent="0.35">
      <c r="A262">
        <v>2025</v>
      </c>
      <c r="B262" t="s">
        <v>439</v>
      </c>
      <c r="C262" t="s">
        <v>440</v>
      </c>
      <c r="D262" t="s">
        <v>1282</v>
      </c>
      <c r="E262" t="s">
        <v>442</v>
      </c>
      <c r="F262">
        <v>97</v>
      </c>
      <c r="G262">
        <v>1.5</v>
      </c>
      <c r="H262">
        <v>3</v>
      </c>
      <c r="I262" t="s">
        <v>164</v>
      </c>
      <c r="J262">
        <v>25</v>
      </c>
      <c r="K262">
        <v>30</v>
      </c>
      <c r="L262">
        <v>27</v>
      </c>
      <c r="M262">
        <v>32.799999999999997</v>
      </c>
      <c r="N262">
        <v>49.1</v>
      </c>
      <c r="O262">
        <v>38.560499999999998</v>
      </c>
      <c r="P262">
        <v>25.342199999999998</v>
      </c>
      <c r="Q262">
        <v>30.220500000000001</v>
      </c>
      <c r="R262">
        <v>27.327300000000001</v>
      </c>
      <c r="T262" t="s">
        <v>165</v>
      </c>
      <c r="U262" t="s">
        <v>166</v>
      </c>
      <c r="V262" t="s">
        <v>167</v>
      </c>
      <c r="W262" t="s">
        <v>168</v>
      </c>
      <c r="Y262">
        <v>8</v>
      </c>
      <c r="Z262" t="s">
        <v>169</v>
      </c>
      <c r="AA262" t="s">
        <v>170</v>
      </c>
      <c r="AB262" t="s">
        <v>809</v>
      </c>
      <c r="AC262" t="s">
        <v>810</v>
      </c>
      <c r="AD262">
        <v>85</v>
      </c>
      <c r="AG262" t="s">
        <v>210</v>
      </c>
      <c r="AH262" t="s">
        <v>444</v>
      </c>
      <c r="AI262" t="s">
        <v>175</v>
      </c>
      <c r="AJ262" t="s">
        <v>176</v>
      </c>
      <c r="AK262" t="s">
        <v>940</v>
      </c>
      <c r="AL262" t="s">
        <v>941</v>
      </c>
      <c r="AS262">
        <v>1950</v>
      </c>
      <c r="AT262">
        <v>1950</v>
      </c>
      <c r="BN262" t="s">
        <v>265</v>
      </c>
      <c r="BO262">
        <v>2</v>
      </c>
      <c r="BP262">
        <v>2</v>
      </c>
      <c r="BQ262">
        <v>31</v>
      </c>
      <c r="BR262" t="s">
        <v>1219</v>
      </c>
      <c r="BT262" t="s">
        <v>457</v>
      </c>
      <c r="BU262" s="1">
        <v>45705</v>
      </c>
      <c r="BV262">
        <v>36051</v>
      </c>
      <c r="BX262" t="s">
        <v>170</v>
      </c>
      <c r="BY262" t="s">
        <v>170</v>
      </c>
      <c r="CB262" t="s">
        <v>170</v>
      </c>
      <c r="CC262" t="s">
        <v>170</v>
      </c>
      <c r="CE262" t="s">
        <v>170</v>
      </c>
      <c r="CG262" t="s">
        <v>169</v>
      </c>
      <c r="CH262" t="s">
        <v>958</v>
      </c>
      <c r="CI262" t="s">
        <v>170</v>
      </c>
      <c r="DJ262" t="s">
        <v>267</v>
      </c>
      <c r="DK262" t="s">
        <v>268</v>
      </c>
      <c r="DN262" t="s">
        <v>170</v>
      </c>
      <c r="DO262" t="s">
        <v>946</v>
      </c>
      <c r="DP262" t="s">
        <v>169</v>
      </c>
      <c r="DQ262" t="s">
        <v>198</v>
      </c>
      <c r="EB262">
        <v>5</v>
      </c>
      <c r="EC262">
        <v>5</v>
      </c>
      <c r="EE262" t="s">
        <v>1283</v>
      </c>
      <c r="EF262">
        <v>6</v>
      </c>
      <c r="EI262" t="s">
        <v>1284</v>
      </c>
      <c r="EJ262">
        <v>6</v>
      </c>
      <c r="EV262">
        <v>250</v>
      </c>
      <c r="EW262">
        <v>350</v>
      </c>
      <c r="EX262">
        <v>293</v>
      </c>
      <c r="EY262">
        <v>324</v>
      </c>
    </row>
    <row r="263" spans="1:155" x14ac:dyDescent="0.35">
      <c r="A263">
        <v>2025</v>
      </c>
      <c r="B263" t="s">
        <v>439</v>
      </c>
      <c r="C263" t="s">
        <v>440</v>
      </c>
      <c r="D263" t="s">
        <v>1282</v>
      </c>
      <c r="E263" t="s">
        <v>442</v>
      </c>
      <c r="F263">
        <v>120</v>
      </c>
      <c r="G263">
        <v>2</v>
      </c>
      <c r="H263">
        <v>4</v>
      </c>
      <c r="I263" t="s">
        <v>192</v>
      </c>
      <c r="J263">
        <v>21</v>
      </c>
      <c r="K263">
        <v>27</v>
      </c>
      <c r="L263">
        <v>23</v>
      </c>
      <c r="M263">
        <v>26.6</v>
      </c>
      <c r="N263">
        <v>39.799999999999997</v>
      </c>
      <c r="O263">
        <v>31.266400000000001</v>
      </c>
      <c r="P263">
        <v>20.962700000000002</v>
      </c>
      <c r="Q263">
        <v>27</v>
      </c>
      <c r="R263">
        <v>23</v>
      </c>
      <c r="T263" t="s">
        <v>165</v>
      </c>
      <c r="U263" t="s">
        <v>166</v>
      </c>
      <c r="V263" t="s">
        <v>193</v>
      </c>
      <c r="W263" t="s">
        <v>194</v>
      </c>
      <c r="Y263">
        <v>8</v>
      </c>
      <c r="Z263" t="s">
        <v>169</v>
      </c>
      <c r="AA263" t="s">
        <v>170</v>
      </c>
      <c r="AB263">
        <v>4</v>
      </c>
      <c r="AC263" t="s">
        <v>601</v>
      </c>
      <c r="AD263">
        <v>85</v>
      </c>
      <c r="AG263" t="s">
        <v>210</v>
      </c>
      <c r="AH263" t="s">
        <v>444</v>
      </c>
      <c r="AI263" t="s">
        <v>175</v>
      </c>
      <c r="AJ263" t="s">
        <v>176</v>
      </c>
      <c r="AK263" t="s">
        <v>940</v>
      </c>
      <c r="AL263" t="s">
        <v>941</v>
      </c>
      <c r="AS263">
        <v>2300</v>
      </c>
      <c r="AT263">
        <v>2300</v>
      </c>
      <c r="BN263" t="s">
        <v>265</v>
      </c>
      <c r="BO263">
        <v>2</v>
      </c>
      <c r="BP263">
        <v>2</v>
      </c>
      <c r="BQ263">
        <v>31</v>
      </c>
      <c r="BR263" t="s">
        <v>1219</v>
      </c>
      <c r="BT263" t="s">
        <v>181</v>
      </c>
      <c r="BU263" s="1">
        <v>45583</v>
      </c>
      <c r="BV263">
        <v>35718</v>
      </c>
      <c r="BX263" t="s">
        <v>170</v>
      </c>
      <c r="BY263" t="s">
        <v>170</v>
      </c>
      <c r="CB263" t="s">
        <v>170</v>
      </c>
      <c r="CC263" t="s">
        <v>170</v>
      </c>
      <c r="CD263" t="s">
        <v>957</v>
      </c>
      <c r="CE263" t="s">
        <v>170</v>
      </c>
      <c r="CG263" t="s">
        <v>169</v>
      </c>
      <c r="CH263" t="s">
        <v>958</v>
      </c>
      <c r="CI263" t="s">
        <v>170</v>
      </c>
      <c r="DJ263" t="s">
        <v>267</v>
      </c>
      <c r="DK263" t="s">
        <v>268</v>
      </c>
      <c r="DN263" t="s">
        <v>170</v>
      </c>
      <c r="DO263" t="s">
        <v>445</v>
      </c>
      <c r="DP263" t="s">
        <v>169</v>
      </c>
      <c r="DQ263" t="s">
        <v>198</v>
      </c>
      <c r="EB263">
        <v>5</v>
      </c>
      <c r="EC263">
        <v>5</v>
      </c>
      <c r="EE263" t="s">
        <v>959</v>
      </c>
      <c r="EF263">
        <v>6</v>
      </c>
      <c r="EV263">
        <v>2000</v>
      </c>
      <c r="EW263">
        <v>424</v>
      </c>
      <c r="EX263">
        <v>330</v>
      </c>
      <c r="EY263">
        <v>387</v>
      </c>
    </row>
    <row r="264" spans="1:155" x14ac:dyDescent="0.35">
      <c r="A264">
        <v>2025</v>
      </c>
      <c r="B264" t="s">
        <v>439</v>
      </c>
      <c r="C264" t="s">
        <v>440</v>
      </c>
      <c r="D264" t="s">
        <v>1285</v>
      </c>
      <c r="E264" t="s">
        <v>442</v>
      </c>
      <c r="F264">
        <v>121</v>
      </c>
      <c r="G264">
        <v>1.5</v>
      </c>
      <c r="H264">
        <v>3</v>
      </c>
      <c r="I264" t="s">
        <v>164</v>
      </c>
      <c r="J264">
        <v>23</v>
      </c>
      <c r="K264">
        <v>26</v>
      </c>
      <c r="L264">
        <v>24</v>
      </c>
      <c r="M264">
        <v>30.8767</v>
      </c>
      <c r="N264">
        <v>43.754300000000001</v>
      </c>
      <c r="O264">
        <v>35.590400000000002</v>
      </c>
      <c r="P264">
        <v>23</v>
      </c>
      <c r="Q264">
        <v>26</v>
      </c>
      <c r="R264">
        <v>24</v>
      </c>
      <c r="T264" t="s">
        <v>165</v>
      </c>
      <c r="U264" t="s">
        <v>166</v>
      </c>
      <c r="V264" t="s">
        <v>167</v>
      </c>
      <c r="W264" t="s">
        <v>168</v>
      </c>
      <c r="Y264">
        <v>8</v>
      </c>
      <c r="Z264" t="s">
        <v>169</v>
      </c>
      <c r="AA264" t="s">
        <v>170</v>
      </c>
      <c r="AB264">
        <v>4</v>
      </c>
      <c r="AC264" t="s">
        <v>601</v>
      </c>
      <c r="AD264">
        <v>85</v>
      </c>
      <c r="AG264" t="s">
        <v>210</v>
      </c>
      <c r="AH264" t="s">
        <v>444</v>
      </c>
      <c r="AI264" t="s">
        <v>175</v>
      </c>
      <c r="AJ264" t="s">
        <v>176</v>
      </c>
      <c r="AK264" t="s">
        <v>940</v>
      </c>
      <c r="AL264" t="s">
        <v>941</v>
      </c>
      <c r="AS264">
        <v>2200</v>
      </c>
      <c r="AT264">
        <v>2200</v>
      </c>
      <c r="BN264" t="s">
        <v>265</v>
      </c>
      <c r="BO264">
        <v>2</v>
      </c>
      <c r="BP264">
        <v>2</v>
      </c>
      <c r="BQ264">
        <v>31</v>
      </c>
      <c r="BR264" t="s">
        <v>1219</v>
      </c>
      <c r="BT264" t="s">
        <v>457</v>
      </c>
      <c r="BU264" s="1">
        <v>45709</v>
      </c>
      <c r="BV264">
        <v>36052</v>
      </c>
      <c r="BX264" t="s">
        <v>169</v>
      </c>
      <c r="BY264" t="s">
        <v>170</v>
      </c>
      <c r="CB264" t="s">
        <v>170</v>
      </c>
      <c r="CC264" t="s">
        <v>170</v>
      </c>
      <c r="CE264" t="s">
        <v>170</v>
      </c>
      <c r="CG264" t="s">
        <v>169</v>
      </c>
      <c r="CH264" t="s">
        <v>958</v>
      </c>
      <c r="CI264" t="s">
        <v>170</v>
      </c>
      <c r="DJ264" t="s">
        <v>267</v>
      </c>
      <c r="DK264" t="s">
        <v>268</v>
      </c>
      <c r="DN264" t="s">
        <v>170</v>
      </c>
      <c r="DO264" t="s">
        <v>946</v>
      </c>
      <c r="DP264" t="s">
        <v>169</v>
      </c>
      <c r="DQ264" t="s">
        <v>198</v>
      </c>
      <c r="EB264">
        <v>5</v>
      </c>
      <c r="EC264">
        <v>5</v>
      </c>
      <c r="EE264" t="s">
        <v>1283</v>
      </c>
      <c r="EF264">
        <v>6</v>
      </c>
      <c r="EI264" t="s">
        <v>1284</v>
      </c>
      <c r="EJ264">
        <v>6</v>
      </c>
      <c r="EV264">
        <v>1500</v>
      </c>
      <c r="EW264">
        <v>387</v>
      </c>
      <c r="EX264">
        <v>341</v>
      </c>
      <c r="EY264">
        <v>370</v>
      </c>
    </row>
    <row r="265" spans="1:155" x14ac:dyDescent="0.35">
      <c r="A265">
        <v>2025</v>
      </c>
      <c r="B265" t="s">
        <v>439</v>
      </c>
      <c r="C265" t="s">
        <v>440</v>
      </c>
      <c r="D265" t="s">
        <v>1286</v>
      </c>
      <c r="E265" t="s">
        <v>442</v>
      </c>
      <c r="F265">
        <v>32</v>
      </c>
      <c r="G265">
        <v>2</v>
      </c>
      <c r="H265">
        <v>4</v>
      </c>
      <c r="I265" t="s">
        <v>164</v>
      </c>
      <c r="J265">
        <v>23</v>
      </c>
      <c r="K265">
        <v>31</v>
      </c>
      <c r="L265">
        <v>26</v>
      </c>
      <c r="M265">
        <v>29.4</v>
      </c>
      <c r="N265">
        <v>46.7</v>
      </c>
      <c r="O265">
        <v>35.281500000000001</v>
      </c>
      <c r="P265">
        <v>22.962</v>
      </c>
      <c r="Q265">
        <v>32.351500000000001</v>
      </c>
      <c r="R265">
        <v>26.4115</v>
      </c>
      <c r="T265" t="s">
        <v>165</v>
      </c>
      <c r="U265" t="s">
        <v>166</v>
      </c>
      <c r="V265" t="s">
        <v>167</v>
      </c>
      <c r="W265" t="s">
        <v>168</v>
      </c>
      <c r="Y265">
        <v>8</v>
      </c>
      <c r="Z265" t="s">
        <v>169</v>
      </c>
      <c r="AA265" t="s">
        <v>170</v>
      </c>
      <c r="AB265" t="s">
        <v>167</v>
      </c>
      <c r="AC265" t="s">
        <v>213</v>
      </c>
      <c r="AD265">
        <v>85</v>
      </c>
      <c r="AG265" t="s">
        <v>210</v>
      </c>
      <c r="AH265" t="s">
        <v>444</v>
      </c>
      <c r="AI265" t="s">
        <v>175</v>
      </c>
      <c r="AJ265" t="s">
        <v>176</v>
      </c>
      <c r="AK265" t="s">
        <v>940</v>
      </c>
      <c r="AL265" t="s">
        <v>941</v>
      </c>
      <c r="AS265">
        <v>2000</v>
      </c>
      <c r="AT265">
        <v>2000</v>
      </c>
      <c r="BN265" t="s">
        <v>265</v>
      </c>
      <c r="BO265">
        <v>2</v>
      </c>
      <c r="BP265">
        <v>2</v>
      </c>
      <c r="BQ265">
        <v>31</v>
      </c>
      <c r="BR265" t="s">
        <v>1219</v>
      </c>
      <c r="BT265" t="s">
        <v>181</v>
      </c>
      <c r="BV265">
        <v>36402</v>
      </c>
      <c r="BX265" t="s">
        <v>170</v>
      </c>
      <c r="BY265" t="s">
        <v>170</v>
      </c>
      <c r="CB265" t="s">
        <v>170</v>
      </c>
      <c r="CC265" t="s">
        <v>170</v>
      </c>
      <c r="CD265" t="s">
        <v>1173</v>
      </c>
      <c r="CE265" t="s">
        <v>170</v>
      </c>
      <c r="CG265" t="s">
        <v>169</v>
      </c>
      <c r="CH265" t="s">
        <v>1174</v>
      </c>
      <c r="CI265" t="s">
        <v>170</v>
      </c>
      <c r="DJ265" t="s">
        <v>267</v>
      </c>
      <c r="DK265" t="s">
        <v>268</v>
      </c>
      <c r="DN265" t="s">
        <v>170</v>
      </c>
      <c r="DO265" t="s">
        <v>1175</v>
      </c>
      <c r="DP265" t="s">
        <v>169</v>
      </c>
      <c r="DQ265" t="s">
        <v>198</v>
      </c>
      <c r="DY265">
        <v>0</v>
      </c>
      <c r="EB265">
        <v>5</v>
      </c>
      <c r="EC265">
        <v>5</v>
      </c>
      <c r="EE265" t="s">
        <v>1176</v>
      </c>
      <c r="EF265">
        <v>6</v>
      </c>
      <c r="EV265">
        <v>500</v>
      </c>
      <c r="EW265">
        <v>387</v>
      </c>
      <c r="EX265">
        <v>274</v>
      </c>
      <c r="EY265">
        <v>336</v>
      </c>
    </row>
    <row r="266" spans="1:155" x14ac:dyDescent="0.35">
      <c r="A266">
        <v>2025</v>
      </c>
      <c r="B266" t="s">
        <v>439</v>
      </c>
      <c r="C266" t="s">
        <v>440</v>
      </c>
      <c r="D266" t="s">
        <v>1286</v>
      </c>
      <c r="E266" t="s">
        <v>442</v>
      </c>
      <c r="F266">
        <v>33</v>
      </c>
      <c r="G266">
        <v>1.5</v>
      </c>
      <c r="H266">
        <v>3</v>
      </c>
      <c r="I266" t="s">
        <v>164</v>
      </c>
      <c r="J266">
        <v>26</v>
      </c>
      <c r="K266">
        <v>32</v>
      </c>
      <c r="L266">
        <v>28</v>
      </c>
      <c r="M266">
        <v>33.184100000000001</v>
      </c>
      <c r="N266">
        <v>48.468499999999999</v>
      </c>
      <c r="O266">
        <v>38.671900000000001</v>
      </c>
      <c r="P266">
        <v>25.607900000000001</v>
      </c>
      <c r="Q266">
        <v>32</v>
      </c>
      <c r="R266">
        <v>28</v>
      </c>
      <c r="T266" t="s">
        <v>165</v>
      </c>
      <c r="U266" t="s">
        <v>166</v>
      </c>
      <c r="V266" t="s">
        <v>167</v>
      </c>
      <c r="W266" t="s">
        <v>168</v>
      </c>
      <c r="Y266">
        <v>8</v>
      </c>
      <c r="Z266" t="s">
        <v>169</v>
      </c>
      <c r="AA266" t="s">
        <v>170</v>
      </c>
      <c r="AB266" t="s">
        <v>167</v>
      </c>
      <c r="AC266" t="s">
        <v>213</v>
      </c>
      <c r="AD266">
        <v>85</v>
      </c>
      <c r="AG266" t="s">
        <v>210</v>
      </c>
      <c r="AH266" t="s">
        <v>444</v>
      </c>
      <c r="AI266" t="s">
        <v>175</v>
      </c>
      <c r="AJ266" t="s">
        <v>176</v>
      </c>
      <c r="AK266" t="s">
        <v>940</v>
      </c>
      <c r="AL266" t="s">
        <v>941</v>
      </c>
      <c r="AS266">
        <v>1900</v>
      </c>
      <c r="AT266">
        <v>1900</v>
      </c>
      <c r="BN266" t="s">
        <v>265</v>
      </c>
      <c r="BO266">
        <v>2</v>
      </c>
      <c r="BP266">
        <v>2</v>
      </c>
      <c r="BQ266">
        <v>31</v>
      </c>
      <c r="BR266" t="s">
        <v>1219</v>
      </c>
      <c r="BT266" t="s">
        <v>181</v>
      </c>
      <c r="BU266" s="1">
        <v>45558</v>
      </c>
      <c r="BV266">
        <v>35481</v>
      </c>
      <c r="BX266" t="s">
        <v>170</v>
      </c>
      <c r="BY266" t="s">
        <v>170</v>
      </c>
      <c r="CB266" t="s">
        <v>170</v>
      </c>
      <c r="CC266" t="s">
        <v>170</v>
      </c>
      <c r="CE266" t="s">
        <v>170</v>
      </c>
      <c r="CG266" t="s">
        <v>169</v>
      </c>
      <c r="CH266" t="s">
        <v>958</v>
      </c>
      <c r="CI266" t="s">
        <v>170</v>
      </c>
      <c r="DJ266" t="s">
        <v>267</v>
      </c>
      <c r="DK266" t="s">
        <v>268</v>
      </c>
      <c r="DN266" t="s">
        <v>170</v>
      </c>
      <c r="DO266" t="s">
        <v>1112</v>
      </c>
      <c r="DP266" t="s">
        <v>169</v>
      </c>
      <c r="DQ266" t="s">
        <v>198</v>
      </c>
      <c r="EB266">
        <v>6</v>
      </c>
      <c r="EC266">
        <v>6</v>
      </c>
      <c r="EE266" t="s">
        <v>1113</v>
      </c>
      <c r="EF266">
        <v>6</v>
      </c>
      <c r="EU266">
        <v>0</v>
      </c>
      <c r="EW266">
        <v>345</v>
      </c>
      <c r="EX266">
        <v>277</v>
      </c>
      <c r="EY266">
        <v>316</v>
      </c>
    </row>
    <row r="267" spans="1:155" x14ac:dyDescent="0.35">
      <c r="A267">
        <v>2025</v>
      </c>
      <c r="B267" t="s">
        <v>439</v>
      </c>
      <c r="C267" t="s">
        <v>440</v>
      </c>
      <c r="D267" t="s">
        <v>1287</v>
      </c>
      <c r="E267" t="s">
        <v>442</v>
      </c>
      <c r="F267">
        <v>35</v>
      </c>
      <c r="G267">
        <v>2.5</v>
      </c>
      <c r="H267">
        <v>4</v>
      </c>
      <c r="I267" t="s">
        <v>587</v>
      </c>
      <c r="J267">
        <v>42</v>
      </c>
      <c r="K267">
        <v>36</v>
      </c>
      <c r="L267">
        <v>39</v>
      </c>
      <c r="M267">
        <v>59.2</v>
      </c>
      <c r="N267">
        <v>52.6</v>
      </c>
      <c r="O267">
        <v>56.036000000000001</v>
      </c>
      <c r="P267">
        <v>42.216700000000003</v>
      </c>
      <c r="Q267">
        <v>35.9696</v>
      </c>
      <c r="R267">
        <v>39.156500000000001</v>
      </c>
      <c r="U267" t="s">
        <v>224</v>
      </c>
      <c r="V267" t="s">
        <v>588</v>
      </c>
      <c r="W267" t="s">
        <v>589</v>
      </c>
      <c r="Y267">
        <v>1</v>
      </c>
      <c r="Z267" t="s">
        <v>170</v>
      </c>
      <c r="AA267" t="s">
        <v>170</v>
      </c>
      <c r="AB267" t="s">
        <v>809</v>
      </c>
      <c r="AC267" t="s">
        <v>810</v>
      </c>
      <c r="AD267">
        <v>85</v>
      </c>
      <c r="AG267" t="s">
        <v>210</v>
      </c>
      <c r="AH267" t="s">
        <v>444</v>
      </c>
      <c r="AI267" t="s">
        <v>175</v>
      </c>
      <c r="AJ267" t="s">
        <v>176</v>
      </c>
      <c r="AK267" t="s">
        <v>940</v>
      </c>
      <c r="AL267" t="s">
        <v>941</v>
      </c>
      <c r="AS267">
        <v>1350</v>
      </c>
      <c r="AT267">
        <v>1350</v>
      </c>
      <c r="BN267" t="s">
        <v>230</v>
      </c>
      <c r="BO267">
        <v>2</v>
      </c>
      <c r="BP267">
        <v>2</v>
      </c>
      <c r="BQ267">
        <v>31</v>
      </c>
      <c r="BR267" t="s">
        <v>1219</v>
      </c>
      <c r="BT267" t="s">
        <v>181</v>
      </c>
      <c r="BU267" s="1">
        <v>45558</v>
      </c>
      <c r="BV267">
        <v>35482</v>
      </c>
      <c r="BX267" t="s">
        <v>170</v>
      </c>
      <c r="BY267" t="s">
        <v>170</v>
      </c>
      <c r="CB267" t="s">
        <v>170</v>
      </c>
      <c r="CC267" t="s">
        <v>170</v>
      </c>
      <c r="CD267" t="s">
        <v>1115</v>
      </c>
      <c r="CE267" t="s">
        <v>170</v>
      </c>
      <c r="CG267" t="s">
        <v>169</v>
      </c>
      <c r="CH267" t="s">
        <v>944</v>
      </c>
      <c r="CI267" t="s">
        <v>170</v>
      </c>
      <c r="CK267" t="s">
        <v>233</v>
      </c>
      <c r="CM267">
        <v>1</v>
      </c>
      <c r="CN267" t="s">
        <v>234</v>
      </c>
      <c r="CP267">
        <v>216</v>
      </c>
      <c r="CQ267">
        <v>5</v>
      </c>
      <c r="CR267">
        <v>41.2</v>
      </c>
      <c r="CS267" t="s">
        <v>235</v>
      </c>
      <c r="CV267" t="s">
        <v>341</v>
      </c>
      <c r="CX267" t="s">
        <v>729</v>
      </c>
      <c r="CY267" t="s">
        <v>170</v>
      </c>
      <c r="DD267">
        <v>1</v>
      </c>
      <c r="DE267" t="s">
        <v>663</v>
      </c>
      <c r="DG267">
        <v>32</v>
      </c>
      <c r="DJ267" t="s">
        <v>449</v>
      </c>
      <c r="DK267" t="s">
        <v>450</v>
      </c>
      <c r="DL267" t="s">
        <v>170</v>
      </c>
      <c r="DM267" t="s">
        <v>170</v>
      </c>
      <c r="DN267" t="s">
        <v>170</v>
      </c>
      <c r="DO267" t="s">
        <v>946</v>
      </c>
      <c r="DP267" t="s">
        <v>169</v>
      </c>
      <c r="DQ267" t="s">
        <v>198</v>
      </c>
      <c r="EB267">
        <v>7</v>
      </c>
      <c r="EC267">
        <v>7</v>
      </c>
      <c r="EE267" t="s">
        <v>1116</v>
      </c>
      <c r="EF267">
        <v>7</v>
      </c>
      <c r="EU267">
        <v>2750</v>
      </c>
      <c r="EW267">
        <v>208</v>
      </c>
      <c r="EX267">
        <v>246</v>
      </c>
      <c r="EY267">
        <v>225</v>
      </c>
    </row>
    <row r="268" spans="1:155" x14ac:dyDescent="0.35">
      <c r="A268">
        <v>2025</v>
      </c>
      <c r="B268" t="s">
        <v>439</v>
      </c>
      <c r="C268" t="s">
        <v>440</v>
      </c>
      <c r="D268" t="s">
        <v>1111</v>
      </c>
      <c r="E268" t="s">
        <v>442</v>
      </c>
      <c r="F268">
        <v>34</v>
      </c>
      <c r="G268">
        <v>1.5</v>
      </c>
      <c r="H268">
        <v>3</v>
      </c>
      <c r="I268" t="s">
        <v>164</v>
      </c>
      <c r="J268">
        <v>27</v>
      </c>
      <c r="K268">
        <v>34</v>
      </c>
      <c r="L268">
        <v>30</v>
      </c>
      <c r="M268">
        <v>34.590600000000002</v>
      </c>
      <c r="N268">
        <v>50.170999999999999</v>
      </c>
      <c r="O268">
        <v>40.209699999999998</v>
      </c>
      <c r="P268">
        <v>26.575199999999999</v>
      </c>
      <c r="Q268">
        <v>34.491399999999999</v>
      </c>
      <c r="R268">
        <v>29.635999999999999</v>
      </c>
      <c r="T268" t="s">
        <v>165</v>
      </c>
      <c r="U268" t="s">
        <v>166</v>
      </c>
      <c r="V268" t="s">
        <v>167</v>
      </c>
      <c r="W268" t="s">
        <v>168</v>
      </c>
      <c r="Y268">
        <v>8</v>
      </c>
      <c r="Z268" t="s">
        <v>169</v>
      </c>
      <c r="AA268" t="s">
        <v>170</v>
      </c>
      <c r="AB268" t="s">
        <v>351</v>
      </c>
      <c r="AC268" t="s">
        <v>352</v>
      </c>
      <c r="AD268">
        <v>85</v>
      </c>
      <c r="AG268" t="s">
        <v>210</v>
      </c>
      <c r="AH268" t="s">
        <v>444</v>
      </c>
      <c r="AI268" t="s">
        <v>175</v>
      </c>
      <c r="AJ268" t="s">
        <v>176</v>
      </c>
      <c r="AK268" t="s">
        <v>940</v>
      </c>
      <c r="AL268" t="s">
        <v>941</v>
      </c>
      <c r="AS268">
        <v>1750</v>
      </c>
      <c r="AT268">
        <v>1750</v>
      </c>
      <c r="BN268" t="s">
        <v>265</v>
      </c>
      <c r="BO268">
        <v>2</v>
      </c>
      <c r="BP268">
        <v>2</v>
      </c>
      <c r="BQ268">
        <v>30</v>
      </c>
      <c r="BR268" t="s">
        <v>1099</v>
      </c>
      <c r="BT268" t="s">
        <v>181</v>
      </c>
      <c r="BU268" s="1">
        <v>45558</v>
      </c>
      <c r="BV268">
        <v>35478</v>
      </c>
      <c r="BX268" t="s">
        <v>170</v>
      </c>
      <c r="BY268" t="s">
        <v>170</v>
      </c>
      <c r="CB268" t="s">
        <v>170</v>
      </c>
      <c r="CC268" t="s">
        <v>170</v>
      </c>
      <c r="CE268" t="s">
        <v>170</v>
      </c>
      <c r="CG268" t="s">
        <v>169</v>
      </c>
      <c r="CH268" t="s">
        <v>958</v>
      </c>
      <c r="CI268" t="s">
        <v>170</v>
      </c>
      <c r="DJ268" t="s">
        <v>267</v>
      </c>
      <c r="DK268" t="s">
        <v>268</v>
      </c>
      <c r="DN268" t="s">
        <v>170</v>
      </c>
      <c r="DO268" t="s">
        <v>1112</v>
      </c>
      <c r="DP268" t="s">
        <v>169</v>
      </c>
      <c r="DQ268" t="s">
        <v>198</v>
      </c>
      <c r="DY268">
        <v>40.5</v>
      </c>
      <c r="EB268">
        <v>6</v>
      </c>
      <c r="EC268">
        <v>6</v>
      </c>
      <c r="EE268" t="s">
        <v>1113</v>
      </c>
      <c r="EF268">
        <v>6</v>
      </c>
      <c r="EU268">
        <v>750</v>
      </c>
      <c r="EW268">
        <v>333</v>
      </c>
      <c r="EX268">
        <v>256</v>
      </c>
      <c r="EY268">
        <v>298</v>
      </c>
    </row>
    <row r="269" spans="1:155" x14ac:dyDescent="0.35">
      <c r="A269">
        <v>2025</v>
      </c>
      <c r="B269" t="s">
        <v>439</v>
      </c>
      <c r="C269" t="s">
        <v>440</v>
      </c>
      <c r="D269" t="s">
        <v>1114</v>
      </c>
      <c r="E269" t="s">
        <v>442</v>
      </c>
      <c r="F269">
        <v>31</v>
      </c>
      <c r="G269">
        <v>2.5</v>
      </c>
      <c r="H269">
        <v>4</v>
      </c>
      <c r="I269" t="s">
        <v>587</v>
      </c>
      <c r="J269">
        <v>42</v>
      </c>
      <c r="K269">
        <v>36</v>
      </c>
      <c r="L269">
        <v>39</v>
      </c>
      <c r="M269">
        <v>59.2</v>
      </c>
      <c r="N269">
        <v>52.6</v>
      </c>
      <c r="O269">
        <v>56.036000000000001</v>
      </c>
      <c r="P269">
        <v>42.216700000000003</v>
      </c>
      <c r="Q269">
        <v>35.9696</v>
      </c>
      <c r="R269">
        <v>39.156500000000001</v>
      </c>
      <c r="U269" t="s">
        <v>224</v>
      </c>
      <c r="V269" t="s">
        <v>588</v>
      </c>
      <c r="W269" t="s">
        <v>589</v>
      </c>
      <c r="Y269">
        <v>1</v>
      </c>
      <c r="Z269" t="s">
        <v>170</v>
      </c>
      <c r="AA269" t="s">
        <v>170</v>
      </c>
      <c r="AB269" t="s">
        <v>351</v>
      </c>
      <c r="AC269" t="s">
        <v>352</v>
      </c>
      <c r="AD269">
        <v>85</v>
      </c>
      <c r="AG269" t="s">
        <v>210</v>
      </c>
      <c r="AH269" t="s">
        <v>444</v>
      </c>
      <c r="AI269" t="s">
        <v>175</v>
      </c>
      <c r="AJ269" t="s">
        <v>176</v>
      </c>
      <c r="AK269" t="s">
        <v>940</v>
      </c>
      <c r="AL269" t="s">
        <v>941</v>
      </c>
      <c r="AS269">
        <v>1350</v>
      </c>
      <c r="AT269">
        <v>1350</v>
      </c>
      <c r="BN269" t="s">
        <v>230</v>
      </c>
      <c r="BO269">
        <v>2</v>
      </c>
      <c r="BP269">
        <v>2</v>
      </c>
      <c r="BQ269">
        <v>30</v>
      </c>
      <c r="BR269" t="s">
        <v>1099</v>
      </c>
      <c r="BT269" t="s">
        <v>181</v>
      </c>
      <c r="BU269" s="1">
        <v>45558</v>
      </c>
      <c r="BV269">
        <v>35479</v>
      </c>
      <c r="BX269" t="s">
        <v>170</v>
      </c>
      <c r="BY269" t="s">
        <v>170</v>
      </c>
      <c r="CB269" t="s">
        <v>170</v>
      </c>
      <c r="CC269" t="s">
        <v>170</v>
      </c>
      <c r="CD269" t="s">
        <v>1115</v>
      </c>
      <c r="CE269" t="s">
        <v>170</v>
      </c>
      <c r="CG269" t="s">
        <v>169</v>
      </c>
      <c r="CH269" t="s">
        <v>944</v>
      </c>
      <c r="CI269" t="s">
        <v>170</v>
      </c>
      <c r="CK269" t="s">
        <v>233</v>
      </c>
      <c r="CM269">
        <v>1</v>
      </c>
      <c r="CN269" t="s">
        <v>234</v>
      </c>
      <c r="CP269">
        <v>216</v>
      </c>
      <c r="CQ269">
        <v>5</v>
      </c>
      <c r="CR269">
        <v>41.2</v>
      </c>
      <c r="CS269" t="s">
        <v>235</v>
      </c>
      <c r="CV269" t="s">
        <v>341</v>
      </c>
      <c r="CX269" t="s">
        <v>729</v>
      </c>
      <c r="CY269" t="s">
        <v>170</v>
      </c>
      <c r="DD269">
        <v>1</v>
      </c>
      <c r="DE269" t="s">
        <v>663</v>
      </c>
      <c r="DG269">
        <v>32</v>
      </c>
      <c r="DJ269" t="s">
        <v>449</v>
      </c>
      <c r="DK269" t="s">
        <v>450</v>
      </c>
      <c r="DL269" t="s">
        <v>170</v>
      </c>
      <c r="DM269" t="s">
        <v>170</v>
      </c>
      <c r="DN269" t="s">
        <v>170</v>
      </c>
      <c r="DO269" t="s">
        <v>946</v>
      </c>
      <c r="DP269" t="s">
        <v>169</v>
      </c>
      <c r="DQ269" t="s">
        <v>198</v>
      </c>
      <c r="DY269">
        <v>56.3</v>
      </c>
      <c r="EB269">
        <v>7</v>
      </c>
      <c r="EC269">
        <v>7</v>
      </c>
      <c r="EE269" t="s">
        <v>1116</v>
      </c>
      <c r="EF269">
        <v>7</v>
      </c>
      <c r="EU269">
        <v>2750</v>
      </c>
      <c r="EW269">
        <v>208</v>
      </c>
      <c r="EX269">
        <v>246</v>
      </c>
      <c r="EY269">
        <v>225</v>
      </c>
    </row>
    <row r="270" spans="1:155" x14ac:dyDescent="0.35">
      <c r="A270">
        <v>2025</v>
      </c>
      <c r="B270" t="s">
        <v>439</v>
      </c>
      <c r="C270" t="s">
        <v>440</v>
      </c>
      <c r="D270" t="s">
        <v>1467</v>
      </c>
      <c r="E270" t="s">
        <v>442</v>
      </c>
      <c r="F270">
        <v>8</v>
      </c>
      <c r="G270">
        <v>3.5</v>
      </c>
      <c r="H270">
        <v>6</v>
      </c>
      <c r="I270" t="s">
        <v>331</v>
      </c>
      <c r="J270">
        <v>16</v>
      </c>
      <c r="K270">
        <v>24</v>
      </c>
      <c r="L270">
        <v>19</v>
      </c>
      <c r="M270">
        <v>19.899999999999999</v>
      </c>
      <c r="N270">
        <v>33.700000000000003</v>
      </c>
      <c r="O270">
        <v>24.395399999999999</v>
      </c>
      <c r="P270">
        <v>16.0289</v>
      </c>
      <c r="Q270">
        <v>24.0365</v>
      </c>
      <c r="R270">
        <v>18.855599999999999</v>
      </c>
      <c r="T270" t="s">
        <v>165</v>
      </c>
      <c r="U270" t="s">
        <v>166</v>
      </c>
      <c r="V270" t="s">
        <v>193</v>
      </c>
      <c r="W270" t="s">
        <v>194</v>
      </c>
      <c r="Y270">
        <v>10</v>
      </c>
      <c r="Z270" t="s">
        <v>169</v>
      </c>
      <c r="AA270" t="s">
        <v>170</v>
      </c>
      <c r="AB270" t="s">
        <v>171</v>
      </c>
      <c r="AC270" t="s">
        <v>172</v>
      </c>
      <c r="AD270">
        <v>85</v>
      </c>
      <c r="AG270" t="s">
        <v>210</v>
      </c>
      <c r="AH270" t="s">
        <v>444</v>
      </c>
      <c r="AI270" t="s">
        <v>175</v>
      </c>
      <c r="AJ270" t="s">
        <v>176</v>
      </c>
      <c r="AK270" t="s">
        <v>940</v>
      </c>
      <c r="AL270" t="s">
        <v>941</v>
      </c>
      <c r="AS270">
        <v>2750</v>
      </c>
      <c r="AT270">
        <v>2750</v>
      </c>
      <c r="BN270" t="s">
        <v>265</v>
      </c>
      <c r="BO270">
        <v>2</v>
      </c>
      <c r="BP270">
        <v>2</v>
      </c>
      <c r="BQ270">
        <v>32</v>
      </c>
      <c r="BR270" t="s">
        <v>1453</v>
      </c>
      <c r="BT270" t="s">
        <v>181</v>
      </c>
      <c r="BU270" s="1">
        <v>45705</v>
      </c>
      <c r="BV270">
        <v>35803</v>
      </c>
      <c r="BX270" t="s">
        <v>170</v>
      </c>
      <c r="BY270" t="s">
        <v>170</v>
      </c>
      <c r="CB270" t="s">
        <v>170</v>
      </c>
      <c r="CC270" t="s">
        <v>170</v>
      </c>
      <c r="CD270" t="s">
        <v>1468</v>
      </c>
      <c r="CE270" t="s">
        <v>170</v>
      </c>
      <c r="CG270" t="s">
        <v>169</v>
      </c>
      <c r="CH270" t="s">
        <v>448</v>
      </c>
      <c r="CI270" t="s">
        <v>170</v>
      </c>
      <c r="DJ270" t="s">
        <v>267</v>
      </c>
      <c r="DK270" t="s">
        <v>268</v>
      </c>
      <c r="DL270" t="s">
        <v>170</v>
      </c>
      <c r="DM270" t="s">
        <v>170</v>
      </c>
      <c r="DN270" t="s">
        <v>170</v>
      </c>
      <c r="DO270" t="s">
        <v>989</v>
      </c>
      <c r="DP270" t="s">
        <v>169</v>
      </c>
      <c r="DQ270" t="s">
        <v>198</v>
      </c>
      <c r="EB270">
        <v>4</v>
      </c>
      <c r="EC270">
        <v>4</v>
      </c>
      <c r="EE270" t="s">
        <v>990</v>
      </c>
      <c r="EF270">
        <v>6</v>
      </c>
      <c r="EV270">
        <v>4250</v>
      </c>
      <c r="EW270">
        <v>556</v>
      </c>
      <c r="EX270">
        <v>370</v>
      </c>
      <c r="EY270">
        <v>472</v>
      </c>
    </row>
    <row r="271" spans="1:155" x14ac:dyDescent="0.35">
      <c r="A271">
        <v>2025</v>
      </c>
      <c r="B271" t="s">
        <v>439</v>
      </c>
      <c r="C271" t="s">
        <v>440</v>
      </c>
      <c r="D271" t="s">
        <v>1545</v>
      </c>
      <c r="E271" t="s">
        <v>442</v>
      </c>
      <c r="F271">
        <v>9</v>
      </c>
      <c r="G271">
        <v>3.5</v>
      </c>
      <c r="H271">
        <v>6</v>
      </c>
      <c r="I271" t="s">
        <v>331</v>
      </c>
      <c r="J271">
        <v>15</v>
      </c>
      <c r="K271">
        <v>22</v>
      </c>
      <c r="L271">
        <v>18</v>
      </c>
      <c r="M271">
        <v>18.971599999999999</v>
      </c>
      <c r="N271">
        <v>30.679099999999998</v>
      </c>
      <c r="O271">
        <v>22.904900000000001</v>
      </c>
      <c r="P271">
        <v>15.3279</v>
      </c>
      <c r="Q271">
        <v>22.033300000000001</v>
      </c>
      <c r="R271">
        <v>17.760200000000001</v>
      </c>
      <c r="T271" t="s">
        <v>165</v>
      </c>
      <c r="U271" t="s">
        <v>166</v>
      </c>
      <c r="V271" t="s">
        <v>193</v>
      </c>
      <c r="W271" t="s">
        <v>194</v>
      </c>
      <c r="Y271">
        <v>10</v>
      </c>
      <c r="Z271" t="s">
        <v>169</v>
      </c>
      <c r="AA271" t="s">
        <v>170</v>
      </c>
      <c r="AB271" t="s">
        <v>809</v>
      </c>
      <c r="AC271" t="s">
        <v>810</v>
      </c>
      <c r="AD271">
        <v>85</v>
      </c>
      <c r="AG271" t="s">
        <v>210</v>
      </c>
      <c r="AH271" t="s">
        <v>444</v>
      </c>
      <c r="AI271" t="s">
        <v>175</v>
      </c>
      <c r="AJ271" t="s">
        <v>176</v>
      </c>
      <c r="AK271" t="s">
        <v>940</v>
      </c>
      <c r="AL271" t="s">
        <v>941</v>
      </c>
      <c r="AS271">
        <v>2900</v>
      </c>
      <c r="AT271">
        <v>2900</v>
      </c>
      <c r="BN271" t="s">
        <v>265</v>
      </c>
      <c r="BO271">
        <v>2</v>
      </c>
      <c r="BP271">
        <v>2</v>
      </c>
      <c r="BQ271">
        <v>33</v>
      </c>
      <c r="BR271" t="s">
        <v>1497</v>
      </c>
      <c r="BT271" t="s">
        <v>181</v>
      </c>
      <c r="BU271" s="1">
        <v>45705</v>
      </c>
      <c r="BV271">
        <v>36041</v>
      </c>
      <c r="BX271" t="s">
        <v>170</v>
      </c>
      <c r="BY271" t="s">
        <v>170</v>
      </c>
      <c r="CB271" t="s">
        <v>170</v>
      </c>
      <c r="CC271" t="s">
        <v>170</v>
      </c>
      <c r="CD271" t="s">
        <v>1468</v>
      </c>
      <c r="CE271" t="s">
        <v>170</v>
      </c>
      <c r="CG271" t="s">
        <v>169</v>
      </c>
      <c r="CH271" t="s">
        <v>448</v>
      </c>
      <c r="CI271" t="s">
        <v>170</v>
      </c>
      <c r="DJ271" t="s">
        <v>267</v>
      </c>
      <c r="DK271" t="s">
        <v>268</v>
      </c>
      <c r="DL271" t="s">
        <v>170</v>
      </c>
      <c r="DM271" t="s">
        <v>170</v>
      </c>
      <c r="DN271" t="s">
        <v>170</v>
      </c>
      <c r="DO271" t="s">
        <v>989</v>
      </c>
      <c r="DP271" t="s">
        <v>169</v>
      </c>
      <c r="DQ271" t="s">
        <v>198</v>
      </c>
      <c r="EB271">
        <v>4</v>
      </c>
      <c r="EC271">
        <v>4</v>
      </c>
      <c r="EE271" t="s">
        <v>990</v>
      </c>
      <c r="EF271">
        <v>6</v>
      </c>
      <c r="EV271">
        <v>5000</v>
      </c>
      <c r="EW271">
        <v>580</v>
      </c>
      <c r="EX271">
        <v>404</v>
      </c>
      <c r="EY271">
        <v>501</v>
      </c>
    </row>
    <row r="272" spans="1:155" x14ac:dyDescent="0.35">
      <c r="A272">
        <v>2025</v>
      </c>
      <c r="B272" t="s">
        <v>439</v>
      </c>
      <c r="C272" t="s">
        <v>440</v>
      </c>
      <c r="D272" t="s">
        <v>1546</v>
      </c>
      <c r="E272" t="s">
        <v>442</v>
      </c>
      <c r="F272">
        <v>11</v>
      </c>
      <c r="G272">
        <v>3</v>
      </c>
      <c r="H272">
        <v>6</v>
      </c>
      <c r="I272" t="s">
        <v>331</v>
      </c>
      <c r="J272">
        <v>18</v>
      </c>
      <c r="K272">
        <v>25</v>
      </c>
      <c r="L272">
        <v>20</v>
      </c>
      <c r="M272">
        <v>22.1</v>
      </c>
      <c r="N272">
        <v>34.5</v>
      </c>
      <c r="O272">
        <v>26.364100000000001</v>
      </c>
      <c r="P272">
        <v>17.672799999999999</v>
      </c>
      <c r="Q272">
        <v>24.5623</v>
      </c>
      <c r="R272">
        <v>20.2257</v>
      </c>
      <c r="T272" t="s">
        <v>165</v>
      </c>
      <c r="U272" t="s">
        <v>166</v>
      </c>
      <c r="V272" t="s">
        <v>193</v>
      </c>
      <c r="W272" t="s">
        <v>194</v>
      </c>
      <c r="Y272">
        <v>10</v>
      </c>
      <c r="Z272" t="s">
        <v>169</v>
      </c>
      <c r="AA272" t="s">
        <v>170</v>
      </c>
      <c r="AB272" t="s">
        <v>809</v>
      </c>
      <c r="AC272" t="s">
        <v>810</v>
      </c>
      <c r="AD272">
        <v>85</v>
      </c>
      <c r="AG272" t="s">
        <v>210</v>
      </c>
      <c r="AH272" t="s">
        <v>444</v>
      </c>
      <c r="AI272" t="s">
        <v>175</v>
      </c>
      <c r="AJ272" t="s">
        <v>176</v>
      </c>
      <c r="AK272" t="s">
        <v>940</v>
      </c>
      <c r="AL272" t="s">
        <v>941</v>
      </c>
      <c r="AS272">
        <v>2600</v>
      </c>
      <c r="AT272">
        <v>2600</v>
      </c>
      <c r="BN272" t="s">
        <v>178</v>
      </c>
      <c r="BO272">
        <v>2</v>
      </c>
      <c r="BP272">
        <v>2</v>
      </c>
      <c r="BQ272">
        <v>33</v>
      </c>
      <c r="BR272" t="s">
        <v>1497</v>
      </c>
      <c r="BT272" t="s">
        <v>181</v>
      </c>
      <c r="BU272" s="1">
        <v>45463</v>
      </c>
      <c r="BV272">
        <v>35473</v>
      </c>
      <c r="BX272" t="s">
        <v>170</v>
      </c>
      <c r="BY272" t="s">
        <v>170</v>
      </c>
      <c r="CB272" t="s">
        <v>170</v>
      </c>
      <c r="CC272" t="s">
        <v>170</v>
      </c>
      <c r="CE272" t="s">
        <v>170</v>
      </c>
      <c r="CG272" t="s">
        <v>169</v>
      </c>
      <c r="CH272" t="s">
        <v>1471</v>
      </c>
      <c r="CI272" t="s">
        <v>170</v>
      </c>
      <c r="DJ272" t="s">
        <v>184</v>
      </c>
      <c r="DK272" t="s">
        <v>185</v>
      </c>
      <c r="DN272" t="s">
        <v>170</v>
      </c>
      <c r="DO272" t="s">
        <v>445</v>
      </c>
      <c r="DP272" t="s">
        <v>169</v>
      </c>
      <c r="DQ272" t="s">
        <v>198</v>
      </c>
      <c r="EB272">
        <v>4</v>
      </c>
      <c r="EC272">
        <v>4</v>
      </c>
      <c r="EE272" t="s">
        <v>1472</v>
      </c>
      <c r="EF272">
        <v>5</v>
      </c>
      <c r="EV272">
        <v>3500</v>
      </c>
      <c r="EW272">
        <v>503</v>
      </c>
      <c r="EX272">
        <v>361</v>
      </c>
      <c r="EY272">
        <v>439</v>
      </c>
    </row>
    <row r="273" spans="1:155" x14ac:dyDescent="0.35">
      <c r="A273">
        <v>2025</v>
      </c>
      <c r="B273" t="s">
        <v>439</v>
      </c>
      <c r="C273" t="s">
        <v>440</v>
      </c>
      <c r="D273" t="s">
        <v>1546</v>
      </c>
      <c r="E273" t="s">
        <v>442</v>
      </c>
      <c r="F273">
        <v>12</v>
      </c>
      <c r="G273">
        <v>3</v>
      </c>
      <c r="H273">
        <v>6</v>
      </c>
      <c r="I273" t="s">
        <v>443</v>
      </c>
      <c r="J273">
        <v>18</v>
      </c>
      <c r="K273">
        <v>25</v>
      </c>
      <c r="L273">
        <v>21</v>
      </c>
      <c r="M273">
        <v>22.7</v>
      </c>
      <c r="N273">
        <v>35.5</v>
      </c>
      <c r="O273">
        <v>27.096499999999999</v>
      </c>
      <c r="P273">
        <v>18.117000000000001</v>
      </c>
      <c r="Q273">
        <v>25.216999999999999</v>
      </c>
      <c r="R273">
        <v>20.7455</v>
      </c>
      <c r="T273" t="s">
        <v>165</v>
      </c>
      <c r="U273" t="s">
        <v>166</v>
      </c>
      <c r="V273" t="s">
        <v>167</v>
      </c>
      <c r="W273" t="s">
        <v>168</v>
      </c>
      <c r="Y273">
        <v>10</v>
      </c>
      <c r="Z273" t="s">
        <v>169</v>
      </c>
      <c r="AA273" t="s">
        <v>170</v>
      </c>
      <c r="AB273" t="s">
        <v>809</v>
      </c>
      <c r="AC273" t="s">
        <v>810</v>
      </c>
      <c r="AD273">
        <v>85</v>
      </c>
      <c r="AG273" t="s">
        <v>210</v>
      </c>
      <c r="AH273" t="s">
        <v>444</v>
      </c>
      <c r="AI273" t="s">
        <v>175</v>
      </c>
      <c r="AJ273" t="s">
        <v>176</v>
      </c>
      <c r="AK273" t="s">
        <v>940</v>
      </c>
      <c r="AL273" t="s">
        <v>941</v>
      </c>
      <c r="AS273">
        <v>2500</v>
      </c>
      <c r="AT273">
        <v>2500</v>
      </c>
      <c r="BN273" t="s">
        <v>178</v>
      </c>
      <c r="BO273">
        <v>2</v>
      </c>
      <c r="BP273">
        <v>2</v>
      </c>
      <c r="BQ273">
        <v>33</v>
      </c>
      <c r="BR273" t="s">
        <v>1497</v>
      </c>
      <c r="BT273" t="s">
        <v>181</v>
      </c>
      <c r="BU273" s="1">
        <v>45463</v>
      </c>
      <c r="BV273">
        <v>35470</v>
      </c>
      <c r="BX273" t="s">
        <v>170</v>
      </c>
      <c r="BY273" t="s">
        <v>170</v>
      </c>
      <c r="CB273" t="s">
        <v>170</v>
      </c>
      <c r="CC273" t="s">
        <v>170</v>
      </c>
      <c r="CE273" t="s">
        <v>170</v>
      </c>
      <c r="CG273" t="s">
        <v>169</v>
      </c>
      <c r="CH273" t="s">
        <v>1471</v>
      </c>
      <c r="CI273" t="s">
        <v>170</v>
      </c>
      <c r="DJ273" t="s">
        <v>184</v>
      </c>
      <c r="DK273" t="s">
        <v>185</v>
      </c>
      <c r="DN273" t="s">
        <v>170</v>
      </c>
      <c r="DO273" t="s">
        <v>445</v>
      </c>
      <c r="DP273" t="s">
        <v>169</v>
      </c>
      <c r="DQ273" t="s">
        <v>198</v>
      </c>
      <c r="EB273">
        <v>4</v>
      </c>
      <c r="EC273">
        <v>4</v>
      </c>
      <c r="EE273" t="s">
        <v>1472</v>
      </c>
      <c r="EF273">
        <v>5</v>
      </c>
      <c r="EV273">
        <v>3000</v>
      </c>
      <c r="EW273">
        <v>490</v>
      </c>
      <c r="EX273">
        <v>352</v>
      </c>
      <c r="EY273">
        <v>428</v>
      </c>
    </row>
    <row r="274" spans="1:155" x14ac:dyDescent="0.35">
      <c r="A274">
        <v>2025</v>
      </c>
      <c r="B274" t="s">
        <v>439</v>
      </c>
      <c r="C274" t="s">
        <v>440</v>
      </c>
      <c r="D274" t="s">
        <v>1546</v>
      </c>
      <c r="E274" t="s">
        <v>442</v>
      </c>
      <c r="F274">
        <v>49</v>
      </c>
      <c r="G274">
        <v>2.2999999999999998</v>
      </c>
      <c r="H274">
        <v>4</v>
      </c>
      <c r="I274" t="s">
        <v>443</v>
      </c>
      <c r="J274">
        <v>20</v>
      </c>
      <c r="K274">
        <v>27</v>
      </c>
      <c r="L274">
        <v>23</v>
      </c>
      <c r="M274">
        <v>25</v>
      </c>
      <c r="N274">
        <v>38.299999999999997</v>
      </c>
      <c r="O274">
        <v>29.630199999999999</v>
      </c>
      <c r="P274">
        <v>19.803899999999999</v>
      </c>
      <c r="Q274">
        <v>27.034400000000002</v>
      </c>
      <c r="R274">
        <v>22.513500000000001</v>
      </c>
      <c r="T274" t="s">
        <v>165</v>
      </c>
      <c r="U274" t="s">
        <v>166</v>
      </c>
      <c r="V274" t="s">
        <v>167</v>
      </c>
      <c r="W274" t="s">
        <v>168</v>
      </c>
      <c r="Y274">
        <v>10</v>
      </c>
      <c r="Z274" t="s">
        <v>169</v>
      </c>
      <c r="AA274" t="s">
        <v>170</v>
      </c>
      <c r="AB274" t="s">
        <v>809</v>
      </c>
      <c r="AC274" t="s">
        <v>810</v>
      </c>
      <c r="AD274">
        <v>85</v>
      </c>
      <c r="AG274" t="s">
        <v>210</v>
      </c>
      <c r="AH274" t="s">
        <v>444</v>
      </c>
      <c r="AI274" t="s">
        <v>175</v>
      </c>
      <c r="AJ274" t="s">
        <v>176</v>
      </c>
      <c r="AK274" t="s">
        <v>940</v>
      </c>
      <c r="AL274" t="s">
        <v>941</v>
      </c>
      <c r="AS274">
        <v>2300</v>
      </c>
      <c r="AT274">
        <v>2300</v>
      </c>
      <c r="BN274" t="s">
        <v>265</v>
      </c>
      <c r="BO274">
        <v>2</v>
      </c>
      <c r="BP274">
        <v>2</v>
      </c>
      <c r="BQ274">
        <v>33</v>
      </c>
      <c r="BR274" t="s">
        <v>1497</v>
      </c>
      <c r="BT274" t="s">
        <v>181</v>
      </c>
      <c r="BU274" s="1">
        <v>45463</v>
      </c>
      <c r="BV274">
        <v>35472</v>
      </c>
      <c r="BX274" t="s">
        <v>170</v>
      </c>
      <c r="BY274" t="s">
        <v>170</v>
      </c>
      <c r="CB274" t="s">
        <v>170</v>
      </c>
      <c r="CC274" t="s">
        <v>170</v>
      </c>
      <c r="CE274" t="s">
        <v>170</v>
      </c>
      <c r="CG274" t="s">
        <v>169</v>
      </c>
      <c r="CH274" t="s">
        <v>448</v>
      </c>
      <c r="CI274" t="s">
        <v>170</v>
      </c>
      <c r="DJ274" t="s">
        <v>267</v>
      </c>
      <c r="DK274" t="s">
        <v>268</v>
      </c>
      <c r="DN274" t="s">
        <v>170</v>
      </c>
      <c r="DO274" t="s">
        <v>445</v>
      </c>
      <c r="DP274" t="s">
        <v>169</v>
      </c>
      <c r="DQ274" t="s">
        <v>198</v>
      </c>
      <c r="EB274">
        <v>5</v>
      </c>
      <c r="EC274">
        <v>5</v>
      </c>
      <c r="EE274" t="s">
        <v>1470</v>
      </c>
      <c r="EF274">
        <v>6</v>
      </c>
      <c r="EV274">
        <v>2000</v>
      </c>
      <c r="EW274">
        <v>448</v>
      </c>
      <c r="EX274">
        <v>329</v>
      </c>
      <c r="EY274">
        <v>394</v>
      </c>
    </row>
    <row r="275" spans="1:155" x14ac:dyDescent="0.35">
      <c r="A275">
        <v>2025</v>
      </c>
      <c r="B275" t="s">
        <v>439</v>
      </c>
      <c r="C275" t="s">
        <v>440</v>
      </c>
      <c r="D275" t="s">
        <v>1469</v>
      </c>
      <c r="E275" t="s">
        <v>442</v>
      </c>
      <c r="F275">
        <v>14</v>
      </c>
      <c r="G275">
        <v>3</v>
      </c>
      <c r="H275">
        <v>6</v>
      </c>
      <c r="I275" t="s">
        <v>331</v>
      </c>
      <c r="J275">
        <v>18</v>
      </c>
      <c r="K275">
        <v>25</v>
      </c>
      <c r="L275">
        <v>21</v>
      </c>
      <c r="M275">
        <v>22.8</v>
      </c>
      <c r="N275">
        <v>35.9</v>
      </c>
      <c r="O275">
        <v>27.279499999999999</v>
      </c>
      <c r="P275">
        <v>18.190899999999999</v>
      </c>
      <c r="Q275">
        <v>25.478000000000002</v>
      </c>
      <c r="R275">
        <v>20.8781</v>
      </c>
      <c r="T275" t="s">
        <v>165</v>
      </c>
      <c r="U275" t="s">
        <v>166</v>
      </c>
      <c r="V275" t="s">
        <v>193</v>
      </c>
      <c r="W275" t="s">
        <v>194</v>
      </c>
      <c r="Y275">
        <v>10</v>
      </c>
      <c r="Z275" t="s">
        <v>169</v>
      </c>
      <c r="AA275" t="s">
        <v>170</v>
      </c>
      <c r="AB275" t="s">
        <v>171</v>
      </c>
      <c r="AC275" t="s">
        <v>172</v>
      </c>
      <c r="AD275">
        <v>85</v>
      </c>
      <c r="AG275" t="s">
        <v>210</v>
      </c>
      <c r="AH275" t="s">
        <v>444</v>
      </c>
      <c r="AI275" t="s">
        <v>175</v>
      </c>
      <c r="AJ275" t="s">
        <v>176</v>
      </c>
      <c r="AK275" t="s">
        <v>940</v>
      </c>
      <c r="AL275" t="s">
        <v>941</v>
      </c>
      <c r="AS275">
        <v>2500</v>
      </c>
      <c r="AT275">
        <v>2500</v>
      </c>
      <c r="BN275" t="s">
        <v>178</v>
      </c>
      <c r="BO275">
        <v>2</v>
      </c>
      <c r="BP275">
        <v>2</v>
      </c>
      <c r="BQ275">
        <v>32</v>
      </c>
      <c r="BR275" t="s">
        <v>1453</v>
      </c>
      <c r="BT275" t="s">
        <v>181</v>
      </c>
      <c r="BU275" s="1">
        <v>45463</v>
      </c>
      <c r="BV275">
        <v>35475</v>
      </c>
      <c r="BX275" t="s">
        <v>170</v>
      </c>
      <c r="BY275" t="s">
        <v>170</v>
      </c>
      <c r="CB275" t="s">
        <v>170</v>
      </c>
      <c r="CC275" t="s">
        <v>170</v>
      </c>
      <c r="CE275" t="s">
        <v>170</v>
      </c>
      <c r="CG275" t="s">
        <v>169</v>
      </c>
      <c r="CH275" t="s">
        <v>1471</v>
      </c>
      <c r="CI275" t="s">
        <v>170</v>
      </c>
      <c r="DJ275" t="s">
        <v>184</v>
      </c>
      <c r="DK275" t="s">
        <v>185</v>
      </c>
      <c r="DN275" t="s">
        <v>170</v>
      </c>
      <c r="DO275" t="s">
        <v>445</v>
      </c>
      <c r="DP275" t="s">
        <v>169</v>
      </c>
      <c r="DQ275" t="s">
        <v>198</v>
      </c>
      <c r="EB275">
        <v>4</v>
      </c>
      <c r="EC275">
        <v>4</v>
      </c>
      <c r="EE275" t="s">
        <v>1472</v>
      </c>
      <c r="EF275">
        <v>5</v>
      </c>
      <c r="EV275">
        <v>3000</v>
      </c>
      <c r="EW275">
        <v>488</v>
      </c>
      <c r="EX275">
        <v>348</v>
      </c>
      <c r="EY275">
        <v>425</v>
      </c>
    </row>
    <row r="276" spans="1:155" x14ac:dyDescent="0.35">
      <c r="A276">
        <v>2025</v>
      </c>
      <c r="B276" t="s">
        <v>439</v>
      </c>
      <c r="C276" t="s">
        <v>440</v>
      </c>
      <c r="D276" t="s">
        <v>1469</v>
      </c>
      <c r="E276" t="s">
        <v>442</v>
      </c>
      <c r="F276">
        <v>15</v>
      </c>
      <c r="G276">
        <v>3</v>
      </c>
      <c r="H276">
        <v>6</v>
      </c>
      <c r="I276" t="s">
        <v>443</v>
      </c>
      <c r="J276">
        <v>18</v>
      </c>
      <c r="K276">
        <v>25</v>
      </c>
      <c r="L276">
        <v>21</v>
      </c>
      <c r="M276">
        <v>23.2</v>
      </c>
      <c r="N276">
        <v>35.9</v>
      </c>
      <c r="O276">
        <v>27.592500000000001</v>
      </c>
      <c r="P276">
        <v>18.485900000000001</v>
      </c>
      <c r="Q276">
        <v>25.478000000000002</v>
      </c>
      <c r="R276">
        <v>21.090499999999999</v>
      </c>
      <c r="T276" t="s">
        <v>165</v>
      </c>
      <c r="U276" t="s">
        <v>166</v>
      </c>
      <c r="V276" t="s">
        <v>167</v>
      </c>
      <c r="W276" t="s">
        <v>168</v>
      </c>
      <c r="Y276">
        <v>10</v>
      </c>
      <c r="Z276" t="s">
        <v>169</v>
      </c>
      <c r="AA276" t="s">
        <v>170</v>
      </c>
      <c r="AB276" t="s">
        <v>171</v>
      </c>
      <c r="AC276" t="s">
        <v>172</v>
      </c>
      <c r="AD276">
        <v>85</v>
      </c>
      <c r="AG276" t="s">
        <v>210</v>
      </c>
      <c r="AH276" t="s">
        <v>444</v>
      </c>
      <c r="AI276" t="s">
        <v>175</v>
      </c>
      <c r="AJ276" t="s">
        <v>176</v>
      </c>
      <c r="AK276" t="s">
        <v>940</v>
      </c>
      <c r="AL276" t="s">
        <v>941</v>
      </c>
      <c r="AS276">
        <v>2500</v>
      </c>
      <c r="AT276">
        <v>2500</v>
      </c>
      <c r="BN276" t="s">
        <v>178</v>
      </c>
      <c r="BO276">
        <v>2</v>
      </c>
      <c r="BP276">
        <v>2</v>
      </c>
      <c r="BQ276">
        <v>32</v>
      </c>
      <c r="BR276" t="s">
        <v>1453</v>
      </c>
      <c r="BT276" t="s">
        <v>181</v>
      </c>
      <c r="BU276" s="1">
        <v>45463</v>
      </c>
      <c r="BV276">
        <v>35471</v>
      </c>
      <c r="BX276" t="s">
        <v>170</v>
      </c>
      <c r="BY276" t="s">
        <v>170</v>
      </c>
      <c r="CB276" t="s">
        <v>170</v>
      </c>
      <c r="CC276" t="s">
        <v>170</v>
      </c>
      <c r="CE276" t="s">
        <v>170</v>
      </c>
      <c r="CG276" t="s">
        <v>169</v>
      </c>
      <c r="CH276" t="s">
        <v>1471</v>
      </c>
      <c r="CI276" t="s">
        <v>170</v>
      </c>
      <c r="DJ276" t="s">
        <v>184</v>
      </c>
      <c r="DK276" t="s">
        <v>185</v>
      </c>
      <c r="DN276" t="s">
        <v>170</v>
      </c>
      <c r="DO276" t="s">
        <v>445</v>
      </c>
      <c r="DP276" t="s">
        <v>169</v>
      </c>
      <c r="DQ276" t="s">
        <v>198</v>
      </c>
      <c r="EB276">
        <v>4</v>
      </c>
      <c r="EC276">
        <v>4</v>
      </c>
      <c r="EE276" t="s">
        <v>1472</v>
      </c>
      <c r="EF276">
        <v>5</v>
      </c>
      <c r="EV276">
        <v>3000</v>
      </c>
      <c r="EW276">
        <v>480</v>
      </c>
      <c r="EX276">
        <v>348</v>
      </c>
      <c r="EY276">
        <v>420</v>
      </c>
    </row>
    <row r="277" spans="1:155" x14ac:dyDescent="0.35">
      <c r="A277">
        <v>2025</v>
      </c>
      <c r="B277" t="s">
        <v>439</v>
      </c>
      <c r="C277" t="s">
        <v>440</v>
      </c>
      <c r="D277" t="s">
        <v>1469</v>
      </c>
      <c r="E277" t="s">
        <v>442</v>
      </c>
      <c r="F277">
        <v>48</v>
      </c>
      <c r="G277">
        <v>2.2999999999999998</v>
      </c>
      <c r="H277">
        <v>4</v>
      </c>
      <c r="I277" t="s">
        <v>443</v>
      </c>
      <c r="J277">
        <v>20</v>
      </c>
      <c r="K277">
        <v>29</v>
      </c>
      <c r="L277">
        <v>24</v>
      </c>
      <c r="M277">
        <v>25.9</v>
      </c>
      <c r="N277">
        <v>41</v>
      </c>
      <c r="O277">
        <v>31.045200000000001</v>
      </c>
      <c r="P277">
        <v>20.4572</v>
      </c>
      <c r="Q277">
        <v>28.7652</v>
      </c>
      <c r="R277">
        <v>23.513200000000001</v>
      </c>
      <c r="T277" t="s">
        <v>165</v>
      </c>
      <c r="U277" t="s">
        <v>166</v>
      </c>
      <c r="V277" t="s">
        <v>167</v>
      </c>
      <c r="W277" t="s">
        <v>168</v>
      </c>
      <c r="Y277">
        <v>10</v>
      </c>
      <c r="Z277" t="s">
        <v>169</v>
      </c>
      <c r="AA277" t="s">
        <v>170</v>
      </c>
      <c r="AB277" t="s">
        <v>171</v>
      </c>
      <c r="AC277" t="s">
        <v>172</v>
      </c>
      <c r="AD277">
        <v>85</v>
      </c>
      <c r="AG277" t="s">
        <v>210</v>
      </c>
      <c r="AH277" t="s">
        <v>444</v>
      </c>
      <c r="AI277" t="s">
        <v>175</v>
      </c>
      <c r="AJ277" t="s">
        <v>176</v>
      </c>
      <c r="AK277" t="s">
        <v>940</v>
      </c>
      <c r="AL277" t="s">
        <v>941</v>
      </c>
      <c r="AS277">
        <v>2200</v>
      </c>
      <c r="AT277">
        <v>2200</v>
      </c>
      <c r="BN277" t="s">
        <v>265</v>
      </c>
      <c r="BO277">
        <v>2</v>
      </c>
      <c r="BP277">
        <v>2</v>
      </c>
      <c r="BQ277">
        <v>32</v>
      </c>
      <c r="BR277" t="s">
        <v>1453</v>
      </c>
      <c r="BT277" t="s">
        <v>181</v>
      </c>
      <c r="BU277" s="1">
        <v>45463</v>
      </c>
      <c r="BV277">
        <v>35474</v>
      </c>
      <c r="BX277" t="s">
        <v>170</v>
      </c>
      <c r="BY277" t="s">
        <v>170</v>
      </c>
      <c r="CB277" t="s">
        <v>170</v>
      </c>
      <c r="CC277" t="s">
        <v>170</v>
      </c>
      <c r="CE277" t="s">
        <v>170</v>
      </c>
      <c r="CG277" t="s">
        <v>169</v>
      </c>
      <c r="CH277" t="s">
        <v>448</v>
      </c>
      <c r="CI277" t="s">
        <v>170</v>
      </c>
      <c r="DJ277" t="s">
        <v>267</v>
      </c>
      <c r="DK277" t="s">
        <v>268</v>
      </c>
      <c r="DN277" t="s">
        <v>170</v>
      </c>
      <c r="DO277" t="s">
        <v>445</v>
      </c>
      <c r="DP277" t="s">
        <v>169</v>
      </c>
      <c r="DQ277" t="s">
        <v>198</v>
      </c>
      <c r="EB277">
        <v>5</v>
      </c>
      <c r="EC277">
        <v>5</v>
      </c>
      <c r="EE277" t="s">
        <v>1470</v>
      </c>
      <c r="EF277">
        <v>6</v>
      </c>
      <c r="EV277">
        <v>1500</v>
      </c>
      <c r="EW277">
        <v>433</v>
      </c>
      <c r="EX277">
        <v>308</v>
      </c>
      <c r="EY277">
        <v>377</v>
      </c>
    </row>
    <row r="278" spans="1:155" x14ac:dyDescent="0.35">
      <c r="A278">
        <v>2025</v>
      </c>
      <c r="B278" t="s">
        <v>439</v>
      </c>
      <c r="C278" t="s">
        <v>440</v>
      </c>
      <c r="D278" t="s">
        <v>983</v>
      </c>
      <c r="E278" t="s">
        <v>442</v>
      </c>
      <c r="F278">
        <v>64</v>
      </c>
      <c r="G278">
        <v>3.5</v>
      </c>
      <c r="H278">
        <v>6</v>
      </c>
      <c r="I278" t="s">
        <v>331</v>
      </c>
      <c r="J278">
        <v>17</v>
      </c>
      <c r="K278">
        <v>25</v>
      </c>
      <c r="L278">
        <v>20</v>
      </c>
      <c r="M278">
        <v>20.906199999999998</v>
      </c>
      <c r="N278">
        <v>34.867800000000003</v>
      </c>
      <c r="O278">
        <v>25.501200000000001</v>
      </c>
      <c r="P278">
        <v>16.7837</v>
      </c>
      <c r="Q278">
        <v>24.8035</v>
      </c>
      <c r="R278">
        <v>19.641500000000001</v>
      </c>
      <c r="T278" t="s">
        <v>165</v>
      </c>
      <c r="U278" t="s">
        <v>166</v>
      </c>
      <c r="V278" t="s">
        <v>193</v>
      </c>
      <c r="W278" t="s">
        <v>194</v>
      </c>
      <c r="Y278">
        <v>10</v>
      </c>
      <c r="Z278" t="s">
        <v>169</v>
      </c>
      <c r="AA278" t="s">
        <v>170</v>
      </c>
      <c r="AB278" t="s">
        <v>171</v>
      </c>
      <c r="AC278" t="s">
        <v>172</v>
      </c>
      <c r="AD278">
        <v>85</v>
      </c>
      <c r="AG278" t="s">
        <v>210</v>
      </c>
      <c r="AH278" t="s">
        <v>444</v>
      </c>
      <c r="AI278" t="s">
        <v>175</v>
      </c>
      <c r="AJ278" t="s">
        <v>176</v>
      </c>
      <c r="AK278" t="s">
        <v>940</v>
      </c>
      <c r="AL278" t="s">
        <v>941</v>
      </c>
      <c r="AS278">
        <v>2600</v>
      </c>
      <c r="AT278">
        <v>2600</v>
      </c>
      <c r="BN278" t="s">
        <v>265</v>
      </c>
      <c r="BO278">
        <v>2</v>
      </c>
      <c r="BP278">
        <v>2</v>
      </c>
      <c r="BQ278">
        <v>12</v>
      </c>
      <c r="BR278" t="s">
        <v>971</v>
      </c>
      <c r="BT278" t="s">
        <v>181</v>
      </c>
      <c r="BU278" s="1">
        <v>45610</v>
      </c>
      <c r="BV278">
        <v>35756</v>
      </c>
      <c r="BX278" t="s">
        <v>170</v>
      </c>
      <c r="BY278" t="s">
        <v>170</v>
      </c>
      <c r="CB278" t="s">
        <v>170</v>
      </c>
      <c r="CC278" t="s">
        <v>170</v>
      </c>
      <c r="CD278" t="s">
        <v>988</v>
      </c>
      <c r="CE278" t="s">
        <v>170</v>
      </c>
      <c r="CG278" t="s">
        <v>169</v>
      </c>
      <c r="CH278" t="s">
        <v>448</v>
      </c>
      <c r="CI278" t="s">
        <v>170</v>
      </c>
      <c r="DJ278" t="s">
        <v>267</v>
      </c>
      <c r="DK278" t="s">
        <v>268</v>
      </c>
      <c r="DL278" t="s">
        <v>170</v>
      </c>
      <c r="DM278" t="s">
        <v>170</v>
      </c>
      <c r="DN278" t="s">
        <v>170</v>
      </c>
      <c r="DO278" t="s">
        <v>989</v>
      </c>
      <c r="DP278" t="s">
        <v>169</v>
      </c>
      <c r="DQ278" t="s">
        <v>198</v>
      </c>
      <c r="EB278">
        <v>4</v>
      </c>
      <c r="EC278">
        <v>4</v>
      </c>
      <c r="EE278" t="s">
        <v>990</v>
      </c>
      <c r="EF278">
        <v>6</v>
      </c>
      <c r="EV278">
        <v>3500</v>
      </c>
      <c r="EW278">
        <v>530</v>
      </c>
      <c r="EX278">
        <v>358</v>
      </c>
      <c r="EY278">
        <v>452</v>
      </c>
    </row>
    <row r="279" spans="1:155" x14ac:dyDescent="0.35">
      <c r="A279">
        <v>2025</v>
      </c>
      <c r="B279" t="s">
        <v>439</v>
      </c>
      <c r="C279" t="s">
        <v>440</v>
      </c>
      <c r="D279" t="s">
        <v>983</v>
      </c>
      <c r="E279" t="s">
        <v>442</v>
      </c>
      <c r="F279">
        <v>65</v>
      </c>
      <c r="G279">
        <v>2.7</v>
      </c>
      <c r="H279">
        <v>6</v>
      </c>
      <c r="I279" t="s">
        <v>331</v>
      </c>
      <c r="J279">
        <v>19</v>
      </c>
      <c r="K279">
        <v>25</v>
      </c>
      <c r="L279">
        <v>21</v>
      </c>
      <c r="M279">
        <v>23.2209</v>
      </c>
      <c r="N279">
        <v>34.950800000000001</v>
      </c>
      <c r="O279">
        <v>27.351700000000001</v>
      </c>
      <c r="P279">
        <v>18.501300000000001</v>
      </c>
      <c r="Q279">
        <v>24.857800000000001</v>
      </c>
      <c r="R279">
        <v>20.9071</v>
      </c>
      <c r="T279" t="s">
        <v>165</v>
      </c>
      <c r="U279" t="s">
        <v>166</v>
      </c>
      <c r="V279" t="s">
        <v>193</v>
      </c>
      <c r="W279" t="s">
        <v>194</v>
      </c>
      <c r="Y279">
        <v>10</v>
      </c>
      <c r="Z279" t="s">
        <v>169</v>
      </c>
      <c r="AA279" t="s">
        <v>170</v>
      </c>
      <c r="AB279" t="s">
        <v>171</v>
      </c>
      <c r="AC279" t="s">
        <v>172</v>
      </c>
      <c r="AD279">
        <v>85</v>
      </c>
      <c r="AG279" t="s">
        <v>210</v>
      </c>
      <c r="AH279" t="s">
        <v>444</v>
      </c>
      <c r="AI279" t="s">
        <v>175</v>
      </c>
      <c r="AJ279" t="s">
        <v>176</v>
      </c>
      <c r="AK279" t="s">
        <v>940</v>
      </c>
      <c r="AL279" t="s">
        <v>941</v>
      </c>
      <c r="AS279">
        <v>2500</v>
      </c>
      <c r="AT279">
        <v>2500</v>
      </c>
      <c r="BN279" t="s">
        <v>265</v>
      </c>
      <c r="BO279">
        <v>2</v>
      </c>
      <c r="BP279">
        <v>2</v>
      </c>
      <c r="BQ279">
        <v>12</v>
      </c>
      <c r="BR279" t="s">
        <v>971</v>
      </c>
      <c r="BT279" t="s">
        <v>181</v>
      </c>
      <c r="BU279" s="1">
        <v>45610</v>
      </c>
      <c r="BV279">
        <v>35760</v>
      </c>
      <c r="BX279" t="s">
        <v>170</v>
      </c>
      <c r="BY279" t="s">
        <v>170</v>
      </c>
      <c r="CB279" t="s">
        <v>170</v>
      </c>
      <c r="CC279" t="s">
        <v>170</v>
      </c>
      <c r="CD279" t="s">
        <v>984</v>
      </c>
      <c r="CE279" t="s">
        <v>170</v>
      </c>
      <c r="CG279" t="s">
        <v>169</v>
      </c>
      <c r="CH279" t="s">
        <v>985</v>
      </c>
      <c r="CI279" t="s">
        <v>170</v>
      </c>
      <c r="DJ279" t="s">
        <v>267</v>
      </c>
      <c r="DK279" t="s">
        <v>268</v>
      </c>
      <c r="DN279" t="s">
        <v>170</v>
      </c>
      <c r="DO279" t="s">
        <v>986</v>
      </c>
      <c r="DP279" t="s">
        <v>169</v>
      </c>
      <c r="DQ279" t="s">
        <v>198</v>
      </c>
      <c r="EB279">
        <v>4</v>
      </c>
      <c r="EC279">
        <v>4</v>
      </c>
      <c r="EE279" t="s">
        <v>987</v>
      </c>
      <c r="EF279">
        <v>6</v>
      </c>
      <c r="EV279">
        <v>3000</v>
      </c>
      <c r="EW279">
        <v>480</v>
      </c>
      <c r="EX279">
        <v>358</v>
      </c>
      <c r="EY279">
        <v>425</v>
      </c>
    </row>
    <row r="280" spans="1:155" x14ac:dyDescent="0.35">
      <c r="A280">
        <v>2025</v>
      </c>
      <c r="B280" t="s">
        <v>439</v>
      </c>
      <c r="C280" t="s">
        <v>440</v>
      </c>
      <c r="D280" t="s">
        <v>983</v>
      </c>
      <c r="E280" t="s">
        <v>442</v>
      </c>
      <c r="F280">
        <v>66</v>
      </c>
      <c r="G280">
        <v>5</v>
      </c>
      <c r="H280">
        <v>8</v>
      </c>
      <c r="I280" t="s">
        <v>331</v>
      </c>
      <c r="J280">
        <v>16</v>
      </c>
      <c r="K280">
        <v>24</v>
      </c>
      <c r="L280">
        <v>19</v>
      </c>
      <c r="M280">
        <v>19.899999999999999</v>
      </c>
      <c r="N280">
        <v>33.298900000000003</v>
      </c>
      <c r="O280">
        <v>24.3001</v>
      </c>
      <c r="P280">
        <v>16.0289</v>
      </c>
      <c r="Q280">
        <v>23.772099999999998</v>
      </c>
      <c r="R280">
        <v>18.7819</v>
      </c>
      <c r="U280" t="s">
        <v>224</v>
      </c>
      <c r="V280" t="s">
        <v>193</v>
      </c>
      <c r="W280" t="s">
        <v>194</v>
      </c>
      <c r="Y280">
        <v>10</v>
      </c>
      <c r="Z280" t="s">
        <v>169</v>
      </c>
      <c r="AA280" t="s">
        <v>170</v>
      </c>
      <c r="AB280" t="s">
        <v>171</v>
      </c>
      <c r="AC280" t="s">
        <v>172</v>
      </c>
      <c r="AD280">
        <v>85</v>
      </c>
      <c r="AG280" t="s">
        <v>210</v>
      </c>
      <c r="AH280" t="s">
        <v>444</v>
      </c>
      <c r="AI280" t="s">
        <v>175</v>
      </c>
      <c r="AJ280" t="s">
        <v>176</v>
      </c>
      <c r="AK280" t="s">
        <v>940</v>
      </c>
      <c r="AL280" t="s">
        <v>941</v>
      </c>
      <c r="AS280">
        <v>2750</v>
      </c>
      <c r="AT280">
        <v>2750</v>
      </c>
      <c r="BN280" t="s">
        <v>265</v>
      </c>
      <c r="BO280">
        <v>2</v>
      </c>
      <c r="BP280">
        <v>2</v>
      </c>
      <c r="BQ280">
        <v>12</v>
      </c>
      <c r="BR280" t="s">
        <v>971</v>
      </c>
      <c r="BT280" t="s">
        <v>181</v>
      </c>
      <c r="BU280" s="1">
        <v>45610</v>
      </c>
      <c r="BV280">
        <v>35754</v>
      </c>
      <c r="BX280" t="s">
        <v>170</v>
      </c>
      <c r="BY280" t="s">
        <v>170</v>
      </c>
      <c r="CB280" t="s">
        <v>170</v>
      </c>
      <c r="CC280" t="s">
        <v>170</v>
      </c>
      <c r="CE280" t="s">
        <v>169</v>
      </c>
      <c r="CF280" t="s">
        <v>991</v>
      </c>
      <c r="CG280" t="s">
        <v>169</v>
      </c>
      <c r="CH280" t="s">
        <v>992</v>
      </c>
      <c r="CI280" t="s">
        <v>170</v>
      </c>
      <c r="DJ280" t="s">
        <v>267</v>
      </c>
      <c r="DK280" t="s">
        <v>268</v>
      </c>
      <c r="DN280" t="s">
        <v>170</v>
      </c>
      <c r="DO280" t="s">
        <v>445</v>
      </c>
      <c r="DP280" t="s">
        <v>169</v>
      </c>
      <c r="DQ280" t="s">
        <v>198</v>
      </c>
      <c r="EB280">
        <v>4</v>
      </c>
      <c r="EC280">
        <v>4</v>
      </c>
      <c r="EE280" t="s">
        <v>993</v>
      </c>
      <c r="EF280">
        <v>5</v>
      </c>
      <c r="EV280">
        <v>4250</v>
      </c>
      <c r="EW280">
        <v>555</v>
      </c>
      <c r="EX280">
        <v>373</v>
      </c>
      <c r="EY280">
        <v>473</v>
      </c>
    </row>
    <row r="281" spans="1:155" x14ac:dyDescent="0.35">
      <c r="A281">
        <v>2025</v>
      </c>
      <c r="B281" t="s">
        <v>439</v>
      </c>
      <c r="C281" t="s">
        <v>440</v>
      </c>
      <c r="D281" t="s">
        <v>1029</v>
      </c>
      <c r="E281" t="s">
        <v>442</v>
      </c>
      <c r="F281">
        <v>56</v>
      </c>
      <c r="G281">
        <v>3.5</v>
      </c>
      <c r="H281">
        <v>6</v>
      </c>
      <c r="I281" t="s">
        <v>331</v>
      </c>
      <c r="J281">
        <v>16</v>
      </c>
      <c r="K281">
        <v>24</v>
      </c>
      <c r="L281">
        <v>19</v>
      </c>
      <c r="M281">
        <v>20.123999999999999</v>
      </c>
      <c r="N281">
        <v>34.001899999999999</v>
      </c>
      <c r="O281">
        <v>24.651700000000002</v>
      </c>
      <c r="P281">
        <v>16.197299999999998</v>
      </c>
      <c r="Q281">
        <v>24.235099999999999</v>
      </c>
      <c r="R281">
        <v>19.038799999999998</v>
      </c>
      <c r="T281" t="s">
        <v>165</v>
      </c>
      <c r="U281" t="s">
        <v>166</v>
      </c>
      <c r="V281" t="s">
        <v>193</v>
      </c>
      <c r="W281" t="s">
        <v>194</v>
      </c>
      <c r="Y281">
        <v>10</v>
      </c>
      <c r="Z281" t="s">
        <v>169</v>
      </c>
      <c r="AA281" t="s">
        <v>170</v>
      </c>
      <c r="AB281" t="s">
        <v>809</v>
      </c>
      <c r="AC281" t="s">
        <v>810</v>
      </c>
      <c r="AD281">
        <v>85</v>
      </c>
      <c r="AG281" t="s">
        <v>210</v>
      </c>
      <c r="AH281" t="s">
        <v>444</v>
      </c>
      <c r="AI281" t="s">
        <v>175</v>
      </c>
      <c r="AJ281" t="s">
        <v>176</v>
      </c>
      <c r="AK281" t="s">
        <v>940</v>
      </c>
      <c r="AL281" t="s">
        <v>941</v>
      </c>
      <c r="AS281">
        <v>2750</v>
      </c>
      <c r="AT281">
        <v>2750</v>
      </c>
      <c r="BN281" t="s">
        <v>265</v>
      </c>
      <c r="BO281">
        <v>2</v>
      </c>
      <c r="BP281">
        <v>2</v>
      </c>
      <c r="BQ281">
        <v>13</v>
      </c>
      <c r="BR281" t="s">
        <v>1016</v>
      </c>
      <c r="BT281" t="s">
        <v>181</v>
      </c>
      <c r="BU281" s="1">
        <v>45610</v>
      </c>
      <c r="BV281">
        <v>35757</v>
      </c>
      <c r="BX281" t="s">
        <v>170</v>
      </c>
      <c r="BY281" t="s">
        <v>170</v>
      </c>
      <c r="CB281" t="s">
        <v>170</v>
      </c>
      <c r="CC281" t="s">
        <v>170</v>
      </c>
      <c r="CD281" t="s">
        <v>988</v>
      </c>
      <c r="CE281" t="s">
        <v>170</v>
      </c>
      <c r="CG281" t="s">
        <v>169</v>
      </c>
      <c r="CH281" t="s">
        <v>448</v>
      </c>
      <c r="CI281" t="s">
        <v>170</v>
      </c>
      <c r="DJ281" t="s">
        <v>267</v>
      </c>
      <c r="DK281" t="s">
        <v>268</v>
      </c>
      <c r="DL281" t="s">
        <v>170</v>
      </c>
      <c r="DM281" t="s">
        <v>170</v>
      </c>
      <c r="DN281" t="s">
        <v>170</v>
      </c>
      <c r="DO281" t="s">
        <v>989</v>
      </c>
      <c r="DP281" t="s">
        <v>169</v>
      </c>
      <c r="DQ281" t="s">
        <v>198</v>
      </c>
      <c r="EB281">
        <v>4</v>
      </c>
      <c r="EC281">
        <v>4</v>
      </c>
      <c r="EE281" t="s">
        <v>990</v>
      </c>
      <c r="EF281">
        <v>6</v>
      </c>
      <c r="EV281">
        <v>4250</v>
      </c>
      <c r="EW281">
        <v>548</v>
      </c>
      <c r="EX281">
        <v>366</v>
      </c>
      <c r="EY281">
        <v>467</v>
      </c>
    </row>
    <row r="282" spans="1:155" x14ac:dyDescent="0.35">
      <c r="A282">
        <v>2025</v>
      </c>
      <c r="B282" t="s">
        <v>439</v>
      </c>
      <c r="C282" t="s">
        <v>440</v>
      </c>
      <c r="D282" t="s">
        <v>1029</v>
      </c>
      <c r="E282" t="s">
        <v>442</v>
      </c>
      <c r="F282">
        <v>57</v>
      </c>
      <c r="G282">
        <v>2.7</v>
      </c>
      <c r="H282">
        <v>6</v>
      </c>
      <c r="I282" t="s">
        <v>331</v>
      </c>
      <c r="J282">
        <v>18</v>
      </c>
      <c r="K282">
        <v>23</v>
      </c>
      <c r="L282">
        <v>20</v>
      </c>
      <c r="M282">
        <v>22.457699999999999</v>
      </c>
      <c r="N282">
        <v>34.062800000000003</v>
      </c>
      <c r="O282">
        <v>26.5243</v>
      </c>
      <c r="P282">
        <v>17.937799999999999</v>
      </c>
      <c r="Q282">
        <v>24.275200000000002</v>
      </c>
      <c r="R282">
        <v>20.325700000000001</v>
      </c>
      <c r="T282" t="s">
        <v>165</v>
      </c>
      <c r="U282" t="s">
        <v>166</v>
      </c>
      <c r="V282" t="s">
        <v>193</v>
      </c>
      <c r="W282" t="s">
        <v>194</v>
      </c>
      <c r="Y282">
        <v>10</v>
      </c>
      <c r="Z282" t="s">
        <v>169</v>
      </c>
      <c r="AA282" t="s">
        <v>170</v>
      </c>
      <c r="AB282" t="s">
        <v>809</v>
      </c>
      <c r="AC282" t="s">
        <v>810</v>
      </c>
      <c r="AD282">
        <v>85</v>
      </c>
      <c r="AG282" t="s">
        <v>210</v>
      </c>
      <c r="AH282" t="s">
        <v>444</v>
      </c>
      <c r="AI282" t="s">
        <v>175</v>
      </c>
      <c r="AJ282" t="s">
        <v>176</v>
      </c>
      <c r="AK282" t="s">
        <v>940</v>
      </c>
      <c r="AL282" t="s">
        <v>941</v>
      </c>
      <c r="AS282">
        <v>2600</v>
      </c>
      <c r="AT282">
        <v>2600</v>
      </c>
      <c r="BN282" t="s">
        <v>265</v>
      </c>
      <c r="BO282">
        <v>2</v>
      </c>
      <c r="BP282">
        <v>2</v>
      </c>
      <c r="BQ282">
        <v>13</v>
      </c>
      <c r="BR282" t="s">
        <v>1016</v>
      </c>
      <c r="BT282" t="s">
        <v>181</v>
      </c>
      <c r="BV282">
        <v>36410</v>
      </c>
      <c r="BX282" t="s">
        <v>170</v>
      </c>
      <c r="BY282" t="s">
        <v>170</v>
      </c>
      <c r="CB282" t="s">
        <v>170</v>
      </c>
      <c r="CC282" t="s">
        <v>170</v>
      </c>
      <c r="CD282" t="s">
        <v>984</v>
      </c>
      <c r="CE282" t="s">
        <v>170</v>
      </c>
      <c r="CG282" t="s">
        <v>169</v>
      </c>
      <c r="CH282" t="s">
        <v>985</v>
      </c>
      <c r="CI282" t="s">
        <v>170</v>
      </c>
      <c r="DJ282" t="s">
        <v>267</v>
      </c>
      <c r="DK282" t="s">
        <v>268</v>
      </c>
      <c r="DN282" t="s">
        <v>170</v>
      </c>
      <c r="DO282" t="s">
        <v>986</v>
      </c>
      <c r="DP282" t="s">
        <v>169</v>
      </c>
      <c r="DQ282" t="s">
        <v>198</v>
      </c>
      <c r="EB282">
        <v>4</v>
      </c>
      <c r="EC282">
        <v>4</v>
      </c>
      <c r="EE282" t="s">
        <v>987</v>
      </c>
      <c r="EF282">
        <v>6</v>
      </c>
      <c r="EV282">
        <v>3500</v>
      </c>
      <c r="EW282">
        <v>494</v>
      </c>
      <c r="EX282">
        <v>366</v>
      </c>
      <c r="EY282">
        <v>437</v>
      </c>
    </row>
    <row r="283" spans="1:155" x14ac:dyDescent="0.35">
      <c r="A283">
        <v>2025</v>
      </c>
      <c r="B283" t="s">
        <v>439</v>
      </c>
      <c r="C283" t="s">
        <v>440</v>
      </c>
      <c r="D283" t="s">
        <v>1029</v>
      </c>
      <c r="E283" t="s">
        <v>442</v>
      </c>
      <c r="F283">
        <v>58</v>
      </c>
      <c r="G283">
        <v>5</v>
      </c>
      <c r="H283">
        <v>8</v>
      </c>
      <c r="I283" t="s">
        <v>331</v>
      </c>
      <c r="J283">
        <v>16</v>
      </c>
      <c r="K283">
        <v>24</v>
      </c>
      <c r="L283">
        <v>19</v>
      </c>
      <c r="M283">
        <v>19.924700000000001</v>
      </c>
      <c r="N283">
        <v>33.048999999999999</v>
      </c>
      <c r="O283">
        <v>24.260100000000001</v>
      </c>
      <c r="P283">
        <v>16.0474</v>
      </c>
      <c r="Q283">
        <v>23.607099999999999</v>
      </c>
      <c r="R283">
        <v>18.749300000000002</v>
      </c>
      <c r="U283" t="s">
        <v>224</v>
      </c>
      <c r="V283" t="s">
        <v>193</v>
      </c>
      <c r="W283" t="s">
        <v>194</v>
      </c>
      <c r="Y283">
        <v>10</v>
      </c>
      <c r="Z283" t="s">
        <v>169</v>
      </c>
      <c r="AA283" t="s">
        <v>170</v>
      </c>
      <c r="AB283" t="s">
        <v>809</v>
      </c>
      <c r="AC283" t="s">
        <v>810</v>
      </c>
      <c r="AD283">
        <v>85</v>
      </c>
      <c r="AG283" t="s">
        <v>210</v>
      </c>
      <c r="AH283" t="s">
        <v>444</v>
      </c>
      <c r="AI283" t="s">
        <v>175</v>
      </c>
      <c r="AJ283" t="s">
        <v>176</v>
      </c>
      <c r="AK283" t="s">
        <v>940</v>
      </c>
      <c r="AL283" t="s">
        <v>941</v>
      </c>
      <c r="AS283">
        <v>2750</v>
      </c>
      <c r="AT283">
        <v>2750</v>
      </c>
      <c r="BN283" t="s">
        <v>265</v>
      </c>
      <c r="BO283">
        <v>2</v>
      </c>
      <c r="BP283">
        <v>2</v>
      </c>
      <c r="BQ283">
        <v>13</v>
      </c>
      <c r="BR283" t="s">
        <v>1016</v>
      </c>
      <c r="BT283" t="s">
        <v>181</v>
      </c>
      <c r="BU283" s="1">
        <v>45610</v>
      </c>
      <c r="BV283">
        <v>35762</v>
      </c>
      <c r="BX283" t="s">
        <v>170</v>
      </c>
      <c r="BY283" t="s">
        <v>170</v>
      </c>
      <c r="CB283" t="s">
        <v>170</v>
      </c>
      <c r="CC283" t="s">
        <v>170</v>
      </c>
      <c r="CE283" t="s">
        <v>169</v>
      </c>
      <c r="CF283" t="s">
        <v>991</v>
      </c>
      <c r="CG283" t="s">
        <v>169</v>
      </c>
      <c r="CH283" t="s">
        <v>992</v>
      </c>
      <c r="CI283" t="s">
        <v>170</v>
      </c>
      <c r="DJ283" t="s">
        <v>267</v>
      </c>
      <c r="DK283" t="s">
        <v>268</v>
      </c>
      <c r="DN283" t="s">
        <v>170</v>
      </c>
      <c r="DO283" t="s">
        <v>445</v>
      </c>
      <c r="DP283" t="s">
        <v>169</v>
      </c>
      <c r="DQ283" t="s">
        <v>198</v>
      </c>
      <c r="EB283">
        <v>4</v>
      </c>
      <c r="EC283">
        <v>4</v>
      </c>
      <c r="EE283" t="s">
        <v>993</v>
      </c>
      <c r="EF283">
        <v>5</v>
      </c>
      <c r="EV283">
        <v>4250</v>
      </c>
      <c r="EW283">
        <v>554</v>
      </c>
      <c r="EX283">
        <v>377</v>
      </c>
      <c r="EY283">
        <v>474</v>
      </c>
    </row>
    <row r="284" spans="1:155" x14ac:dyDescent="0.35">
      <c r="A284">
        <v>2025</v>
      </c>
      <c r="B284" t="s">
        <v>439</v>
      </c>
      <c r="C284" t="s">
        <v>440</v>
      </c>
      <c r="D284" t="s">
        <v>1030</v>
      </c>
      <c r="E284" t="s">
        <v>442</v>
      </c>
      <c r="F284">
        <v>61</v>
      </c>
      <c r="G284">
        <v>3.5</v>
      </c>
      <c r="H284">
        <v>6</v>
      </c>
      <c r="I284" t="s">
        <v>331</v>
      </c>
      <c r="J284">
        <v>22</v>
      </c>
      <c r="K284">
        <v>24</v>
      </c>
      <c r="L284">
        <v>23</v>
      </c>
      <c r="M284">
        <v>28.479199999999999</v>
      </c>
      <c r="N284">
        <v>33.394100000000002</v>
      </c>
      <c r="O284">
        <v>30.499199999999998</v>
      </c>
      <c r="P284">
        <v>22.308499999999999</v>
      </c>
      <c r="Q284">
        <v>23.834900000000001</v>
      </c>
      <c r="R284">
        <v>22.970400000000001</v>
      </c>
      <c r="T284" t="s">
        <v>165</v>
      </c>
      <c r="U284" t="s">
        <v>166</v>
      </c>
      <c r="V284" t="s">
        <v>193</v>
      </c>
      <c r="W284" t="s">
        <v>194</v>
      </c>
      <c r="Y284">
        <v>10</v>
      </c>
      <c r="Z284" t="s">
        <v>169</v>
      </c>
      <c r="AA284" t="s">
        <v>170</v>
      </c>
      <c r="AB284" t="s">
        <v>809</v>
      </c>
      <c r="AC284" t="s">
        <v>810</v>
      </c>
      <c r="AD284">
        <v>85</v>
      </c>
      <c r="AG284" t="s">
        <v>210</v>
      </c>
      <c r="AH284" t="s">
        <v>444</v>
      </c>
      <c r="AI284" t="s">
        <v>175</v>
      </c>
      <c r="AJ284" t="s">
        <v>176</v>
      </c>
      <c r="AK284" t="s">
        <v>940</v>
      </c>
      <c r="AL284" t="s">
        <v>941</v>
      </c>
      <c r="AS284">
        <v>2300</v>
      </c>
      <c r="AT284">
        <v>2300</v>
      </c>
      <c r="BN284" t="s">
        <v>232</v>
      </c>
      <c r="BO284">
        <v>2</v>
      </c>
      <c r="BP284">
        <v>2</v>
      </c>
      <c r="BQ284">
        <v>13</v>
      </c>
      <c r="BR284" t="s">
        <v>1016</v>
      </c>
      <c r="BT284" t="s">
        <v>181</v>
      </c>
      <c r="BU284" s="1">
        <v>45610</v>
      </c>
      <c r="BV284">
        <v>35758</v>
      </c>
      <c r="BX284" t="s">
        <v>170</v>
      </c>
      <c r="BY284" t="s">
        <v>170</v>
      </c>
      <c r="CB284" t="s">
        <v>170</v>
      </c>
      <c r="CC284" t="s">
        <v>170</v>
      </c>
      <c r="CD284" t="s">
        <v>1031</v>
      </c>
      <c r="CE284" t="s">
        <v>170</v>
      </c>
      <c r="CG284" t="s">
        <v>169</v>
      </c>
      <c r="CH284" t="s">
        <v>448</v>
      </c>
      <c r="CI284" t="s">
        <v>170</v>
      </c>
      <c r="CK284" t="s">
        <v>233</v>
      </c>
      <c r="CM284">
        <v>1</v>
      </c>
      <c r="CN284" t="s">
        <v>234</v>
      </c>
      <c r="CP284">
        <v>281</v>
      </c>
      <c r="CQ284">
        <v>5</v>
      </c>
      <c r="CR284">
        <v>36.799999999999997</v>
      </c>
      <c r="CS284" t="s">
        <v>235</v>
      </c>
      <c r="CV284" t="s">
        <v>341</v>
      </c>
      <c r="CX284" t="s">
        <v>342</v>
      </c>
      <c r="CY284" t="s">
        <v>170</v>
      </c>
      <c r="DD284">
        <v>1</v>
      </c>
      <c r="DE284" t="s">
        <v>663</v>
      </c>
      <c r="DG284">
        <v>35</v>
      </c>
      <c r="DJ284" t="s">
        <v>184</v>
      </c>
      <c r="DK284" t="s">
        <v>185</v>
      </c>
      <c r="DL284" t="s">
        <v>170</v>
      </c>
      <c r="DM284" t="s">
        <v>170</v>
      </c>
      <c r="DN284" t="s">
        <v>170</v>
      </c>
      <c r="DO284" t="s">
        <v>1032</v>
      </c>
      <c r="DP284" t="s">
        <v>169</v>
      </c>
      <c r="DQ284" t="s">
        <v>198</v>
      </c>
      <c r="EB284">
        <v>5</v>
      </c>
      <c r="EC284">
        <v>5</v>
      </c>
      <c r="EE284" t="s">
        <v>1033</v>
      </c>
      <c r="EF284">
        <v>6</v>
      </c>
      <c r="EV284">
        <v>2000</v>
      </c>
      <c r="EW284">
        <v>397</v>
      </c>
      <c r="EX284">
        <v>373</v>
      </c>
      <c r="EY284">
        <v>386</v>
      </c>
    </row>
    <row r="285" spans="1:155" x14ac:dyDescent="0.35">
      <c r="A285">
        <v>2025</v>
      </c>
      <c r="B285" t="s">
        <v>439</v>
      </c>
      <c r="C285" t="s">
        <v>440</v>
      </c>
      <c r="D285" t="s">
        <v>1034</v>
      </c>
      <c r="E285" t="s">
        <v>442</v>
      </c>
      <c r="F285">
        <v>54</v>
      </c>
      <c r="G285">
        <v>3.5</v>
      </c>
      <c r="H285">
        <v>6</v>
      </c>
      <c r="I285" t="s">
        <v>331</v>
      </c>
      <c r="J285">
        <v>16</v>
      </c>
      <c r="K285">
        <v>21</v>
      </c>
      <c r="L285">
        <v>18</v>
      </c>
      <c r="M285">
        <v>20.5</v>
      </c>
      <c r="N285">
        <v>30.8</v>
      </c>
      <c r="O285">
        <v>24.131499999999999</v>
      </c>
      <c r="P285">
        <v>16.479600000000001</v>
      </c>
      <c r="Q285">
        <v>21</v>
      </c>
      <c r="R285">
        <v>18</v>
      </c>
      <c r="T285" t="s">
        <v>165</v>
      </c>
      <c r="U285" t="s">
        <v>166</v>
      </c>
      <c r="V285" t="s">
        <v>193</v>
      </c>
      <c r="W285" t="s">
        <v>194</v>
      </c>
      <c r="Y285">
        <v>10</v>
      </c>
      <c r="Z285" t="s">
        <v>169</v>
      </c>
      <c r="AA285" t="s">
        <v>170</v>
      </c>
      <c r="AB285" t="s">
        <v>809</v>
      </c>
      <c r="AC285" t="s">
        <v>810</v>
      </c>
      <c r="AD285">
        <v>85</v>
      </c>
      <c r="AG285" t="s">
        <v>210</v>
      </c>
      <c r="AH285" t="s">
        <v>444</v>
      </c>
      <c r="AI285" t="s">
        <v>175</v>
      </c>
      <c r="AJ285" t="s">
        <v>176</v>
      </c>
      <c r="AK285" t="s">
        <v>940</v>
      </c>
      <c r="AL285" t="s">
        <v>941</v>
      </c>
      <c r="AS285">
        <v>2900</v>
      </c>
      <c r="AT285">
        <v>2900</v>
      </c>
      <c r="BN285" t="s">
        <v>265</v>
      </c>
      <c r="BO285">
        <v>2</v>
      </c>
      <c r="BP285">
        <v>2</v>
      </c>
      <c r="BQ285">
        <v>13</v>
      </c>
      <c r="BR285" t="s">
        <v>1016</v>
      </c>
      <c r="BT285" t="s">
        <v>181</v>
      </c>
      <c r="BU285" s="1">
        <v>45610</v>
      </c>
      <c r="BV285">
        <v>35749</v>
      </c>
      <c r="BX285" t="s">
        <v>169</v>
      </c>
      <c r="BY285" t="s">
        <v>170</v>
      </c>
      <c r="CB285" t="s">
        <v>170</v>
      </c>
      <c r="CC285" t="s">
        <v>170</v>
      </c>
      <c r="CD285" t="s">
        <v>988</v>
      </c>
      <c r="CE285" t="s">
        <v>170</v>
      </c>
      <c r="CG285" t="s">
        <v>169</v>
      </c>
      <c r="CH285" t="s">
        <v>448</v>
      </c>
      <c r="CI285" t="s">
        <v>170</v>
      </c>
      <c r="DJ285" t="s">
        <v>267</v>
      </c>
      <c r="DK285" t="s">
        <v>268</v>
      </c>
      <c r="DL285" t="s">
        <v>170</v>
      </c>
      <c r="DM285" t="s">
        <v>170</v>
      </c>
      <c r="DN285" t="s">
        <v>170</v>
      </c>
      <c r="DO285" t="s">
        <v>989</v>
      </c>
      <c r="DP285" t="s">
        <v>169</v>
      </c>
      <c r="DQ285" t="s">
        <v>198</v>
      </c>
      <c r="EB285">
        <v>4</v>
      </c>
      <c r="EC285">
        <v>4</v>
      </c>
      <c r="EE285" t="s">
        <v>990</v>
      </c>
      <c r="EF285">
        <v>6</v>
      </c>
      <c r="EV285">
        <v>5000</v>
      </c>
      <c r="EW285">
        <v>540</v>
      </c>
      <c r="EX285">
        <v>424</v>
      </c>
      <c r="EY285">
        <v>494</v>
      </c>
    </row>
    <row r="286" spans="1:155" x14ac:dyDescent="0.35">
      <c r="A286">
        <v>2025</v>
      </c>
      <c r="B286" t="s">
        <v>439</v>
      </c>
      <c r="C286" t="s">
        <v>440</v>
      </c>
      <c r="D286" t="s">
        <v>1034</v>
      </c>
      <c r="E286" t="s">
        <v>442</v>
      </c>
      <c r="F286">
        <v>55</v>
      </c>
      <c r="G286">
        <v>5</v>
      </c>
      <c r="H286">
        <v>8</v>
      </c>
      <c r="I286" t="s">
        <v>331</v>
      </c>
      <c r="J286">
        <v>15</v>
      </c>
      <c r="K286">
        <v>20</v>
      </c>
      <c r="L286">
        <v>17</v>
      </c>
      <c r="M286">
        <v>19.399999999999999</v>
      </c>
      <c r="N286">
        <v>29.7</v>
      </c>
      <c r="O286">
        <v>22.987400000000001</v>
      </c>
      <c r="P286">
        <v>15</v>
      </c>
      <c r="Q286">
        <v>20</v>
      </c>
      <c r="R286">
        <v>17</v>
      </c>
      <c r="U286" t="s">
        <v>224</v>
      </c>
      <c r="V286" t="s">
        <v>193</v>
      </c>
      <c r="W286" t="s">
        <v>194</v>
      </c>
      <c r="Y286">
        <v>10</v>
      </c>
      <c r="Z286" t="s">
        <v>169</v>
      </c>
      <c r="AA286" t="s">
        <v>170</v>
      </c>
      <c r="AB286" t="s">
        <v>809</v>
      </c>
      <c r="AC286" t="s">
        <v>810</v>
      </c>
      <c r="AD286">
        <v>85</v>
      </c>
      <c r="AG286" t="s">
        <v>210</v>
      </c>
      <c r="AH286" t="s">
        <v>444</v>
      </c>
      <c r="AI286" t="s">
        <v>175</v>
      </c>
      <c r="AJ286" t="s">
        <v>176</v>
      </c>
      <c r="AK286" t="s">
        <v>940</v>
      </c>
      <c r="AL286" t="s">
        <v>941</v>
      </c>
      <c r="AS286">
        <v>3100</v>
      </c>
      <c r="AT286">
        <v>3100</v>
      </c>
      <c r="BN286" t="s">
        <v>265</v>
      </c>
      <c r="BO286">
        <v>2</v>
      </c>
      <c r="BP286">
        <v>2</v>
      </c>
      <c r="BQ286">
        <v>13</v>
      </c>
      <c r="BR286" t="s">
        <v>1016</v>
      </c>
      <c r="BT286" t="s">
        <v>181</v>
      </c>
      <c r="BU286" s="1">
        <v>45610</v>
      </c>
      <c r="BV286">
        <v>35752</v>
      </c>
      <c r="BX286" t="s">
        <v>169</v>
      </c>
      <c r="BY286" t="s">
        <v>170</v>
      </c>
      <c r="CB286" t="s">
        <v>170</v>
      </c>
      <c r="CC286" t="s">
        <v>170</v>
      </c>
      <c r="CE286" t="s">
        <v>169</v>
      </c>
      <c r="CF286" t="s">
        <v>991</v>
      </c>
      <c r="CG286" t="s">
        <v>169</v>
      </c>
      <c r="CH286" t="s">
        <v>992</v>
      </c>
      <c r="CI286" t="s">
        <v>170</v>
      </c>
      <c r="DJ286" t="s">
        <v>267</v>
      </c>
      <c r="DK286" t="s">
        <v>268</v>
      </c>
      <c r="DN286" t="s">
        <v>170</v>
      </c>
      <c r="DO286" t="s">
        <v>445</v>
      </c>
      <c r="DP286" t="s">
        <v>169</v>
      </c>
      <c r="DQ286" t="s">
        <v>198</v>
      </c>
      <c r="EB286">
        <v>3</v>
      </c>
      <c r="EC286">
        <v>3</v>
      </c>
      <c r="EE286" t="s">
        <v>993</v>
      </c>
      <c r="EF286">
        <v>5</v>
      </c>
      <c r="EV286">
        <v>6000</v>
      </c>
      <c r="EW286">
        <v>592</v>
      </c>
      <c r="EX286">
        <v>444</v>
      </c>
      <c r="EY286">
        <v>523</v>
      </c>
    </row>
    <row r="287" spans="1:155" x14ac:dyDescent="0.35">
      <c r="A287">
        <v>2025</v>
      </c>
      <c r="B287" t="s">
        <v>439</v>
      </c>
      <c r="C287" t="s">
        <v>440</v>
      </c>
      <c r="D287" t="s">
        <v>1681</v>
      </c>
      <c r="E287" t="s">
        <v>442</v>
      </c>
      <c r="F287">
        <v>62</v>
      </c>
      <c r="G287">
        <v>3.5</v>
      </c>
      <c r="H287">
        <v>6</v>
      </c>
      <c r="I287" t="s">
        <v>331</v>
      </c>
      <c r="J287">
        <v>14</v>
      </c>
      <c r="K287">
        <v>18</v>
      </c>
      <c r="L287">
        <v>16</v>
      </c>
      <c r="M287">
        <v>17.465900000000001</v>
      </c>
      <c r="N287">
        <v>25.631799999999998</v>
      </c>
      <c r="O287">
        <v>20.3889</v>
      </c>
      <c r="P287">
        <v>14.182</v>
      </c>
      <c r="Q287">
        <v>18.623799999999999</v>
      </c>
      <c r="R287">
        <v>15.8871</v>
      </c>
      <c r="T287" t="s">
        <v>165</v>
      </c>
      <c r="U287" t="s">
        <v>166</v>
      </c>
      <c r="V287" t="s">
        <v>193</v>
      </c>
      <c r="W287" t="s">
        <v>194</v>
      </c>
      <c r="Y287">
        <v>10</v>
      </c>
      <c r="Z287" t="s">
        <v>169</v>
      </c>
      <c r="AA287" t="s">
        <v>170</v>
      </c>
      <c r="AB287" t="s">
        <v>809</v>
      </c>
      <c r="AC287" t="s">
        <v>810</v>
      </c>
      <c r="AD287">
        <v>85</v>
      </c>
      <c r="AG287" t="s">
        <v>210</v>
      </c>
      <c r="AH287" t="s">
        <v>444</v>
      </c>
      <c r="AI287" t="s">
        <v>175</v>
      </c>
      <c r="AJ287" t="s">
        <v>176</v>
      </c>
      <c r="AK287" t="s">
        <v>940</v>
      </c>
      <c r="AL287" t="s">
        <v>941</v>
      </c>
      <c r="AS287">
        <v>3300</v>
      </c>
      <c r="AT287">
        <v>3300</v>
      </c>
      <c r="BN287" t="s">
        <v>265</v>
      </c>
      <c r="BO287">
        <v>2</v>
      </c>
      <c r="BP287">
        <v>2</v>
      </c>
      <c r="BQ287">
        <v>13</v>
      </c>
      <c r="BR287" t="s">
        <v>1016</v>
      </c>
      <c r="BT287" t="s">
        <v>181</v>
      </c>
      <c r="BV287">
        <v>36416</v>
      </c>
      <c r="BX287" t="s">
        <v>169</v>
      </c>
      <c r="BY287" t="s">
        <v>170</v>
      </c>
      <c r="CB287" t="s">
        <v>170</v>
      </c>
      <c r="CC287" t="s">
        <v>170</v>
      </c>
      <c r="CD287" t="s">
        <v>1682</v>
      </c>
      <c r="CE287" t="s">
        <v>170</v>
      </c>
      <c r="CG287" t="s">
        <v>169</v>
      </c>
      <c r="CH287" t="s">
        <v>448</v>
      </c>
      <c r="CI287" t="s">
        <v>170</v>
      </c>
      <c r="DJ287" t="s">
        <v>267</v>
      </c>
      <c r="DK287" t="s">
        <v>268</v>
      </c>
      <c r="DL287" t="s">
        <v>170</v>
      </c>
      <c r="DM287" t="s">
        <v>170</v>
      </c>
      <c r="DN287" t="s">
        <v>170</v>
      </c>
      <c r="DO287" t="s">
        <v>989</v>
      </c>
      <c r="DP287" t="s">
        <v>169</v>
      </c>
      <c r="DQ287" t="s">
        <v>198</v>
      </c>
      <c r="EB287">
        <v>3</v>
      </c>
      <c r="EC287">
        <v>3</v>
      </c>
      <c r="EE287" t="s">
        <v>990</v>
      </c>
      <c r="EF287">
        <v>6</v>
      </c>
      <c r="EV287">
        <v>7000</v>
      </c>
      <c r="EW287">
        <v>626</v>
      </c>
      <c r="EX287">
        <v>478</v>
      </c>
      <c r="EY287">
        <v>559</v>
      </c>
    </row>
    <row r="288" spans="1:155" x14ac:dyDescent="0.35">
      <c r="A288">
        <v>2025</v>
      </c>
      <c r="B288" t="s">
        <v>439</v>
      </c>
      <c r="C288" t="s">
        <v>440</v>
      </c>
      <c r="D288" t="s">
        <v>1683</v>
      </c>
      <c r="E288" t="s">
        <v>442</v>
      </c>
      <c r="F288">
        <v>71</v>
      </c>
      <c r="G288">
        <v>5.2</v>
      </c>
      <c r="H288">
        <v>8</v>
      </c>
      <c r="I288" t="s">
        <v>331</v>
      </c>
      <c r="J288">
        <v>10</v>
      </c>
      <c r="K288">
        <v>15</v>
      </c>
      <c r="L288">
        <v>12</v>
      </c>
      <c r="M288">
        <v>12.5</v>
      </c>
      <c r="N288">
        <v>20.100000000000001</v>
      </c>
      <c r="O288">
        <v>15.062900000000001</v>
      </c>
      <c r="P288">
        <v>10.32</v>
      </c>
      <c r="Q288">
        <v>14.7942</v>
      </c>
      <c r="R288">
        <v>11.9458</v>
      </c>
      <c r="T288" t="s">
        <v>455</v>
      </c>
      <c r="U288" t="s">
        <v>456</v>
      </c>
      <c r="V288" t="s">
        <v>193</v>
      </c>
      <c r="W288" t="s">
        <v>194</v>
      </c>
      <c r="Y288">
        <v>10</v>
      </c>
      <c r="Z288" t="s">
        <v>169</v>
      </c>
      <c r="AA288" t="s">
        <v>170</v>
      </c>
      <c r="AB288" t="s">
        <v>809</v>
      </c>
      <c r="AC288" t="s">
        <v>810</v>
      </c>
      <c r="AD288">
        <v>85</v>
      </c>
      <c r="AG288" t="s">
        <v>214</v>
      </c>
      <c r="AH288" t="s">
        <v>215</v>
      </c>
      <c r="AI288" t="s">
        <v>175</v>
      </c>
      <c r="AJ288" t="s">
        <v>176</v>
      </c>
      <c r="AK288" t="s">
        <v>940</v>
      </c>
      <c r="AL288" t="s">
        <v>941</v>
      </c>
      <c r="AS288">
        <v>5300</v>
      </c>
      <c r="AT288">
        <v>5300</v>
      </c>
      <c r="BO288">
        <v>2</v>
      </c>
      <c r="BP288">
        <v>2</v>
      </c>
      <c r="BQ288">
        <v>13</v>
      </c>
      <c r="BR288" t="s">
        <v>1016</v>
      </c>
      <c r="BT288" t="s">
        <v>181</v>
      </c>
      <c r="BV288">
        <v>36397</v>
      </c>
      <c r="BX288" t="s">
        <v>170</v>
      </c>
      <c r="BY288" t="s">
        <v>170</v>
      </c>
      <c r="CB288" t="s">
        <v>170</v>
      </c>
      <c r="CC288" t="s">
        <v>170</v>
      </c>
      <c r="CD288" t="s">
        <v>1684</v>
      </c>
      <c r="CE288" t="s">
        <v>170</v>
      </c>
      <c r="CG288" t="s">
        <v>169</v>
      </c>
      <c r="CH288" t="s">
        <v>448</v>
      </c>
      <c r="CI288" t="s">
        <v>170</v>
      </c>
      <c r="DJ288" t="s">
        <v>449</v>
      </c>
      <c r="DK288" t="s">
        <v>450</v>
      </c>
      <c r="DN288" t="s">
        <v>170</v>
      </c>
      <c r="DO288" t="s">
        <v>458</v>
      </c>
      <c r="DP288" t="s">
        <v>170</v>
      </c>
      <c r="DQ288" t="s">
        <v>187</v>
      </c>
      <c r="DY288">
        <v>0</v>
      </c>
      <c r="EB288">
        <v>1</v>
      </c>
      <c r="EC288">
        <v>1</v>
      </c>
      <c r="EE288" t="s">
        <v>1685</v>
      </c>
      <c r="EF288">
        <v>4</v>
      </c>
      <c r="EV288">
        <v>17000</v>
      </c>
      <c r="EW288">
        <v>858</v>
      </c>
      <c r="EX288">
        <v>598</v>
      </c>
      <c r="EY288">
        <v>741</v>
      </c>
    </row>
    <row r="289" spans="1:155" x14ac:dyDescent="0.35">
      <c r="A289">
        <v>2025</v>
      </c>
      <c r="B289" t="s">
        <v>439</v>
      </c>
      <c r="C289" t="s">
        <v>440</v>
      </c>
      <c r="D289" t="s">
        <v>955</v>
      </c>
      <c r="E289" t="s">
        <v>442</v>
      </c>
      <c r="F289">
        <v>29</v>
      </c>
      <c r="G289">
        <v>2</v>
      </c>
      <c r="H289">
        <v>4</v>
      </c>
      <c r="I289" t="s">
        <v>164</v>
      </c>
      <c r="J289">
        <v>22</v>
      </c>
      <c r="K289">
        <v>30</v>
      </c>
      <c r="L289">
        <v>25</v>
      </c>
      <c r="M289">
        <v>28.2</v>
      </c>
      <c r="N289">
        <v>45.5</v>
      </c>
      <c r="O289">
        <v>34.020899999999997</v>
      </c>
      <c r="P289">
        <v>22.1096</v>
      </c>
      <c r="Q289">
        <v>30</v>
      </c>
      <c r="R289">
        <v>25</v>
      </c>
      <c r="T289" t="s">
        <v>165</v>
      </c>
      <c r="U289" t="s">
        <v>166</v>
      </c>
      <c r="V289" t="s">
        <v>167</v>
      </c>
      <c r="W289" t="s">
        <v>168</v>
      </c>
      <c r="Y289">
        <v>8</v>
      </c>
      <c r="Z289" t="s">
        <v>169</v>
      </c>
      <c r="AA289" t="s">
        <v>170</v>
      </c>
      <c r="AB289" t="s">
        <v>809</v>
      </c>
      <c r="AC289" t="s">
        <v>810</v>
      </c>
      <c r="AD289">
        <v>85</v>
      </c>
      <c r="AG289" t="s">
        <v>210</v>
      </c>
      <c r="AH289" t="s">
        <v>444</v>
      </c>
      <c r="AI289" t="s">
        <v>175</v>
      </c>
      <c r="AJ289" t="s">
        <v>176</v>
      </c>
      <c r="AK289" t="s">
        <v>940</v>
      </c>
      <c r="AL289" t="s">
        <v>941</v>
      </c>
      <c r="AS289">
        <v>2100</v>
      </c>
      <c r="AT289">
        <v>2100</v>
      </c>
      <c r="BN289" t="s">
        <v>265</v>
      </c>
      <c r="BO289">
        <v>2</v>
      </c>
      <c r="BP289">
        <v>2</v>
      </c>
      <c r="BQ289">
        <v>11</v>
      </c>
      <c r="BR289" t="s">
        <v>956</v>
      </c>
      <c r="BT289" t="s">
        <v>181</v>
      </c>
      <c r="BU289" s="1">
        <v>45624</v>
      </c>
      <c r="BV289">
        <v>35727</v>
      </c>
      <c r="BX289" t="s">
        <v>170</v>
      </c>
      <c r="BY289" t="s">
        <v>170</v>
      </c>
      <c r="CB289" t="s">
        <v>170</v>
      </c>
      <c r="CC289" t="s">
        <v>170</v>
      </c>
      <c r="CD289" t="s">
        <v>957</v>
      </c>
      <c r="CE289" t="s">
        <v>170</v>
      </c>
      <c r="CG289" t="s">
        <v>169</v>
      </c>
      <c r="CH289" t="s">
        <v>958</v>
      </c>
      <c r="CI289" t="s">
        <v>170</v>
      </c>
      <c r="DJ289" t="s">
        <v>267</v>
      </c>
      <c r="DK289" t="s">
        <v>268</v>
      </c>
      <c r="DN289" t="s">
        <v>170</v>
      </c>
      <c r="DO289" t="s">
        <v>445</v>
      </c>
      <c r="DP289" t="s">
        <v>169</v>
      </c>
      <c r="DQ289" t="s">
        <v>198</v>
      </c>
      <c r="EB289">
        <v>5</v>
      </c>
      <c r="EC289">
        <v>5</v>
      </c>
      <c r="EE289" t="s">
        <v>959</v>
      </c>
      <c r="EF289">
        <v>6</v>
      </c>
      <c r="EV289">
        <v>1000</v>
      </c>
      <c r="EW289">
        <v>401</v>
      </c>
      <c r="EX289">
        <v>296</v>
      </c>
      <c r="EY289">
        <v>355</v>
      </c>
    </row>
    <row r="290" spans="1:155" x14ac:dyDescent="0.35">
      <c r="A290">
        <v>2025</v>
      </c>
      <c r="B290" t="s">
        <v>439</v>
      </c>
      <c r="C290" t="s">
        <v>440</v>
      </c>
      <c r="D290" t="s">
        <v>960</v>
      </c>
      <c r="E290" t="s">
        <v>442</v>
      </c>
      <c r="F290">
        <v>25</v>
      </c>
      <c r="G290">
        <v>2.5</v>
      </c>
      <c r="H290">
        <v>4</v>
      </c>
      <c r="I290" t="s">
        <v>587</v>
      </c>
      <c r="J290">
        <v>40</v>
      </c>
      <c r="K290">
        <v>34</v>
      </c>
      <c r="L290">
        <v>37</v>
      </c>
      <c r="M290">
        <v>56.479700000000001</v>
      </c>
      <c r="N290">
        <v>53.401299999999999</v>
      </c>
      <c r="O290">
        <v>55.051600000000001</v>
      </c>
      <c r="P290">
        <v>40</v>
      </c>
      <c r="Q290">
        <v>34</v>
      </c>
      <c r="R290">
        <v>37</v>
      </c>
      <c r="U290" t="s">
        <v>224</v>
      </c>
      <c r="V290" t="s">
        <v>588</v>
      </c>
      <c r="W290" t="s">
        <v>589</v>
      </c>
      <c r="Y290">
        <v>1</v>
      </c>
      <c r="Z290" t="s">
        <v>170</v>
      </c>
      <c r="AA290" t="s">
        <v>170</v>
      </c>
      <c r="AB290" t="s">
        <v>809</v>
      </c>
      <c r="AC290" t="s">
        <v>810</v>
      </c>
      <c r="AD290">
        <v>85</v>
      </c>
      <c r="AG290" t="s">
        <v>210</v>
      </c>
      <c r="AH290" t="s">
        <v>444</v>
      </c>
      <c r="AI290" t="s">
        <v>175</v>
      </c>
      <c r="AJ290" t="s">
        <v>176</v>
      </c>
      <c r="AK290" t="s">
        <v>940</v>
      </c>
      <c r="AL290" t="s">
        <v>941</v>
      </c>
      <c r="AS290">
        <v>1400</v>
      </c>
      <c r="AT290">
        <v>1400</v>
      </c>
      <c r="BN290" t="s">
        <v>230</v>
      </c>
      <c r="BO290">
        <v>2</v>
      </c>
      <c r="BP290">
        <v>2</v>
      </c>
      <c r="BQ290">
        <v>11</v>
      </c>
      <c r="BR290" t="s">
        <v>956</v>
      </c>
      <c r="BT290" t="s">
        <v>457</v>
      </c>
      <c r="BU290" s="1">
        <v>45679</v>
      </c>
      <c r="BV290">
        <v>35808</v>
      </c>
      <c r="BX290" t="s">
        <v>170</v>
      </c>
      <c r="BY290" t="s">
        <v>170</v>
      </c>
      <c r="CB290" t="s">
        <v>170</v>
      </c>
      <c r="CC290" t="s">
        <v>170</v>
      </c>
      <c r="CD290" t="s">
        <v>943</v>
      </c>
      <c r="CE290" t="s">
        <v>170</v>
      </c>
      <c r="CG290" t="s">
        <v>169</v>
      </c>
      <c r="CH290" t="s">
        <v>944</v>
      </c>
      <c r="CI290" t="s">
        <v>170</v>
      </c>
      <c r="CK290" t="s">
        <v>233</v>
      </c>
      <c r="CM290">
        <v>1</v>
      </c>
      <c r="CN290" t="s">
        <v>234</v>
      </c>
      <c r="CP290">
        <v>234</v>
      </c>
      <c r="CQ290">
        <v>5</v>
      </c>
      <c r="CR290">
        <v>41.9</v>
      </c>
      <c r="CS290" t="s">
        <v>235</v>
      </c>
      <c r="CV290" t="s">
        <v>341</v>
      </c>
      <c r="CX290" t="s">
        <v>729</v>
      </c>
      <c r="CY290" t="s">
        <v>170</v>
      </c>
      <c r="DC290" t="s">
        <v>945</v>
      </c>
      <c r="DD290">
        <v>1</v>
      </c>
      <c r="DE290" t="s">
        <v>404</v>
      </c>
      <c r="DF290" t="s">
        <v>427</v>
      </c>
      <c r="DG290">
        <v>66</v>
      </c>
      <c r="DJ290" t="s">
        <v>449</v>
      </c>
      <c r="DK290" t="s">
        <v>450</v>
      </c>
      <c r="DL290" t="s">
        <v>170</v>
      </c>
      <c r="DM290" t="s">
        <v>170</v>
      </c>
      <c r="DN290" t="s">
        <v>170</v>
      </c>
      <c r="DO290" t="s">
        <v>946</v>
      </c>
      <c r="DP290" t="s">
        <v>169</v>
      </c>
      <c r="DQ290" t="s">
        <v>198</v>
      </c>
      <c r="EB290">
        <v>7</v>
      </c>
      <c r="EC290">
        <v>7</v>
      </c>
      <c r="EE290" t="s">
        <v>947</v>
      </c>
      <c r="EF290">
        <v>7</v>
      </c>
      <c r="EU290">
        <v>2500</v>
      </c>
      <c r="EW290">
        <v>222</v>
      </c>
      <c r="EX290">
        <v>261</v>
      </c>
      <c r="EY290">
        <v>240</v>
      </c>
    </row>
    <row r="291" spans="1:155" x14ac:dyDescent="0.35">
      <c r="A291">
        <v>2025</v>
      </c>
      <c r="B291" t="s">
        <v>439</v>
      </c>
      <c r="C291" t="s">
        <v>440</v>
      </c>
      <c r="D291" t="s">
        <v>939</v>
      </c>
      <c r="E291" t="s">
        <v>442</v>
      </c>
      <c r="F291">
        <v>28</v>
      </c>
      <c r="G291">
        <v>2.5</v>
      </c>
      <c r="H291">
        <v>4</v>
      </c>
      <c r="I291" t="s">
        <v>587</v>
      </c>
      <c r="J291">
        <v>42</v>
      </c>
      <c r="K291">
        <v>35</v>
      </c>
      <c r="L291">
        <v>38</v>
      </c>
      <c r="M291">
        <v>61.2</v>
      </c>
      <c r="N291">
        <v>54.7</v>
      </c>
      <c r="O291">
        <v>58.093499999999999</v>
      </c>
      <c r="P291">
        <v>42</v>
      </c>
      <c r="Q291">
        <v>35</v>
      </c>
      <c r="R291">
        <v>38</v>
      </c>
      <c r="U291" t="s">
        <v>224</v>
      </c>
      <c r="V291" t="s">
        <v>588</v>
      </c>
      <c r="W291" t="s">
        <v>589</v>
      </c>
      <c r="Y291">
        <v>1</v>
      </c>
      <c r="Z291" t="s">
        <v>170</v>
      </c>
      <c r="AA291" t="s">
        <v>170</v>
      </c>
      <c r="AB291" t="s">
        <v>351</v>
      </c>
      <c r="AC291" t="s">
        <v>352</v>
      </c>
      <c r="AD291">
        <v>85</v>
      </c>
      <c r="AG291" t="s">
        <v>210</v>
      </c>
      <c r="AH291" t="s">
        <v>444</v>
      </c>
      <c r="AI291" t="s">
        <v>175</v>
      </c>
      <c r="AJ291" t="s">
        <v>176</v>
      </c>
      <c r="AK291" t="s">
        <v>940</v>
      </c>
      <c r="AL291" t="s">
        <v>941</v>
      </c>
      <c r="AS291">
        <v>1400</v>
      </c>
      <c r="AT291">
        <v>1400</v>
      </c>
      <c r="BN291" t="s">
        <v>230</v>
      </c>
      <c r="BO291">
        <v>2</v>
      </c>
      <c r="BP291">
        <v>2</v>
      </c>
      <c r="BQ291">
        <v>10</v>
      </c>
      <c r="BR291" t="s">
        <v>942</v>
      </c>
      <c r="BT291" t="s">
        <v>457</v>
      </c>
      <c r="BU291" s="1">
        <v>45624</v>
      </c>
      <c r="BV291">
        <v>35943</v>
      </c>
      <c r="BX291" t="s">
        <v>170</v>
      </c>
      <c r="BY291" t="s">
        <v>170</v>
      </c>
      <c r="CB291" t="s">
        <v>170</v>
      </c>
      <c r="CC291" t="s">
        <v>170</v>
      </c>
      <c r="CD291" t="s">
        <v>943</v>
      </c>
      <c r="CE291" t="s">
        <v>170</v>
      </c>
      <c r="CG291" t="s">
        <v>169</v>
      </c>
      <c r="CH291" t="s">
        <v>944</v>
      </c>
      <c r="CI291" t="s">
        <v>170</v>
      </c>
      <c r="CK291" t="s">
        <v>233</v>
      </c>
      <c r="CM291">
        <v>1</v>
      </c>
      <c r="CN291" t="s">
        <v>234</v>
      </c>
      <c r="CP291">
        <v>234</v>
      </c>
      <c r="CQ291">
        <v>5</v>
      </c>
      <c r="CR291">
        <v>41.9</v>
      </c>
      <c r="CS291" t="s">
        <v>235</v>
      </c>
      <c r="CV291" t="s">
        <v>341</v>
      </c>
      <c r="CX291" t="s">
        <v>729</v>
      </c>
      <c r="CY291" t="s">
        <v>170</v>
      </c>
      <c r="DC291" t="s">
        <v>945</v>
      </c>
      <c r="DD291">
        <v>1</v>
      </c>
      <c r="DE291" t="s">
        <v>404</v>
      </c>
      <c r="DF291" t="s">
        <v>427</v>
      </c>
      <c r="DG291">
        <v>66</v>
      </c>
      <c r="DJ291" t="s">
        <v>449</v>
      </c>
      <c r="DK291" t="s">
        <v>450</v>
      </c>
      <c r="DL291" t="s">
        <v>170</v>
      </c>
      <c r="DM291" t="s">
        <v>170</v>
      </c>
      <c r="DN291" t="s">
        <v>170</v>
      </c>
      <c r="DO291" t="s">
        <v>946</v>
      </c>
      <c r="DP291" t="s">
        <v>169</v>
      </c>
      <c r="DQ291" t="s">
        <v>198</v>
      </c>
      <c r="EB291">
        <v>7</v>
      </c>
      <c r="EC291">
        <v>7</v>
      </c>
      <c r="EE291" t="s">
        <v>947</v>
      </c>
      <c r="EF291">
        <v>7</v>
      </c>
      <c r="EU291">
        <v>2500</v>
      </c>
      <c r="EW291">
        <v>211</v>
      </c>
      <c r="EX291">
        <v>254</v>
      </c>
      <c r="EY291">
        <v>234</v>
      </c>
    </row>
    <row r="292" spans="1:155" x14ac:dyDescent="0.35">
      <c r="A292">
        <v>2025</v>
      </c>
      <c r="B292" t="s">
        <v>439</v>
      </c>
      <c r="C292" t="s">
        <v>440</v>
      </c>
      <c r="D292" t="s">
        <v>961</v>
      </c>
      <c r="E292" t="s">
        <v>442</v>
      </c>
      <c r="F292">
        <v>123</v>
      </c>
      <c r="G292">
        <v>2</v>
      </c>
      <c r="H292">
        <v>4</v>
      </c>
      <c r="I292" t="s">
        <v>192</v>
      </c>
      <c r="J292">
        <v>21</v>
      </c>
      <c r="K292">
        <v>30</v>
      </c>
      <c r="L292">
        <v>24</v>
      </c>
      <c r="M292">
        <v>28.2</v>
      </c>
      <c r="N292">
        <v>46.6</v>
      </c>
      <c r="O292">
        <v>34.293300000000002</v>
      </c>
      <c r="P292">
        <v>21</v>
      </c>
      <c r="Q292">
        <v>30</v>
      </c>
      <c r="R292">
        <v>24</v>
      </c>
      <c r="T292" t="s">
        <v>165</v>
      </c>
      <c r="U292" t="s">
        <v>166</v>
      </c>
      <c r="V292" t="s">
        <v>193</v>
      </c>
      <c r="W292" t="s">
        <v>194</v>
      </c>
      <c r="Y292">
        <v>8</v>
      </c>
      <c r="Z292" t="s">
        <v>169</v>
      </c>
      <c r="AA292" t="s">
        <v>170</v>
      </c>
      <c r="AB292">
        <v>4</v>
      </c>
      <c r="AC292" t="s">
        <v>601</v>
      </c>
      <c r="AD292">
        <v>85</v>
      </c>
      <c r="AG292" t="s">
        <v>210</v>
      </c>
      <c r="AH292" t="s">
        <v>444</v>
      </c>
      <c r="AI292" t="s">
        <v>175</v>
      </c>
      <c r="AJ292" t="s">
        <v>176</v>
      </c>
      <c r="AK292" t="s">
        <v>940</v>
      </c>
      <c r="AL292" t="s">
        <v>941</v>
      </c>
      <c r="AS292">
        <v>2200</v>
      </c>
      <c r="AT292">
        <v>2200</v>
      </c>
      <c r="BN292" t="s">
        <v>265</v>
      </c>
      <c r="BO292">
        <v>2</v>
      </c>
      <c r="BP292">
        <v>2</v>
      </c>
      <c r="BQ292">
        <v>11</v>
      </c>
      <c r="BR292" t="s">
        <v>956</v>
      </c>
      <c r="BT292" t="s">
        <v>181</v>
      </c>
      <c r="BU292" s="1">
        <v>45624</v>
      </c>
      <c r="BV292">
        <v>35944</v>
      </c>
      <c r="BX292" t="s">
        <v>170</v>
      </c>
      <c r="BY292" t="s">
        <v>170</v>
      </c>
      <c r="CB292" t="s">
        <v>170</v>
      </c>
      <c r="CC292" t="s">
        <v>170</v>
      </c>
      <c r="CD292" t="s">
        <v>957</v>
      </c>
      <c r="CE292" t="s">
        <v>170</v>
      </c>
      <c r="CG292" t="s">
        <v>169</v>
      </c>
      <c r="CH292" t="s">
        <v>958</v>
      </c>
      <c r="CI292" t="s">
        <v>170</v>
      </c>
      <c r="DJ292" t="s">
        <v>267</v>
      </c>
      <c r="DK292" t="s">
        <v>268</v>
      </c>
      <c r="DN292" t="s">
        <v>170</v>
      </c>
      <c r="DO292" t="s">
        <v>445</v>
      </c>
      <c r="DP292" t="s">
        <v>169</v>
      </c>
      <c r="DQ292" t="s">
        <v>198</v>
      </c>
      <c r="EB292">
        <v>5</v>
      </c>
      <c r="EC292">
        <v>5</v>
      </c>
      <c r="EE292" t="s">
        <v>959</v>
      </c>
      <c r="EF292">
        <v>6</v>
      </c>
      <c r="EV292">
        <v>1500</v>
      </c>
      <c r="EW292">
        <v>423</v>
      </c>
      <c r="EX292">
        <v>297</v>
      </c>
      <c r="EY292">
        <v>370</v>
      </c>
    </row>
    <row r="293" spans="1:155" x14ac:dyDescent="0.35">
      <c r="A293">
        <v>2025</v>
      </c>
      <c r="B293" t="s">
        <v>439</v>
      </c>
      <c r="C293" t="s">
        <v>440</v>
      </c>
      <c r="D293" t="s">
        <v>962</v>
      </c>
      <c r="E293" t="s">
        <v>442</v>
      </c>
      <c r="F293">
        <v>124</v>
      </c>
      <c r="G293">
        <v>2</v>
      </c>
      <c r="H293">
        <v>4</v>
      </c>
      <c r="I293" t="s">
        <v>192</v>
      </c>
      <c r="J293">
        <v>21</v>
      </c>
      <c r="K293">
        <v>27</v>
      </c>
      <c r="L293">
        <v>23</v>
      </c>
      <c r="M293">
        <v>26.6</v>
      </c>
      <c r="N293">
        <v>39.799999999999997</v>
      </c>
      <c r="O293">
        <v>31.266400000000001</v>
      </c>
      <c r="P293">
        <v>20.962700000000002</v>
      </c>
      <c r="Q293">
        <v>27</v>
      </c>
      <c r="R293">
        <v>23</v>
      </c>
      <c r="T293" t="s">
        <v>165</v>
      </c>
      <c r="U293" t="s">
        <v>166</v>
      </c>
      <c r="V293" t="s">
        <v>193</v>
      </c>
      <c r="W293" t="s">
        <v>194</v>
      </c>
      <c r="Y293">
        <v>8</v>
      </c>
      <c r="Z293" t="s">
        <v>169</v>
      </c>
      <c r="AA293" t="s">
        <v>170</v>
      </c>
      <c r="AB293">
        <v>4</v>
      </c>
      <c r="AC293" t="s">
        <v>601</v>
      </c>
      <c r="AD293">
        <v>85</v>
      </c>
      <c r="AG293" t="s">
        <v>210</v>
      </c>
      <c r="AH293" t="s">
        <v>444</v>
      </c>
      <c r="AI293" t="s">
        <v>175</v>
      </c>
      <c r="AJ293" t="s">
        <v>176</v>
      </c>
      <c r="AK293" t="s">
        <v>940</v>
      </c>
      <c r="AL293" t="s">
        <v>941</v>
      </c>
      <c r="AS293">
        <v>2300</v>
      </c>
      <c r="AT293">
        <v>2300</v>
      </c>
      <c r="BN293" t="s">
        <v>265</v>
      </c>
      <c r="BO293">
        <v>2</v>
      </c>
      <c r="BP293">
        <v>2</v>
      </c>
      <c r="BQ293">
        <v>11</v>
      </c>
      <c r="BR293" t="s">
        <v>956</v>
      </c>
      <c r="BT293" t="s">
        <v>181</v>
      </c>
      <c r="BU293" s="1">
        <v>45625</v>
      </c>
      <c r="BV293">
        <v>35717</v>
      </c>
      <c r="BX293" t="s">
        <v>170</v>
      </c>
      <c r="BY293" t="s">
        <v>170</v>
      </c>
      <c r="CB293" t="s">
        <v>170</v>
      </c>
      <c r="CC293" t="s">
        <v>170</v>
      </c>
      <c r="CD293" t="s">
        <v>957</v>
      </c>
      <c r="CE293" t="s">
        <v>170</v>
      </c>
      <c r="CG293" t="s">
        <v>169</v>
      </c>
      <c r="CH293" t="s">
        <v>958</v>
      </c>
      <c r="CI293" t="s">
        <v>170</v>
      </c>
      <c r="DJ293" t="s">
        <v>267</v>
      </c>
      <c r="DK293" t="s">
        <v>268</v>
      </c>
      <c r="DN293" t="s">
        <v>170</v>
      </c>
      <c r="DO293" t="s">
        <v>445</v>
      </c>
      <c r="DP293" t="s">
        <v>169</v>
      </c>
      <c r="DQ293" t="s">
        <v>198</v>
      </c>
      <c r="EB293">
        <v>5</v>
      </c>
      <c r="EC293">
        <v>5</v>
      </c>
      <c r="EE293" t="s">
        <v>959</v>
      </c>
      <c r="EF293">
        <v>6</v>
      </c>
      <c r="EV293">
        <v>2000</v>
      </c>
      <c r="EW293">
        <v>424</v>
      </c>
      <c r="EX293">
        <v>330</v>
      </c>
      <c r="EY293">
        <v>387</v>
      </c>
    </row>
    <row r="294" spans="1:155" x14ac:dyDescent="0.35">
      <c r="A294">
        <v>2025</v>
      </c>
      <c r="B294" t="s">
        <v>439</v>
      </c>
      <c r="C294" t="s">
        <v>440</v>
      </c>
      <c r="D294" t="s">
        <v>441</v>
      </c>
      <c r="E294" t="s">
        <v>442</v>
      </c>
      <c r="F294">
        <v>81</v>
      </c>
      <c r="G294">
        <v>5</v>
      </c>
      <c r="H294">
        <v>8</v>
      </c>
      <c r="I294" t="s">
        <v>331</v>
      </c>
      <c r="J294">
        <v>16</v>
      </c>
      <c r="K294">
        <v>24</v>
      </c>
      <c r="L294">
        <v>19</v>
      </c>
      <c r="M294">
        <v>19.747499999999999</v>
      </c>
      <c r="N294">
        <v>35.977499999999999</v>
      </c>
      <c r="O294">
        <v>24.7773</v>
      </c>
      <c r="P294">
        <v>15.914</v>
      </c>
      <c r="Q294">
        <v>24</v>
      </c>
      <c r="R294">
        <v>19.1615</v>
      </c>
      <c r="U294" t="s">
        <v>224</v>
      </c>
      <c r="V294" t="s">
        <v>193</v>
      </c>
      <c r="W294" t="s">
        <v>194</v>
      </c>
      <c r="Y294">
        <v>10</v>
      </c>
      <c r="Z294" t="s">
        <v>169</v>
      </c>
      <c r="AA294" t="s">
        <v>170</v>
      </c>
      <c r="AB294" t="s">
        <v>171</v>
      </c>
      <c r="AC294" t="s">
        <v>172</v>
      </c>
      <c r="AD294">
        <v>85</v>
      </c>
      <c r="AG294" t="s">
        <v>210</v>
      </c>
      <c r="AH294" t="s">
        <v>444</v>
      </c>
      <c r="AI294" t="s">
        <v>175</v>
      </c>
      <c r="AJ294" t="s">
        <v>176</v>
      </c>
      <c r="AK294" t="s">
        <v>170</v>
      </c>
      <c r="AL294" t="s">
        <v>177</v>
      </c>
      <c r="AM294">
        <v>81</v>
      </c>
      <c r="AN294">
        <v>12</v>
      </c>
      <c r="AS294">
        <v>2750</v>
      </c>
      <c r="AT294">
        <v>2750</v>
      </c>
      <c r="BO294">
        <v>2</v>
      </c>
      <c r="BP294">
        <v>2</v>
      </c>
      <c r="BQ294">
        <v>3</v>
      </c>
      <c r="BR294" t="s">
        <v>387</v>
      </c>
      <c r="BS294" t="s">
        <v>180</v>
      </c>
      <c r="BT294" t="s">
        <v>181</v>
      </c>
      <c r="BU294" s="1">
        <v>45603</v>
      </c>
      <c r="BV294">
        <v>35725</v>
      </c>
      <c r="BX294" t="s">
        <v>170</v>
      </c>
      <c r="BY294" t="s">
        <v>170</v>
      </c>
      <c r="CB294" t="s">
        <v>170</v>
      </c>
      <c r="CC294" t="s">
        <v>170</v>
      </c>
      <c r="CD294" t="s">
        <v>447</v>
      </c>
      <c r="CE294" t="s">
        <v>170</v>
      </c>
      <c r="CG294" t="s">
        <v>169</v>
      </c>
      <c r="CH294" t="s">
        <v>448</v>
      </c>
      <c r="CI294" t="s">
        <v>170</v>
      </c>
      <c r="DJ294" t="s">
        <v>449</v>
      </c>
      <c r="DK294" t="s">
        <v>450</v>
      </c>
      <c r="DN294" t="s">
        <v>170</v>
      </c>
      <c r="DO294" t="s">
        <v>445</v>
      </c>
      <c r="DP294" t="s">
        <v>169</v>
      </c>
      <c r="DQ294" t="s">
        <v>198</v>
      </c>
      <c r="DY294">
        <v>25</v>
      </c>
      <c r="EB294">
        <v>4</v>
      </c>
      <c r="EC294">
        <v>4</v>
      </c>
      <c r="EE294" t="s">
        <v>451</v>
      </c>
      <c r="EF294">
        <v>4</v>
      </c>
      <c r="EV294">
        <v>4250</v>
      </c>
      <c r="EW294">
        <v>557</v>
      </c>
      <c r="EX294">
        <v>371</v>
      </c>
      <c r="EY294">
        <v>467</v>
      </c>
    </row>
    <row r="295" spans="1:155" x14ac:dyDescent="0.35">
      <c r="A295">
        <v>2025</v>
      </c>
      <c r="B295" t="s">
        <v>439</v>
      </c>
      <c r="C295" t="s">
        <v>440</v>
      </c>
      <c r="D295" t="s">
        <v>441</v>
      </c>
      <c r="E295" t="s">
        <v>442</v>
      </c>
      <c r="F295">
        <v>82</v>
      </c>
      <c r="G295">
        <v>2.2999999999999998</v>
      </c>
      <c r="H295">
        <v>4</v>
      </c>
      <c r="I295" t="s">
        <v>443</v>
      </c>
      <c r="J295">
        <v>22</v>
      </c>
      <c r="K295">
        <v>33</v>
      </c>
      <c r="L295">
        <v>26</v>
      </c>
      <c r="M295">
        <v>27.9008</v>
      </c>
      <c r="N295">
        <v>47.751600000000003</v>
      </c>
      <c r="O295">
        <v>34.321300000000001</v>
      </c>
      <c r="P295">
        <v>21.896000000000001</v>
      </c>
      <c r="Q295">
        <v>33.003300000000003</v>
      </c>
      <c r="R295">
        <v>25.803899999999999</v>
      </c>
      <c r="T295" t="s">
        <v>165</v>
      </c>
      <c r="U295" t="s">
        <v>166</v>
      </c>
      <c r="V295" t="s">
        <v>167</v>
      </c>
      <c r="W295" t="s">
        <v>168</v>
      </c>
      <c r="Y295">
        <v>10</v>
      </c>
      <c r="Z295" t="s">
        <v>169</v>
      </c>
      <c r="AA295" t="s">
        <v>170</v>
      </c>
      <c r="AB295" t="s">
        <v>171</v>
      </c>
      <c r="AC295" t="s">
        <v>172</v>
      </c>
      <c r="AD295">
        <v>85</v>
      </c>
      <c r="AG295" t="s">
        <v>210</v>
      </c>
      <c r="AH295" t="s">
        <v>444</v>
      </c>
      <c r="AI295" t="s">
        <v>175</v>
      </c>
      <c r="AJ295" t="s">
        <v>176</v>
      </c>
      <c r="AK295" t="s">
        <v>170</v>
      </c>
      <c r="AL295" t="s">
        <v>177</v>
      </c>
      <c r="AM295">
        <v>81</v>
      </c>
      <c r="AN295">
        <v>12</v>
      </c>
      <c r="AS295">
        <v>2000</v>
      </c>
      <c r="AT295">
        <v>2000</v>
      </c>
      <c r="BN295" t="s">
        <v>265</v>
      </c>
      <c r="BO295">
        <v>2</v>
      </c>
      <c r="BP295">
        <v>2</v>
      </c>
      <c r="BQ295">
        <v>3</v>
      </c>
      <c r="BR295" t="s">
        <v>387</v>
      </c>
      <c r="BS295" t="s">
        <v>180</v>
      </c>
      <c r="BT295" t="s">
        <v>181</v>
      </c>
      <c r="BU295" s="1">
        <v>45603</v>
      </c>
      <c r="BV295">
        <v>35726</v>
      </c>
      <c r="BX295" t="s">
        <v>170</v>
      </c>
      <c r="BY295" t="s">
        <v>170</v>
      </c>
      <c r="CB295" t="s">
        <v>170</v>
      </c>
      <c r="CC295" t="s">
        <v>170</v>
      </c>
      <c r="CE295" t="s">
        <v>170</v>
      </c>
      <c r="CG295" t="s">
        <v>170</v>
      </c>
      <c r="CI295" t="s">
        <v>170</v>
      </c>
      <c r="DJ295" t="s">
        <v>267</v>
      </c>
      <c r="DK295" t="s">
        <v>268</v>
      </c>
      <c r="DN295" t="s">
        <v>170</v>
      </c>
      <c r="DO295" t="s">
        <v>445</v>
      </c>
      <c r="DP295" t="s">
        <v>169</v>
      </c>
      <c r="DQ295" t="s">
        <v>198</v>
      </c>
      <c r="DY295">
        <v>34.6</v>
      </c>
      <c r="EB295">
        <v>5</v>
      </c>
      <c r="EC295">
        <v>5</v>
      </c>
      <c r="EE295" t="s">
        <v>446</v>
      </c>
      <c r="EF295">
        <v>6</v>
      </c>
      <c r="EV295">
        <v>500</v>
      </c>
      <c r="EW295">
        <v>404</v>
      </c>
      <c r="EX295">
        <v>268</v>
      </c>
      <c r="EY295">
        <v>342</v>
      </c>
    </row>
    <row r="296" spans="1:155" x14ac:dyDescent="0.35">
      <c r="A296">
        <v>2025</v>
      </c>
      <c r="B296" t="s">
        <v>439</v>
      </c>
      <c r="C296" t="s">
        <v>440</v>
      </c>
      <c r="D296" t="s">
        <v>441</v>
      </c>
      <c r="E296" t="s">
        <v>442</v>
      </c>
      <c r="F296">
        <v>83</v>
      </c>
      <c r="G296">
        <v>5</v>
      </c>
      <c r="H296">
        <v>8</v>
      </c>
      <c r="I296" t="s">
        <v>200</v>
      </c>
      <c r="J296">
        <v>15</v>
      </c>
      <c r="K296">
        <v>23</v>
      </c>
      <c r="L296">
        <v>18</v>
      </c>
      <c r="M296">
        <v>18.832699999999999</v>
      </c>
      <c r="N296">
        <v>33.064500000000002</v>
      </c>
      <c r="O296">
        <v>23.3567</v>
      </c>
      <c r="P296">
        <v>15.2227</v>
      </c>
      <c r="Q296">
        <v>23</v>
      </c>
      <c r="R296">
        <v>18.121200000000002</v>
      </c>
      <c r="U296" t="s">
        <v>224</v>
      </c>
      <c r="V296" t="s">
        <v>201</v>
      </c>
      <c r="W296" t="s">
        <v>202</v>
      </c>
      <c r="Y296">
        <v>6</v>
      </c>
      <c r="Z296" t="s">
        <v>170</v>
      </c>
      <c r="AA296" t="s">
        <v>170</v>
      </c>
      <c r="AB296" t="s">
        <v>171</v>
      </c>
      <c r="AC296" t="s">
        <v>172</v>
      </c>
      <c r="AD296">
        <v>85</v>
      </c>
      <c r="AG296" t="s">
        <v>210</v>
      </c>
      <c r="AH296" t="s">
        <v>444</v>
      </c>
      <c r="AI296" t="s">
        <v>175</v>
      </c>
      <c r="AJ296" t="s">
        <v>176</v>
      </c>
      <c r="AK296" t="s">
        <v>170</v>
      </c>
      <c r="AL296" t="s">
        <v>177</v>
      </c>
      <c r="AM296">
        <v>81</v>
      </c>
      <c r="AN296">
        <v>12</v>
      </c>
      <c r="AS296">
        <v>2900</v>
      </c>
      <c r="AT296">
        <v>2900</v>
      </c>
      <c r="BO296">
        <v>2</v>
      </c>
      <c r="BP296">
        <v>2</v>
      </c>
      <c r="BQ296">
        <v>3</v>
      </c>
      <c r="BR296" t="s">
        <v>387</v>
      </c>
      <c r="BS296" t="s">
        <v>180</v>
      </c>
      <c r="BT296" t="s">
        <v>181</v>
      </c>
      <c r="BU296" s="1">
        <v>45603</v>
      </c>
      <c r="BV296">
        <v>35724</v>
      </c>
      <c r="BX296" t="s">
        <v>170</v>
      </c>
      <c r="BY296" t="s">
        <v>170</v>
      </c>
      <c r="CB296" t="s">
        <v>170</v>
      </c>
      <c r="CC296" t="s">
        <v>170</v>
      </c>
      <c r="CD296" t="s">
        <v>447</v>
      </c>
      <c r="CE296" t="s">
        <v>170</v>
      </c>
      <c r="CG296" t="s">
        <v>169</v>
      </c>
      <c r="CH296" t="s">
        <v>448</v>
      </c>
      <c r="CI296" t="s">
        <v>170</v>
      </c>
      <c r="DJ296" t="s">
        <v>449</v>
      </c>
      <c r="DK296" t="s">
        <v>450</v>
      </c>
      <c r="DN296" t="s">
        <v>170</v>
      </c>
      <c r="DO296" t="s">
        <v>445</v>
      </c>
      <c r="DP296" t="s">
        <v>169</v>
      </c>
      <c r="DQ296" t="s">
        <v>198</v>
      </c>
      <c r="DY296">
        <v>23.5</v>
      </c>
      <c r="EB296">
        <v>4</v>
      </c>
      <c r="EC296">
        <v>4</v>
      </c>
      <c r="EE296" t="s">
        <v>451</v>
      </c>
      <c r="EF296">
        <v>4</v>
      </c>
      <c r="EV296">
        <v>5000</v>
      </c>
      <c r="EW296">
        <v>585</v>
      </c>
      <c r="EX296">
        <v>385</v>
      </c>
      <c r="EY296">
        <v>494</v>
      </c>
    </row>
    <row r="297" spans="1:155" x14ac:dyDescent="0.35">
      <c r="A297">
        <v>2025</v>
      </c>
      <c r="B297" t="s">
        <v>439</v>
      </c>
      <c r="C297" t="s">
        <v>440</v>
      </c>
      <c r="D297" t="s">
        <v>452</v>
      </c>
      <c r="E297" t="s">
        <v>442</v>
      </c>
      <c r="F297">
        <v>78</v>
      </c>
      <c r="G297">
        <v>5</v>
      </c>
      <c r="H297">
        <v>8</v>
      </c>
      <c r="I297" t="s">
        <v>331</v>
      </c>
      <c r="J297">
        <v>14</v>
      </c>
      <c r="K297">
        <v>22</v>
      </c>
      <c r="L297">
        <v>17</v>
      </c>
      <c r="M297">
        <v>17.600000000000001</v>
      </c>
      <c r="N297">
        <v>30.234300000000001</v>
      </c>
      <c r="O297">
        <v>21.676100000000002</v>
      </c>
      <c r="P297">
        <v>14.2845</v>
      </c>
      <c r="Q297">
        <v>21.736000000000001</v>
      </c>
      <c r="R297">
        <v>16.8901</v>
      </c>
      <c r="S297" t="s">
        <v>210</v>
      </c>
      <c r="U297" t="s">
        <v>224</v>
      </c>
      <c r="V297" t="s">
        <v>193</v>
      </c>
      <c r="W297" t="s">
        <v>194</v>
      </c>
      <c r="Y297">
        <v>10</v>
      </c>
      <c r="Z297" t="s">
        <v>169</v>
      </c>
      <c r="AA297" t="s">
        <v>170</v>
      </c>
      <c r="AB297" t="s">
        <v>171</v>
      </c>
      <c r="AC297" t="s">
        <v>172</v>
      </c>
      <c r="AD297">
        <v>85</v>
      </c>
      <c r="AG297" t="s">
        <v>210</v>
      </c>
      <c r="AH297" t="s">
        <v>444</v>
      </c>
      <c r="AI297" t="s">
        <v>175</v>
      </c>
      <c r="AJ297" t="s">
        <v>176</v>
      </c>
      <c r="AK297" t="s">
        <v>170</v>
      </c>
      <c r="AL297" t="s">
        <v>177</v>
      </c>
      <c r="AM297">
        <v>81</v>
      </c>
      <c r="AN297">
        <v>12</v>
      </c>
      <c r="AS297">
        <v>3100</v>
      </c>
      <c r="AT297">
        <v>3100</v>
      </c>
      <c r="BO297">
        <v>2</v>
      </c>
      <c r="BP297">
        <v>2</v>
      </c>
      <c r="BQ297">
        <v>3</v>
      </c>
      <c r="BR297" t="s">
        <v>387</v>
      </c>
      <c r="BS297" t="s">
        <v>180</v>
      </c>
      <c r="BT297" t="s">
        <v>181</v>
      </c>
      <c r="BU297" s="1">
        <v>45583</v>
      </c>
      <c r="BV297">
        <v>35723</v>
      </c>
      <c r="BX297" t="s">
        <v>170</v>
      </c>
      <c r="BY297" t="s">
        <v>170</v>
      </c>
      <c r="CB297" t="s">
        <v>170</v>
      </c>
      <c r="CC297" t="s">
        <v>170</v>
      </c>
      <c r="CD297" t="s">
        <v>453</v>
      </c>
      <c r="CE297" t="s">
        <v>170</v>
      </c>
      <c r="CG297" t="s">
        <v>169</v>
      </c>
      <c r="CH297" t="s">
        <v>448</v>
      </c>
      <c r="CI297" t="s">
        <v>170</v>
      </c>
      <c r="DJ297" t="s">
        <v>449</v>
      </c>
      <c r="DK297" t="s">
        <v>450</v>
      </c>
      <c r="DN297" t="s">
        <v>170</v>
      </c>
      <c r="DO297" t="s">
        <v>445</v>
      </c>
      <c r="DP297" t="s">
        <v>170</v>
      </c>
      <c r="DQ297" t="s">
        <v>187</v>
      </c>
      <c r="DY297">
        <v>21.8</v>
      </c>
      <c r="EB297">
        <v>3</v>
      </c>
      <c r="EC297">
        <v>3</v>
      </c>
      <c r="EE297" t="s">
        <v>451</v>
      </c>
      <c r="EF297">
        <v>4</v>
      </c>
      <c r="EV297">
        <v>6000</v>
      </c>
      <c r="EW297">
        <v>619</v>
      </c>
      <c r="EX297">
        <v>407</v>
      </c>
      <c r="EY297">
        <v>524</v>
      </c>
    </row>
    <row r="298" spans="1:155" x14ac:dyDescent="0.35">
      <c r="A298">
        <v>2025</v>
      </c>
      <c r="B298" t="s">
        <v>439</v>
      </c>
      <c r="C298" t="s">
        <v>440</v>
      </c>
      <c r="D298" t="s">
        <v>452</v>
      </c>
      <c r="E298" t="s">
        <v>442</v>
      </c>
      <c r="F298">
        <v>79</v>
      </c>
      <c r="G298">
        <v>5</v>
      </c>
      <c r="H298">
        <v>8</v>
      </c>
      <c r="I298" t="s">
        <v>200</v>
      </c>
      <c r="J298">
        <v>14</v>
      </c>
      <c r="K298">
        <v>22</v>
      </c>
      <c r="L298">
        <v>17</v>
      </c>
      <c r="M298">
        <v>17</v>
      </c>
      <c r="N298">
        <v>30.4</v>
      </c>
      <c r="O298">
        <v>21.206399999999999</v>
      </c>
      <c r="P298">
        <v>13.825100000000001</v>
      </c>
      <c r="Q298">
        <v>21.846800000000002</v>
      </c>
      <c r="R298">
        <v>16.561599999999999</v>
      </c>
      <c r="S298" t="s">
        <v>210</v>
      </c>
      <c r="U298" t="s">
        <v>224</v>
      </c>
      <c r="V298" t="s">
        <v>201</v>
      </c>
      <c r="W298" t="s">
        <v>202</v>
      </c>
      <c r="Y298">
        <v>6</v>
      </c>
      <c r="Z298" t="s">
        <v>170</v>
      </c>
      <c r="AA298" t="s">
        <v>170</v>
      </c>
      <c r="AB298" t="s">
        <v>171</v>
      </c>
      <c r="AC298" t="s">
        <v>172</v>
      </c>
      <c r="AD298">
        <v>85</v>
      </c>
      <c r="AG298" t="s">
        <v>210</v>
      </c>
      <c r="AH298" t="s">
        <v>444</v>
      </c>
      <c r="AI298" t="s">
        <v>175</v>
      </c>
      <c r="AJ298" t="s">
        <v>176</v>
      </c>
      <c r="AK298" t="s">
        <v>170</v>
      </c>
      <c r="AL298" t="s">
        <v>177</v>
      </c>
      <c r="AM298">
        <v>81</v>
      </c>
      <c r="AN298">
        <v>12</v>
      </c>
      <c r="AS298">
        <v>3100</v>
      </c>
      <c r="AT298">
        <v>3100</v>
      </c>
      <c r="BO298">
        <v>2</v>
      </c>
      <c r="BP298">
        <v>2</v>
      </c>
      <c r="BQ298">
        <v>3</v>
      </c>
      <c r="BR298" t="s">
        <v>387</v>
      </c>
      <c r="BS298" t="s">
        <v>180</v>
      </c>
      <c r="BT298" t="s">
        <v>181</v>
      </c>
      <c r="BU298" s="1">
        <v>45583</v>
      </c>
      <c r="BV298">
        <v>35722</v>
      </c>
      <c r="BX298" t="s">
        <v>170</v>
      </c>
      <c r="BY298" t="s">
        <v>170</v>
      </c>
      <c r="CB298" t="s">
        <v>170</v>
      </c>
      <c r="CC298" t="s">
        <v>170</v>
      </c>
      <c r="CD298" t="s">
        <v>453</v>
      </c>
      <c r="CE298" t="s">
        <v>170</v>
      </c>
      <c r="CG298" t="s">
        <v>169</v>
      </c>
      <c r="CH298" t="s">
        <v>448</v>
      </c>
      <c r="CI298" t="s">
        <v>170</v>
      </c>
      <c r="DJ298" t="s">
        <v>449</v>
      </c>
      <c r="DK298" t="s">
        <v>450</v>
      </c>
      <c r="DN298" t="s">
        <v>170</v>
      </c>
      <c r="DO298" t="s">
        <v>445</v>
      </c>
      <c r="DP298" t="s">
        <v>170</v>
      </c>
      <c r="DQ298" t="s">
        <v>187</v>
      </c>
      <c r="DY298">
        <v>21.4</v>
      </c>
      <c r="EB298">
        <v>3</v>
      </c>
      <c r="EC298">
        <v>3</v>
      </c>
      <c r="EE298" t="s">
        <v>451</v>
      </c>
      <c r="EF298">
        <v>4</v>
      </c>
      <c r="EV298">
        <v>6000</v>
      </c>
      <c r="EW298">
        <v>638</v>
      </c>
      <c r="EX298">
        <v>405</v>
      </c>
      <c r="EY298">
        <v>533</v>
      </c>
    </row>
    <row r="299" spans="1:155" x14ac:dyDescent="0.35">
      <c r="A299">
        <v>2025</v>
      </c>
      <c r="B299" t="s">
        <v>439</v>
      </c>
      <c r="C299" t="s">
        <v>440</v>
      </c>
      <c r="D299" t="s">
        <v>454</v>
      </c>
      <c r="E299" t="s">
        <v>442</v>
      </c>
      <c r="F299">
        <v>92</v>
      </c>
      <c r="G299">
        <v>5.2</v>
      </c>
      <c r="H299">
        <v>8</v>
      </c>
      <c r="I299" t="s">
        <v>361</v>
      </c>
      <c r="J299">
        <v>10</v>
      </c>
      <c r="K299">
        <v>17</v>
      </c>
      <c r="L299">
        <v>12</v>
      </c>
      <c r="M299">
        <v>12.75</v>
      </c>
      <c r="N299">
        <v>21.6221</v>
      </c>
      <c r="O299">
        <v>15.6374</v>
      </c>
      <c r="P299">
        <v>10</v>
      </c>
      <c r="Q299">
        <v>16.901199999999999</v>
      </c>
      <c r="R299">
        <v>12</v>
      </c>
      <c r="S299" t="s">
        <v>210</v>
      </c>
      <c r="T299" t="s">
        <v>455</v>
      </c>
      <c r="U299" t="s">
        <v>456</v>
      </c>
      <c r="V299" t="s">
        <v>211</v>
      </c>
      <c r="W299" t="s">
        <v>212</v>
      </c>
      <c r="Y299">
        <v>8</v>
      </c>
      <c r="Z299" t="s">
        <v>169</v>
      </c>
      <c r="AA299" t="s">
        <v>170</v>
      </c>
      <c r="AB299" t="s">
        <v>171</v>
      </c>
      <c r="AC299" t="s">
        <v>172</v>
      </c>
      <c r="AD299">
        <v>85</v>
      </c>
      <c r="AG299" t="s">
        <v>210</v>
      </c>
      <c r="AH299" t="s">
        <v>444</v>
      </c>
      <c r="AI299" t="s">
        <v>175</v>
      </c>
      <c r="AJ299" t="s">
        <v>176</v>
      </c>
      <c r="AK299" t="s">
        <v>170</v>
      </c>
      <c r="AL299" t="s">
        <v>177</v>
      </c>
      <c r="AM299">
        <v>81</v>
      </c>
      <c r="AN299">
        <v>12</v>
      </c>
      <c r="AS299">
        <v>4400</v>
      </c>
      <c r="AT299">
        <v>4400</v>
      </c>
      <c r="BO299">
        <v>2</v>
      </c>
      <c r="BP299">
        <v>2</v>
      </c>
      <c r="BQ299">
        <v>3</v>
      </c>
      <c r="BR299" t="s">
        <v>387</v>
      </c>
      <c r="BS299" t="s">
        <v>180</v>
      </c>
      <c r="BT299" t="s">
        <v>457</v>
      </c>
      <c r="BU299" s="1">
        <v>45667</v>
      </c>
      <c r="BV299">
        <v>36038</v>
      </c>
      <c r="BX299" t="s">
        <v>170</v>
      </c>
      <c r="BY299" t="s">
        <v>170</v>
      </c>
      <c r="CB299" t="s">
        <v>170</v>
      </c>
      <c r="CC299" t="s">
        <v>170</v>
      </c>
      <c r="CE299" t="s">
        <v>170</v>
      </c>
      <c r="CG299" t="s">
        <v>169</v>
      </c>
      <c r="CH299" t="s">
        <v>448</v>
      </c>
      <c r="CI299" t="s">
        <v>170</v>
      </c>
      <c r="DJ299" t="s">
        <v>449</v>
      </c>
      <c r="DK299" t="s">
        <v>450</v>
      </c>
      <c r="DN299" t="s">
        <v>170</v>
      </c>
      <c r="DO299" t="s">
        <v>458</v>
      </c>
      <c r="DP299" t="s">
        <v>170</v>
      </c>
      <c r="DQ299" t="s">
        <v>187</v>
      </c>
      <c r="DY299">
        <v>15.8</v>
      </c>
      <c r="EB299">
        <v>1</v>
      </c>
      <c r="EC299">
        <v>1</v>
      </c>
      <c r="EE299" t="s">
        <v>459</v>
      </c>
      <c r="EF299">
        <v>4</v>
      </c>
      <c r="EV299">
        <v>12500</v>
      </c>
      <c r="EW299">
        <v>889</v>
      </c>
      <c r="EX299">
        <v>525</v>
      </c>
      <c r="EY299">
        <v>740</v>
      </c>
    </row>
    <row r="300" spans="1:155" x14ac:dyDescent="0.35">
      <c r="A300">
        <v>2025</v>
      </c>
      <c r="B300" t="s">
        <v>439</v>
      </c>
      <c r="C300" t="s">
        <v>440</v>
      </c>
      <c r="D300" t="s">
        <v>1687</v>
      </c>
      <c r="E300" t="s">
        <v>442</v>
      </c>
      <c r="F300">
        <v>44</v>
      </c>
      <c r="G300">
        <v>2.2999999999999998</v>
      </c>
      <c r="H300">
        <v>4</v>
      </c>
      <c r="I300" t="s">
        <v>331</v>
      </c>
      <c r="J300">
        <v>21</v>
      </c>
      <c r="K300">
        <v>26</v>
      </c>
      <c r="L300">
        <v>23</v>
      </c>
      <c r="M300">
        <v>26.2</v>
      </c>
      <c r="N300">
        <v>40</v>
      </c>
      <c r="O300">
        <v>31.0151</v>
      </c>
      <c r="P300">
        <v>20.674099999999999</v>
      </c>
      <c r="Q300">
        <v>28.1266</v>
      </c>
      <c r="R300">
        <v>23.472899999999999</v>
      </c>
      <c r="T300" t="s">
        <v>165</v>
      </c>
      <c r="U300" t="s">
        <v>166</v>
      </c>
      <c r="V300" t="s">
        <v>193</v>
      </c>
      <c r="W300" t="s">
        <v>194</v>
      </c>
      <c r="Y300">
        <v>10</v>
      </c>
      <c r="Z300" t="s">
        <v>169</v>
      </c>
      <c r="AA300" t="s">
        <v>170</v>
      </c>
      <c r="AB300" t="s">
        <v>171</v>
      </c>
      <c r="AC300" t="s">
        <v>172</v>
      </c>
      <c r="AD300">
        <v>85</v>
      </c>
      <c r="AG300" t="s">
        <v>210</v>
      </c>
      <c r="AH300" t="s">
        <v>444</v>
      </c>
      <c r="AI300" t="s">
        <v>175</v>
      </c>
      <c r="AJ300" t="s">
        <v>176</v>
      </c>
      <c r="AK300" t="s">
        <v>940</v>
      </c>
      <c r="AL300" t="s">
        <v>941</v>
      </c>
      <c r="AS300">
        <v>2300</v>
      </c>
      <c r="AT300">
        <v>2300</v>
      </c>
      <c r="BN300" t="s">
        <v>265</v>
      </c>
      <c r="BO300">
        <v>2</v>
      </c>
      <c r="BP300">
        <v>2</v>
      </c>
      <c r="BQ300">
        <v>12</v>
      </c>
      <c r="BR300" t="s">
        <v>971</v>
      </c>
      <c r="BT300" t="s">
        <v>181</v>
      </c>
      <c r="BV300">
        <v>36421</v>
      </c>
      <c r="BX300" t="s">
        <v>170</v>
      </c>
      <c r="BY300" t="s">
        <v>170</v>
      </c>
      <c r="CB300" t="s">
        <v>170</v>
      </c>
      <c r="CC300" t="s">
        <v>170</v>
      </c>
      <c r="CE300" t="s">
        <v>170</v>
      </c>
      <c r="CG300" t="s">
        <v>169</v>
      </c>
      <c r="CH300" t="s">
        <v>1036</v>
      </c>
      <c r="CI300" t="s">
        <v>170</v>
      </c>
      <c r="DJ300" t="s">
        <v>267</v>
      </c>
      <c r="DK300" t="s">
        <v>268</v>
      </c>
      <c r="DN300" t="s">
        <v>170</v>
      </c>
      <c r="DO300" t="s">
        <v>1037</v>
      </c>
      <c r="DP300" t="s">
        <v>169</v>
      </c>
      <c r="DQ300" t="s">
        <v>198</v>
      </c>
      <c r="EB300">
        <v>5</v>
      </c>
      <c r="EC300">
        <v>5</v>
      </c>
      <c r="EE300" t="s">
        <v>1038</v>
      </c>
      <c r="EF300">
        <v>6</v>
      </c>
      <c r="EV300">
        <v>2000</v>
      </c>
      <c r="EW300">
        <v>431</v>
      </c>
      <c r="EX300">
        <v>317</v>
      </c>
      <c r="EY300">
        <v>380</v>
      </c>
    </row>
    <row r="301" spans="1:155" x14ac:dyDescent="0.35">
      <c r="A301">
        <v>2025</v>
      </c>
      <c r="B301" t="s">
        <v>439</v>
      </c>
      <c r="C301" t="s">
        <v>440</v>
      </c>
      <c r="D301" t="s">
        <v>1035</v>
      </c>
      <c r="E301" t="s">
        <v>442</v>
      </c>
      <c r="F301">
        <v>45</v>
      </c>
      <c r="G301">
        <v>2.2999999999999998</v>
      </c>
      <c r="H301">
        <v>4</v>
      </c>
      <c r="I301" t="s">
        <v>331</v>
      </c>
      <c r="J301">
        <v>19</v>
      </c>
      <c r="K301">
        <v>26</v>
      </c>
      <c r="L301">
        <v>22</v>
      </c>
      <c r="M301">
        <v>24.403199999999998</v>
      </c>
      <c r="N301">
        <v>37.040100000000002</v>
      </c>
      <c r="O301">
        <v>28.8292</v>
      </c>
      <c r="P301">
        <v>19.368600000000001</v>
      </c>
      <c r="Q301">
        <v>26.2195</v>
      </c>
      <c r="R301">
        <v>21.949400000000001</v>
      </c>
      <c r="T301" t="s">
        <v>165</v>
      </c>
      <c r="U301" t="s">
        <v>166</v>
      </c>
      <c r="V301" t="s">
        <v>193</v>
      </c>
      <c r="W301" t="s">
        <v>194</v>
      </c>
      <c r="Y301">
        <v>10</v>
      </c>
      <c r="Z301" t="s">
        <v>169</v>
      </c>
      <c r="AA301" t="s">
        <v>170</v>
      </c>
      <c r="AB301" t="s">
        <v>809</v>
      </c>
      <c r="AC301" t="s">
        <v>810</v>
      </c>
      <c r="AD301">
        <v>85</v>
      </c>
      <c r="AG301" t="s">
        <v>210</v>
      </c>
      <c r="AH301" t="s">
        <v>444</v>
      </c>
      <c r="AI301" t="s">
        <v>175</v>
      </c>
      <c r="AJ301" t="s">
        <v>176</v>
      </c>
      <c r="AK301" t="s">
        <v>940</v>
      </c>
      <c r="AL301" t="s">
        <v>941</v>
      </c>
      <c r="AS301">
        <v>2400</v>
      </c>
      <c r="AT301">
        <v>2400</v>
      </c>
      <c r="BN301" t="s">
        <v>265</v>
      </c>
      <c r="BO301">
        <v>2</v>
      </c>
      <c r="BP301">
        <v>2</v>
      </c>
      <c r="BQ301">
        <v>13</v>
      </c>
      <c r="BR301" t="s">
        <v>1016</v>
      </c>
      <c r="BT301" t="s">
        <v>181</v>
      </c>
      <c r="BU301" s="1">
        <v>45720</v>
      </c>
      <c r="BV301">
        <v>36103</v>
      </c>
      <c r="BX301" t="s">
        <v>170</v>
      </c>
      <c r="BY301" t="s">
        <v>170</v>
      </c>
      <c r="CB301" t="s">
        <v>170</v>
      </c>
      <c r="CC301" t="s">
        <v>170</v>
      </c>
      <c r="CE301" t="s">
        <v>170</v>
      </c>
      <c r="CG301" t="s">
        <v>169</v>
      </c>
      <c r="CH301" t="s">
        <v>1036</v>
      </c>
      <c r="CI301" t="s">
        <v>170</v>
      </c>
      <c r="DJ301" t="s">
        <v>267</v>
      </c>
      <c r="DK301" t="s">
        <v>268</v>
      </c>
      <c r="DN301" t="s">
        <v>170</v>
      </c>
      <c r="DO301" t="s">
        <v>1037</v>
      </c>
      <c r="DP301" t="s">
        <v>169</v>
      </c>
      <c r="DQ301" t="s">
        <v>198</v>
      </c>
      <c r="EB301">
        <v>5</v>
      </c>
      <c r="EC301">
        <v>5</v>
      </c>
      <c r="EE301" t="s">
        <v>1038</v>
      </c>
      <c r="EF301">
        <v>6</v>
      </c>
      <c r="EV301">
        <v>2500</v>
      </c>
      <c r="EW301">
        <v>459</v>
      </c>
      <c r="EX301">
        <v>339</v>
      </c>
      <c r="EY301">
        <v>405</v>
      </c>
    </row>
    <row r="302" spans="1:155" x14ac:dyDescent="0.35">
      <c r="A302">
        <v>2025</v>
      </c>
      <c r="B302" t="s">
        <v>439</v>
      </c>
      <c r="C302" t="s">
        <v>440</v>
      </c>
      <c r="D302" t="s">
        <v>1035</v>
      </c>
      <c r="E302" t="s">
        <v>442</v>
      </c>
      <c r="F302">
        <v>46</v>
      </c>
      <c r="G302">
        <v>2.7</v>
      </c>
      <c r="H302">
        <v>6</v>
      </c>
      <c r="I302" t="s">
        <v>331</v>
      </c>
      <c r="J302">
        <v>19</v>
      </c>
      <c r="K302">
        <v>23</v>
      </c>
      <c r="L302">
        <v>20</v>
      </c>
      <c r="M302">
        <v>23.491499999999998</v>
      </c>
      <c r="N302">
        <v>32.878599999999999</v>
      </c>
      <c r="O302">
        <v>26.954599999999999</v>
      </c>
      <c r="P302">
        <v>18.700399999999998</v>
      </c>
      <c r="Q302">
        <v>23.494499999999999</v>
      </c>
      <c r="R302">
        <v>20.591200000000001</v>
      </c>
      <c r="T302" t="s">
        <v>165</v>
      </c>
      <c r="U302" t="s">
        <v>166</v>
      </c>
      <c r="V302" t="s">
        <v>193</v>
      </c>
      <c r="W302" t="s">
        <v>194</v>
      </c>
      <c r="Y302">
        <v>10</v>
      </c>
      <c r="Z302" t="s">
        <v>169</v>
      </c>
      <c r="AA302" t="s">
        <v>170</v>
      </c>
      <c r="AB302" t="s">
        <v>809</v>
      </c>
      <c r="AC302" t="s">
        <v>810</v>
      </c>
      <c r="AD302">
        <v>85</v>
      </c>
      <c r="AG302" t="s">
        <v>210</v>
      </c>
      <c r="AH302" t="s">
        <v>444</v>
      </c>
      <c r="AI302" t="s">
        <v>175</v>
      </c>
      <c r="AJ302" t="s">
        <v>176</v>
      </c>
      <c r="AK302" t="s">
        <v>940</v>
      </c>
      <c r="AL302" t="s">
        <v>941</v>
      </c>
      <c r="AS302">
        <v>2600</v>
      </c>
      <c r="AT302">
        <v>2600</v>
      </c>
      <c r="BN302" t="s">
        <v>265</v>
      </c>
      <c r="BO302">
        <v>2</v>
      </c>
      <c r="BP302">
        <v>2</v>
      </c>
      <c r="BQ302">
        <v>13</v>
      </c>
      <c r="BR302" t="s">
        <v>1016</v>
      </c>
      <c r="BT302" t="s">
        <v>181</v>
      </c>
      <c r="BV302">
        <v>36409</v>
      </c>
      <c r="BX302" t="s">
        <v>170</v>
      </c>
      <c r="BY302" t="s">
        <v>170</v>
      </c>
      <c r="CB302" t="s">
        <v>170</v>
      </c>
      <c r="CC302" t="s">
        <v>170</v>
      </c>
      <c r="CD302" t="s">
        <v>1278</v>
      </c>
      <c r="CE302" t="s">
        <v>170</v>
      </c>
      <c r="CG302" t="s">
        <v>169</v>
      </c>
      <c r="CH302" t="s">
        <v>985</v>
      </c>
      <c r="CI302" t="s">
        <v>170</v>
      </c>
      <c r="DJ302" t="s">
        <v>267</v>
      </c>
      <c r="DK302" t="s">
        <v>268</v>
      </c>
      <c r="DN302" t="s">
        <v>170</v>
      </c>
      <c r="DO302" t="s">
        <v>445</v>
      </c>
      <c r="DP302" t="s">
        <v>169</v>
      </c>
      <c r="DQ302" t="s">
        <v>198</v>
      </c>
      <c r="EB302">
        <v>4</v>
      </c>
      <c r="EC302">
        <v>4</v>
      </c>
      <c r="EE302" t="s">
        <v>1688</v>
      </c>
      <c r="EF302">
        <v>5</v>
      </c>
      <c r="EV302">
        <v>3500</v>
      </c>
      <c r="EW302">
        <v>475</v>
      </c>
      <c r="EX302">
        <v>378</v>
      </c>
      <c r="EY302">
        <v>431</v>
      </c>
    </row>
    <row r="303" spans="1:155" x14ac:dyDescent="0.35">
      <c r="A303">
        <v>2025</v>
      </c>
      <c r="B303" t="s">
        <v>439</v>
      </c>
      <c r="C303" t="s">
        <v>440</v>
      </c>
      <c r="D303" t="s">
        <v>1039</v>
      </c>
      <c r="E303" t="s">
        <v>442</v>
      </c>
      <c r="F303">
        <v>47</v>
      </c>
      <c r="G303">
        <v>3</v>
      </c>
      <c r="H303">
        <v>6</v>
      </c>
      <c r="I303" t="s">
        <v>331</v>
      </c>
      <c r="J303">
        <v>16</v>
      </c>
      <c r="K303">
        <v>18</v>
      </c>
      <c r="L303">
        <v>17</v>
      </c>
      <c r="M303">
        <v>19.600000000000001</v>
      </c>
      <c r="N303">
        <v>26.6</v>
      </c>
      <c r="O303">
        <v>22.232800000000001</v>
      </c>
      <c r="P303">
        <v>15.8028</v>
      </c>
      <c r="Q303">
        <v>18.3338</v>
      </c>
      <c r="R303">
        <v>16.849499999999999</v>
      </c>
      <c r="T303" t="s">
        <v>165</v>
      </c>
      <c r="U303" t="s">
        <v>166</v>
      </c>
      <c r="V303" t="s">
        <v>193</v>
      </c>
      <c r="W303" t="s">
        <v>194</v>
      </c>
      <c r="Y303">
        <v>10</v>
      </c>
      <c r="Z303" t="s">
        <v>169</v>
      </c>
      <c r="AA303" t="s">
        <v>170</v>
      </c>
      <c r="AB303" t="s">
        <v>809</v>
      </c>
      <c r="AC303" t="s">
        <v>810</v>
      </c>
      <c r="AD303">
        <v>85</v>
      </c>
      <c r="AG303" t="s">
        <v>210</v>
      </c>
      <c r="AH303" t="s">
        <v>444</v>
      </c>
      <c r="AI303" t="s">
        <v>175</v>
      </c>
      <c r="AJ303" t="s">
        <v>176</v>
      </c>
      <c r="AK303" t="s">
        <v>940</v>
      </c>
      <c r="AL303" t="s">
        <v>941</v>
      </c>
      <c r="AS303">
        <v>3100</v>
      </c>
      <c r="AT303">
        <v>3100</v>
      </c>
      <c r="BN303" t="s">
        <v>178</v>
      </c>
      <c r="BO303">
        <v>2</v>
      </c>
      <c r="BP303">
        <v>2</v>
      </c>
      <c r="BQ303">
        <v>13</v>
      </c>
      <c r="BR303" t="s">
        <v>1016</v>
      </c>
      <c r="BT303" t="s">
        <v>457</v>
      </c>
      <c r="BU303" s="1">
        <v>45691</v>
      </c>
      <c r="BV303">
        <v>36008</v>
      </c>
      <c r="BX303" t="s">
        <v>170</v>
      </c>
      <c r="BY303" t="s">
        <v>170</v>
      </c>
      <c r="CB303" t="s">
        <v>170</v>
      </c>
      <c r="CC303" t="s">
        <v>170</v>
      </c>
      <c r="CD303" t="s">
        <v>1040</v>
      </c>
      <c r="CE303" t="s">
        <v>170</v>
      </c>
      <c r="CG303" t="s">
        <v>169</v>
      </c>
      <c r="CH303" t="s">
        <v>1041</v>
      </c>
      <c r="CI303" t="s">
        <v>170</v>
      </c>
      <c r="DJ303" t="s">
        <v>184</v>
      </c>
      <c r="DK303" t="s">
        <v>185</v>
      </c>
      <c r="DN303" t="s">
        <v>170</v>
      </c>
      <c r="DO303" t="s">
        <v>445</v>
      </c>
      <c r="DP303" t="s">
        <v>169</v>
      </c>
      <c r="DQ303" t="s">
        <v>198</v>
      </c>
      <c r="EB303">
        <v>3</v>
      </c>
      <c r="EC303">
        <v>3</v>
      </c>
      <c r="EE303" t="s">
        <v>1042</v>
      </c>
      <c r="EF303">
        <v>5</v>
      </c>
      <c r="EV303">
        <v>6000</v>
      </c>
      <c r="EW303">
        <v>561</v>
      </c>
      <c r="EX303">
        <v>482</v>
      </c>
      <c r="EY303">
        <v>525</v>
      </c>
    </row>
    <row r="304" spans="1:155" x14ac:dyDescent="0.35">
      <c r="A304">
        <v>2025</v>
      </c>
      <c r="B304" t="s">
        <v>569</v>
      </c>
      <c r="C304" t="s">
        <v>570</v>
      </c>
      <c r="D304" t="s">
        <v>571</v>
      </c>
      <c r="E304" t="s">
        <v>572</v>
      </c>
      <c r="F304">
        <v>6</v>
      </c>
      <c r="G304">
        <v>3.3</v>
      </c>
      <c r="H304">
        <v>6</v>
      </c>
      <c r="I304" t="s">
        <v>192</v>
      </c>
      <c r="J304">
        <v>17</v>
      </c>
      <c r="K304">
        <v>23</v>
      </c>
      <c r="L304">
        <v>19</v>
      </c>
      <c r="M304">
        <v>19.774699999999999</v>
      </c>
      <c r="N304">
        <v>30.8904</v>
      </c>
      <c r="O304">
        <v>23.595500000000001</v>
      </c>
      <c r="P304">
        <v>16.756599999999999</v>
      </c>
      <c r="Q304">
        <v>22.891100000000002</v>
      </c>
      <c r="R304">
        <v>19.054400000000001</v>
      </c>
      <c r="T304" t="s">
        <v>165</v>
      </c>
      <c r="U304" t="s">
        <v>166</v>
      </c>
      <c r="V304" t="s">
        <v>193</v>
      </c>
      <c r="W304" t="s">
        <v>194</v>
      </c>
      <c r="Y304">
        <v>8</v>
      </c>
      <c r="Z304" t="s">
        <v>169</v>
      </c>
      <c r="AA304" t="s">
        <v>170</v>
      </c>
      <c r="AB304" t="s">
        <v>167</v>
      </c>
      <c r="AC304" t="s">
        <v>213</v>
      </c>
      <c r="AD304">
        <v>15</v>
      </c>
      <c r="AG304" t="s">
        <v>173</v>
      </c>
      <c r="AH304" t="s">
        <v>174</v>
      </c>
      <c r="AI304" t="s">
        <v>175</v>
      </c>
      <c r="AJ304" t="s">
        <v>176</v>
      </c>
      <c r="AK304" t="s">
        <v>170</v>
      </c>
      <c r="AL304" t="s">
        <v>177</v>
      </c>
      <c r="AO304">
        <v>94</v>
      </c>
      <c r="AP304">
        <v>10</v>
      </c>
      <c r="AS304">
        <v>3350</v>
      </c>
      <c r="AT304">
        <v>3350</v>
      </c>
      <c r="BN304" t="s">
        <v>178</v>
      </c>
      <c r="BO304">
        <v>2</v>
      </c>
      <c r="BP304">
        <v>2</v>
      </c>
      <c r="BQ304">
        <v>4</v>
      </c>
      <c r="BR304" t="s">
        <v>521</v>
      </c>
      <c r="BS304" t="s">
        <v>180</v>
      </c>
      <c r="BT304" t="s">
        <v>225</v>
      </c>
      <c r="BU304" s="1">
        <v>45338</v>
      </c>
      <c r="BV304">
        <v>34436</v>
      </c>
      <c r="BX304" t="s">
        <v>170</v>
      </c>
      <c r="BY304" t="s">
        <v>170</v>
      </c>
      <c r="CB304" t="s">
        <v>170</v>
      </c>
      <c r="CC304" t="s">
        <v>170</v>
      </c>
      <c r="CD304" t="s">
        <v>576</v>
      </c>
      <c r="CE304" t="s">
        <v>170</v>
      </c>
      <c r="CG304" t="s">
        <v>169</v>
      </c>
      <c r="CH304" t="s">
        <v>577</v>
      </c>
      <c r="CI304" t="s">
        <v>170</v>
      </c>
      <c r="DJ304" t="s">
        <v>184</v>
      </c>
      <c r="DK304" t="s">
        <v>185</v>
      </c>
      <c r="DN304" t="s">
        <v>170</v>
      </c>
      <c r="DO304" t="s">
        <v>578</v>
      </c>
      <c r="DP304" t="s">
        <v>170</v>
      </c>
      <c r="DQ304" t="s">
        <v>187</v>
      </c>
      <c r="DY304">
        <v>23.8</v>
      </c>
      <c r="EB304">
        <v>4</v>
      </c>
      <c r="EC304">
        <v>4</v>
      </c>
      <c r="EE304" t="s">
        <v>579</v>
      </c>
      <c r="EF304">
        <v>4</v>
      </c>
      <c r="EV304">
        <v>7250</v>
      </c>
      <c r="EW304">
        <v>528</v>
      </c>
      <c r="EX304">
        <v>389</v>
      </c>
      <c r="EY304">
        <v>466</v>
      </c>
    </row>
    <row r="305" spans="1:155" x14ac:dyDescent="0.35">
      <c r="A305">
        <v>2025</v>
      </c>
      <c r="B305" t="s">
        <v>569</v>
      </c>
      <c r="C305" t="s">
        <v>570</v>
      </c>
      <c r="D305" t="s">
        <v>571</v>
      </c>
      <c r="E305" t="s">
        <v>572</v>
      </c>
      <c r="F305">
        <v>8</v>
      </c>
      <c r="G305">
        <v>2.5</v>
      </c>
      <c r="H305">
        <v>4</v>
      </c>
      <c r="I305" t="s">
        <v>192</v>
      </c>
      <c r="J305">
        <v>20</v>
      </c>
      <c r="K305">
        <v>28</v>
      </c>
      <c r="L305">
        <v>23</v>
      </c>
      <c r="M305">
        <v>24.764700000000001</v>
      </c>
      <c r="N305">
        <v>37.594999999999999</v>
      </c>
      <c r="O305">
        <v>29.257999999999999</v>
      </c>
      <c r="P305">
        <v>20.156099999999999</v>
      </c>
      <c r="Q305">
        <v>27.866</v>
      </c>
      <c r="R305">
        <v>23.022500000000001</v>
      </c>
      <c r="T305" t="s">
        <v>165</v>
      </c>
      <c r="U305" t="s">
        <v>166</v>
      </c>
      <c r="V305" t="s">
        <v>193</v>
      </c>
      <c r="W305" t="s">
        <v>194</v>
      </c>
      <c r="Y305">
        <v>8</v>
      </c>
      <c r="Z305" t="s">
        <v>169</v>
      </c>
      <c r="AA305" t="s">
        <v>170</v>
      </c>
      <c r="AB305" t="s">
        <v>167</v>
      </c>
      <c r="AC305" t="s">
        <v>213</v>
      </c>
      <c r="AD305">
        <v>15</v>
      </c>
      <c r="AG305" t="s">
        <v>173</v>
      </c>
      <c r="AH305" t="s">
        <v>174</v>
      </c>
      <c r="AI305" t="s">
        <v>175</v>
      </c>
      <c r="AJ305" t="s">
        <v>176</v>
      </c>
      <c r="AK305" t="s">
        <v>170</v>
      </c>
      <c r="AL305" t="s">
        <v>177</v>
      </c>
      <c r="AO305">
        <v>94</v>
      </c>
      <c r="AP305">
        <v>10</v>
      </c>
      <c r="AS305">
        <v>2750</v>
      </c>
      <c r="AT305">
        <v>2750</v>
      </c>
      <c r="BN305" t="s">
        <v>265</v>
      </c>
      <c r="BO305">
        <v>2</v>
      </c>
      <c r="BP305">
        <v>2</v>
      </c>
      <c r="BQ305">
        <v>4</v>
      </c>
      <c r="BR305" t="s">
        <v>521</v>
      </c>
      <c r="BS305" t="s">
        <v>180</v>
      </c>
      <c r="BT305" t="s">
        <v>225</v>
      </c>
      <c r="BU305" s="1">
        <v>45330</v>
      </c>
      <c r="BV305">
        <v>34365</v>
      </c>
      <c r="BX305" t="s">
        <v>170</v>
      </c>
      <c r="BY305" t="s">
        <v>170</v>
      </c>
      <c r="CB305" t="s">
        <v>170</v>
      </c>
      <c r="CC305" t="s">
        <v>170</v>
      </c>
      <c r="CE305" t="s">
        <v>170</v>
      </c>
      <c r="CG305" t="s">
        <v>169</v>
      </c>
      <c r="CH305" t="s">
        <v>573</v>
      </c>
      <c r="CI305" t="s">
        <v>170</v>
      </c>
      <c r="DJ305" t="s">
        <v>267</v>
      </c>
      <c r="DK305" t="s">
        <v>268</v>
      </c>
      <c r="DN305" t="s">
        <v>170</v>
      </c>
      <c r="DO305" t="s">
        <v>574</v>
      </c>
      <c r="DP305" t="s">
        <v>170</v>
      </c>
      <c r="DQ305" t="s">
        <v>187</v>
      </c>
      <c r="DY305">
        <v>29.5</v>
      </c>
      <c r="EB305">
        <v>5</v>
      </c>
      <c r="EC305">
        <v>5</v>
      </c>
      <c r="EE305" t="s">
        <v>575</v>
      </c>
      <c r="EF305">
        <v>5</v>
      </c>
      <c r="EV305">
        <v>4250</v>
      </c>
      <c r="EW305">
        <v>440</v>
      </c>
      <c r="EX305">
        <v>319</v>
      </c>
      <c r="EY305">
        <v>385</v>
      </c>
    </row>
    <row r="306" spans="1:155" x14ac:dyDescent="0.35">
      <c r="A306">
        <v>2025</v>
      </c>
      <c r="B306" t="s">
        <v>569</v>
      </c>
      <c r="C306" t="s">
        <v>570</v>
      </c>
      <c r="D306" t="s">
        <v>580</v>
      </c>
      <c r="E306" t="s">
        <v>572</v>
      </c>
      <c r="F306">
        <v>7</v>
      </c>
      <c r="G306">
        <v>3.3</v>
      </c>
      <c r="H306">
        <v>6</v>
      </c>
      <c r="I306" t="s">
        <v>192</v>
      </c>
      <c r="J306">
        <v>17</v>
      </c>
      <c r="K306">
        <v>25</v>
      </c>
      <c r="L306">
        <v>20</v>
      </c>
      <c r="M306">
        <v>20.668399999999998</v>
      </c>
      <c r="N306">
        <v>32.686399999999999</v>
      </c>
      <c r="O306">
        <v>24.765999999999998</v>
      </c>
      <c r="P306">
        <v>16.840199999999999</v>
      </c>
      <c r="Q306">
        <v>25.056899999999999</v>
      </c>
      <c r="R306">
        <v>19.755400000000002</v>
      </c>
      <c r="T306" t="s">
        <v>165</v>
      </c>
      <c r="U306" t="s">
        <v>166</v>
      </c>
      <c r="V306" t="s">
        <v>193</v>
      </c>
      <c r="W306" t="s">
        <v>194</v>
      </c>
      <c r="Y306">
        <v>8</v>
      </c>
      <c r="Z306" t="s">
        <v>169</v>
      </c>
      <c r="AA306" t="s">
        <v>170</v>
      </c>
      <c r="AB306" t="s">
        <v>171</v>
      </c>
      <c r="AC306" t="s">
        <v>172</v>
      </c>
      <c r="AD306">
        <v>15</v>
      </c>
      <c r="AG306" t="s">
        <v>173</v>
      </c>
      <c r="AH306" t="s">
        <v>174</v>
      </c>
      <c r="AI306" t="s">
        <v>175</v>
      </c>
      <c r="AJ306" t="s">
        <v>176</v>
      </c>
      <c r="AK306" t="s">
        <v>170</v>
      </c>
      <c r="AL306" t="s">
        <v>177</v>
      </c>
      <c r="AO306">
        <v>94</v>
      </c>
      <c r="AP306">
        <v>10</v>
      </c>
      <c r="AS306">
        <v>3200</v>
      </c>
      <c r="AT306">
        <v>3200</v>
      </c>
      <c r="BN306" t="s">
        <v>178</v>
      </c>
      <c r="BO306">
        <v>2</v>
      </c>
      <c r="BP306">
        <v>2</v>
      </c>
      <c r="BQ306">
        <v>4</v>
      </c>
      <c r="BR306" t="s">
        <v>521</v>
      </c>
      <c r="BS306" t="s">
        <v>180</v>
      </c>
      <c r="BT306" t="s">
        <v>225</v>
      </c>
      <c r="BU306" s="1">
        <v>45338</v>
      </c>
      <c r="BV306">
        <v>34435</v>
      </c>
      <c r="BX306" t="s">
        <v>170</v>
      </c>
      <c r="BY306" t="s">
        <v>170</v>
      </c>
      <c r="CB306" t="s">
        <v>170</v>
      </c>
      <c r="CC306" t="s">
        <v>170</v>
      </c>
      <c r="CD306" t="s">
        <v>576</v>
      </c>
      <c r="CE306" t="s">
        <v>170</v>
      </c>
      <c r="CG306" t="s">
        <v>169</v>
      </c>
      <c r="CH306" t="s">
        <v>577</v>
      </c>
      <c r="CI306" t="s">
        <v>170</v>
      </c>
      <c r="DJ306" t="s">
        <v>184</v>
      </c>
      <c r="DK306" t="s">
        <v>185</v>
      </c>
      <c r="DN306" t="s">
        <v>170</v>
      </c>
      <c r="DO306" t="s">
        <v>578</v>
      </c>
      <c r="DP306" t="s">
        <v>170</v>
      </c>
      <c r="DQ306" t="s">
        <v>187</v>
      </c>
      <c r="DY306">
        <v>24.9</v>
      </c>
      <c r="EB306">
        <v>4</v>
      </c>
      <c r="EC306">
        <v>4</v>
      </c>
      <c r="EE306" t="s">
        <v>579</v>
      </c>
      <c r="EF306">
        <v>4</v>
      </c>
      <c r="EV306">
        <v>6500</v>
      </c>
      <c r="EW306">
        <v>526</v>
      </c>
      <c r="EX306">
        <v>355</v>
      </c>
      <c r="EY306">
        <v>449</v>
      </c>
    </row>
    <row r="307" spans="1:155" x14ac:dyDescent="0.35">
      <c r="A307">
        <v>2025</v>
      </c>
      <c r="B307" t="s">
        <v>569</v>
      </c>
      <c r="C307" t="s">
        <v>570</v>
      </c>
      <c r="D307" t="s">
        <v>580</v>
      </c>
      <c r="E307" t="s">
        <v>572</v>
      </c>
      <c r="F307">
        <v>9</v>
      </c>
      <c r="G307">
        <v>2.5</v>
      </c>
      <c r="H307">
        <v>4</v>
      </c>
      <c r="I307" t="s">
        <v>192</v>
      </c>
      <c r="J307">
        <v>21</v>
      </c>
      <c r="K307">
        <v>29</v>
      </c>
      <c r="L307">
        <v>24</v>
      </c>
      <c r="M307">
        <v>25.375</v>
      </c>
      <c r="N307">
        <v>40.446100000000001</v>
      </c>
      <c r="O307">
        <v>30.487100000000002</v>
      </c>
      <c r="P307">
        <v>20.669899999999998</v>
      </c>
      <c r="Q307">
        <v>29.3306</v>
      </c>
      <c r="R307">
        <v>23.837299999999999</v>
      </c>
      <c r="T307" t="s">
        <v>165</v>
      </c>
      <c r="U307" t="s">
        <v>166</v>
      </c>
      <c r="V307" t="s">
        <v>193</v>
      </c>
      <c r="W307" t="s">
        <v>194</v>
      </c>
      <c r="Y307">
        <v>8</v>
      </c>
      <c r="Z307" t="s">
        <v>169</v>
      </c>
      <c r="AA307" t="s">
        <v>170</v>
      </c>
      <c r="AB307" t="s">
        <v>171</v>
      </c>
      <c r="AC307" t="s">
        <v>172</v>
      </c>
      <c r="AD307">
        <v>15</v>
      </c>
      <c r="AG307" t="s">
        <v>173</v>
      </c>
      <c r="AH307" t="s">
        <v>174</v>
      </c>
      <c r="AI307" t="s">
        <v>175</v>
      </c>
      <c r="AJ307" t="s">
        <v>176</v>
      </c>
      <c r="AK307" t="s">
        <v>170</v>
      </c>
      <c r="AL307" t="s">
        <v>177</v>
      </c>
      <c r="AO307">
        <v>94</v>
      </c>
      <c r="AP307">
        <v>10</v>
      </c>
      <c r="AS307">
        <v>2650</v>
      </c>
      <c r="AT307">
        <v>2650</v>
      </c>
      <c r="BN307" t="s">
        <v>265</v>
      </c>
      <c r="BO307">
        <v>2</v>
      </c>
      <c r="BP307">
        <v>2</v>
      </c>
      <c r="BQ307">
        <v>4</v>
      </c>
      <c r="BR307" t="s">
        <v>521</v>
      </c>
      <c r="BS307" t="s">
        <v>180</v>
      </c>
      <c r="BT307" t="s">
        <v>225</v>
      </c>
      <c r="BU307" s="1">
        <v>45330</v>
      </c>
      <c r="BV307">
        <v>36123</v>
      </c>
      <c r="BX307" t="s">
        <v>170</v>
      </c>
      <c r="BY307" t="s">
        <v>170</v>
      </c>
      <c r="CB307" t="s">
        <v>170</v>
      </c>
      <c r="CC307" t="s">
        <v>170</v>
      </c>
      <c r="CE307" t="s">
        <v>170</v>
      </c>
      <c r="CG307" t="s">
        <v>169</v>
      </c>
      <c r="CH307" t="s">
        <v>573</v>
      </c>
      <c r="CI307" t="s">
        <v>170</v>
      </c>
      <c r="DJ307" t="s">
        <v>267</v>
      </c>
      <c r="DK307" t="s">
        <v>268</v>
      </c>
      <c r="DN307" t="s">
        <v>170</v>
      </c>
      <c r="DO307" t="s">
        <v>574</v>
      </c>
      <c r="DP307" t="s">
        <v>170</v>
      </c>
      <c r="DQ307" t="s">
        <v>187</v>
      </c>
      <c r="DY307">
        <v>30.7</v>
      </c>
      <c r="EB307">
        <v>5</v>
      </c>
      <c r="EC307">
        <v>5</v>
      </c>
      <c r="EE307" t="s">
        <v>575</v>
      </c>
      <c r="EF307">
        <v>5</v>
      </c>
      <c r="EV307">
        <v>3750</v>
      </c>
      <c r="EW307">
        <v>429</v>
      </c>
      <c r="EX307">
        <v>304</v>
      </c>
      <c r="EY307">
        <v>373</v>
      </c>
    </row>
    <row r="308" spans="1:155" x14ac:dyDescent="0.35">
      <c r="A308">
        <v>2025</v>
      </c>
      <c r="B308" t="s">
        <v>569</v>
      </c>
      <c r="C308" t="s">
        <v>570</v>
      </c>
      <c r="D308" t="s">
        <v>839</v>
      </c>
      <c r="E308" t="s">
        <v>572</v>
      </c>
      <c r="F308">
        <v>10</v>
      </c>
      <c r="G308">
        <v>2.5</v>
      </c>
      <c r="H308">
        <v>4</v>
      </c>
      <c r="I308" t="s">
        <v>192</v>
      </c>
      <c r="J308">
        <v>20</v>
      </c>
      <c r="K308">
        <v>29</v>
      </c>
      <c r="L308">
        <v>24</v>
      </c>
      <c r="M308">
        <v>25.696899999999999</v>
      </c>
      <c r="N308">
        <v>42.064900000000002</v>
      </c>
      <c r="O308">
        <v>31.151599999999998</v>
      </c>
      <c r="P308">
        <v>20.310099999999998</v>
      </c>
      <c r="Q308">
        <v>29.4422</v>
      </c>
      <c r="R308">
        <v>23.604800000000001</v>
      </c>
      <c r="T308" t="s">
        <v>165</v>
      </c>
      <c r="U308" t="s">
        <v>166</v>
      </c>
      <c r="V308" t="s">
        <v>193</v>
      </c>
      <c r="W308" t="s">
        <v>194</v>
      </c>
      <c r="Y308">
        <v>8</v>
      </c>
      <c r="Z308" t="s">
        <v>169</v>
      </c>
      <c r="AA308" t="s">
        <v>170</v>
      </c>
      <c r="AB308" t="s">
        <v>167</v>
      </c>
      <c r="AC308" t="s">
        <v>213</v>
      </c>
      <c r="AD308">
        <v>15</v>
      </c>
      <c r="AG308" t="s">
        <v>173</v>
      </c>
      <c r="AH308" t="s">
        <v>174</v>
      </c>
      <c r="AI308" t="s">
        <v>175</v>
      </c>
      <c r="AJ308" t="s">
        <v>176</v>
      </c>
      <c r="AK308" t="s">
        <v>170</v>
      </c>
      <c r="AL308" t="s">
        <v>177</v>
      </c>
      <c r="AO308">
        <v>107</v>
      </c>
      <c r="AP308">
        <v>15</v>
      </c>
      <c r="AS308">
        <v>2650</v>
      </c>
      <c r="AT308">
        <v>2650</v>
      </c>
      <c r="BN308" t="s">
        <v>265</v>
      </c>
      <c r="BO308">
        <v>2</v>
      </c>
      <c r="BP308">
        <v>2</v>
      </c>
      <c r="BQ308">
        <v>6</v>
      </c>
      <c r="BR308" t="s">
        <v>825</v>
      </c>
      <c r="BS308" t="s">
        <v>180</v>
      </c>
      <c r="BT308" t="s">
        <v>181</v>
      </c>
      <c r="BU308" s="1">
        <v>45471</v>
      </c>
      <c r="BV308">
        <v>34927</v>
      </c>
      <c r="BX308" t="s">
        <v>170</v>
      </c>
      <c r="BY308" t="s">
        <v>170</v>
      </c>
      <c r="CB308" t="s">
        <v>170</v>
      </c>
      <c r="CC308" t="s">
        <v>170</v>
      </c>
      <c r="CE308" t="s">
        <v>170</v>
      </c>
      <c r="CG308" t="s">
        <v>169</v>
      </c>
      <c r="CH308" t="s">
        <v>742</v>
      </c>
      <c r="CI308" t="s">
        <v>170</v>
      </c>
      <c r="DJ308" t="s">
        <v>267</v>
      </c>
      <c r="DK308" t="s">
        <v>268</v>
      </c>
      <c r="DN308" t="s">
        <v>170</v>
      </c>
      <c r="DO308" t="s">
        <v>754</v>
      </c>
      <c r="DP308" t="s">
        <v>169</v>
      </c>
      <c r="DQ308" t="s">
        <v>198</v>
      </c>
      <c r="DY308">
        <v>31.4</v>
      </c>
      <c r="EB308">
        <v>5</v>
      </c>
      <c r="EC308">
        <v>5</v>
      </c>
      <c r="EE308" t="s">
        <v>840</v>
      </c>
      <c r="EF308">
        <v>6</v>
      </c>
      <c r="EV308">
        <v>3750</v>
      </c>
      <c r="EW308">
        <v>438</v>
      </c>
      <c r="EX308">
        <v>303</v>
      </c>
      <c r="EY308">
        <v>377</v>
      </c>
    </row>
    <row r="309" spans="1:155" x14ac:dyDescent="0.35">
      <c r="A309">
        <v>2025</v>
      </c>
      <c r="B309" t="s">
        <v>569</v>
      </c>
      <c r="C309" t="s">
        <v>570</v>
      </c>
      <c r="D309" t="s">
        <v>839</v>
      </c>
      <c r="E309" t="s">
        <v>572</v>
      </c>
      <c r="F309">
        <v>12</v>
      </c>
      <c r="G309">
        <v>3.5</v>
      </c>
      <c r="H309">
        <v>6</v>
      </c>
      <c r="I309" t="s">
        <v>192</v>
      </c>
      <c r="J309">
        <v>16</v>
      </c>
      <c r="K309">
        <v>24</v>
      </c>
      <c r="L309">
        <v>19</v>
      </c>
      <c r="M309">
        <v>18.986699999999999</v>
      </c>
      <c r="N309">
        <v>31.28</v>
      </c>
      <c r="O309">
        <v>23.065999999999999</v>
      </c>
      <c r="P309">
        <v>15.793200000000001</v>
      </c>
      <c r="Q309">
        <v>24.282399999999999</v>
      </c>
      <c r="R309">
        <v>18.741700000000002</v>
      </c>
      <c r="T309" t="s">
        <v>165</v>
      </c>
      <c r="U309" t="s">
        <v>166</v>
      </c>
      <c r="V309" t="s">
        <v>193</v>
      </c>
      <c r="W309" t="s">
        <v>194</v>
      </c>
      <c r="Y309">
        <v>8</v>
      </c>
      <c r="Z309" t="s">
        <v>169</v>
      </c>
      <c r="AA309" t="s">
        <v>170</v>
      </c>
      <c r="AB309" t="s">
        <v>167</v>
      </c>
      <c r="AC309" t="s">
        <v>213</v>
      </c>
      <c r="AD309">
        <v>15</v>
      </c>
      <c r="AG309" t="s">
        <v>173</v>
      </c>
      <c r="AH309" t="s">
        <v>174</v>
      </c>
      <c r="AI309" t="s">
        <v>175</v>
      </c>
      <c r="AJ309" t="s">
        <v>176</v>
      </c>
      <c r="AK309" t="s">
        <v>170</v>
      </c>
      <c r="AL309" t="s">
        <v>177</v>
      </c>
      <c r="AO309">
        <v>107</v>
      </c>
      <c r="AP309">
        <v>15</v>
      </c>
      <c r="AS309">
        <v>3350</v>
      </c>
      <c r="AT309">
        <v>3350</v>
      </c>
      <c r="BN309" t="s">
        <v>265</v>
      </c>
      <c r="BO309">
        <v>2</v>
      </c>
      <c r="BP309">
        <v>2</v>
      </c>
      <c r="BQ309">
        <v>6</v>
      </c>
      <c r="BR309" t="s">
        <v>825</v>
      </c>
      <c r="BS309" t="s">
        <v>180</v>
      </c>
      <c r="BT309" t="s">
        <v>225</v>
      </c>
      <c r="BU309" s="1">
        <v>45471</v>
      </c>
      <c r="BV309">
        <v>34974</v>
      </c>
      <c r="BX309" t="s">
        <v>170</v>
      </c>
      <c r="BY309" t="s">
        <v>170</v>
      </c>
      <c r="CB309" t="s">
        <v>170</v>
      </c>
      <c r="CC309" t="s">
        <v>170</v>
      </c>
      <c r="CE309" t="s">
        <v>170</v>
      </c>
      <c r="CG309" t="s">
        <v>169</v>
      </c>
      <c r="CH309" t="s">
        <v>742</v>
      </c>
      <c r="CI309" t="s">
        <v>170</v>
      </c>
      <c r="DJ309" t="s">
        <v>267</v>
      </c>
      <c r="DK309" t="s">
        <v>268</v>
      </c>
      <c r="DN309" t="s">
        <v>170</v>
      </c>
      <c r="DO309" t="s">
        <v>754</v>
      </c>
      <c r="DP309" t="s">
        <v>169</v>
      </c>
      <c r="DQ309" t="s">
        <v>198</v>
      </c>
      <c r="DY309">
        <v>23.2</v>
      </c>
      <c r="EB309">
        <v>4</v>
      </c>
      <c r="EC309">
        <v>4</v>
      </c>
      <c r="EE309" t="s">
        <v>841</v>
      </c>
      <c r="EF309">
        <v>5</v>
      </c>
      <c r="EV309">
        <v>7250</v>
      </c>
      <c r="EW309">
        <v>562</v>
      </c>
      <c r="EX309">
        <v>366</v>
      </c>
      <c r="EY309">
        <v>474</v>
      </c>
    </row>
    <row r="310" spans="1:155" x14ac:dyDescent="0.35">
      <c r="A310">
        <v>2025</v>
      </c>
      <c r="B310" t="s">
        <v>569</v>
      </c>
      <c r="C310" t="s">
        <v>570</v>
      </c>
      <c r="D310" t="s">
        <v>842</v>
      </c>
      <c r="E310" t="s">
        <v>572</v>
      </c>
      <c r="F310">
        <v>18</v>
      </c>
      <c r="G310">
        <v>3.5</v>
      </c>
      <c r="H310">
        <v>6</v>
      </c>
      <c r="I310" t="s">
        <v>192</v>
      </c>
      <c r="J310">
        <v>18</v>
      </c>
      <c r="K310">
        <v>26</v>
      </c>
      <c r="L310">
        <v>21</v>
      </c>
      <c r="M310">
        <v>22.6</v>
      </c>
      <c r="N310">
        <v>36.1</v>
      </c>
      <c r="O310">
        <v>27.172699999999999</v>
      </c>
      <c r="P310">
        <v>18.043099999999999</v>
      </c>
      <c r="Q310">
        <v>25.6084</v>
      </c>
      <c r="R310">
        <v>20.8095</v>
      </c>
      <c r="T310" t="s">
        <v>165</v>
      </c>
      <c r="U310" t="s">
        <v>166</v>
      </c>
      <c r="V310" t="s">
        <v>193</v>
      </c>
      <c r="W310" t="s">
        <v>194</v>
      </c>
      <c r="Y310">
        <v>8</v>
      </c>
      <c r="Z310" t="s">
        <v>169</v>
      </c>
      <c r="AA310" t="s">
        <v>170</v>
      </c>
      <c r="AB310" t="s">
        <v>167</v>
      </c>
      <c r="AC310" t="s">
        <v>213</v>
      </c>
      <c r="AD310">
        <v>15</v>
      </c>
      <c r="AG310" t="s">
        <v>173</v>
      </c>
      <c r="AH310" t="s">
        <v>174</v>
      </c>
      <c r="AI310" t="s">
        <v>175</v>
      </c>
      <c r="AJ310" t="s">
        <v>176</v>
      </c>
      <c r="AK310" t="s">
        <v>170</v>
      </c>
      <c r="AL310" t="s">
        <v>177</v>
      </c>
      <c r="AO310">
        <v>109</v>
      </c>
      <c r="AP310">
        <v>11</v>
      </c>
      <c r="AS310">
        <v>3050</v>
      </c>
      <c r="AT310">
        <v>3050</v>
      </c>
      <c r="BN310" t="s">
        <v>265</v>
      </c>
      <c r="BO310">
        <v>2</v>
      </c>
      <c r="BP310">
        <v>2</v>
      </c>
      <c r="BQ310">
        <v>6</v>
      </c>
      <c r="BR310" t="s">
        <v>825</v>
      </c>
      <c r="BS310" t="s">
        <v>180</v>
      </c>
      <c r="BT310" t="s">
        <v>181</v>
      </c>
      <c r="BU310" s="1">
        <v>45444</v>
      </c>
      <c r="BV310">
        <v>34682</v>
      </c>
      <c r="BX310" t="s">
        <v>170</v>
      </c>
      <c r="BY310" t="s">
        <v>170</v>
      </c>
      <c r="CB310" t="s">
        <v>170</v>
      </c>
      <c r="CC310" t="s">
        <v>170</v>
      </c>
      <c r="CE310" t="s">
        <v>170</v>
      </c>
      <c r="CG310" t="s">
        <v>169</v>
      </c>
      <c r="CH310" t="s">
        <v>843</v>
      </c>
      <c r="CI310" t="s">
        <v>170</v>
      </c>
      <c r="DJ310" t="s">
        <v>267</v>
      </c>
      <c r="DK310" t="s">
        <v>268</v>
      </c>
      <c r="DN310" t="s">
        <v>170</v>
      </c>
      <c r="DO310" t="s">
        <v>345</v>
      </c>
      <c r="DP310" t="s">
        <v>169</v>
      </c>
      <c r="DQ310" t="s">
        <v>198</v>
      </c>
      <c r="DY310">
        <v>27.4</v>
      </c>
      <c r="EB310">
        <v>4</v>
      </c>
      <c r="EC310">
        <v>4</v>
      </c>
      <c r="EE310" t="s">
        <v>844</v>
      </c>
      <c r="EF310">
        <v>4</v>
      </c>
      <c r="EV310">
        <v>5750</v>
      </c>
      <c r="EW310">
        <v>491</v>
      </c>
      <c r="EX310">
        <v>347</v>
      </c>
      <c r="EY310">
        <v>426</v>
      </c>
    </row>
    <row r="311" spans="1:155" x14ac:dyDescent="0.35">
      <c r="A311">
        <v>2025</v>
      </c>
      <c r="B311" t="s">
        <v>569</v>
      </c>
      <c r="C311" t="s">
        <v>570</v>
      </c>
      <c r="D311" t="s">
        <v>845</v>
      </c>
      <c r="E311" t="s">
        <v>572</v>
      </c>
      <c r="F311">
        <v>23</v>
      </c>
      <c r="G311">
        <v>3.5</v>
      </c>
      <c r="H311">
        <v>6</v>
      </c>
      <c r="I311" t="s">
        <v>192</v>
      </c>
      <c r="J311">
        <v>17</v>
      </c>
      <c r="K311">
        <v>24</v>
      </c>
      <c r="L311">
        <v>20</v>
      </c>
      <c r="M311">
        <v>22.7</v>
      </c>
      <c r="N311">
        <v>35</v>
      </c>
      <c r="O311">
        <v>26.964200000000002</v>
      </c>
      <c r="P311">
        <v>17.2531</v>
      </c>
      <c r="Q311">
        <v>24.4848</v>
      </c>
      <c r="R311">
        <v>19.8977</v>
      </c>
      <c r="T311" t="s">
        <v>484</v>
      </c>
      <c r="U311" t="s">
        <v>485</v>
      </c>
      <c r="V311" t="s">
        <v>193</v>
      </c>
      <c r="W311" t="s">
        <v>194</v>
      </c>
      <c r="Y311">
        <v>8</v>
      </c>
      <c r="Z311" t="s">
        <v>169</v>
      </c>
      <c r="AA311" t="s">
        <v>170</v>
      </c>
      <c r="AB311" t="s">
        <v>167</v>
      </c>
      <c r="AC311" t="s">
        <v>213</v>
      </c>
      <c r="AD311">
        <v>15</v>
      </c>
      <c r="AG311" t="s">
        <v>173</v>
      </c>
      <c r="AH311" t="s">
        <v>174</v>
      </c>
      <c r="AI311" t="s">
        <v>175</v>
      </c>
      <c r="AJ311" t="s">
        <v>176</v>
      </c>
      <c r="AK311" t="s">
        <v>170</v>
      </c>
      <c r="AL311" t="s">
        <v>177</v>
      </c>
      <c r="AO311">
        <v>109</v>
      </c>
      <c r="AP311">
        <v>11</v>
      </c>
      <c r="AS311">
        <v>3200</v>
      </c>
      <c r="AT311">
        <v>3200</v>
      </c>
      <c r="BN311" t="s">
        <v>401</v>
      </c>
      <c r="BO311">
        <v>2</v>
      </c>
      <c r="BP311">
        <v>2</v>
      </c>
      <c r="BQ311">
        <v>6</v>
      </c>
      <c r="BR311" t="s">
        <v>825</v>
      </c>
      <c r="BS311" t="s">
        <v>180</v>
      </c>
      <c r="BT311" t="s">
        <v>225</v>
      </c>
      <c r="BU311" s="1">
        <v>45444</v>
      </c>
      <c r="BV311">
        <v>34683</v>
      </c>
      <c r="BX311" t="s">
        <v>170</v>
      </c>
      <c r="BY311" t="s">
        <v>170</v>
      </c>
      <c r="CB311" t="s">
        <v>170</v>
      </c>
      <c r="CC311" t="s">
        <v>170</v>
      </c>
      <c r="CD311" t="s">
        <v>846</v>
      </c>
      <c r="CE311" t="s">
        <v>170</v>
      </c>
      <c r="CG311" t="s">
        <v>169</v>
      </c>
      <c r="CH311" t="s">
        <v>843</v>
      </c>
      <c r="CI311" t="s">
        <v>170</v>
      </c>
      <c r="CK311" t="s">
        <v>233</v>
      </c>
      <c r="CM311">
        <v>1</v>
      </c>
      <c r="CN311" t="s">
        <v>234</v>
      </c>
      <c r="CP311">
        <v>45</v>
      </c>
      <c r="CQ311">
        <v>9.8000000000000007</v>
      </c>
      <c r="CR311">
        <v>17.5</v>
      </c>
      <c r="CS311" t="s">
        <v>235</v>
      </c>
      <c r="CV311" t="s">
        <v>341</v>
      </c>
      <c r="CX311" t="s">
        <v>729</v>
      </c>
      <c r="CY311" t="s">
        <v>170</v>
      </c>
      <c r="DC311" t="s">
        <v>847</v>
      </c>
      <c r="DD311">
        <v>1</v>
      </c>
      <c r="DE311" t="s">
        <v>404</v>
      </c>
      <c r="DF311" t="s">
        <v>848</v>
      </c>
      <c r="DG311">
        <v>12</v>
      </c>
      <c r="DJ311" t="s">
        <v>267</v>
      </c>
      <c r="DK311" t="s">
        <v>268</v>
      </c>
      <c r="DL311" t="s">
        <v>170</v>
      </c>
      <c r="DM311" t="s">
        <v>170</v>
      </c>
      <c r="DN311" t="s">
        <v>170</v>
      </c>
      <c r="DO311" t="s">
        <v>345</v>
      </c>
      <c r="DP311" t="s">
        <v>169</v>
      </c>
      <c r="DQ311" t="s">
        <v>198</v>
      </c>
      <c r="DY311">
        <v>27.2</v>
      </c>
      <c r="EB311">
        <v>4</v>
      </c>
      <c r="EC311">
        <v>4</v>
      </c>
      <c r="EE311" t="s">
        <v>849</v>
      </c>
      <c r="EF311">
        <v>4</v>
      </c>
      <c r="EV311">
        <v>6500</v>
      </c>
      <c r="EW311">
        <v>505</v>
      </c>
      <c r="EX311">
        <v>363</v>
      </c>
      <c r="EY311">
        <v>441</v>
      </c>
    </row>
    <row r="312" spans="1:155" x14ac:dyDescent="0.35">
      <c r="A312">
        <v>2025</v>
      </c>
      <c r="B312" t="s">
        <v>569</v>
      </c>
      <c r="C312" t="s">
        <v>570</v>
      </c>
      <c r="D312" t="s">
        <v>1289</v>
      </c>
      <c r="E312" t="s">
        <v>572</v>
      </c>
      <c r="F312">
        <v>15</v>
      </c>
      <c r="G312">
        <v>2.5</v>
      </c>
      <c r="H312">
        <v>4</v>
      </c>
      <c r="I312" t="s">
        <v>192</v>
      </c>
      <c r="J312">
        <v>19</v>
      </c>
      <c r="K312">
        <v>26</v>
      </c>
      <c r="L312">
        <v>22</v>
      </c>
      <c r="M312">
        <v>24.5</v>
      </c>
      <c r="N312">
        <v>36.200000000000003</v>
      </c>
      <c r="O312">
        <v>28.669799999999999</v>
      </c>
      <c r="P312">
        <v>19.439399999999999</v>
      </c>
      <c r="Q312">
        <v>25.673500000000001</v>
      </c>
      <c r="R312">
        <v>21.824100000000001</v>
      </c>
      <c r="T312" t="s">
        <v>165</v>
      </c>
      <c r="U312" t="s">
        <v>166</v>
      </c>
      <c r="V312" t="s">
        <v>193</v>
      </c>
      <c r="W312" t="s">
        <v>194</v>
      </c>
      <c r="Y312">
        <v>8</v>
      </c>
      <c r="Z312" t="s">
        <v>169</v>
      </c>
      <c r="AA312" t="s">
        <v>170</v>
      </c>
      <c r="AB312" t="s">
        <v>167</v>
      </c>
      <c r="AC312" t="s">
        <v>213</v>
      </c>
      <c r="AD312">
        <v>15</v>
      </c>
      <c r="AG312" t="s">
        <v>173</v>
      </c>
      <c r="AH312" t="s">
        <v>174</v>
      </c>
      <c r="AI312" t="s">
        <v>175</v>
      </c>
      <c r="AJ312" t="s">
        <v>176</v>
      </c>
      <c r="AK312" t="s">
        <v>940</v>
      </c>
      <c r="AL312" t="s">
        <v>941</v>
      </c>
      <c r="AO312">
        <v>104</v>
      </c>
      <c r="AP312">
        <v>29</v>
      </c>
      <c r="AS312">
        <v>2900</v>
      </c>
      <c r="AT312">
        <v>2900</v>
      </c>
      <c r="BN312" t="s">
        <v>265</v>
      </c>
      <c r="BO312">
        <v>2</v>
      </c>
      <c r="BP312">
        <v>2</v>
      </c>
      <c r="BQ312">
        <v>31</v>
      </c>
      <c r="BR312" t="s">
        <v>1219</v>
      </c>
      <c r="BT312" t="s">
        <v>181</v>
      </c>
      <c r="BU312" s="1">
        <v>45366</v>
      </c>
      <c r="BV312">
        <v>34495</v>
      </c>
      <c r="BX312" t="s">
        <v>170</v>
      </c>
      <c r="BY312" t="s">
        <v>170</v>
      </c>
      <c r="CB312" t="s">
        <v>170</v>
      </c>
      <c r="CC312" t="s">
        <v>170</v>
      </c>
      <c r="CE312" t="s">
        <v>170</v>
      </c>
      <c r="CG312" t="s">
        <v>169</v>
      </c>
      <c r="CH312" t="s">
        <v>742</v>
      </c>
      <c r="CI312" t="s">
        <v>170</v>
      </c>
      <c r="DJ312" t="s">
        <v>267</v>
      </c>
      <c r="DK312" t="s">
        <v>268</v>
      </c>
      <c r="DN312" t="s">
        <v>170</v>
      </c>
      <c r="DO312" t="s">
        <v>754</v>
      </c>
      <c r="DP312" t="s">
        <v>169</v>
      </c>
      <c r="DQ312" t="s">
        <v>198</v>
      </c>
      <c r="DR312" t="s">
        <v>1288</v>
      </c>
      <c r="EB312">
        <v>5</v>
      </c>
      <c r="EC312">
        <v>5</v>
      </c>
      <c r="EE312" t="s">
        <v>1290</v>
      </c>
      <c r="EF312">
        <v>4</v>
      </c>
      <c r="EV312">
        <v>5000</v>
      </c>
      <c r="EW312">
        <v>457</v>
      </c>
      <c r="EX312">
        <v>347</v>
      </c>
      <c r="EY312">
        <v>408</v>
      </c>
    </row>
    <row r="313" spans="1:155" x14ac:dyDescent="0.35">
      <c r="A313">
        <v>2025</v>
      </c>
      <c r="B313" t="s">
        <v>569</v>
      </c>
      <c r="C313" t="s">
        <v>570</v>
      </c>
      <c r="D313" t="s">
        <v>1289</v>
      </c>
      <c r="E313" t="s">
        <v>572</v>
      </c>
      <c r="F313">
        <v>16</v>
      </c>
      <c r="G313">
        <v>2.5</v>
      </c>
      <c r="H313">
        <v>4</v>
      </c>
      <c r="I313" t="s">
        <v>192</v>
      </c>
      <c r="J313">
        <v>22</v>
      </c>
      <c r="K313">
        <v>28</v>
      </c>
      <c r="L313">
        <v>24</v>
      </c>
      <c r="M313">
        <v>27.9</v>
      </c>
      <c r="N313">
        <v>39.9</v>
      </c>
      <c r="O313">
        <v>32.267000000000003</v>
      </c>
      <c r="P313">
        <v>21.895399999999999</v>
      </c>
      <c r="Q313">
        <v>28.0626</v>
      </c>
      <c r="R313">
        <v>24.298400000000001</v>
      </c>
      <c r="T313" t="s">
        <v>165</v>
      </c>
      <c r="U313" t="s">
        <v>166</v>
      </c>
      <c r="V313" t="s">
        <v>193</v>
      </c>
      <c r="W313" t="s">
        <v>194</v>
      </c>
      <c r="Y313">
        <v>8</v>
      </c>
      <c r="Z313" t="s">
        <v>169</v>
      </c>
      <c r="AA313" t="s">
        <v>170</v>
      </c>
      <c r="AB313" t="s">
        <v>167</v>
      </c>
      <c r="AC313" t="s">
        <v>213</v>
      </c>
      <c r="AD313">
        <v>15</v>
      </c>
      <c r="AG313" t="s">
        <v>173</v>
      </c>
      <c r="AH313" t="s">
        <v>174</v>
      </c>
      <c r="AI313" t="s">
        <v>175</v>
      </c>
      <c r="AJ313" t="s">
        <v>176</v>
      </c>
      <c r="AK313" t="s">
        <v>940</v>
      </c>
      <c r="AL313" t="s">
        <v>941</v>
      </c>
      <c r="AO313">
        <v>104</v>
      </c>
      <c r="AP313">
        <v>29</v>
      </c>
      <c r="AS313">
        <v>2650</v>
      </c>
      <c r="AT313">
        <v>2650</v>
      </c>
      <c r="BN313" t="s">
        <v>265</v>
      </c>
      <c r="BO313">
        <v>2</v>
      </c>
      <c r="BP313">
        <v>2</v>
      </c>
      <c r="BQ313">
        <v>31</v>
      </c>
      <c r="BR313" t="s">
        <v>1219</v>
      </c>
      <c r="BT313" t="s">
        <v>181</v>
      </c>
      <c r="BU313" s="1">
        <v>45366</v>
      </c>
      <c r="BV313">
        <v>34481</v>
      </c>
      <c r="BX313" t="s">
        <v>170</v>
      </c>
      <c r="BY313" t="s">
        <v>170</v>
      </c>
      <c r="CB313" t="s">
        <v>170</v>
      </c>
      <c r="CC313" t="s">
        <v>170</v>
      </c>
      <c r="CE313" t="s">
        <v>170</v>
      </c>
      <c r="CG313" t="s">
        <v>169</v>
      </c>
      <c r="CH313" t="s">
        <v>742</v>
      </c>
      <c r="CI313" t="s">
        <v>170</v>
      </c>
      <c r="DJ313" t="s">
        <v>267</v>
      </c>
      <c r="DK313" t="s">
        <v>268</v>
      </c>
      <c r="DN313" t="s">
        <v>170</v>
      </c>
      <c r="DO313" t="s">
        <v>754</v>
      </c>
      <c r="DP313" t="s">
        <v>169</v>
      </c>
      <c r="DQ313" t="s">
        <v>198</v>
      </c>
      <c r="DR313" t="s">
        <v>1291</v>
      </c>
      <c r="EB313">
        <v>5</v>
      </c>
      <c r="EC313">
        <v>5</v>
      </c>
      <c r="EE313" t="s">
        <v>1290</v>
      </c>
      <c r="EF313">
        <v>4</v>
      </c>
      <c r="EV313">
        <v>3750</v>
      </c>
      <c r="EW313">
        <v>409</v>
      </c>
      <c r="EX313">
        <v>320</v>
      </c>
      <c r="EY313">
        <v>369</v>
      </c>
    </row>
    <row r="314" spans="1:155" x14ac:dyDescent="0.35">
      <c r="A314">
        <v>2025</v>
      </c>
      <c r="B314" t="s">
        <v>569</v>
      </c>
      <c r="C314" t="s">
        <v>570</v>
      </c>
      <c r="D314" t="s">
        <v>1289</v>
      </c>
      <c r="E314" t="s">
        <v>572</v>
      </c>
      <c r="F314">
        <v>17</v>
      </c>
      <c r="G314">
        <v>3.5</v>
      </c>
      <c r="H314">
        <v>6</v>
      </c>
      <c r="I314" t="s">
        <v>192</v>
      </c>
      <c r="J314">
        <v>18</v>
      </c>
      <c r="K314">
        <v>24</v>
      </c>
      <c r="L314">
        <v>20</v>
      </c>
      <c r="M314">
        <v>22.852599999999999</v>
      </c>
      <c r="N314">
        <v>33.146700000000003</v>
      </c>
      <c r="O314">
        <v>26.565200000000001</v>
      </c>
      <c r="P314">
        <v>18.229700000000001</v>
      </c>
      <c r="Q314">
        <v>23.671600000000002</v>
      </c>
      <c r="R314">
        <v>20.333200000000001</v>
      </c>
      <c r="T314" t="s">
        <v>165</v>
      </c>
      <c r="U314" t="s">
        <v>166</v>
      </c>
      <c r="V314" t="s">
        <v>193</v>
      </c>
      <c r="W314" t="s">
        <v>194</v>
      </c>
      <c r="Y314">
        <v>8</v>
      </c>
      <c r="Z314" t="s">
        <v>169</v>
      </c>
      <c r="AA314" t="s">
        <v>170</v>
      </c>
      <c r="AB314" t="s">
        <v>167</v>
      </c>
      <c r="AC314" t="s">
        <v>213</v>
      </c>
      <c r="AD314">
        <v>15</v>
      </c>
      <c r="AG314" t="s">
        <v>173</v>
      </c>
      <c r="AH314" t="s">
        <v>174</v>
      </c>
      <c r="AI314" t="s">
        <v>175</v>
      </c>
      <c r="AJ314" t="s">
        <v>176</v>
      </c>
      <c r="AK314" t="s">
        <v>940</v>
      </c>
      <c r="AL314" t="s">
        <v>941</v>
      </c>
      <c r="AO314">
        <v>104</v>
      </c>
      <c r="AP314">
        <v>29</v>
      </c>
      <c r="AS314">
        <v>3200</v>
      </c>
      <c r="AT314">
        <v>3200</v>
      </c>
      <c r="BN314" t="s">
        <v>265</v>
      </c>
      <c r="BO314">
        <v>2</v>
      </c>
      <c r="BP314">
        <v>2</v>
      </c>
      <c r="BQ314">
        <v>31</v>
      </c>
      <c r="BR314" t="s">
        <v>1219</v>
      </c>
      <c r="BT314" t="s">
        <v>181</v>
      </c>
      <c r="BU314" s="1">
        <v>45366</v>
      </c>
      <c r="BV314">
        <v>34482</v>
      </c>
      <c r="BX314" t="s">
        <v>170</v>
      </c>
      <c r="BY314" t="s">
        <v>170</v>
      </c>
      <c r="CB314" t="s">
        <v>170</v>
      </c>
      <c r="CC314" t="s">
        <v>170</v>
      </c>
      <c r="CE314" t="s">
        <v>170</v>
      </c>
      <c r="CG314" t="s">
        <v>169</v>
      </c>
      <c r="CH314" t="s">
        <v>742</v>
      </c>
      <c r="CI314" t="s">
        <v>170</v>
      </c>
      <c r="DJ314" t="s">
        <v>267</v>
      </c>
      <c r="DK314" t="s">
        <v>268</v>
      </c>
      <c r="DN314" t="s">
        <v>170</v>
      </c>
      <c r="DO314" t="s">
        <v>754</v>
      </c>
      <c r="DP314" t="s">
        <v>169</v>
      </c>
      <c r="DQ314" t="s">
        <v>198</v>
      </c>
      <c r="EB314">
        <v>4</v>
      </c>
      <c r="EC314">
        <v>4</v>
      </c>
      <c r="EE314" t="s">
        <v>1292</v>
      </c>
      <c r="EF314">
        <v>4</v>
      </c>
      <c r="EV314">
        <v>6500</v>
      </c>
      <c r="EW314">
        <v>492</v>
      </c>
      <c r="EX314">
        <v>379</v>
      </c>
      <c r="EY314">
        <v>441</v>
      </c>
    </row>
    <row r="315" spans="1:155" x14ac:dyDescent="0.35">
      <c r="A315">
        <v>2025</v>
      </c>
      <c r="B315" t="s">
        <v>569</v>
      </c>
      <c r="C315" t="s">
        <v>570</v>
      </c>
      <c r="D315" t="s">
        <v>1547</v>
      </c>
      <c r="E315" t="s">
        <v>572</v>
      </c>
      <c r="F315">
        <v>13</v>
      </c>
      <c r="G315">
        <v>2.5</v>
      </c>
      <c r="H315">
        <v>4</v>
      </c>
      <c r="I315" t="s">
        <v>192</v>
      </c>
      <c r="J315">
        <v>19</v>
      </c>
      <c r="K315">
        <v>24</v>
      </c>
      <c r="L315">
        <v>21</v>
      </c>
      <c r="M315">
        <v>23.612100000000002</v>
      </c>
      <c r="N315">
        <v>33.8489</v>
      </c>
      <c r="O315">
        <v>27.331700000000001</v>
      </c>
      <c r="P315">
        <v>18.789000000000001</v>
      </c>
      <c r="Q315">
        <v>24.134499999999999</v>
      </c>
      <c r="R315">
        <v>20.869</v>
      </c>
      <c r="T315" t="s">
        <v>165</v>
      </c>
      <c r="U315" t="s">
        <v>166</v>
      </c>
      <c r="V315" t="s">
        <v>193</v>
      </c>
      <c r="W315" t="s">
        <v>194</v>
      </c>
      <c r="Y315">
        <v>8</v>
      </c>
      <c r="Z315" t="s">
        <v>169</v>
      </c>
      <c r="AA315" t="s">
        <v>170</v>
      </c>
      <c r="AB315" t="s">
        <v>167</v>
      </c>
      <c r="AC315" t="s">
        <v>213</v>
      </c>
      <c r="AD315">
        <v>15</v>
      </c>
      <c r="AG315" t="s">
        <v>173</v>
      </c>
      <c r="AH315" t="s">
        <v>174</v>
      </c>
      <c r="AI315" t="s">
        <v>175</v>
      </c>
      <c r="AJ315" t="s">
        <v>176</v>
      </c>
      <c r="AK315" t="s">
        <v>940</v>
      </c>
      <c r="AL315" t="s">
        <v>941</v>
      </c>
      <c r="AS315">
        <v>3050</v>
      </c>
      <c r="AT315">
        <v>3050</v>
      </c>
      <c r="BN315" t="s">
        <v>265</v>
      </c>
      <c r="BO315">
        <v>2</v>
      </c>
      <c r="BP315">
        <v>2</v>
      </c>
      <c r="BQ315">
        <v>33</v>
      </c>
      <c r="BR315" t="s">
        <v>1497</v>
      </c>
      <c r="BT315" t="s">
        <v>181</v>
      </c>
      <c r="BU315" s="1">
        <v>45352</v>
      </c>
      <c r="BV315">
        <v>34477</v>
      </c>
      <c r="BX315" t="s">
        <v>170</v>
      </c>
      <c r="BY315" t="s">
        <v>170</v>
      </c>
      <c r="CB315" t="s">
        <v>170</v>
      </c>
      <c r="CC315" t="s">
        <v>170</v>
      </c>
      <c r="CE315" t="s">
        <v>170</v>
      </c>
      <c r="CG315" t="s">
        <v>169</v>
      </c>
      <c r="CH315" t="s">
        <v>742</v>
      </c>
      <c r="CI315" t="s">
        <v>170</v>
      </c>
      <c r="DJ315" t="s">
        <v>267</v>
      </c>
      <c r="DK315" t="s">
        <v>268</v>
      </c>
      <c r="DN315" t="s">
        <v>170</v>
      </c>
      <c r="DO315" t="s">
        <v>754</v>
      </c>
      <c r="DP315" t="s">
        <v>169</v>
      </c>
      <c r="DQ315" t="s">
        <v>198</v>
      </c>
      <c r="EB315">
        <v>4</v>
      </c>
      <c r="EC315">
        <v>4</v>
      </c>
      <c r="EE315" t="s">
        <v>1548</v>
      </c>
      <c r="EF315">
        <v>6</v>
      </c>
      <c r="EV315">
        <v>5750</v>
      </c>
      <c r="EW315">
        <v>474</v>
      </c>
      <c r="EX315">
        <v>369</v>
      </c>
      <c r="EY315">
        <v>427</v>
      </c>
    </row>
    <row r="316" spans="1:155" x14ac:dyDescent="0.35">
      <c r="A316">
        <v>2025</v>
      </c>
      <c r="B316" t="s">
        <v>569</v>
      </c>
      <c r="C316" t="s">
        <v>570</v>
      </c>
      <c r="D316" t="s">
        <v>1547</v>
      </c>
      <c r="E316" t="s">
        <v>572</v>
      </c>
      <c r="F316">
        <v>14</v>
      </c>
      <c r="G316">
        <v>3.5</v>
      </c>
      <c r="H316">
        <v>6</v>
      </c>
      <c r="I316" t="s">
        <v>192</v>
      </c>
      <c r="J316">
        <v>16</v>
      </c>
      <c r="K316">
        <v>22</v>
      </c>
      <c r="L316">
        <v>19</v>
      </c>
      <c r="M316">
        <v>20.415800000000001</v>
      </c>
      <c r="N316">
        <v>30.705300000000001</v>
      </c>
      <c r="O316">
        <v>24.0411</v>
      </c>
      <c r="P316">
        <v>16.416399999999999</v>
      </c>
      <c r="Q316">
        <v>22.050799999999999</v>
      </c>
      <c r="R316">
        <v>18.549299999999999</v>
      </c>
      <c r="T316" t="s">
        <v>165</v>
      </c>
      <c r="U316" t="s">
        <v>166</v>
      </c>
      <c r="V316" t="s">
        <v>193</v>
      </c>
      <c r="W316" t="s">
        <v>194</v>
      </c>
      <c r="Y316">
        <v>8</v>
      </c>
      <c r="Z316" t="s">
        <v>169</v>
      </c>
      <c r="AA316" t="s">
        <v>170</v>
      </c>
      <c r="AB316" t="s">
        <v>167</v>
      </c>
      <c r="AC316" t="s">
        <v>213</v>
      </c>
      <c r="AD316">
        <v>15</v>
      </c>
      <c r="AG316" t="s">
        <v>173</v>
      </c>
      <c r="AH316" t="s">
        <v>174</v>
      </c>
      <c r="AI316" t="s">
        <v>175</v>
      </c>
      <c r="AJ316" t="s">
        <v>176</v>
      </c>
      <c r="AK316" t="s">
        <v>940</v>
      </c>
      <c r="AL316" t="s">
        <v>941</v>
      </c>
      <c r="AS316">
        <v>3350</v>
      </c>
      <c r="AT316">
        <v>3350</v>
      </c>
      <c r="BN316" t="s">
        <v>265</v>
      </c>
      <c r="BO316">
        <v>2</v>
      </c>
      <c r="BP316">
        <v>2</v>
      </c>
      <c r="BQ316">
        <v>33</v>
      </c>
      <c r="BR316" t="s">
        <v>1497</v>
      </c>
      <c r="BT316" t="s">
        <v>181</v>
      </c>
      <c r="BU316" s="1">
        <v>45352</v>
      </c>
      <c r="BV316">
        <v>34534</v>
      </c>
      <c r="BX316" t="s">
        <v>170</v>
      </c>
      <c r="BY316" t="s">
        <v>170</v>
      </c>
      <c r="CB316" t="s">
        <v>170</v>
      </c>
      <c r="CC316" t="s">
        <v>170</v>
      </c>
      <c r="CE316" t="s">
        <v>170</v>
      </c>
      <c r="CG316" t="s">
        <v>169</v>
      </c>
      <c r="CH316" t="s">
        <v>742</v>
      </c>
      <c r="CI316" t="s">
        <v>170</v>
      </c>
      <c r="DJ316" t="s">
        <v>267</v>
      </c>
      <c r="DK316" t="s">
        <v>268</v>
      </c>
      <c r="DN316" t="s">
        <v>170</v>
      </c>
      <c r="DO316" t="s">
        <v>754</v>
      </c>
      <c r="DP316" t="s">
        <v>169</v>
      </c>
      <c r="DQ316" t="s">
        <v>198</v>
      </c>
      <c r="EB316">
        <v>4</v>
      </c>
      <c r="EC316">
        <v>4</v>
      </c>
      <c r="EE316" t="s">
        <v>1549</v>
      </c>
      <c r="EF316">
        <v>5</v>
      </c>
      <c r="EV316">
        <v>7250</v>
      </c>
      <c r="EW316">
        <v>542</v>
      </c>
      <c r="EX316">
        <v>404</v>
      </c>
      <c r="EY316">
        <v>480</v>
      </c>
    </row>
    <row r="317" spans="1:155" x14ac:dyDescent="0.35">
      <c r="A317">
        <v>2025</v>
      </c>
      <c r="B317" t="s">
        <v>569</v>
      </c>
      <c r="C317" t="s">
        <v>570</v>
      </c>
      <c r="D317" t="s">
        <v>1550</v>
      </c>
      <c r="E317" t="s">
        <v>572</v>
      </c>
      <c r="F317">
        <v>75</v>
      </c>
      <c r="G317">
        <v>3.5</v>
      </c>
      <c r="H317">
        <v>6</v>
      </c>
      <c r="I317" t="s">
        <v>192</v>
      </c>
      <c r="J317">
        <v>18</v>
      </c>
      <c r="K317">
        <v>22</v>
      </c>
      <c r="L317">
        <v>20</v>
      </c>
      <c r="M317">
        <v>22.4</v>
      </c>
      <c r="N317">
        <v>30.8</v>
      </c>
      <c r="O317">
        <v>25.5337</v>
      </c>
      <c r="P317">
        <v>17.895099999999999</v>
      </c>
      <c r="Q317">
        <v>21.955500000000001</v>
      </c>
      <c r="R317">
        <v>19.519600000000001</v>
      </c>
      <c r="T317" t="s">
        <v>484</v>
      </c>
      <c r="U317" t="s">
        <v>485</v>
      </c>
      <c r="V317" t="s">
        <v>193</v>
      </c>
      <c r="W317" t="s">
        <v>194</v>
      </c>
      <c r="Y317">
        <v>8</v>
      </c>
      <c r="Z317" t="s">
        <v>169</v>
      </c>
      <c r="AA317" t="s">
        <v>170</v>
      </c>
      <c r="AB317" t="s">
        <v>167</v>
      </c>
      <c r="AC317" t="s">
        <v>213</v>
      </c>
      <c r="AD317">
        <v>15</v>
      </c>
      <c r="AG317" t="s">
        <v>173</v>
      </c>
      <c r="AH317" t="s">
        <v>174</v>
      </c>
      <c r="AI317" t="s">
        <v>175</v>
      </c>
      <c r="AJ317" t="s">
        <v>176</v>
      </c>
      <c r="AK317" t="s">
        <v>940</v>
      </c>
      <c r="AL317" t="s">
        <v>941</v>
      </c>
      <c r="AS317">
        <v>3200</v>
      </c>
      <c r="AT317">
        <v>3200</v>
      </c>
      <c r="BN317" t="s">
        <v>401</v>
      </c>
      <c r="BO317">
        <v>2</v>
      </c>
      <c r="BP317">
        <v>2</v>
      </c>
      <c r="BQ317">
        <v>33</v>
      </c>
      <c r="BR317" t="s">
        <v>1497</v>
      </c>
      <c r="BT317" t="s">
        <v>457</v>
      </c>
      <c r="BU317" s="1">
        <v>45444</v>
      </c>
      <c r="BV317">
        <v>34866</v>
      </c>
      <c r="BX317" t="s">
        <v>170</v>
      </c>
      <c r="BY317" t="s">
        <v>170</v>
      </c>
      <c r="CB317" t="s">
        <v>170</v>
      </c>
      <c r="CC317" t="s">
        <v>170</v>
      </c>
      <c r="CD317" t="s">
        <v>1551</v>
      </c>
      <c r="CE317" t="s">
        <v>170</v>
      </c>
      <c r="CG317" t="s">
        <v>169</v>
      </c>
      <c r="CH317" t="s">
        <v>742</v>
      </c>
      <c r="CI317" t="s">
        <v>170</v>
      </c>
      <c r="CK317" t="s">
        <v>233</v>
      </c>
      <c r="CM317">
        <v>1</v>
      </c>
      <c r="CN317" t="s">
        <v>234</v>
      </c>
      <c r="CP317">
        <v>45</v>
      </c>
      <c r="CQ317">
        <v>9.8000000000000007</v>
      </c>
      <c r="CR317">
        <v>36.4</v>
      </c>
      <c r="CS317" t="s">
        <v>235</v>
      </c>
      <c r="CV317" t="s">
        <v>341</v>
      </c>
      <c r="CX317" t="s">
        <v>729</v>
      </c>
      <c r="CY317" t="s">
        <v>170</v>
      </c>
      <c r="DC317" t="s">
        <v>847</v>
      </c>
      <c r="DD317">
        <v>1</v>
      </c>
      <c r="DE317" t="s">
        <v>404</v>
      </c>
      <c r="DF317" t="s">
        <v>1552</v>
      </c>
      <c r="DG317">
        <v>12</v>
      </c>
      <c r="DJ317" t="s">
        <v>267</v>
      </c>
      <c r="DK317" t="s">
        <v>268</v>
      </c>
      <c r="DL317" t="s">
        <v>170</v>
      </c>
      <c r="DM317" t="s">
        <v>170</v>
      </c>
      <c r="DN317" t="s">
        <v>170</v>
      </c>
      <c r="DO317" t="s">
        <v>754</v>
      </c>
      <c r="DP317" t="s">
        <v>169</v>
      </c>
      <c r="DQ317" t="s">
        <v>198</v>
      </c>
      <c r="EB317">
        <v>4</v>
      </c>
      <c r="EC317">
        <v>4</v>
      </c>
      <c r="EE317" t="s">
        <v>1553</v>
      </c>
      <c r="EF317">
        <v>5</v>
      </c>
      <c r="EV317">
        <v>6500</v>
      </c>
      <c r="EW317">
        <v>497</v>
      </c>
      <c r="EX317">
        <v>405</v>
      </c>
      <c r="EY317">
        <v>455</v>
      </c>
    </row>
    <row r="318" spans="1:155" x14ac:dyDescent="0.35">
      <c r="A318">
        <v>2025</v>
      </c>
      <c r="B318" t="s">
        <v>220</v>
      </c>
      <c r="C318" t="s">
        <v>994</v>
      </c>
      <c r="D318" t="s">
        <v>1554</v>
      </c>
      <c r="E318" t="s">
        <v>223</v>
      </c>
      <c r="F318">
        <v>856</v>
      </c>
      <c r="G318">
        <v>2.5</v>
      </c>
      <c r="H318">
        <v>4</v>
      </c>
      <c r="I318" t="s">
        <v>164</v>
      </c>
      <c r="J318">
        <v>19</v>
      </c>
      <c r="K318">
        <v>24</v>
      </c>
      <c r="L318">
        <v>21</v>
      </c>
      <c r="M318">
        <v>25.3765</v>
      </c>
      <c r="N318">
        <v>35.774099999999997</v>
      </c>
      <c r="O318">
        <v>29.194900000000001</v>
      </c>
      <c r="P318">
        <v>19.102799999999998</v>
      </c>
      <c r="Q318">
        <v>23.7789</v>
      </c>
      <c r="R318">
        <v>20.9574</v>
      </c>
      <c r="T318" t="s">
        <v>165</v>
      </c>
      <c r="U318" t="s">
        <v>166</v>
      </c>
      <c r="V318" t="s">
        <v>167</v>
      </c>
      <c r="W318" t="s">
        <v>168</v>
      </c>
      <c r="Y318">
        <v>8</v>
      </c>
      <c r="Z318" t="s">
        <v>169</v>
      </c>
      <c r="AA318" t="s">
        <v>170</v>
      </c>
      <c r="AB318" t="s">
        <v>167</v>
      </c>
      <c r="AC318" t="s">
        <v>213</v>
      </c>
      <c r="AD318">
        <v>10</v>
      </c>
      <c r="AG318" t="s">
        <v>210</v>
      </c>
      <c r="AH318" t="s">
        <v>444</v>
      </c>
      <c r="AI318" t="s">
        <v>175</v>
      </c>
      <c r="AJ318" t="s">
        <v>176</v>
      </c>
      <c r="AK318" t="s">
        <v>940</v>
      </c>
      <c r="AL318" t="s">
        <v>941</v>
      </c>
      <c r="AS318">
        <v>2500</v>
      </c>
      <c r="AT318">
        <v>2500</v>
      </c>
      <c r="BN318" t="s">
        <v>178</v>
      </c>
      <c r="BO318">
        <v>2</v>
      </c>
      <c r="BP318">
        <v>2</v>
      </c>
      <c r="BQ318">
        <v>33</v>
      </c>
      <c r="BR318" t="s">
        <v>1497</v>
      </c>
      <c r="BT318" t="s">
        <v>225</v>
      </c>
      <c r="BU318" s="1">
        <v>45460</v>
      </c>
      <c r="BV318">
        <v>34934</v>
      </c>
      <c r="BX318" t="s">
        <v>170</v>
      </c>
      <c r="BY318" t="s">
        <v>170</v>
      </c>
      <c r="CB318" t="s">
        <v>170</v>
      </c>
      <c r="CC318" t="s">
        <v>170</v>
      </c>
      <c r="CE318" t="s">
        <v>170</v>
      </c>
      <c r="CG318" t="s">
        <v>169</v>
      </c>
      <c r="CH318" t="s">
        <v>240</v>
      </c>
      <c r="CI318" t="s">
        <v>170</v>
      </c>
      <c r="DJ318" t="s">
        <v>184</v>
      </c>
      <c r="DK318" t="s">
        <v>185</v>
      </c>
      <c r="DN318" t="s">
        <v>170</v>
      </c>
      <c r="DO318" t="s">
        <v>197</v>
      </c>
      <c r="DP318" t="s">
        <v>169</v>
      </c>
      <c r="DQ318" t="s">
        <v>198</v>
      </c>
      <c r="EB318">
        <v>4</v>
      </c>
      <c r="EC318">
        <v>4</v>
      </c>
      <c r="EE318" t="s">
        <v>1455</v>
      </c>
      <c r="EF318">
        <v>5</v>
      </c>
      <c r="EV318">
        <v>3000</v>
      </c>
      <c r="EW318">
        <v>462</v>
      </c>
      <c r="EX318">
        <v>374</v>
      </c>
      <c r="EY318">
        <v>422</v>
      </c>
    </row>
    <row r="319" spans="1:155" x14ac:dyDescent="0.35">
      <c r="A319">
        <v>2025</v>
      </c>
      <c r="B319" t="s">
        <v>220</v>
      </c>
      <c r="C319" t="s">
        <v>994</v>
      </c>
      <c r="D319" t="s">
        <v>1473</v>
      </c>
      <c r="E319" t="s">
        <v>223</v>
      </c>
      <c r="F319">
        <v>853</v>
      </c>
      <c r="G319">
        <v>2.5</v>
      </c>
      <c r="H319">
        <v>4</v>
      </c>
      <c r="I319" t="s">
        <v>164</v>
      </c>
      <c r="J319">
        <v>20</v>
      </c>
      <c r="K319">
        <v>27</v>
      </c>
      <c r="L319">
        <v>23</v>
      </c>
      <c r="M319">
        <v>26.6</v>
      </c>
      <c r="N319">
        <v>39.799999999999997</v>
      </c>
      <c r="O319">
        <v>31.266400000000001</v>
      </c>
      <c r="P319">
        <v>20.4602</v>
      </c>
      <c r="Q319">
        <v>26.6433</v>
      </c>
      <c r="R319">
        <v>22.846</v>
      </c>
      <c r="T319" t="s">
        <v>165</v>
      </c>
      <c r="U319" t="s">
        <v>166</v>
      </c>
      <c r="V319" t="s">
        <v>167</v>
      </c>
      <c r="W319" t="s">
        <v>168</v>
      </c>
      <c r="Y319">
        <v>8</v>
      </c>
      <c r="Z319" t="s">
        <v>169</v>
      </c>
      <c r="AA319" t="s">
        <v>170</v>
      </c>
      <c r="AB319" t="s">
        <v>351</v>
      </c>
      <c r="AC319" t="s">
        <v>352</v>
      </c>
      <c r="AD319">
        <v>10</v>
      </c>
      <c r="AG319" t="s">
        <v>210</v>
      </c>
      <c r="AH319" t="s">
        <v>444</v>
      </c>
      <c r="AI319" t="s">
        <v>175</v>
      </c>
      <c r="AJ319" t="s">
        <v>176</v>
      </c>
      <c r="AK319" t="s">
        <v>940</v>
      </c>
      <c r="AL319" t="s">
        <v>941</v>
      </c>
      <c r="AS319">
        <v>2300</v>
      </c>
      <c r="AT319">
        <v>2300</v>
      </c>
      <c r="BN319" t="s">
        <v>178</v>
      </c>
      <c r="BO319">
        <v>2</v>
      </c>
      <c r="BP319">
        <v>2</v>
      </c>
      <c r="BQ319">
        <v>32</v>
      </c>
      <c r="BR319" t="s">
        <v>1453</v>
      </c>
      <c r="BT319" t="s">
        <v>225</v>
      </c>
      <c r="BU319" s="1">
        <v>45460</v>
      </c>
      <c r="BV319">
        <v>34938</v>
      </c>
      <c r="BX319" t="s">
        <v>170</v>
      </c>
      <c r="BY319" t="s">
        <v>170</v>
      </c>
      <c r="CB319" t="s">
        <v>170</v>
      </c>
      <c r="CC319" t="s">
        <v>170</v>
      </c>
      <c r="CE319" t="s">
        <v>170</v>
      </c>
      <c r="CG319" t="s">
        <v>169</v>
      </c>
      <c r="CH319" t="s">
        <v>240</v>
      </c>
      <c r="CI319" t="s">
        <v>170</v>
      </c>
      <c r="DJ319" t="s">
        <v>184</v>
      </c>
      <c r="DK319" t="s">
        <v>185</v>
      </c>
      <c r="DN319" t="s">
        <v>170</v>
      </c>
      <c r="DO319" t="s">
        <v>197</v>
      </c>
      <c r="DP319" t="s">
        <v>169</v>
      </c>
      <c r="DQ319" t="s">
        <v>198</v>
      </c>
      <c r="EB319">
        <v>5</v>
      </c>
      <c r="EC319">
        <v>5</v>
      </c>
      <c r="EE319" t="s">
        <v>1455</v>
      </c>
      <c r="EF319">
        <v>5</v>
      </c>
      <c r="EV319">
        <v>2000</v>
      </c>
      <c r="EW319">
        <v>431</v>
      </c>
      <c r="EX319">
        <v>334</v>
      </c>
      <c r="EY319">
        <v>387</v>
      </c>
    </row>
    <row r="320" spans="1:155" x14ac:dyDescent="0.35">
      <c r="A320">
        <v>2025</v>
      </c>
      <c r="B320" t="s">
        <v>220</v>
      </c>
      <c r="C320" t="s">
        <v>994</v>
      </c>
      <c r="D320" t="s">
        <v>995</v>
      </c>
      <c r="E320" t="s">
        <v>223</v>
      </c>
      <c r="F320">
        <v>720</v>
      </c>
      <c r="G320">
        <v>2.7</v>
      </c>
      <c r="H320">
        <v>4</v>
      </c>
      <c r="I320" t="s">
        <v>164</v>
      </c>
      <c r="J320">
        <v>19</v>
      </c>
      <c r="K320">
        <v>23</v>
      </c>
      <c r="L320">
        <v>20</v>
      </c>
      <c r="M320">
        <v>23.770399999999999</v>
      </c>
      <c r="N320">
        <v>35.867600000000003</v>
      </c>
      <c r="O320">
        <v>28.023599999999998</v>
      </c>
      <c r="P320">
        <v>18.7881</v>
      </c>
      <c r="Q320">
        <v>22.931000000000001</v>
      </c>
      <c r="R320">
        <v>20.450800000000001</v>
      </c>
      <c r="T320" t="s">
        <v>165</v>
      </c>
      <c r="U320" t="s">
        <v>166</v>
      </c>
      <c r="V320" t="s">
        <v>167</v>
      </c>
      <c r="W320" t="s">
        <v>168</v>
      </c>
      <c r="Y320">
        <v>8</v>
      </c>
      <c r="Z320" t="s">
        <v>169</v>
      </c>
      <c r="AA320" t="s">
        <v>170</v>
      </c>
      <c r="AB320" t="s">
        <v>171</v>
      </c>
      <c r="AC320" t="s">
        <v>172</v>
      </c>
      <c r="AD320">
        <v>10</v>
      </c>
      <c r="AG320" t="s">
        <v>210</v>
      </c>
      <c r="AH320" t="s">
        <v>444</v>
      </c>
      <c r="AI320" t="s">
        <v>175</v>
      </c>
      <c r="AJ320" t="s">
        <v>176</v>
      </c>
      <c r="AK320" t="s">
        <v>940</v>
      </c>
      <c r="AL320" t="s">
        <v>941</v>
      </c>
      <c r="AS320">
        <v>2600</v>
      </c>
      <c r="AT320">
        <v>2600</v>
      </c>
      <c r="BN320" t="s">
        <v>178</v>
      </c>
      <c r="BO320">
        <v>2</v>
      </c>
      <c r="BP320">
        <v>2</v>
      </c>
      <c r="BQ320">
        <v>12</v>
      </c>
      <c r="BR320" t="s">
        <v>971</v>
      </c>
      <c r="BT320" t="s">
        <v>225</v>
      </c>
      <c r="BU320" s="1">
        <v>45618</v>
      </c>
      <c r="BV320">
        <v>35829</v>
      </c>
      <c r="BX320" t="s">
        <v>170</v>
      </c>
      <c r="BY320" t="s">
        <v>170</v>
      </c>
      <c r="CB320" t="s">
        <v>170</v>
      </c>
      <c r="CC320" t="s">
        <v>170</v>
      </c>
      <c r="CD320" t="s">
        <v>560</v>
      </c>
      <c r="CE320" t="s">
        <v>169</v>
      </c>
      <c r="CF320" t="s">
        <v>227</v>
      </c>
      <c r="CG320" t="s">
        <v>169</v>
      </c>
      <c r="CH320" t="s">
        <v>240</v>
      </c>
      <c r="CI320" t="s">
        <v>169</v>
      </c>
      <c r="CJ320" t="s">
        <v>561</v>
      </c>
      <c r="DJ320" t="s">
        <v>184</v>
      </c>
      <c r="DK320" t="s">
        <v>185</v>
      </c>
      <c r="DN320" t="s">
        <v>170</v>
      </c>
      <c r="DO320" t="s">
        <v>197</v>
      </c>
      <c r="DP320" t="s">
        <v>169</v>
      </c>
      <c r="DQ320" t="s">
        <v>198</v>
      </c>
      <c r="EB320">
        <v>4</v>
      </c>
      <c r="EC320">
        <v>4</v>
      </c>
      <c r="EE320" t="s">
        <v>972</v>
      </c>
      <c r="EF320">
        <v>6</v>
      </c>
      <c r="EV320">
        <v>3500</v>
      </c>
      <c r="EW320">
        <v>472</v>
      </c>
      <c r="EX320">
        <v>388</v>
      </c>
      <c r="EY320">
        <v>434</v>
      </c>
    </row>
    <row r="321" spans="1:155" x14ac:dyDescent="0.35">
      <c r="A321">
        <v>2025</v>
      </c>
      <c r="B321" t="s">
        <v>220</v>
      </c>
      <c r="C321" t="s">
        <v>994</v>
      </c>
      <c r="D321" t="s">
        <v>1043</v>
      </c>
      <c r="E321" t="s">
        <v>223</v>
      </c>
      <c r="F321">
        <v>725</v>
      </c>
      <c r="G321">
        <v>2.7</v>
      </c>
      <c r="H321">
        <v>4</v>
      </c>
      <c r="I321" t="s">
        <v>164</v>
      </c>
      <c r="J321">
        <v>17</v>
      </c>
      <c r="K321">
        <v>21</v>
      </c>
      <c r="L321">
        <v>19</v>
      </c>
      <c r="M321">
        <v>22.345500000000001</v>
      </c>
      <c r="N321">
        <v>32.511000000000003</v>
      </c>
      <c r="O321">
        <v>26.0045</v>
      </c>
      <c r="P321">
        <v>17.3719</v>
      </c>
      <c r="Q321">
        <v>21.157</v>
      </c>
      <c r="R321">
        <v>18.892900000000001</v>
      </c>
      <c r="T321" t="s">
        <v>165</v>
      </c>
      <c r="U321" t="s">
        <v>166</v>
      </c>
      <c r="V321" t="s">
        <v>167</v>
      </c>
      <c r="W321" t="s">
        <v>168</v>
      </c>
      <c r="Y321">
        <v>8</v>
      </c>
      <c r="Z321" t="s">
        <v>169</v>
      </c>
      <c r="AA321" t="s">
        <v>170</v>
      </c>
      <c r="AB321">
        <v>4</v>
      </c>
      <c r="AC321" t="s">
        <v>601</v>
      </c>
      <c r="AD321">
        <v>10</v>
      </c>
      <c r="AG321" t="s">
        <v>210</v>
      </c>
      <c r="AH321" t="s">
        <v>444</v>
      </c>
      <c r="AI321" t="s">
        <v>175</v>
      </c>
      <c r="AJ321" t="s">
        <v>176</v>
      </c>
      <c r="AK321" t="s">
        <v>940</v>
      </c>
      <c r="AL321" t="s">
        <v>941</v>
      </c>
      <c r="AS321">
        <v>2750</v>
      </c>
      <c r="AT321">
        <v>2750</v>
      </c>
      <c r="BN321" t="s">
        <v>178</v>
      </c>
      <c r="BO321">
        <v>2</v>
      </c>
      <c r="BP321">
        <v>2</v>
      </c>
      <c r="BQ321">
        <v>13</v>
      </c>
      <c r="BR321" t="s">
        <v>1016</v>
      </c>
      <c r="BT321" t="s">
        <v>225</v>
      </c>
      <c r="BU321" s="1">
        <v>45618</v>
      </c>
      <c r="BV321">
        <v>35831</v>
      </c>
      <c r="BX321" t="s">
        <v>170</v>
      </c>
      <c r="BY321" t="s">
        <v>170</v>
      </c>
      <c r="CB321" t="s">
        <v>170</v>
      </c>
      <c r="CC321" t="s">
        <v>170</v>
      </c>
      <c r="CD321" t="s">
        <v>560</v>
      </c>
      <c r="CE321" t="s">
        <v>169</v>
      </c>
      <c r="CF321" t="s">
        <v>227</v>
      </c>
      <c r="CG321" t="s">
        <v>169</v>
      </c>
      <c r="CH321" t="s">
        <v>240</v>
      </c>
      <c r="CI321" t="s">
        <v>169</v>
      </c>
      <c r="CJ321" t="s">
        <v>561</v>
      </c>
      <c r="DJ321" t="s">
        <v>184</v>
      </c>
      <c r="DK321" t="s">
        <v>185</v>
      </c>
      <c r="DN321" t="s">
        <v>170</v>
      </c>
      <c r="DO321" t="s">
        <v>197</v>
      </c>
      <c r="DP321" t="s">
        <v>169</v>
      </c>
      <c r="DQ321" t="s">
        <v>198</v>
      </c>
      <c r="EB321">
        <v>4</v>
      </c>
      <c r="EC321">
        <v>4</v>
      </c>
      <c r="EE321" t="s">
        <v>972</v>
      </c>
      <c r="EF321">
        <v>6</v>
      </c>
      <c r="EV321">
        <v>4250</v>
      </c>
      <c r="EW321">
        <v>520</v>
      </c>
      <c r="EX321">
        <v>446</v>
      </c>
      <c r="EY321">
        <v>487</v>
      </c>
    </row>
    <row r="322" spans="1:155" x14ac:dyDescent="0.35">
      <c r="A322">
        <v>2025</v>
      </c>
      <c r="B322" t="s">
        <v>220</v>
      </c>
      <c r="C322" t="s">
        <v>994</v>
      </c>
      <c r="D322" t="s">
        <v>1044</v>
      </c>
      <c r="E322" t="s">
        <v>223</v>
      </c>
      <c r="F322">
        <v>731</v>
      </c>
      <c r="G322">
        <v>2.7</v>
      </c>
      <c r="H322">
        <v>4</v>
      </c>
      <c r="I322" t="s">
        <v>164</v>
      </c>
      <c r="J322">
        <v>17</v>
      </c>
      <c r="K322">
        <v>17</v>
      </c>
      <c r="L322">
        <v>17</v>
      </c>
      <c r="M322">
        <v>20.8995</v>
      </c>
      <c r="N322">
        <v>28.3</v>
      </c>
      <c r="O322">
        <v>23.686900000000001</v>
      </c>
      <c r="P322">
        <v>16.674700000000001</v>
      </c>
      <c r="Q322">
        <v>17</v>
      </c>
      <c r="R322">
        <v>17.323599999999999</v>
      </c>
      <c r="T322" t="s">
        <v>165</v>
      </c>
      <c r="U322" t="s">
        <v>166</v>
      </c>
      <c r="V322" t="s">
        <v>167</v>
      </c>
      <c r="W322" t="s">
        <v>168</v>
      </c>
      <c r="Y322">
        <v>8</v>
      </c>
      <c r="Z322" t="s">
        <v>169</v>
      </c>
      <c r="AA322" t="s">
        <v>170</v>
      </c>
      <c r="AB322">
        <v>4</v>
      </c>
      <c r="AC322" t="s">
        <v>601</v>
      </c>
      <c r="AD322">
        <v>10</v>
      </c>
      <c r="AG322" t="s">
        <v>210</v>
      </c>
      <c r="AH322" t="s">
        <v>444</v>
      </c>
      <c r="AI322" t="s">
        <v>175</v>
      </c>
      <c r="AJ322" t="s">
        <v>176</v>
      </c>
      <c r="AK322" t="s">
        <v>940</v>
      </c>
      <c r="AL322" t="s">
        <v>941</v>
      </c>
      <c r="AS322">
        <v>3100</v>
      </c>
      <c r="AT322">
        <v>3100</v>
      </c>
      <c r="BN322" t="s">
        <v>178</v>
      </c>
      <c r="BO322">
        <v>2</v>
      </c>
      <c r="BP322">
        <v>2</v>
      </c>
      <c r="BQ322">
        <v>13</v>
      </c>
      <c r="BR322" t="s">
        <v>1016</v>
      </c>
      <c r="BT322" t="s">
        <v>225</v>
      </c>
      <c r="BU322" s="1">
        <v>45618</v>
      </c>
      <c r="BV322">
        <v>35835</v>
      </c>
      <c r="BX322" t="s">
        <v>169</v>
      </c>
      <c r="BY322" t="s">
        <v>170</v>
      </c>
      <c r="CB322" t="s">
        <v>170</v>
      </c>
      <c r="CC322" t="s">
        <v>170</v>
      </c>
      <c r="CD322" t="s">
        <v>560</v>
      </c>
      <c r="CE322" t="s">
        <v>169</v>
      </c>
      <c r="CF322" t="s">
        <v>227</v>
      </c>
      <c r="CG322" t="s">
        <v>169</v>
      </c>
      <c r="CH322" t="s">
        <v>240</v>
      </c>
      <c r="CI322" t="s">
        <v>169</v>
      </c>
      <c r="CJ322" t="s">
        <v>561</v>
      </c>
      <c r="DJ322" t="s">
        <v>184</v>
      </c>
      <c r="DK322" t="s">
        <v>185</v>
      </c>
      <c r="DN322" t="s">
        <v>170</v>
      </c>
      <c r="DO322" t="s">
        <v>197</v>
      </c>
      <c r="DP322" t="s">
        <v>169</v>
      </c>
      <c r="DQ322" t="s">
        <v>198</v>
      </c>
      <c r="EB322">
        <v>3</v>
      </c>
      <c r="EC322">
        <v>3</v>
      </c>
      <c r="EE322" t="s">
        <v>972</v>
      </c>
      <c r="EF322">
        <v>6</v>
      </c>
      <c r="EV322">
        <v>6000</v>
      </c>
      <c r="EW322">
        <v>531</v>
      </c>
      <c r="EX322">
        <v>522</v>
      </c>
      <c r="EY322">
        <v>527</v>
      </c>
    </row>
    <row r="323" spans="1:155" x14ac:dyDescent="0.35">
      <c r="A323">
        <v>2025</v>
      </c>
      <c r="B323" t="s">
        <v>220</v>
      </c>
      <c r="C323" t="s">
        <v>994</v>
      </c>
      <c r="D323" t="s">
        <v>1045</v>
      </c>
      <c r="E323" t="s">
        <v>223</v>
      </c>
      <c r="F323">
        <v>733</v>
      </c>
      <c r="G323">
        <v>2.7</v>
      </c>
      <c r="H323">
        <v>4</v>
      </c>
      <c r="I323" t="s">
        <v>164</v>
      </c>
      <c r="J323">
        <v>16</v>
      </c>
      <c r="K323">
        <v>16</v>
      </c>
      <c r="L323">
        <v>16</v>
      </c>
      <c r="M323">
        <v>20.3</v>
      </c>
      <c r="N323">
        <v>25.3</v>
      </c>
      <c r="O323">
        <v>22.281600000000001</v>
      </c>
      <c r="P323">
        <v>15.848599999999999</v>
      </c>
      <c r="Q323">
        <v>15.596500000000001</v>
      </c>
      <c r="R323">
        <v>15.7342</v>
      </c>
      <c r="T323" t="s">
        <v>165</v>
      </c>
      <c r="U323" t="s">
        <v>166</v>
      </c>
      <c r="V323" t="s">
        <v>167</v>
      </c>
      <c r="W323" t="s">
        <v>168</v>
      </c>
      <c r="Y323">
        <v>8</v>
      </c>
      <c r="Z323" t="s">
        <v>169</v>
      </c>
      <c r="AA323" t="s">
        <v>170</v>
      </c>
      <c r="AB323">
        <v>4</v>
      </c>
      <c r="AC323" t="s">
        <v>601</v>
      </c>
      <c r="AD323">
        <v>10</v>
      </c>
      <c r="AG323" t="s">
        <v>210</v>
      </c>
      <c r="AH323" t="s">
        <v>444</v>
      </c>
      <c r="AI323" t="s">
        <v>175</v>
      </c>
      <c r="AJ323" t="s">
        <v>176</v>
      </c>
      <c r="AK323" t="s">
        <v>940</v>
      </c>
      <c r="AL323" t="s">
        <v>941</v>
      </c>
      <c r="AS323">
        <v>3300</v>
      </c>
      <c r="AT323">
        <v>3300</v>
      </c>
      <c r="BN323" t="s">
        <v>178</v>
      </c>
      <c r="BO323">
        <v>2</v>
      </c>
      <c r="BP323">
        <v>2</v>
      </c>
      <c r="BQ323">
        <v>13</v>
      </c>
      <c r="BR323" t="s">
        <v>1016</v>
      </c>
      <c r="BT323" t="s">
        <v>225</v>
      </c>
      <c r="BU323" s="1">
        <v>45618</v>
      </c>
      <c r="BV323">
        <v>35837</v>
      </c>
      <c r="BX323" t="s">
        <v>169</v>
      </c>
      <c r="BY323" t="s">
        <v>170</v>
      </c>
      <c r="CB323" t="s">
        <v>170</v>
      </c>
      <c r="CC323" t="s">
        <v>170</v>
      </c>
      <c r="CD323" t="s">
        <v>560</v>
      </c>
      <c r="CE323" t="s">
        <v>169</v>
      </c>
      <c r="CF323" t="s">
        <v>227</v>
      </c>
      <c r="CG323" t="s">
        <v>169</v>
      </c>
      <c r="CH323" t="s">
        <v>240</v>
      </c>
      <c r="CI323" t="s">
        <v>169</v>
      </c>
      <c r="CJ323" t="s">
        <v>561</v>
      </c>
      <c r="DJ323" t="s">
        <v>184</v>
      </c>
      <c r="DK323" t="s">
        <v>185</v>
      </c>
      <c r="DN323" t="s">
        <v>170</v>
      </c>
      <c r="DO323" t="s">
        <v>197</v>
      </c>
      <c r="DP323" t="s">
        <v>169</v>
      </c>
      <c r="DQ323" t="s">
        <v>198</v>
      </c>
      <c r="EB323">
        <v>3</v>
      </c>
      <c r="EC323">
        <v>3</v>
      </c>
      <c r="EE323" t="s">
        <v>972</v>
      </c>
      <c r="EF323">
        <v>6</v>
      </c>
      <c r="EV323">
        <v>7000</v>
      </c>
      <c r="EW323">
        <v>559</v>
      </c>
      <c r="EX323">
        <v>570</v>
      </c>
      <c r="EY323">
        <v>564</v>
      </c>
    </row>
    <row r="324" spans="1:155" x14ac:dyDescent="0.35">
      <c r="A324">
        <v>2025</v>
      </c>
      <c r="B324" t="s">
        <v>220</v>
      </c>
      <c r="C324" t="s">
        <v>994</v>
      </c>
      <c r="D324" t="s">
        <v>996</v>
      </c>
      <c r="E324" t="s">
        <v>223</v>
      </c>
      <c r="F324">
        <v>500</v>
      </c>
      <c r="G324">
        <v>3</v>
      </c>
      <c r="H324">
        <v>6</v>
      </c>
      <c r="I324" t="s">
        <v>443</v>
      </c>
      <c r="J324">
        <v>23</v>
      </c>
      <c r="K324">
        <v>29</v>
      </c>
      <c r="L324">
        <v>26</v>
      </c>
      <c r="M324">
        <v>30.082599999999999</v>
      </c>
      <c r="N324">
        <v>44.963000000000001</v>
      </c>
      <c r="O324">
        <v>35.346699999999998</v>
      </c>
      <c r="P324">
        <v>23.443999999999999</v>
      </c>
      <c r="Q324">
        <v>28.5871</v>
      </c>
      <c r="R324">
        <v>25.5092</v>
      </c>
      <c r="T324" t="s">
        <v>165</v>
      </c>
      <c r="U324" t="s">
        <v>166</v>
      </c>
      <c r="V324" t="s">
        <v>167</v>
      </c>
      <c r="W324" t="s">
        <v>168</v>
      </c>
      <c r="Y324">
        <v>10</v>
      </c>
      <c r="Z324" t="s">
        <v>169</v>
      </c>
      <c r="AA324" t="s">
        <v>170</v>
      </c>
      <c r="AB324" t="s">
        <v>171</v>
      </c>
      <c r="AC324" t="s">
        <v>172</v>
      </c>
      <c r="AE324">
        <v>20</v>
      </c>
      <c r="AG324" t="s">
        <v>975</v>
      </c>
      <c r="AH324" t="s">
        <v>976</v>
      </c>
      <c r="AI324" t="s">
        <v>175</v>
      </c>
      <c r="AJ324" t="s">
        <v>176</v>
      </c>
      <c r="AK324" t="s">
        <v>940</v>
      </c>
      <c r="AL324" t="s">
        <v>941</v>
      </c>
      <c r="AS324">
        <v>2350</v>
      </c>
      <c r="AT324">
        <v>2350</v>
      </c>
      <c r="BO324">
        <v>2</v>
      </c>
      <c r="BP324">
        <v>2</v>
      </c>
      <c r="BQ324">
        <v>12</v>
      </c>
      <c r="BR324" t="s">
        <v>971</v>
      </c>
      <c r="BT324" t="s">
        <v>457</v>
      </c>
      <c r="BU324" s="1">
        <v>45511</v>
      </c>
      <c r="BV324">
        <v>35344</v>
      </c>
      <c r="BX324" t="s">
        <v>170</v>
      </c>
      <c r="BY324" t="s">
        <v>170</v>
      </c>
      <c r="CB324" t="s">
        <v>170</v>
      </c>
      <c r="CC324" t="s">
        <v>170</v>
      </c>
      <c r="CE324" t="s">
        <v>170</v>
      </c>
      <c r="CG324" t="s">
        <v>170</v>
      </c>
      <c r="CI324" t="s">
        <v>170</v>
      </c>
      <c r="DJ324" t="s">
        <v>977</v>
      </c>
      <c r="DK324" t="s">
        <v>978</v>
      </c>
      <c r="DN324" t="s">
        <v>170</v>
      </c>
      <c r="DO324" t="s">
        <v>197</v>
      </c>
      <c r="DP324" t="s">
        <v>169</v>
      </c>
      <c r="DQ324" t="s">
        <v>198</v>
      </c>
      <c r="EB324">
        <v>5</v>
      </c>
      <c r="EC324">
        <v>5</v>
      </c>
      <c r="EE324" t="s">
        <v>979</v>
      </c>
      <c r="EF324">
        <v>4</v>
      </c>
      <c r="EV324">
        <v>2250</v>
      </c>
      <c r="EW324">
        <v>434</v>
      </c>
      <c r="EX324">
        <v>356</v>
      </c>
      <c r="EY324">
        <v>399</v>
      </c>
    </row>
    <row r="325" spans="1:155" x14ac:dyDescent="0.35">
      <c r="A325">
        <v>2025</v>
      </c>
      <c r="B325" t="s">
        <v>220</v>
      </c>
      <c r="C325" t="s">
        <v>994</v>
      </c>
      <c r="D325" t="s">
        <v>996</v>
      </c>
      <c r="E325" t="s">
        <v>223</v>
      </c>
      <c r="F325">
        <v>511</v>
      </c>
      <c r="G325">
        <v>2.7</v>
      </c>
      <c r="H325">
        <v>4</v>
      </c>
      <c r="I325" t="s">
        <v>164</v>
      </c>
      <c r="J325">
        <v>18</v>
      </c>
      <c r="K325">
        <v>21</v>
      </c>
      <c r="L325">
        <v>19</v>
      </c>
      <c r="M325">
        <v>22.411300000000001</v>
      </c>
      <c r="N325">
        <v>34.2821</v>
      </c>
      <c r="O325">
        <v>26.547999999999998</v>
      </c>
      <c r="P325">
        <v>17.615200000000002</v>
      </c>
      <c r="Q325">
        <v>20.923300000000001</v>
      </c>
      <c r="R325">
        <v>18.964500000000001</v>
      </c>
      <c r="T325" t="s">
        <v>165</v>
      </c>
      <c r="U325" t="s">
        <v>166</v>
      </c>
      <c r="V325" t="s">
        <v>167</v>
      </c>
      <c r="W325" t="s">
        <v>168</v>
      </c>
      <c r="Y325">
        <v>8</v>
      </c>
      <c r="Z325" t="s">
        <v>169</v>
      </c>
      <c r="AA325" t="s">
        <v>170</v>
      </c>
      <c r="AB325" t="s">
        <v>171</v>
      </c>
      <c r="AC325" t="s">
        <v>172</v>
      </c>
      <c r="AD325">
        <v>10</v>
      </c>
      <c r="AG325" t="s">
        <v>210</v>
      </c>
      <c r="AH325" t="s">
        <v>444</v>
      </c>
      <c r="AI325" t="s">
        <v>175</v>
      </c>
      <c r="AJ325" t="s">
        <v>176</v>
      </c>
      <c r="AK325" t="s">
        <v>940</v>
      </c>
      <c r="AL325" t="s">
        <v>941</v>
      </c>
      <c r="AS325">
        <v>2750</v>
      </c>
      <c r="AT325">
        <v>2750</v>
      </c>
      <c r="BN325" t="s">
        <v>178</v>
      </c>
      <c r="BO325">
        <v>2</v>
      </c>
      <c r="BP325">
        <v>2</v>
      </c>
      <c r="BQ325">
        <v>12</v>
      </c>
      <c r="BR325" t="s">
        <v>971</v>
      </c>
      <c r="BT325" t="s">
        <v>225</v>
      </c>
      <c r="BU325" s="1">
        <v>45512</v>
      </c>
      <c r="BV325">
        <v>35364</v>
      </c>
      <c r="BX325" t="s">
        <v>170</v>
      </c>
      <c r="BY325" t="s">
        <v>170</v>
      </c>
      <c r="CB325" t="s">
        <v>170</v>
      </c>
      <c r="CC325" t="s">
        <v>170</v>
      </c>
      <c r="CD325" t="s">
        <v>560</v>
      </c>
      <c r="CE325" t="s">
        <v>169</v>
      </c>
      <c r="CF325" t="s">
        <v>227</v>
      </c>
      <c r="CG325" t="s">
        <v>169</v>
      </c>
      <c r="CH325" t="s">
        <v>240</v>
      </c>
      <c r="CI325" t="s">
        <v>169</v>
      </c>
      <c r="CJ325" t="s">
        <v>561</v>
      </c>
      <c r="DJ325" t="s">
        <v>184</v>
      </c>
      <c r="DK325" t="s">
        <v>185</v>
      </c>
      <c r="DN325" t="s">
        <v>170</v>
      </c>
      <c r="DO325" t="s">
        <v>197</v>
      </c>
      <c r="DP325" t="s">
        <v>169</v>
      </c>
      <c r="DQ325" t="s">
        <v>198</v>
      </c>
      <c r="EB325">
        <v>4</v>
      </c>
      <c r="EC325">
        <v>4</v>
      </c>
      <c r="EE325" t="s">
        <v>972</v>
      </c>
      <c r="EF325">
        <v>6</v>
      </c>
      <c r="EV325">
        <v>4250</v>
      </c>
      <c r="EW325">
        <v>503</v>
      </c>
      <c r="EX325">
        <v>426</v>
      </c>
      <c r="EY325">
        <v>468</v>
      </c>
    </row>
    <row r="326" spans="1:155" x14ac:dyDescent="0.35">
      <c r="A326">
        <v>2025</v>
      </c>
      <c r="B326" t="s">
        <v>220</v>
      </c>
      <c r="C326" t="s">
        <v>994</v>
      </c>
      <c r="D326" t="s">
        <v>996</v>
      </c>
      <c r="E326" t="s">
        <v>223</v>
      </c>
      <c r="F326">
        <v>521</v>
      </c>
      <c r="G326">
        <v>2.7</v>
      </c>
      <c r="H326">
        <v>4</v>
      </c>
      <c r="I326" t="s">
        <v>164</v>
      </c>
      <c r="J326">
        <v>17</v>
      </c>
      <c r="K326">
        <v>21</v>
      </c>
      <c r="L326">
        <v>19</v>
      </c>
      <c r="M326">
        <v>22.247199999999999</v>
      </c>
      <c r="N326">
        <v>34.299999999999997</v>
      </c>
      <c r="O326">
        <v>26.425799999999999</v>
      </c>
      <c r="P326">
        <v>17.491800000000001</v>
      </c>
      <c r="Q326">
        <v>20.925999999999998</v>
      </c>
      <c r="R326">
        <v>18.886600000000001</v>
      </c>
      <c r="T326" t="s">
        <v>165</v>
      </c>
      <c r="U326" t="s">
        <v>166</v>
      </c>
      <c r="V326" t="s">
        <v>167</v>
      </c>
      <c r="W326" t="s">
        <v>168</v>
      </c>
      <c r="Y326">
        <v>8</v>
      </c>
      <c r="Z326" t="s">
        <v>169</v>
      </c>
      <c r="AA326" t="s">
        <v>170</v>
      </c>
      <c r="AB326" t="s">
        <v>171</v>
      </c>
      <c r="AC326" t="s">
        <v>172</v>
      </c>
      <c r="AD326">
        <v>10</v>
      </c>
      <c r="AG326" t="s">
        <v>210</v>
      </c>
      <c r="AH326" t="s">
        <v>444</v>
      </c>
      <c r="AI326" t="s">
        <v>175</v>
      </c>
      <c r="AJ326" t="s">
        <v>176</v>
      </c>
      <c r="AK326" t="s">
        <v>940</v>
      </c>
      <c r="AL326" t="s">
        <v>941</v>
      </c>
      <c r="AS326">
        <v>2750</v>
      </c>
      <c r="AT326">
        <v>2750</v>
      </c>
      <c r="BN326" t="s">
        <v>178</v>
      </c>
      <c r="BO326">
        <v>2</v>
      </c>
      <c r="BP326">
        <v>2</v>
      </c>
      <c r="BQ326">
        <v>12</v>
      </c>
      <c r="BR326" t="s">
        <v>971</v>
      </c>
      <c r="BT326" t="s">
        <v>225</v>
      </c>
      <c r="BU326" s="1">
        <v>45512</v>
      </c>
      <c r="BV326">
        <v>35370</v>
      </c>
      <c r="BX326" t="s">
        <v>170</v>
      </c>
      <c r="BY326" t="s">
        <v>170</v>
      </c>
      <c r="CB326" t="s">
        <v>170</v>
      </c>
      <c r="CC326" t="s">
        <v>170</v>
      </c>
      <c r="CD326" t="s">
        <v>560</v>
      </c>
      <c r="CE326" t="s">
        <v>169</v>
      </c>
      <c r="CF326" t="s">
        <v>227</v>
      </c>
      <c r="CG326" t="s">
        <v>169</v>
      </c>
      <c r="CH326" t="s">
        <v>240</v>
      </c>
      <c r="CI326" t="s">
        <v>169</v>
      </c>
      <c r="CJ326" t="s">
        <v>561</v>
      </c>
      <c r="DJ326" t="s">
        <v>184</v>
      </c>
      <c r="DK326" t="s">
        <v>185</v>
      </c>
      <c r="DN326" t="s">
        <v>170</v>
      </c>
      <c r="DO326" t="s">
        <v>197</v>
      </c>
      <c r="DP326" t="s">
        <v>169</v>
      </c>
      <c r="DQ326" t="s">
        <v>198</v>
      </c>
      <c r="DR326" t="s">
        <v>974</v>
      </c>
      <c r="EB326">
        <v>4</v>
      </c>
      <c r="EC326">
        <v>4</v>
      </c>
      <c r="EE326" t="s">
        <v>972</v>
      </c>
      <c r="EF326">
        <v>6</v>
      </c>
      <c r="EV326">
        <v>4250</v>
      </c>
      <c r="EW326">
        <v>506</v>
      </c>
      <c r="EX326">
        <v>426</v>
      </c>
      <c r="EY326">
        <v>470</v>
      </c>
    </row>
    <row r="327" spans="1:155" x14ac:dyDescent="0.35">
      <c r="A327">
        <v>2025</v>
      </c>
      <c r="B327" t="s">
        <v>220</v>
      </c>
      <c r="C327" t="s">
        <v>994</v>
      </c>
      <c r="D327" t="s">
        <v>996</v>
      </c>
      <c r="E327" t="s">
        <v>223</v>
      </c>
      <c r="F327">
        <v>566</v>
      </c>
      <c r="G327">
        <v>5.3</v>
      </c>
      <c r="H327">
        <v>8</v>
      </c>
      <c r="I327" t="s">
        <v>443</v>
      </c>
      <c r="J327">
        <v>16</v>
      </c>
      <c r="K327">
        <v>21</v>
      </c>
      <c r="L327">
        <v>18</v>
      </c>
      <c r="M327">
        <v>20.100100000000001</v>
      </c>
      <c r="N327">
        <v>32.7986</v>
      </c>
      <c r="O327">
        <v>24.340900000000001</v>
      </c>
      <c r="P327">
        <v>15.9621</v>
      </c>
      <c r="Q327">
        <v>21</v>
      </c>
      <c r="R327">
        <v>18.102599999999999</v>
      </c>
      <c r="U327" t="s">
        <v>224</v>
      </c>
      <c r="V327" t="s">
        <v>167</v>
      </c>
      <c r="W327" t="s">
        <v>168</v>
      </c>
      <c r="Y327">
        <v>10</v>
      </c>
      <c r="Z327" t="s">
        <v>169</v>
      </c>
      <c r="AA327" t="s">
        <v>170</v>
      </c>
      <c r="AB327" t="s">
        <v>171</v>
      </c>
      <c r="AC327" t="s">
        <v>172</v>
      </c>
      <c r="AD327">
        <v>10</v>
      </c>
      <c r="AG327" t="s">
        <v>210</v>
      </c>
      <c r="AH327" t="s">
        <v>444</v>
      </c>
      <c r="AI327" t="s">
        <v>175</v>
      </c>
      <c r="AJ327" t="s">
        <v>176</v>
      </c>
      <c r="AK327" t="s">
        <v>940</v>
      </c>
      <c r="AL327" t="s">
        <v>941</v>
      </c>
      <c r="AS327">
        <v>2900</v>
      </c>
      <c r="AT327">
        <v>2900</v>
      </c>
      <c r="BN327" t="s">
        <v>178</v>
      </c>
      <c r="BO327">
        <v>1</v>
      </c>
      <c r="BP327">
        <v>1</v>
      </c>
      <c r="BQ327">
        <v>12</v>
      </c>
      <c r="BR327" t="s">
        <v>971</v>
      </c>
      <c r="BT327" t="s">
        <v>225</v>
      </c>
      <c r="BU327" s="1">
        <v>45502</v>
      </c>
      <c r="BV327">
        <v>35294</v>
      </c>
      <c r="BX327" t="s">
        <v>170</v>
      </c>
      <c r="BY327" t="s">
        <v>170</v>
      </c>
      <c r="CB327" t="s">
        <v>170</v>
      </c>
      <c r="CC327" t="s">
        <v>170</v>
      </c>
      <c r="CE327" t="s">
        <v>169</v>
      </c>
      <c r="CF327" t="s">
        <v>980</v>
      </c>
      <c r="CG327" t="s">
        <v>169</v>
      </c>
      <c r="CH327" t="s">
        <v>981</v>
      </c>
      <c r="CI327" t="s">
        <v>170</v>
      </c>
      <c r="DJ327" t="s">
        <v>184</v>
      </c>
      <c r="DK327" t="s">
        <v>185</v>
      </c>
      <c r="DN327" t="s">
        <v>170</v>
      </c>
      <c r="DO327" t="s">
        <v>197</v>
      </c>
      <c r="DP327" t="s">
        <v>169</v>
      </c>
      <c r="DQ327" t="s">
        <v>198</v>
      </c>
      <c r="DR327" t="s">
        <v>974</v>
      </c>
      <c r="EB327">
        <v>4</v>
      </c>
      <c r="EC327">
        <v>4</v>
      </c>
      <c r="EE327" t="s">
        <v>982</v>
      </c>
      <c r="EF327">
        <v>6</v>
      </c>
      <c r="EV327">
        <v>5000</v>
      </c>
      <c r="EW327">
        <v>554</v>
      </c>
      <c r="EX327">
        <v>423</v>
      </c>
      <c r="EY327">
        <v>495</v>
      </c>
    </row>
    <row r="328" spans="1:155" x14ac:dyDescent="0.35">
      <c r="A328">
        <v>2025</v>
      </c>
      <c r="B328" t="s">
        <v>220</v>
      </c>
      <c r="C328" t="s">
        <v>994</v>
      </c>
      <c r="D328" t="s">
        <v>996</v>
      </c>
      <c r="E328" t="s">
        <v>223</v>
      </c>
      <c r="F328">
        <v>572</v>
      </c>
      <c r="G328">
        <v>5.3</v>
      </c>
      <c r="H328">
        <v>8</v>
      </c>
      <c r="I328" t="s">
        <v>443</v>
      </c>
      <c r="J328">
        <v>16</v>
      </c>
      <c r="K328">
        <v>20</v>
      </c>
      <c r="L328">
        <v>17</v>
      </c>
      <c r="M328">
        <v>20.170100000000001</v>
      </c>
      <c r="N328">
        <v>30.6355</v>
      </c>
      <c r="O328">
        <v>23.834</v>
      </c>
      <c r="P328">
        <v>15.8058</v>
      </c>
      <c r="Q328">
        <v>20.116900000000001</v>
      </c>
      <c r="R328">
        <v>17.492699999999999</v>
      </c>
      <c r="U328" t="s">
        <v>224</v>
      </c>
      <c r="V328" t="s">
        <v>167</v>
      </c>
      <c r="W328" t="s">
        <v>168</v>
      </c>
      <c r="Y328">
        <v>10</v>
      </c>
      <c r="Z328" t="s">
        <v>169</v>
      </c>
      <c r="AA328" t="s">
        <v>170</v>
      </c>
      <c r="AB328" t="s">
        <v>171</v>
      </c>
      <c r="AC328" t="s">
        <v>172</v>
      </c>
      <c r="AD328">
        <v>10</v>
      </c>
      <c r="AG328" t="s">
        <v>210</v>
      </c>
      <c r="AH328" t="s">
        <v>444</v>
      </c>
      <c r="AI328" t="s">
        <v>175</v>
      </c>
      <c r="AJ328" t="s">
        <v>176</v>
      </c>
      <c r="AK328" t="s">
        <v>940</v>
      </c>
      <c r="AL328" t="s">
        <v>941</v>
      </c>
      <c r="AS328">
        <v>3100</v>
      </c>
      <c r="AT328">
        <v>3100</v>
      </c>
      <c r="BN328" t="s">
        <v>178</v>
      </c>
      <c r="BO328">
        <v>1</v>
      </c>
      <c r="BP328">
        <v>1</v>
      </c>
      <c r="BQ328">
        <v>12</v>
      </c>
      <c r="BR328" t="s">
        <v>971</v>
      </c>
      <c r="BT328" t="s">
        <v>225</v>
      </c>
      <c r="BU328" s="1">
        <v>45502</v>
      </c>
      <c r="BV328">
        <v>35284</v>
      </c>
      <c r="BX328" t="s">
        <v>170</v>
      </c>
      <c r="BY328" t="s">
        <v>170</v>
      </c>
      <c r="CB328" t="s">
        <v>170</v>
      </c>
      <c r="CC328" t="s">
        <v>170</v>
      </c>
      <c r="CE328" t="s">
        <v>169</v>
      </c>
      <c r="CF328" t="s">
        <v>980</v>
      </c>
      <c r="CG328" t="s">
        <v>169</v>
      </c>
      <c r="CH328" t="s">
        <v>981</v>
      </c>
      <c r="CI328" t="s">
        <v>170</v>
      </c>
      <c r="DJ328" t="s">
        <v>184</v>
      </c>
      <c r="DK328" t="s">
        <v>185</v>
      </c>
      <c r="DN328" t="s">
        <v>170</v>
      </c>
      <c r="DO328" t="s">
        <v>197</v>
      </c>
      <c r="DP328" t="s">
        <v>169</v>
      </c>
      <c r="DQ328" t="s">
        <v>198</v>
      </c>
      <c r="EB328">
        <v>3</v>
      </c>
      <c r="EC328">
        <v>3</v>
      </c>
      <c r="EE328" t="s">
        <v>982</v>
      </c>
      <c r="EF328">
        <v>6</v>
      </c>
      <c r="EV328">
        <v>6000</v>
      </c>
      <c r="EW328">
        <v>559</v>
      </c>
      <c r="EX328">
        <v>442</v>
      </c>
      <c r="EY328">
        <v>507</v>
      </c>
    </row>
    <row r="329" spans="1:155" x14ac:dyDescent="0.35">
      <c r="A329">
        <v>2025</v>
      </c>
      <c r="B329" t="s">
        <v>220</v>
      </c>
      <c r="C329" t="s">
        <v>994</v>
      </c>
      <c r="D329" t="s">
        <v>1075</v>
      </c>
      <c r="E329" t="s">
        <v>223</v>
      </c>
      <c r="F329">
        <v>574</v>
      </c>
      <c r="G329">
        <v>5.3</v>
      </c>
      <c r="H329">
        <v>8</v>
      </c>
      <c r="I329" t="s">
        <v>443</v>
      </c>
      <c r="J329">
        <v>15</v>
      </c>
      <c r="K329">
        <v>18</v>
      </c>
      <c r="L329">
        <v>16</v>
      </c>
      <c r="M329">
        <v>18.533200000000001</v>
      </c>
      <c r="N329">
        <v>26.0913</v>
      </c>
      <c r="O329">
        <v>21.311199999999999</v>
      </c>
      <c r="P329">
        <v>15.005699999999999</v>
      </c>
      <c r="Q329">
        <v>17.6371</v>
      </c>
      <c r="R329">
        <v>16.085699999999999</v>
      </c>
      <c r="U329" t="s">
        <v>224</v>
      </c>
      <c r="V329" t="s">
        <v>167</v>
      </c>
      <c r="W329" t="s">
        <v>168</v>
      </c>
      <c r="Y329">
        <v>10</v>
      </c>
      <c r="Z329" t="s">
        <v>169</v>
      </c>
      <c r="AA329" t="s">
        <v>170</v>
      </c>
      <c r="AB329" t="s">
        <v>171</v>
      </c>
      <c r="AC329" t="s">
        <v>172</v>
      </c>
      <c r="AD329">
        <v>10</v>
      </c>
      <c r="AG329" t="s">
        <v>210</v>
      </c>
      <c r="AH329" t="s">
        <v>444</v>
      </c>
      <c r="AI329" t="s">
        <v>175</v>
      </c>
      <c r="AJ329" t="s">
        <v>176</v>
      </c>
      <c r="AK329" t="s">
        <v>940</v>
      </c>
      <c r="AL329" t="s">
        <v>941</v>
      </c>
      <c r="AS329">
        <v>3300</v>
      </c>
      <c r="AT329">
        <v>3300</v>
      </c>
      <c r="BN329" t="s">
        <v>178</v>
      </c>
      <c r="BO329">
        <v>1</v>
      </c>
      <c r="BP329">
        <v>1</v>
      </c>
      <c r="BQ329">
        <v>19</v>
      </c>
      <c r="BR329" t="s">
        <v>1073</v>
      </c>
      <c r="BS329" t="s">
        <v>1070</v>
      </c>
      <c r="BT329" t="s">
        <v>225</v>
      </c>
      <c r="BU329" s="1">
        <v>45502</v>
      </c>
      <c r="BV329">
        <v>35286</v>
      </c>
      <c r="BX329" t="s">
        <v>169</v>
      </c>
      <c r="BY329" t="s">
        <v>170</v>
      </c>
      <c r="CB329" t="s">
        <v>170</v>
      </c>
      <c r="CC329" t="s">
        <v>170</v>
      </c>
      <c r="CE329" t="s">
        <v>169</v>
      </c>
      <c r="CF329" t="s">
        <v>980</v>
      </c>
      <c r="CG329" t="s">
        <v>169</v>
      </c>
      <c r="CH329" t="s">
        <v>981</v>
      </c>
      <c r="CI329" t="s">
        <v>170</v>
      </c>
      <c r="DJ329" t="s">
        <v>184</v>
      </c>
      <c r="DK329" t="s">
        <v>185</v>
      </c>
      <c r="DN329" t="s">
        <v>170</v>
      </c>
      <c r="DO329" t="s">
        <v>197</v>
      </c>
      <c r="DP329" t="s">
        <v>169</v>
      </c>
      <c r="DQ329" t="s">
        <v>198</v>
      </c>
      <c r="EB329">
        <v>3</v>
      </c>
      <c r="EC329">
        <v>3</v>
      </c>
      <c r="EE329" t="s">
        <v>982</v>
      </c>
      <c r="EF329">
        <v>6</v>
      </c>
      <c r="EV329">
        <v>7000</v>
      </c>
      <c r="EW329">
        <v>589</v>
      </c>
      <c r="EX329">
        <v>504</v>
      </c>
      <c r="EY329">
        <v>551</v>
      </c>
    </row>
    <row r="330" spans="1:155" x14ac:dyDescent="0.35">
      <c r="A330">
        <v>2025</v>
      </c>
      <c r="B330" t="s">
        <v>220</v>
      </c>
      <c r="C330" t="s">
        <v>994</v>
      </c>
      <c r="D330" t="s">
        <v>1046</v>
      </c>
      <c r="E330" t="s">
        <v>223</v>
      </c>
      <c r="F330">
        <v>503</v>
      </c>
      <c r="G330">
        <v>3</v>
      </c>
      <c r="H330">
        <v>6</v>
      </c>
      <c r="I330" t="s">
        <v>443</v>
      </c>
      <c r="J330">
        <v>22</v>
      </c>
      <c r="K330">
        <v>26</v>
      </c>
      <c r="L330">
        <v>24</v>
      </c>
      <c r="M330">
        <v>28.2</v>
      </c>
      <c r="N330">
        <v>41.4</v>
      </c>
      <c r="O330">
        <v>32.923900000000003</v>
      </c>
      <c r="P330">
        <v>22.1096</v>
      </c>
      <c r="Q330">
        <v>26.038499999999999</v>
      </c>
      <c r="R330">
        <v>23.720199999999998</v>
      </c>
      <c r="T330" t="s">
        <v>165</v>
      </c>
      <c r="U330" t="s">
        <v>166</v>
      </c>
      <c r="V330" t="s">
        <v>167</v>
      </c>
      <c r="W330" t="s">
        <v>168</v>
      </c>
      <c r="Y330">
        <v>10</v>
      </c>
      <c r="Z330" t="s">
        <v>169</v>
      </c>
      <c r="AA330" t="s">
        <v>170</v>
      </c>
      <c r="AB330">
        <v>4</v>
      </c>
      <c r="AC330" t="s">
        <v>601</v>
      </c>
      <c r="AE330">
        <v>20</v>
      </c>
      <c r="AG330" t="s">
        <v>975</v>
      </c>
      <c r="AH330" t="s">
        <v>976</v>
      </c>
      <c r="AI330" t="s">
        <v>175</v>
      </c>
      <c r="AJ330" t="s">
        <v>176</v>
      </c>
      <c r="AK330" t="s">
        <v>940</v>
      </c>
      <c r="AL330" t="s">
        <v>941</v>
      </c>
      <c r="AS330">
        <v>2550</v>
      </c>
      <c r="AT330">
        <v>2550</v>
      </c>
      <c r="BO330">
        <v>2</v>
      </c>
      <c r="BP330">
        <v>2</v>
      </c>
      <c r="BQ330">
        <v>13</v>
      </c>
      <c r="BR330" t="s">
        <v>1016</v>
      </c>
      <c r="BT330" t="s">
        <v>457</v>
      </c>
      <c r="BU330" s="1">
        <v>45510</v>
      </c>
      <c r="BV330">
        <v>35351</v>
      </c>
      <c r="BX330" t="s">
        <v>170</v>
      </c>
      <c r="BY330" t="s">
        <v>170</v>
      </c>
      <c r="CB330" t="s">
        <v>170</v>
      </c>
      <c r="CC330" t="s">
        <v>170</v>
      </c>
      <c r="CE330" t="s">
        <v>170</v>
      </c>
      <c r="CG330" t="s">
        <v>170</v>
      </c>
      <c r="CI330" t="s">
        <v>170</v>
      </c>
      <c r="DJ330" t="s">
        <v>977</v>
      </c>
      <c r="DK330" t="s">
        <v>978</v>
      </c>
      <c r="DN330" t="s">
        <v>170</v>
      </c>
      <c r="DO330" t="s">
        <v>197</v>
      </c>
      <c r="DP330" t="s">
        <v>169</v>
      </c>
      <c r="DQ330" t="s">
        <v>198</v>
      </c>
      <c r="DR330" t="s">
        <v>974</v>
      </c>
      <c r="EB330">
        <v>5</v>
      </c>
      <c r="EC330">
        <v>4</v>
      </c>
      <c r="EE330" t="s">
        <v>979</v>
      </c>
      <c r="EF330">
        <v>4</v>
      </c>
      <c r="EV330">
        <v>3250</v>
      </c>
      <c r="EW330">
        <v>459</v>
      </c>
      <c r="EX330">
        <v>391</v>
      </c>
      <c r="EY330">
        <v>428</v>
      </c>
    </row>
    <row r="331" spans="1:155" x14ac:dyDescent="0.35">
      <c r="A331">
        <v>2025</v>
      </c>
      <c r="B331" t="s">
        <v>220</v>
      </c>
      <c r="C331" t="s">
        <v>994</v>
      </c>
      <c r="D331" t="s">
        <v>1046</v>
      </c>
      <c r="E331" t="s">
        <v>223</v>
      </c>
      <c r="F331">
        <v>513</v>
      </c>
      <c r="G331">
        <v>2.7</v>
      </c>
      <c r="H331">
        <v>4</v>
      </c>
      <c r="I331" t="s">
        <v>164</v>
      </c>
      <c r="J331">
        <v>17</v>
      </c>
      <c r="K331">
        <v>18</v>
      </c>
      <c r="L331">
        <v>17</v>
      </c>
      <c r="M331">
        <v>21</v>
      </c>
      <c r="N331">
        <v>30.5</v>
      </c>
      <c r="O331">
        <v>24.423300000000001</v>
      </c>
      <c r="P331">
        <v>16.535599999999999</v>
      </c>
      <c r="Q331">
        <v>18.183700000000002</v>
      </c>
      <c r="R331">
        <v>17.238700000000001</v>
      </c>
      <c r="T331" t="s">
        <v>165</v>
      </c>
      <c r="U331" t="s">
        <v>166</v>
      </c>
      <c r="V331" t="s">
        <v>167</v>
      </c>
      <c r="W331" t="s">
        <v>168</v>
      </c>
      <c r="Y331">
        <v>8</v>
      </c>
      <c r="Z331" t="s">
        <v>169</v>
      </c>
      <c r="AA331" t="s">
        <v>170</v>
      </c>
      <c r="AB331">
        <v>4</v>
      </c>
      <c r="AC331" t="s">
        <v>601</v>
      </c>
      <c r="AD331">
        <v>10</v>
      </c>
      <c r="AG331" t="s">
        <v>210</v>
      </c>
      <c r="AH331" t="s">
        <v>444</v>
      </c>
      <c r="AI331" t="s">
        <v>175</v>
      </c>
      <c r="AJ331" t="s">
        <v>176</v>
      </c>
      <c r="AK331" t="s">
        <v>940</v>
      </c>
      <c r="AL331" t="s">
        <v>941</v>
      </c>
      <c r="AS331">
        <v>3100</v>
      </c>
      <c r="AT331">
        <v>3100</v>
      </c>
      <c r="BN331" t="s">
        <v>178</v>
      </c>
      <c r="BO331">
        <v>2</v>
      </c>
      <c r="BP331">
        <v>2</v>
      </c>
      <c r="BQ331">
        <v>13</v>
      </c>
      <c r="BR331" t="s">
        <v>1016</v>
      </c>
      <c r="BT331" t="s">
        <v>225</v>
      </c>
      <c r="BU331" s="1">
        <v>45512</v>
      </c>
      <c r="BV331">
        <v>35373</v>
      </c>
      <c r="BX331" t="s">
        <v>170</v>
      </c>
      <c r="BY331" t="s">
        <v>170</v>
      </c>
      <c r="CB331" t="s">
        <v>170</v>
      </c>
      <c r="CC331" t="s">
        <v>170</v>
      </c>
      <c r="CD331" t="s">
        <v>560</v>
      </c>
      <c r="CE331" t="s">
        <v>169</v>
      </c>
      <c r="CF331" t="s">
        <v>227</v>
      </c>
      <c r="CG331" t="s">
        <v>169</v>
      </c>
      <c r="CH331" t="s">
        <v>240</v>
      </c>
      <c r="CI331" t="s">
        <v>169</v>
      </c>
      <c r="CJ331" t="s">
        <v>561</v>
      </c>
      <c r="DJ331" t="s">
        <v>184</v>
      </c>
      <c r="DK331" t="s">
        <v>185</v>
      </c>
      <c r="DN331" t="s">
        <v>170</v>
      </c>
      <c r="DO331" t="s">
        <v>197</v>
      </c>
      <c r="DP331" t="s">
        <v>169</v>
      </c>
      <c r="DQ331" t="s">
        <v>198</v>
      </c>
      <c r="DR331" t="s">
        <v>974</v>
      </c>
      <c r="EB331">
        <v>3</v>
      </c>
      <c r="EC331">
        <v>3</v>
      </c>
      <c r="EE331" t="s">
        <v>972</v>
      </c>
      <c r="EF331">
        <v>6</v>
      </c>
      <c r="EV331">
        <v>6000</v>
      </c>
      <c r="EW331">
        <v>537</v>
      </c>
      <c r="EX331">
        <v>489</v>
      </c>
      <c r="EY331">
        <v>516</v>
      </c>
    </row>
    <row r="332" spans="1:155" x14ac:dyDescent="0.35">
      <c r="A332">
        <v>2025</v>
      </c>
      <c r="B332" t="s">
        <v>220</v>
      </c>
      <c r="C332" t="s">
        <v>994</v>
      </c>
      <c r="D332" t="s">
        <v>1046</v>
      </c>
      <c r="E332" t="s">
        <v>223</v>
      </c>
      <c r="F332">
        <v>515</v>
      </c>
      <c r="G332">
        <v>2.7</v>
      </c>
      <c r="H332">
        <v>4</v>
      </c>
      <c r="I332" t="s">
        <v>164</v>
      </c>
      <c r="J332">
        <v>17</v>
      </c>
      <c r="K332">
        <v>19</v>
      </c>
      <c r="L332">
        <v>18</v>
      </c>
      <c r="M332">
        <v>21.6875</v>
      </c>
      <c r="N332">
        <v>30.9511</v>
      </c>
      <c r="O332">
        <v>25.063099999999999</v>
      </c>
      <c r="P332">
        <v>16.9862</v>
      </c>
      <c r="Q332">
        <v>19.191600000000001</v>
      </c>
      <c r="R332">
        <v>17.912500000000001</v>
      </c>
      <c r="T332" t="s">
        <v>165</v>
      </c>
      <c r="U332" t="s">
        <v>166</v>
      </c>
      <c r="V332" t="s">
        <v>167</v>
      </c>
      <c r="W332" t="s">
        <v>168</v>
      </c>
      <c r="Y332">
        <v>8</v>
      </c>
      <c r="Z332" t="s">
        <v>169</v>
      </c>
      <c r="AA332" t="s">
        <v>170</v>
      </c>
      <c r="AB332">
        <v>4</v>
      </c>
      <c r="AC332" t="s">
        <v>601</v>
      </c>
      <c r="AD332">
        <v>10</v>
      </c>
      <c r="AG332" t="s">
        <v>210</v>
      </c>
      <c r="AH332" t="s">
        <v>444</v>
      </c>
      <c r="AI332" t="s">
        <v>175</v>
      </c>
      <c r="AJ332" t="s">
        <v>176</v>
      </c>
      <c r="AK332" t="s">
        <v>940</v>
      </c>
      <c r="AL332" t="s">
        <v>941</v>
      </c>
      <c r="AS332">
        <v>2900</v>
      </c>
      <c r="AT332">
        <v>2900</v>
      </c>
      <c r="BN332" t="s">
        <v>178</v>
      </c>
      <c r="BO332">
        <v>2</v>
      </c>
      <c r="BP332">
        <v>2</v>
      </c>
      <c r="BQ332">
        <v>13</v>
      </c>
      <c r="BR332" t="s">
        <v>1016</v>
      </c>
      <c r="BT332" t="s">
        <v>225</v>
      </c>
      <c r="BU332" s="1">
        <v>45512</v>
      </c>
      <c r="BV332">
        <v>35366</v>
      </c>
      <c r="BX332" t="s">
        <v>170</v>
      </c>
      <c r="BY332" t="s">
        <v>170</v>
      </c>
      <c r="CB332" t="s">
        <v>170</v>
      </c>
      <c r="CC332" t="s">
        <v>170</v>
      </c>
      <c r="CD332" t="s">
        <v>560</v>
      </c>
      <c r="CE332" t="s">
        <v>169</v>
      </c>
      <c r="CF332" t="s">
        <v>227</v>
      </c>
      <c r="CG332" t="s">
        <v>169</v>
      </c>
      <c r="CH332" t="s">
        <v>240</v>
      </c>
      <c r="CI332" t="s">
        <v>169</v>
      </c>
      <c r="CJ332" t="s">
        <v>561</v>
      </c>
      <c r="DJ332" t="s">
        <v>184</v>
      </c>
      <c r="DK332" t="s">
        <v>185</v>
      </c>
      <c r="DN332" t="s">
        <v>170</v>
      </c>
      <c r="DO332" t="s">
        <v>197</v>
      </c>
      <c r="DP332" t="s">
        <v>169</v>
      </c>
      <c r="DQ332" t="s">
        <v>198</v>
      </c>
      <c r="EB332">
        <v>4</v>
      </c>
      <c r="EC332">
        <v>4</v>
      </c>
      <c r="EE332" t="s">
        <v>972</v>
      </c>
      <c r="EF332">
        <v>6</v>
      </c>
      <c r="EV332">
        <v>5000</v>
      </c>
      <c r="EW332">
        <v>522</v>
      </c>
      <c r="EX332">
        <v>463</v>
      </c>
      <c r="EY332">
        <v>496</v>
      </c>
    </row>
    <row r="333" spans="1:155" x14ac:dyDescent="0.35">
      <c r="A333">
        <v>2025</v>
      </c>
      <c r="B333" t="s">
        <v>220</v>
      </c>
      <c r="C333" t="s">
        <v>994</v>
      </c>
      <c r="D333" t="s">
        <v>1046</v>
      </c>
      <c r="E333" t="s">
        <v>223</v>
      </c>
      <c r="F333">
        <v>551</v>
      </c>
      <c r="G333">
        <v>5.3</v>
      </c>
      <c r="H333">
        <v>8</v>
      </c>
      <c r="I333" t="s">
        <v>443</v>
      </c>
      <c r="J333">
        <v>15</v>
      </c>
      <c r="K333">
        <v>19</v>
      </c>
      <c r="L333">
        <v>17</v>
      </c>
      <c r="M333">
        <v>19.100000000000001</v>
      </c>
      <c r="N333">
        <v>28.7</v>
      </c>
      <c r="O333">
        <v>22.484400000000001</v>
      </c>
      <c r="P333">
        <v>15.4251</v>
      </c>
      <c r="Q333">
        <v>19.2393</v>
      </c>
      <c r="R333">
        <v>16.936</v>
      </c>
      <c r="U333" t="s">
        <v>224</v>
      </c>
      <c r="V333" t="s">
        <v>167</v>
      </c>
      <c r="W333" t="s">
        <v>168</v>
      </c>
      <c r="Y333">
        <v>10</v>
      </c>
      <c r="Z333" t="s">
        <v>169</v>
      </c>
      <c r="AA333" t="s">
        <v>170</v>
      </c>
      <c r="AB333">
        <v>4</v>
      </c>
      <c r="AC333" t="s">
        <v>601</v>
      </c>
      <c r="AD333">
        <v>85</v>
      </c>
      <c r="AF333" t="s">
        <v>1022</v>
      </c>
      <c r="AG333" t="s">
        <v>210</v>
      </c>
      <c r="AH333" t="s">
        <v>444</v>
      </c>
      <c r="AI333" t="s">
        <v>175</v>
      </c>
      <c r="AJ333" t="s">
        <v>176</v>
      </c>
      <c r="AK333" t="s">
        <v>940</v>
      </c>
      <c r="AL333" t="s">
        <v>941</v>
      </c>
      <c r="AS333">
        <v>3100</v>
      </c>
      <c r="AT333">
        <v>3100</v>
      </c>
      <c r="AU333">
        <v>11</v>
      </c>
      <c r="AV333">
        <v>14</v>
      </c>
      <c r="AW333">
        <v>12</v>
      </c>
      <c r="AX333">
        <v>13.7</v>
      </c>
      <c r="AY333">
        <v>21.1</v>
      </c>
      <c r="AZ333">
        <v>16.267299999999999</v>
      </c>
      <c r="BA333">
        <v>11.0641</v>
      </c>
      <c r="BB333">
        <v>14.144600000000001</v>
      </c>
      <c r="BC333">
        <v>12.2662</v>
      </c>
      <c r="BD333" t="s">
        <v>1023</v>
      </c>
      <c r="BE333" t="s">
        <v>907</v>
      </c>
      <c r="BF333" t="s">
        <v>908</v>
      </c>
      <c r="BG333" t="s">
        <v>175</v>
      </c>
      <c r="BH333" t="s">
        <v>176</v>
      </c>
      <c r="BI333">
        <v>3800</v>
      </c>
      <c r="BJ333">
        <v>568</v>
      </c>
      <c r="BK333">
        <v>444</v>
      </c>
      <c r="BL333">
        <v>512</v>
      </c>
      <c r="BM333">
        <v>3800</v>
      </c>
      <c r="BN333" t="s">
        <v>909</v>
      </c>
      <c r="BO333">
        <v>1</v>
      </c>
      <c r="BP333">
        <v>1</v>
      </c>
      <c r="BQ333">
        <v>13</v>
      </c>
      <c r="BR333" t="s">
        <v>1016</v>
      </c>
      <c r="BT333" t="s">
        <v>457</v>
      </c>
      <c r="BU333" s="1">
        <v>45502</v>
      </c>
      <c r="BV333">
        <v>35084</v>
      </c>
      <c r="BX333" t="s">
        <v>170</v>
      </c>
      <c r="BY333" t="s">
        <v>170</v>
      </c>
      <c r="CB333" t="s">
        <v>170</v>
      </c>
      <c r="CC333" t="s">
        <v>170</v>
      </c>
      <c r="CE333" t="s">
        <v>169</v>
      </c>
      <c r="CF333" t="s">
        <v>980</v>
      </c>
      <c r="CG333" t="s">
        <v>169</v>
      </c>
      <c r="CH333" t="s">
        <v>981</v>
      </c>
      <c r="CI333" t="s">
        <v>170</v>
      </c>
      <c r="DJ333" t="s">
        <v>184</v>
      </c>
      <c r="DK333" t="s">
        <v>185</v>
      </c>
      <c r="DN333" t="s">
        <v>170</v>
      </c>
      <c r="DO333" t="s">
        <v>197</v>
      </c>
      <c r="DP333" t="s">
        <v>170</v>
      </c>
      <c r="DQ333" t="s">
        <v>187</v>
      </c>
      <c r="EB333">
        <v>3</v>
      </c>
      <c r="EC333">
        <v>3</v>
      </c>
      <c r="ED333">
        <v>3</v>
      </c>
      <c r="EE333" t="s">
        <v>1024</v>
      </c>
      <c r="EF333">
        <v>4</v>
      </c>
      <c r="EV333">
        <v>6000</v>
      </c>
      <c r="EW333">
        <v>576</v>
      </c>
      <c r="EX333">
        <v>462</v>
      </c>
      <c r="EY333">
        <v>524</v>
      </c>
    </row>
    <row r="334" spans="1:155" x14ac:dyDescent="0.35">
      <c r="A334">
        <v>2025</v>
      </c>
      <c r="B334" t="s">
        <v>220</v>
      </c>
      <c r="C334" t="s">
        <v>994</v>
      </c>
      <c r="D334" t="s">
        <v>1046</v>
      </c>
      <c r="E334" t="s">
        <v>223</v>
      </c>
      <c r="F334">
        <v>555</v>
      </c>
      <c r="G334">
        <v>6.2</v>
      </c>
      <c r="H334">
        <v>8</v>
      </c>
      <c r="I334" t="s">
        <v>443</v>
      </c>
      <c r="J334">
        <v>15</v>
      </c>
      <c r="K334">
        <v>19</v>
      </c>
      <c r="L334">
        <v>16</v>
      </c>
      <c r="M334">
        <v>18.100000000000001</v>
      </c>
      <c r="N334">
        <v>28.5</v>
      </c>
      <c r="O334">
        <v>21.656199999999998</v>
      </c>
      <c r="P334">
        <v>14.666</v>
      </c>
      <c r="Q334">
        <v>19.4498</v>
      </c>
      <c r="R334">
        <v>16.491299999999999</v>
      </c>
      <c r="U334" t="s">
        <v>224</v>
      </c>
      <c r="V334" t="s">
        <v>167</v>
      </c>
      <c r="W334" t="s">
        <v>168</v>
      </c>
      <c r="Y334">
        <v>10</v>
      </c>
      <c r="Z334" t="s">
        <v>169</v>
      </c>
      <c r="AA334" t="s">
        <v>170</v>
      </c>
      <c r="AB334">
        <v>4</v>
      </c>
      <c r="AC334" t="s">
        <v>601</v>
      </c>
      <c r="AD334">
        <v>10</v>
      </c>
      <c r="AG334" t="s">
        <v>214</v>
      </c>
      <c r="AH334" t="s">
        <v>215</v>
      </c>
      <c r="AI334" t="s">
        <v>175</v>
      </c>
      <c r="AJ334" t="s">
        <v>176</v>
      </c>
      <c r="AK334" t="s">
        <v>940</v>
      </c>
      <c r="AL334" t="s">
        <v>941</v>
      </c>
      <c r="AS334">
        <v>4000</v>
      </c>
      <c r="AT334">
        <v>4000</v>
      </c>
      <c r="BN334" t="s">
        <v>178</v>
      </c>
      <c r="BO334">
        <v>1</v>
      </c>
      <c r="BP334">
        <v>1</v>
      </c>
      <c r="BQ334">
        <v>13</v>
      </c>
      <c r="BR334" t="s">
        <v>1016</v>
      </c>
      <c r="BT334" t="s">
        <v>457</v>
      </c>
      <c r="BU334" s="1">
        <v>45502</v>
      </c>
      <c r="BV334">
        <v>35132</v>
      </c>
      <c r="BX334" t="s">
        <v>170</v>
      </c>
      <c r="BY334" t="s">
        <v>170</v>
      </c>
      <c r="CB334" t="s">
        <v>170</v>
      </c>
      <c r="CC334" t="s">
        <v>170</v>
      </c>
      <c r="CE334" t="s">
        <v>169</v>
      </c>
      <c r="CF334" t="s">
        <v>980</v>
      </c>
      <c r="CG334" t="s">
        <v>169</v>
      </c>
      <c r="CH334" t="s">
        <v>981</v>
      </c>
      <c r="CI334" t="s">
        <v>170</v>
      </c>
      <c r="DJ334" t="s">
        <v>184</v>
      </c>
      <c r="DK334" t="s">
        <v>185</v>
      </c>
      <c r="DN334" t="s">
        <v>170</v>
      </c>
      <c r="DO334" t="s">
        <v>197</v>
      </c>
      <c r="DP334" t="s">
        <v>169</v>
      </c>
      <c r="DQ334" t="s">
        <v>198</v>
      </c>
      <c r="EB334">
        <v>3</v>
      </c>
      <c r="EC334">
        <v>3</v>
      </c>
      <c r="EE334" t="s">
        <v>1025</v>
      </c>
      <c r="EF334">
        <v>5</v>
      </c>
      <c r="EV334">
        <v>10500</v>
      </c>
      <c r="EW334">
        <v>606</v>
      </c>
      <c r="EX334">
        <v>457</v>
      </c>
      <c r="EY334">
        <v>539</v>
      </c>
    </row>
    <row r="335" spans="1:155" x14ac:dyDescent="0.35">
      <c r="A335">
        <v>2025</v>
      </c>
      <c r="B335" t="s">
        <v>220</v>
      </c>
      <c r="C335" t="s">
        <v>994</v>
      </c>
      <c r="D335" t="s">
        <v>1046</v>
      </c>
      <c r="E335" t="s">
        <v>223</v>
      </c>
      <c r="F335">
        <v>561</v>
      </c>
      <c r="G335">
        <v>5.3</v>
      </c>
      <c r="H335">
        <v>8</v>
      </c>
      <c r="I335" t="s">
        <v>443</v>
      </c>
      <c r="J335">
        <v>15</v>
      </c>
      <c r="K335">
        <v>19</v>
      </c>
      <c r="L335">
        <v>16</v>
      </c>
      <c r="M335">
        <v>18.5</v>
      </c>
      <c r="N335">
        <v>28</v>
      </c>
      <c r="O335">
        <v>21.833500000000001</v>
      </c>
      <c r="P335">
        <v>14.655900000000001</v>
      </c>
      <c r="Q335">
        <v>18.777200000000001</v>
      </c>
      <c r="R335">
        <v>16.2621</v>
      </c>
      <c r="U335" t="s">
        <v>224</v>
      </c>
      <c r="V335" t="s">
        <v>167</v>
      </c>
      <c r="W335" t="s">
        <v>168</v>
      </c>
      <c r="Y335">
        <v>10</v>
      </c>
      <c r="Z335" t="s">
        <v>169</v>
      </c>
      <c r="AA335" t="s">
        <v>170</v>
      </c>
      <c r="AB335">
        <v>4</v>
      </c>
      <c r="AC335" t="s">
        <v>601</v>
      </c>
      <c r="AD335">
        <v>10</v>
      </c>
      <c r="AG335" t="s">
        <v>210</v>
      </c>
      <c r="AH335" t="s">
        <v>444</v>
      </c>
      <c r="AI335" t="s">
        <v>175</v>
      </c>
      <c r="AJ335" t="s">
        <v>176</v>
      </c>
      <c r="AK335" t="s">
        <v>940</v>
      </c>
      <c r="AL335" t="s">
        <v>941</v>
      </c>
      <c r="AS335">
        <v>3300</v>
      </c>
      <c r="AT335">
        <v>3300</v>
      </c>
      <c r="BN335" t="s">
        <v>178</v>
      </c>
      <c r="BO335">
        <v>1</v>
      </c>
      <c r="BP335">
        <v>1</v>
      </c>
      <c r="BQ335">
        <v>13</v>
      </c>
      <c r="BR335" t="s">
        <v>1016</v>
      </c>
      <c r="BT335" t="s">
        <v>225</v>
      </c>
      <c r="BU335" s="1">
        <v>45502</v>
      </c>
      <c r="BV335">
        <v>35218</v>
      </c>
      <c r="BX335" t="s">
        <v>170</v>
      </c>
      <c r="BY335" t="s">
        <v>170</v>
      </c>
      <c r="CB335" t="s">
        <v>170</v>
      </c>
      <c r="CC335" t="s">
        <v>170</v>
      </c>
      <c r="CE335" t="s">
        <v>169</v>
      </c>
      <c r="CF335" t="s">
        <v>980</v>
      </c>
      <c r="CG335" t="s">
        <v>169</v>
      </c>
      <c r="CH335" t="s">
        <v>981</v>
      </c>
      <c r="CI335" t="s">
        <v>170</v>
      </c>
      <c r="DJ335" t="s">
        <v>184</v>
      </c>
      <c r="DK335" t="s">
        <v>185</v>
      </c>
      <c r="DN335" t="s">
        <v>170</v>
      </c>
      <c r="DO335" t="s">
        <v>197</v>
      </c>
      <c r="DP335" t="s">
        <v>170</v>
      </c>
      <c r="DQ335" t="s">
        <v>187</v>
      </c>
      <c r="DR335" t="s">
        <v>1021</v>
      </c>
      <c r="EB335">
        <v>3</v>
      </c>
      <c r="EC335">
        <v>3</v>
      </c>
      <c r="EE335" t="s">
        <v>982</v>
      </c>
      <c r="EF335">
        <v>6</v>
      </c>
      <c r="EV335">
        <v>7000</v>
      </c>
      <c r="EW335">
        <v>604</v>
      </c>
      <c r="EX335">
        <v>475</v>
      </c>
      <c r="EY335">
        <v>546</v>
      </c>
    </row>
    <row r="336" spans="1:155" x14ac:dyDescent="0.35">
      <c r="A336">
        <v>2025</v>
      </c>
      <c r="B336" t="s">
        <v>220</v>
      </c>
      <c r="C336" t="s">
        <v>994</v>
      </c>
      <c r="D336" t="s">
        <v>1046</v>
      </c>
      <c r="E336" t="s">
        <v>223</v>
      </c>
      <c r="F336">
        <v>568</v>
      </c>
      <c r="G336">
        <v>5.3</v>
      </c>
      <c r="H336">
        <v>8</v>
      </c>
      <c r="I336" t="s">
        <v>443</v>
      </c>
      <c r="J336">
        <v>15</v>
      </c>
      <c r="K336">
        <v>19</v>
      </c>
      <c r="L336">
        <v>17</v>
      </c>
      <c r="M336">
        <v>19.996300000000002</v>
      </c>
      <c r="N336">
        <v>29.2471</v>
      </c>
      <c r="O336">
        <v>23.314800000000002</v>
      </c>
      <c r="P336">
        <v>15.475300000000001</v>
      </c>
      <c r="Q336">
        <v>18.935500000000001</v>
      </c>
      <c r="R336">
        <v>16.861899999999999</v>
      </c>
      <c r="U336" t="s">
        <v>224</v>
      </c>
      <c r="V336" t="s">
        <v>167</v>
      </c>
      <c r="W336" t="s">
        <v>168</v>
      </c>
      <c r="Y336">
        <v>10</v>
      </c>
      <c r="Z336" t="s">
        <v>169</v>
      </c>
      <c r="AA336" t="s">
        <v>170</v>
      </c>
      <c r="AB336">
        <v>4</v>
      </c>
      <c r="AC336" t="s">
        <v>601</v>
      </c>
      <c r="AD336">
        <v>10</v>
      </c>
      <c r="AG336" t="s">
        <v>210</v>
      </c>
      <c r="AH336" t="s">
        <v>444</v>
      </c>
      <c r="AI336" t="s">
        <v>175</v>
      </c>
      <c r="AJ336" t="s">
        <v>176</v>
      </c>
      <c r="AK336" t="s">
        <v>940</v>
      </c>
      <c r="AL336" t="s">
        <v>941</v>
      </c>
      <c r="AS336">
        <v>3100</v>
      </c>
      <c r="AT336">
        <v>3100</v>
      </c>
      <c r="BN336" t="s">
        <v>178</v>
      </c>
      <c r="BO336">
        <v>1</v>
      </c>
      <c r="BP336">
        <v>1</v>
      </c>
      <c r="BQ336">
        <v>13</v>
      </c>
      <c r="BR336" t="s">
        <v>1016</v>
      </c>
      <c r="BT336" t="s">
        <v>225</v>
      </c>
      <c r="BU336" s="1">
        <v>45502</v>
      </c>
      <c r="BV336">
        <v>35297</v>
      </c>
      <c r="BX336" t="s">
        <v>170</v>
      </c>
      <c r="BY336" t="s">
        <v>170</v>
      </c>
      <c r="CB336" t="s">
        <v>170</v>
      </c>
      <c r="CC336" t="s">
        <v>170</v>
      </c>
      <c r="CE336" t="s">
        <v>169</v>
      </c>
      <c r="CF336" t="s">
        <v>980</v>
      </c>
      <c r="CG336" t="s">
        <v>169</v>
      </c>
      <c r="CH336" t="s">
        <v>981</v>
      </c>
      <c r="CI336" t="s">
        <v>170</v>
      </c>
      <c r="DJ336" t="s">
        <v>184</v>
      </c>
      <c r="DK336" t="s">
        <v>185</v>
      </c>
      <c r="DN336" t="s">
        <v>170</v>
      </c>
      <c r="DO336" t="s">
        <v>197</v>
      </c>
      <c r="DP336" t="s">
        <v>169</v>
      </c>
      <c r="DQ336" t="s">
        <v>198</v>
      </c>
      <c r="DR336" t="s">
        <v>974</v>
      </c>
      <c r="EB336">
        <v>3</v>
      </c>
      <c r="EC336">
        <v>3</v>
      </c>
      <c r="EE336" t="s">
        <v>982</v>
      </c>
      <c r="EF336">
        <v>6</v>
      </c>
      <c r="EV336">
        <v>6000</v>
      </c>
      <c r="EW336">
        <v>571</v>
      </c>
      <c r="EX336">
        <v>470</v>
      </c>
      <c r="EY336">
        <v>526</v>
      </c>
    </row>
    <row r="337" spans="1:155" x14ac:dyDescent="0.35">
      <c r="A337">
        <v>2025</v>
      </c>
      <c r="B337" t="s">
        <v>220</v>
      </c>
      <c r="C337" t="s">
        <v>994</v>
      </c>
      <c r="D337" t="s">
        <v>1046</v>
      </c>
      <c r="E337" t="s">
        <v>223</v>
      </c>
      <c r="F337">
        <v>576</v>
      </c>
      <c r="G337">
        <v>5.3</v>
      </c>
      <c r="H337">
        <v>8</v>
      </c>
      <c r="I337" t="s">
        <v>443</v>
      </c>
      <c r="J337">
        <v>15</v>
      </c>
      <c r="K337">
        <v>19</v>
      </c>
      <c r="L337">
        <v>17</v>
      </c>
      <c r="M337">
        <v>19.187100000000001</v>
      </c>
      <c r="N337">
        <v>27.7926</v>
      </c>
      <c r="O337">
        <v>22.293299999999999</v>
      </c>
      <c r="P337">
        <v>15.2851</v>
      </c>
      <c r="Q337">
        <v>18.552800000000001</v>
      </c>
      <c r="R337">
        <v>16.600899999999999</v>
      </c>
      <c r="U337" t="s">
        <v>224</v>
      </c>
      <c r="V337" t="s">
        <v>167</v>
      </c>
      <c r="W337" t="s">
        <v>168</v>
      </c>
      <c r="Y337">
        <v>10</v>
      </c>
      <c r="Z337" t="s">
        <v>169</v>
      </c>
      <c r="AA337" t="s">
        <v>170</v>
      </c>
      <c r="AB337">
        <v>4</v>
      </c>
      <c r="AC337" t="s">
        <v>601</v>
      </c>
      <c r="AD337">
        <v>10</v>
      </c>
      <c r="AG337" t="s">
        <v>210</v>
      </c>
      <c r="AH337" t="s">
        <v>444</v>
      </c>
      <c r="AI337" t="s">
        <v>175</v>
      </c>
      <c r="AJ337" t="s">
        <v>176</v>
      </c>
      <c r="AK337" t="s">
        <v>940</v>
      </c>
      <c r="AL337" t="s">
        <v>941</v>
      </c>
      <c r="AS337">
        <v>3100</v>
      </c>
      <c r="AT337">
        <v>3100</v>
      </c>
      <c r="BN337" t="s">
        <v>178</v>
      </c>
      <c r="BO337">
        <v>1</v>
      </c>
      <c r="BP337">
        <v>1</v>
      </c>
      <c r="BQ337">
        <v>13</v>
      </c>
      <c r="BR337" t="s">
        <v>1016</v>
      </c>
      <c r="BT337" t="s">
        <v>225</v>
      </c>
      <c r="BU337" s="1">
        <v>45502</v>
      </c>
      <c r="BV337">
        <v>35292</v>
      </c>
      <c r="BX337" t="s">
        <v>170</v>
      </c>
      <c r="BY337" t="s">
        <v>170</v>
      </c>
      <c r="CB337" t="s">
        <v>170</v>
      </c>
      <c r="CC337" t="s">
        <v>170</v>
      </c>
      <c r="CE337" t="s">
        <v>169</v>
      </c>
      <c r="CF337" t="s">
        <v>980</v>
      </c>
      <c r="CG337" t="s">
        <v>169</v>
      </c>
      <c r="CH337" t="s">
        <v>981</v>
      </c>
      <c r="CI337" t="s">
        <v>170</v>
      </c>
      <c r="DJ337" t="s">
        <v>184</v>
      </c>
      <c r="DK337" t="s">
        <v>185</v>
      </c>
      <c r="DN337" t="s">
        <v>170</v>
      </c>
      <c r="DO337" t="s">
        <v>197</v>
      </c>
      <c r="DP337" t="s">
        <v>169</v>
      </c>
      <c r="DQ337" t="s">
        <v>198</v>
      </c>
      <c r="EB337">
        <v>3</v>
      </c>
      <c r="EC337">
        <v>3</v>
      </c>
      <c r="EE337" t="s">
        <v>982</v>
      </c>
      <c r="EF337">
        <v>6</v>
      </c>
      <c r="EV337">
        <v>6000</v>
      </c>
      <c r="EW337">
        <v>580</v>
      </c>
      <c r="EX337">
        <v>479</v>
      </c>
      <c r="EY337">
        <v>535</v>
      </c>
    </row>
    <row r="338" spans="1:155" x14ac:dyDescent="0.35">
      <c r="A338">
        <v>2025</v>
      </c>
      <c r="B338" t="s">
        <v>220</v>
      </c>
      <c r="C338" t="s">
        <v>994</v>
      </c>
      <c r="D338" t="s">
        <v>1047</v>
      </c>
      <c r="E338" t="s">
        <v>223</v>
      </c>
      <c r="F338">
        <v>509</v>
      </c>
      <c r="G338">
        <v>3</v>
      </c>
      <c r="H338">
        <v>6</v>
      </c>
      <c r="I338" t="s">
        <v>443</v>
      </c>
      <c r="J338">
        <v>19</v>
      </c>
      <c r="K338">
        <v>20</v>
      </c>
      <c r="L338">
        <v>19</v>
      </c>
      <c r="M338">
        <v>24.2</v>
      </c>
      <c r="N338">
        <v>30.4</v>
      </c>
      <c r="O338">
        <v>26.645399999999999</v>
      </c>
      <c r="P338">
        <v>19.22</v>
      </c>
      <c r="Q338">
        <v>19.664100000000001</v>
      </c>
      <c r="R338">
        <v>19.417300000000001</v>
      </c>
      <c r="T338" t="s">
        <v>165</v>
      </c>
      <c r="U338" t="s">
        <v>166</v>
      </c>
      <c r="V338" t="s">
        <v>167</v>
      </c>
      <c r="W338" t="s">
        <v>168</v>
      </c>
      <c r="Y338">
        <v>10</v>
      </c>
      <c r="Z338" t="s">
        <v>169</v>
      </c>
      <c r="AA338" t="s">
        <v>170</v>
      </c>
      <c r="AB338">
        <v>4</v>
      </c>
      <c r="AC338" t="s">
        <v>601</v>
      </c>
      <c r="AE338">
        <v>20</v>
      </c>
      <c r="AG338" t="s">
        <v>975</v>
      </c>
      <c r="AH338" t="s">
        <v>976</v>
      </c>
      <c r="AI338" t="s">
        <v>175</v>
      </c>
      <c r="AJ338" t="s">
        <v>176</v>
      </c>
      <c r="AK338" t="s">
        <v>940</v>
      </c>
      <c r="AL338" t="s">
        <v>941</v>
      </c>
      <c r="AS338">
        <v>3250</v>
      </c>
      <c r="AT338">
        <v>3250</v>
      </c>
      <c r="BO338">
        <v>2</v>
      </c>
      <c r="BP338">
        <v>2</v>
      </c>
      <c r="BQ338">
        <v>13</v>
      </c>
      <c r="BR338" t="s">
        <v>1016</v>
      </c>
      <c r="BT338" t="s">
        <v>457</v>
      </c>
      <c r="BU338" s="1">
        <v>45510</v>
      </c>
      <c r="BV338">
        <v>35347</v>
      </c>
      <c r="BX338" t="s">
        <v>169</v>
      </c>
      <c r="BY338" t="s">
        <v>170</v>
      </c>
      <c r="CB338" t="s">
        <v>170</v>
      </c>
      <c r="CC338" t="s">
        <v>170</v>
      </c>
      <c r="CE338" t="s">
        <v>170</v>
      </c>
      <c r="CG338" t="s">
        <v>170</v>
      </c>
      <c r="CI338" t="s">
        <v>170</v>
      </c>
      <c r="DJ338" t="s">
        <v>977</v>
      </c>
      <c r="DK338" t="s">
        <v>978</v>
      </c>
      <c r="DN338" t="s">
        <v>170</v>
      </c>
      <c r="DO338" t="s">
        <v>197</v>
      </c>
      <c r="DP338" t="s">
        <v>169</v>
      </c>
      <c r="DQ338" t="s">
        <v>198</v>
      </c>
      <c r="EB338">
        <v>4</v>
      </c>
      <c r="EC338">
        <v>3</v>
      </c>
      <c r="EE338" t="s">
        <v>1028</v>
      </c>
      <c r="EF338">
        <v>4</v>
      </c>
      <c r="EV338">
        <v>6750</v>
      </c>
      <c r="EW338">
        <v>530</v>
      </c>
      <c r="EX338">
        <v>516</v>
      </c>
      <c r="EY338">
        <v>524</v>
      </c>
    </row>
    <row r="339" spans="1:155" x14ac:dyDescent="0.35">
      <c r="A339">
        <v>2025</v>
      </c>
      <c r="B339" t="s">
        <v>220</v>
      </c>
      <c r="C339" t="s">
        <v>994</v>
      </c>
      <c r="D339" t="s">
        <v>1047</v>
      </c>
      <c r="E339" t="s">
        <v>223</v>
      </c>
      <c r="F339">
        <v>559</v>
      </c>
      <c r="G339">
        <v>6.2</v>
      </c>
      <c r="H339">
        <v>8</v>
      </c>
      <c r="I339" t="s">
        <v>443</v>
      </c>
      <c r="J339">
        <v>14</v>
      </c>
      <c r="K339">
        <v>16</v>
      </c>
      <c r="L339">
        <v>15</v>
      </c>
      <c r="M339">
        <v>18</v>
      </c>
      <c r="N339">
        <v>24.9</v>
      </c>
      <c r="O339">
        <v>20.564299999999999</v>
      </c>
      <c r="P339">
        <v>14</v>
      </c>
      <c r="Q339">
        <v>16</v>
      </c>
      <c r="R339">
        <v>15.454599999999999</v>
      </c>
      <c r="U339" t="s">
        <v>224</v>
      </c>
      <c r="V339" t="s">
        <v>167</v>
      </c>
      <c r="W339" t="s">
        <v>168</v>
      </c>
      <c r="Y339">
        <v>10</v>
      </c>
      <c r="Z339" t="s">
        <v>169</v>
      </c>
      <c r="AA339" t="s">
        <v>170</v>
      </c>
      <c r="AB339">
        <v>4</v>
      </c>
      <c r="AC339" t="s">
        <v>601</v>
      </c>
      <c r="AD339">
        <v>10</v>
      </c>
      <c r="AG339" t="s">
        <v>214</v>
      </c>
      <c r="AH339" t="s">
        <v>215</v>
      </c>
      <c r="AI339" t="s">
        <v>175</v>
      </c>
      <c r="AJ339" t="s">
        <v>176</v>
      </c>
      <c r="AK339" t="s">
        <v>940</v>
      </c>
      <c r="AL339" t="s">
        <v>941</v>
      </c>
      <c r="AS339">
        <v>4250</v>
      </c>
      <c r="AT339">
        <v>4250</v>
      </c>
      <c r="BN339" t="s">
        <v>178</v>
      </c>
      <c r="BO339">
        <v>1</v>
      </c>
      <c r="BP339">
        <v>1</v>
      </c>
      <c r="BQ339">
        <v>13</v>
      </c>
      <c r="BR339" t="s">
        <v>1016</v>
      </c>
      <c r="BT339" t="s">
        <v>457</v>
      </c>
      <c r="BU339" s="1">
        <v>45502</v>
      </c>
      <c r="BV339">
        <v>35135</v>
      </c>
      <c r="BX339" t="s">
        <v>169</v>
      </c>
      <c r="BY339" t="s">
        <v>170</v>
      </c>
      <c r="CB339" t="s">
        <v>170</v>
      </c>
      <c r="CC339" t="s">
        <v>170</v>
      </c>
      <c r="CE339" t="s">
        <v>169</v>
      </c>
      <c r="CF339" t="s">
        <v>980</v>
      </c>
      <c r="CG339" t="s">
        <v>169</v>
      </c>
      <c r="CH339" t="s">
        <v>981</v>
      </c>
      <c r="CI339" t="s">
        <v>170</v>
      </c>
      <c r="DJ339" t="s">
        <v>184</v>
      </c>
      <c r="DK339" t="s">
        <v>185</v>
      </c>
      <c r="DN339" t="s">
        <v>170</v>
      </c>
      <c r="DO339" t="s">
        <v>197</v>
      </c>
      <c r="DP339" t="s">
        <v>169</v>
      </c>
      <c r="DQ339" t="s">
        <v>198</v>
      </c>
      <c r="EB339">
        <v>2</v>
      </c>
      <c r="EC339">
        <v>2</v>
      </c>
      <c r="EE339" t="s">
        <v>1025</v>
      </c>
      <c r="EF339">
        <v>5</v>
      </c>
      <c r="EV339">
        <v>11750</v>
      </c>
      <c r="EW339">
        <v>638</v>
      </c>
      <c r="EX339">
        <v>557</v>
      </c>
      <c r="EY339">
        <v>601</v>
      </c>
    </row>
    <row r="340" spans="1:155" x14ac:dyDescent="0.35">
      <c r="A340">
        <v>2025</v>
      </c>
      <c r="B340" t="s">
        <v>220</v>
      </c>
      <c r="C340" t="s">
        <v>994</v>
      </c>
      <c r="D340" t="s">
        <v>1076</v>
      </c>
      <c r="E340" t="s">
        <v>223</v>
      </c>
      <c r="F340">
        <v>578</v>
      </c>
      <c r="G340">
        <v>5.3</v>
      </c>
      <c r="H340">
        <v>8</v>
      </c>
      <c r="I340" t="s">
        <v>443</v>
      </c>
      <c r="J340">
        <v>14</v>
      </c>
      <c r="K340">
        <v>16</v>
      </c>
      <c r="L340">
        <v>15</v>
      </c>
      <c r="M340">
        <v>18.7</v>
      </c>
      <c r="N340">
        <v>25.1</v>
      </c>
      <c r="O340">
        <v>21.123799999999999</v>
      </c>
      <c r="P340">
        <v>14</v>
      </c>
      <c r="Q340">
        <v>16.3674</v>
      </c>
      <c r="R340">
        <v>15.2933</v>
      </c>
      <c r="U340" t="s">
        <v>224</v>
      </c>
      <c r="V340" t="s">
        <v>167</v>
      </c>
      <c r="W340" t="s">
        <v>168</v>
      </c>
      <c r="Y340">
        <v>10</v>
      </c>
      <c r="Z340" t="s">
        <v>169</v>
      </c>
      <c r="AA340" t="s">
        <v>170</v>
      </c>
      <c r="AB340">
        <v>4</v>
      </c>
      <c r="AC340" t="s">
        <v>601</v>
      </c>
      <c r="AD340">
        <v>10</v>
      </c>
      <c r="AG340" t="s">
        <v>210</v>
      </c>
      <c r="AH340" t="s">
        <v>444</v>
      </c>
      <c r="AI340" t="s">
        <v>175</v>
      </c>
      <c r="AJ340" t="s">
        <v>176</v>
      </c>
      <c r="AK340" t="s">
        <v>940</v>
      </c>
      <c r="AL340" t="s">
        <v>941</v>
      </c>
      <c r="AS340">
        <v>3500</v>
      </c>
      <c r="AT340">
        <v>3500</v>
      </c>
      <c r="BN340" t="s">
        <v>178</v>
      </c>
      <c r="BO340">
        <v>1</v>
      </c>
      <c r="BP340">
        <v>1</v>
      </c>
      <c r="BQ340">
        <v>19</v>
      </c>
      <c r="BR340" t="s">
        <v>1073</v>
      </c>
      <c r="BS340" t="s">
        <v>1070</v>
      </c>
      <c r="BT340" t="s">
        <v>225</v>
      </c>
      <c r="BU340" s="1">
        <v>45502</v>
      </c>
      <c r="BV340">
        <v>35288</v>
      </c>
      <c r="BX340" t="s">
        <v>169</v>
      </c>
      <c r="BY340" t="s">
        <v>170</v>
      </c>
      <c r="CB340" t="s">
        <v>170</v>
      </c>
      <c r="CC340" t="s">
        <v>170</v>
      </c>
      <c r="CE340" t="s">
        <v>169</v>
      </c>
      <c r="CF340" t="s">
        <v>980</v>
      </c>
      <c r="CG340" t="s">
        <v>169</v>
      </c>
      <c r="CH340" t="s">
        <v>981</v>
      </c>
      <c r="CI340" t="s">
        <v>170</v>
      </c>
      <c r="DJ340" t="s">
        <v>184</v>
      </c>
      <c r="DK340" t="s">
        <v>185</v>
      </c>
      <c r="DN340" t="s">
        <v>170</v>
      </c>
      <c r="DO340" t="s">
        <v>197</v>
      </c>
      <c r="DP340" t="s">
        <v>169</v>
      </c>
      <c r="DQ340" t="s">
        <v>198</v>
      </c>
      <c r="EB340">
        <v>2</v>
      </c>
      <c r="EC340">
        <v>2</v>
      </c>
      <c r="EE340" t="s">
        <v>982</v>
      </c>
      <c r="EF340">
        <v>6</v>
      </c>
      <c r="EV340">
        <v>8000</v>
      </c>
      <c r="EW340">
        <v>633</v>
      </c>
      <c r="EX340">
        <v>542</v>
      </c>
      <c r="EY340">
        <v>592</v>
      </c>
    </row>
    <row r="341" spans="1:155" x14ac:dyDescent="0.35">
      <c r="A341">
        <v>2025</v>
      </c>
      <c r="B341" t="s">
        <v>220</v>
      </c>
      <c r="C341" t="s">
        <v>994</v>
      </c>
      <c r="D341" t="s">
        <v>1048</v>
      </c>
      <c r="E341" t="s">
        <v>223</v>
      </c>
      <c r="F341">
        <v>506</v>
      </c>
      <c r="G341">
        <v>3</v>
      </c>
      <c r="H341">
        <v>6</v>
      </c>
      <c r="I341" t="s">
        <v>443</v>
      </c>
      <c r="J341">
        <v>21</v>
      </c>
      <c r="K341">
        <v>24</v>
      </c>
      <c r="L341">
        <v>23</v>
      </c>
      <c r="M341">
        <v>27.283899999999999</v>
      </c>
      <c r="N341">
        <v>37.181100000000001</v>
      </c>
      <c r="O341">
        <v>30.9969</v>
      </c>
      <c r="P341">
        <v>21.454499999999999</v>
      </c>
      <c r="Q341">
        <v>24.1877</v>
      </c>
      <c r="R341">
        <v>22.603899999999999</v>
      </c>
      <c r="T341" t="s">
        <v>165</v>
      </c>
      <c r="U341" t="s">
        <v>166</v>
      </c>
      <c r="V341" t="s">
        <v>167</v>
      </c>
      <c r="W341" t="s">
        <v>168</v>
      </c>
      <c r="Y341">
        <v>10</v>
      </c>
      <c r="Z341" t="s">
        <v>169</v>
      </c>
      <c r="AA341" t="s">
        <v>170</v>
      </c>
      <c r="AB341">
        <v>4</v>
      </c>
      <c r="AC341" t="s">
        <v>601</v>
      </c>
      <c r="AE341">
        <v>20</v>
      </c>
      <c r="AG341" t="s">
        <v>975</v>
      </c>
      <c r="AH341" t="s">
        <v>976</v>
      </c>
      <c r="AI341" t="s">
        <v>175</v>
      </c>
      <c r="AJ341" t="s">
        <v>176</v>
      </c>
      <c r="AK341" t="s">
        <v>940</v>
      </c>
      <c r="AL341" t="s">
        <v>941</v>
      </c>
      <c r="AS341">
        <v>2650</v>
      </c>
      <c r="AT341">
        <v>2650</v>
      </c>
      <c r="BO341">
        <v>2</v>
      </c>
      <c r="BP341">
        <v>2</v>
      </c>
      <c r="BQ341">
        <v>13</v>
      </c>
      <c r="BR341" t="s">
        <v>1016</v>
      </c>
      <c r="BT341" t="s">
        <v>457</v>
      </c>
      <c r="BU341" s="1">
        <v>45511</v>
      </c>
      <c r="BV341">
        <v>35356</v>
      </c>
      <c r="BX341" t="s">
        <v>170</v>
      </c>
      <c r="BY341" t="s">
        <v>170</v>
      </c>
      <c r="CB341" t="s">
        <v>170</v>
      </c>
      <c r="CC341" t="s">
        <v>170</v>
      </c>
      <c r="CE341" t="s">
        <v>170</v>
      </c>
      <c r="CG341" t="s">
        <v>170</v>
      </c>
      <c r="CI341" t="s">
        <v>170</v>
      </c>
      <c r="DJ341" t="s">
        <v>977</v>
      </c>
      <c r="DK341" t="s">
        <v>978</v>
      </c>
      <c r="DN341" t="s">
        <v>170</v>
      </c>
      <c r="DO341" t="s">
        <v>197</v>
      </c>
      <c r="DP341" t="s">
        <v>169</v>
      </c>
      <c r="DQ341" t="s">
        <v>198</v>
      </c>
      <c r="DR341" t="s">
        <v>974</v>
      </c>
      <c r="EB341">
        <v>5</v>
      </c>
      <c r="EC341">
        <v>4</v>
      </c>
      <c r="EE341" t="s">
        <v>979</v>
      </c>
      <c r="EF341">
        <v>4</v>
      </c>
      <c r="EV341">
        <v>3750</v>
      </c>
      <c r="EW341">
        <v>475</v>
      </c>
      <c r="EX341">
        <v>420</v>
      </c>
      <c r="EY341">
        <v>450</v>
      </c>
    </row>
    <row r="342" spans="1:155" x14ac:dyDescent="0.35">
      <c r="A342">
        <v>2025</v>
      </c>
      <c r="B342" t="s">
        <v>220</v>
      </c>
      <c r="C342" t="s">
        <v>994</v>
      </c>
      <c r="D342" t="s">
        <v>1048</v>
      </c>
      <c r="E342" t="s">
        <v>223</v>
      </c>
      <c r="F342">
        <v>519</v>
      </c>
      <c r="G342">
        <v>2.7</v>
      </c>
      <c r="H342">
        <v>4</v>
      </c>
      <c r="I342" t="s">
        <v>164</v>
      </c>
      <c r="J342">
        <v>16</v>
      </c>
      <c r="K342">
        <v>17</v>
      </c>
      <c r="L342">
        <v>16</v>
      </c>
      <c r="M342">
        <v>20.987100000000002</v>
      </c>
      <c r="N342">
        <v>27.424399999999999</v>
      </c>
      <c r="O342">
        <v>23.465699999999998</v>
      </c>
      <c r="P342">
        <v>16.027100000000001</v>
      </c>
      <c r="Q342">
        <v>17.0688</v>
      </c>
      <c r="R342">
        <v>16.479700000000001</v>
      </c>
      <c r="T342" t="s">
        <v>165</v>
      </c>
      <c r="U342" t="s">
        <v>166</v>
      </c>
      <c r="V342" t="s">
        <v>167</v>
      </c>
      <c r="W342" t="s">
        <v>168</v>
      </c>
      <c r="Y342">
        <v>8</v>
      </c>
      <c r="Z342" t="s">
        <v>169</v>
      </c>
      <c r="AA342" t="s">
        <v>170</v>
      </c>
      <c r="AB342">
        <v>4</v>
      </c>
      <c r="AC342" t="s">
        <v>601</v>
      </c>
      <c r="AD342">
        <v>10</v>
      </c>
      <c r="AG342" t="s">
        <v>210</v>
      </c>
      <c r="AH342" t="s">
        <v>444</v>
      </c>
      <c r="AI342" t="s">
        <v>175</v>
      </c>
      <c r="AJ342" t="s">
        <v>176</v>
      </c>
      <c r="AK342" t="s">
        <v>940</v>
      </c>
      <c r="AL342" t="s">
        <v>941</v>
      </c>
      <c r="AS342">
        <v>3300</v>
      </c>
      <c r="AT342">
        <v>3300</v>
      </c>
      <c r="BN342" t="s">
        <v>178</v>
      </c>
      <c r="BO342">
        <v>2</v>
      </c>
      <c r="BP342">
        <v>2</v>
      </c>
      <c r="BQ342">
        <v>13</v>
      </c>
      <c r="BR342" t="s">
        <v>1016</v>
      </c>
      <c r="BT342" t="s">
        <v>225</v>
      </c>
      <c r="BU342" s="1">
        <v>45512</v>
      </c>
      <c r="BV342">
        <v>35368</v>
      </c>
      <c r="BX342" t="s">
        <v>169</v>
      </c>
      <c r="BY342" t="s">
        <v>170</v>
      </c>
      <c r="CB342" t="s">
        <v>170</v>
      </c>
      <c r="CC342" t="s">
        <v>170</v>
      </c>
      <c r="CD342" t="s">
        <v>560</v>
      </c>
      <c r="CE342" t="s">
        <v>169</v>
      </c>
      <c r="CF342" t="s">
        <v>227</v>
      </c>
      <c r="CG342" t="s">
        <v>169</v>
      </c>
      <c r="CH342" t="s">
        <v>240</v>
      </c>
      <c r="CI342" t="s">
        <v>169</v>
      </c>
      <c r="CJ342" t="s">
        <v>561</v>
      </c>
      <c r="DJ342" t="s">
        <v>184</v>
      </c>
      <c r="DK342" t="s">
        <v>185</v>
      </c>
      <c r="DN342" t="s">
        <v>170</v>
      </c>
      <c r="DO342" t="s">
        <v>197</v>
      </c>
      <c r="DP342" t="s">
        <v>169</v>
      </c>
      <c r="DQ342" t="s">
        <v>198</v>
      </c>
      <c r="EB342">
        <v>3</v>
      </c>
      <c r="EC342">
        <v>3</v>
      </c>
      <c r="EE342" t="s">
        <v>972</v>
      </c>
      <c r="EF342">
        <v>6</v>
      </c>
      <c r="EV342">
        <v>7000</v>
      </c>
      <c r="EW342">
        <v>552</v>
      </c>
      <c r="EX342">
        <v>521</v>
      </c>
      <c r="EY342">
        <v>538</v>
      </c>
    </row>
    <row r="343" spans="1:155" x14ac:dyDescent="0.35">
      <c r="A343">
        <v>2025</v>
      </c>
      <c r="B343" t="s">
        <v>220</v>
      </c>
      <c r="C343" t="s">
        <v>994</v>
      </c>
      <c r="D343" t="s">
        <v>1048</v>
      </c>
      <c r="E343" t="s">
        <v>223</v>
      </c>
      <c r="F343">
        <v>553</v>
      </c>
      <c r="G343">
        <v>5.3</v>
      </c>
      <c r="H343">
        <v>8</v>
      </c>
      <c r="I343" t="s">
        <v>443</v>
      </c>
      <c r="J343">
        <v>15</v>
      </c>
      <c r="K343">
        <v>19</v>
      </c>
      <c r="L343">
        <v>17</v>
      </c>
      <c r="M343">
        <v>19.100000000000001</v>
      </c>
      <c r="N343">
        <v>28.7</v>
      </c>
      <c r="O343">
        <v>22.484400000000001</v>
      </c>
      <c r="P343">
        <v>15.4251</v>
      </c>
      <c r="Q343">
        <v>19.2393</v>
      </c>
      <c r="R343">
        <v>16.936</v>
      </c>
      <c r="U343" t="s">
        <v>224</v>
      </c>
      <c r="V343" t="s">
        <v>167</v>
      </c>
      <c r="W343" t="s">
        <v>168</v>
      </c>
      <c r="Y343">
        <v>10</v>
      </c>
      <c r="Z343" t="s">
        <v>169</v>
      </c>
      <c r="AA343" t="s">
        <v>170</v>
      </c>
      <c r="AB343">
        <v>4</v>
      </c>
      <c r="AC343" t="s">
        <v>601</v>
      </c>
      <c r="AD343">
        <v>85</v>
      </c>
      <c r="AF343">
        <v>408</v>
      </c>
      <c r="AG343" t="s">
        <v>210</v>
      </c>
      <c r="AH343" t="s">
        <v>444</v>
      </c>
      <c r="AI343" t="s">
        <v>175</v>
      </c>
      <c r="AJ343" t="s">
        <v>176</v>
      </c>
      <c r="AK343" t="s">
        <v>940</v>
      </c>
      <c r="AL343" t="s">
        <v>941</v>
      </c>
      <c r="AS343">
        <v>3100</v>
      </c>
      <c r="AT343">
        <v>3100</v>
      </c>
      <c r="AU343">
        <v>11</v>
      </c>
      <c r="AV343">
        <v>14</v>
      </c>
      <c r="AW343">
        <v>12</v>
      </c>
      <c r="AX343">
        <v>13.7</v>
      </c>
      <c r="AY343">
        <v>21.1</v>
      </c>
      <c r="AZ343">
        <v>16.267299999999999</v>
      </c>
      <c r="BA343">
        <v>11.0641</v>
      </c>
      <c r="BB343">
        <v>14.144600000000001</v>
      </c>
      <c r="BC343">
        <v>12.2662</v>
      </c>
      <c r="BD343">
        <v>288</v>
      </c>
      <c r="BE343" t="s">
        <v>907</v>
      </c>
      <c r="BF343" t="s">
        <v>908</v>
      </c>
      <c r="BG343" t="s">
        <v>175</v>
      </c>
      <c r="BH343" t="s">
        <v>176</v>
      </c>
      <c r="BI343">
        <v>3800</v>
      </c>
      <c r="BJ343">
        <v>568</v>
      </c>
      <c r="BK343">
        <v>444</v>
      </c>
      <c r="BL343">
        <v>512</v>
      </c>
      <c r="BM343">
        <v>3800</v>
      </c>
      <c r="BN343" t="s">
        <v>909</v>
      </c>
      <c r="BO343">
        <v>1</v>
      </c>
      <c r="BP343">
        <v>1</v>
      </c>
      <c r="BQ343">
        <v>13</v>
      </c>
      <c r="BR343" t="s">
        <v>1016</v>
      </c>
      <c r="BT343" t="s">
        <v>457</v>
      </c>
      <c r="BU343" s="1">
        <v>45502</v>
      </c>
      <c r="BV343">
        <v>35082</v>
      </c>
      <c r="BX343" t="s">
        <v>169</v>
      </c>
      <c r="BY343" t="s">
        <v>170</v>
      </c>
      <c r="CB343" t="s">
        <v>170</v>
      </c>
      <c r="CC343" t="s">
        <v>170</v>
      </c>
      <c r="CE343" t="s">
        <v>169</v>
      </c>
      <c r="CF343" t="s">
        <v>980</v>
      </c>
      <c r="CG343" t="s">
        <v>169</v>
      </c>
      <c r="CH343" t="s">
        <v>981</v>
      </c>
      <c r="CI343" t="s">
        <v>170</v>
      </c>
      <c r="DJ343" t="s">
        <v>184</v>
      </c>
      <c r="DK343" t="s">
        <v>185</v>
      </c>
      <c r="DN343" t="s">
        <v>170</v>
      </c>
      <c r="DO343" t="s">
        <v>197</v>
      </c>
      <c r="DP343" t="s">
        <v>170</v>
      </c>
      <c r="DQ343" t="s">
        <v>187</v>
      </c>
      <c r="EB343">
        <v>3</v>
      </c>
      <c r="EC343">
        <v>3</v>
      </c>
      <c r="ED343">
        <v>3</v>
      </c>
      <c r="EE343" t="s">
        <v>1024</v>
      </c>
      <c r="EF343">
        <v>4</v>
      </c>
      <c r="EV343">
        <v>6000</v>
      </c>
      <c r="EW343">
        <v>576</v>
      </c>
      <c r="EX343">
        <v>462</v>
      </c>
      <c r="EY343">
        <v>524</v>
      </c>
    </row>
    <row r="344" spans="1:155" x14ac:dyDescent="0.35">
      <c r="A344">
        <v>2025</v>
      </c>
      <c r="B344" t="s">
        <v>220</v>
      </c>
      <c r="C344" t="s">
        <v>994</v>
      </c>
      <c r="D344" t="s">
        <v>1048</v>
      </c>
      <c r="E344" t="s">
        <v>223</v>
      </c>
      <c r="F344">
        <v>557</v>
      </c>
      <c r="G344">
        <v>6.2</v>
      </c>
      <c r="H344">
        <v>8</v>
      </c>
      <c r="I344" t="s">
        <v>443</v>
      </c>
      <c r="J344">
        <v>14</v>
      </c>
      <c r="K344">
        <v>17</v>
      </c>
      <c r="L344">
        <v>15</v>
      </c>
      <c r="M344">
        <v>17.9041</v>
      </c>
      <c r="N344">
        <v>26.238600000000002</v>
      </c>
      <c r="O344">
        <v>20.8901</v>
      </c>
      <c r="P344">
        <v>14</v>
      </c>
      <c r="Q344">
        <v>17</v>
      </c>
      <c r="R344">
        <v>15</v>
      </c>
      <c r="U344" t="s">
        <v>224</v>
      </c>
      <c r="V344" t="s">
        <v>167</v>
      </c>
      <c r="W344" t="s">
        <v>168</v>
      </c>
      <c r="Y344">
        <v>10</v>
      </c>
      <c r="Z344" t="s">
        <v>169</v>
      </c>
      <c r="AA344" t="s">
        <v>170</v>
      </c>
      <c r="AB344">
        <v>4</v>
      </c>
      <c r="AC344" t="s">
        <v>601</v>
      </c>
      <c r="AD344">
        <v>10</v>
      </c>
      <c r="AG344" t="s">
        <v>214</v>
      </c>
      <c r="AH344" t="s">
        <v>215</v>
      </c>
      <c r="AI344" t="s">
        <v>175</v>
      </c>
      <c r="AJ344" t="s">
        <v>176</v>
      </c>
      <c r="AK344" t="s">
        <v>940</v>
      </c>
      <c r="AL344" t="s">
        <v>941</v>
      </c>
      <c r="AS344">
        <v>4250</v>
      </c>
      <c r="AT344">
        <v>4250</v>
      </c>
      <c r="BN344" t="s">
        <v>178</v>
      </c>
      <c r="BO344">
        <v>1</v>
      </c>
      <c r="BP344">
        <v>1</v>
      </c>
      <c r="BQ344">
        <v>13</v>
      </c>
      <c r="BR344" t="s">
        <v>1016</v>
      </c>
      <c r="BT344" t="s">
        <v>457</v>
      </c>
      <c r="BU344" s="1">
        <v>45502</v>
      </c>
      <c r="BV344">
        <v>35133</v>
      </c>
      <c r="BX344" t="s">
        <v>169</v>
      </c>
      <c r="BY344" t="s">
        <v>170</v>
      </c>
      <c r="CB344" t="s">
        <v>170</v>
      </c>
      <c r="CC344" t="s">
        <v>170</v>
      </c>
      <c r="CE344" t="s">
        <v>169</v>
      </c>
      <c r="CF344" t="s">
        <v>980</v>
      </c>
      <c r="CG344" t="s">
        <v>169</v>
      </c>
      <c r="CH344" t="s">
        <v>981</v>
      </c>
      <c r="CI344" t="s">
        <v>170</v>
      </c>
      <c r="DJ344" t="s">
        <v>184</v>
      </c>
      <c r="DK344" t="s">
        <v>185</v>
      </c>
      <c r="DN344" t="s">
        <v>170</v>
      </c>
      <c r="DO344" t="s">
        <v>197</v>
      </c>
      <c r="DP344" t="s">
        <v>169</v>
      </c>
      <c r="DQ344" t="s">
        <v>198</v>
      </c>
      <c r="EB344">
        <v>2</v>
      </c>
      <c r="EC344">
        <v>2</v>
      </c>
      <c r="EE344" t="s">
        <v>1025</v>
      </c>
      <c r="EF344">
        <v>5</v>
      </c>
      <c r="EV344">
        <v>11750</v>
      </c>
      <c r="EW344">
        <v>636</v>
      </c>
      <c r="EX344">
        <v>523</v>
      </c>
      <c r="EY344">
        <v>593</v>
      </c>
    </row>
    <row r="345" spans="1:155" x14ac:dyDescent="0.35">
      <c r="A345">
        <v>2025</v>
      </c>
      <c r="B345" t="s">
        <v>220</v>
      </c>
      <c r="C345" t="s">
        <v>994</v>
      </c>
      <c r="D345" t="s">
        <v>1048</v>
      </c>
      <c r="E345" t="s">
        <v>223</v>
      </c>
      <c r="F345">
        <v>563</v>
      </c>
      <c r="G345">
        <v>5.3</v>
      </c>
      <c r="H345">
        <v>8</v>
      </c>
      <c r="I345" t="s">
        <v>443</v>
      </c>
      <c r="J345">
        <v>15</v>
      </c>
      <c r="K345">
        <v>19</v>
      </c>
      <c r="L345">
        <v>16</v>
      </c>
      <c r="M345">
        <v>18.5</v>
      </c>
      <c r="N345">
        <v>28</v>
      </c>
      <c r="O345">
        <v>21.833500000000001</v>
      </c>
      <c r="P345">
        <v>14.655900000000001</v>
      </c>
      <c r="Q345">
        <v>18.777200000000001</v>
      </c>
      <c r="R345">
        <v>16.2621</v>
      </c>
      <c r="U345" t="s">
        <v>224</v>
      </c>
      <c r="V345" t="s">
        <v>167</v>
      </c>
      <c r="W345" t="s">
        <v>168</v>
      </c>
      <c r="Y345">
        <v>10</v>
      </c>
      <c r="Z345" t="s">
        <v>169</v>
      </c>
      <c r="AA345" t="s">
        <v>170</v>
      </c>
      <c r="AB345">
        <v>4</v>
      </c>
      <c r="AC345" t="s">
        <v>601</v>
      </c>
      <c r="AD345">
        <v>10</v>
      </c>
      <c r="AG345" t="s">
        <v>210</v>
      </c>
      <c r="AH345" t="s">
        <v>444</v>
      </c>
      <c r="AI345" t="s">
        <v>175</v>
      </c>
      <c r="AJ345" t="s">
        <v>176</v>
      </c>
      <c r="AK345" t="s">
        <v>940</v>
      </c>
      <c r="AL345" t="s">
        <v>941</v>
      </c>
      <c r="AS345">
        <v>3300</v>
      </c>
      <c r="AT345">
        <v>3300</v>
      </c>
      <c r="BN345" t="s">
        <v>178</v>
      </c>
      <c r="BO345">
        <v>1</v>
      </c>
      <c r="BP345">
        <v>1</v>
      </c>
      <c r="BQ345">
        <v>13</v>
      </c>
      <c r="BR345" t="s">
        <v>1016</v>
      </c>
      <c r="BT345" t="s">
        <v>225</v>
      </c>
      <c r="BU345" s="1">
        <v>45502</v>
      </c>
      <c r="BV345">
        <v>35216</v>
      </c>
      <c r="BX345" t="s">
        <v>169</v>
      </c>
      <c r="BY345" t="s">
        <v>170</v>
      </c>
      <c r="CB345" t="s">
        <v>170</v>
      </c>
      <c r="CC345" t="s">
        <v>170</v>
      </c>
      <c r="CE345" t="s">
        <v>169</v>
      </c>
      <c r="CF345" t="s">
        <v>980</v>
      </c>
      <c r="CG345" t="s">
        <v>169</v>
      </c>
      <c r="CH345" t="s">
        <v>981</v>
      </c>
      <c r="CI345" t="s">
        <v>170</v>
      </c>
      <c r="DJ345" t="s">
        <v>184</v>
      </c>
      <c r="DK345" t="s">
        <v>185</v>
      </c>
      <c r="DN345" t="s">
        <v>170</v>
      </c>
      <c r="DO345" t="s">
        <v>197</v>
      </c>
      <c r="DP345" t="s">
        <v>170</v>
      </c>
      <c r="DQ345" t="s">
        <v>187</v>
      </c>
      <c r="DR345" t="s">
        <v>1021</v>
      </c>
      <c r="EB345">
        <v>3</v>
      </c>
      <c r="EC345">
        <v>3</v>
      </c>
      <c r="EE345" t="s">
        <v>982</v>
      </c>
      <c r="EF345">
        <v>6</v>
      </c>
      <c r="EV345">
        <v>7000</v>
      </c>
      <c r="EW345">
        <v>604</v>
      </c>
      <c r="EX345">
        <v>475</v>
      </c>
      <c r="EY345">
        <v>546</v>
      </c>
    </row>
    <row r="346" spans="1:155" x14ac:dyDescent="0.35">
      <c r="A346">
        <v>2025</v>
      </c>
      <c r="B346" t="s">
        <v>220</v>
      </c>
      <c r="C346" t="s">
        <v>994</v>
      </c>
      <c r="D346" t="s">
        <v>1048</v>
      </c>
      <c r="E346" t="s">
        <v>223</v>
      </c>
      <c r="F346">
        <v>570</v>
      </c>
      <c r="G346">
        <v>5.3</v>
      </c>
      <c r="H346">
        <v>8</v>
      </c>
      <c r="I346" t="s">
        <v>443</v>
      </c>
      <c r="J346">
        <v>15</v>
      </c>
      <c r="K346">
        <v>18</v>
      </c>
      <c r="L346">
        <v>16</v>
      </c>
      <c r="M346">
        <v>18.407499999999999</v>
      </c>
      <c r="N346">
        <v>26.2239</v>
      </c>
      <c r="O346">
        <v>21.258900000000001</v>
      </c>
      <c r="P346">
        <v>14.9816</v>
      </c>
      <c r="Q346">
        <v>17.8125</v>
      </c>
      <c r="R346">
        <v>16.1356</v>
      </c>
      <c r="U346" t="s">
        <v>224</v>
      </c>
      <c r="V346" t="s">
        <v>167</v>
      </c>
      <c r="W346" t="s">
        <v>168</v>
      </c>
      <c r="Y346">
        <v>10</v>
      </c>
      <c r="Z346" t="s">
        <v>169</v>
      </c>
      <c r="AA346" t="s">
        <v>170</v>
      </c>
      <c r="AB346">
        <v>4</v>
      </c>
      <c r="AC346" t="s">
        <v>601</v>
      </c>
      <c r="AD346">
        <v>10</v>
      </c>
      <c r="AG346" t="s">
        <v>210</v>
      </c>
      <c r="AH346" t="s">
        <v>444</v>
      </c>
      <c r="AI346" t="s">
        <v>175</v>
      </c>
      <c r="AJ346" t="s">
        <v>176</v>
      </c>
      <c r="AK346" t="s">
        <v>940</v>
      </c>
      <c r="AL346" t="s">
        <v>941</v>
      </c>
      <c r="AS346">
        <v>3300</v>
      </c>
      <c r="AT346">
        <v>3300</v>
      </c>
      <c r="BN346" t="s">
        <v>178</v>
      </c>
      <c r="BO346">
        <v>1</v>
      </c>
      <c r="BP346">
        <v>1</v>
      </c>
      <c r="BQ346">
        <v>13</v>
      </c>
      <c r="BR346" t="s">
        <v>1016</v>
      </c>
      <c r="BT346" t="s">
        <v>225</v>
      </c>
      <c r="BU346" s="1">
        <v>45502</v>
      </c>
      <c r="BV346">
        <v>35298</v>
      </c>
      <c r="BX346" t="s">
        <v>169</v>
      </c>
      <c r="BY346" t="s">
        <v>170</v>
      </c>
      <c r="CB346" t="s">
        <v>170</v>
      </c>
      <c r="CC346" t="s">
        <v>170</v>
      </c>
      <c r="CE346" t="s">
        <v>169</v>
      </c>
      <c r="CF346" t="s">
        <v>980</v>
      </c>
      <c r="CG346" t="s">
        <v>169</v>
      </c>
      <c r="CH346" t="s">
        <v>981</v>
      </c>
      <c r="CI346" t="s">
        <v>170</v>
      </c>
      <c r="DJ346" t="s">
        <v>184</v>
      </c>
      <c r="DK346" t="s">
        <v>185</v>
      </c>
      <c r="DN346" t="s">
        <v>170</v>
      </c>
      <c r="DO346" t="s">
        <v>197</v>
      </c>
      <c r="DP346" t="s">
        <v>169</v>
      </c>
      <c r="DQ346" t="s">
        <v>198</v>
      </c>
      <c r="DR346" t="s">
        <v>974</v>
      </c>
      <c r="EB346">
        <v>3</v>
      </c>
      <c r="EC346">
        <v>3</v>
      </c>
      <c r="EE346" t="s">
        <v>982</v>
      </c>
      <c r="EF346">
        <v>6</v>
      </c>
      <c r="EV346">
        <v>7000</v>
      </c>
      <c r="EW346">
        <v>590</v>
      </c>
      <c r="EX346">
        <v>499</v>
      </c>
      <c r="EY346">
        <v>549</v>
      </c>
    </row>
    <row r="347" spans="1:155" x14ac:dyDescent="0.35">
      <c r="A347">
        <v>2025</v>
      </c>
      <c r="B347" t="s">
        <v>220</v>
      </c>
      <c r="C347" t="s">
        <v>994</v>
      </c>
      <c r="D347" t="s">
        <v>1048</v>
      </c>
      <c r="E347" t="s">
        <v>223</v>
      </c>
      <c r="F347">
        <v>580</v>
      </c>
      <c r="G347">
        <v>5.3</v>
      </c>
      <c r="H347">
        <v>8</v>
      </c>
      <c r="I347" t="s">
        <v>443</v>
      </c>
      <c r="J347">
        <v>15</v>
      </c>
      <c r="K347">
        <v>18</v>
      </c>
      <c r="L347">
        <v>16</v>
      </c>
      <c r="M347">
        <v>18.322199999999999</v>
      </c>
      <c r="N347">
        <v>26.159500000000001</v>
      </c>
      <c r="O347">
        <v>21.177299999999999</v>
      </c>
      <c r="P347">
        <v>14.865500000000001</v>
      </c>
      <c r="Q347">
        <v>17.7193</v>
      </c>
      <c r="R347">
        <v>16.027100000000001</v>
      </c>
      <c r="U347" t="s">
        <v>224</v>
      </c>
      <c r="V347" t="s">
        <v>167</v>
      </c>
      <c r="W347" t="s">
        <v>168</v>
      </c>
      <c r="Y347">
        <v>10</v>
      </c>
      <c r="Z347" t="s">
        <v>169</v>
      </c>
      <c r="AA347" t="s">
        <v>170</v>
      </c>
      <c r="AB347">
        <v>4</v>
      </c>
      <c r="AC347" t="s">
        <v>601</v>
      </c>
      <c r="AD347">
        <v>10</v>
      </c>
      <c r="AG347" t="s">
        <v>210</v>
      </c>
      <c r="AH347" t="s">
        <v>444</v>
      </c>
      <c r="AI347" t="s">
        <v>175</v>
      </c>
      <c r="AJ347" t="s">
        <v>176</v>
      </c>
      <c r="AK347" t="s">
        <v>940</v>
      </c>
      <c r="AL347" t="s">
        <v>941</v>
      </c>
      <c r="AS347">
        <v>3300</v>
      </c>
      <c r="AT347">
        <v>3300</v>
      </c>
      <c r="BN347" t="s">
        <v>178</v>
      </c>
      <c r="BO347">
        <v>1</v>
      </c>
      <c r="BP347">
        <v>1</v>
      </c>
      <c r="BQ347">
        <v>13</v>
      </c>
      <c r="BR347" t="s">
        <v>1016</v>
      </c>
      <c r="BT347" t="s">
        <v>225</v>
      </c>
      <c r="BU347" s="1">
        <v>45502</v>
      </c>
      <c r="BV347">
        <v>35290</v>
      </c>
      <c r="BX347" t="s">
        <v>169</v>
      </c>
      <c r="BY347" t="s">
        <v>170</v>
      </c>
      <c r="CB347" t="s">
        <v>170</v>
      </c>
      <c r="CC347" t="s">
        <v>170</v>
      </c>
      <c r="CE347" t="s">
        <v>169</v>
      </c>
      <c r="CF347" t="s">
        <v>980</v>
      </c>
      <c r="CG347" t="s">
        <v>169</v>
      </c>
      <c r="CH347" t="s">
        <v>981</v>
      </c>
      <c r="CI347" t="s">
        <v>170</v>
      </c>
      <c r="DJ347" t="s">
        <v>184</v>
      </c>
      <c r="DK347" t="s">
        <v>185</v>
      </c>
      <c r="DN347" t="s">
        <v>170</v>
      </c>
      <c r="DO347" t="s">
        <v>197</v>
      </c>
      <c r="DP347" t="s">
        <v>169</v>
      </c>
      <c r="DQ347" t="s">
        <v>198</v>
      </c>
      <c r="EB347">
        <v>3</v>
      </c>
      <c r="EC347">
        <v>3</v>
      </c>
      <c r="EE347" t="s">
        <v>982</v>
      </c>
      <c r="EF347">
        <v>6</v>
      </c>
      <c r="EV347">
        <v>7000</v>
      </c>
      <c r="EW347">
        <v>595</v>
      </c>
      <c r="EX347">
        <v>502</v>
      </c>
      <c r="EY347">
        <v>553</v>
      </c>
    </row>
    <row r="348" spans="1:155" x14ac:dyDescent="0.35">
      <c r="A348">
        <v>2025</v>
      </c>
      <c r="B348" t="s">
        <v>220</v>
      </c>
      <c r="C348" t="s">
        <v>994</v>
      </c>
      <c r="D348" t="s">
        <v>1293</v>
      </c>
      <c r="E348" t="s">
        <v>223</v>
      </c>
      <c r="F348">
        <v>705</v>
      </c>
      <c r="G348">
        <v>1.5</v>
      </c>
      <c r="H348">
        <v>4</v>
      </c>
      <c r="I348" t="s">
        <v>164</v>
      </c>
      <c r="J348">
        <v>24</v>
      </c>
      <c r="K348">
        <v>28</v>
      </c>
      <c r="L348">
        <v>25</v>
      </c>
      <c r="M348">
        <v>30.3264</v>
      </c>
      <c r="N348">
        <v>43.6233</v>
      </c>
      <c r="O348">
        <v>35.147399999999998</v>
      </c>
      <c r="P348">
        <v>23.6157</v>
      </c>
      <c r="Q348">
        <v>28</v>
      </c>
      <c r="R348">
        <v>25</v>
      </c>
      <c r="T348" t="s">
        <v>165</v>
      </c>
      <c r="U348" t="s">
        <v>166</v>
      </c>
      <c r="V348" t="s">
        <v>167</v>
      </c>
      <c r="W348" t="s">
        <v>168</v>
      </c>
      <c r="Y348">
        <v>8</v>
      </c>
      <c r="Z348" t="s">
        <v>169</v>
      </c>
      <c r="AA348" t="s">
        <v>170</v>
      </c>
      <c r="AB348" t="s">
        <v>167</v>
      </c>
      <c r="AC348" t="s">
        <v>213</v>
      </c>
      <c r="AD348">
        <v>10</v>
      </c>
      <c r="AG348" t="s">
        <v>210</v>
      </c>
      <c r="AH348" t="s">
        <v>444</v>
      </c>
      <c r="AI348" t="s">
        <v>175</v>
      </c>
      <c r="AJ348" t="s">
        <v>176</v>
      </c>
      <c r="AK348" t="s">
        <v>940</v>
      </c>
      <c r="AL348" t="s">
        <v>941</v>
      </c>
      <c r="AO348">
        <v>104</v>
      </c>
      <c r="AP348">
        <v>30</v>
      </c>
      <c r="AS348">
        <v>2100</v>
      </c>
      <c r="AT348">
        <v>2100</v>
      </c>
      <c r="BN348" t="s">
        <v>178</v>
      </c>
      <c r="BO348">
        <v>2</v>
      </c>
      <c r="BP348">
        <v>2</v>
      </c>
      <c r="BQ348">
        <v>31</v>
      </c>
      <c r="BR348" t="s">
        <v>1219</v>
      </c>
      <c r="BT348" t="s">
        <v>457</v>
      </c>
      <c r="BU348" s="1">
        <v>45579</v>
      </c>
      <c r="BV348">
        <v>34966</v>
      </c>
      <c r="BX348" t="s">
        <v>170</v>
      </c>
      <c r="BY348" t="s">
        <v>170</v>
      </c>
      <c r="CB348" t="s">
        <v>170</v>
      </c>
      <c r="CC348" t="s">
        <v>170</v>
      </c>
      <c r="CE348" t="s">
        <v>170</v>
      </c>
      <c r="CG348" t="s">
        <v>169</v>
      </c>
      <c r="CH348" t="s">
        <v>726</v>
      </c>
      <c r="CI348" t="s">
        <v>170</v>
      </c>
      <c r="DJ348" t="s">
        <v>184</v>
      </c>
      <c r="DK348" t="s">
        <v>185</v>
      </c>
      <c r="DN348" t="s">
        <v>170</v>
      </c>
      <c r="DO348" t="s">
        <v>197</v>
      </c>
      <c r="DP348" t="s">
        <v>169</v>
      </c>
      <c r="DQ348" t="s">
        <v>198</v>
      </c>
      <c r="EB348">
        <v>5</v>
      </c>
      <c r="EC348">
        <v>5</v>
      </c>
      <c r="EE348" t="s">
        <v>1109</v>
      </c>
      <c r="EF348">
        <v>6</v>
      </c>
      <c r="EV348">
        <v>1000</v>
      </c>
      <c r="EW348">
        <v>377</v>
      </c>
      <c r="EX348">
        <v>318</v>
      </c>
      <c r="EY348">
        <v>356</v>
      </c>
    </row>
    <row r="349" spans="1:155" x14ac:dyDescent="0.35">
      <c r="A349">
        <v>2025</v>
      </c>
      <c r="B349" t="s">
        <v>220</v>
      </c>
      <c r="C349" t="s">
        <v>994</v>
      </c>
      <c r="D349" t="s">
        <v>1117</v>
      </c>
      <c r="E349" t="s">
        <v>223</v>
      </c>
      <c r="F349">
        <v>205</v>
      </c>
      <c r="G349">
        <v>1.5</v>
      </c>
      <c r="H349">
        <v>4</v>
      </c>
      <c r="I349" t="s">
        <v>587</v>
      </c>
      <c r="J349">
        <v>26</v>
      </c>
      <c r="K349">
        <v>28</v>
      </c>
      <c r="L349">
        <v>27</v>
      </c>
      <c r="M349">
        <v>33.299999999999997</v>
      </c>
      <c r="N349">
        <v>43.9</v>
      </c>
      <c r="O349">
        <v>37.359299999999998</v>
      </c>
      <c r="P349">
        <v>25.687899999999999</v>
      </c>
      <c r="Q349">
        <v>28.331099999999999</v>
      </c>
      <c r="R349">
        <v>26.813600000000001</v>
      </c>
      <c r="T349" t="s">
        <v>165</v>
      </c>
      <c r="U349" t="s">
        <v>166</v>
      </c>
      <c r="V349" t="s">
        <v>588</v>
      </c>
      <c r="W349" t="s">
        <v>589</v>
      </c>
      <c r="Y349">
        <v>1</v>
      </c>
      <c r="Z349" t="s">
        <v>170</v>
      </c>
      <c r="AA349" t="s">
        <v>170</v>
      </c>
      <c r="AB349" t="s">
        <v>351</v>
      </c>
      <c r="AC349" t="s">
        <v>352</v>
      </c>
      <c r="AD349">
        <v>10</v>
      </c>
      <c r="AG349" t="s">
        <v>210</v>
      </c>
      <c r="AH349" t="s">
        <v>444</v>
      </c>
      <c r="AI349" t="s">
        <v>175</v>
      </c>
      <c r="AJ349" t="s">
        <v>176</v>
      </c>
      <c r="AK349" t="s">
        <v>940</v>
      </c>
      <c r="AL349" t="s">
        <v>941</v>
      </c>
      <c r="AS349">
        <v>1950</v>
      </c>
      <c r="AT349">
        <v>1950</v>
      </c>
      <c r="BN349" t="s">
        <v>178</v>
      </c>
      <c r="BO349">
        <v>2</v>
      </c>
      <c r="BP349">
        <v>2</v>
      </c>
      <c r="BQ349">
        <v>30</v>
      </c>
      <c r="BR349" t="s">
        <v>1099</v>
      </c>
      <c r="BT349" t="s">
        <v>457</v>
      </c>
      <c r="BU349" s="1">
        <v>45579</v>
      </c>
      <c r="BV349">
        <v>34964</v>
      </c>
      <c r="BX349" t="s">
        <v>170</v>
      </c>
      <c r="BY349" t="s">
        <v>170</v>
      </c>
      <c r="CB349" t="s">
        <v>170</v>
      </c>
      <c r="CC349" t="s">
        <v>170</v>
      </c>
      <c r="CE349" t="s">
        <v>170</v>
      </c>
      <c r="CG349" t="s">
        <v>169</v>
      </c>
      <c r="CH349" t="s">
        <v>726</v>
      </c>
      <c r="CI349" t="s">
        <v>170</v>
      </c>
      <c r="DJ349" t="s">
        <v>184</v>
      </c>
      <c r="DK349" t="s">
        <v>185</v>
      </c>
      <c r="DN349" t="s">
        <v>170</v>
      </c>
      <c r="DO349" t="s">
        <v>197</v>
      </c>
      <c r="DP349" t="s">
        <v>169</v>
      </c>
      <c r="DQ349" t="s">
        <v>198</v>
      </c>
      <c r="DY349">
        <v>37.6</v>
      </c>
      <c r="EB349">
        <v>5</v>
      </c>
      <c r="EC349">
        <v>5</v>
      </c>
      <c r="EE349" t="s">
        <v>1109</v>
      </c>
      <c r="EF349">
        <v>6</v>
      </c>
      <c r="EV349">
        <v>250</v>
      </c>
      <c r="EW349">
        <v>346</v>
      </c>
      <c r="EX349">
        <v>314</v>
      </c>
      <c r="EY349">
        <v>332</v>
      </c>
    </row>
    <row r="350" spans="1:155" x14ac:dyDescent="0.35">
      <c r="A350">
        <v>2025</v>
      </c>
      <c r="B350" t="s">
        <v>220</v>
      </c>
      <c r="C350" t="s">
        <v>994</v>
      </c>
      <c r="D350" t="s">
        <v>1474</v>
      </c>
      <c r="E350" t="s">
        <v>223</v>
      </c>
      <c r="F350">
        <v>582</v>
      </c>
      <c r="G350">
        <v>6.2</v>
      </c>
      <c r="H350">
        <v>8</v>
      </c>
      <c r="I350" t="s">
        <v>443</v>
      </c>
      <c r="J350">
        <v>15</v>
      </c>
      <c r="K350">
        <v>20</v>
      </c>
      <c r="L350">
        <v>17</v>
      </c>
      <c r="M350">
        <v>18.7392</v>
      </c>
      <c r="N350">
        <v>29.6</v>
      </c>
      <c r="O350">
        <v>22.4452</v>
      </c>
      <c r="P350">
        <v>15.1518</v>
      </c>
      <c r="Q350">
        <v>20.024999999999999</v>
      </c>
      <c r="R350">
        <v>17.0151</v>
      </c>
      <c r="U350" t="s">
        <v>224</v>
      </c>
      <c r="V350" t="s">
        <v>167</v>
      </c>
      <c r="W350" t="s">
        <v>168</v>
      </c>
      <c r="Y350">
        <v>10</v>
      </c>
      <c r="Z350" t="s">
        <v>169</v>
      </c>
      <c r="AA350" t="s">
        <v>170</v>
      </c>
      <c r="AB350" t="s">
        <v>171</v>
      </c>
      <c r="AC350" t="s">
        <v>172</v>
      </c>
      <c r="AD350">
        <v>10</v>
      </c>
      <c r="AG350" t="s">
        <v>214</v>
      </c>
      <c r="AH350" t="s">
        <v>215</v>
      </c>
      <c r="AI350" t="s">
        <v>175</v>
      </c>
      <c r="AJ350" t="s">
        <v>176</v>
      </c>
      <c r="AK350" t="s">
        <v>940</v>
      </c>
      <c r="AL350" t="s">
        <v>941</v>
      </c>
      <c r="AS350">
        <v>3750</v>
      </c>
      <c r="AT350">
        <v>3750</v>
      </c>
      <c r="BN350" t="s">
        <v>178</v>
      </c>
      <c r="BO350">
        <v>1</v>
      </c>
      <c r="BP350">
        <v>1</v>
      </c>
      <c r="BQ350">
        <v>32</v>
      </c>
      <c r="BR350" t="s">
        <v>1453</v>
      </c>
      <c r="BT350" t="s">
        <v>457</v>
      </c>
      <c r="BU350" s="1">
        <v>45572</v>
      </c>
      <c r="BV350">
        <v>35598</v>
      </c>
      <c r="BX350" t="s">
        <v>170</v>
      </c>
      <c r="BY350" t="s">
        <v>170</v>
      </c>
      <c r="CB350" t="s">
        <v>170</v>
      </c>
      <c r="CC350" t="s">
        <v>170</v>
      </c>
      <c r="CE350" t="s">
        <v>169</v>
      </c>
      <c r="CF350" t="s">
        <v>980</v>
      </c>
      <c r="CG350" t="s">
        <v>169</v>
      </c>
      <c r="CH350" t="s">
        <v>981</v>
      </c>
      <c r="CI350" t="s">
        <v>170</v>
      </c>
      <c r="DJ350" t="s">
        <v>184</v>
      </c>
      <c r="DK350" t="s">
        <v>185</v>
      </c>
      <c r="DN350" t="s">
        <v>170</v>
      </c>
      <c r="DO350" t="s">
        <v>197</v>
      </c>
      <c r="DP350" t="s">
        <v>169</v>
      </c>
      <c r="DQ350" t="s">
        <v>198</v>
      </c>
      <c r="EB350">
        <v>3</v>
      </c>
      <c r="EC350">
        <v>3</v>
      </c>
      <c r="EE350" t="s">
        <v>1025</v>
      </c>
      <c r="EF350">
        <v>5</v>
      </c>
      <c r="EV350">
        <v>9250</v>
      </c>
      <c r="EW350">
        <v>587</v>
      </c>
      <c r="EX350">
        <v>444</v>
      </c>
      <c r="EY350">
        <v>523</v>
      </c>
    </row>
    <row r="351" spans="1:155" x14ac:dyDescent="0.35">
      <c r="A351">
        <v>2025</v>
      </c>
      <c r="B351" t="s">
        <v>220</v>
      </c>
      <c r="C351" t="s">
        <v>994</v>
      </c>
      <c r="D351" t="s">
        <v>1474</v>
      </c>
      <c r="E351" t="s">
        <v>223</v>
      </c>
      <c r="F351">
        <v>592</v>
      </c>
      <c r="G351">
        <v>5.3</v>
      </c>
      <c r="H351">
        <v>8</v>
      </c>
      <c r="I351" t="s">
        <v>443</v>
      </c>
      <c r="J351">
        <v>15</v>
      </c>
      <c r="K351">
        <v>20</v>
      </c>
      <c r="L351">
        <v>17</v>
      </c>
      <c r="M351">
        <v>19.5</v>
      </c>
      <c r="N351">
        <v>29.9</v>
      </c>
      <c r="O351">
        <v>23.118600000000001</v>
      </c>
      <c r="P351">
        <v>14.9986</v>
      </c>
      <c r="Q351">
        <v>19.604099999999999</v>
      </c>
      <c r="R351">
        <v>16.771599999999999</v>
      </c>
      <c r="U351" t="s">
        <v>224</v>
      </c>
      <c r="V351" t="s">
        <v>167</v>
      </c>
      <c r="W351" t="s">
        <v>168</v>
      </c>
      <c r="Y351">
        <v>10</v>
      </c>
      <c r="Z351" t="s">
        <v>169</v>
      </c>
      <c r="AA351" t="s">
        <v>170</v>
      </c>
      <c r="AB351" t="s">
        <v>171</v>
      </c>
      <c r="AC351" t="s">
        <v>172</v>
      </c>
      <c r="AD351">
        <v>10</v>
      </c>
      <c r="AG351" t="s">
        <v>210</v>
      </c>
      <c r="AH351" t="s">
        <v>444</v>
      </c>
      <c r="AI351" t="s">
        <v>175</v>
      </c>
      <c r="AJ351" t="s">
        <v>176</v>
      </c>
      <c r="AK351" t="s">
        <v>940</v>
      </c>
      <c r="AL351" t="s">
        <v>941</v>
      </c>
      <c r="AS351">
        <v>3100</v>
      </c>
      <c r="AT351">
        <v>3100</v>
      </c>
      <c r="BN351" t="s">
        <v>178</v>
      </c>
      <c r="BO351">
        <v>1</v>
      </c>
      <c r="BP351">
        <v>1</v>
      </c>
      <c r="BQ351">
        <v>32</v>
      </c>
      <c r="BR351" t="s">
        <v>1453</v>
      </c>
      <c r="BT351" t="s">
        <v>225</v>
      </c>
      <c r="BU351" s="1">
        <v>45572</v>
      </c>
      <c r="BV351">
        <v>35607</v>
      </c>
      <c r="BX351" t="s">
        <v>170</v>
      </c>
      <c r="BY351" t="s">
        <v>170</v>
      </c>
      <c r="CB351" t="s">
        <v>170</v>
      </c>
      <c r="CC351" t="s">
        <v>170</v>
      </c>
      <c r="CE351" t="s">
        <v>169</v>
      </c>
      <c r="CF351" t="s">
        <v>980</v>
      </c>
      <c r="CG351" t="s">
        <v>169</v>
      </c>
      <c r="CH351" t="s">
        <v>981</v>
      </c>
      <c r="CI351" t="s">
        <v>170</v>
      </c>
      <c r="DJ351" t="s">
        <v>184</v>
      </c>
      <c r="DK351" t="s">
        <v>185</v>
      </c>
      <c r="DN351" t="s">
        <v>170</v>
      </c>
      <c r="DO351" t="s">
        <v>197</v>
      </c>
      <c r="DP351" t="s">
        <v>169</v>
      </c>
      <c r="DQ351" t="s">
        <v>198</v>
      </c>
      <c r="EB351">
        <v>3</v>
      </c>
      <c r="EC351">
        <v>3</v>
      </c>
      <c r="EE351" t="s">
        <v>982</v>
      </c>
      <c r="EF351">
        <v>6</v>
      </c>
      <c r="EV351">
        <v>6000</v>
      </c>
      <c r="EW351">
        <v>592</v>
      </c>
      <c r="EX351">
        <v>453</v>
      </c>
      <c r="EY351">
        <v>530</v>
      </c>
    </row>
    <row r="352" spans="1:155" x14ac:dyDescent="0.35">
      <c r="A352">
        <v>2025</v>
      </c>
      <c r="B352" t="s">
        <v>220</v>
      </c>
      <c r="C352" t="s">
        <v>994</v>
      </c>
      <c r="D352" t="s">
        <v>1474</v>
      </c>
      <c r="E352" t="s">
        <v>223</v>
      </c>
      <c r="F352">
        <v>762</v>
      </c>
      <c r="G352">
        <v>3</v>
      </c>
      <c r="H352">
        <v>6</v>
      </c>
      <c r="I352" t="s">
        <v>443</v>
      </c>
      <c r="J352">
        <v>21</v>
      </c>
      <c r="K352">
        <v>26</v>
      </c>
      <c r="L352">
        <v>23</v>
      </c>
      <c r="M352">
        <v>27.5</v>
      </c>
      <c r="N352">
        <v>40.1</v>
      </c>
      <c r="O352">
        <v>32.028799999999997</v>
      </c>
      <c r="P352">
        <v>21</v>
      </c>
      <c r="Q352">
        <v>26.440999999999999</v>
      </c>
      <c r="R352">
        <v>23</v>
      </c>
      <c r="T352" t="s">
        <v>165</v>
      </c>
      <c r="U352" t="s">
        <v>166</v>
      </c>
      <c r="V352" t="s">
        <v>167</v>
      </c>
      <c r="W352" t="s">
        <v>168</v>
      </c>
      <c r="Y352">
        <v>10</v>
      </c>
      <c r="Z352" t="s">
        <v>169</v>
      </c>
      <c r="AA352" t="s">
        <v>170</v>
      </c>
      <c r="AB352" t="s">
        <v>171</v>
      </c>
      <c r="AC352" t="s">
        <v>172</v>
      </c>
      <c r="AE352">
        <v>20</v>
      </c>
      <c r="AG352" t="s">
        <v>975</v>
      </c>
      <c r="AH352" t="s">
        <v>976</v>
      </c>
      <c r="AI352" t="s">
        <v>175</v>
      </c>
      <c r="AJ352" t="s">
        <v>176</v>
      </c>
      <c r="AK352" t="s">
        <v>940</v>
      </c>
      <c r="AL352" t="s">
        <v>941</v>
      </c>
      <c r="AS352">
        <v>2650</v>
      </c>
      <c r="AT352">
        <v>2650</v>
      </c>
      <c r="BO352">
        <v>2</v>
      </c>
      <c r="BP352">
        <v>2</v>
      </c>
      <c r="BQ352">
        <v>32</v>
      </c>
      <c r="BR352" t="s">
        <v>1453</v>
      </c>
      <c r="BT352" t="s">
        <v>457</v>
      </c>
      <c r="BU352" s="1">
        <v>45705</v>
      </c>
      <c r="BV352">
        <v>36126</v>
      </c>
      <c r="BX352" t="s">
        <v>170</v>
      </c>
      <c r="BY352" t="s">
        <v>170</v>
      </c>
      <c r="CB352" t="s">
        <v>170</v>
      </c>
      <c r="CC352" t="s">
        <v>170</v>
      </c>
      <c r="CE352" t="s">
        <v>170</v>
      </c>
      <c r="CG352" t="s">
        <v>170</v>
      </c>
      <c r="CI352" t="s">
        <v>170</v>
      </c>
      <c r="DJ352" t="s">
        <v>977</v>
      </c>
      <c r="DK352" t="s">
        <v>978</v>
      </c>
      <c r="DN352" t="s">
        <v>170</v>
      </c>
      <c r="DO352" t="s">
        <v>197</v>
      </c>
      <c r="DP352" t="s">
        <v>169</v>
      </c>
      <c r="DQ352" t="s">
        <v>198</v>
      </c>
      <c r="EB352">
        <v>5</v>
      </c>
      <c r="EC352">
        <v>4</v>
      </c>
      <c r="EE352" t="s">
        <v>1458</v>
      </c>
      <c r="EF352">
        <v>4</v>
      </c>
      <c r="EV352">
        <v>3750</v>
      </c>
      <c r="EW352">
        <v>485</v>
      </c>
      <c r="EX352">
        <v>385</v>
      </c>
      <c r="EY352">
        <v>442</v>
      </c>
    </row>
    <row r="353" spans="1:155" x14ac:dyDescent="0.35">
      <c r="A353">
        <v>2025</v>
      </c>
      <c r="B353" t="s">
        <v>220</v>
      </c>
      <c r="C353" t="s">
        <v>994</v>
      </c>
      <c r="D353" t="s">
        <v>1555</v>
      </c>
      <c r="E353" t="s">
        <v>223</v>
      </c>
      <c r="F353">
        <v>587</v>
      </c>
      <c r="G353">
        <v>6.2</v>
      </c>
      <c r="H353">
        <v>8</v>
      </c>
      <c r="I353" t="s">
        <v>443</v>
      </c>
      <c r="J353">
        <v>14</v>
      </c>
      <c r="K353">
        <v>18</v>
      </c>
      <c r="L353">
        <v>16</v>
      </c>
      <c r="M353">
        <v>18.2</v>
      </c>
      <c r="N353">
        <v>27.3</v>
      </c>
      <c r="O353">
        <v>21.411799999999999</v>
      </c>
      <c r="P353">
        <v>14</v>
      </c>
      <c r="Q353">
        <v>18</v>
      </c>
      <c r="R353">
        <v>16.296900000000001</v>
      </c>
      <c r="U353" t="s">
        <v>224</v>
      </c>
      <c r="V353" t="s">
        <v>167</v>
      </c>
      <c r="W353" t="s">
        <v>168</v>
      </c>
      <c r="Y353">
        <v>10</v>
      </c>
      <c r="Z353" t="s">
        <v>169</v>
      </c>
      <c r="AA353" t="s">
        <v>170</v>
      </c>
      <c r="AB353">
        <v>4</v>
      </c>
      <c r="AC353" t="s">
        <v>601</v>
      </c>
      <c r="AD353">
        <v>10</v>
      </c>
      <c r="AG353" t="s">
        <v>214</v>
      </c>
      <c r="AH353" t="s">
        <v>215</v>
      </c>
      <c r="AI353" t="s">
        <v>175</v>
      </c>
      <c r="AJ353" t="s">
        <v>176</v>
      </c>
      <c r="AK353" t="s">
        <v>940</v>
      </c>
      <c r="AL353" t="s">
        <v>941</v>
      </c>
      <c r="AS353">
        <v>4000</v>
      </c>
      <c r="AT353">
        <v>4000</v>
      </c>
      <c r="BN353" t="s">
        <v>178</v>
      </c>
      <c r="BO353">
        <v>1</v>
      </c>
      <c r="BP353">
        <v>1</v>
      </c>
      <c r="BQ353">
        <v>33</v>
      </c>
      <c r="BR353" t="s">
        <v>1497</v>
      </c>
      <c r="BT353" t="s">
        <v>457</v>
      </c>
      <c r="BU353" s="1">
        <v>45572</v>
      </c>
      <c r="BV353">
        <v>35601</v>
      </c>
      <c r="BX353" t="s">
        <v>170</v>
      </c>
      <c r="BY353" t="s">
        <v>170</v>
      </c>
      <c r="CB353" t="s">
        <v>170</v>
      </c>
      <c r="CC353" t="s">
        <v>170</v>
      </c>
      <c r="CE353" t="s">
        <v>169</v>
      </c>
      <c r="CF353" t="s">
        <v>980</v>
      </c>
      <c r="CG353" t="s">
        <v>169</v>
      </c>
      <c r="CH353" t="s">
        <v>981</v>
      </c>
      <c r="CI353" t="s">
        <v>170</v>
      </c>
      <c r="DJ353" t="s">
        <v>184</v>
      </c>
      <c r="DK353" t="s">
        <v>185</v>
      </c>
      <c r="DN353" t="s">
        <v>170</v>
      </c>
      <c r="DO353" t="s">
        <v>197</v>
      </c>
      <c r="DP353" t="s">
        <v>169</v>
      </c>
      <c r="DQ353" t="s">
        <v>198</v>
      </c>
      <c r="EB353">
        <v>3</v>
      </c>
      <c r="EC353">
        <v>3</v>
      </c>
      <c r="EE353" t="s">
        <v>1025</v>
      </c>
      <c r="EF353">
        <v>5</v>
      </c>
      <c r="EV353">
        <v>10500</v>
      </c>
      <c r="EW353">
        <v>634</v>
      </c>
      <c r="EX353">
        <v>495</v>
      </c>
      <c r="EY353">
        <v>572</v>
      </c>
    </row>
    <row r="354" spans="1:155" x14ac:dyDescent="0.35">
      <c r="A354">
        <v>2025</v>
      </c>
      <c r="B354" t="s">
        <v>220</v>
      </c>
      <c r="C354" t="s">
        <v>994</v>
      </c>
      <c r="D354" t="s">
        <v>1555</v>
      </c>
      <c r="E354" t="s">
        <v>223</v>
      </c>
      <c r="F354">
        <v>596</v>
      </c>
      <c r="G354">
        <v>5.3</v>
      </c>
      <c r="H354">
        <v>8</v>
      </c>
      <c r="I354" t="s">
        <v>443</v>
      </c>
      <c r="J354">
        <v>15</v>
      </c>
      <c r="K354">
        <v>19</v>
      </c>
      <c r="L354">
        <v>17</v>
      </c>
      <c r="M354">
        <v>19.360800000000001</v>
      </c>
      <c r="N354">
        <v>29.342500000000001</v>
      </c>
      <c r="O354">
        <v>22.860299999999999</v>
      </c>
      <c r="P354">
        <v>14.875</v>
      </c>
      <c r="Q354">
        <v>19.2148</v>
      </c>
      <c r="R354">
        <v>16.5579</v>
      </c>
      <c r="U354" t="s">
        <v>224</v>
      </c>
      <c r="V354" t="s">
        <v>167</v>
      </c>
      <c r="W354" t="s">
        <v>168</v>
      </c>
      <c r="Y354">
        <v>10</v>
      </c>
      <c r="Z354" t="s">
        <v>169</v>
      </c>
      <c r="AA354" t="s">
        <v>170</v>
      </c>
      <c r="AB354">
        <v>4</v>
      </c>
      <c r="AC354" t="s">
        <v>601</v>
      </c>
      <c r="AD354">
        <v>10</v>
      </c>
      <c r="AG354" t="s">
        <v>210</v>
      </c>
      <c r="AH354" t="s">
        <v>444</v>
      </c>
      <c r="AI354" t="s">
        <v>175</v>
      </c>
      <c r="AJ354" t="s">
        <v>176</v>
      </c>
      <c r="AK354" t="s">
        <v>940</v>
      </c>
      <c r="AL354" t="s">
        <v>941</v>
      </c>
      <c r="AS354">
        <v>3100</v>
      </c>
      <c r="AT354">
        <v>3100</v>
      </c>
      <c r="BN354" t="s">
        <v>178</v>
      </c>
      <c r="BO354">
        <v>1</v>
      </c>
      <c r="BP354">
        <v>1</v>
      </c>
      <c r="BQ354">
        <v>33</v>
      </c>
      <c r="BR354" t="s">
        <v>1497</v>
      </c>
      <c r="BT354" t="s">
        <v>225</v>
      </c>
      <c r="BU354" s="1">
        <v>45572</v>
      </c>
      <c r="BV354">
        <v>35608</v>
      </c>
      <c r="BX354" t="s">
        <v>170</v>
      </c>
      <c r="BY354" t="s">
        <v>170</v>
      </c>
      <c r="CB354" t="s">
        <v>170</v>
      </c>
      <c r="CC354" t="s">
        <v>170</v>
      </c>
      <c r="CE354" t="s">
        <v>169</v>
      </c>
      <c r="CF354" t="s">
        <v>980</v>
      </c>
      <c r="CG354" t="s">
        <v>169</v>
      </c>
      <c r="CH354" t="s">
        <v>981</v>
      </c>
      <c r="CI354" t="s">
        <v>170</v>
      </c>
      <c r="DJ354" t="s">
        <v>184</v>
      </c>
      <c r="DK354" t="s">
        <v>185</v>
      </c>
      <c r="DN354" t="s">
        <v>170</v>
      </c>
      <c r="DO354" t="s">
        <v>197</v>
      </c>
      <c r="DP354" t="s">
        <v>169</v>
      </c>
      <c r="DQ354" t="s">
        <v>198</v>
      </c>
      <c r="EB354">
        <v>3</v>
      </c>
      <c r="EC354">
        <v>3</v>
      </c>
      <c r="EE354" t="s">
        <v>982</v>
      </c>
      <c r="EF354">
        <v>6</v>
      </c>
      <c r="EV354">
        <v>6000</v>
      </c>
      <c r="EW354">
        <v>594</v>
      </c>
      <c r="EX354">
        <v>462</v>
      </c>
      <c r="EY354">
        <v>535</v>
      </c>
    </row>
    <row r="355" spans="1:155" x14ac:dyDescent="0.35">
      <c r="A355">
        <v>2025</v>
      </c>
      <c r="B355" t="s">
        <v>220</v>
      </c>
      <c r="C355" t="s">
        <v>994</v>
      </c>
      <c r="D355" t="s">
        <v>1555</v>
      </c>
      <c r="E355" t="s">
        <v>223</v>
      </c>
      <c r="F355">
        <v>765</v>
      </c>
      <c r="G355">
        <v>3</v>
      </c>
      <c r="H355">
        <v>6</v>
      </c>
      <c r="I355" t="s">
        <v>443</v>
      </c>
      <c r="J355">
        <v>20</v>
      </c>
      <c r="K355">
        <v>26</v>
      </c>
      <c r="L355">
        <v>22</v>
      </c>
      <c r="M355">
        <v>25.5044</v>
      </c>
      <c r="N355">
        <v>36.287399999999998</v>
      </c>
      <c r="O355">
        <v>29.441299999999998</v>
      </c>
      <c r="P355">
        <v>20.170500000000001</v>
      </c>
      <c r="Q355">
        <v>25.730399999999999</v>
      </c>
      <c r="R355">
        <v>22.3431</v>
      </c>
      <c r="T355" t="s">
        <v>165</v>
      </c>
      <c r="U355" t="s">
        <v>166</v>
      </c>
      <c r="V355" t="s">
        <v>167</v>
      </c>
      <c r="W355" t="s">
        <v>168</v>
      </c>
      <c r="Y355">
        <v>10</v>
      </c>
      <c r="Z355" t="s">
        <v>169</v>
      </c>
      <c r="AA355" t="s">
        <v>170</v>
      </c>
      <c r="AB355">
        <v>4</v>
      </c>
      <c r="AC355" t="s">
        <v>601</v>
      </c>
      <c r="AE355">
        <v>20</v>
      </c>
      <c r="AG355" t="s">
        <v>975</v>
      </c>
      <c r="AH355" t="s">
        <v>976</v>
      </c>
      <c r="AI355" t="s">
        <v>175</v>
      </c>
      <c r="AJ355" t="s">
        <v>176</v>
      </c>
      <c r="AK355" t="s">
        <v>940</v>
      </c>
      <c r="AL355" t="s">
        <v>941</v>
      </c>
      <c r="AS355">
        <v>2800</v>
      </c>
      <c r="AT355">
        <v>2800</v>
      </c>
      <c r="BO355">
        <v>2</v>
      </c>
      <c r="BP355">
        <v>2</v>
      </c>
      <c r="BQ355">
        <v>33</v>
      </c>
      <c r="BR355" t="s">
        <v>1497</v>
      </c>
      <c r="BT355" t="s">
        <v>181</v>
      </c>
      <c r="BU355" s="1">
        <v>45705</v>
      </c>
      <c r="BV355">
        <v>36129</v>
      </c>
      <c r="BX355" t="s">
        <v>170</v>
      </c>
      <c r="BY355" t="s">
        <v>170</v>
      </c>
      <c r="CB355" t="s">
        <v>170</v>
      </c>
      <c r="CC355" t="s">
        <v>170</v>
      </c>
      <c r="CE355" t="s">
        <v>170</v>
      </c>
      <c r="CG355" t="s">
        <v>170</v>
      </c>
      <c r="CI355" t="s">
        <v>170</v>
      </c>
      <c r="DJ355" t="s">
        <v>977</v>
      </c>
      <c r="DK355" t="s">
        <v>978</v>
      </c>
      <c r="DN355" t="s">
        <v>170</v>
      </c>
      <c r="DO355" t="s">
        <v>197</v>
      </c>
      <c r="DP355" t="s">
        <v>169</v>
      </c>
      <c r="DQ355" t="s">
        <v>198</v>
      </c>
      <c r="EB355">
        <v>5</v>
      </c>
      <c r="EC355">
        <v>4</v>
      </c>
      <c r="EE355" t="s">
        <v>1458</v>
      </c>
      <c r="EF355">
        <v>4</v>
      </c>
      <c r="EV355">
        <v>4500</v>
      </c>
      <c r="EW355">
        <v>504</v>
      </c>
      <c r="EX355">
        <v>395</v>
      </c>
      <c r="EY355">
        <v>455</v>
      </c>
    </row>
    <row r="356" spans="1:155" x14ac:dyDescent="0.35">
      <c r="A356">
        <v>2025</v>
      </c>
      <c r="B356" t="s">
        <v>220</v>
      </c>
      <c r="C356" t="s">
        <v>994</v>
      </c>
      <c r="D356" t="s">
        <v>1475</v>
      </c>
      <c r="E356" t="s">
        <v>223</v>
      </c>
      <c r="F356">
        <v>584</v>
      </c>
      <c r="G356">
        <v>6.2</v>
      </c>
      <c r="H356">
        <v>8</v>
      </c>
      <c r="I356" t="s">
        <v>443</v>
      </c>
      <c r="J356">
        <v>15</v>
      </c>
      <c r="K356">
        <v>19</v>
      </c>
      <c r="L356">
        <v>16</v>
      </c>
      <c r="M356">
        <v>18.2</v>
      </c>
      <c r="N356">
        <v>27.3</v>
      </c>
      <c r="O356">
        <v>21.411799999999999</v>
      </c>
      <c r="P356">
        <v>14.742100000000001</v>
      </c>
      <c r="Q356">
        <v>18.859300000000001</v>
      </c>
      <c r="R356">
        <v>16.348099999999999</v>
      </c>
      <c r="U356" t="s">
        <v>224</v>
      </c>
      <c r="V356" t="s">
        <v>167</v>
      </c>
      <c r="W356" t="s">
        <v>168</v>
      </c>
      <c r="Y356">
        <v>10</v>
      </c>
      <c r="Z356" t="s">
        <v>169</v>
      </c>
      <c r="AA356" t="s">
        <v>170</v>
      </c>
      <c r="AB356" t="s">
        <v>171</v>
      </c>
      <c r="AC356" t="s">
        <v>172</v>
      </c>
      <c r="AD356">
        <v>10</v>
      </c>
      <c r="AG356" t="s">
        <v>214</v>
      </c>
      <c r="AH356" t="s">
        <v>215</v>
      </c>
      <c r="AI356" t="s">
        <v>175</v>
      </c>
      <c r="AJ356" t="s">
        <v>176</v>
      </c>
      <c r="AK356" t="s">
        <v>940</v>
      </c>
      <c r="AL356" t="s">
        <v>941</v>
      </c>
      <c r="AS356">
        <v>4000</v>
      </c>
      <c r="AT356">
        <v>4000</v>
      </c>
      <c r="BN356" t="s">
        <v>178</v>
      </c>
      <c r="BO356">
        <v>1</v>
      </c>
      <c r="BP356">
        <v>1</v>
      </c>
      <c r="BQ356">
        <v>32</v>
      </c>
      <c r="BR356" t="s">
        <v>1453</v>
      </c>
      <c r="BT356" t="s">
        <v>457</v>
      </c>
      <c r="BU356" s="1">
        <v>45572</v>
      </c>
      <c r="BV356">
        <v>35599</v>
      </c>
      <c r="BX356" t="s">
        <v>170</v>
      </c>
      <c r="BY356" t="s">
        <v>170</v>
      </c>
      <c r="CB356" t="s">
        <v>170</v>
      </c>
      <c r="CC356" t="s">
        <v>170</v>
      </c>
      <c r="CE356" t="s">
        <v>169</v>
      </c>
      <c r="CF356" t="s">
        <v>980</v>
      </c>
      <c r="CG356" t="s">
        <v>169</v>
      </c>
      <c r="CH356" t="s">
        <v>981</v>
      </c>
      <c r="CI356" t="s">
        <v>170</v>
      </c>
      <c r="DJ356" t="s">
        <v>184</v>
      </c>
      <c r="DK356" t="s">
        <v>185</v>
      </c>
      <c r="DN356" t="s">
        <v>170</v>
      </c>
      <c r="DO356" t="s">
        <v>197</v>
      </c>
      <c r="DP356" t="s">
        <v>169</v>
      </c>
      <c r="DQ356" t="s">
        <v>198</v>
      </c>
      <c r="EB356">
        <v>3</v>
      </c>
      <c r="EC356">
        <v>3</v>
      </c>
      <c r="EE356" t="s">
        <v>1025</v>
      </c>
      <c r="EF356">
        <v>5</v>
      </c>
      <c r="EV356">
        <v>10500</v>
      </c>
      <c r="EW356">
        <v>605</v>
      </c>
      <c r="EX356">
        <v>470</v>
      </c>
      <c r="EY356">
        <v>544</v>
      </c>
    </row>
    <row r="357" spans="1:155" x14ac:dyDescent="0.35">
      <c r="A357">
        <v>2025</v>
      </c>
      <c r="B357" t="s">
        <v>220</v>
      </c>
      <c r="C357" t="s">
        <v>994</v>
      </c>
      <c r="D357" t="s">
        <v>1475</v>
      </c>
      <c r="E357" t="s">
        <v>223</v>
      </c>
      <c r="F357">
        <v>594</v>
      </c>
      <c r="G357">
        <v>5.3</v>
      </c>
      <c r="H357">
        <v>8</v>
      </c>
      <c r="I357" t="s">
        <v>443</v>
      </c>
      <c r="J357">
        <v>15</v>
      </c>
      <c r="K357">
        <v>20</v>
      </c>
      <c r="L357">
        <v>17</v>
      </c>
      <c r="M357">
        <v>19.5</v>
      </c>
      <c r="N357">
        <v>29.9</v>
      </c>
      <c r="O357">
        <v>23.118600000000001</v>
      </c>
      <c r="P357">
        <v>14.9986</v>
      </c>
      <c r="Q357">
        <v>19.604099999999999</v>
      </c>
      <c r="R357">
        <v>16.771599999999999</v>
      </c>
      <c r="U357" t="s">
        <v>224</v>
      </c>
      <c r="V357" t="s">
        <v>167</v>
      </c>
      <c r="W357" t="s">
        <v>168</v>
      </c>
      <c r="Y357">
        <v>10</v>
      </c>
      <c r="Z357" t="s">
        <v>169</v>
      </c>
      <c r="AA357" t="s">
        <v>170</v>
      </c>
      <c r="AB357" t="s">
        <v>171</v>
      </c>
      <c r="AC357" t="s">
        <v>172</v>
      </c>
      <c r="AD357">
        <v>10</v>
      </c>
      <c r="AG357" t="s">
        <v>210</v>
      </c>
      <c r="AH357" t="s">
        <v>444</v>
      </c>
      <c r="AI357" t="s">
        <v>175</v>
      </c>
      <c r="AJ357" t="s">
        <v>176</v>
      </c>
      <c r="AK357" t="s">
        <v>940</v>
      </c>
      <c r="AL357" t="s">
        <v>941</v>
      </c>
      <c r="AS357">
        <v>3100</v>
      </c>
      <c r="AT357">
        <v>3100</v>
      </c>
      <c r="BN357" t="s">
        <v>178</v>
      </c>
      <c r="BO357">
        <v>1</v>
      </c>
      <c r="BP357">
        <v>1</v>
      </c>
      <c r="BQ357">
        <v>32</v>
      </c>
      <c r="BR357" t="s">
        <v>1453</v>
      </c>
      <c r="BT357" t="s">
        <v>225</v>
      </c>
      <c r="BU357" s="1">
        <v>45572</v>
      </c>
      <c r="BV357">
        <v>35614</v>
      </c>
      <c r="BX357" t="s">
        <v>170</v>
      </c>
      <c r="BY357" t="s">
        <v>170</v>
      </c>
      <c r="CB357" t="s">
        <v>170</v>
      </c>
      <c r="CC357" t="s">
        <v>170</v>
      </c>
      <c r="CE357" t="s">
        <v>169</v>
      </c>
      <c r="CF357" t="s">
        <v>980</v>
      </c>
      <c r="CG357" t="s">
        <v>169</v>
      </c>
      <c r="CH357" t="s">
        <v>981</v>
      </c>
      <c r="CI357" t="s">
        <v>170</v>
      </c>
      <c r="DJ357" t="s">
        <v>184</v>
      </c>
      <c r="DK357" t="s">
        <v>185</v>
      </c>
      <c r="DN357" t="s">
        <v>170</v>
      </c>
      <c r="DO357" t="s">
        <v>197</v>
      </c>
      <c r="DP357" t="s">
        <v>169</v>
      </c>
      <c r="DQ357" t="s">
        <v>198</v>
      </c>
      <c r="EB357">
        <v>3</v>
      </c>
      <c r="EC357">
        <v>3</v>
      </c>
      <c r="EE357" t="s">
        <v>982</v>
      </c>
      <c r="EF357">
        <v>6</v>
      </c>
      <c r="EV357">
        <v>6000</v>
      </c>
      <c r="EW357">
        <v>592</v>
      </c>
      <c r="EX357">
        <v>453</v>
      </c>
      <c r="EY357">
        <v>530</v>
      </c>
    </row>
    <row r="358" spans="1:155" x14ac:dyDescent="0.35">
      <c r="A358">
        <v>2025</v>
      </c>
      <c r="B358" t="s">
        <v>220</v>
      </c>
      <c r="C358" t="s">
        <v>994</v>
      </c>
      <c r="D358" t="s">
        <v>1475</v>
      </c>
      <c r="E358" t="s">
        <v>223</v>
      </c>
      <c r="F358">
        <v>761</v>
      </c>
      <c r="G358">
        <v>3</v>
      </c>
      <c r="H358">
        <v>6</v>
      </c>
      <c r="I358" t="s">
        <v>443</v>
      </c>
      <c r="J358">
        <v>21</v>
      </c>
      <c r="K358">
        <v>26</v>
      </c>
      <c r="L358">
        <v>23</v>
      </c>
      <c r="M358">
        <v>27.5</v>
      </c>
      <c r="N358">
        <v>40.1</v>
      </c>
      <c r="O358">
        <v>32.028799999999997</v>
      </c>
      <c r="P358">
        <v>21</v>
      </c>
      <c r="Q358">
        <v>26.440999999999999</v>
      </c>
      <c r="R358">
        <v>23</v>
      </c>
      <c r="T358" t="s">
        <v>165</v>
      </c>
      <c r="U358" t="s">
        <v>166</v>
      </c>
      <c r="V358" t="s">
        <v>167</v>
      </c>
      <c r="W358" t="s">
        <v>168</v>
      </c>
      <c r="Y358">
        <v>10</v>
      </c>
      <c r="Z358" t="s">
        <v>169</v>
      </c>
      <c r="AA358" t="s">
        <v>170</v>
      </c>
      <c r="AB358" t="s">
        <v>171</v>
      </c>
      <c r="AC358" t="s">
        <v>172</v>
      </c>
      <c r="AE358">
        <v>20</v>
      </c>
      <c r="AG358" t="s">
        <v>975</v>
      </c>
      <c r="AH358" t="s">
        <v>976</v>
      </c>
      <c r="AI358" t="s">
        <v>175</v>
      </c>
      <c r="AJ358" t="s">
        <v>176</v>
      </c>
      <c r="AK358" t="s">
        <v>940</v>
      </c>
      <c r="AL358" t="s">
        <v>941</v>
      </c>
      <c r="AS358">
        <v>2650</v>
      </c>
      <c r="AT358">
        <v>2650</v>
      </c>
      <c r="BO358">
        <v>2</v>
      </c>
      <c r="BP358">
        <v>2</v>
      </c>
      <c r="BQ358">
        <v>32</v>
      </c>
      <c r="BR358" t="s">
        <v>1453</v>
      </c>
      <c r="BT358" t="s">
        <v>457</v>
      </c>
      <c r="BU358" s="1">
        <v>45705</v>
      </c>
      <c r="BV358">
        <v>36125</v>
      </c>
      <c r="BX358" t="s">
        <v>170</v>
      </c>
      <c r="BY358" t="s">
        <v>170</v>
      </c>
      <c r="CB358" t="s">
        <v>170</v>
      </c>
      <c r="CC358" t="s">
        <v>170</v>
      </c>
      <c r="CE358" t="s">
        <v>170</v>
      </c>
      <c r="CG358" t="s">
        <v>170</v>
      </c>
      <c r="CI358" t="s">
        <v>170</v>
      </c>
      <c r="DJ358" t="s">
        <v>977</v>
      </c>
      <c r="DK358" t="s">
        <v>978</v>
      </c>
      <c r="DN358" t="s">
        <v>170</v>
      </c>
      <c r="DO358" t="s">
        <v>197</v>
      </c>
      <c r="DP358" t="s">
        <v>169</v>
      </c>
      <c r="DQ358" t="s">
        <v>198</v>
      </c>
      <c r="EB358">
        <v>5</v>
      </c>
      <c r="EC358">
        <v>4</v>
      </c>
      <c r="EE358" t="s">
        <v>1458</v>
      </c>
      <c r="EF358">
        <v>4</v>
      </c>
      <c r="EV358">
        <v>3750</v>
      </c>
      <c r="EW358">
        <v>485</v>
      </c>
      <c r="EX358">
        <v>385</v>
      </c>
      <c r="EY358">
        <v>442</v>
      </c>
    </row>
    <row r="359" spans="1:155" x14ac:dyDescent="0.35">
      <c r="A359">
        <v>2025</v>
      </c>
      <c r="B359" t="s">
        <v>220</v>
      </c>
      <c r="C359" t="s">
        <v>994</v>
      </c>
      <c r="D359" t="s">
        <v>1556</v>
      </c>
      <c r="E359" t="s">
        <v>223</v>
      </c>
      <c r="F359">
        <v>589</v>
      </c>
      <c r="G359">
        <v>6.2</v>
      </c>
      <c r="H359">
        <v>8</v>
      </c>
      <c r="I359" t="s">
        <v>443</v>
      </c>
      <c r="J359">
        <v>14</v>
      </c>
      <c r="K359">
        <v>18</v>
      </c>
      <c r="L359">
        <v>16</v>
      </c>
      <c r="M359">
        <v>18.2</v>
      </c>
      <c r="N359">
        <v>27.3</v>
      </c>
      <c r="O359">
        <v>21.411799999999999</v>
      </c>
      <c r="P359">
        <v>14</v>
      </c>
      <c r="Q359">
        <v>18</v>
      </c>
      <c r="R359">
        <v>16.296900000000001</v>
      </c>
      <c r="U359" t="s">
        <v>224</v>
      </c>
      <c r="V359" t="s">
        <v>167</v>
      </c>
      <c r="W359" t="s">
        <v>168</v>
      </c>
      <c r="Y359">
        <v>10</v>
      </c>
      <c r="Z359" t="s">
        <v>169</v>
      </c>
      <c r="AA359" t="s">
        <v>170</v>
      </c>
      <c r="AB359">
        <v>4</v>
      </c>
      <c r="AC359" t="s">
        <v>601</v>
      </c>
      <c r="AD359">
        <v>10</v>
      </c>
      <c r="AG359" t="s">
        <v>214</v>
      </c>
      <c r="AH359" t="s">
        <v>215</v>
      </c>
      <c r="AI359" t="s">
        <v>175</v>
      </c>
      <c r="AJ359" t="s">
        <v>176</v>
      </c>
      <c r="AK359" t="s">
        <v>940</v>
      </c>
      <c r="AL359" t="s">
        <v>941</v>
      </c>
      <c r="AS359">
        <v>4000</v>
      </c>
      <c r="AT359">
        <v>4000</v>
      </c>
      <c r="BN359" t="s">
        <v>178</v>
      </c>
      <c r="BO359">
        <v>1</v>
      </c>
      <c r="BP359">
        <v>1</v>
      </c>
      <c r="BQ359">
        <v>33</v>
      </c>
      <c r="BR359" t="s">
        <v>1497</v>
      </c>
      <c r="BT359" t="s">
        <v>457</v>
      </c>
      <c r="BU359" s="1">
        <v>45572</v>
      </c>
      <c r="BV359">
        <v>35604</v>
      </c>
      <c r="BX359" t="s">
        <v>170</v>
      </c>
      <c r="BY359" t="s">
        <v>170</v>
      </c>
      <c r="CB359" t="s">
        <v>170</v>
      </c>
      <c r="CC359" t="s">
        <v>170</v>
      </c>
      <c r="CE359" t="s">
        <v>169</v>
      </c>
      <c r="CF359" t="s">
        <v>980</v>
      </c>
      <c r="CG359" t="s">
        <v>169</v>
      </c>
      <c r="CH359" t="s">
        <v>981</v>
      </c>
      <c r="CI359" t="s">
        <v>170</v>
      </c>
      <c r="DJ359" t="s">
        <v>184</v>
      </c>
      <c r="DK359" t="s">
        <v>185</v>
      </c>
      <c r="DN359" t="s">
        <v>170</v>
      </c>
      <c r="DO359" t="s">
        <v>197</v>
      </c>
      <c r="DP359" t="s">
        <v>169</v>
      </c>
      <c r="DQ359" t="s">
        <v>198</v>
      </c>
      <c r="EB359">
        <v>3</v>
      </c>
      <c r="EC359">
        <v>3</v>
      </c>
      <c r="EE359" t="s">
        <v>1025</v>
      </c>
      <c r="EF359">
        <v>5</v>
      </c>
      <c r="EV359">
        <v>10500</v>
      </c>
      <c r="EW359">
        <v>634</v>
      </c>
      <c r="EX359">
        <v>495</v>
      </c>
      <c r="EY359">
        <v>572</v>
      </c>
    </row>
    <row r="360" spans="1:155" x14ac:dyDescent="0.35">
      <c r="A360">
        <v>2025</v>
      </c>
      <c r="B360" t="s">
        <v>220</v>
      </c>
      <c r="C360" t="s">
        <v>994</v>
      </c>
      <c r="D360" t="s">
        <v>1556</v>
      </c>
      <c r="E360" t="s">
        <v>223</v>
      </c>
      <c r="F360">
        <v>598</v>
      </c>
      <c r="G360">
        <v>5.3</v>
      </c>
      <c r="H360">
        <v>8</v>
      </c>
      <c r="I360" t="s">
        <v>443</v>
      </c>
      <c r="J360">
        <v>14</v>
      </c>
      <c r="K360">
        <v>19</v>
      </c>
      <c r="L360">
        <v>16</v>
      </c>
      <c r="M360">
        <v>17.7087</v>
      </c>
      <c r="N360">
        <v>27.342700000000001</v>
      </c>
      <c r="O360">
        <v>21.0456</v>
      </c>
      <c r="P360">
        <v>13.703099999999999</v>
      </c>
      <c r="Q360">
        <v>18.511199999999999</v>
      </c>
      <c r="R360">
        <v>15.5167</v>
      </c>
      <c r="U360" t="s">
        <v>224</v>
      </c>
      <c r="V360" t="s">
        <v>167</v>
      </c>
      <c r="W360" t="s">
        <v>168</v>
      </c>
      <c r="Y360">
        <v>10</v>
      </c>
      <c r="Z360" t="s">
        <v>169</v>
      </c>
      <c r="AA360" t="s">
        <v>170</v>
      </c>
      <c r="AB360">
        <v>4</v>
      </c>
      <c r="AC360" t="s">
        <v>601</v>
      </c>
      <c r="AD360">
        <v>10</v>
      </c>
      <c r="AG360" t="s">
        <v>210</v>
      </c>
      <c r="AH360" t="s">
        <v>444</v>
      </c>
      <c r="AI360" t="s">
        <v>175</v>
      </c>
      <c r="AJ360" t="s">
        <v>176</v>
      </c>
      <c r="AK360" t="s">
        <v>940</v>
      </c>
      <c r="AL360" t="s">
        <v>941</v>
      </c>
      <c r="AS360">
        <v>3300</v>
      </c>
      <c r="AT360">
        <v>3300</v>
      </c>
      <c r="BN360" t="s">
        <v>178</v>
      </c>
      <c r="BO360">
        <v>1</v>
      </c>
      <c r="BP360">
        <v>1</v>
      </c>
      <c r="BQ360">
        <v>33</v>
      </c>
      <c r="BR360" t="s">
        <v>1497</v>
      </c>
      <c r="BT360" t="s">
        <v>225</v>
      </c>
      <c r="BU360" s="1">
        <v>45572</v>
      </c>
      <c r="BV360">
        <v>35611</v>
      </c>
      <c r="BX360" t="s">
        <v>170</v>
      </c>
      <c r="BY360" t="s">
        <v>170</v>
      </c>
      <c r="CB360" t="s">
        <v>170</v>
      </c>
      <c r="CC360" t="s">
        <v>170</v>
      </c>
      <c r="CE360" t="s">
        <v>169</v>
      </c>
      <c r="CF360" t="s">
        <v>980</v>
      </c>
      <c r="CG360" t="s">
        <v>169</v>
      </c>
      <c r="CH360" t="s">
        <v>981</v>
      </c>
      <c r="CI360" t="s">
        <v>170</v>
      </c>
      <c r="DJ360" t="s">
        <v>184</v>
      </c>
      <c r="DK360" t="s">
        <v>185</v>
      </c>
      <c r="DN360" t="s">
        <v>170</v>
      </c>
      <c r="DO360" t="s">
        <v>197</v>
      </c>
      <c r="DP360" t="s">
        <v>169</v>
      </c>
      <c r="DQ360" t="s">
        <v>198</v>
      </c>
      <c r="EB360">
        <v>3</v>
      </c>
      <c r="EC360">
        <v>3</v>
      </c>
      <c r="EE360" t="s">
        <v>982</v>
      </c>
      <c r="EF360">
        <v>6</v>
      </c>
      <c r="EV360">
        <v>7000</v>
      </c>
      <c r="EW360">
        <v>645</v>
      </c>
      <c r="EX360">
        <v>481</v>
      </c>
      <c r="EY360">
        <v>571</v>
      </c>
    </row>
    <row r="361" spans="1:155" x14ac:dyDescent="0.35">
      <c r="A361">
        <v>2025</v>
      </c>
      <c r="B361" t="s">
        <v>220</v>
      </c>
      <c r="C361" t="s">
        <v>994</v>
      </c>
      <c r="D361" t="s">
        <v>1556</v>
      </c>
      <c r="E361" t="s">
        <v>223</v>
      </c>
      <c r="F361">
        <v>764</v>
      </c>
      <c r="G361">
        <v>3</v>
      </c>
      <c r="H361">
        <v>6</v>
      </c>
      <c r="I361" t="s">
        <v>443</v>
      </c>
      <c r="J361">
        <v>20</v>
      </c>
      <c r="K361">
        <v>26</v>
      </c>
      <c r="L361">
        <v>22</v>
      </c>
      <c r="M361">
        <v>25.5044</v>
      </c>
      <c r="N361">
        <v>36.287399999999998</v>
      </c>
      <c r="O361">
        <v>29.441299999999998</v>
      </c>
      <c r="P361">
        <v>20.170500000000001</v>
      </c>
      <c r="Q361">
        <v>25.730399999999999</v>
      </c>
      <c r="R361">
        <v>22.3431</v>
      </c>
      <c r="T361" t="s">
        <v>165</v>
      </c>
      <c r="U361" t="s">
        <v>166</v>
      </c>
      <c r="V361" t="s">
        <v>167</v>
      </c>
      <c r="W361" t="s">
        <v>168</v>
      </c>
      <c r="Y361">
        <v>10</v>
      </c>
      <c r="Z361" t="s">
        <v>169</v>
      </c>
      <c r="AA361" t="s">
        <v>170</v>
      </c>
      <c r="AB361">
        <v>4</v>
      </c>
      <c r="AC361" t="s">
        <v>601</v>
      </c>
      <c r="AE361">
        <v>20</v>
      </c>
      <c r="AG361" t="s">
        <v>975</v>
      </c>
      <c r="AH361" t="s">
        <v>976</v>
      </c>
      <c r="AI361" t="s">
        <v>175</v>
      </c>
      <c r="AJ361" t="s">
        <v>176</v>
      </c>
      <c r="AK361" t="s">
        <v>940</v>
      </c>
      <c r="AL361" t="s">
        <v>941</v>
      </c>
      <c r="AS361">
        <v>2800</v>
      </c>
      <c r="AT361">
        <v>2800</v>
      </c>
      <c r="BO361">
        <v>2</v>
      </c>
      <c r="BP361">
        <v>2</v>
      </c>
      <c r="BQ361">
        <v>33</v>
      </c>
      <c r="BR361" t="s">
        <v>1497</v>
      </c>
      <c r="BT361" t="s">
        <v>181</v>
      </c>
      <c r="BU361" s="1">
        <v>45705</v>
      </c>
      <c r="BV361">
        <v>36128</v>
      </c>
      <c r="BX361" t="s">
        <v>170</v>
      </c>
      <c r="BY361" t="s">
        <v>170</v>
      </c>
      <c r="CB361" t="s">
        <v>170</v>
      </c>
      <c r="CC361" t="s">
        <v>170</v>
      </c>
      <c r="CE361" t="s">
        <v>170</v>
      </c>
      <c r="CG361" t="s">
        <v>170</v>
      </c>
      <c r="CI361" t="s">
        <v>170</v>
      </c>
      <c r="DJ361" t="s">
        <v>977</v>
      </c>
      <c r="DK361" t="s">
        <v>978</v>
      </c>
      <c r="DN361" t="s">
        <v>170</v>
      </c>
      <c r="DO361" t="s">
        <v>197</v>
      </c>
      <c r="DP361" t="s">
        <v>169</v>
      </c>
      <c r="DQ361" t="s">
        <v>198</v>
      </c>
      <c r="EB361">
        <v>5</v>
      </c>
      <c r="EC361">
        <v>4</v>
      </c>
      <c r="EE361" t="s">
        <v>1458</v>
      </c>
      <c r="EF361">
        <v>4</v>
      </c>
      <c r="EV361">
        <v>4500</v>
      </c>
      <c r="EW361">
        <v>504</v>
      </c>
      <c r="EX361">
        <v>395</v>
      </c>
      <c r="EY361">
        <v>455</v>
      </c>
    </row>
    <row r="362" spans="1:155" x14ac:dyDescent="0.35">
      <c r="A362">
        <v>2025</v>
      </c>
      <c r="B362" t="s">
        <v>517</v>
      </c>
      <c r="C362" t="s">
        <v>517</v>
      </c>
      <c r="D362" t="s">
        <v>850</v>
      </c>
      <c r="E362" t="s">
        <v>520</v>
      </c>
      <c r="F362">
        <v>101</v>
      </c>
      <c r="G362">
        <v>1.5</v>
      </c>
      <c r="H362">
        <v>4</v>
      </c>
      <c r="I362" t="s">
        <v>587</v>
      </c>
      <c r="J362">
        <v>29</v>
      </c>
      <c r="K362">
        <v>37</v>
      </c>
      <c r="L362">
        <v>32</v>
      </c>
      <c r="M362">
        <v>39.149500000000003</v>
      </c>
      <c r="N362">
        <v>55.710900000000002</v>
      </c>
      <c r="O362">
        <v>45.195399999999999</v>
      </c>
      <c r="P362">
        <v>29</v>
      </c>
      <c r="Q362">
        <v>37</v>
      </c>
      <c r="R362">
        <v>32</v>
      </c>
      <c r="T362" t="s">
        <v>165</v>
      </c>
      <c r="U362" t="s">
        <v>166</v>
      </c>
      <c r="V362" t="s">
        <v>588</v>
      </c>
      <c r="W362" t="s">
        <v>589</v>
      </c>
      <c r="Y362">
        <v>1</v>
      </c>
      <c r="Z362" t="s">
        <v>169</v>
      </c>
      <c r="AA362" t="s">
        <v>170</v>
      </c>
      <c r="AB362" t="s">
        <v>351</v>
      </c>
      <c r="AC362" t="s">
        <v>352</v>
      </c>
      <c r="AD362">
        <v>10</v>
      </c>
      <c r="AG362" t="s">
        <v>210</v>
      </c>
      <c r="AH362" t="s">
        <v>444</v>
      </c>
      <c r="AI362" t="s">
        <v>175</v>
      </c>
      <c r="AJ362" t="s">
        <v>176</v>
      </c>
      <c r="AK362" t="s">
        <v>170</v>
      </c>
      <c r="AL362" t="s">
        <v>177</v>
      </c>
      <c r="AO362">
        <v>106</v>
      </c>
      <c r="AP362">
        <v>17</v>
      </c>
      <c r="AS362">
        <v>1650</v>
      </c>
      <c r="AT362">
        <v>1650</v>
      </c>
      <c r="BN362" t="s">
        <v>178</v>
      </c>
      <c r="BO362">
        <v>2</v>
      </c>
      <c r="BP362">
        <v>2</v>
      </c>
      <c r="BQ362">
        <v>6</v>
      </c>
      <c r="BR362" t="s">
        <v>825</v>
      </c>
      <c r="BS362" t="s">
        <v>180</v>
      </c>
      <c r="BT362" t="s">
        <v>181</v>
      </c>
      <c r="BU362" s="1">
        <v>45551</v>
      </c>
      <c r="BV362">
        <v>35357</v>
      </c>
      <c r="BX362" t="s">
        <v>170</v>
      </c>
      <c r="BY362" t="s">
        <v>170</v>
      </c>
      <c r="CB362" t="s">
        <v>170</v>
      </c>
      <c r="CC362" t="s">
        <v>170</v>
      </c>
      <c r="CE362" t="s">
        <v>170</v>
      </c>
      <c r="CG362" t="s">
        <v>169</v>
      </c>
      <c r="CH362" t="s">
        <v>522</v>
      </c>
      <c r="CI362" t="s">
        <v>169</v>
      </c>
      <c r="CJ362" t="s">
        <v>523</v>
      </c>
      <c r="DJ362" t="s">
        <v>184</v>
      </c>
      <c r="DK362" t="s">
        <v>185</v>
      </c>
      <c r="DL362" t="s">
        <v>170</v>
      </c>
      <c r="DM362" t="s">
        <v>170</v>
      </c>
      <c r="DN362" t="s">
        <v>170</v>
      </c>
      <c r="DO362" t="s">
        <v>358</v>
      </c>
      <c r="DP362" t="s">
        <v>169</v>
      </c>
      <c r="DQ362" t="s">
        <v>198</v>
      </c>
      <c r="DY362">
        <v>45.5</v>
      </c>
      <c r="EB362">
        <v>6</v>
      </c>
      <c r="EC362">
        <v>6</v>
      </c>
      <c r="EE362" t="s">
        <v>851</v>
      </c>
      <c r="EF362">
        <v>6</v>
      </c>
      <c r="EU362">
        <v>1250</v>
      </c>
      <c r="EW362">
        <v>306</v>
      </c>
      <c r="EX362">
        <v>239</v>
      </c>
      <c r="EY362">
        <v>277</v>
      </c>
    </row>
    <row r="363" spans="1:155" x14ac:dyDescent="0.35">
      <c r="A363">
        <v>2025</v>
      </c>
      <c r="B363" t="s">
        <v>517</v>
      </c>
      <c r="C363" t="s">
        <v>517</v>
      </c>
      <c r="D363" t="s">
        <v>850</v>
      </c>
      <c r="E363" t="s">
        <v>520</v>
      </c>
      <c r="F363">
        <v>121</v>
      </c>
      <c r="G363">
        <v>2</v>
      </c>
      <c r="H363">
        <v>4</v>
      </c>
      <c r="I363" t="s">
        <v>587</v>
      </c>
      <c r="J363">
        <v>51</v>
      </c>
      <c r="K363">
        <v>44</v>
      </c>
      <c r="L363">
        <v>48</v>
      </c>
      <c r="M363">
        <v>72.400000000000006</v>
      </c>
      <c r="N363">
        <v>66.900000000000006</v>
      </c>
      <c r="O363">
        <v>69.817099999999996</v>
      </c>
      <c r="P363">
        <v>51.293799999999997</v>
      </c>
      <c r="Q363">
        <v>44</v>
      </c>
      <c r="R363">
        <v>48</v>
      </c>
      <c r="U363" t="s">
        <v>224</v>
      </c>
      <c r="V363" t="s">
        <v>588</v>
      </c>
      <c r="W363" t="s">
        <v>589</v>
      </c>
      <c r="Y363">
        <v>1</v>
      </c>
      <c r="Z363" t="s">
        <v>169</v>
      </c>
      <c r="AA363" t="s">
        <v>170</v>
      </c>
      <c r="AB363" t="s">
        <v>351</v>
      </c>
      <c r="AC363" t="s">
        <v>352</v>
      </c>
      <c r="AD363">
        <v>10</v>
      </c>
      <c r="AG363" t="s">
        <v>210</v>
      </c>
      <c r="AH363" t="s">
        <v>444</v>
      </c>
      <c r="AI363" t="s">
        <v>175</v>
      </c>
      <c r="AJ363" t="s">
        <v>176</v>
      </c>
      <c r="AK363" t="s">
        <v>170</v>
      </c>
      <c r="AL363" t="s">
        <v>177</v>
      </c>
      <c r="AO363">
        <v>106</v>
      </c>
      <c r="AP363">
        <v>17</v>
      </c>
      <c r="AS363">
        <v>1100</v>
      </c>
      <c r="AT363">
        <v>1100</v>
      </c>
      <c r="BN363" t="s">
        <v>232</v>
      </c>
      <c r="BO363">
        <v>2</v>
      </c>
      <c r="BP363">
        <v>2</v>
      </c>
      <c r="BQ363">
        <v>6</v>
      </c>
      <c r="BR363" t="s">
        <v>825</v>
      </c>
      <c r="BS363" t="s">
        <v>180</v>
      </c>
      <c r="BT363" t="s">
        <v>225</v>
      </c>
      <c r="BU363" s="1">
        <v>45551</v>
      </c>
      <c r="BV363">
        <v>35358</v>
      </c>
      <c r="BX363" t="s">
        <v>170</v>
      </c>
      <c r="BY363" t="s">
        <v>170</v>
      </c>
      <c r="CB363" t="s">
        <v>170</v>
      </c>
      <c r="CC363" t="s">
        <v>170</v>
      </c>
      <c r="CE363" t="s">
        <v>170</v>
      </c>
      <c r="CG363" t="s">
        <v>169</v>
      </c>
      <c r="CH363" t="s">
        <v>528</v>
      </c>
      <c r="CI363" t="s">
        <v>170</v>
      </c>
      <c r="CK363" t="s">
        <v>233</v>
      </c>
      <c r="CM363">
        <v>1</v>
      </c>
      <c r="CN363" t="s">
        <v>234</v>
      </c>
      <c r="CP363">
        <v>259</v>
      </c>
      <c r="CQ363">
        <v>4</v>
      </c>
      <c r="CR363">
        <v>75</v>
      </c>
      <c r="CS363" t="s">
        <v>235</v>
      </c>
      <c r="CV363" t="s">
        <v>341</v>
      </c>
      <c r="CX363" t="s">
        <v>729</v>
      </c>
      <c r="CY363" t="s">
        <v>170</v>
      </c>
      <c r="DD363">
        <v>1</v>
      </c>
      <c r="DE363" t="s">
        <v>404</v>
      </c>
      <c r="DF363" t="s">
        <v>730</v>
      </c>
      <c r="DG363">
        <v>135</v>
      </c>
      <c r="DJ363" t="s">
        <v>184</v>
      </c>
      <c r="DK363" t="s">
        <v>185</v>
      </c>
      <c r="DL363" t="s">
        <v>170</v>
      </c>
      <c r="DM363" t="s">
        <v>170</v>
      </c>
      <c r="DN363" t="s">
        <v>170</v>
      </c>
      <c r="DO363" t="s">
        <v>358</v>
      </c>
      <c r="DP363" t="s">
        <v>169</v>
      </c>
      <c r="DQ363" t="s">
        <v>198</v>
      </c>
      <c r="DY363">
        <v>70.2</v>
      </c>
      <c r="EB363">
        <v>8</v>
      </c>
      <c r="EC363">
        <v>8</v>
      </c>
      <c r="EE363" t="s">
        <v>731</v>
      </c>
      <c r="EF363">
        <v>6</v>
      </c>
      <c r="EU363">
        <v>4000</v>
      </c>
      <c r="EW363">
        <v>172</v>
      </c>
      <c r="EX363">
        <v>200</v>
      </c>
      <c r="EY363">
        <v>184</v>
      </c>
    </row>
    <row r="364" spans="1:155" x14ac:dyDescent="0.35">
      <c r="A364">
        <v>2025</v>
      </c>
      <c r="B364" t="s">
        <v>517</v>
      </c>
      <c r="C364" t="s">
        <v>517</v>
      </c>
      <c r="D364" t="s">
        <v>728</v>
      </c>
      <c r="E364" t="s">
        <v>520</v>
      </c>
      <c r="F364">
        <v>122</v>
      </c>
      <c r="G364">
        <v>2</v>
      </c>
      <c r="H364">
        <v>4</v>
      </c>
      <c r="I364" t="s">
        <v>587</v>
      </c>
      <c r="J364">
        <v>46</v>
      </c>
      <c r="K364">
        <v>41</v>
      </c>
      <c r="L364">
        <v>44</v>
      </c>
      <c r="M364">
        <v>65.900000000000006</v>
      </c>
      <c r="N364">
        <v>60.5</v>
      </c>
      <c r="O364">
        <v>63.3553</v>
      </c>
      <c r="P364">
        <v>46</v>
      </c>
      <c r="Q364">
        <v>41</v>
      </c>
      <c r="R364">
        <v>44</v>
      </c>
      <c r="U364" t="s">
        <v>224</v>
      </c>
      <c r="V364" t="s">
        <v>588</v>
      </c>
      <c r="W364" t="s">
        <v>589</v>
      </c>
      <c r="Y364">
        <v>1</v>
      </c>
      <c r="Z364" t="s">
        <v>169</v>
      </c>
      <c r="AA364" t="s">
        <v>170</v>
      </c>
      <c r="AB364" t="s">
        <v>351</v>
      </c>
      <c r="AC364" t="s">
        <v>352</v>
      </c>
      <c r="AD364">
        <v>10</v>
      </c>
      <c r="AG364" t="s">
        <v>210</v>
      </c>
      <c r="AH364" t="s">
        <v>444</v>
      </c>
      <c r="AI364" t="s">
        <v>175</v>
      </c>
      <c r="AJ364" t="s">
        <v>176</v>
      </c>
      <c r="AK364" t="s">
        <v>170</v>
      </c>
      <c r="AL364" t="s">
        <v>177</v>
      </c>
      <c r="AO364">
        <v>103</v>
      </c>
      <c r="AP364">
        <v>17</v>
      </c>
      <c r="AS364">
        <v>1200</v>
      </c>
      <c r="AT364">
        <v>1200</v>
      </c>
      <c r="BN364" t="s">
        <v>232</v>
      </c>
      <c r="BO364">
        <v>2</v>
      </c>
      <c r="BP364">
        <v>2</v>
      </c>
      <c r="BQ364">
        <v>5</v>
      </c>
      <c r="BR364" t="s">
        <v>672</v>
      </c>
      <c r="BS364" t="s">
        <v>180</v>
      </c>
      <c r="BT364" t="s">
        <v>225</v>
      </c>
      <c r="BU364" s="1">
        <v>45551</v>
      </c>
      <c r="BV364">
        <v>35359</v>
      </c>
      <c r="BX364" t="s">
        <v>170</v>
      </c>
      <c r="BY364" t="s">
        <v>170</v>
      </c>
      <c r="CB364" t="s">
        <v>170</v>
      </c>
      <c r="CC364" t="s">
        <v>170</v>
      </c>
      <c r="CE364" t="s">
        <v>170</v>
      </c>
      <c r="CG364" t="s">
        <v>169</v>
      </c>
      <c r="CH364" t="s">
        <v>528</v>
      </c>
      <c r="CI364" t="s">
        <v>170</v>
      </c>
      <c r="CK364" t="s">
        <v>233</v>
      </c>
      <c r="CM364">
        <v>1</v>
      </c>
      <c r="CN364" t="s">
        <v>234</v>
      </c>
      <c r="CP364">
        <v>259</v>
      </c>
      <c r="CQ364">
        <v>4</v>
      </c>
      <c r="CR364">
        <v>75</v>
      </c>
      <c r="CS364" t="s">
        <v>235</v>
      </c>
      <c r="CV364" t="s">
        <v>341</v>
      </c>
      <c r="CX364" t="s">
        <v>729</v>
      </c>
      <c r="CY364" t="s">
        <v>170</v>
      </c>
      <c r="DD364">
        <v>1</v>
      </c>
      <c r="DE364" t="s">
        <v>404</v>
      </c>
      <c r="DF364" t="s">
        <v>730</v>
      </c>
      <c r="DG364">
        <v>135</v>
      </c>
      <c r="DJ364" t="s">
        <v>184</v>
      </c>
      <c r="DK364" t="s">
        <v>185</v>
      </c>
      <c r="DL364" t="s">
        <v>170</v>
      </c>
      <c r="DM364" t="s">
        <v>170</v>
      </c>
      <c r="DN364" t="s">
        <v>170</v>
      </c>
      <c r="DO364" t="s">
        <v>358</v>
      </c>
      <c r="DP364" t="s">
        <v>169</v>
      </c>
      <c r="DQ364" t="s">
        <v>198</v>
      </c>
      <c r="DY364">
        <v>63.7</v>
      </c>
      <c r="EB364">
        <v>7</v>
      </c>
      <c r="EC364">
        <v>7</v>
      </c>
      <c r="EE364" t="s">
        <v>731</v>
      </c>
      <c r="EF364">
        <v>6</v>
      </c>
      <c r="EU364">
        <v>3500</v>
      </c>
      <c r="EW364">
        <v>192</v>
      </c>
      <c r="EX364">
        <v>216</v>
      </c>
      <c r="EY364">
        <v>201</v>
      </c>
    </row>
    <row r="365" spans="1:155" x14ac:dyDescent="0.35">
      <c r="A365">
        <v>2025</v>
      </c>
      <c r="B365" t="s">
        <v>517</v>
      </c>
      <c r="C365" t="s">
        <v>517</v>
      </c>
      <c r="D365" t="s">
        <v>732</v>
      </c>
      <c r="E365" t="s">
        <v>520</v>
      </c>
      <c r="F365">
        <v>4</v>
      </c>
      <c r="G365">
        <v>1.5</v>
      </c>
      <c r="H365">
        <v>4</v>
      </c>
      <c r="I365" t="s">
        <v>200</v>
      </c>
      <c r="J365">
        <v>27</v>
      </c>
      <c r="K365">
        <v>37</v>
      </c>
      <c r="L365">
        <v>31</v>
      </c>
      <c r="M365">
        <v>35.799999999999997</v>
      </c>
      <c r="N365">
        <v>56.3</v>
      </c>
      <c r="O365">
        <v>42.8155</v>
      </c>
      <c r="P365">
        <v>27.400200000000002</v>
      </c>
      <c r="Q365">
        <v>37</v>
      </c>
      <c r="R365">
        <v>31.3917</v>
      </c>
      <c r="T365" t="s">
        <v>165</v>
      </c>
      <c r="U365" t="s">
        <v>166</v>
      </c>
      <c r="V365" t="s">
        <v>201</v>
      </c>
      <c r="W365" t="s">
        <v>202</v>
      </c>
      <c r="Y365">
        <v>6</v>
      </c>
      <c r="Z365" t="s">
        <v>170</v>
      </c>
      <c r="AA365" t="s">
        <v>170</v>
      </c>
      <c r="AB365" t="s">
        <v>351</v>
      </c>
      <c r="AC365" t="s">
        <v>352</v>
      </c>
      <c r="AD365">
        <v>10</v>
      </c>
      <c r="AG365" t="s">
        <v>173</v>
      </c>
      <c r="AH365" t="s">
        <v>174</v>
      </c>
      <c r="AI365" t="s">
        <v>175</v>
      </c>
      <c r="AJ365" t="s">
        <v>176</v>
      </c>
      <c r="AK365" t="s">
        <v>170</v>
      </c>
      <c r="AL365" t="s">
        <v>177</v>
      </c>
      <c r="AO365">
        <v>99</v>
      </c>
      <c r="AP365">
        <v>15</v>
      </c>
      <c r="AS365">
        <v>2050</v>
      </c>
      <c r="AT365">
        <v>2050</v>
      </c>
      <c r="BN365" t="s">
        <v>178</v>
      </c>
      <c r="BO365">
        <v>2</v>
      </c>
      <c r="BP365">
        <v>2</v>
      </c>
      <c r="BQ365">
        <v>5</v>
      </c>
      <c r="BR365" t="s">
        <v>672</v>
      </c>
      <c r="BS365" t="s">
        <v>180</v>
      </c>
      <c r="BT365" t="s">
        <v>181</v>
      </c>
      <c r="BU365" s="1">
        <v>45512</v>
      </c>
      <c r="BV365">
        <v>35148</v>
      </c>
      <c r="BX365" t="s">
        <v>170</v>
      </c>
      <c r="BY365" t="s">
        <v>170</v>
      </c>
      <c r="CB365" t="s">
        <v>170</v>
      </c>
      <c r="CC365" t="s">
        <v>170</v>
      </c>
      <c r="CE365" t="s">
        <v>170</v>
      </c>
      <c r="CG365" t="s">
        <v>169</v>
      </c>
      <c r="CH365" t="s">
        <v>733</v>
      </c>
      <c r="CI365" t="s">
        <v>169</v>
      </c>
      <c r="CJ365" t="s">
        <v>523</v>
      </c>
      <c r="DJ365" t="s">
        <v>184</v>
      </c>
      <c r="DK365" t="s">
        <v>185</v>
      </c>
      <c r="DL365" t="s">
        <v>170</v>
      </c>
      <c r="DM365" t="s">
        <v>170</v>
      </c>
      <c r="DN365" t="s">
        <v>170</v>
      </c>
      <c r="DO365" t="s">
        <v>358</v>
      </c>
      <c r="DP365" t="s">
        <v>169</v>
      </c>
      <c r="DQ365" t="s">
        <v>198</v>
      </c>
      <c r="DY365">
        <v>43.5</v>
      </c>
      <c r="EB365">
        <v>6</v>
      </c>
      <c r="EC365">
        <v>6</v>
      </c>
      <c r="EE365" t="s">
        <v>734</v>
      </c>
      <c r="EF365">
        <v>5</v>
      </c>
      <c r="EV365">
        <v>750</v>
      </c>
      <c r="EW365">
        <v>323</v>
      </c>
      <c r="EX365">
        <v>239</v>
      </c>
      <c r="EY365">
        <v>285</v>
      </c>
    </row>
    <row r="366" spans="1:155" x14ac:dyDescent="0.35">
      <c r="A366">
        <v>2025</v>
      </c>
      <c r="B366" t="s">
        <v>517</v>
      </c>
      <c r="C366" t="s">
        <v>517</v>
      </c>
      <c r="D366" t="s">
        <v>732</v>
      </c>
      <c r="E366" t="s">
        <v>520</v>
      </c>
      <c r="F366">
        <v>5</v>
      </c>
      <c r="G366">
        <v>2</v>
      </c>
      <c r="H366">
        <v>4</v>
      </c>
      <c r="I366" t="s">
        <v>587</v>
      </c>
      <c r="J366">
        <v>32</v>
      </c>
      <c r="K366">
        <v>41</v>
      </c>
      <c r="L366">
        <v>36</v>
      </c>
      <c r="M366">
        <v>43.6</v>
      </c>
      <c r="N366">
        <v>62.1</v>
      </c>
      <c r="O366">
        <v>50.349800000000002</v>
      </c>
      <c r="P366">
        <v>32</v>
      </c>
      <c r="Q366">
        <v>41</v>
      </c>
      <c r="R366">
        <v>36.100099999999998</v>
      </c>
      <c r="U366" t="s">
        <v>224</v>
      </c>
      <c r="V366" t="s">
        <v>588</v>
      </c>
      <c r="W366" t="s">
        <v>589</v>
      </c>
      <c r="Y366">
        <v>1</v>
      </c>
      <c r="Z366" t="s">
        <v>169</v>
      </c>
      <c r="AA366" t="s">
        <v>170</v>
      </c>
      <c r="AB366" t="s">
        <v>351</v>
      </c>
      <c r="AC366" t="s">
        <v>352</v>
      </c>
      <c r="AD366">
        <v>10</v>
      </c>
      <c r="AG366" t="s">
        <v>210</v>
      </c>
      <c r="AH366" t="s">
        <v>444</v>
      </c>
      <c r="AI366" t="s">
        <v>175</v>
      </c>
      <c r="AJ366" t="s">
        <v>176</v>
      </c>
      <c r="AK366" t="s">
        <v>170</v>
      </c>
      <c r="AL366" t="s">
        <v>177</v>
      </c>
      <c r="AO366">
        <v>99</v>
      </c>
      <c r="AP366">
        <v>15</v>
      </c>
      <c r="AS366">
        <v>1450</v>
      </c>
      <c r="AT366">
        <v>1450</v>
      </c>
      <c r="BN366" t="s">
        <v>178</v>
      </c>
      <c r="BO366">
        <v>2</v>
      </c>
      <c r="BP366">
        <v>2</v>
      </c>
      <c r="BQ366">
        <v>5</v>
      </c>
      <c r="BR366" t="s">
        <v>672</v>
      </c>
      <c r="BS366" t="s">
        <v>180</v>
      </c>
      <c r="BT366" t="s">
        <v>181</v>
      </c>
      <c r="BU366" s="1">
        <v>45455</v>
      </c>
      <c r="BV366">
        <v>34882</v>
      </c>
      <c r="BX366" t="s">
        <v>169</v>
      </c>
      <c r="BY366" t="s">
        <v>170</v>
      </c>
      <c r="CB366" t="s">
        <v>170</v>
      </c>
      <c r="CC366" t="s">
        <v>170</v>
      </c>
      <c r="CE366" t="s">
        <v>170</v>
      </c>
      <c r="CG366" t="s">
        <v>169</v>
      </c>
      <c r="CH366" t="s">
        <v>528</v>
      </c>
      <c r="CI366" t="s">
        <v>170</v>
      </c>
      <c r="DJ366" t="s">
        <v>184</v>
      </c>
      <c r="DK366" t="s">
        <v>185</v>
      </c>
      <c r="DL366" t="s">
        <v>170</v>
      </c>
      <c r="DM366" t="s">
        <v>170</v>
      </c>
      <c r="DN366" t="s">
        <v>170</v>
      </c>
      <c r="DO366" t="s">
        <v>358</v>
      </c>
      <c r="DP366" t="s">
        <v>169</v>
      </c>
      <c r="DQ366" t="s">
        <v>198</v>
      </c>
      <c r="DY366">
        <v>51.2</v>
      </c>
      <c r="EB366">
        <v>7</v>
      </c>
      <c r="EC366">
        <v>7</v>
      </c>
      <c r="EE366" t="s">
        <v>735</v>
      </c>
      <c r="EF366">
        <v>6</v>
      </c>
      <c r="EU366">
        <v>2250</v>
      </c>
      <c r="EW366">
        <v>276</v>
      </c>
      <c r="EX366">
        <v>215</v>
      </c>
      <c r="EY366">
        <v>248</v>
      </c>
    </row>
    <row r="367" spans="1:155" x14ac:dyDescent="0.35">
      <c r="A367">
        <v>2025</v>
      </c>
      <c r="B367" t="s">
        <v>517</v>
      </c>
      <c r="C367" t="s">
        <v>517</v>
      </c>
      <c r="D367" t="s">
        <v>732</v>
      </c>
      <c r="E367" t="s">
        <v>520</v>
      </c>
      <c r="F367">
        <v>6</v>
      </c>
      <c r="G367">
        <v>2</v>
      </c>
      <c r="H367">
        <v>4</v>
      </c>
      <c r="I367" t="s">
        <v>737</v>
      </c>
      <c r="J367">
        <v>31</v>
      </c>
      <c r="K367">
        <v>39</v>
      </c>
      <c r="L367">
        <v>34</v>
      </c>
      <c r="M367">
        <v>41.8</v>
      </c>
      <c r="N367">
        <v>60</v>
      </c>
      <c r="O367">
        <v>48.407600000000002</v>
      </c>
      <c r="P367">
        <v>31.4025</v>
      </c>
      <c r="Q367">
        <v>39</v>
      </c>
      <c r="R367">
        <v>34</v>
      </c>
      <c r="U367" t="s">
        <v>224</v>
      </c>
      <c r="V367" t="s">
        <v>463</v>
      </c>
      <c r="W367" t="s">
        <v>464</v>
      </c>
      <c r="Y367">
        <v>7</v>
      </c>
      <c r="Z367" t="s">
        <v>169</v>
      </c>
      <c r="AA367" t="s">
        <v>170</v>
      </c>
      <c r="AB367" t="s">
        <v>351</v>
      </c>
      <c r="AC367" t="s">
        <v>352</v>
      </c>
      <c r="AD367">
        <v>10</v>
      </c>
      <c r="AG367" t="s">
        <v>210</v>
      </c>
      <c r="AH367" t="s">
        <v>444</v>
      </c>
      <c r="AI367" t="s">
        <v>175</v>
      </c>
      <c r="AJ367" t="s">
        <v>176</v>
      </c>
      <c r="AK367" t="s">
        <v>170</v>
      </c>
      <c r="AL367" t="s">
        <v>177</v>
      </c>
      <c r="AO367">
        <v>99</v>
      </c>
      <c r="AP367">
        <v>15</v>
      </c>
      <c r="AS367">
        <v>1550</v>
      </c>
      <c r="AT367">
        <v>1550</v>
      </c>
      <c r="BN367" t="s">
        <v>178</v>
      </c>
      <c r="BO367">
        <v>2</v>
      </c>
      <c r="BP367">
        <v>2</v>
      </c>
      <c r="BQ367">
        <v>5</v>
      </c>
      <c r="BR367" t="s">
        <v>672</v>
      </c>
      <c r="BS367" t="s">
        <v>180</v>
      </c>
      <c r="BT367" t="s">
        <v>181</v>
      </c>
      <c r="BU367" s="1">
        <v>45455</v>
      </c>
      <c r="BV367">
        <v>34883</v>
      </c>
      <c r="BX367" t="s">
        <v>169</v>
      </c>
      <c r="BY367" t="s">
        <v>170</v>
      </c>
      <c r="CB367" t="s">
        <v>170</v>
      </c>
      <c r="CC367" t="s">
        <v>170</v>
      </c>
      <c r="CE367" t="s">
        <v>170</v>
      </c>
      <c r="CG367" t="s">
        <v>169</v>
      </c>
      <c r="CH367" t="s">
        <v>528</v>
      </c>
      <c r="CI367" t="s">
        <v>170</v>
      </c>
      <c r="DJ367" t="s">
        <v>184</v>
      </c>
      <c r="DK367" t="s">
        <v>185</v>
      </c>
      <c r="DL367" t="s">
        <v>170</v>
      </c>
      <c r="DM367" t="s">
        <v>170</v>
      </c>
      <c r="DN367" t="s">
        <v>170</v>
      </c>
      <c r="DO367" t="s">
        <v>358</v>
      </c>
      <c r="DP367" t="s">
        <v>169</v>
      </c>
      <c r="DQ367" t="s">
        <v>198</v>
      </c>
      <c r="DY367">
        <v>49.2</v>
      </c>
      <c r="EB367">
        <v>7</v>
      </c>
      <c r="EC367">
        <v>7</v>
      </c>
      <c r="EE367" t="s">
        <v>735</v>
      </c>
      <c r="EF367">
        <v>6</v>
      </c>
      <c r="EU367">
        <v>1750</v>
      </c>
      <c r="EW367">
        <v>281</v>
      </c>
      <c r="EX367">
        <v>226</v>
      </c>
      <c r="EY367">
        <v>260</v>
      </c>
    </row>
    <row r="368" spans="1:155" x14ac:dyDescent="0.35">
      <c r="A368">
        <v>2025</v>
      </c>
      <c r="B368" t="s">
        <v>517</v>
      </c>
      <c r="C368" t="s">
        <v>517</v>
      </c>
      <c r="D368" t="s">
        <v>732</v>
      </c>
      <c r="E368" t="s">
        <v>520</v>
      </c>
      <c r="F368">
        <v>14</v>
      </c>
      <c r="G368">
        <v>2</v>
      </c>
      <c r="H368">
        <v>4</v>
      </c>
      <c r="I368" t="s">
        <v>587</v>
      </c>
      <c r="J368">
        <v>50</v>
      </c>
      <c r="K368">
        <v>47</v>
      </c>
      <c r="L368">
        <v>49</v>
      </c>
      <c r="M368">
        <v>74.644300000000001</v>
      </c>
      <c r="N368">
        <v>69.739599999999996</v>
      </c>
      <c r="O368">
        <v>72.354399999999998</v>
      </c>
      <c r="P368">
        <v>50</v>
      </c>
      <c r="Q368">
        <v>46.953800000000001</v>
      </c>
      <c r="R368">
        <v>49.206699999999998</v>
      </c>
      <c r="U368" t="s">
        <v>224</v>
      </c>
      <c r="V368" t="s">
        <v>588</v>
      </c>
      <c r="W368" t="s">
        <v>589</v>
      </c>
      <c r="Y368">
        <v>1</v>
      </c>
      <c r="Z368" t="s">
        <v>169</v>
      </c>
      <c r="AA368" t="s">
        <v>170</v>
      </c>
      <c r="AB368" t="s">
        <v>351</v>
      </c>
      <c r="AC368" t="s">
        <v>352</v>
      </c>
      <c r="AD368">
        <v>10</v>
      </c>
      <c r="AG368" t="s">
        <v>210</v>
      </c>
      <c r="AH368" t="s">
        <v>444</v>
      </c>
      <c r="AI368" t="s">
        <v>175</v>
      </c>
      <c r="AJ368" t="s">
        <v>176</v>
      </c>
      <c r="AK368" t="s">
        <v>170</v>
      </c>
      <c r="AL368" t="s">
        <v>177</v>
      </c>
      <c r="AO368">
        <v>99</v>
      </c>
      <c r="AP368">
        <v>15</v>
      </c>
      <c r="AS368">
        <v>1050</v>
      </c>
      <c r="AT368">
        <v>1050</v>
      </c>
      <c r="BN368" t="s">
        <v>232</v>
      </c>
      <c r="BO368">
        <v>2</v>
      </c>
      <c r="BP368">
        <v>2</v>
      </c>
      <c r="BQ368">
        <v>5</v>
      </c>
      <c r="BR368" t="s">
        <v>672</v>
      </c>
      <c r="BS368" t="s">
        <v>180</v>
      </c>
      <c r="BT368" t="s">
        <v>225</v>
      </c>
      <c r="BU368" s="1">
        <v>45455</v>
      </c>
      <c r="BV368">
        <v>34982</v>
      </c>
      <c r="BX368" t="s">
        <v>169</v>
      </c>
      <c r="BY368" t="s">
        <v>170</v>
      </c>
      <c r="CB368" t="s">
        <v>170</v>
      </c>
      <c r="CC368" t="s">
        <v>170</v>
      </c>
      <c r="CE368" t="s">
        <v>170</v>
      </c>
      <c r="CG368" t="s">
        <v>169</v>
      </c>
      <c r="CH368" t="s">
        <v>528</v>
      </c>
      <c r="CI368" t="s">
        <v>170</v>
      </c>
      <c r="CK368" t="s">
        <v>233</v>
      </c>
      <c r="CM368">
        <v>1</v>
      </c>
      <c r="CN368" t="s">
        <v>234</v>
      </c>
      <c r="CP368">
        <v>263</v>
      </c>
      <c r="CQ368">
        <v>4.07</v>
      </c>
      <c r="CR368">
        <v>77.3</v>
      </c>
      <c r="CS368" t="s">
        <v>235</v>
      </c>
      <c r="CV368" t="s">
        <v>341</v>
      </c>
      <c r="CX368" t="s">
        <v>729</v>
      </c>
      <c r="CY368" t="s">
        <v>170</v>
      </c>
      <c r="DD368">
        <v>1</v>
      </c>
      <c r="DE368" t="s">
        <v>404</v>
      </c>
      <c r="DF368" t="s">
        <v>730</v>
      </c>
      <c r="DG368">
        <v>181</v>
      </c>
      <c r="DJ368" t="s">
        <v>184</v>
      </c>
      <c r="DK368" t="s">
        <v>185</v>
      </c>
      <c r="DL368" t="s">
        <v>170</v>
      </c>
      <c r="DM368" t="s">
        <v>170</v>
      </c>
      <c r="DN368" t="s">
        <v>170</v>
      </c>
      <c r="DO368" t="s">
        <v>358</v>
      </c>
      <c r="DP368" t="s">
        <v>169</v>
      </c>
      <c r="DQ368" t="s">
        <v>198</v>
      </c>
      <c r="DY368">
        <v>72.7</v>
      </c>
      <c r="EB368">
        <v>8</v>
      </c>
      <c r="EC368">
        <v>8</v>
      </c>
      <c r="EE368" t="s">
        <v>736</v>
      </c>
      <c r="EF368">
        <v>6</v>
      </c>
      <c r="EU368">
        <v>4250</v>
      </c>
      <c r="EW368">
        <v>176</v>
      </c>
      <c r="EX368">
        <v>188</v>
      </c>
      <c r="EY368">
        <v>181</v>
      </c>
    </row>
    <row r="369" spans="1:155" x14ac:dyDescent="0.35">
      <c r="A369">
        <v>2025</v>
      </c>
      <c r="B369" t="s">
        <v>517</v>
      </c>
      <c r="C369" t="s">
        <v>517</v>
      </c>
      <c r="D369" t="s">
        <v>852</v>
      </c>
      <c r="E369" t="s">
        <v>520</v>
      </c>
      <c r="F369">
        <v>25</v>
      </c>
      <c r="G369">
        <v>2</v>
      </c>
      <c r="H369">
        <v>4</v>
      </c>
      <c r="I369" t="s">
        <v>737</v>
      </c>
      <c r="J369">
        <v>30</v>
      </c>
      <c r="K369">
        <v>38</v>
      </c>
      <c r="L369">
        <v>34</v>
      </c>
      <c r="M369">
        <v>41.2</v>
      </c>
      <c r="N369">
        <v>57.6</v>
      </c>
      <c r="O369">
        <v>47.2545</v>
      </c>
      <c r="P369">
        <v>31.008900000000001</v>
      </c>
      <c r="Q369">
        <v>38.9636</v>
      </c>
      <c r="R369">
        <v>34.145899999999997</v>
      </c>
      <c r="U369" t="s">
        <v>224</v>
      </c>
      <c r="V369" t="s">
        <v>463</v>
      </c>
      <c r="W369" t="s">
        <v>464</v>
      </c>
      <c r="Y369">
        <v>7</v>
      </c>
      <c r="Z369" t="s">
        <v>169</v>
      </c>
      <c r="AA369" t="s">
        <v>170</v>
      </c>
      <c r="AB369" t="s">
        <v>351</v>
      </c>
      <c r="AC369" t="s">
        <v>352</v>
      </c>
      <c r="AD369">
        <v>10</v>
      </c>
      <c r="AG369" t="s">
        <v>210</v>
      </c>
      <c r="AH369" t="s">
        <v>444</v>
      </c>
      <c r="AI369" t="s">
        <v>175</v>
      </c>
      <c r="AJ369" t="s">
        <v>176</v>
      </c>
      <c r="AK369" t="s">
        <v>170</v>
      </c>
      <c r="AL369" t="s">
        <v>177</v>
      </c>
      <c r="AQ369">
        <v>99</v>
      </c>
      <c r="AR369">
        <v>24</v>
      </c>
      <c r="AS369">
        <v>1550</v>
      </c>
      <c r="AT369">
        <v>1550</v>
      </c>
      <c r="BN369" t="s">
        <v>178</v>
      </c>
      <c r="BO369">
        <v>2</v>
      </c>
      <c r="BP369">
        <v>2</v>
      </c>
      <c r="BQ369">
        <v>6</v>
      </c>
      <c r="BR369" t="s">
        <v>825</v>
      </c>
      <c r="BS369" t="s">
        <v>180</v>
      </c>
      <c r="BT369" t="s">
        <v>181</v>
      </c>
      <c r="BV369">
        <v>35343</v>
      </c>
      <c r="BX369" t="s">
        <v>169</v>
      </c>
      <c r="BY369" t="s">
        <v>170</v>
      </c>
      <c r="CB369" t="s">
        <v>170</v>
      </c>
      <c r="CC369" t="s">
        <v>170</v>
      </c>
      <c r="CE369" t="s">
        <v>170</v>
      </c>
      <c r="CG369" t="s">
        <v>169</v>
      </c>
      <c r="CH369" t="s">
        <v>528</v>
      </c>
      <c r="CI369" t="s">
        <v>170</v>
      </c>
      <c r="DJ369" t="s">
        <v>184</v>
      </c>
      <c r="DK369" t="s">
        <v>185</v>
      </c>
      <c r="DL369" t="s">
        <v>170</v>
      </c>
      <c r="DM369" t="s">
        <v>170</v>
      </c>
      <c r="DN369" t="s">
        <v>170</v>
      </c>
      <c r="DO369" t="s">
        <v>358</v>
      </c>
      <c r="DP369" t="s">
        <v>169</v>
      </c>
      <c r="DQ369" t="s">
        <v>198</v>
      </c>
      <c r="DY369">
        <v>48</v>
      </c>
      <c r="EB369">
        <v>7</v>
      </c>
      <c r="EC369">
        <v>7</v>
      </c>
      <c r="EE369" t="s">
        <v>1690</v>
      </c>
      <c r="EF369">
        <v>6</v>
      </c>
      <c r="EU369">
        <v>1750</v>
      </c>
      <c r="EW369">
        <v>286</v>
      </c>
      <c r="EX369">
        <v>228</v>
      </c>
      <c r="EY369">
        <v>260</v>
      </c>
    </row>
    <row r="370" spans="1:155" x14ac:dyDescent="0.35">
      <c r="A370">
        <v>2025</v>
      </c>
      <c r="B370" t="s">
        <v>517</v>
      </c>
      <c r="C370" t="s">
        <v>517</v>
      </c>
      <c r="D370" t="s">
        <v>852</v>
      </c>
      <c r="E370" t="s">
        <v>520</v>
      </c>
      <c r="F370">
        <v>34</v>
      </c>
      <c r="G370">
        <v>2</v>
      </c>
      <c r="H370">
        <v>4</v>
      </c>
      <c r="I370" t="s">
        <v>587</v>
      </c>
      <c r="J370">
        <v>50</v>
      </c>
      <c r="K370">
        <v>45</v>
      </c>
      <c r="L370">
        <v>48</v>
      </c>
      <c r="M370">
        <v>71.5</v>
      </c>
      <c r="N370">
        <v>65.7</v>
      </c>
      <c r="O370">
        <v>68.768100000000004</v>
      </c>
      <c r="P370">
        <v>50.063200000000002</v>
      </c>
      <c r="Q370">
        <v>45.175600000000003</v>
      </c>
      <c r="R370">
        <v>47.738999999999997</v>
      </c>
      <c r="U370" t="s">
        <v>224</v>
      </c>
      <c r="V370" t="s">
        <v>588</v>
      </c>
      <c r="W370" t="s">
        <v>589</v>
      </c>
      <c r="Y370">
        <v>1</v>
      </c>
      <c r="Z370" t="s">
        <v>169</v>
      </c>
      <c r="AA370" t="s">
        <v>170</v>
      </c>
      <c r="AB370" t="s">
        <v>351</v>
      </c>
      <c r="AC370" t="s">
        <v>352</v>
      </c>
      <c r="AD370">
        <v>10</v>
      </c>
      <c r="AG370" t="s">
        <v>210</v>
      </c>
      <c r="AH370" t="s">
        <v>444</v>
      </c>
      <c r="AI370" t="s">
        <v>175</v>
      </c>
      <c r="AJ370" t="s">
        <v>176</v>
      </c>
      <c r="AK370" t="s">
        <v>170</v>
      </c>
      <c r="AL370" t="s">
        <v>177</v>
      </c>
      <c r="AQ370">
        <v>99</v>
      </c>
      <c r="AR370">
        <v>24</v>
      </c>
      <c r="AS370">
        <v>1100</v>
      </c>
      <c r="AT370">
        <v>1100</v>
      </c>
      <c r="BN370" t="s">
        <v>232</v>
      </c>
      <c r="BO370">
        <v>2</v>
      </c>
      <c r="BP370">
        <v>2</v>
      </c>
      <c r="BQ370">
        <v>6</v>
      </c>
      <c r="BR370" t="s">
        <v>825</v>
      </c>
      <c r="BS370" t="s">
        <v>180</v>
      </c>
      <c r="BT370" t="s">
        <v>225</v>
      </c>
      <c r="BU370" s="1">
        <v>45538</v>
      </c>
      <c r="BV370">
        <v>35376</v>
      </c>
      <c r="BX370" t="s">
        <v>169</v>
      </c>
      <c r="BY370" t="s">
        <v>170</v>
      </c>
      <c r="CB370" t="s">
        <v>170</v>
      </c>
      <c r="CC370" t="s">
        <v>170</v>
      </c>
      <c r="CE370" t="s">
        <v>170</v>
      </c>
      <c r="CG370" t="s">
        <v>169</v>
      </c>
      <c r="CH370" t="s">
        <v>528</v>
      </c>
      <c r="CI370" t="s">
        <v>170</v>
      </c>
      <c r="CK370" t="s">
        <v>233</v>
      </c>
      <c r="CM370">
        <v>1</v>
      </c>
      <c r="CN370" t="s">
        <v>234</v>
      </c>
      <c r="CP370">
        <v>263</v>
      </c>
      <c r="CQ370">
        <v>4.07</v>
      </c>
      <c r="CR370">
        <v>77.3</v>
      </c>
      <c r="CS370" t="s">
        <v>235</v>
      </c>
      <c r="CV370" t="s">
        <v>341</v>
      </c>
      <c r="CX370" t="s">
        <v>729</v>
      </c>
      <c r="CY370" t="s">
        <v>170</v>
      </c>
      <c r="DD370">
        <v>1</v>
      </c>
      <c r="DE370" t="s">
        <v>404</v>
      </c>
      <c r="DF370" t="s">
        <v>730</v>
      </c>
      <c r="DG370">
        <v>181</v>
      </c>
      <c r="DJ370" t="s">
        <v>184</v>
      </c>
      <c r="DK370" t="s">
        <v>185</v>
      </c>
      <c r="DL370" t="s">
        <v>170</v>
      </c>
      <c r="DM370" t="s">
        <v>170</v>
      </c>
      <c r="DN370" t="s">
        <v>170</v>
      </c>
      <c r="DO370" t="s">
        <v>358</v>
      </c>
      <c r="DP370" t="s">
        <v>169</v>
      </c>
      <c r="DQ370" t="s">
        <v>198</v>
      </c>
      <c r="DY370">
        <v>69.099999999999994</v>
      </c>
      <c r="EB370">
        <v>8</v>
      </c>
      <c r="EC370">
        <v>8</v>
      </c>
      <c r="EE370" t="s">
        <v>736</v>
      </c>
      <c r="EF370">
        <v>6</v>
      </c>
      <c r="EU370">
        <v>4000</v>
      </c>
      <c r="EW370">
        <v>177</v>
      </c>
      <c r="EX370">
        <v>196</v>
      </c>
      <c r="EY370">
        <v>186</v>
      </c>
    </row>
    <row r="371" spans="1:155" x14ac:dyDescent="0.35">
      <c r="A371">
        <v>2025</v>
      </c>
      <c r="B371" t="s">
        <v>517</v>
      </c>
      <c r="C371" t="s">
        <v>517</v>
      </c>
      <c r="D371" t="s">
        <v>852</v>
      </c>
      <c r="E371" t="s">
        <v>520</v>
      </c>
      <c r="F371">
        <v>41</v>
      </c>
      <c r="G371">
        <v>2</v>
      </c>
      <c r="H371">
        <v>4</v>
      </c>
      <c r="I371" t="s">
        <v>200</v>
      </c>
      <c r="J371">
        <v>22</v>
      </c>
      <c r="K371">
        <v>28</v>
      </c>
      <c r="L371">
        <v>24</v>
      </c>
      <c r="M371">
        <v>26.449100000000001</v>
      </c>
      <c r="N371">
        <v>40.198999999999998</v>
      </c>
      <c r="O371">
        <v>31.2608</v>
      </c>
      <c r="P371">
        <v>21.7346</v>
      </c>
      <c r="Q371">
        <v>28</v>
      </c>
      <c r="R371">
        <v>24.334</v>
      </c>
      <c r="T371" t="s">
        <v>165</v>
      </c>
      <c r="U371" t="s">
        <v>166</v>
      </c>
      <c r="V371" t="s">
        <v>201</v>
      </c>
      <c r="W371" t="s">
        <v>202</v>
      </c>
      <c r="Y371">
        <v>6</v>
      </c>
      <c r="Z371" t="s">
        <v>170</v>
      </c>
      <c r="AA371" t="s">
        <v>170</v>
      </c>
      <c r="AB371" t="s">
        <v>351</v>
      </c>
      <c r="AC371" t="s">
        <v>352</v>
      </c>
      <c r="AD371">
        <v>10</v>
      </c>
      <c r="AG371" t="s">
        <v>173</v>
      </c>
      <c r="AH371" t="s">
        <v>174</v>
      </c>
      <c r="AI371" t="s">
        <v>175</v>
      </c>
      <c r="AJ371" t="s">
        <v>176</v>
      </c>
      <c r="AK371" t="s">
        <v>170</v>
      </c>
      <c r="AL371" t="s">
        <v>177</v>
      </c>
      <c r="AQ371">
        <v>99</v>
      </c>
      <c r="AR371">
        <v>24</v>
      </c>
      <c r="AS371">
        <v>2650</v>
      </c>
      <c r="AT371">
        <v>2650</v>
      </c>
      <c r="BN371" t="s">
        <v>178</v>
      </c>
      <c r="BO371">
        <v>2</v>
      </c>
      <c r="BP371">
        <v>2</v>
      </c>
      <c r="BQ371">
        <v>6</v>
      </c>
      <c r="BR371" t="s">
        <v>825</v>
      </c>
      <c r="BS371" t="s">
        <v>180</v>
      </c>
      <c r="BT371" t="s">
        <v>225</v>
      </c>
      <c r="BU371" s="1">
        <v>45485</v>
      </c>
      <c r="BV371">
        <v>34981</v>
      </c>
      <c r="BX371" t="s">
        <v>170</v>
      </c>
      <c r="BY371" t="s">
        <v>170</v>
      </c>
      <c r="CB371" t="s">
        <v>170</v>
      </c>
      <c r="CC371" t="s">
        <v>170</v>
      </c>
      <c r="CD371" t="s">
        <v>853</v>
      </c>
      <c r="CE371" t="s">
        <v>170</v>
      </c>
      <c r="CG371" t="s">
        <v>169</v>
      </c>
      <c r="CH371" t="s">
        <v>828</v>
      </c>
      <c r="CI371" t="s">
        <v>169</v>
      </c>
      <c r="CJ371" t="s">
        <v>828</v>
      </c>
      <c r="DJ371" t="s">
        <v>184</v>
      </c>
      <c r="DK371" t="s">
        <v>185</v>
      </c>
      <c r="DL371" t="s">
        <v>170</v>
      </c>
      <c r="DM371" t="s">
        <v>170</v>
      </c>
      <c r="DN371" t="s">
        <v>170</v>
      </c>
      <c r="DO371" t="s">
        <v>358</v>
      </c>
      <c r="DP371" t="s">
        <v>170</v>
      </c>
      <c r="DQ371" t="s">
        <v>187</v>
      </c>
      <c r="DY371">
        <v>31.5</v>
      </c>
      <c r="EB371">
        <v>5</v>
      </c>
      <c r="EC371">
        <v>5</v>
      </c>
      <c r="EE371" t="s">
        <v>829</v>
      </c>
      <c r="EF371">
        <v>5</v>
      </c>
      <c r="EV371">
        <v>3750</v>
      </c>
      <c r="EW371">
        <v>404</v>
      </c>
      <c r="EX371">
        <v>314</v>
      </c>
      <c r="EY371">
        <v>364</v>
      </c>
    </row>
    <row r="372" spans="1:155" x14ac:dyDescent="0.35">
      <c r="A372">
        <v>2025</v>
      </c>
      <c r="B372" t="s">
        <v>517</v>
      </c>
      <c r="C372" t="s">
        <v>517</v>
      </c>
      <c r="D372" t="s">
        <v>1294</v>
      </c>
      <c r="E372" t="s">
        <v>520</v>
      </c>
      <c r="F372">
        <v>201</v>
      </c>
      <c r="G372">
        <v>1.5</v>
      </c>
      <c r="H372">
        <v>4</v>
      </c>
      <c r="I372" t="s">
        <v>587</v>
      </c>
      <c r="J372">
        <v>26</v>
      </c>
      <c r="K372">
        <v>31</v>
      </c>
      <c r="L372">
        <v>28</v>
      </c>
      <c r="M372">
        <v>34.165100000000002</v>
      </c>
      <c r="N372">
        <v>44.988500000000002</v>
      </c>
      <c r="O372">
        <v>38.312899999999999</v>
      </c>
      <c r="P372">
        <v>26.2835</v>
      </c>
      <c r="Q372">
        <v>31.284199999999998</v>
      </c>
      <c r="R372">
        <v>28.320599999999999</v>
      </c>
      <c r="T372" t="s">
        <v>165</v>
      </c>
      <c r="U372" t="s">
        <v>166</v>
      </c>
      <c r="V372" t="s">
        <v>588</v>
      </c>
      <c r="W372" t="s">
        <v>589</v>
      </c>
      <c r="Y372">
        <v>1</v>
      </c>
      <c r="Z372" t="s">
        <v>169</v>
      </c>
      <c r="AA372" t="s">
        <v>170</v>
      </c>
      <c r="AB372" t="s">
        <v>167</v>
      </c>
      <c r="AC372" t="s">
        <v>213</v>
      </c>
      <c r="AD372">
        <v>10</v>
      </c>
      <c r="AG372" t="s">
        <v>210</v>
      </c>
      <c r="AH372" t="s">
        <v>444</v>
      </c>
      <c r="AI372" t="s">
        <v>175</v>
      </c>
      <c r="AJ372" t="s">
        <v>176</v>
      </c>
      <c r="AK372" t="s">
        <v>940</v>
      </c>
      <c r="AL372" t="s">
        <v>941</v>
      </c>
      <c r="AS372">
        <v>1900</v>
      </c>
      <c r="AT372">
        <v>1900</v>
      </c>
      <c r="BN372" t="s">
        <v>178</v>
      </c>
      <c r="BO372">
        <v>2</v>
      </c>
      <c r="BP372">
        <v>2</v>
      </c>
      <c r="BQ372">
        <v>31</v>
      </c>
      <c r="BR372" t="s">
        <v>1219</v>
      </c>
      <c r="BT372" t="s">
        <v>181</v>
      </c>
      <c r="BU372" s="1">
        <v>45414</v>
      </c>
      <c r="BV372">
        <v>34690</v>
      </c>
      <c r="BX372" t="s">
        <v>170</v>
      </c>
      <c r="BY372" t="s">
        <v>170</v>
      </c>
      <c r="CB372" t="s">
        <v>170</v>
      </c>
      <c r="CC372" t="s">
        <v>170</v>
      </c>
      <c r="CE372" t="s">
        <v>170</v>
      </c>
      <c r="CG372" t="s">
        <v>169</v>
      </c>
      <c r="CH372" t="s">
        <v>522</v>
      </c>
      <c r="CI372" t="s">
        <v>169</v>
      </c>
      <c r="CJ372" t="s">
        <v>523</v>
      </c>
      <c r="DJ372" t="s">
        <v>184</v>
      </c>
      <c r="DK372" t="s">
        <v>185</v>
      </c>
      <c r="DL372" t="s">
        <v>170</v>
      </c>
      <c r="DM372" t="s">
        <v>170</v>
      </c>
      <c r="DN372" t="s">
        <v>170</v>
      </c>
      <c r="DO372" t="s">
        <v>358</v>
      </c>
      <c r="DP372" t="s">
        <v>169</v>
      </c>
      <c r="DQ372" t="s">
        <v>198</v>
      </c>
      <c r="EB372">
        <v>6</v>
      </c>
      <c r="EC372">
        <v>6</v>
      </c>
      <c r="EE372" t="s">
        <v>1295</v>
      </c>
      <c r="EF372">
        <v>5</v>
      </c>
      <c r="EU372">
        <v>0</v>
      </c>
      <c r="EW372">
        <v>336</v>
      </c>
      <c r="EX372">
        <v>282</v>
      </c>
      <c r="EY372">
        <v>312</v>
      </c>
    </row>
    <row r="373" spans="1:155" x14ac:dyDescent="0.35">
      <c r="A373">
        <v>2025</v>
      </c>
      <c r="B373" t="s">
        <v>517</v>
      </c>
      <c r="C373" t="s">
        <v>517</v>
      </c>
      <c r="D373" t="s">
        <v>1294</v>
      </c>
      <c r="E373" t="s">
        <v>520</v>
      </c>
      <c r="F373">
        <v>211</v>
      </c>
      <c r="G373">
        <v>2</v>
      </c>
      <c r="H373">
        <v>4</v>
      </c>
      <c r="I373" t="s">
        <v>587</v>
      </c>
      <c r="J373">
        <v>40</v>
      </c>
      <c r="K373">
        <v>34</v>
      </c>
      <c r="L373">
        <v>37</v>
      </c>
      <c r="M373">
        <v>56.1</v>
      </c>
      <c r="N373">
        <v>49.5</v>
      </c>
      <c r="O373">
        <v>52.924500000000002</v>
      </c>
      <c r="P373">
        <v>40.371200000000002</v>
      </c>
      <c r="Q373">
        <v>34.080199999999998</v>
      </c>
      <c r="R373">
        <v>37.274900000000002</v>
      </c>
      <c r="U373" t="s">
        <v>224</v>
      </c>
      <c r="V373" t="s">
        <v>588</v>
      </c>
      <c r="W373" t="s">
        <v>589</v>
      </c>
      <c r="Y373">
        <v>1</v>
      </c>
      <c r="Z373" t="s">
        <v>169</v>
      </c>
      <c r="AA373" t="s">
        <v>170</v>
      </c>
      <c r="AB373" t="s">
        <v>167</v>
      </c>
      <c r="AC373" t="s">
        <v>213</v>
      </c>
      <c r="AD373">
        <v>10</v>
      </c>
      <c r="AG373" t="s">
        <v>210</v>
      </c>
      <c r="AH373" t="s">
        <v>444</v>
      </c>
      <c r="AI373" t="s">
        <v>175</v>
      </c>
      <c r="AJ373" t="s">
        <v>176</v>
      </c>
      <c r="AK373" t="s">
        <v>940</v>
      </c>
      <c r="AL373" t="s">
        <v>941</v>
      </c>
      <c r="AS373">
        <v>1400</v>
      </c>
      <c r="AT373">
        <v>1400</v>
      </c>
      <c r="BN373" t="s">
        <v>232</v>
      </c>
      <c r="BO373">
        <v>2</v>
      </c>
      <c r="BP373">
        <v>2</v>
      </c>
      <c r="BQ373">
        <v>31</v>
      </c>
      <c r="BR373" t="s">
        <v>1219</v>
      </c>
      <c r="BT373" t="s">
        <v>181</v>
      </c>
      <c r="BU373" s="1">
        <v>45414</v>
      </c>
      <c r="BV373">
        <v>34699</v>
      </c>
      <c r="BX373" t="s">
        <v>170</v>
      </c>
      <c r="BY373" t="s">
        <v>170</v>
      </c>
      <c r="CB373" t="s">
        <v>170</v>
      </c>
      <c r="CC373" t="s">
        <v>170</v>
      </c>
      <c r="CE373" t="s">
        <v>170</v>
      </c>
      <c r="CG373" t="s">
        <v>169</v>
      </c>
      <c r="CH373" t="s">
        <v>528</v>
      </c>
      <c r="CI373" t="s">
        <v>170</v>
      </c>
      <c r="CK373" t="s">
        <v>233</v>
      </c>
      <c r="CM373">
        <v>1</v>
      </c>
      <c r="CN373" t="s">
        <v>234</v>
      </c>
      <c r="CP373">
        <v>263</v>
      </c>
      <c r="CQ373">
        <v>4.0999999999999996</v>
      </c>
      <c r="CR373">
        <v>77.3</v>
      </c>
      <c r="CS373" t="s">
        <v>235</v>
      </c>
      <c r="CV373" t="s">
        <v>341</v>
      </c>
      <c r="CX373" t="s">
        <v>729</v>
      </c>
      <c r="CY373" t="s">
        <v>170</v>
      </c>
      <c r="DC373" t="s">
        <v>1120</v>
      </c>
      <c r="DD373">
        <v>1</v>
      </c>
      <c r="DE373" t="s">
        <v>404</v>
      </c>
      <c r="DF373" t="s">
        <v>730</v>
      </c>
      <c r="DG373">
        <v>135</v>
      </c>
      <c r="DJ373" t="s">
        <v>184</v>
      </c>
      <c r="DK373" t="s">
        <v>185</v>
      </c>
      <c r="DL373" t="s">
        <v>170</v>
      </c>
      <c r="DM373" t="s">
        <v>170</v>
      </c>
      <c r="DN373" t="s">
        <v>170</v>
      </c>
      <c r="DO373" t="s">
        <v>358</v>
      </c>
      <c r="DP373" t="s">
        <v>169</v>
      </c>
      <c r="DQ373" t="s">
        <v>198</v>
      </c>
      <c r="EB373">
        <v>7</v>
      </c>
      <c r="EC373">
        <v>7</v>
      </c>
      <c r="EE373" t="s">
        <v>1121</v>
      </c>
      <c r="EF373">
        <v>6</v>
      </c>
      <c r="EU373">
        <v>2500</v>
      </c>
      <c r="EW373">
        <v>218</v>
      </c>
      <c r="EX373">
        <v>259</v>
      </c>
      <c r="EY373">
        <v>237</v>
      </c>
    </row>
    <row r="374" spans="1:155" x14ac:dyDescent="0.35">
      <c r="A374">
        <v>2025</v>
      </c>
      <c r="B374" t="s">
        <v>517</v>
      </c>
      <c r="C374" t="s">
        <v>517</v>
      </c>
      <c r="D374" t="s">
        <v>1118</v>
      </c>
      <c r="E374" t="s">
        <v>520</v>
      </c>
      <c r="F374">
        <v>202</v>
      </c>
      <c r="G374">
        <v>1.5</v>
      </c>
      <c r="H374">
        <v>4</v>
      </c>
      <c r="I374" t="s">
        <v>587</v>
      </c>
      <c r="J374">
        <v>28</v>
      </c>
      <c r="K374">
        <v>34</v>
      </c>
      <c r="L374">
        <v>30</v>
      </c>
      <c r="M374">
        <v>36.639499999999998</v>
      </c>
      <c r="N374">
        <v>48.996400000000001</v>
      </c>
      <c r="O374">
        <v>41.330100000000002</v>
      </c>
      <c r="P374">
        <v>27.9693</v>
      </c>
      <c r="Q374">
        <v>33.770899999999997</v>
      </c>
      <c r="R374">
        <v>30.3127</v>
      </c>
      <c r="T374" t="s">
        <v>165</v>
      </c>
      <c r="U374" t="s">
        <v>166</v>
      </c>
      <c r="V374" t="s">
        <v>588</v>
      </c>
      <c r="W374" t="s">
        <v>589</v>
      </c>
      <c r="Y374">
        <v>1</v>
      </c>
      <c r="Z374" t="s">
        <v>169</v>
      </c>
      <c r="AA374" t="s">
        <v>170</v>
      </c>
      <c r="AB374" t="s">
        <v>351</v>
      </c>
      <c r="AC374" t="s">
        <v>352</v>
      </c>
      <c r="AD374">
        <v>10</v>
      </c>
      <c r="AG374" t="s">
        <v>210</v>
      </c>
      <c r="AH374" t="s">
        <v>444</v>
      </c>
      <c r="AI374" t="s">
        <v>175</v>
      </c>
      <c r="AJ374" t="s">
        <v>176</v>
      </c>
      <c r="AK374" t="s">
        <v>940</v>
      </c>
      <c r="AL374" t="s">
        <v>941</v>
      </c>
      <c r="AS374">
        <v>1750</v>
      </c>
      <c r="AT374">
        <v>1750</v>
      </c>
      <c r="BN374" t="s">
        <v>178</v>
      </c>
      <c r="BO374">
        <v>2</v>
      </c>
      <c r="BP374">
        <v>2</v>
      </c>
      <c r="BQ374">
        <v>30</v>
      </c>
      <c r="BR374" t="s">
        <v>1099</v>
      </c>
      <c r="BT374" t="s">
        <v>181</v>
      </c>
      <c r="BU374" s="1">
        <v>45414</v>
      </c>
      <c r="BV374">
        <v>34695</v>
      </c>
      <c r="BX374" t="s">
        <v>170</v>
      </c>
      <c r="BY374" t="s">
        <v>170</v>
      </c>
      <c r="CB374" t="s">
        <v>170</v>
      </c>
      <c r="CC374" t="s">
        <v>170</v>
      </c>
      <c r="CE374" t="s">
        <v>170</v>
      </c>
      <c r="CG374" t="s">
        <v>169</v>
      </c>
      <c r="CH374" t="s">
        <v>522</v>
      </c>
      <c r="CI374" t="s">
        <v>169</v>
      </c>
      <c r="CJ374" t="s">
        <v>523</v>
      </c>
      <c r="DJ374" t="s">
        <v>184</v>
      </c>
      <c r="DK374" t="s">
        <v>185</v>
      </c>
      <c r="DL374" t="s">
        <v>170</v>
      </c>
      <c r="DM374" t="s">
        <v>170</v>
      </c>
      <c r="DN374" t="s">
        <v>170</v>
      </c>
      <c r="DO374" t="s">
        <v>358</v>
      </c>
      <c r="DP374" t="s">
        <v>169</v>
      </c>
      <c r="DQ374" t="s">
        <v>198</v>
      </c>
      <c r="EB374">
        <v>6</v>
      </c>
      <c r="EC374">
        <v>6</v>
      </c>
      <c r="EE374" t="s">
        <v>1119</v>
      </c>
      <c r="EF374">
        <v>6</v>
      </c>
      <c r="EU374">
        <v>750</v>
      </c>
      <c r="EW374">
        <v>314</v>
      </c>
      <c r="EX374">
        <v>260</v>
      </c>
      <c r="EY374">
        <v>290</v>
      </c>
    </row>
    <row r="375" spans="1:155" x14ac:dyDescent="0.35">
      <c r="A375">
        <v>2025</v>
      </c>
      <c r="B375" t="s">
        <v>517</v>
      </c>
      <c r="C375" t="s">
        <v>517</v>
      </c>
      <c r="D375" t="s">
        <v>1118</v>
      </c>
      <c r="E375" t="s">
        <v>520</v>
      </c>
      <c r="F375">
        <v>212</v>
      </c>
      <c r="G375">
        <v>2</v>
      </c>
      <c r="H375">
        <v>4</v>
      </c>
      <c r="I375" t="s">
        <v>587</v>
      </c>
      <c r="J375">
        <v>43</v>
      </c>
      <c r="K375">
        <v>36</v>
      </c>
      <c r="L375">
        <v>40</v>
      </c>
      <c r="M375">
        <v>61</v>
      </c>
      <c r="N375">
        <v>54.747799999999998</v>
      </c>
      <c r="O375">
        <v>58.0184</v>
      </c>
      <c r="P375">
        <v>43.273099999999999</v>
      </c>
      <c r="Q375">
        <v>36</v>
      </c>
      <c r="R375">
        <v>40.345199999999998</v>
      </c>
      <c r="U375" t="s">
        <v>224</v>
      </c>
      <c r="V375" t="s">
        <v>588</v>
      </c>
      <c r="W375" t="s">
        <v>589</v>
      </c>
      <c r="Y375">
        <v>1</v>
      </c>
      <c r="Z375" t="s">
        <v>169</v>
      </c>
      <c r="AA375" t="s">
        <v>170</v>
      </c>
      <c r="AB375" t="s">
        <v>351</v>
      </c>
      <c r="AC375" t="s">
        <v>352</v>
      </c>
      <c r="AD375">
        <v>10</v>
      </c>
      <c r="AG375" t="s">
        <v>210</v>
      </c>
      <c r="AH375" t="s">
        <v>444</v>
      </c>
      <c r="AI375" t="s">
        <v>175</v>
      </c>
      <c r="AJ375" t="s">
        <v>176</v>
      </c>
      <c r="AK375" t="s">
        <v>940</v>
      </c>
      <c r="AL375" t="s">
        <v>941</v>
      </c>
      <c r="AS375">
        <v>1300</v>
      </c>
      <c r="AT375">
        <v>1300</v>
      </c>
      <c r="BN375" t="s">
        <v>232</v>
      </c>
      <c r="BO375">
        <v>2</v>
      </c>
      <c r="BP375">
        <v>2</v>
      </c>
      <c r="BQ375">
        <v>30</v>
      </c>
      <c r="BR375" t="s">
        <v>1099</v>
      </c>
      <c r="BT375" t="s">
        <v>181</v>
      </c>
      <c r="BU375" s="1">
        <v>45414</v>
      </c>
      <c r="BV375">
        <v>34696</v>
      </c>
      <c r="BX375" t="s">
        <v>170</v>
      </c>
      <c r="BY375" t="s">
        <v>170</v>
      </c>
      <c r="CB375" t="s">
        <v>170</v>
      </c>
      <c r="CC375" t="s">
        <v>170</v>
      </c>
      <c r="CE375" t="s">
        <v>170</v>
      </c>
      <c r="CG375" t="s">
        <v>169</v>
      </c>
      <c r="CH375" t="s">
        <v>528</v>
      </c>
      <c r="CI375" t="s">
        <v>170</v>
      </c>
      <c r="CK375" t="s">
        <v>233</v>
      </c>
      <c r="CM375">
        <v>1</v>
      </c>
      <c r="CN375" t="s">
        <v>234</v>
      </c>
      <c r="CP375">
        <v>263</v>
      </c>
      <c r="CQ375">
        <v>4.0999999999999996</v>
      </c>
      <c r="CR375">
        <v>77.3</v>
      </c>
      <c r="CS375" t="s">
        <v>235</v>
      </c>
      <c r="CV375" t="s">
        <v>341</v>
      </c>
      <c r="CX375" t="s">
        <v>729</v>
      </c>
      <c r="CY375" t="s">
        <v>170</v>
      </c>
      <c r="DC375" t="s">
        <v>1120</v>
      </c>
      <c r="DD375">
        <v>1</v>
      </c>
      <c r="DE375" t="s">
        <v>404</v>
      </c>
      <c r="DF375" t="s">
        <v>730</v>
      </c>
      <c r="DG375">
        <v>135</v>
      </c>
      <c r="DJ375" t="s">
        <v>184</v>
      </c>
      <c r="DK375" t="s">
        <v>185</v>
      </c>
      <c r="DL375" t="s">
        <v>170</v>
      </c>
      <c r="DM375" t="s">
        <v>170</v>
      </c>
      <c r="DN375" t="s">
        <v>170</v>
      </c>
      <c r="DO375" t="s">
        <v>358</v>
      </c>
      <c r="DP375" t="s">
        <v>169</v>
      </c>
      <c r="DQ375" t="s">
        <v>198</v>
      </c>
      <c r="EB375">
        <v>7</v>
      </c>
      <c r="EC375">
        <v>7</v>
      </c>
      <c r="EE375" t="s">
        <v>1121</v>
      </c>
      <c r="EF375">
        <v>6</v>
      </c>
      <c r="EU375">
        <v>3000</v>
      </c>
      <c r="EW375">
        <v>205</v>
      </c>
      <c r="EX375">
        <v>246</v>
      </c>
      <c r="EY375">
        <v>223</v>
      </c>
    </row>
    <row r="376" spans="1:155" x14ac:dyDescent="0.35">
      <c r="A376">
        <v>2025</v>
      </c>
      <c r="B376" t="s">
        <v>517</v>
      </c>
      <c r="C376" t="s">
        <v>517</v>
      </c>
      <c r="D376" t="s">
        <v>912</v>
      </c>
      <c r="E376" t="s">
        <v>520</v>
      </c>
      <c r="F376">
        <v>321</v>
      </c>
      <c r="G376">
        <v>2</v>
      </c>
      <c r="H376">
        <v>4</v>
      </c>
      <c r="I376" t="s">
        <v>587</v>
      </c>
      <c r="J376">
        <v>25</v>
      </c>
      <c r="K376">
        <v>30</v>
      </c>
      <c r="L376">
        <v>27</v>
      </c>
      <c r="M376">
        <v>32.224899999999998</v>
      </c>
      <c r="N376">
        <v>43.265500000000003</v>
      </c>
      <c r="O376">
        <v>36.4054</v>
      </c>
      <c r="P376">
        <v>24.943200000000001</v>
      </c>
      <c r="Q376">
        <v>30.201499999999999</v>
      </c>
      <c r="R376">
        <v>27.063600000000001</v>
      </c>
      <c r="U376" t="s">
        <v>224</v>
      </c>
      <c r="V376" t="s">
        <v>588</v>
      </c>
      <c r="W376" t="s">
        <v>589</v>
      </c>
      <c r="Y376">
        <v>1</v>
      </c>
      <c r="Z376" t="s">
        <v>169</v>
      </c>
      <c r="AA376" t="s">
        <v>170</v>
      </c>
      <c r="AB376" t="s">
        <v>167</v>
      </c>
      <c r="AC376" t="s">
        <v>213</v>
      </c>
      <c r="AD376">
        <v>10</v>
      </c>
      <c r="AG376" t="s">
        <v>210</v>
      </c>
      <c r="AH376" t="s">
        <v>444</v>
      </c>
      <c r="AI376" t="s">
        <v>175</v>
      </c>
      <c r="AJ376" t="s">
        <v>176</v>
      </c>
      <c r="AK376" t="s">
        <v>170</v>
      </c>
      <c r="AL376" t="s">
        <v>177</v>
      </c>
      <c r="AO376">
        <v>99</v>
      </c>
      <c r="AP376">
        <v>24</v>
      </c>
      <c r="AS376">
        <v>1950</v>
      </c>
      <c r="AT376">
        <v>1950</v>
      </c>
      <c r="BO376">
        <v>2</v>
      </c>
      <c r="BP376">
        <v>2</v>
      </c>
      <c r="BQ376">
        <v>7</v>
      </c>
      <c r="BR376" t="s">
        <v>897</v>
      </c>
      <c r="BS376" t="s">
        <v>180</v>
      </c>
      <c r="BT376" t="s">
        <v>181</v>
      </c>
      <c r="BU376" s="1">
        <v>45386</v>
      </c>
      <c r="BV376">
        <v>34587</v>
      </c>
      <c r="BX376" t="s">
        <v>170</v>
      </c>
      <c r="BY376" t="s">
        <v>170</v>
      </c>
      <c r="CB376" t="s">
        <v>170</v>
      </c>
      <c r="CC376" t="s">
        <v>170</v>
      </c>
      <c r="CE376" t="s">
        <v>170</v>
      </c>
      <c r="CG376" t="s">
        <v>169</v>
      </c>
      <c r="CH376" t="s">
        <v>733</v>
      </c>
      <c r="CI376" t="s">
        <v>169</v>
      </c>
      <c r="CJ376" t="s">
        <v>523</v>
      </c>
      <c r="DJ376" t="s">
        <v>449</v>
      </c>
      <c r="DK376" t="s">
        <v>450</v>
      </c>
      <c r="DL376" t="s">
        <v>170</v>
      </c>
      <c r="DM376" t="s">
        <v>170</v>
      </c>
      <c r="DN376" t="s">
        <v>170</v>
      </c>
      <c r="DO376" t="s">
        <v>358</v>
      </c>
      <c r="DP376" t="s">
        <v>170</v>
      </c>
      <c r="DQ376" t="s">
        <v>187</v>
      </c>
      <c r="DY376">
        <v>36.6</v>
      </c>
      <c r="EB376">
        <v>5</v>
      </c>
      <c r="EC376">
        <v>5</v>
      </c>
      <c r="EE376" t="s">
        <v>913</v>
      </c>
      <c r="EF376">
        <v>6</v>
      </c>
      <c r="EV376">
        <v>250</v>
      </c>
      <c r="EW376">
        <v>354</v>
      </c>
      <c r="EX376">
        <v>292</v>
      </c>
      <c r="EY376">
        <v>326</v>
      </c>
    </row>
    <row r="377" spans="1:155" x14ac:dyDescent="0.35">
      <c r="A377">
        <v>2025</v>
      </c>
      <c r="B377" t="s">
        <v>517</v>
      </c>
      <c r="C377" t="s">
        <v>517</v>
      </c>
      <c r="D377" t="s">
        <v>914</v>
      </c>
      <c r="E377" t="s">
        <v>520</v>
      </c>
      <c r="F377">
        <v>323</v>
      </c>
      <c r="G377">
        <v>2</v>
      </c>
      <c r="H377">
        <v>4</v>
      </c>
      <c r="I377" t="s">
        <v>587</v>
      </c>
      <c r="J377">
        <v>26</v>
      </c>
      <c r="K377">
        <v>32</v>
      </c>
      <c r="L377">
        <v>28</v>
      </c>
      <c r="M377">
        <v>33.867800000000003</v>
      </c>
      <c r="N377">
        <v>45.6843</v>
      </c>
      <c r="O377">
        <v>38.329099999999997</v>
      </c>
      <c r="P377">
        <v>26.0792</v>
      </c>
      <c r="Q377">
        <v>31.719100000000001</v>
      </c>
      <c r="R377">
        <v>28.3474</v>
      </c>
      <c r="U377" t="s">
        <v>224</v>
      </c>
      <c r="V377" t="s">
        <v>588</v>
      </c>
      <c r="W377" t="s">
        <v>589</v>
      </c>
      <c r="Y377">
        <v>1</v>
      </c>
      <c r="Z377" t="s">
        <v>169</v>
      </c>
      <c r="AA377" t="s">
        <v>170</v>
      </c>
      <c r="AB377" t="s">
        <v>351</v>
      </c>
      <c r="AC377" t="s">
        <v>352</v>
      </c>
      <c r="AD377">
        <v>10</v>
      </c>
      <c r="AG377" t="s">
        <v>210</v>
      </c>
      <c r="AH377" t="s">
        <v>444</v>
      </c>
      <c r="AI377" t="s">
        <v>175</v>
      </c>
      <c r="AJ377" t="s">
        <v>176</v>
      </c>
      <c r="AK377" t="s">
        <v>170</v>
      </c>
      <c r="AL377" t="s">
        <v>177</v>
      </c>
      <c r="AO377">
        <v>99</v>
      </c>
      <c r="AP377">
        <v>24</v>
      </c>
      <c r="AS377">
        <v>1900</v>
      </c>
      <c r="AT377">
        <v>1900</v>
      </c>
      <c r="BO377">
        <v>2</v>
      </c>
      <c r="BP377">
        <v>2</v>
      </c>
      <c r="BQ377">
        <v>7</v>
      </c>
      <c r="BR377" t="s">
        <v>897</v>
      </c>
      <c r="BS377" t="s">
        <v>180</v>
      </c>
      <c r="BT377" t="s">
        <v>181</v>
      </c>
      <c r="BU377" s="1">
        <v>45378</v>
      </c>
      <c r="BV377">
        <v>34583</v>
      </c>
      <c r="BX377" t="s">
        <v>170</v>
      </c>
      <c r="BY377" t="s">
        <v>170</v>
      </c>
      <c r="CB377" t="s">
        <v>170</v>
      </c>
      <c r="CC377" t="s">
        <v>170</v>
      </c>
      <c r="CE377" t="s">
        <v>170</v>
      </c>
      <c r="CG377" t="s">
        <v>169</v>
      </c>
      <c r="CH377" t="s">
        <v>733</v>
      </c>
      <c r="CI377" t="s">
        <v>169</v>
      </c>
      <c r="CJ377" t="s">
        <v>523</v>
      </c>
      <c r="DJ377" t="s">
        <v>449</v>
      </c>
      <c r="DK377" t="s">
        <v>450</v>
      </c>
      <c r="DL377" t="s">
        <v>170</v>
      </c>
      <c r="DM377" t="s">
        <v>170</v>
      </c>
      <c r="DN377" t="s">
        <v>170</v>
      </c>
      <c r="DO377" t="s">
        <v>358</v>
      </c>
      <c r="DP377" t="s">
        <v>170</v>
      </c>
      <c r="DQ377" t="s">
        <v>187</v>
      </c>
      <c r="DY377">
        <v>38.6</v>
      </c>
      <c r="EB377">
        <v>6</v>
      </c>
      <c r="EC377">
        <v>6</v>
      </c>
      <c r="EE377" t="s">
        <v>913</v>
      </c>
      <c r="EF377">
        <v>6</v>
      </c>
      <c r="EU377">
        <v>0</v>
      </c>
      <c r="EW377">
        <v>338</v>
      </c>
      <c r="EX377">
        <v>278</v>
      </c>
      <c r="EY377">
        <v>311</v>
      </c>
    </row>
    <row r="378" spans="1:155" x14ac:dyDescent="0.35">
      <c r="A378">
        <v>2025</v>
      </c>
      <c r="B378" t="s">
        <v>517</v>
      </c>
      <c r="C378" t="s">
        <v>517</v>
      </c>
      <c r="D378" t="s">
        <v>1082</v>
      </c>
      <c r="E378" t="s">
        <v>520</v>
      </c>
      <c r="F378">
        <v>401</v>
      </c>
      <c r="G378">
        <v>3.5</v>
      </c>
      <c r="H378">
        <v>6</v>
      </c>
      <c r="I378" t="s">
        <v>331</v>
      </c>
      <c r="J378">
        <v>19</v>
      </c>
      <c r="K378">
        <v>28</v>
      </c>
      <c r="L378">
        <v>22</v>
      </c>
      <c r="M378">
        <v>24.3934</v>
      </c>
      <c r="N378">
        <v>39.411700000000003</v>
      </c>
      <c r="O378">
        <v>29.4421</v>
      </c>
      <c r="P378">
        <v>19.361499999999999</v>
      </c>
      <c r="Q378">
        <v>27.749600000000001</v>
      </c>
      <c r="R378">
        <v>22.409800000000001</v>
      </c>
      <c r="U378" t="s">
        <v>224</v>
      </c>
      <c r="V378" t="s">
        <v>193</v>
      </c>
      <c r="W378" t="s">
        <v>194</v>
      </c>
      <c r="Y378">
        <v>10</v>
      </c>
      <c r="Z378" t="s">
        <v>169</v>
      </c>
      <c r="AA378" t="s">
        <v>170</v>
      </c>
      <c r="AB378" t="s">
        <v>351</v>
      </c>
      <c r="AC378" t="s">
        <v>352</v>
      </c>
      <c r="AD378">
        <v>10</v>
      </c>
      <c r="AG378" t="s">
        <v>210</v>
      </c>
      <c r="AH378" t="s">
        <v>444</v>
      </c>
      <c r="AI378" t="s">
        <v>175</v>
      </c>
      <c r="AJ378" t="s">
        <v>176</v>
      </c>
      <c r="AK378" t="s">
        <v>940</v>
      </c>
      <c r="AL378" t="s">
        <v>941</v>
      </c>
      <c r="AS378">
        <v>2400</v>
      </c>
      <c r="AT378">
        <v>2400</v>
      </c>
      <c r="BN378" t="s">
        <v>178</v>
      </c>
      <c r="BO378">
        <v>2</v>
      </c>
      <c r="BP378">
        <v>2</v>
      </c>
      <c r="BQ378">
        <v>20</v>
      </c>
      <c r="BR378" t="s">
        <v>1079</v>
      </c>
      <c r="BS378">
        <v>1</v>
      </c>
      <c r="BT378" t="s">
        <v>181</v>
      </c>
      <c r="BU378" s="1">
        <v>45496</v>
      </c>
      <c r="BV378">
        <v>35219</v>
      </c>
      <c r="BX378" t="s">
        <v>170</v>
      </c>
      <c r="BY378" t="s">
        <v>170</v>
      </c>
      <c r="CB378" t="s">
        <v>170</v>
      </c>
      <c r="CC378" t="s">
        <v>170</v>
      </c>
      <c r="CE378" t="s">
        <v>169</v>
      </c>
      <c r="CF378" t="s">
        <v>1083</v>
      </c>
      <c r="CG378" t="s">
        <v>169</v>
      </c>
      <c r="CH378" t="s">
        <v>523</v>
      </c>
      <c r="CI378" t="s">
        <v>169</v>
      </c>
      <c r="CJ378" t="s">
        <v>523</v>
      </c>
      <c r="DJ378" t="s">
        <v>184</v>
      </c>
      <c r="DK378" t="s">
        <v>185</v>
      </c>
      <c r="DL378" t="s">
        <v>170</v>
      </c>
      <c r="DM378" t="s">
        <v>170</v>
      </c>
      <c r="DN378" t="s">
        <v>170</v>
      </c>
      <c r="DO378" t="s">
        <v>358</v>
      </c>
      <c r="DP378" t="s">
        <v>169</v>
      </c>
      <c r="DQ378" t="s">
        <v>198</v>
      </c>
      <c r="EB378">
        <v>5</v>
      </c>
      <c r="EC378">
        <v>5</v>
      </c>
      <c r="EE378" t="s">
        <v>1084</v>
      </c>
      <c r="EF378">
        <v>4</v>
      </c>
      <c r="EV378">
        <v>2500</v>
      </c>
      <c r="EW378">
        <v>457</v>
      </c>
      <c r="EX378">
        <v>319</v>
      </c>
      <c r="EY378">
        <v>395</v>
      </c>
    </row>
    <row r="379" spans="1:155" x14ac:dyDescent="0.35">
      <c r="A379">
        <v>2025</v>
      </c>
      <c r="B379" t="s">
        <v>517</v>
      </c>
      <c r="C379" t="s">
        <v>517</v>
      </c>
      <c r="D379" t="s">
        <v>1296</v>
      </c>
      <c r="E379" t="s">
        <v>520</v>
      </c>
      <c r="F379">
        <v>381</v>
      </c>
      <c r="G379">
        <v>3.5</v>
      </c>
      <c r="H379">
        <v>6</v>
      </c>
      <c r="I379" t="s">
        <v>292</v>
      </c>
      <c r="J379">
        <v>19</v>
      </c>
      <c r="K379">
        <v>24</v>
      </c>
      <c r="L379">
        <v>21</v>
      </c>
      <c r="M379">
        <v>24.4</v>
      </c>
      <c r="N379">
        <v>34.4</v>
      </c>
      <c r="O379">
        <v>28.072199999999999</v>
      </c>
      <c r="P379">
        <v>19.366299999999999</v>
      </c>
      <c r="Q379">
        <v>24.496700000000001</v>
      </c>
      <c r="R379">
        <v>21.381399999999999</v>
      </c>
      <c r="U379" t="s">
        <v>224</v>
      </c>
      <c r="V379" t="s">
        <v>193</v>
      </c>
      <c r="W379" t="s">
        <v>194</v>
      </c>
      <c r="Y379">
        <v>9</v>
      </c>
      <c r="Z379" t="s">
        <v>169</v>
      </c>
      <c r="AA379" t="s">
        <v>170</v>
      </c>
      <c r="AB379" t="s">
        <v>167</v>
      </c>
      <c r="AC379" t="s">
        <v>213</v>
      </c>
      <c r="AD379">
        <v>10</v>
      </c>
      <c r="AG379" t="s">
        <v>210</v>
      </c>
      <c r="AH379" t="s">
        <v>444</v>
      </c>
      <c r="AI379" t="s">
        <v>175</v>
      </c>
      <c r="AJ379" t="s">
        <v>176</v>
      </c>
      <c r="AK379" t="s">
        <v>940</v>
      </c>
      <c r="AL379" t="s">
        <v>941</v>
      </c>
      <c r="AS379">
        <v>2500</v>
      </c>
      <c r="AT379">
        <v>2500</v>
      </c>
      <c r="BN379" t="s">
        <v>178</v>
      </c>
      <c r="BO379">
        <v>2</v>
      </c>
      <c r="BP379">
        <v>2</v>
      </c>
      <c r="BQ379">
        <v>31</v>
      </c>
      <c r="BR379" t="s">
        <v>1219</v>
      </c>
      <c r="BT379" t="s">
        <v>181</v>
      </c>
      <c r="BU379" s="1">
        <v>45489</v>
      </c>
      <c r="BV379">
        <v>35024</v>
      </c>
      <c r="BX379" t="s">
        <v>170</v>
      </c>
      <c r="BY379" t="s">
        <v>170</v>
      </c>
      <c r="CB379" t="s">
        <v>170</v>
      </c>
      <c r="CC379" t="s">
        <v>170</v>
      </c>
      <c r="CE379" t="s">
        <v>169</v>
      </c>
      <c r="CF379" t="s">
        <v>527</v>
      </c>
      <c r="CG379" t="s">
        <v>169</v>
      </c>
      <c r="CH379" t="s">
        <v>523</v>
      </c>
      <c r="CI379" t="s">
        <v>169</v>
      </c>
      <c r="CJ379" t="s">
        <v>523</v>
      </c>
      <c r="DJ379" t="s">
        <v>184</v>
      </c>
      <c r="DK379" t="s">
        <v>185</v>
      </c>
      <c r="DL379" t="s">
        <v>170</v>
      </c>
      <c r="DM379" t="s">
        <v>170</v>
      </c>
      <c r="DN379" t="s">
        <v>170</v>
      </c>
      <c r="DO379" t="s">
        <v>358</v>
      </c>
      <c r="DP379" t="s">
        <v>169</v>
      </c>
      <c r="DQ379" t="s">
        <v>198</v>
      </c>
      <c r="EB379">
        <v>4</v>
      </c>
      <c r="EC379">
        <v>4</v>
      </c>
      <c r="EE379" t="s">
        <v>1050</v>
      </c>
      <c r="EF379">
        <v>4</v>
      </c>
      <c r="EV379">
        <v>3000</v>
      </c>
      <c r="EW379">
        <v>459</v>
      </c>
      <c r="EX379">
        <v>364</v>
      </c>
      <c r="EY379">
        <v>416</v>
      </c>
    </row>
    <row r="380" spans="1:155" x14ac:dyDescent="0.35">
      <c r="A380">
        <v>2025</v>
      </c>
      <c r="B380" t="s">
        <v>517</v>
      </c>
      <c r="C380" t="s">
        <v>517</v>
      </c>
      <c r="D380" t="s">
        <v>1557</v>
      </c>
      <c r="E380" t="s">
        <v>520</v>
      </c>
      <c r="F380">
        <v>361</v>
      </c>
      <c r="G380">
        <v>3.5</v>
      </c>
      <c r="H380">
        <v>6</v>
      </c>
      <c r="I380" t="s">
        <v>331</v>
      </c>
      <c r="J380">
        <v>19</v>
      </c>
      <c r="K380">
        <v>25</v>
      </c>
      <c r="L380">
        <v>21</v>
      </c>
      <c r="M380">
        <v>23.9</v>
      </c>
      <c r="N380">
        <v>35.6</v>
      </c>
      <c r="O380">
        <v>28.048100000000002</v>
      </c>
      <c r="P380">
        <v>19.000299999999999</v>
      </c>
      <c r="Q380">
        <v>25.282299999999999</v>
      </c>
      <c r="R380">
        <v>21.392199999999999</v>
      </c>
      <c r="U380" t="s">
        <v>224</v>
      </c>
      <c r="V380" t="s">
        <v>193</v>
      </c>
      <c r="W380" t="s">
        <v>194</v>
      </c>
      <c r="Y380">
        <v>10</v>
      </c>
      <c r="Z380" t="s">
        <v>169</v>
      </c>
      <c r="AA380" t="s">
        <v>170</v>
      </c>
      <c r="AB380" t="s">
        <v>167</v>
      </c>
      <c r="AC380" t="s">
        <v>213</v>
      </c>
      <c r="AD380">
        <v>10</v>
      </c>
      <c r="AG380" t="s">
        <v>210</v>
      </c>
      <c r="AH380" t="s">
        <v>444</v>
      </c>
      <c r="AI380" t="s">
        <v>175</v>
      </c>
      <c r="AJ380" t="s">
        <v>176</v>
      </c>
      <c r="AK380" t="s">
        <v>940</v>
      </c>
      <c r="AL380" t="s">
        <v>941</v>
      </c>
      <c r="AS380">
        <v>2500</v>
      </c>
      <c r="AT380">
        <v>2500</v>
      </c>
      <c r="BN380" t="s">
        <v>178</v>
      </c>
      <c r="BO380">
        <v>2</v>
      </c>
      <c r="BP380">
        <v>2</v>
      </c>
      <c r="BQ380">
        <v>33</v>
      </c>
      <c r="BR380" t="s">
        <v>1497</v>
      </c>
      <c r="BT380" t="s">
        <v>181</v>
      </c>
      <c r="BU380" s="1">
        <v>45341</v>
      </c>
      <c r="BV380">
        <v>34449</v>
      </c>
      <c r="BX380" t="s">
        <v>170</v>
      </c>
      <c r="BY380" t="s">
        <v>170</v>
      </c>
      <c r="CB380" t="s">
        <v>170</v>
      </c>
      <c r="CC380" t="s">
        <v>170</v>
      </c>
      <c r="CE380" t="s">
        <v>169</v>
      </c>
      <c r="CF380" t="s">
        <v>527</v>
      </c>
      <c r="CG380" t="s">
        <v>169</v>
      </c>
      <c r="CH380" t="s">
        <v>528</v>
      </c>
      <c r="CI380" t="s">
        <v>170</v>
      </c>
      <c r="DJ380" t="s">
        <v>184</v>
      </c>
      <c r="DK380" t="s">
        <v>185</v>
      </c>
      <c r="DL380" t="s">
        <v>170</v>
      </c>
      <c r="DM380" t="s">
        <v>170</v>
      </c>
      <c r="DN380" t="s">
        <v>170</v>
      </c>
      <c r="DO380" t="s">
        <v>358</v>
      </c>
      <c r="DP380" t="s">
        <v>169</v>
      </c>
      <c r="DQ380" t="s">
        <v>198</v>
      </c>
      <c r="EB380">
        <v>4</v>
      </c>
      <c r="EC380">
        <v>4</v>
      </c>
      <c r="EE380" t="s">
        <v>1123</v>
      </c>
      <c r="EF380">
        <v>6</v>
      </c>
      <c r="EV380">
        <v>3000</v>
      </c>
      <c r="EW380">
        <v>467</v>
      </c>
      <c r="EX380">
        <v>351</v>
      </c>
      <c r="EY380">
        <v>415</v>
      </c>
    </row>
    <row r="381" spans="1:155" x14ac:dyDescent="0.35">
      <c r="A381">
        <v>2025</v>
      </c>
      <c r="B381" t="s">
        <v>517</v>
      </c>
      <c r="C381" t="s">
        <v>517</v>
      </c>
      <c r="D381" t="s">
        <v>1558</v>
      </c>
      <c r="E381" t="s">
        <v>520</v>
      </c>
      <c r="F381">
        <v>364</v>
      </c>
      <c r="G381">
        <v>3.5</v>
      </c>
      <c r="H381">
        <v>6</v>
      </c>
      <c r="I381" t="s">
        <v>331</v>
      </c>
      <c r="J381">
        <v>19</v>
      </c>
      <c r="K381">
        <v>25</v>
      </c>
      <c r="L381">
        <v>21</v>
      </c>
      <c r="M381">
        <v>23.3</v>
      </c>
      <c r="N381">
        <v>35</v>
      </c>
      <c r="O381">
        <v>27.425599999999999</v>
      </c>
      <c r="P381">
        <v>18.5595</v>
      </c>
      <c r="Q381">
        <v>24.89</v>
      </c>
      <c r="R381">
        <v>20.958200000000001</v>
      </c>
      <c r="U381" t="s">
        <v>224</v>
      </c>
      <c r="V381" t="s">
        <v>193</v>
      </c>
      <c r="W381" t="s">
        <v>194</v>
      </c>
      <c r="Y381">
        <v>10</v>
      </c>
      <c r="Z381" t="s">
        <v>169</v>
      </c>
      <c r="AA381" t="s">
        <v>170</v>
      </c>
      <c r="AB381" t="s">
        <v>167</v>
      </c>
      <c r="AC381" t="s">
        <v>213</v>
      </c>
      <c r="AD381">
        <v>10</v>
      </c>
      <c r="AG381" t="s">
        <v>210</v>
      </c>
      <c r="AH381" t="s">
        <v>444</v>
      </c>
      <c r="AI381" t="s">
        <v>175</v>
      </c>
      <c r="AJ381" t="s">
        <v>176</v>
      </c>
      <c r="AK381" t="s">
        <v>940</v>
      </c>
      <c r="AL381" t="s">
        <v>941</v>
      </c>
      <c r="AS381">
        <v>2500</v>
      </c>
      <c r="AT381">
        <v>2500</v>
      </c>
      <c r="BN381" t="s">
        <v>178</v>
      </c>
      <c r="BO381">
        <v>2</v>
      </c>
      <c r="BP381">
        <v>2</v>
      </c>
      <c r="BQ381">
        <v>33</v>
      </c>
      <c r="BR381" t="s">
        <v>1497</v>
      </c>
      <c r="BT381" t="s">
        <v>181</v>
      </c>
      <c r="BU381" s="1">
        <v>45341</v>
      </c>
      <c r="BV381">
        <v>34450</v>
      </c>
      <c r="BX381" t="s">
        <v>169</v>
      </c>
      <c r="BY381" t="s">
        <v>170</v>
      </c>
      <c r="CB381" t="s">
        <v>170</v>
      </c>
      <c r="CC381" t="s">
        <v>170</v>
      </c>
      <c r="CE381" t="s">
        <v>169</v>
      </c>
      <c r="CF381" t="s">
        <v>527</v>
      </c>
      <c r="CG381" t="s">
        <v>169</v>
      </c>
      <c r="CH381" t="s">
        <v>528</v>
      </c>
      <c r="CI381" t="s">
        <v>170</v>
      </c>
      <c r="DJ381" t="s">
        <v>184</v>
      </c>
      <c r="DK381" t="s">
        <v>185</v>
      </c>
      <c r="DL381" t="s">
        <v>170</v>
      </c>
      <c r="DM381" t="s">
        <v>170</v>
      </c>
      <c r="DN381" t="s">
        <v>170</v>
      </c>
      <c r="DO381" t="s">
        <v>358</v>
      </c>
      <c r="DP381" t="s">
        <v>169</v>
      </c>
      <c r="DQ381" t="s">
        <v>198</v>
      </c>
      <c r="EB381">
        <v>4</v>
      </c>
      <c r="EC381">
        <v>4</v>
      </c>
      <c r="EE381" t="s">
        <v>1123</v>
      </c>
      <c r="EF381">
        <v>6</v>
      </c>
      <c r="EV381">
        <v>3000</v>
      </c>
      <c r="EW381">
        <v>476</v>
      </c>
      <c r="EX381">
        <v>356</v>
      </c>
      <c r="EY381">
        <v>422</v>
      </c>
    </row>
    <row r="382" spans="1:155" x14ac:dyDescent="0.35">
      <c r="A382">
        <v>2025</v>
      </c>
      <c r="B382" t="s">
        <v>517</v>
      </c>
      <c r="C382" t="s">
        <v>517</v>
      </c>
      <c r="D382" t="s">
        <v>1559</v>
      </c>
      <c r="E382" t="s">
        <v>520</v>
      </c>
      <c r="F382">
        <v>365</v>
      </c>
      <c r="G382">
        <v>3.5</v>
      </c>
      <c r="H382">
        <v>6</v>
      </c>
      <c r="I382" t="s">
        <v>331</v>
      </c>
      <c r="J382">
        <v>18</v>
      </c>
      <c r="K382">
        <v>23</v>
      </c>
      <c r="L382">
        <v>20</v>
      </c>
      <c r="M382">
        <v>22.3</v>
      </c>
      <c r="N382">
        <v>32.4</v>
      </c>
      <c r="O382">
        <v>25.938600000000001</v>
      </c>
      <c r="P382">
        <v>17.821000000000002</v>
      </c>
      <c r="Q382">
        <v>23.177800000000001</v>
      </c>
      <c r="R382">
        <v>19.889600000000002</v>
      </c>
      <c r="U382" t="s">
        <v>224</v>
      </c>
      <c r="V382" t="s">
        <v>193</v>
      </c>
      <c r="W382" t="s">
        <v>194</v>
      </c>
      <c r="Y382">
        <v>10</v>
      </c>
      <c r="Z382" t="s">
        <v>169</v>
      </c>
      <c r="AA382" t="s">
        <v>170</v>
      </c>
      <c r="AB382" t="s">
        <v>167</v>
      </c>
      <c r="AC382" t="s">
        <v>213</v>
      </c>
      <c r="AD382">
        <v>10</v>
      </c>
      <c r="AG382" t="s">
        <v>210</v>
      </c>
      <c r="AH382" t="s">
        <v>444</v>
      </c>
      <c r="AI382" t="s">
        <v>175</v>
      </c>
      <c r="AJ382" t="s">
        <v>176</v>
      </c>
      <c r="AK382" t="s">
        <v>940</v>
      </c>
      <c r="AL382" t="s">
        <v>941</v>
      </c>
      <c r="AS382">
        <v>2600</v>
      </c>
      <c r="AT382">
        <v>2600</v>
      </c>
      <c r="BN382" t="s">
        <v>178</v>
      </c>
      <c r="BO382">
        <v>2</v>
      </c>
      <c r="BP382">
        <v>2</v>
      </c>
      <c r="BQ382">
        <v>33</v>
      </c>
      <c r="BR382" t="s">
        <v>1497</v>
      </c>
      <c r="BT382" t="s">
        <v>181</v>
      </c>
      <c r="BU382" s="1">
        <v>45341</v>
      </c>
      <c r="BV382">
        <v>34452</v>
      </c>
      <c r="BX382" t="s">
        <v>170</v>
      </c>
      <c r="BY382" t="s">
        <v>170</v>
      </c>
      <c r="CB382" t="s">
        <v>170</v>
      </c>
      <c r="CC382" t="s">
        <v>170</v>
      </c>
      <c r="CE382" t="s">
        <v>169</v>
      </c>
      <c r="CF382" t="s">
        <v>527</v>
      </c>
      <c r="CG382" t="s">
        <v>169</v>
      </c>
      <c r="CH382" t="s">
        <v>528</v>
      </c>
      <c r="CI382" t="s">
        <v>170</v>
      </c>
      <c r="DJ382" t="s">
        <v>184</v>
      </c>
      <c r="DK382" t="s">
        <v>185</v>
      </c>
      <c r="DL382" t="s">
        <v>170</v>
      </c>
      <c r="DM382" t="s">
        <v>170</v>
      </c>
      <c r="DN382" t="s">
        <v>170</v>
      </c>
      <c r="DO382" t="s">
        <v>358</v>
      </c>
      <c r="DP382" t="s">
        <v>169</v>
      </c>
      <c r="DQ382" t="s">
        <v>198</v>
      </c>
      <c r="EB382">
        <v>4</v>
      </c>
      <c r="EC382">
        <v>4</v>
      </c>
      <c r="EE382" t="s">
        <v>1123</v>
      </c>
      <c r="EF382">
        <v>6</v>
      </c>
      <c r="EV382">
        <v>3500</v>
      </c>
      <c r="EW382">
        <v>496</v>
      </c>
      <c r="EX382">
        <v>382</v>
      </c>
      <c r="EY382">
        <v>444</v>
      </c>
    </row>
    <row r="383" spans="1:155" x14ac:dyDescent="0.35">
      <c r="A383">
        <v>2025</v>
      </c>
      <c r="B383" t="s">
        <v>517</v>
      </c>
      <c r="C383" t="s">
        <v>517</v>
      </c>
      <c r="D383" t="s">
        <v>1122</v>
      </c>
      <c r="E383" t="s">
        <v>520</v>
      </c>
      <c r="F383">
        <v>362</v>
      </c>
      <c r="G383">
        <v>3.5</v>
      </c>
      <c r="H383">
        <v>6</v>
      </c>
      <c r="I383" t="s">
        <v>331</v>
      </c>
      <c r="J383">
        <v>19</v>
      </c>
      <c r="K383">
        <v>27</v>
      </c>
      <c r="L383">
        <v>22</v>
      </c>
      <c r="M383">
        <v>24.8</v>
      </c>
      <c r="N383">
        <v>38.5</v>
      </c>
      <c r="O383">
        <v>29.528400000000001</v>
      </c>
      <c r="P383">
        <v>19</v>
      </c>
      <c r="Q383">
        <v>27.1633</v>
      </c>
      <c r="R383">
        <v>22.4495</v>
      </c>
      <c r="U383" t="s">
        <v>224</v>
      </c>
      <c r="V383" t="s">
        <v>193</v>
      </c>
      <c r="W383" t="s">
        <v>194</v>
      </c>
      <c r="Y383">
        <v>10</v>
      </c>
      <c r="Z383" t="s">
        <v>169</v>
      </c>
      <c r="AA383" t="s">
        <v>170</v>
      </c>
      <c r="AB383" t="s">
        <v>351</v>
      </c>
      <c r="AC383" t="s">
        <v>352</v>
      </c>
      <c r="AD383">
        <v>10</v>
      </c>
      <c r="AG383" t="s">
        <v>210</v>
      </c>
      <c r="AH383" t="s">
        <v>444</v>
      </c>
      <c r="AI383" t="s">
        <v>175</v>
      </c>
      <c r="AJ383" t="s">
        <v>176</v>
      </c>
      <c r="AK383" t="s">
        <v>940</v>
      </c>
      <c r="AL383" t="s">
        <v>941</v>
      </c>
      <c r="AS383">
        <v>2400</v>
      </c>
      <c r="AT383">
        <v>2400</v>
      </c>
      <c r="BN383" t="s">
        <v>178</v>
      </c>
      <c r="BO383">
        <v>2</v>
      </c>
      <c r="BP383">
        <v>2</v>
      </c>
      <c r="BQ383">
        <v>30</v>
      </c>
      <c r="BR383" t="s">
        <v>1099</v>
      </c>
      <c r="BT383" t="s">
        <v>181</v>
      </c>
      <c r="BU383" s="1">
        <v>45341</v>
      </c>
      <c r="BV383">
        <v>34451</v>
      </c>
      <c r="BX383" t="s">
        <v>170</v>
      </c>
      <c r="BY383" t="s">
        <v>170</v>
      </c>
      <c r="CB383" t="s">
        <v>170</v>
      </c>
      <c r="CC383" t="s">
        <v>170</v>
      </c>
      <c r="CE383" t="s">
        <v>169</v>
      </c>
      <c r="CF383" t="s">
        <v>527</v>
      </c>
      <c r="CG383" t="s">
        <v>169</v>
      </c>
      <c r="CH383" t="s">
        <v>528</v>
      </c>
      <c r="CI383" t="s">
        <v>170</v>
      </c>
      <c r="DJ383" t="s">
        <v>184</v>
      </c>
      <c r="DK383" t="s">
        <v>185</v>
      </c>
      <c r="DL383" t="s">
        <v>170</v>
      </c>
      <c r="DM383" t="s">
        <v>170</v>
      </c>
      <c r="DN383" t="s">
        <v>170</v>
      </c>
      <c r="DO383" t="s">
        <v>358</v>
      </c>
      <c r="DP383" t="s">
        <v>169</v>
      </c>
      <c r="DQ383" t="s">
        <v>198</v>
      </c>
      <c r="EB383">
        <v>5</v>
      </c>
      <c r="EC383">
        <v>5</v>
      </c>
      <c r="EE383" t="s">
        <v>1123</v>
      </c>
      <c r="EF383">
        <v>6</v>
      </c>
      <c r="EV383">
        <v>2500</v>
      </c>
      <c r="EW383">
        <v>465</v>
      </c>
      <c r="EX383">
        <v>326</v>
      </c>
      <c r="EY383">
        <v>402</v>
      </c>
    </row>
    <row r="384" spans="1:155" x14ac:dyDescent="0.35">
      <c r="A384">
        <v>2025</v>
      </c>
      <c r="B384" t="s">
        <v>517</v>
      </c>
      <c r="C384" t="s">
        <v>517</v>
      </c>
      <c r="D384" t="s">
        <v>1691</v>
      </c>
      <c r="E384" t="s">
        <v>520</v>
      </c>
      <c r="F384">
        <v>421</v>
      </c>
      <c r="G384">
        <v>3.5</v>
      </c>
      <c r="H384">
        <v>6</v>
      </c>
      <c r="I384" t="s">
        <v>292</v>
      </c>
      <c r="J384">
        <v>18</v>
      </c>
      <c r="K384">
        <v>24</v>
      </c>
      <c r="L384">
        <v>21</v>
      </c>
      <c r="M384">
        <v>23.6</v>
      </c>
      <c r="N384">
        <v>33.299999999999997</v>
      </c>
      <c r="O384">
        <v>27.1602</v>
      </c>
      <c r="P384">
        <v>18.780100000000001</v>
      </c>
      <c r="Q384">
        <v>23.7728</v>
      </c>
      <c r="R384">
        <v>20.740200000000002</v>
      </c>
      <c r="U384" t="s">
        <v>224</v>
      </c>
      <c r="V384" t="s">
        <v>193</v>
      </c>
      <c r="W384" t="s">
        <v>194</v>
      </c>
      <c r="Y384">
        <v>9</v>
      </c>
      <c r="Z384" t="s">
        <v>169</v>
      </c>
      <c r="AA384" t="s">
        <v>170</v>
      </c>
      <c r="AB384" t="s">
        <v>167</v>
      </c>
      <c r="AC384" t="s">
        <v>213</v>
      </c>
      <c r="AD384">
        <v>10</v>
      </c>
      <c r="AG384" t="s">
        <v>210</v>
      </c>
      <c r="AH384" t="s">
        <v>444</v>
      </c>
      <c r="AI384" t="s">
        <v>175</v>
      </c>
      <c r="AJ384" t="s">
        <v>176</v>
      </c>
      <c r="AK384" t="s">
        <v>940</v>
      </c>
      <c r="AL384" t="s">
        <v>941</v>
      </c>
      <c r="AS384">
        <v>2500</v>
      </c>
      <c r="AT384">
        <v>2500</v>
      </c>
      <c r="BN384" t="s">
        <v>178</v>
      </c>
      <c r="BO384">
        <v>2</v>
      </c>
      <c r="BP384">
        <v>2</v>
      </c>
      <c r="BQ384">
        <v>13</v>
      </c>
      <c r="BR384" t="s">
        <v>1016</v>
      </c>
      <c r="BT384" t="s">
        <v>181</v>
      </c>
      <c r="BV384">
        <v>35128</v>
      </c>
      <c r="BX384" t="s">
        <v>170</v>
      </c>
      <c r="BY384" t="s">
        <v>170</v>
      </c>
      <c r="CB384" t="s">
        <v>170</v>
      </c>
      <c r="CC384" t="s">
        <v>170</v>
      </c>
      <c r="CE384" t="s">
        <v>169</v>
      </c>
      <c r="CF384" t="s">
        <v>527</v>
      </c>
      <c r="CG384" t="s">
        <v>169</v>
      </c>
      <c r="CH384" t="s">
        <v>523</v>
      </c>
      <c r="CI384" t="s">
        <v>169</v>
      </c>
      <c r="CJ384" t="s">
        <v>523</v>
      </c>
      <c r="DJ384" t="s">
        <v>184</v>
      </c>
      <c r="DK384" t="s">
        <v>185</v>
      </c>
      <c r="DL384" t="s">
        <v>170</v>
      </c>
      <c r="DM384" t="s">
        <v>170</v>
      </c>
      <c r="DN384" t="s">
        <v>170</v>
      </c>
      <c r="DO384" t="s">
        <v>358</v>
      </c>
      <c r="DP384" t="s">
        <v>169</v>
      </c>
      <c r="DQ384" t="s">
        <v>198</v>
      </c>
      <c r="EB384">
        <v>4</v>
      </c>
      <c r="EC384">
        <v>4</v>
      </c>
      <c r="EE384" t="s">
        <v>1050</v>
      </c>
      <c r="EF384">
        <v>4</v>
      </c>
      <c r="EV384">
        <v>3000</v>
      </c>
      <c r="EW384">
        <v>474</v>
      </c>
      <c r="EX384">
        <v>375</v>
      </c>
      <c r="EY384">
        <v>429</v>
      </c>
    </row>
    <row r="385" spans="1:155" x14ac:dyDescent="0.35">
      <c r="A385">
        <v>2025</v>
      </c>
      <c r="B385" t="s">
        <v>517</v>
      </c>
      <c r="C385" t="s">
        <v>517</v>
      </c>
      <c r="D385" t="s">
        <v>1049</v>
      </c>
      <c r="E385" t="s">
        <v>520</v>
      </c>
      <c r="F385">
        <v>423</v>
      </c>
      <c r="G385">
        <v>3.5</v>
      </c>
      <c r="H385">
        <v>6</v>
      </c>
      <c r="I385" t="s">
        <v>292</v>
      </c>
      <c r="J385">
        <v>18</v>
      </c>
      <c r="K385">
        <v>23</v>
      </c>
      <c r="L385">
        <v>20</v>
      </c>
      <c r="M385">
        <v>23.5</v>
      </c>
      <c r="N385">
        <v>32.299999999999997</v>
      </c>
      <c r="O385">
        <v>26.7837</v>
      </c>
      <c r="P385">
        <v>18</v>
      </c>
      <c r="Q385">
        <v>23.111599999999999</v>
      </c>
      <c r="R385">
        <v>20.461600000000001</v>
      </c>
      <c r="U385" t="s">
        <v>224</v>
      </c>
      <c r="V385" t="s">
        <v>193</v>
      </c>
      <c r="W385" t="s">
        <v>194</v>
      </c>
      <c r="Y385">
        <v>9</v>
      </c>
      <c r="Z385" t="s">
        <v>169</v>
      </c>
      <c r="AA385" t="s">
        <v>170</v>
      </c>
      <c r="AB385" t="s">
        <v>167</v>
      </c>
      <c r="AC385" t="s">
        <v>213</v>
      </c>
      <c r="AD385">
        <v>10</v>
      </c>
      <c r="AG385" t="s">
        <v>210</v>
      </c>
      <c r="AH385" t="s">
        <v>444</v>
      </c>
      <c r="AI385" t="s">
        <v>175</v>
      </c>
      <c r="AJ385" t="s">
        <v>176</v>
      </c>
      <c r="AK385" t="s">
        <v>940</v>
      </c>
      <c r="AL385" t="s">
        <v>941</v>
      </c>
      <c r="AS385">
        <v>2600</v>
      </c>
      <c r="AT385">
        <v>2600</v>
      </c>
      <c r="BN385" t="s">
        <v>178</v>
      </c>
      <c r="BO385">
        <v>2</v>
      </c>
      <c r="BP385">
        <v>2</v>
      </c>
      <c r="BQ385">
        <v>13</v>
      </c>
      <c r="BR385" t="s">
        <v>1016</v>
      </c>
      <c r="BT385" t="s">
        <v>181</v>
      </c>
      <c r="BU385" s="1">
        <v>45510</v>
      </c>
      <c r="BV385">
        <v>35129</v>
      </c>
      <c r="BX385" t="s">
        <v>169</v>
      </c>
      <c r="BY385" t="s">
        <v>170</v>
      </c>
      <c r="CB385" t="s">
        <v>170</v>
      </c>
      <c r="CC385" t="s">
        <v>170</v>
      </c>
      <c r="CE385" t="s">
        <v>169</v>
      </c>
      <c r="CF385" t="s">
        <v>527</v>
      </c>
      <c r="CG385" t="s">
        <v>169</v>
      </c>
      <c r="CH385" t="s">
        <v>523</v>
      </c>
      <c r="CI385" t="s">
        <v>169</v>
      </c>
      <c r="CJ385" t="s">
        <v>523</v>
      </c>
      <c r="DJ385" t="s">
        <v>184</v>
      </c>
      <c r="DK385" t="s">
        <v>185</v>
      </c>
      <c r="DL385" t="s">
        <v>170</v>
      </c>
      <c r="DM385" t="s">
        <v>170</v>
      </c>
      <c r="DN385" t="s">
        <v>170</v>
      </c>
      <c r="DO385" t="s">
        <v>358</v>
      </c>
      <c r="DP385" t="s">
        <v>169</v>
      </c>
      <c r="DQ385" t="s">
        <v>198</v>
      </c>
      <c r="EB385">
        <v>4</v>
      </c>
      <c r="EC385">
        <v>4</v>
      </c>
      <c r="EE385" t="s">
        <v>1050</v>
      </c>
      <c r="EF385">
        <v>4</v>
      </c>
      <c r="EV385">
        <v>3500</v>
      </c>
      <c r="EW385">
        <v>496</v>
      </c>
      <c r="EX385">
        <v>386</v>
      </c>
      <c r="EY385">
        <v>446</v>
      </c>
    </row>
    <row r="386" spans="1:155" x14ac:dyDescent="0.35">
      <c r="A386">
        <v>2025</v>
      </c>
      <c r="B386" t="s">
        <v>569</v>
      </c>
      <c r="C386" t="s">
        <v>739</v>
      </c>
      <c r="D386" t="s">
        <v>740</v>
      </c>
      <c r="E386" t="s">
        <v>572</v>
      </c>
      <c r="F386">
        <v>24</v>
      </c>
      <c r="G386">
        <v>2</v>
      </c>
      <c r="H386">
        <v>4</v>
      </c>
      <c r="I386" t="s">
        <v>741</v>
      </c>
      <c r="J386">
        <v>30</v>
      </c>
      <c r="K386">
        <v>39</v>
      </c>
      <c r="L386">
        <v>34</v>
      </c>
      <c r="M386">
        <v>38.799999999999997</v>
      </c>
      <c r="N386">
        <v>57.2</v>
      </c>
      <c r="O386">
        <v>45.367100000000001</v>
      </c>
      <c r="P386">
        <v>30.2057</v>
      </c>
      <c r="Q386">
        <v>38.716000000000001</v>
      </c>
      <c r="R386">
        <v>33.521500000000003</v>
      </c>
      <c r="U386" t="s">
        <v>224</v>
      </c>
      <c r="V386" t="s">
        <v>463</v>
      </c>
      <c r="W386" t="s">
        <v>464</v>
      </c>
      <c r="Y386">
        <v>1</v>
      </c>
      <c r="Z386" t="s">
        <v>169</v>
      </c>
      <c r="AA386" t="s">
        <v>170</v>
      </c>
      <c r="AB386" t="s">
        <v>351</v>
      </c>
      <c r="AC386" t="s">
        <v>352</v>
      </c>
      <c r="AD386">
        <v>15</v>
      </c>
      <c r="AG386" t="s">
        <v>210</v>
      </c>
      <c r="AH386" t="s">
        <v>444</v>
      </c>
      <c r="AI386" t="s">
        <v>175</v>
      </c>
      <c r="AJ386" t="s">
        <v>176</v>
      </c>
      <c r="AK386" t="s">
        <v>170</v>
      </c>
      <c r="AL386" t="s">
        <v>177</v>
      </c>
      <c r="AO386">
        <v>99</v>
      </c>
      <c r="AP386">
        <v>14</v>
      </c>
      <c r="AS386">
        <v>1550</v>
      </c>
      <c r="AT386">
        <v>1550</v>
      </c>
      <c r="BO386">
        <v>2</v>
      </c>
      <c r="BP386">
        <v>2</v>
      </c>
      <c r="BQ386">
        <v>5</v>
      </c>
      <c r="BR386" t="s">
        <v>672</v>
      </c>
      <c r="BS386" t="s">
        <v>180</v>
      </c>
      <c r="BT386" t="s">
        <v>225</v>
      </c>
      <c r="BU386" s="1">
        <v>45474</v>
      </c>
      <c r="BV386">
        <v>35012</v>
      </c>
      <c r="BX386" t="s">
        <v>170</v>
      </c>
      <c r="BY386" t="s">
        <v>170</v>
      </c>
      <c r="CB386" t="s">
        <v>170</v>
      </c>
      <c r="CC386" t="s">
        <v>170</v>
      </c>
      <c r="CE386" t="s">
        <v>170</v>
      </c>
      <c r="CG386" t="s">
        <v>169</v>
      </c>
      <c r="CH386" t="s">
        <v>742</v>
      </c>
      <c r="CI386" t="s">
        <v>170</v>
      </c>
      <c r="DJ386" t="s">
        <v>449</v>
      </c>
      <c r="DK386" t="s">
        <v>450</v>
      </c>
      <c r="DN386" t="s">
        <v>170</v>
      </c>
      <c r="DO386" t="s">
        <v>743</v>
      </c>
      <c r="DP386" t="s">
        <v>170</v>
      </c>
      <c r="DQ386" t="s">
        <v>187</v>
      </c>
      <c r="DR386" t="s">
        <v>738</v>
      </c>
      <c r="DY386">
        <v>46.1</v>
      </c>
      <c r="EB386">
        <v>7</v>
      </c>
      <c r="EC386">
        <v>7</v>
      </c>
      <c r="EE386" t="s">
        <v>744</v>
      </c>
      <c r="EF386">
        <v>6</v>
      </c>
      <c r="EU386">
        <v>1750</v>
      </c>
      <c r="EW386">
        <v>292</v>
      </c>
      <c r="EX386">
        <v>228</v>
      </c>
      <c r="EY386">
        <v>263</v>
      </c>
    </row>
    <row r="387" spans="1:155" x14ac:dyDescent="0.35">
      <c r="A387">
        <v>2025</v>
      </c>
      <c r="B387" t="s">
        <v>569</v>
      </c>
      <c r="C387" t="s">
        <v>739</v>
      </c>
      <c r="D387" t="s">
        <v>740</v>
      </c>
      <c r="E387" t="s">
        <v>572</v>
      </c>
      <c r="F387">
        <v>25</v>
      </c>
      <c r="G387">
        <v>2</v>
      </c>
      <c r="H387">
        <v>4</v>
      </c>
      <c r="I387" t="s">
        <v>741</v>
      </c>
      <c r="J387">
        <v>32</v>
      </c>
      <c r="K387">
        <v>41</v>
      </c>
      <c r="L387">
        <v>36</v>
      </c>
      <c r="M387">
        <v>41.9</v>
      </c>
      <c r="N387">
        <v>61.1</v>
      </c>
      <c r="O387">
        <v>48.800800000000002</v>
      </c>
      <c r="P387">
        <v>32.4084</v>
      </c>
      <c r="Q387">
        <v>41.399799999999999</v>
      </c>
      <c r="R387">
        <v>35.918900000000001</v>
      </c>
      <c r="U387" t="s">
        <v>224</v>
      </c>
      <c r="V387" t="s">
        <v>463</v>
      </c>
      <c r="W387" t="s">
        <v>464</v>
      </c>
      <c r="Y387">
        <v>1</v>
      </c>
      <c r="Z387" t="s">
        <v>169</v>
      </c>
      <c r="AA387" t="s">
        <v>170</v>
      </c>
      <c r="AB387" t="s">
        <v>351</v>
      </c>
      <c r="AC387" t="s">
        <v>352</v>
      </c>
      <c r="AD387">
        <v>15</v>
      </c>
      <c r="AG387" t="s">
        <v>210</v>
      </c>
      <c r="AH387" t="s">
        <v>444</v>
      </c>
      <c r="AI387" t="s">
        <v>175</v>
      </c>
      <c r="AJ387" t="s">
        <v>176</v>
      </c>
      <c r="AK387" t="s">
        <v>170</v>
      </c>
      <c r="AL387" t="s">
        <v>177</v>
      </c>
      <c r="AO387">
        <v>99</v>
      </c>
      <c r="AP387">
        <v>14</v>
      </c>
      <c r="AS387">
        <v>1450</v>
      </c>
      <c r="AT387">
        <v>1450</v>
      </c>
      <c r="BO387">
        <v>2</v>
      </c>
      <c r="BP387">
        <v>2</v>
      </c>
      <c r="BQ387">
        <v>5</v>
      </c>
      <c r="BR387" t="s">
        <v>672</v>
      </c>
      <c r="BS387" t="s">
        <v>180</v>
      </c>
      <c r="BT387" t="s">
        <v>225</v>
      </c>
      <c r="BU387" s="1">
        <v>45474</v>
      </c>
      <c r="BV387">
        <v>35013</v>
      </c>
      <c r="BX387" t="s">
        <v>170</v>
      </c>
      <c r="BY387" t="s">
        <v>170</v>
      </c>
      <c r="CB387" t="s">
        <v>170</v>
      </c>
      <c r="CC387" t="s">
        <v>170</v>
      </c>
      <c r="CE387" t="s">
        <v>170</v>
      </c>
      <c r="CG387" t="s">
        <v>169</v>
      </c>
      <c r="CH387" t="s">
        <v>742</v>
      </c>
      <c r="CI387" t="s">
        <v>170</v>
      </c>
      <c r="DJ387" t="s">
        <v>449</v>
      </c>
      <c r="DK387" t="s">
        <v>450</v>
      </c>
      <c r="DN387" t="s">
        <v>170</v>
      </c>
      <c r="DO387" t="s">
        <v>743</v>
      </c>
      <c r="DP387" t="s">
        <v>169</v>
      </c>
      <c r="DQ387" t="s">
        <v>198</v>
      </c>
      <c r="DR387" t="s">
        <v>745</v>
      </c>
      <c r="DY387">
        <v>49.6</v>
      </c>
      <c r="EB387">
        <v>7</v>
      </c>
      <c r="EC387">
        <v>7</v>
      </c>
      <c r="EE387" t="s">
        <v>744</v>
      </c>
      <c r="EF387">
        <v>6</v>
      </c>
      <c r="EU387">
        <v>2250</v>
      </c>
      <c r="EW387">
        <v>272</v>
      </c>
      <c r="EX387">
        <v>214</v>
      </c>
      <c r="EY387">
        <v>246</v>
      </c>
    </row>
    <row r="388" spans="1:155" x14ac:dyDescent="0.35">
      <c r="A388">
        <v>2025</v>
      </c>
      <c r="B388" t="s">
        <v>569</v>
      </c>
      <c r="C388" t="s">
        <v>739</v>
      </c>
      <c r="D388" t="s">
        <v>740</v>
      </c>
      <c r="E388" t="s">
        <v>572</v>
      </c>
      <c r="F388">
        <v>26</v>
      </c>
      <c r="G388">
        <v>1.6</v>
      </c>
      <c r="H388">
        <v>4</v>
      </c>
      <c r="I388" t="s">
        <v>209</v>
      </c>
      <c r="J388">
        <v>28</v>
      </c>
      <c r="K388">
        <v>35</v>
      </c>
      <c r="L388">
        <v>31</v>
      </c>
      <c r="M388">
        <v>35.299999999999997</v>
      </c>
      <c r="N388">
        <v>51.8</v>
      </c>
      <c r="O388">
        <v>41.206499999999998</v>
      </c>
      <c r="P388">
        <v>28.318100000000001</v>
      </c>
      <c r="Q388">
        <v>34.613900000000001</v>
      </c>
      <c r="R388">
        <v>30.842500000000001</v>
      </c>
      <c r="T388" t="s">
        <v>165</v>
      </c>
      <c r="U388" t="s">
        <v>166</v>
      </c>
      <c r="V388" t="s">
        <v>211</v>
      </c>
      <c r="W388" t="s">
        <v>212</v>
      </c>
      <c r="Y388">
        <v>7</v>
      </c>
      <c r="Z388" t="s">
        <v>170</v>
      </c>
      <c r="AA388" t="s">
        <v>170</v>
      </c>
      <c r="AB388" t="s">
        <v>351</v>
      </c>
      <c r="AC388" t="s">
        <v>352</v>
      </c>
      <c r="AD388">
        <v>15</v>
      </c>
      <c r="AG388" t="s">
        <v>210</v>
      </c>
      <c r="AH388" t="s">
        <v>444</v>
      </c>
      <c r="AI388" t="s">
        <v>175</v>
      </c>
      <c r="AJ388" t="s">
        <v>176</v>
      </c>
      <c r="AK388" t="s">
        <v>170</v>
      </c>
      <c r="AL388" t="s">
        <v>177</v>
      </c>
      <c r="AO388">
        <v>99</v>
      </c>
      <c r="AP388">
        <v>14</v>
      </c>
      <c r="AS388">
        <v>1700</v>
      </c>
      <c r="AT388">
        <v>1700</v>
      </c>
      <c r="BN388" t="s">
        <v>178</v>
      </c>
      <c r="BO388">
        <v>2</v>
      </c>
      <c r="BP388">
        <v>2</v>
      </c>
      <c r="BQ388">
        <v>5</v>
      </c>
      <c r="BR388" t="s">
        <v>672</v>
      </c>
      <c r="BS388" t="s">
        <v>180</v>
      </c>
      <c r="BT388" t="s">
        <v>225</v>
      </c>
      <c r="BV388">
        <v>35014</v>
      </c>
      <c r="BX388" t="s">
        <v>170</v>
      </c>
      <c r="BY388" t="s">
        <v>170</v>
      </c>
      <c r="CB388" t="s">
        <v>170</v>
      </c>
      <c r="CC388" t="s">
        <v>170</v>
      </c>
      <c r="CE388" t="s">
        <v>170</v>
      </c>
      <c r="CG388" t="s">
        <v>169</v>
      </c>
      <c r="CH388" t="s">
        <v>1692</v>
      </c>
      <c r="CI388" t="s">
        <v>170</v>
      </c>
      <c r="DJ388" t="s">
        <v>184</v>
      </c>
      <c r="DK388" t="s">
        <v>185</v>
      </c>
      <c r="DN388" t="s">
        <v>170</v>
      </c>
      <c r="DO388" t="s">
        <v>1137</v>
      </c>
      <c r="DP388" t="s">
        <v>170</v>
      </c>
      <c r="DQ388" t="s">
        <v>187</v>
      </c>
      <c r="DY388">
        <v>41.5</v>
      </c>
      <c r="EB388">
        <v>6</v>
      </c>
      <c r="EC388">
        <v>6</v>
      </c>
      <c r="EE388" t="s">
        <v>1693</v>
      </c>
      <c r="EF388">
        <v>4</v>
      </c>
      <c r="EU388">
        <v>1000</v>
      </c>
      <c r="EW388">
        <v>313</v>
      </c>
      <c r="EX388">
        <v>257</v>
      </c>
      <c r="EY388">
        <v>288</v>
      </c>
    </row>
    <row r="389" spans="1:155" x14ac:dyDescent="0.35">
      <c r="A389">
        <v>2025</v>
      </c>
      <c r="B389" t="s">
        <v>569</v>
      </c>
      <c r="C389" t="s">
        <v>739</v>
      </c>
      <c r="D389" t="s">
        <v>746</v>
      </c>
      <c r="E389" t="s">
        <v>572</v>
      </c>
      <c r="F389">
        <v>27</v>
      </c>
      <c r="G389">
        <v>1.6</v>
      </c>
      <c r="H389">
        <v>4</v>
      </c>
      <c r="I389" t="s">
        <v>747</v>
      </c>
      <c r="J389">
        <v>49</v>
      </c>
      <c r="K389">
        <v>52</v>
      </c>
      <c r="L389">
        <v>50</v>
      </c>
      <c r="M389">
        <v>68.3</v>
      </c>
      <c r="N389">
        <v>67.400000000000006</v>
      </c>
      <c r="O389">
        <v>67.891999999999996</v>
      </c>
      <c r="P389">
        <v>49.252600000000001</v>
      </c>
      <c r="Q389">
        <v>52.066299999999998</v>
      </c>
      <c r="R389">
        <v>50.480200000000004</v>
      </c>
      <c r="U389" t="s">
        <v>224</v>
      </c>
      <c r="V389" t="s">
        <v>211</v>
      </c>
      <c r="W389" t="s">
        <v>212</v>
      </c>
      <c r="Y389">
        <v>6</v>
      </c>
      <c r="Z389" t="s">
        <v>170</v>
      </c>
      <c r="AA389" t="s">
        <v>170</v>
      </c>
      <c r="AB389" t="s">
        <v>351</v>
      </c>
      <c r="AC389" t="s">
        <v>352</v>
      </c>
      <c r="AD389">
        <v>15</v>
      </c>
      <c r="AG389" t="s">
        <v>210</v>
      </c>
      <c r="AH389" t="s">
        <v>444</v>
      </c>
      <c r="AI389" t="s">
        <v>175</v>
      </c>
      <c r="AJ389" t="s">
        <v>176</v>
      </c>
      <c r="AK389" t="s">
        <v>170</v>
      </c>
      <c r="AL389" t="s">
        <v>177</v>
      </c>
      <c r="AO389">
        <v>99</v>
      </c>
      <c r="AP389">
        <v>14</v>
      </c>
      <c r="AS389">
        <v>1050</v>
      </c>
      <c r="AT389">
        <v>1050</v>
      </c>
      <c r="BN389" t="s">
        <v>232</v>
      </c>
      <c r="BO389">
        <v>2</v>
      </c>
      <c r="BP389">
        <v>2</v>
      </c>
      <c r="BQ389">
        <v>5</v>
      </c>
      <c r="BR389" t="s">
        <v>672</v>
      </c>
      <c r="BS389" t="s">
        <v>180</v>
      </c>
      <c r="BT389" t="s">
        <v>225</v>
      </c>
      <c r="BU389" s="1">
        <v>45474</v>
      </c>
      <c r="BV389">
        <v>35015</v>
      </c>
      <c r="BX389" t="s">
        <v>170</v>
      </c>
      <c r="BY389" t="s">
        <v>170</v>
      </c>
      <c r="CB389" t="s">
        <v>170</v>
      </c>
      <c r="CC389" t="s">
        <v>170</v>
      </c>
      <c r="CE389" t="s">
        <v>170</v>
      </c>
      <c r="CG389" t="s">
        <v>169</v>
      </c>
      <c r="CH389" t="s">
        <v>748</v>
      </c>
      <c r="CI389" t="s">
        <v>170</v>
      </c>
      <c r="CK389" t="s">
        <v>233</v>
      </c>
      <c r="CM389">
        <v>1</v>
      </c>
      <c r="CN389" t="s">
        <v>234</v>
      </c>
      <c r="CP389">
        <v>240</v>
      </c>
      <c r="CQ389">
        <v>5.5</v>
      </c>
      <c r="CR389">
        <v>38.799999999999997</v>
      </c>
      <c r="CS389" t="s">
        <v>235</v>
      </c>
      <c r="CV389" t="s">
        <v>341</v>
      </c>
      <c r="CX389" t="s">
        <v>729</v>
      </c>
      <c r="CY389" t="s">
        <v>170</v>
      </c>
      <c r="DD389">
        <v>1</v>
      </c>
      <c r="DE389" t="s">
        <v>404</v>
      </c>
      <c r="DF389" t="s">
        <v>427</v>
      </c>
      <c r="DG389">
        <v>32</v>
      </c>
      <c r="DJ389" t="s">
        <v>184</v>
      </c>
      <c r="DK389" t="s">
        <v>185</v>
      </c>
      <c r="DL389" t="s">
        <v>170</v>
      </c>
      <c r="DM389" t="s">
        <v>170</v>
      </c>
      <c r="DN389" t="s">
        <v>170</v>
      </c>
      <c r="DO389" t="s">
        <v>749</v>
      </c>
      <c r="DP389" t="s">
        <v>169</v>
      </c>
      <c r="DQ389" t="s">
        <v>198</v>
      </c>
      <c r="DY389">
        <v>68.3</v>
      </c>
      <c r="EB389">
        <v>8</v>
      </c>
      <c r="EC389">
        <v>8</v>
      </c>
      <c r="EE389" t="s">
        <v>750</v>
      </c>
      <c r="EF389">
        <v>6</v>
      </c>
      <c r="EU389">
        <v>4250</v>
      </c>
      <c r="EW389">
        <v>180</v>
      </c>
      <c r="EX389">
        <v>172</v>
      </c>
      <c r="EY389">
        <v>177</v>
      </c>
    </row>
    <row r="390" spans="1:155" x14ac:dyDescent="0.35">
      <c r="A390">
        <v>2025</v>
      </c>
      <c r="B390" t="s">
        <v>569</v>
      </c>
      <c r="C390" t="s">
        <v>739</v>
      </c>
      <c r="D390" t="s">
        <v>751</v>
      </c>
      <c r="E390" t="s">
        <v>572</v>
      </c>
      <c r="F390">
        <v>28</v>
      </c>
      <c r="G390">
        <v>1.6</v>
      </c>
      <c r="H390">
        <v>4</v>
      </c>
      <c r="I390" t="s">
        <v>747</v>
      </c>
      <c r="J390">
        <v>51</v>
      </c>
      <c r="K390">
        <v>58</v>
      </c>
      <c r="L390">
        <v>54</v>
      </c>
      <c r="M390">
        <v>67.8</v>
      </c>
      <c r="N390">
        <v>71.3</v>
      </c>
      <c r="O390">
        <v>69.331500000000005</v>
      </c>
      <c r="P390">
        <v>50.655500000000004</v>
      </c>
      <c r="Q390">
        <v>57.789000000000001</v>
      </c>
      <c r="R390">
        <v>53.634799999999998</v>
      </c>
      <c r="U390" t="s">
        <v>224</v>
      </c>
      <c r="V390" t="s">
        <v>211</v>
      </c>
      <c r="W390" t="s">
        <v>212</v>
      </c>
      <c r="Y390">
        <v>6</v>
      </c>
      <c r="Z390" t="s">
        <v>170</v>
      </c>
      <c r="AA390" t="s">
        <v>170</v>
      </c>
      <c r="AB390" t="s">
        <v>351</v>
      </c>
      <c r="AC390" t="s">
        <v>352</v>
      </c>
      <c r="AD390">
        <v>15</v>
      </c>
      <c r="AG390" t="s">
        <v>210</v>
      </c>
      <c r="AH390" t="s">
        <v>444</v>
      </c>
      <c r="AI390" t="s">
        <v>175</v>
      </c>
      <c r="AJ390" t="s">
        <v>176</v>
      </c>
      <c r="AK390" t="s">
        <v>170</v>
      </c>
      <c r="AL390" t="s">
        <v>177</v>
      </c>
      <c r="AO390">
        <v>99</v>
      </c>
      <c r="AP390">
        <v>14</v>
      </c>
      <c r="AS390">
        <v>950</v>
      </c>
      <c r="AT390">
        <v>950</v>
      </c>
      <c r="BN390" t="s">
        <v>232</v>
      </c>
      <c r="BO390">
        <v>2</v>
      </c>
      <c r="BP390">
        <v>2</v>
      </c>
      <c r="BQ390">
        <v>5</v>
      </c>
      <c r="BR390" t="s">
        <v>672</v>
      </c>
      <c r="BS390" t="s">
        <v>180</v>
      </c>
      <c r="BT390" t="s">
        <v>225</v>
      </c>
      <c r="BU390" s="1">
        <v>45474</v>
      </c>
      <c r="BV390">
        <v>35016</v>
      </c>
      <c r="BX390" t="s">
        <v>169</v>
      </c>
      <c r="BY390" t="s">
        <v>170</v>
      </c>
      <c r="CB390" t="s">
        <v>170</v>
      </c>
      <c r="CC390" t="s">
        <v>170</v>
      </c>
      <c r="CE390" t="s">
        <v>170</v>
      </c>
      <c r="CG390" t="s">
        <v>169</v>
      </c>
      <c r="CH390" t="s">
        <v>748</v>
      </c>
      <c r="CI390" t="s">
        <v>170</v>
      </c>
      <c r="CK390" t="s">
        <v>233</v>
      </c>
      <c r="CM390">
        <v>1</v>
      </c>
      <c r="CN390" t="s">
        <v>234</v>
      </c>
      <c r="CP390">
        <v>240</v>
      </c>
      <c r="CQ390">
        <v>5.5</v>
      </c>
      <c r="CR390">
        <v>38.799999999999997</v>
      </c>
      <c r="CS390" t="s">
        <v>235</v>
      </c>
      <c r="CV390" t="s">
        <v>341</v>
      </c>
      <c r="CX390" t="s">
        <v>729</v>
      </c>
      <c r="CY390" t="s">
        <v>170</v>
      </c>
      <c r="DD390">
        <v>1</v>
      </c>
      <c r="DE390" t="s">
        <v>404</v>
      </c>
      <c r="DF390" t="s">
        <v>427</v>
      </c>
      <c r="DG390">
        <v>32</v>
      </c>
      <c r="DJ390" t="s">
        <v>184</v>
      </c>
      <c r="DK390" t="s">
        <v>185</v>
      </c>
      <c r="DL390" t="s">
        <v>170</v>
      </c>
      <c r="DM390" t="s">
        <v>170</v>
      </c>
      <c r="DN390" t="s">
        <v>170</v>
      </c>
      <c r="DO390" t="s">
        <v>749</v>
      </c>
      <c r="DP390" t="s">
        <v>169</v>
      </c>
      <c r="DQ390" t="s">
        <v>198</v>
      </c>
      <c r="DY390">
        <v>69.7</v>
      </c>
      <c r="EB390">
        <v>8</v>
      </c>
      <c r="EC390">
        <v>8</v>
      </c>
      <c r="EE390" t="s">
        <v>750</v>
      </c>
      <c r="EF390">
        <v>6</v>
      </c>
      <c r="EU390">
        <v>4750</v>
      </c>
      <c r="EW390">
        <v>174</v>
      </c>
      <c r="EX390">
        <v>154</v>
      </c>
      <c r="EY390">
        <v>165</v>
      </c>
    </row>
    <row r="391" spans="1:155" x14ac:dyDescent="0.35">
      <c r="A391">
        <v>2025</v>
      </c>
      <c r="B391" t="s">
        <v>569</v>
      </c>
      <c r="C391" t="s">
        <v>739</v>
      </c>
      <c r="D391" t="s">
        <v>752</v>
      </c>
      <c r="E391" t="s">
        <v>572</v>
      </c>
      <c r="F391">
        <v>65</v>
      </c>
      <c r="G391">
        <v>2</v>
      </c>
      <c r="H391">
        <v>4</v>
      </c>
      <c r="I391" t="s">
        <v>361</v>
      </c>
      <c r="J391">
        <v>20</v>
      </c>
      <c r="K391">
        <v>27</v>
      </c>
      <c r="L391">
        <v>23</v>
      </c>
      <c r="M391">
        <v>24.497800000000002</v>
      </c>
      <c r="N391">
        <v>37.350099999999998</v>
      </c>
      <c r="O391">
        <v>28.9862</v>
      </c>
      <c r="P391">
        <v>19.8659</v>
      </c>
      <c r="Q391">
        <v>27.276800000000001</v>
      </c>
      <c r="R391">
        <v>22.633099999999999</v>
      </c>
      <c r="T391" t="s">
        <v>165</v>
      </c>
      <c r="U391" t="s">
        <v>166</v>
      </c>
      <c r="V391" t="s">
        <v>211</v>
      </c>
      <c r="W391" t="s">
        <v>212</v>
      </c>
      <c r="Y391">
        <v>8</v>
      </c>
      <c r="Z391" t="s">
        <v>170</v>
      </c>
      <c r="AA391" t="s">
        <v>170</v>
      </c>
      <c r="AB391" t="s">
        <v>351</v>
      </c>
      <c r="AC391" t="s">
        <v>352</v>
      </c>
      <c r="AD391">
        <v>15</v>
      </c>
      <c r="AG391" t="s">
        <v>173</v>
      </c>
      <c r="AH391" t="s">
        <v>174</v>
      </c>
      <c r="AI391" t="s">
        <v>175</v>
      </c>
      <c r="AJ391" t="s">
        <v>176</v>
      </c>
      <c r="AK391" t="s">
        <v>170</v>
      </c>
      <c r="AL391" t="s">
        <v>177</v>
      </c>
      <c r="AO391">
        <v>99</v>
      </c>
      <c r="AP391">
        <v>14</v>
      </c>
      <c r="AS391">
        <v>2750</v>
      </c>
      <c r="AT391">
        <v>2750</v>
      </c>
      <c r="BN391" t="s">
        <v>178</v>
      </c>
      <c r="BO391">
        <v>2</v>
      </c>
      <c r="BP391">
        <v>2</v>
      </c>
      <c r="BQ391">
        <v>5</v>
      </c>
      <c r="BR391" t="s">
        <v>672</v>
      </c>
      <c r="BS391" t="s">
        <v>180</v>
      </c>
      <c r="BT391" t="s">
        <v>225</v>
      </c>
      <c r="BU391" s="1">
        <v>45474</v>
      </c>
      <c r="BV391">
        <v>35142</v>
      </c>
      <c r="BX391" t="s">
        <v>170</v>
      </c>
      <c r="BY391" t="s">
        <v>170</v>
      </c>
      <c r="CB391" t="s">
        <v>170</v>
      </c>
      <c r="CC391" t="s">
        <v>170</v>
      </c>
      <c r="CE391" t="s">
        <v>170</v>
      </c>
      <c r="CG391" t="s">
        <v>169</v>
      </c>
      <c r="CH391" t="s">
        <v>753</v>
      </c>
      <c r="CI391" t="s">
        <v>170</v>
      </c>
      <c r="DJ391" t="s">
        <v>184</v>
      </c>
      <c r="DK391" t="s">
        <v>185</v>
      </c>
      <c r="DN391" t="s">
        <v>170</v>
      </c>
      <c r="DO391" t="s">
        <v>754</v>
      </c>
      <c r="DP391" t="s">
        <v>170</v>
      </c>
      <c r="DQ391" t="s">
        <v>187</v>
      </c>
      <c r="DY391">
        <v>29.2</v>
      </c>
      <c r="EB391">
        <v>5</v>
      </c>
      <c r="EC391">
        <v>5</v>
      </c>
      <c r="EE391" t="s">
        <v>755</v>
      </c>
      <c r="EF391">
        <v>2</v>
      </c>
      <c r="EV391">
        <v>4250</v>
      </c>
      <c r="EW391">
        <v>446</v>
      </c>
      <c r="EX391">
        <v>326</v>
      </c>
      <c r="EY391">
        <v>392</v>
      </c>
    </row>
    <row r="392" spans="1:155" x14ac:dyDescent="0.35">
      <c r="A392">
        <v>2025</v>
      </c>
      <c r="B392" t="s">
        <v>569</v>
      </c>
      <c r="C392" t="s">
        <v>739</v>
      </c>
      <c r="D392" t="s">
        <v>752</v>
      </c>
      <c r="E392" t="s">
        <v>572</v>
      </c>
      <c r="F392">
        <v>66</v>
      </c>
      <c r="G392">
        <v>2</v>
      </c>
      <c r="H392">
        <v>4</v>
      </c>
      <c r="I392" t="s">
        <v>200</v>
      </c>
      <c r="J392">
        <v>21</v>
      </c>
      <c r="K392">
        <v>29</v>
      </c>
      <c r="L392">
        <v>24</v>
      </c>
      <c r="M392">
        <v>26.3</v>
      </c>
      <c r="N392">
        <v>41.1</v>
      </c>
      <c r="O392">
        <v>31.385899999999999</v>
      </c>
      <c r="P392">
        <v>21.3796</v>
      </c>
      <c r="Q392">
        <v>28.9879</v>
      </c>
      <c r="R392">
        <v>24.242899999999999</v>
      </c>
      <c r="T392" t="s">
        <v>165</v>
      </c>
      <c r="U392" t="s">
        <v>166</v>
      </c>
      <c r="V392" t="s">
        <v>201</v>
      </c>
      <c r="W392" t="s">
        <v>202</v>
      </c>
      <c r="Y392">
        <v>6</v>
      </c>
      <c r="Z392" t="s">
        <v>170</v>
      </c>
      <c r="AA392" t="s">
        <v>170</v>
      </c>
      <c r="AB392" t="s">
        <v>351</v>
      </c>
      <c r="AC392" t="s">
        <v>352</v>
      </c>
      <c r="AD392">
        <v>15</v>
      </c>
      <c r="AG392" t="s">
        <v>173</v>
      </c>
      <c r="AH392" t="s">
        <v>174</v>
      </c>
      <c r="AI392" t="s">
        <v>175</v>
      </c>
      <c r="AJ392" t="s">
        <v>176</v>
      </c>
      <c r="AK392" t="s">
        <v>170</v>
      </c>
      <c r="AL392" t="s">
        <v>177</v>
      </c>
      <c r="AO392">
        <v>99</v>
      </c>
      <c r="AP392">
        <v>14</v>
      </c>
      <c r="AS392">
        <v>2650</v>
      </c>
      <c r="AT392">
        <v>2650</v>
      </c>
      <c r="BN392" t="s">
        <v>178</v>
      </c>
      <c r="BO392">
        <v>2</v>
      </c>
      <c r="BP392">
        <v>2</v>
      </c>
      <c r="BQ392">
        <v>5</v>
      </c>
      <c r="BR392" t="s">
        <v>672</v>
      </c>
      <c r="BS392" t="s">
        <v>180</v>
      </c>
      <c r="BT392" t="s">
        <v>225</v>
      </c>
      <c r="BU392" s="1">
        <v>45474</v>
      </c>
      <c r="BV392">
        <v>35143</v>
      </c>
      <c r="BX392" t="s">
        <v>170</v>
      </c>
      <c r="BY392" t="s">
        <v>170</v>
      </c>
      <c r="CB392" t="s">
        <v>170</v>
      </c>
      <c r="CC392" t="s">
        <v>170</v>
      </c>
      <c r="CE392" t="s">
        <v>170</v>
      </c>
      <c r="CG392" t="s">
        <v>169</v>
      </c>
      <c r="CH392" t="s">
        <v>753</v>
      </c>
      <c r="CI392" t="s">
        <v>170</v>
      </c>
      <c r="DJ392" t="s">
        <v>184</v>
      </c>
      <c r="DK392" t="s">
        <v>185</v>
      </c>
      <c r="DN392" t="s">
        <v>170</v>
      </c>
      <c r="DO392" t="s">
        <v>754</v>
      </c>
      <c r="DP392" t="s">
        <v>170</v>
      </c>
      <c r="DQ392" t="s">
        <v>187</v>
      </c>
      <c r="DY392">
        <v>31.6</v>
      </c>
      <c r="EB392">
        <v>5</v>
      </c>
      <c r="EC392">
        <v>5</v>
      </c>
      <c r="EE392" t="s">
        <v>755</v>
      </c>
      <c r="EF392">
        <v>2</v>
      </c>
      <c r="EV392">
        <v>3750</v>
      </c>
      <c r="EW392">
        <v>414</v>
      </c>
      <c r="EX392">
        <v>307</v>
      </c>
      <c r="EY392">
        <v>366</v>
      </c>
    </row>
    <row r="393" spans="1:155" x14ac:dyDescent="0.35">
      <c r="A393">
        <v>2025</v>
      </c>
      <c r="B393" t="s">
        <v>569</v>
      </c>
      <c r="C393" t="s">
        <v>739</v>
      </c>
      <c r="D393" t="s">
        <v>1297</v>
      </c>
      <c r="E393" t="s">
        <v>572</v>
      </c>
      <c r="F393">
        <v>29</v>
      </c>
      <c r="G393">
        <v>1.6</v>
      </c>
      <c r="H393">
        <v>4</v>
      </c>
      <c r="I393" t="s">
        <v>192</v>
      </c>
      <c r="J393">
        <v>24</v>
      </c>
      <c r="K393">
        <v>29</v>
      </c>
      <c r="L393">
        <v>26</v>
      </c>
      <c r="M393">
        <v>31.473199999999999</v>
      </c>
      <c r="N393">
        <v>43.936300000000003</v>
      </c>
      <c r="O393">
        <v>36.078600000000002</v>
      </c>
      <c r="P393">
        <v>24.419499999999999</v>
      </c>
      <c r="Q393">
        <v>28.816400000000002</v>
      </c>
      <c r="R393">
        <v>26.219799999999999</v>
      </c>
      <c r="T393" t="s">
        <v>165</v>
      </c>
      <c r="U393" t="s">
        <v>166</v>
      </c>
      <c r="V393" t="s">
        <v>193</v>
      </c>
      <c r="W393" t="s">
        <v>194</v>
      </c>
      <c r="Y393">
        <v>8</v>
      </c>
      <c r="Z393" t="s">
        <v>169</v>
      </c>
      <c r="AA393" t="s">
        <v>170</v>
      </c>
      <c r="AB393" t="s">
        <v>167</v>
      </c>
      <c r="AC393" t="s">
        <v>213</v>
      </c>
      <c r="AD393">
        <v>15</v>
      </c>
      <c r="AG393" t="s">
        <v>210</v>
      </c>
      <c r="AH393" t="s">
        <v>444</v>
      </c>
      <c r="AI393" t="s">
        <v>175</v>
      </c>
      <c r="AJ393" t="s">
        <v>176</v>
      </c>
      <c r="AK393" t="s">
        <v>940</v>
      </c>
      <c r="AL393" t="s">
        <v>941</v>
      </c>
      <c r="AS393">
        <v>2000</v>
      </c>
      <c r="AT393">
        <v>2000</v>
      </c>
      <c r="BN393" t="s">
        <v>178</v>
      </c>
      <c r="BO393">
        <v>2</v>
      </c>
      <c r="BP393">
        <v>2</v>
      </c>
      <c r="BQ393">
        <v>31</v>
      </c>
      <c r="BR393" t="s">
        <v>1219</v>
      </c>
      <c r="BT393" t="s">
        <v>457</v>
      </c>
      <c r="BU393" s="1">
        <v>45444</v>
      </c>
      <c r="BV393">
        <v>34724</v>
      </c>
      <c r="BX393" t="s">
        <v>170</v>
      </c>
      <c r="BY393" t="s">
        <v>170</v>
      </c>
      <c r="CB393" t="s">
        <v>170</v>
      </c>
      <c r="CC393" t="s">
        <v>170</v>
      </c>
      <c r="CE393" t="s">
        <v>170</v>
      </c>
      <c r="CG393" t="s">
        <v>169</v>
      </c>
      <c r="CH393" t="s">
        <v>855</v>
      </c>
      <c r="CI393" t="s">
        <v>170</v>
      </c>
      <c r="DJ393" t="s">
        <v>184</v>
      </c>
      <c r="DK393" t="s">
        <v>185</v>
      </c>
      <c r="DN393" t="s">
        <v>170</v>
      </c>
      <c r="DO393" t="s">
        <v>743</v>
      </c>
      <c r="DP393" t="s">
        <v>170</v>
      </c>
      <c r="DQ393" t="s">
        <v>187</v>
      </c>
      <c r="DR393" t="s">
        <v>1298</v>
      </c>
      <c r="EB393">
        <v>5</v>
      </c>
      <c r="EC393">
        <v>5</v>
      </c>
      <c r="EE393" t="s">
        <v>1126</v>
      </c>
      <c r="EF393">
        <v>6</v>
      </c>
      <c r="EV393">
        <v>500</v>
      </c>
      <c r="EW393">
        <v>365</v>
      </c>
      <c r="EX393">
        <v>309</v>
      </c>
      <c r="EY393">
        <v>339</v>
      </c>
    </row>
    <row r="394" spans="1:155" x14ac:dyDescent="0.35">
      <c r="A394">
        <v>2025</v>
      </c>
      <c r="B394" t="s">
        <v>569</v>
      </c>
      <c r="C394" t="s">
        <v>739</v>
      </c>
      <c r="D394" t="s">
        <v>1297</v>
      </c>
      <c r="E394" t="s">
        <v>572</v>
      </c>
      <c r="F394">
        <v>31</v>
      </c>
      <c r="G394">
        <v>2</v>
      </c>
      <c r="H394">
        <v>4</v>
      </c>
      <c r="I394" t="s">
        <v>741</v>
      </c>
      <c r="J394">
        <v>26</v>
      </c>
      <c r="K394">
        <v>29</v>
      </c>
      <c r="L394">
        <v>27</v>
      </c>
      <c r="M394">
        <v>33.799999999999997</v>
      </c>
      <c r="N394">
        <v>48.649500000000003</v>
      </c>
      <c r="O394">
        <v>39.181800000000003</v>
      </c>
      <c r="P394">
        <v>26.032499999999999</v>
      </c>
      <c r="Q394">
        <v>29.067499999999999</v>
      </c>
      <c r="R394">
        <v>27.315999999999999</v>
      </c>
      <c r="U394" t="s">
        <v>224</v>
      </c>
      <c r="V394" t="s">
        <v>463</v>
      </c>
      <c r="W394" t="s">
        <v>464</v>
      </c>
      <c r="Y394">
        <v>1</v>
      </c>
      <c r="Z394" t="s">
        <v>169</v>
      </c>
      <c r="AA394" t="s">
        <v>170</v>
      </c>
      <c r="AB394" t="s">
        <v>167</v>
      </c>
      <c r="AC394" t="s">
        <v>213</v>
      </c>
      <c r="AD394">
        <v>15</v>
      </c>
      <c r="AG394" t="s">
        <v>210</v>
      </c>
      <c r="AH394" t="s">
        <v>444</v>
      </c>
      <c r="AI394" t="s">
        <v>175</v>
      </c>
      <c r="AJ394" t="s">
        <v>176</v>
      </c>
      <c r="AK394" t="s">
        <v>940</v>
      </c>
      <c r="AL394" t="s">
        <v>941</v>
      </c>
      <c r="AS394">
        <v>1950</v>
      </c>
      <c r="AT394">
        <v>1950</v>
      </c>
      <c r="BO394">
        <v>2</v>
      </c>
      <c r="BP394">
        <v>2</v>
      </c>
      <c r="BQ394">
        <v>31</v>
      </c>
      <c r="BR394" t="s">
        <v>1219</v>
      </c>
      <c r="BT394" t="s">
        <v>457</v>
      </c>
      <c r="BU394" s="1">
        <v>45413</v>
      </c>
      <c r="BV394">
        <v>34725</v>
      </c>
      <c r="BX394" t="s">
        <v>170</v>
      </c>
      <c r="BY394" t="s">
        <v>170</v>
      </c>
      <c r="CB394" t="s">
        <v>170</v>
      </c>
      <c r="CC394" t="s">
        <v>170</v>
      </c>
      <c r="CE394" t="s">
        <v>170</v>
      </c>
      <c r="CG394" t="s">
        <v>169</v>
      </c>
      <c r="CH394" t="s">
        <v>855</v>
      </c>
      <c r="CI394" t="s">
        <v>170</v>
      </c>
      <c r="DJ394" t="s">
        <v>449</v>
      </c>
      <c r="DK394" t="s">
        <v>450</v>
      </c>
      <c r="DN394" t="s">
        <v>170</v>
      </c>
      <c r="DO394" t="s">
        <v>743</v>
      </c>
      <c r="DP394" t="s">
        <v>170</v>
      </c>
      <c r="DQ394" t="s">
        <v>187</v>
      </c>
      <c r="DR394" t="s">
        <v>1299</v>
      </c>
      <c r="EB394">
        <v>5</v>
      </c>
      <c r="EC394">
        <v>5</v>
      </c>
      <c r="EE394" t="s">
        <v>1127</v>
      </c>
      <c r="EF394">
        <v>6</v>
      </c>
      <c r="EV394">
        <v>250</v>
      </c>
      <c r="EW394">
        <v>341</v>
      </c>
      <c r="EX394">
        <v>300</v>
      </c>
      <c r="EY394">
        <v>323</v>
      </c>
    </row>
    <row r="395" spans="1:155" x14ac:dyDescent="0.35">
      <c r="A395">
        <v>2025</v>
      </c>
      <c r="B395" t="s">
        <v>569</v>
      </c>
      <c r="C395" t="s">
        <v>739</v>
      </c>
      <c r="D395" t="s">
        <v>1297</v>
      </c>
      <c r="E395" t="s">
        <v>572</v>
      </c>
      <c r="F395">
        <v>69</v>
      </c>
      <c r="G395">
        <v>2</v>
      </c>
      <c r="H395">
        <v>4</v>
      </c>
      <c r="I395" t="s">
        <v>741</v>
      </c>
      <c r="J395">
        <v>27</v>
      </c>
      <c r="K395">
        <v>29</v>
      </c>
      <c r="L395">
        <v>28</v>
      </c>
      <c r="M395">
        <v>34.799999999999997</v>
      </c>
      <c r="N395">
        <v>48.649500000000003</v>
      </c>
      <c r="O395">
        <v>39.9131</v>
      </c>
      <c r="P395">
        <v>26.718499999999999</v>
      </c>
      <c r="Q395">
        <v>29.1325</v>
      </c>
      <c r="R395">
        <v>27.753399999999999</v>
      </c>
      <c r="U395" t="s">
        <v>224</v>
      </c>
      <c r="V395" t="s">
        <v>463</v>
      </c>
      <c r="W395" t="s">
        <v>464</v>
      </c>
      <c r="Y395">
        <v>1</v>
      </c>
      <c r="Z395" t="s">
        <v>169</v>
      </c>
      <c r="AA395" t="s">
        <v>170</v>
      </c>
      <c r="AB395" t="s">
        <v>167</v>
      </c>
      <c r="AC395" t="s">
        <v>213</v>
      </c>
      <c r="AD395">
        <v>15</v>
      </c>
      <c r="AG395" t="s">
        <v>210</v>
      </c>
      <c r="AH395" t="s">
        <v>444</v>
      </c>
      <c r="AI395" t="s">
        <v>175</v>
      </c>
      <c r="AJ395" t="s">
        <v>176</v>
      </c>
      <c r="AK395" t="s">
        <v>940</v>
      </c>
      <c r="AL395" t="s">
        <v>941</v>
      </c>
      <c r="AS395">
        <v>1900</v>
      </c>
      <c r="AT395">
        <v>1900</v>
      </c>
      <c r="BO395">
        <v>2</v>
      </c>
      <c r="BP395">
        <v>2</v>
      </c>
      <c r="BQ395">
        <v>31</v>
      </c>
      <c r="BR395" t="s">
        <v>1219</v>
      </c>
      <c r="BT395" t="s">
        <v>457</v>
      </c>
      <c r="BU395" s="1">
        <v>45413</v>
      </c>
      <c r="BV395">
        <v>34727</v>
      </c>
      <c r="BX395" t="s">
        <v>170</v>
      </c>
      <c r="BY395" t="s">
        <v>170</v>
      </c>
      <c r="CB395" t="s">
        <v>170</v>
      </c>
      <c r="CC395" t="s">
        <v>170</v>
      </c>
      <c r="CE395" t="s">
        <v>170</v>
      </c>
      <c r="CG395" t="s">
        <v>169</v>
      </c>
      <c r="CH395" t="s">
        <v>855</v>
      </c>
      <c r="CI395" t="s">
        <v>170</v>
      </c>
      <c r="DJ395" t="s">
        <v>449</v>
      </c>
      <c r="DK395" t="s">
        <v>450</v>
      </c>
      <c r="DN395" t="s">
        <v>170</v>
      </c>
      <c r="DO395" t="s">
        <v>743</v>
      </c>
      <c r="DP395" t="s">
        <v>169</v>
      </c>
      <c r="DQ395" t="s">
        <v>198</v>
      </c>
      <c r="DR395" t="s">
        <v>745</v>
      </c>
      <c r="EB395">
        <v>6</v>
      </c>
      <c r="EC395">
        <v>6</v>
      </c>
      <c r="EE395" t="s">
        <v>1127</v>
      </c>
      <c r="EF395">
        <v>6</v>
      </c>
      <c r="EU395">
        <v>0</v>
      </c>
      <c r="EW395">
        <v>332</v>
      </c>
      <c r="EX395">
        <v>302</v>
      </c>
      <c r="EY395">
        <v>319</v>
      </c>
    </row>
    <row r="396" spans="1:155" x14ac:dyDescent="0.35">
      <c r="A396">
        <v>2025</v>
      </c>
      <c r="B396" t="s">
        <v>569</v>
      </c>
      <c r="C396" t="s">
        <v>739</v>
      </c>
      <c r="D396" t="s">
        <v>1124</v>
      </c>
      <c r="E396" t="s">
        <v>572</v>
      </c>
      <c r="F396">
        <v>30</v>
      </c>
      <c r="G396">
        <v>1.6</v>
      </c>
      <c r="H396">
        <v>4</v>
      </c>
      <c r="I396" t="s">
        <v>192</v>
      </c>
      <c r="J396">
        <v>26</v>
      </c>
      <c r="K396">
        <v>32</v>
      </c>
      <c r="L396">
        <v>28</v>
      </c>
      <c r="M396">
        <v>33.330500000000001</v>
      </c>
      <c r="N396">
        <v>49.640099999999997</v>
      </c>
      <c r="O396">
        <v>39.113399999999999</v>
      </c>
      <c r="P396">
        <v>25.709</v>
      </c>
      <c r="Q396">
        <v>31.8066</v>
      </c>
      <c r="R396">
        <v>28.136299999999999</v>
      </c>
      <c r="T396" t="s">
        <v>165</v>
      </c>
      <c r="U396" t="s">
        <v>166</v>
      </c>
      <c r="V396" t="s">
        <v>193</v>
      </c>
      <c r="W396" t="s">
        <v>194</v>
      </c>
      <c r="Y396">
        <v>8</v>
      </c>
      <c r="Z396" t="s">
        <v>169</v>
      </c>
      <c r="AA396" t="s">
        <v>170</v>
      </c>
      <c r="AB396" t="s">
        <v>351</v>
      </c>
      <c r="AC396" t="s">
        <v>352</v>
      </c>
      <c r="AD396">
        <v>15</v>
      </c>
      <c r="AG396" t="s">
        <v>210</v>
      </c>
      <c r="AH396" t="s">
        <v>444</v>
      </c>
      <c r="AI396" t="s">
        <v>175</v>
      </c>
      <c r="AJ396" t="s">
        <v>176</v>
      </c>
      <c r="AK396" t="s">
        <v>940</v>
      </c>
      <c r="AL396" t="s">
        <v>941</v>
      </c>
      <c r="AS396">
        <v>1900</v>
      </c>
      <c r="AT396">
        <v>1900</v>
      </c>
      <c r="BN396" t="s">
        <v>178</v>
      </c>
      <c r="BO396">
        <v>2</v>
      </c>
      <c r="BP396">
        <v>2</v>
      </c>
      <c r="BQ396">
        <v>30</v>
      </c>
      <c r="BR396" t="s">
        <v>1099</v>
      </c>
      <c r="BT396" t="s">
        <v>457</v>
      </c>
      <c r="BU396" s="1">
        <v>45444</v>
      </c>
      <c r="BV396">
        <v>34685</v>
      </c>
      <c r="BX396" t="s">
        <v>170</v>
      </c>
      <c r="BY396" t="s">
        <v>170</v>
      </c>
      <c r="CB396" t="s">
        <v>170</v>
      </c>
      <c r="CC396" t="s">
        <v>170</v>
      </c>
      <c r="CE396" t="s">
        <v>170</v>
      </c>
      <c r="CG396" t="s">
        <v>169</v>
      </c>
      <c r="CH396" t="s">
        <v>855</v>
      </c>
      <c r="CI396" t="s">
        <v>170</v>
      </c>
      <c r="DJ396" t="s">
        <v>184</v>
      </c>
      <c r="DK396" t="s">
        <v>185</v>
      </c>
      <c r="DN396" t="s">
        <v>170</v>
      </c>
      <c r="DO396" t="s">
        <v>743</v>
      </c>
      <c r="DP396" t="s">
        <v>170</v>
      </c>
      <c r="DQ396" t="s">
        <v>187</v>
      </c>
      <c r="DR396" t="s">
        <v>1125</v>
      </c>
      <c r="EB396">
        <v>6</v>
      </c>
      <c r="EC396">
        <v>6</v>
      </c>
      <c r="EE396" t="s">
        <v>1126</v>
      </c>
      <c r="EF396">
        <v>6</v>
      </c>
      <c r="EU396">
        <v>0</v>
      </c>
      <c r="EW396">
        <v>345</v>
      </c>
      <c r="EX396">
        <v>279</v>
      </c>
      <c r="EY396">
        <v>315</v>
      </c>
    </row>
    <row r="397" spans="1:155" x14ac:dyDescent="0.35">
      <c r="A397">
        <v>2025</v>
      </c>
      <c r="B397" t="s">
        <v>569</v>
      </c>
      <c r="C397" t="s">
        <v>739</v>
      </c>
      <c r="D397" t="s">
        <v>1124</v>
      </c>
      <c r="E397" t="s">
        <v>572</v>
      </c>
      <c r="F397">
        <v>32</v>
      </c>
      <c r="G397">
        <v>2</v>
      </c>
      <c r="H397">
        <v>4</v>
      </c>
      <c r="I397" t="s">
        <v>741</v>
      </c>
      <c r="J397">
        <v>28</v>
      </c>
      <c r="K397">
        <v>35</v>
      </c>
      <c r="L397">
        <v>31</v>
      </c>
      <c r="M397">
        <v>36.9</v>
      </c>
      <c r="N397">
        <v>53.9</v>
      </c>
      <c r="O397">
        <v>43.003500000000003</v>
      </c>
      <c r="P397">
        <v>28.145199999999999</v>
      </c>
      <c r="Q397">
        <v>34.857900000000001</v>
      </c>
      <c r="R397">
        <v>30.8156</v>
      </c>
      <c r="U397" t="s">
        <v>224</v>
      </c>
      <c r="V397" t="s">
        <v>463</v>
      </c>
      <c r="W397" t="s">
        <v>464</v>
      </c>
      <c r="Y397">
        <v>1</v>
      </c>
      <c r="Z397" t="s">
        <v>169</v>
      </c>
      <c r="AA397" t="s">
        <v>170</v>
      </c>
      <c r="AB397" t="s">
        <v>351</v>
      </c>
      <c r="AC397" t="s">
        <v>352</v>
      </c>
      <c r="AD397">
        <v>15</v>
      </c>
      <c r="AG397" t="s">
        <v>210</v>
      </c>
      <c r="AH397" t="s">
        <v>444</v>
      </c>
      <c r="AI397" t="s">
        <v>175</v>
      </c>
      <c r="AJ397" t="s">
        <v>176</v>
      </c>
      <c r="AK397" t="s">
        <v>940</v>
      </c>
      <c r="AL397" t="s">
        <v>941</v>
      </c>
      <c r="AS397">
        <v>1700</v>
      </c>
      <c r="AT397">
        <v>1700</v>
      </c>
      <c r="BO397">
        <v>2</v>
      </c>
      <c r="BP397">
        <v>2</v>
      </c>
      <c r="BQ397">
        <v>30</v>
      </c>
      <c r="BR397" t="s">
        <v>1099</v>
      </c>
      <c r="BT397" t="s">
        <v>457</v>
      </c>
      <c r="BU397" s="1">
        <v>45413</v>
      </c>
      <c r="BV397">
        <v>34726</v>
      </c>
      <c r="BX397" t="s">
        <v>170</v>
      </c>
      <c r="BY397" t="s">
        <v>170</v>
      </c>
      <c r="CB397" t="s">
        <v>170</v>
      </c>
      <c r="CC397" t="s">
        <v>170</v>
      </c>
      <c r="CE397" t="s">
        <v>170</v>
      </c>
      <c r="CG397" t="s">
        <v>169</v>
      </c>
      <c r="CH397" t="s">
        <v>855</v>
      </c>
      <c r="CI397" t="s">
        <v>170</v>
      </c>
      <c r="DJ397" t="s">
        <v>449</v>
      </c>
      <c r="DK397" t="s">
        <v>450</v>
      </c>
      <c r="DN397" t="s">
        <v>170</v>
      </c>
      <c r="DO397" t="s">
        <v>743</v>
      </c>
      <c r="DP397" t="s">
        <v>170</v>
      </c>
      <c r="DQ397" t="s">
        <v>187</v>
      </c>
      <c r="EB397">
        <v>6</v>
      </c>
      <c r="EC397">
        <v>6</v>
      </c>
      <c r="EE397" t="s">
        <v>1127</v>
      </c>
      <c r="EF397">
        <v>6</v>
      </c>
      <c r="EU397">
        <v>1000</v>
      </c>
      <c r="EW397">
        <v>316</v>
      </c>
      <c r="EX397">
        <v>255</v>
      </c>
      <c r="EY397">
        <v>288</v>
      </c>
    </row>
    <row r="398" spans="1:155" x14ac:dyDescent="0.35">
      <c r="A398">
        <v>2025</v>
      </c>
      <c r="B398" t="s">
        <v>569</v>
      </c>
      <c r="C398" t="s">
        <v>739</v>
      </c>
      <c r="D398" t="s">
        <v>1124</v>
      </c>
      <c r="E398" t="s">
        <v>572</v>
      </c>
      <c r="F398">
        <v>70</v>
      </c>
      <c r="G398">
        <v>2</v>
      </c>
      <c r="H398">
        <v>4</v>
      </c>
      <c r="I398" t="s">
        <v>741</v>
      </c>
      <c r="J398">
        <v>29</v>
      </c>
      <c r="K398">
        <v>34</v>
      </c>
      <c r="L398">
        <v>31</v>
      </c>
      <c r="M398">
        <v>38.299999999999997</v>
      </c>
      <c r="N398">
        <v>54.6</v>
      </c>
      <c r="O398">
        <v>44.243699999999997</v>
      </c>
      <c r="P398">
        <v>29.085999999999999</v>
      </c>
      <c r="Q398">
        <v>34.4587</v>
      </c>
      <c r="R398">
        <v>31.2807</v>
      </c>
      <c r="U398" t="s">
        <v>224</v>
      </c>
      <c r="V398" t="s">
        <v>463</v>
      </c>
      <c r="W398" t="s">
        <v>464</v>
      </c>
      <c r="Y398">
        <v>1</v>
      </c>
      <c r="Z398" t="s">
        <v>169</v>
      </c>
      <c r="AA398" t="s">
        <v>170</v>
      </c>
      <c r="AB398" t="s">
        <v>351</v>
      </c>
      <c r="AC398" t="s">
        <v>352</v>
      </c>
      <c r="AD398">
        <v>15</v>
      </c>
      <c r="AG398" t="s">
        <v>210</v>
      </c>
      <c r="AH398" t="s">
        <v>444</v>
      </c>
      <c r="AI398" t="s">
        <v>175</v>
      </c>
      <c r="AJ398" t="s">
        <v>176</v>
      </c>
      <c r="AK398" t="s">
        <v>940</v>
      </c>
      <c r="AL398" t="s">
        <v>941</v>
      </c>
      <c r="AS398">
        <v>1700</v>
      </c>
      <c r="AT398">
        <v>1700</v>
      </c>
      <c r="BO398">
        <v>2</v>
      </c>
      <c r="BP398">
        <v>2</v>
      </c>
      <c r="BQ398">
        <v>30</v>
      </c>
      <c r="BR398" t="s">
        <v>1099</v>
      </c>
      <c r="BT398" t="s">
        <v>457</v>
      </c>
      <c r="BU398" s="1">
        <v>45413</v>
      </c>
      <c r="BV398">
        <v>34728</v>
      </c>
      <c r="BX398" t="s">
        <v>170</v>
      </c>
      <c r="BY398" t="s">
        <v>170</v>
      </c>
      <c r="CB398" t="s">
        <v>170</v>
      </c>
      <c r="CC398" t="s">
        <v>170</v>
      </c>
      <c r="CE398" t="s">
        <v>170</v>
      </c>
      <c r="CG398" t="s">
        <v>169</v>
      </c>
      <c r="CH398" t="s">
        <v>855</v>
      </c>
      <c r="CI398" t="s">
        <v>170</v>
      </c>
      <c r="DJ398" t="s">
        <v>449</v>
      </c>
      <c r="DK398" t="s">
        <v>450</v>
      </c>
      <c r="DN398" t="s">
        <v>170</v>
      </c>
      <c r="DO398" t="s">
        <v>743</v>
      </c>
      <c r="DP398" t="s">
        <v>169</v>
      </c>
      <c r="DQ398" t="s">
        <v>198</v>
      </c>
      <c r="DR398" t="s">
        <v>745</v>
      </c>
      <c r="EB398">
        <v>6</v>
      </c>
      <c r="EC398">
        <v>6</v>
      </c>
      <c r="EE398" t="s">
        <v>1127</v>
      </c>
      <c r="EF398">
        <v>6</v>
      </c>
      <c r="EU398">
        <v>1000</v>
      </c>
      <c r="EW398">
        <v>305</v>
      </c>
      <c r="EX398">
        <v>258</v>
      </c>
      <c r="EY398">
        <v>284</v>
      </c>
    </row>
    <row r="399" spans="1:155" x14ac:dyDescent="0.35">
      <c r="A399">
        <v>2025</v>
      </c>
      <c r="B399" t="s">
        <v>569</v>
      </c>
      <c r="C399" t="s">
        <v>739</v>
      </c>
      <c r="D399" t="s">
        <v>1300</v>
      </c>
      <c r="E399" t="s">
        <v>572</v>
      </c>
      <c r="F399">
        <v>19</v>
      </c>
      <c r="G399">
        <v>3.8</v>
      </c>
      <c r="H399">
        <v>6</v>
      </c>
      <c r="I399" t="s">
        <v>192</v>
      </c>
      <c r="J399">
        <v>19</v>
      </c>
      <c r="K399">
        <v>24</v>
      </c>
      <c r="L399">
        <v>21</v>
      </c>
      <c r="M399">
        <v>24.2791</v>
      </c>
      <c r="N399">
        <v>34.0488</v>
      </c>
      <c r="O399">
        <v>27.878799999999998</v>
      </c>
      <c r="P399">
        <v>19.277899999999999</v>
      </c>
      <c r="Q399">
        <v>24.265999999999998</v>
      </c>
      <c r="R399">
        <v>21.242899999999999</v>
      </c>
      <c r="U399" t="s">
        <v>224</v>
      </c>
      <c r="V399" t="s">
        <v>193</v>
      </c>
      <c r="W399" t="s">
        <v>194</v>
      </c>
      <c r="Y399">
        <v>8</v>
      </c>
      <c r="Z399" t="s">
        <v>169</v>
      </c>
      <c r="AA399" t="s">
        <v>170</v>
      </c>
      <c r="AB399" t="s">
        <v>167</v>
      </c>
      <c r="AC399" t="s">
        <v>213</v>
      </c>
      <c r="AD399">
        <v>15</v>
      </c>
      <c r="AG399" t="s">
        <v>210</v>
      </c>
      <c r="AH399" t="s">
        <v>444</v>
      </c>
      <c r="AI399" t="s">
        <v>175</v>
      </c>
      <c r="AJ399" t="s">
        <v>176</v>
      </c>
      <c r="AK399" t="s">
        <v>940</v>
      </c>
      <c r="AL399" t="s">
        <v>941</v>
      </c>
      <c r="AO399">
        <v>155</v>
      </c>
      <c r="AP399">
        <v>18</v>
      </c>
      <c r="AS399">
        <v>2500</v>
      </c>
      <c r="AT399">
        <v>2500</v>
      </c>
      <c r="BN399" t="s">
        <v>178</v>
      </c>
      <c r="BO399">
        <v>2</v>
      </c>
      <c r="BP399">
        <v>2</v>
      </c>
      <c r="BQ399">
        <v>31</v>
      </c>
      <c r="BR399" t="s">
        <v>1219</v>
      </c>
      <c r="BT399" t="s">
        <v>181</v>
      </c>
      <c r="BU399" s="1">
        <v>45427</v>
      </c>
      <c r="BV399">
        <v>34579</v>
      </c>
      <c r="BX399" t="s">
        <v>170</v>
      </c>
      <c r="BY399" t="s">
        <v>170</v>
      </c>
      <c r="CB399" t="s">
        <v>170</v>
      </c>
      <c r="CC399" t="s">
        <v>170</v>
      </c>
      <c r="CE399" t="s">
        <v>170</v>
      </c>
      <c r="CG399" t="s">
        <v>169</v>
      </c>
      <c r="CH399" t="s">
        <v>760</v>
      </c>
      <c r="CI399" t="s">
        <v>170</v>
      </c>
      <c r="DJ399" t="s">
        <v>184</v>
      </c>
      <c r="DK399" t="s">
        <v>185</v>
      </c>
      <c r="DN399" t="s">
        <v>170</v>
      </c>
      <c r="DO399" t="s">
        <v>578</v>
      </c>
      <c r="DP399" t="s">
        <v>169</v>
      </c>
      <c r="DQ399" t="s">
        <v>198</v>
      </c>
      <c r="EB399">
        <v>4</v>
      </c>
      <c r="EC399">
        <v>4</v>
      </c>
      <c r="EE399" t="s">
        <v>1129</v>
      </c>
      <c r="EF399">
        <v>5</v>
      </c>
      <c r="EV399">
        <v>3000</v>
      </c>
      <c r="EW399">
        <v>462</v>
      </c>
      <c r="EX399">
        <v>367</v>
      </c>
      <c r="EY399">
        <v>420</v>
      </c>
    </row>
    <row r="400" spans="1:155" x14ac:dyDescent="0.35">
      <c r="A400">
        <v>2025</v>
      </c>
      <c r="B400" t="s">
        <v>569</v>
      </c>
      <c r="C400" t="s">
        <v>739</v>
      </c>
      <c r="D400" t="s">
        <v>1128</v>
      </c>
      <c r="E400" t="s">
        <v>572</v>
      </c>
      <c r="F400">
        <v>20</v>
      </c>
      <c r="G400">
        <v>3.8</v>
      </c>
      <c r="H400">
        <v>6</v>
      </c>
      <c r="I400" t="s">
        <v>192</v>
      </c>
      <c r="J400">
        <v>19</v>
      </c>
      <c r="K400">
        <v>26</v>
      </c>
      <c r="L400">
        <v>22</v>
      </c>
      <c r="M400">
        <v>24.3916</v>
      </c>
      <c r="N400">
        <v>37.425699999999999</v>
      </c>
      <c r="O400">
        <v>28.924700000000001</v>
      </c>
      <c r="P400">
        <v>19.360199999999999</v>
      </c>
      <c r="Q400">
        <v>26.4694</v>
      </c>
      <c r="R400">
        <v>22.021799999999999</v>
      </c>
      <c r="U400" t="s">
        <v>224</v>
      </c>
      <c r="V400" t="s">
        <v>193</v>
      </c>
      <c r="W400" t="s">
        <v>194</v>
      </c>
      <c r="Y400">
        <v>8</v>
      </c>
      <c r="Z400" t="s">
        <v>169</v>
      </c>
      <c r="AA400" t="s">
        <v>170</v>
      </c>
      <c r="AB400" t="s">
        <v>351</v>
      </c>
      <c r="AC400" t="s">
        <v>352</v>
      </c>
      <c r="AD400">
        <v>15</v>
      </c>
      <c r="AG400" t="s">
        <v>210</v>
      </c>
      <c r="AH400" t="s">
        <v>444</v>
      </c>
      <c r="AI400" t="s">
        <v>175</v>
      </c>
      <c r="AJ400" t="s">
        <v>176</v>
      </c>
      <c r="AK400" t="s">
        <v>940</v>
      </c>
      <c r="AL400" t="s">
        <v>941</v>
      </c>
      <c r="AO400">
        <v>155</v>
      </c>
      <c r="AP400">
        <v>18</v>
      </c>
      <c r="AS400">
        <v>2400</v>
      </c>
      <c r="AT400">
        <v>2400</v>
      </c>
      <c r="BN400" t="s">
        <v>178</v>
      </c>
      <c r="BO400">
        <v>2</v>
      </c>
      <c r="BP400">
        <v>2</v>
      </c>
      <c r="BQ400">
        <v>30</v>
      </c>
      <c r="BR400" t="s">
        <v>1099</v>
      </c>
      <c r="BT400" t="s">
        <v>181</v>
      </c>
      <c r="BU400" s="1">
        <v>45427</v>
      </c>
      <c r="BV400">
        <v>34580</v>
      </c>
      <c r="BX400" t="s">
        <v>170</v>
      </c>
      <c r="BY400" t="s">
        <v>170</v>
      </c>
      <c r="CB400" t="s">
        <v>170</v>
      </c>
      <c r="CC400" t="s">
        <v>170</v>
      </c>
      <c r="CE400" t="s">
        <v>170</v>
      </c>
      <c r="CG400" t="s">
        <v>169</v>
      </c>
      <c r="CH400" t="s">
        <v>760</v>
      </c>
      <c r="CI400" t="s">
        <v>170</v>
      </c>
      <c r="DJ400" t="s">
        <v>184</v>
      </c>
      <c r="DK400" t="s">
        <v>185</v>
      </c>
      <c r="DN400" t="s">
        <v>170</v>
      </c>
      <c r="DO400" t="s">
        <v>578</v>
      </c>
      <c r="DP400" t="s">
        <v>169</v>
      </c>
      <c r="DQ400" t="s">
        <v>198</v>
      </c>
      <c r="EB400">
        <v>5</v>
      </c>
      <c r="EC400">
        <v>5</v>
      </c>
      <c r="EE400" t="s">
        <v>1129</v>
      </c>
      <c r="EF400">
        <v>5</v>
      </c>
      <c r="EV400">
        <v>2500</v>
      </c>
      <c r="EW400">
        <v>458</v>
      </c>
      <c r="EX400">
        <v>336</v>
      </c>
      <c r="EY400">
        <v>403</v>
      </c>
    </row>
    <row r="401" spans="1:155" x14ac:dyDescent="0.35">
      <c r="A401">
        <v>2025</v>
      </c>
      <c r="B401" t="s">
        <v>569</v>
      </c>
      <c r="C401" t="s">
        <v>739</v>
      </c>
      <c r="D401" t="s">
        <v>1301</v>
      </c>
      <c r="E401" t="s">
        <v>572</v>
      </c>
      <c r="F401">
        <v>44</v>
      </c>
      <c r="G401">
        <v>2.5</v>
      </c>
      <c r="H401">
        <v>4</v>
      </c>
      <c r="I401" t="s">
        <v>192</v>
      </c>
      <c r="J401">
        <v>21</v>
      </c>
      <c r="K401">
        <v>29</v>
      </c>
      <c r="L401">
        <v>24</v>
      </c>
      <c r="M401">
        <v>27.3</v>
      </c>
      <c r="N401">
        <v>41.1</v>
      </c>
      <c r="O401">
        <v>32.159100000000002</v>
      </c>
      <c r="P401">
        <v>21.465900000000001</v>
      </c>
      <c r="Q401">
        <v>28.829000000000001</v>
      </c>
      <c r="R401">
        <v>24.253399999999999</v>
      </c>
      <c r="U401" t="s">
        <v>224</v>
      </c>
      <c r="V401" t="s">
        <v>193</v>
      </c>
      <c r="W401" t="s">
        <v>194</v>
      </c>
      <c r="Y401">
        <v>8</v>
      </c>
      <c r="Z401" t="s">
        <v>169</v>
      </c>
      <c r="AA401" t="s">
        <v>170</v>
      </c>
      <c r="AB401" t="s">
        <v>167</v>
      </c>
      <c r="AC401" t="s">
        <v>213</v>
      </c>
      <c r="AD401">
        <v>15</v>
      </c>
      <c r="AG401" t="s">
        <v>210</v>
      </c>
      <c r="AH401" t="s">
        <v>444</v>
      </c>
      <c r="AI401" t="s">
        <v>175</v>
      </c>
      <c r="AJ401" t="s">
        <v>176</v>
      </c>
      <c r="AK401" t="s">
        <v>940</v>
      </c>
      <c r="AL401" t="s">
        <v>941</v>
      </c>
      <c r="AS401">
        <v>2200</v>
      </c>
      <c r="AT401">
        <v>2200</v>
      </c>
      <c r="BN401" t="s">
        <v>265</v>
      </c>
      <c r="BO401">
        <v>2</v>
      </c>
      <c r="BP401">
        <v>2</v>
      </c>
      <c r="BQ401">
        <v>31</v>
      </c>
      <c r="BR401" t="s">
        <v>1219</v>
      </c>
      <c r="BT401" t="s">
        <v>181</v>
      </c>
      <c r="BU401" s="1">
        <v>45505</v>
      </c>
      <c r="BV401">
        <v>35326</v>
      </c>
      <c r="BX401" t="s">
        <v>170</v>
      </c>
      <c r="BY401" t="s">
        <v>170</v>
      </c>
      <c r="CB401" t="s">
        <v>170</v>
      </c>
      <c r="CC401" t="s">
        <v>170</v>
      </c>
      <c r="CE401" t="s">
        <v>170</v>
      </c>
      <c r="CG401" t="s">
        <v>169</v>
      </c>
      <c r="CH401" t="s">
        <v>858</v>
      </c>
      <c r="CI401" t="s">
        <v>170</v>
      </c>
      <c r="DJ401" t="s">
        <v>267</v>
      </c>
      <c r="DK401" t="s">
        <v>268</v>
      </c>
      <c r="DN401" t="s">
        <v>170</v>
      </c>
      <c r="DO401" t="s">
        <v>743</v>
      </c>
      <c r="DP401" t="s">
        <v>170</v>
      </c>
      <c r="DQ401" t="s">
        <v>187</v>
      </c>
      <c r="DR401" t="s">
        <v>1304</v>
      </c>
      <c r="EB401">
        <v>5</v>
      </c>
      <c r="EC401">
        <v>5</v>
      </c>
      <c r="EE401" t="s">
        <v>1132</v>
      </c>
      <c r="EF401">
        <v>6</v>
      </c>
      <c r="EV401">
        <v>1500</v>
      </c>
      <c r="EW401">
        <v>415</v>
      </c>
      <c r="EX401">
        <v>309</v>
      </c>
      <c r="EY401">
        <v>367</v>
      </c>
    </row>
    <row r="402" spans="1:155" x14ac:dyDescent="0.35">
      <c r="A402">
        <v>2025</v>
      </c>
      <c r="B402" t="s">
        <v>569</v>
      </c>
      <c r="C402" t="s">
        <v>739</v>
      </c>
      <c r="D402" t="s">
        <v>1301</v>
      </c>
      <c r="E402" t="s">
        <v>572</v>
      </c>
      <c r="F402">
        <v>46</v>
      </c>
      <c r="G402">
        <v>2.5</v>
      </c>
      <c r="H402">
        <v>4</v>
      </c>
      <c r="I402" t="s">
        <v>361</v>
      </c>
      <c r="J402">
        <v>19</v>
      </c>
      <c r="K402">
        <v>27</v>
      </c>
      <c r="L402">
        <v>22</v>
      </c>
      <c r="M402">
        <v>23.849900000000002</v>
      </c>
      <c r="N402">
        <v>38.6</v>
      </c>
      <c r="O402">
        <v>28.802700000000002</v>
      </c>
      <c r="P402">
        <v>18.9636</v>
      </c>
      <c r="Q402">
        <v>27.227699999999999</v>
      </c>
      <c r="R402">
        <v>21.9634</v>
      </c>
      <c r="T402" t="s">
        <v>165</v>
      </c>
      <c r="U402" t="s">
        <v>166</v>
      </c>
      <c r="V402" t="s">
        <v>211</v>
      </c>
      <c r="W402" t="s">
        <v>212</v>
      </c>
      <c r="Y402">
        <v>8</v>
      </c>
      <c r="Z402" t="s">
        <v>170</v>
      </c>
      <c r="AA402" t="s">
        <v>170</v>
      </c>
      <c r="AB402" t="s">
        <v>167</v>
      </c>
      <c r="AC402" t="s">
        <v>213</v>
      </c>
      <c r="AD402">
        <v>15</v>
      </c>
      <c r="AG402" t="s">
        <v>210</v>
      </c>
      <c r="AH402" t="s">
        <v>444</v>
      </c>
      <c r="AI402" t="s">
        <v>175</v>
      </c>
      <c r="AJ402" t="s">
        <v>176</v>
      </c>
      <c r="AK402" t="s">
        <v>940</v>
      </c>
      <c r="AL402" t="s">
        <v>941</v>
      </c>
      <c r="AS402">
        <v>2400</v>
      </c>
      <c r="AT402">
        <v>2400</v>
      </c>
      <c r="BN402" t="s">
        <v>265</v>
      </c>
      <c r="BO402">
        <v>2</v>
      </c>
      <c r="BP402">
        <v>2</v>
      </c>
      <c r="BQ402">
        <v>31</v>
      </c>
      <c r="BR402" t="s">
        <v>1219</v>
      </c>
      <c r="BT402" t="s">
        <v>181</v>
      </c>
      <c r="BU402" s="1">
        <v>45505</v>
      </c>
      <c r="BV402">
        <v>35301</v>
      </c>
      <c r="BX402" t="s">
        <v>170</v>
      </c>
      <c r="BY402" t="s">
        <v>170</v>
      </c>
      <c r="CB402" t="s">
        <v>170</v>
      </c>
      <c r="CC402" t="s">
        <v>170</v>
      </c>
      <c r="CE402" t="s">
        <v>170</v>
      </c>
      <c r="CG402" t="s">
        <v>169</v>
      </c>
      <c r="CH402" t="s">
        <v>858</v>
      </c>
      <c r="CI402" t="s">
        <v>170</v>
      </c>
      <c r="DJ402" t="s">
        <v>267</v>
      </c>
      <c r="DK402" t="s">
        <v>268</v>
      </c>
      <c r="DN402" t="s">
        <v>170</v>
      </c>
      <c r="DO402" t="s">
        <v>743</v>
      </c>
      <c r="DP402" t="s">
        <v>170</v>
      </c>
      <c r="DQ402" t="s">
        <v>187</v>
      </c>
      <c r="DR402" t="s">
        <v>1302</v>
      </c>
      <c r="EB402">
        <v>5</v>
      </c>
      <c r="EC402">
        <v>5</v>
      </c>
      <c r="EE402" t="s">
        <v>1303</v>
      </c>
      <c r="EF402">
        <v>6</v>
      </c>
      <c r="EV402">
        <v>2500</v>
      </c>
      <c r="EW402">
        <v>470</v>
      </c>
      <c r="EX402">
        <v>327</v>
      </c>
      <c r="EY402">
        <v>406</v>
      </c>
    </row>
    <row r="403" spans="1:155" x14ac:dyDescent="0.35">
      <c r="A403">
        <v>2025</v>
      </c>
      <c r="B403" t="s">
        <v>569</v>
      </c>
      <c r="C403" t="s">
        <v>739</v>
      </c>
      <c r="D403" t="s">
        <v>1130</v>
      </c>
      <c r="E403" t="s">
        <v>572</v>
      </c>
      <c r="F403">
        <v>45</v>
      </c>
      <c r="G403">
        <v>2.5</v>
      </c>
      <c r="H403">
        <v>4</v>
      </c>
      <c r="I403" t="s">
        <v>192</v>
      </c>
      <c r="J403">
        <v>22</v>
      </c>
      <c r="K403">
        <v>30</v>
      </c>
      <c r="L403">
        <v>25</v>
      </c>
      <c r="M403">
        <v>28</v>
      </c>
      <c r="N403">
        <v>43</v>
      </c>
      <c r="O403">
        <v>33.213799999999999</v>
      </c>
      <c r="P403">
        <v>21.966799999999999</v>
      </c>
      <c r="Q403">
        <v>30.033999999999999</v>
      </c>
      <c r="R403">
        <v>24.986999999999998</v>
      </c>
      <c r="U403" t="s">
        <v>224</v>
      </c>
      <c r="V403" t="s">
        <v>193</v>
      </c>
      <c r="W403" t="s">
        <v>194</v>
      </c>
      <c r="Y403">
        <v>8</v>
      </c>
      <c r="Z403" t="s">
        <v>169</v>
      </c>
      <c r="AA403" t="s">
        <v>170</v>
      </c>
      <c r="AB403" t="s">
        <v>351</v>
      </c>
      <c r="AC403" t="s">
        <v>352</v>
      </c>
      <c r="AD403">
        <v>15</v>
      </c>
      <c r="AG403" t="s">
        <v>210</v>
      </c>
      <c r="AH403" t="s">
        <v>444</v>
      </c>
      <c r="AI403" t="s">
        <v>175</v>
      </c>
      <c r="AJ403" t="s">
        <v>176</v>
      </c>
      <c r="AK403" t="s">
        <v>940</v>
      </c>
      <c r="AL403" t="s">
        <v>941</v>
      </c>
      <c r="AS403">
        <v>2100</v>
      </c>
      <c r="AT403">
        <v>2100</v>
      </c>
      <c r="BN403" t="s">
        <v>265</v>
      </c>
      <c r="BO403">
        <v>2</v>
      </c>
      <c r="BP403">
        <v>2</v>
      </c>
      <c r="BQ403">
        <v>30</v>
      </c>
      <c r="BR403" t="s">
        <v>1099</v>
      </c>
      <c r="BT403" t="s">
        <v>181</v>
      </c>
      <c r="BU403" s="1">
        <v>45505</v>
      </c>
      <c r="BV403">
        <v>35323</v>
      </c>
      <c r="BX403" t="s">
        <v>170</v>
      </c>
      <c r="BY403" t="s">
        <v>170</v>
      </c>
      <c r="CB403" t="s">
        <v>170</v>
      </c>
      <c r="CC403" t="s">
        <v>170</v>
      </c>
      <c r="CE403" t="s">
        <v>170</v>
      </c>
      <c r="CG403" t="s">
        <v>169</v>
      </c>
      <c r="CH403" t="s">
        <v>858</v>
      </c>
      <c r="CI403" t="s">
        <v>170</v>
      </c>
      <c r="DJ403" t="s">
        <v>267</v>
      </c>
      <c r="DK403" t="s">
        <v>268</v>
      </c>
      <c r="DN403" t="s">
        <v>170</v>
      </c>
      <c r="DO403" t="s">
        <v>743</v>
      </c>
      <c r="DP403" t="s">
        <v>170</v>
      </c>
      <c r="DQ403" t="s">
        <v>187</v>
      </c>
      <c r="DR403" t="s">
        <v>1131</v>
      </c>
      <c r="EB403">
        <v>5</v>
      </c>
      <c r="EC403">
        <v>5</v>
      </c>
      <c r="EE403" t="s">
        <v>1132</v>
      </c>
      <c r="EF403">
        <v>6</v>
      </c>
      <c r="EV403">
        <v>1000</v>
      </c>
      <c r="EW403">
        <v>405</v>
      </c>
      <c r="EX403">
        <v>296</v>
      </c>
      <c r="EY403">
        <v>356</v>
      </c>
    </row>
    <row r="404" spans="1:155" x14ac:dyDescent="0.35">
      <c r="A404">
        <v>2025</v>
      </c>
      <c r="B404" t="s">
        <v>569</v>
      </c>
      <c r="C404" t="s">
        <v>739</v>
      </c>
      <c r="D404" t="s">
        <v>1305</v>
      </c>
      <c r="E404" t="s">
        <v>572</v>
      </c>
      <c r="F404">
        <v>50</v>
      </c>
      <c r="G404">
        <v>2.5</v>
      </c>
      <c r="H404">
        <v>4</v>
      </c>
      <c r="I404" t="s">
        <v>361</v>
      </c>
      <c r="J404">
        <v>18</v>
      </c>
      <c r="K404">
        <v>26</v>
      </c>
      <c r="L404">
        <v>21</v>
      </c>
      <c r="M404">
        <v>23</v>
      </c>
      <c r="N404">
        <v>37.299999999999997</v>
      </c>
      <c r="O404">
        <v>27.795200000000001</v>
      </c>
      <c r="P404">
        <v>18.3385</v>
      </c>
      <c r="Q404">
        <v>26.387899999999998</v>
      </c>
      <c r="R404">
        <v>21.2563</v>
      </c>
      <c r="T404" t="s">
        <v>165</v>
      </c>
      <c r="U404" t="s">
        <v>166</v>
      </c>
      <c r="V404" t="s">
        <v>211</v>
      </c>
      <c r="W404" t="s">
        <v>212</v>
      </c>
      <c r="Y404">
        <v>8</v>
      </c>
      <c r="Z404" t="s">
        <v>170</v>
      </c>
      <c r="AA404" t="s">
        <v>170</v>
      </c>
      <c r="AB404" t="s">
        <v>167</v>
      </c>
      <c r="AC404" t="s">
        <v>213</v>
      </c>
      <c r="AD404">
        <v>15</v>
      </c>
      <c r="AG404" t="s">
        <v>210</v>
      </c>
      <c r="AH404" t="s">
        <v>444</v>
      </c>
      <c r="AI404" t="s">
        <v>175</v>
      </c>
      <c r="AJ404" t="s">
        <v>176</v>
      </c>
      <c r="AK404" t="s">
        <v>940</v>
      </c>
      <c r="AL404" t="s">
        <v>941</v>
      </c>
      <c r="AS404">
        <v>2500</v>
      </c>
      <c r="AT404">
        <v>2500</v>
      </c>
      <c r="BN404" t="s">
        <v>265</v>
      </c>
      <c r="BO404">
        <v>2</v>
      </c>
      <c r="BP404">
        <v>2</v>
      </c>
      <c r="BQ404">
        <v>31</v>
      </c>
      <c r="BR404" t="s">
        <v>1219</v>
      </c>
      <c r="BT404" t="s">
        <v>181</v>
      </c>
      <c r="BU404" s="1">
        <v>45505</v>
      </c>
      <c r="BV404">
        <v>35304</v>
      </c>
      <c r="BX404" t="s">
        <v>169</v>
      </c>
      <c r="BY404" t="s">
        <v>170</v>
      </c>
      <c r="CB404" t="s">
        <v>170</v>
      </c>
      <c r="CC404" t="s">
        <v>170</v>
      </c>
      <c r="CE404" t="s">
        <v>170</v>
      </c>
      <c r="CG404" t="s">
        <v>169</v>
      </c>
      <c r="CH404" t="s">
        <v>858</v>
      </c>
      <c r="CI404" t="s">
        <v>170</v>
      </c>
      <c r="DJ404" t="s">
        <v>267</v>
      </c>
      <c r="DK404" t="s">
        <v>268</v>
      </c>
      <c r="DN404" t="s">
        <v>170</v>
      </c>
      <c r="DO404" t="s">
        <v>743</v>
      </c>
      <c r="DP404" t="s">
        <v>170</v>
      </c>
      <c r="DQ404" t="s">
        <v>187</v>
      </c>
      <c r="DR404" t="s">
        <v>1306</v>
      </c>
      <c r="EB404">
        <v>4</v>
      </c>
      <c r="EC404">
        <v>4</v>
      </c>
      <c r="EE404" t="s">
        <v>1303</v>
      </c>
      <c r="EF404">
        <v>6</v>
      </c>
      <c r="EV404">
        <v>3000</v>
      </c>
      <c r="EW404">
        <v>485</v>
      </c>
      <c r="EX404">
        <v>338</v>
      </c>
      <c r="EY404">
        <v>419</v>
      </c>
    </row>
    <row r="405" spans="1:155" x14ac:dyDescent="0.35">
      <c r="A405">
        <v>2025</v>
      </c>
      <c r="B405" t="s">
        <v>569</v>
      </c>
      <c r="C405" t="s">
        <v>739</v>
      </c>
      <c r="D405" t="s">
        <v>1307</v>
      </c>
      <c r="E405" t="s">
        <v>572</v>
      </c>
      <c r="F405">
        <v>48</v>
      </c>
      <c r="G405">
        <v>2.5</v>
      </c>
      <c r="H405">
        <v>4</v>
      </c>
      <c r="I405" t="s">
        <v>361</v>
      </c>
      <c r="J405">
        <v>20</v>
      </c>
      <c r="K405">
        <v>28</v>
      </c>
      <c r="L405">
        <v>23</v>
      </c>
      <c r="M405">
        <v>25.0215</v>
      </c>
      <c r="N405">
        <v>39.664000000000001</v>
      </c>
      <c r="O405">
        <v>30.0062</v>
      </c>
      <c r="P405">
        <v>19.819600000000001</v>
      </c>
      <c r="Q405">
        <v>27.9114</v>
      </c>
      <c r="R405">
        <v>22.793199999999999</v>
      </c>
      <c r="T405" t="s">
        <v>165</v>
      </c>
      <c r="U405" t="s">
        <v>166</v>
      </c>
      <c r="V405" t="s">
        <v>211</v>
      </c>
      <c r="W405" t="s">
        <v>212</v>
      </c>
      <c r="Y405">
        <v>8</v>
      </c>
      <c r="Z405" t="s">
        <v>170</v>
      </c>
      <c r="AA405" t="s">
        <v>170</v>
      </c>
      <c r="AB405" t="s">
        <v>167</v>
      </c>
      <c r="AC405" t="s">
        <v>213</v>
      </c>
      <c r="AD405">
        <v>15</v>
      </c>
      <c r="AG405" t="s">
        <v>210</v>
      </c>
      <c r="AH405" t="s">
        <v>444</v>
      </c>
      <c r="AI405" t="s">
        <v>175</v>
      </c>
      <c r="AJ405" t="s">
        <v>176</v>
      </c>
      <c r="AK405" t="s">
        <v>940</v>
      </c>
      <c r="AL405" t="s">
        <v>941</v>
      </c>
      <c r="AS405">
        <v>2300</v>
      </c>
      <c r="AT405">
        <v>2300</v>
      </c>
      <c r="BN405" t="s">
        <v>265</v>
      </c>
      <c r="BO405">
        <v>2</v>
      </c>
      <c r="BP405">
        <v>2</v>
      </c>
      <c r="BQ405">
        <v>31</v>
      </c>
      <c r="BR405" t="s">
        <v>1219</v>
      </c>
      <c r="BT405" t="s">
        <v>181</v>
      </c>
      <c r="BU405" s="1">
        <v>45505</v>
      </c>
      <c r="BV405">
        <v>35266</v>
      </c>
      <c r="BX405" t="s">
        <v>170</v>
      </c>
      <c r="BY405" t="s">
        <v>170</v>
      </c>
      <c r="CB405" t="s">
        <v>170</v>
      </c>
      <c r="CC405" t="s">
        <v>170</v>
      </c>
      <c r="CE405" t="s">
        <v>170</v>
      </c>
      <c r="CG405" t="s">
        <v>169</v>
      </c>
      <c r="CH405" t="s">
        <v>742</v>
      </c>
      <c r="CI405" t="s">
        <v>170</v>
      </c>
      <c r="DJ405" t="s">
        <v>267</v>
      </c>
      <c r="DK405" t="s">
        <v>268</v>
      </c>
      <c r="DN405" t="s">
        <v>170</v>
      </c>
      <c r="DO405" t="s">
        <v>754</v>
      </c>
      <c r="DP405" t="s">
        <v>169</v>
      </c>
      <c r="DQ405" t="s">
        <v>198</v>
      </c>
      <c r="EB405">
        <v>5</v>
      </c>
      <c r="EC405">
        <v>5</v>
      </c>
      <c r="EE405" t="s">
        <v>1134</v>
      </c>
      <c r="EF405">
        <v>6</v>
      </c>
      <c r="EV405">
        <v>2000</v>
      </c>
      <c r="EW405">
        <v>449</v>
      </c>
      <c r="EX405">
        <v>319</v>
      </c>
      <c r="EY405">
        <v>390</v>
      </c>
    </row>
    <row r="406" spans="1:155" x14ac:dyDescent="0.35">
      <c r="A406">
        <v>2025</v>
      </c>
      <c r="B406" t="s">
        <v>569</v>
      </c>
      <c r="C406" t="s">
        <v>739</v>
      </c>
      <c r="D406" t="s">
        <v>1308</v>
      </c>
      <c r="E406" t="s">
        <v>572</v>
      </c>
      <c r="F406">
        <v>47</v>
      </c>
      <c r="G406">
        <v>2.5</v>
      </c>
      <c r="H406">
        <v>4</v>
      </c>
      <c r="I406" t="s">
        <v>361</v>
      </c>
      <c r="J406">
        <v>19</v>
      </c>
      <c r="K406">
        <v>26</v>
      </c>
      <c r="L406">
        <v>22</v>
      </c>
      <c r="M406">
        <v>24.3</v>
      </c>
      <c r="N406">
        <v>36.4</v>
      </c>
      <c r="O406">
        <v>28.574400000000001</v>
      </c>
      <c r="P406">
        <v>19.293199999999999</v>
      </c>
      <c r="Q406">
        <v>25.803699999999999</v>
      </c>
      <c r="R406">
        <v>21.764299999999999</v>
      </c>
      <c r="T406" t="s">
        <v>165</v>
      </c>
      <c r="U406" t="s">
        <v>166</v>
      </c>
      <c r="V406" t="s">
        <v>211</v>
      </c>
      <c r="W406" t="s">
        <v>212</v>
      </c>
      <c r="Y406">
        <v>8</v>
      </c>
      <c r="Z406" t="s">
        <v>170</v>
      </c>
      <c r="AA406" t="s">
        <v>170</v>
      </c>
      <c r="AB406" t="s">
        <v>167</v>
      </c>
      <c r="AC406" t="s">
        <v>213</v>
      </c>
      <c r="AD406">
        <v>15</v>
      </c>
      <c r="AG406" t="s">
        <v>210</v>
      </c>
      <c r="AH406" t="s">
        <v>444</v>
      </c>
      <c r="AI406" t="s">
        <v>175</v>
      </c>
      <c r="AJ406" t="s">
        <v>176</v>
      </c>
      <c r="AK406" t="s">
        <v>940</v>
      </c>
      <c r="AL406" t="s">
        <v>941</v>
      </c>
      <c r="AS406">
        <v>2400</v>
      </c>
      <c r="AT406">
        <v>2400</v>
      </c>
      <c r="BN406" t="s">
        <v>265</v>
      </c>
      <c r="BO406">
        <v>2</v>
      </c>
      <c r="BP406">
        <v>2</v>
      </c>
      <c r="BQ406">
        <v>31</v>
      </c>
      <c r="BR406" t="s">
        <v>1219</v>
      </c>
      <c r="BT406" t="s">
        <v>181</v>
      </c>
      <c r="BU406" s="1">
        <v>45505</v>
      </c>
      <c r="BV406">
        <v>35265</v>
      </c>
      <c r="BX406" t="s">
        <v>169</v>
      </c>
      <c r="BY406" t="s">
        <v>170</v>
      </c>
      <c r="CB406" t="s">
        <v>170</v>
      </c>
      <c r="CC406" t="s">
        <v>170</v>
      </c>
      <c r="CE406" t="s">
        <v>170</v>
      </c>
      <c r="CG406" t="s">
        <v>169</v>
      </c>
      <c r="CH406" t="s">
        <v>742</v>
      </c>
      <c r="CI406" t="s">
        <v>170</v>
      </c>
      <c r="DJ406" t="s">
        <v>267</v>
      </c>
      <c r="DK406" t="s">
        <v>268</v>
      </c>
      <c r="DN406" t="s">
        <v>170</v>
      </c>
      <c r="DO406" t="s">
        <v>754</v>
      </c>
      <c r="DP406" t="s">
        <v>169</v>
      </c>
      <c r="DQ406" t="s">
        <v>198</v>
      </c>
      <c r="EB406">
        <v>5</v>
      </c>
      <c r="EC406">
        <v>5</v>
      </c>
      <c r="EE406" t="s">
        <v>1134</v>
      </c>
      <c r="EF406">
        <v>6</v>
      </c>
      <c r="EV406">
        <v>2500</v>
      </c>
      <c r="EW406">
        <v>461</v>
      </c>
      <c r="EX406">
        <v>346</v>
      </c>
      <c r="EY406">
        <v>409</v>
      </c>
    </row>
    <row r="407" spans="1:155" x14ac:dyDescent="0.35">
      <c r="A407">
        <v>2025</v>
      </c>
      <c r="B407" t="s">
        <v>569</v>
      </c>
      <c r="C407" t="s">
        <v>739</v>
      </c>
      <c r="D407" t="s">
        <v>1133</v>
      </c>
      <c r="E407" t="s">
        <v>572</v>
      </c>
      <c r="F407">
        <v>49</v>
      </c>
      <c r="G407">
        <v>2.5</v>
      </c>
      <c r="H407">
        <v>4</v>
      </c>
      <c r="I407" t="s">
        <v>361</v>
      </c>
      <c r="J407">
        <v>20</v>
      </c>
      <c r="K407">
        <v>29</v>
      </c>
      <c r="L407">
        <v>24</v>
      </c>
      <c r="M407">
        <v>25.876799999999999</v>
      </c>
      <c r="N407">
        <v>41.989899999999999</v>
      </c>
      <c r="O407">
        <v>31.277899999999999</v>
      </c>
      <c r="P407">
        <v>20.4404</v>
      </c>
      <c r="Q407">
        <v>29.394600000000001</v>
      </c>
      <c r="R407">
        <v>23.6875</v>
      </c>
      <c r="T407" t="s">
        <v>165</v>
      </c>
      <c r="U407" t="s">
        <v>166</v>
      </c>
      <c r="V407" t="s">
        <v>211</v>
      </c>
      <c r="W407" t="s">
        <v>212</v>
      </c>
      <c r="Y407">
        <v>8</v>
      </c>
      <c r="Z407" t="s">
        <v>170</v>
      </c>
      <c r="AA407" t="s">
        <v>170</v>
      </c>
      <c r="AB407" t="s">
        <v>351</v>
      </c>
      <c r="AC407" t="s">
        <v>352</v>
      </c>
      <c r="AD407">
        <v>15</v>
      </c>
      <c r="AG407" t="s">
        <v>210</v>
      </c>
      <c r="AH407" t="s">
        <v>444</v>
      </c>
      <c r="AI407" t="s">
        <v>175</v>
      </c>
      <c r="AJ407" t="s">
        <v>176</v>
      </c>
      <c r="AK407" t="s">
        <v>940</v>
      </c>
      <c r="AL407" t="s">
        <v>941</v>
      </c>
      <c r="AS407">
        <v>2200</v>
      </c>
      <c r="AT407">
        <v>2200</v>
      </c>
      <c r="BN407" t="s">
        <v>265</v>
      </c>
      <c r="BO407">
        <v>2</v>
      </c>
      <c r="BP407">
        <v>2</v>
      </c>
      <c r="BQ407">
        <v>30</v>
      </c>
      <c r="BR407" t="s">
        <v>1099</v>
      </c>
      <c r="BT407" t="s">
        <v>181</v>
      </c>
      <c r="BU407" s="1">
        <v>45505</v>
      </c>
      <c r="BV407">
        <v>35267</v>
      </c>
      <c r="BX407" t="s">
        <v>170</v>
      </c>
      <c r="BY407" t="s">
        <v>170</v>
      </c>
      <c r="CB407" t="s">
        <v>170</v>
      </c>
      <c r="CC407" t="s">
        <v>170</v>
      </c>
      <c r="CE407" t="s">
        <v>170</v>
      </c>
      <c r="CG407" t="s">
        <v>169</v>
      </c>
      <c r="CH407" t="s">
        <v>742</v>
      </c>
      <c r="CI407" t="s">
        <v>170</v>
      </c>
      <c r="DJ407" t="s">
        <v>267</v>
      </c>
      <c r="DK407" t="s">
        <v>268</v>
      </c>
      <c r="DN407" t="s">
        <v>170</v>
      </c>
      <c r="DO407" t="s">
        <v>754</v>
      </c>
      <c r="DP407" t="s">
        <v>169</v>
      </c>
      <c r="DQ407" t="s">
        <v>198</v>
      </c>
      <c r="EB407">
        <v>5</v>
      </c>
      <c r="EC407">
        <v>5</v>
      </c>
      <c r="EE407" t="s">
        <v>1134</v>
      </c>
      <c r="EF407">
        <v>6</v>
      </c>
      <c r="EV407">
        <v>1500</v>
      </c>
      <c r="EW407">
        <v>435</v>
      </c>
      <c r="EX407">
        <v>303</v>
      </c>
      <c r="EY407">
        <v>376</v>
      </c>
    </row>
    <row r="408" spans="1:155" x14ac:dyDescent="0.35">
      <c r="A408">
        <v>2025</v>
      </c>
      <c r="B408" t="s">
        <v>569</v>
      </c>
      <c r="C408" t="s">
        <v>739</v>
      </c>
      <c r="D408" t="s">
        <v>1309</v>
      </c>
      <c r="E408" t="s">
        <v>572</v>
      </c>
      <c r="F408">
        <v>21</v>
      </c>
      <c r="G408">
        <v>1.6</v>
      </c>
      <c r="H408">
        <v>4</v>
      </c>
      <c r="I408" t="s">
        <v>747</v>
      </c>
      <c r="J408">
        <v>35</v>
      </c>
      <c r="K408">
        <v>34</v>
      </c>
      <c r="L408">
        <v>34</v>
      </c>
      <c r="M408">
        <v>46.642400000000002</v>
      </c>
      <c r="N408">
        <v>46.174900000000001</v>
      </c>
      <c r="O408">
        <v>46.430900000000001</v>
      </c>
      <c r="P408">
        <v>34.752299999999998</v>
      </c>
      <c r="Q408">
        <v>34.0167</v>
      </c>
      <c r="R408">
        <v>34.417400000000001</v>
      </c>
      <c r="T408" t="s">
        <v>165</v>
      </c>
      <c r="U408" t="s">
        <v>166</v>
      </c>
      <c r="V408" t="s">
        <v>211</v>
      </c>
      <c r="W408" t="s">
        <v>212</v>
      </c>
      <c r="Y408">
        <v>6</v>
      </c>
      <c r="Z408" t="s">
        <v>170</v>
      </c>
      <c r="AA408" t="s">
        <v>170</v>
      </c>
      <c r="AB408" t="s">
        <v>167</v>
      </c>
      <c r="AC408" t="s">
        <v>213</v>
      </c>
      <c r="AD408">
        <v>15</v>
      </c>
      <c r="AG408" t="s">
        <v>210</v>
      </c>
      <c r="AH408" t="s">
        <v>444</v>
      </c>
      <c r="AI408" t="s">
        <v>175</v>
      </c>
      <c r="AJ408" t="s">
        <v>176</v>
      </c>
      <c r="AK408" t="s">
        <v>940</v>
      </c>
      <c r="AL408" t="s">
        <v>941</v>
      </c>
      <c r="AS408">
        <v>1550</v>
      </c>
      <c r="AT408">
        <v>1550</v>
      </c>
      <c r="BN408" t="s">
        <v>232</v>
      </c>
      <c r="BO408">
        <v>2</v>
      </c>
      <c r="BP408">
        <v>2</v>
      </c>
      <c r="BQ408">
        <v>31</v>
      </c>
      <c r="BR408" t="s">
        <v>1219</v>
      </c>
      <c r="BT408" t="s">
        <v>225</v>
      </c>
      <c r="BU408" s="1">
        <v>45505</v>
      </c>
      <c r="BV408">
        <v>35028</v>
      </c>
      <c r="BX408" t="s">
        <v>170</v>
      </c>
      <c r="BY408" t="s">
        <v>170</v>
      </c>
      <c r="CB408" t="s">
        <v>170</v>
      </c>
      <c r="CC408" t="s">
        <v>170</v>
      </c>
      <c r="CE408" t="s">
        <v>170</v>
      </c>
      <c r="CG408" t="s">
        <v>169</v>
      </c>
      <c r="CH408" t="s">
        <v>1136</v>
      </c>
      <c r="CI408" t="s">
        <v>170</v>
      </c>
      <c r="CK408" t="s">
        <v>233</v>
      </c>
      <c r="CM408">
        <v>1</v>
      </c>
      <c r="CN408" t="s">
        <v>234</v>
      </c>
      <c r="CP408">
        <v>270</v>
      </c>
      <c r="CQ408">
        <v>5.5</v>
      </c>
      <c r="CR408">
        <v>40.1</v>
      </c>
      <c r="CS408" t="s">
        <v>235</v>
      </c>
      <c r="CV408" t="s">
        <v>341</v>
      </c>
      <c r="CX408" t="s">
        <v>729</v>
      </c>
      <c r="CY408" t="s">
        <v>169</v>
      </c>
      <c r="DD408">
        <v>1</v>
      </c>
      <c r="DE408" t="s">
        <v>404</v>
      </c>
      <c r="DF408" t="s">
        <v>427</v>
      </c>
      <c r="DG408">
        <v>48</v>
      </c>
      <c r="DJ408" t="s">
        <v>184</v>
      </c>
      <c r="DK408" t="s">
        <v>185</v>
      </c>
      <c r="DL408" t="s">
        <v>170</v>
      </c>
      <c r="DM408" t="s">
        <v>170</v>
      </c>
      <c r="DN408" t="s">
        <v>170</v>
      </c>
      <c r="DO408" t="s">
        <v>1137</v>
      </c>
      <c r="DP408" t="s">
        <v>169</v>
      </c>
      <c r="DQ408" t="s">
        <v>198</v>
      </c>
      <c r="EB408">
        <v>7</v>
      </c>
      <c r="EC408">
        <v>7</v>
      </c>
      <c r="EE408" t="s">
        <v>1138</v>
      </c>
      <c r="EF408">
        <v>6</v>
      </c>
      <c r="EU408">
        <v>1750</v>
      </c>
      <c r="EW408">
        <v>255</v>
      </c>
      <c r="EX408">
        <v>262</v>
      </c>
      <c r="EY408">
        <v>258</v>
      </c>
    </row>
    <row r="409" spans="1:155" x14ac:dyDescent="0.35">
      <c r="A409">
        <v>2025</v>
      </c>
      <c r="B409" t="s">
        <v>569</v>
      </c>
      <c r="C409" t="s">
        <v>739</v>
      </c>
      <c r="D409" t="s">
        <v>1135</v>
      </c>
      <c r="E409" t="s">
        <v>572</v>
      </c>
      <c r="F409">
        <v>22</v>
      </c>
      <c r="G409">
        <v>1.6</v>
      </c>
      <c r="H409">
        <v>4</v>
      </c>
      <c r="I409" t="s">
        <v>747</v>
      </c>
      <c r="J409">
        <v>36</v>
      </c>
      <c r="K409">
        <v>35</v>
      </c>
      <c r="L409">
        <v>36</v>
      </c>
      <c r="M409">
        <v>47.7453</v>
      </c>
      <c r="N409">
        <v>48.2408</v>
      </c>
      <c r="O409">
        <v>47.966999999999999</v>
      </c>
      <c r="P409">
        <v>35.948700000000002</v>
      </c>
      <c r="Q409">
        <v>35.290799999999997</v>
      </c>
      <c r="R409">
        <v>35.6496</v>
      </c>
      <c r="T409" t="s">
        <v>165</v>
      </c>
      <c r="U409" t="s">
        <v>166</v>
      </c>
      <c r="V409" t="s">
        <v>211</v>
      </c>
      <c r="W409" t="s">
        <v>212</v>
      </c>
      <c r="Y409">
        <v>6</v>
      </c>
      <c r="Z409" t="s">
        <v>170</v>
      </c>
      <c r="AA409" t="s">
        <v>170</v>
      </c>
      <c r="AB409" t="s">
        <v>351</v>
      </c>
      <c r="AC409" t="s">
        <v>352</v>
      </c>
      <c r="AD409">
        <v>15</v>
      </c>
      <c r="AG409" t="s">
        <v>210</v>
      </c>
      <c r="AH409" t="s">
        <v>444</v>
      </c>
      <c r="AI409" t="s">
        <v>175</v>
      </c>
      <c r="AJ409" t="s">
        <v>176</v>
      </c>
      <c r="AK409" t="s">
        <v>940</v>
      </c>
      <c r="AL409" t="s">
        <v>941</v>
      </c>
      <c r="AS409">
        <v>1450</v>
      </c>
      <c r="AT409">
        <v>1450</v>
      </c>
      <c r="BN409" t="s">
        <v>232</v>
      </c>
      <c r="BO409">
        <v>2</v>
      </c>
      <c r="BP409">
        <v>2</v>
      </c>
      <c r="BQ409">
        <v>30</v>
      </c>
      <c r="BR409" t="s">
        <v>1099</v>
      </c>
      <c r="BT409" t="s">
        <v>225</v>
      </c>
      <c r="BU409" s="1">
        <v>45505</v>
      </c>
      <c r="BV409">
        <v>35029</v>
      </c>
      <c r="BX409" t="s">
        <v>170</v>
      </c>
      <c r="BY409" t="s">
        <v>170</v>
      </c>
      <c r="CB409" t="s">
        <v>170</v>
      </c>
      <c r="CC409" t="s">
        <v>170</v>
      </c>
      <c r="CE409" t="s">
        <v>170</v>
      </c>
      <c r="CG409" t="s">
        <v>169</v>
      </c>
      <c r="CH409" t="s">
        <v>1136</v>
      </c>
      <c r="CI409" t="s">
        <v>170</v>
      </c>
      <c r="CK409" t="s">
        <v>233</v>
      </c>
      <c r="CM409">
        <v>1</v>
      </c>
      <c r="CN409" t="s">
        <v>234</v>
      </c>
      <c r="CP409">
        <v>270</v>
      </c>
      <c r="CQ409">
        <v>5.5</v>
      </c>
      <c r="CR409">
        <v>40.1</v>
      </c>
      <c r="CS409" t="s">
        <v>235</v>
      </c>
      <c r="CV409" t="s">
        <v>341</v>
      </c>
      <c r="CX409" t="s">
        <v>729</v>
      </c>
      <c r="CY409" t="s">
        <v>169</v>
      </c>
      <c r="DD409">
        <v>1</v>
      </c>
      <c r="DE409" t="s">
        <v>404</v>
      </c>
      <c r="DF409" t="s">
        <v>427</v>
      </c>
      <c r="DG409">
        <v>48</v>
      </c>
      <c r="DJ409" t="s">
        <v>184</v>
      </c>
      <c r="DK409" t="s">
        <v>185</v>
      </c>
      <c r="DL409" t="s">
        <v>170</v>
      </c>
      <c r="DM409" t="s">
        <v>170</v>
      </c>
      <c r="DN409" t="s">
        <v>170</v>
      </c>
      <c r="DO409" t="s">
        <v>1137</v>
      </c>
      <c r="DP409" t="s">
        <v>169</v>
      </c>
      <c r="DQ409" t="s">
        <v>198</v>
      </c>
      <c r="EB409">
        <v>7</v>
      </c>
      <c r="EC409">
        <v>7</v>
      </c>
      <c r="EE409" t="s">
        <v>1138</v>
      </c>
      <c r="EF409">
        <v>6</v>
      </c>
      <c r="EU409">
        <v>2250</v>
      </c>
      <c r="EW409">
        <v>246</v>
      </c>
      <c r="EX409">
        <v>252</v>
      </c>
      <c r="EY409">
        <v>249</v>
      </c>
    </row>
    <row r="410" spans="1:155" x14ac:dyDescent="0.35">
      <c r="A410">
        <v>2025</v>
      </c>
      <c r="B410" t="s">
        <v>569</v>
      </c>
      <c r="C410" t="s">
        <v>739</v>
      </c>
      <c r="D410" t="s">
        <v>854</v>
      </c>
      <c r="E410" t="s">
        <v>572</v>
      </c>
      <c r="F410">
        <v>38</v>
      </c>
      <c r="G410">
        <v>2.5</v>
      </c>
      <c r="H410">
        <v>4</v>
      </c>
      <c r="I410" t="s">
        <v>192</v>
      </c>
      <c r="J410">
        <v>25</v>
      </c>
      <c r="K410">
        <v>34</v>
      </c>
      <c r="L410">
        <v>28</v>
      </c>
      <c r="M410">
        <v>31.8</v>
      </c>
      <c r="N410">
        <v>49.7</v>
      </c>
      <c r="O410">
        <v>37.950800000000001</v>
      </c>
      <c r="P410">
        <v>24.647500000000001</v>
      </c>
      <c r="Q410">
        <v>34.2029</v>
      </c>
      <c r="R410">
        <v>28.191700000000001</v>
      </c>
      <c r="U410" t="s">
        <v>224</v>
      </c>
      <c r="V410" t="s">
        <v>193</v>
      </c>
      <c r="W410" t="s">
        <v>194</v>
      </c>
      <c r="Y410">
        <v>8</v>
      </c>
      <c r="Z410" t="s">
        <v>169</v>
      </c>
      <c r="AA410" t="s">
        <v>170</v>
      </c>
      <c r="AB410" t="s">
        <v>167</v>
      </c>
      <c r="AC410" t="s">
        <v>213</v>
      </c>
      <c r="AD410">
        <v>15</v>
      </c>
      <c r="AG410" t="s">
        <v>210</v>
      </c>
      <c r="AH410" t="s">
        <v>444</v>
      </c>
      <c r="AI410" t="s">
        <v>175</v>
      </c>
      <c r="AJ410" t="s">
        <v>176</v>
      </c>
      <c r="AK410" t="s">
        <v>170</v>
      </c>
      <c r="AL410" t="s">
        <v>177</v>
      </c>
      <c r="AO410">
        <v>104</v>
      </c>
      <c r="AP410">
        <v>16</v>
      </c>
      <c r="AS410">
        <v>1900</v>
      </c>
      <c r="AT410">
        <v>1900</v>
      </c>
      <c r="BN410" t="s">
        <v>265</v>
      </c>
      <c r="BO410">
        <v>2</v>
      </c>
      <c r="BP410">
        <v>2</v>
      </c>
      <c r="BQ410">
        <v>6</v>
      </c>
      <c r="BR410" t="s">
        <v>825</v>
      </c>
      <c r="BS410" t="s">
        <v>180</v>
      </c>
      <c r="BT410" t="s">
        <v>181</v>
      </c>
      <c r="BU410" s="1">
        <v>45458</v>
      </c>
      <c r="BV410">
        <v>34939</v>
      </c>
      <c r="BX410" t="s">
        <v>170</v>
      </c>
      <c r="BY410" t="s">
        <v>170</v>
      </c>
      <c r="CB410" t="s">
        <v>170</v>
      </c>
      <c r="CC410" t="s">
        <v>170</v>
      </c>
      <c r="CE410" t="s">
        <v>170</v>
      </c>
      <c r="CG410" t="s">
        <v>169</v>
      </c>
      <c r="CH410" t="s">
        <v>855</v>
      </c>
      <c r="CI410" t="s">
        <v>170</v>
      </c>
      <c r="DJ410" t="s">
        <v>267</v>
      </c>
      <c r="DK410" t="s">
        <v>268</v>
      </c>
      <c r="DN410" t="s">
        <v>170</v>
      </c>
      <c r="DO410" t="s">
        <v>743</v>
      </c>
      <c r="DP410" t="s">
        <v>170</v>
      </c>
      <c r="DQ410" t="s">
        <v>187</v>
      </c>
      <c r="DY410">
        <v>38.200000000000003</v>
      </c>
      <c r="EB410">
        <v>6</v>
      </c>
      <c r="EC410">
        <v>6</v>
      </c>
      <c r="EE410" t="s">
        <v>856</v>
      </c>
      <c r="EF410">
        <v>6</v>
      </c>
      <c r="EU410">
        <v>0</v>
      </c>
      <c r="EW410">
        <v>361</v>
      </c>
      <c r="EX410">
        <v>260</v>
      </c>
      <c r="EY410">
        <v>316</v>
      </c>
    </row>
    <row r="411" spans="1:155" x14ac:dyDescent="0.35">
      <c r="A411">
        <v>2025</v>
      </c>
      <c r="B411" t="s">
        <v>569</v>
      </c>
      <c r="C411" t="s">
        <v>739</v>
      </c>
      <c r="D411" t="s">
        <v>857</v>
      </c>
      <c r="E411" t="s">
        <v>572</v>
      </c>
      <c r="F411">
        <v>39</v>
      </c>
      <c r="G411">
        <v>2.5</v>
      </c>
      <c r="H411">
        <v>4</v>
      </c>
      <c r="I411" t="s">
        <v>192</v>
      </c>
      <c r="J411">
        <v>25</v>
      </c>
      <c r="K411">
        <v>36</v>
      </c>
      <c r="L411">
        <v>29</v>
      </c>
      <c r="M411">
        <v>32.5062</v>
      </c>
      <c r="N411">
        <v>53.251100000000001</v>
      </c>
      <c r="O411">
        <v>39.415999999999997</v>
      </c>
      <c r="P411">
        <v>25.138500000000001</v>
      </c>
      <c r="Q411">
        <v>36.363199999999999</v>
      </c>
      <c r="R411">
        <v>29.1937</v>
      </c>
      <c r="U411" t="s">
        <v>224</v>
      </c>
      <c r="V411" t="s">
        <v>193</v>
      </c>
      <c r="W411" t="s">
        <v>194</v>
      </c>
      <c r="Y411">
        <v>8</v>
      </c>
      <c r="Z411" t="s">
        <v>169</v>
      </c>
      <c r="AA411" t="s">
        <v>170</v>
      </c>
      <c r="AB411" t="s">
        <v>351</v>
      </c>
      <c r="AC411" t="s">
        <v>352</v>
      </c>
      <c r="AD411">
        <v>15</v>
      </c>
      <c r="AG411" t="s">
        <v>210</v>
      </c>
      <c r="AH411" t="s">
        <v>444</v>
      </c>
      <c r="AI411" t="s">
        <v>175</v>
      </c>
      <c r="AJ411" t="s">
        <v>176</v>
      </c>
      <c r="AK411" t="s">
        <v>170</v>
      </c>
      <c r="AL411" t="s">
        <v>177</v>
      </c>
      <c r="AO411">
        <v>104</v>
      </c>
      <c r="AP411">
        <v>16</v>
      </c>
      <c r="AS411">
        <v>1800</v>
      </c>
      <c r="AT411">
        <v>1800</v>
      </c>
      <c r="BN411" t="s">
        <v>265</v>
      </c>
      <c r="BO411">
        <v>2</v>
      </c>
      <c r="BP411">
        <v>2</v>
      </c>
      <c r="BQ411">
        <v>6</v>
      </c>
      <c r="BR411" t="s">
        <v>825</v>
      </c>
      <c r="BS411" t="s">
        <v>180</v>
      </c>
      <c r="BT411" t="s">
        <v>181</v>
      </c>
      <c r="BU411" s="1">
        <v>45458</v>
      </c>
      <c r="BV411">
        <v>34984</v>
      </c>
      <c r="BX411" t="s">
        <v>170</v>
      </c>
      <c r="BY411" t="s">
        <v>170</v>
      </c>
      <c r="CB411" t="s">
        <v>170</v>
      </c>
      <c r="CC411" t="s">
        <v>170</v>
      </c>
      <c r="CE411" t="s">
        <v>170</v>
      </c>
      <c r="CG411" t="s">
        <v>169</v>
      </c>
      <c r="CH411" t="s">
        <v>855</v>
      </c>
      <c r="CI411" t="s">
        <v>170</v>
      </c>
      <c r="DJ411" t="s">
        <v>267</v>
      </c>
      <c r="DK411" t="s">
        <v>268</v>
      </c>
      <c r="DN411" t="s">
        <v>170</v>
      </c>
      <c r="DO411" t="s">
        <v>743</v>
      </c>
      <c r="DP411" t="s">
        <v>170</v>
      </c>
      <c r="DQ411" t="s">
        <v>187</v>
      </c>
      <c r="DR411" t="s">
        <v>860</v>
      </c>
      <c r="DY411">
        <v>39.799999999999997</v>
      </c>
      <c r="EB411">
        <v>6</v>
      </c>
      <c r="EC411">
        <v>6</v>
      </c>
      <c r="EE411" t="s">
        <v>856</v>
      </c>
      <c r="EF411">
        <v>6</v>
      </c>
      <c r="EU411">
        <v>500</v>
      </c>
      <c r="EW411">
        <v>354</v>
      </c>
      <c r="EX411">
        <v>245</v>
      </c>
      <c r="EY411">
        <v>305</v>
      </c>
    </row>
    <row r="412" spans="1:155" x14ac:dyDescent="0.35">
      <c r="A412">
        <v>2025</v>
      </c>
      <c r="B412" t="s">
        <v>569</v>
      </c>
      <c r="C412" t="s">
        <v>739</v>
      </c>
      <c r="D412" t="s">
        <v>857</v>
      </c>
      <c r="E412" t="s">
        <v>572</v>
      </c>
      <c r="F412">
        <v>40</v>
      </c>
      <c r="G412">
        <v>2.5</v>
      </c>
      <c r="H412">
        <v>4</v>
      </c>
      <c r="I412" t="s">
        <v>192</v>
      </c>
      <c r="J412">
        <v>28</v>
      </c>
      <c r="K412">
        <v>38</v>
      </c>
      <c r="L412">
        <v>32</v>
      </c>
      <c r="M412">
        <v>36.200000000000003</v>
      </c>
      <c r="N412">
        <v>56.599299999999999</v>
      </c>
      <c r="O412">
        <v>43.207700000000003</v>
      </c>
      <c r="P412">
        <v>27.671700000000001</v>
      </c>
      <c r="Q412">
        <v>38.369599999999998</v>
      </c>
      <c r="R412">
        <v>31.6416</v>
      </c>
      <c r="U412" t="s">
        <v>224</v>
      </c>
      <c r="V412" t="s">
        <v>193</v>
      </c>
      <c r="W412" t="s">
        <v>194</v>
      </c>
      <c r="Y412">
        <v>8</v>
      </c>
      <c r="Z412" t="s">
        <v>169</v>
      </c>
      <c r="AA412" t="s">
        <v>170</v>
      </c>
      <c r="AB412" t="s">
        <v>351</v>
      </c>
      <c r="AC412" t="s">
        <v>352</v>
      </c>
      <c r="AD412">
        <v>15</v>
      </c>
      <c r="AG412" t="s">
        <v>210</v>
      </c>
      <c r="AH412" t="s">
        <v>444</v>
      </c>
      <c r="AI412" t="s">
        <v>175</v>
      </c>
      <c r="AJ412" t="s">
        <v>176</v>
      </c>
      <c r="AK412" t="s">
        <v>170</v>
      </c>
      <c r="AL412" t="s">
        <v>177</v>
      </c>
      <c r="AO412">
        <v>104</v>
      </c>
      <c r="AP412">
        <v>16</v>
      </c>
      <c r="AS412">
        <v>1650</v>
      </c>
      <c r="AT412">
        <v>1650</v>
      </c>
      <c r="BN412" t="s">
        <v>265</v>
      </c>
      <c r="BO412">
        <v>2</v>
      </c>
      <c r="BP412">
        <v>2</v>
      </c>
      <c r="BQ412">
        <v>6</v>
      </c>
      <c r="BR412" t="s">
        <v>825</v>
      </c>
      <c r="BS412" t="s">
        <v>180</v>
      </c>
      <c r="BT412" t="s">
        <v>181</v>
      </c>
      <c r="BU412" s="1">
        <v>45458</v>
      </c>
      <c r="BV412">
        <v>34941</v>
      </c>
      <c r="BX412" t="s">
        <v>170</v>
      </c>
      <c r="BY412" t="s">
        <v>170</v>
      </c>
      <c r="CB412" t="s">
        <v>170</v>
      </c>
      <c r="CC412" t="s">
        <v>170</v>
      </c>
      <c r="CE412" t="s">
        <v>170</v>
      </c>
      <c r="CG412" t="s">
        <v>169</v>
      </c>
      <c r="CH412" t="s">
        <v>855</v>
      </c>
      <c r="CI412" t="s">
        <v>170</v>
      </c>
      <c r="DJ412" t="s">
        <v>267</v>
      </c>
      <c r="DK412" t="s">
        <v>268</v>
      </c>
      <c r="DN412" t="s">
        <v>170</v>
      </c>
      <c r="DO412" t="s">
        <v>743</v>
      </c>
      <c r="DP412" t="s">
        <v>169</v>
      </c>
      <c r="DQ412" t="s">
        <v>198</v>
      </c>
      <c r="DR412" t="s">
        <v>745</v>
      </c>
      <c r="DY412">
        <v>43.5</v>
      </c>
      <c r="EB412">
        <v>6</v>
      </c>
      <c r="EC412">
        <v>6</v>
      </c>
      <c r="EE412" t="s">
        <v>856</v>
      </c>
      <c r="EF412">
        <v>6</v>
      </c>
      <c r="EU412">
        <v>1250</v>
      </c>
      <c r="EW412">
        <v>322</v>
      </c>
      <c r="EX412">
        <v>232</v>
      </c>
      <c r="EY412">
        <v>281</v>
      </c>
    </row>
    <row r="413" spans="1:155" x14ac:dyDescent="0.35">
      <c r="A413">
        <v>2025</v>
      </c>
      <c r="B413" t="s">
        <v>569</v>
      </c>
      <c r="C413" t="s">
        <v>739</v>
      </c>
      <c r="D413" t="s">
        <v>857</v>
      </c>
      <c r="E413" t="s">
        <v>572</v>
      </c>
      <c r="F413">
        <v>41</v>
      </c>
      <c r="G413">
        <v>2.5</v>
      </c>
      <c r="H413">
        <v>4</v>
      </c>
      <c r="I413" t="s">
        <v>361</v>
      </c>
      <c r="J413">
        <v>23</v>
      </c>
      <c r="K413">
        <v>32</v>
      </c>
      <c r="L413">
        <v>27</v>
      </c>
      <c r="M413">
        <v>28.882999999999999</v>
      </c>
      <c r="N413">
        <v>45.457700000000003</v>
      </c>
      <c r="O413">
        <v>34.552300000000002</v>
      </c>
      <c r="P413">
        <v>23.381</v>
      </c>
      <c r="Q413">
        <v>32.018099999999997</v>
      </c>
      <c r="R413">
        <v>26.6114</v>
      </c>
      <c r="T413" t="s">
        <v>165</v>
      </c>
      <c r="U413" t="s">
        <v>166</v>
      </c>
      <c r="V413" t="s">
        <v>211</v>
      </c>
      <c r="W413" t="s">
        <v>212</v>
      </c>
      <c r="Y413">
        <v>8</v>
      </c>
      <c r="Z413" t="s">
        <v>170</v>
      </c>
      <c r="AA413" t="s">
        <v>170</v>
      </c>
      <c r="AB413" t="s">
        <v>351</v>
      </c>
      <c r="AC413" t="s">
        <v>352</v>
      </c>
      <c r="AD413">
        <v>15</v>
      </c>
      <c r="AG413" t="s">
        <v>210</v>
      </c>
      <c r="AH413" t="s">
        <v>444</v>
      </c>
      <c r="AI413" t="s">
        <v>175</v>
      </c>
      <c r="AJ413" t="s">
        <v>176</v>
      </c>
      <c r="AK413" t="s">
        <v>170</v>
      </c>
      <c r="AL413" t="s">
        <v>177</v>
      </c>
      <c r="AO413">
        <v>104</v>
      </c>
      <c r="AP413">
        <v>16</v>
      </c>
      <c r="AS413">
        <v>1950</v>
      </c>
      <c r="AT413">
        <v>1950</v>
      </c>
      <c r="BN413" t="s">
        <v>265</v>
      </c>
      <c r="BO413">
        <v>2</v>
      </c>
      <c r="BP413">
        <v>2</v>
      </c>
      <c r="BQ413">
        <v>6</v>
      </c>
      <c r="BR413" t="s">
        <v>825</v>
      </c>
      <c r="BS413" t="s">
        <v>180</v>
      </c>
      <c r="BT413" t="s">
        <v>225</v>
      </c>
      <c r="BU413" s="1">
        <v>45458</v>
      </c>
      <c r="BV413">
        <v>34983</v>
      </c>
      <c r="BX413" t="s">
        <v>170</v>
      </c>
      <c r="BY413" t="s">
        <v>170</v>
      </c>
      <c r="CB413" t="s">
        <v>170</v>
      </c>
      <c r="CC413" t="s">
        <v>170</v>
      </c>
      <c r="CE413" t="s">
        <v>170</v>
      </c>
      <c r="CG413" t="s">
        <v>169</v>
      </c>
      <c r="CH413" t="s">
        <v>858</v>
      </c>
      <c r="CI413" t="s">
        <v>170</v>
      </c>
      <c r="DJ413" t="s">
        <v>267</v>
      </c>
      <c r="DK413" t="s">
        <v>268</v>
      </c>
      <c r="DN413" t="s">
        <v>170</v>
      </c>
      <c r="DO413" t="s">
        <v>754</v>
      </c>
      <c r="DP413" t="s">
        <v>170</v>
      </c>
      <c r="DQ413" t="s">
        <v>187</v>
      </c>
      <c r="DY413">
        <v>34.799999999999997</v>
      </c>
      <c r="EB413">
        <v>5</v>
      </c>
      <c r="EC413">
        <v>5</v>
      </c>
      <c r="EE413" t="s">
        <v>859</v>
      </c>
      <c r="EF413">
        <v>4</v>
      </c>
      <c r="EV413">
        <v>250</v>
      </c>
      <c r="EW413">
        <v>378</v>
      </c>
      <c r="EX413">
        <v>277</v>
      </c>
      <c r="EY413">
        <v>333</v>
      </c>
    </row>
    <row r="414" spans="1:155" x14ac:dyDescent="0.35">
      <c r="A414">
        <v>2025</v>
      </c>
      <c r="B414" t="s">
        <v>569</v>
      </c>
      <c r="C414" t="s">
        <v>739</v>
      </c>
      <c r="D414" t="s">
        <v>861</v>
      </c>
      <c r="E414" t="s">
        <v>572</v>
      </c>
      <c r="F414">
        <v>42</v>
      </c>
      <c r="G414">
        <v>2</v>
      </c>
      <c r="H414">
        <v>4</v>
      </c>
      <c r="I414" t="s">
        <v>747</v>
      </c>
      <c r="J414">
        <v>44</v>
      </c>
      <c r="K414">
        <v>51</v>
      </c>
      <c r="L414">
        <v>47</v>
      </c>
      <c r="M414">
        <v>56.3</v>
      </c>
      <c r="N414">
        <v>67</v>
      </c>
      <c r="O414">
        <v>60.659300000000002</v>
      </c>
      <c r="P414">
        <v>44.412399999999998</v>
      </c>
      <c r="Q414">
        <v>51.085700000000003</v>
      </c>
      <c r="R414">
        <v>47.186199999999999</v>
      </c>
      <c r="U414" t="s">
        <v>224</v>
      </c>
      <c r="V414" t="s">
        <v>211</v>
      </c>
      <c r="W414" t="s">
        <v>212</v>
      </c>
      <c r="Y414">
        <v>6</v>
      </c>
      <c r="Z414" t="s">
        <v>170</v>
      </c>
      <c r="AA414" t="s">
        <v>170</v>
      </c>
      <c r="AB414" t="s">
        <v>351</v>
      </c>
      <c r="AC414" t="s">
        <v>352</v>
      </c>
      <c r="AD414">
        <v>15</v>
      </c>
      <c r="AG414" t="s">
        <v>210</v>
      </c>
      <c r="AH414" t="s">
        <v>444</v>
      </c>
      <c r="AI414" t="s">
        <v>175</v>
      </c>
      <c r="AJ414" t="s">
        <v>176</v>
      </c>
      <c r="AK414" t="s">
        <v>170</v>
      </c>
      <c r="AL414" t="s">
        <v>177</v>
      </c>
      <c r="AO414">
        <v>104</v>
      </c>
      <c r="AP414">
        <v>16</v>
      </c>
      <c r="AS414">
        <v>1100</v>
      </c>
      <c r="AT414">
        <v>1100</v>
      </c>
      <c r="BN414" t="s">
        <v>232</v>
      </c>
      <c r="BO414">
        <v>2</v>
      </c>
      <c r="BP414">
        <v>2</v>
      </c>
      <c r="BQ414">
        <v>6</v>
      </c>
      <c r="BR414" t="s">
        <v>825</v>
      </c>
      <c r="BS414" t="s">
        <v>180</v>
      </c>
      <c r="BT414" t="s">
        <v>225</v>
      </c>
      <c r="BU414" s="1">
        <v>45474</v>
      </c>
      <c r="BV414">
        <v>34958</v>
      </c>
      <c r="BX414" t="s">
        <v>170</v>
      </c>
      <c r="BY414" t="s">
        <v>170</v>
      </c>
      <c r="CB414" t="s">
        <v>170</v>
      </c>
      <c r="CC414" t="s">
        <v>170</v>
      </c>
      <c r="CE414" t="s">
        <v>170</v>
      </c>
      <c r="CG414" t="s">
        <v>169</v>
      </c>
      <c r="CH414" t="s">
        <v>748</v>
      </c>
      <c r="CI414" t="s">
        <v>170</v>
      </c>
      <c r="CK414" t="s">
        <v>233</v>
      </c>
      <c r="CM414">
        <v>1</v>
      </c>
      <c r="CN414" t="s">
        <v>234</v>
      </c>
      <c r="CP414">
        <v>270</v>
      </c>
      <c r="CQ414">
        <v>5.5</v>
      </c>
      <c r="CR414">
        <v>41.3</v>
      </c>
      <c r="CS414" t="s">
        <v>235</v>
      </c>
      <c r="CV414" t="s">
        <v>341</v>
      </c>
      <c r="CX414" t="s">
        <v>729</v>
      </c>
      <c r="CY414" t="s">
        <v>169</v>
      </c>
      <c r="DD414">
        <v>1</v>
      </c>
      <c r="DE414" t="s">
        <v>404</v>
      </c>
      <c r="DF414" t="s">
        <v>427</v>
      </c>
      <c r="DG414">
        <v>39</v>
      </c>
      <c r="DJ414" t="s">
        <v>184</v>
      </c>
      <c r="DK414" t="s">
        <v>185</v>
      </c>
      <c r="DL414" t="s">
        <v>170</v>
      </c>
      <c r="DM414" t="s">
        <v>170</v>
      </c>
      <c r="DN414" t="s">
        <v>170</v>
      </c>
      <c r="DO414" t="s">
        <v>862</v>
      </c>
      <c r="DP414" t="s">
        <v>169</v>
      </c>
      <c r="DQ414" t="s">
        <v>198</v>
      </c>
      <c r="DY414">
        <v>61</v>
      </c>
      <c r="EB414">
        <v>8</v>
      </c>
      <c r="EC414">
        <v>8</v>
      </c>
      <c r="EE414" t="s">
        <v>863</v>
      </c>
      <c r="EF414">
        <v>6</v>
      </c>
      <c r="EU414">
        <v>4000</v>
      </c>
      <c r="EW414">
        <v>199</v>
      </c>
      <c r="EX414">
        <v>174</v>
      </c>
      <c r="EY414">
        <v>188</v>
      </c>
    </row>
    <row r="415" spans="1:155" x14ac:dyDescent="0.35">
      <c r="A415">
        <v>2025</v>
      </c>
      <c r="B415" t="s">
        <v>569</v>
      </c>
      <c r="C415" t="s">
        <v>739</v>
      </c>
      <c r="D415" t="s">
        <v>1728</v>
      </c>
      <c r="E415" t="s">
        <v>572</v>
      </c>
      <c r="F415">
        <v>57</v>
      </c>
      <c r="G415">
        <v>2.5</v>
      </c>
      <c r="H415">
        <v>4</v>
      </c>
      <c r="I415" t="s">
        <v>192</v>
      </c>
      <c r="J415">
        <v>24</v>
      </c>
      <c r="K415">
        <v>30</v>
      </c>
      <c r="L415">
        <v>26</v>
      </c>
      <c r="M415">
        <v>30.736599999999999</v>
      </c>
      <c r="N415">
        <v>42.6053</v>
      </c>
      <c r="O415">
        <v>35.1419</v>
      </c>
      <c r="P415">
        <v>23.9038</v>
      </c>
      <c r="Q415">
        <v>29.784500000000001</v>
      </c>
      <c r="R415">
        <v>26.2347</v>
      </c>
      <c r="U415" t="s">
        <v>224</v>
      </c>
      <c r="V415" t="s">
        <v>193</v>
      </c>
      <c r="W415" t="s">
        <v>194</v>
      </c>
      <c r="Y415">
        <v>8</v>
      </c>
      <c r="Z415" t="s">
        <v>169</v>
      </c>
      <c r="AA415" t="s">
        <v>170</v>
      </c>
      <c r="AB415" t="s">
        <v>167</v>
      </c>
      <c r="AC415" t="s">
        <v>213</v>
      </c>
      <c r="AD415">
        <v>15</v>
      </c>
      <c r="AG415" t="s">
        <v>210</v>
      </c>
      <c r="AH415" t="s">
        <v>444</v>
      </c>
      <c r="AI415" t="s">
        <v>175</v>
      </c>
      <c r="AJ415" t="s">
        <v>176</v>
      </c>
      <c r="AK415" t="s">
        <v>940</v>
      </c>
      <c r="AL415" t="s">
        <v>941</v>
      </c>
      <c r="AS415">
        <v>2000</v>
      </c>
      <c r="AT415">
        <v>2000</v>
      </c>
      <c r="BN415" t="s">
        <v>265</v>
      </c>
      <c r="BO415">
        <v>2</v>
      </c>
      <c r="BP415">
        <v>2</v>
      </c>
      <c r="BQ415">
        <v>31</v>
      </c>
      <c r="BR415" t="s">
        <v>1219</v>
      </c>
      <c r="BT415" t="s">
        <v>181</v>
      </c>
      <c r="BV415">
        <v>36542</v>
      </c>
      <c r="BX415" t="s">
        <v>170</v>
      </c>
      <c r="BY415" t="s">
        <v>170</v>
      </c>
      <c r="CB415" t="s">
        <v>170</v>
      </c>
      <c r="CC415" t="s">
        <v>170</v>
      </c>
      <c r="CE415" t="s">
        <v>170</v>
      </c>
      <c r="CG415" t="s">
        <v>169</v>
      </c>
      <c r="CH415" t="s">
        <v>858</v>
      </c>
      <c r="CI415" t="s">
        <v>170</v>
      </c>
      <c r="DJ415" t="s">
        <v>267</v>
      </c>
      <c r="DK415" t="s">
        <v>268</v>
      </c>
      <c r="DN415" t="s">
        <v>170</v>
      </c>
      <c r="DO415" t="s">
        <v>743</v>
      </c>
      <c r="DP415" t="s">
        <v>169</v>
      </c>
      <c r="DQ415" t="s">
        <v>198</v>
      </c>
      <c r="DR415" t="s">
        <v>1729</v>
      </c>
      <c r="EB415">
        <v>5</v>
      </c>
      <c r="EC415">
        <v>5</v>
      </c>
      <c r="EE415" t="s">
        <v>1141</v>
      </c>
      <c r="EF415">
        <v>6</v>
      </c>
      <c r="EV415">
        <v>500</v>
      </c>
      <c r="EW415">
        <v>372</v>
      </c>
      <c r="EX415">
        <v>299</v>
      </c>
      <c r="EY415">
        <v>339</v>
      </c>
    </row>
    <row r="416" spans="1:155" x14ac:dyDescent="0.35">
      <c r="A416">
        <v>2025</v>
      </c>
      <c r="B416" t="s">
        <v>569</v>
      </c>
      <c r="C416" t="s">
        <v>739</v>
      </c>
      <c r="D416" t="s">
        <v>1139</v>
      </c>
      <c r="E416" t="s">
        <v>572</v>
      </c>
      <c r="F416">
        <v>58</v>
      </c>
      <c r="G416">
        <v>2.5</v>
      </c>
      <c r="H416">
        <v>4</v>
      </c>
      <c r="I416" t="s">
        <v>192</v>
      </c>
      <c r="J416">
        <v>25</v>
      </c>
      <c r="K416">
        <v>33</v>
      </c>
      <c r="L416">
        <v>28</v>
      </c>
      <c r="M416">
        <v>31.673999999999999</v>
      </c>
      <c r="N416">
        <v>47.0976</v>
      </c>
      <c r="O416">
        <v>37.148400000000002</v>
      </c>
      <c r="P416">
        <v>24.5596</v>
      </c>
      <c r="Q416">
        <v>32.598300000000002</v>
      </c>
      <c r="R416">
        <v>27.6251</v>
      </c>
      <c r="U416" t="s">
        <v>224</v>
      </c>
      <c r="V416" t="s">
        <v>193</v>
      </c>
      <c r="W416" t="s">
        <v>194</v>
      </c>
      <c r="Y416">
        <v>8</v>
      </c>
      <c r="Z416" t="s">
        <v>169</v>
      </c>
      <c r="AA416" t="s">
        <v>170</v>
      </c>
      <c r="AB416" t="s">
        <v>351</v>
      </c>
      <c r="AC416" t="s">
        <v>352</v>
      </c>
      <c r="AD416">
        <v>15</v>
      </c>
      <c r="AG416" t="s">
        <v>210</v>
      </c>
      <c r="AH416" t="s">
        <v>444</v>
      </c>
      <c r="AI416" t="s">
        <v>175</v>
      </c>
      <c r="AJ416" t="s">
        <v>176</v>
      </c>
      <c r="AK416" t="s">
        <v>940</v>
      </c>
      <c r="AL416" t="s">
        <v>941</v>
      </c>
      <c r="AS416">
        <v>1900</v>
      </c>
      <c r="AT416">
        <v>1900</v>
      </c>
      <c r="BN416" t="s">
        <v>265</v>
      </c>
      <c r="BO416">
        <v>2</v>
      </c>
      <c r="BP416">
        <v>2</v>
      </c>
      <c r="BQ416">
        <v>30</v>
      </c>
      <c r="BR416" t="s">
        <v>1099</v>
      </c>
      <c r="BT416" t="s">
        <v>181</v>
      </c>
      <c r="BU416" s="1">
        <v>45392</v>
      </c>
      <c r="BV416">
        <v>34644</v>
      </c>
      <c r="BX416" t="s">
        <v>170</v>
      </c>
      <c r="BY416" t="s">
        <v>170</v>
      </c>
      <c r="CB416" t="s">
        <v>170</v>
      </c>
      <c r="CC416" t="s">
        <v>170</v>
      </c>
      <c r="CE416" t="s">
        <v>170</v>
      </c>
      <c r="CG416" t="s">
        <v>169</v>
      </c>
      <c r="CH416" t="s">
        <v>858</v>
      </c>
      <c r="CI416" t="s">
        <v>170</v>
      </c>
      <c r="DJ416" t="s">
        <v>267</v>
      </c>
      <c r="DK416" t="s">
        <v>268</v>
      </c>
      <c r="DN416" t="s">
        <v>170</v>
      </c>
      <c r="DO416" t="s">
        <v>743</v>
      </c>
      <c r="DP416" t="s">
        <v>169</v>
      </c>
      <c r="DQ416" t="s">
        <v>198</v>
      </c>
      <c r="DR416" t="s">
        <v>1140</v>
      </c>
      <c r="EB416">
        <v>6</v>
      </c>
      <c r="EC416">
        <v>6</v>
      </c>
      <c r="EE416" t="s">
        <v>1141</v>
      </c>
      <c r="EF416">
        <v>6</v>
      </c>
      <c r="EU416">
        <v>0</v>
      </c>
      <c r="EW416">
        <v>362</v>
      </c>
      <c r="EX416">
        <v>273</v>
      </c>
      <c r="EY416">
        <v>322</v>
      </c>
    </row>
    <row r="417" spans="1:155" x14ac:dyDescent="0.35">
      <c r="A417">
        <v>2025</v>
      </c>
      <c r="B417" t="s">
        <v>569</v>
      </c>
      <c r="C417" t="s">
        <v>739</v>
      </c>
      <c r="D417" t="s">
        <v>1310</v>
      </c>
      <c r="E417" t="s">
        <v>572</v>
      </c>
      <c r="F417">
        <v>53</v>
      </c>
      <c r="G417">
        <v>1.6</v>
      </c>
      <c r="H417">
        <v>4</v>
      </c>
      <c r="I417" t="s">
        <v>747</v>
      </c>
      <c r="J417">
        <v>35</v>
      </c>
      <c r="K417">
        <v>35</v>
      </c>
      <c r="L417">
        <v>35</v>
      </c>
      <c r="M417">
        <v>45.7</v>
      </c>
      <c r="N417">
        <v>45.9</v>
      </c>
      <c r="O417">
        <v>45.7898</v>
      </c>
      <c r="P417">
        <v>35.2224</v>
      </c>
      <c r="Q417">
        <v>35.093200000000003</v>
      </c>
      <c r="R417">
        <v>35.164099999999998</v>
      </c>
      <c r="T417" t="s">
        <v>165</v>
      </c>
      <c r="U417" t="s">
        <v>166</v>
      </c>
      <c r="V417" t="s">
        <v>211</v>
      </c>
      <c r="W417" t="s">
        <v>212</v>
      </c>
      <c r="Y417">
        <v>6</v>
      </c>
      <c r="Z417" t="s">
        <v>170</v>
      </c>
      <c r="AA417" t="s">
        <v>170</v>
      </c>
      <c r="AB417" t="s">
        <v>167</v>
      </c>
      <c r="AC417" t="s">
        <v>213</v>
      </c>
      <c r="AD417">
        <v>15</v>
      </c>
      <c r="AG417" t="s">
        <v>210</v>
      </c>
      <c r="AH417" t="s">
        <v>444</v>
      </c>
      <c r="AI417" t="s">
        <v>175</v>
      </c>
      <c r="AJ417" t="s">
        <v>176</v>
      </c>
      <c r="AK417" t="s">
        <v>940</v>
      </c>
      <c r="AL417" t="s">
        <v>941</v>
      </c>
      <c r="AS417">
        <v>1500</v>
      </c>
      <c r="AT417">
        <v>1500</v>
      </c>
      <c r="BN417" t="s">
        <v>232</v>
      </c>
      <c r="BO417">
        <v>2</v>
      </c>
      <c r="BP417">
        <v>2</v>
      </c>
      <c r="BQ417">
        <v>31</v>
      </c>
      <c r="BR417" t="s">
        <v>1219</v>
      </c>
      <c r="BT417" t="s">
        <v>225</v>
      </c>
      <c r="BU417" s="1">
        <v>45504</v>
      </c>
      <c r="BV417">
        <v>35293</v>
      </c>
      <c r="BX417" t="s">
        <v>170</v>
      </c>
      <c r="BY417" t="s">
        <v>170</v>
      </c>
      <c r="CB417" t="s">
        <v>170</v>
      </c>
      <c r="CC417" t="s">
        <v>170</v>
      </c>
      <c r="CE417" t="s">
        <v>170</v>
      </c>
      <c r="CG417" t="s">
        <v>169</v>
      </c>
      <c r="CH417" t="s">
        <v>1311</v>
      </c>
      <c r="CI417" t="s">
        <v>170</v>
      </c>
      <c r="CK417" t="s">
        <v>233</v>
      </c>
      <c r="CM417">
        <v>1</v>
      </c>
      <c r="CN417" t="s">
        <v>234</v>
      </c>
      <c r="CP417">
        <v>270</v>
      </c>
      <c r="CQ417">
        <v>5.5</v>
      </c>
      <c r="CR417">
        <v>39.6</v>
      </c>
      <c r="CS417" t="s">
        <v>235</v>
      </c>
      <c r="CV417" t="s">
        <v>341</v>
      </c>
      <c r="CX417" t="s">
        <v>729</v>
      </c>
      <c r="CY417" t="s">
        <v>169</v>
      </c>
      <c r="DD417">
        <v>1</v>
      </c>
      <c r="DE417" t="s">
        <v>404</v>
      </c>
      <c r="DF417" t="s">
        <v>427</v>
      </c>
      <c r="DG417">
        <v>48</v>
      </c>
      <c r="DJ417" t="s">
        <v>184</v>
      </c>
      <c r="DK417" t="s">
        <v>185</v>
      </c>
      <c r="DL417" t="s">
        <v>170</v>
      </c>
      <c r="DM417" t="s">
        <v>170</v>
      </c>
      <c r="DN417" t="s">
        <v>170</v>
      </c>
      <c r="DO417" t="s">
        <v>1137</v>
      </c>
      <c r="DP417" t="s">
        <v>169</v>
      </c>
      <c r="DQ417" t="s">
        <v>198</v>
      </c>
      <c r="EB417">
        <v>7</v>
      </c>
      <c r="EC417">
        <v>7</v>
      </c>
      <c r="EE417" t="s">
        <v>1312</v>
      </c>
      <c r="EF417">
        <v>6</v>
      </c>
      <c r="EU417">
        <v>2000</v>
      </c>
      <c r="EW417">
        <v>252</v>
      </c>
      <c r="EX417">
        <v>254</v>
      </c>
      <c r="EY417">
        <v>253</v>
      </c>
    </row>
    <row r="418" spans="1:155" x14ac:dyDescent="0.35">
      <c r="A418">
        <v>2025</v>
      </c>
      <c r="B418" t="s">
        <v>569</v>
      </c>
      <c r="C418" t="s">
        <v>739</v>
      </c>
      <c r="D418" t="s">
        <v>1313</v>
      </c>
      <c r="E418" t="s">
        <v>572</v>
      </c>
      <c r="F418">
        <v>54</v>
      </c>
      <c r="G418">
        <v>1.6</v>
      </c>
      <c r="H418">
        <v>4</v>
      </c>
      <c r="I418" t="s">
        <v>747</v>
      </c>
      <c r="J418">
        <v>38</v>
      </c>
      <c r="K418">
        <v>38</v>
      </c>
      <c r="L418">
        <v>38</v>
      </c>
      <c r="M418">
        <v>50.1</v>
      </c>
      <c r="N418">
        <v>48.5</v>
      </c>
      <c r="O418">
        <v>49.367100000000001</v>
      </c>
      <c r="P418">
        <v>38.189100000000003</v>
      </c>
      <c r="Q418">
        <v>37.885599999999997</v>
      </c>
      <c r="R418">
        <v>38.051900000000003</v>
      </c>
      <c r="T418" t="s">
        <v>165</v>
      </c>
      <c r="U418" t="s">
        <v>166</v>
      </c>
      <c r="V418" t="s">
        <v>211</v>
      </c>
      <c r="W418" t="s">
        <v>212</v>
      </c>
      <c r="Y418">
        <v>6</v>
      </c>
      <c r="Z418" t="s">
        <v>170</v>
      </c>
      <c r="AA418" t="s">
        <v>170</v>
      </c>
      <c r="AB418" t="s">
        <v>167</v>
      </c>
      <c r="AC418" t="s">
        <v>213</v>
      </c>
      <c r="AD418">
        <v>15</v>
      </c>
      <c r="AG418" t="s">
        <v>210</v>
      </c>
      <c r="AH418" t="s">
        <v>444</v>
      </c>
      <c r="AI418" t="s">
        <v>175</v>
      </c>
      <c r="AJ418" t="s">
        <v>176</v>
      </c>
      <c r="AK418" t="s">
        <v>940</v>
      </c>
      <c r="AL418" t="s">
        <v>941</v>
      </c>
      <c r="AS418">
        <v>1400</v>
      </c>
      <c r="AT418">
        <v>1400</v>
      </c>
      <c r="BN418" t="s">
        <v>232</v>
      </c>
      <c r="BO418">
        <v>2</v>
      </c>
      <c r="BP418">
        <v>2</v>
      </c>
      <c r="BQ418">
        <v>31</v>
      </c>
      <c r="BR418" t="s">
        <v>1219</v>
      </c>
      <c r="BT418" t="s">
        <v>225</v>
      </c>
      <c r="BU418" s="1">
        <v>45504</v>
      </c>
      <c r="BV418">
        <v>35187</v>
      </c>
      <c r="BX418" t="s">
        <v>169</v>
      </c>
      <c r="BY418" t="s">
        <v>170</v>
      </c>
      <c r="CB418" t="s">
        <v>170</v>
      </c>
      <c r="CC418" t="s">
        <v>170</v>
      </c>
      <c r="CE418" t="s">
        <v>170</v>
      </c>
      <c r="CG418" t="s">
        <v>169</v>
      </c>
      <c r="CH418" t="s">
        <v>1311</v>
      </c>
      <c r="CI418" t="s">
        <v>170</v>
      </c>
      <c r="CK418" t="s">
        <v>233</v>
      </c>
      <c r="CM418">
        <v>1</v>
      </c>
      <c r="CN418" t="s">
        <v>234</v>
      </c>
      <c r="CP418">
        <v>270</v>
      </c>
      <c r="CQ418">
        <v>5.5</v>
      </c>
      <c r="CR418">
        <v>39.6</v>
      </c>
      <c r="CS418" t="s">
        <v>235</v>
      </c>
      <c r="CV418" t="s">
        <v>341</v>
      </c>
      <c r="CX418" t="s">
        <v>729</v>
      </c>
      <c r="CY418" t="s">
        <v>169</v>
      </c>
      <c r="DD418">
        <v>1</v>
      </c>
      <c r="DE418" t="s">
        <v>404</v>
      </c>
      <c r="DF418" t="s">
        <v>427</v>
      </c>
      <c r="DG418">
        <v>48</v>
      </c>
      <c r="DJ418" t="s">
        <v>184</v>
      </c>
      <c r="DK418" t="s">
        <v>185</v>
      </c>
      <c r="DL418" t="s">
        <v>170</v>
      </c>
      <c r="DM418" t="s">
        <v>170</v>
      </c>
      <c r="DN418" t="s">
        <v>170</v>
      </c>
      <c r="DO418" t="s">
        <v>1137</v>
      </c>
      <c r="DP418" t="s">
        <v>169</v>
      </c>
      <c r="DQ418" t="s">
        <v>198</v>
      </c>
      <c r="EB418">
        <v>7</v>
      </c>
      <c r="EC418">
        <v>7</v>
      </c>
      <c r="EE418" t="s">
        <v>1312</v>
      </c>
      <c r="EF418">
        <v>6</v>
      </c>
      <c r="EU418">
        <v>2500</v>
      </c>
      <c r="EW418">
        <v>232</v>
      </c>
      <c r="EX418">
        <v>235</v>
      </c>
      <c r="EY418">
        <v>234</v>
      </c>
    </row>
    <row r="419" spans="1:155" x14ac:dyDescent="0.35">
      <c r="A419">
        <v>2025</v>
      </c>
      <c r="B419" t="s">
        <v>569</v>
      </c>
      <c r="C419" t="s">
        <v>739</v>
      </c>
      <c r="D419" t="s">
        <v>1142</v>
      </c>
      <c r="E419" t="s">
        <v>572</v>
      </c>
      <c r="F419">
        <v>51</v>
      </c>
      <c r="G419">
        <v>1.6</v>
      </c>
      <c r="H419">
        <v>4</v>
      </c>
      <c r="I419" t="s">
        <v>741</v>
      </c>
      <c r="J419">
        <v>29</v>
      </c>
      <c r="K419">
        <v>32</v>
      </c>
      <c r="L419">
        <v>31</v>
      </c>
      <c r="M419">
        <v>37.659199999999998</v>
      </c>
      <c r="N419">
        <v>49.220700000000001</v>
      </c>
      <c r="O419">
        <v>42.110300000000002</v>
      </c>
      <c r="P419">
        <v>29.3078</v>
      </c>
      <c r="Q419">
        <v>32.432200000000002</v>
      </c>
      <c r="R419">
        <v>30.635899999999999</v>
      </c>
      <c r="U419" t="s">
        <v>224</v>
      </c>
      <c r="V419" t="s">
        <v>463</v>
      </c>
      <c r="W419" t="s">
        <v>464</v>
      </c>
      <c r="Y419">
        <v>1</v>
      </c>
      <c r="Z419" t="s">
        <v>169</v>
      </c>
      <c r="AA419" t="s">
        <v>170</v>
      </c>
      <c r="AB419" t="s">
        <v>351</v>
      </c>
      <c r="AC419" t="s">
        <v>352</v>
      </c>
      <c r="AD419">
        <v>15</v>
      </c>
      <c r="AG419" t="s">
        <v>210</v>
      </c>
      <c r="AH419" t="s">
        <v>444</v>
      </c>
      <c r="AI419" t="s">
        <v>175</v>
      </c>
      <c r="AJ419" t="s">
        <v>176</v>
      </c>
      <c r="AK419" t="s">
        <v>940</v>
      </c>
      <c r="AL419" t="s">
        <v>941</v>
      </c>
      <c r="AS419">
        <v>1700</v>
      </c>
      <c r="AT419">
        <v>1700</v>
      </c>
      <c r="BO419">
        <v>2</v>
      </c>
      <c r="BP419">
        <v>2</v>
      </c>
      <c r="BQ419">
        <v>30</v>
      </c>
      <c r="BR419" t="s">
        <v>1099</v>
      </c>
      <c r="BT419" t="s">
        <v>225</v>
      </c>
      <c r="BU419" s="1">
        <v>45505</v>
      </c>
      <c r="BV419">
        <v>35632</v>
      </c>
      <c r="BX419" t="s">
        <v>170</v>
      </c>
      <c r="BY419" t="s">
        <v>170</v>
      </c>
      <c r="CB419" t="s">
        <v>170</v>
      </c>
      <c r="CC419" t="s">
        <v>170</v>
      </c>
      <c r="CE419" t="s">
        <v>170</v>
      </c>
      <c r="CG419" t="s">
        <v>169</v>
      </c>
      <c r="CH419" t="s">
        <v>855</v>
      </c>
      <c r="CI419" t="s">
        <v>170</v>
      </c>
      <c r="DJ419" t="s">
        <v>449</v>
      </c>
      <c r="DK419" t="s">
        <v>450</v>
      </c>
      <c r="DN419" t="s">
        <v>170</v>
      </c>
      <c r="DO419" t="s">
        <v>743</v>
      </c>
      <c r="DP419" t="s">
        <v>170</v>
      </c>
      <c r="DQ419" t="s">
        <v>187</v>
      </c>
      <c r="EB419">
        <v>6</v>
      </c>
      <c r="EC419">
        <v>6</v>
      </c>
      <c r="EE419" t="s">
        <v>1143</v>
      </c>
      <c r="EF419">
        <v>4</v>
      </c>
      <c r="EU419">
        <v>1000</v>
      </c>
      <c r="EW419">
        <v>304</v>
      </c>
      <c r="EX419">
        <v>275</v>
      </c>
      <c r="EY419">
        <v>291</v>
      </c>
    </row>
    <row r="420" spans="1:155" x14ac:dyDescent="0.35">
      <c r="A420">
        <v>2025</v>
      </c>
      <c r="B420" t="s">
        <v>1560</v>
      </c>
      <c r="C420" t="s">
        <v>1561</v>
      </c>
      <c r="D420" t="s">
        <v>1562</v>
      </c>
      <c r="E420" t="s">
        <v>1563</v>
      </c>
      <c r="F420">
        <v>100</v>
      </c>
      <c r="G420">
        <v>3</v>
      </c>
      <c r="H420">
        <v>6</v>
      </c>
      <c r="I420" t="s">
        <v>192</v>
      </c>
      <c r="J420">
        <v>15</v>
      </c>
      <c r="K420">
        <v>15</v>
      </c>
      <c r="L420">
        <v>15</v>
      </c>
      <c r="M420">
        <v>18.100000000000001</v>
      </c>
      <c r="N420">
        <v>23.6</v>
      </c>
      <c r="O420">
        <v>20.220600000000001</v>
      </c>
      <c r="P420">
        <v>14.666</v>
      </c>
      <c r="Q420">
        <v>15.3278</v>
      </c>
      <c r="R420">
        <v>14.9566</v>
      </c>
      <c r="T420" t="s">
        <v>165</v>
      </c>
      <c r="U420" t="s">
        <v>166</v>
      </c>
      <c r="V420" t="s">
        <v>193</v>
      </c>
      <c r="W420" t="s">
        <v>194</v>
      </c>
      <c r="Y420">
        <v>8</v>
      </c>
      <c r="Z420" t="s">
        <v>169</v>
      </c>
      <c r="AA420" t="s">
        <v>170</v>
      </c>
      <c r="AB420">
        <v>4</v>
      </c>
      <c r="AC420" t="s">
        <v>601</v>
      </c>
      <c r="AD420">
        <v>10</v>
      </c>
      <c r="AG420" t="s">
        <v>173</v>
      </c>
      <c r="AH420" t="s">
        <v>174</v>
      </c>
      <c r="AI420" t="s">
        <v>175</v>
      </c>
      <c r="AJ420" t="s">
        <v>176</v>
      </c>
      <c r="AK420" t="s">
        <v>940</v>
      </c>
      <c r="AL420" t="s">
        <v>941</v>
      </c>
      <c r="AS420">
        <v>4250</v>
      </c>
      <c r="AT420">
        <v>4250</v>
      </c>
      <c r="BN420" t="s">
        <v>178</v>
      </c>
      <c r="BO420">
        <v>2</v>
      </c>
      <c r="BP420">
        <v>2</v>
      </c>
      <c r="BQ420">
        <v>33</v>
      </c>
      <c r="BR420" t="s">
        <v>1497</v>
      </c>
      <c r="BT420" t="s">
        <v>457</v>
      </c>
      <c r="BU420" s="1">
        <v>45536</v>
      </c>
      <c r="BV420">
        <v>34928</v>
      </c>
      <c r="BX420" t="s">
        <v>169</v>
      </c>
      <c r="BY420" t="s">
        <v>170</v>
      </c>
      <c r="CB420" t="s">
        <v>170</v>
      </c>
      <c r="CC420" t="s">
        <v>170</v>
      </c>
      <c r="CE420" t="s">
        <v>170</v>
      </c>
      <c r="CG420" t="s">
        <v>169</v>
      </c>
      <c r="CH420" t="s">
        <v>1564</v>
      </c>
      <c r="CI420" t="s">
        <v>169</v>
      </c>
      <c r="CJ420" t="s">
        <v>1565</v>
      </c>
      <c r="DJ420" t="s">
        <v>184</v>
      </c>
      <c r="DK420" t="s">
        <v>185</v>
      </c>
      <c r="DL420" t="s">
        <v>170</v>
      </c>
      <c r="DN420" t="s">
        <v>170</v>
      </c>
      <c r="DO420" t="s">
        <v>358</v>
      </c>
      <c r="DP420" t="s">
        <v>169</v>
      </c>
      <c r="DQ420" t="s">
        <v>198</v>
      </c>
      <c r="DR420" t="s">
        <v>1566</v>
      </c>
      <c r="EB420">
        <v>2</v>
      </c>
      <c r="EC420">
        <v>2</v>
      </c>
      <c r="EE420" t="s">
        <v>1567</v>
      </c>
      <c r="EF420">
        <v>6</v>
      </c>
      <c r="EV420">
        <v>11750</v>
      </c>
      <c r="EW420">
        <v>605</v>
      </c>
      <c r="EX420">
        <v>575</v>
      </c>
      <c r="EY420">
        <v>592</v>
      </c>
    </row>
    <row r="421" spans="1:155" x14ac:dyDescent="0.35">
      <c r="A421">
        <v>2025</v>
      </c>
      <c r="B421" t="s">
        <v>1560</v>
      </c>
      <c r="C421" t="s">
        <v>1561</v>
      </c>
      <c r="D421" t="s">
        <v>1568</v>
      </c>
      <c r="E421" t="s">
        <v>1563</v>
      </c>
      <c r="F421">
        <v>102</v>
      </c>
      <c r="G421">
        <v>3</v>
      </c>
      <c r="H421">
        <v>6</v>
      </c>
      <c r="I421" t="s">
        <v>192</v>
      </c>
      <c r="J421">
        <v>14</v>
      </c>
      <c r="K421">
        <v>14</v>
      </c>
      <c r="L421">
        <v>14</v>
      </c>
      <c r="M421">
        <v>17.100000000000001</v>
      </c>
      <c r="N421">
        <v>21.6</v>
      </c>
      <c r="O421">
        <v>18.869</v>
      </c>
      <c r="P421">
        <v>13.9018</v>
      </c>
      <c r="Q421">
        <v>13.8674</v>
      </c>
      <c r="R421">
        <v>13.8863</v>
      </c>
      <c r="T421" t="s">
        <v>165</v>
      </c>
      <c r="U421" t="s">
        <v>166</v>
      </c>
      <c r="V421" t="s">
        <v>193</v>
      </c>
      <c r="W421" t="s">
        <v>194</v>
      </c>
      <c r="Y421">
        <v>8</v>
      </c>
      <c r="Z421" t="s">
        <v>169</v>
      </c>
      <c r="AA421" t="s">
        <v>170</v>
      </c>
      <c r="AB421">
        <v>4</v>
      </c>
      <c r="AC421" t="s">
        <v>601</v>
      </c>
      <c r="AD421">
        <v>10</v>
      </c>
      <c r="AG421" t="s">
        <v>173</v>
      </c>
      <c r="AH421" t="s">
        <v>174</v>
      </c>
      <c r="AI421" t="s">
        <v>175</v>
      </c>
      <c r="AJ421" t="s">
        <v>176</v>
      </c>
      <c r="AK421" t="s">
        <v>940</v>
      </c>
      <c r="AL421" t="s">
        <v>941</v>
      </c>
      <c r="AS421">
        <v>4550</v>
      </c>
      <c r="AT421">
        <v>4550</v>
      </c>
      <c r="BN421" t="s">
        <v>178</v>
      </c>
      <c r="BO421">
        <v>2</v>
      </c>
      <c r="BP421">
        <v>2</v>
      </c>
      <c r="BQ421">
        <v>33</v>
      </c>
      <c r="BR421" t="s">
        <v>1497</v>
      </c>
      <c r="BT421" t="s">
        <v>457</v>
      </c>
      <c r="BU421" s="1">
        <v>45536</v>
      </c>
      <c r="BV421">
        <v>34929</v>
      </c>
      <c r="BX421" t="s">
        <v>169</v>
      </c>
      <c r="BY421" t="s">
        <v>170</v>
      </c>
      <c r="CB421" t="s">
        <v>170</v>
      </c>
      <c r="CC421" t="s">
        <v>170</v>
      </c>
      <c r="CE421" t="s">
        <v>170</v>
      </c>
      <c r="CG421" t="s">
        <v>169</v>
      </c>
      <c r="CH421" t="s">
        <v>1564</v>
      </c>
      <c r="CI421" t="s">
        <v>169</v>
      </c>
      <c r="CJ421" t="s">
        <v>1565</v>
      </c>
      <c r="DJ421" t="s">
        <v>184</v>
      </c>
      <c r="DK421" t="s">
        <v>185</v>
      </c>
      <c r="DL421" t="s">
        <v>170</v>
      </c>
      <c r="DN421" t="s">
        <v>170</v>
      </c>
      <c r="DO421" t="s">
        <v>358</v>
      </c>
      <c r="DP421" t="s">
        <v>169</v>
      </c>
      <c r="DQ421" t="s">
        <v>198</v>
      </c>
      <c r="DR421" t="s">
        <v>1566</v>
      </c>
      <c r="EB421">
        <v>2</v>
      </c>
      <c r="EC421">
        <v>2</v>
      </c>
      <c r="EE421" t="s">
        <v>1567</v>
      </c>
      <c r="EF421">
        <v>6</v>
      </c>
      <c r="EV421">
        <v>13250</v>
      </c>
      <c r="EW421">
        <v>635</v>
      </c>
      <c r="EX421">
        <v>630</v>
      </c>
      <c r="EY421">
        <v>633</v>
      </c>
    </row>
    <row r="422" spans="1:155" x14ac:dyDescent="0.35">
      <c r="A422">
        <v>2025</v>
      </c>
      <c r="B422" t="s">
        <v>288</v>
      </c>
      <c r="C422" t="s">
        <v>1144</v>
      </c>
      <c r="D422" t="s">
        <v>1145</v>
      </c>
      <c r="E422" t="s">
        <v>291</v>
      </c>
      <c r="F422">
        <v>990</v>
      </c>
      <c r="G422">
        <v>2</v>
      </c>
      <c r="H422">
        <v>4</v>
      </c>
      <c r="I422" t="s">
        <v>793</v>
      </c>
      <c r="J422">
        <v>23</v>
      </c>
      <c r="K422">
        <v>29</v>
      </c>
      <c r="L422">
        <v>26</v>
      </c>
      <c r="M422">
        <v>31.3</v>
      </c>
      <c r="N422">
        <v>44</v>
      </c>
      <c r="O422">
        <v>35.972299999999997</v>
      </c>
      <c r="P422">
        <v>23</v>
      </c>
      <c r="Q422">
        <v>29</v>
      </c>
      <c r="R422">
        <v>26</v>
      </c>
      <c r="T422" t="s">
        <v>165</v>
      </c>
      <c r="U422" t="s">
        <v>166</v>
      </c>
      <c r="V422" t="s">
        <v>463</v>
      </c>
      <c r="W422" t="s">
        <v>464</v>
      </c>
      <c r="Y422">
        <v>8</v>
      </c>
      <c r="Z422" t="s">
        <v>169</v>
      </c>
      <c r="AA422" t="s">
        <v>170</v>
      </c>
      <c r="AB422" t="s">
        <v>351</v>
      </c>
      <c r="AC422" t="s">
        <v>352</v>
      </c>
      <c r="AD422">
        <v>15</v>
      </c>
      <c r="AG422" t="s">
        <v>214</v>
      </c>
      <c r="AH422" t="s">
        <v>215</v>
      </c>
      <c r="AI422" t="s">
        <v>175</v>
      </c>
      <c r="AJ422" t="s">
        <v>176</v>
      </c>
      <c r="AK422" t="s">
        <v>940</v>
      </c>
      <c r="AL422" t="s">
        <v>941</v>
      </c>
      <c r="AS422">
        <v>2450</v>
      </c>
      <c r="AT422">
        <v>2450</v>
      </c>
      <c r="BN422" t="s">
        <v>265</v>
      </c>
      <c r="BO422">
        <v>2</v>
      </c>
      <c r="BP422">
        <v>2</v>
      </c>
      <c r="BQ422">
        <v>30</v>
      </c>
      <c r="BR422" t="s">
        <v>1099</v>
      </c>
      <c r="BT422" t="s">
        <v>181</v>
      </c>
      <c r="BU422" s="1">
        <v>45552</v>
      </c>
      <c r="BV422">
        <v>35115</v>
      </c>
      <c r="BX422" t="s">
        <v>170</v>
      </c>
      <c r="CB422" t="s">
        <v>170</v>
      </c>
      <c r="CC422" t="s">
        <v>170</v>
      </c>
      <c r="CE422" t="s">
        <v>170</v>
      </c>
      <c r="CG422" t="s">
        <v>169</v>
      </c>
      <c r="CH422" t="s">
        <v>1146</v>
      </c>
      <c r="CI422" t="s">
        <v>170</v>
      </c>
      <c r="DJ422" t="s">
        <v>267</v>
      </c>
      <c r="DK422" t="s">
        <v>268</v>
      </c>
      <c r="DN422" t="s">
        <v>170</v>
      </c>
      <c r="DO422" t="s">
        <v>295</v>
      </c>
      <c r="DP422" t="s">
        <v>170</v>
      </c>
      <c r="DQ422" t="s">
        <v>187</v>
      </c>
      <c r="EB422">
        <v>5</v>
      </c>
      <c r="EC422">
        <v>5</v>
      </c>
      <c r="EE422" t="s">
        <v>1147</v>
      </c>
      <c r="EF422">
        <v>5</v>
      </c>
      <c r="EV422">
        <v>2750</v>
      </c>
      <c r="EW422">
        <v>388</v>
      </c>
      <c r="EX422">
        <v>308</v>
      </c>
      <c r="EY422">
        <v>343</v>
      </c>
    </row>
    <row r="423" spans="1:155" x14ac:dyDescent="0.35">
      <c r="A423">
        <v>2025</v>
      </c>
      <c r="B423" t="s">
        <v>288</v>
      </c>
      <c r="C423" t="s">
        <v>1144</v>
      </c>
      <c r="D423" t="s">
        <v>1314</v>
      </c>
      <c r="E423" t="s">
        <v>291</v>
      </c>
      <c r="F423">
        <v>991</v>
      </c>
      <c r="G423">
        <v>2</v>
      </c>
      <c r="H423">
        <v>4</v>
      </c>
      <c r="I423" t="s">
        <v>793</v>
      </c>
      <c r="J423">
        <v>22</v>
      </c>
      <c r="K423">
        <v>28</v>
      </c>
      <c r="L423">
        <v>25</v>
      </c>
      <c r="M423">
        <v>29.817499999999999</v>
      </c>
      <c r="N423">
        <v>41.955199999999998</v>
      </c>
      <c r="O423">
        <v>34.280299999999997</v>
      </c>
      <c r="P423">
        <v>22</v>
      </c>
      <c r="Q423">
        <v>28</v>
      </c>
      <c r="R423">
        <v>25</v>
      </c>
      <c r="T423" t="s">
        <v>165</v>
      </c>
      <c r="U423" t="s">
        <v>166</v>
      </c>
      <c r="V423" t="s">
        <v>463</v>
      </c>
      <c r="W423" t="s">
        <v>464</v>
      </c>
      <c r="Y423">
        <v>8</v>
      </c>
      <c r="Z423" t="s">
        <v>169</v>
      </c>
      <c r="AA423" t="s">
        <v>170</v>
      </c>
      <c r="AB423" t="s">
        <v>167</v>
      </c>
      <c r="AC423" t="s">
        <v>213</v>
      </c>
      <c r="AD423">
        <v>15</v>
      </c>
      <c r="AG423" t="s">
        <v>214</v>
      </c>
      <c r="AH423" t="s">
        <v>215</v>
      </c>
      <c r="AI423" t="s">
        <v>175</v>
      </c>
      <c r="AJ423" t="s">
        <v>176</v>
      </c>
      <c r="AK423" t="s">
        <v>940</v>
      </c>
      <c r="AL423" t="s">
        <v>941</v>
      </c>
      <c r="AS423">
        <v>2550</v>
      </c>
      <c r="AT423">
        <v>2550</v>
      </c>
      <c r="BN423" t="s">
        <v>265</v>
      </c>
      <c r="BO423">
        <v>2</v>
      </c>
      <c r="BP423">
        <v>2</v>
      </c>
      <c r="BQ423">
        <v>31</v>
      </c>
      <c r="BR423" t="s">
        <v>1219</v>
      </c>
      <c r="BT423" t="s">
        <v>181</v>
      </c>
      <c r="BU423" s="1">
        <v>45552</v>
      </c>
      <c r="BV423">
        <v>35116</v>
      </c>
      <c r="BX423" t="s">
        <v>170</v>
      </c>
      <c r="CB423" t="s">
        <v>170</v>
      </c>
      <c r="CC423" t="s">
        <v>170</v>
      </c>
      <c r="CE423" t="s">
        <v>170</v>
      </c>
      <c r="CG423" t="s">
        <v>169</v>
      </c>
      <c r="CH423" t="s">
        <v>1146</v>
      </c>
      <c r="CI423" t="s">
        <v>170</v>
      </c>
      <c r="DJ423" t="s">
        <v>267</v>
      </c>
      <c r="DK423" t="s">
        <v>268</v>
      </c>
      <c r="DN423" t="s">
        <v>170</v>
      </c>
      <c r="DO423" t="s">
        <v>295</v>
      </c>
      <c r="DP423" t="s">
        <v>170</v>
      </c>
      <c r="DQ423" t="s">
        <v>187</v>
      </c>
      <c r="EB423">
        <v>5</v>
      </c>
      <c r="EC423">
        <v>5</v>
      </c>
      <c r="EE423" t="s">
        <v>1147</v>
      </c>
      <c r="EF423">
        <v>5</v>
      </c>
      <c r="EV423">
        <v>3250</v>
      </c>
      <c r="EW423">
        <v>406</v>
      </c>
      <c r="EX423">
        <v>319</v>
      </c>
      <c r="EY423">
        <v>357</v>
      </c>
    </row>
    <row r="424" spans="1:155" x14ac:dyDescent="0.35">
      <c r="A424">
        <v>2025</v>
      </c>
      <c r="B424" t="s">
        <v>288</v>
      </c>
      <c r="C424" t="s">
        <v>1144</v>
      </c>
      <c r="D424" t="s">
        <v>1569</v>
      </c>
      <c r="E424" t="s">
        <v>291</v>
      </c>
      <c r="F424">
        <v>223</v>
      </c>
      <c r="G424">
        <v>2</v>
      </c>
      <c r="H424">
        <v>4</v>
      </c>
      <c r="I424" t="s">
        <v>292</v>
      </c>
      <c r="J424">
        <v>22</v>
      </c>
      <c r="K424">
        <v>27</v>
      </c>
      <c r="L424">
        <v>24</v>
      </c>
      <c r="M424">
        <v>27.422000000000001</v>
      </c>
      <c r="N424">
        <v>37.882100000000001</v>
      </c>
      <c r="O424">
        <v>31.312799999999999</v>
      </c>
      <c r="P424">
        <v>21.5534</v>
      </c>
      <c r="Q424">
        <v>26.764600000000002</v>
      </c>
      <c r="R424">
        <v>23.623200000000001</v>
      </c>
      <c r="T424" t="s">
        <v>165</v>
      </c>
      <c r="U424" t="s">
        <v>166</v>
      </c>
      <c r="V424" t="s">
        <v>193</v>
      </c>
      <c r="W424" t="s">
        <v>194</v>
      </c>
      <c r="Y424">
        <v>9</v>
      </c>
      <c r="Z424" t="s">
        <v>169</v>
      </c>
      <c r="AA424" t="s">
        <v>170</v>
      </c>
      <c r="AB424" t="s">
        <v>167</v>
      </c>
      <c r="AC424" t="s">
        <v>213</v>
      </c>
      <c r="AD424">
        <v>15</v>
      </c>
      <c r="AG424" t="s">
        <v>214</v>
      </c>
      <c r="AH424" t="s">
        <v>215</v>
      </c>
      <c r="AI424" t="s">
        <v>175</v>
      </c>
      <c r="AJ424" t="s">
        <v>176</v>
      </c>
      <c r="AK424" t="s">
        <v>940</v>
      </c>
      <c r="AL424" t="s">
        <v>941</v>
      </c>
      <c r="AS424">
        <v>2650</v>
      </c>
      <c r="AT424">
        <v>2650</v>
      </c>
      <c r="BN424" t="s">
        <v>265</v>
      </c>
      <c r="BO424">
        <v>2</v>
      </c>
      <c r="BP424">
        <v>2</v>
      </c>
      <c r="BQ424">
        <v>33</v>
      </c>
      <c r="BR424" t="s">
        <v>1497</v>
      </c>
      <c r="BT424" t="s">
        <v>181</v>
      </c>
      <c r="BU424" s="1">
        <v>45492</v>
      </c>
      <c r="BV424">
        <v>35107</v>
      </c>
      <c r="BX424" t="s">
        <v>170</v>
      </c>
      <c r="CB424" t="s">
        <v>170</v>
      </c>
      <c r="CC424" t="s">
        <v>170</v>
      </c>
      <c r="CD424" t="s">
        <v>1477</v>
      </c>
      <c r="CE424" t="s">
        <v>170</v>
      </c>
      <c r="CG424" t="s">
        <v>169</v>
      </c>
      <c r="CH424" t="s">
        <v>1146</v>
      </c>
      <c r="CI424" t="s">
        <v>170</v>
      </c>
      <c r="DJ424" t="s">
        <v>267</v>
      </c>
      <c r="DK424" t="s">
        <v>268</v>
      </c>
      <c r="DN424" t="s">
        <v>170</v>
      </c>
      <c r="DO424" t="s">
        <v>295</v>
      </c>
      <c r="DP424" t="s">
        <v>169</v>
      </c>
      <c r="DQ424" t="s">
        <v>198</v>
      </c>
      <c r="EB424">
        <v>5</v>
      </c>
      <c r="EC424">
        <v>5</v>
      </c>
      <c r="EE424" t="s">
        <v>1192</v>
      </c>
      <c r="EF424">
        <v>5</v>
      </c>
      <c r="EV424">
        <v>3750</v>
      </c>
      <c r="EW424">
        <v>413</v>
      </c>
      <c r="EX424">
        <v>333</v>
      </c>
      <c r="EY424">
        <v>377</v>
      </c>
    </row>
    <row r="425" spans="1:155" x14ac:dyDescent="0.35">
      <c r="A425">
        <v>2025</v>
      </c>
      <c r="B425" t="s">
        <v>288</v>
      </c>
      <c r="C425" t="s">
        <v>1144</v>
      </c>
      <c r="D425" t="s">
        <v>1476</v>
      </c>
      <c r="E425" t="s">
        <v>291</v>
      </c>
      <c r="F425">
        <v>222</v>
      </c>
      <c r="G425">
        <v>2</v>
      </c>
      <c r="H425">
        <v>4</v>
      </c>
      <c r="I425" t="s">
        <v>292</v>
      </c>
      <c r="J425">
        <v>22</v>
      </c>
      <c r="K425">
        <v>28</v>
      </c>
      <c r="L425">
        <v>24</v>
      </c>
      <c r="M425">
        <v>28.792300000000001</v>
      </c>
      <c r="N425">
        <v>40.6935</v>
      </c>
      <c r="O425">
        <v>33.155799999999999</v>
      </c>
      <c r="P425">
        <v>22</v>
      </c>
      <c r="Q425">
        <v>28</v>
      </c>
      <c r="R425">
        <v>24</v>
      </c>
      <c r="T425" t="s">
        <v>165</v>
      </c>
      <c r="U425" t="s">
        <v>166</v>
      </c>
      <c r="V425" t="s">
        <v>193</v>
      </c>
      <c r="W425" t="s">
        <v>194</v>
      </c>
      <c r="Y425">
        <v>9</v>
      </c>
      <c r="Z425" t="s">
        <v>169</v>
      </c>
      <c r="AA425" t="s">
        <v>170</v>
      </c>
      <c r="AB425" t="s">
        <v>351</v>
      </c>
      <c r="AC425" t="s">
        <v>352</v>
      </c>
      <c r="AD425">
        <v>15</v>
      </c>
      <c r="AG425" t="s">
        <v>214</v>
      </c>
      <c r="AH425" t="s">
        <v>215</v>
      </c>
      <c r="AI425" t="s">
        <v>175</v>
      </c>
      <c r="AJ425" t="s">
        <v>176</v>
      </c>
      <c r="AK425" t="s">
        <v>940</v>
      </c>
      <c r="AL425" t="s">
        <v>941</v>
      </c>
      <c r="AS425">
        <v>2650</v>
      </c>
      <c r="AT425">
        <v>2650</v>
      </c>
      <c r="BN425" t="s">
        <v>265</v>
      </c>
      <c r="BO425">
        <v>2</v>
      </c>
      <c r="BP425">
        <v>2</v>
      </c>
      <c r="BQ425">
        <v>32</v>
      </c>
      <c r="BR425" t="s">
        <v>1453</v>
      </c>
      <c r="BT425" t="s">
        <v>181</v>
      </c>
      <c r="BU425" s="1">
        <v>45492</v>
      </c>
      <c r="BV425">
        <v>34918</v>
      </c>
      <c r="BX425" t="s">
        <v>170</v>
      </c>
      <c r="CB425" t="s">
        <v>170</v>
      </c>
      <c r="CC425" t="s">
        <v>170</v>
      </c>
      <c r="CD425" t="s">
        <v>1477</v>
      </c>
      <c r="CE425" t="s">
        <v>170</v>
      </c>
      <c r="CG425" t="s">
        <v>169</v>
      </c>
      <c r="CH425" t="s">
        <v>1146</v>
      </c>
      <c r="CI425" t="s">
        <v>170</v>
      </c>
      <c r="DJ425" t="s">
        <v>267</v>
      </c>
      <c r="DK425" t="s">
        <v>268</v>
      </c>
      <c r="DN425" t="s">
        <v>170</v>
      </c>
      <c r="DO425" t="s">
        <v>295</v>
      </c>
      <c r="DP425" t="s">
        <v>169</v>
      </c>
      <c r="DQ425" t="s">
        <v>198</v>
      </c>
      <c r="EB425">
        <v>5</v>
      </c>
      <c r="EC425">
        <v>5</v>
      </c>
      <c r="EE425" t="s">
        <v>1192</v>
      </c>
      <c r="EF425">
        <v>5</v>
      </c>
      <c r="EV425">
        <v>3750</v>
      </c>
      <c r="EW425">
        <v>404</v>
      </c>
      <c r="EX425">
        <v>318</v>
      </c>
      <c r="EY425">
        <v>371</v>
      </c>
    </row>
    <row r="426" spans="1:155" x14ac:dyDescent="0.35">
      <c r="A426">
        <v>2025</v>
      </c>
      <c r="B426" t="s">
        <v>288</v>
      </c>
      <c r="C426" t="s">
        <v>1144</v>
      </c>
      <c r="D426" t="s">
        <v>1478</v>
      </c>
      <c r="E426" t="s">
        <v>291</v>
      </c>
      <c r="F426">
        <v>890</v>
      </c>
      <c r="G426">
        <v>3.5</v>
      </c>
      <c r="H426">
        <v>6</v>
      </c>
      <c r="I426" t="s">
        <v>292</v>
      </c>
      <c r="J426">
        <v>16</v>
      </c>
      <c r="K426">
        <v>20</v>
      </c>
      <c r="L426">
        <v>18</v>
      </c>
      <c r="M426">
        <v>19.8445</v>
      </c>
      <c r="N426">
        <v>30.3201</v>
      </c>
      <c r="O426">
        <v>23.497800000000002</v>
      </c>
      <c r="P426">
        <v>15.9871</v>
      </c>
      <c r="Q426">
        <v>20.1799</v>
      </c>
      <c r="R426">
        <v>17.635999999999999</v>
      </c>
      <c r="T426" t="s">
        <v>165</v>
      </c>
      <c r="U426" t="s">
        <v>166</v>
      </c>
      <c r="V426" t="s">
        <v>193</v>
      </c>
      <c r="W426" t="s">
        <v>194</v>
      </c>
      <c r="Y426">
        <v>9</v>
      </c>
      <c r="Z426" t="s">
        <v>169</v>
      </c>
      <c r="AA426" t="s">
        <v>170</v>
      </c>
      <c r="AB426" t="s">
        <v>171</v>
      </c>
      <c r="AC426" t="s">
        <v>172</v>
      </c>
      <c r="AD426">
        <v>15</v>
      </c>
      <c r="AG426" t="s">
        <v>214</v>
      </c>
      <c r="AH426" t="s">
        <v>215</v>
      </c>
      <c r="AI426" t="s">
        <v>175</v>
      </c>
      <c r="AJ426" t="s">
        <v>176</v>
      </c>
      <c r="AK426" t="s">
        <v>940</v>
      </c>
      <c r="AL426" t="s">
        <v>941</v>
      </c>
      <c r="AS426">
        <v>3550</v>
      </c>
      <c r="AT426">
        <v>3550</v>
      </c>
      <c r="BN426" t="s">
        <v>178</v>
      </c>
      <c r="BO426">
        <v>2</v>
      </c>
      <c r="BP426">
        <v>2</v>
      </c>
      <c r="BQ426">
        <v>32</v>
      </c>
      <c r="BR426" t="s">
        <v>1453</v>
      </c>
      <c r="BT426" t="s">
        <v>457</v>
      </c>
      <c r="BU426" s="1">
        <v>45496</v>
      </c>
      <c r="BV426">
        <v>34920</v>
      </c>
      <c r="BX426" t="s">
        <v>170</v>
      </c>
      <c r="CB426" t="s">
        <v>170</v>
      </c>
      <c r="CC426" t="s">
        <v>170</v>
      </c>
      <c r="CD426" t="s">
        <v>1479</v>
      </c>
      <c r="CE426" t="s">
        <v>170</v>
      </c>
      <c r="CG426" t="s">
        <v>169</v>
      </c>
      <c r="CH426" t="s">
        <v>789</v>
      </c>
      <c r="CI426" t="s">
        <v>170</v>
      </c>
      <c r="DJ426" t="s">
        <v>184</v>
      </c>
      <c r="DK426" t="s">
        <v>185</v>
      </c>
      <c r="DN426" t="s">
        <v>170</v>
      </c>
      <c r="DO426" t="s">
        <v>295</v>
      </c>
      <c r="DP426" t="s">
        <v>169</v>
      </c>
      <c r="DQ426" t="s">
        <v>198</v>
      </c>
      <c r="EB426">
        <v>4</v>
      </c>
      <c r="EC426">
        <v>4</v>
      </c>
      <c r="EE426" t="s">
        <v>1480</v>
      </c>
      <c r="EF426">
        <v>5</v>
      </c>
      <c r="EV426">
        <v>8250</v>
      </c>
      <c r="EW426">
        <v>557</v>
      </c>
      <c r="EX426">
        <v>440</v>
      </c>
      <c r="EY426">
        <v>504</v>
      </c>
    </row>
    <row r="427" spans="1:155" x14ac:dyDescent="0.35">
      <c r="A427">
        <v>2025</v>
      </c>
      <c r="B427" t="s">
        <v>288</v>
      </c>
      <c r="C427" t="s">
        <v>1144</v>
      </c>
      <c r="D427" t="s">
        <v>1570</v>
      </c>
      <c r="E427" t="s">
        <v>291</v>
      </c>
      <c r="F427">
        <v>891</v>
      </c>
      <c r="G427">
        <v>3.5</v>
      </c>
      <c r="H427">
        <v>6</v>
      </c>
      <c r="I427" t="s">
        <v>292</v>
      </c>
      <c r="J427">
        <v>16</v>
      </c>
      <c r="K427">
        <v>19</v>
      </c>
      <c r="L427">
        <v>17</v>
      </c>
      <c r="M427">
        <v>19.290800000000001</v>
      </c>
      <c r="N427">
        <v>29.697299999999998</v>
      </c>
      <c r="O427">
        <v>22.902200000000001</v>
      </c>
      <c r="P427">
        <v>15.5694</v>
      </c>
      <c r="Q427">
        <v>19.330500000000001</v>
      </c>
      <c r="R427">
        <v>17.063400000000001</v>
      </c>
      <c r="T427" t="s">
        <v>165</v>
      </c>
      <c r="U427" t="s">
        <v>166</v>
      </c>
      <c r="V427" t="s">
        <v>193</v>
      </c>
      <c r="W427" t="s">
        <v>194</v>
      </c>
      <c r="Y427">
        <v>9</v>
      </c>
      <c r="Z427" t="s">
        <v>169</v>
      </c>
      <c r="AA427" t="s">
        <v>170</v>
      </c>
      <c r="AB427">
        <v>4</v>
      </c>
      <c r="AC427" t="s">
        <v>601</v>
      </c>
      <c r="AD427">
        <v>15</v>
      </c>
      <c r="AG427" t="s">
        <v>214</v>
      </c>
      <c r="AH427" t="s">
        <v>215</v>
      </c>
      <c r="AI427" t="s">
        <v>175</v>
      </c>
      <c r="AJ427" t="s">
        <v>176</v>
      </c>
      <c r="AK427" t="s">
        <v>940</v>
      </c>
      <c r="AL427" t="s">
        <v>941</v>
      </c>
      <c r="AS427">
        <v>3750</v>
      </c>
      <c r="AT427">
        <v>3750</v>
      </c>
      <c r="BN427" t="s">
        <v>178</v>
      </c>
      <c r="BO427">
        <v>2</v>
      </c>
      <c r="BP427">
        <v>2</v>
      </c>
      <c r="BQ427">
        <v>33</v>
      </c>
      <c r="BR427" t="s">
        <v>1497</v>
      </c>
      <c r="BT427" t="s">
        <v>457</v>
      </c>
      <c r="BU427" s="1">
        <v>45496</v>
      </c>
      <c r="BV427">
        <v>34921</v>
      </c>
      <c r="BX427" t="s">
        <v>170</v>
      </c>
      <c r="CB427" t="s">
        <v>170</v>
      </c>
      <c r="CC427" t="s">
        <v>170</v>
      </c>
      <c r="CD427" t="s">
        <v>1479</v>
      </c>
      <c r="CE427" t="s">
        <v>170</v>
      </c>
      <c r="CG427" t="s">
        <v>169</v>
      </c>
      <c r="CH427" t="s">
        <v>789</v>
      </c>
      <c r="CI427" t="s">
        <v>170</v>
      </c>
      <c r="DJ427" t="s">
        <v>184</v>
      </c>
      <c r="DK427" t="s">
        <v>185</v>
      </c>
      <c r="DN427" t="s">
        <v>170</v>
      </c>
      <c r="DO427" t="s">
        <v>295</v>
      </c>
      <c r="DP427" t="s">
        <v>169</v>
      </c>
      <c r="DQ427" t="s">
        <v>198</v>
      </c>
      <c r="EB427">
        <v>3</v>
      </c>
      <c r="EC427">
        <v>3</v>
      </c>
      <c r="EE427" t="s">
        <v>1480</v>
      </c>
      <c r="EF427">
        <v>5</v>
      </c>
      <c r="EV427">
        <v>9250</v>
      </c>
      <c r="EW427">
        <v>572</v>
      </c>
      <c r="EX427">
        <v>460</v>
      </c>
      <c r="EY427">
        <v>522</v>
      </c>
    </row>
    <row r="428" spans="1:155" x14ac:dyDescent="0.35">
      <c r="A428">
        <v>2025</v>
      </c>
      <c r="B428" t="s">
        <v>1315</v>
      </c>
      <c r="C428" t="s">
        <v>1316</v>
      </c>
      <c r="D428" t="s">
        <v>1317</v>
      </c>
      <c r="E428" t="s">
        <v>1318</v>
      </c>
      <c r="F428">
        <v>768</v>
      </c>
      <c r="G428">
        <v>2</v>
      </c>
      <c r="H428">
        <v>4</v>
      </c>
      <c r="I428" t="s">
        <v>192</v>
      </c>
      <c r="J428">
        <v>22</v>
      </c>
      <c r="K428">
        <v>27</v>
      </c>
      <c r="L428">
        <v>24</v>
      </c>
      <c r="M428">
        <v>27.807200000000002</v>
      </c>
      <c r="N428">
        <v>37.646999999999998</v>
      </c>
      <c r="O428">
        <v>31.5137</v>
      </c>
      <c r="P428">
        <v>21.824000000000002</v>
      </c>
      <c r="Q428">
        <v>26.5822</v>
      </c>
      <c r="R428">
        <v>23.735900000000001</v>
      </c>
      <c r="T428" t="s">
        <v>165</v>
      </c>
      <c r="U428" t="s">
        <v>166</v>
      </c>
      <c r="V428" t="s">
        <v>193</v>
      </c>
      <c r="W428" t="s">
        <v>194</v>
      </c>
      <c r="Y428">
        <v>8</v>
      </c>
      <c r="Z428" t="s">
        <v>169</v>
      </c>
      <c r="AA428" t="s">
        <v>170</v>
      </c>
      <c r="AB428" t="s">
        <v>167</v>
      </c>
      <c r="AC428" t="s">
        <v>213</v>
      </c>
      <c r="AD428">
        <v>10</v>
      </c>
      <c r="AG428" t="s">
        <v>173</v>
      </c>
      <c r="AH428" t="s">
        <v>174</v>
      </c>
      <c r="AI428" t="s">
        <v>175</v>
      </c>
      <c r="AJ428" t="s">
        <v>176</v>
      </c>
      <c r="AK428" t="s">
        <v>940</v>
      </c>
      <c r="AL428" t="s">
        <v>941</v>
      </c>
      <c r="AS428">
        <v>2650</v>
      </c>
      <c r="AT428">
        <v>2650</v>
      </c>
      <c r="BN428" t="s">
        <v>178</v>
      </c>
      <c r="BO428">
        <v>2</v>
      </c>
      <c r="BP428">
        <v>2</v>
      </c>
      <c r="BQ428">
        <v>31</v>
      </c>
      <c r="BR428" t="s">
        <v>1219</v>
      </c>
      <c r="BT428" t="s">
        <v>181</v>
      </c>
      <c r="BU428" s="1">
        <v>45327</v>
      </c>
      <c r="BV428">
        <v>34406</v>
      </c>
      <c r="BX428" t="s">
        <v>169</v>
      </c>
      <c r="BY428" t="s">
        <v>170</v>
      </c>
      <c r="CB428" t="s">
        <v>170</v>
      </c>
      <c r="CC428" t="s">
        <v>170</v>
      </c>
      <c r="CE428" t="s">
        <v>170</v>
      </c>
      <c r="CG428" t="s">
        <v>169</v>
      </c>
      <c r="CH428" t="s">
        <v>1319</v>
      </c>
      <c r="CI428" t="s">
        <v>169</v>
      </c>
      <c r="CJ428" t="s">
        <v>1320</v>
      </c>
      <c r="DJ428" t="s">
        <v>184</v>
      </c>
      <c r="DK428" t="s">
        <v>185</v>
      </c>
      <c r="DL428" t="s">
        <v>170</v>
      </c>
      <c r="DM428" t="s">
        <v>170</v>
      </c>
      <c r="DN428" t="s">
        <v>170</v>
      </c>
      <c r="DO428" t="s">
        <v>197</v>
      </c>
      <c r="DP428" t="s">
        <v>169</v>
      </c>
      <c r="DQ428" t="s">
        <v>198</v>
      </c>
      <c r="DR428" t="s">
        <v>1317</v>
      </c>
      <c r="DY428">
        <v>31.7</v>
      </c>
      <c r="EB428">
        <v>5</v>
      </c>
      <c r="EC428">
        <v>5</v>
      </c>
      <c r="EE428" t="s">
        <v>1321</v>
      </c>
      <c r="EF428">
        <v>6</v>
      </c>
      <c r="EV428">
        <v>3750</v>
      </c>
      <c r="EW428">
        <v>409</v>
      </c>
      <c r="EX428">
        <v>335</v>
      </c>
      <c r="EY428">
        <v>376</v>
      </c>
    </row>
    <row r="429" spans="1:155" x14ac:dyDescent="0.35">
      <c r="A429">
        <v>2025</v>
      </c>
      <c r="B429" t="s">
        <v>1315</v>
      </c>
      <c r="C429" t="s">
        <v>1316</v>
      </c>
      <c r="D429" t="s">
        <v>1322</v>
      </c>
      <c r="E429" t="s">
        <v>1318</v>
      </c>
      <c r="F429">
        <v>774</v>
      </c>
      <c r="G429">
        <v>3</v>
      </c>
      <c r="H429">
        <v>6</v>
      </c>
      <c r="I429" t="s">
        <v>192</v>
      </c>
      <c r="J429">
        <v>19</v>
      </c>
      <c r="K429">
        <v>25</v>
      </c>
      <c r="L429">
        <v>21</v>
      </c>
      <c r="M429">
        <v>23.479800000000001</v>
      </c>
      <c r="N429">
        <v>35.277999999999999</v>
      </c>
      <c r="O429">
        <v>27.639399999999998</v>
      </c>
      <c r="P429">
        <v>18.706600000000002</v>
      </c>
      <c r="Q429">
        <v>25.086300000000001</v>
      </c>
      <c r="R429">
        <v>21.124099999999999</v>
      </c>
      <c r="T429" t="s">
        <v>484</v>
      </c>
      <c r="U429" t="s">
        <v>485</v>
      </c>
      <c r="V429" t="s">
        <v>193</v>
      </c>
      <c r="W429" t="s">
        <v>194</v>
      </c>
      <c r="Y429">
        <v>8</v>
      </c>
      <c r="Z429" t="s">
        <v>169</v>
      </c>
      <c r="AA429" t="s">
        <v>170</v>
      </c>
      <c r="AB429">
        <v>4</v>
      </c>
      <c r="AC429" t="s">
        <v>601</v>
      </c>
      <c r="AD429">
        <v>10</v>
      </c>
      <c r="AG429" t="s">
        <v>173</v>
      </c>
      <c r="AH429" t="s">
        <v>174</v>
      </c>
      <c r="AI429" t="s">
        <v>175</v>
      </c>
      <c r="AJ429" t="s">
        <v>176</v>
      </c>
      <c r="AK429" t="s">
        <v>940</v>
      </c>
      <c r="AL429" t="s">
        <v>941</v>
      </c>
      <c r="AS429">
        <v>3050</v>
      </c>
      <c r="AT429">
        <v>3050</v>
      </c>
      <c r="BN429" t="s">
        <v>338</v>
      </c>
      <c r="BO429">
        <v>2</v>
      </c>
      <c r="BP429">
        <v>2</v>
      </c>
      <c r="BQ429">
        <v>31</v>
      </c>
      <c r="BR429" t="s">
        <v>1219</v>
      </c>
      <c r="BT429" t="s">
        <v>181</v>
      </c>
      <c r="BU429" s="1">
        <v>45327</v>
      </c>
      <c r="BV429">
        <v>34408</v>
      </c>
      <c r="BX429" t="s">
        <v>169</v>
      </c>
      <c r="BY429" t="s">
        <v>170</v>
      </c>
      <c r="CB429" t="s">
        <v>170</v>
      </c>
      <c r="CC429" t="s">
        <v>170</v>
      </c>
      <c r="CE429" t="s">
        <v>170</v>
      </c>
      <c r="CG429" t="s">
        <v>169</v>
      </c>
      <c r="CH429" t="s">
        <v>1323</v>
      </c>
      <c r="CI429" t="s">
        <v>170</v>
      </c>
      <c r="CK429" t="s">
        <v>233</v>
      </c>
      <c r="CM429">
        <v>1</v>
      </c>
      <c r="CN429" t="s">
        <v>234</v>
      </c>
      <c r="CP429">
        <v>48</v>
      </c>
      <c r="CQ429">
        <v>8</v>
      </c>
      <c r="CR429">
        <v>370</v>
      </c>
      <c r="CS429" t="s">
        <v>235</v>
      </c>
      <c r="CV429" t="s">
        <v>236</v>
      </c>
      <c r="DD429">
        <v>1</v>
      </c>
      <c r="DE429" t="s">
        <v>237</v>
      </c>
      <c r="DG429">
        <v>15</v>
      </c>
      <c r="DJ429" t="s">
        <v>184</v>
      </c>
      <c r="DK429" t="s">
        <v>185</v>
      </c>
      <c r="DL429" t="s">
        <v>170</v>
      </c>
      <c r="DM429" t="s">
        <v>170</v>
      </c>
      <c r="DN429" t="s">
        <v>170</v>
      </c>
      <c r="DO429" t="s">
        <v>197</v>
      </c>
      <c r="DP429" t="s">
        <v>169</v>
      </c>
      <c r="DQ429" t="s">
        <v>198</v>
      </c>
      <c r="DR429" t="s">
        <v>1324</v>
      </c>
      <c r="DY429">
        <v>27.9</v>
      </c>
      <c r="EB429">
        <v>4</v>
      </c>
      <c r="EC429">
        <v>4</v>
      </c>
      <c r="EE429" t="s">
        <v>1325</v>
      </c>
      <c r="EF429">
        <v>6</v>
      </c>
      <c r="EV429">
        <v>5750</v>
      </c>
      <c r="EW429">
        <v>473</v>
      </c>
      <c r="EX429">
        <v>354</v>
      </c>
      <c r="EY429">
        <v>420</v>
      </c>
    </row>
    <row r="430" spans="1:155" x14ac:dyDescent="0.35">
      <c r="A430">
        <v>2025</v>
      </c>
      <c r="B430" t="s">
        <v>1315</v>
      </c>
      <c r="C430" t="s">
        <v>1316</v>
      </c>
      <c r="D430" t="s">
        <v>1326</v>
      </c>
      <c r="E430" t="s">
        <v>1318</v>
      </c>
      <c r="F430">
        <v>770</v>
      </c>
      <c r="G430">
        <v>5</v>
      </c>
      <c r="H430">
        <v>8</v>
      </c>
      <c r="I430" t="s">
        <v>192</v>
      </c>
      <c r="J430">
        <v>15</v>
      </c>
      <c r="K430">
        <v>21</v>
      </c>
      <c r="L430">
        <v>17</v>
      </c>
      <c r="M430">
        <v>18.503699999999998</v>
      </c>
      <c r="N430">
        <v>28.562899999999999</v>
      </c>
      <c r="O430">
        <v>21.988499999999998</v>
      </c>
      <c r="P430">
        <v>14.9703</v>
      </c>
      <c r="Q430">
        <v>20.638500000000001</v>
      </c>
      <c r="R430">
        <v>17.081299999999999</v>
      </c>
      <c r="T430" t="s">
        <v>455</v>
      </c>
      <c r="U430" t="s">
        <v>456</v>
      </c>
      <c r="V430" t="s">
        <v>193</v>
      </c>
      <c r="W430" t="s">
        <v>194</v>
      </c>
      <c r="Y430">
        <v>8</v>
      </c>
      <c r="Z430" t="s">
        <v>169</v>
      </c>
      <c r="AA430" t="s">
        <v>170</v>
      </c>
      <c r="AB430" t="s">
        <v>167</v>
      </c>
      <c r="AC430" t="s">
        <v>213</v>
      </c>
      <c r="AD430">
        <v>10</v>
      </c>
      <c r="AG430" t="s">
        <v>173</v>
      </c>
      <c r="AH430" t="s">
        <v>174</v>
      </c>
      <c r="AI430" t="s">
        <v>175</v>
      </c>
      <c r="AJ430" t="s">
        <v>176</v>
      </c>
      <c r="AK430" t="s">
        <v>940</v>
      </c>
      <c r="AL430" t="s">
        <v>941</v>
      </c>
      <c r="AS430">
        <v>3750</v>
      </c>
      <c r="AT430">
        <v>3750</v>
      </c>
      <c r="BN430" t="s">
        <v>178</v>
      </c>
      <c r="BO430">
        <v>2</v>
      </c>
      <c r="BP430">
        <v>2</v>
      </c>
      <c r="BQ430">
        <v>31</v>
      </c>
      <c r="BR430" t="s">
        <v>1219</v>
      </c>
      <c r="BT430" t="s">
        <v>181</v>
      </c>
      <c r="BU430" s="1">
        <v>45327</v>
      </c>
      <c r="BV430">
        <v>34405</v>
      </c>
      <c r="BX430" t="s">
        <v>169</v>
      </c>
      <c r="BY430" t="s">
        <v>170</v>
      </c>
      <c r="CB430" t="s">
        <v>170</v>
      </c>
      <c r="CC430" t="s">
        <v>170</v>
      </c>
      <c r="CE430" t="s">
        <v>170</v>
      </c>
      <c r="CG430" t="s">
        <v>169</v>
      </c>
      <c r="CH430" t="s">
        <v>1323</v>
      </c>
      <c r="CI430" t="s">
        <v>170</v>
      </c>
      <c r="DJ430" t="s">
        <v>184</v>
      </c>
      <c r="DK430" t="s">
        <v>185</v>
      </c>
      <c r="DL430" t="s">
        <v>170</v>
      </c>
      <c r="DM430" t="s">
        <v>170</v>
      </c>
      <c r="DN430" t="s">
        <v>170</v>
      </c>
      <c r="DO430" t="s">
        <v>197</v>
      </c>
      <c r="DP430" t="s">
        <v>169</v>
      </c>
      <c r="DQ430" t="s">
        <v>198</v>
      </c>
      <c r="DR430" t="s">
        <v>1327</v>
      </c>
      <c r="DY430">
        <v>22.1</v>
      </c>
      <c r="EB430">
        <v>3</v>
      </c>
      <c r="EC430">
        <v>3</v>
      </c>
      <c r="EE430" t="s">
        <v>1328</v>
      </c>
      <c r="EF430">
        <v>2</v>
      </c>
      <c r="EV430">
        <v>9250</v>
      </c>
      <c r="EW430">
        <v>592</v>
      </c>
      <c r="EX430">
        <v>430</v>
      </c>
      <c r="EY430">
        <v>519</v>
      </c>
    </row>
    <row r="431" spans="1:155" x14ac:dyDescent="0.35">
      <c r="A431">
        <v>2025</v>
      </c>
      <c r="B431" t="s">
        <v>668</v>
      </c>
      <c r="C431" t="s">
        <v>1051</v>
      </c>
      <c r="D431" t="s">
        <v>1329</v>
      </c>
      <c r="E431" t="s">
        <v>671</v>
      </c>
      <c r="F431">
        <v>516</v>
      </c>
      <c r="G431">
        <v>2</v>
      </c>
      <c r="H431">
        <v>4</v>
      </c>
      <c r="I431" t="s">
        <v>164</v>
      </c>
      <c r="J431">
        <v>24</v>
      </c>
      <c r="K431">
        <v>32</v>
      </c>
      <c r="L431">
        <v>27</v>
      </c>
      <c r="M431">
        <v>30.547999999999998</v>
      </c>
      <c r="N431">
        <v>46.099800000000002</v>
      </c>
      <c r="O431">
        <v>36.0154</v>
      </c>
      <c r="P431">
        <v>23.7714</v>
      </c>
      <c r="Q431">
        <v>31.978100000000001</v>
      </c>
      <c r="R431">
        <v>26.8751</v>
      </c>
      <c r="T431" t="s">
        <v>165</v>
      </c>
      <c r="U431" t="s">
        <v>166</v>
      </c>
      <c r="V431" t="s">
        <v>167</v>
      </c>
      <c r="W431" t="s">
        <v>168</v>
      </c>
      <c r="Y431">
        <v>8</v>
      </c>
      <c r="Z431" t="s">
        <v>169</v>
      </c>
      <c r="AA431" t="s">
        <v>170</v>
      </c>
      <c r="AB431" t="s">
        <v>167</v>
      </c>
      <c r="AC431" t="s">
        <v>213</v>
      </c>
      <c r="AD431">
        <v>10</v>
      </c>
      <c r="AG431" t="s">
        <v>210</v>
      </c>
      <c r="AH431" t="s">
        <v>444</v>
      </c>
      <c r="AI431" t="s">
        <v>175</v>
      </c>
      <c r="AJ431" t="s">
        <v>176</v>
      </c>
      <c r="AK431" t="s">
        <v>940</v>
      </c>
      <c r="AL431" t="s">
        <v>941</v>
      </c>
      <c r="AS431">
        <v>1950</v>
      </c>
      <c r="AT431">
        <v>1950</v>
      </c>
      <c r="BN431" t="s">
        <v>178</v>
      </c>
      <c r="BO431">
        <v>2</v>
      </c>
      <c r="BP431">
        <v>2</v>
      </c>
      <c r="BQ431">
        <v>31</v>
      </c>
      <c r="BR431" t="s">
        <v>1219</v>
      </c>
      <c r="BT431" t="s">
        <v>181</v>
      </c>
      <c r="BU431" s="1">
        <v>45467</v>
      </c>
      <c r="BV431">
        <v>34972</v>
      </c>
      <c r="BX431" t="s">
        <v>170</v>
      </c>
      <c r="BY431" t="s">
        <v>170</v>
      </c>
      <c r="CB431" t="s">
        <v>170</v>
      </c>
      <c r="CC431" t="s">
        <v>170</v>
      </c>
      <c r="CE431" t="s">
        <v>170</v>
      </c>
      <c r="CG431" t="s">
        <v>169</v>
      </c>
      <c r="CH431" t="s">
        <v>1227</v>
      </c>
      <c r="CI431" t="s">
        <v>170</v>
      </c>
      <c r="DJ431" t="s">
        <v>184</v>
      </c>
      <c r="DK431" t="s">
        <v>185</v>
      </c>
      <c r="DN431" t="s">
        <v>170</v>
      </c>
      <c r="DO431" t="s">
        <v>574</v>
      </c>
      <c r="DP431" t="s">
        <v>169</v>
      </c>
      <c r="DQ431" t="s">
        <v>198</v>
      </c>
      <c r="EB431">
        <v>5</v>
      </c>
      <c r="EC431">
        <v>5</v>
      </c>
      <c r="EE431" t="s">
        <v>1228</v>
      </c>
      <c r="EF431">
        <v>6</v>
      </c>
      <c r="EV431">
        <v>250</v>
      </c>
      <c r="EW431">
        <v>373</v>
      </c>
      <c r="EX431">
        <v>278</v>
      </c>
      <c r="EY431">
        <v>330</v>
      </c>
    </row>
    <row r="432" spans="1:155" x14ac:dyDescent="0.35">
      <c r="A432">
        <v>2025</v>
      </c>
      <c r="B432" t="s">
        <v>668</v>
      </c>
      <c r="C432" t="s">
        <v>1051</v>
      </c>
      <c r="D432" t="s">
        <v>1052</v>
      </c>
      <c r="E432" t="s">
        <v>671</v>
      </c>
      <c r="F432">
        <v>524</v>
      </c>
      <c r="G432">
        <v>3.6</v>
      </c>
      <c r="H432">
        <v>6</v>
      </c>
      <c r="I432" t="s">
        <v>164</v>
      </c>
      <c r="J432">
        <v>17</v>
      </c>
      <c r="K432">
        <v>22</v>
      </c>
      <c r="L432">
        <v>19</v>
      </c>
      <c r="M432">
        <v>21.5</v>
      </c>
      <c r="N432">
        <v>30.6</v>
      </c>
      <c r="O432">
        <v>24.8217</v>
      </c>
      <c r="P432">
        <v>17.226800000000001</v>
      </c>
      <c r="Q432">
        <v>21.980499999999999</v>
      </c>
      <c r="R432">
        <v>19.084099999999999</v>
      </c>
      <c r="U432" t="s">
        <v>224</v>
      </c>
      <c r="V432" t="s">
        <v>167</v>
      </c>
      <c r="W432" t="s">
        <v>168</v>
      </c>
      <c r="Y432">
        <v>8</v>
      </c>
      <c r="Z432" t="s">
        <v>169</v>
      </c>
      <c r="AA432" t="s">
        <v>170</v>
      </c>
      <c r="AB432">
        <v>4</v>
      </c>
      <c r="AC432" t="s">
        <v>601</v>
      </c>
      <c r="AD432">
        <v>10</v>
      </c>
      <c r="AG432" t="s">
        <v>210</v>
      </c>
      <c r="AH432" t="s">
        <v>444</v>
      </c>
      <c r="AI432" t="s">
        <v>175</v>
      </c>
      <c r="AJ432" t="s">
        <v>176</v>
      </c>
      <c r="AK432" t="s">
        <v>940</v>
      </c>
      <c r="AL432" t="s">
        <v>941</v>
      </c>
      <c r="AS432">
        <v>2750</v>
      </c>
      <c r="AT432">
        <v>2750</v>
      </c>
      <c r="BO432">
        <v>2</v>
      </c>
      <c r="BP432">
        <v>2</v>
      </c>
      <c r="BQ432">
        <v>13</v>
      </c>
      <c r="BR432" t="s">
        <v>1016</v>
      </c>
      <c r="BT432" t="s">
        <v>181</v>
      </c>
      <c r="BU432" s="1">
        <v>45551</v>
      </c>
      <c r="BV432">
        <v>35410</v>
      </c>
      <c r="BX432" t="s">
        <v>170</v>
      </c>
      <c r="BY432" t="s">
        <v>170</v>
      </c>
      <c r="CB432" t="s">
        <v>170</v>
      </c>
      <c r="CC432" t="s">
        <v>170</v>
      </c>
      <c r="CE432" t="s">
        <v>170</v>
      </c>
      <c r="CG432" t="s">
        <v>169</v>
      </c>
      <c r="CH432" t="s">
        <v>240</v>
      </c>
      <c r="CI432" t="s">
        <v>170</v>
      </c>
      <c r="DJ432" t="s">
        <v>449</v>
      </c>
      <c r="DK432" t="s">
        <v>450</v>
      </c>
      <c r="DN432" t="s">
        <v>170</v>
      </c>
      <c r="DO432" t="s">
        <v>358</v>
      </c>
      <c r="DP432" t="s">
        <v>169</v>
      </c>
      <c r="DQ432" t="s">
        <v>198</v>
      </c>
      <c r="EB432">
        <v>4</v>
      </c>
      <c r="EC432">
        <v>4</v>
      </c>
      <c r="EE432" t="s">
        <v>1053</v>
      </c>
      <c r="EF432">
        <v>6</v>
      </c>
      <c r="EV432">
        <v>4250</v>
      </c>
      <c r="EW432">
        <v>517</v>
      </c>
      <c r="EX432">
        <v>405</v>
      </c>
      <c r="EY432">
        <v>466</v>
      </c>
    </row>
    <row r="433" spans="1:155" x14ac:dyDescent="0.35">
      <c r="A433">
        <v>2025</v>
      </c>
      <c r="B433" t="s">
        <v>668</v>
      </c>
      <c r="C433" t="s">
        <v>1051</v>
      </c>
      <c r="D433" t="s">
        <v>1481</v>
      </c>
      <c r="E433" t="s">
        <v>671</v>
      </c>
      <c r="F433">
        <v>542</v>
      </c>
      <c r="G433">
        <v>3.6</v>
      </c>
      <c r="H433">
        <v>6</v>
      </c>
      <c r="I433" t="s">
        <v>164</v>
      </c>
      <c r="J433">
        <v>19</v>
      </c>
      <c r="K433">
        <v>26</v>
      </c>
      <c r="L433">
        <v>22</v>
      </c>
      <c r="M433">
        <v>24.3</v>
      </c>
      <c r="N433">
        <v>36.799999999999997</v>
      </c>
      <c r="O433">
        <v>28.6845</v>
      </c>
      <c r="P433">
        <v>19.293199999999999</v>
      </c>
      <c r="Q433">
        <v>26.063600000000001</v>
      </c>
      <c r="R433">
        <v>21.847000000000001</v>
      </c>
      <c r="U433" t="s">
        <v>224</v>
      </c>
      <c r="V433" t="s">
        <v>167</v>
      </c>
      <c r="W433" t="s">
        <v>168</v>
      </c>
      <c r="Y433">
        <v>8</v>
      </c>
      <c r="Z433" t="s">
        <v>169</v>
      </c>
      <c r="AA433" t="s">
        <v>170</v>
      </c>
      <c r="AB433" t="s">
        <v>171</v>
      </c>
      <c r="AC433" t="s">
        <v>172</v>
      </c>
      <c r="AD433">
        <v>10</v>
      </c>
      <c r="AG433" t="s">
        <v>210</v>
      </c>
      <c r="AH433" t="s">
        <v>444</v>
      </c>
      <c r="AI433" t="s">
        <v>175</v>
      </c>
      <c r="AJ433" t="s">
        <v>176</v>
      </c>
      <c r="AK433" t="s">
        <v>940</v>
      </c>
      <c r="AL433" t="s">
        <v>941</v>
      </c>
      <c r="AS433">
        <v>2400</v>
      </c>
      <c r="AT433">
        <v>2400</v>
      </c>
      <c r="BO433">
        <v>2</v>
      </c>
      <c r="BP433">
        <v>2</v>
      </c>
      <c r="BQ433">
        <v>32</v>
      </c>
      <c r="BR433" t="s">
        <v>1453</v>
      </c>
      <c r="BT433" t="s">
        <v>181</v>
      </c>
      <c r="BU433" s="1">
        <v>45523</v>
      </c>
      <c r="BV433">
        <v>35349</v>
      </c>
      <c r="BX433" t="s">
        <v>170</v>
      </c>
      <c r="BY433" t="s">
        <v>170</v>
      </c>
      <c r="CB433" t="s">
        <v>170</v>
      </c>
      <c r="CC433" t="s">
        <v>170</v>
      </c>
      <c r="CE433" t="s">
        <v>170</v>
      </c>
      <c r="CG433" t="s">
        <v>169</v>
      </c>
      <c r="CH433" t="s">
        <v>240</v>
      </c>
      <c r="CI433" t="s">
        <v>170</v>
      </c>
      <c r="DJ433" t="s">
        <v>449</v>
      </c>
      <c r="DK433" t="s">
        <v>450</v>
      </c>
      <c r="DN433" t="s">
        <v>170</v>
      </c>
      <c r="DO433" t="s">
        <v>358</v>
      </c>
      <c r="DP433" t="s">
        <v>169</v>
      </c>
      <c r="DQ433" t="s">
        <v>198</v>
      </c>
      <c r="EB433">
        <v>5</v>
      </c>
      <c r="EC433">
        <v>5</v>
      </c>
      <c r="EE433" t="s">
        <v>1053</v>
      </c>
      <c r="EF433">
        <v>6</v>
      </c>
      <c r="EV433">
        <v>2500</v>
      </c>
      <c r="EW433">
        <v>461</v>
      </c>
      <c r="EX433">
        <v>340</v>
      </c>
      <c r="EY433">
        <v>407</v>
      </c>
    </row>
    <row r="434" spans="1:155" x14ac:dyDescent="0.35">
      <c r="A434">
        <v>2025</v>
      </c>
      <c r="B434" t="s">
        <v>668</v>
      </c>
      <c r="C434" t="s">
        <v>1051</v>
      </c>
      <c r="D434" t="s">
        <v>1571</v>
      </c>
      <c r="E434" t="s">
        <v>671</v>
      </c>
      <c r="F434">
        <v>546</v>
      </c>
      <c r="G434">
        <v>3.6</v>
      </c>
      <c r="H434">
        <v>6</v>
      </c>
      <c r="I434" t="s">
        <v>164</v>
      </c>
      <c r="J434">
        <v>19</v>
      </c>
      <c r="K434">
        <v>26</v>
      </c>
      <c r="L434">
        <v>22</v>
      </c>
      <c r="M434">
        <v>24</v>
      </c>
      <c r="N434">
        <v>36</v>
      </c>
      <c r="O434">
        <v>28.235299999999999</v>
      </c>
      <c r="P434">
        <v>19.073599999999999</v>
      </c>
      <c r="Q434">
        <v>25.543199999999999</v>
      </c>
      <c r="R434">
        <v>21.527200000000001</v>
      </c>
      <c r="U434" t="s">
        <v>224</v>
      </c>
      <c r="V434" t="s">
        <v>167</v>
      </c>
      <c r="W434" t="s">
        <v>168</v>
      </c>
      <c r="Y434">
        <v>8</v>
      </c>
      <c r="Z434" t="s">
        <v>169</v>
      </c>
      <c r="AA434" t="s">
        <v>170</v>
      </c>
      <c r="AB434">
        <v>4</v>
      </c>
      <c r="AC434" t="s">
        <v>601</v>
      </c>
      <c r="AD434">
        <v>10</v>
      </c>
      <c r="AG434" t="s">
        <v>210</v>
      </c>
      <c r="AH434" t="s">
        <v>444</v>
      </c>
      <c r="AI434" t="s">
        <v>175</v>
      </c>
      <c r="AJ434" t="s">
        <v>176</v>
      </c>
      <c r="AK434" t="s">
        <v>940</v>
      </c>
      <c r="AL434" t="s">
        <v>941</v>
      </c>
      <c r="AS434">
        <v>2400</v>
      </c>
      <c r="AT434">
        <v>2400</v>
      </c>
      <c r="BO434">
        <v>2</v>
      </c>
      <c r="BP434">
        <v>2</v>
      </c>
      <c r="BQ434">
        <v>33</v>
      </c>
      <c r="BR434" t="s">
        <v>1497</v>
      </c>
      <c r="BT434" t="s">
        <v>181</v>
      </c>
      <c r="BU434" s="1">
        <v>45523</v>
      </c>
      <c r="BV434">
        <v>35353</v>
      </c>
      <c r="BX434" t="s">
        <v>170</v>
      </c>
      <c r="BY434" t="s">
        <v>170</v>
      </c>
      <c r="CB434" t="s">
        <v>170</v>
      </c>
      <c r="CC434" t="s">
        <v>170</v>
      </c>
      <c r="CE434" t="s">
        <v>170</v>
      </c>
      <c r="CG434" t="s">
        <v>169</v>
      </c>
      <c r="CH434" t="s">
        <v>240</v>
      </c>
      <c r="CI434" t="s">
        <v>170</v>
      </c>
      <c r="DJ434" t="s">
        <v>449</v>
      </c>
      <c r="DK434" t="s">
        <v>450</v>
      </c>
      <c r="DN434" t="s">
        <v>170</v>
      </c>
      <c r="DO434" t="s">
        <v>358</v>
      </c>
      <c r="DP434" t="s">
        <v>169</v>
      </c>
      <c r="DQ434" t="s">
        <v>198</v>
      </c>
      <c r="EB434">
        <v>5</v>
      </c>
      <c r="EC434">
        <v>5</v>
      </c>
      <c r="EE434" t="s">
        <v>1053</v>
      </c>
      <c r="EF434">
        <v>6</v>
      </c>
      <c r="EV434">
        <v>2500</v>
      </c>
      <c r="EW434">
        <v>466</v>
      </c>
      <c r="EX434">
        <v>348</v>
      </c>
      <c r="EY434">
        <v>413</v>
      </c>
    </row>
    <row r="435" spans="1:155" x14ac:dyDescent="0.35">
      <c r="A435">
        <v>2025</v>
      </c>
      <c r="B435" t="s">
        <v>668</v>
      </c>
      <c r="C435" t="s">
        <v>1051</v>
      </c>
      <c r="D435" t="s">
        <v>1482</v>
      </c>
      <c r="E435" t="s">
        <v>671</v>
      </c>
      <c r="F435">
        <v>540</v>
      </c>
      <c r="G435">
        <v>3.6</v>
      </c>
      <c r="H435">
        <v>6</v>
      </c>
      <c r="I435" t="s">
        <v>164</v>
      </c>
      <c r="J435">
        <v>19</v>
      </c>
      <c r="K435">
        <v>26</v>
      </c>
      <c r="L435">
        <v>21</v>
      </c>
      <c r="M435">
        <v>23.7</v>
      </c>
      <c r="N435">
        <v>36</v>
      </c>
      <c r="O435">
        <v>28.0059</v>
      </c>
      <c r="P435">
        <v>18.8536</v>
      </c>
      <c r="Q435">
        <v>25.543199999999999</v>
      </c>
      <c r="R435">
        <v>21.372399999999999</v>
      </c>
      <c r="U435" t="s">
        <v>224</v>
      </c>
      <c r="V435" t="s">
        <v>167</v>
      </c>
      <c r="W435" t="s">
        <v>168</v>
      </c>
      <c r="Y435">
        <v>8</v>
      </c>
      <c r="Z435" t="s">
        <v>169</v>
      </c>
      <c r="AA435" t="s">
        <v>170</v>
      </c>
      <c r="AB435" t="s">
        <v>171</v>
      </c>
      <c r="AC435" t="s">
        <v>172</v>
      </c>
      <c r="AD435">
        <v>10</v>
      </c>
      <c r="AG435" t="s">
        <v>210</v>
      </c>
      <c r="AH435" t="s">
        <v>444</v>
      </c>
      <c r="AI435" t="s">
        <v>175</v>
      </c>
      <c r="AJ435" t="s">
        <v>176</v>
      </c>
      <c r="AK435" t="s">
        <v>940</v>
      </c>
      <c r="AL435" t="s">
        <v>941</v>
      </c>
      <c r="AS435">
        <v>2500</v>
      </c>
      <c r="AT435">
        <v>2500</v>
      </c>
      <c r="BO435">
        <v>2</v>
      </c>
      <c r="BP435">
        <v>2</v>
      </c>
      <c r="BQ435">
        <v>32</v>
      </c>
      <c r="BR435" t="s">
        <v>1453</v>
      </c>
      <c r="BT435" t="s">
        <v>181</v>
      </c>
      <c r="BU435" s="1">
        <v>45523</v>
      </c>
      <c r="BV435">
        <v>35393</v>
      </c>
      <c r="BX435" t="s">
        <v>170</v>
      </c>
      <c r="BY435" t="s">
        <v>170</v>
      </c>
      <c r="CB435" t="s">
        <v>170</v>
      </c>
      <c r="CC435" t="s">
        <v>170</v>
      </c>
      <c r="CE435" t="s">
        <v>170</v>
      </c>
      <c r="CG435" t="s">
        <v>169</v>
      </c>
      <c r="CH435" t="s">
        <v>240</v>
      </c>
      <c r="CI435" t="s">
        <v>170</v>
      </c>
      <c r="DJ435" t="s">
        <v>449</v>
      </c>
      <c r="DK435" t="s">
        <v>450</v>
      </c>
      <c r="DN435" t="s">
        <v>170</v>
      </c>
      <c r="DO435" t="s">
        <v>358</v>
      </c>
      <c r="DP435" t="s">
        <v>169</v>
      </c>
      <c r="DQ435" t="s">
        <v>198</v>
      </c>
      <c r="EB435">
        <v>4</v>
      </c>
      <c r="EC435">
        <v>4</v>
      </c>
      <c r="EE435" t="s">
        <v>1053</v>
      </c>
      <c r="EF435">
        <v>6</v>
      </c>
      <c r="EV435">
        <v>3000</v>
      </c>
      <c r="EW435">
        <v>471</v>
      </c>
      <c r="EX435">
        <v>348</v>
      </c>
      <c r="EY435">
        <v>416</v>
      </c>
    </row>
    <row r="436" spans="1:155" x14ac:dyDescent="0.35">
      <c r="A436">
        <v>2025</v>
      </c>
      <c r="B436" t="s">
        <v>668</v>
      </c>
      <c r="C436" t="s">
        <v>1051</v>
      </c>
      <c r="D436" t="s">
        <v>1572</v>
      </c>
      <c r="E436" t="s">
        <v>671</v>
      </c>
      <c r="F436">
        <v>544</v>
      </c>
      <c r="G436">
        <v>3.6</v>
      </c>
      <c r="H436">
        <v>6</v>
      </c>
      <c r="I436" t="s">
        <v>164</v>
      </c>
      <c r="J436">
        <v>18</v>
      </c>
      <c r="K436">
        <v>25</v>
      </c>
      <c r="L436">
        <v>21</v>
      </c>
      <c r="M436">
        <v>23.4</v>
      </c>
      <c r="N436">
        <v>35.4</v>
      </c>
      <c r="O436">
        <v>27.611999999999998</v>
      </c>
      <c r="P436">
        <v>18</v>
      </c>
      <c r="Q436">
        <v>25.151700000000002</v>
      </c>
      <c r="R436">
        <v>21.0931</v>
      </c>
      <c r="U436" t="s">
        <v>224</v>
      </c>
      <c r="V436" t="s">
        <v>167</v>
      </c>
      <c r="W436" t="s">
        <v>168</v>
      </c>
      <c r="Y436">
        <v>8</v>
      </c>
      <c r="Z436" t="s">
        <v>169</v>
      </c>
      <c r="AA436" t="s">
        <v>170</v>
      </c>
      <c r="AB436">
        <v>4</v>
      </c>
      <c r="AC436" t="s">
        <v>601</v>
      </c>
      <c r="AD436">
        <v>10</v>
      </c>
      <c r="AG436" t="s">
        <v>210</v>
      </c>
      <c r="AH436" t="s">
        <v>444</v>
      </c>
      <c r="AI436" t="s">
        <v>175</v>
      </c>
      <c r="AJ436" t="s">
        <v>176</v>
      </c>
      <c r="AK436" t="s">
        <v>940</v>
      </c>
      <c r="AL436" t="s">
        <v>941</v>
      </c>
      <c r="AS436">
        <v>2500</v>
      </c>
      <c r="AT436">
        <v>2500</v>
      </c>
      <c r="BO436">
        <v>2</v>
      </c>
      <c r="BP436">
        <v>2</v>
      </c>
      <c r="BQ436">
        <v>33</v>
      </c>
      <c r="BR436" t="s">
        <v>1497</v>
      </c>
      <c r="BT436" t="s">
        <v>181</v>
      </c>
      <c r="BU436" s="1">
        <v>45523</v>
      </c>
      <c r="BV436">
        <v>35352</v>
      </c>
      <c r="BX436" t="s">
        <v>170</v>
      </c>
      <c r="BY436" t="s">
        <v>170</v>
      </c>
      <c r="CB436" t="s">
        <v>170</v>
      </c>
      <c r="CC436" t="s">
        <v>170</v>
      </c>
      <c r="CE436" t="s">
        <v>170</v>
      </c>
      <c r="CG436" t="s">
        <v>169</v>
      </c>
      <c r="CH436" t="s">
        <v>240</v>
      </c>
      <c r="CI436" t="s">
        <v>170</v>
      </c>
      <c r="DJ436" t="s">
        <v>449</v>
      </c>
      <c r="DK436" t="s">
        <v>450</v>
      </c>
      <c r="DN436" t="s">
        <v>170</v>
      </c>
      <c r="DO436" t="s">
        <v>358</v>
      </c>
      <c r="DP436" t="s">
        <v>169</v>
      </c>
      <c r="DQ436" t="s">
        <v>198</v>
      </c>
      <c r="EB436">
        <v>4</v>
      </c>
      <c r="EC436">
        <v>4</v>
      </c>
      <c r="EE436" t="s">
        <v>1053</v>
      </c>
      <c r="EF436">
        <v>6</v>
      </c>
      <c r="EV436">
        <v>3000</v>
      </c>
      <c r="EW436">
        <v>493</v>
      </c>
      <c r="EX436">
        <v>353</v>
      </c>
      <c r="EY436">
        <v>430</v>
      </c>
    </row>
    <row r="437" spans="1:155" x14ac:dyDescent="0.35">
      <c r="A437">
        <v>2025</v>
      </c>
      <c r="B437" t="s">
        <v>668</v>
      </c>
      <c r="C437" t="s">
        <v>1051</v>
      </c>
      <c r="D437" t="s">
        <v>1573</v>
      </c>
      <c r="E437" t="s">
        <v>671</v>
      </c>
      <c r="F437">
        <v>528</v>
      </c>
      <c r="G437">
        <v>3</v>
      </c>
      <c r="H437">
        <v>6</v>
      </c>
      <c r="I437" t="s">
        <v>164</v>
      </c>
      <c r="J437">
        <v>14</v>
      </c>
      <c r="K437">
        <v>20</v>
      </c>
      <c r="L437">
        <v>17</v>
      </c>
      <c r="M437">
        <v>17.8</v>
      </c>
      <c r="N437">
        <v>27.649899999999999</v>
      </c>
      <c r="O437">
        <v>21.1982</v>
      </c>
      <c r="P437">
        <v>14.4373</v>
      </c>
      <c r="Q437">
        <v>19.996600000000001</v>
      </c>
      <c r="R437">
        <v>16.501799999999999</v>
      </c>
      <c r="T437" t="s">
        <v>165</v>
      </c>
      <c r="U437" t="s">
        <v>166</v>
      </c>
      <c r="V437" t="s">
        <v>167</v>
      </c>
      <c r="W437" t="s">
        <v>168</v>
      </c>
      <c r="Y437">
        <v>8</v>
      </c>
      <c r="Z437" t="s">
        <v>169</v>
      </c>
      <c r="AA437" t="s">
        <v>170</v>
      </c>
      <c r="AB437" t="s">
        <v>167</v>
      </c>
      <c r="AC437" t="s">
        <v>213</v>
      </c>
      <c r="AD437">
        <v>10</v>
      </c>
      <c r="AG437" t="s">
        <v>173</v>
      </c>
      <c r="AH437" t="s">
        <v>174</v>
      </c>
      <c r="AI437" t="s">
        <v>175</v>
      </c>
      <c r="AJ437" t="s">
        <v>176</v>
      </c>
      <c r="AK437" t="s">
        <v>940</v>
      </c>
      <c r="AL437" t="s">
        <v>941</v>
      </c>
      <c r="AS437">
        <v>3750</v>
      </c>
      <c r="AT437">
        <v>3750</v>
      </c>
      <c r="BN437" t="s">
        <v>178</v>
      </c>
      <c r="BO437">
        <v>2</v>
      </c>
      <c r="BP437">
        <v>2</v>
      </c>
      <c r="BQ437">
        <v>33</v>
      </c>
      <c r="BR437" t="s">
        <v>1497</v>
      </c>
      <c r="BT437" t="s">
        <v>181</v>
      </c>
      <c r="BU437" s="1">
        <v>45523</v>
      </c>
      <c r="BV437">
        <v>35276</v>
      </c>
      <c r="BX437" t="s">
        <v>170</v>
      </c>
      <c r="BY437" t="s">
        <v>170</v>
      </c>
      <c r="CB437" t="s">
        <v>170</v>
      </c>
      <c r="CC437" t="s">
        <v>170</v>
      </c>
      <c r="CD437" t="s">
        <v>1058</v>
      </c>
      <c r="CE437" t="s">
        <v>170</v>
      </c>
      <c r="CG437" t="s">
        <v>169</v>
      </c>
      <c r="CH437" t="s">
        <v>1002</v>
      </c>
      <c r="CI437" t="s">
        <v>170</v>
      </c>
      <c r="DJ437" t="s">
        <v>184</v>
      </c>
      <c r="DK437" t="s">
        <v>185</v>
      </c>
      <c r="DN437" t="s">
        <v>170</v>
      </c>
      <c r="DO437" t="s">
        <v>1003</v>
      </c>
      <c r="DP437" t="s">
        <v>169</v>
      </c>
      <c r="DQ437" t="s">
        <v>198</v>
      </c>
      <c r="EB437">
        <v>3</v>
      </c>
      <c r="EC437">
        <v>3</v>
      </c>
      <c r="EE437" t="s">
        <v>1059</v>
      </c>
      <c r="EF437">
        <v>6</v>
      </c>
      <c r="EV437">
        <v>9250</v>
      </c>
      <c r="EW437">
        <v>613</v>
      </c>
      <c r="EX437">
        <v>444</v>
      </c>
      <c r="EY437">
        <v>537</v>
      </c>
    </row>
    <row r="438" spans="1:155" x14ac:dyDescent="0.35">
      <c r="A438">
        <v>2025</v>
      </c>
      <c r="B438" t="s">
        <v>668</v>
      </c>
      <c r="C438" t="s">
        <v>1051</v>
      </c>
      <c r="D438" t="s">
        <v>1574</v>
      </c>
      <c r="E438" t="s">
        <v>671</v>
      </c>
      <c r="F438">
        <v>529</v>
      </c>
      <c r="G438">
        <v>3</v>
      </c>
      <c r="H438">
        <v>6</v>
      </c>
      <c r="I438" t="s">
        <v>164</v>
      </c>
      <c r="J438">
        <v>14</v>
      </c>
      <c r="K438">
        <v>20</v>
      </c>
      <c r="L438">
        <v>17</v>
      </c>
      <c r="M438">
        <v>17.8</v>
      </c>
      <c r="N438">
        <v>27.649899999999999</v>
      </c>
      <c r="O438">
        <v>21.1982</v>
      </c>
      <c r="P438">
        <v>14.4373</v>
      </c>
      <c r="Q438">
        <v>19.996600000000001</v>
      </c>
      <c r="R438">
        <v>16.501799999999999</v>
      </c>
      <c r="T438" t="s">
        <v>165</v>
      </c>
      <c r="U438" t="s">
        <v>166</v>
      </c>
      <c r="V438" t="s">
        <v>167</v>
      </c>
      <c r="W438" t="s">
        <v>168</v>
      </c>
      <c r="Y438">
        <v>8</v>
      </c>
      <c r="Z438" t="s">
        <v>169</v>
      </c>
      <c r="AA438" t="s">
        <v>170</v>
      </c>
      <c r="AB438" t="s">
        <v>167</v>
      </c>
      <c r="AC438" t="s">
        <v>213</v>
      </c>
      <c r="AD438">
        <v>10</v>
      </c>
      <c r="AG438" t="s">
        <v>173</v>
      </c>
      <c r="AH438" t="s">
        <v>174</v>
      </c>
      <c r="AI438" t="s">
        <v>175</v>
      </c>
      <c r="AJ438" t="s">
        <v>176</v>
      </c>
      <c r="AK438" t="s">
        <v>940</v>
      </c>
      <c r="AL438" t="s">
        <v>941</v>
      </c>
      <c r="AS438">
        <v>3750</v>
      </c>
      <c r="AT438">
        <v>3750</v>
      </c>
      <c r="BN438" t="s">
        <v>178</v>
      </c>
      <c r="BO438">
        <v>2</v>
      </c>
      <c r="BP438">
        <v>2</v>
      </c>
      <c r="BQ438">
        <v>33</v>
      </c>
      <c r="BR438" t="s">
        <v>1497</v>
      </c>
      <c r="BT438" t="s">
        <v>181</v>
      </c>
      <c r="BU438" s="1">
        <v>45523</v>
      </c>
      <c r="BV438">
        <v>35277</v>
      </c>
      <c r="BX438" t="s">
        <v>170</v>
      </c>
      <c r="BY438" t="s">
        <v>170</v>
      </c>
      <c r="CB438" t="s">
        <v>170</v>
      </c>
      <c r="CC438" t="s">
        <v>170</v>
      </c>
      <c r="CD438" t="s">
        <v>1058</v>
      </c>
      <c r="CE438" t="s">
        <v>170</v>
      </c>
      <c r="CG438" t="s">
        <v>169</v>
      </c>
      <c r="CH438" t="s">
        <v>1002</v>
      </c>
      <c r="CI438" t="s">
        <v>170</v>
      </c>
      <c r="DJ438" t="s">
        <v>184</v>
      </c>
      <c r="DK438" t="s">
        <v>185</v>
      </c>
      <c r="DN438" t="s">
        <v>170</v>
      </c>
      <c r="DO438" t="s">
        <v>1003</v>
      </c>
      <c r="DP438" t="s">
        <v>169</v>
      </c>
      <c r="DQ438" t="s">
        <v>198</v>
      </c>
      <c r="EB438">
        <v>3</v>
      </c>
      <c r="EC438">
        <v>3</v>
      </c>
      <c r="EE438" t="s">
        <v>1059</v>
      </c>
      <c r="EF438">
        <v>6</v>
      </c>
      <c r="EV438">
        <v>9250</v>
      </c>
      <c r="EW438">
        <v>613</v>
      </c>
      <c r="EX438">
        <v>444</v>
      </c>
      <c r="EY438">
        <v>537</v>
      </c>
    </row>
    <row r="439" spans="1:155" x14ac:dyDescent="0.35">
      <c r="A439">
        <v>2025</v>
      </c>
      <c r="B439" t="s">
        <v>668</v>
      </c>
      <c r="C439" t="s">
        <v>1051</v>
      </c>
      <c r="D439" t="s">
        <v>1483</v>
      </c>
      <c r="E439" t="s">
        <v>671</v>
      </c>
      <c r="F439">
        <v>526</v>
      </c>
      <c r="G439">
        <v>3</v>
      </c>
      <c r="H439">
        <v>6</v>
      </c>
      <c r="I439" t="s">
        <v>164</v>
      </c>
      <c r="J439">
        <v>17</v>
      </c>
      <c r="K439">
        <v>24</v>
      </c>
      <c r="L439">
        <v>20</v>
      </c>
      <c r="M439">
        <v>21.3</v>
      </c>
      <c r="N439">
        <v>33.6</v>
      </c>
      <c r="O439">
        <v>25.500800000000002</v>
      </c>
      <c r="P439">
        <v>17.0777</v>
      </c>
      <c r="Q439">
        <v>23.970600000000001</v>
      </c>
      <c r="R439">
        <v>19.616</v>
      </c>
      <c r="T439" t="s">
        <v>165</v>
      </c>
      <c r="U439" t="s">
        <v>166</v>
      </c>
      <c r="V439" t="s">
        <v>167</v>
      </c>
      <c r="W439" t="s">
        <v>168</v>
      </c>
      <c r="Y439">
        <v>8</v>
      </c>
      <c r="Z439" t="s">
        <v>169</v>
      </c>
      <c r="AA439" t="s">
        <v>170</v>
      </c>
      <c r="AB439" t="s">
        <v>171</v>
      </c>
      <c r="AC439" t="s">
        <v>172</v>
      </c>
      <c r="AD439">
        <v>10</v>
      </c>
      <c r="AG439" t="s">
        <v>210</v>
      </c>
      <c r="AH439" t="s">
        <v>444</v>
      </c>
      <c r="AI439" t="s">
        <v>175</v>
      </c>
      <c r="AJ439" t="s">
        <v>176</v>
      </c>
      <c r="AK439" t="s">
        <v>940</v>
      </c>
      <c r="AL439" t="s">
        <v>941</v>
      </c>
      <c r="AS439">
        <v>2600</v>
      </c>
      <c r="AT439">
        <v>2600</v>
      </c>
      <c r="BN439" t="s">
        <v>178</v>
      </c>
      <c r="BO439">
        <v>2</v>
      </c>
      <c r="BP439">
        <v>2</v>
      </c>
      <c r="BQ439">
        <v>32</v>
      </c>
      <c r="BR439" t="s">
        <v>1453</v>
      </c>
      <c r="BT439" t="s">
        <v>181</v>
      </c>
      <c r="BU439" s="1">
        <v>45523</v>
      </c>
      <c r="BV439">
        <v>35123</v>
      </c>
      <c r="BX439" t="s">
        <v>170</v>
      </c>
      <c r="BY439" t="s">
        <v>170</v>
      </c>
      <c r="CB439" t="s">
        <v>170</v>
      </c>
      <c r="CC439" t="s">
        <v>170</v>
      </c>
      <c r="CD439" t="s">
        <v>1001</v>
      </c>
      <c r="CE439" t="s">
        <v>170</v>
      </c>
      <c r="CG439" t="s">
        <v>169</v>
      </c>
      <c r="CH439" t="s">
        <v>1002</v>
      </c>
      <c r="CI439" t="s">
        <v>170</v>
      </c>
      <c r="DJ439" t="s">
        <v>184</v>
      </c>
      <c r="DK439" t="s">
        <v>185</v>
      </c>
      <c r="DN439" t="s">
        <v>170</v>
      </c>
      <c r="DO439" t="s">
        <v>1003</v>
      </c>
      <c r="DP439" t="s">
        <v>169</v>
      </c>
      <c r="DQ439" t="s">
        <v>198</v>
      </c>
      <c r="EB439">
        <v>4</v>
      </c>
      <c r="EC439">
        <v>4</v>
      </c>
      <c r="EE439" t="s">
        <v>1004</v>
      </c>
      <c r="EF439">
        <v>6</v>
      </c>
      <c r="EV439">
        <v>3500</v>
      </c>
      <c r="EW439">
        <v>520</v>
      </c>
      <c r="EX439">
        <v>370</v>
      </c>
      <c r="EY439">
        <v>453</v>
      </c>
    </row>
    <row r="440" spans="1:155" x14ac:dyDescent="0.35">
      <c r="A440">
        <v>2025</v>
      </c>
      <c r="B440" t="s">
        <v>668</v>
      </c>
      <c r="C440" t="s">
        <v>1051</v>
      </c>
      <c r="D440" t="s">
        <v>1575</v>
      </c>
      <c r="E440" t="s">
        <v>671</v>
      </c>
      <c r="F440">
        <v>530</v>
      </c>
      <c r="G440">
        <v>3</v>
      </c>
      <c r="H440">
        <v>6</v>
      </c>
      <c r="I440" t="s">
        <v>164</v>
      </c>
      <c r="J440">
        <v>16</v>
      </c>
      <c r="K440">
        <v>23</v>
      </c>
      <c r="L440">
        <v>19</v>
      </c>
      <c r="M440">
        <v>20.100000000000001</v>
      </c>
      <c r="N440">
        <v>32.6</v>
      </c>
      <c r="O440">
        <v>24.291399999999999</v>
      </c>
      <c r="P440">
        <v>16.179300000000001</v>
      </c>
      <c r="Q440">
        <v>23.310199999999998</v>
      </c>
      <c r="R440">
        <v>18.7621</v>
      </c>
      <c r="T440" t="s">
        <v>165</v>
      </c>
      <c r="U440" t="s">
        <v>166</v>
      </c>
      <c r="V440" t="s">
        <v>167</v>
      </c>
      <c r="W440" t="s">
        <v>168</v>
      </c>
      <c r="Y440">
        <v>8</v>
      </c>
      <c r="Z440" t="s">
        <v>169</v>
      </c>
      <c r="AA440" t="s">
        <v>170</v>
      </c>
      <c r="AB440" t="s">
        <v>167</v>
      </c>
      <c r="AC440" t="s">
        <v>213</v>
      </c>
      <c r="AD440">
        <v>10</v>
      </c>
      <c r="AG440" t="s">
        <v>210</v>
      </c>
      <c r="AH440" t="s">
        <v>444</v>
      </c>
      <c r="AI440" t="s">
        <v>175</v>
      </c>
      <c r="AJ440" t="s">
        <v>176</v>
      </c>
      <c r="AK440" t="s">
        <v>940</v>
      </c>
      <c r="AL440" t="s">
        <v>941</v>
      </c>
      <c r="AS440">
        <v>2750</v>
      </c>
      <c r="AT440">
        <v>2750</v>
      </c>
      <c r="BN440" t="s">
        <v>178</v>
      </c>
      <c r="BO440">
        <v>2</v>
      </c>
      <c r="BP440">
        <v>2</v>
      </c>
      <c r="BQ440">
        <v>33</v>
      </c>
      <c r="BR440" t="s">
        <v>1497</v>
      </c>
      <c r="BT440" t="s">
        <v>181</v>
      </c>
      <c r="BU440" s="1">
        <v>45523</v>
      </c>
      <c r="BV440">
        <v>35125</v>
      </c>
      <c r="BX440" t="s">
        <v>170</v>
      </c>
      <c r="BY440" t="s">
        <v>170</v>
      </c>
      <c r="CB440" t="s">
        <v>170</v>
      </c>
      <c r="CC440" t="s">
        <v>170</v>
      </c>
      <c r="CD440" t="s">
        <v>1001</v>
      </c>
      <c r="CE440" t="s">
        <v>170</v>
      </c>
      <c r="CG440" t="s">
        <v>169</v>
      </c>
      <c r="CH440" t="s">
        <v>1002</v>
      </c>
      <c r="CI440" t="s">
        <v>170</v>
      </c>
      <c r="DJ440" t="s">
        <v>184</v>
      </c>
      <c r="DK440" t="s">
        <v>185</v>
      </c>
      <c r="DN440" t="s">
        <v>170</v>
      </c>
      <c r="DO440" t="s">
        <v>1003</v>
      </c>
      <c r="DP440" t="s">
        <v>169</v>
      </c>
      <c r="DQ440" t="s">
        <v>198</v>
      </c>
      <c r="EB440">
        <v>4</v>
      </c>
      <c r="EC440">
        <v>4</v>
      </c>
      <c r="EE440" t="s">
        <v>1004</v>
      </c>
      <c r="EF440">
        <v>6</v>
      </c>
      <c r="EV440">
        <v>4250</v>
      </c>
      <c r="EW440">
        <v>547</v>
      </c>
      <c r="EX440">
        <v>380</v>
      </c>
      <c r="EY440">
        <v>472</v>
      </c>
    </row>
    <row r="441" spans="1:155" x14ac:dyDescent="0.35">
      <c r="A441">
        <v>2025</v>
      </c>
      <c r="B441" t="s">
        <v>668</v>
      </c>
      <c r="C441" t="s">
        <v>1051</v>
      </c>
      <c r="D441" t="s">
        <v>1484</v>
      </c>
      <c r="E441" t="s">
        <v>671</v>
      </c>
      <c r="F441">
        <v>527</v>
      </c>
      <c r="G441">
        <v>3</v>
      </c>
      <c r="H441">
        <v>6</v>
      </c>
      <c r="I441" t="s">
        <v>164</v>
      </c>
      <c r="J441">
        <v>17</v>
      </c>
      <c r="K441">
        <v>24</v>
      </c>
      <c r="L441">
        <v>20</v>
      </c>
      <c r="M441">
        <v>21.3</v>
      </c>
      <c r="N441">
        <v>33.6</v>
      </c>
      <c r="O441">
        <v>25.500800000000002</v>
      </c>
      <c r="P441">
        <v>17.0777</v>
      </c>
      <c r="Q441">
        <v>23.970600000000001</v>
      </c>
      <c r="R441">
        <v>19.616</v>
      </c>
      <c r="T441" t="s">
        <v>165</v>
      </c>
      <c r="U441" t="s">
        <v>166</v>
      </c>
      <c r="V441" t="s">
        <v>167</v>
      </c>
      <c r="W441" t="s">
        <v>168</v>
      </c>
      <c r="Y441">
        <v>8</v>
      </c>
      <c r="Z441" t="s">
        <v>169</v>
      </c>
      <c r="AA441" t="s">
        <v>170</v>
      </c>
      <c r="AB441" t="s">
        <v>171</v>
      </c>
      <c r="AC441" t="s">
        <v>172</v>
      </c>
      <c r="AD441">
        <v>10</v>
      </c>
      <c r="AG441" t="s">
        <v>210</v>
      </c>
      <c r="AH441" t="s">
        <v>444</v>
      </c>
      <c r="AI441" t="s">
        <v>175</v>
      </c>
      <c r="AJ441" t="s">
        <v>176</v>
      </c>
      <c r="AK441" t="s">
        <v>940</v>
      </c>
      <c r="AL441" t="s">
        <v>941</v>
      </c>
      <c r="AS441">
        <v>2600</v>
      </c>
      <c r="AT441">
        <v>2600</v>
      </c>
      <c r="BN441" t="s">
        <v>178</v>
      </c>
      <c r="BO441">
        <v>2</v>
      </c>
      <c r="BP441">
        <v>2</v>
      </c>
      <c r="BQ441">
        <v>32</v>
      </c>
      <c r="BR441" t="s">
        <v>1453</v>
      </c>
      <c r="BT441" t="s">
        <v>181</v>
      </c>
      <c r="BU441" s="1">
        <v>45523</v>
      </c>
      <c r="BV441">
        <v>35124</v>
      </c>
      <c r="BX441" t="s">
        <v>170</v>
      </c>
      <c r="BY441" t="s">
        <v>170</v>
      </c>
      <c r="CB441" t="s">
        <v>170</v>
      </c>
      <c r="CC441" t="s">
        <v>170</v>
      </c>
      <c r="CD441" t="s">
        <v>1001</v>
      </c>
      <c r="CE441" t="s">
        <v>170</v>
      </c>
      <c r="CG441" t="s">
        <v>169</v>
      </c>
      <c r="CH441" t="s">
        <v>1002</v>
      </c>
      <c r="CI441" t="s">
        <v>170</v>
      </c>
      <c r="DJ441" t="s">
        <v>184</v>
      </c>
      <c r="DK441" t="s">
        <v>185</v>
      </c>
      <c r="DN441" t="s">
        <v>170</v>
      </c>
      <c r="DO441" t="s">
        <v>1003</v>
      </c>
      <c r="DP441" t="s">
        <v>169</v>
      </c>
      <c r="DQ441" t="s">
        <v>198</v>
      </c>
      <c r="EB441">
        <v>4</v>
      </c>
      <c r="EC441">
        <v>4</v>
      </c>
      <c r="EE441" t="s">
        <v>1004</v>
      </c>
      <c r="EF441">
        <v>6</v>
      </c>
      <c r="EV441">
        <v>3500</v>
      </c>
      <c r="EW441">
        <v>520</v>
      </c>
      <c r="EX441">
        <v>370</v>
      </c>
      <c r="EY441">
        <v>453</v>
      </c>
    </row>
    <row r="442" spans="1:155" x14ac:dyDescent="0.35">
      <c r="A442">
        <v>2025</v>
      </c>
      <c r="B442" t="s">
        <v>668</v>
      </c>
      <c r="C442" t="s">
        <v>1051</v>
      </c>
      <c r="D442" t="s">
        <v>1576</v>
      </c>
      <c r="E442" t="s">
        <v>671</v>
      </c>
      <c r="F442">
        <v>531</v>
      </c>
      <c r="G442">
        <v>3</v>
      </c>
      <c r="H442">
        <v>6</v>
      </c>
      <c r="I442" t="s">
        <v>164</v>
      </c>
      <c r="J442">
        <v>16</v>
      </c>
      <c r="K442">
        <v>23</v>
      </c>
      <c r="L442">
        <v>19</v>
      </c>
      <c r="M442">
        <v>20.3</v>
      </c>
      <c r="N442">
        <v>31.4</v>
      </c>
      <c r="O442">
        <v>24.1401</v>
      </c>
      <c r="P442">
        <v>16.329499999999999</v>
      </c>
      <c r="Q442">
        <v>22.5138</v>
      </c>
      <c r="R442">
        <v>18.6327</v>
      </c>
      <c r="T442" t="s">
        <v>165</v>
      </c>
      <c r="U442" t="s">
        <v>166</v>
      </c>
      <c r="V442" t="s">
        <v>167</v>
      </c>
      <c r="W442" t="s">
        <v>168</v>
      </c>
      <c r="Y442">
        <v>8</v>
      </c>
      <c r="Z442" t="s">
        <v>169</v>
      </c>
      <c r="AA442" t="s">
        <v>170</v>
      </c>
      <c r="AB442" t="s">
        <v>167</v>
      </c>
      <c r="AC442" t="s">
        <v>213</v>
      </c>
      <c r="AD442">
        <v>10</v>
      </c>
      <c r="AG442" t="s">
        <v>210</v>
      </c>
      <c r="AH442" t="s">
        <v>444</v>
      </c>
      <c r="AI442" t="s">
        <v>175</v>
      </c>
      <c r="AJ442" t="s">
        <v>176</v>
      </c>
      <c r="AK442" t="s">
        <v>940</v>
      </c>
      <c r="AL442" t="s">
        <v>941</v>
      </c>
      <c r="AS442">
        <v>2750</v>
      </c>
      <c r="AT442">
        <v>2750</v>
      </c>
      <c r="BN442" t="s">
        <v>178</v>
      </c>
      <c r="BO442">
        <v>2</v>
      </c>
      <c r="BP442">
        <v>2</v>
      </c>
      <c r="BQ442">
        <v>33</v>
      </c>
      <c r="BR442" t="s">
        <v>1497</v>
      </c>
      <c r="BT442" t="s">
        <v>181</v>
      </c>
      <c r="BU442" s="1">
        <v>45523</v>
      </c>
      <c r="BV442">
        <v>35126</v>
      </c>
      <c r="BX442" t="s">
        <v>170</v>
      </c>
      <c r="BY442" t="s">
        <v>170</v>
      </c>
      <c r="CB442" t="s">
        <v>170</v>
      </c>
      <c r="CC442" t="s">
        <v>170</v>
      </c>
      <c r="CD442" t="s">
        <v>1001</v>
      </c>
      <c r="CE442" t="s">
        <v>170</v>
      </c>
      <c r="CG442" t="s">
        <v>169</v>
      </c>
      <c r="CH442" t="s">
        <v>1002</v>
      </c>
      <c r="CI442" t="s">
        <v>170</v>
      </c>
      <c r="DJ442" t="s">
        <v>184</v>
      </c>
      <c r="DK442" t="s">
        <v>185</v>
      </c>
      <c r="DN442" t="s">
        <v>170</v>
      </c>
      <c r="DO442" t="s">
        <v>1003</v>
      </c>
      <c r="DP442" t="s">
        <v>169</v>
      </c>
      <c r="DQ442" t="s">
        <v>198</v>
      </c>
      <c r="EB442">
        <v>4</v>
      </c>
      <c r="EC442">
        <v>4</v>
      </c>
      <c r="EE442" t="s">
        <v>1004</v>
      </c>
      <c r="EF442">
        <v>6</v>
      </c>
      <c r="EV442">
        <v>4250</v>
      </c>
      <c r="EW442">
        <v>542</v>
      </c>
      <c r="EX442">
        <v>395</v>
      </c>
      <c r="EY442">
        <v>476</v>
      </c>
    </row>
    <row r="443" spans="1:155" x14ac:dyDescent="0.35">
      <c r="A443">
        <v>2025</v>
      </c>
      <c r="B443" t="s">
        <v>668</v>
      </c>
      <c r="C443" t="s">
        <v>1051</v>
      </c>
      <c r="D443" t="s">
        <v>1330</v>
      </c>
      <c r="E443" t="s">
        <v>671</v>
      </c>
      <c r="F443">
        <v>533</v>
      </c>
      <c r="G443">
        <v>2</v>
      </c>
      <c r="H443">
        <v>4</v>
      </c>
      <c r="I443" t="s">
        <v>164</v>
      </c>
      <c r="J443">
        <v>20</v>
      </c>
      <c r="K443">
        <v>23</v>
      </c>
      <c r="L443">
        <v>21</v>
      </c>
      <c r="M443">
        <v>25.6</v>
      </c>
      <c r="N443">
        <v>35.9</v>
      </c>
      <c r="O443">
        <v>29.395199999999999</v>
      </c>
      <c r="P443">
        <v>20.239899999999999</v>
      </c>
      <c r="Q443">
        <v>22.961600000000001</v>
      </c>
      <c r="R443">
        <v>21.380299999999998</v>
      </c>
      <c r="T443" t="s">
        <v>165</v>
      </c>
      <c r="U443" t="s">
        <v>166</v>
      </c>
      <c r="V443" t="s">
        <v>167</v>
      </c>
      <c r="W443" t="s">
        <v>168</v>
      </c>
      <c r="Y443">
        <v>8</v>
      </c>
      <c r="Z443" t="s">
        <v>169</v>
      </c>
      <c r="AA443" t="s">
        <v>170</v>
      </c>
      <c r="AB443">
        <v>4</v>
      </c>
      <c r="AC443" t="s">
        <v>601</v>
      </c>
      <c r="AD443">
        <v>10</v>
      </c>
      <c r="AG443" t="s">
        <v>210</v>
      </c>
      <c r="AH443" t="s">
        <v>444</v>
      </c>
      <c r="AI443" t="s">
        <v>175</v>
      </c>
      <c r="AJ443" t="s">
        <v>176</v>
      </c>
      <c r="AK443" t="s">
        <v>940</v>
      </c>
      <c r="AL443" t="s">
        <v>941</v>
      </c>
      <c r="AS443">
        <v>2500</v>
      </c>
      <c r="AT443">
        <v>2500</v>
      </c>
      <c r="BN443" t="s">
        <v>178</v>
      </c>
      <c r="BO443">
        <v>2</v>
      </c>
      <c r="BP443">
        <v>2</v>
      </c>
      <c r="BQ443">
        <v>31</v>
      </c>
      <c r="BR443" t="s">
        <v>1219</v>
      </c>
      <c r="BT443" t="s">
        <v>457</v>
      </c>
      <c r="BU443" s="1">
        <v>45544</v>
      </c>
      <c r="BV443">
        <v>35329</v>
      </c>
      <c r="BX443" t="s">
        <v>170</v>
      </c>
      <c r="BY443" t="s">
        <v>170</v>
      </c>
      <c r="CB443" t="s">
        <v>170</v>
      </c>
      <c r="CC443" t="s">
        <v>170</v>
      </c>
      <c r="CE443" t="s">
        <v>170</v>
      </c>
      <c r="CG443" t="s">
        <v>169</v>
      </c>
      <c r="CH443" t="s">
        <v>1227</v>
      </c>
      <c r="CI443" t="s">
        <v>170</v>
      </c>
      <c r="DJ443" t="s">
        <v>184</v>
      </c>
      <c r="DK443" t="s">
        <v>185</v>
      </c>
      <c r="DM443" t="s">
        <v>170</v>
      </c>
      <c r="DN443" t="s">
        <v>170</v>
      </c>
      <c r="DO443" t="s">
        <v>574</v>
      </c>
      <c r="DP443" t="s">
        <v>169</v>
      </c>
      <c r="DQ443" t="s">
        <v>198</v>
      </c>
      <c r="EB443">
        <v>4</v>
      </c>
      <c r="EC443">
        <v>4</v>
      </c>
      <c r="EE443" t="s">
        <v>1331</v>
      </c>
      <c r="EF443">
        <v>6</v>
      </c>
      <c r="EV443">
        <v>3000</v>
      </c>
      <c r="EW443">
        <v>439</v>
      </c>
      <c r="EX443">
        <v>387</v>
      </c>
      <c r="EY443">
        <v>416</v>
      </c>
    </row>
    <row r="444" spans="1:155" x14ac:dyDescent="0.35">
      <c r="A444">
        <v>2025</v>
      </c>
      <c r="B444" t="s">
        <v>668</v>
      </c>
      <c r="C444" t="s">
        <v>1051</v>
      </c>
      <c r="D444" t="s">
        <v>1330</v>
      </c>
      <c r="E444" t="s">
        <v>671</v>
      </c>
      <c r="F444">
        <v>535</v>
      </c>
      <c r="G444">
        <v>3.6</v>
      </c>
      <c r="H444">
        <v>6</v>
      </c>
      <c r="I444" t="s">
        <v>200</v>
      </c>
      <c r="J444">
        <v>17</v>
      </c>
      <c r="K444">
        <v>23</v>
      </c>
      <c r="L444">
        <v>19</v>
      </c>
      <c r="M444">
        <v>21.1</v>
      </c>
      <c r="N444">
        <v>32.200000000000003</v>
      </c>
      <c r="O444">
        <v>24.9741</v>
      </c>
      <c r="P444">
        <v>16.9285</v>
      </c>
      <c r="Q444">
        <v>23.045300000000001</v>
      </c>
      <c r="R444">
        <v>19.224699999999999</v>
      </c>
      <c r="U444" t="s">
        <v>224</v>
      </c>
      <c r="V444" t="s">
        <v>201</v>
      </c>
      <c r="W444" t="s">
        <v>202</v>
      </c>
      <c r="Y444">
        <v>6</v>
      </c>
      <c r="Z444" t="s">
        <v>170</v>
      </c>
      <c r="AA444" t="s">
        <v>170</v>
      </c>
      <c r="AB444">
        <v>4</v>
      </c>
      <c r="AC444" t="s">
        <v>601</v>
      </c>
      <c r="AD444">
        <v>10</v>
      </c>
      <c r="AG444" t="s">
        <v>210</v>
      </c>
      <c r="AH444" t="s">
        <v>444</v>
      </c>
      <c r="AI444" t="s">
        <v>175</v>
      </c>
      <c r="AJ444" t="s">
        <v>176</v>
      </c>
      <c r="AK444" t="s">
        <v>940</v>
      </c>
      <c r="AL444" t="s">
        <v>941</v>
      </c>
      <c r="AS444">
        <v>2750</v>
      </c>
      <c r="AT444">
        <v>2750</v>
      </c>
      <c r="BO444">
        <v>2</v>
      </c>
      <c r="BP444">
        <v>2</v>
      </c>
      <c r="BQ444">
        <v>31</v>
      </c>
      <c r="BR444" t="s">
        <v>1219</v>
      </c>
      <c r="BT444" t="s">
        <v>181</v>
      </c>
      <c r="BU444" s="1">
        <v>45544</v>
      </c>
      <c r="BV444">
        <v>35331</v>
      </c>
      <c r="BX444" t="s">
        <v>170</v>
      </c>
      <c r="BY444" t="s">
        <v>170</v>
      </c>
      <c r="CB444" t="s">
        <v>170</v>
      </c>
      <c r="CC444" t="s">
        <v>170</v>
      </c>
      <c r="CE444" t="s">
        <v>170</v>
      </c>
      <c r="CG444" t="s">
        <v>169</v>
      </c>
      <c r="CH444" t="s">
        <v>240</v>
      </c>
      <c r="CI444" t="s">
        <v>170</v>
      </c>
      <c r="DJ444" t="s">
        <v>449</v>
      </c>
      <c r="DK444" t="s">
        <v>450</v>
      </c>
      <c r="DN444" t="s">
        <v>170</v>
      </c>
      <c r="DO444" t="s">
        <v>358</v>
      </c>
      <c r="DP444" t="s">
        <v>169</v>
      </c>
      <c r="DQ444" t="s">
        <v>198</v>
      </c>
      <c r="EB444">
        <v>4</v>
      </c>
      <c r="EC444">
        <v>4</v>
      </c>
      <c r="EE444" t="s">
        <v>1053</v>
      </c>
      <c r="EF444">
        <v>6</v>
      </c>
      <c r="EV444">
        <v>4250</v>
      </c>
      <c r="EW444">
        <v>525</v>
      </c>
      <c r="EX444">
        <v>386</v>
      </c>
      <c r="EY444">
        <v>462</v>
      </c>
    </row>
    <row r="445" spans="1:155" x14ac:dyDescent="0.35">
      <c r="A445">
        <v>2025</v>
      </c>
      <c r="B445" t="s">
        <v>668</v>
      </c>
      <c r="C445" t="s">
        <v>1051</v>
      </c>
      <c r="D445" t="s">
        <v>1332</v>
      </c>
      <c r="E445" t="s">
        <v>671</v>
      </c>
      <c r="F445">
        <v>536</v>
      </c>
      <c r="G445">
        <v>2</v>
      </c>
      <c r="H445">
        <v>4</v>
      </c>
      <c r="I445" t="s">
        <v>164</v>
      </c>
      <c r="J445">
        <v>20</v>
      </c>
      <c r="K445">
        <v>22</v>
      </c>
      <c r="L445">
        <v>21</v>
      </c>
      <c r="M445">
        <v>24.9</v>
      </c>
      <c r="N445">
        <v>35.1</v>
      </c>
      <c r="O445">
        <v>28.646000000000001</v>
      </c>
      <c r="P445">
        <v>19.731100000000001</v>
      </c>
      <c r="Q445">
        <v>22.485399999999998</v>
      </c>
      <c r="R445">
        <v>20.882200000000001</v>
      </c>
      <c r="T445" t="s">
        <v>165</v>
      </c>
      <c r="U445" t="s">
        <v>166</v>
      </c>
      <c r="V445" t="s">
        <v>167</v>
      </c>
      <c r="W445" t="s">
        <v>168</v>
      </c>
      <c r="Y445">
        <v>8</v>
      </c>
      <c r="Z445" t="s">
        <v>169</v>
      </c>
      <c r="AA445" t="s">
        <v>170</v>
      </c>
      <c r="AB445">
        <v>4</v>
      </c>
      <c r="AC445" t="s">
        <v>601</v>
      </c>
      <c r="AD445">
        <v>10</v>
      </c>
      <c r="AG445" t="s">
        <v>210</v>
      </c>
      <c r="AH445" t="s">
        <v>444</v>
      </c>
      <c r="AI445" t="s">
        <v>175</v>
      </c>
      <c r="AJ445" t="s">
        <v>176</v>
      </c>
      <c r="AK445" t="s">
        <v>940</v>
      </c>
      <c r="AL445" t="s">
        <v>941</v>
      </c>
      <c r="AS445">
        <v>2500</v>
      </c>
      <c r="AT445">
        <v>2500</v>
      </c>
      <c r="BN445" t="s">
        <v>178</v>
      </c>
      <c r="BO445">
        <v>2</v>
      </c>
      <c r="BP445">
        <v>2</v>
      </c>
      <c r="BQ445">
        <v>31</v>
      </c>
      <c r="BR445" t="s">
        <v>1219</v>
      </c>
      <c r="BT445" t="s">
        <v>457</v>
      </c>
      <c r="BU445" s="1">
        <v>45544</v>
      </c>
      <c r="BV445">
        <v>35330</v>
      </c>
      <c r="BX445" t="s">
        <v>170</v>
      </c>
      <c r="BY445" t="s">
        <v>170</v>
      </c>
      <c r="CB445" t="s">
        <v>170</v>
      </c>
      <c r="CC445" t="s">
        <v>170</v>
      </c>
      <c r="CE445" t="s">
        <v>170</v>
      </c>
      <c r="CG445" t="s">
        <v>169</v>
      </c>
      <c r="CH445" t="s">
        <v>1227</v>
      </c>
      <c r="CI445" t="s">
        <v>170</v>
      </c>
      <c r="DJ445" t="s">
        <v>184</v>
      </c>
      <c r="DK445" t="s">
        <v>185</v>
      </c>
      <c r="DM445" t="s">
        <v>170</v>
      </c>
      <c r="DN445" t="s">
        <v>170</v>
      </c>
      <c r="DO445" t="s">
        <v>574</v>
      </c>
      <c r="DP445" t="s">
        <v>169</v>
      </c>
      <c r="DQ445" t="s">
        <v>198</v>
      </c>
      <c r="EB445">
        <v>4</v>
      </c>
      <c r="EC445">
        <v>4</v>
      </c>
      <c r="EE445" t="s">
        <v>1331</v>
      </c>
      <c r="EF445">
        <v>6</v>
      </c>
      <c r="EV445">
        <v>3000</v>
      </c>
      <c r="EW445">
        <v>452</v>
      </c>
      <c r="EX445">
        <v>394</v>
      </c>
      <c r="EY445">
        <v>426</v>
      </c>
    </row>
    <row r="446" spans="1:155" x14ac:dyDescent="0.35">
      <c r="A446">
        <v>2025</v>
      </c>
      <c r="B446" t="s">
        <v>668</v>
      </c>
      <c r="C446" t="s">
        <v>1051</v>
      </c>
      <c r="D446" t="s">
        <v>1332</v>
      </c>
      <c r="E446" t="s">
        <v>671</v>
      </c>
      <c r="F446">
        <v>537</v>
      </c>
      <c r="G446">
        <v>3.6</v>
      </c>
      <c r="H446">
        <v>6</v>
      </c>
      <c r="I446" t="s">
        <v>164</v>
      </c>
      <c r="J446">
        <v>18</v>
      </c>
      <c r="K446">
        <v>23</v>
      </c>
      <c r="L446">
        <v>20</v>
      </c>
      <c r="M446">
        <v>21.9</v>
      </c>
      <c r="N446">
        <v>32.5</v>
      </c>
      <c r="O446">
        <v>25.667100000000001</v>
      </c>
      <c r="P446">
        <v>17.5243</v>
      </c>
      <c r="Q446">
        <v>23.244</v>
      </c>
      <c r="R446">
        <v>19.706399999999999</v>
      </c>
      <c r="U446" t="s">
        <v>224</v>
      </c>
      <c r="V446" t="s">
        <v>167</v>
      </c>
      <c r="W446" t="s">
        <v>168</v>
      </c>
      <c r="Y446">
        <v>8</v>
      </c>
      <c r="Z446" t="s">
        <v>169</v>
      </c>
      <c r="AA446" t="s">
        <v>170</v>
      </c>
      <c r="AB446">
        <v>4</v>
      </c>
      <c r="AC446" t="s">
        <v>601</v>
      </c>
      <c r="AD446">
        <v>10</v>
      </c>
      <c r="AG446" t="s">
        <v>210</v>
      </c>
      <c r="AH446" t="s">
        <v>444</v>
      </c>
      <c r="AI446" t="s">
        <v>175</v>
      </c>
      <c r="AJ446" t="s">
        <v>176</v>
      </c>
      <c r="AK446" t="s">
        <v>940</v>
      </c>
      <c r="AL446" t="s">
        <v>941</v>
      </c>
      <c r="AS446">
        <v>2600</v>
      </c>
      <c r="AT446">
        <v>2600</v>
      </c>
      <c r="BO446">
        <v>2</v>
      </c>
      <c r="BP446">
        <v>2</v>
      </c>
      <c r="BQ446">
        <v>31</v>
      </c>
      <c r="BR446" t="s">
        <v>1219</v>
      </c>
      <c r="BT446" t="s">
        <v>181</v>
      </c>
      <c r="BU446" s="1">
        <v>45665</v>
      </c>
      <c r="BV446">
        <v>35839</v>
      </c>
      <c r="BX446" t="s">
        <v>170</v>
      </c>
      <c r="BY446" t="s">
        <v>170</v>
      </c>
      <c r="CB446" t="s">
        <v>170</v>
      </c>
      <c r="CC446" t="s">
        <v>170</v>
      </c>
      <c r="CE446" t="s">
        <v>170</v>
      </c>
      <c r="CG446" t="s">
        <v>169</v>
      </c>
      <c r="CH446" t="s">
        <v>240</v>
      </c>
      <c r="CI446" t="s">
        <v>170</v>
      </c>
      <c r="DJ446" t="s">
        <v>449</v>
      </c>
      <c r="DK446" t="s">
        <v>450</v>
      </c>
      <c r="DN446" t="s">
        <v>170</v>
      </c>
      <c r="DO446" t="s">
        <v>358</v>
      </c>
      <c r="DP446" t="s">
        <v>169</v>
      </c>
      <c r="DQ446" t="s">
        <v>198</v>
      </c>
      <c r="EB446">
        <v>4</v>
      </c>
      <c r="EC446">
        <v>4</v>
      </c>
      <c r="EE446" t="s">
        <v>1053</v>
      </c>
      <c r="EF446">
        <v>6</v>
      </c>
      <c r="EV446">
        <v>3500</v>
      </c>
      <c r="EW446">
        <v>507</v>
      </c>
      <c r="EX446">
        <v>382</v>
      </c>
      <c r="EY446">
        <v>451</v>
      </c>
    </row>
    <row r="447" spans="1:155" x14ac:dyDescent="0.35">
      <c r="A447">
        <v>2025</v>
      </c>
      <c r="B447" t="s">
        <v>668</v>
      </c>
      <c r="C447" t="s">
        <v>1051</v>
      </c>
      <c r="D447" t="s">
        <v>1332</v>
      </c>
      <c r="E447" t="s">
        <v>671</v>
      </c>
      <c r="F447">
        <v>538</v>
      </c>
      <c r="G447">
        <v>3.6</v>
      </c>
      <c r="H447">
        <v>6</v>
      </c>
      <c r="I447" t="s">
        <v>200</v>
      </c>
      <c r="J447">
        <v>16</v>
      </c>
      <c r="K447">
        <v>22</v>
      </c>
      <c r="L447">
        <v>19</v>
      </c>
      <c r="M447">
        <v>20.399999999999999</v>
      </c>
      <c r="N447">
        <v>31.3</v>
      </c>
      <c r="O447">
        <v>24.190899999999999</v>
      </c>
      <c r="P447">
        <v>16.404599999999999</v>
      </c>
      <c r="Q447">
        <v>22.447299999999998</v>
      </c>
      <c r="R447">
        <v>18.665700000000001</v>
      </c>
      <c r="U447" t="s">
        <v>224</v>
      </c>
      <c r="V447" t="s">
        <v>201</v>
      </c>
      <c r="W447" t="s">
        <v>202</v>
      </c>
      <c r="Y447">
        <v>6</v>
      </c>
      <c r="Z447" t="s">
        <v>170</v>
      </c>
      <c r="AA447" t="s">
        <v>170</v>
      </c>
      <c r="AB447">
        <v>4</v>
      </c>
      <c r="AC447" t="s">
        <v>601</v>
      </c>
      <c r="AD447">
        <v>10</v>
      </c>
      <c r="AG447" t="s">
        <v>210</v>
      </c>
      <c r="AH447" t="s">
        <v>444</v>
      </c>
      <c r="AI447" t="s">
        <v>175</v>
      </c>
      <c r="AJ447" t="s">
        <v>176</v>
      </c>
      <c r="AK447" t="s">
        <v>940</v>
      </c>
      <c r="AL447" t="s">
        <v>941</v>
      </c>
      <c r="AS447">
        <v>2750</v>
      </c>
      <c r="AT447">
        <v>2750</v>
      </c>
      <c r="BO447">
        <v>2</v>
      </c>
      <c r="BP447">
        <v>2</v>
      </c>
      <c r="BQ447">
        <v>31</v>
      </c>
      <c r="BR447" t="s">
        <v>1219</v>
      </c>
      <c r="BT447" t="s">
        <v>181</v>
      </c>
      <c r="BU447" s="1">
        <v>45544</v>
      </c>
      <c r="BV447">
        <v>35332</v>
      </c>
      <c r="BX447" t="s">
        <v>170</v>
      </c>
      <c r="BY447" t="s">
        <v>170</v>
      </c>
      <c r="CB447" t="s">
        <v>170</v>
      </c>
      <c r="CC447" t="s">
        <v>170</v>
      </c>
      <c r="CE447" t="s">
        <v>170</v>
      </c>
      <c r="CG447" t="s">
        <v>169</v>
      </c>
      <c r="CH447" t="s">
        <v>240</v>
      </c>
      <c r="CI447" t="s">
        <v>170</v>
      </c>
      <c r="DJ447" t="s">
        <v>449</v>
      </c>
      <c r="DK447" t="s">
        <v>450</v>
      </c>
      <c r="DN447" t="s">
        <v>170</v>
      </c>
      <c r="DO447" t="s">
        <v>358</v>
      </c>
      <c r="DP447" t="s">
        <v>169</v>
      </c>
      <c r="DQ447" t="s">
        <v>198</v>
      </c>
      <c r="EB447">
        <v>4</v>
      </c>
      <c r="EC447">
        <v>4</v>
      </c>
      <c r="EE447" t="s">
        <v>1053</v>
      </c>
      <c r="EF447">
        <v>6</v>
      </c>
      <c r="EV447">
        <v>4250</v>
      </c>
      <c r="EW447">
        <v>542</v>
      </c>
      <c r="EX447">
        <v>396</v>
      </c>
      <c r="EY447">
        <v>476</v>
      </c>
    </row>
    <row r="448" spans="1:155" x14ac:dyDescent="0.35">
      <c r="A448">
        <v>2025</v>
      </c>
      <c r="B448" t="s">
        <v>668</v>
      </c>
      <c r="C448" t="s">
        <v>1051</v>
      </c>
      <c r="D448" t="s">
        <v>1332</v>
      </c>
      <c r="E448" t="s">
        <v>671</v>
      </c>
      <c r="F448">
        <v>549</v>
      </c>
      <c r="G448">
        <v>6.4</v>
      </c>
      <c r="H448">
        <v>8</v>
      </c>
      <c r="I448" t="s">
        <v>164</v>
      </c>
      <c r="J448">
        <v>13</v>
      </c>
      <c r="K448">
        <v>16</v>
      </c>
      <c r="L448">
        <v>14</v>
      </c>
      <c r="M448">
        <v>15.4</v>
      </c>
      <c r="N448">
        <v>22.1</v>
      </c>
      <c r="O448">
        <v>17.832899999999999</v>
      </c>
      <c r="P448">
        <v>12.5909</v>
      </c>
      <c r="Q448">
        <v>16.190200000000001</v>
      </c>
      <c r="R448">
        <v>13.990500000000001</v>
      </c>
      <c r="U448" t="s">
        <v>224</v>
      </c>
      <c r="V448" t="s">
        <v>167</v>
      </c>
      <c r="W448" t="s">
        <v>168</v>
      </c>
      <c r="Y448">
        <v>8</v>
      </c>
      <c r="Z448" t="s">
        <v>169</v>
      </c>
      <c r="AA448" t="s">
        <v>170</v>
      </c>
      <c r="AB448">
        <v>4</v>
      </c>
      <c r="AC448" t="s">
        <v>601</v>
      </c>
      <c r="AD448">
        <v>10</v>
      </c>
      <c r="AG448" t="s">
        <v>173</v>
      </c>
      <c r="AH448" t="s">
        <v>174</v>
      </c>
      <c r="AI448" t="s">
        <v>175</v>
      </c>
      <c r="AJ448" t="s">
        <v>176</v>
      </c>
      <c r="AK448" t="s">
        <v>940</v>
      </c>
      <c r="AL448" t="s">
        <v>941</v>
      </c>
      <c r="AS448">
        <v>4550</v>
      </c>
      <c r="AT448">
        <v>4550</v>
      </c>
      <c r="BO448">
        <v>1</v>
      </c>
      <c r="BP448">
        <v>1</v>
      </c>
      <c r="BQ448">
        <v>31</v>
      </c>
      <c r="BR448" t="s">
        <v>1219</v>
      </c>
      <c r="BT448" t="s">
        <v>181</v>
      </c>
      <c r="BU448" s="1">
        <v>45703</v>
      </c>
      <c r="BV448">
        <v>36024</v>
      </c>
      <c r="BX448" t="s">
        <v>170</v>
      </c>
      <c r="BY448" t="s">
        <v>170</v>
      </c>
      <c r="CB448" t="s">
        <v>170</v>
      </c>
      <c r="CC448" t="s">
        <v>170</v>
      </c>
      <c r="CE448" t="s">
        <v>169</v>
      </c>
      <c r="CF448" t="s">
        <v>1333</v>
      </c>
      <c r="CG448" t="s">
        <v>170</v>
      </c>
      <c r="CI448" t="s">
        <v>170</v>
      </c>
      <c r="DJ448" t="s">
        <v>449</v>
      </c>
      <c r="DK448" t="s">
        <v>450</v>
      </c>
      <c r="DN448" t="s">
        <v>170</v>
      </c>
      <c r="DO448" t="s">
        <v>1334</v>
      </c>
      <c r="DP448" t="s">
        <v>170</v>
      </c>
      <c r="DQ448" t="s">
        <v>187</v>
      </c>
      <c r="EB448">
        <v>2</v>
      </c>
      <c r="EC448">
        <v>2</v>
      </c>
      <c r="EE448" t="s">
        <v>1335</v>
      </c>
      <c r="EF448">
        <v>1</v>
      </c>
      <c r="EV448">
        <v>13250</v>
      </c>
      <c r="EW448">
        <v>706</v>
      </c>
      <c r="EX448">
        <v>549</v>
      </c>
      <c r="EY448">
        <v>635</v>
      </c>
    </row>
    <row r="449" spans="1:155" x14ac:dyDescent="0.35">
      <c r="A449">
        <v>2025</v>
      </c>
      <c r="B449" t="s">
        <v>756</v>
      </c>
      <c r="C449" t="s">
        <v>757</v>
      </c>
      <c r="D449" t="s">
        <v>1085</v>
      </c>
      <c r="E449" t="s">
        <v>759</v>
      </c>
      <c r="F449">
        <v>12</v>
      </c>
      <c r="G449">
        <v>3.5</v>
      </c>
      <c r="H449">
        <v>6</v>
      </c>
      <c r="I449" t="s">
        <v>192</v>
      </c>
      <c r="J449">
        <v>18</v>
      </c>
      <c r="K449">
        <v>26</v>
      </c>
      <c r="L449">
        <v>21</v>
      </c>
      <c r="M449">
        <v>22.505500000000001</v>
      </c>
      <c r="N449">
        <v>36.908999999999999</v>
      </c>
      <c r="O449">
        <v>27.299600000000002</v>
      </c>
      <c r="P449">
        <v>17.973199999999999</v>
      </c>
      <c r="Q449">
        <v>26.134399999999999</v>
      </c>
      <c r="R449">
        <v>20.911799999999999</v>
      </c>
      <c r="U449" t="s">
        <v>224</v>
      </c>
      <c r="V449" t="s">
        <v>193</v>
      </c>
      <c r="W449" t="s">
        <v>194</v>
      </c>
      <c r="Y449">
        <v>8</v>
      </c>
      <c r="Z449" t="s">
        <v>169</v>
      </c>
      <c r="AA449" t="s">
        <v>170</v>
      </c>
      <c r="AB449" t="s">
        <v>351</v>
      </c>
      <c r="AC449" t="s">
        <v>352</v>
      </c>
      <c r="AD449">
        <v>15</v>
      </c>
      <c r="AG449" t="s">
        <v>210</v>
      </c>
      <c r="AH449" t="s">
        <v>444</v>
      </c>
      <c r="AI449" t="s">
        <v>175</v>
      </c>
      <c r="AJ449" t="s">
        <v>176</v>
      </c>
      <c r="AK449" t="s">
        <v>940</v>
      </c>
      <c r="AL449" t="s">
        <v>941</v>
      </c>
      <c r="AS449">
        <v>2500</v>
      </c>
      <c r="AT449">
        <v>2500</v>
      </c>
      <c r="BN449" t="s">
        <v>265</v>
      </c>
      <c r="BO449">
        <v>2</v>
      </c>
      <c r="BP449">
        <v>2</v>
      </c>
      <c r="BQ449">
        <v>20</v>
      </c>
      <c r="BR449" t="s">
        <v>1079</v>
      </c>
      <c r="BS449">
        <v>1</v>
      </c>
      <c r="BT449" t="s">
        <v>181</v>
      </c>
      <c r="BU449" s="1">
        <v>45397</v>
      </c>
      <c r="BV449">
        <v>34626</v>
      </c>
      <c r="BX449" t="s">
        <v>170</v>
      </c>
      <c r="BY449" t="s">
        <v>170</v>
      </c>
      <c r="CB449" t="s">
        <v>170</v>
      </c>
      <c r="CC449" t="s">
        <v>170</v>
      </c>
      <c r="CE449" t="s">
        <v>170</v>
      </c>
      <c r="CG449" t="s">
        <v>169</v>
      </c>
      <c r="CH449" t="s">
        <v>760</v>
      </c>
      <c r="CI449" t="s">
        <v>170</v>
      </c>
      <c r="DJ449" t="s">
        <v>267</v>
      </c>
      <c r="DK449" t="s">
        <v>268</v>
      </c>
      <c r="DN449" t="s">
        <v>170</v>
      </c>
      <c r="DO449" t="s">
        <v>197</v>
      </c>
      <c r="DP449" t="s">
        <v>170</v>
      </c>
      <c r="DQ449" t="s">
        <v>187</v>
      </c>
      <c r="EB449">
        <v>4</v>
      </c>
      <c r="EC449">
        <v>4</v>
      </c>
      <c r="EE449" t="s">
        <v>1086</v>
      </c>
      <c r="EF449">
        <v>5</v>
      </c>
      <c r="EV449">
        <v>3000</v>
      </c>
      <c r="EW449">
        <v>496</v>
      </c>
      <c r="EX449">
        <v>341</v>
      </c>
      <c r="EY449">
        <v>426</v>
      </c>
    </row>
    <row r="450" spans="1:155" x14ac:dyDescent="0.35">
      <c r="A450">
        <v>2025</v>
      </c>
      <c r="B450" t="s">
        <v>756</v>
      </c>
      <c r="C450" t="s">
        <v>757</v>
      </c>
      <c r="D450" t="s">
        <v>1087</v>
      </c>
      <c r="E450" t="s">
        <v>759</v>
      </c>
      <c r="F450">
        <v>48</v>
      </c>
      <c r="G450">
        <v>1.6</v>
      </c>
      <c r="H450">
        <v>4</v>
      </c>
      <c r="I450" t="s">
        <v>747</v>
      </c>
      <c r="J450">
        <v>34</v>
      </c>
      <c r="K450">
        <v>31</v>
      </c>
      <c r="L450">
        <v>33</v>
      </c>
      <c r="M450">
        <v>45.611400000000003</v>
      </c>
      <c r="N450">
        <v>44.7136</v>
      </c>
      <c r="O450">
        <v>45.203000000000003</v>
      </c>
      <c r="P450">
        <v>33.869100000000003</v>
      </c>
      <c r="Q450">
        <v>31.111999999999998</v>
      </c>
      <c r="R450">
        <v>32.570300000000003</v>
      </c>
      <c r="T450" t="s">
        <v>165</v>
      </c>
      <c r="U450" t="s">
        <v>166</v>
      </c>
      <c r="V450" t="s">
        <v>211</v>
      </c>
      <c r="W450" t="s">
        <v>212</v>
      </c>
      <c r="Y450">
        <v>6</v>
      </c>
      <c r="Z450" t="s">
        <v>170</v>
      </c>
      <c r="AA450" t="s">
        <v>170</v>
      </c>
      <c r="AB450" t="s">
        <v>351</v>
      </c>
      <c r="AC450" t="s">
        <v>352</v>
      </c>
      <c r="AD450">
        <v>15</v>
      </c>
      <c r="AG450" t="s">
        <v>210</v>
      </c>
      <c r="AH450" t="s">
        <v>444</v>
      </c>
      <c r="AI450" t="s">
        <v>175</v>
      </c>
      <c r="AJ450" t="s">
        <v>176</v>
      </c>
      <c r="AK450" t="s">
        <v>940</v>
      </c>
      <c r="AL450" t="s">
        <v>941</v>
      </c>
      <c r="AS450">
        <v>1600</v>
      </c>
      <c r="AT450">
        <v>1600</v>
      </c>
      <c r="BN450" t="s">
        <v>232</v>
      </c>
      <c r="BO450">
        <v>2</v>
      </c>
      <c r="BP450">
        <v>2</v>
      </c>
      <c r="BQ450">
        <v>20</v>
      </c>
      <c r="BR450" t="s">
        <v>1079</v>
      </c>
      <c r="BS450">
        <v>1</v>
      </c>
      <c r="BT450" t="s">
        <v>181</v>
      </c>
      <c r="BU450" s="1">
        <v>45478</v>
      </c>
      <c r="BV450">
        <v>35156</v>
      </c>
      <c r="BX450" t="s">
        <v>170</v>
      </c>
      <c r="BY450" t="s">
        <v>170</v>
      </c>
      <c r="CB450" t="s">
        <v>170</v>
      </c>
      <c r="CC450" t="s">
        <v>170</v>
      </c>
      <c r="CE450" t="s">
        <v>170</v>
      </c>
      <c r="CG450" t="s">
        <v>169</v>
      </c>
      <c r="CH450" t="s">
        <v>748</v>
      </c>
      <c r="CI450" t="s">
        <v>170</v>
      </c>
      <c r="CK450" t="s">
        <v>233</v>
      </c>
      <c r="CM450">
        <v>1</v>
      </c>
      <c r="CN450" t="s">
        <v>234</v>
      </c>
      <c r="CP450">
        <v>270</v>
      </c>
      <c r="CQ450">
        <v>5.5</v>
      </c>
      <c r="CR450">
        <v>35.4</v>
      </c>
      <c r="CS450" t="s">
        <v>235</v>
      </c>
      <c r="CV450" t="s">
        <v>341</v>
      </c>
      <c r="CX450" t="s">
        <v>729</v>
      </c>
      <c r="CY450" t="s">
        <v>170</v>
      </c>
      <c r="DD450">
        <v>1</v>
      </c>
      <c r="DE450" t="s">
        <v>404</v>
      </c>
      <c r="DF450" t="s">
        <v>427</v>
      </c>
      <c r="DG450">
        <v>54</v>
      </c>
      <c r="DJ450" t="s">
        <v>184</v>
      </c>
      <c r="DK450" t="s">
        <v>185</v>
      </c>
      <c r="DL450" t="s">
        <v>170</v>
      </c>
      <c r="DM450" t="s">
        <v>170</v>
      </c>
      <c r="DN450" t="s">
        <v>170</v>
      </c>
      <c r="DO450" t="s">
        <v>1088</v>
      </c>
      <c r="DP450" t="s">
        <v>169</v>
      </c>
      <c r="DQ450" t="s">
        <v>198</v>
      </c>
      <c r="EB450">
        <v>6</v>
      </c>
      <c r="EC450">
        <v>6</v>
      </c>
      <c r="EE450" t="s">
        <v>1089</v>
      </c>
      <c r="EF450">
        <v>6</v>
      </c>
      <c r="EU450">
        <v>1500</v>
      </c>
      <c r="EW450">
        <v>263</v>
      </c>
      <c r="EX450">
        <v>287</v>
      </c>
      <c r="EY450">
        <v>274</v>
      </c>
    </row>
    <row r="451" spans="1:155" x14ac:dyDescent="0.35">
      <c r="A451">
        <v>2025</v>
      </c>
      <c r="B451" t="s">
        <v>756</v>
      </c>
      <c r="C451" t="s">
        <v>757</v>
      </c>
      <c r="D451" t="s">
        <v>758</v>
      </c>
      <c r="E451" t="s">
        <v>759</v>
      </c>
      <c r="F451">
        <v>49</v>
      </c>
      <c r="G451">
        <v>2</v>
      </c>
      <c r="H451">
        <v>4</v>
      </c>
      <c r="I451" t="s">
        <v>741</v>
      </c>
      <c r="J451">
        <v>29</v>
      </c>
      <c r="K451">
        <v>39</v>
      </c>
      <c r="L451">
        <v>33</v>
      </c>
      <c r="M451">
        <v>37.526299999999999</v>
      </c>
      <c r="N451">
        <v>57.967799999999997</v>
      </c>
      <c r="O451">
        <v>44.604399999999998</v>
      </c>
      <c r="P451">
        <v>28.5671</v>
      </c>
      <c r="Q451">
        <v>39.1813</v>
      </c>
      <c r="R451">
        <v>32.533000000000001</v>
      </c>
      <c r="U451" t="s">
        <v>224</v>
      </c>
      <c r="V451" t="s">
        <v>463</v>
      </c>
      <c r="W451" t="s">
        <v>464</v>
      </c>
      <c r="Y451">
        <v>1</v>
      </c>
      <c r="Z451" t="s">
        <v>169</v>
      </c>
      <c r="AA451" t="s">
        <v>170</v>
      </c>
      <c r="AB451" t="s">
        <v>351</v>
      </c>
      <c r="AC451" t="s">
        <v>352</v>
      </c>
      <c r="AD451">
        <v>15</v>
      </c>
      <c r="AG451" t="s">
        <v>210</v>
      </c>
      <c r="AH451" t="s">
        <v>444</v>
      </c>
      <c r="AI451" t="s">
        <v>175</v>
      </c>
      <c r="AJ451" t="s">
        <v>176</v>
      </c>
      <c r="AK451" t="s">
        <v>170</v>
      </c>
      <c r="AL451" t="s">
        <v>177</v>
      </c>
      <c r="AO451">
        <v>99</v>
      </c>
      <c r="AP451">
        <v>14</v>
      </c>
      <c r="AS451">
        <v>1600</v>
      </c>
      <c r="AT451">
        <v>1600</v>
      </c>
      <c r="BO451">
        <v>2</v>
      </c>
      <c r="BP451">
        <v>2</v>
      </c>
      <c r="BQ451">
        <v>5</v>
      </c>
      <c r="BR451" t="s">
        <v>672</v>
      </c>
      <c r="BS451" t="s">
        <v>180</v>
      </c>
      <c r="BT451" t="s">
        <v>181</v>
      </c>
      <c r="BU451" s="1">
        <v>45505</v>
      </c>
      <c r="BV451">
        <v>35306</v>
      </c>
      <c r="BX451" t="s">
        <v>170</v>
      </c>
      <c r="BY451" t="s">
        <v>170</v>
      </c>
      <c r="CB451" t="s">
        <v>170</v>
      </c>
      <c r="CC451" t="s">
        <v>170</v>
      </c>
      <c r="CE451" t="s">
        <v>170</v>
      </c>
      <c r="CG451" t="s">
        <v>169</v>
      </c>
      <c r="CH451" t="s">
        <v>760</v>
      </c>
      <c r="CI451" t="s">
        <v>170</v>
      </c>
      <c r="DJ451" t="s">
        <v>449</v>
      </c>
      <c r="DK451" t="s">
        <v>450</v>
      </c>
      <c r="DN451" t="s">
        <v>170</v>
      </c>
      <c r="DO451" t="s">
        <v>295</v>
      </c>
      <c r="DP451" t="s">
        <v>170</v>
      </c>
      <c r="DQ451" t="s">
        <v>187</v>
      </c>
      <c r="DR451" t="s">
        <v>763</v>
      </c>
      <c r="DY451">
        <v>45.2</v>
      </c>
      <c r="EB451">
        <v>6</v>
      </c>
      <c r="EC451">
        <v>6</v>
      </c>
      <c r="EE451" t="s">
        <v>764</v>
      </c>
      <c r="EF451">
        <v>6</v>
      </c>
      <c r="EU451">
        <v>1500</v>
      </c>
      <c r="EW451">
        <v>311</v>
      </c>
      <c r="EX451">
        <v>227</v>
      </c>
      <c r="EY451">
        <v>273</v>
      </c>
    </row>
    <row r="452" spans="1:155" x14ac:dyDescent="0.35">
      <c r="A452">
        <v>2025</v>
      </c>
      <c r="B452" t="s">
        <v>756</v>
      </c>
      <c r="C452" t="s">
        <v>757</v>
      </c>
      <c r="D452" t="s">
        <v>758</v>
      </c>
      <c r="E452" t="s">
        <v>759</v>
      </c>
      <c r="F452">
        <v>50</v>
      </c>
      <c r="G452">
        <v>2</v>
      </c>
      <c r="H452">
        <v>4</v>
      </c>
      <c r="I452" t="s">
        <v>741</v>
      </c>
      <c r="J452">
        <v>30</v>
      </c>
      <c r="K452">
        <v>40</v>
      </c>
      <c r="L452">
        <v>34</v>
      </c>
      <c r="M452">
        <v>39.200000000000003</v>
      </c>
      <c r="N452">
        <v>60.2</v>
      </c>
      <c r="O452">
        <v>46.499299999999998</v>
      </c>
      <c r="P452">
        <v>29.686499999999999</v>
      </c>
      <c r="Q452">
        <v>40.495100000000001</v>
      </c>
      <c r="R452">
        <v>33.738900000000001</v>
      </c>
      <c r="U452" t="s">
        <v>224</v>
      </c>
      <c r="V452" t="s">
        <v>463</v>
      </c>
      <c r="W452" t="s">
        <v>464</v>
      </c>
      <c r="Y452">
        <v>1</v>
      </c>
      <c r="Z452" t="s">
        <v>169</v>
      </c>
      <c r="AA452" t="s">
        <v>170</v>
      </c>
      <c r="AB452" t="s">
        <v>351</v>
      </c>
      <c r="AC452" t="s">
        <v>352</v>
      </c>
      <c r="AD452">
        <v>15</v>
      </c>
      <c r="AG452" t="s">
        <v>210</v>
      </c>
      <c r="AH452" t="s">
        <v>444</v>
      </c>
      <c r="AI452" t="s">
        <v>175</v>
      </c>
      <c r="AJ452" t="s">
        <v>176</v>
      </c>
      <c r="AK452" t="s">
        <v>170</v>
      </c>
      <c r="AL452" t="s">
        <v>177</v>
      </c>
      <c r="AO452">
        <v>99</v>
      </c>
      <c r="AP452">
        <v>14</v>
      </c>
      <c r="AS452">
        <v>1550</v>
      </c>
      <c r="AT452">
        <v>1550</v>
      </c>
      <c r="BO452">
        <v>2</v>
      </c>
      <c r="BP452">
        <v>2</v>
      </c>
      <c r="BQ452">
        <v>5</v>
      </c>
      <c r="BR452" t="s">
        <v>672</v>
      </c>
      <c r="BS452" t="s">
        <v>180</v>
      </c>
      <c r="BT452" t="s">
        <v>181</v>
      </c>
      <c r="BU452" s="1">
        <v>45505</v>
      </c>
      <c r="BV452">
        <v>35272</v>
      </c>
      <c r="BX452" t="s">
        <v>170</v>
      </c>
      <c r="BY452" t="s">
        <v>170</v>
      </c>
      <c r="CB452" t="s">
        <v>170</v>
      </c>
      <c r="CC452" t="s">
        <v>170</v>
      </c>
      <c r="CE452" t="s">
        <v>170</v>
      </c>
      <c r="CG452" t="s">
        <v>169</v>
      </c>
      <c r="CH452" t="s">
        <v>760</v>
      </c>
      <c r="CI452" t="s">
        <v>170</v>
      </c>
      <c r="DJ452" t="s">
        <v>449</v>
      </c>
      <c r="DK452" t="s">
        <v>450</v>
      </c>
      <c r="DN452" t="s">
        <v>170</v>
      </c>
      <c r="DO452" t="s">
        <v>295</v>
      </c>
      <c r="DP452" t="s">
        <v>170</v>
      </c>
      <c r="DQ452" t="s">
        <v>187</v>
      </c>
      <c r="DR452" t="s">
        <v>765</v>
      </c>
      <c r="DY452">
        <v>47.3</v>
      </c>
      <c r="EB452">
        <v>7</v>
      </c>
      <c r="EC452">
        <v>7</v>
      </c>
      <c r="EE452" t="s">
        <v>764</v>
      </c>
      <c r="EF452">
        <v>6</v>
      </c>
      <c r="EU452">
        <v>1750</v>
      </c>
      <c r="EW452">
        <v>300</v>
      </c>
      <c r="EX452">
        <v>220</v>
      </c>
      <c r="EY452">
        <v>264</v>
      </c>
    </row>
    <row r="453" spans="1:155" x14ac:dyDescent="0.35">
      <c r="A453">
        <v>2025</v>
      </c>
      <c r="B453" t="s">
        <v>756</v>
      </c>
      <c r="C453" t="s">
        <v>757</v>
      </c>
      <c r="D453" t="s">
        <v>758</v>
      </c>
      <c r="E453" t="s">
        <v>759</v>
      </c>
      <c r="F453">
        <v>51</v>
      </c>
      <c r="G453">
        <v>1.6</v>
      </c>
      <c r="H453">
        <v>4</v>
      </c>
      <c r="I453" t="s">
        <v>192</v>
      </c>
      <c r="J453">
        <v>26</v>
      </c>
      <c r="K453">
        <v>36</v>
      </c>
      <c r="L453">
        <v>29</v>
      </c>
      <c r="M453">
        <v>33.299999999999997</v>
      </c>
      <c r="N453">
        <v>52.5</v>
      </c>
      <c r="O453">
        <v>39.8598</v>
      </c>
      <c r="P453">
        <v>25.687899999999999</v>
      </c>
      <c r="Q453">
        <v>35.908999999999999</v>
      </c>
      <c r="R453">
        <v>29.461600000000001</v>
      </c>
      <c r="T453" t="s">
        <v>165</v>
      </c>
      <c r="U453" t="s">
        <v>166</v>
      </c>
      <c r="V453" t="s">
        <v>193</v>
      </c>
      <c r="W453" t="s">
        <v>194</v>
      </c>
      <c r="Y453">
        <v>8</v>
      </c>
      <c r="Z453" t="s">
        <v>169</v>
      </c>
      <c r="AA453" t="s">
        <v>170</v>
      </c>
      <c r="AB453" t="s">
        <v>351</v>
      </c>
      <c r="AC453" t="s">
        <v>352</v>
      </c>
      <c r="AD453">
        <v>15</v>
      </c>
      <c r="AG453" t="s">
        <v>210</v>
      </c>
      <c r="AH453" t="s">
        <v>444</v>
      </c>
      <c r="AI453" t="s">
        <v>175</v>
      </c>
      <c r="AJ453" t="s">
        <v>176</v>
      </c>
      <c r="AK453" t="s">
        <v>170</v>
      </c>
      <c r="AL453" t="s">
        <v>177</v>
      </c>
      <c r="AO453">
        <v>99</v>
      </c>
      <c r="AP453">
        <v>14</v>
      </c>
      <c r="AS453">
        <v>1800</v>
      </c>
      <c r="AT453">
        <v>1800</v>
      </c>
      <c r="BN453" t="s">
        <v>178</v>
      </c>
      <c r="BO453">
        <v>2</v>
      </c>
      <c r="BP453">
        <v>2</v>
      </c>
      <c r="BQ453">
        <v>5</v>
      </c>
      <c r="BR453" t="s">
        <v>672</v>
      </c>
      <c r="BS453" t="s">
        <v>180</v>
      </c>
      <c r="BT453" t="s">
        <v>181</v>
      </c>
      <c r="BU453" s="1">
        <v>45595</v>
      </c>
      <c r="BV453">
        <v>35784</v>
      </c>
      <c r="BX453" t="s">
        <v>170</v>
      </c>
      <c r="BY453" t="s">
        <v>170</v>
      </c>
      <c r="CB453" t="s">
        <v>170</v>
      </c>
      <c r="CC453" t="s">
        <v>170</v>
      </c>
      <c r="CE453" t="s">
        <v>170</v>
      </c>
      <c r="CG453" t="s">
        <v>169</v>
      </c>
      <c r="CH453" t="s">
        <v>760</v>
      </c>
      <c r="CI453" t="s">
        <v>170</v>
      </c>
      <c r="DJ453" t="s">
        <v>184</v>
      </c>
      <c r="DK453" t="s">
        <v>185</v>
      </c>
      <c r="DN453" t="s">
        <v>170</v>
      </c>
      <c r="DO453" t="s">
        <v>761</v>
      </c>
      <c r="DP453" t="s">
        <v>170</v>
      </c>
      <c r="DQ453" t="s">
        <v>187</v>
      </c>
      <c r="DY453">
        <v>40.1</v>
      </c>
      <c r="EB453">
        <v>6</v>
      </c>
      <c r="EC453">
        <v>6</v>
      </c>
      <c r="EE453" t="s">
        <v>762</v>
      </c>
      <c r="EF453">
        <v>6</v>
      </c>
      <c r="EU453">
        <v>500</v>
      </c>
      <c r="EW453">
        <v>347</v>
      </c>
      <c r="EX453">
        <v>248</v>
      </c>
      <c r="EY453">
        <v>303</v>
      </c>
    </row>
    <row r="454" spans="1:155" x14ac:dyDescent="0.35">
      <c r="A454">
        <v>2025</v>
      </c>
      <c r="B454" t="s">
        <v>756</v>
      </c>
      <c r="C454" t="s">
        <v>757</v>
      </c>
      <c r="D454" t="s">
        <v>864</v>
      </c>
      <c r="E454" t="s">
        <v>759</v>
      </c>
      <c r="F454">
        <v>6</v>
      </c>
      <c r="G454">
        <v>2.5</v>
      </c>
      <c r="H454">
        <v>4</v>
      </c>
      <c r="I454" t="s">
        <v>192</v>
      </c>
      <c r="J454">
        <v>25</v>
      </c>
      <c r="K454">
        <v>36</v>
      </c>
      <c r="L454">
        <v>29</v>
      </c>
      <c r="M454">
        <v>31.8</v>
      </c>
      <c r="N454">
        <v>52.7</v>
      </c>
      <c r="O454">
        <v>38.707900000000002</v>
      </c>
      <c r="P454">
        <v>24.647500000000001</v>
      </c>
      <c r="Q454">
        <v>36.030099999999997</v>
      </c>
      <c r="R454">
        <v>28.732099999999999</v>
      </c>
      <c r="U454" t="s">
        <v>224</v>
      </c>
      <c r="V454" t="s">
        <v>193</v>
      </c>
      <c r="W454" t="s">
        <v>194</v>
      </c>
      <c r="Y454">
        <v>8</v>
      </c>
      <c r="Z454" t="s">
        <v>169</v>
      </c>
      <c r="AA454" t="s">
        <v>170</v>
      </c>
      <c r="AB454" t="s">
        <v>351</v>
      </c>
      <c r="AC454" t="s">
        <v>352</v>
      </c>
      <c r="AD454">
        <v>15</v>
      </c>
      <c r="AG454" t="s">
        <v>210</v>
      </c>
      <c r="AH454" t="s">
        <v>444</v>
      </c>
      <c r="AI454" t="s">
        <v>175</v>
      </c>
      <c r="AJ454" t="s">
        <v>176</v>
      </c>
      <c r="AK454" t="s">
        <v>170</v>
      </c>
      <c r="AL454" t="s">
        <v>177</v>
      </c>
      <c r="AO454">
        <v>105</v>
      </c>
      <c r="AP454">
        <v>16</v>
      </c>
      <c r="AS454">
        <v>1800</v>
      </c>
      <c r="AT454">
        <v>1800</v>
      </c>
      <c r="BN454" t="s">
        <v>265</v>
      </c>
      <c r="BO454">
        <v>2</v>
      </c>
      <c r="BP454">
        <v>2</v>
      </c>
      <c r="BQ454">
        <v>6</v>
      </c>
      <c r="BR454" t="s">
        <v>825</v>
      </c>
      <c r="BS454" t="s">
        <v>180</v>
      </c>
      <c r="BT454" t="s">
        <v>181</v>
      </c>
      <c r="BU454" s="1">
        <v>45357</v>
      </c>
      <c r="BV454">
        <v>34538</v>
      </c>
      <c r="BX454" t="s">
        <v>170</v>
      </c>
      <c r="BY454" t="s">
        <v>170</v>
      </c>
      <c r="CB454" t="s">
        <v>170</v>
      </c>
      <c r="CC454" t="s">
        <v>170</v>
      </c>
      <c r="CE454" t="s">
        <v>170</v>
      </c>
      <c r="CG454" t="s">
        <v>169</v>
      </c>
      <c r="CH454" t="s">
        <v>855</v>
      </c>
      <c r="CI454" t="s">
        <v>170</v>
      </c>
      <c r="DJ454" t="s">
        <v>267</v>
      </c>
      <c r="DK454" t="s">
        <v>268</v>
      </c>
      <c r="DN454" t="s">
        <v>170</v>
      </c>
      <c r="DO454" t="s">
        <v>295</v>
      </c>
      <c r="DP454" t="s">
        <v>170</v>
      </c>
      <c r="DQ454" t="s">
        <v>187</v>
      </c>
      <c r="DY454">
        <v>39</v>
      </c>
      <c r="EB454">
        <v>6</v>
      </c>
      <c r="EC454">
        <v>6</v>
      </c>
      <c r="EE454" t="s">
        <v>867</v>
      </c>
      <c r="EF454">
        <v>6</v>
      </c>
      <c r="EU454">
        <v>500</v>
      </c>
      <c r="EW454">
        <v>361</v>
      </c>
      <c r="EX454">
        <v>247</v>
      </c>
      <c r="EY454">
        <v>310</v>
      </c>
    </row>
    <row r="455" spans="1:155" x14ac:dyDescent="0.35">
      <c r="A455">
        <v>2025</v>
      </c>
      <c r="B455" t="s">
        <v>756</v>
      </c>
      <c r="C455" t="s">
        <v>757</v>
      </c>
      <c r="D455" t="s">
        <v>864</v>
      </c>
      <c r="E455" t="s">
        <v>759</v>
      </c>
      <c r="F455">
        <v>7</v>
      </c>
      <c r="G455">
        <v>2.5</v>
      </c>
      <c r="H455">
        <v>4</v>
      </c>
      <c r="I455" t="s">
        <v>192</v>
      </c>
      <c r="J455">
        <v>26</v>
      </c>
      <c r="K455">
        <v>37</v>
      </c>
      <c r="L455">
        <v>30</v>
      </c>
      <c r="M455">
        <v>33.200000000000003</v>
      </c>
      <c r="N455">
        <v>55</v>
      </c>
      <c r="O455">
        <v>40.407200000000003</v>
      </c>
      <c r="P455">
        <v>25.6188</v>
      </c>
      <c r="Q455">
        <v>37.4148</v>
      </c>
      <c r="R455">
        <v>29.854399999999998</v>
      </c>
      <c r="U455" t="s">
        <v>224</v>
      </c>
      <c r="V455" t="s">
        <v>193</v>
      </c>
      <c r="W455" t="s">
        <v>194</v>
      </c>
      <c r="Y455">
        <v>8</v>
      </c>
      <c r="Z455" t="s">
        <v>169</v>
      </c>
      <c r="AA455" t="s">
        <v>170</v>
      </c>
      <c r="AB455" t="s">
        <v>351</v>
      </c>
      <c r="AC455" t="s">
        <v>352</v>
      </c>
      <c r="AD455">
        <v>15</v>
      </c>
      <c r="AG455" t="s">
        <v>210</v>
      </c>
      <c r="AH455" t="s">
        <v>444</v>
      </c>
      <c r="AI455" t="s">
        <v>175</v>
      </c>
      <c r="AJ455" t="s">
        <v>176</v>
      </c>
      <c r="AK455" t="s">
        <v>170</v>
      </c>
      <c r="AL455" t="s">
        <v>177</v>
      </c>
      <c r="AO455">
        <v>105</v>
      </c>
      <c r="AP455">
        <v>16</v>
      </c>
      <c r="AS455">
        <v>1750</v>
      </c>
      <c r="AT455">
        <v>1750</v>
      </c>
      <c r="BN455" t="s">
        <v>265</v>
      </c>
      <c r="BO455">
        <v>2</v>
      </c>
      <c r="BP455">
        <v>2</v>
      </c>
      <c r="BQ455">
        <v>6</v>
      </c>
      <c r="BR455" t="s">
        <v>825</v>
      </c>
      <c r="BS455" t="s">
        <v>180</v>
      </c>
      <c r="BT455" t="s">
        <v>181</v>
      </c>
      <c r="BU455" s="1">
        <v>45357</v>
      </c>
      <c r="BV455">
        <v>34539</v>
      </c>
      <c r="BX455" t="s">
        <v>170</v>
      </c>
      <c r="BY455" t="s">
        <v>170</v>
      </c>
      <c r="CB455" t="s">
        <v>170</v>
      </c>
      <c r="CC455" t="s">
        <v>170</v>
      </c>
      <c r="CE455" t="s">
        <v>170</v>
      </c>
      <c r="CG455" t="s">
        <v>169</v>
      </c>
      <c r="CH455" t="s">
        <v>855</v>
      </c>
      <c r="CI455" t="s">
        <v>170</v>
      </c>
      <c r="DJ455" t="s">
        <v>267</v>
      </c>
      <c r="DK455" t="s">
        <v>268</v>
      </c>
      <c r="DN455" t="s">
        <v>170</v>
      </c>
      <c r="DO455" t="s">
        <v>295</v>
      </c>
      <c r="DP455" t="s">
        <v>169</v>
      </c>
      <c r="DQ455" t="s">
        <v>198</v>
      </c>
      <c r="DR455" t="s">
        <v>745</v>
      </c>
      <c r="DY455">
        <v>40.700000000000003</v>
      </c>
      <c r="EB455">
        <v>6</v>
      </c>
      <c r="EC455">
        <v>6</v>
      </c>
      <c r="EE455" t="s">
        <v>867</v>
      </c>
      <c r="EF455">
        <v>6</v>
      </c>
      <c r="EU455">
        <v>750</v>
      </c>
      <c r="EW455">
        <v>347</v>
      </c>
      <c r="EX455">
        <v>238</v>
      </c>
      <c r="EY455">
        <v>298</v>
      </c>
    </row>
    <row r="456" spans="1:155" x14ac:dyDescent="0.35">
      <c r="A456">
        <v>2025</v>
      </c>
      <c r="B456" t="s">
        <v>756</v>
      </c>
      <c r="C456" t="s">
        <v>757</v>
      </c>
      <c r="D456" t="s">
        <v>864</v>
      </c>
      <c r="E456" t="s">
        <v>759</v>
      </c>
      <c r="F456">
        <v>8</v>
      </c>
      <c r="G456">
        <v>2.5</v>
      </c>
      <c r="H456">
        <v>4</v>
      </c>
      <c r="I456" t="s">
        <v>361</v>
      </c>
      <c r="J456">
        <v>23</v>
      </c>
      <c r="K456">
        <v>33</v>
      </c>
      <c r="L456">
        <v>27</v>
      </c>
      <c r="M456">
        <v>28.824999999999999</v>
      </c>
      <c r="N456">
        <v>46.531599999999997</v>
      </c>
      <c r="O456">
        <v>34.780799999999999</v>
      </c>
      <c r="P456">
        <v>23.3386</v>
      </c>
      <c r="Q456">
        <v>32.642800000000001</v>
      </c>
      <c r="R456">
        <v>26.772500000000001</v>
      </c>
      <c r="T456" t="s">
        <v>165</v>
      </c>
      <c r="U456" t="s">
        <v>166</v>
      </c>
      <c r="V456" t="s">
        <v>211</v>
      </c>
      <c r="W456" t="s">
        <v>212</v>
      </c>
      <c r="Y456">
        <v>8</v>
      </c>
      <c r="Z456" t="s">
        <v>170</v>
      </c>
      <c r="AA456" t="s">
        <v>170</v>
      </c>
      <c r="AB456" t="s">
        <v>351</v>
      </c>
      <c r="AC456" t="s">
        <v>352</v>
      </c>
      <c r="AD456">
        <v>15</v>
      </c>
      <c r="AG456" t="s">
        <v>210</v>
      </c>
      <c r="AH456" t="s">
        <v>444</v>
      </c>
      <c r="AI456" t="s">
        <v>175</v>
      </c>
      <c r="AJ456" t="s">
        <v>176</v>
      </c>
      <c r="AK456" t="s">
        <v>170</v>
      </c>
      <c r="AL456" t="s">
        <v>177</v>
      </c>
      <c r="AO456">
        <v>105</v>
      </c>
      <c r="AP456">
        <v>16</v>
      </c>
      <c r="AS456">
        <v>1950</v>
      </c>
      <c r="AT456">
        <v>1950</v>
      </c>
      <c r="BN456" t="s">
        <v>265</v>
      </c>
      <c r="BO456">
        <v>2</v>
      </c>
      <c r="BP456">
        <v>2</v>
      </c>
      <c r="BQ456">
        <v>6</v>
      </c>
      <c r="BR456" t="s">
        <v>825</v>
      </c>
      <c r="BS456" t="s">
        <v>180</v>
      </c>
      <c r="BT456" t="s">
        <v>225</v>
      </c>
      <c r="BU456" s="1">
        <v>45357</v>
      </c>
      <c r="BV456">
        <v>34540</v>
      </c>
      <c r="BX456" t="s">
        <v>170</v>
      </c>
      <c r="BY456" t="s">
        <v>170</v>
      </c>
      <c r="CB456" t="s">
        <v>170</v>
      </c>
      <c r="CC456" t="s">
        <v>170</v>
      </c>
      <c r="CE456" t="s">
        <v>170</v>
      </c>
      <c r="CG456" t="s">
        <v>169</v>
      </c>
      <c r="CH456" t="s">
        <v>760</v>
      </c>
      <c r="CI456" t="s">
        <v>170</v>
      </c>
      <c r="DJ456" t="s">
        <v>267</v>
      </c>
      <c r="DK456" t="s">
        <v>268</v>
      </c>
      <c r="DN456" t="s">
        <v>170</v>
      </c>
      <c r="DO456" t="s">
        <v>865</v>
      </c>
      <c r="DP456" t="s">
        <v>170</v>
      </c>
      <c r="DQ456" t="s">
        <v>187</v>
      </c>
      <c r="DY456">
        <v>35</v>
      </c>
      <c r="EB456">
        <v>5</v>
      </c>
      <c r="EC456">
        <v>5</v>
      </c>
      <c r="EE456" t="s">
        <v>866</v>
      </c>
      <c r="EF456">
        <v>4</v>
      </c>
      <c r="EV456">
        <v>250</v>
      </c>
      <c r="EW456">
        <v>380</v>
      </c>
      <c r="EX456">
        <v>273</v>
      </c>
      <c r="EY456">
        <v>331</v>
      </c>
    </row>
    <row r="457" spans="1:155" x14ac:dyDescent="0.35">
      <c r="A457">
        <v>2025</v>
      </c>
      <c r="B457" t="s">
        <v>756</v>
      </c>
      <c r="C457" t="s">
        <v>757</v>
      </c>
      <c r="D457" t="s">
        <v>868</v>
      </c>
      <c r="E457" t="s">
        <v>759</v>
      </c>
      <c r="F457">
        <v>5</v>
      </c>
      <c r="G457">
        <v>2.5</v>
      </c>
      <c r="H457">
        <v>4</v>
      </c>
      <c r="I457" t="s">
        <v>192</v>
      </c>
      <c r="J457">
        <v>24</v>
      </c>
      <c r="K457">
        <v>33</v>
      </c>
      <c r="L457">
        <v>27</v>
      </c>
      <c r="M457">
        <v>30.3</v>
      </c>
      <c r="N457">
        <v>47.7</v>
      </c>
      <c r="O457">
        <v>36.250599999999999</v>
      </c>
      <c r="P457">
        <v>23.597100000000001</v>
      </c>
      <c r="Q457">
        <v>32.971299999999999</v>
      </c>
      <c r="R457">
        <v>27.059100000000001</v>
      </c>
      <c r="U457" t="s">
        <v>224</v>
      </c>
      <c r="V457" t="s">
        <v>193</v>
      </c>
      <c r="W457" t="s">
        <v>194</v>
      </c>
      <c r="Y457">
        <v>8</v>
      </c>
      <c r="Z457" t="s">
        <v>169</v>
      </c>
      <c r="AA457" t="s">
        <v>170</v>
      </c>
      <c r="AB457" t="s">
        <v>167</v>
      </c>
      <c r="AC457" t="s">
        <v>213</v>
      </c>
      <c r="AD457">
        <v>15</v>
      </c>
      <c r="AG457" t="s">
        <v>210</v>
      </c>
      <c r="AH457" t="s">
        <v>444</v>
      </c>
      <c r="AI457" t="s">
        <v>175</v>
      </c>
      <c r="AJ457" t="s">
        <v>176</v>
      </c>
      <c r="AK457" t="s">
        <v>170</v>
      </c>
      <c r="AL457" t="s">
        <v>177</v>
      </c>
      <c r="AO457">
        <v>105</v>
      </c>
      <c r="AP457">
        <v>16</v>
      </c>
      <c r="AS457">
        <v>1950</v>
      </c>
      <c r="AT457">
        <v>1950</v>
      </c>
      <c r="BN457" t="s">
        <v>265</v>
      </c>
      <c r="BO457">
        <v>2</v>
      </c>
      <c r="BP457">
        <v>2</v>
      </c>
      <c r="BQ457">
        <v>6</v>
      </c>
      <c r="BR457" t="s">
        <v>825</v>
      </c>
      <c r="BS457" t="s">
        <v>180</v>
      </c>
      <c r="BT457" t="s">
        <v>181</v>
      </c>
      <c r="BU457" s="1">
        <v>45357</v>
      </c>
      <c r="BV457">
        <v>34537</v>
      </c>
      <c r="BX457" t="s">
        <v>170</v>
      </c>
      <c r="BY457" t="s">
        <v>170</v>
      </c>
      <c r="CB457" t="s">
        <v>170</v>
      </c>
      <c r="CC457" t="s">
        <v>170</v>
      </c>
      <c r="CE457" t="s">
        <v>170</v>
      </c>
      <c r="CG457" t="s">
        <v>169</v>
      </c>
      <c r="CH457" t="s">
        <v>855</v>
      </c>
      <c r="CI457" t="s">
        <v>170</v>
      </c>
      <c r="DJ457" t="s">
        <v>267</v>
      </c>
      <c r="DK457" t="s">
        <v>268</v>
      </c>
      <c r="DN457" t="s">
        <v>170</v>
      </c>
      <c r="DO457" t="s">
        <v>295</v>
      </c>
      <c r="DP457" t="s">
        <v>170</v>
      </c>
      <c r="DQ457" t="s">
        <v>187</v>
      </c>
      <c r="DY457">
        <v>36.5</v>
      </c>
      <c r="EB457">
        <v>5</v>
      </c>
      <c r="EC457">
        <v>5</v>
      </c>
      <c r="EE457" t="s">
        <v>867</v>
      </c>
      <c r="EF457">
        <v>6</v>
      </c>
      <c r="EV457">
        <v>250</v>
      </c>
      <c r="EW457">
        <v>377</v>
      </c>
      <c r="EX457">
        <v>270</v>
      </c>
      <c r="EY457">
        <v>329</v>
      </c>
    </row>
    <row r="458" spans="1:155" x14ac:dyDescent="0.35">
      <c r="A458">
        <v>2025</v>
      </c>
      <c r="B458" t="s">
        <v>756</v>
      </c>
      <c r="C458" t="s">
        <v>757</v>
      </c>
      <c r="D458" t="s">
        <v>1148</v>
      </c>
      <c r="E458" t="s">
        <v>759</v>
      </c>
      <c r="F458">
        <v>28</v>
      </c>
      <c r="G458">
        <v>1.6</v>
      </c>
      <c r="H458">
        <v>4</v>
      </c>
      <c r="I458" t="s">
        <v>747</v>
      </c>
      <c r="J458">
        <v>53</v>
      </c>
      <c r="K458">
        <v>45</v>
      </c>
      <c r="L458">
        <v>49</v>
      </c>
      <c r="M458">
        <v>68.2</v>
      </c>
      <c r="N458">
        <v>62.5</v>
      </c>
      <c r="O458">
        <v>65.511399999999995</v>
      </c>
      <c r="P458">
        <v>52.553199999999997</v>
      </c>
      <c r="Q458">
        <v>45.245199999999997</v>
      </c>
      <c r="R458">
        <v>48.992199999999997</v>
      </c>
      <c r="U458" t="s">
        <v>224</v>
      </c>
      <c r="V458" t="s">
        <v>211</v>
      </c>
      <c r="W458" t="s">
        <v>212</v>
      </c>
      <c r="Y458">
        <v>6</v>
      </c>
      <c r="Z458" t="s">
        <v>170</v>
      </c>
      <c r="AA458" t="s">
        <v>170</v>
      </c>
      <c r="AB458" t="s">
        <v>351</v>
      </c>
      <c r="AC458" t="s">
        <v>352</v>
      </c>
      <c r="AD458">
        <v>15</v>
      </c>
      <c r="AG458" t="s">
        <v>210</v>
      </c>
      <c r="AH458" t="s">
        <v>444</v>
      </c>
      <c r="AI458" t="s">
        <v>175</v>
      </c>
      <c r="AJ458" t="s">
        <v>176</v>
      </c>
      <c r="AK458" t="s">
        <v>940</v>
      </c>
      <c r="AL458" t="s">
        <v>941</v>
      </c>
      <c r="AO458">
        <v>105</v>
      </c>
      <c r="AP458">
        <v>23</v>
      </c>
      <c r="AS458">
        <v>1050</v>
      </c>
      <c r="AT458">
        <v>1050</v>
      </c>
      <c r="BN458" t="s">
        <v>232</v>
      </c>
      <c r="BO458">
        <v>2</v>
      </c>
      <c r="BP458">
        <v>2</v>
      </c>
      <c r="BQ458">
        <v>30</v>
      </c>
      <c r="BR458" t="s">
        <v>1099</v>
      </c>
      <c r="BT458" t="s">
        <v>225</v>
      </c>
      <c r="BU458" s="1">
        <v>45474</v>
      </c>
      <c r="BV458">
        <v>34779</v>
      </c>
      <c r="BX458" t="s">
        <v>170</v>
      </c>
      <c r="BY458" t="s">
        <v>170</v>
      </c>
      <c r="CB458" t="s">
        <v>170</v>
      </c>
      <c r="CC458" t="s">
        <v>170</v>
      </c>
      <c r="CE458" t="s">
        <v>170</v>
      </c>
      <c r="CG458" t="s">
        <v>169</v>
      </c>
      <c r="CH458" t="s">
        <v>1149</v>
      </c>
      <c r="CI458" t="s">
        <v>170</v>
      </c>
      <c r="CK458" t="s">
        <v>233</v>
      </c>
      <c r="CM458">
        <v>1</v>
      </c>
      <c r="CN458" t="s">
        <v>234</v>
      </c>
      <c r="CP458">
        <v>240</v>
      </c>
      <c r="CQ458">
        <v>5.5</v>
      </c>
      <c r="CR458">
        <v>38.799999999999997</v>
      </c>
      <c r="CS458" t="s">
        <v>235</v>
      </c>
      <c r="CV458" t="s">
        <v>341</v>
      </c>
      <c r="CX458" t="s">
        <v>729</v>
      </c>
      <c r="CY458" t="s">
        <v>170</v>
      </c>
      <c r="DD458">
        <v>1</v>
      </c>
      <c r="DE458" t="s">
        <v>404</v>
      </c>
      <c r="DF458" t="s">
        <v>427</v>
      </c>
      <c r="DG458">
        <v>32</v>
      </c>
      <c r="DJ458" t="s">
        <v>184</v>
      </c>
      <c r="DK458" t="s">
        <v>185</v>
      </c>
      <c r="DL458" t="s">
        <v>170</v>
      </c>
      <c r="DM458" t="s">
        <v>170</v>
      </c>
      <c r="DN458" t="s">
        <v>170</v>
      </c>
      <c r="DO458" t="s">
        <v>1150</v>
      </c>
      <c r="DP458" t="s">
        <v>169</v>
      </c>
      <c r="DQ458" t="s">
        <v>198</v>
      </c>
      <c r="DY458">
        <v>65.900000000000006</v>
      </c>
      <c r="EB458">
        <v>8</v>
      </c>
      <c r="EC458">
        <v>8</v>
      </c>
      <c r="EE458" t="s">
        <v>1151</v>
      </c>
      <c r="EF458">
        <v>6</v>
      </c>
      <c r="EU458">
        <v>4250</v>
      </c>
      <c r="EW458">
        <v>168</v>
      </c>
      <c r="EX458">
        <v>196</v>
      </c>
      <c r="EY458">
        <v>181</v>
      </c>
    </row>
    <row r="459" spans="1:155" x14ac:dyDescent="0.35">
      <c r="A459">
        <v>2025</v>
      </c>
      <c r="B459" t="s">
        <v>756</v>
      </c>
      <c r="C459" t="s">
        <v>757</v>
      </c>
      <c r="D459" t="s">
        <v>1152</v>
      </c>
      <c r="E459" t="s">
        <v>759</v>
      </c>
      <c r="F459">
        <v>29</v>
      </c>
      <c r="G459">
        <v>1.6</v>
      </c>
      <c r="H459">
        <v>4</v>
      </c>
      <c r="I459" t="s">
        <v>747</v>
      </c>
      <c r="J459">
        <v>53</v>
      </c>
      <c r="K459">
        <v>54</v>
      </c>
      <c r="L459">
        <v>53</v>
      </c>
      <c r="M459">
        <v>70.400000000000006</v>
      </c>
      <c r="N459">
        <v>66.7</v>
      </c>
      <c r="O459">
        <v>68.685400000000001</v>
      </c>
      <c r="P459">
        <v>52.686300000000003</v>
      </c>
      <c r="Q459">
        <v>53.6295</v>
      </c>
      <c r="R459">
        <v>53.1066</v>
      </c>
      <c r="U459" t="s">
        <v>224</v>
      </c>
      <c r="V459" t="s">
        <v>211</v>
      </c>
      <c r="W459" t="s">
        <v>212</v>
      </c>
      <c r="Y459">
        <v>6</v>
      </c>
      <c r="Z459" t="s">
        <v>170</v>
      </c>
      <c r="AA459" t="s">
        <v>170</v>
      </c>
      <c r="AB459" t="s">
        <v>351</v>
      </c>
      <c r="AC459" t="s">
        <v>352</v>
      </c>
      <c r="AD459">
        <v>15</v>
      </c>
      <c r="AG459" t="s">
        <v>210</v>
      </c>
      <c r="AH459" t="s">
        <v>444</v>
      </c>
      <c r="AI459" t="s">
        <v>175</v>
      </c>
      <c r="AJ459" t="s">
        <v>176</v>
      </c>
      <c r="AK459" t="s">
        <v>940</v>
      </c>
      <c r="AL459" t="s">
        <v>941</v>
      </c>
      <c r="AO459">
        <v>105</v>
      </c>
      <c r="AP459">
        <v>23</v>
      </c>
      <c r="AS459">
        <v>1000</v>
      </c>
      <c r="AT459">
        <v>1000</v>
      </c>
      <c r="BN459" t="s">
        <v>232</v>
      </c>
      <c r="BO459">
        <v>2</v>
      </c>
      <c r="BP459">
        <v>2</v>
      </c>
      <c r="BQ459">
        <v>30</v>
      </c>
      <c r="BR459" t="s">
        <v>1099</v>
      </c>
      <c r="BT459" t="s">
        <v>225</v>
      </c>
      <c r="BU459" s="1">
        <v>45474</v>
      </c>
      <c r="BV459">
        <v>34780</v>
      </c>
      <c r="BX459" t="s">
        <v>170</v>
      </c>
      <c r="BY459" t="s">
        <v>170</v>
      </c>
      <c r="CB459" t="s">
        <v>170</v>
      </c>
      <c r="CC459" t="s">
        <v>170</v>
      </c>
      <c r="CE459" t="s">
        <v>170</v>
      </c>
      <c r="CG459" t="s">
        <v>169</v>
      </c>
      <c r="CH459" t="s">
        <v>1149</v>
      </c>
      <c r="CI459" t="s">
        <v>170</v>
      </c>
      <c r="CK459" t="s">
        <v>233</v>
      </c>
      <c r="CM459">
        <v>1</v>
      </c>
      <c r="CN459" t="s">
        <v>234</v>
      </c>
      <c r="CP459">
        <v>240</v>
      </c>
      <c r="CQ459">
        <v>5.5</v>
      </c>
      <c r="CR459">
        <v>38.799999999999997</v>
      </c>
      <c r="CS459" t="s">
        <v>235</v>
      </c>
      <c r="CV459" t="s">
        <v>341</v>
      </c>
      <c r="CX459" t="s">
        <v>729</v>
      </c>
      <c r="CY459" t="s">
        <v>170</v>
      </c>
      <c r="DD459">
        <v>1</v>
      </c>
      <c r="DE459" t="s">
        <v>404</v>
      </c>
      <c r="DF459" t="s">
        <v>427</v>
      </c>
      <c r="DG459">
        <v>32</v>
      </c>
      <c r="DJ459" t="s">
        <v>184</v>
      </c>
      <c r="DK459" t="s">
        <v>185</v>
      </c>
      <c r="DL459" t="s">
        <v>170</v>
      </c>
      <c r="DM459" t="s">
        <v>170</v>
      </c>
      <c r="DN459" t="s">
        <v>170</v>
      </c>
      <c r="DO459" t="s">
        <v>1150</v>
      </c>
      <c r="DP459" t="s">
        <v>169</v>
      </c>
      <c r="DQ459" t="s">
        <v>198</v>
      </c>
      <c r="DY459">
        <v>69.099999999999994</v>
      </c>
      <c r="EB459">
        <v>8</v>
      </c>
      <c r="EC459">
        <v>8</v>
      </c>
      <c r="EE459" t="s">
        <v>1151</v>
      </c>
      <c r="EF459">
        <v>6</v>
      </c>
      <c r="EU459">
        <v>4500</v>
      </c>
      <c r="EW459">
        <v>168</v>
      </c>
      <c r="EX459">
        <v>165</v>
      </c>
      <c r="EY459">
        <v>167</v>
      </c>
    </row>
    <row r="460" spans="1:155" x14ac:dyDescent="0.35">
      <c r="A460">
        <v>2025</v>
      </c>
      <c r="B460" t="s">
        <v>756</v>
      </c>
      <c r="C460" t="s">
        <v>757</v>
      </c>
      <c r="D460" t="s">
        <v>1336</v>
      </c>
      <c r="E460" t="s">
        <v>759</v>
      </c>
      <c r="F460">
        <v>9</v>
      </c>
      <c r="G460">
        <v>1.6</v>
      </c>
      <c r="H460">
        <v>4</v>
      </c>
      <c r="I460" t="s">
        <v>192</v>
      </c>
      <c r="J460">
        <v>24</v>
      </c>
      <c r="K460">
        <v>27</v>
      </c>
      <c r="L460">
        <v>25</v>
      </c>
      <c r="M460">
        <v>31.1</v>
      </c>
      <c r="N460">
        <v>42.6</v>
      </c>
      <c r="O460">
        <v>35.400399999999998</v>
      </c>
      <c r="P460">
        <v>24.1585</v>
      </c>
      <c r="Q460">
        <v>27.2165</v>
      </c>
      <c r="R460">
        <v>25.445</v>
      </c>
      <c r="T460" t="s">
        <v>165</v>
      </c>
      <c r="U460" t="s">
        <v>166</v>
      </c>
      <c r="V460" t="s">
        <v>193</v>
      </c>
      <c r="W460" t="s">
        <v>194</v>
      </c>
      <c r="Y460">
        <v>8</v>
      </c>
      <c r="Z460" t="s">
        <v>169</v>
      </c>
      <c r="AA460" t="s">
        <v>170</v>
      </c>
      <c r="AB460" t="s">
        <v>167</v>
      </c>
      <c r="AC460" t="s">
        <v>213</v>
      </c>
      <c r="AD460">
        <v>15</v>
      </c>
      <c r="AG460" t="s">
        <v>210</v>
      </c>
      <c r="AH460" t="s">
        <v>444</v>
      </c>
      <c r="AI460" t="s">
        <v>175</v>
      </c>
      <c r="AJ460" t="s">
        <v>176</v>
      </c>
      <c r="AK460" t="s">
        <v>940</v>
      </c>
      <c r="AL460" t="s">
        <v>941</v>
      </c>
      <c r="AS460">
        <v>2100</v>
      </c>
      <c r="AT460">
        <v>2100</v>
      </c>
      <c r="BN460" t="s">
        <v>178</v>
      </c>
      <c r="BO460">
        <v>2</v>
      </c>
      <c r="BP460">
        <v>2</v>
      </c>
      <c r="BQ460">
        <v>31</v>
      </c>
      <c r="BR460" t="s">
        <v>1219</v>
      </c>
      <c r="BT460" t="s">
        <v>457</v>
      </c>
      <c r="BU460" s="1">
        <v>45413</v>
      </c>
      <c r="BV460">
        <v>34723</v>
      </c>
      <c r="BX460" t="s">
        <v>170</v>
      </c>
      <c r="BY460" t="s">
        <v>170</v>
      </c>
      <c r="CB460" t="s">
        <v>170</v>
      </c>
      <c r="CC460" t="s">
        <v>170</v>
      </c>
      <c r="CE460" t="s">
        <v>170</v>
      </c>
      <c r="CG460" t="s">
        <v>169</v>
      </c>
      <c r="CH460" t="s">
        <v>855</v>
      </c>
      <c r="CI460" t="s">
        <v>170</v>
      </c>
      <c r="DJ460" t="s">
        <v>184</v>
      </c>
      <c r="DK460" t="s">
        <v>185</v>
      </c>
      <c r="DN460" t="s">
        <v>170</v>
      </c>
      <c r="DO460" t="s">
        <v>743</v>
      </c>
      <c r="DP460" t="s">
        <v>170</v>
      </c>
      <c r="DQ460" t="s">
        <v>187</v>
      </c>
      <c r="EB460">
        <v>5</v>
      </c>
      <c r="EC460">
        <v>5</v>
      </c>
      <c r="EE460" t="s">
        <v>1337</v>
      </c>
      <c r="EF460">
        <v>6</v>
      </c>
      <c r="EV460">
        <v>1000</v>
      </c>
      <c r="EW460">
        <v>368</v>
      </c>
      <c r="EX460">
        <v>327</v>
      </c>
      <c r="EY460">
        <v>350</v>
      </c>
    </row>
    <row r="461" spans="1:155" x14ac:dyDescent="0.35">
      <c r="A461">
        <v>2025</v>
      </c>
      <c r="B461" t="s">
        <v>756</v>
      </c>
      <c r="C461" t="s">
        <v>757</v>
      </c>
      <c r="D461" t="s">
        <v>1336</v>
      </c>
      <c r="E461" t="s">
        <v>759</v>
      </c>
      <c r="F461">
        <v>10</v>
      </c>
      <c r="G461">
        <v>2</v>
      </c>
      <c r="H461">
        <v>4</v>
      </c>
      <c r="I461" t="s">
        <v>793</v>
      </c>
      <c r="J461">
        <v>27</v>
      </c>
      <c r="K461">
        <v>31</v>
      </c>
      <c r="L461">
        <v>29</v>
      </c>
      <c r="M461">
        <v>34.9</v>
      </c>
      <c r="N461">
        <v>45.3</v>
      </c>
      <c r="O461">
        <v>38.920999999999999</v>
      </c>
      <c r="P461">
        <v>26.786899999999999</v>
      </c>
      <c r="Q461">
        <v>31.479099999999999</v>
      </c>
      <c r="R461">
        <v>28.712800000000001</v>
      </c>
      <c r="U461" t="s">
        <v>224</v>
      </c>
      <c r="V461" t="s">
        <v>463</v>
      </c>
      <c r="W461" t="s">
        <v>464</v>
      </c>
      <c r="Y461">
        <v>8</v>
      </c>
      <c r="Z461" t="s">
        <v>169</v>
      </c>
      <c r="AA461" t="s">
        <v>170</v>
      </c>
      <c r="AB461" t="s">
        <v>167</v>
      </c>
      <c r="AC461" t="s">
        <v>213</v>
      </c>
      <c r="AD461">
        <v>15</v>
      </c>
      <c r="AG461" t="s">
        <v>210</v>
      </c>
      <c r="AH461" t="s">
        <v>444</v>
      </c>
      <c r="AI461" t="s">
        <v>175</v>
      </c>
      <c r="AJ461" t="s">
        <v>176</v>
      </c>
      <c r="AK461" t="s">
        <v>940</v>
      </c>
      <c r="AL461" t="s">
        <v>941</v>
      </c>
      <c r="AS461">
        <v>1800</v>
      </c>
      <c r="AT461">
        <v>1800</v>
      </c>
      <c r="BO461">
        <v>2</v>
      </c>
      <c r="BP461">
        <v>2</v>
      </c>
      <c r="BQ461">
        <v>31</v>
      </c>
      <c r="BR461" t="s">
        <v>1219</v>
      </c>
      <c r="BT461" t="s">
        <v>181</v>
      </c>
      <c r="BU461" s="1">
        <v>45413</v>
      </c>
      <c r="BV461">
        <v>34721</v>
      </c>
      <c r="BX461" t="s">
        <v>170</v>
      </c>
      <c r="BY461" t="s">
        <v>170</v>
      </c>
      <c r="CB461" t="s">
        <v>170</v>
      </c>
      <c r="CC461" t="s">
        <v>170</v>
      </c>
      <c r="CE461" t="s">
        <v>170</v>
      </c>
      <c r="CG461" t="s">
        <v>169</v>
      </c>
      <c r="CH461" t="s">
        <v>760</v>
      </c>
      <c r="CI461" t="s">
        <v>170</v>
      </c>
      <c r="DJ461" t="s">
        <v>449</v>
      </c>
      <c r="DK461" t="s">
        <v>450</v>
      </c>
      <c r="DN461" t="s">
        <v>170</v>
      </c>
      <c r="DO461" t="s">
        <v>1154</v>
      </c>
      <c r="DP461" t="s">
        <v>169</v>
      </c>
      <c r="DQ461" t="s">
        <v>198</v>
      </c>
      <c r="EB461">
        <v>6</v>
      </c>
      <c r="EC461">
        <v>6</v>
      </c>
      <c r="EE461" t="s">
        <v>1155</v>
      </c>
      <c r="EF461">
        <v>6</v>
      </c>
      <c r="EU461">
        <v>500</v>
      </c>
      <c r="EW461">
        <v>331</v>
      </c>
      <c r="EX461">
        <v>282</v>
      </c>
      <c r="EY461">
        <v>309</v>
      </c>
    </row>
    <row r="462" spans="1:155" x14ac:dyDescent="0.35">
      <c r="A462">
        <v>2025</v>
      </c>
      <c r="B462" t="s">
        <v>756</v>
      </c>
      <c r="C462" t="s">
        <v>757</v>
      </c>
      <c r="D462" t="s">
        <v>1153</v>
      </c>
      <c r="E462" t="s">
        <v>759</v>
      </c>
      <c r="F462">
        <v>11</v>
      </c>
      <c r="G462">
        <v>2</v>
      </c>
      <c r="H462">
        <v>4</v>
      </c>
      <c r="I462" t="s">
        <v>793</v>
      </c>
      <c r="J462">
        <v>28</v>
      </c>
      <c r="K462">
        <v>34</v>
      </c>
      <c r="L462">
        <v>31</v>
      </c>
      <c r="M462">
        <v>37.4</v>
      </c>
      <c r="N462">
        <v>50.1</v>
      </c>
      <c r="O462">
        <v>42.215600000000002</v>
      </c>
      <c r="P462">
        <v>28.482099999999999</v>
      </c>
      <c r="Q462">
        <v>34.447899999999997</v>
      </c>
      <c r="R462">
        <v>30.889399999999998</v>
      </c>
      <c r="U462" t="s">
        <v>224</v>
      </c>
      <c r="V462" t="s">
        <v>463</v>
      </c>
      <c r="W462" t="s">
        <v>464</v>
      </c>
      <c r="Y462">
        <v>8</v>
      </c>
      <c r="Z462" t="s">
        <v>169</v>
      </c>
      <c r="AA462" t="s">
        <v>170</v>
      </c>
      <c r="AB462" t="s">
        <v>351</v>
      </c>
      <c r="AC462" t="s">
        <v>352</v>
      </c>
      <c r="AD462">
        <v>15</v>
      </c>
      <c r="AG462" t="s">
        <v>210</v>
      </c>
      <c r="AH462" t="s">
        <v>444</v>
      </c>
      <c r="AI462" t="s">
        <v>175</v>
      </c>
      <c r="AJ462" t="s">
        <v>176</v>
      </c>
      <c r="AK462" t="s">
        <v>940</v>
      </c>
      <c r="AL462" t="s">
        <v>941</v>
      </c>
      <c r="AS462">
        <v>1700</v>
      </c>
      <c r="AT462">
        <v>1700</v>
      </c>
      <c r="BO462">
        <v>2</v>
      </c>
      <c r="BP462">
        <v>2</v>
      </c>
      <c r="BQ462">
        <v>30</v>
      </c>
      <c r="BR462" t="s">
        <v>1099</v>
      </c>
      <c r="BT462" t="s">
        <v>181</v>
      </c>
      <c r="BU462" s="1">
        <v>45413</v>
      </c>
      <c r="BV462">
        <v>34722</v>
      </c>
      <c r="BX462" t="s">
        <v>170</v>
      </c>
      <c r="BY462" t="s">
        <v>170</v>
      </c>
      <c r="CB462" t="s">
        <v>170</v>
      </c>
      <c r="CC462" t="s">
        <v>170</v>
      </c>
      <c r="CE462" t="s">
        <v>170</v>
      </c>
      <c r="CG462" t="s">
        <v>169</v>
      </c>
      <c r="CH462" t="s">
        <v>760</v>
      </c>
      <c r="CI462" t="s">
        <v>170</v>
      </c>
      <c r="DJ462" t="s">
        <v>449</v>
      </c>
      <c r="DK462" t="s">
        <v>450</v>
      </c>
      <c r="DN462" t="s">
        <v>170</v>
      </c>
      <c r="DO462" t="s">
        <v>1154</v>
      </c>
      <c r="DP462" t="s">
        <v>169</v>
      </c>
      <c r="DQ462" t="s">
        <v>198</v>
      </c>
      <c r="EB462">
        <v>6</v>
      </c>
      <c r="EC462">
        <v>6</v>
      </c>
      <c r="EE462" t="s">
        <v>1155</v>
      </c>
      <c r="EF462">
        <v>6</v>
      </c>
      <c r="EU462">
        <v>1000</v>
      </c>
      <c r="EW462">
        <v>312</v>
      </c>
      <c r="EX462">
        <v>259</v>
      </c>
      <c r="EY462">
        <v>288</v>
      </c>
    </row>
    <row r="463" spans="1:155" x14ac:dyDescent="0.35">
      <c r="A463">
        <v>2025</v>
      </c>
      <c r="B463" t="s">
        <v>756</v>
      </c>
      <c r="C463" t="s">
        <v>757</v>
      </c>
      <c r="D463" t="s">
        <v>1338</v>
      </c>
      <c r="E463" t="s">
        <v>759</v>
      </c>
      <c r="F463">
        <v>38</v>
      </c>
      <c r="G463">
        <v>2.5</v>
      </c>
      <c r="H463">
        <v>4</v>
      </c>
      <c r="I463" t="s">
        <v>192</v>
      </c>
      <c r="J463">
        <v>23</v>
      </c>
      <c r="K463">
        <v>28</v>
      </c>
      <c r="L463">
        <v>25</v>
      </c>
      <c r="M463">
        <v>29.5</v>
      </c>
      <c r="N463">
        <v>39.4</v>
      </c>
      <c r="O463">
        <v>33.260800000000003</v>
      </c>
      <c r="P463">
        <v>23.032800000000002</v>
      </c>
      <c r="Q463">
        <v>27.742100000000001</v>
      </c>
      <c r="R463">
        <v>24.9377</v>
      </c>
      <c r="U463" t="s">
        <v>224</v>
      </c>
      <c r="V463" t="s">
        <v>193</v>
      </c>
      <c r="W463" t="s">
        <v>194</v>
      </c>
      <c r="Y463">
        <v>8</v>
      </c>
      <c r="Z463" t="s">
        <v>169</v>
      </c>
      <c r="AA463" t="s">
        <v>170</v>
      </c>
      <c r="AB463" t="s">
        <v>167</v>
      </c>
      <c r="AC463" t="s">
        <v>213</v>
      </c>
      <c r="AD463">
        <v>15</v>
      </c>
      <c r="AG463" t="s">
        <v>210</v>
      </c>
      <c r="AH463" t="s">
        <v>444</v>
      </c>
      <c r="AI463" t="s">
        <v>175</v>
      </c>
      <c r="AJ463" t="s">
        <v>176</v>
      </c>
      <c r="AK463" t="s">
        <v>940</v>
      </c>
      <c r="AL463" t="s">
        <v>941</v>
      </c>
      <c r="AS463">
        <v>2100</v>
      </c>
      <c r="AT463">
        <v>2100</v>
      </c>
      <c r="BN463" t="s">
        <v>265</v>
      </c>
      <c r="BO463">
        <v>2</v>
      </c>
      <c r="BP463">
        <v>2</v>
      </c>
      <c r="BQ463">
        <v>31</v>
      </c>
      <c r="BR463" t="s">
        <v>1219</v>
      </c>
      <c r="BT463" t="s">
        <v>181</v>
      </c>
      <c r="BU463" s="1">
        <v>45488</v>
      </c>
      <c r="BV463">
        <v>35008</v>
      </c>
      <c r="BX463" t="s">
        <v>170</v>
      </c>
      <c r="BY463" t="s">
        <v>170</v>
      </c>
      <c r="CB463" t="s">
        <v>170</v>
      </c>
      <c r="CC463" t="s">
        <v>170</v>
      </c>
      <c r="CE463" t="s">
        <v>170</v>
      </c>
      <c r="CG463" t="s">
        <v>169</v>
      </c>
      <c r="CH463" t="s">
        <v>742</v>
      </c>
      <c r="CI463" t="s">
        <v>170</v>
      </c>
      <c r="DJ463" t="s">
        <v>267</v>
      </c>
      <c r="DK463" t="s">
        <v>268</v>
      </c>
      <c r="DN463" t="s">
        <v>170</v>
      </c>
      <c r="DO463" t="s">
        <v>743</v>
      </c>
      <c r="DP463" t="s">
        <v>169</v>
      </c>
      <c r="DQ463" t="s">
        <v>198</v>
      </c>
      <c r="EB463">
        <v>5</v>
      </c>
      <c r="EC463">
        <v>5</v>
      </c>
      <c r="EE463" t="s">
        <v>1158</v>
      </c>
      <c r="EF463">
        <v>6</v>
      </c>
      <c r="EV463">
        <v>1000</v>
      </c>
      <c r="EW463">
        <v>387</v>
      </c>
      <c r="EX463">
        <v>321</v>
      </c>
      <c r="EY463">
        <v>357</v>
      </c>
    </row>
    <row r="464" spans="1:155" x14ac:dyDescent="0.35">
      <c r="A464">
        <v>2025</v>
      </c>
      <c r="B464" t="s">
        <v>756</v>
      </c>
      <c r="C464" t="s">
        <v>757</v>
      </c>
      <c r="D464" t="s">
        <v>1338</v>
      </c>
      <c r="E464" t="s">
        <v>759</v>
      </c>
      <c r="F464">
        <v>40</v>
      </c>
      <c r="G464">
        <v>2.5</v>
      </c>
      <c r="H464">
        <v>4</v>
      </c>
      <c r="I464" t="s">
        <v>361</v>
      </c>
      <c r="J464">
        <v>20</v>
      </c>
      <c r="K464">
        <v>27</v>
      </c>
      <c r="L464">
        <v>23</v>
      </c>
      <c r="M464">
        <v>25.760300000000001</v>
      </c>
      <c r="N464">
        <v>38.3658</v>
      </c>
      <c r="O464">
        <v>30.229900000000001</v>
      </c>
      <c r="P464">
        <v>20.356100000000001</v>
      </c>
      <c r="Q464">
        <v>27.076799999999999</v>
      </c>
      <c r="R464">
        <v>22.915600000000001</v>
      </c>
      <c r="T464" t="s">
        <v>165</v>
      </c>
      <c r="U464" t="s">
        <v>166</v>
      </c>
      <c r="V464" t="s">
        <v>211</v>
      </c>
      <c r="W464" t="s">
        <v>212</v>
      </c>
      <c r="Y464">
        <v>8</v>
      </c>
      <c r="Z464" t="s">
        <v>170</v>
      </c>
      <c r="AA464" t="s">
        <v>170</v>
      </c>
      <c r="AB464" t="s">
        <v>167</v>
      </c>
      <c r="AC464" t="s">
        <v>213</v>
      </c>
      <c r="AD464">
        <v>15</v>
      </c>
      <c r="AG464" t="s">
        <v>210</v>
      </c>
      <c r="AH464" t="s">
        <v>444</v>
      </c>
      <c r="AI464" t="s">
        <v>175</v>
      </c>
      <c r="AJ464" t="s">
        <v>176</v>
      </c>
      <c r="AK464" t="s">
        <v>940</v>
      </c>
      <c r="AL464" t="s">
        <v>941</v>
      </c>
      <c r="AS464">
        <v>2300</v>
      </c>
      <c r="AT464">
        <v>2300</v>
      </c>
      <c r="BN464" t="s">
        <v>265</v>
      </c>
      <c r="BO464">
        <v>2</v>
      </c>
      <c r="BP464">
        <v>2</v>
      </c>
      <c r="BQ464">
        <v>31</v>
      </c>
      <c r="BR464" t="s">
        <v>1219</v>
      </c>
      <c r="BT464" t="s">
        <v>181</v>
      </c>
      <c r="BU464" s="1">
        <v>45488</v>
      </c>
      <c r="BV464">
        <v>35010</v>
      </c>
      <c r="BX464" t="s">
        <v>170</v>
      </c>
      <c r="BY464" t="s">
        <v>170</v>
      </c>
      <c r="CB464" t="s">
        <v>170</v>
      </c>
      <c r="CC464" t="s">
        <v>170</v>
      </c>
      <c r="CE464" t="s">
        <v>170</v>
      </c>
      <c r="CG464" t="s">
        <v>169</v>
      </c>
      <c r="CH464" t="s">
        <v>742</v>
      </c>
      <c r="CI464" t="s">
        <v>170</v>
      </c>
      <c r="DJ464" t="s">
        <v>267</v>
      </c>
      <c r="DK464" t="s">
        <v>268</v>
      </c>
      <c r="DN464" t="s">
        <v>170</v>
      </c>
      <c r="DO464" t="s">
        <v>754</v>
      </c>
      <c r="DP464" t="s">
        <v>169</v>
      </c>
      <c r="DQ464" t="s">
        <v>198</v>
      </c>
      <c r="EB464">
        <v>5</v>
      </c>
      <c r="EC464">
        <v>5</v>
      </c>
      <c r="EE464" t="s">
        <v>1157</v>
      </c>
      <c r="EF464">
        <v>6</v>
      </c>
      <c r="EV464">
        <v>2000</v>
      </c>
      <c r="EW464">
        <v>438</v>
      </c>
      <c r="EX464">
        <v>329</v>
      </c>
      <c r="EY464">
        <v>389</v>
      </c>
    </row>
    <row r="465" spans="1:155" x14ac:dyDescent="0.35">
      <c r="A465">
        <v>2025</v>
      </c>
      <c r="B465" t="s">
        <v>756</v>
      </c>
      <c r="C465" t="s">
        <v>757</v>
      </c>
      <c r="D465" t="s">
        <v>1156</v>
      </c>
      <c r="E465" t="s">
        <v>759</v>
      </c>
      <c r="F465">
        <v>39</v>
      </c>
      <c r="G465">
        <v>2.5</v>
      </c>
      <c r="H465">
        <v>4</v>
      </c>
      <c r="I465" t="s">
        <v>192</v>
      </c>
      <c r="J465">
        <v>23</v>
      </c>
      <c r="K465">
        <v>31</v>
      </c>
      <c r="L465">
        <v>26</v>
      </c>
      <c r="M465">
        <v>30.1</v>
      </c>
      <c r="N465">
        <v>44.4</v>
      </c>
      <c r="O465">
        <v>35.201900000000002</v>
      </c>
      <c r="P465">
        <v>23.456299999999999</v>
      </c>
      <c r="Q465">
        <v>30.915299999999998</v>
      </c>
      <c r="R465">
        <v>26.313199999999998</v>
      </c>
      <c r="U465" t="s">
        <v>224</v>
      </c>
      <c r="V465" t="s">
        <v>193</v>
      </c>
      <c r="W465" t="s">
        <v>194</v>
      </c>
      <c r="Y465">
        <v>8</v>
      </c>
      <c r="Z465" t="s">
        <v>169</v>
      </c>
      <c r="AA465" t="s">
        <v>170</v>
      </c>
      <c r="AB465" t="s">
        <v>351</v>
      </c>
      <c r="AC465" t="s">
        <v>352</v>
      </c>
      <c r="AD465">
        <v>15</v>
      </c>
      <c r="AG465" t="s">
        <v>210</v>
      </c>
      <c r="AH465" t="s">
        <v>444</v>
      </c>
      <c r="AI465" t="s">
        <v>175</v>
      </c>
      <c r="AJ465" t="s">
        <v>176</v>
      </c>
      <c r="AK465" t="s">
        <v>940</v>
      </c>
      <c r="AL465" t="s">
        <v>941</v>
      </c>
      <c r="AS465">
        <v>2000</v>
      </c>
      <c r="AT465">
        <v>2000</v>
      </c>
      <c r="BN465" t="s">
        <v>265</v>
      </c>
      <c r="BO465">
        <v>2</v>
      </c>
      <c r="BP465">
        <v>2</v>
      </c>
      <c r="BQ465">
        <v>30</v>
      </c>
      <c r="BR465" t="s">
        <v>1099</v>
      </c>
      <c r="BT465" t="s">
        <v>181</v>
      </c>
      <c r="BU465" s="1">
        <v>45488</v>
      </c>
      <c r="BV465">
        <v>35009</v>
      </c>
      <c r="BX465" t="s">
        <v>170</v>
      </c>
      <c r="BY465" t="s">
        <v>170</v>
      </c>
      <c r="CB465" t="s">
        <v>170</v>
      </c>
      <c r="CC465" t="s">
        <v>170</v>
      </c>
      <c r="CE465" t="s">
        <v>170</v>
      </c>
      <c r="CG465" t="s">
        <v>169</v>
      </c>
      <c r="CH465" t="s">
        <v>742</v>
      </c>
      <c r="CI465" t="s">
        <v>170</v>
      </c>
      <c r="DJ465" t="s">
        <v>267</v>
      </c>
      <c r="DK465" t="s">
        <v>268</v>
      </c>
      <c r="DN465" t="s">
        <v>170</v>
      </c>
      <c r="DO465" t="s">
        <v>743</v>
      </c>
      <c r="DP465" t="s">
        <v>169</v>
      </c>
      <c r="DQ465" t="s">
        <v>198</v>
      </c>
      <c r="EB465">
        <v>5</v>
      </c>
      <c r="EC465">
        <v>5</v>
      </c>
      <c r="EE465" t="s">
        <v>1158</v>
      </c>
      <c r="EF465">
        <v>6</v>
      </c>
      <c r="EV465">
        <v>500</v>
      </c>
      <c r="EW465">
        <v>380</v>
      </c>
      <c r="EX465">
        <v>289</v>
      </c>
      <c r="EY465">
        <v>339</v>
      </c>
    </row>
    <row r="466" spans="1:155" x14ac:dyDescent="0.35">
      <c r="A466">
        <v>2025</v>
      </c>
      <c r="B466" t="s">
        <v>756</v>
      </c>
      <c r="C466" t="s">
        <v>757</v>
      </c>
      <c r="D466" t="s">
        <v>1156</v>
      </c>
      <c r="E466" t="s">
        <v>759</v>
      </c>
      <c r="F466">
        <v>41</v>
      </c>
      <c r="G466">
        <v>2.5</v>
      </c>
      <c r="H466">
        <v>4</v>
      </c>
      <c r="I466" t="s">
        <v>361</v>
      </c>
      <c r="J466">
        <v>20</v>
      </c>
      <c r="K466">
        <v>29</v>
      </c>
      <c r="L466">
        <v>23</v>
      </c>
      <c r="M466">
        <v>25.5</v>
      </c>
      <c r="N466">
        <v>40.9</v>
      </c>
      <c r="O466">
        <v>30.702100000000002</v>
      </c>
      <c r="P466">
        <v>20.167300000000001</v>
      </c>
      <c r="Q466">
        <v>28.701499999999999</v>
      </c>
      <c r="R466">
        <v>23.282699999999998</v>
      </c>
      <c r="T466" t="s">
        <v>165</v>
      </c>
      <c r="U466" t="s">
        <v>166</v>
      </c>
      <c r="V466" t="s">
        <v>211</v>
      </c>
      <c r="W466" t="s">
        <v>212</v>
      </c>
      <c r="Y466">
        <v>8</v>
      </c>
      <c r="Z466" t="s">
        <v>170</v>
      </c>
      <c r="AA466" t="s">
        <v>170</v>
      </c>
      <c r="AB466" t="s">
        <v>351</v>
      </c>
      <c r="AC466" t="s">
        <v>352</v>
      </c>
      <c r="AD466">
        <v>15</v>
      </c>
      <c r="AG466" t="s">
        <v>210</v>
      </c>
      <c r="AH466" t="s">
        <v>444</v>
      </c>
      <c r="AI466" t="s">
        <v>175</v>
      </c>
      <c r="AJ466" t="s">
        <v>176</v>
      </c>
      <c r="AK466" t="s">
        <v>940</v>
      </c>
      <c r="AL466" t="s">
        <v>941</v>
      </c>
      <c r="AS466">
        <v>2300</v>
      </c>
      <c r="AT466">
        <v>2300</v>
      </c>
      <c r="BN466" t="s">
        <v>265</v>
      </c>
      <c r="BO466">
        <v>2</v>
      </c>
      <c r="BP466">
        <v>2</v>
      </c>
      <c r="BQ466">
        <v>30</v>
      </c>
      <c r="BR466" t="s">
        <v>1099</v>
      </c>
      <c r="BT466" t="s">
        <v>181</v>
      </c>
      <c r="BU466" s="1">
        <v>45488</v>
      </c>
      <c r="BV466">
        <v>35011</v>
      </c>
      <c r="BX466" t="s">
        <v>170</v>
      </c>
      <c r="BY466" t="s">
        <v>170</v>
      </c>
      <c r="CB466" t="s">
        <v>170</v>
      </c>
      <c r="CC466" t="s">
        <v>170</v>
      </c>
      <c r="CE466" t="s">
        <v>170</v>
      </c>
      <c r="CG466" t="s">
        <v>169</v>
      </c>
      <c r="CH466" t="s">
        <v>742</v>
      </c>
      <c r="CI466" t="s">
        <v>170</v>
      </c>
      <c r="DJ466" t="s">
        <v>267</v>
      </c>
      <c r="DK466" t="s">
        <v>268</v>
      </c>
      <c r="DN466" t="s">
        <v>170</v>
      </c>
      <c r="DO466" t="s">
        <v>754</v>
      </c>
      <c r="DP466" t="s">
        <v>169</v>
      </c>
      <c r="DQ466" t="s">
        <v>198</v>
      </c>
      <c r="EB466">
        <v>5</v>
      </c>
      <c r="EC466">
        <v>5</v>
      </c>
      <c r="EE466" t="s">
        <v>1157</v>
      </c>
      <c r="EF466">
        <v>6</v>
      </c>
      <c r="EV466">
        <v>2000</v>
      </c>
      <c r="EW466">
        <v>441</v>
      </c>
      <c r="EX466">
        <v>311</v>
      </c>
      <c r="EY466">
        <v>382</v>
      </c>
    </row>
    <row r="467" spans="1:155" x14ac:dyDescent="0.35">
      <c r="A467">
        <v>2025</v>
      </c>
      <c r="B467" t="s">
        <v>756</v>
      </c>
      <c r="C467" t="s">
        <v>757</v>
      </c>
      <c r="D467" t="s">
        <v>1339</v>
      </c>
      <c r="E467" t="s">
        <v>759</v>
      </c>
      <c r="F467">
        <v>23</v>
      </c>
      <c r="G467">
        <v>1.6</v>
      </c>
      <c r="H467">
        <v>4</v>
      </c>
      <c r="I467" t="s">
        <v>747</v>
      </c>
      <c r="J467">
        <v>34</v>
      </c>
      <c r="K467">
        <v>34</v>
      </c>
      <c r="L467">
        <v>34</v>
      </c>
      <c r="M467">
        <v>44.6</v>
      </c>
      <c r="N467">
        <v>44.8</v>
      </c>
      <c r="O467">
        <v>44.689799999999998</v>
      </c>
      <c r="P467">
        <v>33.739400000000003</v>
      </c>
      <c r="Q467">
        <v>33.908700000000003</v>
      </c>
      <c r="R467">
        <v>33.815399999999997</v>
      </c>
      <c r="T467" t="s">
        <v>165</v>
      </c>
      <c r="U467" t="s">
        <v>166</v>
      </c>
      <c r="V467" t="s">
        <v>211</v>
      </c>
      <c r="W467" t="s">
        <v>212</v>
      </c>
      <c r="Y467">
        <v>6</v>
      </c>
      <c r="Z467" t="s">
        <v>170</v>
      </c>
      <c r="AA467" t="s">
        <v>170</v>
      </c>
      <c r="AB467" t="s">
        <v>167</v>
      </c>
      <c r="AC467" t="s">
        <v>213</v>
      </c>
      <c r="AD467">
        <v>15</v>
      </c>
      <c r="AG467" t="s">
        <v>210</v>
      </c>
      <c r="AH467" t="s">
        <v>444</v>
      </c>
      <c r="AI467" t="s">
        <v>175</v>
      </c>
      <c r="AJ467" t="s">
        <v>176</v>
      </c>
      <c r="AK467" t="s">
        <v>940</v>
      </c>
      <c r="AL467" t="s">
        <v>941</v>
      </c>
      <c r="AS467">
        <v>1550</v>
      </c>
      <c r="AT467">
        <v>1550</v>
      </c>
      <c r="BN467" t="s">
        <v>232</v>
      </c>
      <c r="BO467">
        <v>2</v>
      </c>
      <c r="BP467">
        <v>2</v>
      </c>
      <c r="BQ467">
        <v>31</v>
      </c>
      <c r="BR467" t="s">
        <v>1219</v>
      </c>
      <c r="BT467" t="s">
        <v>225</v>
      </c>
      <c r="BU467" s="1">
        <v>45352</v>
      </c>
      <c r="BV467">
        <v>34475</v>
      </c>
      <c r="BX467" t="s">
        <v>170</v>
      </c>
      <c r="BY467" t="s">
        <v>170</v>
      </c>
      <c r="CB467" t="s">
        <v>170</v>
      </c>
      <c r="CC467" t="s">
        <v>170</v>
      </c>
      <c r="CE467" t="s">
        <v>170</v>
      </c>
      <c r="CG467" t="s">
        <v>169</v>
      </c>
      <c r="CH467" t="s">
        <v>1160</v>
      </c>
      <c r="CI467" t="s">
        <v>170</v>
      </c>
      <c r="CK467" t="s">
        <v>233</v>
      </c>
      <c r="CM467">
        <v>1</v>
      </c>
      <c r="CN467" t="s">
        <v>234</v>
      </c>
      <c r="CP467">
        <v>270</v>
      </c>
      <c r="CQ467">
        <v>5.5</v>
      </c>
      <c r="CR467">
        <v>37.1</v>
      </c>
      <c r="CS467" t="s">
        <v>235</v>
      </c>
      <c r="CV467" t="s">
        <v>341</v>
      </c>
      <c r="CX467" t="s">
        <v>729</v>
      </c>
      <c r="CY467" t="s">
        <v>169</v>
      </c>
      <c r="DD467">
        <v>1</v>
      </c>
      <c r="DE467" t="s">
        <v>404</v>
      </c>
      <c r="DF467" t="s">
        <v>427</v>
      </c>
      <c r="DG467">
        <v>48</v>
      </c>
      <c r="DJ467" t="s">
        <v>184</v>
      </c>
      <c r="DK467" t="s">
        <v>185</v>
      </c>
      <c r="DL467" t="s">
        <v>170</v>
      </c>
      <c r="DM467" t="s">
        <v>170</v>
      </c>
      <c r="DN467" t="s">
        <v>170</v>
      </c>
      <c r="DO467" t="s">
        <v>358</v>
      </c>
      <c r="DP467" t="s">
        <v>169</v>
      </c>
      <c r="DQ467" t="s">
        <v>198</v>
      </c>
      <c r="EB467">
        <v>7</v>
      </c>
      <c r="EC467">
        <v>7</v>
      </c>
      <c r="EE467" t="s">
        <v>1161</v>
      </c>
      <c r="EF467">
        <v>6</v>
      </c>
      <c r="EU467">
        <v>1750</v>
      </c>
      <c r="EW467">
        <v>262</v>
      </c>
      <c r="EX467">
        <v>263</v>
      </c>
      <c r="EY467">
        <v>263</v>
      </c>
    </row>
    <row r="468" spans="1:155" x14ac:dyDescent="0.35">
      <c r="A468">
        <v>2025</v>
      </c>
      <c r="B468" t="s">
        <v>756</v>
      </c>
      <c r="C468" t="s">
        <v>757</v>
      </c>
      <c r="D468" t="s">
        <v>1159</v>
      </c>
      <c r="E468" t="s">
        <v>759</v>
      </c>
      <c r="F468">
        <v>24</v>
      </c>
      <c r="G468">
        <v>1.6</v>
      </c>
      <c r="H468">
        <v>4</v>
      </c>
      <c r="I468" t="s">
        <v>747</v>
      </c>
      <c r="J468">
        <v>36</v>
      </c>
      <c r="K468">
        <v>36</v>
      </c>
      <c r="L468">
        <v>36</v>
      </c>
      <c r="M468">
        <v>48.4</v>
      </c>
      <c r="N468">
        <v>49.2</v>
      </c>
      <c r="O468">
        <v>48.756799999999998</v>
      </c>
      <c r="P468">
        <v>36.090699999999998</v>
      </c>
      <c r="Q468">
        <v>36.201700000000002</v>
      </c>
      <c r="R468">
        <v>36.140599999999999</v>
      </c>
      <c r="T468" t="s">
        <v>165</v>
      </c>
      <c r="U468" t="s">
        <v>166</v>
      </c>
      <c r="V468" t="s">
        <v>211</v>
      </c>
      <c r="W468" t="s">
        <v>212</v>
      </c>
      <c r="Y468">
        <v>6</v>
      </c>
      <c r="Z468" t="s">
        <v>170</v>
      </c>
      <c r="AA468" t="s">
        <v>170</v>
      </c>
      <c r="AB468" t="s">
        <v>351</v>
      </c>
      <c r="AC468" t="s">
        <v>352</v>
      </c>
      <c r="AD468">
        <v>15</v>
      </c>
      <c r="AG468" t="s">
        <v>210</v>
      </c>
      <c r="AH468" t="s">
        <v>444</v>
      </c>
      <c r="AI468" t="s">
        <v>175</v>
      </c>
      <c r="AJ468" t="s">
        <v>176</v>
      </c>
      <c r="AK468" t="s">
        <v>940</v>
      </c>
      <c r="AL468" t="s">
        <v>941</v>
      </c>
      <c r="AS468">
        <v>1450</v>
      </c>
      <c r="AT468">
        <v>1450</v>
      </c>
      <c r="BN468" t="s">
        <v>232</v>
      </c>
      <c r="BO468">
        <v>2</v>
      </c>
      <c r="BP468">
        <v>2</v>
      </c>
      <c r="BQ468">
        <v>30</v>
      </c>
      <c r="BR468" t="s">
        <v>1099</v>
      </c>
      <c r="BT468" t="s">
        <v>225</v>
      </c>
      <c r="BU468" s="1">
        <v>45352</v>
      </c>
      <c r="BV468">
        <v>34476</v>
      </c>
      <c r="BX468" t="s">
        <v>170</v>
      </c>
      <c r="BY468" t="s">
        <v>170</v>
      </c>
      <c r="CB468" t="s">
        <v>170</v>
      </c>
      <c r="CC468" t="s">
        <v>170</v>
      </c>
      <c r="CE468" t="s">
        <v>170</v>
      </c>
      <c r="CG468" t="s">
        <v>169</v>
      </c>
      <c r="CH468" t="s">
        <v>1160</v>
      </c>
      <c r="CI468" t="s">
        <v>170</v>
      </c>
      <c r="CK468" t="s">
        <v>233</v>
      </c>
      <c r="CM468">
        <v>1</v>
      </c>
      <c r="CN468" t="s">
        <v>234</v>
      </c>
      <c r="CP468">
        <v>270</v>
      </c>
      <c r="CQ468">
        <v>5.5</v>
      </c>
      <c r="CR468">
        <v>37.1</v>
      </c>
      <c r="CS468" t="s">
        <v>235</v>
      </c>
      <c r="CV468" t="s">
        <v>341</v>
      </c>
      <c r="CX468" t="s">
        <v>729</v>
      </c>
      <c r="CY468" t="s">
        <v>169</v>
      </c>
      <c r="DD468">
        <v>1</v>
      </c>
      <c r="DE468" t="s">
        <v>404</v>
      </c>
      <c r="DF468" t="s">
        <v>427</v>
      </c>
      <c r="DG468">
        <v>48</v>
      </c>
      <c r="DJ468" t="s">
        <v>184</v>
      </c>
      <c r="DK468" t="s">
        <v>185</v>
      </c>
      <c r="DL468" t="s">
        <v>170</v>
      </c>
      <c r="DM468" t="s">
        <v>170</v>
      </c>
      <c r="DN468" t="s">
        <v>170</v>
      </c>
      <c r="DO468" t="s">
        <v>358</v>
      </c>
      <c r="DP468" t="s">
        <v>169</v>
      </c>
      <c r="DQ468" t="s">
        <v>198</v>
      </c>
      <c r="EB468">
        <v>7</v>
      </c>
      <c r="EC468">
        <v>7</v>
      </c>
      <c r="EE468" t="s">
        <v>1161</v>
      </c>
      <c r="EF468">
        <v>6</v>
      </c>
      <c r="EU468">
        <v>2250</v>
      </c>
      <c r="EW468">
        <v>246</v>
      </c>
      <c r="EX468">
        <v>246</v>
      </c>
      <c r="EY468">
        <v>246</v>
      </c>
    </row>
    <row r="469" spans="1:155" x14ac:dyDescent="0.35">
      <c r="A469">
        <v>2025</v>
      </c>
      <c r="B469" t="s">
        <v>756</v>
      </c>
      <c r="C469" t="s">
        <v>757</v>
      </c>
      <c r="D469" t="s">
        <v>915</v>
      </c>
      <c r="E469" t="s">
        <v>759</v>
      </c>
      <c r="F469">
        <v>13</v>
      </c>
      <c r="G469">
        <v>2</v>
      </c>
      <c r="H469">
        <v>4</v>
      </c>
      <c r="I469" t="s">
        <v>587</v>
      </c>
      <c r="J469">
        <v>27</v>
      </c>
      <c r="K469">
        <v>33</v>
      </c>
      <c r="L469">
        <v>30</v>
      </c>
      <c r="M469">
        <v>35.894100000000002</v>
      </c>
      <c r="N469">
        <v>48.343200000000003</v>
      </c>
      <c r="O469">
        <v>40.598799999999997</v>
      </c>
      <c r="P469">
        <v>27.464200000000002</v>
      </c>
      <c r="Q469">
        <v>33.368600000000001</v>
      </c>
      <c r="R469">
        <v>29.840199999999999</v>
      </c>
      <c r="U469" t="s">
        <v>224</v>
      </c>
      <c r="V469" t="s">
        <v>588</v>
      </c>
      <c r="W469" t="s">
        <v>589</v>
      </c>
      <c r="Y469">
        <v>1</v>
      </c>
      <c r="Z469" t="s">
        <v>169</v>
      </c>
      <c r="AA469" t="s">
        <v>170</v>
      </c>
      <c r="AB469" t="s">
        <v>351</v>
      </c>
      <c r="AC469" t="s">
        <v>352</v>
      </c>
      <c r="AD469">
        <v>15</v>
      </c>
      <c r="AG469" t="s">
        <v>210</v>
      </c>
      <c r="AH469" t="s">
        <v>444</v>
      </c>
      <c r="AI469" t="s">
        <v>175</v>
      </c>
      <c r="AJ469" t="s">
        <v>176</v>
      </c>
      <c r="AK469" t="s">
        <v>170</v>
      </c>
      <c r="AL469" t="s">
        <v>177</v>
      </c>
      <c r="AO469">
        <v>101</v>
      </c>
      <c r="AP469">
        <v>24</v>
      </c>
      <c r="AS469">
        <v>1750</v>
      </c>
      <c r="AT469">
        <v>1750</v>
      </c>
      <c r="BO469">
        <v>2</v>
      </c>
      <c r="BP469">
        <v>2</v>
      </c>
      <c r="BQ469">
        <v>7</v>
      </c>
      <c r="BR469" t="s">
        <v>897</v>
      </c>
      <c r="BS469" t="s">
        <v>180</v>
      </c>
      <c r="BT469" t="s">
        <v>181</v>
      </c>
      <c r="BU469" s="1">
        <v>45413</v>
      </c>
      <c r="BV469">
        <v>34660</v>
      </c>
      <c r="BX469" t="s">
        <v>170</v>
      </c>
      <c r="BY469" t="s">
        <v>170</v>
      </c>
      <c r="CB469" t="s">
        <v>170</v>
      </c>
      <c r="CC469" t="s">
        <v>170</v>
      </c>
      <c r="CE469" t="s">
        <v>170</v>
      </c>
      <c r="CG469" t="s">
        <v>169</v>
      </c>
      <c r="CH469" t="s">
        <v>760</v>
      </c>
      <c r="CI469" t="s">
        <v>170</v>
      </c>
      <c r="DJ469" t="s">
        <v>449</v>
      </c>
      <c r="DK469" t="s">
        <v>450</v>
      </c>
      <c r="DN469" t="s">
        <v>170</v>
      </c>
      <c r="DO469" t="s">
        <v>916</v>
      </c>
      <c r="DP469" t="s">
        <v>169</v>
      </c>
      <c r="DQ469" t="s">
        <v>198</v>
      </c>
      <c r="DY469">
        <v>41.4</v>
      </c>
      <c r="EB469">
        <v>6</v>
      </c>
      <c r="EC469">
        <v>6</v>
      </c>
      <c r="EE469" t="s">
        <v>917</v>
      </c>
      <c r="EF469">
        <v>6</v>
      </c>
      <c r="EU469">
        <v>750</v>
      </c>
      <c r="EW469">
        <v>328</v>
      </c>
      <c r="EX469">
        <v>270</v>
      </c>
      <c r="EY469">
        <v>302</v>
      </c>
    </row>
    <row r="470" spans="1:155" x14ac:dyDescent="0.35">
      <c r="A470">
        <v>2025</v>
      </c>
      <c r="B470" t="s">
        <v>756</v>
      </c>
      <c r="C470" t="s">
        <v>757</v>
      </c>
      <c r="D470" t="s">
        <v>918</v>
      </c>
      <c r="E470" t="s">
        <v>759</v>
      </c>
      <c r="F470">
        <v>14</v>
      </c>
      <c r="G470">
        <v>2</v>
      </c>
      <c r="H470">
        <v>4</v>
      </c>
      <c r="I470" t="s">
        <v>587</v>
      </c>
      <c r="J470">
        <v>29</v>
      </c>
      <c r="K470">
        <v>35</v>
      </c>
      <c r="L470">
        <v>31</v>
      </c>
      <c r="M470">
        <v>37.9</v>
      </c>
      <c r="N470">
        <v>51.2</v>
      </c>
      <c r="O470">
        <v>42.916699999999999</v>
      </c>
      <c r="P470">
        <v>28.818000000000001</v>
      </c>
      <c r="Q470">
        <v>35.119500000000002</v>
      </c>
      <c r="R470">
        <v>31.349299999999999</v>
      </c>
      <c r="U470" t="s">
        <v>224</v>
      </c>
      <c r="V470" t="s">
        <v>588</v>
      </c>
      <c r="W470" t="s">
        <v>589</v>
      </c>
      <c r="Y470">
        <v>1</v>
      </c>
      <c r="Z470" t="s">
        <v>169</v>
      </c>
      <c r="AA470" t="s">
        <v>170</v>
      </c>
      <c r="AB470" t="s">
        <v>351</v>
      </c>
      <c r="AC470" t="s">
        <v>352</v>
      </c>
      <c r="AD470">
        <v>15</v>
      </c>
      <c r="AG470" t="s">
        <v>210</v>
      </c>
      <c r="AH470" t="s">
        <v>444</v>
      </c>
      <c r="AI470" t="s">
        <v>175</v>
      </c>
      <c r="AJ470" t="s">
        <v>176</v>
      </c>
      <c r="AK470" t="s">
        <v>170</v>
      </c>
      <c r="AL470" t="s">
        <v>177</v>
      </c>
      <c r="AO470">
        <v>101</v>
      </c>
      <c r="AP470">
        <v>24</v>
      </c>
      <c r="AS470">
        <v>1700</v>
      </c>
      <c r="AT470">
        <v>1700</v>
      </c>
      <c r="BO470">
        <v>2</v>
      </c>
      <c r="BP470">
        <v>2</v>
      </c>
      <c r="BQ470">
        <v>7</v>
      </c>
      <c r="BR470" t="s">
        <v>897</v>
      </c>
      <c r="BS470" t="s">
        <v>180</v>
      </c>
      <c r="BT470" t="s">
        <v>181</v>
      </c>
      <c r="BU470" s="1">
        <v>45413</v>
      </c>
      <c r="BV470">
        <v>34661</v>
      </c>
      <c r="BX470" t="s">
        <v>169</v>
      </c>
      <c r="BY470" t="s">
        <v>170</v>
      </c>
      <c r="CB470" t="s">
        <v>170</v>
      </c>
      <c r="CC470" t="s">
        <v>170</v>
      </c>
      <c r="CE470" t="s">
        <v>170</v>
      </c>
      <c r="CG470" t="s">
        <v>169</v>
      </c>
      <c r="CH470" t="s">
        <v>760</v>
      </c>
      <c r="CI470" t="s">
        <v>170</v>
      </c>
      <c r="DJ470" t="s">
        <v>449</v>
      </c>
      <c r="DK470" t="s">
        <v>450</v>
      </c>
      <c r="DN470" t="s">
        <v>170</v>
      </c>
      <c r="DO470" t="s">
        <v>916</v>
      </c>
      <c r="DP470" t="s">
        <v>169</v>
      </c>
      <c r="DQ470" t="s">
        <v>198</v>
      </c>
      <c r="DY470">
        <v>43.6</v>
      </c>
      <c r="EB470">
        <v>6</v>
      </c>
      <c r="EC470">
        <v>6</v>
      </c>
      <c r="EE470" t="s">
        <v>917</v>
      </c>
      <c r="EF470">
        <v>6</v>
      </c>
      <c r="EU470">
        <v>1000</v>
      </c>
      <c r="EW470">
        <v>312</v>
      </c>
      <c r="EX470">
        <v>256</v>
      </c>
      <c r="EY470">
        <v>287</v>
      </c>
    </row>
    <row r="471" spans="1:155" x14ac:dyDescent="0.35">
      <c r="A471">
        <v>2025</v>
      </c>
      <c r="B471" t="s">
        <v>756</v>
      </c>
      <c r="C471" t="s">
        <v>757</v>
      </c>
      <c r="D471" t="s">
        <v>1340</v>
      </c>
      <c r="E471" t="s">
        <v>759</v>
      </c>
      <c r="F471">
        <v>1</v>
      </c>
      <c r="G471">
        <v>2.5</v>
      </c>
      <c r="H471">
        <v>4</v>
      </c>
      <c r="I471" t="s">
        <v>192</v>
      </c>
      <c r="J471">
        <v>23</v>
      </c>
      <c r="K471">
        <v>27</v>
      </c>
      <c r="L471">
        <v>25</v>
      </c>
      <c r="M471">
        <v>29.948499999999999</v>
      </c>
      <c r="N471">
        <v>37.529499999999999</v>
      </c>
      <c r="O471">
        <v>32.942999999999998</v>
      </c>
      <c r="P471">
        <v>23.349499999999999</v>
      </c>
      <c r="Q471">
        <v>26.5366</v>
      </c>
      <c r="R471">
        <v>24.683499999999999</v>
      </c>
      <c r="U471" t="s">
        <v>224</v>
      </c>
      <c r="V471" t="s">
        <v>193</v>
      </c>
      <c r="W471" t="s">
        <v>194</v>
      </c>
      <c r="Y471">
        <v>8</v>
      </c>
      <c r="Z471" t="s">
        <v>169</v>
      </c>
      <c r="AA471" t="s">
        <v>170</v>
      </c>
      <c r="AB471" t="s">
        <v>167</v>
      </c>
      <c r="AC471" t="s">
        <v>213</v>
      </c>
      <c r="AD471">
        <v>15</v>
      </c>
      <c r="AG471" t="s">
        <v>210</v>
      </c>
      <c r="AH471" t="s">
        <v>444</v>
      </c>
      <c r="AI471" t="s">
        <v>175</v>
      </c>
      <c r="AJ471" t="s">
        <v>176</v>
      </c>
      <c r="AK471" t="s">
        <v>940</v>
      </c>
      <c r="AL471" t="s">
        <v>941</v>
      </c>
      <c r="AS471">
        <v>2100</v>
      </c>
      <c r="AT471">
        <v>2100</v>
      </c>
      <c r="BN471" t="s">
        <v>265</v>
      </c>
      <c r="BO471">
        <v>2</v>
      </c>
      <c r="BP471">
        <v>2</v>
      </c>
      <c r="BQ471">
        <v>31</v>
      </c>
      <c r="BR471" t="s">
        <v>1219</v>
      </c>
      <c r="BT471" t="s">
        <v>181</v>
      </c>
      <c r="BU471" s="1">
        <v>45444</v>
      </c>
      <c r="BV471">
        <v>34852</v>
      </c>
      <c r="BX471" t="s">
        <v>170</v>
      </c>
      <c r="BY471" t="s">
        <v>170</v>
      </c>
      <c r="CB471" t="s">
        <v>170</v>
      </c>
      <c r="CC471" t="s">
        <v>170</v>
      </c>
      <c r="CE471" t="s">
        <v>170</v>
      </c>
      <c r="CG471" t="s">
        <v>169</v>
      </c>
      <c r="CH471" t="s">
        <v>858</v>
      </c>
      <c r="CI471" t="s">
        <v>170</v>
      </c>
      <c r="DJ471" t="s">
        <v>267</v>
      </c>
      <c r="DK471" t="s">
        <v>268</v>
      </c>
      <c r="DN471" t="s">
        <v>170</v>
      </c>
      <c r="DO471" t="s">
        <v>743</v>
      </c>
      <c r="DP471" t="s">
        <v>169</v>
      </c>
      <c r="DQ471" t="s">
        <v>198</v>
      </c>
      <c r="EB471">
        <v>5</v>
      </c>
      <c r="EC471">
        <v>5</v>
      </c>
      <c r="EE471" t="s">
        <v>1163</v>
      </c>
      <c r="EF471">
        <v>6</v>
      </c>
      <c r="EV471">
        <v>1000</v>
      </c>
      <c r="EW471">
        <v>381</v>
      </c>
      <c r="EX471">
        <v>336</v>
      </c>
      <c r="EY471">
        <v>361</v>
      </c>
    </row>
    <row r="472" spans="1:155" x14ac:dyDescent="0.35">
      <c r="A472">
        <v>2025</v>
      </c>
      <c r="B472" t="s">
        <v>756</v>
      </c>
      <c r="C472" t="s">
        <v>757</v>
      </c>
      <c r="D472" t="s">
        <v>1162</v>
      </c>
      <c r="E472" t="s">
        <v>759</v>
      </c>
      <c r="F472">
        <v>2</v>
      </c>
      <c r="G472">
        <v>2.5</v>
      </c>
      <c r="H472">
        <v>4</v>
      </c>
      <c r="I472" t="s">
        <v>192</v>
      </c>
      <c r="J472">
        <v>25</v>
      </c>
      <c r="K472">
        <v>32</v>
      </c>
      <c r="L472">
        <v>28</v>
      </c>
      <c r="M472">
        <v>32.6815</v>
      </c>
      <c r="N472">
        <v>46.826700000000002</v>
      </c>
      <c r="O472">
        <v>37.822899999999997</v>
      </c>
      <c r="P472">
        <v>25.260100000000001</v>
      </c>
      <c r="Q472">
        <v>32.430199999999999</v>
      </c>
      <c r="R472">
        <v>28.050899999999999</v>
      </c>
      <c r="U472" t="s">
        <v>224</v>
      </c>
      <c r="V472" t="s">
        <v>193</v>
      </c>
      <c r="W472" t="s">
        <v>194</v>
      </c>
      <c r="Y472">
        <v>8</v>
      </c>
      <c r="Z472" t="s">
        <v>169</v>
      </c>
      <c r="AA472" t="s">
        <v>170</v>
      </c>
      <c r="AB472" t="s">
        <v>351</v>
      </c>
      <c r="AC472" t="s">
        <v>352</v>
      </c>
      <c r="AD472">
        <v>15</v>
      </c>
      <c r="AG472" t="s">
        <v>210</v>
      </c>
      <c r="AH472" t="s">
        <v>444</v>
      </c>
      <c r="AI472" t="s">
        <v>175</v>
      </c>
      <c r="AJ472" t="s">
        <v>176</v>
      </c>
      <c r="AK472" t="s">
        <v>940</v>
      </c>
      <c r="AL472" t="s">
        <v>941</v>
      </c>
      <c r="AS472">
        <v>1900</v>
      </c>
      <c r="AT472">
        <v>1900</v>
      </c>
      <c r="BN472" t="s">
        <v>265</v>
      </c>
      <c r="BO472">
        <v>2</v>
      </c>
      <c r="BP472">
        <v>2</v>
      </c>
      <c r="BQ472">
        <v>30</v>
      </c>
      <c r="BR472" t="s">
        <v>1099</v>
      </c>
      <c r="BT472" t="s">
        <v>181</v>
      </c>
      <c r="BU472" s="1">
        <v>45444</v>
      </c>
      <c r="BV472">
        <v>34853</v>
      </c>
      <c r="BX472" t="s">
        <v>170</v>
      </c>
      <c r="BY472" t="s">
        <v>170</v>
      </c>
      <c r="CB472" t="s">
        <v>170</v>
      </c>
      <c r="CC472" t="s">
        <v>170</v>
      </c>
      <c r="CE472" t="s">
        <v>170</v>
      </c>
      <c r="CG472" t="s">
        <v>169</v>
      </c>
      <c r="CH472" t="s">
        <v>858</v>
      </c>
      <c r="CI472" t="s">
        <v>170</v>
      </c>
      <c r="DJ472" t="s">
        <v>267</v>
      </c>
      <c r="DK472" t="s">
        <v>268</v>
      </c>
      <c r="DN472" t="s">
        <v>170</v>
      </c>
      <c r="DO472" t="s">
        <v>743</v>
      </c>
      <c r="DP472" t="s">
        <v>169</v>
      </c>
      <c r="DQ472" t="s">
        <v>198</v>
      </c>
      <c r="EB472">
        <v>6</v>
      </c>
      <c r="EC472">
        <v>6</v>
      </c>
      <c r="EE472" t="s">
        <v>1163</v>
      </c>
      <c r="EF472">
        <v>6</v>
      </c>
      <c r="EU472">
        <v>0</v>
      </c>
      <c r="EW472">
        <v>352</v>
      </c>
      <c r="EX472">
        <v>274</v>
      </c>
      <c r="EY472">
        <v>317</v>
      </c>
    </row>
    <row r="473" spans="1:155" x14ac:dyDescent="0.35">
      <c r="A473">
        <v>2025</v>
      </c>
      <c r="B473" t="s">
        <v>756</v>
      </c>
      <c r="C473" t="s">
        <v>757</v>
      </c>
      <c r="D473" t="s">
        <v>1341</v>
      </c>
      <c r="E473" t="s">
        <v>759</v>
      </c>
      <c r="F473">
        <v>3</v>
      </c>
      <c r="G473">
        <v>1.6</v>
      </c>
      <c r="H473">
        <v>4</v>
      </c>
      <c r="I473" t="s">
        <v>747</v>
      </c>
      <c r="J473">
        <v>38</v>
      </c>
      <c r="K473">
        <v>38</v>
      </c>
      <c r="L473">
        <v>38</v>
      </c>
      <c r="M473">
        <v>51.104500000000002</v>
      </c>
      <c r="N473">
        <v>50.115600000000001</v>
      </c>
      <c r="O473">
        <v>50.654699999999998</v>
      </c>
      <c r="P473">
        <v>37.801600000000001</v>
      </c>
      <c r="Q473">
        <v>37.7941</v>
      </c>
      <c r="R473">
        <v>37.798200000000001</v>
      </c>
      <c r="T473" t="s">
        <v>165</v>
      </c>
      <c r="U473" t="s">
        <v>166</v>
      </c>
      <c r="V473" t="s">
        <v>211</v>
      </c>
      <c r="W473" t="s">
        <v>212</v>
      </c>
      <c r="Y473">
        <v>6</v>
      </c>
      <c r="Z473" t="s">
        <v>170</v>
      </c>
      <c r="AA473" t="s">
        <v>170</v>
      </c>
      <c r="AB473" t="s">
        <v>167</v>
      </c>
      <c r="AC473" t="s">
        <v>213</v>
      </c>
      <c r="AD473">
        <v>15</v>
      </c>
      <c r="AG473" t="s">
        <v>210</v>
      </c>
      <c r="AH473" t="s">
        <v>444</v>
      </c>
      <c r="AI473" t="s">
        <v>175</v>
      </c>
      <c r="AJ473" t="s">
        <v>176</v>
      </c>
      <c r="AK473" t="s">
        <v>940</v>
      </c>
      <c r="AL473" t="s">
        <v>941</v>
      </c>
      <c r="AS473">
        <v>1400</v>
      </c>
      <c r="AT473">
        <v>1400</v>
      </c>
      <c r="BN473" t="s">
        <v>232</v>
      </c>
      <c r="BO473">
        <v>2</v>
      </c>
      <c r="BP473">
        <v>2</v>
      </c>
      <c r="BQ473">
        <v>31</v>
      </c>
      <c r="BR473" t="s">
        <v>1219</v>
      </c>
      <c r="BT473" t="s">
        <v>225</v>
      </c>
      <c r="BU473" s="1">
        <v>45444</v>
      </c>
      <c r="BV473">
        <v>34932</v>
      </c>
      <c r="BX473" t="s">
        <v>170</v>
      </c>
      <c r="BY473" t="s">
        <v>170</v>
      </c>
      <c r="CB473" t="s">
        <v>170</v>
      </c>
      <c r="CC473" t="s">
        <v>170</v>
      </c>
      <c r="CE473" t="s">
        <v>170</v>
      </c>
      <c r="CG473" t="s">
        <v>169</v>
      </c>
      <c r="CH473" t="s">
        <v>1311</v>
      </c>
      <c r="CI473" t="s">
        <v>170</v>
      </c>
      <c r="CK473" t="s">
        <v>233</v>
      </c>
      <c r="CM473">
        <v>1</v>
      </c>
      <c r="CN473" t="s">
        <v>234</v>
      </c>
      <c r="CP473">
        <v>270</v>
      </c>
      <c r="CQ473">
        <v>5.5</v>
      </c>
      <c r="CR473">
        <v>39.6</v>
      </c>
      <c r="CS473" t="s">
        <v>235</v>
      </c>
      <c r="CV473" t="s">
        <v>341</v>
      </c>
      <c r="CX473" t="s">
        <v>729</v>
      </c>
      <c r="CY473" t="s">
        <v>170</v>
      </c>
      <c r="DD473">
        <v>1</v>
      </c>
      <c r="DE473" t="s">
        <v>404</v>
      </c>
      <c r="DF473" t="s">
        <v>427</v>
      </c>
      <c r="DG473">
        <v>44</v>
      </c>
      <c r="DJ473" t="s">
        <v>184</v>
      </c>
      <c r="DK473" t="s">
        <v>185</v>
      </c>
      <c r="DL473" t="s">
        <v>170</v>
      </c>
      <c r="DM473" t="s">
        <v>170</v>
      </c>
      <c r="DN473" t="s">
        <v>170</v>
      </c>
      <c r="DO473" t="s">
        <v>358</v>
      </c>
      <c r="DP473" t="s">
        <v>169</v>
      </c>
      <c r="DQ473" t="s">
        <v>198</v>
      </c>
      <c r="EB473">
        <v>7</v>
      </c>
      <c r="EC473">
        <v>7</v>
      </c>
      <c r="EE473" t="s">
        <v>1342</v>
      </c>
      <c r="EF473">
        <v>6</v>
      </c>
      <c r="EU473">
        <v>2500</v>
      </c>
      <c r="EW473">
        <v>235</v>
      </c>
      <c r="EX473">
        <v>235</v>
      </c>
      <c r="EY473">
        <v>235</v>
      </c>
    </row>
    <row r="474" spans="1:155" x14ac:dyDescent="0.35">
      <c r="A474">
        <v>2025</v>
      </c>
      <c r="B474" t="s">
        <v>756</v>
      </c>
      <c r="C474" t="s">
        <v>757</v>
      </c>
      <c r="D474" t="s">
        <v>1343</v>
      </c>
      <c r="E474" t="s">
        <v>759</v>
      </c>
      <c r="F474">
        <v>4</v>
      </c>
      <c r="G474">
        <v>1.6</v>
      </c>
      <c r="H474">
        <v>4</v>
      </c>
      <c r="I474" t="s">
        <v>747</v>
      </c>
      <c r="J474">
        <v>42</v>
      </c>
      <c r="K474">
        <v>44</v>
      </c>
      <c r="L474">
        <v>43</v>
      </c>
      <c r="M474">
        <v>57.7</v>
      </c>
      <c r="N474">
        <v>55.6</v>
      </c>
      <c r="O474">
        <v>56.735700000000001</v>
      </c>
      <c r="P474">
        <v>42.252099999999999</v>
      </c>
      <c r="Q474">
        <v>44.312100000000001</v>
      </c>
      <c r="R474">
        <v>43.154899999999998</v>
      </c>
      <c r="T474" t="s">
        <v>165</v>
      </c>
      <c r="U474" t="s">
        <v>166</v>
      </c>
      <c r="V474" t="s">
        <v>211</v>
      </c>
      <c r="W474" t="s">
        <v>212</v>
      </c>
      <c r="Y474">
        <v>6</v>
      </c>
      <c r="Z474" t="s">
        <v>170</v>
      </c>
      <c r="AA474" t="s">
        <v>170</v>
      </c>
      <c r="AB474" t="s">
        <v>351</v>
      </c>
      <c r="AC474" t="s">
        <v>352</v>
      </c>
      <c r="AD474">
        <v>15</v>
      </c>
      <c r="AG474" t="s">
        <v>210</v>
      </c>
      <c r="AH474" t="s">
        <v>444</v>
      </c>
      <c r="AI474" t="s">
        <v>175</v>
      </c>
      <c r="AJ474" t="s">
        <v>176</v>
      </c>
      <c r="AK474" t="s">
        <v>940</v>
      </c>
      <c r="AL474" t="s">
        <v>941</v>
      </c>
      <c r="AS474">
        <v>1200</v>
      </c>
      <c r="AT474">
        <v>1200</v>
      </c>
      <c r="BN474" t="s">
        <v>232</v>
      </c>
      <c r="BO474">
        <v>2</v>
      </c>
      <c r="BP474">
        <v>2</v>
      </c>
      <c r="BQ474">
        <v>31</v>
      </c>
      <c r="BR474" t="s">
        <v>1219</v>
      </c>
      <c r="BT474" t="s">
        <v>225</v>
      </c>
      <c r="BU474" s="1">
        <v>45444</v>
      </c>
      <c r="BV474">
        <v>34896</v>
      </c>
      <c r="BX474" t="s">
        <v>170</v>
      </c>
      <c r="BY474" t="s">
        <v>170</v>
      </c>
      <c r="CB474" t="s">
        <v>170</v>
      </c>
      <c r="CC474" t="s">
        <v>170</v>
      </c>
      <c r="CE474" t="s">
        <v>170</v>
      </c>
      <c r="CG474" t="s">
        <v>169</v>
      </c>
      <c r="CH474" t="s">
        <v>1311</v>
      </c>
      <c r="CI474" t="s">
        <v>170</v>
      </c>
      <c r="CK474" t="s">
        <v>233</v>
      </c>
      <c r="CM474">
        <v>1</v>
      </c>
      <c r="CN474" t="s">
        <v>234</v>
      </c>
      <c r="CP474">
        <v>270</v>
      </c>
      <c r="CQ474">
        <v>5.5</v>
      </c>
      <c r="CR474">
        <v>39.6</v>
      </c>
      <c r="CS474" t="s">
        <v>235</v>
      </c>
      <c r="CV474" t="s">
        <v>341</v>
      </c>
      <c r="CX474" t="s">
        <v>729</v>
      </c>
      <c r="CY474" t="s">
        <v>170</v>
      </c>
      <c r="DD474">
        <v>1</v>
      </c>
      <c r="DE474" t="s">
        <v>404</v>
      </c>
      <c r="DF474" t="s">
        <v>427</v>
      </c>
      <c r="DG474">
        <v>44</v>
      </c>
      <c r="DJ474" t="s">
        <v>184</v>
      </c>
      <c r="DK474" t="s">
        <v>185</v>
      </c>
      <c r="DL474" t="s">
        <v>170</v>
      </c>
      <c r="DM474" t="s">
        <v>170</v>
      </c>
      <c r="DN474" t="s">
        <v>170</v>
      </c>
      <c r="DO474" t="s">
        <v>358</v>
      </c>
      <c r="DP474" t="s">
        <v>169</v>
      </c>
      <c r="DQ474" t="s">
        <v>198</v>
      </c>
      <c r="EB474">
        <v>7</v>
      </c>
      <c r="EC474">
        <v>7</v>
      </c>
      <c r="EE474" t="s">
        <v>1342</v>
      </c>
      <c r="EF474">
        <v>6</v>
      </c>
      <c r="EU474">
        <v>3500</v>
      </c>
      <c r="EW474">
        <v>210</v>
      </c>
      <c r="EX474">
        <v>200</v>
      </c>
      <c r="EY474">
        <v>206</v>
      </c>
    </row>
    <row r="475" spans="1:155" x14ac:dyDescent="0.35">
      <c r="A475">
        <v>2025</v>
      </c>
      <c r="B475" t="s">
        <v>756</v>
      </c>
      <c r="C475" t="s">
        <v>757</v>
      </c>
      <c r="D475" t="s">
        <v>1344</v>
      </c>
      <c r="E475" t="s">
        <v>759</v>
      </c>
      <c r="F475">
        <v>42</v>
      </c>
      <c r="G475">
        <v>2.5</v>
      </c>
      <c r="H475">
        <v>4</v>
      </c>
      <c r="I475" t="s">
        <v>192</v>
      </c>
      <c r="J475">
        <v>23</v>
      </c>
      <c r="K475">
        <v>30</v>
      </c>
      <c r="L475">
        <v>26</v>
      </c>
      <c r="M475">
        <v>29.6</v>
      </c>
      <c r="N475">
        <v>43.5</v>
      </c>
      <c r="O475">
        <v>34.571100000000001</v>
      </c>
      <c r="P475">
        <v>23.1035</v>
      </c>
      <c r="Q475">
        <v>30.349399999999999</v>
      </c>
      <c r="R475">
        <v>25.884399999999999</v>
      </c>
      <c r="U475" t="s">
        <v>224</v>
      </c>
      <c r="V475" t="s">
        <v>193</v>
      </c>
      <c r="W475" t="s">
        <v>194</v>
      </c>
      <c r="Y475">
        <v>8</v>
      </c>
      <c r="Z475" t="s">
        <v>169</v>
      </c>
      <c r="AA475" t="s">
        <v>170</v>
      </c>
      <c r="AB475" t="s">
        <v>167</v>
      </c>
      <c r="AC475" t="s">
        <v>213</v>
      </c>
      <c r="AD475">
        <v>15</v>
      </c>
      <c r="AG475" t="s">
        <v>210</v>
      </c>
      <c r="AH475" t="s">
        <v>444</v>
      </c>
      <c r="AI475" t="s">
        <v>175</v>
      </c>
      <c r="AJ475" t="s">
        <v>176</v>
      </c>
      <c r="AK475" t="s">
        <v>940</v>
      </c>
      <c r="AL475" t="s">
        <v>941</v>
      </c>
      <c r="AS475">
        <v>2000</v>
      </c>
      <c r="AT475">
        <v>2000</v>
      </c>
      <c r="BN475" t="s">
        <v>265</v>
      </c>
      <c r="BO475">
        <v>2</v>
      </c>
      <c r="BP475">
        <v>2</v>
      </c>
      <c r="BQ475">
        <v>31</v>
      </c>
      <c r="BR475" t="s">
        <v>1219</v>
      </c>
      <c r="BT475" t="s">
        <v>181</v>
      </c>
      <c r="BU475" s="1">
        <v>45444</v>
      </c>
      <c r="BV475">
        <v>34854</v>
      </c>
      <c r="BX475" t="s">
        <v>169</v>
      </c>
      <c r="BY475" t="s">
        <v>170</v>
      </c>
      <c r="CB475" t="s">
        <v>170</v>
      </c>
      <c r="CC475" t="s">
        <v>170</v>
      </c>
      <c r="CE475" t="s">
        <v>170</v>
      </c>
      <c r="CG475" t="s">
        <v>169</v>
      </c>
      <c r="CH475" t="s">
        <v>858</v>
      </c>
      <c r="CI475" t="s">
        <v>170</v>
      </c>
      <c r="DJ475" t="s">
        <v>267</v>
      </c>
      <c r="DK475" t="s">
        <v>268</v>
      </c>
      <c r="DN475" t="s">
        <v>170</v>
      </c>
      <c r="DO475" t="s">
        <v>743</v>
      </c>
      <c r="DP475" t="s">
        <v>169</v>
      </c>
      <c r="DQ475" t="s">
        <v>198</v>
      </c>
      <c r="EB475">
        <v>5</v>
      </c>
      <c r="EC475">
        <v>5</v>
      </c>
      <c r="EE475" t="s">
        <v>1163</v>
      </c>
      <c r="EF475">
        <v>6</v>
      </c>
      <c r="EV475">
        <v>500</v>
      </c>
      <c r="EW475">
        <v>384</v>
      </c>
      <c r="EX475">
        <v>294</v>
      </c>
      <c r="EY475">
        <v>344</v>
      </c>
    </row>
    <row r="476" spans="1:155" x14ac:dyDescent="0.35">
      <c r="A476">
        <v>2025</v>
      </c>
      <c r="B476" t="s">
        <v>756</v>
      </c>
      <c r="C476" t="s">
        <v>757</v>
      </c>
      <c r="D476" t="s">
        <v>1345</v>
      </c>
      <c r="E476" t="s">
        <v>759</v>
      </c>
      <c r="F476">
        <v>26</v>
      </c>
      <c r="G476">
        <v>3.8</v>
      </c>
      <c r="H476">
        <v>6</v>
      </c>
      <c r="I476" t="s">
        <v>192</v>
      </c>
      <c r="J476">
        <v>18</v>
      </c>
      <c r="K476">
        <v>23</v>
      </c>
      <c r="L476">
        <v>20</v>
      </c>
      <c r="M476">
        <v>22.544799999999999</v>
      </c>
      <c r="N476">
        <v>32.860799999999998</v>
      </c>
      <c r="O476">
        <v>26.253599999999999</v>
      </c>
      <c r="P476">
        <v>18.002300000000002</v>
      </c>
      <c r="Q476">
        <v>23.482800000000001</v>
      </c>
      <c r="R476">
        <v>20.114799999999999</v>
      </c>
      <c r="U476" t="s">
        <v>224</v>
      </c>
      <c r="V476" t="s">
        <v>193</v>
      </c>
      <c r="W476" t="s">
        <v>194</v>
      </c>
      <c r="Y476">
        <v>8</v>
      </c>
      <c r="Z476" t="s">
        <v>169</v>
      </c>
      <c r="AA476" t="s">
        <v>170</v>
      </c>
      <c r="AB476" t="s">
        <v>167</v>
      </c>
      <c r="AC476" t="s">
        <v>213</v>
      </c>
      <c r="AD476">
        <v>15</v>
      </c>
      <c r="AG476" t="s">
        <v>210</v>
      </c>
      <c r="AH476" t="s">
        <v>444</v>
      </c>
      <c r="AI476" t="s">
        <v>175</v>
      </c>
      <c r="AJ476" t="s">
        <v>176</v>
      </c>
      <c r="AK476" t="s">
        <v>940</v>
      </c>
      <c r="AL476" t="s">
        <v>941</v>
      </c>
      <c r="AO476">
        <v>157</v>
      </c>
      <c r="AP476">
        <v>21</v>
      </c>
      <c r="AS476">
        <v>2600</v>
      </c>
      <c r="AT476">
        <v>2600</v>
      </c>
      <c r="BN476" t="s">
        <v>178</v>
      </c>
      <c r="BO476">
        <v>2</v>
      </c>
      <c r="BP476">
        <v>2</v>
      </c>
      <c r="BQ476">
        <v>31</v>
      </c>
      <c r="BR476" t="s">
        <v>1219</v>
      </c>
      <c r="BT476" t="s">
        <v>181</v>
      </c>
      <c r="BU476" s="1">
        <v>45536</v>
      </c>
      <c r="BV476">
        <v>35310</v>
      </c>
      <c r="BX476" t="s">
        <v>170</v>
      </c>
      <c r="BY476" t="s">
        <v>170</v>
      </c>
      <c r="CB476" t="s">
        <v>170</v>
      </c>
      <c r="CC476" t="s">
        <v>170</v>
      </c>
      <c r="CE476" t="s">
        <v>170</v>
      </c>
      <c r="CG476" t="s">
        <v>169</v>
      </c>
      <c r="CH476" t="s">
        <v>760</v>
      </c>
      <c r="CI476" t="s">
        <v>170</v>
      </c>
      <c r="DJ476" t="s">
        <v>184</v>
      </c>
      <c r="DK476" t="s">
        <v>185</v>
      </c>
      <c r="DN476" t="s">
        <v>170</v>
      </c>
      <c r="DO476" t="s">
        <v>578</v>
      </c>
      <c r="DP476" t="s">
        <v>169</v>
      </c>
      <c r="DQ476" t="s">
        <v>198</v>
      </c>
      <c r="EB476">
        <v>4</v>
      </c>
      <c r="EC476">
        <v>4</v>
      </c>
      <c r="EE476" t="s">
        <v>1165</v>
      </c>
      <c r="EF476">
        <v>5</v>
      </c>
      <c r="EV476">
        <v>3500</v>
      </c>
      <c r="EW476">
        <v>494</v>
      </c>
      <c r="EX476">
        <v>379</v>
      </c>
      <c r="EY476">
        <v>442</v>
      </c>
    </row>
    <row r="477" spans="1:155" x14ac:dyDescent="0.35">
      <c r="A477">
        <v>2025</v>
      </c>
      <c r="B477" t="s">
        <v>756</v>
      </c>
      <c r="C477" t="s">
        <v>757</v>
      </c>
      <c r="D477" t="s">
        <v>1164</v>
      </c>
      <c r="E477" t="s">
        <v>759</v>
      </c>
      <c r="F477">
        <v>27</v>
      </c>
      <c r="G477">
        <v>3.8</v>
      </c>
      <c r="H477">
        <v>6</v>
      </c>
      <c r="I477" t="s">
        <v>192</v>
      </c>
      <c r="J477">
        <v>20</v>
      </c>
      <c r="K477">
        <v>26</v>
      </c>
      <c r="L477">
        <v>22</v>
      </c>
      <c r="M477">
        <v>25.2</v>
      </c>
      <c r="N477">
        <v>37.200000000000003</v>
      </c>
      <c r="O477">
        <v>29.479199999999999</v>
      </c>
      <c r="P477">
        <v>19.949400000000001</v>
      </c>
      <c r="Q477">
        <v>26.3231</v>
      </c>
      <c r="R477">
        <v>22.3889</v>
      </c>
      <c r="U477" t="s">
        <v>224</v>
      </c>
      <c r="V477" t="s">
        <v>193</v>
      </c>
      <c r="W477" t="s">
        <v>194</v>
      </c>
      <c r="Y477">
        <v>8</v>
      </c>
      <c r="Z477" t="s">
        <v>169</v>
      </c>
      <c r="AA477" t="s">
        <v>170</v>
      </c>
      <c r="AB477" t="s">
        <v>351</v>
      </c>
      <c r="AC477" t="s">
        <v>352</v>
      </c>
      <c r="AD477">
        <v>15</v>
      </c>
      <c r="AG477" t="s">
        <v>210</v>
      </c>
      <c r="AH477" t="s">
        <v>444</v>
      </c>
      <c r="AI477" t="s">
        <v>175</v>
      </c>
      <c r="AJ477" t="s">
        <v>176</v>
      </c>
      <c r="AK477" t="s">
        <v>940</v>
      </c>
      <c r="AL477" t="s">
        <v>941</v>
      </c>
      <c r="AO477">
        <v>157</v>
      </c>
      <c r="AP477">
        <v>21</v>
      </c>
      <c r="AS477">
        <v>2400</v>
      </c>
      <c r="AT477">
        <v>2400</v>
      </c>
      <c r="BN477" t="s">
        <v>178</v>
      </c>
      <c r="BO477">
        <v>2</v>
      </c>
      <c r="BP477">
        <v>2</v>
      </c>
      <c r="BQ477">
        <v>30</v>
      </c>
      <c r="BR477" t="s">
        <v>1099</v>
      </c>
      <c r="BT477" t="s">
        <v>181</v>
      </c>
      <c r="BU477" s="1">
        <v>45536</v>
      </c>
      <c r="BV477">
        <v>35311</v>
      </c>
      <c r="BX477" t="s">
        <v>170</v>
      </c>
      <c r="BY477" t="s">
        <v>170</v>
      </c>
      <c r="CB477" t="s">
        <v>170</v>
      </c>
      <c r="CC477" t="s">
        <v>170</v>
      </c>
      <c r="CE477" t="s">
        <v>170</v>
      </c>
      <c r="CG477" t="s">
        <v>169</v>
      </c>
      <c r="CH477" t="s">
        <v>760</v>
      </c>
      <c r="CI477" t="s">
        <v>170</v>
      </c>
      <c r="DJ477" t="s">
        <v>184</v>
      </c>
      <c r="DK477" t="s">
        <v>185</v>
      </c>
      <c r="DN477" t="s">
        <v>170</v>
      </c>
      <c r="DO477" t="s">
        <v>578</v>
      </c>
      <c r="DP477" t="s">
        <v>169</v>
      </c>
      <c r="DQ477" t="s">
        <v>198</v>
      </c>
      <c r="EB477">
        <v>5</v>
      </c>
      <c r="EC477">
        <v>5</v>
      </c>
      <c r="EE477" t="s">
        <v>1165</v>
      </c>
      <c r="EF477">
        <v>5</v>
      </c>
      <c r="EV477">
        <v>2500</v>
      </c>
      <c r="EW477">
        <v>447</v>
      </c>
      <c r="EX477">
        <v>339</v>
      </c>
      <c r="EY477">
        <v>398</v>
      </c>
    </row>
    <row r="478" spans="1:155" x14ac:dyDescent="0.35">
      <c r="A478">
        <v>2025</v>
      </c>
      <c r="B478" t="s">
        <v>1315</v>
      </c>
      <c r="C478" t="s">
        <v>1346</v>
      </c>
      <c r="D478" t="s">
        <v>1577</v>
      </c>
      <c r="E478" t="s">
        <v>1318</v>
      </c>
      <c r="F478">
        <v>663</v>
      </c>
      <c r="G478">
        <v>2</v>
      </c>
      <c r="H478">
        <v>4</v>
      </c>
      <c r="I478" t="s">
        <v>192</v>
      </c>
      <c r="J478">
        <v>18</v>
      </c>
      <c r="K478">
        <v>20</v>
      </c>
      <c r="L478">
        <v>19</v>
      </c>
      <c r="M478">
        <v>22.386800000000001</v>
      </c>
      <c r="N478">
        <v>30.6647</v>
      </c>
      <c r="O478">
        <v>25.482299999999999</v>
      </c>
      <c r="P478">
        <v>17.885300000000001</v>
      </c>
      <c r="Q478">
        <v>19.834800000000001</v>
      </c>
      <c r="R478">
        <v>18.713000000000001</v>
      </c>
      <c r="T478" t="s">
        <v>165</v>
      </c>
      <c r="U478" t="s">
        <v>166</v>
      </c>
      <c r="V478" t="s">
        <v>193</v>
      </c>
      <c r="W478" t="s">
        <v>194</v>
      </c>
      <c r="Y478">
        <v>8</v>
      </c>
      <c r="Z478" t="s">
        <v>169</v>
      </c>
      <c r="AA478" t="s">
        <v>170</v>
      </c>
      <c r="AB478">
        <v>4</v>
      </c>
      <c r="AC478" t="s">
        <v>601</v>
      </c>
      <c r="AD478">
        <v>10</v>
      </c>
      <c r="AG478" t="s">
        <v>173</v>
      </c>
      <c r="AH478" t="s">
        <v>174</v>
      </c>
      <c r="AI478" t="s">
        <v>175</v>
      </c>
      <c r="AJ478" t="s">
        <v>176</v>
      </c>
      <c r="AK478" t="s">
        <v>940</v>
      </c>
      <c r="AL478" t="s">
        <v>941</v>
      </c>
      <c r="AS478">
        <v>3350</v>
      </c>
      <c r="AT478">
        <v>3350</v>
      </c>
      <c r="BN478" t="s">
        <v>178</v>
      </c>
      <c r="BO478">
        <v>2</v>
      </c>
      <c r="BP478">
        <v>2</v>
      </c>
      <c r="BQ478">
        <v>33</v>
      </c>
      <c r="BR478" t="s">
        <v>1497</v>
      </c>
      <c r="BT478" t="s">
        <v>457</v>
      </c>
      <c r="BU478" s="1">
        <v>45467</v>
      </c>
      <c r="BV478">
        <v>34752</v>
      </c>
      <c r="BX478" t="s">
        <v>169</v>
      </c>
      <c r="BY478" t="s">
        <v>170</v>
      </c>
      <c r="CB478" t="s">
        <v>170</v>
      </c>
      <c r="CC478" t="s">
        <v>170</v>
      </c>
      <c r="CE478" t="s">
        <v>170</v>
      </c>
      <c r="CG478" t="s">
        <v>169</v>
      </c>
      <c r="CH478" t="s">
        <v>1323</v>
      </c>
      <c r="CI478" t="s">
        <v>169</v>
      </c>
      <c r="CJ478" t="s">
        <v>1320</v>
      </c>
      <c r="DJ478" t="s">
        <v>184</v>
      </c>
      <c r="DK478" t="s">
        <v>185</v>
      </c>
      <c r="DL478" t="s">
        <v>170</v>
      </c>
      <c r="DM478" t="s">
        <v>170</v>
      </c>
      <c r="DN478" t="s">
        <v>170</v>
      </c>
      <c r="DO478" t="s">
        <v>197</v>
      </c>
      <c r="DP478" t="s">
        <v>169</v>
      </c>
      <c r="DQ478" t="s">
        <v>198</v>
      </c>
      <c r="DR478" t="s">
        <v>1577</v>
      </c>
      <c r="DY478">
        <v>25.7</v>
      </c>
      <c r="EB478">
        <v>4</v>
      </c>
      <c r="EC478">
        <v>4</v>
      </c>
      <c r="EE478" t="s">
        <v>1578</v>
      </c>
      <c r="EF478">
        <v>6</v>
      </c>
      <c r="EV478">
        <v>7250</v>
      </c>
      <c r="EW478">
        <v>496</v>
      </c>
      <c r="EX478">
        <v>447</v>
      </c>
      <c r="EY478">
        <v>474</v>
      </c>
    </row>
    <row r="479" spans="1:155" x14ac:dyDescent="0.35">
      <c r="A479">
        <v>2025</v>
      </c>
      <c r="B479" t="s">
        <v>1315</v>
      </c>
      <c r="C479" t="s">
        <v>1346</v>
      </c>
      <c r="D479" t="s">
        <v>1577</v>
      </c>
      <c r="E479" t="s">
        <v>1318</v>
      </c>
      <c r="F479">
        <v>669</v>
      </c>
      <c r="G479">
        <v>5</v>
      </c>
      <c r="H479">
        <v>8</v>
      </c>
      <c r="I479" t="s">
        <v>192</v>
      </c>
      <c r="J479">
        <v>14</v>
      </c>
      <c r="K479">
        <v>18</v>
      </c>
      <c r="L479">
        <v>16</v>
      </c>
      <c r="M479">
        <v>17.074300000000001</v>
      </c>
      <c r="N479">
        <v>25.166699999999999</v>
      </c>
      <c r="O479">
        <v>19.962900000000001</v>
      </c>
      <c r="P479">
        <v>13.9018</v>
      </c>
      <c r="Q479">
        <v>18.328399999999998</v>
      </c>
      <c r="R479">
        <v>15.5969</v>
      </c>
      <c r="T479" t="s">
        <v>455</v>
      </c>
      <c r="U479" t="s">
        <v>456</v>
      </c>
      <c r="V479" t="s">
        <v>193</v>
      </c>
      <c r="W479" t="s">
        <v>194</v>
      </c>
      <c r="Y479">
        <v>8</v>
      </c>
      <c r="Z479" t="s">
        <v>169</v>
      </c>
      <c r="AA479" t="s">
        <v>170</v>
      </c>
      <c r="AB479">
        <v>4</v>
      </c>
      <c r="AC479" t="s">
        <v>601</v>
      </c>
      <c r="AD479">
        <v>10</v>
      </c>
      <c r="AG479" t="s">
        <v>173</v>
      </c>
      <c r="AH479" t="s">
        <v>174</v>
      </c>
      <c r="AI479" t="s">
        <v>175</v>
      </c>
      <c r="AJ479" t="s">
        <v>176</v>
      </c>
      <c r="AK479" t="s">
        <v>940</v>
      </c>
      <c r="AL479" t="s">
        <v>941</v>
      </c>
      <c r="AS479">
        <v>4000</v>
      </c>
      <c r="AT479">
        <v>4000</v>
      </c>
      <c r="BN479" t="s">
        <v>178</v>
      </c>
      <c r="BO479">
        <v>2</v>
      </c>
      <c r="BP479">
        <v>2</v>
      </c>
      <c r="BQ479">
        <v>33</v>
      </c>
      <c r="BR479" t="s">
        <v>1497</v>
      </c>
      <c r="BT479" t="s">
        <v>181</v>
      </c>
      <c r="BU479" s="1">
        <v>45546</v>
      </c>
      <c r="BV479">
        <v>35502</v>
      </c>
      <c r="BX479" t="s">
        <v>169</v>
      </c>
      <c r="BY479" t="s">
        <v>170</v>
      </c>
      <c r="CB479" t="s">
        <v>170</v>
      </c>
      <c r="CC479" t="s">
        <v>170</v>
      </c>
      <c r="CE479" t="s">
        <v>170</v>
      </c>
      <c r="CG479" t="s">
        <v>169</v>
      </c>
      <c r="CH479" t="s">
        <v>1323</v>
      </c>
      <c r="CI479" t="s">
        <v>170</v>
      </c>
      <c r="DJ479" t="s">
        <v>184</v>
      </c>
      <c r="DK479" t="s">
        <v>185</v>
      </c>
      <c r="DL479" t="s">
        <v>170</v>
      </c>
      <c r="DM479" t="s">
        <v>170</v>
      </c>
      <c r="DN479" t="s">
        <v>170</v>
      </c>
      <c r="DO479" t="s">
        <v>197</v>
      </c>
      <c r="DP479" t="s">
        <v>169</v>
      </c>
      <c r="DQ479" t="s">
        <v>198</v>
      </c>
      <c r="DR479" t="s">
        <v>1577</v>
      </c>
      <c r="DY479">
        <v>20.100000000000001</v>
      </c>
      <c r="EB479">
        <v>3</v>
      </c>
      <c r="EC479">
        <v>3</v>
      </c>
      <c r="EE479" t="s">
        <v>1579</v>
      </c>
      <c r="EF479">
        <v>2</v>
      </c>
      <c r="EV479">
        <v>10500</v>
      </c>
      <c r="EW479">
        <v>644</v>
      </c>
      <c r="EX479">
        <v>489</v>
      </c>
      <c r="EY479">
        <v>574</v>
      </c>
    </row>
    <row r="480" spans="1:155" x14ac:dyDescent="0.35">
      <c r="A480">
        <v>2025</v>
      </c>
      <c r="B480" t="s">
        <v>1315</v>
      </c>
      <c r="C480" t="s">
        <v>1346</v>
      </c>
      <c r="D480" t="s">
        <v>1580</v>
      </c>
      <c r="E480" t="s">
        <v>1318</v>
      </c>
      <c r="F480">
        <v>674</v>
      </c>
      <c r="G480">
        <v>4.4000000000000004</v>
      </c>
      <c r="H480">
        <v>8</v>
      </c>
      <c r="I480" t="s">
        <v>192</v>
      </c>
      <c r="J480">
        <v>15</v>
      </c>
      <c r="K480">
        <v>19</v>
      </c>
      <c r="L480">
        <v>17</v>
      </c>
      <c r="M480">
        <v>18.353999999999999</v>
      </c>
      <c r="N480">
        <v>26.687999999999999</v>
      </c>
      <c r="O480">
        <v>21.354900000000001</v>
      </c>
      <c r="P480">
        <v>14.894299999999999</v>
      </c>
      <c r="Q480">
        <v>19.352</v>
      </c>
      <c r="R480">
        <v>16.616700000000002</v>
      </c>
      <c r="T480" t="s">
        <v>165</v>
      </c>
      <c r="U480" t="s">
        <v>166</v>
      </c>
      <c r="V480" t="s">
        <v>193</v>
      </c>
      <c r="W480" t="s">
        <v>194</v>
      </c>
      <c r="Y480">
        <v>8</v>
      </c>
      <c r="Z480" t="s">
        <v>169</v>
      </c>
      <c r="AA480" t="s">
        <v>170</v>
      </c>
      <c r="AB480">
        <v>4</v>
      </c>
      <c r="AC480" t="s">
        <v>601</v>
      </c>
      <c r="AD480">
        <v>10</v>
      </c>
      <c r="AG480" t="s">
        <v>173</v>
      </c>
      <c r="AH480" t="s">
        <v>174</v>
      </c>
      <c r="AI480" t="s">
        <v>175</v>
      </c>
      <c r="AJ480" t="s">
        <v>176</v>
      </c>
      <c r="AK480" t="s">
        <v>940</v>
      </c>
      <c r="AL480" t="s">
        <v>941</v>
      </c>
      <c r="AS480">
        <v>3750</v>
      </c>
      <c r="AT480">
        <v>3750</v>
      </c>
      <c r="BN480" t="s">
        <v>338</v>
      </c>
      <c r="BO480">
        <v>2</v>
      </c>
      <c r="BP480">
        <v>2</v>
      </c>
      <c r="BQ480">
        <v>33</v>
      </c>
      <c r="BR480" t="s">
        <v>1497</v>
      </c>
      <c r="BT480" t="s">
        <v>181</v>
      </c>
      <c r="BU480" s="1">
        <v>45583</v>
      </c>
      <c r="BV480">
        <v>35689</v>
      </c>
      <c r="BX480" t="s">
        <v>169</v>
      </c>
      <c r="BY480" t="s">
        <v>170</v>
      </c>
      <c r="CB480" t="s">
        <v>170</v>
      </c>
      <c r="CC480" t="s">
        <v>170</v>
      </c>
      <c r="CE480" t="s">
        <v>170</v>
      </c>
      <c r="CG480" t="s">
        <v>169</v>
      </c>
      <c r="CH480" t="s">
        <v>1319</v>
      </c>
      <c r="CI480" t="s">
        <v>170</v>
      </c>
      <c r="CK480" t="s">
        <v>233</v>
      </c>
      <c r="CM480">
        <v>1</v>
      </c>
      <c r="CN480" t="s">
        <v>234</v>
      </c>
      <c r="CP480">
        <v>48</v>
      </c>
      <c r="CQ480">
        <v>8</v>
      </c>
      <c r="CR480">
        <v>370</v>
      </c>
      <c r="CS480" t="s">
        <v>235</v>
      </c>
      <c r="CV480" t="s">
        <v>341</v>
      </c>
      <c r="CX480" t="s">
        <v>342</v>
      </c>
      <c r="CY480" t="s">
        <v>170</v>
      </c>
      <c r="DD480">
        <v>1</v>
      </c>
      <c r="DE480" t="s">
        <v>237</v>
      </c>
      <c r="DG480">
        <v>22</v>
      </c>
      <c r="DJ480" t="s">
        <v>184</v>
      </c>
      <c r="DK480" t="s">
        <v>185</v>
      </c>
      <c r="DL480" t="s">
        <v>170</v>
      </c>
      <c r="DM480" t="s">
        <v>170</v>
      </c>
      <c r="DN480" t="s">
        <v>170</v>
      </c>
      <c r="DO480" t="s">
        <v>197</v>
      </c>
      <c r="DP480" t="s">
        <v>169</v>
      </c>
      <c r="DQ480" t="s">
        <v>198</v>
      </c>
      <c r="DR480" t="s">
        <v>1580</v>
      </c>
      <c r="DY480">
        <v>21.5</v>
      </c>
      <c r="EB480">
        <v>3</v>
      </c>
      <c r="EC480">
        <v>3</v>
      </c>
      <c r="EE480" t="s">
        <v>1581</v>
      </c>
      <c r="EF480">
        <v>5</v>
      </c>
      <c r="EV480">
        <v>9250</v>
      </c>
      <c r="EW480">
        <v>597</v>
      </c>
      <c r="EX480">
        <v>458</v>
      </c>
      <c r="EY480">
        <v>534</v>
      </c>
    </row>
    <row r="481" spans="1:155" x14ac:dyDescent="0.35">
      <c r="A481">
        <v>2025</v>
      </c>
      <c r="B481" t="s">
        <v>1315</v>
      </c>
      <c r="C481" t="s">
        <v>1346</v>
      </c>
      <c r="D481" t="s">
        <v>1582</v>
      </c>
      <c r="E481" t="s">
        <v>1318</v>
      </c>
      <c r="F481">
        <v>670</v>
      </c>
      <c r="G481">
        <v>5</v>
      </c>
      <c r="H481">
        <v>8</v>
      </c>
      <c r="I481" t="s">
        <v>192</v>
      </c>
      <c r="J481">
        <v>14</v>
      </c>
      <c r="K481">
        <v>19</v>
      </c>
      <c r="L481">
        <v>16</v>
      </c>
      <c r="M481">
        <v>17.044499999999999</v>
      </c>
      <c r="N481">
        <v>25.973500000000001</v>
      </c>
      <c r="O481">
        <v>20.163799999999998</v>
      </c>
      <c r="P481">
        <v>13.825100000000001</v>
      </c>
      <c r="Q481">
        <v>18.8752</v>
      </c>
      <c r="R481">
        <v>15.717499999999999</v>
      </c>
      <c r="T481" t="s">
        <v>455</v>
      </c>
      <c r="U481" t="s">
        <v>456</v>
      </c>
      <c r="V481" t="s">
        <v>193</v>
      </c>
      <c r="W481" t="s">
        <v>194</v>
      </c>
      <c r="Y481">
        <v>8</v>
      </c>
      <c r="Z481" t="s">
        <v>169</v>
      </c>
      <c r="AA481" t="s">
        <v>170</v>
      </c>
      <c r="AB481">
        <v>4</v>
      </c>
      <c r="AC481" t="s">
        <v>601</v>
      </c>
      <c r="AD481">
        <v>10</v>
      </c>
      <c r="AG481" t="s">
        <v>173</v>
      </c>
      <c r="AH481" t="s">
        <v>174</v>
      </c>
      <c r="AI481" t="s">
        <v>175</v>
      </c>
      <c r="AJ481" t="s">
        <v>176</v>
      </c>
      <c r="AK481" t="s">
        <v>940</v>
      </c>
      <c r="AL481" t="s">
        <v>941</v>
      </c>
      <c r="AS481">
        <v>4000</v>
      </c>
      <c r="AT481">
        <v>4000</v>
      </c>
      <c r="BN481" t="s">
        <v>178</v>
      </c>
      <c r="BO481">
        <v>2</v>
      </c>
      <c r="BP481">
        <v>2</v>
      </c>
      <c r="BQ481">
        <v>33</v>
      </c>
      <c r="BR481" t="s">
        <v>1497</v>
      </c>
      <c r="BT481" t="s">
        <v>181</v>
      </c>
      <c r="BU481" s="1">
        <v>45546</v>
      </c>
      <c r="BV481">
        <v>35500</v>
      </c>
      <c r="BX481" t="s">
        <v>169</v>
      </c>
      <c r="BY481" t="s">
        <v>170</v>
      </c>
      <c r="CB481" t="s">
        <v>170</v>
      </c>
      <c r="CC481" t="s">
        <v>170</v>
      </c>
      <c r="CE481" t="s">
        <v>170</v>
      </c>
      <c r="CG481" t="s">
        <v>169</v>
      </c>
      <c r="CH481" t="s">
        <v>1323</v>
      </c>
      <c r="CI481" t="s">
        <v>170</v>
      </c>
      <c r="DJ481" t="s">
        <v>184</v>
      </c>
      <c r="DK481" t="s">
        <v>185</v>
      </c>
      <c r="DL481" t="s">
        <v>170</v>
      </c>
      <c r="DM481" t="s">
        <v>170</v>
      </c>
      <c r="DN481" t="s">
        <v>170</v>
      </c>
      <c r="DO481" t="s">
        <v>197</v>
      </c>
      <c r="DP481" t="s">
        <v>169</v>
      </c>
      <c r="DQ481" t="s">
        <v>198</v>
      </c>
      <c r="DR481" t="s">
        <v>1582</v>
      </c>
      <c r="DY481">
        <v>20.3</v>
      </c>
      <c r="EB481">
        <v>3</v>
      </c>
      <c r="EC481">
        <v>3</v>
      </c>
      <c r="EE481" t="s">
        <v>1579</v>
      </c>
      <c r="EF481">
        <v>2</v>
      </c>
      <c r="EV481">
        <v>10500</v>
      </c>
      <c r="EW481">
        <v>644</v>
      </c>
      <c r="EX481">
        <v>474</v>
      </c>
      <c r="EY481">
        <v>567</v>
      </c>
    </row>
    <row r="482" spans="1:155" x14ac:dyDescent="0.35">
      <c r="A482">
        <v>2025</v>
      </c>
      <c r="B482" t="s">
        <v>1315</v>
      </c>
      <c r="C482" t="s">
        <v>1346</v>
      </c>
      <c r="D482" t="s">
        <v>1583</v>
      </c>
      <c r="E482" t="s">
        <v>1318</v>
      </c>
      <c r="F482">
        <v>673</v>
      </c>
      <c r="G482">
        <v>3</v>
      </c>
      <c r="H482">
        <v>6</v>
      </c>
      <c r="I482" t="s">
        <v>192</v>
      </c>
      <c r="J482">
        <v>16</v>
      </c>
      <c r="K482">
        <v>19</v>
      </c>
      <c r="L482">
        <v>18</v>
      </c>
      <c r="M482">
        <v>20.256</v>
      </c>
      <c r="N482">
        <v>26.626999999999999</v>
      </c>
      <c r="O482">
        <v>22.700099999999999</v>
      </c>
      <c r="P482">
        <v>16.329499999999999</v>
      </c>
      <c r="Q482">
        <v>19.283999999999999</v>
      </c>
      <c r="R482">
        <v>17.538699999999999</v>
      </c>
      <c r="T482" t="s">
        <v>484</v>
      </c>
      <c r="U482" t="s">
        <v>485</v>
      </c>
      <c r="V482" t="s">
        <v>193</v>
      </c>
      <c r="W482" t="s">
        <v>194</v>
      </c>
      <c r="Y482">
        <v>8</v>
      </c>
      <c r="Z482" t="s">
        <v>169</v>
      </c>
      <c r="AA482" t="s">
        <v>170</v>
      </c>
      <c r="AB482">
        <v>4</v>
      </c>
      <c r="AC482" t="s">
        <v>601</v>
      </c>
      <c r="AD482">
        <v>10</v>
      </c>
      <c r="AG482" t="s">
        <v>214</v>
      </c>
      <c r="AH482" t="s">
        <v>215</v>
      </c>
      <c r="AI482" t="s">
        <v>175</v>
      </c>
      <c r="AJ482" t="s">
        <v>176</v>
      </c>
      <c r="AK482" t="s">
        <v>940</v>
      </c>
      <c r="AL482" t="s">
        <v>941</v>
      </c>
      <c r="AS482">
        <v>3550</v>
      </c>
      <c r="AT482">
        <v>3550</v>
      </c>
      <c r="BN482" t="s">
        <v>338</v>
      </c>
      <c r="BO482">
        <v>2</v>
      </c>
      <c r="BP482">
        <v>2</v>
      </c>
      <c r="BQ482">
        <v>33</v>
      </c>
      <c r="BR482" t="s">
        <v>1497</v>
      </c>
      <c r="BT482" t="s">
        <v>181</v>
      </c>
      <c r="BU482" s="1">
        <v>45562</v>
      </c>
      <c r="BV482">
        <v>35627</v>
      </c>
      <c r="BX482" t="s">
        <v>169</v>
      </c>
      <c r="BY482" t="s">
        <v>170</v>
      </c>
      <c r="CB482" t="s">
        <v>170</v>
      </c>
      <c r="CC482" t="s">
        <v>170</v>
      </c>
      <c r="CD482" t="s">
        <v>1584</v>
      </c>
      <c r="CE482" t="s">
        <v>170</v>
      </c>
      <c r="CG482" t="s">
        <v>169</v>
      </c>
      <c r="CH482" t="s">
        <v>1323</v>
      </c>
      <c r="CI482" t="s">
        <v>170</v>
      </c>
      <c r="CK482" t="s">
        <v>233</v>
      </c>
      <c r="CM482">
        <v>1</v>
      </c>
      <c r="CN482" t="s">
        <v>234</v>
      </c>
      <c r="CP482">
        <v>48</v>
      </c>
      <c r="CQ482">
        <v>8</v>
      </c>
      <c r="CR482">
        <v>370</v>
      </c>
      <c r="CS482" t="s">
        <v>235</v>
      </c>
      <c r="CV482" t="s">
        <v>236</v>
      </c>
      <c r="DD482">
        <v>1</v>
      </c>
      <c r="DE482" t="s">
        <v>237</v>
      </c>
      <c r="DG482">
        <v>15</v>
      </c>
      <c r="DJ482" t="s">
        <v>184</v>
      </c>
      <c r="DK482" t="s">
        <v>185</v>
      </c>
      <c r="DL482" t="s">
        <v>170</v>
      </c>
      <c r="DM482" t="s">
        <v>170</v>
      </c>
      <c r="DN482" t="s">
        <v>170</v>
      </c>
      <c r="DO482" t="s">
        <v>197</v>
      </c>
      <c r="DP482" t="s">
        <v>169</v>
      </c>
      <c r="DQ482" t="s">
        <v>198</v>
      </c>
      <c r="DR482" t="s">
        <v>1585</v>
      </c>
      <c r="DY482">
        <v>22.9</v>
      </c>
      <c r="EB482">
        <v>4</v>
      </c>
      <c r="EC482">
        <v>4</v>
      </c>
      <c r="EE482" t="s">
        <v>1586</v>
      </c>
      <c r="EF482">
        <v>6</v>
      </c>
      <c r="EV482">
        <v>8250</v>
      </c>
      <c r="EW482">
        <v>547</v>
      </c>
      <c r="EX482">
        <v>462</v>
      </c>
      <c r="EY482">
        <v>509</v>
      </c>
    </row>
    <row r="483" spans="1:155" x14ac:dyDescent="0.35">
      <c r="A483">
        <v>2025</v>
      </c>
      <c r="B483" t="s">
        <v>1315</v>
      </c>
      <c r="C483" t="s">
        <v>1346</v>
      </c>
      <c r="D483" t="s">
        <v>1587</v>
      </c>
      <c r="E483" t="s">
        <v>1318</v>
      </c>
      <c r="F483">
        <v>671</v>
      </c>
      <c r="G483">
        <v>3</v>
      </c>
      <c r="H483">
        <v>6</v>
      </c>
      <c r="I483" t="s">
        <v>192</v>
      </c>
      <c r="J483">
        <v>17</v>
      </c>
      <c r="K483">
        <v>20</v>
      </c>
      <c r="L483">
        <v>18</v>
      </c>
      <c r="M483">
        <v>20.803999999999998</v>
      </c>
      <c r="N483">
        <v>28.700700000000001</v>
      </c>
      <c r="O483">
        <v>23.7438</v>
      </c>
      <c r="P483">
        <v>16.7072</v>
      </c>
      <c r="Q483">
        <v>19.935400000000001</v>
      </c>
      <c r="R483">
        <v>18.020399999999999</v>
      </c>
      <c r="T483" t="s">
        <v>484</v>
      </c>
      <c r="U483" t="s">
        <v>485</v>
      </c>
      <c r="V483" t="s">
        <v>193</v>
      </c>
      <c r="W483" t="s">
        <v>194</v>
      </c>
      <c r="Y483">
        <v>8</v>
      </c>
      <c r="Z483" t="s">
        <v>169</v>
      </c>
      <c r="AA483" t="s">
        <v>170</v>
      </c>
      <c r="AB483">
        <v>4</v>
      </c>
      <c r="AC483" t="s">
        <v>601</v>
      </c>
      <c r="AD483">
        <v>10</v>
      </c>
      <c r="AG483" t="s">
        <v>173</v>
      </c>
      <c r="AH483" t="s">
        <v>174</v>
      </c>
      <c r="AI483" t="s">
        <v>175</v>
      </c>
      <c r="AJ483" t="s">
        <v>176</v>
      </c>
      <c r="AK483" t="s">
        <v>940</v>
      </c>
      <c r="AL483" t="s">
        <v>941</v>
      </c>
      <c r="AS483">
        <v>3550</v>
      </c>
      <c r="AT483">
        <v>3550</v>
      </c>
      <c r="BN483" t="s">
        <v>338</v>
      </c>
      <c r="BO483">
        <v>2</v>
      </c>
      <c r="BP483">
        <v>2</v>
      </c>
      <c r="BQ483">
        <v>33</v>
      </c>
      <c r="BR483" t="s">
        <v>1497</v>
      </c>
      <c r="BT483" t="s">
        <v>457</v>
      </c>
      <c r="BU483" s="1">
        <v>45562</v>
      </c>
      <c r="BV483">
        <v>35596</v>
      </c>
      <c r="BX483" t="s">
        <v>169</v>
      </c>
      <c r="BY483" t="s">
        <v>170</v>
      </c>
      <c r="CB483" t="s">
        <v>170</v>
      </c>
      <c r="CC483" t="s">
        <v>170</v>
      </c>
      <c r="CD483" t="s">
        <v>1584</v>
      </c>
      <c r="CE483" t="s">
        <v>170</v>
      </c>
      <c r="CG483" t="s">
        <v>169</v>
      </c>
      <c r="CH483" t="s">
        <v>1323</v>
      </c>
      <c r="CI483" t="s">
        <v>170</v>
      </c>
      <c r="CK483" t="s">
        <v>233</v>
      </c>
      <c r="CM483">
        <v>1</v>
      </c>
      <c r="CN483" t="s">
        <v>234</v>
      </c>
      <c r="CP483">
        <v>48</v>
      </c>
      <c r="CQ483">
        <v>8</v>
      </c>
      <c r="CR483">
        <v>370</v>
      </c>
      <c r="CS483" t="s">
        <v>235</v>
      </c>
      <c r="CV483" t="s">
        <v>236</v>
      </c>
      <c r="DD483">
        <v>1</v>
      </c>
      <c r="DE483" t="s">
        <v>237</v>
      </c>
      <c r="DG483">
        <v>15</v>
      </c>
      <c r="DJ483" t="s">
        <v>184</v>
      </c>
      <c r="DK483" t="s">
        <v>185</v>
      </c>
      <c r="DL483" t="s">
        <v>170</v>
      </c>
      <c r="DM483" t="s">
        <v>170</v>
      </c>
      <c r="DN483" t="s">
        <v>170</v>
      </c>
      <c r="DO483" t="s">
        <v>197</v>
      </c>
      <c r="DP483" t="s">
        <v>169</v>
      </c>
      <c r="DQ483" t="s">
        <v>198</v>
      </c>
      <c r="DR483" t="s">
        <v>1587</v>
      </c>
      <c r="DY483">
        <v>23.9</v>
      </c>
      <c r="EB483">
        <v>4</v>
      </c>
      <c r="EC483">
        <v>4</v>
      </c>
      <c r="EE483" t="s">
        <v>1588</v>
      </c>
      <c r="EF483">
        <v>6</v>
      </c>
      <c r="EV483">
        <v>8250</v>
      </c>
      <c r="EW483">
        <v>531</v>
      </c>
      <c r="EX483">
        <v>443</v>
      </c>
      <c r="EY483">
        <v>491</v>
      </c>
    </row>
    <row r="484" spans="1:155" x14ac:dyDescent="0.35">
      <c r="A484">
        <v>2025</v>
      </c>
      <c r="B484" t="s">
        <v>1315</v>
      </c>
      <c r="C484" t="s">
        <v>1346</v>
      </c>
      <c r="D484" t="s">
        <v>1589</v>
      </c>
      <c r="E484" t="s">
        <v>1318</v>
      </c>
      <c r="F484">
        <v>672</v>
      </c>
      <c r="G484">
        <v>3</v>
      </c>
      <c r="H484">
        <v>6</v>
      </c>
      <c r="I484" t="s">
        <v>192</v>
      </c>
      <c r="J484">
        <v>18</v>
      </c>
      <c r="K484">
        <v>20</v>
      </c>
      <c r="L484">
        <v>19</v>
      </c>
      <c r="M484">
        <v>22.090800000000002</v>
      </c>
      <c r="N484">
        <v>30.470199999999998</v>
      </c>
      <c r="O484">
        <v>25.210699999999999</v>
      </c>
      <c r="P484">
        <v>17.665900000000001</v>
      </c>
      <c r="Q484">
        <v>20.467500000000001</v>
      </c>
      <c r="R484">
        <v>18.825500000000002</v>
      </c>
      <c r="T484" t="s">
        <v>484</v>
      </c>
      <c r="U484" t="s">
        <v>485</v>
      </c>
      <c r="V484" t="s">
        <v>193</v>
      </c>
      <c r="W484" t="s">
        <v>194</v>
      </c>
      <c r="Y484">
        <v>8</v>
      </c>
      <c r="Z484" t="s">
        <v>169</v>
      </c>
      <c r="AA484" t="s">
        <v>170</v>
      </c>
      <c r="AB484">
        <v>4</v>
      </c>
      <c r="AC484" t="s">
        <v>601</v>
      </c>
      <c r="AD484">
        <v>10</v>
      </c>
      <c r="AG484" t="s">
        <v>173</v>
      </c>
      <c r="AH484" t="s">
        <v>174</v>
      </c>
      <c r="AI484" t="s">
        <v>175</v>
      </c>
      <c r="AJ484" t="s">
        <v>176</v>
      </c>
      <c r="AK484" t="s">
        <v>940</v>
      </c>
      <c r="AL484" t="s">
        <v>941</v>
      </c>
      <c r="AS484">
        <v>3350</v>
      </c>
      <c r="AT484">
        <v>3350</v>
      </c>
      <c r="BN484" t="s">
        <v>338</v>
      </c>
      <c r="BO484">
        <v>2</v>
      </c>
      <c r="BP484">
        <v>2</v>
      </c>
      <c r="BQ484">
        <v>33</v>
      </c>
      <c r="BR484" t="s">
        <v>1497</v>
      </c>
      <c r="BT484" t="s">
        <v>457</v>
      </c>
      <c r="BU484" s="1">
        <v>45562</v>
      </c>
      <c r="BV484">
        <v>35615</v>
      </c>
      <c r="BX484" t="s">
        <v>169</v>
      </c>
      <c r="BY484" t="s">
        <v>170</v>
      </c>
      <c r="CB484" t="s">
        <v>170</v>
      </c>
      <c r="CC484" t="s">
        <v>170</v>
      </c>
      <c r="CD484" t="s">
        <v>1584</v>
      </c>
      <c r="CE484" t="s">
        <v>170</v>
      </c>
      <c r="CG484" t="s">
        <v>169</v>
      </c>
      <c r="CH484" t="s">
        <v>1323</v>
      </c>
      <c r="CI484" t="s">
        <v>170</v>
      </c>
      <c r="CK484" t="s">
        <v>233</v>
      </c>
      <c r="CM484">
        <v>1</v>
      </c>
      <c r="CN484" t="s">
        <v>234</v>
      </c>
      <c r="CP484">
        <v>48</v>
      </c>
      <c r="CQ484">
        <v>8</v>
      </c>
      <c r="CR484">
        <v>370</v>
      </c>
      <c r="CS484" t="s">
        <v>235</v>
      </c>
      <c r="CV484" t="s">
        <v>236</v>
      </c>
      <c r="DD484">
        <v>1</v>
      </c>
      <c r="DE484" t="s">
        <v>237</v>
      </c>
      <c r="DG484">
        <v>15</v>
      </c>
      <c r="DJ484" t="s">
        <v>184</v>
      </c>
      <c r="DK484" t="s">
        <v>185</v>
      </c>
      <c r="DL484" t="s">
        <v>170</v>
      </c>
      <c r="DM484" t="s">
        <v>170</v>
      </c>
      <c r="DN484" t="s">
        <v>170</v>
      </c>
      <c r="DO484" t="s">
        <v>197</v>
      </c>
      <c r="DP484" t="s">
        <v>169</v>
      </c>
      <c r="DQ484" t="s">
        <v>198</v>
      </c>
      <c r="DR484" t="s">
        <v>1589</v>
      </c>
      <c r="DY484">
        <v>25.4</v>
      </c>
      <c r="EB484">
        <v>4</v>
      </c>
      <c r="EC484">
        <v>4</v>
      </c>
      <c r="EE484" t="s">
        <v>1588</v>
      </c>
      <c r="EF484">
        <v>6</v>
      </c>
      <c r="EV484">
        <v>7250</v>
      </c>
      <c r="EW484">
        <v>506</v>
      </c>
      <c r="EX484">
        <v>434</v>
      </c>
      <c r="EY484">
        <v>474</v>
      </c>
    </row>
    <row r="485" spans="1:155" x14ac:dyDescent="0.35">
      <c r="A485">
        <v>2025</v>
      </c>
      <c r="B485" t="s">
        <v>1315</v>
      </c>
      <c r="C485" t="s">
        <v>1346</v>
      </c>
      <c r="D485" t="s">
        <v>1590</v>
      </c>
      <c r="E485" t="s">
        <v>1318</v>
      </c>
      <c r="F485">
        <v>666</v>
      </c>
      <c r="G485">
        <v>2</v>
      </c>
      <c r="H485">
        <v>4</v>
      </c>
      <c r="I485" t="s">
        <v>192</v>
      </c>
      <c r="J485">
        <v>18</v>
      </c>
      <c r="K485">
        <v>21</v>
      </c>
      <c r="L485">
        <v>19</v>
      </c>
      <c r="M485">
        <v>22.544</v>
      </c>
      <c r="N485">
        <v>31.8779</v>
      </c>
      <c r="O485">
        <v>25.965199999999999</v>
      </c>
      <c r="P485">
        <v>18.0017</v>
      </c>
      <c r="Q485">
        <v>20.571899999999999</v>
      </c>
      <c r="R485">
        <v>19.074100000000001</v>
      </c>
      <c r="T485" t="s">
        <v>165</v>
      </c>
      <c r="U485" t="s">
        <v>166</v>
      </c>
      <c r="V485" t="s">
        <v>193</v>
      </c>
      <c r="W485" t="s">
        <v>194</v>
      </c>
      <c r="Y485">
        <v>8</v>
      </c>
      <c r="Z485" t="s">
        <v>169</v>
      </c>
      <c r="AA485" t="s">
        <v>170</v>
      </c>
      <c r="AB485">
        <v>4</v>
      </c>
      <c r="AC485" t="s">
        <v>601</v>
      </c>
      <c r="AD485">
        <v>10</v>
      </c>
      <c r="AG485" t="s">
        <v>173</v>
      </c>
      <c r="AH485" t="s">
        <v>174</v>
      </c>
      <c r="AI485" t="s">
        <v>175</v>
      </c>
      <c r="AJ485" t="s">
        <v>176</v>
      </c>
      <c r="AK485" t="s">
        <v>940</v>
      </c>
      <c r="AL485" t="s">
        <v>941</v>
      </c>
      <c r="AS485">
        <v>3350</v>
      </c>
      <c r="AT485">
        <v>3350</v>
      </c>
      <c r="BN485" t="s">
        <v>178</v>
      </c>
      <c r="BO485">
        <v>2</v>
      </c>
      <c r="BP485">
        <v>2</v>
      </c>
      <c r="BQ485">
        <v>33</v>
      </c>
      <c r="BR485" t="s">
        <v>1497</v>
      </c>
      <c r="BT485" t="s">
        <v>457</v>
      </c>
      <c r="BU485" s="1">
        <v>45467</v>
      </c>
      <c r="BV485">
        <v>34751</v>
      </c>
      <c r="BX485" t="s">
        <v>169</v>
      </c>
      <c r="BY485" t="s">
        <v>170</v>
      </c>
      <c r="CB485" t="s">
        <v>170</v>
      </c>
      <c r="CC485" t="s">
        <v>170</v>
      </c>
      <c r="CE485" t="s">
        <v>170</v>
      </c>
      <c r="CG485" t="s">
        <v>169</v>
      </c>
      <c r="CH485" t="s">
        <v>1323</v>
      </c>
      <c r="CI485" t="s">
        <v>169</v>
      </c>
      <c r="CJ485" t="s">
        <v>1320</v>
      </c>
      <c r="DJ485" t="s">
        <v>184</v>
      </c>
      <c r="DK485" t="s">
        <v>185</v>
      </c>
      <c r="DL485" t="s">
        <v>170</v>
      </c>
      <c r="DM485" t="s">
        <v>170</v>
      </c>
      <c r="DN485" t="s">
        <v>170</v>
      </c>
      <c r="DO485" t="s">
        <v>197</v>
      </c>
      <c r="DP485" t="s">
        <v>169</v>
      </c>
      <c r="DQ485" t="s">
        <v>198</v>
      </c>
      <c r="DR485" t="s">
        <v>1590</v>
      </c>
      <c r="DY485">
        <v>26.1</v>
      </c>
      <c r="EB485">
        <v>4</v>
      </c>
      <c r="EC485">
        <v>4</v>
      </c>
      <c r="EE485" t="s">
        <v>1578</v>
      </c>
      <c r="EF485">
        <v>6</v>
      </c>
      <c r="EV485">
        <v>7250</v>
      </c>
      <c r="EW485">
        <v>493</v>
      </c>
      <c r="EX485">
        <v>431</v>
      </c>
      <c r="EY485">
        <v>465</v>
      </c>
    </row>
    <row r="486" spans="1:155" x14ac:dyDescent="0.35">
      <c r="A486">
        <v>2025</v>
      </c>
      <c r="B486" t="s">
        <v>1315</v>
      </c>
      <c r="C486" t="s">
        <v>1346</v>
      </c>
      <c r="D486" t="s">
        <v>1590</v>
      </c>
      <c r="E486" t="s">
        <v>1318</v>
      </c>
      <c r="F486">
        <v>668</v>
      </c>
      <c r="G486">
        <v>5</v>
      </c>
      <c r="H486">
        <v>8</v>
      </c>
      <c r="I486" t="s">
        <v>192</v>
      </c>
      <c r="J486">
        <v>15</v>
      </c>
      <c r="K486">
        <v>19</v>
      </c>
      <c r="L486">
        <v>16</v>
      </c>
      <c r="M486">
        <v>17.901</v>
      </c>
      <c r="N486">
        <v>26.1251</v>
      </c>
      <c r="O486">
        <v>20.8553</v>
      </c>
      <c r="P486">
        <v>14.5136</v>
      </c>
      <c r="Q486">
        <v>18.9434</v>
      </c>
      <c r="R486">
        <v>16.220500000000001</v>
      </c>
      <c r="T486" t="s">
        <v>455</v>
      </c>
      <c r="U486" t="s">
        <v>456</v>
      </c>
      <c r="V486" t="s">
        <v>193</v>
      </c>
      <c r="W486" t="s">
        <v>194</v>
      </c>
      <c r="Y486">
        <v>8</v>
      </c>
      <c r="Z486" t="s">
        <v>169</v>
      </c>
      <c r="AA486" t="s">
        <v>170</v>
      </c>
      <c r="AB486">
        <v>4</v>
      </c>
      <c r="AC486" t="s">
        <v>601</v>
      </c>
      <c r="AD486">
        <v>10</v>
      </c>
      <c r="AG486" t="s">
        <v>173</v>
      </c>
      <c r="AH486" t="s">
        <v>174</v>
      </c>
      <c r="AI486" t="s">
        <v>175</v>
      </c>
      <c r="AJ486" t="s">
        <v>176</v>
      </c>
      <c r="AK486" t="s">
        <v>940</v>
      </c>
      <c r="AL486" t="s">
        <v>941</v>
      </c>
      <c r="AS486">
        <v>4000</v>
      </c>
      <c r="AT486">
        <v>4000</v>
      </c>
      <c r="BN486" t="s">
        <v>178</v>
      </c>
      <c r="BO486">
        <v>2</v>
      </c>
      <c r="BP486">
        <v>2</v>
      </c>
      <c r="BQ486">
        <v>33</v>
      </c>
      <c r="BR486" t="s">
        <v>1497</v>
      </c>
      <c r="BT486" t="s">
        <v>181</v>
      </c>
      <c r="BU486" s="1">
        <v>45546</v>
      </c>
      <c r="BV486">
        <v>35496</v>
      </c>
      <c r="BX486" t="s">
        <v>169</v>
      </c>
      <c r="BY486" t="s">
        <v>170</v>
      </c>
      <c r="CB486" t="s">
        <v>170</v>
      </c>
      <c r="CC486" t="s">
        <v>170</v>
      </c>
      <c r="CE486" t="s">
        <v>170</v>
      </c>
      <c r="CG486" t="s">
        <v>169</v>
      </c>
      <c r="CH486" t="s">
        <v>1323</v>
      </c>
      <c r="CI486" t="s">
        <v>170</v>
      </c>
      <c r="DJ486" t="s">
        <v>184</v>
      </c>
      <c r="DK486" t="s">
        <v>185</v>
      </c>
      <c r="DL486" t="s">
        <v>170</v>
      </c>
      <c r="DM486" t="s">
        <v>170</v>
      </c>
      <c r="DN486" t="s">
        <v>170</v>
      </c>
      <c r="DO486" t="s">
        <v>197</v>
      </c>
      <c r="DP486" t="s">
        <v>169</v>
      </c>
      <c r="DQ486" t="s">
        <v>198</v>
      </c>
      <c r="DR486" t="s">
        <v>1590</v>
      </c>
      <c r="DY486">
        <v>21</v>
      </c>
      <c r="EB486">
        <v>3</v>
      </c>
      <c r="EC486">
        <v>3</v>
      </c>
      <c r="EE486" t="s">
        <v>1579</v>
      </c>
      <c r="EF486">
        <v>2</v>
      </c>
      <c r="EV486">
        <v>10500</v>
      </c>
      <c r="EW486">
        <v>615</v>
      </c>
      <c r="EX486">
        <v>471</v>
      </c>
      <c r="EY486">
        <v>550</v>
      </c>
    </row>
    <row r="487" spans="1:155" x14ac:dyDescent="0.35">
      <c r="A487">
        <v>2025</v>
      </c>
      <c r="B487" t="s">
        <v>1315</v>
      </c>
      <c r="C487" t="s">
        <v>1346</v>
      </c>
      <c r="D487" t="s">
        <v>1591</v>
      </c>
      <c r="E487" t="s">
        <v>1318</v>
      </c>
      <c r="F487">
        <v>667</v>
      </c>
      <c r="G487">
        <v>3</v>
      </c>
      <c r="H487">
        <v>6</v>
      </c>
      <c r="I487" t="s">
        <v>192</v>
      </c>
      <c r="J487">
        <v>18</v>
      </c>
      <c r="K487">
        <v>21</v>
      </c>
      <c r="L487">
        <v>19</v>
      </c>
      <c r="M487">
        <v>22.484999999999999</v>
      </c>
      <c r="N487">
        <v>29.898</v>
      </c>
      <c r="O487">
        <v>25.308800000000002</v>
      </c>
      <c r="P487">
        <v>17.957999999999998</v>
      </c>
      <c r="Q487">
        <v>20.517800000000001</v>
      </c>
      <c r="R487">
        <v>19.026199999999999</v>
      </c>
      <c r="T487" t="s">
        <v>484</v>
      </c>
      <c r="U487" t="s">
        <v>485</v>
      </c>
      <c r="V487" t="s">
        <v>193</v>
      </c>
      <c r="W487" t="s">
        <v>194</v>
      </c>
      <c r="Y487">
        <v>8</v>
      </c>
      <c r="Z487" t="s">
        <v>169</v>
      </c>
      <c r="AA487" t="s">
        <v>170</v>
      </c>
      <c r="AB487">
        <v>4</v>
      </c>
      <c r="AC487" t="s">
        <v>601</v>
      </c>
      <c r="AD487">
        <v>10</v>
      </c>
      <c r="AG487" t="s">
        <v>173</v>
      </c>
      <c r="AH487" t="s">
        <v>174</v>
      </c>
      <c r="AI487" t="s">
        <v>175</v>
      </c>
      <c r="AJ487" t="s">
        <v>176</v>
      </c>
      <c r="AK487" t="s">
        <v>940</v>
      </c>
      <c r="AL487" t="s">
        <v>941</v>
      </c>
      <c r="AS487">
        <v>3350</v>
      </c>
      <c r="AT487">
        <v>3350</v>
      </c>
      <c r="BN487" t="s">
        <v>338</v>
      </c>
      <c r="BO487">
        <v>2</v>
      </c>
      <c r="BP487">
        <v>2</v>
      </c>
      <c r="BQ487">
        <v>33</v>
      </c>
      <c r="BR487" t="s">
        <v>1497</v>
      </c>
      <c r="BT487" t="s">
        <v>457</v>
      </c>
      <c r="BU487" s="1">
        <v>45562</v>
      </c>
      <c r="BV487">
        <v>35617</v>
      </c>
      <c r="BX487" t="s">
        <v>169</v>
      </c>
      <c r="BY487" t="s">
        <v>170</v>
      </c>
      <c r="CB487" t="s">
        <v>170</v>
      </c>
      <c r="CC487" t="s">
        <v>170</v>
      </c>
      <c r="CD487" t="s">
        <v>1584</v>
      </c>
      <c r="CE487" t="s">
        <v>170</v>
      </c>
      <c r="CG487" t="s">
        <v>169</v>
      </c>
      <c r="CH487" t="s">
        <v>1323</v>
      </c>
      <c r="CI487" t="s">
        <v>170</v>
      </c>
      <c r="CK487" t="s">
        <v>233</v>
      </c>
      <c r="CM487">
        <v>1</v>
      </c>
      <c r="CN487" t="s">
        <v>234</v>
      </c>
      <c r="CP487">
        <v>48</v>
      </c>
      <c r="CQ487">
        <v>8</v>
      </c>
      <c r="CR487">
        <v>370</v>
      </c>
      <c r="CS487" t="s">
        <v>235</v>
      </c>
      <c r="CV487" t="s">
        <v>236</v>
      </c>
      <c r="DD487">
        <v>1</v>
      </c>
      <c r="DE487" t="s">
        <v>237</v>
      </c>
      <c r="DG487">
        <v>15</v>
      </c>
      <c r="DJ487" t="s">
        <v>184</v>
      </c>
      <c r="DK487" t="s">
        <v>185</v>
      </c>
      <c r="DL487" t="s">
        <v>170</v>
      </c>
      <c r="DM487" t="s">
        <v>170</v>
      </c>
      <c r="DN487" t="s">
        <v>170</v>
      </c>
      <c r="DO487" t="s">
        <v>197</v>
      </c>
      <c r="DP487" t="s">
        <v>169</v>
      </c>
      <c r="DQ487" t="s">
        <v>198</v>
      </c>
      <c r="DR487" t="s">
        <v>1591</v>
      </c>
      <c r="DY487">
        <v>25.5</v>
      </c>
      <c r="EB487">
        <v>4</v>
      </c>
      <c r="EC487">
        <v>4</v>
      </c>
      <c r="EE487" t="s">
        <v>1588</v>
      </c>
      <c r="EF487">
        <v>6</v>
      </c>
      <c r="EV487">
        <v>7250</v>
      </c>
      <c r="EW487">
        <v>497</v>
      </c>
      <c r="EX487">
        <v>433</v>
      </c>
      <c r="EY487">
        <v>468</v>
      </c>
    </row>
    <row r="488" spans="1:155" x14ac:dyDescent="0.35">
      <c r="A488">
        <v>2025</v>
      </c>
      <c r="B488" t="s">
        <v>1315</v>
      </c>
      <c r="C488" t="s">
        <v>1346</v>
      </c>
      <c r="D488" t="s">
        <v>1592</v>
      </c>
      <c r="E488" t="s">
        <v>1318</v>
      </c>
      <c r="F488">
        <v>63</v>
      </c>
      <c r="G488">
        <v>2</v>
      </c>
      <c r="H488">
        <v>4</v>
      </c>
      <c r="I488" t="s">
        <v>192</v>
      </c>
      <c r="J488">
        <v>19</v>
      </c>
      <c r="K488">
        <v>24</v>
      </c>
      <c r="L488">
        <v>21</v>
      </c>
      <c r="M488">
        <v>24.303999999999998</v>
      </c>
      <c r="N488">
        <v>35.481000000000002</v>
      </c>
      <c r="O488">
        <v>28.318300000000001</v>
      </c>
      <c r="P488">
        <v>19.296099999999999</v>
      </c>
      <c r="Q488">
        <v>23.9634</v>
      </c>
      <c r="R488">
        <v>21.149799999999999</v>
      </c>
      <c r="T488" t="s">
        <v>165</v>
      </c>
      <c r="U488" t="s">
        <v>166</v>
      </c>
      <c r="V488" t="s">
        <v>193</v>
      </c>
      <c r="W488" t="s">
        <v>194</v>
      </c>
      <c r="Y488">
        <v>8</v>
      </c>
      <c r="Z488" t="s">
        <v>169</v>
      </c>
      <c r="AA488" t="s">
        <v>170</v>
      </c>
      <c r="AB488">
        <v>4</v>
      </c>
      <c r="AC488" t="s">
        <v>601</v>
      </c>
      <c r="AD488">
        <v>10</v>
      </c>
      <c r="AG488" t="s">
        <v>173</v>
      </c>
      <c r="AH488" t="s">
        <v>174</v>
      </c>
      <c r="AI488" t="s">
        <v>175</v>
      </c>
      <c r="AJ488" t="s">
        <v>176</v>
      </c>
      <c r="AK488" t="s">
        <v>940</v>
      </c>
      <c r="AL488" t="s">
        <v>941</v>
      </c>
      <c r="AS488">
        <v>3050</v>
      </c>
      <c r="AT488">
        <v>3050</v>
      </c>
      <c r="BN488" t="s">
        <v>178</v>
      </c>
      <c r="BO488">
        <v>2</v>
      </c>
      <c r="BP488">
        <v>2</v>
      </c>
      <c r="BQ488">
        <v>33</v>
      </c>
      <c r="BR488" t="s">
        <v>1497</v>
      </c>
      <c r="BT488" t="s">
        <v>457</v>
      </c>
      <c r="BU488" s="1">
        <v>45467</v>
      </c>
      <c r="BV488">
        <v>34753</v>
      </c>
      <c r="BX488" t="s">
        <v>169</v>
      </c>
      <c r="BY488" t="s">
        <v>170</v>
      </c>
      <c r="CB488" t="s">
        <v>170</v>
      </c>
      <c r="CC488" t="s">
        <v>170</v>
      </c>
      <c r="CE488" t="s">
        <v>170</v>
      </c>
      <c r="CG488" t="s">
        <v>169</v>
      </c>
      <c r="CH488" t="s">
        <v>1323</v>
      </c>
      <c r="CI488" t="s">
        <v>169</v>
      </c>
      <c r="CJ488" t="s">
        <v>1320</v>
      </c>
      <c r="DJ488" t="s">
        <v>184</v>
      </c>
      <c r="DK488" t="s">
        <v>185</v>
      </c>
      <c r="DL488" t="s">
        <v>170</v>
      </c>
      <c r="DM488" t="s">
        <v>170</v>
      </c>
      <c r="DN488" t="s">
        <v>170</v>
      </c>
      <c r="DO488" t="s">
        <v>197</v>
      </c>
      <c r="DP488" t="s">
        <v>169</v>
      </c>
      <c r="DQ488" t="s">
        <v>198</v>
      </c>
      <c r="DR488" t="s">
        <v>1592</v>
      </c>
      <c r="DY488">
        <v>28.5</v>
      </c>
      <c r="EB488">
        <v>4</v>
      </c>
      <c r="EC488">
        <v>4</v>
      </c>
      <c r="EE488" t="s">
        <v>1578</v>
      </c>
      <c r="EF488">
        <v>6</v>
      </c>
      <c r="EV488">
        <v>5750</v>
      </c>
      <c r="EW488">
        <v>462</v>
      </c>
      <c r="EX488">
        <v>372</v>
      </c>
      <c r="EY488">
        <v>421</v>
      </c>
    </row>
    <row r="489" spans="1:155" x14ac:dyDescent="0.35">
      <c r="A489">
        <v>2025</v>
      </c>
      <c r="B489" t="s">
        <v>1315</v>
      </c>
      <c r="C489" t="s">
        <v>1346</v>
      </c>
      <c r="D489" t="s">
        <v>1347</v>
      </c>
      <c r="E489" t="s">
        <v>1318</v>
      </c>
      <c r="F489">
        <v>550</v>
      </c>
      <c r="G489">
        <v>2</v>
      </c>
      <c r="H489">
        <v>4</v>
      </c>
      <c r="I489" t="s">
        <v>292</v>
      </c>
      <c r="J489">
        <v>19</v>
      </c>
      <c r="K489">
        <v>23</v>
      </c>
      <c r="L489">
        <v>20</v>
      </c>
      <c r="M489">
        <v>23.253799999999998</v>
      </c>
      <c r="N489">
        <v>34.214599999999997</v>
      </c>
      <c r="O489">
        <v>27.1707</v>
      </c>
      <c r="P489">
        <v>18.525500000000001</v>
      </c>
      <c r="Q489">
        <v>23.408999999999999</v>
      </c>
      <c r="R489">
        <v>20.444800000000001</v>
      </c>
      <c r="T489" t="s">
        <v>165</v>
      </c>
      <c r="U489" t="s">
        <v>166</v>
      </c>
      <c r="V489" t="s">
        <v>193</v>
      </c>
      <c r="W489" t="s">
        <v>194</v>
      </c>
      <c r="Y489">
        <v>9</v>
      </c>
      <c r="Z489" t="s">
        <v>169</v>
      </c>
      <c r="AA489" t="s">
        <v>170</v>
      </c>
      <c r="AB489" t="s">
        <v>167</v>
      </c>
      <c r="AC489" t="s">
        <v>213</v>
      </c>
      <c r="AD489">
        <v>10</v>
      </c>
      <c r="AG489" t="s">
        <v>173</v>
      </c>
      <c r="AH489" t="s">
        <v>174</v>
      </c>
      <c r="AI489" t="s">
        <v>175</v>
      </c>
      <c r="AJ489" t="s">
        <v>176</v>
      </c>
      <c r="AK489" t="s">
        <v>940</v>
      </c>
      <c r="AL489" t="s">
        <v>941</v>
      </c>
      <c r="AS489">
        <v>3200</v>
      </c>
      <c r="AT489">
        <v>3200</v>
      </c>
      <c r="BN489" t="s">
        <v>178</v>
      </c>
      <c r="BO489">
        <v>2</v>
      </c>
      <c r="BP489">
        <v>2</v>
      </c>
      <c r="BQ489">
        <v>31</v>
      </c>
      <c r="BR489" t="s">
        <v>1219</v>
      </c>
      <c r="BT489" t="s">
        <v>457</v>
      </c>
      <c r="BU489" s="1">
        <v>45460</v>
      </c>
      <c r="BV489">
        <v>34665</v>
      </c>
      <c r="BX489" t="s">
        <v>169</v>
      </c>
      <c r="BY489" t="s">
        <v>170</v>
      </c>
      <c r="CB489" t="s">
        <v>170</v>
      </c>
      <c r="CC489" t="s">
        <v>170</v>
      </c>
      <c r="CE489" t="s">
        <v>170</v>
      </c>
      <c r="CG489" t="s">
        <v>169</v>
      </c>
      <c r="CH489" t="s">
        <v>1323</v>
      </c>
      <c r="CI489" t="s">
        <v>170</v>
      </c>
      <c r="DJ489" t="s">
        <v>184</v>
      </c>
      <c r="DK489" t="s">
        <v>185</v>
      </c>
      <c r="DL489" t="s">
        <v>170</v>
      </c>
      <c r="DM489" t="s">
        <v>170</v>
      </c>
      <c r="DN489" t="s">
        <v>170</v>
      </c>
      <c r="DO489" t="s">
        <v>197</v>
      </c>
      <c r="DP489" t="s">
        <v>169</v>
      </c>
      <c r="DQ489" t="s">
        <v>198</v>
      </c>
      <c r="DR489" t="s">
        <v>1348</v>
      </c>
      <c r="DY489">
        <v>27.4</v>
      </c>
      <c r="EB489">
        <v>4</v>
      </c>
      <c r="EC489">
        <v>4</v>
      </c>
      <c r="EE489" t="s">
        <v>1349</v>
      </c>
      <c r="EF489">
        <v>6</v>
      </c>
      <c r="EV489">
        <v>6500</v>
      </c>
      <c r="EW489">
        <v>482</v>
      </c>
      <c r="EX489">
        <v>381</v>
      </c>
      <c r="EY489">
        <v>437</v>
      </c>
    </row>
    <row r="490" spans="1:155" x14ac:dyDescent="0.35">
      <c r="A490">
        <v>2025</v>
      </c>
      <c r="B490" t="s">
        <v>1315</v>
      </c>
      <c r="C490" t="s">
        <v>1346</v>
      </c>
      <c r="D490" t="s">
        <v>1350</v>
      </c>
      <c r="E490" t="s">
        <v>1318</v>
      </c>
      <c r="F490">
        <v>74</v>
      </c>
      <c r="G490">
        <v>2</v>
      </c>
      <c r="H490">
        <v>4</v>
      </c>
      <c r="I490" t="s">
        <v>292</v>
      </c>
      <c r="J490">
        <v>20</v>
      </c>
      <c r="K490">
        <v>27</v>
      </c>
      <c r="L490">
        <v>22</v>
      </c>
      <c r="M490">
        <v>25.007000000000001</v>
      </c>
      <c r="N490">
        <v>38.557200000000002</v>
      </c>
      <c r="O490">
        <v>29.704599999999999</v>
      </c>
      <c r="P490">
        <v>19.809000000000001</v>
      </c>
      <c r="Q490">
        <v>26.6798</v>
      </c>
      <c r="R490">
        <v>22.4055</v>
      </c>
      <c r="T490" t="s">
        <v>165</v>
      </c>
      <c r="U490" t="s">
        <v>166</v>
      </c>
      <c r="V490" t="s">
        <v>193</v>
      </c>
      <c r="W490" t="s">
        <v>194</v>
      </c>
      <c r="Y490">
        <v>9</v>
      </c>
      <c r="Z490" t="s">
        <v>169</v>
      </c>
      <c r="AA490" t="s">
        <v>170</v>
      </c>
      <c r="AB490" t="s">
        <v>167</v>
      </c>
      <c r="AC490" t="s">
        <v>213</v>
      </c>
      <c r="AD490">
        <v>10</v>
      </c>
      <c r="AG490" t="s">
        <v>173</v>
      </c>
      <c r="AH490" t="s">
        <v>174</v>
      </c>
      <c r="AI490" t="s">
        <v>175</v>
      </c>
      <c r="AJ490" t="s">
        <v>176</v>
      </c>
      <c r="AK490" t="s">
        <v>940</v>
      </c>
      <c r="AL490" t="s">
        <v>941</v>
      </c>
      <c r="AS490">
        <v>2900</v>
      </c>
      <c r="AT490">
        <v>2900</v>
      </c>
      <c r="BN490" t="s">
        <v>178</v>
      </c>
      <c r="BO490">
        <v>2</v>
      </c>
      <c r="BP490">
        <v>2</v>
      </c>
      <c r="BQ490">
        <v>31</v>
      </c>
      <c r="BR490" t="s">
        <v>1219</v>
      </c>
      <c r="BT490" t="s">
        <v>457</v>
      </c>
      <c r="BU490" s="1">
        <v>45460</v>
      </c>
      <c r="BV490">
        <v>34884</v>
      </c>
      <c r="BX490" t="s">
        <v>169</v>
      </c>
      <c r="BY490" t="s">
        <v>170</v>
      </c>
      <c r="CB490" t="s">
        <v>170</v>
      </c>
      <c r="CC490" t="s">
        <v>170</v>
      </c>
      <c r="CE490" t="s">
        <v>170</v>
      </c>
      <c r="CG490" t="s">
        <v>169</v>
      </c>
      <c r="CH490" t="s">
        <v>1323</v>
      </c>
      <c r="CI490" t="s">
        <v>170</v>
      </c>
      <c r="DJ490" t="s">
        <v>184</v>
      </c>
      <c r="DK490" t="s">
        <v>185</v>
      </c>
      <c r="DL490" t="s">
        <v>170</v>
      </c>
      <c r="DM490" t="s">
        <v>170</v>
      </c>
      <c r="DN490" t="s">
        <v>170</v>
      </c>
      <c r="DO490" t="s">
        <v>197</v>
      </c>
      <c r="DP490" t="s">
        <v>169</v>
      </c>
      <c r="DQ490" t="s">
        <v>198</v>
      </c>
      <c r="DR490" t="s">
        <v>1350</v>
      </c>
      <c r="DY490">
        <v>29.9</v>
      </c>
      <c r="EB490">
        <v>5</v>
      </c>
      <c r="EC490">
        <v>5</v>
      </c>
      <c r="EE490" t="s">
        <v>1349</v>
      </c>
      <c r="EF490">
        <v>6</v>
      </c>
      <c r="EV490">
        <v>5000</v>
      </c>
      <c r="EW490">
        <v>451</v>
      </c>
      <c r="EX490">
        <v>334</v>
      </c>
      <c r="EY490">
        <v>398</v>
      </c>
    </row>
    <row r="491" spans="1:155" x14ac:dyDescent="0.35">
      <c r="A491">
        <v>2025</v>
      </c>
      <c r="B491" t="s">
        <v>1315</v>
      </c>
      <c r="C491" t="s">
        <v>1346</v>
      </c>
      <c r="D491" t="s">
        <v>1593</v>
      </c>
      <c r="E491" t="s">
        <v>1318</v>
      </c>
      <c r="F491">
        <v>436</v>
      </c>
      <c r="G491">
        <v>4.4000000000000004</v>
      </c>
      <c r="H491">
        <v>8</v>
      </c>
      <c r="I491" t="s">
        <v>192</v>
      </c>
      <c r="J491">
        <v>16</v>
      </c>
      <c r="K491">
        <v>22</v>
      </c>
      <c r="L491">
        <v>18</v>
      </c>
      <c r="M491">
        <v>19.226099999999999</v>
      </c>
      <c r="N491">
        <v>30.244399999999999</v>
      </c>
      <c r="O491">
        <v>22.995999999999999</v>
      </c>
      <c r="P491">
        <v>15.5008</v>
      </c>
      <c r="Q491">
        <v>21.713100000000001</v>
      </c>
      <c r="R491">
        <v>17.791399999999999</v>
      </c>
      <c r="T491" t="s">
        <v>165</v>
      </c>
      <c r="U491" t="s">
        <v>166</v>
      </c>
      <c r="V491" t="s">
        <v>193</v>
      </c>
      <c r="W491" t="s">
        <v>194</v>
      </c>
      <c r="Y491">
        <v>8</v>
      </c>
      <c r="Z491" t="s">
        <v>169</v>
      </c>
      <c r="AA491" t="s">
        <v>170</v>
      </c>
      <c r="AB491">
        <v>4</v>
      </c>
      <c r="AC491" t="s">
        <v>601</v>
      </c>
      <c r="AD491">
        <v>10</v>
      </c>
      <c r="AG491" t="s">
        <v>173</v>
      </c>
      <c r="AH491" t="s">
        <v>174</v>
      </c>
      <c r="AI491" t="s">
        <v>175</v>
      </c>
      <c r="AJ491" t="s">
        <v>176</v>
      </c>
      <c r="AK491" t="s">
        <v>940</v>
      </c>
      <c r="AL491" t="s">
        <v>941</v>
      </c>
      <c r="AS491">
        <v>3550</v>
      </c>
      <c r="AT491">
        <v>3550</v>
      </c>
      <c r="BN491" t="s">
        <v>338</v>
      </c>
      <c r="BO491">
        <v>2</v>
      </c>
      <c r="BP491">
        <v>2</v>
      </c>
      <c r="BQ491">
        <v>33</v>
      </c>
      <c r="BR491" t="s">
        <v>1497</v>
      </c>
      <c r="BT491" t="s">
        <v>181</v>
      </c>
      <c r="BU491" s="1">
        <v>45467</v>
      </c>
      <c r="BV491">
        <v>34766</v>
      </c>
      <c r="BX491" t="s">
        <v>169</v>
      </c>
      <c r="BY491" t="s">
        <v>170</v>
      </c>
      <c r="CB491" t="s">
        <v>170</v>
      </c>
      <c r="CC491" t="s">
        <v>170</v>
      </c>
      <c r="CE491" t="s">
        <v>170</v>
      </c>
      <c r="CG491" t="s">
        <v>169</v>
      </c>
      <c r="CH491" t="s">
        <v>1319</v>
      </c>
      <c r="CI491" t="s">
        <v>170</v>
      </c>
      <c r="CK491" t="s">
        <v>233</v>
      </c>
      <c r="CM491">
        <v>1</v>
      </c>
      <c r="CN491" t="s">
        <v>234</v>
      </c>
      <c r="CP491">
        <v>48</v>
      </c>
      <c r="CQ491">
        <v>8</v>
      </c>
      <c r="CR491">
        <v>370</v>
      </c>
      <c r="CS491" t="s">
        <v>235</v>
      </c>
      <c r="CV491" t="s">
        <v>341</v>
      </c>
      <c r="CX491" t="s">
        <v>342</v>
      </c>
      <c r="CY491" t="s">
        <v>170</v>
      </c>
      <c r="DD491">
        <v>1</v>
      </c>
      <c r="DE491" t="s">
        <v>237</v>
      </c>
      <c r="DG491">
        <v>22</v>
      </c>
      <c r="DJ491" t="s">
        <v>184</v>
      </c>
      <c r="DK491" t="s">
        <v>185</v>
      </c>
      <c r="DL491" t="s">
        <v>170</v>
      </c>
      <c r="DM491" t="s">
        <v>170</v>
      </c>
      <c r="DN491" t="s">
        <v>170</v>
      </c>
      <c r="DO491" t="s">
        <v>197</v>
      </c>
      <c r="DP491" t="s">
        <v>169</v>
      </c>
      <c r="DQ491" t="s">
        <v>198</v>
      </c>
      <c r="DR491" t="s">
        <v>1594</v>
      </c>
      <c r="DY491">
        <v>23.1</v>
      </c>
      <c r="EB491">
        <v>4</v>
      </c>
      <c r="EC491">
        <v>4</v>
      </c>
      <c r="EE491" t="s">
        <v>1595</v>
      </c>
      <c r="EF491">
        <v>5</v>
      </c>
      <c r="EV491">
        <v>8250</v>
      </c>
      <c r="EW491">
        <v>574</v>
      </c>
      <c r="EX491">
        <v>411</v>
      </c>
      <c r="EY491">
        <v>501</v>
      </c>
    </row>
    <row r="492" spans="1:155" x14ac:dyDescent="0.35">
      <c r="A492">
        <v>2025</v>
      </c>
      <c r="B492" t="s">
        <v>1315</v>
      </c>
      <c r="C492" t="s">
        <v>1346</v>
      </c>
      <c r="D492" t="s">
        <v>1596</v>
      </c>
      <c r="E492" t="s">
        <v>1318</v>
      </c>
      <c r="F492">
        <v>435</v>
      </c>
      <c r="G492">
        <v>4.4000000000000004</v>
      </c>
      <c r="H492">
        <v>8</v>
      </c>
      <c r="I492" t="s">
        <v>192</v>
      </c>
      <c r="J492">
        <v>16</v>
      </c>
      <c r="K492">
        <v>23</v>
      </c>
      <c r="L492">
        <v>19</v>
      </c>
      <c r="M492">
        <v>20.182200000000002</v>
      </c>
      <c r="N492">
        <v>32.102899999999998</v>
      </c>
      <c r="O492">
        <v>24.231200000000001</v>
      </c>
      <c r="P492">
        <v>16.2544</v>
      </c>
      <c r="Q492">
        <v>22.978899999999999</v>
      </c>
      <c r="R492">
        <v>18.7196</v>
      </c>
      <c r="T492" t="s">
        <v>165</v>
      </c>
      <c r="U492" t="s">
        <v>166</v>
      </c>
      <c r="V492" t="s">
        <v>193</v>
      </c>
      <c r="W492" t="s">
        <v>194</v>
      </c>
      <c r="Y492">
        <v>8</v>
      </c>
      <c r="Z492" t="s">
        <v>169</v>
      </c>
      <c r="AA492" t="s">
        <v>170</v>
      </c>
      <c r="AB492">
        <v>4</v>
      </c>
      <c r="AC492" t="s">
        <v>601</v>
      </c>
      <c r="AD492">
        <v>10</v>
      </c>
      <c r="AG492" t="s">
        <v>173</v>
      </c>
      <c r="AH492" t="s">
        <v>174</v>
      </c>
      <c r="AI492" t="s">
        <v>175</v>
      </c>
      <c r="AJ492" t="s">
        <v>176</v>
      </c>
      <c r="AK492" t="s">
        <v>940</v>
      </c>
      <c r="AL492" t="s">
        <v>941</v>
      </c>
      <c r="AS492">
        <v>3350</v>
      </c>
      <c r="AT492">
        <v>3350</v>
      </c>
      <c r="BN492" t="s">
        <v>338</v>
      </c>
      <c r="BO492">
        <v>2</v>
      </c>
      <c r="BP492">
        <v>2</v>
      </c>
      <c r="BQ492">
        <v>33</v>
      </c>
      <c r="BR492" t="s">
        <v>1497</v>
      </c>
      <c r="BT492" t="s">
        <v>181</v>
      </c>
      <c r="BU492" s="1">
        <v>45467</v>
      </c>
      <c r="BV492">
        <v>34765</v>
      </c>
      <c r="BX492" t="s">
        <v>169</v>
      </c>
      <c r="BY492" t="s">
        <v>170</v>
      </c>
      <c r="CB492" t="s">
        <v>170</v>
      </c>
      <c r="CC492" t="s">
        <v>170</v>
      </c>
      <c r="CE492" t="s">
        <v>170</v>
      </c>
      <c r="CG492" t="s">
        <v>169</v>
      </c>
      <c r="CH492" t="s">
        <v>1319</v>
      </c>
      <c r="CI492" t="s">
        <v>170</v>
      </c>
      <c r="CK492" t="s">
        <v>233</v>
      </c>
      <c r="CM492">
        <v>1</v>
      </c>
      <c r="CN492" t="s">
        <v>234</v>
      </c>
      <c r="CP492">
        <v>48</v>
      </c>
      <c r="CQ492">
        <v>8</v>
      </c>
      <c r="CR492">
        <v>370</v>
      </c>
      <c r="CS492" t="s">
        <v>235</v>
      </c>
      <c r="CV492" t="s">
        <v>341</v>
      </c>
      <c r="CX492" t="s">
        <v>342</v>
      </c>
      <c r="CY492" t="s">
        <v>170</v>
      </c>
      <c r="DD492">
        <v>1</v>
      </c>
      <c r="DE492" t="s">
        <v>237</v>
      </c>
      <c r="DG492">
        <v>22</v>
      </c>
      <c r="DJ492" t="s">
        <v>184</v>
      </c>
      <c r="DK492" t="s">
        <v>185</v>
      </c>
      <c r="DL492" t="s">
        <v>170</v>
      </c>
      <c r="DM492" t="s">
        <v>170</v>
      </c>
      <c r="DN492" t="s">
        <v>170</v>
      </c>
      <c r="DO492" t="s">
        <v>197</v>
      </c>
      <c r="DP492" t="s">
        <v>169</v>
      </c>
      <c r="DQ492" t="s">
        <v>198</v>
      </c>
      <c r="DR492" t="s">
        <v>1596</v>
      </c>
      <c r="DY492">
        <v>24.4</v>
      </c>
      <c r="EB492">
        <v>4</v>
      </c>
      <c r="EC492">
        <v>4</v>
      </c>
      <c r="EE492" t="s">
        <v>1595</v>
      </c>
      <c r="EF492">
        <v>5</v>
      </c>
      <c r="EV492">
        <v>7250</v>
      </c>
      <c r="EW492">
        <v>549</v>
      </c>
      <c r="EX492">
        <v>388</v>
      </c>
      <c r="EY492">
        <v>477</v>
      </c>
    </row>
    <row r="493" spans="1:155" x14ac:dyDescent="0.35">
      <c r="A493">
        <v>2025</v>
      </c>
      <c r="B493" t="s">
        <v>1315</v>
      </c>
      <c r="C493" t="s">
        <v>1346</v>
      </c>
      <c r="D493" t="s">
        <v>1597</v>
      </c>
      <c r="E493" t="s">
        <v>1318</v>
      </c>
      <c r="F493">
        <v>273</v>
      </c>
      <c r="G493">
        <v>3</v>
      </c>
      <c r="H493">
        <v>6</v>
      </c>
      <c r="I493" t="s">
        <v>192</v>
      </c>
      <c r="J493">
        <v>19</v>
      </c>
      <c r="K493">
        <v>24</v>
      </c>
      <c r="L493">
        <v>21</v>
      </c>
      <c r="M493">
        <v>23.793399999999998</v>
      </c>
      <c r="N493">
        <v>35.982999999999997</v>
      </c>
      <c r="O493">
        <v>28.072900000000001</v>
      </c>
      <c r="P493">
        <v>18.9221</v>
      </c>
      <c r="Q493">
        <v>23.7118</v>
      </c>
      <c r="R493">
        <v>20.8141</v>
      </c>
      <c r="T493" t="s">
        <v>484</v>
      </c>
      <c r="U493" t="s">
        <v>485</v>
      </c>
      <c r="V493" t="s">
        <v>193</v>
      </c>
      <c r="W493" t="s">
        <v>194</v>
      </c>
      <c r="Y493">
        <v>8</v>
      </c>
      <c r="Z493" t="s">
        <v>169</v>
      </c>
      <c r="AA493" t="s">
        <v>170</v>
      </c>
      <c r="AB493">
        <v>4</v>
      </c>
      <c r="AC493" t="s">
        <v>601</v>
      </c>
      <c r="AD493">
        <v>10</v>
      </c>
      <c r="AG493" t="s">
        <v>173</v>
      </c>
      <c r="AH493" t="s">
        <v>174</v>
      </c>
      <c r="AI493" t="s">
        <v>175</v>
      </c>
      <c r="AJ493" t="s">
        <v>176</v>
      </c>
      <c r="AK493" t="s">
        <v>940</v>
      </c>
      <c r="AL493" t="s">
        <v>941</v>
      </c>
      <c r="AS493">
        <v>3050</v>
      </c>
      <c r="AT493">
        <v>3050</v>
      </c>
      <c r="BN493" t="s">
        <v>338</v>
      </c>
      <c r="BO493">
        <v>2</v>
      </c>
      <c r="BP493">
        <v>2</v>
      </c>
      <c r="BQ493">
        <v>33</v>
      </c>
      <c r="BR493" t="s">
        <v>1497</v>
      </c>
      <c r="BT493" t="s">
        <v>457</v>
      </c>
      <c r="BU493" s="1">
        <v>45555</v>
      </c>
      <c r="BV493">
        <v>35575</v>
      </c>
      <c r="BX493" t="s">
        <v>169</v>
      </c>
      <c r="BY493" t="s">
        <v>170</v>
      </c>
      <c r="CB493" t="s">
        <v>170</v>
      </c>
      <c r="CC493" t="s">
        <v>170</v>
      </c>
      <c r="CD493" t="s">
        <v>1584</v>
      </c>
      <c r="CE493" t="s">
        <v>170</v>
      </c>
      <c r="CG493" t="s">
        <v>169</v>
      </c>
      <c r="CH493" t="s">
        <v>1323</v>
      </c>
      <c r="CI493" t="s">
        <v>170</v>
      </c>
      <c r="CK493" t="s">
        <v>233</v>
      </c>
      <c r="CM493">
        <v>1</v>
      </c>
      <c r="CN493" t="s">
        <v>234</v>
      </c>
      <c r="CP493">
        <v>48</v>
      </c>
      <c r="CQ493">
        <v>8</v>
      </c>
      <c r="CR493">
        <v>370</v>
      </c>
      <c r="CS493" t="s">
        <v>235</v>
      </c>
      <c r="CV493" t="s">
        <v>236</v>
      </c>
      <c r="DD493">
        <v>1</v>
      </c>
      <c r="DE493" t="s">
        <v>237</v>
      </c>
      <c r="DG493">
        <v>15</v>
      </c>
      <c r="DJ493" t="s">
        <v>184</v>
      </c>
      <c r="DK493" t="s">
        <v>185</v>
      </c>
      <c r="DL493" t="s">
        <v>170</v>
      </c>
      <c r="DM493" t="s">
        <v>170</v>
      </c>
      <c r="DN493" t="s">
        <v>170</v>
      </c>
      <c r="DO493" t="s">
        <v>197</v>
      </c>
      <c r="DP493" t="s">
        <v>169</v>
      </c>
      <c r="DQ493" t="s">
        <v>198</v>
      </c>
      <c r="DR493" t="s">
        <v>1593</v>
      </c>
      <c r="DY493">
        <v>28.3</v>
      </c>
      <c r="EB493">
        <v>4</v>
      </c>
      <c r="EC493">
        <v>4</v>
      </c>
      <c r="EE493" t="s">
        <v>1598</v>
      </c>
      <c r="EF493">
        <v>6</v>
      </c>
      <c r="EV493">
        <v>5750</v>
      </c>
      <c r="EW493">
        <v>471</v>
      </c>
      <c r="EX493">
        <v>375</v>
      </c>
      <c r="EY493">
        <v>428</v>
      </c>
    </row>
    <row r="494" spans="1:155" x14ac:dyDescent="0.35">
      <c r="A494">
        <v>2025</v>
      </c>
      <c r="B494" t="s">
        <v>1315</v>
      </c>
      <c r="C494" t="s">
        <v>1346</v>
      </c>
      <c r="D494" t="s">
        <v>1599</v>
      </c>
      <c r="E494" t="s">
        <v>1318</v>
      </c>
      <c r="F494">
        <v>272</v>
      </c>
      <c r="G494">
        <v>3</v>
      </c>
      <c r="H494">
        <v>6</v>
      </c>
      <c r="I494" t="s">
        <v>192</v>
      </c>
      <c r="J494">
        <v>19</v>
      </c>
      <c r="K494">
        <v>24</v>
      </c>
      <c r="L494">
        <v>21</v>
      </c>
      <c r="M494">
        <v>23.793399999999998</v>
      </c>
      <c r="N494">
        <v>35.982999999999997</v>
      </c>
      <c r="O494">
        <v>28.072900000000001</v>
      </c>
      <c r="P494">
        <v>18.9221</v>
      </c>
      <c r="Q494">
        <v>23.7118</v>
      </c>
      <c r="R494">
        <v>20.8141</v>
      </c>
      <c r="T494" t="s">
        <v>484</v>
      </c>
      <c r="U494" t="s">
        <v>485</v>
      </c>
      <c r="V494" t="s">
        <v>193</v>
      </c>
      <c r="W494" t="s">
        <v>194</v>
      </c>
      <c r="Y494">
        <v>8</v>
      </c>
      <c r="Z494" t="s">
        <v>169</v>
      </c>
      <c r="AA494" t="s">
        <v>170</v>
      </c>
      <c r="AB494">
        <v>4</v>
      </c>
      <c r="AC494" t="s">
        <v>601</v>
      </c>
      <c r="AD494">
        <v>10</v>
      </c>
      <c r="AG494" t="s">
        <v>173</v>
      </c>
      <c r="AH494" t="s">
        <v>174</v>
      </c>
      <c r="AI494" t="s">
        <v>175</v>
      </c>
      <c r="AJ494" t="s">
        <v>176</v>
      </c>
      <c r="AK494" t="s">
        <v>940</v>
      </c>
      <c r="AL494" t="s">
        <v>941</v>
      </c>
      <c r="AS494">
        <v>3050</v>
      </c>
      <c r="AT494">
        <v>3050</v>
      </c>
      <c r="BN494" t="s">
        <v>338</v>
      </c>
      <c r="BO494">
        <v>2</v>
      </c>
      <c r="BP494">
        <v>2</v>
      </c>
      <c r="BQ494">
        <v>33</v>
      </c>
      <c r="BR494" t="s">
        <v>1497</v>
      </c>
      <c r="BT494" t="s">
        <v>457</v>
      </c>
      <c r="BU494" s="1">
        <v>45555</v>
      </c>
      <c r="BV494">
        <v>35573</v>
      </c>
      <c r="BX494" t="s">
        <v>169</v>
      </c>
      <c r="BY494" t="s">
        <v>170</v>
      </c>
      <c r="CB494" t="s">
        <v>170</v>
      </c>
      <c r="CC494" t="s">
        <v>170</v>
      </c>
      <c r="CD494" t="s">
        <v>1584</v>
      </c>
      <c r="CE494" t="s">
        <v>170</v>
      </c>
      <c r="CG494" t="s">
        <v>169</v>
      </c>
      <c r="CH494" t="s">
        <v>1323</v>
      </c>
      <c r="CI494" t="s">
        <v>170</v>
      </c>
      <c r="CK494" t="s">
        <v>233</v>
      </c>
      <c r="CM494">
        <v>1</v>
      </c>
      <c r="CN494" t="s">
        <v>234</v>
      </c>
      <c r="CP494">
        <v>48</v>
      </c>
      <c r="CQ494">
        <v>8</v>
      </c>
      <c r="CR494">
        <v>370</v>
      </c>
      <c r="CS494" t="s">
        <v>235</v>
      </c>
      <c r="CV494" t="s">
        <v>236</v>
      </c>
      <c r="DD494">
        <v>1</v>
      </c>
      <c r="DE494" t="s">
        <v>237</v>
      </c>
      <c r="DG494">
        <v>15</v>
      </c>
      <c r="DJ494" t="s">
        <v>184</v>
      </c>
      <c r="DK494" t="s">
        <v>185</v>
      </c>
      <c r="DL494" t="s">
        <v>170</v>
      </c>
      <c r="DM494" t="s">
        <v>170</v>
      </c>
      <c r="DN494" t="s">
        <v>170</v>
      </c>
      <c r="DO494" t="s">
        <v>197</v>
      </c>
      <c r="DP494" t="s">
        <v>169</v>
      </c>
      <c r="DQ494" t="s">
        <v>198</v>
      </c>
      <c r="DR494" t="s">
        <v>1596</v>
      </c>
      <c r="DY494">
        <v>28.3</v>
      </c>
      <c r="EB494">
        <v>4</v>
      </c>
      <c r="EC494">
        <v>4</v>
      </c>
      <c r="EE494" t="s">
        <v>1598</v>
      </c>
      <c r="EF494">
        <v>6</v>
      </c>
      <c r="EV494">
        <v>5750</v>
      </c>
      <c r="EW494">
        <v>471</v>
      </c>
      <c r="EX494">
        <v>375</v>
      </c>
      <c r="EY494">
        <v>428</v>
      </c>
    </row>
    <row r="495" spans="1:155" x14ac:dyDescent="0.35">
      <c r="A495">
        <v>2025</v>
      </c>
      <c r="B495" t="s">
        <v>1315</v>
      </c>
      <c r="C495" t="s">
        <v>1346</v>
      </c>
      <c r="D495" t="s">
        <v>1600</v>
      </c>
      <c r="E495" t="s">
        <v>1318</v>
      </c>
      <c r="F495">
        <v>437</v>
      </c>
      <c r="G495">
        <v>4.4000000000000004</v>
      </c>
      <c r="H495">
        <v>8</v>
      </c>
      <c r="I495" t="s">
        <v>192</v>
      </c>
      <c r="J495">
        <v>16</v>
      </c>
      <c r="K495">
        <v>23</v>
      </c>
      <c r="L495">
        <v>19</v>
      </c>
      <c r="M495">
        <v>20.182200000000002</v>
      </c>
      <c r="N495">
        <v>32.102899999999998</v>
      </c>
      <c r="O495">
        <v>24.231200000000001</v>
      </c>
      <c r="P495">
        <v>16.2544</v>
      </c>
      <c r="Q495">
        <v>22.978899999999999</v>
      </c>
      <c r="R495">
        <v>18.7196</v>
      </c>
      <c r="T495" t="s">
        <v>165</v>
      </c>
      <c r="U495" t="s">
        <v>166</v>
      </c>
      <c r="V495" t="s">
        <v>193</v>
      </c>
      <c r="W495" t="s">
        <v>194</v>
      </c>
      <c r="Y495">
        <v>8</v>
      </c>
      <c r="Z495" t="s">
        <v>169</v>
      </c>
      <c r="AA495" t="s">
        <v>170</v>
      </c>
      <c r="AB495">
        <v>4</v>
      </c>
      <c r="AC495" t="s">
        <v>601</v>
      </c>
      <c r="AD495">
        <v>10</v>
      </c>
      <c r="AG495" t="s">
        <v>173</v>
      </c>
      <c r="AH495" t="s">
        <v>174</v>
      </c>
      <c r="AI495" t="s">
        <v>175</v>
      </c>
      <c r="AJ495" t="s">
        <v>176</v>
      </c>
      <c r="AK495" t="s">
        <v>940</v>
      </c>
      <c r="AL495" t="s">
        <v>941</v>
      </c>
      <c r="AS495">
        <v>3350</v>
      </c>
      <c r="AT495">
        <v>3350</v>
      </c>
      <c r="BN495" t="s">
        <v>338</v>
      </c>
      <c r="BO495">
        <v>2</v>
      </c>
      <c r="BP495">
        <v>2</v>
      </c>
      <c r="BQ495">
        <v>33</v>
      </c>
      <c r="BR495" t="s">
        <v>1497</v>
      </c>
      <c r="BT495" t="s">
        <v>181</v>
      </c>
      <c r="BU495" s="1">
        <v>45467</v>
      </c>
      <c r="BV495">
        <v>34767</v>
      </c>
      <c r="BX495" t="s">
        <v>169</v>
      </c>
      <c r="BY495" t="s">
        <v>170</v>
      </c>
      <c r="CB495" t="s">
        <v>170</v>
      </c>
      <c r="CC495" t="s">
        <v>170</v>
      </c>
      <c r="CE495" t="s">
        <v>170</v>
      </c>
      <c r="CG495" t="s">
        <v>169</v>
      </c>
      <c r="CH495" t="s">
        <v>1319</v>
      </c>
      <c r="CI495" t="s">
        <v>170</v>
      </c>
      <c r="CK495" t="s">
        <v>233</v>
      </c>
      <c r="CM495">
        <v>1</v>
      </c>
      <c r="CN495" t="s">
        <v>234</v>
      </c>
      <c r="CP495">
        <v>48</v>
      </c>
      <c r="CQ495">
        <v>8</v>
      </c>
      <c r="CR495">
        <v>370</v>
      </c>
      <c r="CS495" t="s">
        <v>235</v>
      </c>
      <c r="CV495" t="s">
        <v>341</v>
      </c>
      <c r="CX495" t="s">
        <v>342</v>
      </c>
      <c r="CY495" t="s">
        <v>170</v>
      </c>
      <c r="DD495">
        <v>1</v>
      </c>
      <c r="DE495" t="s">
        <v>237</v>
      </c>
      <c r="DG495">
        <v>22</v>
      </c>
      <c r="DJ495" t="s">
        <v>184</v>
      </c>
      <c r="DK495" t="s">
        <v>185</v>
      </c>
      <c r="DL495" t="s">
        <v>170</v>
      </c>
      <c r="DM495" t="s">
        <v>170</v>
      </c>
      <c r="DN495" t="s">
        <v>170</v>
      </c>
      <c r="DO495" t="s">
        <v>197</v>
      </c>
      <c r="DP495" t="s">
        <v>169</v>
      </c>
      <c r="DQ495" t="s">
        <v>198</v>
      </c>
      <c r="DR495" t="s">
        <v>1600</v>
      </c>
      <c r="DY495">
        <v>24.4</v>
      </c>
      <c r="EB495">
        <v>4</v>
      </c>
      <c r="EC495">
        <v>4</v>
      </c>
      <c r="EE495" t="s">
        <v>1595</v>
      </c>
      <c r="EF495">
        <v>5</v>
      </c>
      <c r="EV495">
        <v>7250</v>
      </c>
      <c r="EW495">
        <v>549</v>
      </c>
      <c r="EX495">
        <v>388</v>
      </c>
      <c r="EY495">
        <v>477</v>
      </c>
    </row>
    <row r="496" spans="1:155" x14ac:dyDescent="0.35">
      <c r="A496">
        <v>2025</v>
      </c>
      <c r="B496" t="s">
        <v>1315</v>
      </c>
      <c r="C496" t="s">
        <v>1346</v>
      </c>
      <c r="D496" t="s">
        <v>1601</v>
      </c>
      <c r="E496" t="s">
        <v>1318</v>
      </c>
      <c r="F496">
        <v>431</v>
      </c>
      <c r="G496">
        <v>3</v>
      </c>
      <c r="H496">
        <v>6</v>
      </c>
      <c r="I496" t="s">
        <v>192</v>
      </c>
      <c r="J496">
        <v>20</v>
      </c>
      <c r="K496">
        <v>25</v>
      </c>
      <c r="L496">
        <v>22</v>
      </c>
      <c r="M496">
        <v>25.285799999999998</v>
      </c>
      <c r="N496">
        <v>37.6629</v>
      </c>
      <c r="O496">
        <v>29.674099999999999</v>
      </c>
      <c r="P496">
        <v>20.011800000000001</v>
      </c>
      <c r="Q496">
        <v>25.394200000000001</v>
      </c>
      <c r="R496">
        <v>22.1218</v>
      </c>
      <c r="T496" t="s">
        <v>484</v>
      </c>
      <c r="U496" t="s">
        <v>485</v>
      </c>
      <c r="V496" t="s">
        <v>193</v>
      </c>
      <c r="W496" t="s">
        <v>194</v>
      </c>
      <c r="Y496">
        <v>8</v>
      </c>
      <c r="Z496" t="s">
        <v>169</v>
      </c>
      <c r="AA496" t="s">
        <v>170</v>
      </c>
      <c r="AB496">
        <v>4</v>
      </c>
      <c r="AC496" t="s">
        <v>601</v>
      </c>
      <c r="AD496">
        <v>10</v>
      </c>
      <c r="AG496" t="s">
        <v>173</v>
      </c>
      <c r="AH496" t="s">
        <v>174</v>
      </c>
      <c r="AI496" t="s">
        <v>175</v>
      </c>
      <c r="AJ496" t="s">
        <v>176</v>
      </c>
      <c r="AK496" t="s">
        <v>940</v>
      </c>
      <c r="AL496" t="s">
        <v>941</v>
      </c>
      <c r="AS496">
        <v>2900</v>
      </c>
      <c r="AT496">
        <v>2900</v>
      </c>
      <c r="BN496" t="s">
        <v>338</v>
      </c>
      <c r="BO496">
        <v>2</v>
      </c>
      <c r="BP496">
        <v>2</v>
      </c>
      <c r="BQ496">
        <v>33</v>
      </c>
      <c r="BR496" t="s">
        <v>1497</v>
      </c>
      <c r="BT496" t="s">
        <v>457</v>
      </c>
      <c r="BU496" s="1">
        <v>45555</v>
      </c>
      <c r="BV496">
        <v>35593</v>
      </c>
      <c r="BX496" t="s">
        <v>169</v>
      </c>
      <c r="BY496" t="s">
        <v>170</v>
      </c>
      <c r="CB496" t="s">
        <v>170</v>
      </c>
      <c r="CC496" t="s">
        <v>170</v>
      </c>
      <c r="CD496" t="s">
        <v>1584</v>
      </c>
      <c r="CE496" t="s">
        <v>170</v>
      </c>
      <c r="CG496" t="s">
        <v>169</v>
      </c>
      <c r="CH496" t="s">
        <v>1323</v>
      </c>
      <c r="CI496" t="s">
        <v>170</v>
      </c>
      <c r="CK496" t="s">
        <v>233</v>
      </c>
      <c r="CM496">
        <v>1</v>
      </c>
      <c r="CN496" t="s">
        <v>234</v>
      </c>
      <c r="CP496">
        <v>48</v>
      </c>
      <c r="CQ496">
        <v>8</v>
      </c>
      <c r="CR496">
        <v>370</v>
      </c>
      <c r="CS496" t="s">
        <v>235</v>
      </c>
      <c r="CV496" t="s">
        <v>236</v>
      </c>
      <c r="DD496">
        <v>1</v>
      </c>
      <c r="DE496" t="s">
        <v>237</v>
      </c>
      <c r="DG496">
        <v>15</v>
      </c>
      <c r="DJ496" t="s">
        <v>184</v>
      </c>
      <c r="DK496" t="s">
        <v>185</v>
      </c>
      <c r="DL496" t="s">
        <v>170</v>
      </c>
      <c r="DM496" t="s">
        <v>170</v>
      </c>
      <c r="DN496" t="s">
        <v>170</v>
      </c>
      <c r="DO496" t="s">
        <v>197</v>
      </c>
      <c r="DP496" t="s">
        <v>169</v>
      </c>
      <c r="DQ496" t="s">
        <v>198</v>
      </c>
      <c r="DR496" t="s">
        <v>1601</v>
      </c>
      <c r="DY496">
        <v>29.9</v>
      </c>
      <c r="EB496">
        <v>5</v>
      </c>
      <c r="EC496">
        <v>5</v>
      </c>
      <c r="EE496" t="s">
        <v>1598</v>
      </c>
      <c r="EF496">
        <v>6</v>
      </c>
      <c r="EV496">
        <v>5000</v>
      </c>
      <c r="EW496">
        <v>446</v>
      </c>
      <c r="EX496">
        <v>342</v>
      </c>
      <c r="EY496">
        <v>399</v>
      </c>
    </row>
    <row r="497" spans="1:155" x14ac:dyDescent="0.35">
      <c r="A497">
        <v>2025</v>
      </c>
      <c r="B497" t="s">
        <v>1315</v>
      </c>
      <c r="C497" t="s">
        <v>1346</v>
      </c>
      <c r="D497" t="s">
        <v>1602</v>
      </c>
      <c r="E497" t="s">
        <v>1318</v>
      </c>
      <c r="F497">
        <v>432</v>
      </c>
      <c r="G497">
        <v>3</v>
      </c>
      <c r="H497">
        <v>6</v>
      </c>
      <c r="I497" t="s">
        <v>192</v>
      </c>
      <c r="J497">
        <v>20</v>
      </c>
      <c r="K497">
        <v>25</v>
      </c>
      <c r="L497">
        <v>22</v>
      </c>
      <c r="M497">
        <v>25.285799999999998</v>
      </c>
      <c r="N497">
        <v>37.6629</v>
      </c>
      <c r="O497">
        <v>29.674099999999999</v>
      </c>
      <c r="P497">
        <v>20.011800000000001</v>
      </c>
      <c r="Q497">
        <v>25.394200000000001</v>
      </c>
      <c r="R497">
        <v>22.1218</v>
      </c>
      <c r="T497" t="s">
        <v>484</v>
      </c>
      <c r="U497" t="s">
        <v>485</v>
      </c>
      <c r="V497" t="s">
        <v>193</v>
      </c>
      <c r="W497" t="s">
        <v>194</v>
      </c>
      <c r="Y497">
        <v>8</v>
      </c>
      <c r="Z497" t="s">
        <v>169</v>
      </c>
      <c r="AA497" t="s">
        <v>170</v>
      </c>
      <c r="AB497">
        <v>4</v>
      </c>
      <c r="AC497" t="s">
        <v>601</v>
      </c>
      <c r="AD497">
        <v>10</v>
      </c>
      <c r="AG497" t="s">
        <v>173</v>
      </c>
      <c r="AH497" t="s">
        <v>174</v>
      </c>
      <c r="AI497" t="s">
        <v>175</v>
      </c>
      <c r="AJ497" t="s">
        <v>176</v>
      </c>
      <c r="AK497" t="s">
        <v>940</v>
      </c>
      <c r="AL497" t="s">
        <v>941</v>
      </c>
      <c r="AS497">
        <v>2900</v>
      </c>
      <c r="AT497">
        <v>2900</v>
      </c>
      <c r="BN497" t="s">
        <v>338</v>
      </c>
      <c r="BO497">
        <v>2</v>
      </c>
      <c r="BP497">
        <v>2</v>
      </c>
      <c r="BQ497">
        <v>33</v>
      </c>
      <c r="BR497" t="s">
        <v>1497</v>
      </c>
      <c r="BT497" t="s">
        <v>457</v>
      </c>
      <c r="BU497" s="1">
        <v>45555</v>
      </c>
      <c r="BV497">
        <v>35594</v>
      </c>
      <c r="BX497" t="s">
        <v>169</v>
      </c>
      <c r="BY497" t="s">
        <v>170</v>
      </c>
      <c r="CB497" t="s">
        <v>170</v>
      </c>
      <c r="CC497" t="s">
        <v>170</v>
      </c>
      <c r="CD497" t="s">
        <v>1584</v>
      </c>
      <c r="CE497" t="s">
        <v>170</v>
      </c>
      <c r="CG497" t="s">
        <v>169</v>
      </c>
      <c r="CH497" t="s">
        <v>1323</v>
      </c>
      <c r="CI497" t="s">
        <v>170</v>
      </c>
      <c r="CK497" t="s">
        <v>233</v>
      </c>
      <c r="CM497">
        <v>1</v>
      </c>
      <c r="CN497" t="s">
        <v>234</v>
      </c>
      <c r="CP497">
        <v>48</v>
      </c>
      <c r="CQ497">
        <v>8</v>
      </c>
      <c r="CR497">
        <v>370</v>
      </c>
      <c r="CS497" t="s">
        <v>235</v>
      </c>
      <c r="CV497" t="s">
        <v>236</v>
      </c>
      <c r="DD497">
        <v>1</v>
      </c>
      <c r="DE497" t="s">
        <v>237</v>
      </c>
      <c r="DG497">
        <v>15</v>
      </c>
      <c r="DJ497" t="s">
        <v>184</v>
      </c>
      <c r="DK497" t="s">
        <v>185</v>
      </c>
      <c r="DL497" t="s">
        <v>170</v>
      </c>
      <c r="DM497" t="s">
        <v>170</v>
      </c>
      <c r="DN497" t="s">
        <v>170</v>
      </c>
      <c r="DO497" t="s">
        <v>197</v>
      </c>
      <c r="DP497" t="s">
        <v>169</v>
      </c>
      <c r="DQ497" t="s">
        <v>198</v>
      </c>
      <c r="DR497" t="s">
        <v>1601</v>
      </c>
      <c r="DY497">
        <v>29.9</v>
      </c>
      <c r="EB497">
        <v>5</v>
      </c>
      <c r="EC497">
        <v>5</v>
      </c>
      <c r="EE497" t="s">
        <v>1598</v>
      </c>
      <c r="EF497">
        <v>6</v>
      </c>
      <c r="EV497">
        <v>5000</v>
      </c>
      <c r="EW497">
        <v>446</v>
      </c>
      <c r="EX497">
        <v>342</v>
      </c>
      <c r="EY497">
        <v>399</v>
      </c>
    </row>
    <row r="498" spans="1:155" x14ac:dyDescent="0.35">
      <c r="A498">
        <v>2025</v>
      </c>
      <c r="B498" t="s">
        <v>1315</v>
      </c>
      <c r="C498" t="s">
        <v>1346</v>
      </c>
      <c r="D498" t="s">
        <v>1603</v>
      </c>
      <c r="E498" t="s">
        <v>1318</v>
      </c>
      <c r="F498">
        <v>438</v>
      </c>
      <c r="G498">
        <v>4.4000000000000004</v>
      </c>
      <c r="H498">
        <v>8</v>
      </c>
      <c r="I498" t="s">
        <v>192</v>
      </c>
      <c r="J498">
        <v>16</v>
      </c>
      <c r="K498">
        <v>22</v>
      </c>
      <c r="L498">
        <v>18</v>
      </c>
      <c r="M498">
        <v>19.4788</v>
      </c>
      <c r="N498">
        <v>30.247599999999998</v>
      </c>
      <c r="O498">
        <v>23.194800000000001</v>
      </c>
      <c r="P498">
        <v>15.727399999999999</v>
      </c>
      <c r="Q498">
        <v>21.713100000000001</v>
      </c>
      <c r="R498">
        <v>17.954699999999999</v>
      </c>
      <c r="T498" t="s">
        <v>165</v>
      </c>
      <c r="U498" t="s">
        <v>166</v>
      </c>
      <c r="V498" t="s">
        <v>193</v>
      </c>
      <c r="W498" t="s">
        <v>194</v>
      </c>
      <c r="Y498">
        <v>8</v>
      </c>
      <c r="Z498" t="s">
        <v>169</v>
      </c>
      <c r="AA498" t="s">
        <v>170</v>
      </c>
      <c r="AB498">
        <v>4</v>
      </c>
      <c r="AC498" t="s">
        <v>601</v>
      </c>
      <c r="AD498">
        <v>10</v>
      </c>
      <c r="AG498" t="s">
        <v>173</v>
      </c>
      <c r="AH498" t="s">
        <v>174</v>
      </c>
      <c r="AI498" t="s">
        <v>175</v>
      </c>
      <c r="AJ498" t="s">
        <v>176</v>
      </c>
      <c r="AK498" t="s">
        <v>940</v>
      </c>
      <c r="AL498" t="s">
        <v>941</v>
      </c>
      <c r="AS498">
        <v>3550</v>
      </c>
      <c r="AT498">
        <v>3550</v>
      </c>
      <c r="BN498" t="s">
        <v>338</v>
      </c>
      <c r="BO498">
        <v>2</v>
      </c>
      <c r="BP498">
        <v>2</v>
      </c>
      <c r="BQ498">
        <v>33</v>
      </c>
      <c r="BR498" t="s">
        <v>1497</v>
      </c>
      <c r="BT498" t="s">
        <v>181</v>
      </c>
      <c r="BU498" s="1">
        <v>45467</v>
      </c>
      <c r="BV498">
        <v>34768</v>
      </c>
      <c r="BX498" t="s">
        <v>169</v>
      </c>
      <c r="BY498" t="s">
        <v>170</v>
      </c>
      <c r="CB498" t="s">
        <v>170</v>
      </c>
      <c r="CC498" t="s">
        <v>170</v>
      </c>
      <c r="CE498" t="s">
        <v>170</v>
      </c>
      <c r="CG498" t="s">
        <v>169</v>
      </c>
      <c r="CH498" t="s">
        <v>1319</v>
      </c>
      <c r="CI498" t="s">
        <v>170</v>
      </c>
      <c r="CK498" t="s">
        <v>233</v>
      </c>
      <c r="CM498">
        <v>1</v>
      </c>
      <c r="CN498" t="s">
        <v>234</v>
      </c>
      <c r="CP498">
        <v>48</v>
      </c>
      <c r="CQ498">
        <v>8</v>
      </c>
      <c r="CR498">
        <v>370</v>
      </c>
      <c r="CS498" t="s">
        <v>235</v>
      </c>
      <c r="CV498" t="s">
        <v>341</v>
      </c>
      <c r="CX498" t="s">
        <v>342</v>
      </c>
      <c r="CY498" t="s">
        <v>170</v>
      </c>
      <c r="DD498">
        <v>1</v>
      </c>
      <c r="DE498" t="s">
        <v>237</v>
      </c>
      <c r="DG498">
        <v>22</v>
      </c>
      <c r="DJ498" t="s">
        <v>184</v>
      </c>
      <c r="DK498" t="s">
        <v>185</v>
      </c>
      <c r="DL498" t="s">
        <v>170</v>
      </c>
      <c r="DM498" t="s">
        <v>170</v>
      </c>
      <c r="DN498" t="s">
        <v>170</v>
      </c>
      <c r="DO498" t="s">
        <v>197</v>
      </c>
      <c r="DP498" t="s">
        <v>169</v>
      </c>
      <c r="DQ498" t="s">
        <v>198</v>
      </c>
      <c r="DR498" t="s">
        <v>1603</v>
      </c>
      <c r="DY498">
        <v>23.4</v>
      </c>
      <c r="EB498">
        <v>4</v>
      </c>
      <c r="EC498">
        <v>4</v>
      </c>
      <c r="EE498" t="s">
        <v>1595</v>
      </c>
      <c r="EF498">
        <v>5</v>
      </c>
      <c r="EV498">
        <v>8250</v>
      </c>
      <c r="EW498">
        <v>568</v>
      </c>
      <c r="EX498">
        <v>410</v>
      </c>
      <c r="EY498">
        <v>497</v>
      </c>
    </row>
    <row r="499" spans="1:155" x14ac:dyDescent="0.35">
      <c r="A499">
        <v>2025</v>
      </c>
      <c r="B499" t="s">
        <v>1315</v>
      </c>
      <c r="C499" t="s">
        <v>1346</v>
      </c>
      <c r="D499" t="s">
        <v>1604</v>
      </c>
      <c r="E499" t="s">
        <v>1318</v>
      </c>
      <c r="F499">
        <v>440</v>
      </c>
      <c r="G499">
        <v>4.4000000000000004</v>
      </c>
      <c r="H499">
        <v>8</v>
      </c>
      <c r="I499" t="s">
        <v>192</v>
      </c>
      <c r="J499">
        <v>16</v>
      </c>
      <c r="K499">
        <v>22</v>
      </c>
      <c r="L499">
        <v>18</v>
      </c>
      <c r="M499">
        <v>19.226099999999999</v>
      </c>
      <c r="N499">
        <v>30.244399999999999</v>
      </c>
      <c r="O499">
        <v>22.995999999999999</v>
      </c>
      <c r="P499">
        <v>15.5008</v>
      </c>
      <c r="Q499">
        <v>21.713100000000001</v>
      </c>
      <c r="R499">
        <v>17.791399999999999</v>
      </c>
      <c r="T499" t="s">
        <v>165</v>
      </c>
      <c r="U499" t="s">
        <v>166</v>
      </c>
      <c r="V499" t="s">
        <v>193</v>
      </c>
      <c r="W499" t="s">
        <v>194</v>
      </c>
      <c r="Y499">
        <v>8</v>
      </c>
      <c r="Z499" t="s">
        <v>169</v>
      </c>
      <c r="AA499" t="s">
        <v>170</v>
      </c>
      <c r="AB499">
        <v>4</v>
      </c>
      <c r="AC499" t="s">
        <v>601</v>
      </c>
      <c r="AD499">
        <v>10</v>
      </c>
      <c r="AG499" t="s">
        <v>173</v>
      </c>
      <c r="AH499" t="s">
        <v>174</v>
      </c>
      <c r="AI499" t="s">
        <v>175</v>
      </c>
      <c r="AJ499" t="s">
        <v>176</v>
      </c>
      <c r="AK499" t="s">
        <v>940</v>
      </c>
      <c r="AL499" t="s">
        <v>941</v>
      </c>
      <c r="AS499">
        <v>3550</v>
      </c>
      <c r="AT499">
        <v>3550</v>
      </c>
      <c r="BN499" t="s">
        <v>338</v>
      </c>
      <c r="BO499">
        <v>2</v>
      </c>
      <c r="BP499">
        <v>2</v>
      </c>
      <c r="BQ499">
        <v>33</v>
      </c>
      <c r="BR499" t="s">
        <v>1497</v>
      </c>
      <c r="BT499" t="s">
        <v>181</v>
      </c>
      <c r="BU499" s="1">
        <v>45467</v>
      </c>
      <c r="BV499">
        <v>34770</v>
      </c>
      <c r="BX499" t="s">
        <v>169</v>
      </c>
      <c r="BY499" t="s">
        <v>170</v>
      </c>
      <c r="CB499" t="s">
        <v>170</v>
      </c>
      <c r="CC499" t="s">
        <v>170</v>
      </c>
      <c r="CE499" t="s">
        <v>170</v>
      </c>
      <c r="CG499" t="s">
        <v>169</v>
      </c>
      <c r="CH499" t="s">
        <v>1319</v>
      </c>
      <c r="CI499" t="s">
        <v>170</v>
      </c>
      <c r="CK499" t="s">
        <v>233</v>
      </c>
      <c r="CM499">
        <v>1</v>
      </c>
      <c r="CN499" t="s">
        <v>234</v>
      </c>
      <c r="CP499">
        <v>48</v>
      </c>
      <c r="CQ499">
        <v>8</v>
      </c>
      <c r="CR499">
        <v>370</v>
      </c>
      <c r="CS499" t="s">
        <v>235</v>
      </c>
      <c r="CV499" t="s">
        <v>341</v>
      </c>
      <c r="CX499" t="s">
        <v>342</v>
      </c>
      <c r="CY499" t="s">
        <v>170</v>
      </c>
      <c r="DD499">
        <v>1</v>
      </c>
      <c r="DE499" t="s">
        <v>237</v>
      </c>
      <c r="DG499">
        <v>22</v>
      </c>
      <c r="DJ499" t="s">
        <v>184</v>
      </c>
      <c r="DK499" t="s">
        <v>185</v>
      </c>
      <c r="DL499" t="s">
        <v>170</v>
      </c>
      <c r="DM499" t="s">
        <v>170</v>
      </c>
      <c r="DN499" t="s">
        <v>170</v>
      </c>
      <c r="DO499" t="s">
        <v>197</v>
      </c>
      <c r="DP499" t="s">
        <v>169</v>
      </c>
      <c r="DQ499" t="s">
        <v>198</v>
      </c>
      <c r="DR499" t="s">
        <v>1604</v>
      </c>
      <c r="DY499">
        <v>23.1</v>
      </c>
      <c r="EB499">
        <v>4</v>
      </c>
      <c r="EC499">
        <v>4</v>
      </c>
      <c r="EE499" t="s">
        <v>1595</v>
      </c>
      <c r="EF499">
        <v>5</v>
      </c>
      <c r="EV499">
        <v>8250</v>
      </c>
      <c r="EW499">
        <v>574</v>
      </c>
      <c r="EX499">
        <v>411</v>
      </c>
      <c r="EY499">
        <v>501</v>
      </c>
    </row>
    <row r="500" spans="1:155" x14ac:dyDescent="0.35">
      <c r="A500">
        <v>2025</v>
      </c>
      <c r="B500" t="s">
        <v>1315</v>
      </c>
      <c r="C500" t="s">
        <v>1346</v>
      </c>
      <c r="D500" t="s">
        <v>1605</v>
      </c>
      <c r="E500" t="s">
        <v>1318</v>
      </c>
      <c r="F500">
        <v>439</v>
      </c>
      <c r="G500">
        <v>4.4000000000000004</v>
      </c>
      <c r="H500">
        <v>8</v>
      </c>
      <c r="I500" t="s">
        <v>192</v>
      </c>
      <c r="J500">
        <v>16</v>
      </c>
      <c r="K500">
        <v>22</v>
      </c>
      <c r="L500">
        <v>18</v>
      </c>
      <c r="M500">
        <v>19.226099999999999</v>
      </c>
      <c r="N500">
        <v>30.244399999999999</v>
      </c>
      <c r="O500">
        <v>22.995999999999999</v>
      </c>
      <c r="P500">
        <v>15.5008</v>
      </c>
      <c r="Q500">
        <v>21.713100000000001</v>
      </c>
      <c r="R500">
        <v>17.791399999999999</v>
      </c>
      <c r="T500" t="s">
        <v>165</v>
      </c>
      <c r="U500" t="s">
        <v>166</v>
      </c>
      <c r="V500" t="s">
        <v>193</v>
      </c>
      <c r="W500" t="s">
        <v>194</v>
      </c>
      <c r="Y500">
        <v>8</v>
      </c>
      <c r="Z500" t="s">
        <v>169</v>
      </c>
      <c r="AA500" t="s">
        <v>170</v>
      </c>
      <c r="AB500">
        <v>4</v>
      </c>
      <c r="AC500" t="s">
        <v>601</v>
      </c>
      <c r="AD500">
        <v>10</v>
      </c>
      <c r="AG500" t="s">
        <v>173</v>
      </c>
      <c r="AH500" t="s">
        <v>174</v>
      </c>
      <c r="AI500" t="s">
        <v>175</v>
      </c>
      <c r="AJ500" t="s">
        <v>176</v>
      </c>
      <c r="AK500" t="s">
        <v>940</v>
      </c>
      <c r="AL500" t="s">
        <v>941</v>
      </c>
      <c r="AS500">
        <v>3550</v>
      </c>
      <c r="AT500">
        <v>3550</v>
      </c>
      <c r="BN500" t="s">
        <v>338</v>
      </c>
      <c r="BO500">
        <v>2</v>
      </c>
      <c r="BP500">
        <v>2</v>
      </c>
      <c r="BQ500">
        <v>33</v>
      </c>
      <c r="BR500" t="s">
        <v>1497</v>
      </c>
      <c r="BT500" t="s">
        <v>181</v>
      </c>
      <c r="BU500" s="1">
        <v>45467</v>
      </c>
      <c r="BV500">
        <v>34769</v>
      </c>
      <c r="BX500" t="s">
        <v>169</v>
      </c>
      <c r="BY500" t="s">
        <v>170</v>
      </c>
      <c r="CB500" t="s">
        <v>170</v>
      </c>
      <c r="CC500" t="s">
        <v>170</v>
      </c>
      <c r="CE500" t="s">
        <v>170</v>
      </c>
      <c r="CG500" t="s">
        <v>169</v>
      </c>
      <c r="CH500" t="s">
        <v>1319</v>
      </c>
      <c r="CI500" t="s">
        <v>170</v>
      </c>
      <c r="CK500" t="s">
        <v>233</v>
      </c>
      <c r="CM500">
        <v>1</v>
      </c>
      <c r="CN500" t="s">
        <v>234</v>
      </c>
      <c r="CP500">
        <v>48</v>
      </c>
      <c r="CQ500">
        <v>8</v>
      </c>
      <c r="CR500">
        <v>370</v>
      </c>
      <c r="CS500" t="s">
        <v>235</v>
      </c>
      <c r="CV500" t="s">
        <v>341</v>
      </c>
      <c r="CX500" t="s">
        <v>342</v>
      </c>
      <c r="CY500" t="s">
        <v>170</v>
      </c>
      <c r="DD500">
        <v>1</v>
      </c>
      <c r="DE500" t="s">
        <v>237</v>
      </c>
      <c r="DG500">
        <v>22</v>
      </c>
      <c r="DJ500" t="s">
        <v>184</v>
      </c>
      <c r="DK500" t="s">
        <v>185</v>
      </c>
      <c r="DL500" t="s">
        <v>170</v>
      </c>
      <c r="DM500" t="s">
        <v>170</v>
      </c>
      <c r="DN500" t="s">
        <v>170</v>
      </c>
      <c r="DO500" t="s">
        <v>197</v>
      </c>
      <c r="DP500" t="s">
        <v>169</v>
      </c>
      <c r="DQ500" t="s">
        <v>198</v>
      </c>
      <c r="DR500" t="s">
        <v>1605</v>
      </c>
      <c r="DY500">
        <v>23.1</v>
      </c>
      <c r="EB500">
        <v>4</v>
      </c>
      <c r="EC500">
        <v>4</v>
      </c>
      <c r="EE500" t="s">
        <v>1595</v>
      </c>
      <c r="EF500">
        <v>5</v>
      </c>
      <c r="EV500">
        <v>8250</v>
      </c>
      <c r="EW500">
        <v>574</v>
      </c>
      <c r="EX500">
        <v>411</v>
      </c>
      <c r="EY500">
        <v>501</v>
      </c>
    </row>
    <row r="501" spans="1:155" x14ac:dyDescent="0.35">
      <c r="A501">
        <v>2025</v>
      </c>
      <c r="B501" t="s">
        <v>1315</v>
      </c>
      <c r="C501" t="s">
        <v>1346</v>
      </c>
      <c r="D501" t="s">
        <v>1351</v>
      </c>
      <c r="E501" t="s">
        <v>1318</v>
      </c>
      <c r="F501">
        <v>562</v>
      </c>
      <c r="G501">
        <v>2</v>
      </c>
      <c r="H501">
        <v>4</v>
      </c>
      <c r="I501" t="s">
        <v>192</v>
      </c>
      <c r="J501">
        <v>22</v>
      </c>
      <c r="K501">
        <v>26</v>
      </c>
      <c r="L501">
        <v>23</v>
      </c>
      <c r="M501">
        <v>27.379300000000001</v>
      </c>
      <c r="N501">
        <v>37.201999999999998</v>
      </c>
      <c r="O501">
        <v>31.071100000000001</v>
      </c>
      <c r="P501">
        <v>21.537600000000001</v>
      </c>
      <c r="Q501">
        <v>26.3231</v>
      </c>
      <c r="R501">
        <v>23.456600000000002</v>
      </c>
      <c r="T501" t="s">
        <v>165</v>
      </c>
      <c r="U501" t="s">
        <v>166</v>
      </c>
      <c r="V501" t="s">
        <v>193</v>
      </c>
      <c r="W501" t="s">
        <v>194</v>
      </c>
      <c r="Y501">
        <v>8</v>
      </c>
      <c r="Z501" t="s">
        <v>169</v>
      </c>
      <c r="AA501" t="s">
        <v>170</v>
      </c>
      <c r="AB501" t="s">
        <v>167</v>
      </c>
      <c r="AC501" t="s">
        <v>213</v>
      </c>
      <c r="AD501">
        <v>10</v>
      </c>
      <c r="AG501" t="s">
        <v>173</v>
      </c>
      <c r="AH501" t="s">
        <v>174</v>
      </c>
      <c r="AI501" t="s">
        <v>175</v>
      </c>
      <c r="AJ501" t="s">
        <v>176</v>
      </c>
      <c r="AK501" t="s">
        <v>940</v>
      </c>
      <c r="AL501" t="s">
        <v>941</v>
      </c>
      <c r="AS501">
        <v>2750</v>
      </c>
      <c r="AT501">
        <v>2750</v>
      </c>
      <c r="BN501" t="s">
        <v>178</v>
      </c>
      <c r="BO501">
        <v>2</v>
      </c>
      <c r="BP501">
        <v>2</v>
      </c>
      <c r="BQ501">
        <v>31</v>
      </c>
      <c r="BR501" t="s">
        <v>1219</v>
      </c>
      <c r="BT501" t="s">
        <v>181</v>
      </c>
      <c r="BU501" s="1">
        <v>45327</v>
      </c>
      <c r="BV501">
        <v>34407</v>
      </c>
      <c r="BX501" t="s">
        <v>169</v>
      </c>
      <c r="BY501" t="s">
        <v>170</v>
      </c>
      <c r="CB501" t="s">
        <v>170</v>
      </c>
      <c r="CC501" t="s">
        <v>170</v>
      </c>
      <c r="CE501" t="s">
        <v>170</v>
      </c>
      <c r="CG501" t="s">
        <v>169</v>
      </c>
      <c r="CH501" t="s">
        <v>1319</v>
      </c>
      <c r="CI501" t="s">
        <v>169</v>
      </c>
      <c r="CJ501" t="s">
        <v>1320</v>
      </c>
      <c r="DJ501" t="s">
        <v>184</v>
      </c>
      <c r="DK501" t="s">
        <v>185</v>
      </c>
      <c r="DL501" t="s">
        <v>170</v>
      </c>
      <c r="DM501" t="s">
        <v>170</v>
      </c>
      <c r="DN501" t="s">
        <v>170</v>
      </c>
      <c r="DO501" t="s">
        <v>197</v>
      </c>
      <c r="DP501" t="s">
        <v>169</v>
      </c>
      <c r="DQ501" t="s">
        <v>198</v>
      </c>
      <c r="DR501" t="s">
        <v>1352</v>
      </c>
      <c r="DY501">
        <v>31.3</v>
      </c>
      <c r="EB501">
        <v>5</v>
      </c>
      <c r="EC501">
        <v>5</v>
      </c>
      <c r="EE501" t="s">
        <v>1321</v>
      </c>
      <c r="EF501">
        <v>6</v>
      </c>
      <c r="EV501">
        <v>4250</v>
      </c>
      <c r="EW501">
        <v>415</v>
      </c>
      <c r="EX501">
        <v>339</v>
      </c>
      <c r="EY501">
        <v>381</v>
      </c>
    </row>
    <row r="502" spans="1:155" x14ac:dyDescent="0.35">
      <c r="A502">
        <v>2025</v>
      </c>
      <c r="B502" t="s">
        <v>1315</v>
      </c>
      <c r="C502" t="s">
        <v>1346</v>
      </c>
      <c r="D502" t="s">
        <v>1353</v>
      </c>
      <c r="E502" t="s">
        <v>1318</v>
      </c>
      <c r="F502">
        <v>566</v>
      </c>
      <c r="G502">
        <v>3</v>
      </c>
      <c r="H502">
        <v>6</v>
      </c>
      <c r="I502" t="s">
        <v>192</v>
      </c>
      <c r="J502">
        <v>19</v>
      </c>
      <c r="K502">
        <v>26</v>
      </c>
      <c r="L502">
        <v>22</v>
      </c>
      <c r="M502">
        <v>24.439699999999998</v>
      </c>
      <c r="N502">
        <v>36.727899999999998</v>
      </c>
      <c r="O502">
        <v>28.7715</v>
      </c>
      <c r="P502">
        <v>19.366299999999999</v>
      </c>
      <c r="Q502">
        <v>25.998699999999999</v>
      </c>
      <c r="R502">
        <v>21.877800000000001</v>
      </c>
      <c r="T502" t="s">
        <v>484</v>
      </c>
      <c r="U502" t="s">
        <v>485</v>
      </c>
      <c r="V502" t="s">
        <v>193</v>
      </c>
      <c r="W502" t="s">
        <v>194</v>
      </c>
      <c r="Y502">
        <v>8</v>
      </c>
      <c r="Z502" t="s">
        <v>169</v>
      </c>
      <c r="AA502" t="s">
        <v>170</v>
      </c>
      <c r="AB502">
        <v>4</v>
      </c>
      <c r="AC502" t="s">
        <v>601</v>
      </c>
      <c r="AD502">
        <v>10</v>
      </c>
      <c r="AG502" t="s">
        <v>173</v>
      </c>
      <c r="AH502" t="s">
        <v>174</v>
      </c>
      <c r="AI502" t="s">
        <v>175</v>
      </c>
      <c r="AJ502" t="s">
        <v>176</v>
      </c>
      <c r="AK502" t="s">
        <v>940</v>
      </c>
      <c r="AL502" t="s">
        <v>941</v>
      </c>
      <c r="AS502">
        <v>2900</v>
      </c>
      <c r="AT502">
        <v>2900</v>
      </c>
      <c r="BN502" t="s">
        <v>338</v>
      </c>
      <c r="BO502">
        <v>2</v>
      </c>
      <c r="BP502">
        <v>2</v>
      </c>
      <c r="BQ502">
        <v>31</v>
      </c>
      <c r="BR502" t="s">
        <v>1219</v>
      </c>
      <c r="BT502" t="s">
        <v>181</v>
      </c>
      <c r="BU502" s="1">
        <v>45327</v>
      </c>
      <c r="BV502">
        <v>34409</v>
      </c>
      <c r="BX502" t="s">
        <v>169</v>
      </c>
      <c r="BY502" t="s">
        <v>170</v>
      </c>
      <c r="CB502" t="s">
        <v>170</v>
      </c>
      <c r="CC502" t="s">
        <v>170</v>
      </c>
      <c r="CE502" t="s">
        <v>170</v>
      </c>
      <c r="CG502" t="s">
        <v>169</v>
      </c>
      <c r="CH502" t="s">
        <v>1323</v>
      </c>
      <c r="CI502" t="s">
        <v>170</v>
      </c>
      <c r="CK502" t="s">
        <v>233</v>
      </c>
      <c r="CM502">
        <v>1</v>
      </c>
      <c r="CN502" t="s">
        <v>234</v>
      </c>
      <c r="CP502">
        <v>48</v>
      </c>
      <c r="CQ502">
        <v>8</v>
      </c>
      <c r="CR502">
        <v>370</v>
      </c>
      <c r="CS502" t="s">
        <v>235</v>
      </c>
      <c r="CV502" t="s">
        <v>236</v>
      </c>
      <c r="DD502">
        <v>1</v>
      </c>
      <c r="DE502" t="s">
        <v>237</v>
      </c>
      <c r="DG502">
        <v>15</v>
      </c>
      <c r="DJ502" t="s">
        <v>184</v>
      </c>
      <c r="DK502" t="s">
        <v>185</v>
      </c>
      <c r="DL502" t="s">
        <v>170</v>
      </c>
      <c r="DM502" t="s">
        <v>170</v>
      </c>
      <c r="DN502" t="s">
        <v>170</v>
      </c>
      <c r="DO502" t="s">
        <v>197</v>
      </c>
      <c r="DP502" t="s">
        <v>169</v>
      </c>
      <c r="DQ502" t="s">
        <v>198</v>
      </c>
      <c r="DR502" t="s">
        <v>1353</v>
      </c>
      <c r="DY502">
        <v>28.9</v>
      </c>
      <c r="EB502">
        <v>5</v>
      </c>
      <c r="EC502">
        <v>5</v>
      </c>
      <c r="EE502" t="s">
        <v>1325</v>
      </c>
      <c r="EF502">
        <v>6</v>
      </c>
      <c r="EV502">
        <v>5000</v>
      </c>
      <c r="EW502">
        <v>460</v>
      </c>
      <c r="EX502">
        <v>343</v>
      </c>
      <c r="EY502">
        <v>407</v>
      </c>
    </row>
    <row r="503" spans="1:155" x14ac:dyDescent="0.35">
      <c r="A503">
        <v>2025</v>
      </c>
      <c r="B503" t="s">
        <v>1315</v>
      </c>
      <c r="C503" t="s">
        <v>1346</v>
      </c>
      <c r="D503" t="s">
        <v>1354</v>
      </c>
      <c r="E503" t="s">
        <v>1318</v>
      </c>
      <c r="F503">
        <v>567</v>
      </c>
      <c r="G503">
        <v>3</v>
      </c>
      <c r="H503">
        <v>6</v>
      </c>
      <c r="I503" t="s">
        <v>192</v>
      </c>
      <c r="J503">
        <v>19</v>
      </c>
      <c r="K503">
        <v>25</v>
      </c>
      <c r="L503">
        <v>21</v>
      </c>
      <c r="M503">
        <v>23.479800000000001</v>
      </c>
      <c r="N503">
        <v>35.277999999999999</v>
      </c>
      <c r="O503">
        <v>27.639399999999998</v>
      </c>
      <c r="P503">
        <v>18.706600000000002</v>
      </c>
      <c r="Q503">
        <v>25.086300000000001</v>
      </c>
      <c r="R503">
        <v>21.124099999999999</v>
      </c>
      <c r="T503" t="s">
        <v>484</v>
      </c>
      <c r="U503" t="s">
        <v>485</v>
      </c>
      <c r="V503" t="s">
        <v>193</v>
      </c>
      <c r="W503" t="s">
        <v>194</v>
      </c>
      <c r="Y503">
        <v>8</v>
      </c>
      <c r="Z503" t="s">
        <v>169</v>
      </c>
      <c r="AA503" t="s">
        <v>170</v>
      </c>
      <c r="AB503">
        <v>4</v>
      </c>
      <c r="AC503" t="s">
        <v>601</v>
      </c>
      <c r="AD503">
        <v>10</v>
      </c>
      <c r="AG503" t="s">
        <v>173</v>
      </c>
      <c r="AH503" t="s">
        <v>174</v>
      </c>
      <c r="AI503" t="s">
        <v>175</v>
      </c>
      <c r="AJ503" t="s">
        <v>176</v>
      </c>
      <c r="AK503" t="s">
        <v>940</v>
      </c>
      <c r="AL503" t="s">
        <v>941</v>
      </c>
      <c r="AS503">
        <v>3050</v>
      </c>
      <c r="AT503">
        <v>3050</v>
      </c>
      <c r="BN503" t="s">
        <v>338</v>
      </c>
      <c r="BO503">
        <v>2</v>
      </c>
      <c r="BP503">
        <v>2</v>
      </c>
      <c r="BQ503">
        <v>31</v>
      </c>
      <c r="BR503" t="s">
        <v>1219</v>
      </c>
      <c r="BT503" t="s">
        <v>181</v>
      </c>
      <c r="BU503" s="1">
        <v>45327</v>
      </c>
      <c r="BV503">
        <v>34410</v>
      </c>
      <c r="BX503" t="s">
        <v>169</v>
      </c>
      <c r="BY503" t="s">
        <v>170</v>
      </c>
      <c r="CB503" t="s">
        <v>170</v>
      </c>
      <c r="CC503" t="s">
        <v>170</v>
      </c>
      <c r="CE503" t="s">
        <v>170</v>
      </c>
      <c r="CG503" t="s">
        <v>169</v>
      </c>
      <c r="CH503" t="s">
        <v>1323</v>
      </c>
      <c r="CI503" t="s">
        <v>170</v>
      </c>
      <c r="CK503" t="s">
        <v>233</v>
      </c>
      <c r="CM503">
        <v>1</v>
      </c>
      <c r="CN503" t="s">
        <v>234</v>
      </c>
      <c r="CP503">
        <v>48</v>
      </c>
      <c r="CQ503">
        <v>8</v>
      </c>
      <c r="CR503">
        <v>370</v>
      </c>
      <c r="CS503" t="s">
        <v>235</v>
      </c>
      <c r="CV503" t="s">
        <v>236</v>
      </c>
      <c r="DD503">
        <v>1</v>
      </c>
      <c r="DE503" t="s">
        <v>237</v>
      </c>
      <c r="DG503">
        <v>15</v>
      </c>
      <c r="DJ503" t="s">
        <v>184</v>
      </c>
      <c r="DK503" t="s">
        <v>185</v>
      </c>
      <c r="DL503" t="s">
        <v>170</v>
      </c>
      <c r="DM503" t="s">
        <v>170</v>
      </c>
      <c r="DN503" t="s">
        <v>170</v>
      </c>
      <c r="DO503" t="s">
        <v>197</v>
      </c>
      <c r="DP503" t="s">
        <v>169</v>
      </c>
      <c r="DQ503" t="s">
        <v>198</v>
      </c>
      <c r="DR503" t="s">
        <v>1355</v>
      </c>
      <c r="DY503">
        <v>27.9</v>
      </c>
      <c r="EB503">
        <v>4</v>
      </c>
      <c r="EC503">
        <v>4</v>
      </c>
      <c r="EE503" t="s">
        <v>1325</v>
      </c>
      <c r="EF503">
        <v>6</v>
      </c>
      <c r="EV503">
        <v>5750</v>
      </c>
      <c r="EW503">
        <v>473</v>
      </c>
      <c r="EX503">
        <v>354</v>
      </c>
      <c r="EY503">
        <v>420</v>
      </c>
    </row>
    <row r="504" spans="1:155" x14ac:dyDescent="0.35">
      <c r="A504">
        <v>2025</v>
      </c>
      <c r="B504" t="s">
        <v>327</v>
      </c>
      <c r="C504" t="s">
        <v>328</v>
      </c>
      <c r="D504" t="s">
        <v>766</v>
      </c>
      <c r="E504" t="s">
        <v>330</v>
      </c>
      <c r="F504">
        <v>80</v>
      </c>
      <c r="G504">
        <v>2.5</v>
      </c>
      <c r="H504">
        <v>4</v>
      </c>
      <c r="I504" t="s">
        <v>192</v>
      </c>
      <c r="J504">
        <v>24</v>
      </c>
      <c r="K504">
        <v>33</v>
      </c>
      <c r="L504">
        <v>28</v>
      </c>
      <c r="M504">
        <v>31.4</v>
      </c>
      <c r="N504">
        <v>48.5</v>
      </c>
      <c r="O504">
        <v>37.321399999999997</v>
      </c>
      <c r="P504">
        <v>24.368300000000001</v>
      </c>
      <c r="Q504">
        <v>33.465299999999999</v>
      </c>
      <c r="R504">
        <v>27.764600000000002</v>
      </c>
      <c r="U504" t="s">
        <v>224</v>
      </c>
      <c r="V504" t="s">
        <v>193</v>
      </c>
      <c r="W504" t="s">
        <v>194</v>
      </c>
      <c r="Y504">
        <v>8</v>
      </c>
      <c r="Z504" t="s">
        <v>169</v>
      </c>
      <c r="AA504" t="s">
        <v>170</v>
      </c>
      <c r="AB504" t="s">
        <v>167</v>
      </c>
      <c r="AC504" t="s">
        <v>213</v>
      </c>
      <c r="AD504">
        <v>15</v>
      </c>
      <c r="AG504" t="s">
        <v>210</v>
      </c>
      <c r="AH504" t="s">
        <v>444</v>
      </c>
      <c r="AI504" t="s">
        <v>175</v>
      </c>
      <c r="AJ504" t="s">
        <v>176</v>
      </c>
      <c r="AK504" t="s">
        <v>170</v>
      </c>
      <c r="AL504" t="s">
        <v>177</v>
      </c>
      <c r="AO504">
        <v>97</v>
      </c>
      <c r="AP504">
        <v>14</v>
      </c>
      <c r="AS504">
        <v>1900</v>
      </c>
      <c r="AT504">
        <v>1900</v>
      </c>
      <c r="BN504" t="s">
        <v>265</v>
      </c>
      <c r="BO504">
        <v>2</v>
      </c>
      <c r="BP504">
        <v>2</v>
      </c>
      <c r="BQ504">
        <v>5</v>
      </c>
      <c r="BR504" t="s">
        <v>672</v>
      </c>
      <c r="BS504" t="s">
        <v>180</v>
      </c>
      <c r="BT504" t="s">
        <v>181</v>
      </c>
      <c r="BU504" s="1">
        <v>45475</v>
      </c>
      <c r="BV504">
        <v>35193</v>
      </c>
      <c r="BX504" t="s">
        <v>170</v>
      </c>
      <c r="BY504" t="s">
        <v>170</v>
      </c>
      <c r="CB504" t="s">
        <v>170</v>
      </c>
      <c r="CC504" t="s">
        <v>170</v>
      </c>
      <c r="CE504" t="s">
        <v>170</v>
      </c>
      <c r="CG504" t="s">
        <v>169</v>
      </c>
      <c r="CH504" t="s">
        <v>333</v>
      </c>
      <c r="CI504" t="s">
        <v>170</v>
      </c>
      <c r="DJ504" t="s">
        <v>267</v>
      </c>
      <c r="DK504" t="s">
        <v>268</v>
      </c>
      <c r="DL504" t="s">
        <v>170</v>
      </c>
      <c r="DN504" t="s">
        <v>170</v>
      </c>
      <c r="DO504" t="s">
        <v>640</v>
      </c>
      <c r="DP504" t="s">
        <v>170</v>
      </c>
      <c r="DQ504" t="s">
        <v>187</v>
      </c>
      <c r="DY504">
        <v>37.700000000000003</v>
      </c>
      <c r="EB504">
        <v>6</v>
      </c>
      <c r="EC504">
        <v>6</v>
      </c>
      <c r="EE504" t="s">
        <v>767</v>
      </c>
      <c r="EF504">
        <v>5</v>
      </c>
      <c r="EU504">
        <v>0</v>
      </c>
      <c r="EW504">
        <v>365</v>
      </c>
      <c r="EX504">
        <v>265</v>
      </c>
      <c r="EY504">
        <v>320</v>
      </c>
    </row>
    <row r="505" spans="1:155" x14ac:dyDescent="0.35">
      <c r="A505">
        <v>2025</v>
      </c>
      <c r="B505" t="s">
        <v>327</v>
      </c>
      <c r="C505" t="s">
        <v>328</v>
      </c>
      <c r="D505" t="s">
        <v>768</v>
      </c>
      <c r="E505" t="s">
        <v>330</v>
      </c>
      <c r="F505">
        <v>86</v>
      </c>
      <c r="G505">
        <v>2.5</v>
      </c>
      <c r="H505">
        <v>4</v>
      </c>
      <c r="I505" t="s">
        <v>594</v>
      </c>
      <c r="J505">
        <v>43</v>
      </c>
      <c r="K505">
        <v>44</v>
      </c>
      <c r="L505">
        <v>44</v>
      </c>
      <c r="M505">
        <v>63.171500000000002</v>
      </c>
      <c r="N505">
        <v>64.619399999999999</v>
      </c>
      <c r="O505">
        <v>63.814900000000002</v>
      </c>
      <c r="P505">
        <v>43</v>
      </c>
      <c r="Q505">
        <v>44</v>
      </c>
      <c r="R505">
        <v>44</v>
      </c>
      <c r="U505" t="s">
        <v>224</v>
      </c>
      <c r="V505" t="s">
        <v>463</v>
      </c>
      <c r="W505" t="s">
        <v>464</v>
      </c>
      <c r="Y505">
        <v>6</v>
      </c>
      <c r="Z505" t="s">
        <v>170</v>
      </c>
      <c r="AA505" t="s">
        <v>170</v>
      </c>
      <c r="AB505" t="s">
        <v>351</v>
      </c>
      <c r="AC505" t="s">
        <v>352</v>
      </c>
      <c r="AD505">
        <v>15</v>
      </c>
      <c r="AG505" t="s">
        <v>210</v>
      </c>
      <c r="AH505" t="s">
        <v>444</v>
      </c>
      <c r="AI505" t="s">
        <v>175</v>
      </c>
      <c r="AJ505" t="s">
        <v>176</v>
      </c>
      <c r="AK505" t="s">
        <v>170</v>
      </c>
      <c r="AL505" t="s">
        <v>177</v>
      </c>
      <c r="AO505">
        <v>97</v>
      </c>
      <c r="AP505">
        <v>14</v>
      </c>
      <c r="AS505">
        <v>1200</v>
      </c>
      <c r="AT505">
        <v>1200</v>
      </c>
      <c r="BN505" t="s">
        <v>465</v>
      </c>
      <c r="BO505">
        <v>2</v>
      </c>
      <c r="BP505">
        <v>2</v>
      </c>
      <c r="BQ505">
        <v>5</v>
      </c>
      <c r="BR505" t="s">
        <v>672</v>
      </c>
      <c r="BS505" t="s">
        <v>180</v>
      </c>
      <c r="BT505" t="s">
        <v>225</v>
      </c>
      <c r="BU505" s="1">
        <v>45475</v>
      </c>
      <c r="BV505">
        <v>35201</v>
      </c>
      <c r="BX505" t="s">
        <v>170</v>
      </c>
      <c r="BY505" t="s">
        <v>170</v>
      </c>
      <c r="CB505" t="s">
        <v>170</v>
      </c>
      <c r="CC505" t="s">
        <v>170</v>
      </c>
      <c r="CE505" t="s">
        <v>170</v>
      </c>
      <c r="CG505" t="s">
        <v>169</v>
      </c>
      <c r="CH505" t="s">
        <v>333</v>
      </c>
      <c r="CI505" t="s">
        <v>170</v>
      </c>
      <c r="CK505" t="s">
        <v>233</v>
      </c>
      <c r="CM505">
        <v>1</v>
      </c>
      <c r="CN505" t="s">
        <v>234</v>
      </c>
      <c r="CP505">
        <v>259</v>
      </c>
      <c r="CQ505">
        <v>4</v>
      </c>
      <c r="CR505">
        <v>68.5</v>
      </c>
      <c r="CS505" t="s">
        <v>235</v>
      </c>
      <c r="CV505" t="s">
        <v>341</v>
      </c>
      <c r="CX505" t="s">
        <v>729</v>
      </c>
      <c r="CY505" t="s">
        <v>170</v>
      </c>
      <c r="DD505">
        <v>1</v>
      </c>
      <c r="DE505" t="s">
        <v>404</v>
      </c>
      <c r="DF505" t="s">
        <v>466</v>
      </c>
      <c r="DG505">
        <v>88</v>
      </c>
      <c r="DJ505" t="s">
        <v>267</v>
      </c>
      <c r="DK505" t="s">
        <v>268</v>
      </c>
      <c r="DL505" t="s">
        <v>170</v>
      </c>
      <c r="DM505" t="s">
        <v>170</v>
      </c>
      <c r="DN505" t="s">
        <v>170</v>
      </c>
      <c r="DO505" t="s">
        <v>640</v>
      </c>
      <c r="DP505" t="s">
        <v>169</v>
      </c>
      <c r="DQ505" t="s">
        <v>198</v>
      </c>
      <c r="DR505" t="s">
        <v>467</v>
      </c>
      <c r="DY505">
        <v>64.5</v>
      </c>
      <c r="EB505">
        <v>7</v>
      </c>
      <c r="EC505">
        <v>7</v>
      </c>
      <c r="EE505" t="s">
        <v>769</v>
      </c>
      <c r="EF505">
        <v>6</v>
      </c>
      <c r="EU505">
        <v>3500</v>
      </c>
      <c r="EW505">
        <v>204</v>
      </c>
      <c r="EX505">
        <v>200</v>
      </c>
      <c r="EY505">
        <v>200</v>
      </c>
    </row>
    <row r="506" spans="1:155" x14ac:dyDescent="0.35">
      <c r="A506">
        <v>2025</v>
      </c>
      <c r="B506" t="s">
        <v>327</v>
      </c>
      <c r="C506" t="s">
        <v>328</v>
      </c>
      <c r="D506" t="s">
        <v>770</v>
      </c>
      <c r="E506" t="s">
        <v>330</v>
      </c>
      <c r="F506">
        <v>76</v>
      </c>
      <c r="G506">
        <v>3.5</v>
      </c>
      <c r="H506">
        <v>6</v>
      </c>
      <c r="I506" t="s">
        <v>192</v>
      </c>
      <c r="J506">
        <v>22</v>
      </c>
      <c r="K506">
        <v>32</v>
      </c>
      <c r="L506">
        <v>25</v>
      </c>
      <c r="M506">
        <v>27.755099999999999</v>
      </c>
      <c r="N506">
        <v>46.203299999999999</v>
      </c>
      <c r="O506">
        <v>33.834400000000002</v>
      </c>
      <c r="P506">
        <v>21.791799999999999</v>
      </c>
      <c r="Q506">
        <v>32.0426</v>
      </c>
      <c r="R506">
        <v>25.456499999999998</v>
      </c>
      <c r="U506" t="s">
        <v>224</v>
      </c>
      <c r="V506" t="s">
        <v>193</v>
      </c>
      <c r="W506" t="s">
        <v>194</v>
      </c>
      <c r="Y506">
        <v>8</v>
      </c>
      <c r="Z506" t="s">
        <v>169</v>
      </c>
      <c r="AA506" t="s">
        <v>170</v>
      </c>
      <c r="AB506" t="s">
        <v>351</v>
      </c>
      <c r="AC506" t="s">
        <v>352</v>
      </c>
      <c r="AD506">
        <v>15</v>
      </c>
      <c r="AG506" t="s">
        <v>210</v>
      </c>
      <c r="AH506" t="s">
        <v>444</v>
      </c>
      <c r="AI506" t="s">
        <v>175</v>
      </c>
      <c r="AJ506" t="s">
        <v>176</v>
      </c>
      <c r="AK506" t="s">
        <v>170</v>
      </c>
      <c r="AL506" t="s">
        <v>177</v>
      </c>
      <c r="AO506">
        <v>98</v>
      </c>
      <c r="AP506">
        <v>14</v>
      </c>
      <c r="AS506">
        <v>2100</v>
      </c>
      <c r="AT506">
        <v>2100</v>
      </c>
      <c r="BN506" t="s">
        <v>265</v>
      </c>
      <c r="BO506">
        <v>2</v>
      </c>
      <c r="BP506">
        <v>2</v>
      </c>
      <c r="BQ506">
        <v>5</v>
      </c>
      <c r="BR506" t="s">
        <v>672</v>
      </c>
      <c r="BS506" t="s">
        <v>180</v>
      </c>
      <c r="BT506" t="s">
        <v>181</v>
      </c>
      <c r="BU506" s="1">
        <v>45475</v>
      </c>
      <c r="BV506">
        <v>35200</v>
      </c>
      <c r="BX506" t="s">
        <v>169</v>
      </c>
      <c r="BY506" t="s">
        <v>170</v>
      </c>
      <c r="CB506" t="s">
        <v>170</v>
      </c>
      <c r="CC506" t="s">
        <v>170</v>
      </c>
      <c r="CE506" t="s">
        <v>170</v>
      </c>
      <c r="CG506" t="s">
        <v>169</v>
      </c>
      <c r="CH506" t="s">
        <v>333</v>
      </c>
      <c r="CI506" t="s">
        <v>170</v>
      </c>
      <c r="DJ506" t="s">
        <v>267</v>
      </c>
      <c r="DK506" t="s">
        <v>268</v>
      </c>
      <c r="DN506" t="s">
        <v>170</v>
      </c>
      <c r="DO506" t="s">
        <v>358</v>
      </c>
      <c r="DP506" t="s">
        <v>170</v>
      </c>
      <c r="DQ506" t="s">
        <v>187</v>
      </c>
      <c r="DY506">
        <v>34.200000000000003</v>
      </c>
      <c r="EB506">
        <v>5</v>
      </c>
      <c r="EC506">
        <v>5</v>
      </c>
      <c r="EE506" t="s">
        <v>771</v>
      </c>
      <c r="EF506">
        <v>4</v>
      </c>
      <c r="EV506">
        <v>1000</v>
      </c>
      <c r="EW506">
        <v>405</v>
      </c>
      <c r="EX506">
        <v>276</v>
      </c>
      <c r="EY506">
        <v>347</v>
      </c>
    </row>
    <row r="507" spans="1:155" x14ac:dyDescent="0.35">
      <c r="A507">
        <v>2025</v>
      </c>
      <c r="B507" t="s">
        <v>327</v>
      </c>
      <c r="C507" t="s">
        <v>328</v>
      </c>
      <c r="D507" t="s">
        <v>772</v>
      </c>
      <c r="E507" t="s">
        <v>330</v>
      </c>
      <c r="F507">
        <v>77</v>
      </c>
      <c r="G507">
        <v>3.5</v>
      </c>
      <c r="H507">
        <v>6</v>
      </c>
      <c r="I507" t="s">
        <v>192</v>
      </c>
      <c r="J507">
        <v>22</v>
      </c>
      <c r="K507">
        <v>31</v>
      </c>
      <c r="L507">
        <v>25</v>
      </c>
      <c r="M507">
        <v>27.5</v>
      </c>
      <c r="N507">
        <v>44.8</v>
      </c>
      <c r="O507">
        <v>33.283799999999999</v>
      </c>
      <c r="P507">
        <v>21.609300000000001</v>
      </c>
      <c r="Q507">
        <v>31.1662</v>
      </c>
      <c r="R507">
        <v>25.0685</v>
      </c>
      <c r="U507" t="s">
        <v>224</v>
      </c>
      <c r="V507" t="s">
        <v>193</v>
      </c>
      <c r="W507" t="s">
        <v>194</v>
      </c>
      <c r="Y507">
        <v>8</v>
      </c>
      <c r="Z507" t="s">
        <v>169</v>
      </c>
      <c r="AA507" t="s">
        <v>170</v>
      </c>
      <c r="AB507" t="s">
        <v>351</v>
      </c>
      <c r="AC507" t="s">
        <v>352</v>
      </c>
      <c r="AD507">
        <v>15</v>
      </c>
      <c r="AG507" t="s">
        <v>210</v>
      </c>
      <c r="AH507" t="s">
        <v>444</v>
      </c>
      <c r="AI507" t="s">
        <v>175</v>
      </c>
      <c r="AJ507" t="s">
        <v>176</v>
      </c>
      <c r="AK507" t="s">
        <v>170</v>
      </c>
      <c r="AL507" t="s">
        <v>177</v>
      </c>
      <c r="AO507">
        <v>98</v>
      </c>
      <c r="AP507">
        <v>14</v>
      </c>
      <c r="AS507">
        <v>2100</v>
      </c>
      <c r="AT507">
        <v>2100</v>
      </c>
      <c r="BN507" t="s">
        <v>265</v>
      </c>
      <c r="BO507">
        <v>2</v>
      </c>
      <c r="BP507">
        <v>2</v>
      </c>
      <c r="BQ507">
        <v>5</v>
      </c>
      <c r="BR507" t="s">
        <v>672</v>
      </c>
      <c r="BS507" t="s">
        <v>180</v>
      </c>
      <c r="BT507" t="s">
        <v>181</v>
      </c>
      <c r="BU507" s="1">
        <v>45475</v>
      </c>
      <c r="BV507">
        <v>35202</v>
      </c>
      <c r="BX507" t="s">
        <v>169</v>
      </c>
      <c r="BY507" t="s">
        <v>170</v>
      </c>
      <c r="CB507" t="s">
        <v>170</v>
      </c>
      <c r="CC507" t="s">
        <v>170</v>
      </c>
      <c r="CE507" t="s">
        <v>170</v>
      </c>
      <c r="CG507" t="s">
        <v>169</v>
      </c>
      <c r="CH507" t="s">
        <v>333</v>
      </c>
      <c r="CI507" t="s">
        <v>170</v>
      </c>
      <c r="DJ507" t="s">
        <v>267</v>
      </c>
      <c r="DK507" t="s">
        <v>268</v>
      </c>
      <c r="DN507" t="s">
        <v>170</v>
      </c>
      <c r="DO507" t="s">
        <v>358</v>
      </c>
      <c r="DP507" t="s">
        <v>170</v>
      </c>
      <c r="DQ507" t="s">
        <v>187</v>
      </c>
      <c r="DY507">
        <v>33.6</v>
      </c>
      <c r="EB507">
        <v>5</v>
      </c>
      <c r="EC507">
        <v>5</v>
      </c>
      <c r="EE507" t="s">
        <v>771</v>
      </c>
      <c r="EF507">
        <v>4</v>
      </c>
      <c r="EV507">
        <v>1000</v>
      </c>
      <c r="EW507">
        <v>409</v>
      </c>
      <c r="EX507">
        <v>283</v>
      </c>
      <c r="EY507">
        <v>352</v>
      </c>
    </row>
    <row r="508" spans="1:155" x14ac:dyDescent="0.35">
      <c r="A508">
        <v>2025</v>
      </c>
      <c r="B508" t="s">
        <v>327</v>
      </c>
      <c r="C508" t="s">
        <v>328</v>
      </c>
      <c r="D508" t="s">
        <v>1606</v>
      </c>
      <c r="E508" t="s">
        <v>330</v>
      </c>
      <c r="F508">
        <v>101</v>
      </c>
      <c r="G508">
        <v>3.4</v>
      </c>
      <c r="H508">
        <v>6</v>
      </c>
      <c r="I508" t="s">
        <v>331</v>
      </c>
      <c r="J508">
        <v>15</v>
      </c>
      <c r="K508">
        <v>21</v>
      </c>
      <c r="L508">
        <v>17</v>
      </c>
      <c r="M508">
        <v>19</v>
      </c>
      <c r="N508">
        <v>29.1845</v>
      </c>
      <c r="O508">
        <v>22.5395</v>
      </c>
      <c r="P508">
        <v>15.349500000000001</v>
      </c>
      <c r="Q508">
        <v>21.0319</v>
      </c>
      <c r="R508">
        <v>17.474</v>
      </c>
      <c r="T508" t="s">
        <v>165</v>
      </c>
      <c r="U508" t="s">
        <v>166</v>
      </c>
      <c r="V508" t="s">
        <v>193</v>
      </c>
      <c r="W508" t="s">
        <v>194</v>
      </c>
      <c r="Y508">
        <v>10</v>
      </c>
      <c r="Z508" t="s">
        <v>169</v>
      </c>
      <c r="AA508" t="s">
        <v>170</v>
      </c>
      <c r="AB508">
        <v>4</v>
      </c>
      <c r="AC508" t="s">
        <v>601</v>
      </c>
      <c r="AD508">
        <v>15</v>
      </c>
      <c r="AG508" t="s">
        <v>214</v>
      </c>
      <c r="AH508" t="s">
        <v>215</v>
      </c>
      <c r="AI508" t="s">
        <v>175</v>
      </c>
      <c r="AJ508" t="s">
        <v>176</v>
      </c>
      <c r="AK508" t="s">
        <v>940</v>
      </c>
      <c r="AL508" t="s">
        <v>941</v>
      </c>
      <c r="AS508">
        <v>3750</v>
      </c>
      <c r="AT508">
        <v>3750</v>
      </c>
      <c r="BN508" t="s">
        <v>265</v>
      </c>
      <c r="BO508">
        <v>2</v>
      </c>
      <c r="BP508">
        <v>2</v>
      </c>
      <c r="BQ508">
        <v>33</v>
      </c>
      <c r="BR508" t="s">
        <v>1497</v>
      </c>
      <c r="BT508" t="s">
        <v>181</v>
      </c>
      <c r="BU508" s="1">
        <v>45679</v>
      </c>
      <c r="BV508">
        <v>35884</v>
      </c>
      <c r="BX508" t="s">
        <v>170</v>
      </c>
      <c r="BY508" t="s">
        <v>170</v>
      </c>
      <c r="CB508" t="s">
        <v>170</v>
      </c>
      <c r="CC508" t="s">
        <v>170</v>
      </c>
      <c r="CE508" t="s">
        <v>170</v>
      </c>
      <c r="CG508" t="s">
        <v>169</v>
      </c>
      <c r="CH508" t="s">
        <v>333</v>
      </c>
      <c r="CI508" t="s">
        <v>170</v>
      </c>
      <c r="DJ508" t="s">
        <v>267</v>
      </c>
      <c r="DK508" t="s">
        <v>268</v>
      </c>
      <c r="DN508" t="s">
        <v>170</v>
      </c>
      <c r="DO508" t="s">
        <v>358</v>
      </c>
      <c r="DP508" t="s">
        <v>170</v>
      </c>
      <c r="DQ508" t="s">
        <v>187</v>
      </c>
      <c r="EB508">
        <v>3</v>
      </c>
      <c r="EC508">
        <v>3</v>
      </c>
      <c r="EE508" t="s">
        <v>1607</v>
      </c>
      <c r="EF508">
        <v>4</v>
      </c>
      <c r="EV508">
        <v>9250</v>
      </c>
      <c r="EW508">
        <v>576</v>
      </c>
      <c r="EX508">
        <v>420</v>
      </c>
      <c r="EY508">
        <v>505</v>
      </c>
    </row>
    <row r="509" spans="1:155" x14ac:dyDescent="0.35">
      <c r="A509">
        <v>2025</v>
      </c>
      <c r="B509" t="s">
        <v>327</v>
      </c>
      <c r="C509" t="s">
        <v>328</v>
      </c>
      <c r="D509" t="s">
        <v>581</v>
      </c>
      <c r="E509" t="s">
        <v>330</v>
      </c>
      <c r="F509">
        <v>143</v>
      </c>
      <c r="G509">
        <v>2</v>
      </c>
      <c r="H509">
        <v>4</v>
      </c>
      <c r="I509" t="s">
        <v>192</v>
      </c>
      <c r="J509">
        <v>21</v>
      </c>
      <c r="K509">
        <v>31</v>
      </c>
      <c r="L509">
        <v>25</v>
      </c>
      <c r="M509">
        <v>27.0243</v>
      </c>
      <c r="N509">
        <v>44.639899999999997</v>
      </c>
      <c r="O509">
        <v>32.859400000000001</v>
      </c>
      <c r="P509">
        <v>21.268000000000001</v>
      </c>
      <c r="Q509">
        <v>31.065799999999999</v>
      </c>
      <c r="R509">
        <v>24.785699999999999</v>
      </c>
      <c r="T509" t="s">
        <v>165</v>
      </c>
      <c r="U509" t="s">
        <v>166</v>
      </c>
      <c r="V509" t="s">
        <v>193</v>
      </c>
      <c r="W509" t="s">
        <v>194</v>
      </c>
      <c r="Y509">
        <v>8</v>
      </c>
      <c r="Z509" t="s">
        <v>169</v>
      </c>
      <c r="AA509" t="s">
        <v>170</v>
      </c>
      <c r="AB509" t="s">
        <v>171</v>
      </c>
      <c r="AC509" t="s">
        <v>172</v>
      </c>
      <c r="AD509">
        <v>15</v>
      </c>
      <c r="AG509" t="s">
        <v>214</v>
      </c>
      <c r="AH509" t="s">
        <v>215</v>
      </c>
      <c r="AI509" t="s">
        <v>175</v>
      </c>
      <c r="AJ509" t="s">
        <v>176</v>
      </c>
      <c r="AK509" t="s">
        <v>170</v>
      </c>
      <c r="AL509" t="s">
        <v>177</v>
      </c>
      <c r="AO509">
        <v>90</v>
      </c>
      <c r="AP509">
        <v>11</v>
      </c>
      <c r="AS509">
        <v>2550</v>
      </c>
      <c r="AT509">
        <v>2550</v>
      </c>
      <c r="BN509" t="s">
        <v>265</v>
      </c>
      <c r="BO509">
        <v>2</v>
      </c>
      <c r="BP509">
        <v>2</v>
      </c>
      <c r="BQ509">
        <v>4</v>
      </c>
      <c r="BR509" t="s">
        <v>521</v>
      </c>
      <c r="BS509" t="s">
        <v>180</v>
      </c>
      <c r="BT509" t="s">
        <v>181</v>
      </c>
      <c r="BU509" s="1">
        <v>45613</v>
      </c>
      <c r="BV509">
        <v>35904</v>
      </c>
      <c r="BX509" t="s">
        <v>170</v>
      </c>
      <c r="BY509" t="s">
        <v>170</v>
      </c>
      <c r="CB509" t="s">
        <v>170</v>
      </c>
      <c r="CC509" t="s">
        <v>170</v>
      </c>
      <c r="CE509" t="s">
        <v>170</v>
      </c>
      <c r="CG509" t="s">
        <v>169</v>
      </c>
      <c r="CH509" t="s">
        <v>333</v>
      </c>
      <c r="CI509" t="s">
        <v>170</v>
      </c>
      <c r="DJ509" t="s">
        <v>267</v>
      </c>
      <c r="DK509" t="s">
        <v>268</v>
      </c>
      <c r="DN509" t="s">
        <v>170</v>
      </c>
      <c r="DO509" t="s">
        <v>358</v>
      </c>
      <c r="DP509" t="s">
        <v>170</v>
      </c>
      <c r="DQ509" t="s">
        <v>187</v>
      </c>
      <c r="DY509">
        <v>33.200000000000003</v>
      </c>
      <c r="EB509">
        <v>5</v>
      </c>
      <c r="EC509">
        <v>5</v>
      </c>
      <c r="EE509" t="s">
        <v>470</v>
      </c>
      <c r="EF509">
        <v>4</v>
      </c>
      <c r="EV509">
        <v>3250</v>
      </c>
      <c r="EW509">
        <v>414</v>
      </c>
      <c r="EX509">
        <v>284</v>
      </c>
      <c r="EY509">
        <v>356</v>
      </c>
    </row>
    <row r="510" spans="1:155" x14ac:dyDescent="0.35">
      <c r="A510">
        <v>2025</v>
      </c>
      <c r="B510" t="s">
        <v>327</v>
      </c>
      <c r="C510" t="s">
        <v>328</v>
      </c>
      <c r="D510" t="s">
        <v>582</v>
      </c>
      <c r="E510" t="s">
        <v>330</v>
      </c>
      <c r="F510">
        <v>139</v>
      </c>
      <c r="G510">
        <v>3.5</v>
      </c>
      <c r="H510">
        <v>6</v>
      </c>
      <c r="I510" t="s">
        <v>275</v>
      </c>
      <c r="J510">
        <v>19</v>
      </c>
      <c r="K510">
        <v>26</v>
      </c>
      <c r="L510">
        <v>22</v>
      </c>
      <c r="M510">
        <v>24.2</v>
      </c>
      <c r="N510">
        <v>36.700000000000003</v>
      </c>
      <c r="O510">
        <v>28.580500000000001</v>
      </c>
      <c r="P510">
        <v>19.22</v>
      </c>
      <c r="Q510">
        <v>25.998699999999999</v>
      </c>
      <c r="R510">
        <v>21.774799999999999</v>
      </c>
      <c r="U510" t="s">
        <v>224</v>
      </c>
      <c r="V510" t="s">
        <v>193</v>
      </c>
      <c r="W510" t="s">
        <v>194</v>
      </c>
      <c r="Y510">
        <v>6</v>
      </c>
      <c r="Z510" t="s">
        <v>169</v>
      </c>
      <c r="AA510" t="s">
        <v>170</v>
      </c>
      <c r="AB510" t="s">
        <v>167</v>
      </c>
      <c r="AC510" t="s">
        <v>213</v>
      </c>
      <c r="AD510">
        <v>15</v>
      </c>
      <c r="AG510" t="s">
        <v>214</v>
      </c>
      <c r="AH510" t="s">
        <v>215</v>
      </c>
      <c r="AI510" t="s">
        <v>175</v>
      </c>
      <c r="AJ510" t="s">
        <v>176</v>
      </c>
      <c r="AK510" t="s">
        <v>170</v>
      </c>
      <c r="AL510" t="s">
        <v>177</v>
      </c>
      <c r="AO510">
        <v>90</v>
      </c>
      <c r="AP510">
        <v>11</v>
      </c>
      <c r="AS510">
        <v>2900</v>
      </c>
      <c r="AT510">
        <v>2900</v>
      </c>
      <c r="BN510" t="s">
        <v>265</v>
      </c>
      <c r="BO510">
        <v>2</v>
      </c>
      <c r="BP510">
        <v>2</v>
      </c>
      <c r="BQ510">
        <v>4</v>
      </c>
      <c r="BR510" t="s">
        <v>521</v>
      </c>
      <c r="BS510" t="s">
        <v>180</v>
      </c>
      <c r="BT510" t="s">
        <v>181</v>
      </c>
      <c r="BU510" s="1">
        <v>45613</v>
      </c>
      <c r="BV510">
        <v>35901</v>
      </c>
      <c r="BX510" t="s">
        <v>170</v>
      </c>
      <c r="BY510" t="s">
        <v>170</v>
      </c>
      <c r="CB510" t="s">
        <v>170</v>
      </c>
      <c r="CC510" t="s">
        <v>170</v>
      </c>
      <c r="CD510" t="s">
        <v>472</v>
      </c>
      <c r="CE510" t="s">
        <v>170</v>
      </c>
      <c r="CG510" t="s">
        <v>169</v>
      </c>
      <c r="CH510" t="s">
        <v>333</v>
      </c>
      <c r="CI510" t="s">
        <v>170</v>
      </c>
      <c r="DJ510" t="s">
        <v>267</v>
      </c>
      <c r="DK510" t="s">
        <v>268</v>
      </c>
      <c r="DN510" t="s">
        <v>170</v>
      </c>
      <c r="DO510" t="s">
        <v>358</v>
      </c>
      <c r="DP510" t="s">
        <v>170</v>
      </c>
      <c r="DQ510" t="s">
        <v>187</v>
      </c>
      <c r="DY510">
        <v>28.9</v>
      </c>
      <c r="EB510">
        <v>5</v>
      </c>
      <c r="EC510">
        <v>5</v>
      </c>
      <c r="EE510" t="s">
        <v>473</v>
      </c>
      <c r="EF510">
        <v>4</v>
      </c>
      <c r="EV510">
        <v>5000</v>
      </c>
      <c r="EW510">
        <v>461</v>
      </c>
      <c r="EX510">
        <v>340</v>
      </c>
      <c r="EY510">
        <v>407</v>
      </c>
    </row>
    <row r="511" spans="1:155" x14ac:dyDescent="0.35">
      <c r="A511">
        <v>2025</v>
      </c>
      <c r="B511" t="s">
        <v>327</v>
      </c>
      <c r="C511" t="s">
        <v>328</v>
      </c>
      <c r="D511" t="s">
        <v>583</v>
      </c>
      <c r="E511" t="s">
        <v>330</v>
      </c>
      <c r="F511">
        <v>140</v>
      </c>
      <c r="G511">
        <v>3.5</v>
      </c>
      <c r="H511">
        <v>6</v>
      </c>
      <c r="I511" t="s">
        <v>192</v>
      </c>
      <c r="J511">
        <v>20</v>
      </c>
      <c r="K511">
        <v>28</v>
      </c>
      <c r="L511">
        <v>23</v>
      </c>
      <c r="M511">
        <v>25.3</v>
      </c>
      <c r="N511">
        <v>39.6</v>
      </c>
      <c r="O511">
        <v>30.209</v>
      </c>
      <c r="P511">
        <v>20.022099999999998</v>
      </c>
      <c r="Q511">
        <v>27.8704</v>
      </c>
      <c r="R511">
        <v>22.927499999999998</v>
      </c>
      <c r="U511" t="s">
        <v>224</v>
      </c>
      <c r="V511" t="s">
        <v>193</v>
      </c>
      <c r="W511" t="s">
        <v>194</v>
      </c>
      <c r="Y511">
        <v>8</v>
      </c>
      <c r="Z511" t="s">
        <v>169</v>
      </c>
      <c r="AA511" t="s">
        <v>170</v>
      </c>
      <c r="AB511" t="s">
        <v>171</v>
      </c>
      <c r="AC511" t="s">
        <v>172</v>
      </c>
      <c r="AD511">
        <v>15</v>
      </c>
      <c r="AG511" t="s">
        <v>214</v>
      </c>
      <c r="AH511" t="s">
        <v>215</v>
      </c>
      <c r="AI511" t="s">
        <v>175</v>
      </c>
      <c r="AJ511" t="s">
        <v>176</v>
      </c>
      <c r="AK511" t="s">
        <v>170</v>
      </c>
      <c r="AL511" t="s">
        <v>177</v>
      </c>
      <c r="AO511">
        <v>90</v>
      </c>
      <c r="AP511">
        <v>11</v>
      </c>
      <c r="AS511">
        <v>2750</v>
      </c>
      <c r="AT511">
        <v>2750</v>
      </c>
      <c r="BN511" t="s">
        <v>265</v>
      </c>
      <c r="BO511">
        <v>2</v>
      </c>
      <c r="BP511">
        <v>2</v>
      </c>
      <c r="BQ511">
        <v>4</v>
      </c>
      <c r="BR511" t="s">
        <v>521</v>
      </c>
      <c r="BS511" t="s">
        <v>180</v>
      </c>
      <c r="BT511" t="s">
        <v>181</v>
      </c>
      <c r="BU511" s="1">
        <v>45613</v>
      </c>
      <c r="BV511">
        <v>35919</v>
      </c>
      <c r="BX511" t="s">
        <v>170</v>
      </c>
      <c r="BY511" t="s">
        <v>170</v>
      </c>
      <c r="CB511" t="s">
        <v>170</v>
      </c>
      <c r="CC511" t="s">
        <v>170</v>
      </c>
      <c r="CD511" t="s">
        <v>475</v>
      </c>
      <c r="CE511" t="s">
        <v>170</v>
      </c>
      <c r="CG511" t="s">
        <v>169</v>
      </c>
      <c r="CH511" t="s">
        <v>333</v>
      </c>
      <c r="CI511" t="s">
        <v>170</v>
      </c>
      <c r="DJ511" t="s">
        <v>267</v>
      </c>
      <c r="DK511" t="s">
        <v>268</v>
      </c>
      <c r="DN511" t="s">
        <v>170</v>
      </c>
      <c r="DO511" t="s">
        <v>358</v>
      </c>
      <c r="DP511" t="s">
        <v>170</v>
      </c>
      <c r="DQ511" t="s">
        <v>187</v>
      </c>
      <c r="DY511">
        <v>30.5</v>
      </c>
      <c r="EB511">
        <v>5</v>
      </c>
      <c r="EC511">
        <v>5</v>
      </c>
      <c r="EE511" t="s">
        <v>473</v>
      </c>
      <c r="EF511">
        <v>4</v>
      </c>
      <c r="EV511">
        <v>4250</v>
      </c>
      <c r="EW511">
        <v>441</v>
      </c>
      <c r="EX511">
        <v>317</v>
      </c>
      <c r="EY511">
        <v>385</v>
      </c>
    </row>
    <row r="512" spans="1:155" x14ac:dyDescent="0.35">
      <c r="A512">
        <v>2025</v>
      </c>
      <c r="B512" t="s">
        <v>327</v>
      </c>
      <c r="C512" t="s">
        <v>328</v>
      </c>
      <c r="D512" t="s">
        <v>584</v>
      </c>
      <c r="E512" t="s">
        <v>330</v>
      </c>
      <c r="F512">
        <v>141</v>
      </c>
      <c r="G512">
        <v>3.5</v>
      </c>
      <c r="H512">
        <v>6</v>
      </c>
      <c r="I512" t="s">
        <v>275</v>
      </c>
      <c r="J512">
        <v>19</v>
      </c>
      <c r="K512">
        <v>26</v>
      </c>
      <c r="L512">
        <v>22</v>
      </c>
      <c r="M512">
        <v>24.2</v>
      </c>
      <c r="N512">
        <v>36.700000000000003</v>
      </c>
      <c r="O512">
        <v>28.580500000000001</v>
      </c>
      <c r="P512">
        <v>19.22</v>
      </c>
      <c r="Q512">
        <v>25.998699999999999</v>
      </c>
      <c r="R512">
        <v>21.774799999999999</v>
      </c>
      <c r="U512" t="s">
        <v>224</v>
      </c>
      <c r="V512" t="s">
        <v>193</v>
      </c>
      <c r="W512" t="s">
        <v>194</v>
      </c>
      <c r="Y512">
        <v>6</v>
      </c>
      <c r="Z512" t="s">
        <v>169</v>
      </c>
      <c r="AA512" t="s">
        <v>170</v>
      </c>
      <c r="AB512" t="s">
        <v>167</v>
      </c>
      <c r="AC512" t="s">
        <v>213</v>
      </c>
      <c r="AD512">
        <v>15</v>
      </c>
      <c r="AG512" t="s">
        <v>214</v>
      </c>
      <c r="AH512" t="s">
        <v>215</v>
      </c>
      <c r="AI512" t="s">
        <v>175</v>
      </c>
      <c r="AJ512" t="s">
        <v>176</v>
      </c>
      <c r="AK512" t="s">
        <v>170</v>
      </c>
      <c r="AL512" t="s">
        <v>177</v>
      </c>
      <c r="AO512">
        <v>90</v>
      </c>
      <c r="AP512">
        <v>11</v>
      </c>
      <c r="AS512">
        <v>2900</v>
      </c>
      <c r="AT512">
        <v>2900</v>
      </c>
      <c r="BN512" t="s">
        <v>265</v>
      </c>
      <c r="BO512">
        <v>2</v>
      </c>
      <c r="BP512">
        <v>2</v>
      </c>
      <c r="BQ512">
        <v>4</v>
      </c>
      <c r="BR512" t="s">
        <v>521</v>
      </c>
      <c r="BS512" t="s">
        <v>180</v>
      </c>
      <c r="BT512" t="s">
        <v>181</v>
      </c>
      <c r="BU512" s="1">
        <v>45613</v>
      </c>
      <c r="BV512">
        <v>35902</v>
      </c>
      <c r="BX512" t="s">
        <v>170</v>
      </c>
      <c r="BY512" t="s">
        <v>170</v>
      </c>
      <c r="CB512" t="s">
        <v>170</v>
      </c>
      <c r="CC512" t="s">
        <v>170</v>
      </c>
      <c r="CD512" t="s">
        <v>475</v>
      </c>
      <c r="CE512" t="s">
        <v>170</v>
      </c>
      <c r="CG512" t="s">
        <v>169</v>
      </c>
      <c r="CH512" t="s">
        <v>333</v>
      </c>
      <c r="CI512" t="s">
        <v>170</v>
      </c>
      <c r="DJ512" t="s">
        <v>267</v>
      </c>
      <c r="DK512" t="s">
        <v>268</v>
      </c>
      <c r="DN512" t="s">
        <v>170</v>
      </c>
      <c r="DO512" t="s">
        <v>358</v>
      </c>
      <c r="DP512" t="s">
        <v>170</v>
      </c>
      <c r="DQ512" t="s">
        <v>187</v>
      </c>
      <c r="DY512">
        <v>28.9</v>
      </c>
      <c r="EB512">
        <v>5</v>
      </c>
      <c r="EC512">
        <v>5</v>
      </c>
      <c r="EE512" t="s">
        <v>473</v>
      </c>
      <c r="EF512">
        <v>4</v>
      </c>
      <c r="EV512">
        <v>5000</v>
      </c>
      <c r="EW512">
        <v>461</v>
      </c>
      <c r="EX512">
        <v>340</v>
      </c>
      <c r="EY512">
        <v>407</v>
      </c>
    </row>
    <row r="513" spans="1:155" x14ac:dyDescent="0.35">
      <c r="A513">
        <v>2025</v>
      </c>
      <c r="B513" t="s">
        <v>327</v>
      </c>
      <c r="C513" t="s">
        <v>328</v>
      </c>
      <c r="D513" t="s">
        <v>585</v>
      </c>
      <c r="E513" t="s">
        <v>330</v>
      </c>
      <c r="F513">
        <v>142</v>
      </c>
      <c r="G513">
        <v>5</v>
      </c>
      <c r="H513">
        <v>8</v>
      </c>
      <c r="I513" t="s">
        <v>192</v>
      </c>
      <c r="J513">
        <v>17</v>
      </c>
      <c r="K513">
        <v>25</v>
      </c>
      <c r="L513">
        <v>20</v>
      </c>
      <c r="M513">
        <v>20.7</v>
      </c>
      <c r="N513">
        <v>34.6</v>
      </c>
      <c r="O513">
        <v>25.267900000000001</v>
      </c>
      <c r="P513">
        <v>16.632200000000001</v>
      </c>
      <c r="Q513">
        <v>25.425999999999998</v>
      </c>
      <c r="R513">
        <v>19.697900000000001</v>
      </c>
      <c r="U513" t="s">
        <v>224</v>
      </c>
      <c r="V513" t="s">
        <v>193</v>
      </c>
      <c r="W513" t="s">
        <v>194</v>
      </c>
      <c r="Y513">
        <v>8</v>
      </c>
      <c r="Z513" t="s">
        <v>169</v>
      </c>
      <c r="AA513" t="s">
        <v>170</v>
      </c>
      <c r="AB513" t="s">
        <v>171</v>
      </c>
      <c r="AC513" t="s">
        <v>172</v>
      </c>
      <c r="AD513">
        <v>15</v>
      </c>
      <c r="AG513" t="s">
        <v>214</v>
      </c>
      <c r="AH513" t="s">
        <v>215</v>
      </c>
      <c r="AI513" t="s">
        <v>175</v>
      </c>
      <c r="AJ513" t="s">
        <v>176</v>
      </c>
      <c r="AK513" t="s">
        <v>170</v>
      </c>
      <c r="AL513" t="s">
        <v>177</v>
      </c>
      <c r="AO513">
        <v>90</v>
      </c>
      <c r="AP513">
        <v>11</v>
      </c>
      <c r="AS513">
        <v>3200</v>
      </c>
      <c r="AT513">
        <v>3200</v>
      </c>
      <c r="BN513" t="s">
        <v>265</v>
      </c>
      <c r="BO513">
        <v>2</v>
      </c>
      <c r="BP513">
        <v>2</v>
      </c>
      <c r="BQ513">
        <v>4</v>
      </c>
      <c r="BR513" t="s">
        <v>521</v>
      </c>
      <c r="BS513" t="s">
        <v>180</v>
      </c>
      <c r="BT513" t="s">
        <v>225</v>
      </c>
      <c r="BU513" s="1">
        <v>45613</v>
      </c>
      <c r="BV513">
        <v>35928</v>
      </c>
      <c r="BX513" t="s">
        <v>169</v>
      </c>
      <c r="BY513" t="s">
        <v>170</v>
      </c>
      <c r="CB513" t="s">
        <v>170</v>
      </c>
      <c r="CC513" t="s">
        <v>170</v>
      </c>
      <c r="CD513" t="s">
        <v>478</v>
      </c>
      <c r="CE513" t="s">
        <v>170</v>
      </c>
      <c r="CG513" t="s">
        <v>169</v>
      </c>
      <c r="CH513" t="s">
        <v>333</v>
      </c>
      <c r="CI513" t="s">
        <v>170</v>
      </c>
      <c r="DJ513" t="s">
        <v>267</v>
      </c>
      <c r="DK513" t="s">
        <v>268</v>
      </c>
      <c r="DN513" t="s">
        <v>170</v>
      </c>
      <c r="DO513" t="s">
        <v>334</v>
      </c>
      <c r="DP513" t="s">
        <v>170</v>
      </c>
      <c r="DQ513" t="s">
        <v>187</v>
      </c>
      <c r="DY513">
        <v>25.5</v>
      </c>
      <c r="EB513">
        <v>4</v>
      </c>
      <c r="EC513">
        <v>4</v>
      </c>
      <c r="EE513" t="s">
        <v>335</v>
      </c>
      <c r="EF513">
        <v>4</v>
      </c>
      <c r="EV513">
        <v>6500</v>
      </c>
      <c r="EW513">
        <v>534</v>
      </c>
      <c r="EX513">
        <v>350</v>
      </c>
      <c r="EY513">
        <v>451</v>
      </c>
    </row>
    <row r="514" spans="1:155" x14ac:dyDescent="0.35">
      <c r="A514">
        <v>2025</v>
      </c>
      <c r="B514" t="s">
        <v>327</v>
      </c>
      <c r="C514" t="s">
        <v>328</v>
      </c>
      <c r="D514" t="s">
        <v>460</v>
      </c>
      <c r="E514" t="s">
        <v>330</v>
      </c>
      <c r="F514">
        <v>105</v>
      </c>
      <c r="G514">
        <v>5</v>
      </c>
      <c r="H514">
        <v>8</v>
      </c>
      <c r="I514" t="s">
        <v>331</v>
      </c>
      <c r="J514">
        <v>16</v>
      </c>
      <c r="K514">
        <v>24</v>
      </c>
      <c r="L514">
        <v>18</v>
      </c>
      <c r="M514">
        <v>19.2</v>
      </c>
      <c r="N514">
        <v>33.9</v>
      </c>
      <c r="O514">
        <v>23.854900000000001</v>
      </c>
      <c r="P514">
        <v>15.5008</v>
      </c>
      <c r="Q514">
        <v>24.168099999999999</v>
      </c>
      <c r="R514">
        <v>18.483699999999999</v>
      </c>
      <c r="U514" t="s">
        <v>224</v>
      </c>
      <c r="V514" t="s">
        <v>193</v>
      </c>
      <c r="W514" t="s">
        <v>194</v>
      </c>
      <c r="Y514">
        <v>10</v>
      </c>
      <c r="Z514" t="s">
        <v>169</v>
      </c>
      <c r="AA514" t="s">
        <v>170</v>
      </c>
      <c r="AB514" t="s">
        <v>171</v>
      </c>
      <c r="AC514" t="s">
        <v>172</v>
      </c>
      <c r="AD514">
        <v>15</v>
      </c>
      <c r="AG514" t="s">
        <v>214</v>
      </c>
      <c r="AH514" t="s">
        <v>215</v>
      </c>
      <c r="AI514" t="s">
        <v>175</v>
      </c>
      <c r="AJ514" t="s">
        <v>176</v>
      </c>
      <c r="AK514" t="s">
        <v>170</v>
      </c>
      <c r="AL514" t="s">
        <v>177</v>
      </c>
      <c r="AM514">
        <v>86</v>
      </c>
      <c r="AN514">
        <v>5</v>
      </c>
      <c r="AS514">
        <v>3550</v>
      </c>
      <c r="AT514">
        <v>3550</v>
      </c>
      <c r="BN514" t="s">
        <v>265</v>
      </c>
      <c r="BO514">
        <v>2</v>
      </c>
      <c r="BP514">
        <v>2</v>
      </c>
      <c r="BQ514">
        <v>3</v>
      </c>
      <c r="BR514" t="s">
        <v>387</v>
      </c>
      <c r="BS514" t="s">
        <v>180</v>
      </c>
      <c r="BT514" t="s">
        <v>181</v>
      </c>
      <c r="BU514" s="1">
        <v>45595</v>
      </c>
      <c r="BV514">
        <v>35930</v>
      </c>
      <c r="BX514" t="s">
        <v>169</v>
      </c>
      <c r="BY514" t="s">
        <v>170</v>
      </c>
      <c r="CB514" t="s">
        <v>170</v>
      </c>
      <c r="CC514" t="s">
        <v>170</v>
      </c>
      <c r="CD514" t="s">
        <v>332</v>
      </c>
      <c r="CE514" t="s">
        <v>170</v>
      </c>
      <c r="CG514" t="s">
        <v>169</v>
      </c>
      <c r="CH514" t="s">
        <v>333</v>
      </c>
      <c r="CI514" t="s">
        <v>170</v>
      </c>
      <c r="DJ514" t="s">
        <v>267</v>
      </c>
      <c r="DK514" t="s">
        <v>268</v>
      </c>
      <c r="DN514" t="s">
        <v>170</v>
      </c>
      <c r="DO514" t="s">
        <v>334</v>
      </c>
      <c r="DP514" t="s">
        <v>170</v>
      </c>
      <c r="DQ514" t="s">
        <v>187</v>
      </c>
      <c r="DY514">
        <v>24.1</v>
      </c>
      <c r="EB514">
        <v>4</v>
      </c>
      <c r="EC514">
        <v>4</v>
      </c>
      <c r="EE514" t="s">
        <v>335</v>
      </c>
      <c r="EF514">
        <v>4</v>
      </c>
      <c r="EV514">
        <v>8250</v>
      </c>
      <c r="EW514">
        <v>573</v>
      </c>
      <c r="EX514">
        <v>368</v>
      </c>
      <c r="EY514">
        <v>481</v>
      </c>
    </row>
    <row r="515" spans="1:155" x14ac:dyDescent="0.35">
      <c r="A515">
        <v>2025</v>
      </c>
      <c r="B515" t="s">
        <v>327</v>
      </c>
      <c r="C515" t="s">
        <v>328</v>
      </c>
      <c r="D515" t="s">
        <v>329</v>
      </c>
      <c r="E515" t="s">
        <v>330</v>
      </c>
      <c r="F515">
        <v>104</v>
      </c>
      <c r="G515">
        <v>5</v>
      </c>
      <c r="H515">
        <v>8</v>
      </c>
      <c r="I515" t="s">
        <v>331</v>
      </c>
      <c r="J515">
        <v>15</v>
      </c>
      <c r="K515">
        <v>25</v>
      </c>
      <c r="L515">
        <v>18</v>
      </c>
      <c r="M515">
        <v>18.2</v>
      </c>
      <c r="N515">
        <v>34.9</v>
      </c>
      <c r="O515">
        <v>23.194400000000002</v>
      </c>
      <c r="P515">
        <v>14.742100000000001</v>
      </c>
      <c r="Q515">
        <v>24.8246</v>
      </c>
      <c r="R515">
        <v>18.039000000000001</v>
      </c>
      <c r="U515" t="s">
        <v>224</v>
      </c>
      <c r="V515" t="s">
        <v>193</v>
      </c>
      <c r="W515" t="s">
        <v>194</v>
      </c>
      <c r="Y515">
        <v>10</v>
      </c>
      <c r="Z515" t="s">
        <v>169</v>
      </c>
      <c r="AA515" t="s">
        <v>170</v>
      </c>
      <c r="AB515" t="s">
        <v>171</v>
      </c>
      <c r="AC515" t="s">
        <v>172</v>
      </c>
      <c r="AD515">
        <v>15</v>
      </c>
      <c r="AG515" t="s">
        <v>214</v>
      </c>
      <c r="AH515" t="s">
        <v>215</v>
      </c>
      <c r="AI515" t="s">
        <v>175</v>
      </c>
      <c r="AJ515" t="s">
        <v>176</v>
      </c>
      <c r="AK515" t="s">
        <v>170</v>
      </c>
      <c r="AL515" t="s">
        <v>177</v>
      </c>
      <c r="AM515">
        <v>75</v>
      </c>
      <c r="AN515">
        <v>3</v>
      </c>
      <c r="AS515">
        <v>3550</v>
      </c>
      <c r="AT515">
        <v>3550</v>
      </c>
      <c r="BN515" t="s">
        <v>265</v>
      </c>
      <c r="BO515">
        <v>2</v>
      </c>
      <c r="BP515">
        <v>2</v>
      </c>
      <c r="BQ515">
        <v>2</v>
      </c>
      <c r="BR515" t="s">
        <v>321</v>
      </c>
      <c r="BS515" t="s">
        <v>180</v>
      </c>
      <c r="BT515" t="s">
        <v>181</v>
      </c>
      <c r="BU515" s="1">
        <v>45595</v>
      </c>
      <c r="BV515">
        <v>35927</v>
      </c>
      <c r="BX515" t="s">
        <v>170</v>
      </c>
      <c r="BY515" t="s">
        <v>170</v>
      </c>
      <c r="CB515" t="s">
        <v>170</v>
      </c>
      <c r="CC515" t="s">
        <v>170</v>
      </c>
      <c r="CD515" t="s">
        <v>332</v>
      </c>
      <c r="CE515" t="s">
        <v>170</v>
      </c>
      <c r="CG515" t="s">
        <v>169</v>
      </c>
      <c r="CH515" t="s">
        <v>333</v>
      </c>
      <c r="CI515" t="s">
        <v>170</v>
      </c>
      <c r="DJ515" t="s">
        <v>267</v>
      </c>
      <c r="DK515" t="s">
        <v>268</v>
      </c>
      <c r="DN515" t="s">
        <v>170</v>
      </c>
      <c r="DO515" t="s">
        <v>334</v>
      </c>
      <c r="DP515" t="s">
        <v>170</v>
      </c>
      <c r="DQ515" t="s">
        <v>187</v>
      </c>
      <c r="DY515">
        <v>23.5</v>
      </c>
      <c r="EB515">
        <v>4</v>
      </c>
      <c r="EC515">
        <v>4</v>
      </c>
      <c r="EE515" t="s">
        <v>335</v>
      </c>
      <c r="EF515">
        <v>4</v>
      </c>
      <c r="EV515">
        <v>8250</v>
      </c>
      <c r="EW515">
        <v>598</v>
      </c>
      <c r="EX515">
        <v>356</v>
      </c>
      <c r="EY515">
        <v>489</v>
      </c>
    </row>
    <row r="516" spans="1:155" x14ac:dyDescent="0.35">
      <c r="A516">
        <v>2025</v>
      </c>
      <c r="B516" t="s">
        <v>327</v>
      </c>
      <c r="C516" t="s">
        <v>328</v>
      </c>
      <c r="D516" t="s">
        <v>461</v>
      </c>
      <c r="E516" t="s">
        <v>330</v>
      </c>
      <c r="F516">
        <v>106</v>
      </c>
      <c r="G516">
        <v>3.5</v>
      </c>
      <c r="H516">
        <v>6</v>
      </c>
      <c r="I516" t="s">
        <v>462</v>
      </c>
      <c r="J516">
        <v>26</v>
      </c>
      <c r="K516">
        <v>33</v>
      </c>
      <c r="L516">
        <v>29</v>
      </c>
      <c r="M516">
        <v>35.700000000000003</v>
      </c>
      <c r="N516">
        <v>45.5</v>
      </c>
      <c r="O516">
        <v>39.531500000000001</v>
      </c>
      <c r="P516">
        <v>26.2454</v>
      </c>
      <c r="Q516">
        <v>33.334400000000002</v>
      </c>
      <c r="R516">
        <v>29.0228</v>
      </c>
      <c r="U516" t="s">
        <v>224</v>
      </c>
      <c r="V516" t="s">
        <v>463</v>
      </c>
      <c r="W516" t="s">
        <v>464</v>
      </c>
      <c r="Y516">
        <v>10</v>
      </c>
      <c r="Z516" t="s">
        <v>170</v>
      </c>
      <c r="AA516" t="s">
        <v>170</v>
      </c>
      <c r="AB516" t="s">
        <v>171</v>
      </c>
      <c r="AC516" t="s">
        <v>172</v>
      </c>
      <c r="AD516">
        <v>15</v>
      </c>
      <c r="AG516" t="s">
        <v>214</v>
      </c>
      <c r="AH516" t="s">
        <v>215</v>
      </c>
      <c r="AI516" t="s">
        <v>175</v>
      </c>
      <c r="AJ516" t="s">
        <v>176</v>
      </c>
      <c r="AK516" t="s">
        <v>170</v>
      </c>
      <c r="AL516" t="s">
        <v>177</v>
      </c>
      <c r="AM516">
        <v>86</v>
      </c>
      <c r="AN516">
        <v>5</v>
      </c>
      <c r="AS516">
        <v>2200</v>
      </c>
      <c r="AT516">
        <v>2200</v>
      </c>
      <c r="BN516" t="s">
        <v>465</v>
      </c>
      <c r="BO516">
        <v>2</v>
      </c>
      <c r="BP516">
        <v>2</v>
      </c>
      <c r="BQ516">
        <v>3</v>
      </c>
      <c r="BR516" t="s">
        <v>387</v>
      </c>
      <c r="BS516" t="s">
        <v>180</v>
      </c>
      <c r="BT516" t="s">
        <v>225</v>
      </c>
      <c r="BU516" s="1">
        <v>45595</v>
      </c>
      <c r="BV516">
        <v>35916</v>
      </c>
      <c r="BX516" t="s">
        <v>170</v>
      </c>
      <c r="BY516" t="s">
        <v>170</v>
      </c>
      <c r="CB516" t="s">
        <v>170</v>
      </c>
      <c r="CC516" t="s">
        <v>170</v>
      </c>
      <c r="CE516" t="s">
        <v>170</v>
      </c>
      <c r="CG516" t="s">
        <v>169</v>
      </c>
      <c r="CH516" t="s">
        <v>333</v>
      </c>
      <c r="CI516" t="s">
        <v>170</v>
      </c>
      <c r="CK516" t="s">
        <v>233</v>
      </c>
      <c r="CM516">
        <v>1</v>
      </c>
      <c r="CN516" t="s">
        <v>234</v>
      </c>
      <c r="CP516">
        <v>311</v>
      </c>
      <c r="CQ516">
        <v>4.3</v>
      </c>
      <c r="CR516">
        <v>76.5</v>
      </c>
      <c r="CS516" t="s">
        <v>235</v>
      </c>
      <c r="CV516" t="s">
        <v>341</v>
      </c>
      <c r="CX516" t="s">
        <v>342</v>
      </c>
      <c r="CY516" t="s">
        <v>170</v>
      </c>
      <c r="DD516">
        <v>1</v>
      </c>
      <c r="DE516" t="s">
        <v>404</v>
      </c>
      <c r="DF516" t="s">
        <v>466</v>
      </c>
      <c r="DG516">
        <v>132</v>
      </c>
      <c r="DJ516" t="s">
        <v>267</v>
      </c>
      <c r="DK516" t="s">
        <v>268</v>
      </c>
      <c r="DL516" t="s">
        <v>170</v>
      </c>
      <c r="DM516" t="s">
        <v>170</v>
      </c>
      <c r="DN516" t="s">
        <v>170</v>
      </c>
      <c r="DO516" t="s">
        <v>358</v>
      </c>
      <c r="DP516" t="s">
        <v>169</v>
      </c>
      <c r="DQ516" t="s">
        <v>198</v>
      </c>
      <c r="DR516" t="s">
        <v>467</v>
      </c>
      <c r="DY516">
        <v>40</v>
      </c>
      <c r="EB516">
        <v>6</v>
      </c>
      <c r="EC516">
        <v>6</v>
      </c>
      <c r="EE516" t="s">
        <v>468</v>
      </c>
      <c r="EF516">
        <v>6</v>
      </c>
      <c r="EV516">
        <v>1500</v>
      </c>
      <c r="EW516">
        <v>336</v>
      </c>
      <c r="EX516">
        <v>264</v>
      </c>
      <c r="EY516">
        <v>304</v>
      </c>
    </row>
    <row r="517" spans="1:155" x14ac:dyDescent="0.35">
      <c r="A517">
        <v>2025</v>
      </c>
      <c r="B517" t="s">
        <v>327</v>
      </c>
      <c r="C517" t="s">
        <v>328</v>
      </c>
      <c r="D517" t="s">
        <v>773</v>
      </c>
      <c r="E517" t="s">
        <v>330</v>
      </c>
      <c r="F517">
        <v>99</v>
      </c>
      <c r="G517">
        <v>3.4</v>
      </c>
      <c r="H517">
        <v>6</v>
      </c>
      <c r="I517" t="s">
        <v>331</v>
      </c>
      <c r="J517">
        <v>18</v>
      </c>
      <c r="K517">
        <v>29</v>
      </c>
      <c r="L517">
        <v>22</v>
      </c>
      <c r="M517">
        <v>23.107299999999999</v>
      </c>
      <c r="N517">
        <v>41.014600000000002</v>
      </c>
      <c r="O517">
        <v>28.757400000000001</v>
      </c>
      <c r="P517">
        <v>18.4176</v>
      </c>
      <c r="Q517">
        <v>28.7746</v>
      </c>
      <c r="R517">
        <v>21.9773</v>
      </c>
      <c r="T517" t="s">
        <v>165</v>
      </c>
      <c r="U517" t="s">
        <v>166</v>
      </c>
      <c r="V517" t="s">
        <v>193</v>
      </c>
      <c r="W517" t="s">
        <v>194</v>
      </c>
      <c r="Y517">
        <v>10</v>
      </c>
      <c r="Z517" t="s">
        <v>169</v>
      </c>
      <c r="AA517" t="s">
        <v>170</v>
      </c>
      <c r="AB517" t="s">
        <v>171</v>
      </c>
      <c r="AC517" t="s">
        <v>172</v>
      </c>
      <c r="AD517">
        <v>15</v>
      </c>
      <c r="AG517" t="s">
        <v>214</v>
      </c>
      <c r="AH517" t="s">
        <v>215</v>
      </c>
      <c r="AI517" t="s">
        <v>175</v>
      </c>
      <c r="AJ517" t="s">
        <v>176</v>
      </c>
      <c r="AK517" t="s">
        <v>170</v>
      </c>
      <c r="AL517" t="s">
        <v>177</v>
      </c>
      <c r="AO517">
        <v>99</v>
      </c>
      <c r="AP517">
        <v>13</v>
      </c>
      <c r="AS517">
        <v>2900</v>
      </c>
      <c r="AT517">
        <v>2900</v>
      </c>
      <c r="BN517" t="s">
        <v>265</v>
      </c>
      <c r="BO517">
        <v>2</v>
      </c>
      <c r="BP517">
        <v>2</v>
      </c>
      <c r="BQ517">
        <v>5</v>
      </c>
      <c r="BR517" t="s">
        <v>672</v>
      </c>
      <c r="BS517" t="s">
        <v>180</v>
      </c>
      <c r="BT517" t="s">
        <v>181</v>
      </c>
      <c r="BU517" s="1">
        <v>45613</v>
      </c>
      <c r="BV517">
        <v>35921</v>
      </c>
      <c r="BX517" t="s">
        <v>170</v>
      </c>
      <c r="BY517" t="s">
        <v>170</v>
      </c>
      <c r="CB517" t="s">
        <v>170</v>
      </c>
      <c r="CC517" t="s">
        <v>170</v>
      </c>
      <c r="CE517" t="s">
        <v>170</v>
      </c>
      <c r="CG517" t="s">
        <v>169</v>
      </c>
      <c r="CH517" t="s">
        <v>333</v>
      </c>
      <c r="CI517" t="s">
        <v>170</v>
      </c>
      <c r="DJ517" t="s">
        <v>267</v>
      </c>
      <c r="DK517" t="s">
        <v>268</v>
      </c>
      <c r="DN517" t="s">
        <v>170</v>
      </c>
      <c r="DO517" t="s">
        <v>358</v>
      </c>
      <c r="DP517" t="s">
        <v>170</v>
      </c>
      <c r="DQ517" t="s">
        <v>187</v>
      </c>
      <c r="DY517">
        <v>29.1</v>
      </c>
      <c r="EB517">
        <v>5</v>
      </c>
      <c r="EC517">
        <v>5</v>
      </c>
      <c r="EE517" t="s">
        <v>774</v>
      </c>
      <c r="EF517">
        <v>4</v>
      </c>
      <c r="EV517">
        <v>5000</v>
      </c>
      <c r="EW517">
        <v>483</v>
      </c>
      <c r="EX517">
        <v>309</v>
      </c>
      <c r="EY517">
        <v>404</v>
      </c>
    </row>
    <row r="518" spans="1:155" x14ac:dyDescent="0.35">
      <c r="A518">
        <v>2025</v>
      </c>
      <c r="B518" t="s">
        <v>327</v>
      </c>
      <c r="C518" t="s">
        <v>328</v>
      </c>
      <c r="D518" t="s">
        <v>1719</v>
      </c>
      <c r="E518" t="s">
        <v>330</v>
      </c>
      <c r="F518">
        <v>100</v>
      </c>
      <c r="G518">
        <v>3.4</v>
      </c>
      <c r="H518">
        <v>6</v>
      </c>
      <c r="I518" t="s">
        <v>331</v>
      </c>
      <c r="J518">
        <v>17</v>
      </c>
      <c r="K518">
        <v>27</v>
      </c>
      <c r="L518">
        <v>21</v>
      </c>
      <c r="M518">
        <v>22.1</v>
      </c>
      <c r="N518">
        <v>39.369900000000001</v>
      </c>
      <c r="O518">
        <v>27.535399999999999</v>
      </c>
      <c r="P518">
        <v>17.672799999999999</v>
      </c>
      <c r="Q518">
        <v>27.722799999999999</v>
      </c>
      <c r="R518">
        <v>21.117799999999999</v>
      </c>
      <c r="T518" t="s">
        <v>165</v>
      </c>
      <c r="U518" t="s">
        <v>166</v>
      </c>
      <c r="V518" t="s">
        <v>193</v>
      </c>
      <c r="W518" t="s">
        <v>194</v>
      </c>
      <c r="Y518">
        <v>10</v>
      </c>
      <c r="Z518" t="s">
        <v>169</v>
      </c>
      <c r="AA518" t="s">
        <v>170</v>
      </c>
      <c r="AB518" t="s">
        <v>167</v>
      </c>
      <c r="AC518" t="s">
        <v>213</v>
      </c>
      <c r="AD518">
        <v>15</v>
      </c>
      <c r="AG518" t="s">
        <v>214</v>
      </c>
      <c r="AH518" t="s">
        <v>215</v>
      </c>
      <c r="AI518" t="s">
        <v>175</v>
      </c>
      <c r="AJ518" t="s">
        <v>176</v>
      </c>
      <c r="AK518" t="s">
        <v>170</v>
      </c>
      <c r="AL518" t="s">
        <v>177</v>
      </c>
      <c r="AO518">
        <v>99</v>
      </c>
      <c r="AP518">
        <v>13</v>
      </c>
      <c r="AS518">
        <v>3050</v>
      </c>
      <c r="AT518">
        <v>3050</v>
      </c>
      <c r="BN518" t="s">
        <v>265</v>
      </c>
      <c r="BO518">
        <v>2</v>
      </c>
      <c r="BP518">
        <v>2</v>
      </c>
      <c r="BQ518">
        <v>5</v>
      </c>
      <c r="BR518" t="s">
        <v>672</v>
      </c>
      <c r="BS518" t="s">
        <v>180</v>
      </c>
      <c r="BT518" t="s">
        <v>181</v>
      </c>
      <c r="BV518">
        <v>35883</v>
      </c>
      <c r="BX518" t="s">
        <v>170</v>
      </c>
      <c r="BY518" t="s">
        <v>170</v>
      </c>
      <c r="CB518" t="s">
        <v>170</v>
      </c>
      <c r="CC518" t="s">
        <v>170</v>
      </c>
      <c r="CE518" t="s">
        <v>170</v>
      </c>
      <c r="CG518" t="s">
        <v>169</v>
      </c>
      <c r="CH518" t="s">
        <v>333</v>
      </c>
      <c r="CI518" t="s">
        <v>170</v>
      </c>
      <c r="DJ518" t="s">
        <v>267</v>
      </c>
      <c r="DK518" t="s">
        <v>268</v>
      </c>
      <c r="DN518" t="s">
        <v>170</v>
      </c>
      <c r="DO518" t="s">
        <v>358</v>
      </c>
      <c r="DP518" t="s">
        <v>170</v>
      </c>
      <c r="DQ518" t="s">
        <v>187</v>
      </c>
      <c r="DY518">
        <v>27.8</v>
      </c>
      <c r="EB518">
        <v>4</v>
      </c>
      <c r="EC518">
        <v>4</v>
      </c>
      <c r="EE518" t="s">
        <v>774</v>
      </c>
      <c r="EF518">
        <v>4</v>
      </c>
      <c r="EV518">
        <v>5750</v>
      </c>
      <c r="EW518">
        <v>499</v>
      </c>
      <c r="EX518">
        <v>318</v>
      </c>
      <c r="EY518">
        <v>418</v>
      </c>
    </row>
    <row r="519" spans="1:155" x14ac:dyDescent="0.35">
      <c r="A519">
        <v>2025</v>
      </c>
      <c r="B519" t="s">
        <v>327</v>
      </c>
      <c r="C519" t="s">
        <v>328</v>
      </c>
      <c r="D519" t="s">
        <v>775</v>
      </c>
      <c r="E519" t="s">
        <v>330</v>
      </c>
      <c r="F519">
        <v>78</v>
      </c>
      <c r="G519">
        <v>3.5</v>
      </c>
      <c r="H519">
        <v>6</v>
      </c>
      <c r="I519" t="s">
        <v>462</v>
      </c>
      <c r="J519">
        <v>22</v>
      </c>
      <c r="K519">
        <v>29</v>
      </c>
      <c r="L519">
        <v>25</v>
      </c>
      <c r="M519">
        <v>29.2</v>
      </c>
      <c r="N519">
        <v>39</v>
      </c>
      <c r="O519">
        <v>32.922800000000002</v>
      </c>
      <c r="P519">
        <v>22.5151</v>
      </c>
      <c r="Q519">
        <v>28.554200000000002</v>
      </c>
      <c r="R519">
        <v>24.883299999999998</v>
      </c>
      <c r="U519" t="s">
        <v>224</v>
      </c>
      <c r="V519" t="s">
        <v>463</v>
      </c>
      <c r="W519" t="s">
        <v>464</v>
      </c>
      <c r="Y519">
        <v>10</v>
      </c>
      <c r="Z519" t="s">
        <v>170</v>
      </c>
      <c r="AA519" t="s">
        <v>170</v>
      </c>
      <c r="AB519" t="s">
        <v>167</v>
      </c>
      <c r="AC519" t="s">
        <v>213</v>
      </c>
      <c r="AD519">
        <v>15</v>
      </c>
      <c r="AG519" t="s">
        <v>214</v>
      </c>
      <c r="AH519" t="s">
        <v>215</v>
      </c>
      <c r="AI519" t="s">
        <v>175</v>
      </c>
      <c r="AJ519" t="s">
        <v>176</v>
      </c>
      <c r="AK519" t="s">
        <v>170</v>
      </c>
      <c r="AL519" t="s">
        <v>177</v>
      </c>
      <c r="AO519">
        <v>99</v>
      </c>
      <c r="AP519">
        <v>12</v>
      </c>
      <c r="AS519">
        <v>2550</v>
      </c>
      <c r="AT519">
        <v>2550</v>
      </c>
      <c r="BN519" t="s">
        <v>465</v>
      </c>
      <c r="BO519">
        <v>2</v>
      </c>
      <c r="BP519">
        <v>2</v>
      </c>
      <c r="BQ519">
        <v>5</v>
      </c>
      <c r="BR519" t="s">
        <v>672</v>
      </c>
      <c r="BS519" t="s">
        <v>180</v>
      </c>
      <c r="BT519" t="s">
        <v>225</v>
      </c>
      <c r="BV519">
        <v>35871</v>
      </c>
      <c r="BX519" t="s">
        <v>170</v>
      </c>
      <c r="BY519" t="s">
        <v>170</v>
      </c>
      <c r="CB519" t="s">
        <v>170</v>
      </c>
      <c r="CC519" t="s">
        <v>170</v>
      </c>
      <c r="CE519" t="s">
        <v>170</v>
      </c>
      <c r="CG519" t="s">
        <v>169</v>
      </c>
      <c r="CH519" t="s">
        <v>333</v>
      </c>
      <c r="CI519" t="s">
        <v>170</v>
      </c>
      <c r="CK519" t="s">
        <v>233</v>
      </c>
      <c r="CM519">
        <v>1</v>
      </c>
      <c r="CN519" t="s">
        <v>234</v>
      </c>
      <c r="CP519">
        <v>311</v>
      </c>
      <c r="CQ519">
        <v>4.3</v>
      </c>
      <c r="CR519">
        <v>76.5</v>
      </c>
      <c r="CS519" t="s">
        <v>235</v>
      </c>
      <c r="CV519" t="s">
        <v>341</v>
      </c>
      <c r="CX519" t="s">
        <v>342</v>
      </c>
      <c r="CY519" t="s">
        <v>170</v>
      </c>
      <c r="DD519">
        <v>1</v>
      </c>
      <c r="DE519" t="s">
        <v>404</v>
      </c>
      <c r="DF519" t="s">
        <v>466</v>
      </c>
      <c r="DG519">
        <v>132</v>
      </c>
      <c r="DJ519" t="s">
        <v>267</v>
      </c>
      <c r="DK519" t="s">
        <v>268</v>
      </c>
      <c r="DL519" t="s">
        <v>170</v>
      </c>
      <c r="DM519" t="s">
        <v>170</v>
      </c>
      <c r="DN519" t="s">
        <v>170</v>
      </c>
      <c r="DO519" t="s">
        <v>358</v>
      </c>
      <c r="DP519" t="s">
        <v>169</v>
      </c>
      <c r="DQ519" t="s">
        <v>198</v>
      </c>
      <c r="DR519" t="s">
        <v>467</v>
      </c>
      <c r="DY519">
        <v>33.299999999999997</v>
      </c>
      <c r="EB519">
        <v>5</v>
      </c>
      <c r="EC519">
        <v>5</v>
      </c>
      <c r="EE519" t="s">
        <v>468</v>
      </c>
      <c r="EF519">
        <v>6</v>
      </c>
      <c r="EV519">
        <v>3250</v>
      </c>
      <c r="EW519">
        <v>391</v>
      </c>
      <c r="EX519">
        <v>307</v>
      </c>
      <c r="EY519">
        <v>353</v>
      </c>
    </row>
    <row r="520" spans="1:155" x14ac:dyDescent="0.35">
      <c r="A520">
        <v>2025</v>
      </c>
      <c r="B520" t="s">
        <v>327</v>
      </c>
      <c r="C520" t="s">
        <v>328</v>
      </c>
      <c r="D520" t="s">
        <v>775</v>
      </c>
      <c r="E520" t="s">
        <v>330</v>
      </c>
      <c r="F520">
        <v>79</v>
      </c>
      <c r="G520">
        <v>3.5</v>
      </c>
      <c r="H520">
        <v>6</v>
      </c>
      <c r="I520" t="s">
        <v>462</v>
      </c>
      <c r="J520">
        <v>22</v>
      </c>
      <c r="K520">
        <v>29</v>
      </c>
      <c r="L520">
        <v>25</v>
      </c>
      <c r="M520">
        <v>29.2</v>
      </c>
      <c r="N520">
        <v>39</v>
      </c>
      <c r="O520">
        <v>32.922800000000002</v>
      </c>
      <c r="P520">
        <v>22</v>
      </c>
      <c r="Q520">
        <v>28.554200000000002</v>
      </c>
      <c r="R520">
        <v>24.883299999999998</v>
      </c>
      <c r="U520" t="s">
        <v>224</v>
      </c>
      <c r="V520" t="s">
        <v>463</v>
      </c>
      <c r="W520" t="s">
        <v>464</v>
      </c>
      <c r="Y520">
        <v>10</v>
      </c>
      <c r="Z520" t="s">
        <v>170</v>
      </c>
      <c r="AA520" t="s">
        <v>170</v>
      </c>
      <c r="AB520" t="s">
        <v>167</v>
      </c>
      <c r="AC520" t="s">
        <v>213</v>
      </c>
      <c r="AD520">
        <v>15</v>
      </c>
      <c r="AG520" t="s">
        <v>214</v>
      </c>
      <c r="AH520" t="s">
        <v>215</v>
      </c>
      <c r="AI520" t="s">
        <v>175</v>
      </c>
      <c r="AJ520" t="s">
        <v>176</v>
      </c>
      <c r="AK520" t="s">
        <v>170</v>
      </c>
      <c r="AL520" t="s">
        <v>177</v>
      </c>
      <c r="AO520">
        <v>99</v>
      </c>
      <c r="AP520">
        <v>12</v>
      </c>
      <c r="AS520">
        <v>2550</v>
      </c>
      <c r="AT520">
        <v>2550</v>
      </c>
      <c r="BN520" t="s">
        <v>465</v>
      </c>
      <c r="BO520">
        <v>2</v>
      </c>
      <c r="BP520">
        <v>2</v>
      </c>
      <c r="BQ520">
        <v>5</v>
      </c>
      <c r="BR520" t="s">
        <v>672</v>
      </c>
      <c r="BS520" t="s">
        <v>180</v>
      </c>
      <c r="BT520" t="s">
        <v>225</v>
      </c>
      <c r="BU520" s="1">
        <v>45613</v>
      </c>
      <c r="BV520">
        <v>35872</v>
      </c>
      <c r="BX520" t="s">
        <v>170</v>
      </c>
      <c r="BY520" t="s">
        <v>170</v>
      </c>
      <c r="CB520" t="s">
        <v>170</v>
      </c>
      <c r="CC520" t="s">
        <v>170</v>
      </c>
      <c r="CE520" t="s">
        <v>170</v>
      </c>
      <c r="CG520" t="s">
        <v>169</v>
      </c>
      <c r="CH520" t="s">
        <v>333</v>
      </c>
      <c r="CI520" t="s">
        <v>170</v>
      </c>
      <c r="CK520" t="s">
        <v>233</v>
      </c>
      <c r="CM520">
        <v>1</v>
      </c>
      <c r="CN520" t="s">
        <v>234</v>
      </c>
      <c r="CP520">
        <v>311</v>
      </c>
      <c r="CQ520">
        <v>4.3</v>
      </c>
      <c r="CR520">
        <v>76.5</v>
      </c>
      <c r="CS520" t="s">
        <v>235</v>
      </c>
      <c r="CV520" t="s">
        <v>341</v>
      </c>
      <c r="CX520" t="s">
        <v>342</v>
      </c>
      <c r="CY520" t="s">
        <v>170</v>
      </c>
      <c r="DD520">
        <v>1</v>
      </c>
      <c r="DE520" t="s">
        <v>404</v>
      </c>
      <c r="DF520" t="s">
        <v>466</v>
      </c>
      <c r="DG520">
        <v>132</v>
      </c>
      <c r="DJ520" t="s">
        <v>267</v>
      </c>
      <c r="DK520" t="s">
        <v>268</v>
      </c>
      <c r="DL520" t="s">
        <v>170</v>
      </c>
      <c r="DM520" t="s">
        <v>170</v>
      </c>
      <c r="DN520" t="s">
        <v>170</v>
      </c>
      <c r="DO520" t="s">
        <v>358</v>
      </c>
      <c r="DP520" t="s">
        <v>169</v>
      </c>
      <c r="DQ520" t="s">
        <v>198</v>
      </c>
      <c r="DR520" t="s">
        <v>467</v>
      </c>
      <c r="DY520">
        <v>33.299999999999997</v>
      </c>
      <c r="EB520">
        <v>5</v>
      </c>
      <c r="EC520">
        <v>5</v>
      </c>
      <c r="EE520" t="s">
        <v>468</v>
      </c>
      <c r="EF520">
        <v>6</v>
      </c>
      <c r="EV520">
        <v>3250</v>
      </c>
      <c r="EW520">
        <v>400</v>
      </c>
      <c r="EX520">
        <v>307</v>
      </c>
      <c r="EY520">
        <v>358</v>
      </c>
    </row>
    <row r="521" spans="1:155" x14ac:dyDescent="0.35">
      <c r="A521">
        <v>2025</v>
      </c>
      <c r="B521" t="s">
        <v>327</v>
      </c>
      <c r="C521" t="s">
        <v>328</v>
      </c>
      <c r="D521" t="s">
        <v>1608</v>
      </c>
      <c r="E521" t="s">
        <v>330</v>
      </c>
      <c r="F521">
        <v>102</v>
      </c>
      <c r="G521">
        <v>3.4</v>
      </c>
      <c r="H521">
        <v>6</v>
      </c>
      <c r="I521" t="s">
        <v>331</v>
      </c>
      <c r="J521">
        <v>17</v>
      </c>
      <c r="K521">
        <v>22</v>
      </c>
      <c r="L521">
        <v>19</v>
      </c>
      <c r="M521">
        <v>20.6</v>
      </c>
      <c r="N521">
        <v>30.1</v>
      </c>
      <c r="O521">
        <v>24.010100000000001</v>
      </c>
      <c r="P521">
        <v>16.554500000000001</v>
      </c>
      <c r="Q521">
        <v>21.646100000000001</v>
      </c>
      <c r="R521">
        <v>18.514199999999999</v>
      </c>
      <c r="T521" t="s">
        <v>165</v>
      </c>
      <c r="U521" t="s">
        <v>166</v>
      </c>
      <c r="V521" t="s">
        <v>193</v>
      </c>
      <c r="W521" t="s">
        <v>194</v>
      </c>
      <c r="Y521">
        <v>10</v>
      </c>
      <c r="Z521" t="s">
        <v>169</v>
      </c>
      <c r="AA521" t="s">
        <v>170</v>
      </c>
      <c r="AB521" t="s">
        <v>167</v>
      </c>
      <c r="AC521" t="s">
        <v>213</v>
      </c>
      <c r="AD521">
        <v>15</v>
      </c>
      <c r="AG521" t="s">
        <v>214</v>
      </c>
      <c r="AH521" t="s">
        <v>215</v>
      </c>
      <c r="AI521" t="s">
        <v>175</v>
      </c>
      <c r="AJ521" t="s">
        <v>176</v>
      </c>
      <c r="AK521" t="s">
        <v>940</v>
      </c>
      <c r="AL521" t="s">
        <v>941</v>
      </c>
      <c r="AS521">
        <v>3350</v>
      </c>
      <c r="AT521">
        <v>3350</v>
      </c>
      <c r="BN521" t="s">
        <v>265</v>
      </c>
      <c r="BO521">
        <v>2</v>
      </c>
      <c r="BP521">
        <v>2</v>
      </c>
      <c r="BQ521">
        <v>33</v>
      </c>
      <c r="BR521" t="s">
        <v>1497</v>
      </c>
      <c r="BT521" t="s">
        <v>181</v>
      </c>
      <c r="BU521" s="1">
        <v>45630</v>
      </c>
      <c r="BV521">
        <v>35885</v>
      </c>
      <c r="BX521" t="s">
        <v>170</v>
      </c>
      <c r="BY521" t="s">
        <v>170</v>
      </c>
      <c r="CB521" t="s">
        <v>170</v>
      </c>
      <c r="CC521" t="s">
        <v>170</v>
      </c>
      <c r="CD521" t="s">
        <v>1609</v>
      </c>
      <c r="CE521" t="s">
        <v>170</v>
      </c>
      <c r="CG521" t="s">
        <v>169</v>
      </c>
      <c r="CH521" t="s">
        <v>333</v>
      </c>
      <c r="CI521" t="s">
        <v>170</v>
      </c>
      <c r="DJ521" t="s">
        <v>267</v>
      </c>
      <c r="DK521" t="s">
        <v>268</v>
      </c>
      <c r="DN521" t="s">
        <v>170</v>
      </c>
      <c r="DO521" t="s">
        <v>358</v>
      </c>
      <c r="DP521" t="s">
        <v>169</v>
      </c>
      <c r="DQ521" t="s">
        <v>198</v>
      </c>
      <c r="EB521">
        <v>4</v>
      </c>
      <c r="EC521">
        <v>4</v>
      </c>
      <c r="EE521" t="s">
        <v>1009</v>
      </c>
      <c r="EF521">
        <v>4</v>
      </c>
      <c r="EV521">
        <v>7250</v>
      </c>
      <c r="EW521">
        <v>533</v>
      </c>
      <c r="EX521">
        <v>408</v>
      </c>
      <c r="EY521">
        <v>477</v>
      </c>
    </row>
    <row r="522" spans="1:155" x14ac:dyDescent="0.35">
      <c r="A522">
        <v>2025</v>
      </c>
      <c r="B522" t="s">
        <v>327</v>
      </c>
      <c r="C522" t="s">
        <v>328</v>
      </c>
      <c r="D522" t="s">
        <v>1610</v>
      </c>
      <c r="E522" t="s">
        <v>330</v>
      </c>
      <c r="F522">
        <v>119</v>
      </c>
      <c r="G522">
        <v>3.4</v>
      </c>
      <c r="H522">
        <v>6</v>
      </c>
      <c r="I522" t="s">
        <v>331</v>
      </c>
      <c r="J522">
        <v>19</v>
      </c>
      <c r="K522">
        <v>22</v>
      </c>
      <c r="L522">
        <v>20</v>
      </c>
      <c r="M522">
        <v>23.6</v>
      </c>
      <c r="N522">
        <v>30.6</v>
      </c>
      <c r="O522">
        <v>26.308199999999999</v>
      </c>
      <c r="P522">
        <v>18.780100000000001</v>
      </c>
      <c r="Q522">
        <v>21.980499999999999</v>
      </c>
      <c r="R522">
        <v>20.096900000000002</v>
      </c>
      <c r="T522" t="s">
        <v>165</v>
      </c>
      <c r="U522" t="s">
        <v>166</v>
      </c>
      <c r="V522" t="s">
        <v>193</v>
      </c>
      <c r="W522" t="s">
        <v>194</v>
      </c>
      <c r="Y522">
        <v>10</v>
      </c>
      <c r="Z522" t="s">
        <v>169</v>
      </c>
      <c r="AA522" t="s">
        <v>170</v>
      </c>
      <c r="AB522" t="s">
        <v>167</v>
      </c>
      <c r="AC522" t="s">
        <v>213</v>
      </c>
      <c r="AD522">
        <v>15</v>
      </c>
      <c r="AG522" t="s">
        <v>214</v>
      </c>
      <c r="AH522" t="s">
        <v>215</v>
      </c>
      <c r="AI522" t="s">
        <v>175</v>
      </c>
      <c r="AJ522" t="s">
        <v>176</v>
      </c>
      <c r="AK522" t="s">
        <v>940</v>
      </c>
      <c r="AL522" t="s">
        <v>941</v>
      </c>
      <c r="AS522">
        <v>3200</v>
      </c>
      <c r="AT522">
        <v>3200</v>
      </c>
      <c r="BN522" t="s">
        <v>465</v>
      </c>
      <c r="BO522">
        <v>2</v>
      </c>
      <c r="BP522">
        <v>2</v>
      </c>
      <c r="BQ522">
        <v>33</v>
      </c>
      <c r="BR522" t="s">
        <v>1497</v>
      </c>
      <c r="BT522" t="s">
        <v>181</v>
      </c>
      <c r="BU522" s="1">
        <v>45630</v>
      </c>
      <c r="BV522">
        <v>35886</v>
      </c>
      <c r="BX522" t="s">
        <v>170</v>
      </c>
      <c r="BY522" t="s">
        <v>170</v>
      </c>
      <c r="CB522" t="s">
        <v>170</v>
      </c>
      <c r="CC522" t="s">
        <v>170</v>
      </c>
      <c r="CD522" t="s">
        <v>1611</v>
      </c>
      <c r="CE522" t="s">
        <v>170</v>
      </c>
      <c r="CG522" t="s">
        <v>169</v>
      </c>
      <c r="CH522" t="s">
        <v>333</v>
      </c>
      <c r="CI522" t="s">
        <v>170</v>
      </c>
      <c r="CK522" t="s">
        <v>233</v>
      </c>
      <c r="CM522">
        <v>1</v>
      </c>
      <c r="CN522" t="s">
        <v>814</v>
      </c>
      <c r="CP522">
        <v>288</v>
      </c>
      <c r="CQ522">
        <v>6.5</v>
      </c>
      <c r="CR522">
        <v>46.4</v>
      </c>
      <c r="CS522" t="s">
        <v>235</v>
      </c>
      <c r="CV522" t="s">
        <v>341</v>
      </c>
      <c r="CX522" t="s">
        <v>1012</v>
      </c>
      <c r="CY522" t="s">
        <v>170</v>
      </c>
      <c r="DC522" t="s">
        <v>1013</v>
      </c>
      <c r="DD522">
        <v>1</v>
      </c>
      <c r="DE522" t="s">
        <v>404</v>
      </c>
      <c r="DF522" t="s">
        <v>466</v>
      </c>
      <c r="DG522">
        <v>36</v>
      </c>
      <c r="DJ522" t="s">
        <v>267</v>
      </c>
      <c r="DK522" t="s">
        <v>268</v>
      </c>
      <c r="DL522" t="s">
        <v>170</v>
      </c>
      <c r="DM522" t="s">
        <v>170</v>
      </c>
      <c r="DN522" t="s">
        <v>170</v>
      </c>
      <c r="DO522" t="s">
        <v>358</v>
      </c>
      <c r="DP522" t="s">
        <v>169</v>
      </c>
      <c r="DQ522" t="s">
        <v>198</v>
      </c>
      <c r="DR522" t="s">
        <v>467</v>
      </c>
      <c r="EB522">
        <v>4</v>
      </c>
      <c r="EC522">
        <v>4</v>
      </c>
      <c r="EE522" t="s">
        <v>1014</v>
      </c>
      <c r="EF522">
        <v>4</v>
      </c>
      <c r="EV522">
        <v>6500</v>
      </c>
      <c r="EW522">
        <v>469</v>
      </c>
      <c r="EX522">
        <v>401</v>
      </c>
      <c r="EY522">
        <v>439</v>
      </c>
    </row>
    <row r="523" spans="1:155" x14ac:dyDescent="0.35">
      <c r="A523">
        <v>2025</v>
      </c>
      <c r="B523" t="s">
        <v>327</v>
      </c>
      <c r="C523" t="s">
        <v>328</v>
      </c>
      <c r="D523" t="s">
        <v>1166</v>
      </c>
      <c r="E523" t="s">
        <v>330</v>
      </c>
      <c r="F523">
        <v>5</v>
      </c>
      <c r="G523">
        <v>2.5</v>
      </c>
      <c r="H523">
        <v>4</v>
      </c>
      <c r="I523" t="s">
        <v>192</v>
      </c>
      <c r="J523">
        <v>26</v>
      </c>
      <c r="K523">
        <v>33</v>
      </c>
      <c r="L523">
        <v>28</v>
      </c>
      <c r="M523">
        <v>33.1</v>
      </c>
      <c r="N523">
        <v>47.3</v>
      </c>
      <c r="O523">
        <v>38.270099999999999</v>
      </c>
      <c r="P523">
        <v>25.549700000000001</v>
      </c>
      <c r="Q523">
        <v>32.723700000000001</v>
      </c>
      <c r="R523">
        <v>28.3461</v>
      </c>
      <c r="U523" t="s">
        <v>224</v>
      </c>
      <c r="V523" t="s">
        <v>193</v>
      </c>
      <c r="W523" t="s">
        <v>194</v>
      </c>
      <c r="Y523">
        <v>8</v>
      </c>
      <c r="Z523" t="s">
        <v>169</v>
      </c>
      <c r="AA523" t="s">
        <v>170</v>
      </c>
      <c r="AB523" t="s">
        <v>351</v>
      </c>
      <c r="AC523" t="s">
        <v>352</v>
      </c>
      <c r="AD523">
        <v>15</v>
      </c>
      <c r="AG523" t="s">
        <v>210</v>
      </c>
      <c r="AH523" t="s">
        <v>444</v>
      </c>
      <c r="AI523" t="s">
        <v>175</v>
      </c>
      <c r="AJ523" t="s">
        <v>176</v>
      </c>
      <c r="AK523" t="s">
        <v>940</v>
      </c>
      <c r="AL523" t="s">
        <v>941</v>
      </c>
      <c r="AS523">
        <v>1900</v>
      </c>
      <c r="AT523">
        <v>1900</v>
      </c>
      <c r="BN523" t="s">
        <v>265</v>
      </c>
      <c r="BO523">
        <v>2</v>
      </c>
      <c r="BP523">
        <v>2</v>
      </c>
      <c r="BQ523">
        <v>30</v>
      </c>
      <c r="BR523" t="s">
        <v>1099</v>
      </c>
      <c r="BT523" t="s">
        <v>181</v>
      </c>
      <c r="BU523" s="1">
        <v>45384</v>
      </c>
      <c r="BV523">
        <v>34571</v>
      </c>
      <c r="BX523" t="s">
        <v>170</v>
      </c>
      <c r="BY523" t="s">
        <v>170</v>
      </c>
      <c r="CB523" t="s">
        <v>170</v>
      </c>
      <c r="CC523" t="s">
        <v>170</v>
      </c>
      <c r="CE523" t="s">
        <v>170</v>
      </c>
      <c r="CG523" t="s">
        <v>169</v>
      </c>
      <c r="CH523" t="s">
        <v>333</v>
      </c>
      <c r="CI523" t="s">
        <v>170</v>
      </c>
      <c r="DJ523" t="s">
        <v>267</v>
      </c>
      <c r="DK523" t="s">
        <v>268</v>
      </c>
      <c r="DN523" t="s">
        <v>170</v>
      </c>
      <c r="DO523" t="s">
        <v>640</v>
      </c>
      <c r="DP523" t="s">
        <v>169</v>
      </c>
      <c r="DQ523" t="s">
        <v>198</v>
      </c>
      <c r="EB523">
        <v>6</v>
      </c>
      <c r="EC523">
        <v>6</v>
      </c>
      <c r="EE523" t="s">
        <v>1167</v>
      </c>
      <c r="EF523">
        <v>5</v>
      </c>
      <c r="EU523">
        <v>0</v>
      </c>
      <c r="EW523">
        <v>345</v>
      </c>
      <c r="EX523">
        <v>269</v>
      </c>
      <c r="EY523">
        <v>311</v>
      </c>
    </row>
    <row r="524" spans="1:155" x14ac:dyDescent="0.35">
      <c r="A524">
        <v>2025</v>
      </c>
      <c r="B524" t="s">
        <v>327</v>
      </c>
      <c r="C524" t="s">
        <v>328</v>
      </c>
      <c r="D524" t="s">
        <v>1356</v>
      </c>
      <c r="E524" t="s">
        <v>330</v>
      </c>
      <c r="F524">
        <v>6</v>
      </c>
      <c r="G524">
        <v>2.5</v>
      </c>
      <c r="H524">
        <v>4</v>
      </c>
      <c r="I524" t="s">
        <v>192</v>
      </c>
      <c r="J524">
        <v>25</v>
      </c>
      <c r="K524">
        <v>32</v>
      </c>
      <c r="L524">
        <v>28</v>
      </c>
      <c r="M524">
        <v>33.1</v>
      </c>
      <c r="N524">
        <v>46.1</v>
      </c>
      <c r="O524">
        <v>37.910800000000002</v>
      </c>
      <c r="P524">
        <v>25</v>
      </c>
      <c r="Q524">
        <v>31.978200000000001</v>
      </c>
      <c r="R524">
        <v>28.090900000000001</v>
      </c>
      <c r="U524" t="s">
        <v>224</v>
      </c>
      <c r="V524" t="s">
        <v>193</v>
      </c>
      <c r="W524" t="s">
        <v>194</v>
      </c>
      <c r="Y524">
        <v>8</v>
      </c>
      <c r="Z524" t="s">
        <v>169</v>
      </c>
      <c r="AA524" t="s">
        <v>170</v>
      </c>
      <c r="AB524" t="s">
        <v>167</v>
      </c>
      <c r="AC524" t="s">
        <v>213</v>
      </c>
      <c r="AD524">
        <v>15</v>
      </c>
      <c r="AG524" t="s">
        <v>210</v>
      </c>
      <c r="AH524" t="s">
        <v>444</v>
      </c>
      <c r="AI524" t="s">
        <v>175</v>
      </c>
      <c r="AJ524" t="s">
        <v>176</v>
      </c>
      <c r="AK524" t="s">
        <v>940</v>
      </c>
      <c r="AL524" t="s">
        <v>941</v>
      </c>
      <c r="AS524">
        <v>1900</v>
      </c>
      <c r="AT524">
        <v>1900</v>
      </c>
      <c r="BN524" t="s">
        <v>265</v>
      </c>
      <c r="BO524">
        <v>2</v>
      </c>
      <c r="BP524">
        <v>2</v>
      </c>
      <c r="BQ524">
        <v>31</v>
      </c>
      <c r="BR524" t="s">
        <v>1219</v>
      </c>
      <c r="BT524" t="s">
        <v>181</v>
      </c>
      <c r="BU524" s="1">
        <v>45384</v>
      </c>
      <c r="BV524">
        <v>34572</v>
      </c>
      <c r="BX524" t="s">
        <v>169</v>
      </c>
      <c r="BY524" t="s">
        <v>170</v>
      </c>
      <c r="CB524" t="s">
        <v>170</v>
      </c>
      <c r="CC524" t="s">
        <v>170</v>
      </c>
      <c r="CE524" t="s">
        <v>170</v>
      </c>
      <c r="CG524" t="s">
        <v>169</v>
      </c>
      <c r="CH524" t="s">
        <v>333</v>
      </c>
      <c r="CI524" t="s">
        <v>170</v>
      </c>
      <c r="DJ524" t="s">
        <v>267</v>
      </c>
      <c r="DK524" t="s">
        <v>268</v>
      </c>
      <c r="DN524" t="s">
        <v>170</v>
      </c>
      <c r="DO524" t="s">
        <v>640</v>
      </c>
      <c r="DP524" t="s">
        <v>169</v>
      </c>
      <c r="DQ524" t="s">
        <v>198</v>
      </c>
      <c r="EB524">
        <v>6</v>
      </c>
      <c r="EC524">
        <v>6</v>
      </c>
      <c r="EE524" t="s">
        <v>1167</v>
      </c>
      <c r="EF524">
        <v>5</v>
      </c>
      <c r="EU524">
        <v>0</v>
      </c>
      <c r="EW524">
        <v>352</v>
      </c>
      <c r="EX524">
        <v>276</v>
      </c>
      <c r="EY524">
        <v>318</v>
      </c>
    </row>
    <row r="525" spans="1:155" x14ac:dyDescent="0.35">
      <c r="A525">
        <v>2025</v>
      </c>
      <c r="B525" t="s">
        <v>327</v>
      </c>
      <c r="C525" t="s">
        <v>328</v>
      </c>
      <c r="D525" t="s">
        <v>1357</v>
      </c>
      <c r="E525" t="s">
        <v>330</v>
      </c>
      <c r="F525">
        <v>9</v>
      </c>
      <c r="G525">
        <v>2.4</v>
      </c>
      <c r="H525">
        <v>4</v>
      </c>
      <c r="I525" t="s">
        <v>192</v>
      </c>
      <c r="J525">
        <v>21</v>
      </c>
      <c r="K525">
        <v>28</v>
      </c>
      <c r="L525">
        <v>24</v>
      </c>
      <c r="M525">
        <v>27.203600000000002</v>
      </c>
      <c r="N525">
        <v>39.715200000000003</v>
      </c>
      <c r="O525">
        <v>31.697099999999999</v>
      </c>
      <c r="P525">
        <v>21.396699999999999</v>
      </c>
      <c r="Q525">
        <v>27.944199999999999</v>
      </c>
      <c r="R525">
        <v>23.918600000000001</v>
      </c>
      <c r="T525" t="s">
        <v>165</v>
      </c>
      <c r="U525" t="s">
        <v>166</v>
      </c>
      <c r="V525" t="s">
        <v>193</v>
      </c>
      <c r="W525" t="s">
        <v>194</v>
      </c>
      <c r="Y525">
        <v>8</v>
      </c>
      <c r="Z525" t="s">
        <v>169</v>
      </c>
      <c r="AA525" t="s">
        <v>170</v>
      </c>
      <c r="AB525" t="s">
        <v>167</v>
      </c>
      <c r="AC525" t="s">
        <v>213</v>
      </c>
      <c r="AD525">
        <v>15</v>
      </c>
      <c r="AG525" t="s">
        <v>214</v>
      </c>
      <c r="AH525" t="s">
        <v>215</v>
      </c>
      <c r="AI525" t="s">
        <v>175</v>
      </c>
      <c r="AJ525" t="s">
        <v>176</v>
      </c>
      <c r="AK525" t="s">
        <v>940</v>
      </c>
      <c r="AL525" t="s">
        <v>941</v>
      </c>
      <c r="AS525">
        <v>2650</v>
      </c>
      <c r="AT525">
        <v>2650</v>
      </c>
      <c r="BN525" t="s">
        <v>265</v>
      </c>
      <c r="BO525">
        <v>2</v>
      </c>
      <c r="BP525">
        <v>2</v>
      </c>
      <c r="BQ525">
        <v>31</v>
      </c>
      <c r="BR525" t="s">
        <v>1219</v>
      </c>
      <c r="BT525" t="s">
        <v>181</v>
      </c>
      <c r="BU525" s="1">
        <v>45384</v>
      </c>
      <c r="BV525">
        <v>34574</v>
      </c>
      <c r="BX525" t="s">
        <v>170</v>
      </c>
      <c r="BY525" t="s">
        <v>170</v>
      </c>
      <c r="CB525" t="s">
        <v>170</v>
      </c>
      <c r="CC525" t="s">
        <v>170</v>
      </c>
      <c r="CD525" t="s">
        <v>1169</v>
      </c>
      <c r="CE525" t="s">
        <v>170</v>
      </c>
      <c r="CG525" t="s">
        <v>169</v>
      </c>
      <c r="CH525" t="s">
        <v>333</v>
      </c>
      <c r="CI525" t="s">
        <v>170</v>
      </c>
      <c r="DJ525" t="s">
        <v>267</v>
      </c>
      <c r="DK525" t="s">
        <v>268</v>
      </c>
      <c r="DN525" t="s">
        <v>170</v>
      </c>
      <c r="DO525" t="s">
        <v>358</v>
      </c>
      <c r="DP525" t="s">
        <v>169</v>
      </c>
      <c r="DQ525" t="s">
        <v>198</v>
      </c>
      <c r="EB525">
        <v>5</v>
      </c>
      <c r="EC525">
        <v>5</v>
      </c>
      <c r="EE525" t="s">
        <v>1170</v>
      </c>
      <c r="EF525">
        <v>6</v>
      </c>
      <c r="EV525">
        <v>3750</v>
      </c>
      <c r="EW525">
        <v>414</v>
      </c>
      <c r="EX525">
        <v>317</v>
      </c>
      <c r="EY525">
        <v>370</v>
      </c>
    </row>
    <row r="526" spans="1:155" x14ac:dyDescent="0.35">
      <c r="A526">
        <v>2025</v>
      </c>
      <c r="B526" t="s">
        <v>327</v>
      </c>
      <c r="C526" t="s">
        <v>328</v>
      </c>
      <c r="D526" t="s">
        <v>1358</v>
      </c>
      <c r="E526" t="s">
        <v>330</v>
      </c>
      <c r="F526">
        <v>11</v>
      </c>
      <c r="G526">
        <v>2.4</v>
      </c>
      <c r="H526">
        <v>4</v>
      </c>
      <c r="I526" t="s">
        <v>192</v>
      </c>
      <c r="J526">
        <v>21</v>
      </c>
      <c r="K526">
        <v>28</v>
      </c>
      <c r="L526">
        <v>24</v>
      </c>
      <c r="M526">
        <v>27.6</v>
      </c>
      <c r="N526">
        <v>40.5</v>
      </c>
      <c r="O526">
        <v>32.2179</v>
      </c>
      <c r="P526">
        <v>21</v>
      </c>
      <c r="Q526">
        <v>28.446300000000001</v>
      </c>
      <c r="R526">
        <v>24.279399999999999</v>
      </c>
      <c r="T526" t="s">
        <v>165</v>
      </c>
      <c r="U526" t="s">
        <v>166</v>
      </c>
      <c r="V526" t="s">
        <v>193</v>
      </c>
      <c r="W526" t="s">
        <v>194</v>
      </c>
      <c r="Y526">
        <v>8</v>
      </c>
      <c r="Z526" t="s">
        <v>169</v>
      </c>
      <c r="AA526" t="s">
        <v>170</v>
      </c>
      <c r="AB526" t="s">
        <v>167</v>
      </c>
      <c r="AC526" t="s">
        <v>213</v>
      </c>
      <c r="AD526">
        <v>15</v>
      </c>
      <c r="AG526" t="s">
        <v>214</v>
      </c>
      <c r="AH526" t="s">
        <v>215</v>
      </c>
      <c r="AI526" t="s">
        <v>175</v>
      </c>
      <c r="AJ526" t="s">
        <v>176</v>
      </c>
      <c r="AK526" t="s">
        <v>940</v>
      </c>
      <c r="AL526" t="s">
        <v>941</v>
      </c>
      <c r="AS526">
        <v>2650</v>
      </c>
      <c r="AT526">
        <v>2650</v>
      </c>
      <c r="BN526" t="s">
        <v>265</v>
      </c>
      <c r="BO526">
        <v>2</v>
      </c>
      <c r="BP526">
        <v>2</v>
      </c>
      <c r="BQ526">
        <v>31</v>
      </c>
      <c r="BR526" t="s">
        <v>1219</v>
      </c>
      <c r="BT526" t="s">
        <v>181</v>
      </c>
      <c r="BU526" s="1">
        <v>45384</v>
      </c>
      <c r="BV526">
        <v>34576</v>
      </c>
      <c r="BX526" t="s">
        <v>169</v>
      </c>
      <c r="BY526" t="s">
        <v>170</v>
      </c>
      <c r="CB526" t="s">
        <v>170</v>
      </c>
      <c r="CC526" t="s">
        <v>170</v>
      </c>
      <c r="CD526" t="s">
        <v>1169</v>
      </c>
      <c r="CE526" t="s">
        <v>170</v>
      </c>
      <c r="CG526" t="s">
        <v>169</v>
      </c>
      <c r="CH526" t="s">
        <v>333</v>
      </c>
      <c r="CI526" t="s">
        <v>170</v>
      </c>
      <c r="DJ526" t="s">
        <v>267</v>
      </c>
      <c r="DK526" t="s">
        <v>268</v>
      </c>
      <c r="DN526" t="s">
        <v>170</v>
      </c>
      <c r="DO526" t="s">
        <v>358</v>
      </c>
      <c r="DP526" t="s">
        <v>169</v>
      </c>
      <c r="DQ526" t="s">
        <v>198</v>
      </c>
      <c r="DY526">
        <v>32.6</v>
      </c>
      <c r="EB526">
        <v>5</v>
      </c>
      <c r="EC526">
        <v>5</v>
      </c>
      <c r="EE526" t="s">
        <v>1170</v>
      </c>
      <c r="EF526">
        <v>6</v>
      </c>
      <c r="EV526">
        <v>3750</v>
      </c>
      <c r="EW526">
        <v>420</v>
      </c>
      <c r="EX526">
        <v>309</v>
      </c>
      <c r="EY526">
        <v>370</v>
      </c>
    </row>
    <row r="527" spans="1:155" x14ac:dyDescent="0.35">
      <c r="A527">
        <v>2025</v>
      </c>
      <c r="B527" t="s">
        <v>327</v>
      </c>
      <c r="C527" t="s">
        <v>328</v>
      </c>
      <c r="D527" t="s">
        <v>1359</v>
      </c>
      <c r="E527" t="s">
        <v>330</v>
      </c>
      <c r="F527">
        <v>8</v>
      </c>
      <c r="G527">
        <v>2.5</v>
      </c>
      <c r="H527">
        <v>4</v>
      </c>
      <c r="I527" t="s">
        <v>594</v>
      </c>
      <c r="J527">
        <v>41</v>
      </c>
      <c r="K527">
        <v>37</v>
      </c>
      <c r="L527">
        <v>39</v>
      </c>
      <c r="M527">
        <v>56.244599999999998</v>
      </c>
      <c r="N527">
        <v>51.696899999999999</v>
      </c>
      <c r="O527">
        <v>54.102899999999998</v>
      </c>
      <c r="P527">
        <v>41.398400000000002</v>
      </c>
      <c r="Q527">
        <v>37.419199999999996</v>
      </c>
      <c r="R527">
        <v>39</v>
      </c>
      <c r="U527" t="s">
        <v>224</v>
      </c>
      <c r="V527" t="s">
        <v>463</v>
      </c>
      <c r="W527" t="s">
        <v>464</v>
      </c>
      <c r="Y527">
        <v>6</v>
      </c>
      <c r="Z527" t="s">
        <v>170</v>
      </c>
      <c r="AA527" t="s">
        <v>170</v>
      </c>
      <c r="AB527" t="s">
        <v>167</v>
      </c>
      <c r="AC527" t="s">
        <v>213</v>
      </c>
      <c r="AD527">
        <v>15</v>
      </c>
      <c r="AG527" t="s">
        <v>173</v>
      </c>
      <c r="AH527" t="s">
        <v>174</v>
      </c>
      <c r="AI527" t="s">
        <v>175</v>
      </c>
      <c r="AJ527" t="s">
        <v>176</v>
      </c>
      <c r="AK527" t="s">
        <v>940</v>
      </c>
      <c r="AL527" t="s">
        <v>941</v>
      </c>
      <c r="AS527">
        <v>1650</v>
      </c>
      <c r="AT527">
        <v>1650</v>
      </c>
      <c r="BN527" t="s">
        <v>465</v>
      </c>
      <c r="BO527">
        <v>2</v>
      </c>
      <c r="BP527">
        <v>2</v>
      </c>
      <c r="BQ527">
        <v>31</v>
      </c>
      <c r="BR527" t="s">
        <v>1219</v>
      </c>
      <c r="BT527" t="s">
        <v>225</v>
      </c>
      <c r="BU527" s="1">
        <v>45384</v>
      </c>
      <c r="BV527">
        <v>34573</v>
      </c>
      <c r="BX527" t="s">
        <v>170</v>
      </c>
      <c r="BY527" t="s">
        <v>170</v>
      </c>
      <c r="CB527" t="s">
        <v>170</v>
      </c>
      <c r="CC527" t="s">
        <v>170</v>
      </c>
      <c r="CD527" t="s">
        <v>1091</v>
      </c>
      <c r="CE527" t="s">
        <v>170</v>
      </c>
      <c r="CG527" t="s">
        <v>169</v>
      </c>
      <c r="CH527" t="s">
        <v>333</v>
      </c>
      <c r="CI527" t="s">
        <v>170</v>
      </c>
      <c r="CK527" t="s">
        <v>233</v>
      </c>
      <c r="CM527">
        <v>1</v>
      </c>
      <c r="CN527" t="s">
        <v>234</v>
      </c>
      <c r="CP527">
        <v>259</v>
      </c>
      <c r="CQ527">
        <v>4.3</v>
      </c>
      <c r="CR527">
        <v>76.5</v>
      </c>
      <c r="CS527" t="s">
        <v>235</v>
      </c>
      <c r="CV527" t="s">
        <v>341</v>
      </c>
      <c r="CX527" t="s">
        <v>342</v>
      </c>
      <c r="CY527" t="s">
        <v>170</v>
      </c>
      <c r="DC527" t="s">
        <v>1092</v>
      </c>
      <c r="DD527">
        <v>2</v>
      </c>
      <c r="DE527" t="s">
        <v>404</v>
      </c>
      <c r="DF527" t="s">
        <v>638</v>
      </c>
      <c r="DG527" t="s">
        <v>930</v>
      </c>
      <c r="DJ527" t="s">
        <v>267</v>
      </c>
      <c r="DK527" t="s">
        <v>268</v>
      </c>
      <c r="DL527" t="s">
        <v>170</v>
      </c>
      <c r="DM527" t="s">
        <v>170</v>
      </c>
      <c r="DN527" t="s">
        <v>170</v>
      </c>
      <c r="DO527" t="s">
        <v>1093</v>
      </c>
      <c r="DP527" t="s">
        <v>169</v>
      </c>
      <c r="DQ527" t="s">
        <v>198</v>
      </c>
      <c r="DR527" t="s">
        <v>467</v>
      </c>
      <c r="EB527">
        <v>7</v>
      </c>
      <c r="EC527">
        <v>7</v>
      </c>
      <c r="EE527" t="s">
        <v>1094</v>
      </c>
      <c r="EF527">
        <v>6</v>
      </c>
      <c r="EU527">
        <v>1250</v>
      </c>
      <c r="EW527">
        <v>212</v>
      </c>
      <c r="EX527">
        <v>235</v>
      </c>
      <c r="EY527">
        <v>225</v>
      </c>
    </row>
    <row r="528" spans="1:155" x14ac:dyDescent="0.35">
      <c r="A528">
        <v>2025</v>
      </c>
      <c r="B528" t="s">
        <v>327</v>
      </c>
      <c r="C528" t="s">
        <v>328</v>
      </c>
      <c r="D528" t="s">
        <v>469</v>
      </c>
      <c r="E528" t="s">
        <v>330</v>
      </c>
      <c r="F528">
        <v>123</v>
      </c>
      <c r="G528">
        <v>2</v>
      </c>
      <c r="H528">
        <v>4</v>
      </c>
      <c r="I528" t="s">
        <v>192</v>
      </c>
      <c r="J528">
        <v>21</v>
      </c>
      <c r="K528">
        <v>31</v>
      </c>
      <c r="L528">
        <v>25</v>
      </c>
      <c r="M528">
        <v>27.0243</v>
      </c>
      <c r="N528">
        <v>44.639899999999997</v>
      </c>
      <c r="O528">
        <v>32.859400000000001</v>
      </c>
      <c r="P528">
        <v>21.268000000000001</v>
      </c>
      <c r="Q528">
        <v>31.065799999999999</v>
      </c>
      <c r="R528">
        <v>24.785699999999999</v>
      </c>
      <c r="T528" t="s">
        <v>165</v>
      </c>
      <c r="U528" t="s">
        <v>166</v>
      </c>
      <c r="V528" t="s">
        <v>193</v>
      </c>
      <c r="W528" t="s">
        <v>194</v>
      </c>
      <c r="Y528">
        <v>8</v>
      </c>
      <c r="Z528" t="s">
        <v>169</v>
      </c>
      <c r="AA528" t="s">
        <v>170</v>
      </c>
      <c r="AB528" t="s">
        <v>171</v>
      </c>
      <c r="AC528" t="s">
        <v>172</v>
      </c>
      <c r="AD528">
        <v>15</v>
      </c>
      <c r="AG528" t="s">
        <v>214</v>
      </c>
      <c r="AH528" t="s">
        <v>215</v>
      </c>
      <c r="AI528" t="s">
        <v>175</v>
      </c>
      <c r="AJ528" t="s">
        <v>176</v>
      </c>
      <c r="AK528" t="s">
        <v>170</v>
      </c>
      <c r="AL528" t="s">
        <v>177</v>
      </c>
      <c r="AM528">
        <v>84</v>
      </c>
      <c r="AN528">
        <v>10</v>
      </c>
      <c r="AS528">
        <v>2550</v>
      </c>
      <c r="AT528">
        <v>2550</v>
      </c>
      <c r="BN528" t="s">
        <v>265</v>
      </c>
      <c r="BO528">
        <v>2</v>
      </c>
      <c r="BP528">
        <v>2</v>
      </c>
      <c r="BQ528">
        <v>3</v>
      </c>
      <c r="BR528" t="s">
        <v>387</v>
      </c>
      <c r="BS528" t="s">
        <v>180</v>
      </c>
      <c r="BT528" t="s">
        <v>181</v>
      </c>
      <c r="BU528" s="1">
        <v>45674</v>
      </c>
      <c r="BV528">
        <v>35889</v>
      </c>
      <c r="BX528" t="s">
        <v>170</v>
      </c>
      <c r="BY528" t="s">
        <v>170</v>
      </c>
      <c r="CB528" t="s">
        <v>170</v>
      </c>
      <c r="CC528" t="s">
        <v>170</v>
      </c>
      <c r="CE528" t="s">
        <v>170</v>
      </c>
      <c r="CG528" t="s">
        <v>169</v>
      </c>
      <c r="CH528" t="s">
        <v>333</v>
      </c>
      <c r="CI528" t="s">
        <v>170</v>
      </c>
      <c r="DJ528" t="s">
        <v>267</v>
      </c>
      <c r="DK528" t="s">
        <v>268</v>
      </c>
      <c r="DN528" t="s">
        <v>170</v>
      </c>
      <c r="DO528" t="s">
        <v>358</v>
      </c>
      <c r="DP528" t="s">
        <v>170</v>
      </c>
      <c r="DQ528" t="s">
        <v>187</v>
      </c>
      <c r="DY528">
        <v>33.200000000000003</v>
      </c>
      <c r="EB528">
        <v>5</v>
      </c>
      <c r="EC528">
        <v>5</v>
      </c>
      <c r="EE528" t="s">
        <v>470</v>
      </c>
      <c r="EF528">
        <v>4</v>
      </c>
      <c r="EV528">
        <v>3250</v>
      </c>
      <c r="EW528">
        <v>414</v>
      </c>
      <c r="EX528">
        <v>284</v>
      </c>
      <c r="EY528">
        <v>356</v>
      </c>
    </row>
    <row r="529" spans="1:155" x14ac:dyDescent="0.35">
      <c r="A529">
        <v>2025</v>
      </c>
      <c r="B529" t="s">
        <v>327</v>
      </c>
      <c r="C529" t="s">
        <v>328</v>
      </c>
      <c r="D529" t="s">
        <v>471</v>
      </c>
      <c r="E529" t="s">
        <v>330</v>
      </c>
      <c r="F529">
        <v>120</v>
      </c>
      <c r="G529">
        <v>3.5</v>
      </c>
      <c r="H529">
        <v>6</v>
      </c>
      <c r="I529" t="s">
        <v>275</v>
      </c>
      <c r="J529">
        <v>19</v>
      </c>
      <c r="K529">
        <v>26</v>
      </c>
      <c r="L529">
        <v>22</v>
      </c>
      <c r="M529">
        <v>24.2</v>
      </c>
      <c r="N529">
        <v>36.700000000000003</v>
      </c>
      <c r="O529">
        <v>28.580500000000001</v>
      </c>
      <c r="P529">
        <v>19.22</v>
      </c>
      <c r="Q529">
        <v>25.998699999999999</v>
      </c>
      <c r="R529">
        <v>21.774799999999999</v>
      </c>
      <c r="U529" t="s">
        <v>224</v>
      </c>
      <c r="V529" t="s">
        <v>193</v>
      </c>
      <c r="W529" t="s">
        <v>194</v>
      </c>
      <c r="Y529">
        <v>6</v>
      </c>
      <c r="Z529" t="s">
        <v>169</v>
      </c>
      <c r="AA529" t="s">
        <v>170</v>
      </c>
      <c r="AB529" t="s">
        <v>167</v>
      </c>
      <c r="AC529" t="s">
        <v>213</v>
      </c>
      <c r="AD529">
        <v>15</v>
      </c>
      <c r="AG529" t="s">
        <v>214</v>
      </c>
      <c r="AH529" t="s">
        <v>215</v>
      </c>
      <c r="AI529" t="s">
        <v>175</v>
      </c>
      <c r="AJ529" t="s">
        <v>176</v>
      </c>
      <c r="AK529" t="s">
        <v>170</v>
      </c>
      <c r="AL529" t="s">
        <v>177</v>
      </c>
      <c r="AM529">
        <v>84</v>
      </c>
      <c r="AN529">
        <v>10</v>
      </c>
      <c r="AS529">
        <v>2900</v>
      </c>
      <c r="AT529">
        <v>2900</v>
      </c>
      <c r="BN529" t="s">
        <v>265</v>
      </c>
      <c r="BO529">
        <v>2</v>
      </c>
      <c r="BP529">
        <v>2</v>
      </c>
      <c r="BQ529">
        <v>3</v>
      </c>
      <c r="BR529" t="s">
        <v>387</v>
      </c>
      <c r="BS529" t="s">
        <v>180</v>
      </c>
      <c r="BT529" t="s">
        <v>181</v>
      </c>
      <c r="BU529" s="1">
        <v>45674</v>
      </c>
      <c r="BV529">
        <v>35887</v>
      </c>
      <c r="BX529" t="s">
        <v>170</v>
      </c>
      <c r="BY529" t="s">
        <v>170</v>
      </c>
      <c r="CB529" t="s">
        <v>170</v>
      </c>
      <c r="CC529" t="s">
        <v>170</v>
      </c>
      <c r="CD529" t="s">
        <v>472</v>
      </c>
      <c r="CE529" t="s">
        <v>170</v>
      </c>
      <c r="CG529" t="s">
        <v>169</v>
      </c>
      <c r="CH529" t="s">
        <v>333</v>
      </c>
      <c r="CI529" t="s">
        <v>170</v>
      </c>
      <c r="DJ529" t="s">
        <v>267</v>
      </c>
      <c r="DK529" t="s">
        <v>268</v>
      </c>
      <c r="DN529" t="s">
        <v>170</v>
      </c>
      <c r="DO529" t="s">
        <v>358</v>
      </c>
      <c r="DP529" t="s">
        <v>170</v>
      </c>
      <c r="DQ529" t="s">
        <v>187</v>
      </c>
      <c r="DY529">
        <v>28.9</v>
      </c>
      <c r="EB529">
        <v>5</v>
      </c>
      <c r="EC529">
        <v>5</v>
      </c>
      <c r="EE529" t="s">
        <v>473</v>
      </c>
      <c r="EF529">
        <v>4</v>
      </c>
      <c r="EV529">
        <v>5000</v>
      </c>
      <c r="EW529">
        <v>461</v>
      </c>
      <c r="EX529">
        <v>340</v>
      </c>
      <c r="EY529">
        <v>407</v>
      </c>
    </row>
    <row r="530" spans="1:155" x14ac:dyDescent="0.35">
      <c r="A530">
        <v>2025</v>
      </c>
      <c r="B530" t="s">
        <v>327</v>
      </c>
      <c r="C530" t="s">
        <v>328</v>
      </c>
      <c r="D530" t="s">
        <v>474</v>
      </c>
      <c r="E530" t="s">
        <v>330</v>
      </c>
      <c r="F530">
        <v>121</v>
      </c>
      <c r="G530">
        <v>3.5</v>
      </c>
      <c r="H530">
        <v>6</v>
      </c>
      <c r="I530" t="s">
        <v>192</v>
      </c>
      <c r="J530">
        <v>20</v>
      </c>
      <c r="K530">
        <v>28</v>
      </c>
      <c r="L530">
        <v>23</v>
      </c>
      <c r="M530">
        <v>25.3</v>
      </c>
      <c r="N530">
        <v>39.6</v>
      </c>
      <c r="O530">
        <v>30.209</v>
      </c>
      <c r="P530">
        <v>20.022099999999998</v>
      </c>
      <c r="Q530">
        <v>27.8704</v>
      </c>
      <c r="R530">
        <v>22.927499999999998</v>
      </c>
      <c r="U530" t="s">
        <v>224</v>
      </c>
      <c r="V530" t="s">
        <v>193</v>
      </c>
      <c r="W530" t="s">
        <v>194</v>
      </c>
      <c r="Y530">
        <v>8</v>
      </c>
      <c r="Z530" t="s">
        <v>169</v>
      </c>
      <c r="AA530" t="s">
        <v>170</v>
      </c>
      <c r="AB530" t="s">
        <v>171</v>
      </c>
      <c r="AC530" t="s">
        <v>172</v>
      </c>
      <c r="AD530">
        <v>15</v>
      </c>
      <c r="AG530" t="s">
        <v>214</v>
      </c>
      <c r="AH530" t="s">
        <v>215</v>
      </c>
      <c r="AI530" t="s">
        <v>175</v>
      </c>
      <c r="AJ530" t="s">
        <v>176</v>
      </c>
      <c r="AK530" t="s">
        <v>170</v>
      </c>
      <c r="AL530" t="s">
        <v>177</v>
      </c>
      <c r="AM530">
        <v>84</v>
      </c>
      <c r="AN530">
        <v>10</v>
      </c>
      <c r="AS530">
        <v>2750</v>
      </c>
      <c r="AT530">
        <v>2750</v>
      </c>
      <c r="BN530" t="s">
        <v>265</v>
      </c>
      <c r="BO530">
        <v>2</v>
      </c>
      <c r="BP530">
        <v>2</v>
      </c>
      <c r="BQ530">
        <v>3</v>
      </c>
      <c r="BR530" t="s">
        <v>387</v>
      </c>
      <c r="BS530" t="s">
        <v>180</v>
      </c>
      <c r="BT530" t="s">
        <v>181</v>
      </c>
      <c r="BU530" s="1">
        <v>45674</v>
      </c>
      <c r="BV530">
        <v>35920</v>
      </c>
      <c r="BX530" t="s">
        <v>170</v>
      </c>
      <c r="BY530" t="s">
        <v>170</v>
      </c>
      <c r="CB530" t="s">
        <v>170</v>
      </c>
      <c r="CC530" t="s">
        <v>170</v>
      </c>
      <c r="CD530" t="s">
        <v>475</v>
      </c>
      <c r="CE530" t="s">
        <v>170</v>
      </c>
      <c r="CG530" t="s">
        <v>169</v>
      </c>
      <c r="CH530" t="s">
        <v>333</v>
      </c>
      <c r="CI530" t="s">
        <v>170</v>
      </c>
      <c r="DJ530" t="s">
        <v>267</v>
      </c>
      <c r="DK530" t="s">
        <v>268</v>
      </c>
      <c r="DN530" t="s">
        <v>170</v>
      </c>
      <c r="DO530" t="s">
        <v>358</v>
      </c>
      <c r="DP530" t="s">
        <v>170</v>
      </c>
      <c r="DQ530" t="s">
        <v>187</v>
      </c>
      <c r="DY530">
        <v>30.5</v>
      </c>
      <c r="EB530">
        <v>5</v>
      </c>
      <c r="EC530">
        <v>5</v>
      </c>
      <c r="EE530" t="s">
        <v>473</v>
      </c>
      <c r="EF530">
        <v>4</v>
      </c>
      <c r="EV530">
        <v>4250</v>
      </c>
      <c r="EW530">
        <v>441</v>
      </c>
      <c r="EX530">
        <v>317</v>
      </c>
      <c r="EY530">
        <v>385</v>
      </c>
    </row>
    <row r="531" spans="1:155" x14ac:dyDescent="0.35">
      <c r="A531">
        <v>2025</v>
      </c>
      <c r="B531" t="s">
        <v>327</v>
      </c>
      <c r="C531" t="s">
        <v>328</v>
      </c>
      <c r="D531" t="s">
        <v>476</v>
      </c>
      <c r="E531" t="s">
        <v>330</v>
      </c>
      <c r="F531">
        <v>122</v>
      </c>
      <c r="G531">
        <v>3.5</v>
      </c>
      <c r="H531">
        <v>6</v>
      </c>
      <c r="I531" t="s">
        <v>275</v>
      </c>
      <c r="J531">
        <v>19</v>
      </c>
      <c r="K531">
        <v>26</v>
      </c>
      <c r="L531">
        <v>22</v>
      </c>
      <c r="M531">
        <v>24.2</v>
      </c>
      <c r="N531">
        <v>36.700000000000003</v>
      </c>
      <c r="O531">
        <v>28.580500000000001</v>
      </c>
      <c r="P531">
        <v>19.22</v>
      </c>
      <c r="Q531">
        <v>25.998699999999999</v>
      </c>
      <c r="R531">
        <v>21.774799999999999</v>
      </c>
      <c r="U531" t="s">
        <v>224</v>
      </c>
      <c r="V531" t="s">
        <v>193</v>
      </c>
      <c r="W531" t="s">
        <v>194</v>
      </c>
      <c r="Y531">
        <v>6</v>
      </c>
      <c r="Z531" t="s">
        <v>169</v>
      </c>
      <c r="AA531" t="s">
        <v>170</v>
      </c>
      <c r="AB531" t="s">
        <v>167</v>
      </c>
      <c r="AC531" t="s">
        <v>213</v>
      </c>
      <c r="AD531">
        <v>15</v>
      </c>
      <c r="AG531" t="s">
        <v>214</v>
      </c>
      <c r="AH531" t="s">
        <v>215</v>
      </c>
      <c r="AI531" t="s">
        <v>175</v>
      </c>
      <c r="AJ531" t="s">
        <v>176</v>
      </c>
      <c r="AK531" t="s">
        <v>170</v>
      </c>
      <c r="AL531" t="s">
        <v>177</v>
      </c>
      <c r="AM531">
        <v>84</v>
      </c>
      <c r="AN531">
        <v>10</v>
      </c>
      <c r="AS531">
        <v>2900</v>
      </c>
      <c r="AT531">
        <v>2900</v>
      </c>
      <c r="BN531" t="s">
        <v>265</v>
      </c>
      <c r="BO531">
        <v>2</v>
      </c>
      <c r="BP531">
        <v>2</v>
      </c>
      <c r="BQ531">
        <v>3</v>
      </c>
      <c r="BR531" t="s">
        <v>387</v>
      </c>
      <c r="BS531" t="s">
        <v>180</v>
      </c>
      <c r="BT531" t="s">
        <v>181</v>
      </c>
      <c r="BU531" s="1">
        <v>45674</v>
      </c>
      <c r="BV531">
        <v>35888</v>
      </c>
      <c r="BX531" t="s">
        <v>170</v>
      </c>
      <c r="BY531" t="s">
        <v>170</v>
      </c>
      <c r="CB531" t="s">
        <v>170</v>
      </c>
      <c r="CC531" t="s">
        <v>170</v>
      </c>
      <c r="CD531" t="s">
        <v>475</v>
      </c>
      <c r="CE531" t="s">
        <v>170</v>
      </c>
      <c r="CG531" t="s">
        <v>169</v>
      </c>
      <c r="CH531" t="s">
        <v>333</v>
      </c>
      <c r="CI531" t="s">
        <v>170</v>
      </c>
      <c r="DJ531" t="s">
        <v>267</v>
      </c>
      <c r="DK531" t="s">
        <v>268</v>
      </c>
      <c r="DN531" t="s">
        <v>170</v>
      </c>
      <c r="DO531" t="s">
        <v>358</v>
      </c>
      <c r="DP531" t="s">
        <v>170</v>
      </c>
      <c r="DQ531" t="s">
        <v>187</v>
      </c>
      <c r="DY531">
        <v>28.9</v>
      </c>
      <c r="EB531">
        <v>5</v>
      </c>
      <c r="EC531">
        <v>5</v>
      </c>
      <c r="EE531" t="s">
        <v>473</v>
      </c>
      <c r="EF531">
        <v>4</v>
      </c>
      <c r="EV531">
        <v>5000</v>
      </c>
      <c r="EW531">
        <v>461</v>
      </c>
      <c r="EX531">
        <v>340</v>
      </c>
      <c r="EY531">
        <v>407</v>
      </c>
    </row>
    <row r="532" spans="1:155" x14ac:dyDescent="0.35">
      <c r="A532">
        <v>2025</v>
      </c>
      <c r="B532" t="s">
        <v>327</v>
      </c>
      <c r="C532" t="s">
        <v>328</v>
      </c>
      <c r="D532" t="s">
        <v>477</v>
      </c>
      <c r="E532" t="s">
        <v>330</v>
      </c>
      <c r="F532">
        <v>126</v>
      </c>
      <c r="G532">
        <v>5</v>
      </c>
      <c r="H532">
        <v>8</v>
      </c>
      <c r="I532" t="s">
        <v>192</v>
      </c>
      <c r="J532">
        <v>16</v>
      </c>
      <c r="K532">
        <v>24</v>
      </c>
      <c r="L532">
        <v>19</v>
      </c>
      <c r="M532">
        <v>20.399999999999999</v>
      </c>
      <c r="N532">
        <v>33.299999999999997</v>
      </c>
      <c r="O532">
        <v>24.707000000000001</v>
      </c>
      <c r="P532">
        <v>16.3887</v>
      </c>
      <c r="Q532">
        <v>24.428899999999999</v>
      </c>
      <c r="R532">
        <v>19.238</v>
      </c>
      <c r="U532" t="s">
        <v>224</v>
      </c>
      <c r="V532" t="s">
        <v>193</v>
      </c>
      <c r="W532" t="s">
        <v>194</v>
      </c>
      <c r="Y532">
        <v>8</v>
      </c>
      <c r="Z532" t="s">
        <v>169</v>
      </c>
      <c r="AA532" t="s">
        <v>170</v>
      </c>
      <c r="AB532" t="s">
        <v>171</v>
      </c>
      <c r="AC532" t="s">
        <v>172</v>
      </c>
      <c r="AD532">
        <v>15</v>
      </c>
      <c r="AG532" t="s">
        <v>214</v>
      </c>
      <c r="AH532" t="s">
        <v>215</v>
      </c>
      <c r="AI532" t="s">
        <v>175</v>
      </c>
      <c r="AJ532" t="s">
        <v>176</v>
      </c>
      <c r="AK532" t="s">
        <v>170</v>
      </c>
      <c r="AL532" t="s">
        <v>177</v>
      </c>
      <c r="AM532">
        <v>79</v>
      </c>
      <c r="AN532">
        <v>10</v>
      </c>
      <c r="AS532">
        <v>3350</v>
      </c>
      <c r="AT532">
        <v>3350</v>
      </c>
      <c r="BN532" t="s">
        <v>265</v>
      </c>
      <c r="BO532">
        <v>2</v>
      </c>
      <c r="BP532">
        <v>2</v>
      </c>
      <c r="BQ532">
        <v>3</v>
      </c>
      <c r="BR532" t="s">
        <v>387</v>
      </c>
      <c r="BS532" t="s">
        <v>180</v>
      </c>
      <c r="BT532" t="s">
        <v>225</v>
      </c>
      <c r="BU532" s="1">
        <v>45674</v>
      </c>
      <c r="BV532">
        <v>35929</v>
      </c>
      <c r="BX532" t="s">
        <v>170</v>
      </c>
      <c r="BY532" t="s">
        <v>170</v>
      </c>
      <c r="CB532" t="s">
        <v>170</v>
      </c>
      <c r="CC532" t="s">
        <v>170</v>
      </c>
      <c r="CD532" t="s">
        <v>478</v>
      </c>
      <c r="CE532" t="s">
        <v>170</v>
      </c>
      <c r="CG532" t="s">
        <v>169</v>
      </c>
      <c r="CH532" t="s">
        <v>333</v>
      </c>
      <c r="CI532" t="s">
        <v>170</v>
      </c>
      <c r="DJ532" t="s">
        <v>267</v>
      </c>
      <c r="DK532" t="s">
        <v>268</v>
      </c>
      <c r="DN532" t="s">
        <v>170</v>
      </c>
      <c r="DO532" t="s">
        <v>334</v>
      </c>
      <c r="DP532" t="s">
        <v>170</v>
      </c>
      <c r="DQ532" t="s">
        <v>187</v>
      </c>
      <c r="DY532">
        <v>25</v>
      </c>
      <c r="EB532">
        <v>4</v>
      </c>
      <c r="EC532">
        <v>4</v>
      </c>
      <c r="EE532" t="s">
        <v>335</v>
      </c>
      <c r="EF532">
        <v>4</v>
      </c>
      <c r="EV532">
        <v>7250</v>
      </c>
      <c r="EW532">
        <v>538</v>
      </c>
      <c r="EX532">
        <v>361</v>
      </c>
      <c r="EY532">
        <v>459</v>
      </c>
    </row>
    <row r="533" spans="1:155" x14ac:dyDescent="0.35">
      <c r="A533">
        <v>2025</v>
      </c>
      <c r="B533" t="s">
        <v>327</v>
      </c>
      <c r="C533" t="s">
        <v>328</v>
      </c>
      <c r="D533" t="s">
        <v>1168</v>
      </c>
      <c r="E533" t="s">
        <v>330</v>
      </c>
      <c r="F533">
        <v>73</v>
      </c>
      <c r="G533">
        <v>2.4</v>
      </c>
      <c r="H533">
        <v>4</v>
      </c>
      <c r="I533" t="s">
        <v>192</v>
      </c>
      <c r="J533">
        <v>22</v>
      </c>
      <c r="K533">
        <v>29</v>
      </c>
      <c r="L533">
        <v>25</v>
      </c>
      <c r="M533">
        <v>28.298500000000001</v>
      </c>
      <c r="N533">
        <v>41.409100000000002</v>
      </c>
      <c r="O533">
        <v>33.0002</v>
      </c>
      <c r="P533">
        <v>22.1798</v>
      </c>
      <c r="Q533">
        <v>29.025700000000001</v>
      </c>
      <c r="R533">
        <v>24.813400000000001</v>
      </c>
      <c r="T533" t="s">
        <v>165</v>
      </c>
      <c r="U533" t="s">
        <v>166</v>
      </c>
      <c r="V533" t="s">
        <v>193</v>
      </c>
      <c r="W533" t="s">
        <v>194</v>
      </c>
      <c r="Y533">
        <v>8</v>
      </c>
      <c r="Z533" t="s">
        <v>169</v>
      </c>
      <c r="AA533" t="s">
        <v>170</v>
      </c>
      <c r="AB533" t="s">
        <v>351</v>
      </c>
      <c r="AC533" t="s">
        <v>352</v>
      </c>
      <c r="AD533">
        <v>15</v>
      </c>
      <c r="AG533" t="s">
        <v>214</v>
      </c>
      <c r="AH533" t="s">
        <v>215</v>
      </c>
      <c r="AI533" t="s">
        <v>175</v>
      </c>
      <c r="AJ533" t="s">
        <v>176</v>
      </c>
      <c r="AK533" t="s">
        <v>940</v>
      </c>
      <c r="AL533" t="s">
        <v>941</v>
      </c>
      <c r="AS533">
        <v>2550</v>
      </c>
      <c r="AT533">
        <v>2550</v>
      </c>
      <c r="BN533" t="s">
        <v>265</v>
      </c>
      <c r="BO533">
        <v>2</v>
      </c>
      <c r="BP533">
        <v>2</v>
      </c>
      <c r="BQ533">
        <v>30</v>
      </c>
      <c r="BR533" t="s">
        <v>1099</v>
      </c>
      <c r="BT533" t="s">
        <v>181</v>
      </c>
      <c r="BU533" s="1">
        <v>45582</v>
      </c>
      <c r="BV533">
        <v>35868</v>
      </c>
      <c r="BX533" t="s">
        <v>169</v>
      </c>
      <c r="BY533" t="s">
        <v>170</v>
      </c>
      <c r="CB533" t="s">
        <v>170</v>
      </c>
      <c r="CC533" t="s">
        <v>170</v>
      </c>
      <c r="CD533" t="s">
        <v>1169</v>
      </c>
      <c r="CE533" t="s">
        <v>170</v>
      </c>
      <c r="CG533" t="s">
        <v>169</v>
      </c>
      <c r="CH533" t="s">
        <v>333</v>
      </c>
      <c r="CI533" t="s">
        <v>170</v>
      </c>
      <c r="DJ533" t="s">
        <v>267</v>
      </c>
      <c r="DK533" t="s">
        <v>268</v>
      </c>
      <c r="DN533" t="s">
        <v>170</v>
      </c>
      <c r="DO533" t="s">
        <v>358</v>
      </c>
      <c r="DP533" t="s">
        <v>169</v>
      </c>
      <c r="DQ533" t="s">
        <v>198</v>
      </c>
      <c r="EB533">
        <v>5</v>
      </c>
      <c r="EC533">
        <v>5</v>
      </c>
      <c r="EE533" t="s">
        <v>1170</v>
      </c>
      <c r="EF533">
        <v>6</v>
      </c>
      <c r="EV533">
        <v>3250</v>
      </c>
      <c r="EW533">
        <v>396</v>
      </c>
      <c r="EX533">
        <v>303</v>
      </c>
      <c r="EY533">
        <v>354</v>
      </c>
    </row>
    <row r="534" spans="1:155" x14ac:dyDescent="0.35">
      <c r="A534">
        <v>2025</v>
      </c>
      <c r="B534" t="s">
        <v>327</v>
      </c>
      <c r="C534" t="s">
        <v>328</v>
      </c>
      <c r="D534" t="s">
        <v>1360</v>
      </c>
      <c r="E534" t="s">
        <v>330</v>
      </c>
      <c r="F534">
        <v>74</v>
      </c>
      <c r="G534">
        <v>2.4</v>
      </c>
      <c r="H534">
        <v>4</v>
      </c>
      <c r="I534" t="s">
        <v>192</v>
      </c>
      <c r="J534">
        <v>21</v>
      </c>
      <c r="K534">
        <v>28</v>
      </c>
      <c r="L534">
        <v>24</v>
      </c>
      <c r="M534">
        <v>26.749199999999998</v>
      </c>
      <c r="N534">
        <v>40.146900000000002</v>
      </c>
      <c r="O534">
        <v>31.475999999999999</v>
      </c>
      <c r="P534">
        <v>21.0701</v>
      </c>
      <c r="Q534">
        <v>28.220600000000001</v>
      </c>
      <c r="R534">
        <v>23.781700000000001</v>
      </c>
      <c r="T534" t="s">
        <v>165</v>
      </c>
      <c r="U534" t="s">
        <v>166</v>
      </c>
      <c r="V534" t="s">
        <v>193</v>
      </c>
      <c r="W534" t="s">
        <v>194</v>
      </c>
      <c r="Y534">
        <v>8</v>
      </c>
      <c r="Z534" t="s">
        <v>169</v>
      </c>
      <c r="AA534" t="s">
        <v>170</v>
      </c>
      <c r="AB534" t="s">
        <v>167</v>
      </c>
      <c r="AC534" t="s">
        <v>213</v>
      </c>
      <c r="AD534">
        <v>15</v>
      </c>
      <c r="AG534" t="s">
        <v>214</v>
      </c>
      <c r="AH534" t="s">
        <v>215</v>
      </c>
      <c r="AI534" t="s">
        <v>175</v>
      </c>
      <c r="AJ534" t="s">
        <v>176</v>
      </c>
      <c r="AK534" t="s">
        <v>940</v>
      </c>
      <c r="AL534" t="s">
        <v>941</v>
      </c>
      <c r="AS534">
        <v>2650</v>
      </c>
      <c r="AT534">
        <v>2650</v>
      </c>
      <c r="BN534" t="s">
        <v>265</v>
      </c>
      <c r="BO534">
        <v>2</v>
      </c>
      <c r="BP534">
        <v>2</v>
      </c>
      <c r="BQ534">
        <v>31</v>
      </c>
      <c r="BR534" t="s">
        <v>1219</v>
      </c>
      <c r="BT534" t="s">
        <v>181</v>
      </c>
      <c r="BU534" s="1">
        <v>45582</v>
      </c>
      <c r="BV534">
        <v>35869</v>
      </c>
      <c r="BX534" t="s">
        <v>169</v>
      </c>
      <c r="BY534" t="s">
        <v>170</v>
      </c>
      <c r="CB534" t="s">
        <v>170</v>
      </c>
      <c r="CC534" t="s">
        <v>170</v>
      </c>
      <c r="CD534" t="s">
        <v>1169</v>
      </c>
      <c r="CE534" t="s">
        <v>170</v>
      </c>
      <c r="CG534" t="s">
        <v>169</v>
      </c>
      <c r="CH534" t="s">
        <v>333</v>
      </c>
      <c r="CI534" t="s">
        <v>170</v>
      </c>
      <c r="DJ534" t="s">
        <v>267</v>
      </c>
      <c r="DK534" t="s">
        <v>268</v>
      </c>
      <c r="DN534" t="s">
        <v>170</v>
      </c>
      <c r="DO534" t="s">
        <v>358</v>
      </c>
      <c r="DP534" t="s">
        <v>169</v>
      </c>
      <c r="DQ534" t="s">
        <v>198</v>
      </c>
      <c r="EB534">
        <v>5</v>
      </c>
      <c r="EC534">
        <v>5</v>
      </c>
      <c r="EE534" t="s">
        <v>1170</v>
      </c>
      <c r="EF534">
        <v>6</v>
      </c>
      <c r="EV534">
        <v>3750</v>
      </c>
      <c r="EW534">
        <v>417</v>
      </c>
      <c r="EX534">
        <v>312</v>
      </c>
      <c r="EY534">
        <v>370</v>
      </c>
    </row>
    <row r="535" spans="1:155" x14ac:dyDescent="0.35">
      <c r="A535">
        <v>2025</v>
      </c>
      <c r="B535" t="s">
        <v>327</v>
      </c>
      <c r="C535" t="s">
        <v>328</v>
      </c>
      <c r="D535" t="s">
        <v>1361</v>
      </c>
      <c r="E535" t="s">
        <v>330</v>
      </c>
      <c r="F535">
        <v>58</v>
      </c>
      <c r="G535">
        <v>2.5</v>
      </c>
      <c r="H535">
        <v>4</v>
      </c>
      <c r="I535" t="s">
        <v>594</v>
      </c>
      <c r="J535">
        <v>37</v>
      </c>
      <c r="K535">
        <v>34</v>
      </c>
      <c r="L535">
        <v>36</v>
      </c>
      <c r="M535">
        <v>50.196399999999997</v>
      </c>
      <c r="N535">
        <v>48.074599999999997</v>
      </c>
      <c r="O535">
        <v>49.218899999999998</v>
      </c>
      <c r="P535">
        <v>37.436300000000003</v>
      </c>
      <c r="Q535">
        <v>34.331200000000003</v>
      </c>
      <c r="R535">
        <v>35.972200000000001</v>
      </c>
      <c r="U535" t="s">
        <v>224</v>
      </c>
      <c r="V535" t="s">
        <v>463</v>
      </c>
      <c r="W535" t="s">
        <v>464</v>
      </c>
      <c r="Y535">
        <v>6</v>
      </c>
      <c r="Z535" t="s">
        <v>170</v>
      </c>
      <c r="AA535" t="s">
        <v>170</v>
      </c>
      <c r="AB535" t="s">
        <v>167</v>
      </c>
      <c r="AC535" t="s">
        <v>213</v>
      </c>
      <c r="AD535">
        <v>15</v>
      </c>
      <c r="AG535" t="s">
        <v>173</v>
      </c>
      <c r="AH535" t="s">
        <v>174</v>
      </c>
      <c r="AI535" t="s">
        <v>175</v>
      </c>
      <c r="AJ535" t="s">
        <v>176</v>
      </c>
      <c r="AK535" t="s">
        <v>940</v>
      </c>
      <c r="AL535" t="s">
        <v>941</v>
      </c>
      <c r="AS535">
        <v>1750</v>
      </c>
      <c r="AT535">
        <v>1750</v>
      </c>
      <c r="BN535" t="s">
        <v>465</v>
      </c>
      <c r="BO535">
        <v>2</v>
      </c>
      <c r="BP535">
        <v>2</v>
      </c>
      <c r="BQ535">
        <v>31</v>
      </c>
      <c r="BR535" t="s">
        <v>1219</v>
      </c>
      <c r="BT535" t="s">
        <v>225</v>
      </c>
      <c r="BU535" s="1">
        <v>45601</v>
      </c>
      <c r="BV535">
        <v>35864</v>
      </c>
      <c r="BX535" t="s">
        <v>169</v>
      </c>
      <c r="BY535" t="s">
        <v>170</v>
      </c>
      <c r="CB535" t="s">
        <v>170</v>
      </c>
      <c r="CC535" t="s">
        <v>170</v>
      </c>
      <c r="CD535" t="s">
        <v>1362</v>
      </c>
      <c r="CE535" t="s">
        <v>170</v>
      </c>
      <c r="CG535" t="s">
        <v>169</v>
      </c>
      <c r="CH535" t="s">
        <v>333</v>
      </c>
      <c r="CI535" t="s">
        <v>170</v>
      </c>
      <c r="CK535" t="s">
        <v>233</v>
      </c>
      <c r="CM535">
        <v>1</v>
      </c>
      <c r="CN535" t="s">
        <v>234</v>
      </c>
      <c r="CP535">
        <v>259</v>
      </c>
      <c r="CQ535">
        <v>4.3</v>
      </c>
      <c r="CR535">
        <v>76.5</v>
      </c>
      <c r="CS535" t="s">
        <v>235</v>
      </c>
      <c r="CV535" t="s">
        <v>341</v>
      </c>
      <c r="CX535" t="s">
        <v>342</v>
      </c>
      <c r="CY535" t="s">
        <v>170</v>
      </c>
      <c r="DC535" t="s">
        <v>1092</v>
      </c>
      <c r="DD535">
        <v>2</v>
      </c>
      <c r="DE535" t="s">
        <v>404</v>
      </c>
      <c r="DF535" t="s">
        <v>638</v>
      </c>
      <c r="DG535" t="s">
        <v>930</v>
      </c>
      <c r="DJ535" t="s">
        <v>267</v>
      </c>
      <c r="DK535" t="s">
        <v>268</v>
      </c>
      <c r="DL535" t="s">
        <v>170</v>
      </c>
      <c r="DM535" t="s">
        <v>170</v>
      </c>
      <c r="DN535" t="s">
        <v>170</v>
      </c>
      <c r="DO535" t="s">
        <v>1093</v>
      </c>
      <c r="DP535" t="s">
        <v>169</v>
      </c>
      <c r="DQ535" t="s">
        <v>198</v>
      </c>
      <c r="DR535" t="s">
        <v>467</v>
      </c>
      <c r="EB535">
        <v>7</v>
      </c>
      <c r="EC535">
        <v>7</v>
      </c>
      <c r="EE535" t="s">
        <v>1094</v>
      </c>
      <c r="EF535">
        <v>6</v>
      </c>
      <c r="EU535">
        <v>750</v>
      </c>
      <c r="EW535">
        <v>234</v>
      </c>
      <c r="EX535">
        <v>256</v>
      </c>
      <c r="EY535">
        <v>244</v>
      </c>
    </row>
    <row r="536" spans="1:155" x14ac:dyDescent="0.35">
      <c r="A536">
        <v>2025</v>
      </c>
      <c r="B536" t="s">
        <v>327</v>
      </c>
      <c r="C536" t="s">
        <v>328</v>
      </c>
      <c r="D536" t="s">
        <v>1363</v>
      </c>
      <c r="E536" t="s">
        <v>330</v>
      </c>
      <c r="F536">
        <v>75</v>
      </c>
      <c r="G536">
        <v>2.4</v>
      </c>
      <c r="H536">
        <v>4</v>
      </c>
      <c r="I536" t="s">
        <v>275</v>
      </c>
      <c r="J536">
        <v>27</v>
      </c>
      <c r="K536">
        <v>28</v>
      </c>
      <c r="L536">
        <v>27</v>
      </c>
      <c r="M536">
        <v>35.1</v>
      </c>
      <c r="N536">
        <v>39.799999999999997</v>
      </c>
      <c r="O536">
        <v>37.069899999999997</v>
      </c>
      <c r="P536">
        <v>26.923500000000001</v>
      </c>
      <c r="Q536">
        <v>27.9986</v>
      </c>
      <c r="R536">
        <v>27.396899999999999</v>
      </c>
      <c r="T536" t="s">
        <v>165</v>
      </c>
      <c r="U536" t="s">
        <v>166</v>
      </c>
      <c r="V536" t="s">
        <v>193</v>
      </c>
      <c r="W536" t="s">
        <v>194</v>
      </c>
      <c r="Y536">
        <v>6</v>
      </c>
      <c r="Z536" t="s">
        <v>170</v>
      </c>
      <c r="AA536" t="s">
        <v>170</v>
      </c>
      <c r="AB536" t="s">
        <v>167</v>
      </c>
      <c r="AC536" t="s">
        <v>213</v>
      </c>
      <c r="AD536">
        <v>15</v>
      </c>
      <c r="AG536" t="s">
        <v>214</v>
      </c>
      <c r="AH536" t="s">
        <v>215</v>
      </c>
      <c r="AI536" t="s">
        <v>175</v>
      </c>
      <c r="AJ536" t="s">
        <v>176</v>
      </c>
      <c r="AK536" t="s">
        <v>940</v>
      </c>
      <c r="AL536" t="s">
        <v>941</v>
      </c>
      <c r="AS536">
        <v>2350</v>
      </c>
      <c r="AT536">
        <v>2350</v>
      </c>
      <c r="BN536" t="s">
        <v>465</v>
      </c>
      <c r="BO536">
        <v>2</v>
      </c>
      <c r="BP536">
        <v>2</v>
      </c>
      <c r="BQ536">
        <v>31</v>
      </c>
      <c r="BR536" t="s">
        <v>1219</v>
      </c>
      <c r="BT536" t="s">
        <v>181</v>
      </c>
      <c r="BU536" s="1">
        <v>45601</v>
      </c>
      <c r="BV536">
        <v>35870</v>
      </c>
      <c r="BX536" t="s">
        <v>169</v>
      </c>
      <c r="BY536" t="s">
        <v>170</v>
      </c>
      <c r="CB536" t="s">
        <v>170</v>
      </c>
      <c r="CC536" t="s">
        <v>170</v>
      </c>
      <c r="CD536" t="s">
        <v>1364</v>
      </c>
      <c r="CE536" t="s">
        <v>170</v>
      </c>
      <c r="CG536" t="s">
        <v>169</v>
      </c>
      <c r="CH536" t="s">
        <v>333</v>
      </c>
      <c r="CI536" t="s">
        <v>170</v>
      </c>
      <c r="CK536" t="s">
        <v>233</v>
      </c>
      <c r="CM536">
        <v>1</v>
      </c>
      <c r="CN536" t="s">
        <v>814</v>
      </c>
      <c r="CP536">
        <v>288</v>
      </c>
      <c r="CQ536">
        <v>5</v>
      </c>
      <c r="CR536">
        <v>36</v>
      </c>
      <c r="CS536" t="s">
        <v>235</v>
      </c>
      <c r="CV536" t="s">
        <v>341</v>
      </c>
      <c r="CX536" t="s">
        <v>342</v>
      </c>
      <c r="CY536" t="s">
        <v>170</v>
      </c>
      <c r="DD536">
        <v>2</v>
      </c>
      <c r="DE536" t="s">
        <v>404</v>
      </c>
      <c r="DF536" t="s">
        <v>638</v>
      </c>
      <c r="DG536" t="s">
        <v>1365</v>
      </c>
      <c r="DJ536" t="s">
        <v>267</v>
      </c>
      <c r="DK536" t="s">
        <v>268</v>
      </c>
      <c r="DL536" t="s">
        <v>170</v>
      </c>
      <c r="DM536" t="s">
        <v>170</v>
      </c>
      <c r="DN536" t="s">
        <v>170</v>
      </c>
      <c r="DO536" t="s">
        <v>358</v>
      </c>
      <c r="DP536" t="s">
        <v>169</v>
      </c>
      <c r="DQ536" t="s">
        <v>198</v>
      </c>
      <c r="DR536" t="s">
        <v>467</v>
      </c>
      <c r="EB536">
        <v>5</v>
      </c>
      <c r="EC536">
        <v>5</v>
      </c>
      <c r="EE536" t="s">
        <v>1366</v>
      </c>
      <c r="EF536">
        <v>6</v>
      </c>
      <c r="EV536">
        <v>2250</v>
      </c>
      <c r="EW536">
        <v>326</v>
      </c>
      <c r="EX536">
        <v>314</v>
      </c>
      <c r="EY536">
        <v>321</v>
      </c>
    </row>
    <row r="537" spans="1:155" x14ac:dyDescent="0.35">
      <c r="A537">
        <v>2025</v>
      </c>
      <c r="B537" t="s">
        <v>327</v>
      </c>
      <c r="C537" t="s">
        <v>328</v>
      </c>
      <c r="D537" t="s">
        <v>1485</v>
      </c>
      <c r="E537" t="s">
        <v>330</v>
      </c>
      <c r="F537">
        <v>33</v>
      </c>
      <c r="G537">
        <v>2.4</v>
      </c>
      <c r="H537">
        <v>4</v>
      </c>
      <c r="I537" t="s">
        <v>192</v>
      </c>
      <c r="J537">
        <v>21</v>
      </c>
      <c r="K537">
        <v>27</v>
      </c>
      <c r="L537">
        <v>23</v>
      </c>
      <c r="M537">
        <v>26.3856</v>
      </c>
      <c r="N537">
        <v>38.951000000000001</v>
      </c>
      <c r="O537">
        <v>30.866399999999999</v>
      </c>
      <c r="P537">
        <v>20.8081</v>
      </c>
      <c r="Q537">
        <v>27.453600000000002</v>
      </c>
      <c r="R537">
        <v>23.351800000000001</v>
      </c>
      <c r="T537" t="s">
        <v>165</v>
      </c>
      <c r="U537" t="s">
        <v>166</v>
      </c>
      <c r="V537" t="s">
        <v>193</v>
      </c>
      <c r="W537" t="s">
        <v>194</v>
      </c>
      <c r="Y537">
        <v>8</v>
      </c>
      <c r="Z537" t="s">
        <v>169</v>
      </c>
      <c r="AA537" t="s">
        <v>170</v>
      </c>
      <c r="AB537" t="s">
        <v>351</v>
      </c>
      <c r="AC537" t="s">
        <v>352</v>
      </c>
      <c r="AD537">
        <v>15</v>
      </c>
      <c r="AG537" t="s">
        <v>214</v>
      </c>
      <c r="AH537" t="s">
        <v>215</v>
      </c>
      <c r="AI537" t="s">
        <v>175</v>
      </c>
      <c r="AJ537" t="s">
        <v>176</v>
      </c>
      <c r="AK537" t="s">
        <v>940</v>
      </c>
      <c r="AL537" t="s">
        <v>941</v>
      </c>
      <c r="AS537">
        <v>2750</v>
      </c>
      <c r="AT537">
        <v>2750</v>
      </c>
      <c r="BN537" t="s">
        <v>265</v>
      </c>
      <c r="BO537">
        <v>2</v>
      </c>
      <c r="BP537">
        <v>2</v>
      </c>
      <c r="BQ537">
        <v>32</v>
      </c>
      <c r="BR537" t="s">
        <v>1453</v>
      </c>
      <c r="BT537" t="s">
        <v>181</v>
      </c>
      <c r="BU537" s="1">
        <v>45636</v>
      </c>
      <c r="BV537">
        <v>35660</v>
      </c>
      <c r="BX537" t="s">
        <v>169</v>
      </c>
      <c r="BY537" t="s">
        <v>170</v>
      </c>
      <c r="CB537" t="s">
        <v>170</v>
      </c>
      <c r="CC537" t="s">
        <v>170</v>
      </c>
      <c r="CD537" t="s">
        <v>1169</v>
      </c>
      <c r="CE537" t="s">
        <v>170</v>
      </c>
      <c r="CG537" t="s">
        <v>169</v>
      </c>
      <c r="CH537" t="s">
        <v>333</v>
      </c>
      <c r="CI537" t="s">
        <v>170</v>
      </c>
      <c r="DJ537" t="s">
        <v>267</v>
      </c>
      <c r="DK537" t="s">
        <v>268</v>
      </c>
      <c r="DN537" t="s">
        <v>170</v>
      </c>
      <c r="DO537" t="s">
        <v>358</v>
      </c>
      <c r="DP537" t="s">
        <v>169</v>
      </c>
      <c r="DQ537" t="s">
        <v>198</v>
      </c>
      <c r="EB537">
        <v>5</v>
      </c>
      <c r="EC537">
        <v>5</v>
      </c>
      <c r="EE537" t="s">
        <v>1170</v>
      </c>
      <c r="EF537">
        <v>6</v>
      </c>
      <c r="EV537">
        <v>4250</v>
      </c>
      <c r="EW537">
        <v>423</v>
      </c>
      <c r="EX537">
        <v>321</v>
      </c>
      <c r="EY537">
        <v>377</v>
      </c>
    </row>
    <row r="538" spans="1:155" x14ac:dyDescent="0.35">
      <c r="A538">
        <v>2025</v>
      </c>
      <c r="B538" t="s">
        <v>327</v>
      </c>
      <c r="C538" t="s">
        <v>328</v>
      </c>
      <c r="D538" t="s">
        <v>1612</v>
      </c>
      <c r="E538" t="s">
        <v>330</v>
      </c>
      <c r="F538">
        <v>34</v>
      </c>
      <c r="G538">
        <v>2.4</v>
      </c>
      <c r="H538">
        <v>4</v>
      </c>
      <c r="I538" t="s">
        <v>192</v>
      </c>
      <c r="J538">
        <v>20</v>
      </c>
      <c r="K538">
        <v>26</v>
      </c>
      <c r="L538">
        <v>23</v>
      </c>
      <c r="M538">
        <v>25.8</v>
      </c>
      <c r="N538">
        <v>37.438699999999997</v>
      </c>
      <c r="O538">
        <v>29.996300000000002</v>
      </c>
      <c r="P538">
        <v>20.384799999999998</v>
      </c>
      <c r="Q538">
        <v>26.477799999999998</v>
      </c>
      <c r="R538">
        <v>22.7395</v>
      </c>
      <c r="T538" t="s">
        <v>165</v>
      </c>
      <c r="U538" t="s">
        <v>166</v>
      </c>
      <c r="V538" t="s">
        <v>193</v>
      </c>
      <c r="W538" t="s">
        <v>194</v>
      </c>
      <c r="Y538">
        <v>8</v>
      </c>
      <c r="Z538" t="s">
        <v>169</v>
      </c>
      <c r="AA538" t="s">
        <v>170</v>
      </c>
      <c r="AB538" t="s">
        <v>167</v>
      </c>
      <c r="AC538" t="s">
        <v>213</v>
      </c>
      <c r="AD538">
        <v>15</v>
      </c>
      <c r="AG538" t="s">
        <v>214</v>
      </c>
      <c r="AH538" t="s">
        <v>215</v>
      </c>
      <c r="AI538" t="s">
        <v>175</v>
      </c>
      <c r="AJ538" t="s">
        <v>176</v>
      </c>
      <c r="AK538" t="s">
        <v>940</v>
      </c>
      <c r="AL538" t="s">
        <v>941</v>
      </c>
      <c r="AS538">
        <v>2750</v>
      </c>
      <c r="AT538">
        <v>2750</v>
      </c>
      <c r="BN538" t="s">
        <v>265</v>
      </c>
      <c r="BO538">
        <v>2</v>
      </c>
      <c r="BP538">
        <v>2</v>
      </c>
      <c r="BQ538">
        <v>33</v>
      </c>
      <c r="BR538" t="s">
        <v>1497</v>
      </c>
      <c r="BT538" t="s">
        <v>181</v>
      </c>
      <c r="BU538" s="1">
        <v>45636</v>
      </c>
      <c r="BV538">
        <v>35661</v>
      </c>
      <c r="BX538" t="s">
        <v>169</v>
      </c>
      <c r="BY538" t="s">
        <v>170</v>
      </c>
      <c r="CB538" t="s">
        <v>170</v>
      </c>
      <c r="CC538" t="s">
        <v>170</v>
      </c>
      <c r="CD538" t="s">
        <v>1169</v>
      </c>
      <c r="CE538" t="s">
        <v>170</v>
      </c>
      <c r="CG538" t="s">
        <v>169</v>
      </c>
      <c r="CH538" t="s">
        <v>333</v>
      </c>
      <c r="CI538" t="s">
        <v>170</v>
      </c>
      <c r="DJ538" t="s">
        <v>267</v>
      </c>
      <c r="DK538" t="s">
        <v>268</v>
      </c>
      <c r="DN538" t="s">
        <v>170</v>
      </c>
      <c r="DO538" t="s">
        <v>358</v>
      </c>
      <c r="DP538" t="s">
        <v>169</v>
      </c>
      <c r="DQ538" t="s">
        <v>198</v>
      </c>
      <c r="EB538">
        <v>5</v>
      </c>
      <c r="EC538">
        <v>5</v>
      </c>
      <c r="EE538" t="s">
        <v>1170</v>
      </c>
      <c r="EF538">
        <v>6</v>
      </c>
      <c r="EV538">
        <v>4250</v>
      </c>
      <c r="EW538">
        <v>432</v>
      </c>
      <c r="EX538">
        <v>333</v>
      </c>
      <c r="EY538">
        <v>387</v>
      </c>
    </row>
    <row r="539" spans="1:155" x14ac:dyDescent="0.35">
      <c r="A539">
        <v>2025</v>
      </c>
      <c r="B539" t="s">
        <v>327</v>
      </c>
      <c r="C539" t="s">
        <v>328</v>
      </c>
      <c r="D539" t="s">
        <v>1613</v>
      </c>
      <c r="E539" t="s">
        <v>330</v>
      </c>
      <c r="F539">
        <v>27</v>
      </c>
      <c r="G539">
        <v>2.4</v>
      </c>
      <c r="H539">
        <v>4</v>
      </c>
      <c r="I539" t="s">
        <v>275</v>
      </c>
      <c r="J539">
        <v>27</v>
      </c>
      <c r="K539">
        <v>28</v>
      </c>
      <c r="L539">
        <v>27</v>
      </c>
      <c r="M539">
        <v>35.1</v>
      </c>
      <c r="N539">
        <v>39.6</v>
      </c>
      <c r="O539">
        <v>36.991599999999998</v>
      </c>
      <c r="P539">
        <v>26.923500000000001</v>
      </c>
      <c r="Q539">
        <v>27.8704</v>
      </c>
      <c r="R539">
        <v>27.3415</v>
      </c>
      <c r="T539" t="s">
        <v>165</v>
      </c>
      <c r="U539" t="s">
        <v>166</v>
      </c>
      <c r="V539" t="s">
        <v>193</v>
      </c>
      <c r="W539" t="s">
        <v>194</v>
      </c>
      <c r="Y539">
        <v>6</v>
      </c>
      <c r="Z539" t="s">
        <v>170</v>
      </c>
      <c r="AA539" t="s">
        <v>170</v>
      </c>
      <c r="AB539" t="s">
        <v>167</v>
      </c>
      <c r="AC539" t="s">
        <v>213</v>
      </c>
      <c r="AD539">
        <v>15</v>
      </c>
      <c r="AG539" t="s">
        <v>214</v>
      </c>
      <c r="AH539" t="s">
        <v>215</v>
      </c>
      <c r="AI539" t="s">
        <v>175</v>
      </c>
      <c r="AJ539" t="s">
        <v>176</v>
      </c>
      <c r="AK539" t="s">
        <v>940</v>
      </c>
      <c r="AL539" t="s">
        <v>941</v>
      </c>
      <c r="AS539">
        <v>2350</v>
      </c>
      <c r="AT539">
        <v>2350</v>
      </c>
      <c r="BN539" t="s">
        <v>465</v>
      </c>
      <c r="BO539">
        <v>2</v>
      </c>
      <c r="BP539">
        <v>2</v>
      </c>
      <c r="BQ539">
        <v>33</v>
      </c>
      <c r="BR539" t="s">
        <v>1497</v>
      </c>
      <c r="BT539" t="s">
        <v>181</v>
      </c>
      <c r="BU539" s="1">
        <v>45636</v>
      </c>
      <c r="BV539">
        <v>35513</v>
      </c>
      <c r="BX539" t="s">
        <v>169</v>
      </c>
      <c r="BY539" t="s">
        <v>170</v>
      </c>
      <c r="CB539" t="s">
        <v>170</v>
      </c>
      <c r="CC539" t="s">
        <v>170</v>
      </c>
      <c r="CD539" t="s">
        <v>1364</v>
      </c>
      <c r="CE539" t="s">
        <v>170</v>
      </c>
      <c r="CG539" t="s">
        <v>169</v>
      </c>
      <c r="CH539" t="s">
        <v>333</v>
      </c>
      <c r="CI539" t="s">
        <v>170</v>
      </c>
      <c r="CK539" t="s">
        <v>233</v>
      </c>
      <c r="CM539">
        <v>1</v>
      </c>
      <c r="CN539" t="s">
        <v>814</v>
      </c>
      <c r="CP539">
        <v>288</v>
      </c>
      <c r="CQ539">
        <v>5</v>
      </c>
      <c r="CR539">
        <v>36</v>
      </c>
      <c r="CS539" t="s">
        <v>235</v>
      </c>
      <c r="CV539" t="s">
        <v>341</v>
      </c>
      <c r="CX539" t="s">
        <v>342</v>
      </c>
      <c r="CY539" t="s">
        <v>170</v>
      </c>
      <c r="DD539">
        <v>2</v>
      </c>
      <c r="DE539" t="s">
        <v>404</v>
      </c>
      <c r="DF539" t="s">
        <v>638</v>
      </c>
      <c r="DG539" t="s">
        <v>1614</v>
      </c>
      <c r="DJ539" t="s">
        <v>267</v>
      </c>
      <c r="DK539" t="s">
        <v>268</v>
      </c>
      <c r="DL539" t="s">
        <v>170</v>
      </c>
      <c r="DM539" t="s">
        <v>170</v>
      </c>
      <c r="DN539" t="s">
        <v>170</v>
      </c>
      <c r="DO539" t="s">
        <v>358</v>
      </c>
      <c r="DP539" t="s">
        <v>169</v>
      </c>
      <c r="DQ539" t="s">
        <v>198</v>
      </c>
      <c r="DR539" t="s">
        <v>467</v>
      </c>
      <c r="EB539">
        <v>5</v>
      </c>
      <c r="EC539">
        <v>5</v>
      </c>
      <c r="EE539" t="s">
        <v>1366</v>
      </c>
      <c r="EF539">
        <v>6</v>
      </c>
      <c r="EV539">
        <v>2250</v>
      </c>
      <c r="EW539">
        <v>326</v>
      </c>
      <c r="EX539">
        <v>316</v>
      </c>
      <c r="EY539">
        <v>322</v>
      </c>
    </row>
    <row r="540" spans="1:155" x14ac:dyDescent="0.35">
      <c r="A540">
        <v>2025</v>
      </c>
      <c r="B540" t="s">
        <v>327</v>
      </c>
      <c r="C540" t="s">
        <v>328</v>
      </c>
      <c r="D540" t="s">
        <v>586</v>
      </c>
      <c r="E540" t="s">
        <v>330</v>
      </c>
      <c r="F540">
        <v>1</v>
      </c>
      <c r="G540">
        <v>2</v>
      </c>
      <c r="H540">
        <v>4</v>
      </c>
      <c r="I540" t="s">
        <v>594</v>
      </c>
      <c r="J540">
        <v>45</v>
      </c>
      <c r="K540">
        <v>41</v>
      </c>
      <c r="L540">
        <v>43</v>
      </c>
      <c r="M540">
        <v>65.599999999999994</v>
      </c>
      <c r="N540">
        <v>59</v>
      </c>
      <c r="O540">
        <v>62.456000000000003</v>
      </c>
      <c r="P540">
        <v>45</v>
      </c>
      <c r="Q540">
        <v>41</v>
      </c>
      <c r="R540">
        <v>43</v>
      </c>
      <c r="U540" t="s">
        <v>224</v>
      </c>
      <c r="V540" t="s">
        <v>463</v>
      </c>
      <c r="W540" t="s">
        <v>464</v>
      </c>
      <c r="Y540">
        <v>6</v>
      </c>
      <c r="Z540" t="s">
        <v>170</v>
      </c>
      <c r="AA540" t="s">
        <v>170</v>
      </c>
      <c r="AB540" t="s">
        <v>351</v>
      </c>
      <c r="AC540" t="s">
        <v>352</v>
      </c>
      <c r="AD540">
        <v>15</v>
      </c>
      <c r="AG540" t="s">
        <v>210</v>
      </c>
      <c r="AH540" t="s">
        <v>444</v>
      </c>
      <c r="AI540" t="s">
        <v>175</v>
      </c>
      <c r="AJ540" t="s">
        <v>176</v>
      </c>
      <c r="AK540" t="s">
        <v>170</v>
      </c>
      <c r="AL540" t="s">
        <v>177</v>
      </c>
      <c r="AQ540">
        <v>90</v>
      </c>
      <c r="AR540">
        <v>17</v>
      </c>
      <c r="AS540">
        <v>1200</v>
      </c>
      <c r="AT540">
        <v>1200</v>
      </c>
      <c r="BN540" t="s">
        <v>465</v>
      </c>
      <c r="BO540">
        <v>2</v>
      </c>
      <c r="BP540">
        <v>2</v>
      </c>
      <c r="BQ540">
        <v>4</v>
      </c>
      <c r="BR540" t="s">
        <v>521</v>
      </c>
      <c r="BS540" t="s">
        <v>180</v>
      </c>
      <c r="BT540" t="s">
        <v>225</v>
      </c>
      <c r="BU540" s="1">
        <v>45330</v>
      </c>
      <c r="BV540">
        <v>34471</v>
      </c>
      <c r="BX540" t="s">
        <v>170</v>
      </c>
      <c r="BY540" t="s">
        <v>170</v>
      </c>
      <c r="CB540" t="s">
        <v>170</v>
      </c>
      <c r="CC540" t="s">
        <v>170</v>
      </c>
      <c r="CE540" t="s">
        <v>170</v>
      </c>
      <c r="CG540" t="s">
        <v>169</v>
      </c>
      <c r="CH540" t="s">
        <v>333</v>
      </c>
      <c r="CI540" t="s">
        <v>170</v>
      </c>
      <c r="CK540" t="s">
        <v>233</v>
      </c>
      <c r="CM540">
        <v>1</v>
      </c>
      <c r="CN540" t="s">
        <v>234</v>
      </c>
      <c r="CP540">
        <v>222</v>
      </c>
      <c r="CQ540">
        <v>4.08</v>
      </c>
      <c r="CR540">
        <v>80.7</v>
      </c>
      <c r="CS540" t="s">
        <v>235</v>
      </c>
      <c r="CV540" t="s">
        <v>341</v>
      </c>
      <c r="CX540" t="s">
        <v>342</v>
      </c>
      <c r="CY540" t="s">
        <v>170</v>
      </c>
      <c r="DC540" t="s">
        <v>590</v>
      </c>
      <c r="DD540">
        <v>2</v>
      </c>
      <c r="DE540" t="s">
        <v>404</v>
      </c>
      <c r="DF540" t="s">
        <v>466</v>
      </c>
      <c r="DG540" t="s">
        <v>591</v>
      </c>
      <c r="DJ540" t="s">
        <v>267</v>
      </c>
      <c r="DK540" t="s">
        <v>268</v>
      </c>
      <c r="DL540" t="s">
        <v>170</v>
      </c>
      <c r="DM540" t="s">
        <v>170</v>
      </c>
      <c r="DN540" t="s">
        <v>170</v>
      </c>
      <c r="DO540" t="s">
        <v>592</v>
      </c>
      <c r="DP540" t="s">
        <v>169</v>
      </c>
      <c r="DQ540" t="s">
        <v>198</v>
      </c>
      <c r="DR540" t="s">
        <v>467</v>
      </c>
      <c r="DY540">
        <v>63.1</v>
      </c>
      <c r="EB540">
        <v>7</v>
      </c>
      <c r="EC540">
        <v>7</v>
      </c>
      <c r="EE540" t="s">
        <v>593</v>
      </c>
      <c r="EF540">
        <v>6</v>
      </c>
      <c r="EU540">
        <v>3500</v>
      </c>
      <c r="EW540">
        <v>195</v>
      </c>
      <c r="EX540">
        <v>214</v>
      </c>
      <c r="EY540">
        <v>204</v>
      </c>
    </row>
    <row r="541" spans="1:155" x14ac:dyDescent="0.35">
      <c r="A541">
        <v>2025</v>
      </c>
      <c r="B541" t="s">
        <v>327</v>
      </c>
      <c r="C541" t="s">
        <v>328</v>
      </c>
      <c r="D541" t="s">
        <v>586</v>
      </c>
      <c r="E541" t="s">
        <v>330</v>
      </c>
      <c r="F541">
        <v>3</v>
      </c>
      <c r="G541">
        <v>2</v>
      </c>
      <c r="H541">
        <v>4</v>
      </c>
      <c r="I541" t="s">
        <v>587</v>
      </c>
      <c r="J541">
        <v>45</v>
      </c>
      <c r="K541">
        <v>41</v>
      </c>
      <c r="L541">
        <v>43</v>
      </c>
      <c r="M541">
        <v>65.599999999999994</v>
      </c>
      <c r="N541">
        <v>59</v>
      </c>
      <c r="O541">
        <v>62.456000000000003</v>
      </c>
      <c r="P541">
        <v>45</v>
      </c>
      <c r="Q541">
        <v>41</v>
      </c>
      <c r="R541">
        <v>43</v>
      </c>
      <c r="U541" t="s">
        <v>224</v>
      </c>
      <c r="V541" t="s">
        <v>588</v>
      </c>
      <c r="W541" t="s">
        <v>589</v>
      </c>
      <c r="Y541">
        <v>1</v>
      </c>
      <c r="Z541" t="s">
        <v>170</v>
      </c>
      <c r="AA541" t="s">
        <v>170</v>
      </c>
      <c r="AB541" t="s">
        <v>351</v>
      </c>
      <c r="AC541" t="s">
        <v>352</v>
      </c>
      <c r="AD541">
        <v>15</v>
      </c>
      <c r="AG541" t="s">
        <v>210</v>
      </c>
      <c r="AH541" t="s">
        <v>444</v>
      </c>
      <c r="AI541" t="s">
        <v>175</v>
      </c>
      <c r="AJ541" t="s">
        <v>176</v>
      </c>
      <c r="AK541" t="s">
        <v>170</v>
      </c>
      <c r="AL541" t="s">
        <v>177</v>
      </c>
      <c r="AQ541">
        <v>90</v>
      </c>
      <c r="AR541">
        <v>17</v>
      </c>
      <c r="AS541">
        <v>1200</v>
      </c>
      <c r="AT541">
        <v>1200</v>
      </c>
      <c r="BN541" t="s">
        <v>465</v>
      </c>
      <c r="BO541">
        <v>2</v>
      </c>
      <c r="BP541">
        <v>2</v>
      </c>
      <c r="BQ541">
        <v>4</v>
      </c>
      <c r="BR541" t="s">
        <v>521</v>
      </c>
      <c r="BS541" t="s">
        <v>180</v>
      </c>
      <c r="BT541" t="s">
        <v>225</v>
      </c>
      <c r="BU541" s="1">
        <v>45330</v>
      </c>
      <c r="BV541">
        <v>34473</v>
      </c>
      <c r="BX541" t="s">
        <v>170</v>
      </c>
      <c r="BY541" t="s">
        <v>170</v>
      </c>
      <c r="CB541" t="s">
        <v>170</v>
      </c>
      <c r="CC541" t="s">
        <v>170</v>
      </c>
      <c r="CE541" t="s">
        <v>170</v>
      </c>
      <c r="CG541" t="s">
        <v>169</v>
      </c>
      <c r="CH541" t="s">
        <v>333</v>
      </c>
      <c r="CI541" t="s">
        <v>170</v>
      </c>
      <c r="CK541" t="s">
        <v>233</v>
      </c>
      <c r="CM541">
        <v>1</v>
      </c>
      <c r="CN541" t="s">
        <v>234</v>
      </c>
      <c r="CP541">
        <v>222</v>
      </c>
      <c r="CQ541">
        <v>4.08</v>
      </c>
      <c r="CR541">
        <v>80.7</v>
      </c>
      <c r="CS541" t="s">
        <v>235</v>
      </c>
      <c r="CV541" t="s">
        <v>341</v>
      </c>
      <c r="CX541" t="s">
        <v>342</v>
      </c>
      <c r="CY541" t="s">
        <v>170</v>
      </c>
      <c r="DC541" t="s">
        <v>590</v>
      </c>
      <c r="DD541">
        <v>2</v>
      </c>
      <c r="DE541" t="s">
        <v>404</v>
      </c>
      <c r="DF541" t="s">
        <v>466</v>
      </c>
      <c r="DG541" t="s">
        <v>591</v>
      </c>
      <c r="DJ541" t="s">
        <v>267</v>
      </c>
      <c r="DK541" t="s">
        <v>268</v>
      </c>
      <c r="DL541" t="s">
        <v>170</v>
      </c>
      <c r="DM541" t="s">
        <v>170</v>
      </c>
      <c r="DN541" t="s">
        <v>170</v>
      </c>
      <c r="DO541" t="s">
        <v>592</v>
      </c>
      <c r="DP541" t="s">
        <v>169</v>
      </c>
      <c r="DQ541" t="s">
        <v>198</v>
      </c>
      <c r="DR541" t="s">
        <v>467</v>
      </c>
      <c r="DY541">
        <v>63.1</v>
      </c>
      <c r="EB541">
        <v>7</v>
      </c>
      <c r="EC541">
        <v>7</v>
      </c>
      <c r="EE541" t="s">
        <v>593</v>
      </c>
      <c r="EF541">
        <v>6</v>
      </c>
      <c r="EU541">
        <v>3500</v>
      </c>
      <c r="EW541">
        <v>195</v>
      </c>
      <c r="EX541">
        <v>214</v>
      </c>
      <c r="EY541">
        <v>204</v>
      </c>
    </row>
    <row r="542" spans="1:155" x14ac:dyDescent="0.35">
      <c r="A542">
        <v>2025</v>
      </c>
      <c r="B542" t="s">
        <v>327</v>
      </c>
      <c r="C542" t="s">
        <v>328</v>
      </c>
      <c r="D542" t="s">
        <v>595</v>
      </c>
      <c r="E542" t="s">
        <v>330</v>
      </c>
      <c r="F542">
        <v>2</v>
      </c>
      <c r="G542">
        <v>2</v>
      </c>
      <c r="H542">
        <v>4</v>
      </c>
      <c r="I542" t="s">
        <v>594</v>
      </c>
      <c r="J542">
        <v>44</v>
      </c>
      <c r="K542">
        <v>40</v>
      </c>
      <c r="L542">
        <v>42</v>
      </c>
      <c r="M542">
        <v>64.2</v>
      </c>
      <c r="N542">
        <v>58.6</v>
      </c>
      <c r="O542">
        <v>61.552999999999997</v>
      </c>
      <c r="P542">
        <v>44</v>
      </c>
      <c r="Q542">
        <v>40</v>
      </c>
      <c r="R542">
        <v>42</v>
      </c>
      <c r="U542" t="s">
        <v>224</v>
      </c>
      <c r="V542" t="s">
        <v>463</v>
      </c>
      <c r="W542" t="s">
        <v>464</v>
      </c>
      <c r="Y542">
        <v>6</v>
      </c>
      <c r="Z542" t="s">
        <v>170</v>
      </c>
      <c r="AA542" t="s">
        <v>170</v>
      </c>
      <c r="AB542" t="s">
        <v>167</v>
      </c>
      <c r="AC542" t="s">
        <v>213</v>
      </c>
      <c r="AD542">
        <v>15</v>
      </c>
      <c r="AG542" t="s">
        <v>210</v>
      </c>
      <c r="AH542" t="s">
        <v>444</v>
      </c>
      <c r="AI542" t="s">
        <v>175</v>
      </c>
      <c r="AJ542" t="s">
        <v>176</v>
      </c>
      <c r="AK542" t="s">
        <v>170</v>
      </c>
      <c r="AL542" t="s">
        <v>177</v>
      </c>
      <c r="AQ542">
        <v>90</v>
      </c>
      <c r="AR542">
        <v>17</v>
      </c>
      <c r="AS542">
        <v>1250</v>
      </c>
      <c r="AT542">
        <v>1250</v>
      </c>
      <c r="BN542" t="s">
        <v>465</v>
      </c>
      <c r="BO542">
        <v>2</v>
      </c>
      <c r="BP542">
        <v>2</v>
      </c>
      <c r="BQ542">
        <v>4</v>
      </c>
      <c r="BR542" t="s">
        <v>521</v>
      </c>
      <c r="BS542" t="s">
        <v>180</v>
      </c>
      <c r="BT542" t="s">
        <v>225</v>
      </c>
      <c r="BU542" s="1">
        <v>45330</v>
      </c>
      <c r="BV542">
        <v>34474</v>
      </c>
      <c r="BX542" t="s">
        <v>170</v>
      </c>
      <c r="BY542" t="s">
        <v>170</v>
      </c>
      <c r="CB542" t="s">
        <v>170</v>
      </c>
      <c r="CC542" t="s">
        <v>170</v>
      </c>
      <c r="CE542" t="s">
        <v>170</v>
      </c>
      <c r="CG542" t="s">
        <v>169</v>
      </c>
      <c r="CH542" t="s">
        <v>333</v>
      </c>
      <c r="CI542" t="s">
        <v>170</v>
      </c>
      <c r="CK542" t="s">
        <v>233</v>
      </c>
      <c r="CM542">
        <v>1</v>
      </c>
      <c r="CN542" t="s">
        <v>234</v>
      </c>
      <c r="CP542">
        <v>222</v>
      </c>
      <c r="CQ542">
        <v>4.08</v>
      </c>
      <c r="CR542">
        <v>80.7</v>
      </c>
      <c r="CS542" t="s">
        <v>235</v>
      </c>
      <c r="CV542" t="s">
        <v>341</v>
      </c>
      <c r="CX542" t="s">
        <v>342</v>
      </c>
      <c r="CY542" t="s">
        <v>170</v>
      </c>
      <c r="DC542" t="s">
        <v>590</v>
      </c>
      <c r="DD542">
        <v>2</v>
      </c>
      <c r="DE542" t="s">
        <v>404</v>
      </c>
      <c r="DF542" t="s">
        <v>466</v>
      </c>
      <c r="DG542" t="s">
        <v>591</v>
      </c>
      <c r="DJ542" t="s">
        <v>267</v>
      </c>
      <c r="DK542" t="s">
        <v>268</v>
      </c>
      <c r="DL542" t="s">
        <v>170</v>
      </c>
      <c r="DM542" t="s">
        <v>170</v>
      </c>
      <c r="DN542" t="s">
        <v>170</v>
      </c>
      <c r="DO542" t="s">
        <v>592</v>
      </c>
      <c r="DP542" t="s">
        <v>169</v>
      </c>
      <c r="DQ542" t="s">
        <v>198</v>
      </c>
      <c r="DR542" t="s">
        <v>467</v>
      </c>
      <c r="DY542">
        <v>62.2</v>
      </c>
      <c r="EB542">
        <v>7</v>
      </c>
      <c r="EC542">
        <v>7</v>
      </c>
      <c r="EE542" t="s">
        <v>593</v>
      </c>
      <c r="EF542">
        <v>6</v>
      </c>
      <c r="EU542">
        <v>3250</v>
      </c>
      <c r="EW542">
        <v>199</v>
      </c>
      <c r="EX542">
        <v>220</v>
      </c>
      <c r="EY542">
        <v>209</v>
      </c>
    </row>
    <row r="543" spans="1:155" x14ac:dyDescent="0.35">
      <c r="A543">
        <v>2025</v>
      </c>
      <c r="B543" t="s">
        <v>327</v>
      </c>
      <c r="C543" t="s">
        <v>328</v>
      </c>
      <c r="D543" t="s">
        <v>595</v>
      </c>
      <c r="E543" t="s">
        <v>330</v>
      </c>
      <c r="F543">
        <v>4</v>
      </c>
      <c r="G543">
        <v>2</v>
      </c>
      <c r="H543">
        <v>4</v>
      </c>
      <c r="I543" t="s">
        <v>587</v>
      </c>
      <c r="J543">
        <v>44</v>
      </c>
      <c r="K543">
        <v>40</v>
      </c>
      <c r="L543">
        <v>42</v>
      </c>
      <c r="M543">
        <v>64.2</v>
      </c>
      <c r="N543">
        <v>58.6</v>
      </c>
      <c r="O543">
        <v>61.552999999999997</v>
      </c>
      <c r="P543">
        <v>44</v>
      </c>
      <c r="Q543">
        <v>40</v>
      </c>
      <c r="R543">
        <v>42</v>
      </c>
      <c r="U543" t="s">
        <v>224</v>
      </c>
      <c r="V543" t="s">
        <v>588</v>
      </c>
      <c r="W543" t="s">
        <v>589</v>
      </c>
      <c r="Y543">
        <v>1</v>
      </c>
      <c r="Z543" t="s">
        <v>170</v>
      </c>
      <c r="AA543" t="s">
        <v>170</v>
      </c>
      <c r="AB543" t="s">
        <v>167</v>
      </c>
      <c r="AC543" t="s">
        <v>213</v>
      </c>
      <c r="AD543">
        <v>15</v>
      </c>
      <c r="AG543" t="s">
        <v>210</v>
      </c>
      <c r="AH543" t="s">
        <v>444</v>
      </c>
      <c r="AI543" t="s">
        <v>175</v>
      </c>
      <c r="AJ543" t="s">
        <v>176</v>
      </c>
      <c r="AK543" t="s">
        <v>170</v>
      </c>
      <c r="AL543" t="s">
        <v>177</v>
      </c>
      <c r="AQ543">
        <v>90</v>
      </c>
      <c r="AR543">
        <v>17</v>
      </c>
      <c r="AS543">
        <v>1250</v>
      </c>
      <c r="AT543">
        <v>1250</v>
      </c>
      <c r="BN543" t="s">
        <v>465</v>
      </c>
      <c r="BO543">
        <v>2</v>
      </c>
      <c r="BP543">
        <v>2</v>
      </c>
      <c r="BQ543">
        <v>4</v>
      </c>
      <c r="BR543" t="s">
        <v>521</v>
      </c>
      <c r="BS543" t="s">
        <v>180</v>
      </c>
      <c r="BT543" t="s">
        <v>225</v>
      </c>
      <c r="BU543" s="1">
        <v>45330</v>
      </c>
      <c r="BV543">
        <v>34472</v>
      </c>
      <c r="BX543" t="s">
        <v>170</v>
      </c>
      <c r="BY543" t="s">
        <v>170</v>
      </c>
      <c r="CB543" t="s">
        <v>170</v>
      </c>
      <c r="CC543" t="s">
        <v>170</v>
      </c>
      <c r="CE543" t="s">
        <v>170</v>
      </c>
      <c r="CG543" t="s">
        <v>169</v>
      </c>
      <c r="CH543" t="s">
        <v>333</v>
      </c>
      <c r="CI543" t="s">
        <v>170</v>
      </c>
      <c r="CK543" t="s">
        <v>233</v>
      </c>
      <c r="CM543">
        <v>1</v>
      </c>
      <c r="CN543" t="s">
        <v>234</v>
      </c>
      <c r="CP543">
        <v>222</v>
      </c>
      <c r="CQ543">
        <v>4.08</v>
      </c>
      <c r="CR543">
        <v>80.7</v>
      </c>
      <c r="CS543" t="s">
        <v>235</v>
      </c>
      <c r="CV543" t="s">
        <v>341</v>
      </c>
      <c r="CX543" t="s">
        <v>342</v>
      </c>
      <c r="CY543" t="s">
        <v>170</v>
      </c>
      <c r="DC543" t="s">
        <v>590</v>
      </c>
      <c r="DD543">
        <v>2</v>
      </c>
      <c r="DE543" t="s">
        <v>404</v>
      </c>
      <c r="DF543" t="s">
        <v>466</v>
      </c>
      <c r="DG543" t="s">
        <v>591</v>
      </c>
      <c r="DJ543" t="s">
        <v>267</v>
      </c>
      <c r="DK543" t="s">
        <v>268</v>
      </c>
      <c r="DL543" t="s">
        <v>170</v>
      </c>
      <c r="DM543" t="s">
        <v>170</v>
      </c>
      <c r="DN543" t="s">
        <v>170</v>
      </c>
      <c r="DO543" t="s">
        <v>592</v>
      </c>
      <c r="DP543" t="s">
        <v>169</v>
      </c>
      <c r="DQ543" t="s">
        <v>198</v>
      </c>
      <c r="DR543" t="s">
        <v>467</v>
      </c>
      <c r="DY543">
        <v>62.2</v>
      </c>
      <c r="EB543">
        <v>7</v>
      </c>
      <c r="EC543">
        <v>7</v>
      </c>
      <c r="EE543" t="s">
        <v>593</v>
      </c>
      <c r="EF543">
        <v>6</v>
      </c>
      <c r="EU543">
        <v>3250</v>
      </c>
      <c r="EW543">
        <v>199</v>
      </c>
      <c r="EX543">
        <v>220</v>
      </c>
      <c r="EY543">
        <v>209</v>
      </c>
    </row>
    <row r="544" spans="1:155" x14ac:dyDescent="0.35">
      <c r="A544">
        <v>2025</v>
      </c>
      <c r="B544" t="s">
        <v>439</v>
      </c>
      <c r="C544" t="s">
        <v>1171</v>
      </c>
      <c r="D544" t="s">
        <v>1615</v>
      </c>
      <c r="E544" t="s">
        <v>442</v>
      </c>
      <c r="F544">
        <v>1</v>
      </c>
      <c r="G544">
        <v>3</v>
      </c>
      <c r="H544">
        <v>6</v>
      </c>
      <c r="I544" t="s">
        <v>331</v>
      </c>
      <c r="J544">
        <v>17</v>
      </c>
      <c r="K544">
        <v>25</v>
      </c>
      <c r="L544">
        <v>20</v>
      </c>
      <c r="M544">
        <v>21.279299999999999</v>
      </c>
      <c r="N544">
        <v>34.837600000000002</v>
      </c>
      <c r="O544">
        <v>25.7973</v>
      </c>
      <c r="P544">
        <v>17.0623</v>
      </c>
      <c r="Q544">
        <v>24.7837</v>
      </c>
      <c r="R544">
        <v>19.8444</v>
      </c>
      <c r="T544" t="s">
        <v>165</v>
      </c>
      <c r="U544" t="s">
        <v>166</v>
      </c>
      <c r="V544" t="s">
        <v>193</v>
      </c>
      <c r="W544" t="s">
        <v>194</v>
      </c>
      <c r="Y544">
        <v>10</v>
      </c>
      <c r="Z544" t="s">
        <v>169</v>
      </c>
      <c r="AA544" t="s">
        <v>170</v>
      </c>
      <c r="AB544" t="s">
        <v>809</v>
      </c>
      <c r="AC544" t="s">
        <v>810</v>
      </c>
      <c r="AD544">
        <v>85</v>
      </c>
      <c r="AG544" t="s">
        <v>210</v>
      </c>
      <c r="AH544" t="s">
        <v>444</v>
      </c>
      <c r="AI544" t="s">
        <v>175</v>
      </c>
      <c r="AJ544" t="s">
        <v>176</v>
      </c>
      <c r="AK544" t="s">
        <v>940</v>
      </c>
      <c r="AL544" t="s">
        <v>941</v>
      </c>
      <c r="AS544">
        <v>2600</v>
      </c>
      <c r="AT544">
        <v>2600</v>
      </c>
      <c r="BN544" t="s">
        <v>178</v>
      </c>
      <c r="BO544">
        <v>2</v>
      </c>
      <c r="BP544">
        <v>2</v>
      </c>
      <c r="BQ544">
        <v>33</v>
      </c>
      <c r="BR544" t="s">
        <v>1497</v>
      </c>
      <c r="BT544" t="s">
        <v>181</v>
      </c>
      <c r="BU544" s="1">
        <v>45463</v>
      </c>
      <c r="BV544">
        <v>35468</v>
      </c>
      <c r="BX544" t="s">
        <v>170</v>
      </c>
      <c r="BY544" t="s">
        <v>170</v>
      </c>
      <c r="CB544" t="s">
        <v>170</v>
      </c>
      <c r="CC544" t="s">
        <v>170</v>
      </c>
      <c r="CE544" t="s">
        <v>170</v>
      </c>
      <c r="CG544" t="s">
        <v>169</v>
      </c>
      <c r="CH544" t="s">
        <v>1471</v>
      </c>
      <c r="CI544" t="s">
        <v>170</v>
      </c>
      <c r="DJ544" t="s">
        <v>184</v>
      </c>
      <c r="DK544" t="s">
        <v>185</v>
      </c>
      <c r="DN544" t="s">
        <v>170</v>
      </c>
      <c r="DO544" t="s">
        <v>445</v>
      </c>
      <c r="DP544" t="s">
        <v>169</v>
      </c>
      <c r="DQ544" t="s">
        <v>198</v>
      </c>
      <c r="EB544">
        <v>4</v>
      </c>
      <c r="EC544">
        <v>4</v>
      </c>
      <c r="EE544" t="s">
        <v>1472</v>
      </c>
      <c r="EF544">
        <v>5</v>
      </c>
      <c r="EV544">
        <v>3500</v>
      </c>
      <c r="EW544">
        <v>521</v>
      </c>
      <c r="EX544">
        <v>358</v>
      </c>
      <c r="EY544">
        <v>447</v>
      </c>
    </row>
    <row r="545" spans="1:155" x14ac:dyDescent="0.35">
      <c r="A545">
        <v>2025</v>
      </c>
      <c r="B545" t="s">
        <v>439</v>
      </c>
      <c r="C545" t="s">
        <v>1171</v>
      </c>
      <c r="D545" t="s">
        <v>1486</v>
      </c>
      <c r="E545" t="s">
        <v>442</v>
      </c>
      <c r="F545">
        <v>77</v>
      </c>
      <c r="G545">
        <v>3</v>
      </c>
      <c r="H545">
        <v>6</v>
      </c>
      <c r="I545" t="s">
        <v>331</v>
      </c>
      <c r="J545">
        <v>18</v>
      </c>
      <c r="K545">
        <v>25</v>
      </c>
      <c r="L545">
        <v>21</v>
      </c>
      <c r="M545">
        <v>22.8</v>
      </c>
      <c r="N545">
        <v>35.9</v>
      </c>
      <c r="O545">
        <v>27.279499999999999</v>
      </c>
      <c r="P545">
        <v>18.190899999999999</v>
      </c>
      <c r="Q545">
        <v>25.478000000000002</v>
      </c>
      <c r="R545">
        <v>20.8781</v>
      </c>
      <c r="T545" t="s">
        <v>165</v>
      </c>
      <c r="U545" t="s">
        <v>166</v>
      </c>
      <c r="V545" t="s">
        <v>193</v>
      </c>
      <c r="W545" t="s">
        <v>194</v>
      </c>
      <c r="Y545">
        <v>10</v>
      </c>
      <c r="Z545" t="s">
        <v>169</v>
      </c>
      <c r="AA545" t="s">
        <v>170</v>
      </c>
      <c r="AB545" t="s">
        <v>171</v>
      </c>
      <c r="AC545" t="s">
        <v>172</v>
      </c>
      <c r="AD545">
        <v>85</v>
      </c>
      <c r="AG545" t="s">
        <v>210</v>
      </c>
      <c r="AH545" t="s">
        <v>444</v>
      </c>
      <c r="AI545" t="s">
        <v>175</v>
      </c>
      <c r="AJ545" t="s">
        <v>176</v>
      </c>
      <c r="AK545" t="s">
        <v>940</v>
      </c>
      <c r="AL545" t="s">
        <v>941</v>
      </c>
      <c r="AS545">
        <v>2500</v>
      </c>
      <c r="AT545">
        <v>2500</v>
      </c>
      <c r="BN545" t="s">
        <v>178</v>
      </c>
      <c r="BO545">
        <v>2</v>
      </c>
      <c r="BP545">
        <v>2</v>
      </c>
      <c r="BQ545">
        <v>32</v>
      </c>
      <c r="BR545" t="s">
        <v>1453</v>
      </c>
      <c r="BT545" t="s">
        <v>181</v>
      </c>
      <c r="BU545" s="1">
        <v>45449</v>
      </c>
      <c r="BV545">
        <v>35464</v>
      </c>
      <c r="BX545" t="s">
        <v>170</v>
      </c>
      <c r="BY545" t="s">
        <v>170</v>
      </c>
      <c r="CB545" t="s">
        <v>170</v>
      </c>
      <c r="CC545" t="s">
        <v>170</v>
      </c>
      <c r="CE545" t="s">
        <v>170</v>
      </c>
      <c r="CG545" t="s">
        <v>169</v>
      </c>
      <c r="CH545" t="s">
        <v>1471</v>
      </c>
      <c r="CI545" t="s">
        <v>170</v>
      </c>
      <c r="DJ545" t="s">
        <v>184</v>
      </c>
      <c r="DK545" t="s">
        <v>185</v>
      </c>
      <c r="DN545" t="s">
        <v>170</v>
      </c>
      <c r="DO545" t="s">
        <v>445</v>
      </c>
      <c r="DP545" t="s">
        <v>169</v>
      </c>
      <c r="DQ545" t="s">
        <v>198</v>
      </c>
      <c r="EB545">
        <v>4</v>
      </c>
      <c r="EC545">
        <v>4</v>
      </c>
      <c r="EE545" t="s">
        <v>1472</v>
      </c>
      <c r="EF545">
        <v>5</v>
      </c>
      <c r="EV545">
        <v>3000</v>
      </c>
      <c r="EW545">
        <v>488</v>
      </c>
      <c r="EX545">
        <v>348</v>
      </c>
      <c r="EY545">
        <v>425</v>
      </c>
    </row>
    <row r="546" spans="1:155" x14ac:dyDescent="0.35">
      <c r="A546">
        <v>2025</v>
      </c>
      <c r="B546" t="s">
        <v>439</v>
      </c>
      <c r="C546" t="s">
        <v>1171</v>
      </c>
      <c r="D546" t="s">
        <v>1367</v>
      </c>
      <c r="E546" t="s">
        <v>442</v>
      </c>
      <c r="F546">
        <v>73</v>
      </c>
      <c r="G546">
        <v>2</v>
      </c>
      <c r="H546">
        <v>4</v>
      </c>
      <c r="I546" t="s">
        <v>192</v>
      </c>
      <c r="J546">
        <v>21</v>
      </c>
      <c r="K546">
        <v>28</v>
      </c>
      <c r="L546">
        <v>24</v>
      </c>
      <c r="M546">
        <v>26.589200000000002</v>
      </c>
      <c r="N546">
        <v>40.417000000000002</v>
      </c>
      <c r="O546">
        <v>31.427700000000002</v>
      </c>
      <c r="P546">
        <v>20.954899999999999</v>
      </c>
      <c r="Q546">
        <v>28.3933</v>
      </c>
      <c r="R546">
        <v>23.755400000000002</v>
      </c>
      <c r="T546" t="s">
        <v>165</v>
      </c>
      <c r="U546" t="s">
        <v>166</v>
      </c>
      <c r="V546" t="s">
        <v>193</v>
      </c>
      <c r="W546" t="s">
        <v>194</v>
      </c>
      <c r="Y546">
        <v>8</v>
      </c>
      <c r="Z546" t="s">
        <v>169</v>
      </c>
      <c r="AA546" t="s">
        <v>170</v>
      </c>
      <c r="AB546" t="s">
        <v>167</v>
      </c>
      <c r="AC546" t="s">
        <v>213</v>
      </c>
      <c r="AD546">
        <v>85</v>
      </c>
      <c r="AG546" t="s">
        <v>210</v>
      </c>
      <c r="AH546" t="s">
        <v>444</v>
      </c>
      <c r="AI546" t="s">
        <v>175</v>
      </c>
      <c r="AJ546" t="s">
        <v>176</v>
      </c>
      <c r="AK546" t="s">
        <v>940</v>
      </c>
      <c r="AL546" t="s">
        <v>941</v>
      </c>
      <c r="AS546">
        <v>2200</v>
      </c>
      <c r="AT546">
        <v>2200</v>
      </c>
      <c r="BN546" t="s">
        <v>265</v>
      </c>
      <c r="BO546">
        <v>2</v>
      </c>
      <c r="BP546">
        <v>2</v>
      </c>
      <c r="BQ546">
        <v>31</v>
      </c>
      <c r="BR546" t="s">
        <v>1219</v>
      </c>
      <c r="BT546" t="s">
        <v>181</v>
      </c>
      <c r="BU546" s="1">
        <v>45558</v>
      </c>
      <c r="BV546">
        <v>35477</v>
      </c>
      <c r="BX546" t="s">
        <v>170</v>
      </c>
      <c r="BY546" t="s">
        <v>170</v>
      </c>
      <c r="CB546" t="s">
        <v>170</v>
      </c>
      <c r="CC546" t="s">
        <v>170</v>
      </c>
      <c r="CD546" t="s">
        <v>1173</v>
      </c>
      <c r="CE546" t="s">
        <v>170</v>
      </c>
      <c r="CG546" t="s">
        <v>169</v>
      </c>
      <c r="CH546" t="s">
        <v>1174</v>
      </c>
      <c r="CI546" t="s">
        <v>170</v>
      </c>
      <c r="DJ546" t="s">
        <v>267</v>
      </c>
      <c r="DK546" t="s">
        <v>268</v>
      </c>
      <c r="DN546" t="s">
        <v>170</v>
      </c>
      <c r="DO546" t="s">
        <v>1175</v>
      </c>
      <c r="DP546" t="s">
        <v>169</v>
      </c>
      <c r="DQ546" t="s">
        <v>198</v>
      </c>
      <c r="EB546">
        <v>5</v>
      </c>
      <c r="EC546">
        <v>5</v>
      </c>
      <c r="EE546" t="s">
        <v>1176</v>
      </c>
      <c r="EF546">
        <v>6</v>
      </c>
      <c r="EV546">
        <v>1500</v>
      </c>
      <c r="EW546">
        <v>424</v>
      </c>
      <c r="EX546">
        <v>313</v>
      </c>
      <c r="EY546">
        <v>374</v>
      </c>
    </row>
    <row r="547" spans="1:155" x14ac:dyDescent="0.35">
      <c r="A547">
        <v>2025</v>
      </c>
      <c r="B547" t="s">
        <v>439</v>
      </c>
      <c r="C547" t="s">
        <v>1171</v>
      </c>
      <c r="D547" t="s">
        <v>1172</v>
      </c>
      <c r="E547" t="s">
        <v>442</v>
      </c>
      <c r="F547">
        <v>74</v>
      </c>
      <c r="G547">
        <v>2</v>
      </c>
      <c r="H547">
        <v>4</v>
      </c>
      <c r="I547" t="s">
        <v>192</v>
      </c>
      <c r="J547">
        <v>22</v>
      </c>
      <c r="K547">
        <v>30</v>
      </c>
      <c r="L547">
        <v>25</v>
      </c>
      <c r="M547">
        <v>27.900400000000001</v>
      </c>
      <c r="N547">
        <v>42.741300000000003</v>
      </c>
      <c r="O547">
        <v>33.0672</v>
      </c>
      <c r="P547">
        <v>21.895700000000001</v>
      </c>
      <c r="Q547">
        <v>29.8705</v>
      </c>
      <c r="R547">
        <v>24.8855</v>
      </c>
      <c r="T547" t="s">
        <v>165</v>
      </c>
      <c r="U547" t="s">
        <v>166</v>
      </c>
      <c r="V547" t="s">
        <v>193</v>
      </c>
      <c r="W547" t="s">
        <v>194</v>
      </c>
      <c r="Y547">
        <v>8</v>
      </c>
      <c r="Z547" t="s">
        <v>169</v>
      </c>
      <c r="AA547" t="s">
        <v>170</v>
      </c>
      <c r="AB547" t="s">
        <v>351</v>
      </c>
      <c r="AC547" t="s">
        <v>352</v>
      </c>
      <c r="AD547">
        <v>85</v>
      </c>
      <c r="AG547" t="s">
        <v>210</v>
      </c>
      <c r="AH547" t="s">
        <v>444</v>
      </c>
      <c r="AI547" t="s">
        <v>175</v>
      </c>
      <c r="AJ547" t="s">
        <v>176</v>
      </c>
      <c r="AK547" t="s">
        <v>940</v>
      </c>
      <c r="AL547" t="s">
        <v>941</v>
      </c>
      <c r="AS547">
        <v>2100</v>
      </c>
      <c r="AT547">
        <v>2100</v>
      </c>
      <c r="BN547" t="s">
        <v>265</v>
      </c>
      <c r="BO547">
        <v>2</v>
      </c>
      <c r="BP547">
        <v>2</v>
      </c>
      <c r="BQ547">
        <v>30</v>
      </c>
      <c r="BR547" t="s">
        <v>1099</v>
      </c>
      <c r="BT547" t="s">
        <v>181</v>
      </c>
      <c r="BU547" s="1">
        <v>45558</v>
      </c>
      <c r="BV547">
        <v>35476</v>
      </c>
      <c r="BX547" t="s">
        <v>170</v>
      </c>
      <c r="BY547" t="s">
        <v>170</v>
      </c>
      <c r="CB547" t="s">
        <v>170</v>
      </c>
      <c r="CC547" t="s">
        <v>170</v>
      </c>
      <c r="CD547" t="s">
        <v>1173</v>
      </c>
      <c r="CE547" t="s">
        <v>170</v>
      </c>
      <c r="CG547" t="s">
        <v>169</v>
      </c>
      <c r="CH547" t="s">
        <v>1174</v>
      </c>
      <c r="CI547" t="s">
        <v>170</v>
      </c>
      <c r="DJ547" t="s">
        <v>267</v>
      </c>
      <c r="DK547" t="s">
        <v>268</v>
      </c>
      <c r="DN547" t="s">
        <v>170</v>
      </c>
      <c r="DO547" t="s">
        <v>1175</v>
      </c>
      <c r="DP547" t="s">
        <v>169</v>
      </c>
      <c r="DQ547" t="s">
        <v>198</v>
      </c>
      <c r="DY547">
        <v>33.299999999999997</v>
      </c>
      <c r="EB547">
        <v>5</v>
      </c>
      <c r="EC547">
        <v>5</v>
      </c>
      <c r="EE547" t="s">
        <v>1176</v>
      </c>
      <c r="EF547">
        <v>6</v>
      </c>
      <c r="EV547">
        <v>1000</v>
      </c>
      <c r="EW547">
        <v>406</v>
      </c>
      <c r="EX547">
        <v>298</v>
      </c>
      <c r="EY547">
        <v>357</v>
      </c>
    </row>
    <row r="548" spans="1:155" x14ac:dyDescent="0.35">
      <c r="A548">
        <v>2025</v>
      </c>
      <c r="B548" t="s">
        <v>439</v>
      </c>
      <c r="C548" t="s">
        <v>1171</v>
      </c>
      <c r="D548" t="s">
        <v>1686</v>
      </c>
      <c r="E548" t="s">
        <v>442</v>
      </c>
      <c r="F548">
        <v>91</v>
      </c>
      <c r="G548">
        <v>2</v>
      </c>
      <c r="H548">
        <v>4</v>
      </c>
      <c r="I548" t="s">
        <v>164</v>
      </c>
      <c r="J548">
        <v>21</v>
      </c>
      <c r="K548">
        <v>29</v>
      </c>
      <c r="L548">
        <v>24</v>
      </c>
      <c r="M548">
        <v>26.7</v>
      </c>
      <c r="N548">
        <v>43</v>
      </c>
      <c r="O548">
        <v>32.191200000000002</v>
      </c>
      <c r="P548">
        <v>21.034700000000001</v>
      </c>
      <c r="Q548">
        <v>30.033999999999999</v>
      </c>
      <c r="R548">
        <v>24.312999999999999</v>
      </c>
      <c r="T548" t="s">
        <v>165</v>
      </c>
      <c r="U548" t="s">
        <v>166</v>
      </c>
      <c r="V548" t="s">
        <v>167</v>
      </c>
      <c r="W548" t="s">
        <v>168</v>
      </c>
      <c r="Y548">
        <v>8</v>
      </c>
      <c r="Z548" t="s">
        <v>169</v>
      </c>
      <c r="AA548" t="s">
        <v>170</v>
      </c>
      <c r="AB548" t="s">
        <v>167</v>
      </c>
      <c r="AC548" t="s">
        <v>213</v>
      </c>
      <c r="AD548">
        <v>85</v>
      </c>
      <c r="AG548" t="s">
        <v>210</v>
      </c>
      <c r="AH548" t="s">
        <v>444</v>
      </c>
      <c r="AI548" t="s">
        <v>175</v>
      </c>
      <c r="AJ548" t="s">
        <v>176</v>
      </c>
      <c r="AK548" t="s">
        <v>940</v>
      </c>
      <c r="AL548" t="s">
        <v>941</v>
      </c>
      <c r="AS548">
        <v>2200</v>
      </c>
      <c r="AT548">
        <v>2200</v>
      </c>
      <c r="BN548" t="s">
        <v>265</v>
      </c>
      <c r="BO548">
        <v>2</v>
      </c>
      <c r="BP548">
        <v>2</v>
      </c>
      <c r="BQ548">
        <v>31</v>
      </c>
      <c r="BR548" t="s">
        <v>1219</v>
      </c>
      <c r="BT548" t="s">
        <v>181</v>
      </c>
      <c r="BV548">
        <v>36420</v>
      </c>
      <c r="BX548" t="s">
        <v>170</v>
      </c>
      <c r="BY548" t="s">
        <v>170</v>
      </c>
      <c r="CB548" t="s">
        <v>170</v>
      </c>
      <c r="CC548" t="s">
        <v>170</v>
      </c>
      <c r="CD548" t="s">
        <v>1173</v>
      </c>
      <c r="CE548" t="s">
        <v>170</v>
      </c>
      <c r="CG548" t="s">
        <v>169</v>
      </c>
      <c r="CH548" t="s">
        <v>1174</v>
      </c>
      <c r="CI548" t="s">
        <v>170</v>
      </c>
      <c r="DJ548" t="s">
        <v>267</v>
      </c>
      <c r="DK548" t="s">
        <v>268</v>
      </c>
      <c r="DN548" t="s">
        <v>170</v>
      </c>
      <c r="DO548" t="s">
        <v>1175</v>
      </c>
      <c r="DP548" t="s">
        <v>169</v>
      </c>
      <c r="DQ548" t="s">
        <v>198</v>
      </c>
      <c r="EB548">
        <v>5</v>
      </c>
      <c r="EC548">
        <v>5</v>
      </c>
      <c r="EE548" t="s">
        <v>1176</v>
      </c>
      <c r="EF548">
        <v>6</v>
      </c>
      <c r="EV548">
        <v>1500</v>
      </c>
      <c r="EW548">
        <v>423</v>
      </c>
      <c r="EX548">
        <v>296</v>
      </c>
      <c r="EY548">
        <v>366</v>
      </c>
    </row>
    <row r="549" spans="1:155" x14ac:dyDescent="0.35">
      <c r="A549">
        <v>2025</v>
      </c>
      <c r="B549" t="s">
        <v>439</v>
      </c>
      <c r="C549" t="s">
        <v>1171</v>
      </c>
      <c r="D549" t="s">
        <v>1368</v>
      </c>
      <c r="E549" t="s">
        <v>442</v>
      </c>
      <c r="F549">
        <v>90</v>
      </c>
      <c r="G549">
        <v>2</v>
      </c>
      <c r="H549">
        <v>4</v>
      </c>
      <c r="I549" t="s">
        <v>587</v>
      </c>
      <c r="J549">
        <v>30</v>
      </c>
      <c r="K549">
        <v>31</v>
      </c>
      <c r="L549">
        <v>30</v>
      </c>
      <c r="M549">
        <v>39.5</v>
      </c>
      <c r="N549">
        <v>44.6</v>
      </c>
      <c r="O549">
        <v>41.642800000000001</v>
      </c>
      <c r="P549">
        <v>29.885899999999999</v>
      </c>
      <c r="Q549">
        <v>31.040800000000001</v>
      </c>
      <c r="R549">
        <v>30.3948</v>
      </c>
      <c r="T549" t="s">
        <v>165</v>
      </c>
      <c r="U549" t="s">
        <v>166</v>
      </c>
      <c r="V549" t="s">
        <v>588</v>
      </c>
      <c r="W549" t="s">
        <v>589</v>
      </c>
      <c r="Y549">
        <v>1</v>
      </c>
      <c r="Z549" t="s">
        <v>170</v>
      </c>
      <c r="AA549" t="s">
        <v>170</v>
      </c>
      <c r="AB549" t="s">
        <v>809</v>
      </c>
      <c r="AC549" t="s">
        <v>810</v>
      </c>
      <c r="AD549">
        <v>85</v>
      </c>
      <c r="AG549" t="s">
        <v>210</v>
      </c>
      <c r="AH549" t="s">
        <v>444</v>
      </c>
      <c r="AI549" t="s">
        <v>175</v>
      </c>
      <c r="AJ549" t="s">
        <v>176</v>
      </c>
      <c r="AK549" t="s">
        <v>940</v>
      </c>
      <c r="AL549" t="s">
        <v>941</v>
      </c>
      <c r="AS549">
        <v>1750</v>
      </c>
      <c r="AT549">
        <v>1750</v>
      </c>
      <c r="BN549" t="s">
        <v>465</v>
      </c>
      <c r="BO549">
        <v>2</v>
      </c>
      <c r="BP549">
        <v>2</v>
      </c>
      <c r="BQ549">
        <v>31</v>
      </c>
      <c r="BR549" t="s">
        <v>1219</v>
      </c>
      <c r="BT549" t="s">
        <v>181</v>
      </c>
      <c r="BU549" s="1">
        <v>45531</v>
      </c>
      <c r="BV549">
        <v>35483</v>
      </c>
      <c r="BX549" t="s">
        <v>170</v>
      </c>
      <c r="BY549" t="s">
        <v>170</v>
      </c>
      <c r="CB549" t="s">
        <v>170</v>
      </c>
      <c r="CC549" t="s">
        <v>170</v>
      </c>
      <c r="CE549" t="s">
        <v>170</v>
      </c>
      <c r="CG549" t="s">
        <v>169</v>
      </c>
      <c r="CH549" t="s">
        <v>944</v>
      </c>
      <c r="CI549" t="s">
        <v>170</v>
      </c>
      <c r="CK549" t="s">
        <v>233</v>
      </c>
      <c r="CM549">
        <v>1</v>
      </c>
      <c r="CN549" t="s">
        <v>234</v>
      </c>
      <c r="CP549">
        <v>221</v>
      </c>
      <c r="CQ549">
        <v>5</v>
      </c>
      <c r="CR549">
        <v>36.4</v>
      </c>
      <c r="CS549" t="s">
        <v>235</v>
      </c>
      <c r="CV549" t="s">
        <v>341</v>
      </c>
      <c r="CX549" t="s">
        <v>729</v>
      </c>
      <c r="CY549" t="s">
        <v>170</v>
      </c>
      <c r="DD549">
        <v>1</v>
      </c>
      <c r="DE549" t="s">
        <v>663</v>
      </c>
      <c r="DG549">
        <v>100</v>
      </c>
      <c r="DJ549" t="s">
        <v>267</v>
      </c>
      <c r="DK549" t="s">
        <v>268</v>
      </c>
      <c r="DL549" t="s">
        <v>170</v>
      </c>
      <c r="DM549" t="s">
        <v>170</v>
      </c>
      <c r="DN549" t="s">
        <v>170</v>
      </c>
      <c r="DO549" t="s">
        <v>445</v>
      </c>
      <c r="DP549" t="s">
        <v>169</v>
      </c>
      <c r="DQ549" t="s">
        <v>198</v>
      </c>
      <c r="EB549">
        <v>6</v>
      </c>
      <c r="EC549">
        <v>6</v>
      </c>
      <c r="EE549" t="s">
        <v>1369</v>
      </c>
      <c r="EF549">
        <v>6</v>
      </c>
      <c r="EU549">
        <v>750</v>
      </c>
      <c r="EW549">
        <v>295</v>
      </c>
      <c r="EX549">
        <v>283</v>
      </c>
      <c r="EY549">
        <v>290</v>
      </c>
    </row>
    <row r="550" spans="1:155" x14ac:dyDescent="0.35">
      <c r="A550">
        <v>2025</v>
      </c>
      <c r="B550" t="s">
        <v>439</v>
      </c>
      <c r="C550" t="s">
        <v>1171</v>
      </c>
      <c r="D550" t="s">
        <v>1616</v>
      </c>
      <c r="E550" t="s">
        <v>442</v>
      </c>
      <c r="F550">
        <v>7</v>
      </c>
      <c r="G550">
        <v>3.5</v>
      </c>
      <c r="H550">
        <v>6</v>
      </c>
      <c r="I550" t="s">
        <v>331</v>
      </c>
      <c r="J550">
        <v>15</v>
      </c>
      <c r="K550">
        <v>22</v>
      </c>
      <c r="L550">
        <v>17</v>
      </c>
      <c r="M550">
        <v>18.600000000000001</v>
      </c>
      <c r="N550">
        <v>30.1997</v>
      </c>
      <c r="O550">
        <v>22.486699999999999</v>
      </c>
      <c r="P550">
        <v>15.046200000000001</v>
      </c>
      <c r="Q550">
        <v>21.712900000000001</v>
      </c>
      <c r="R550">
        <v>17.458400000000001</v>
      </c>
      <c r="T550" t="s">
        <v>165</v>
      </c>
      <c r="U550" t="s">
        <v>166</v>
      </c>
      <c r="V550" t="s">
        <v>193</v>
      </c>
      <c r="W550" t="s">
        <v>194</v>
      </c>
      <c r="Y550">
        <v>10</v>
      </c>
      <c r="Z550" t="s">
        <v>169</v>
      </c>
      <c r="AA550" t="s">
        <v>170</v>
      </c>
      <c r="AB550" t="s">
        <v>809</v>
      </c>
      <c r="AC550" t="s">
        <v>810</v>
      </c>
      <c r="AD550">
        <v>85</v>
      </c>
      <c r="AG550" t="s">
        <v>210</v>
      </c>
      <c r="AH550" t="s">
        <v>444</v>
      </c>
      <c r="AI550" t="s">
        <v>175</v>
      </c>
      <c r="AJ550" t="s">
        <v>176</v>
      </c>
      <c r="AK550" t="s">
        <v>940</v>
      </c>
      <c r="AL550" t="s">
        <v>941</v>
      </c>
      <c r="AS550">
        <v>3100</v>
      </c>
      <c r="AT550">
        <v>3100</v>
      </c>
      <c r="BN550" t="s">
        <v>265</v>
      </c>
      <c r="BO550">
        <v>2</v>
      </c>
      <c r="BP550">
        <v>2</v>
      </c>
      <c r="BQ550">
        <v>33</v>
      </c>
      <c r="BR550" t="s">
        <v>1497</v>
      </c>
      <c r="BT550" t="s">
        <v>181</v>
      </c>
      <c r="BU550" s="1">
        <v>45705</v>
      </c>
      <c r="BV550">
        <v>36042</v>
      </c>
      <c r="BX550" t="s">
        <v>170</v>
      </c>
      <c r="BY550" t="s">
        <v>170</v>
      </c>
      <c r="CB550" t="s">
        <v>170</v>
      </c>
      <c r="CC550" t="s">
        <v>170</v>
      </c>
      <c r="CD550" t="s">
        <v>1468</v>
      </c>
      <c r="CE550" t="s">
        <v>170</v>
      </c>
      <c r="CG550" t="s">
        <v>169</v>
      </c>
      <c r="CH550" t="s">
        <v>448</v>
      </c>
      <c r="CI550" t="s">
        <v>170</v>
      </c>
      <c r="DJ550" t="s">
        <v>267</v>
      </c>
      <c r="DK550" t="s">
        <v>268</v>
      </c>
      <c r="DL550" t="s">
        <v>170</v>
      </c>
      <c r="DM550" t="s">
        <v>170</v>
      </c>
      <c r="DN550" t="s">
        <v>170</v>
      </c>
      <c r="DO550" t="s">
        <v>989</v>
      </c>
      <c r="DP550" t="s">
        <v>169</v>
      </c>
      <c r="DQ550" t="s">
        <v>198</v>
      </c>
      <c r="EB550">
        <v>3</v>
      </c>
      <c r="EC550">
        <v>3</v>
      </c>
      <c r="EE550" t="s">
        <v>990</v>
      </c>
      <c r="EF550">
        <v>6</v>
      </c>
      <c r="EV550">
        <v>6000</v>
      </c>
      <c r="EW550">
        <v>592</v>
      </c>
      <c r="EX550">
        <v>410</v>
      </c>
      <c r="EY550">
        <v>510</v>
      </c>
    </row>
    <row r="551" spans="1:155" x14ac:dyDescent="0.35">
      <c r="A551">
        <v>2025</v>
      </c>
      <c r="B551" t="s">
        <v>1694</v>
      </c>
      <c r="C551" t="s">
        <v>1695</v>
      </c>
      <c r="D551" t="s">
        <v>1696</v>
      </c>
      <c r="E551" t="s">
        <v>1697</v>
      </c>
      <c r="F551">
        <v>11</v>
      </c>
      <c r="G551">
        <v>3.5</v>
      </c>
      <c r="H551">
        <v>6</v>
      </c>
      <c r="I551" t="s">
        <v>200</v>
      </c>
      <c r="J551">
        <v>16</v>
      </c>
      <c r="K551">
        <v>24</v>
      </c>
      <c r="L551">
        <v>19</v>
      </c>
      <c r="M551">
        <v>19.667899999999999</v>
      </c>
      <c r="N551">
        <v>31.8139</v>
      </c>
      <c r="O551">
        <v>23.747800000000002</v>
      </c>
      <c r="P551">
        <v>16.2684</v>
      </c>
      <c r="Q551">
        <v>23.966200000000001</v>
      </c>
      <c r="R551">
        <v>19.017099999999999</v>
      </c>
      <c r="T551" t="s">
        <v>455</v>
      </c>
      <c r="U551" t="s">
        <v>456</v>
      </c>
      <c r="V551" t="s">
        <v>201</v>
      </c>
      <c r="W551" t="s">
        <v>202</v>
      </c>
      <c r="Y551">
        <v>6</v>
      </c>
      <c r="Z551" t="s">
        <v>170</v>
      </c>
      <c r="AA551" t="s">
        <v>170</v>
      </c>
      <c r="AB551" t="s">
        <v>171</v>
      </c>
      <c r="AC551" t="s">
        <v>172</v>
      </c>
      <c r="AD551">
        <v>10</v>
      </c>
      <c r="AG551" t="s">
        <v>210</v>
      </c>
      <c r="AH551" t="s">
        <v>444</v>
      </c>
      <c r="AI551" t="s">
        <v>175</v>
      </c>
      <c r="AJ551" t="s">
        <v>176</v>
      </c>
      <c r="AK551" t="s">
        <v>170</v>
      </c>
      <c r="AL551" t="s">
        <v>177</v>
      </c>
      <c r="AM551">
        <v>49</v>
      </c>
      <c r="AN551">
        <v>5</v>
      </c>
      <c r="AS551">
        <v>2500</v>
      </c>
      <c r="AT551">
        <v>2750</v>
      </c>
      <c r="BO551">
        <v>2</v>
      </c>
      <c r="BP551">
        <v>2</v>
      </c>
      <c r="BQ551">
        <v>1</v>
      </c>
      <c r="BR551" t="s">
        <v>179</v>
      </c>
      <c r="BS551" t="s">
        <v>180</v>
      </c>
      <c r="BT551" t="s">
        <v>225</v>
      </c>
      <c r="BV551">
        <v>36155</v>
      </c>
      <c r="BY551" t="s">
        <v>170</v>
      </c>
      <c r="CB551" t="s">
        <v>170</v>
      </c>
      <c r="CC551" t="s">
        <v>170</v>
      </c>
      <c r="CD551" t="s">
        <v>1698</v>
      </c>
      <c r="CE551" t="s">
        <v>170</v>
      </c>
      <c r="CG551" t="s">
        <v>169</v>
      </c>
      <c r="CH551" t="s">
        <v>1699</v>
      </c>
      <c r="CI551" t="s">
        <v>170</v>
      </c>
      <c r="DJ551" t="s">
        <v>449</v>
      </c>
      <c r="DK551" t="s">
        <v>450</v>
      </c>
      <c r="DN551" t="s">
        <v>170</v>
      </c>
      <c r="DO551" t="s">
        <v>1334</v>
      </c>
      <c r="DP551" t="s">
        <v>170</v>
      </c>
      <c r="DQ551" t="s">
        <v>187</v>
      </c>
      <c r="DR551" t="s">
        <v>1702</v>
      </c>
      <c r="DY551">
        <v>25</v>
      </c>
      <c r="EB551">
        <v>4</v>
      </c>
      <c r="EC551">
        <v>4</v>
      </c>
      <c r="EE551" t="s">
        <v>1701</v>
      </c>
      <c r="EF551">
        <v>2</v>
      </c>
      <c r="EV551">
        <v>4250</v>
      </c>
      <c r="EW551">
        <v>539</v>
      </c>
      <c r="EX551">
        <v>363</v>
      </c>
      <c r="EY551">
        <v>460</v>
      </c>
    </row>
    <row r="552" spans="1:155" x14ac:dyDescent="0.35">
      <c r="A552">
        <v>2025</v>
      </c>
      <c r="B552" t="s">
        <v>1694</v>
      </c>
      <c r="C552" t="s">
        <v>1695</v>
      </c>
      <c r="D552" t="s">
        <v>1696</v>
      </c>
      <c r="E552" t="s">
        <v>1697</v>
      </c>
      <c r="F552">
        <v>12</v>
      </c>
      <c r="G552">
        <v>3.5</v>
      </c>
      <c r="H552">
        <v>6</v>
      </c>
      <c r="I552" t="s">
        <v>275</v>
      </c>
      <c r="J552">
        <v>18</v>
      </c>
      <c r="K552">
        <v>26</v>
      </c>
      <c r="L552">
        <v>21</v>
      </c>
      <c r="M552">
        <v>22.5791</v>
      </c>
      <c r="N552">
        <v>34.6205</v>
      </c>
      <c r="O552">
        <v>26.768799999999999</v>
      </c>
      <c r="P552">
        <v>18.414300000000001</v>
      </c>
      <c r="Q552">
        <v>26.066199999999998</v>
      </c>
      <c r="R552">
        <v>21.217099999999999</v>
      </c>
      <c r="T552" t="s">
        <v>455</v>
      </c>
      <c r="U552" t="s">
        <v>456</v>
      </c>
      <c r="V552" t="s">
        <v>193</v>
      </c>
      <c r="W552" t="s">
        <v>194</v>
      </c>
      <c r="Y552">
        <v>6</v>
      </c>
      <c r="Z552" t="s">
        <v>169</v>
      </c>
      <c r="AA552" t="s">
        <v>170</v>
      </c>
      <c r="AB552" t="s">
        <v>171</v>
      </c>
      <c r="AC552" t="s">
        <v>172</v>
      </c>
      <c r="AD552">
        <v>10</v>
      </c>
      <c r="AG552" t="s">
        <v>210</v>
      </c>
      <c r="AH552" t="s">
        <v>444</v>
      </c>
      <c r="AI552" t="s">
        <v>175</v>
      </c>
      <c r="AJ552" t="s">
        <v>176</v>
      </c>
      <c r="AK552" t="s">
        <v>170</v>
      </c>
      <c r="AL552" t="s">
        <v>177</v>
      </c>
      <c r="AM552">
        <v>49</v>
      </c>
      <c r="AN552">
        <v>5</v>
      </c>
      <c r="AS552">
        <v>2500</v>
      </c>
      <c r="AT552">
        <v>2500</v>
      </c>
      <c r="BO552">
        <v>2</v>
      </c>
      <c r="BP552">
        <v>2</v>
      </c>
      <c r="BQ552">
        <v>1</v>
      </c>
      <c r="BR552" t="s">
        <v>179</v>
      </c>
      <c r="BS552" t="s">
        <v>180</v>
      </c>
      <c r="BT552" t="s">
        <v>225</v>
      </c>
      <c r="BV552">
        <v>36156</v>
      </c>
      <c r="BY552" t="s">
        <v>170</v>
      </c>
      <c r="CB552" t="s">
        <v>170</v>
      </c>
      <c r="CC552" t="s">
        <v>170</v>
      </c>
      <c r="CD552" t="s">
        <v>1698</v>
      </c>
      <c r="CE552" t="s">
        <v>170</v>
      </c>
      <c r="CG552" t="s">
        <v>169</v>
      </c>
      <c r="CH552" t="s">
        <v>1699</v>
      </c>
      <c r="CI552" t="s">
        <v>170</v>
      </c>
      <c r="DJ552" t="s">
        <v>449</v>
      </c>
      <c r="DK552" t="s">
        <v>450</v>
      </c>
      <c r="DN552" t="s">
        <v>170</v>
      </c>
      <c r="DO552" t="s">
        <v>1334</v>
      </c>
      <c r="DP552" t="s">
        <v>170</v>
      </c>
      <c r="DQ552" t="s">
        <v>187</v>
      </c>
      <c r="DR552" t="s">
        <v>1700</v>
      </c>
      <c r="DY552">
        <v>27.1</v>
      </c>
      <c r="EB552">
        <v>4</v>
      </c>
      <c r="EC552">
        <v>4</v>
      </c>
      <c r="EE552" t="s">
        <v>1701</v>
      </c>
      <c r="EF552">
        <v>2</v>
      </c>
      <c r="EV552">
        <v>3000</v>
      </c>
      <c r="EW552">
        <v>477</v>
      </c>
      <c r="EX552">
        <v>335</v>
      </c>
      <c r="EY552">
        <v>413</v>
      </c>
    </row>
    <row r="553" spans="1:155" x14ac:dyDescent="0.35">
      <c r="A553">
        <v>2025</v>
      </c>
      <c r="B553" t="s">
        <v>261</v>
      </c>
      <c r="C553" t="s">
        <v>262</v>
      </c>
      <c r="D553" t="s">
        <v>1703</v>
      </c>
      <c r="E553" t="s">
        <v>264</v>
      </c>
      <c r="F553">
        <v>77</v>
      </c>
      <c r="G553">
        <v>3</v>
      </c>
      <c r="H553">
        <v>6</v>
      </c>
      <c r="I553" t="s">
        <v>164</v>
      </c>
      <c r="J553">
        <v>17</v>
      </c>
      <c r="K553">
        <v>26</v>
      </c>
      <c r="L553">
        <v>20</v>
      </c>
      <c r="M553">
        <v>21.3</v>
      </c>
      <c r="N553">
        <v>35.200000000000003</v>
      </c>
      <c r="O553">
        <v>25.902899999999999</v>
      </c>
      <c r="P553">
        <v>17.0777</v>
      </c>
      <c r="Q553">
        <v>26.4878</v>
      </c>
      <c r="R553">
        <v>20.327400000000001</v>
      </c>
      <c r="T553" t="s">
        <v>165</v>
      </c>
      <c r="U553" t="s">
        <v>166</v>
      </c>
      <c r="V553" t="s">
        <v>167</v>
      </c>
      <c r="W553" t="s">
        <v>168</v>
      </c>
      <c r="Y553">
        <v>8</v>
      </c>
      <c r="Z553" t="s">
        <v>169</v>
      </c>
      <c r="AA553" t="s">
        <v>170</v>
      </c>
      <c r="AB553" t="s">
        <v>167</v>
      </c>
      <c r="AC553" t="s">
        <v>213</v>
      </c>
      <c r="AD553">
        <v>10</v>
      </c>
      <c r="AG553" t="s">
        <v>214</v>
      </c>
      <c r="AH553" t="s">
        <v>215</v>
      </c>
      <c r="AI553" t="s">
        <v>175</v>
      </c>
      <c r="AJ553" t="s">
        <v>176</v>
      </c>
      <c r="AK553" t="s">
        <v>170</v>
      </c>
      <c r="AL553" t="s">
        <v>177</v>
      </c>
      <c r="AM553">
        <v>89</v>
      </c>
      <c r="AN553">
        <v>7</v>
      </c>
      <c r="AS553">
        <v>3200</v>
      </c>
      <c r="AT553">
        <v>3200</v>
      </c>
      <c r="BN553" t="s">
        <v>265</v>
      </c>
      <c r="BO553">
        <v>2</v>
      </c>
      <c r="BP553">
        <v>2</v>
      </c>
      <c r="BQ553">
        <v>3</v>
      </c>
      <c r="BR553" t="s">
        <v>387</v>
      </c>
      <c r="BS553" t="s">
        <v>180</v>
      </c>
      <c r="BT553" t="s">
        <v>457</v>
      </c>
      <c r="BV553">
        <v>36670</v>
      </c>
      <c r="BX553" t="s">
        <v>170</v>
      </c>
      <c r="BY553" t="s">
        <v>170</v>
      </c>
      <c r="CB553" t="s">
        <v>170</v>
      </c>
      <c r="CC553" t="s">
        <v>170</v>
      </c>
      <c r="CE553" t="s">
        <v>169</v>
      </c>
      <c r="CF553" t="s">
        <v>480</v>
      </c>
      <c r="CG553" t="s">
        <v>169</v>
      </c>
      <c r="CH553" t="s">
        <v>266</v>
      </c>
      <c r="CI553" t="s">
        <v>170</v>
      </c>
      <c r="DJ553" t="s">
        <v>267</v>
      </c>
      <c r="DK553" t="s">
        <v>268</v>
      </c>
      <c r="DL553" t="s">
        <v>170</v>
      </c>
      <c r="DN553" t="s">
        <v>170</v>
      </c>
      <c r="DO553" t="s">
        <v>269</v>
      </c>
      <c r="DP553" t="s">
        <v>169</v>
      </c>
      <c r="DQ553" t="s">
        <v>198</v>
      </c>
      <c r="DY553">
        <v>27.3</v>
      </c>
      <c r="EB553">
        <v>4</v>
      </c>
      <c r="EC553">
        <v>4</v>
      </c>
      <c r="EE553" t="s">
        <v>481</v>
      </c>
      <c r="EF553">
        <v>4</v>
      </c>
      <c r="EV553">
        <v>6500</v>
      </c>
      <c r="EW553">
        <v>512</v>
      </c>
      <c r="EX553">
        <v>330</v>
      </c>
      <c r="EY553">
        <v>430</v>
      </c>
    </row>
    <row r="554" spans="1:155" x14ac:dyDescent="0.35">
      <c r="A554">
        <v>2025</v>
      </c>
      <c r="B554" t="s">
        <v>261</v>
      </c>
      <c r="C554" t="s">
        <v>262</v>
      </c>
      <c r="D554" t="s">
        <v>479</v>
      </c>
      <c r="E554" t="s">
        <v>264</v>
      </c>
      <c r="F554">
        <v>73</v>
      </c>
      <c r="G554">
        <v>3</v>
      </c>
      <c r="H554">
        <v>6</v>
      </c>
      <c r="I554" t="s">
        <v>164</v>
      </c>
      <c r="J554">
        <v>17</v>
      </c>
      <c r="K554">
        <v>26</v>
      </c>
      <c r="L554">
        <v>20</v>
      </c>
      <c r="M554">
        <v>21.3</v>
      </c>
      <c r="N554">
        <v>35.200000000000003</v>
      </c>
      <c r="O554">
        <v>25.902899999999999</v>
      </c>
      <c r="P554">
        <v>17.0777</v>
      </c>
      <c r="Q554">
        <v>26.4878</v>
      </c>
      <c r="R554">
        <v>20.327400000000001</v>
      </c>
      <c r="T554" t="s">
        <v>165</v>
      </c>
      <c r="U554" t="s">
        <v>166</v>
      </c>
      <c r="V554" t="s">
        <v>167</v>
      </c>
      <c r="W554" t="s">
        <v>168</v>
      </c>
      <c r="Y554">
        <v>8</v>
      </c>
      <c r="Z554" t="s">
        <v>169</v>
      </c>
      <c r="AA554" t="s">
        <v>170</v>
      </c>
      <c r="AB554" t="s">
        <v>167</v>
      </c>
      <c r="AC554" t="s">
        <v>213</v>
      </c>
      <c r="AD554">
        <v>10</v>
      </c>
      <c r="AG554" t="s">
        <v>214</v>
      </c>
      <c r="AH554" t="s">
        <v>215</v>
      </c>
      <c r="AI554" t="s">
        <v>175</v>
      </c>
      <c r="AJ554" t="s">
        <v>176</v>
      </c>
      <c r="AK554" t="s">
        <v>170</v>
      </c>
      <c r="AL554" t="s">
        <v>177</v>
      </c>
      <c r="AM554">
        <v>89</v>
      </c>
      <c r="AN554">
        <v>7</v>
      </c>
      <c r="AS554">
        <v>3200</v>
      </c>
      <c r="AT554">
        <v>3200</v>
      </c>
      <c r="BN554" t="s">
        <v>265</v>
      </c>
      <c r="BO554">
        <v>2</v>
      </c>
      <c r="BP554">
        <v>2</v>
      </c>
      <c r="BQ554">
        <v>3</v>
      </c>
      <c r="BR554" t="s">
        <v>387</v>
      </c>
      <c r="BS554" t="s">
        <v>180</v>
      </c>
      <c r="BT554" t="s">
        <v>457</v>
      </c>
      <c r="BU554" s="1">
        <v>45639</v>
      </c>
      <c r="BV554">
        <v>35980</v>
      </c>
      <c r="BX554" t="s">
        <v>170</v>
      </c>
      <c r="BY554" t="s">
        <v>170</v>
      </c>
      <c r="CB554" t="s">
        <v>170</v>
      </c>
      <c r="CC554" t="s">
        <v>170</v>
      </c>
      <c r="CE554" t="s">
        <v>169</v>
      </c>
      <c r="CF554" t="s">
        <v>480</v>
      </c>
      <c r="CG554" t="s">
        <v>169</v>
      </c>
      <c r="CH554" t="s">
        <v>266</v>
      </c>
      <c r="CI554" t="s">
        <v>170</v>
      </c>
      <c r="DJ554" t="s">
        <v>267</v>
      </c>
      <c r="DK554" t="s">
        <v>268</v>
      </c>
      <c r="DL554" t="s">
        <v>170</v>
      </c>
      <c r="DN554" t="s">
        <v>170</v>
      </c>
      <c r="DO554" t="s">
        <v>269</v>
      </c>
      <c r="DP554" t="s">
        <v>169</v>
      </c>
      <c r="DQ554" t="s">
        <v>198</v>
      </c>
      <c r="DY554">
        <v>27.3</v>
      </c>
      <c r="EB554">
        <v>4</v>
      </c>
      <c r="EC554">
        <v>4</v>
      </c>
      <c r="EE554" t="s">
        <v>481</v>
      </c>
      <c r="EF554">
        <v>4</v>
      </c>
      <c r="EV554">
        <v>6500</v>
      </c>
      <c r="EW554">
        <v>512</v>
      </c>
      <c r="EX554">
        <v>330</v>
      </c>
      <c r="EY554">
        <v>430</v>
      </c>
    </row>
    <row r="555" spans="1:155" x14ac:dyDescent="0.35">
      <c r="A555">
        <v>2025</v>
      </c>
      <c r="B555" t="s">
        <v>261</v>
      </c>
      <c r="C555" t="s">
        <v>262</v>
      </c>
      <c r="D555" t="s">
        <v>1704</v>
      </c>
      <c r="E555" t="s">
        <v>264</v>
      </c>
      <c r="F555">
        <v>76</v>
      </c>
      <c r="G555">
        <v>3</v>
      </c>
      <c r="H555">
        <v>6</v>
      </c>
      <c r="I555" t="s">
        <v>164</v>
      </c>
      <c r="J555">
        <v>18</v>
      </c>
      <c r="K555">
        <v>27</v>
      </c>
      <c r="L555">
        <v>21</v>
      </c>
      <c r="M555">
        <v>22.459800000000001</v>
      </c>
      <c r="N555">
        <v>36.265999999999998</v>
      </c>
      <c r="O555">
        <v>27.102799999999998</v>
      </c>
      <c r="P555">
        <v>17.939399999999999</v>
      </c>
      <c r="Q555">
        <v>27.466899999999999</v>
      </c>
      <c r="R555">
        <v>21.2575</v>
      </c>
      <c r="T555" t="s">
        <v>165</v>
      </c>
      <c r="U555" t="s">
        <v>166</v>
      </c>
      <c r="V555" t="s">
        <v>167</v>
      </c>
      <c r="W555" t="s">
        <v>168</v>
      </c>
      <c r="Y555">
        <v>8</v>
      </c>
      <c r="Z555" t="s">
        <v>169</v>
      </c>
      <c r="AA555" t="s">
        <v>170</v>
      </c>
      <c r="AB555" t="s">
        <v>167</v>
      </c>
      <c r="AC555" t="s">
        <v>213</v>
      </c>
      <c r="AD555">
        <v>10</v>
      </c>
      <c r="AG555" t="s">
        <v>214</v>
      </c>
      <c r="AH555" t="s">
        <v>215</v>
      </c>
      <c r="AI555" t="s">
        <v>175</v>
      </c>
      <c r="AJ555" t="s">
        <v>176</v>
      </c>
      <c r="AK555" t="s">
        <v>170</v>
      </c>
      <c r="AL555" t="s">
        <v>177</v>
      </c>
      <c r="AM555">
        <v>89</v>
      </c>
      <c r="AN555">
        <v>9</v>
      </c>
      <c r="AS555">
        <v>3050</v>
      </c>
      <c r="AT555">
        <v>3050</v>
      </c>
      <c r="BN555" t="s">
        <v>265</v>
      </c>
      <c r="BO555">
        <v>2</v>
      </c>
      <c r="BP555">
        <v>2</v>
      </c>
      <c r="BQ555">
        <v>3</v>
      </c>
      <c r="BR555" t="s">
        <v>387</v>
      </c>
      <c r="BS555" t="s">
        <v>180</v>
      </c>
      <c r="BT555" t="s">
        <v>457</v>
      </c>
      <c r="BV555">
        <v>36667</v>
      </c>
      <c r="BX555" t="s">
        <v>170</v>
      </c>
      <c r="BY555" t="s">
        <v>170</v>
      </c>
      <c r="CB555" t="s">
        <v>170</v>
      </c>
      <c r="CC555" t="s">
        <v>170</v>
      </c>
      <c r="CE555" t="s">
        <v>169</v>
      </c>
      <c r="CF555" t="s">
        <v>480</v>
      </c>
      <c r="CG555" t="s">
        <v>169</v>
      </c>
      <c r="CH555" t="s">
        <v>266</v>
      </c>
      <c r="CI555" t="s">
        <v>170</v>
      </c>
      <c r="DJ555" t="s">
        <v>267</v>
      </c>
      <c r="DK555" t="s">
        <v>268</v>
      </c>
      <c r="DL555" t="s">
        <v>170</v>
      </c>
      <c r="DN555" t="s">
        <v>170</v>
      </c>
      <c r="DO555" t="s">
        <v>269</v>
      </c>
      <c r="DP555" t="s">
        <v>169</v>
      </c>
      <c r="DQ555" t="s">
        <v>198</v>
      </c>
      <c r="DY555">
        <v>27.3</v>
      </c>
      <c r="EB555">
        <v>4</v>
      </c>
      <c r="EC555">
        <v>4</v>
      </c>
      <c r="EE555" t="s">
        <v>481</v>
      </c>
      <c r="EF555">
        <v>4</v>
      </c>
      <c r="EV555">
        <v>5750</v>
      </c>
      <c r="EW555">
        <v>489</v>
      </c>
      <c r="EX555">
        <v>318</v>
      </c>
      <c r="EY555">
        <v>412</v>
      </c>
    </row>
    <row r="556" spans="1:155" x14ac:dyDescent="0.35">
      <c r="A556">
        <v>2025</v>
      </c>
      <c r="B556" t="s">
        <v>261</v>
      </c>
      <c r="C556" t="s">
        <v>262</v>
      </c>
      <c r="D556" t="s">
        <v>482</v>
      </c>
      <c r="E556" t="s">
        <v>264</v>
      </c>
      <c r="F556">
        <v>70</v>
      </c>
      <c r="G556">
        <v>3</v>
      </c>
      <c r="H556">
        <v>6</v>
      </c>
      <c r="I556" t="s">
        <v>164</v>
      </c>
      <c r="J556">
        <v>18</v>
      </c>
      <c r="K556">
        <v>27</v>
      </c>
      <c r="L556">
        <v>21</v>
      </c>
      <c r="M556">
        <v>22.459800000000001</v>
      </c>
      <c r="N556">
        <v>36.265999999999998</v>
      </c>
      <c r="O556">
        <v>27.102799999999998</v>
      </c>
      <c r="P556">
        <v>17.939399999999999</v>
      </c>
      <c r="Q556">
        <v>27.466899999999999</v>
      </c>
      <c r="R556">
        <v>21.2575</v>
      </c>
      <c r="T556" t="s">
        <v>165</v>
      </c>
      <c r="U556" t="s">
        <v>166</v>
      </c>
      <c r="V556" t="s">
        <v>167</v>
      </c>
      <c r="W556" t="s">
        <v>168</v>
      </c>
      <c r="Y556">
        <v>8</v>
      </c>
      <c r="Z556" t="s">
        <v>169</v>
      </c>
      <c r="AA556" t="s">
        <v>170</v>
      </c>
      <c r="AB556" t="s">
        <v>167</v>
      </c>
      <c r="AC556" t="s">
        <v>213</v>
      </c>
      <c r="AD556">
        <v>10</v>
      </c>
      <c r="AG556" t="s">
        <v>214</v>
      </c>
      <c r="AH556" t="s">
        <v>215</v>
      </c>
      <c r="AI556" t="s">
        <v>175</v>
      </c>
      <c r="AJ556" t="s">
        <v>176</v>
      </c>
      <c r="AK556" t="s">
        <v>170</v>
      </c>
      <c r="AL556" t="s">
        <v>177</v>
      </c>
      <c r="AM556">
        <v>89</v>
      </c>
      <c r="AN556">
        <v>9</v>
      </c>
      <c r="AS556">
        <v>3050</v>
      </c>
      <c r="AT556">
        <v>3050</v>
      </c>
      <c r="BN556" t="s">
        <v>265</v>
      </c>
      <c r="BO556">
        <v>2</v>
      </c>
      <c r="BP556">
        <v>2</v>
      </c>
      <c r="BQ556">
        <v>3</v>
      </c>
      <c r="BR556" t="s">
        <v>387</v>
      </c>
      <c r="BS556" t="s">
        <v>180</v>
      </c>
      <c r="BT556" t="s">
        <v>457</v>
      </c>
      <c r="BU556" s="1">
        <v>45639</v>
      </c>
      <c r="BV556">
        <v>35982</v>
      </c>
      <c r="BX556" t="s">
        <v>170</v>
      </c>
      <c r="BY556" t="s">
        <v>170</v>
      </c>
      <c r="CB556" t="s">
        <v>170</v>
      </c>
      <c r="CC556" t="s">
        <v>170</v>
      </c>
      <c r="CE556" t="s">
        <v>169</v>
      </c>
      <c r="CF556" t="s">
        <v>480</v>
      </c>
      <c r="CG556" t="s">
        <v>169</v>
      </c>
      <c r="CH556" t="s">
        <v>266</v>
      </c>
      <c r="CI556" t="s">
        <v>170</v>
      </c>
      <c r="DJ556" t="s">
        <v>267</v>
      </c>
      <c r="DK556" t="s">
        <v>268</v>
      </c>
      <c r="DL556" t="s">
        <v>170</v>
      </c>
      <c r="DN556" t="s">
        <v>170</v>
      </c>
      <c r="DO556" t="s">
        <v>269</v>
      </c>
      <c r="DP556" t="s">
        <v>169</v>
      </c>
      <c r="DQ556" t="s">
        <v>198</v>
      </c>
      <c r="DY556">
        <v>27.3</v>
      </c>
      <c r="EB556">
        <v>4</v>
      </c>
      <c r="EC556">
        <v>4</v>
      </c>
      <c r="EE556" t="s">
        <v>481</v>
      </c>
      <c r="EF556">
        <v>4</v>
      </c>
      <c r="EV556">
        <v>5750</v>
      </c>
      <c r="EW556">
        <v>489</v>
      </c>
      <c r="EX556">
        <v>318</v>
      </c>
      <c r="EY556">
        <v>412</v>
      </c>
    </row>
    <row r="557" spans="1:155" x14ac:dyDescent="0.35">
      <c r="A557">
        <v>2025</v>
      </c>
      <c r="B557" t="s">
        <v>261</v>
      </c>
      <c r="C557" t="s">
        <v>262</v>
      </c>
      <c r="D557" t="s">
        <v>1705</v>
      </c>
      <c r="E557" t="s">
        <v>264</v>
      </c>
      <c r="F557">
        <v>65</v>
      </c>
      <c r="G557">
        <v>2</v>
      </c>
      <c r="H557">
        <v>4</v>
      </c>
      <c r="I557" t="s">
        <v>164</v>
      </c>
      <c r="J557">
        <v>22</v>
      </c>
      <c r="K557">
        <v>28</v>
      </c>
      <c r="L557">
        <v>24</v>
      </c>
      <c r="M557">
        <v>27.518999999999998</v>
      </c>
      <c r="N557">
        <v>39.700000000000003</v>
      </c>
      <c r="O557">
        <v>31.927299999999999</v>
      </c>
      <c r="P557">
        <v>21.623000000000001</v>
      </c>
      <c r="Q557">
        <v>27.934999999999999</v>
      </c>
      <c r="R557">
        <v>24.07</v>
      </c>
      <c r="T557" t="s">
        <v>165</v>
      </c>
      <c r="U557" t="s">
        <v>166</v>
      </c>
      <c r="V557" t="s">
        <v>167</v>
      </c>
      <c r="W557" t="s">
        <v>168</v>
      </c>
      <c r="Y557">
        <v>8</v>
      </c>
      <c r="Z557" t="s">
        <v>169</v>
      </c>
      <c r="AA557" t="s">
        <v>170</v>
      </c>
      <c r="AB557" t="s">
        <v>167</v>
      </c>
      <c r="AC557" t="s">
        <v>213</v>
      </c>
      <c r="AD557">
        <v>10</v>
      </c>
      <c r="AG557" t="s">
        <v>173</v>
      </c>
      <c r="AH557" t="s">
        <v>174</v>
      </c>
      <c r="AI557" t="s">
        <v>175</v>
      </c>
      <c r="AJ557" t="s">
        <v>176</v>
      </c>
      <c r="AK557" t="s">
        <v>940</v>
      </c>
      <c r="AL557" t="s">
        <v>941</v>
      </c>
      <c r="AS557">
        <v>2650</v>
      </c>
      <c r="AT557">
        <v>2650</v>
      </c>
      <c r="BN557" t="s">
        <v>338</v>
      </c>
      <c r="BO557">
        <v>2</v>
      </c>
      <c r="BP557">
        <v>2</v>
      </c>
      <c r="BQ557">
        <v>31</v>
      </c>
      <c r="BR557" t="s">
        <v>1219</v>
      </c>
      <c r="BT557" t="s">
        <v>181</v>
      </c>
      <c r="BV557">
        <v>36447</v>
      </c>
      <c r="BX557" t="s">
        <v>170</v>
      </c>
      <c r="BY557" t="s">
        <v>170</v>
      </c>
      <c r="CB557" t="s">
        <v>170</v>
      </c>
      <c r="CC557" t="s">
        <v>170</v>
      </c>
      <c r="CE557" t="s">
        <v>170</v>
      </c>
      <c r="CG557" t="s">
        <v>169</v>
      </c>
      <c r="CH557" t="s">
        <v>1706</v>
      </c>
      <c r="CI557" t="s">
        <v>169</v>
      </c>
      <c r="CJ557" t="s">
        <v>1706</v>
      </c>
      <c r="CK557" t="s">
        <v>233</v>
      </c>
      <c r="CM557">
        <v>1</v>
      </c>
      <c r="CN557" t="s">
        <v>234</v>
      </c>
      <c r="CP557">
        <v>48</v>
      </c>
      <c r="CQ557">
        <v>8</v>
      </c>
      <c r="CR557">
        <v>53</v>
      </c>
      <c r="CS557" t="s">
        <v>235</v>
      </c>
      <c r="CV557" t="s">
        <v>341</v>
      </c>
      <c r="CX557" t="s">
        <v>342</v>
      </c>
      <c r="CY557" t="s">
        <v>170</v>
      </c>
      <c r="DD557">
        <v>1</v>
      </c>
      <c r="DE557" t="s">
        <v>404</v>
      </c>
      <c r="DF557" t="s">
        <v>1707</v>
      </c>
      <c r="DG557">
        <v>10</v>
      </c>
      <c r="DJ557" t="s">
        <v>184</v>
      </c>
      <c r="DK557" t="s">
        <v>185</v>
      </c>
      <c r="DL557" t="s">
        <v>170</v>
      </c>
      <c r="DM557" t="s">
        <v>170</v>
      </c>
      <c r="DN557" t="s">
        <v>169</v>
      </c>
      <c r="DO557" t="s">
        <v>865</v>
      </c>
      <c r="DP557" t="s">
        <v>169</v>
      </c>
      <c r="DQ557" t="s">
        <v>198</v>
      </c>
      <c r="EB557">
        <v>5</v>
      </c>
      <c r="EC557">
        <v>5</v>
      </c>
      <c r="EE557" t="s">
        <v>1708</v>
      </c>
      <c r="EF557">
        <v>4</v>
      </c>
      <c r="EV557">
        <v>3750</v>
      </c>
      <c r="EW557">
        <v>406</v>
      </c>
      <c r="EX557">
        <v>314</v>
      </c>
      <c r="EY557">
        <v>365</v>
      </c>
    </row>
    <row r="558" spans="1:155" x14ac:dyDescent="0.35">
      <c r="A558">
        <v>2025</v>
      </c>
      <c r="B558" t="s">
        <v>261</v>
      </c>
      <c r="C558" t="s">
        <v>262</v>
      </c>
      <c r="D558" t="s">
        <v>1709</v>
      </c>
      <c r="E558" t="s">
        <v>264</v>
      </c>
      <c r="F558">
        <v>61</v>
      </c>
      <c r="G558">
        <v>2</v>
      </c>
      <c r="H558">
        <v>4</v>
      </c>
      <c r="I558" t="s">
        <v>164</v>
      </c>
      <c r="J558">
        <v>22</v>
      </c>
      <c r="K558">
        <v>28</v>
      </c>
      <c r="L558">
        <v>24</v>
      </c>
      <c r="M558">
        <v>27.518999999999998</v>
      </c>
      <c r="N558">
        <v>39.700000000000003</v>
      </c>
      <c r="O558">
        <v>31.927299999999999</v>
      </c>
      <c r="P558">
        <v>21.623000000000001</v>
      </c>
      <c r="Q558">
        <v>27.934999999999999</v>
      </c>
      <c r="R558">
        <v>24.07</v>
      </c>
      <c r="T558" t="s">
        <v>165</v>
      </c>
      <c r="U558" t="s">
        <v>166</v>
      </c>
      <c r="V558" t="s">
        <v>167</v>
      </c>
      <c r="W558" t="s">
        <v>168</v>
      </c>
      <c r="Y558">
        <v>8</v>
      </c>
      <c r="Z558" t="s">
        <v>169</v>
      </c>
      <c r="AA558" t="s">
        <v>170</v>
      </c>
      <c r="AB558" t="s">
        <v>167</v>
      </c>
      <c r="AC558" t="s">
        <v>213</v>
      </c>
      <c r="AD558">
        <v>10</v>
      </c>
      <c r="AG558" t="s">
        <v>173</v>
      </c>
      <c r="AH558" t="s">
        <v>174</v>
      </c>
      <c r="AI558" t="s">
        <v>175</v>
      </c>
      <c r="AJ558" t="s">
        <v>176</v>
      </c>
      <c r="AK558" t="s">
        <v>940</v>
      </c>
      <c r="AL558" t="s">
        <v>941</v>
      </c>
      <c r="AS558">
        <v>2650</v>
      </c>
      <c r="AT558">
        <v>2650</v>
      </c>
      <c r="BN558" t="s">
        <v>338</v>
      </c>
      <c r="BO558">
        <v>2</v>
      </c>
      <c r="BP558">
        <v>2</v>
      </c>
      <c r="BQ558">
        <v>31</v>
      </c>
      <c r="BR558" t="s">
        <v>1219</v>
      </c>
      <c r="BT558" t="s">
        <v>181</v>
      </c>
      <c r="BV558">
        <v>36448</v>
      </c>
      <c r="BX558" t="s">
        <v>170</v>
      </c>
      <c r="BY558" t="s">
        <v>170</v>
      </c>
      <c r="CB558" t="s">
        <v>170</v>
      </c>
      <c r="CC558" t="s">
        <v>170</v>
      </c>
      <c r="CE558" t="s">
        <v>170</v>
      </c>
      <c r="CG558" t="s">
        <v>169</v>
      </c>
      <c r="CH558" t="s">
        <v>1706</v>
      </c>
      <c r="CI558" t="s">
        <v>169</v>
      </c>
      <c r="CJ558" t="s">
        <v>1706</v>
      </c>
      <c r="CK558" t="s">
        <v>233</v>
      </c>
      <c r="CM558">
        <v>1</v>
      </c>
      <c r="CN558" t="s">
        <v>234</v>
      </c>
      <c r="CP558">
        <v>48</v>
      </c>
      <c r="CQ558">
        <v>8</v>
      </c>
      <c r="CR558">
        <v>53</v>
      </c>
      <c r="CS558" t="s">
        <v>235</v>
      </c>
      <c r="CV558" t="s">
        <v>341</v>
      </c>
      <c r="CX558" t="s">
        <v>342</v>
      </c>
      <c r="CY558" t="s">
        <v>170</v>
      </c>
      <c r="DD558">
        <v>1</v>
      </c>
      <c r="DE558" t="s">
        <v>404</v>
      </c>
      <c r="DF558" t="s">
        <v>1707</v>
      </c>
      <c r="DG558">
        <v>10</v>
      </c>
      <c r="DJ558" t="s">
        <v>184</v>
      </c>
      <c r="DK558" t="s">
        <v>185</v>
      </c>
      <c r="DL558" t="s">
        <v>170</v>
      </c>
      <c r="DM558" t="s">
        <v>170</v>
      </c>
      <c r="DN558" t="s">
        <v>169</v>
      </c>
      <c r="DO558" t="s">
        <v>865</v>
      </c>
      <c r="DP558" t="s">
        <v>169</v>
      </c>
      <c r="DQ558" t="s">
        <v>198</v>
      </c>
      <c r="EB558">
        <v>5</v>
      </c>
      <c r="EC558">
        <v>5</v>
      </c>
      <c r="EE558" t="s">
        <v>1708</v>
      </c>
      <c r="EF558">
        <v>4</v>
      </c>
      <c r="EV558">
        <v>3750</v>
      </c>
      <c r="EW558">
        <v>406</v>
      </c>
      <c r="EX558">
        <v>314</v>
      </c>
      <c r="EY558">
        <v>365</v>
      </c>
    </row>
    <row r="559" spans="1:155" x14ac:dyDescent="0.35">
      <c r="A559">
        <v>2025</v>
      </c>
      <c r="B559" t="s">
        <v>261</v>
      </c>
      <c r="C559" t="s">
        <v>262</v>
      </c>
      <c r="D559" t="s">
        <v>1370</v>
      </c>
      <c r="E559" t="s">
        <v>264</v>
      </c>
      <c r="F559">
        <v>60</v>
      </c>
      <c r="G559">
        <v>3</v>
      </c>
      <c r="H559">
        <v>6</v>
      </c>
      <c r="I559" t="s">
        <v>164</v>
      </c>
      <c r="J559">
        <v>18</v>
      </c>
      <c r="K559">
        <v>25</v>
      </c>
      <c r="L559">
        <v>20</v>
      </c>
      <c r="M559">
        <v>22.153400000000001</v>
      </c>
      <c r="N559">
        <v>34.507399999999997</v>
      </c>
      <c r="O559">
        <v>26.407800000000002</v>
      </c>
      <c r="P559">
        <v>17.712399999999999</v>
      </c>
      <c r="Q559">
        <v>24.653600000000001</v>
      </c>
      <c r="R559">
        <v>20.2821</v>
      </c>
      <c r="T559" t="s">
        <v>165</v>
      </c>
      <c r="U559" t="s">
        <v>166</v>
      </c>
      <c r="V559" t="s">
        <v>167</v>
      </c>
      <c r="W559" t="s">
        <v>168</v>
      </c>
      <c r="Y559">
        <v>8</v>
      </c>
      <c r="Z559" t="s">
        <v>169</v>
      </c>
      <c r="AA559" t="s">
        <v>170</v>
      </c>
      <c r="AB559" t="s">
        <v>167</v>
      </c>
      <c r="AC559" t="s">
        <v>213</v>
      </c>
      <c r="AD559">
        <v>10</v>
      </c>
      <c r="AG559" t="s">
        <v>214</v>
      </c>
      <c r="AH559" t="s">
        <v>215</v>
      </c>
      <c r="AI559" t="s">
        <v>175</v>
      </c>
      <c r="AJ559" t="s">
        <v>176</v>
      </c>
      <c r="AK559" t="s">
        <v>940</v>
      </c>
      <c r="AL559" t="s">
        <v>941</v>
      </c>
      <c r="AS559">
        <v>3200</v>
      </c>
      <c r="AT559">
        <v>3200</v>
      </c>
      <c r="BN559" t="s">
        <v>265</v>
      </c>
      <c r="BO559">
        <v>2</v>
      </c>
      <c r="BP559">
        <v>2</v>
      </c>
      <c r="BQ559">
        <v>31</v>
      </c>
      <c r="BR559" t="s">
        <v>1219</v>
      </c>
      <c r="BT559" t="s">
        <v>457</v>
      </c>
      <c r="BU559" s="1">
        <v>45639</v>
      </c>
      <c r="BV559">
        <v>35923</v>
      </c>
      <c r="BX559" t="s">
        <v>169</v>
      </c>
      <c r="BY559" t="s">
        <v>170</v>
      </c>
      <c r="CB559" t="s">
        <v>170</v>
      </c>
      <c r="CC559" t="s">
        <v>170</v>
      </c>
      <c r="CE559" t="s">
        <v>169</v>
      </c>
      <c r="CF559" t="s">
        <v>480</v>
      </c>
      <c r="CG559" t="s">
        <v>169</v>
      </c>
      <c r="CH559" t="s">
        <v>266</v>
      </c>
      <c r="CI559" t="s">
        <v>170</v>
      </c>
      <c r="DJ559" t="s">
        <v>267</v>
      </c>
      <c r="DK559" t="s">
        <v>268</v>
      </c>
      <c r="DL559" t="s">
        <v>170</v>
      </c>
      <c r="DN559" t="s">
        <v>170</v>
      </c>
      <c r="DO559" t="s">
        <v>269</v>
      </c>
      <c r="DP559" t="s">
        <v>169</v>
      </c>
      <c r="DQ559" t="s">
        <v>198</v>
      </c>
      <c r="EB559">
        <v>4</v>
      </c>
      <c r="EC559">
        <v>4</v>
      </c>
      <c r="EE559" t="s">
        <v>481</v>
      </c>
      <c r="EF559">
        <v>4</v>
      </c>
      <c r="EV559">
        <v>6500</v>
      </c>
      <c r="EW559">
        <v>495</v>
      </c>
      <c r="EX559">
        <v>354</v>
      </c>
      <c r="EY559">
        <v>432</v>
      </c>
    </row>
    <row r="560" spans="1:155" x14ac:dyDescent="0.35">
      <c r="A560">
        <v>2025</v>
      </c>
      <c r="B560" t="s">
        <v>261</v>
      </c>
      <c r="C560" t="s">
        <v>262</v>
      </c>
      <c r="D560" t="s">
        <v>1710</v>
      </c>
      <c r="E560" t="s">
        <v>264</v>
      </c>
      <c r="F560">
        <v>53</v>
      </c>
      <c r="G560">
        <v>3</v>
      </c>
      <c r="H560">
        <v>6</v>
      </c>
      <c r="I560" t="s">
        <v>192</v>
      </c>
      <c r="J560">
        <v>15</v>
      </c>
      <c r="K560">
        <v>25</v>
      </c>
      <c r="L560">
        <v>18</v>
      </c>
      <c r="M560">
        <v>18.310600000000001</v>
      </c>
      <c r="N560">
        <v>31.927199999999999</v>
      </c>
      <c r="O560">
        <v>22.659400000000002</v>
      </c>
      <c r="P560">
        <v>15.265499999999999</v>
      </c>
      <c r="Q560">
        <v>24.736499999999999</v>
      </c>
      <c r="R560">
        <v>18.443100000000001</v>
      </c>
      <c r="T560" t="s">
        <v>165</v>
      </c>
      <c r="U560" t="s">
        <v>166</v>
      </c>
      <c r="V560" t="s">
        <v>193</v>
      </c>
      <c r="W560" t="s">
        <v>194</v>
      </c>
      <c r="Y560">
        <v>8</v>
      </c>
      <c r="Z560" t="s">
        <v>169</v>
      </c>
      <c r="AA560" t="s">
        <v>170</v>
      </c>
      <c r="AB560" t="s">
        <v>171</v>
      </c>
      <c r="AC560" t="s">
        <v>172</v>
      </c>
      <c r="AD560">
        <v>10</v>
      </c>
      <c r="AG560" t="s">
        <v>214</v>
      </c>
      <c r="AH560" t="s">
        <v>215</v>
      </c>
      <c r="AI560" t="s">
        <v>175</v>
      </c>
      <c r="AJ560" t="s">
        <v>176</v>
      </c>
      <c r="AK560" t="s">
        <v>170</v>
      </c>
      <c r="AL560" t="s">
        <v>177</v>
      </c>
      <c r="AS560">
        <v>3550</v>
      </c>
      <c r="AT560">
        <v>3550</v>
      </c>
      <c r="BN560" t="s">
        <v>265</v>
      </c>
      <c r="BO560">
        <v>2</v>
      </c>
      <c r="BP560">
        <v>2</v>
      </c>
      <c r="BQ560">
        <v>1</v>
      </c>
      <c r="BR560" t="s">
        <v>179</v>
      </c>
      <c r="BS560" t="s">
        <v>180</v>
      </c>
      <c r="BT560" t="s">
        <v>225</v>
      </c>
      <c r="BV560">
        <v>36428</v>
      </c>
      <c r="BX560" t="s">
        <v>169</v>
      </c>
      <c r="BY560" t="s">
        <v>170</v>
      </c>
      <c r="CB560" t="s">
        <v>170</v>
      </c>
      <c r="CC560" t="s">
        <v>170</v>
      </c>
      <c r="CE560" t="s">
        <v>170</v>
      </c>
      <c r="CG560" t="s">
        <v>169</v>
      </c>
      <c r="CH560" t="s">
        <v>266</v>
      </c>
      <c r="CI560" t="s">
        <v>170</v>
      </c>
      <c r="DJ560" t="s">
        <v>267</v>
      </c>
      <c r="DK560" t="s">
        <v>268</v>
      </c>
      <c r="DL560" t="s">
        <v>170</v>
      </c>
      <c r="DN560" t="s">
        <v>170</v>
      </c>
      <c r="DO560" t="s">
        <v>269</v>
      </c>
      <c r="DP560" t="s">
        <v>170</v>
      </c>
      <c r="DQ560" t="s">
        <v>187</v>
      </c>
      <c r="DY560">
        <v>22.8</v>
      </c>
      <c r="EB560">
        <v>4</v>
      </c>
      <c r="EC560">
        <v>4</v>
      </c>
      <c r="EE560" t="s">
        <v>270</v>
      </c>
      <c r="EF560">
        <v>5</v>
      </c>
      <c r="EV560">
        <v>8250</v>
      </c>
      <c r="EW560">
        <v>576</v>
      </c>
      <c r="EX560">
        <v>351</v>
      </c>
      <c r="EY560">
        <v>474</v>
      </c>
    </row>
    <row r="561" spans="1:155" x14ac:dyDescent="0.35">
      <c r="A561">
        <v>2025</v>
      </c>
      <c r="B561" t="s">
        <v>261</v>
      </c>
      <c r="C561" t="s">
        <v>262</v>
      </c>
      <c r="D561" t="s">
        <v>263</v>
      </c>
      <c r="E561" t="s">
        <v>264</v>
      </c>
      <c r="F561">
        <v>50</v>
      </c>
      <c r="G561">
        <v>3</v>
      </c>
      <c r="H561">
        <v>6</v>
      </c>
      <c r="I561" t="s">
        <v>192</v>
      </c>
      <c r="J561">
        <v>15</v>
      </c>
      <c r="K561">
        <v>25</v>
      </c>
      <c r="L561">
        <v>18</v>
      </c>
      <c r="M561">
        <v>18.310600000000001</v>
      </c>
      <c r="N561">
        <v>31.927199999999999</v>
      </c>
      <c r="O561">
        <v>22.659400000000002</v>
      </c>
      <c r="P561">
        <v>15.265499999999999</v>
      </c>
      <c r="Q561">
        <v>24.736499999999999</v>
      </c>
      <c r="R561">
        <v>18.443100000000001</v>
      </c>
      <c r="T561" t="s">
        <v>165</v>
      </c>
      <c r="U561" t="s">
        <v>166</v>
      </c>
      <c r="V561" t="s">
        <v>193</v>
      </c>
      <c r="W561" t="s">
        <v>194</v>
      </c>
      <c r="Y561">
        <v>8</v>
      </c>
      <c r="Z561" t="s">
        <v>169</v>
      </c>
      <c r="AA561" t="s">
        <v>170</v>
      </c>
      <c r="AB561" t="s">
        <v>171</v>
      </c>
      <c r="AC561" t="s">
        <v>172</v>
      </c>
      <c r="AD561">
        <v>10</v>
      </c>
      <c r="AG561" t="s">
        <v>214</v>
      </c>
      <c r="AH561" t="s">
        <v>215</v>
      </c>
      <c r="AI561" t="s">
        <v>175</v>
      </c>
      <c r="AJ561" t="s">
        <v>176</v>
      </c>
      <c r="AK561" t="s">
        <v>170</v>
      </c>
      <c r="AL561" t="s">
        <v>177</v>
      </c>
      <c r="AS561">
        <v>3550</v>
      </c>
      <c r="AT561">
        <v>3550</v>
      </c>
      <c r="BN561" t="s">
        <v>265</v>
      </c>
      <c r="BO561">
        <v>2</v>
      </c>
      <c r="BP561">
        <v>2</v>
      </c>
      <c r="BQ561">
        <v>1</v>
      </c>
      <c r="BR561" t="s">
        <v>179</v>
      </c>
      <c r="BS561" t="s">
        <v>180</v>
      </c>
      <c r="BT561" t="s">
        <v>225</v>
      </c>
      <c r="BU561" s="1">
        <v>45505</v>
      </c>
      <c r="BV561">
        <v>35327</v>
      </c>
      <c r="BX561" t="s">
        <v>169</v>
      </c>
      <c r="BY561" t="s">
        <v>170</v>
      </c>
      <c r="CB561" t="s">
        <v>170</v>
      </c>
      <c r="CC561" t="s">
        <v>170</v>
      </c>
      <c r="CE561" t="s">
        <v>170</v>
      </c>
      <c r="CG561" t="s">
        <v>169</v>
      </c>
      <c r="CH561" t="s">
        <v>266</v>
      </c>
      <c r="CI561" t="s">
        <v>170</v>
      </c>
      <c r="DJ561" t="s">
        <v>267</v>
      </c>
      <c r="DK561" t="s">
        <v>268</v>
      </c>
      <c r="DL561" t="s">
        <v>170</v>
      </c>
      <c r="DN561" t="s">
        <v>170</v>
      </c>
      <c r="DO561" t="s">
        <v>269</v>
      </c>
      <c r="DP561" t="s">
        <v>170</v>
      </c>
      <c r="DQ561" t="s">
        <v>187</v>
      </c>
      <c r="DY561">
        <v>22.8</v>
      </c>
      <c r="EB561">
        <v>4</v>
      </c>
      <c r="EC561">
        <v>4</v>
      </c>
      <c r="EE561" t="s">
        <v>270</v>
      </c>
      <c r="EF561">
        <v>4</v>
      </c>
      <c r="EV561">
        <v>8250</v>
      </c>
      <c r="EW561">
        <v>576</v>
      </c>
      <c r="EX561">
        <v>351</v>
      </c>
      <c r="EY561">
        <v>474</v>
      </c>
    </row>
    <row r="562" spans="1:155" x14ac:dyDescent="0.35">
      <c r="A562">
        <v>2025</v>
      </c>
      <c r="B562" t="s">
        <v>261</v>
      </c>
      <c r="C562" t="s">
        <v>262</v>
      </c>
      <c r="D562" t="s">
        <v>271</v>
      </c>
      <c r="E562" t="s">
        <v>264</v>
      </c>
      <c r="F562">
        <v>51</v>
      </c>
      <c r="G562">
        <v>3</v>
      </c>
      <c r="H562">
        <v>6</v>
      </c>
      <c r="I562" t="s">
        <v>192</v>
      </c>
      <c r="J562">
        <v>15</v>
      </c>
      <c r="K562">
        <v>25</v>
      </c>
      <c r="L562">
        <v>18</v>
      </c>
      <c r="M562">
        <v>18.1829</v>
      </c>
      <c r="N562">
        <v>31.8508</v>
      </c>
      <c r="O562">
        <v>22.534400000000002</v>
      </c>
      <c r="P562">
        <v>15.051600000000001</v>
      </c>
      <c r="Q562">
        <v>24.934699999999999</v>
      </c>
      <c r="R562">
        <v>18.318999999999999</v>
      </c>
      <c r="T562" t="s">
        <v>165</v>
      </c>
      <c r="U562" t="s">
        <v>166</v>
      </c>
      <c r="V562" t="s">
        <v>193</v>
      </c>
      <c r="W562" t="s">
        <v>194</v>
      </c>
      <c r="Y562">
        <v>8</v>
      </c>
      <c r="Z562" t="s">
        <v>169</v>
      </c>
      <c r="AA562" t="s">
        <v>170</v>
      </c>
      <c r="AB562" t="s">
        <v>171</v>
      </c>
      <c r="AC562" t="s">
        <v>172</v>
      </c>
      <c r="AD562">
        <v>10</v>
      </c>
      <c r="AG562" t="s">
        <v>214</v>
      </c>
      <c r="AH562" t="s">
        <v>215</v>
      </c>
      <c r="AI562" t="s">
        <v>175</v>
      </c>
      <c r="AJ562" t="s">
        <v>176</v>
      </c>
      <c r="AK562" t="s">
        <v>170</v>
      </c>
      <c r="AL562" t="s">
        <v>177</v>
      </c>
      <c r="AS562">
        <v>3550</v>
      </c>
      <c r="AT562">
        <v>3550</v>
      </c>
      <c r="BN562" t="s">
        <v>265</v>
      </c>
      <c r="BO562">
        <v>2</v>
      </c>
      <c r="BP562">
        <v>2</v>
      </c>
      <c r="BQ562">
        <v>1</v>
      </c>
      <c r="BR562" t="s">
        <v>179</v>
      </c>
      <c r="BS562" t="s">
        <v>180</v>
      </c>
      <c r="BT562" t="s">
        <v>225</v>
      </c>
      <c r="BU562" s="1">
        <v>45505</v>
      </c>
      <c r="BV562">
        <v>35328</v>
      </c>
      <c r="BX562" t="s">
        <v>169</v>
      </c>
      <c r="BY562" t="s">
        <v>170</v>
      </c>
      <c r="CB562" t="s">
        <v>170</v>
      </c>
      <c r="CC562" t="s">
        <v>170</v>
      </c>
      <c r="CE562" t="s">
        <v>170</v>
      </c>
      <c r="CG562" t="s">
        <v>169</v>
      </c>
      <c r="CH562" t="s">
        <v>266</v>
      </c>
      <c r="CI562" t="s">
        <v>170</v>
      </c>
      <c r="DJ562" t="s">
        <v>267</v>
      </c>
      <c r="DK562" t="s">
        <v>268</v>
      </c>
      <c r="DL562" t="s">
        <v>170</v>
      </c>
      <c r="DN562" t="s">
        <v>170</v>
      </c>
      <c r="DO562" t="s">
        <v>269</v>
      </c>
      <c r="DP562" t="s">
        <v>170</v>
      </c>
      <c r="DQ562" t="s">
        <v>187</v>
      </c>
      <c r="DY562">
        <v>22.7</v>
      </c>
      <c r="EB562">
        <v>4</v>
      </c>
      <c r="EC562">
        <v>4</v>
      </c>
      <c r="EE562" t="s">
        <v>270</v>
      </c>
      <c r="EF562">
        <v>4</v>
      </c>
      <c r="EV562">
        <v>8250</v>
      </c>
      <c r="EW562">
        <v>583</v>
      </c>
      <c r="EX562">
        <v>358</v>
      </c>
      <c r="EY562">
        <v>482</v>
      </c>
    </row>
    <row r="563" spans="1:155" x14ac:dyDescent="0.35">
      <c r="A563">
        <v>2025</v>
      </c>
      <c r="B563" t="s">
        <v>272</v>
      </c>
      <c r="C563" t="s">
        <v>272</v>
      </c>
      <c r="D563" t="s">
        <v>1371</v>
      </c>
      <c r="E563" t="s">
        <v>274</v>
      </c>
      <c r="F563">
        <v>707</v>
      </c>
      <c r="G563">
        <v>2.5</v>
      </c>
      <c r="H563">
        <v>4</v>
      </c>
      <c r="I563" t="s">
        <v>275</v>
      </c>
      <c r="J563">
        <v>26</v>
      </c>
      <c r="K563">
        <v>33</v>
      </c>
      <c r="L563">
        <v>29</v>
      </c>
      <c r="M563">
        <v>33.799999999999997</v>
      </c>
      <c r="N563">
        <v>47.8</v>
      </c>
      <c r="O563">
        <v>38.931100000000001</v>
      </c>
      <c r="P563">
        <v>26.032499999999999</v>
      </c>
      <c r="Q563">
        <v>33.033200000000001</v>
      </c>
      <c r="R563">
        <v>28.776900000000001</v>
      </c>
      <c r="U563" t="s">
        <v>224</v>
      </c>
      <c r="V563" t="s">
        <v>193</v>
      </c>
      <c r="W563" t="s">
        <v>194</v>
      </c>
      <c r="Y563">
        <v>6</v>
      </c>
      <c r="Z563" t="s">
        <v>169</v>
      </c>
      <c r="AA563" t="s">
        <v>170</v>
      </c>
      <c r="AB563">
        <v>4</v>
      </c>
      <c r="AC563" t="s">
        <v>601</v>
      </c>
      <c r="AD563">
        <v>10</v>
      </c>
      <c r="AG563" t="s">
        <v>210</v>
      </c>
      <c r="AH563" t="s">
        <v>444</v>
      </c>
      <c r="AI563" t="s">
        <v>175</v>
      </c>
      <c r="AJ563" t="s">
        <v>176</v>
      </c>
      <c r="AK563" t="s">
        <v>940</v>
      </c>
      <c r="AL563" t="s">
        <v>941</v>
      </c>
      <c r="AS563">
        <v>1800</v>
      </c>
      <c r="AT563">
        <v>1800</v>
      </c>
      <c r="BN563" t="s">
        <v>178</v>
      </c>
      <c r="BO563">
        <v>2</v>
      </c>
      <c r="BP563">
        <v>2</v>
      </c>
      <c r="BQ563">
        <v>31</v>
      </c>
      <c r="BR563" t="s">
        <v>1219</v>
      </c>
      <c r="BT563" t="s">
        <v>181</v>
      </c>
      <c r="BU563" s="1">
        <v>45576</v>
      </c>
      <c r="BV563">
        <v>34715</v>
      </c>
      <c r="BX563" t="s">
        <v>169</v>
      </c>
      <c r="BY563" t="s">
        <v>170</v>
      </c>
      <c r="CB563" t="s">
        <v>170</v>
      </c>
      <c r="CC563" t="s">
        <v>170</v>
      </c>
      <c r="CD563" t="s">
        <v>597</v>
      </c>
      <c r="CE563" t="s">
        <v>169</v>
      </c>
      <c r="CF563" t="s">
        <v>598</v>
      </c>
      <c r="CG563" t="s">
        <v>169</v>
      </c>
      <c r="CH563" t="s">
        <v>276</v>
      </c>
      <c r="CI563" t="s">
        <v>170</v>
      </c>
      <c r="DJ563" t="s">
        <v>184</v>
      </c>
      <c r="DK563" t="s">
        <v>185</v>
      </c>
      <c r="DN563" t="s">
        <v>170</v>
      </c>
      <c r="DO563" t="s">
        <v>277</v>
      </c>
      <c r="DP563" t="s">
        <v>170</v>
      </c>
      <c r="DQ563" t="s">
        <v>187</v>
      </c>
      <c r="EB563">
        <v>6</v>
      </c>
      <c r="EC563">
        <v>6</v>
      </c>
      <c r="EE563" t="s">
        <v>599</v>
      </c>
      <c r="EF563">
        <v>6</v>
      </c>
      <c r="EU563">
        <v>500</v>
      </c>
      <c r="EW563">
        <v>341</v>
      </c>
      <c r="EX563">
        <v>269</v>
      </c>
      <c r="EY563">
        <v>309</v>
      </c>
    </row>
    <row r="564" spans="1:155" x14ac:dyDescent="0.35">
      <c r="A564">
        <v>2025</v>
      </c>
      <c r="B564" t="s">
        <v>272</v>
      </c>
      <c r="C564" t="s">
        <v>272</v>
      </c>
      <c r="D564" t="s">
        <v>1371</v>
      </c>
      <c r="E564" t="s">
        <v>274</v>
      </c>
      <c r="F564">
        <v>708</v>
      </c>
      <c r="G564">
        <v>2.5</v>
      </c>
      <c r="H564">
        <v>4</v>
      </c>
      <c r="I564" t="s">
        <v>275</v>
      </c>
      <c r="J564">
        <v>22</v>
      </c>
      <c r="K564">
        <v>30</v>
      </c>
      <c r="L564">
        <v>25</v>
      </c>
      <c r="M564">
        <v>28.5</v>
      </c>
      <c r="N564">
        <v>42.677399999999999</v>
      </c>
      <c r="O564">
        <v>33.509300000000003</v>
      </c>
      <c r="P564">
        <v>22.3233</v>
      </c>
      <c r="Q564">
        <v>29.830100000000002</v>
      </c>
      <c r="R564">
        <v>25.174099999999999</v>
      </c>
      <c r="T564" t="s">
        <v>165</v>
      </c>
      <c r="U564" t="s">
        <v>166</v>
      </c>
      <c r="V564" t="s">
        <v>193</v>
      </c>
      <c r="W564" t="s">
        <v>194</v>
      </c>
      <c r="Y564">
        <v>6</v>
      </c>
      <c r="Z564" t="s">
        <v>169</v>
      </c>
      <c r="AA564" t="s">
        <v>170</v>
      </c>
      <c r="AB564">
        <v>4</v>
      </c>
      <c r="AC564" t="s">
        <v>601</v>
      </c>
      <c r="AD564">
        <v>10</v>
      </c>
      <c r="AG564" t="s">
        <v>210</v>
      </c>
      <c r="AH564" t="s">
        <v>444</v>
      </c>
      <c r="AI564" t="s">
        <v>175</v>
      </c>
      <c r="AJ564" t="s">
        <v>176</v>
      </c>
      <c r="AK564" t="s">
        <v>940</v>
      </c>
      <c r="AL564" t="s">
        <v>941</v>
      </c>
      <c r="AS564">
        <v>2100</v>
      </c>
      <c r="AT564">
        <v>2100</v>
      </c>
      <c r="BN564" t="s">
        <v>178</v>
      </c>
      <c r="BO564">
        <v>2</v>
      </c>
      <c r="BP564">
        <v>2</v>
      </c>
      <c r="BQ564">
        <v>31</v>
      </c>
      <c r="BR564" t="s">
        <v>1219</v>
      </c>
      <c r="BT564" t="s">
        <v>181</v>
      </c>
      <c r="BU564" s="1">
        <v>45576</v>
      </c>
      <c r="BV564">
        <v>34717</v>
      </c>
      <c r="BX564" t="s">
        <v>170</v>
      </c>
      <c r="BY564" t="s">
        <v>170</v>
      </c>
      <c r="CB564" t="s">
        <v>170</v>
      </c>
      <c r="CC564" t="s">
        <v>170</v>
      </c>
      <c r="CE564" t="s">
        <v>170</v>
      </c>
      <c r="CG564" t="s">
        <v>169</v>
      </c>
      <c r="CH564" t="s">
        <v>276</v>
      </c>
      <c r="CI564" t="s">
        <v>170</v>
      </c>
      <c r="DJ564" t="s">
        <v>184</v>
      </c>
      <c r="DK564" t="s">
        <v>185</v>
      </c>
      <c r="DN564" t="s">
        <v>170</v>
      </c>
      <c r="DO564" t="s">
        <v>602</v>
      </c>
      <c r="DP564" t="s">
        <v>170</v>
      </c>
      <c r="DQ564" t="s">
        <v>187</v>
      </c>
      <c r="EB564">
        <v>5</v>
      </c>
      <c r="EC564">
        <v>5</v>
      </c>
      <c r="EE564" t="s">
        <v>603</v>
      </c>
      <c r="EF564">
        <v>4</v>
      </c>
      <c r="EV564">
        <v>1000</v>
      </c>
      <c r="EW564">
        <v>398</v>
      </c>
      <c r="EX564">
        <v>299</v>
      </c>
      <c r="EY564">
        <v>353</v>
      </c>
    </row>
    <row r="565" spans="1:155" x14ac:dyDescent="0.35">
      <c r="A565">
        <v>2025</v>
      </c>
      <c r="B565" t="s">
        <v>272</v>
      </c>
      <c r="C565" t="s">
        <v>272</v>
      </c>
      <c r="D565" t="s">
        <v>1372</v>
      </c>
      <c r="E565" t="s">
        <v>274</v>
      </c>
      <c r="F565">
        <v>503</v>
      </c>
      <c r="G565">
        <v>2.5</v>
      </c>
      <c r="H565">
        <v>4</v>
      </c>
      <c r="I565" t="s">
        <v>275</v>
      </c>
      <c r="J565">
        <v>23</v>
      </c>
      <c r="K565">
        <v>29</v>
      </c>
      <c r="L565">
        <v>25</v>
      </c>
      <c r="M565">
        <v>29.6267</v>
      </c>
      <c r="N565">
        <v>40.953299999999999</v>
      </c>
      <c r="O565">
        <v>33.838099999999997</v>
      </c>
      <c r="P565">
        <v>23.122299999999999</v>
      </c>
      <c r="Q565">
        <v>28.735499999999998</v>
      </c>
      <c r="R565">
        <v>25.3507</v>
      </c>
      <c r="U565" t="s">
        <v>224</v>
      </c>
      <c r="V565" t="s">
        <v>193</v>
      </c>
      <c r="W565" t="s">
        <v>194</v>
      </c>
      <c r="Y565">
        <v>6</v>
      </c>
      <c r="Z565" t="s">
        <v>169</v>
      </c>
      <c r="AA565" t="s">
        <v>170</v>
      </c>
      <c r="AB565">
        <v>4</v>
      </c>
      <c r="AC565" t="s">
        <v>601</v>
      </c>
      <c r="AD565">
        <v>10</v>
      </c>
      <c r="AG565" t="s">
        <v>210</v>
      </c>
      <c r="AH565" t="s">
        <v>444</v>
      </c>
      <c r="AI565" t="s">
        <v>175</v>
      </c>
      <c r="AJ565" t="s">
        <v>176</v>
      </c>
      <c r="AK565" t="s">
        <v>940</v>
      </c>
      <c r="AL565" t="s">
        <v>941</v>
      </c>
      <c r="AS565">
        <v>2100</v>
      </c>
      <c r="AT565">
        <v>2100</v>
      </c>
      <c r="BN565" t="s">
        <v>178</v>
      </c>
      <c r="BO565">
        <v>2</v>
      </c>
      <c r="BP565">
        <v>2</v>
      </c>
      <c r="BQ565">
        <v>31</v>
      </c>
      <c r="BR565" t="s">
        <v>1219</v>
      </c>
      <c r="BT565" t="s">
        <v>181</v>
      </c>
      <c r="BU565" s="1">
        <v>45621</v>
      </c>
      <c r="BV565">
        <v>35863</v>
      </c>
      <c r="BX565" t="s">
        <v>170</v>
      </c>
      <c r="BY565" t="s">
        <v>170</v>
      </c>
      <c r="CB565" t="s">
        <v>170</v>
      </c>
      <c r="CC565" t="s">
        <v>170</v>
      </c>
      <c r="CE565" t="s">
        <v>170</v>
      </c>
      <c r="CG565" t="s">
        <v>169</v>
      </c>
      <c r="CH565" t="s">
        <v>276</v>
      </c>
      <c r="CI565" t="s">
        <v>170</v>
      </c>
      <c r="DJ565" t="s">
        <v>184</v>
      </c>
      <c r="DK565" t="s">
        <v>185</v>
      </c>
      <c r="DN565" t="s">
        <v>170</v>
      </c>
      <c r="DO565" t="s">
        <v>277</v>
      </c>
      <c r="DP565" t="s">
        <v>170</v>
      </c>
      <c r="DQ565" t="s">
        <v>187</v>
      </c>
      <c r="DR565" t="s">
        <v>1374</v>
      </c>
      <c r="EB565">
        <v>5</v>
      </c>
      <c r="EC565">
        <v>5</v>
      </c>
      <c r="EE565" t="s">
        <v>1375</v>
      </c>
      <c r="EF565">
        <v>6</v>
      </c>
      <c r="EI565" t="s">
        <v>1376</v>
      </c>
      <c r="EJ565">
        <v>6</v>
      </c>
      <c r="EV565">
        <v>1000</v>
      </c>
      <c r="EW565">
        <v>382</v>
      </c>
      <c r="EX565">
        <v>308</v>
      </c>
      <c r="EY565">
        <v>348</v>
      </c>
    </row>
    <row r="566" spans="1:155" x14ac:dyDescent="0.35">
      <c r="A566">
        <v>2025</v>
      </c>
      <c r="B566" t="s">
        <v>272</v>
      </c>
      <c r="C566" t="s">
        <v>272</v>
      </c>
      <c r="D566" t="s">
        <v>1372</v>
      </c>
      <c r="E566" t="s">
        <v>274</v>
      </c>
      <c r="F566">
        <v>505</v>
      </c>
      <c r="G566">
        <v>2.5</v>
      </c>
      <c r="H566">
        <v>4</v>
      </c>
      <c r="I566" t="s">
        <v>275</v>
      </c>
      <c r="J566">
        <v>26</v>
      </c>
      <c r="K566">
        <v>30</v>
      </c>
      <c r="L566">
        <v>28</v>
      </c>
      <c r="M566">
        <v>33.5</v>
      </c>
      <c r="N566">
        <v>43.7</v>
      </c>
      <c r="O566">
        <v>37.431600000000003</v>
      </c>
      <c r="P566">
        <v>25.825900000000001</v>
      </c>
      <c r="Q566">
        <v>30.475300000000001</v>
      </c>
      <c r="R566">
        <v>27.729600000000001</v>
      </c>
      <c r="U566" t="s">
        <v>224</v>
      </c>
      <c r="V566" t="s">
        <v>193</v>
      </c>
      <c r="W566" t="s">
        <v>194</v>
      </c>
      <c r="Y566">
        <v>6</v>
      </c>
      <c r="Z566" t="s">
        <v>169</v>
      </c>
      <c r="AA566" t="s">
        <v>170</v>
      </c>
      <c r="AB566">
        <v>4</v>
      </c>
      <c r="AC566" t="s">
        <v>601</v>
      </c>
      <c r="AD566">
        <v>10</v>
      </c>
      <c r="AG566" t="s">
        <v>210</v>
      </c>
      <c r="AH566" t="s">
        <v>444</v>
      </c>
      <c r="AI566" t="s">
        <v>175</v>
      </c>
      <c r="AJ566" t="s">
        <v>176</v>
      </c>
      <c r="AK566" t="s">
        <v>940</v>
      </c>
      <c r="AL566" t="s">
        <v>941</v>
      </c>
      <c r="AS566">
        <v>1900</v>
      </c>
      <c r="AT566">
        <v>1900</v>
      </c>
      <c r="BN566" t="s">
        <v>178</v>
      </c>
      <c r="BO566">
        <v>2</v>
      </c>
      <c r="BP566">
        <v>2</v>
      </c>
      <c r="BQ566">
        <v>31</v>
      </c>
      <c r="BR566" t="s">
        <v>1219</v>
      </c>
      <c r="BT566" t="s">
        <v>181</v>
      </c>
      <c r="BU566" s="1">
        <v>45524</v>
      </c>
      <c r="BV566">
        <v>34992</v>
      </c>
      <c r="BX566" t="s">
        <v>169</v>
      </c>
      <c r="BY566" t="s">
        <v>170</v>
      </c>
      <c r="CB566" t="s">
        <v>170</v>
      </c>
      <c r="CC566" t="s">
        <v>170</v>
      </c>
      <c r="CE566" t="s">
        <v>169</v>
      </c>
      <c r="CF566" t="s">
        <v>598</v>
      </c>
      <c r="CG566" t="s">
        <v>169</v>
      </c>
      <c r="CH566" t="s">
        <v>276</v>
      </c>
      <c r="CI566" t="s">
        <v>170</v>
      </c>
      <c r="DJ566" t="s">
        <v>184</v>
      </c>
      <c r="DK566" t="s">
        <v>185</v>
      </c>
      <c r="DN566" t="s">
        <v>170</v>
      </c>
      <c r="DO566" t="s">
        <v>277</v>
      </c>
      <c r="DP566" t="s">
        <v>169</v>
      </c>
      <c r="DQ566" t="s">
        <v>198</v>
      </c>
      <c r="EB566">
        <v>6</v>
      </c>
      <c r="EC566">
        <v>6</v>
      </c>
      <c r="EE566" t="s">
        <v>1377</v>
      </c>
      <c r="EF566">
        <v>6</v>
      </c>
      <c r="EU566">
        <v>0</v>
      </c>
      <c r="EW566">
        <v>345</v>
      </c>
      <c r="EX566">
        <v>292</v>
      </c>
      <c r="EY566">
        <v>321</v>
      </c>
    </row>
    <row r="567" spans="1:155" x14ac:dyDescent="0.35">
      <c r="A567">
        <v>2025</v>
      </c>
      <c r="B567" t="s">
        <v>272</v>
      </c>
      <c r="C567" t="s">
        <v>272</v>
      </c>
      <c r="D567" t="s">
        <v>1372</v>
      </c>
      <c r="E567" t="s">
        <v>274</v>
      </c>
      <c r="F567">
        <v>509</v>
      </c>
      <c r="G567">
        <v>2.5</v>
      </c>
      <c r="H567">
        <v>4</v>
      </c>
      <c r="I567" t="s">
        <v>275</v>
      </c>
      <c r="J567">
        <v>22</v>
      </c>
      <c r="K567">
        <v>27</v>
      </c>
      <c r="L567">
        <v>24</v>
      </c>
      <c r="M567">
        <v>27.7</v>
      </c>
      <c r="N567">
        <v>38.5</v>
      </c>
      <c r="O567">
        <v>31.701799999999999</v>
      </c>
      <c r="P567">
        <v>21.752400000000002</v>
      </c>
      <c r="Q567">
        <v>27.1633</v>
      </c>
      <c r="R567">
        <v>23.894300000000001</v>
      </c>
      <c r="T567" t="s">
        <v>165</v>
      </c>
      <c r="U567" t="s">
        <v>166</v>
      </c>
      <c r="V567" t="s">
        <v>193</v>
      </c>
      <c r="W567" t="s">
        <v>194</v>
      </c>
      <c r="Y567">
        <v>6</v>
      </c>
      <c r="Z567" t="s">
        <v>169</v>
      </c>
      <c r="AA567" t="s">
        <v>170</v>
      </c>
      <c r="AB567">
        <v>4</v>
      </c>
      <c r="AC567" t="s">
        <v>601</v>
      </c>
      <c r="AD567">
        <v>10</v>
      </c>
      <c r="AG567" t="s">
        <v>210</v>
      </c>
      <c r="AH567" t="s">
        <v>444</v>
      </c>
      <c r="AI567" t="s">
        <v>175</v>
      </c>
      <c r="AJ567" t="s">
        <v>176</v>
      </c>
      <c r="AK567" t="s">
        <v>940</v>
      </c>
      <c r="AL567" t="s">
        <v>941</v>
      </c>
      <c r="AS567">
        <v>2200</v>
      </c>
      <c r="AT567">
        <v>2200</v>
      </c>
      <c r="BN567" t="s">
        <v>178</v>
      </c>
      <c r="BO567">
        <v>2</v>
      </c>
      <c r="BP567">
        <v>2</v>
      </c>
      <c r="BQ567">
        <v>31</v>
      </c>
      <c r="BR567" t="s">
        <v>1219</v>
      </c>
      <c r="BT567" t="s">
        <v>181</v>
      </c>
      <c r="BU567" s="1">
        <v>45524</v>
      </c>
      <c r="BV567">
        <v>34991</v>
      </c>
      <c r="BX567" t="s">
        <v>169</v>
      </c>
      <c r="BY567" t="s">
        <v>170</v>
      </c>
      <c r="CB567" t="s">
        <v>170</v>
      </c>
      <c r="CC567" t="s">
        <v>170</v>
      </c>
      <c r="CE567" t="s">
        <v>170</v>
      </c>
      <c r="CG567" t="s">
        <v>169</v>
      </c>
      <c r="CH567" t="s">
        <v>276</v>
      </c>
      <c r="CI567" t="s">
        <v>170</v>
      </c>
      <c r="DJ567" t="s">
        <v>184</v>
      </c>
      <c r="DK567" t="s">
        <v>185</v>
      </c>
      <c r="DN567" t="s">
        <v>170</v>
      </c>
      <c r="DO567" t="s">
        <v>602</v>
      </c>
      <c r="DP567" t="s">
        <v>170</v>
      </c>
      <c r="DQ567" t="s">
        <v>187</v>
      </c>
      <c r="EB567">
        <v>5</v>
      </c>
      <c r="EC567">
        <v>5</v>
      </c>
      <c r="EE567" t="s">
        <v>1373</v>
      </c>
      <c r="EF567">
        <v>4</v>
      </c>
      <c r="EV567">
        <v>1500</v>
      </c>
      <c r="EW567">
        <v>406</v>
      </c>
      <c r="EX567">
        <v>326</v>
      </c>
      <c r="EY567">
        <v>370</v>
      </c>
    </row>
    <row r="568" spans="1:155" x14ac:dyDescent="0.35">
      <c r="A568">
        <v>2025</v>
      </c>
      <c r="B568" t="s">
        <v>272</v>
      </c>
      <c r="C568" t="s">
        <v>272</v>
      </c>
      <c r="D568" t="s">
        <v>1378</v>
      </c>
      <c r="E568" t="s">
        <v>274</v>
      </c>
      <c r="F568">
        <v>510</v>
      </c>
      <c r="G568">
        <v>2.5</v>
      </c>
      <c r="H568">
        <v>4</v>
      </c>
      <c r="I568" t="s">
        <v>275</v>
      </c>
      <c r="J568">
        <v>25</v>
      </c>
      <c r="K568">
        <v>31</v>
      </c>
      <c r="L568">
        <v>28</v>
      </c>
      <c r="M568">
        <v>32.815300000000001</v>
      </c>
      <c r="N568">
        <v>44.688200000000002</v>
      </c>
      <c r="O568">
        <v>37.2714</v>
      </c>
      <c r="P568">
        <v>25.352799999999998</v>
      </c>
      <c r="Q568">
        <v>31.0961</v>
      </c>
      <c r="R568">
        <v>27.6509</v>
      </c>
      <c r="U568" t="s">
        <v>224</v>
      </c>
      <c r="V568" t="s">
        <v>193</v>
      </c>
      <c r="W568" t="s">
        <v>194</v>
      </c>
      <c r="Y568">
        <v>6</v>
      </c>
      <c r="Z568" t="s">
        <v>169</v>
      </c>
      <c r="AA568" t="s">
        <v>170</v>
      </c>
      <c r="AB568">
        <v>4</v>
      </c>
      <c r="AC568" t="s">
        <v>601</v>
      </c>
      <c r="AD568">
        <v>10</v>
      </c>
      <c r="AG568" t="s">
        <v>210</v>
      </c>
      <c r="AH568" t="s">
        <v>444</v>
      </c>
      <c r="AI568" t="s">
        <v>175</v>
      </c>
      <c r="AJ568" t="s">
        <v>176</v>
      </c>
      <c r="AK568" t="s">
        <v>940</v>
      </c>
      <c r="AL568" t="s">
        <v>941</v>
      </c>
      <c r="AS568">
        <v>1900</v>
      </c>
      <c r="AT568">
        <v>1900</v>
      </c>
      <c r="BN568" t="s">
        <v>178</v>
      </c>
      <c r="BO568">
        <v>2</v>
      </c>
      <c r="BP568">
        <v>2</v>
      </c>
      <c r="BQ568">
        <v>31</v>
      </c>
      <c r="BR568" t="s">
        <v>1219</v>
      </c>
      <c r="BT568" t="s">
        <v>181</v>
      </c>
      <c r="BU568" s="1">
        <v>45503</v>
      </c>
      <c r="BV568">
        <v>34810</v>
      </c>
      <c r="BX568" t="s">
        <v>170</v>
      </c>
      <c r="BY568" t="s">
        <v>170</v>
      </c>
      <c r="CB568" t="s">
        <v>170</v>
      </c>
      <c r="CC568" t="s">
        <v>170</v>
      </c>
      <c r="CE568" t="s">
        <v>169</v>
      </c>
      <c r="CF568" t="s">
        <v>598</v>
      </c>
      <c r="CG568" t="s">
        <v>169</v>
      </c>
      <c r="CH568" t="s">
        <v>276</v>
      </c>
      <c r="CI568" t="s">
        <v>170</v>
      </c>
      <c r="DJ568" t="s">
        <v>184</v>
      </c>
      <c r="DK568" t="s">
        <v>185</v>
      </c>
      <c r="DN568" t="s">
        <v>170</v>
      </c>
      <c r="DO568" t="s">
        <v>277</v>
      </c>
      <c r="DP568" t="s">
        <v>170</v>
      </c>
      <c r="DQ568" t="s">
        <v>187</v>
      </c>
      <c r="EB568">
        <v>6</v>
      </c>
      <c r="EC568">
        <v>6</v>
      </c>
      <c r="EE568" t="s">
        <v>1384</v>
      </c>
      <c r="EF568">
        <v>6</v>
      </c>
      <c r="EU568">
        <v>0</v>
      </c>
      <c r="EW568">
        <v>351</v>
      </c>
      <c r="EX568">
        <v>286</v>
      </c>
      <c r="EY568">
        <v>322</v>
      </c>
    </row>
    <row r="569" spans="1:155" x14ac:dyDescent="0.35">
      <c r="A569">
        <v>2025</v>
      </c>
      <c r="B569" t="s">
        <v>272</v>
      </c>
      <c r="C569" t="s">
        <v>272</v>
      </c>
      <c r="D569" t="s">
        <v>1378</v>
      </c>
      <c r="E569" t="s">
        <v>274</v>
      </c>
      <c r="F569">
        <v>511</v>
      </c>
      <c r="G569">
        <v>2.5</v>
      </c>
      <c r="H569">
        <v>4</v>
      </c>
      <c r="I569" t="s">
        <v>275</v>
      </c>
      <c r="J569">
        <v>23</v>
      </c>
      <c r="K569">
        <v>29</v>
      </c>
      <c r="L569">
        <v>25</v>
      </c>
      <c r="M569">
        <v>28.959099999999999</v>
      </c>
      <c r="N569">
        <v>41.156799999999997</v>
      </c>
      <c r="O569">
        <v>33.415599999999998</v>
      </c>
      <c r="P569">
        <v>22.6496</v>
      </c>
      <c r="Q569">
        <v>28.865100000000002</v>
      </c>
      <c r="R569">
        <v>25.079799999999999</v>
      </c>
      <c r="T569" t="s">
        <v>165</v>
      </c>
      <c r="U569" t="s">
        <v>166</v>
      </c>
      <c r="V569" t="s">
        <v>193</v>
      </c>
      <c r="W569" t="s">
        <v>194</v>
      </c>
      <c r="Y569">
        <v>6</v>
      </c>
      <c r="Z569" t="s">
        <v>169</v>
      </c>
      <c r="AA569" t="s">
        <v>170</v>
      </c>
      <c r="AB569">
        <v>4</v>
      </c>
      <c r="AC569" t="s">
        <v>601</v>
      </c>
      <c r="AD569">
        <v>10</v>
      </c>
      <c r="AG569" t="s">
        <v>210</v>
      </c>
      <c r="AH569" t="s">
        <v>444</v>
      </c>
      <c r="AI569" t="s">
        <v>175</v>
      </c>
      <c r="AJ569" t="s">
        <v>176</v>
      </c>
      <c r="AK569" t="s">
        <v>940</v>
      </c>
      <c r="AL569" t="s">
        <v>941</v>
      </c>
      <c r="AS569">
        <v>2100</v>
      </c>
      <c r="AT569">
        <v>2100</v>
      </c>
      <c r="BN569" t="s">
        <v>178</v>
      </c>
      <c r="BO569">
        <v>2</v>
      </c>
      <c r="BP569">
        <v>2</v>
      </c>
      <c r="BQ569">
        <v>31</v>
      </c>
      <c r="BR569" t="s">
        <v>1219</v>
      </c>
      <c r="BT569" t="s">
        <v>181</v>
      </c>
      <c r="BU569" s="1">
        <v>45503</v>
      </c>
      <c r="BV569">
        <v>34811</v>
      </c>
      <c r="BX569" t="s">
        <v>169</v>
      </c>
      <c r="BY569" t="s">
        <v>170</v>
      </c>
      <c r="CB569" t="s">
        <v>170</v>
      </c>
      <c r="CC569" t="s">
        <v>170</v>
      </c>
      <c r="CE569" t="s">
        <v>170</v>
      </c>
      <c r="CG569" t="s">
        <v>169</v>
      </c>
      <c r="CH569" t="s">
        <v>276</v>
      </c>
      <c r="CI569" t="s">
        <v>170</v>
      </c>
      <c r="DJ569" t="s">
        <v>184</v>
      </c>
      <c r="DK569" t="s">
        <v>185</v>
      </c>
      <c r="DN569" t="s">
        <v>170</v>
      </c>
      <c r="DO569" t="s">
        <v>602</v>
      </c>
      <c r="DP569" t="s">
        <v>169</v>
      </c>
      <c r="DQ569" t="s">
        <v>198</v>
      </c>
      <c r="EB569">
        <v>5</v>
      </c>
      <c r="EC569">
        <v>5</v>
      </c>
      <c r="EE569" t="s">
        <v>1383</v>
      </c>
      <c r="EF569">
        <v>4</v>
      </c>
      <c r="EV569">
        <v>1000</v>
      </c>
      <c r="EW569">
        <v>393</v>
      </c>
      <c r="EX569">
        <v>308</v>
      </c>
      <c r="EY569">
        <v>355</v>
      </c>
    </row>
    <row r="570" spans="1:155" x14ac:dyDescent="0.35">
      <c r="A570">
        <v>2025</v>
      </c>
      <c r="B570" t="s">
        <v>272</v>
      </c>
      <c r="C570" t="s">
        <v>272</v>
      </c>
      <c r="D570" t="s">
        <v>1378</v>
      </c>
      <c r="E570" t="s">
        <v>274</v>
      </c>
      <c r="F570">
        <v>512</v>
      </c>
      <c r="G570">
        <v>2.5</v>
      </c>
      <c r="H570">
        <v>4</v>
      </c>
      <c r="I570" t="s">
        <v>587</v>
      </c>
      <c r="J570">
        <v>39</v>
      </c>
      <c r="K570">
        <v>37</v>
      </c>
      <c r="L570">
        <v>38</v>
      </c>
      <c r="M570">
        <v>53.9193</v>
      </c>
      <c r="N570">
        <v>51.757199999999997</v>
      </c>
      <c r="O570">
        <v>52.924399999999999</v>
      </c>
      <c r="P570">
        <v>38.872300000000003</v>
      </c>
      <c r="Q570">
        <v>36.676900000000003</v>
      </c>
      <c r="R570">
        <v>37.852699999999999</v>
      </c>
      <c r="U570" t="s">
        <v>224</v>
      </c>
      <c r="V570" t="s">
        <v>588</v>
      </c>
      <c r="W570" t="s">
        <v>589</v>
      </c>
      <c r="Y570">
        <v>1</v>
      </c>
      <c r="Z570" t="s">
        <v>170</v>
      </c>
      <c r="AA570" t="s">
        <v>170</v>
      </c>
      <c r="AB570">
        <v>4</v>
      </c>
      <c r="AC570" t="s">
        <v>601</v>
      </c>
      <c r="AD570">
        <v>10</v>
      </c>
      <c r="AG570" t="s">
        <v>210</v>
      </c>
      <c r="AH570" t="s">
        <v>444</v>
      </c>
      <c r="AI570" t="s">
        <v>175</v>
      </c>
      <c r="AJ570" t="s">
        <v>176</v>
      </c>
      <c r="AK570" t="s">
        <v>940</v>
      </c>
      <c r="AL570" t="s">
        <v>941</v>
      </c>
      <c r="AS570">
        <v>1400</v>
      </c>
      <c r="AT570">
        <v>1400</v>
      </c>
      <c r="BN570" t="s">
        <v>465</v>
      </c>
      <c r="BO570">
        <v>2</v>
      </c>
      <c r="BP570">
        <v>2</v>
      </c>
      <c r="BQ570">
        <v>31</v>
      </c>
      <c r="BR570" t="s">
        <v>1219</v>
      </c>
      <c r="BT570" t="s">
        <v>225</v>
      </c>
      <c r="BU570" s="1">
        <v>45600</v>
      </c>
      <c r="BV570">
        <v>35207</v>
      </c>
      <c r="BX570" t="s">
        <v>170</v>
      </c>
      <c r="BY570" t="s">
        <v>170</v>
      </c>
      <c r="CB570" t="s">
        <v>170</v>
      </c>
      <c r="CC570" t="s">
        <v>170</v>
      </c>
      <c r="CE570" t="s">
        <v>170</v>
      </c>
      <c r="CG570" t="s">
        <v>169</v>
      </c>
      <c r="CH570" t="s">
        <v>1379</v>
      </c>
      <c r="CI570" t="s">
        <v>170</v>
      </c>
      <c r="CK570" t="s">
        <v>233</v>
      </c>
      <c r="CM570">
        <v>1</v>
      </c>
      <c r="CN570" t="s">
        <v>814</v>
      </c>
      <c r="CP570">
        <v>245</v>
      </c>
      <c r="CQ570">
        <v>167</v>
      </c>
      <c r="CR570">
        <v>46.4</v>
      </c>
      <c r="CS570" t="s">
        <v>235</v>
      </c>
      <c r="CV570" t="s">
        <v>341</v>
      </c>
      <c r="CX570" t="s">
        <v>342</v>
      </c>
      <c r="CY570" t="s">
        <v>170</v>
      </c>
      <c r="DD570">
        <v>2</v>
      </c>
      <c r="DE570" t="s">
        <v>404</v>
      </c>
      <c r="DF570" t="s">
        <v>1380</v>
      </c>
      <c r="DG570">
        <v>40</v>
      </c>
      <c r="DJ570" t="s">
        <v>267</v>
      </c>
      <c r="DK570" t="s">
        <v>268</v>
      </c>
      <c r="DL570" t="s">
        <v>170</v>
      </c>
      <c r="DM570" t="s">
        <v>170</v>
      </c>
      <c r="DN570" t="s">
        <v>169</v>
      </c>
      <c r="DO570" t="s">
        <v>1381</v>
      </c>
      <c r="DP570" t="s">
        <v>169</v>
      </c>
      <c r="DQ570" t="s">
        <v>198</v>
      </c>
      <c r="EB570">
        <v>7</v>
      </c>
      <c r="EC570">
        <v>7</v>
      </c>
      <c r="EE570" t="s">
        <v>1382</v>
      </c>
      <c r="EF570">
        <v>6</v>
      </c>
      <c r="EU570">
        <v>2500</v>
      </c>
      <c r="EW570">
        <v>226</v>
      </c>
      <c r="EX570">
        <v>241</v>
      </c>
      <c r="EY570">
        <v>233</v>
      </c>
    </row>
    <row r="571" spans="1:155" x14ac:dyDescent="0.35">
      <c r="A571">
        <v>2025</v>
      </c>
      <c r="B571" t="s">
        <v>272</v>
      </c>
      <c r="C571" t="s">
        <v>272</v>
      </c>
      <c r="D571" t="s">
        <v>1378</v>
      </c>
      <c r="E571" t="s">
        <v>274</v>
      </c>
      <c r="F571">
        <v>512</v>
      </c>
      <c r="G571">
        <v>2.5</v>
      </c>
      <c r="H571">
        <v>4</v>
      </c>
      <c r="I571" t="s">
        <v>587</v>
      </c>
      <c r="J571">
        <v>39</v>
      </c>
      <c r="K571">
        <v>37</v>
      </c>
      <c r="L571">
        <v>38</v>
      </c>
      <c r="M571">
        <v>53.9193</v>
      </c>
      <c r="N571">
        <v>51.757199999999997</v>
      </c>
      <c r="O571">
        <v>52.924399999999999</v>
      </c>
      <c r="P571">
        <v>38.872300000000003</v>
      </c>
      <c r="Q571">
        <v>36.676900000000003</v>
      </c>
      <c r="R571">
        <v>37.852699999999999</v>
      </c>
      <c r="U571" t="s">
        <v>224</v>
      </c>
      <c r="V571" t="s">
        <v>588</v>
      </c>
      <c r="W571" t="s">
        <v>589</v>
      </c>
      <c r="Y571">
        <v>1</v>
      </c>
      <c r="Z571" t="s">
        <v>170</v>
      </c>
      <c r="AA571" t="s">
        <v>170</v>
      </c>
      <c r="AB571">
        <v>4</v>
      </c>
      <c r="AC571" t="s">
        <v>601</v>
      </c>
      <c r="AD571">
        <v>10</v>
      </c>
      <c r="AG571" t="s">
        <v>210</v>
      </c>
      <c r="AH571" t="s">
        <v>444</v>
      </c>
      <c r="AI571" t="s">
        <v>175</v>
      </c>
      <c r="AJ571" t="s">
        <v>176</v>
      </c>
      <c r="AK571" t="s">
        <v>940</v>
      </c>
      <c r="AL571" t="s">
        <v>941</v>
      </c>
      <c r="AS571">
        <v>1400</v>
      </c>
      <c r="AT571">
        <v>1400</v>
      </c>
      <c r="BN571" t="s">
        <v>465</v>
      </c>
      <c r="BO571">
        <v>2</v>
      </c>
      <c r="BP571">
        <v>2</v>
      </c>
      <c r="BQ571">
        <v>31</v>
      </c>
      <c r="BR571" t="s">
        <v>1219</v>
      </c>
      <c r="BT571" t="s">
        <v>225</v>
      </c>
      <c r="BU571" s="1">
        <v>45600</v>
      </c>
      <c r="BV571">
        <v>35207</v>
      </c>
      <c r="BX571" t="s">
        <v>170</v>
      </c>
      <c r="BY571" t="s">
        <v>170</v>
      </c>
      <c r="CB571" t="s">
        <v>170</v>
      </c>
      <c r="CC571" t="s">
        <v>170</v>
      </c>
      <c r="CE571" t="s">
        <v>170</v>
      </c>
      <c r="CG571" t="s">
        <v>169</v>
      </c>
      <c r="CH571" t="s">
        <v>1379</v>
      </c>
      <c r="CI571" t="s">
        <v>170</v>
      </c>
      <c r="CK571" t="s">
        <v>233</v>
      </c>
      <c r="CM571">
        <v>1</v>
      </c>
      <c r="CN571" t="s">
        <v>814</v>
      </c>
      <c r="CP571">
        <v>245</v>
      </c>
      <c r="CQ571">
        <v>167</v>
      </c>
      <c r="CR571">
        <v>46.4</v>
      </c>
      <c r="CS571" t="s">
        <v>235</v>
      </c>
      <c r="CV571" t="s">
        <v>341</v>
      </c>
      <c r="CX571" t="s">
        <v>342</v>
      </c>
      <c r="CY571" t="s">
        <v>170</v>
      </c>
      <c r="DD571">
        <v>2</v>
      </c>
      <c r="DE571" t="s">
        <v>404</v>
      </c>
      <c r="DF571" t="s">
        <v>1380</v>
      </c>
      <c r="DG571">
        <v>88</v>
      </c>
      <c r="DJ571" t="s">
        <v>267</v>
      </c>
      <c r="DK571" t="s">
        <v>268</v>
      </c>
      <c r="DL571" t="s">
        <v>170</v>
      </c>
      <c r="DM571" t="s">
        <v>170</v>
      </c>
      <c r="DN571" t="s">
        <v>169</v>
      </c>
      <c r="DO571" t="s">
        <v>1381</v>
      </c>
      <c r="DP571" t="s">
        <v>169</v>
      </c>
      <c r="DQ571" t="s">
        <v>198</v>
      </c>
      <c r="EB571">
        <v>7</v>
      </c>
      <c r="EC571">
        <v>7</v>
      </c>
      <c r="EE571" t="s">
        <v>1382</v>
      </c>
      <c r="EF571">
        <v>6</v>
      </c>
      <c r="EU571">
        <v>2500</v>
      </c>
      <c r="EW571">
        <v>226</v>
      </c>
      <c r="EX571">
        <v>241</v>
      </c>
      <c r="EY571">
        <v>233</v>
      </c>
    </row>
    <row r="572" spans="1:155" x14ac:dyDescent="0.35">
      <c r="A572">
        <v>2025</v>
      </c>
      <c r="B572" t="s">
        <v>272</v>
      </c>
      <c r="C572" t="s">
        <v>272</v>
      </c>
      <c r="D572" t="s">
        <v>1617</v>
      </c>
      <c r="E572" t="s">
        <v>274</v>
      </c>
      <c r="F572">
        <v>906</v>
      </c>
      <c r="G572">
        <v>3.3</v>
      </c>
      <c r="H572">
        <v>6</v>
      </c>
      <c r="I572" t="s">
        <v>192</v>
      </c>
      <c r="J572">
        <v>24</v>
      </c>
      <c r="K572">
        <v>28</v>
      </c>
      <c r="L572">
        <v>25</v>
      </c>
      <c r="M572">
        <v>30.6</v>
      </c>
      <c r="N572">
        <v>39.200000000000003</v>
      </c>
      <c r="O572">
        <v>33.951900000000002</v>
      </c>
      <c r="P572">
        <v>23.808</v>
      </c>
      <c r="Q572">
        <v>27.613700000000001</v>
      </c>
      <c r="R572">
        <v>25.382100000000001</v>
      </c>
      <c r="T572" t="s">
        <v>165</v>
      </c>
      <c r="U572" t="s">
        <v>166</v>
      </c>
      <c r="V572" t="s">
        <v>193</v>
      </c>
      <c r="W572" t="s">
        <v>194</v>
      </c>
      <c r="Y572">
        <v>8</v>
      </c>
      <c r="Z572" t="s">
        <v>170</v>
      </c>
      <c r="AA572" t="s">
        <v>169</v>
      </c>
      <c r="AB572">
        <v>4</v>
      </c>
      <c r="AC572" t="s">
        <v>601</v>
      </c>
      <c r="AD572">
        <v>10</v>
      </c>
      <c r="AG572" t="s">
        <v>210</v>
      </c>
      <c r="AH572" t="s">
        <v>444</v>
      </c>
      <c r="AI572" t="s">
        <v>175</v>
      </c>
      <c r="AJ572" t="s">
        <v>176</v>
      </c>
      <c r="AK572" t="s">
        <v>940</v>
      </c>
      <c r="AL572" t="s">
        <v>941</v>
      </c>
      <c r="AS572">
        <v>2100</v>
      </c>
      <c r="AT572">
        <v>2100</v>
      </c>
      <c r="BN572" t="s">
        <v>338</v>
      </c>
      <c r="BO572">
        <v>2</v>
      </c>
      <c r="BP572">
        <v>2</v>
      </c>
      <c r="BQ572">
        <v>33</v>
      </c>
      <c r="BR572" t="s">
        <v>1497</v>
      </c>
      <c r="BT572" t="s">
        <v>181</v>
      </c>
      <c r="BU572" s="1">
        <v>45519</v>
      </c>
      <c r="BV572">
        <v>34632</v>
      </c>
      <c r="BX572" t="s">
        <v>170</v>
      </c>
      <c r="BY572" t="s">
        <v>170</v>
      </c>
      <c r="CB572" t="s">
        <v>170</v>
      </c>
      <c r="CC572" t="s">
        <v>170</v>
      </c>
      <c r="CE572" t="s">
        <v>170</v>
      </c>
      <c r="CG572" t="s">
        <v>169</v>
      </c>
      <c r="CH572" t="s">
        <v>276</v>
      </c>
      <c r="CI572" t="s">
        <v>170</v>
      </c>
      <c r="CK572" t="s">
        <v>233</v>
      </c>
      <c r="CM572">
        <v>1</v>
      </c>
      <c r="CN572" t="s">
        <v>234</v>
      </c>
      <c r="CP572">
        <v>44</v>
      </c>
      <c r="CQ572">
        <v>8</v>
      </c>
      <c r="CR572">
        <v>21.8</v>
      </c>
      <c r="CS572" t="s">
        <v>235</v>
      </c>
      <c r="CV572" t="s">
        <v>341</v>
      </c>
      <c r="CX572" t="s">
        <v>342</v>
      </c>
      <c r="CY572" t="s">
        <v>170</v>
      </c>
      <c r="DD572">
        <v>1</v>
      </c>
      <c r="DE572" t="s">
        <v>663</v>
      </c>
      <c r="DG572">
        <v>11</v>
      </c>
      <c r="DJ572" t="s">
        <v>184</v>
      </c>
      <c r="DK572" t="s">
        <v>185</v>
      </c>
      <c r="DL572" t="s">
        <v>170</v>
      </c>
      <c r="DM572" t="s">
        <v>170</v>
      </c>
      <c r="DN572" t="s">
        <v>170</v>
      </c>
      <c r="DO572" t="s">
        <v>277</v>
      </c>
      <c r="DP572" t="s">
        <v>170</v>
      </c>
      <c r="DQ572" t="s">
        <v>187</v>
      </c>
      <c r="EB572">
        <v>5</v>
      </c>
      <c r="EC572">
        <v>5</v>
      </c>
      <c r="EE572" t="s">
        <v>1618</v>
      </c>
      <c r="EF572">
        <v>5</v>
      </c>
      <c r="EV572">
        <v>1000</v>
      </c>
      <c r="EW572">
        <v>372</v>
      </c>
      <c r="EX572">
        <v>321</v>
      </c>
      <c r="EY572">
        <v>349</v>
      </c>
    </row>
    <row r="573" spans="1:155" x14ac:dyDescent="0.35">
      <c r="A573">
        <v>2025</v>
      </c>
      <c r="B573" t="s">
        <v>272</v>
      </c>
      <c r="C573" t="s">
        <v>272</v>
      </c>
      <c r="D573" t="s">
        <v>1617</v>
      </c>
      <c r="E573" t="s">
        <v>274</v>
      </c>
      <c r="F573">
        <v>907</v>
      </c>
      <c r="G573">
        <v>3.3</v>
      </c>
      <c r="H573">
        <v>6</v>
      </c>
      <c r="I573" t="s">
        <v>192</v>
      </c>
      <c r="J573">
        <v>23</v>
      </c>
      <c r="K573">
        <v>28</v>
      </c>
      <c r="L573">
        <v>25</v>
      </c>
      <c r="M573">
        <v>29.2</v>
      </c>
      <c r="N573">
        <v>39.5</v>
      </c>
      <c r="O573">
        <v>33.081899999999997</v>
      </c>
      <c r="P573">
        <v>22.820399999999999</v>
      </c>
      <c r="Q573">
        <v>27.8062</v>
      </c>
      <c r="R573">
        <v>24.8233</v>
      </c>
      <c r="T573" t="s">
        <v>165</v>
      </c>
      <c r="U573" t="s">
        <v>166</v>
      </c>
      <c r="V573" t="s">
        <v>193</v>
      </c>
      <c r="W573" t="s">
        <v>194</v>
      </c>
      <c r="Y573">
        <v>8</v>
      </c>
      <c r="Z573" t="s">
        <v>170</v>
      </c>
      <c r="AA573" t="s">
        <v>169</v>
      </c>
      <c r="AB573">
        <v>4</v>
      </c>
      <c r="AC573" t="s">
        <v>601</v>
      </c>
      <c r="AD573">
        <v>10</v>
      </c>
      <c r="AG573" t="s">
        <v>173</v>
      </c>
      <c r="AH573" t="s">
        <v>174</v>
      </c>
      <c r="AI573" t="s">
        <v>175</v>
      </c>
      <c r="AJ573" t="s">
        <v>176</v>
      </c>
      <c r="AK573" t="s">
        <v>940</v>
      </c>
      <c r="AL573" t="s">
        <v>941</v>
      </c>
      <c r="AS573">
        <v>2550</v>
      </c>
      <c r="AT573">
        <v>2550</v>
      </c>
      <c r="BN573" t="s">
        <v>338</v>
      </c>
      <c r="BO573">
        <v>2</v>
      </c>
      <c r="BP573">
        <v>2</v>
      </c>
      <c r="BQ573">
        <v>33</v>
      </c>
      <c r="BR573" t="s">
        <v>1497</v>
      </c>
      <c r="BT573" t="s">
        <v>181</v>
      </c>
      <c r="BU573" s="1">
        <v>45455</v>
      </c>
      <c r="BV573">
        <v>34619</v>
      </c>
      <c r="BX573" t="s">
        <v>170</v>
      </c>
      <c r="BY573" t="s">
        <v>170</v>
      </c>
      <c r="CB573" t="s">
        <v>170</v>
      </c>
      <c r="CC573" t="s">
        <v>170</v>
      </c>
      <c r="CE573" t="s">
        <v>170</v>
      </c>
      <c r="CG573" t="s">
        <v>169</v>
      </c>
      <c r="CH573" t="s">
        <v>276</v>
      </c>
      <c r="CI573" t="s">
        <v>170</v>
      </c>
      <c r="CK573" t="s">
        <v>233</v>
      </c>
      <c r="CM573">
        <v>1</v>
      </c>
      <c r="CN573" t="s">
        <v>234</v>
      </c>
      <c r="CP573">
        <v>44</v>
      </c>
      <c r="CQ573">
        <v>8</v>
      </c>
      <c r="CR573">
        <v>21.8</v>
      </c>
      <c r="CS573" t="s">
        <v>235</v>
      </c>
      <c r="CV573" t="s">
        <v>341</v>
      </c>
      <c r="CX573" t="s">
        <v>342</v>
      </c>
      <c r="CY573" t="s">
        <v>170</v>
      </c>
      <c r="DD573">
        <v>1</v>
      </c>
      <c r="DE573" t="s">
        <v>663</v>
      </c>
      <c r="DG573">
        <v>11</v>
      </c>
      <c r="DJ573" t="s">
        <v>184</v>
      </c>
      <c r="DK573" t="s">
        <v>185</v>
      </c>
      <c r="DL573" t="s">
        <v>170</v>
      </c>
      <c r="DM573" t="s">
        <v>170</v>
      </c>
      <c r="DN573" t="s">
        <v>170</v>
      </c>
      <c r="DO573" t="s">
        <v>277</v>
      </c>
      <c r="DP573" t="s">
        <v>170</v>
      </c>
      <c r="DQ573" t="s">
        <v>187</v>
      </c>
      <c r="EB573">
        <v>5</v>
      </c>
      <c r="EC573">
        <v>5</v>
      </c>
      <c r="EE573" t="s">
        <v>1619</v>
      </c>
      <c r="EF573">
        <v>5</v>
      </c>
      <c r="EV573">
        <v>3250</v>
      </c>
      <c r="EW573">
        <v>389</v>
      </c>
      <c r="EX573">
        <v>320</v>
      </c>
      <c r="EY573">
        <v>358</v>
      </c>
    </row>
    <row r="574" spans="1:155" x14ac:dyDescent="0.35">
      <c r="A574">
        <v>2025</v>
      </c>
      <c r="B574" t="s">
        <v>272</v>
      </c>
      <c r="C574" t="s">
        <v>272</v>
      </c>
      <c r="D574" t="s">
        <v>1620</v>
      </c>
      <c r="E574" t="s">
        <v>274</v>
      </c>
      <c r="F574">
        <v>903</v>
      </c>
      <c r="G574">
        <v>3.3</v>
      </c>
      <c r="H574">
        <v>6</v>
      </c>
      <c r="I574" t="s">
        <v>192</v>
      </c>
      <c r="J574">
        <v>24</v>
      </c>
      <c r="K574">
        <v>28</v>
      </c>
      <c r="L574">
        <v>25</v>
      </c>
      <c r="M574">
        <v>30.532</v>
      </c>
      <c r="N574">
        <v>40.007100000000001</v>
      </c>
      <c r="O574">
        <v>34.174100000000003</v>
      </c>
      <c r="P574">
        <v>23.760200000000001</v>
      </c>
      <c r="Q574">
        <v>28.1312</v>
      </c>
      <c r="R574">
        <v>25</v>
      </c>
      <c r="T574" t="s">
        <v>165</v>
      </c>
      <c r="U574" t="s">
        <v>166</v>
      </c>
      <c r="V574" t="s">
        <v>193</v>
      </c>
      <c r="W574" t="s">
        <v>194</v>
      </c>
      <c r="Y574">
        <v>8</v>
      </c>
      <c r="Z574" t="s">
        <v>170</v>
      </c>
      <c r="AA574" t="s">
        <v>169</v>
      </c>
      <c r="AB574">
        <v>4</v>
      </c>
      <c r="AC574" t="s">
        <v>601</v>
      </c>
      <c r="AD574">
        <v>10</v>
      </c>
      <c r="AG574" t="s">
        <v>210</v>
      </c>
      <c r="AH574" t="s">
        <v>444</v>
      </c>
      <c r="AI574" t="s">
        <v>175</v>
      </c>
      <c r="AJ574" t="s">
        <v>176</v>
      </c>
      <c r="AK574" t="s">
        <v>940</v>
      </c>
      <c r="AL574" t="s">
        <v>941</v>
      </c>
      <c r="AS574">
        <v>2100</v>
      </c>
      <c r="AT574">
        <v>2100</v>
      </c>
      <c r="BN574" t="s">
        <v>338</v>
      </c>
      <c r="BO574">
        <v>2</v>
      </c>
      <c r="BP574">
        <v>2</v>
      </c>
      <c r="BQ574">
        <v>33</v>
      </c>
      <c r="BR574" t="s">
        <v>1497</v>
      </c>
      <c r="BT574" t="s">
        <v>181</v>
      </c>
      <c r="BU574" s="1">
        <v>45523</v>
      </c>
      <c r="BV574">
        <v>35086</v>
      </c>
      <c r="BX574" t="s">
        <v>169</v>
      </c>
      <c r="BY574" t="s">
        <v>170</v>
      </c>
      <c r="CB574" t="s">
        <v>170</v>
      </c>
      <c r="CC574" t="s">
        <v>170</v>
      </c>
      <c r="CE574" t="s">
        <v>170</v>
      </c>
      <c r="CG574" t="s">
        <v>169</v>
      </c>
      <c r="CH574" t="s">
        <v>276</v>
      </c>
      <c r="CI574" t="s">
        <v>170</v>
      </c>
      <c r="CK574" t="s">
        <v>233</v>
      </c>
      <c r="CM574">
        <v>1</v>
      </c>
      <c r="CN574" t="s">
        <v>234</v>
      </c>
      <c r="CP574">
        <v>44</v>
      </c>
      <c r="CQ574">
        <v>8</v>
      </c>
      <c r="CR574">
        <v>21.8</v>
      </c>
      <c r="CS574" t="s">
        <v>235</v>
      </c>
      <c r="CV574" t="s">
        <v>341</v>
      </c>
      <c r="CX574" t="s">
        <v>342</v>
      </c>
      <c r="CY574" t="s">
        <v>170</v>
      </c>
      <c r="DD574">
        <v>1</v>
      </c>
      <c r="DE574" t="s">
        <v>663</v>
      </c>
      <c r="DG574">
        <v>11</v>
      </c>
      <c r="DJ574" t="s">
        <v>184</v>
      </c>
      <c r="DK574" t="s">
        <v>185</v>
      </c>
      <c r="DL574" t="s">
        <v>170</v>
      </c>
      <c r="DM574" t="s">
        <v>170</v>
      </c>
      <c r="DN574" t="s">
        <v>170</v>
      </c>
      <c r="DO574" t="s">
        <v>277</v>
      </c>
      <c r="DP574" t="s">
        <v>169</v>
      </c>
      <c r="DQ574" t="s">
        <v>198</v>
      </c>
      <c r="EB574">
        <v>5</v>
      </c>
      <c r="EC574">
        <v>5</v>
      </c>
      <c r="EE574" t="s">
        <v>1618</v>
      </c>
      <c r="EF574">
        <v>5</v>
      </c>
      <c r="EV574">
        <v>1000</v>
      </c>
      <c r="EW574">
        <v>373</v>
      </c>
      <c r="EX574">
        <v>314</v>
      </c>
      <c r="EY574">
        <v>354</v>
      </c>
    </row>
    <row r="575" spans="1:155" x14ac:dyDescent="0.35">
      <c r="A575">
        <v>2025</v>
      </c>
      <c r="B575" t="s">
        <v>272</v>
      </c>
      <c r="C575" t="s">
        <v>272</v>
      </c>
      <c r="D575" t="s">
        <v>1620</v>
      </c>
      <c r="E575" t="s">
        <v>274</v>
      </c>
      <c r="F575">
        <v>904</v>
      </c>
      <c r="G575">
        <v>3.3</v>
      </c>
      <c r="H575">
        <v>6</v>
      </c>
      <c r="I575" t="s">
        <v>192</v>
      </c>
      <c r="J575">
        <v>23</v>
      </c>
      <c r="K575">
        <v>28</v>
      </c>
      <c r="L575">
        <v>25</v>
      </c>
      <c r="M575">
        <v>29.2</v>
      </c>
      <c r="N575">
        <v>39.5</v>
      </c>
      <c r="O575">
        <v>33.081899999999997</v>
      </c>
      <c r="P575">
        <v>22.820399999999999</v>
      </c>
      <c r="Q575">
        <v>27.8062</v>
      </c>
      <c r="R575">
        <v>24.8233</v>
      </c>
      <c r="T575" t="s">
        <v>165</v>
      </c>
      <c r="U575" t="s">
        <v>166</v>
      </c>
      <c r="V575" t="s">
        <v>193</v>
      </c>
      <c r="W575" t="s">
        <v>194</v>
      </c>
      <c r="Y575">
        <v>8</v>
      </c>
      <c r="Z575" t="s">
        <v>170</v>
      </c>
      <c r="AA575" t="s">
        <v>169</v>
      </c>
      <c r="AB575">
        <v>4</v>
      </c>
      <c r="AC575" t="s">
        <v>601</v>
      </c>
      <c r="AD575">
        <v>10</v>
      </c>
      <c r="AG575" t="s">
        <v>173</v>
      </c>
      <c r="AH575" t="s">
        <v>174</v>
      </c>
      <c r="AI575" t="s">
        <v>175</v>
      </c>
      <c r="AJ575" t="s">
        <v>176</v>
      </c>
      <c r="AK575" t="s">
        <v>940</v>
      </c>
      <c r="AL575" t="s">
        <v>941</v>
      </c>
      <c r="AS575">
        <v>2550</v>
      </c>
      <c r="AT575">
        <v>2550</v>
      </c>
      <c r="BN575" t="s">
        <v>338</v>
      </c>
      <c r="BO575">
        <v>2</v>
      </c>
      <c r="BP575">
        <v>2</v>
      </c>
      <c r="BQ575">
        <v>33</v>
      </c>
      <c r="BR575" t="s">
        <v>1497</v>
      </c>
      <c r="BT575" t="s">
        <v>181</v>
      </c>
      <c r="BU575" s="1">
        <v>45523</v>
      </c>
      <c r="BV575">
        <v>35087</v>
      </c>
      <c r="BX575" t="s">
        <v>169</v>
      </c>
      <c r="BY575" t="s">
        <v>170</v>
      </c>
      <c r="CB575" t="s">
        <v>170</v>
      </c>
      <c r="CC575" t="s">
        <v>170</v>
      </c>
      <c r="CE575" t="s">
        <v>170</v>
      </c>
      <c r="CG575" t="s">
        <v>169</v>
      </c>
      <c r="CH575" t="s">
        <v>276</v>
      </c>
      <c r="CI575" t="s">
        <v>170</v>
      </c>
      <c r="CK575" t="s">
        <v>233</v>
      </c>
      <c r="CM575">
        <v>1</v>
      </c>
      <c r="CN575" t="s">
        <v>234</v>
      </c>
      <c r="CP575">
        <v>44</v>
      </c>
      <c r="CQ575">
        <v>8</v>
      </c>
      <c r="CR575">
        <v>21.8</v>
      </c>
      <c r="CS575" t="s">
        <v>235</v>
      </c>
      <c r="CV575" t="s">
        <v>341</v>
      </c>
      <c r="CX575" t="s">
        <v>342</v>
      </c>
      <c r="CY575" t="s">
        <v>170</v>
      </c>
      <c r="DD575">
        <v>1</v>
      </c>
      <c r="DE575" t="s">
        <v>663</v>
      </c>
      <c r="DG575">
        <v>11</v>
      </c>
      <c r="DJ575" t="s">
        <v>184</v>
      </c>
      <c r="DK575" t="s">
        <v>185</v>
      </c>
      <c r="DL575" t="s">
        <v>170</v>
      </c>
      <c r="DM575" t="s">
        <v>170</v>
      </c>
      <c r="DN575" t="s">
        <v>170</v>
      </c>
      <c r="DO575" t="s">
        <v>277</v>
      </c>
      <c r="DP575" t="s">
        <v>169</v>
      </c>
      <c r="DQ575" t="s">
        <v>198</v>
      </c>
      <c r="EB575">
        <v>5</v>
      </c>
      <c r="EC575">
        <v>5</v>
      </c>
      <c r="EE575" t="s">
        <v>1619</v>
      </c>
      <c r="EF575">
        <v>5</v>
      </c>
      <c r="EV575">
        <v>3250</v>
      </c>
      <c r="EW575">
        <v>389</v>
      </c>
      <c r="EX575">
        <v>320</v>
      </c>
      <c r="EY575">
        <v>358</v>
      </c>
    </row>
    <row r="576" spans="1:155" x14ac:dyDescent="0.35">
      <c r="A576">
        <v>2025</v>
      </c>
      <c r="B576" t="s">
        <v>272</v>
      </c>
      <c r="C576" t="s">
        <v>272</v>
      </c>
      <c r="D576" t="s">
        <v>596</v>
      </c>
      <c r="E576" t="s">
        <v>274</v>
      </c>
      <c r="F576">
        <v>306</v>
      </c>
      <c r="G576">
        <v>2.5</v>
      </c>
      <c r="H576">
        <v>4</v>
      </c>
      <c r="I576" t="s">
        <v>275</v>
      </c>
      <c r="J576">
        <v>27</v>
      </c>
      <c r="K576">
        <v>37</v>
      </c>
      <c r="L576">
        <v>31</v>
      </c>
      <c r="M576">
        <v>35.925400000000003</v>
      </c>
      <c r="N576">
        <v>53.666200000000003</v>
      </c>
      <c r="O576">
        <v>42.203600000000002</v>
      </c>
      <c r="P576">
        <v>27.485399999999998</v>
      </c>
      <c r="Q576">
        <v>36.613500000000002</v>
      </c>
      <c r="R576">
        <v>30.958600000000001</v>
      </c>
      <c r="U576" t="s">
        <v>224</v>
      </c>
      <c r="V576" t="s">
        <v>193</v>
      </c>
      <c r="W576" t="s">
        <v>194</v>
      </c>
      <c r="Y576">
        <v>6</v>
      </c>
      <c r="Z576" t="s">
        <v>169</v>
      </c>
      <c r="AA576" t="s">
        <v>170</v>
      </c>
      <c r="AB576" t="s">
        <v>351</v>
      </c>
      <c r="AC576" t="s">
        <v>352</v>
      </c>
      <c r="AD576">
        <v>10</v>
      </c>
      <c r="AG576" t="s">
        <v>210</v>
      </c>
      <c r="AH576" t="s">
        <v>444</v>
      </c>
      <c r="AI576" t="s">
        <v>175</v>
      </c>
      <c r="AJ576" t="s">
        <v>176</v>
      </c>
      <c r="AK576" t="s">
        <v>170</v>
      </c>
      <c r="AL576" t="s">
        <v>177</v>
      </c>
      <c r="AO576">
        <v>93</v>
      </c>
      <c r="AP576">
        <v>13</v>
      </c>
      <c r="AS576">
        <v>1700</v>
      </c>
      <c r="AT576">
        <v>1700</v>
      </c>
      <c r="BN576" t="s">
        <v>178</v>
      </c>
      <c r="BO576">
        <v>2</v>
      </c>
      <c r="BP576">
        <v>2</v>
      </c>
      <c r="BQ576">
        <v>4</v>
      </c>
      <c r="BR576" t="s">
        <v>521</v>
      </c>
      <c r="BS576" t="s">
        <v>180</v>
      </c>
      <c r="BT576" t="s">
        <v>181</v>
      </c>
      <c r="BU576" s="1">
        <v>45474</v>
      </c>
      <c r="BV576">
        <v>34710</v>
      </c>
      <c r="BX576" t="s">
        <v>170</v>
      </c>
      <c r="BY576" t="s">
        <v>170</v>
      </c>
      <c r="CB576" t="s">
        <v>170</v>
      </c>
      <c r="CC576" t="s">
        <v>170</v>
      </c>
      <c r="CD576" t="s">
        <v>597</v>
      </c>
      <c r="CE576" t="s">
        <v>169</v>
      </c>
      <c r="CF576" t="s">
        <v>598</v>
      </c>
      <c r="CG576" t="s">
        <v>169</v>
      </c>
      <c r="CH576" t="s">
        <v>276</v>
      </c>
      <c r="CI576" t="s">
        <v>170</v>
      </c>
      <c r="DJ576" t="s">
        <v>184</v>
      </c>
      <c r="DK576" t="s">
        <v>185</v>
      </c>
      <c r="DN576" t="s">
        <v>170</v>
      </c>
      <c r="DO576" t="s">
        <v>277</v>
      </c>
      <c r="DP576" t="s">
        <v>170</v>
      </c>
      <c r="DQ576" t="s">
        <v>187</v>
      </c>
      <c r="DY576">
        <v>42.5</v>
      </c>
      <c r="EB576">
        <v>6</v>
      </c>
      <c r="EC576">
        <v>6</v>
      </c>
      <c r="EE576" t="s">
        <v>599</v>
      </c>
      <c r="EF576">
        <v>6</v>
      </c>
      <c r="EU576">
        <v>1000</v>
      </c>
      <c r="EW576">
        <v>324</v>
      </c>
      <c r="EX576">
        <v>243</v>
      </c>
      <c r="EY576">
        <v>287</v>
      </c>
    </row>
    <row r="577" spans="1:155" x14ac:dyDescent="0.35">
      <c r="A577">
        <v>2025</v>
      </c>
      <c r="B577" t="s">
        <v>272</v>
      </c>
      <c r="C577" t="s">
        <v>272</v>
      </c>
      <c r="D577" t="s">
        <v>600</v>
      </c>
      <c r="E577" t="s">
        <v>274</v>
      </c>
      <c r="F577">
        <v>307</v>
      </c>
      <c r="G577">
        <v>2.5</v>
      </c>
      <c r="H577">
        <v>4</v>
      </c>
      <c r="I577" t="s">
        <v>275</v>
      </c>
      <c r="J577">
        <v>26</v>
      </c>
      <c r="K577">
        <v>35</v>
      </c>
      <c r="L577">
        <v>30</v>
      </c>
      <c r="M577">
        <v>34.200000000000003</v>
      </c>
      <c r="N577">
        <v>50.9</v>
      </c>
      <c r="O577">
        <v>40.124000000000002</v>
      </c>
      <c r="P577">
        <v>26.307400000000001</v>
      </c>
      <c r="Q577">
        <v>34.936700000000002</v>
      </c>
      <c r="R577">
        <v>29.597100000000001</v>
      </c>
      <c r="U577" t="s">
        <v>224</v>
      </c>
      <c r="V577" t="s">
        <v>193</v>
      </c>
      <c r="W577" t="s">
        <v>194</v>
      </c>
      <c r="Y577">
        <v>6</v>
      </c>
      <c r="Z577" t="s">
        <v>169</v>
      </c>
      <c r="AA577" t="s">
        <v>170</v>
      </c>
      <c r="AB577">
        <v>4</v>
      </c>
      <c r="AC577" t="s">
        <v>601</v>
      </c>
      <c r="AD577">
        <v>10</v>
      </c>
      <c r="AG577" t="s">
        <v>210</v>
      </c>
      <c r="AH577" t="s">
        <v>444</v>
      </c>
      <c r="AI577" t="s">
        <v>175</v>
      </c>
      <c r="AJ577" t="s">
        <v>176</v>
      </c>
      <c r="AK577" t="s">
        <v>170</v>
      </c>
      <c r="AL577" t="s">
        <v>177</v>
      </c>
      <c r="AO577">
        <v>93</v>
      </c>
      <c r="AP577">
        <v>13</v>
      </c>
      <c r="AS577">
        <v>1750</v>
      </c>
      <c r="AT577">
        <v>1750</v>
      </c>
      <c r="BN577" t="s">
        <v>178</v>
      </c>
      <c r="BO577">
        <v>2</v>
      </c>
      <c r="BP577">
        <v>2</v>
      </c>
      <c r="BQ577">
        <v>4</v>
      </c>
      <c r="BR577" t="s">
        <v>521</v>
      </c>
      <c r="BS577" t="s">
        <v>180</v>
      </c>
      <c r="BT577" t="s">
        <v>181</v>
      </c>
      <c r="BU577" s="1">
        <v>45474</v>
      </c>
      <c r="BV577">
        <v>34712</v>
      </c>
      <c r="BX577" t="s">
        <v>170</v>
      </c>
      <c r="BY577" t="s">
        <v>170</v>
      </c>
      <c r="CB577" t="s">
        <v>170</v>
      </c>
      <c r="CC577" t="s">
        <v>170</v>
      </c>
      <c r="CD577" t="s">
        <v>597</v>
      </c>
      <c r="CE577" t="s">
        <v>169</v>
      </c>
      <c r="CF577" t="s">
        <v>598</v>
      </c>
      <c r="CG577" t="s">
        <v>169</v>
      </c>
      <c r="CH577" t="s">
        <v>276</v>
      </c>
      <c r="CI577" t="s">
        <v>170</v>
      </c>
      <c r="DJ577" t="s">
        <v>184</v>
      </c>
      <c r="DK577" t="s">
        <v>185</v>
      </c>
      <c r="DN577" t="s">
        <v>170</v>
      </c>
      <c r="DO577" t="s">
        <v>277</v>
      </c>
      <c r="DP577" t="s">
        <v>170</v>
      </c>
      <c r="DQ577" t="s">
        <v>187</v>
      </c>
      <c r="DY577">
        <v>40.4</v>
      </c>
      <c r="EB577">
        <v>6</v>
      </c>
      <c r="EC577">
        <v>6</v>
      </c>
      <c r="EE577" t="s">
        <v>599</v>
      </c>
      <c r="EF577">
        <v>6</v>
      </c>
      <c r="EU577">
        <v>750</v>
      </c>
      <c r="EW577">
        <v>338</v>
      </c>
      <c r="EX577">
        <v>255</v>
      </c>
      <c r="EY577">
        <v>301</v>
      </c>
    </row>
    <row r="578" spans="1:155" x14ac:dyDescent="0.35">
      <c r="A578">
        <v>2025</v>
      </c>
      <c r="B578" t="s">
        <v>272</v>
      </c>
      <c r="C578" t="s">
        <v>272</v>
      </c>
      <c r="D578" t="s">
        <v>600</v>
      </c>
      <c r="E578" t="s">
        <v>274</v>
      </c>
      <c r="F578">
        <v>315</v>
      </c>
      <c r="G578">
        <v>2.5</v>
      </c>
      <c r="H578">
        <v>4</v>
      </c>
      <c r="I578" t="s">
        <v>275</v>
      </c>
      <c r="J578">
        <v>23</v>
      </c>
      <c r="K578">
        <v>32</v>
      </c>
      <c r="L578">
        <v>27</v>
      </c>
      <c r="M578">
        <v>29.8</v>
      </c>
      <c r="N578">
        <v>46.8</v>
      </c>
      <c r="O578">
        <v>35.622999999999998</v>
      </c>
      <c r="P578">
        <v>23.244700000000002</v>
      </c>
      <c r="Q578">
        <v>32.413600000000002</v>
      </c>
      <c r="R578">
        <v>26.635200000000001</v>
      </c>
      <c r="T578" t="s">
        <v>165</v>
      </c>
      <c r="U578" t="s">
        <v>166</v>
      </c>
      <c r="V578" t="s">
        <v>193</v>
      </c>
      <c r="W578" t="s">
        <v>194</v>
      </c>
      <c r="Y578">
        <v>6</v>
      </c>
      <c r="Z578" t="s">
        <v>169</v>
      </c>
      <c r="AA578" t="s">
        <v>170</v>
      </c>
      <c r="AB578">
        <v>4</v>
      </c>
      <c r="AC578" t="s">
        <v>601</v>
      </c>
      <c r="AD578">
        <v>10</v>
      </c>
      <c r="AG578" t="s">
        <v>210</v>
      </c>
      <c r="AH578" t="s">
        <v>444</v>
      </c>
      <c r="AI578" t="s">
        <v>175</v>
      </c>
      <c r="AJ578" t="s">
        <v>176</v>
      </c>
      <c r="AK578" t="s">
        <v>170</v>
      </c>
      <c r="AL578" t="s">
        <v>177</v>
      </c>
      <c r="AO578">
        <v>93</v>
      </c>
      <c r="AP578">
        <v>13</v>
      </c>
      <c r="AS578">
        <v>1950</v>
      </c>
      <c r="AT578">
        <v>1950</v>
      </c>
      <c r="BN578" t="s">
        <v>178</v>
      </c>
      <c r="BO578">
        <v>2</v>
      </c>
      <c r="BP578">
        <v>2</v>
      </c>
      <c r="BQ578">
        <v>4</v>
      </c>
      <c r="BR578" t="s">
        <v>521</v>
      </c>
      <c r="BS578" t="s">
        <v>180</v>
      </c>
      <c r="BT578" t="s">
        <v>181</v>
      </c>
      <c r="BU578" s="1">
        <v>45474</v>
      </c>
      <c r="BV578">
        <v>34716</v>
      </c>
      <c r="BX578" t="s">
        <v>170</v>
      </c>
      <c r="BY578" t="s">
        <v>170</v>
      </c>
      <c r="CB578" t="s">
        <v>170</v>
      </c>
      <c r="CC578" t="s">
        <v>170</v>
      </c>
      <c r="CE578" t="s">
        <v>170</v>
      </c>
      <c r="CG578" t="s">
        <v>169</v>
      </c>
      <c r="CH578" t="s">
        <v>276</v>
      </c>
      <c r="CI578" t="s">
        <v>170</v>
      </c>
      <c r="DJ578" t="s">
        <v>184</v>
      </c>
      <c r="DK578" t="s">
        <v>185</v>
      </c>
      <c r="DN578" t="s">
        <v>170</v>
      </c>
      <c r="DO578" t="s">
        <v>602</v>
      </c>
      <c r="DP578" t="s">
        <v>170</v>
      </c>
      <c r="DQ578" t="s">
        <v>187</v>
      </c>
      <c r="DY578">
        <v>35.9</v>
      </c>
      <c r="EB578">
        <v>5</v>
      </c>
      <c r="EC578">
        <v>5</v>
      </c>
      <c r="EE578" t="s">
        <v>603</v>
      </c>
      <c r="EF578">
        <v>4</v>
      </c>
      <c r="EV578">
        <v>250</v>
      </c>
      <c r="EW578">
        <v>382</v>
      </c>
      <c r="EX578">
        <v>274</v>
      </c>
      <c r="EY578">
        <v>334</v>
      </c>
    </row>
    <row r="579" spans="1:155" x14ac:dyDescent="0.35">
      <c r="A579">
        <v>2025</v>
      </c>
      <c r="B579" t="s">
        <v>272</v>
      </c>
      <c r="C579" t="s">
        <v>272</v>
      </c>
      <c r="D579" t="s">
        <v>776</v>
      </c>
      <c r="E579" t="s">
        <v>274</v>
      </c>
      <c r="F579">
        <v>308</v>
      </c>
      <c r="G579">
        <v>2.5</v>
      </c>
      <c r="H579">
        <v>4</v>
      </c>
      <c r="I579" t="s">
        <v>200</v>
      </c>
      <c r="J579">
        <v>26</v>
      </c>
      <c r="K579">
        <v>36</v>
      </c>
      <c r="L579">
        <v>30</v>
      </c>
      <c r="M579">
        <v>34.1</v>
      </c>
      <c r="N579">
        <v>53.449599999999997</v>
      </c>
      <c r="O579">
        <v>40.736199999999997</v>
      </c>
      <c r="P579">
        <v>26.238800000000001</v>
      </c>
      <c r="Q579">
        <v>36.482900000000001</v>
      </c>
      <c r="R579">
        <v>30.033799999999999</v>
      </c>
      <c r="U579" t="s">
        <v>224</v>
      </c>
      <c r="V579" t="s">
        <v>201</v>
      </c>
      <c r="W579" t="s">
        <v>202</v>
      </c>
      <c r="Y579">
        <v>6</v>
      </c>
      <c r="Z579" t="s">
        <v>170</v>
      </c>
      <c r="AA579" t="s">
        <v>170</v>
      </c>
      <c r="AB579" t="s">
        <v>351</v>
      </c>
      <c r="AC579" t="s">
        <v>352</v>
      </c>
      <c r="AD579">
        <v>10</v>
      </c>
      <c r="AG579" t="s">
        <v>210</v>
      </c>
      <c r="AH579" t="s">
        <v>444</v>
      </c>
      <c r="AI579" t="s">
        <v>175</v>
      </c>
      <c r="AJ579" t="s">
        <v>176</v>
      </c>
      <c r="AK579" t="s">
        <v>170</v>
      </c>
      <c r="AL579" t="s">
        <v>177</v>
      </c>
      <c r="AQ579">
        <v>93</v>
      </c>
      <c r="AR579">
        <v>20</v>
      </c>
      <c r="AS579">
        <v>1750</v>
      </c>
      <c r="AT579">
        <v>1750</v>
      </c>
      <c r="BN579" t="s">
        <v>178</v>
      </c>
      <c r="BO579">
        <v>2</v>
      </c>
      <c r="BP579">
        <v>2</v>
      </c>
      <c r="BQ579">
        <v>5</v>
      </c>
      <c r="BR579" t="s">
        <v>672</v>
      </c>
      <c r="BS579" t="s">
        <v>180</v>
      </c>
      <c r="BT579" t="s">
        <v>181</v>
      </c>
      <c r="BU579" s="1">
        <v>45474</v>
      </c>
      <c r="BV579">
        <v>34711</v>
      </c>
      <c r="BX579" t="s">
        <v>170</v>
      </c>
      <c r="BY579" t="s">
        <v>170</v>
      </c>
      <c r="CB579" t="s">
        <v>170</v>
      </c>
      <c r="CC579" t="s">
        <v>170</v>
      </c>
      <c r="CD579" t="s">
        <v>597</v>
      </c>
      <c r="CE579" t="s">
        <v>169</v>
      </c>
      <c r="CF579" t="s">
        <v>598</v>
      </c>
      <c r="CG579" t="s">
        <v>169</v>
      </c>
      <c r="CH579" t="s">
        <v>276</v>
      </c>
      <c r="CI579" t="s">
        <v>170</v>
      </c>
      <c r="DJ579" t="s">
        <v>184</v>
      </c>
      <c r="DK579" t="s">
        <v>185</v>
      </c>
      <c r="DN579" t="s">
        <v>170</v>
      </c>
      <c r="DO579" t="s">
        <v>277</v>
      </c>
      <c r="DP579" t="s">
        <v>170</v>
      </c>
      <c r="DQ579" t="s">
        <v>187</v>
      </c>
      <c r="DY579">
        <v>41</v>
      </c>
      <c r="EB579">
        <v>6</v>
      </c>
      <c r="EC579">
        <v>6</v>
      </c>
      <c r="EE579" t="s">
        <v>599</v>
      </c>
      <c r="EF579">
        <v>6</v>
      </c>
      <c r="EU579">
        <v>750</v>
      </c>
      <c r="EW579">
        <v>339</v>
      </c>
      <c r="EX579">
        <v>244</v>
      </c>
      <c r="EY579">
        <v>296</v>
      </c>
    </row>
    <row r="580" spans="1:155" x14ac:dyDescent="0.35">
      <c r="A580">
        <v>2025</v>
      </c>
      <c r="B580" t="s">
        <v>272</v>
      </c>
      <c r="C580" t="s">
        <v>272</v>
      </c>
      <c r="D580" t="s">
        <v>776</v>
      </c>
      <c r="E580" t="s">
        <v>274</v>
      </c>
      <c r="F580">
        <v>309</v>
      </c>
      <c r="G580">
        <v>2.5</v>
      </c>
      <c r="H580">
        <v>4</v>
      </c>
      <c r="I580" t="s">
        <v>275</v>
      </c>
      <c r="J580">
        <v>27</v>
      </c>
      <c r="K580">
        <v>35</v>
      </c>
      <c r="L580">
        <v>30</v>
      </c>
      <c r="M580">
        <v>35.368400000000001</v>
      </c>
      <c r="N580">
        <v>51.145899999999997</v>
      </c>
      <c r="O580">
        <v>41.069499999999998</v>
      </c>
      <c r="P580">
        <v>27.1065</v>
      </c>
      <c r="Q580">
        <v>35.086599999999997</v>
      </c>
      <c r="R580">
        <v>30.197099999999999</v>
      </c>
      <c r="U580" t="s">
        <v>224</v>
      </c>
      <c r="V580" t="s">
        <v>193</v>
      </c>
      <c r="W580" t="s">
        <v>194</v>
      </c>
      <c r="Y580">
        <v>6</v>
      </c>
      <c r="Z580" t="s">
        <v>169</v>
      </c>
      <c r="AA580" t="s">
        <v>170</v>
      </c>
      <c r="AB580" t="s">
        <v>351</v>
      </c>
      <c r="AC580" t="s">
        <v>352</v>
      </c>
      <c r="AD580">
        <v>10</v>
      </c>
      <c r="AG580" t="s">
        <v>210</v>
      </c>
      <c r="AH580" t="s">
        <v>444</v>
      </c>
      <c r="AI580" t="s">
        <v>175</v>
      </c>
      <c r="AJ580" t="s">
        <v>176</v>
      </c>
      <c r="AK580" t="s">
        <v>170</v>
      </c>
      <c r="AL580" t="s">
        <v>177</v>
      </c>
      <c r="AQ580">
        <v>93</v>
      </c>
      <c r="AR580">
        <v>20</v>
      </c>
      <c r="AS580">
        <v>1750</v>
      </c>
      <c r="AT580">
        <v>1750</v>
      </c>
      <c r="BN580" t="s">
        <v>178</v>
      </c>
      <c r="BO580">
        <v>2</v>
      </c>
      <c r="BP580">
        <v>2</v>
      </c>
      <c r="BQ580">
        <v>5</v>
      </c>
      <c r="BR580" t="s">
        <v>672</v>
      </c>
      <c r="BS580" t="s">
        <v>180</v>
      </c>
      <c r="BT580" t="s">
        <v>181</v>
      </c>
      <c r="BU580" s="1">
        <v>45474</v>
      </c>
      <c r="BV580">
        <v>34714</v>
      </c>
      <c r="BX580" t="s">
        <v>169</v>
      </c>
      <c r="BY580" t="s">
        <v>170</v>
      </c>
      <c r="CB580" t="s">
        <v>170</v>
      </c>
      <c r="CC580" t="s">
        <v>170</v>
      </c>
      <c r="CD580" t="s">
        <v>597</v>
      </c>
      <c r="CE580" t="s">
        <v>169</v>
      </c>
      <c r="CF580" t="s">
        <v>598</v>
      </c>
      <c r="CG580" t="s">
        <v>169</v>
      </c>
      <c r="CH580" t="s">
        <v>276</v>
      </c>
      <c r="CI580" t="s">
        <v>170</v>
      </c>
      <c r="DJ580" t="s">
        <v>184</v>
      </c>
      <c r="DK580" t="s">
        <v>185</v>
      </c>
      <c r="DN580" t="s">
        <v>170</v>
      </c>
      <c r="DO580" t="s">
        <v>277</v>
      </c>
      <c r="DP580" t="s">
        <v>170</v>
      </c>
      <c r="DQ580" t="s">
        <v>187</v>
      </c>
      <c r="DY580">
        <v>41.3</v>
      </c>
      <c r="EB580">
        <v>6</v>
      </c>
      <c r="EC580">
        <v>6</v>
      </c>
      <c r="EE580" t="s">
        <v>599</v>
      </c>
      <c r="EF580">
        <v>6</v>
      </c>
      <c r="EU580">
        <v>750</v>
      </c>
      <c r="EW580">
        <v>327</v>
      </c>
      <c r="EX580">
        <v>253</v>
      </c>
      <c r="EY580">
        <v>294</v>
      </c>
    </row>
    <row r="581" spans="1:155" x14ac:dyDescent="0.35">
      <c r="A581">
        <v>2025</v>
      </c>
      <c r="B581" t="s">
        <v>272</v>
      </c>
      <c r="C581" t="s">
        <v>272</v>
      </c>
      <c r="D581" t="s">
        <v>777</v>
      </c>
      <c r="E581" t="s">
        <v>274</v>
      </c>
      <c r="F581">
        <v>310</v>
      </c>
      <c r="G581">
        <v>2.5</v>
      </c>
      <c r="H581">
        <v>4</v>
      </c>
      <c r="I581" t="s">
        <v>275</v>
      </c>
      <c r="J581">
        <v>26</v>
      </c>
      <c r="K581">
        <v>33</v>
      </c>
      <c r="L581">
        <v>29</v>
      </c>
      <c r="M581">
        <v>33.6</v>
      </c>
      <c r="N581">
        <v>47.096600000000002</v>
      </c>
      <c r="O581">
        <v>38.5745</v>
      </c>
      <c r="P581">
        <v>25.8948</v>
      </c>
      <c r="Q581">
        <v>32.5976</v>
      </c>
      <c r="R581">
        <v>28.5352</v>
      </c>
      <c r="U581" t="s">
        <v>224</v>
      </c>
      <c r="V581" t="s">
        <v>193</v>
      </c>
      <c r="W581" t="s">
        <v>194</v>
      </c>
      <c r="Y581">
        <v>6</v>
      </c>
      <c r="Z581" t="s">
        <v>169</v>
      </c>
      <c r="AA581" t="s">
        <v>170</v>
      </c>
      <c r="AB581">
        <v>4</v>
      </c>
      <c r="AC581" t="s">
        <v>601</v>
      </c>
      <c r="AD581">
        <v>10</v>
      </c>
      <c r="AG581" t="s">
        <v>210</v>
      </c>
      <c r="AH581" t="s">
        <v>444</v>
      </c>
      <c r="AI581" t="s">
        <v>175</v>
      </c>
      <c r="AJ581" t="s">
        <v>176</v>
      </c>
      <c r="AK581" t="s">
        <v>170</v>
      </c>
      <c r="AL581" t="s">
        <v>177</v>
      </c>
      <c r="AQ581">
        <v>93</v>
      </c>
      <c r="AR581">
        <v>20</v>
      </c>
      <c r="AS581">
        <v>1800</v>
      </c>
      <c r="AT581">
        <v>1800</v>
      </c>
      <c r="BN581" t="s">
        <v>178</v>
      </c>
      <c r="BO581">
        <v>2</v>
      </c>
      <c r="BP581">
        <v>2</v>
      </c>
      <c r="BQ581">
        <v>5</v>
      </c>
      <c r="BR581" t="s">
        <v>672</v>
      </c>
      <c r="BS581" t="s">
        <v>180</v>
      </c>
      <c r="BT581" t="s">
        <v>181</v>
      </c>
      <c r="BU581" s="1">
        <v>45474</v>
      </c>
      <c r="BV581">
        <v>34713</v>
      </c>
      <c r="BX581" t="s">
        <v>169</v>
      </c>
      <c r="BY581" t="s">
        <v>170</v>
      </c>
      <c r="CB581" t="s">
        <v>170</v>
      </c>
      <c r="CC581" t="s">
        <v>170</v>
      </c>
      <c r="CD581" t="s">
        <v>597</v>
      </c>
      <c r="CE581" t="s">
        <v>169</v>
      </c>
      <c r="CF581" t="s">
        <v>598</v>
      </c>
      <c r="CG581" t="s">
        <v>169</v>
      </c>
      <c r="CH581" t="s">
        <v>276</v>
      </c>
      <c r="CI581" t="s">
        <v>170</v>
      </c>
      <c r="DJ581" t="s">
        <v>184</v>
      </c>
      <c r="DK581" t="s">
        <v>185</v>
      </c>
      <c r="DN581" t="s">
        <v>170</v>
      </c>
      <c r="DO581" t="s">
        <v>277</v>
      </c>
      <c r="DP581" t="s">
        <v>170</v>
      </c>
      <c r="DQ581" t="s">
        <v>187</v>
      </c>
      <c r="DY581">
        <v>38.799999999999997</v>
      </c>
      <c r="EB581">
        <v>6</v>
      </c>
      <c r="EC581">
        <v>6</v>
      </c>
      <c r="EE581" t="s">
        <v>599</v>
      </c>
      <c r="EF581">
        <v>6</v>
      </c>
      <c r="EU581">
        <v>500</v>
      </c>
      <c r="EW581">
        <v>343</v>
      </c>
      <c r="EX581">
        <v>272</v>
      </c>
      <c r="EY581">
        <v>311</v>
      </c>
    </row>
    <row r="582" spans="1:155" x14ac:dyDescent="0.35">
      <c r="A582">
        <v>2025</v>
      </c>
      <c r="B582" t="s">
        <v>272</v>
      </c>
      <c r="C582" t="s">
        <v>272</v>
      </c>
      <c r="D582" t="s">
        <v>777</v>
      </c>
      <c r="E582" t="s">
        <v>274</v>
      </c>
      <c r="F582">
        <v>316</v>
      </c>
      <c r="G582">
        <v>2.5</v>
      </c>
      <c r="H582">
        <v>4</v>
      </c>
      <c r="I582" t="s">
        <v>275</v>
      </c>
      <c r="J582">
        <v>23</v>
      </c>
      <c r="K582">
        <v>31</v>
      </c>
      <c r="L582">
        <v>26</v>
      </c>
      <c r="M582">
        <v>30</v>
      </c>
      <c r="N582">
        <v>45</v>
      </c>
      <c r="O582">
        <v>35.2941</v>
      </c>
      <c r="P582">
        <v>23.3858</v>
      </c>
      <c r="Q582">
        <v>31.291399999999999</v>
      </c>
      <c r="R582">
        <v>26.3856</v>
      </c>
      <c r="T582" t="s">
        <v>165</v>
      </c>
      <c r="U582" t="s">
        <v>166</v>
      </c>
      <c r="V582" t="s">
        <v>193</v>
      </c>
      <c r="W582" t="s">
        <v>194</v>
      </c>
      <c r="Y582">
        <v>6</v>
      </c>
      <c r="Z582" t="s">
        <v>169</v>
      </c>
      <c r="AA582" t="s">
        <v>170</v>
      </c>
      <c r="AB582">
        <v>4</v>
      </c>
      <c r="AC582" t="s">
        <v>601</v>
      </c>
      <c r="AD582">
        <v>10</v>
      </c>
      <c r="AG582" t="s">
        <v>210</v>
      </c>
      <c r="AH582" t="s">
        <v>444</v>
      </c>
      <c r="AI582" t="s">
        <v>175</v>
      </c>
      <c r="AJ582" t="s">
        <v>176</v>
      </c>
      <c r="AK582" t="s">
        <v>170</v>
      </c>
      <c r="AL582" t="s">
        <v>177</v>
      </c>
      <c r="AQ582">
        <v>93</v>
      </c>
      <c r="AR582">
        <v>20</v>
      </c>
      <c r="AS582">
        <v>2000</v>
      </c>
      <c r="AT582">
        <v>2000</v>
      </c>
      <c r="BN582" t="s">
        <v>178</v>
      </c>
      <c r="BO582">
        <v>2</v>
      </c>
      <c r="BP582">
        <v>2</v>
      </c>
      <c r="BQ582">
        <v>5</v>
      </c>
      <c r="BR582" t="s">
        <v>672</v>
      </c>
      <c r="BS582" t="s">
        <v>180</v>
      </c>
      <c r="BT582" t="s">
        <v>181</v>
      </c>
      <c r="BU582" s="1">
        <v>45474</v>
      </c>
      <c r="BV582">
        <v>34718</v>
      </c>
      <c r="BX582" t="s">
        <v>169</v>
      </c>
      <c r="BY582" t="s">
        <v>170</v>
      </c>
      <c r="CB582" t="s">
        <v>170</v>
      </c>
      <c r="CC582" t="s">
        <v>170</v>
      </c>
      <c r="CE582" t="s">
        <v>170</v>
      </c>
      <c r="CG582" t="s">
        <v>169</v>
      </c>
      <c r="CH582" t="s">
        <v>276</v>
      </c>
      <c r="CI582" t="s">
        <v>170</v>
      </c>
      <c r="DJ582" t="s">
        <v>184</v>
      </c>
      <c r="DK582" t="s">
        <v>185</v>
      </c>
      <c r="DN582" t="s">
        <v>170</v>
      </c>
      <c r="DO582" t="s">
        <v>602</v>
      </c>
      <c r="DP582" t="s">
        <v>170</v>
      </c>
      <c r="DQ582" t="s">
        <v>187</v>
      </c>
      <c r="DY582">
        <v>35.5</v>
      </c>
      <c r="EB582">
        <v>5</v>
      </c>
      <c r="EC582">
        <v>5</v>
      </c>
      <c r="EE582" t="s">
        <v>603</v>
      </c>
      <c r="EF582">
        <v>4</v>
      </c>
      <c r="EV582">
        <v>500</v>
      </c>
      <c r="EW582">
        <v>380</v>
      </c>
      <c r="EX582">
        <v>285</v>
      </c>
      <c r="EY582">
        <v>337</v>
      </c>
    </row>
    <row r="583" spans="1:155" x14ac:dyDescent="0.35">
      <c r="A583">
        <v>2025</v>
      </c>
      <c r="B583" t="s">
        <v>272</v>
      </c>
      <c r="C583" t="s">
        <v>272</v>
      </c>
      <c r="D583" t="s">
        <v>273</v>
      </c>
      <c r="E583" t="s">
        <v>274</v>
      </c>
      <c r="F583">
        <v>401</v>
      </c>
      <c r="G583">
        <v>2</v>
      </c>
      <c r="H583">
        <v>4</v>
      </c>
      <c r="I583" t="s">
        <v>200</v>
      </c>
      <c r="J583">
        <v>26</v>
      </c>
      <c r="K583">
        <v>34</v>
      </c>
      <c r="L583">
        <v>29</v>
      </c>
      <c r="M583">
        <v>34</v>
      </c>
      <c r="N583">
        <v>48.6</v>
      </c>
      <c r="O583">
        <v>39.314799999999998</v>
      </c>
      <c r="P583">
        <v>26.170100000000001</v>
      </c>
      <c r="Q583">
        <v>33.526899999999998</v>
      </c>
      <c r="R583">
        <v>29.037299999999998</v>
      </c>
      <c r="U583" t="s">
        <v>224</v>
      </c>
      <c r="V583" t="s">
        <v>201</v>
      </c>
      <c r="W583" t="s">
        <v>202</v>
      </c>
      <c r="Y583">
        <v>6</v>
      </c>
      <c r="Z583" t="s">
        <v>170</v>
      </c>
      <c r="AA583" t="s">
        <v>169</v>
      </c>
      <c r="AB583" t="s">
        <v>171</v>
      </c>
      <c r="AC583" t="s">
        <v>172</v>
      </c>
      <c r="AD583">
        <v>10</v>
      </c>
      <c r="AG583" t="s">
        <v>173</v>
      </c>
      <c r="AH583" t="s">
        <v>174</v>
      </c>
      <c r="AI583" t="s">
        <v>175</v>
      </c>
      <c r="AJ583" t="s">
        <v>176</v>
      </c>
      <c r="AK583" t="s">
        <v>170</v>
      </c>
      <c r="AL583" t="s">
        <v>177</v>
      </c>
      <c r="AS583">
        <v>2200</v>
      </c>
      <c r="AT583">
        <v>2200</v>
      </c>
      <c r="BN583" t="s">
        <v>178</v>
      </c>
      <c r="BO583">
        <v>2</v>
      </c>
      <c r="BP583">
        <v>2</v>
      </c>
      <c r="BQ583">
        <v>1</v>
      </c>
      <c r="BR583" t="s">
        <v>179</v>
      </c>
      <c r="BS583" t="s">
        <v>180</v>
      </c>
      <c r="BT583" t="s">
        <v>181</v>
      </c>
      <c r="BU583" s="1">
        <v>45660</v>
      </c>
      <c r="BV583">
        <v>35827</v>
      </c>
      <c r="BX583" t="s">
        <v>170</v>
      </c>
      <c r="BY583" t="s">
        <v>170</v>
      </c>
      <c r="CB583" t="s">
        <v>170</v>
      </c>
      <c r="CC583" t="s">
        <v>170</v>
      </c>
      <c r="CE583" t="s">
        <v>170</v>
      </c>
      <c r="CG583" t="s">
        <v>169</v>
      </c>
      <c r="CH583" t="s">
        <v>276</v>
      </c>
      <c r="CI583" t="s">
        <v>170</v>
      </c>
      <c r="DJ583" t="s">
        <v>184</v>
      </c>
      <c r="DK583" t="s">
        <v>185</v>
      </c>
      <c r="DN583" t="s">
        <v>170</v>
      </c>
      <c r="DO583" t="s">
        <v>277</v>
      </c>
      <c r="DP583" t="s">
        <v>170</v>
      </c>
      <c r="DQ583" t="s">
        <v>187</v>
      </c>
      <c r="DY583">
        <v>39.6</v>
      </c>
      <c r="EB583">
        <v>6</v>
      </c>
      <c r="EC583">
        <v>6</v>
      </c>
      <c r="EE583" t="s">
        <v>278</v>
      </c>
      <c r="EF583">
        <v>2</v>
      </c>
      <c r="EV583">
        <v>1500</v>
      </c>
      <c r="EW583">
        <v>338</v>
      </c>
      <c r="EX583">
        <v>264</v>
      </c>
      <c r="EY583">
        <v>305</v>
      </c>
    </row>
    <row r="584" spans="1:155" x14ac:dyDescent="0.35">
      <c r="A584">
        <v>2025</v>
      </c>
      <c r="B584" t="s">
        <v>272</v>
      </c>
      <c r="C584" t="s">
        <v>272</v>
      </c>
      <c r="D584" t="s">
        <v>273</v>
      </c>
      <c r="E584" t="s">
        <v>274</v>
      </c>
      <c r="F584">
        <v>402</v>
      </c>
      <c r="G584">
        <v>2</v>
      </c>
      <c r="H584">
        <v>4</v>
      </c>
      <c r="I584" t="s">
        <v>275</v>
      </c>
      <c r="J584">
        <v>26</v>
      </c>
      <c r="K584">
        <v>35</v>
      </c>
      <c r="L584">
        <v>29</v>
      </c>
      <c r="M584">
        <v>33.906799999999997</v>
      </c>
      <c r="N584">
        <v>50.695599999999999</v>
      </c>
      <c r="O584">
        <v>39.844700000000003</v>
      </c>
      <c r="P584">
        <v>26.106000000000002</v>
      </c>
      <c r="Q584">
        <v>34.811999999999998</v>
      </c>
      <c r="R584">
        <v>29.416499999999999</v>
      </c>
      <c r="U584" t="s">
        <v>224</v>
      </c>
      <c r="V584" t="s">
        <v>193</v>
      </c>
      <c r="W584" t="s">
        <v>194</v>
      </c>
      <c r="Y584">
        <v>6</v>
      </c>
      <c r="Z584" t="s">
        <v>169</v>
      </c>
      <c r="AA584" t="s">
        <v>170</v>
      </c>
      <c r="AB584" t="s">
        <v>171</v>
      </c>
      <c r="AC584" t="s">
        <v>172</v>
      </c>
      <c r="AD584">
        <v>10</v>
      </c>
      <c r="AG584" t="s">
        <v>173</v>
      </c>
      <c r="AH584" t="s">
        <v>174</v>
      </c>
      <c r="AI584" t="s">
        <v>175</v>
      </c>
      <c r="AJ584" t="s">
        <v>176</v>
      </c>
      <c r="AK584" t="s">
        <v>170</v>
      </c>
      <c r="AL584" t="s">
        <v>177</v>
      </c>
      <c r="AS584">
        <v>2200</v>
      </c>
      <c r="AT584">
        <v>2200</v>
      </c>
      <c r="BN584" t="s">
        <v>178</v>
      </c>
      <c r="BO584">
        <v>2</v>
      </c>
      <c r="BP584">
        <v>2</v>
      </c>
      <c r="BQ584">
        <v>1</v>
      </c>
      <c r="BR584" t="s">
        <v>179</v>
      </c>
      <c r="BS584" t="s">
        <v>180</v>
      </c>
      <c r="BT584" t="s">
        <v>181</v>
      </c>
      <c r="BU584" s="1">
        <v>45660</v>
      </c>
      <c r="BV584">
        <v>35828</v>
      </c>
      <c r="BX584" t="s">
        <v>170</v>
      </c>
      <c r="BY584" t="s">
        <v>170</v>
      </c>
      <c r="CB584" t="s">
        <v>170</v>
      </c>
      <c r="CC584" t="s">
        <v>170</v>
      </c>
      <c r="CE584" t="s">
        <v>170</v>
      </c>
      <c r="CG584" t="s">
        <v>169</v>
      </c>
      <c r="CH584" t="s">
        <v>276</v>
      </c>
      <c r="CI584" t="s">
        <v>170</v>
      </c>
      <c r="DJ584" t="s">
        <v>184</v>
      </c>
      <c r="DK584" t="s">
        <v>185</v>
      </c>
      <c r="DN584" t="s">
        <v>170</v>
      </c>
      <c r="DO584" t="s">
        <v>277</v>
      </c>
      <c r="DP584" t="s">
        <v>170</v>
      </c>
      <c r="DQ584" t="s">
        <v>187</v>
      </c>
      <c r="DY584">
        <v>40.1</v>
      </c>
      <c r="EB584">
        <v>6</v>
      </c>
      <c r="EC584">
        <v>6</v>
      </c>
      <c r="EE584" t="s">
        <v>278</v>
      </c>
      <c r="EF584">
        <v>2</v>
      </c>
      <c r="EV584">
        <v>1500</v>
      </c>
      <c r="EW584">
        <v>339</v>
      </c>
      <c r="EX584">
        <v>254</v>
      </c>
      <c r="EY584">
        <v>301</v>
      </c>
    </row>
    <row r="585" spans="1:155" x14ac:dyDescent="0.35">
      <c r="A585">
        <v>2025</v>
      </c>
      <c r="B585" t="s">
        <v>279</v>
      </c>
      <c r="C585" t="s">
        <v>279</v>
      </c>
      <c r="D585" t="s">
        <v>604</v>
      </c>
      <c r="E585" t="s">
        <v>281</v>
      </c>
      <c r="F585">
        <v>312</v>
      </c>
      <c r="G585">
        <v>2</v>
      </c>
      <c r="H585">
        <v>4</v>
      </c>
      <c r="I585" t="s">
        <v>282</v>
      </c>
      <c r="J585">
        <v>19</v>
      </c>
      <c r="K585">
        <v>27</v>
      </c>
      <c r="L585">
        <v>22</v>
      </c>
      <c r="M585">
        <v>23.7</v>
      </c>
      <c r="N585">
        <v>38</v>
      </c>
      <c r="O585">
        <v>28.531600000000001</v>
      </c>
      <c r="P585">
        <v>18.8536</v>
      </c>
      <c r="Q585">
        <v>26.840699999999998</v>
      </c>
      <c r="R585">
        <v>21.768599999999999</v>
      </c>
      <c r="T585" t="s">
        <v>165</v>
      </c>
      <c r="U585" t="s">
        <v>166</v>
      </c>
      <c r="V585" t="s">
        <v>167</v>
      </c>
      <c r="W585" t="s">
        <v>168</v>
      </c>
      <c r="Y585">
        <v>9</v>
      </c>
      <c r="Z585" t="s">
        <v>169</v>
      </c>
      <c r="AA585" t="s">
        <v>170</v>
      </c>
      <c r="AB585" t="s">
        <v>167</v>
      </c>
      <c r="AC585" t="s">
        <v>213</v>
      </c>
      <c r="AD585">
        <v>10</v>
      </c>
      <c r="AG585" t="s">
        <v>214</v>
      </c>
      <c r="AH585" t="s">
        <v>215</v>
      </c>
      <c r="AI585" t="s">
        <v>175</v>
      </c>
      <c r="AJ585" t="s">
        <v>176</v>
      </c>
      <c r="AK585" t="s">
        <v>170</v>
      </c>
      <c r="AL585" t="s">
        <v>177</v>
      </c>
      <c r="AO585">
        <v>93</v>
      </c>
      <c r="AP585">
        <v>12</v>
      </c>
      <c r="AS585">
        <v>2900</v>
      </c>
      <c r="AT585">
        <v>2900</v>
      </c>
      <c r="BN585" t="s">
        <v>338</v>
      </c>
      <c r="BO585">
        <v>2</v>
      </c>
      <c r="BP585">
        <v>2</v>
      </c>
      <c r="BQ585">
        <v>4</v>
      </c>
      <c r="BR585" t="s">
        <v>521</v>
      </c>
      <c r="BS585" t="s">
        <v>180</v>
      </c>
      <c r="BT585" t="s">
        <v>181</v>
      </c>
      <c r="BU585" s="1">
        <v>45513</v>
      </c>
      <c r="BV585">
        <v>35382</v>
      </c>
      <c r="BY585" t="s">
        <v>170</v>
      </c>
      <c r="CB585" t="s">
        <v>170</v>
      </c>
      <c r="CC585" t="s">
        <v>170</v>
      </c>
      <c r="CD585" t="s">
        <v>339</v>
      </c>
      <c r="CE585" t="s">
        <v>170</v>
      </c>
      <c r="CG585" t="s">
        <v>169</v>
      </c>
      <c r="CH585" t="s">
        <v>284</v>
      </c>
      <c r="CI585" t="s">
        <v>169</v>
      </c>
      <c r="CJ585" t="s">
        <v>340</v>
      </c>
      <c r="CK585" t="s">
        <v>233</v>
      </c>
      <c r="CM585">
        <v>1</v>
      </c>
      <c r="CN585" t="s">
        <v>234</v>
      </c>
      <c r="CP585">
        <v>48</v>
      </c>
      <c r="CQ585">
        <v>20</v>
      </c>
      <c r="CR585">
        <v>80</v>
      </c>
      <c r="CS585" t="s">
        <v>235</v>
      </c>
      <c r="CV585" t="s">
        <v>341</v>
      </c>
      <c r="CX585" t="s">
        <v>342</v>
      </c>
      <c r="CY585" t="s">
        <v>170</v>
      </c>
      <c r="DC585" t="s">
        <v>343</v>
      </c>
      <c r="DD585">
        <v>1</v>
      </c>
      <c r="DE585" t="s">
        <v>344</v>
      </c>
      <c r="DG585">
        <v>10</v>
      </c>
      <c r="DJ585" t="s">
        <v>184</v>
      </c>
      <c r="DK585" t="s">
        <v>185</v>
      </c>
      <c r="DL585" t="s">
        <v>170</v>
      </c>
      <c r="DM585" t="s">
        <v>170</v>
      </c>
      <c r="DN585" t="s">
        <v>170</v>
      </c>
      <c r="DO585" t="s">
        <v>345</v>
      </c>
      <c r="DP585" t="s">
        <v>169</v>
      </c>
      <c r="DQ585" t="s">
        <v>198</v>
      </c>
      <c r="DR585" t="s">
        <v>604</v>
      </c>
      <c r="DY585">
        <v>28.7</v>
      </c>
      <c r="EB585">
        <v>5</v>
      </c>
      <c r="EC585">
        <v>5</v>
      </c>
      <c r="EE585" t="s">
        <v>346</v>
      </c>
      <c r="EF585">
        <v>4</v>
      </c>
      <c r="EV585">
        <v>5000</v>
      </c>
      <c r="EW585">
        <v>468</v>
      </c>
      <c r="EX585">
        <v>329</v>
      </c>
      <c r="EY585">
        <v>405</v>
      </c>
    </row>
    <row r="586" spans="1:155" x14ac:dyDescent="0.35">
      <c r="A586">
        <v>2025</v>
      </c>
      <c r="B586" t="s">
        <v>279</v>
      </c>
      <c r="C586" t="s">
        <v>279</v>
      </c>
      <c r="D586" t="s">
        <v>605</v>
      </c>
      <c r="E586" t="s">
        <v>281</v>
      </c>
      <c r="F586">
        <v>182</v>
      </c>
      <c r="G586">
        <v>2</v>
      </c>
      <c r="H586">
        <v>4</v>
      </c>
      <c r="I586" t="s">
        <v>248</v>
      </c>
      <c r="J586">
        <v>22</v>
      </c>
      <c r="K586">
        <v>29</v>
      </c>
      <c r="L586">
        <v>25</v>
      </c>
      <c r="M586">
        <v>27.7</v>
      </c>
      <c r="N586">
        <v>41.8</v>
      </c>
      <c r="O586">
        <v>32.657200000000003</v>
      </c>
      <c r="P586">
        <v>21.752400000000002</v>
      </c>
      <c r="Q586">
        <v>29.274100000000001</v>
      </c>
      <c r="R586">
        <v>24.596299999999999</v>
      </c>
      <c r="T586" t="s">
        <v>165</v>
      </c>
      <c r="U586" t="s">
        <v>166</v>
      </c>
      <c r="V586" t="s">
        <v>249</v>
      </c>
      <c r="W586" t="s">
        <v>250</v>
      </c>
      <c r="Y586">
        <v>8</v>
      </c>
      <c r="Z586" t="s">
        <v>169</v>
      </c>
      <c r="AA586" t="s">
        <v>170</v>
      </c>
      <c r="AB586" t="s">
        <v>167</v>
      </c>
      <c r="AC586" t="s">
        <v>213</v>
      </c>
      <c r="AD586">
        <v>10</v>
      </c>
      <c r="AG586" t="s">
        <v>214</v>
      </c>
      <c r="AH586" t="s">
        <v>215</v>
      </c>
      <c r="AI586" t="s">
        <v>175</v>
      </c>
      <c r="AJ586" t="s">
        <v>176</v>
      </c>
      <c r="AK586" t="s">
        <v>170</v>
      </c>
      <c r="AL586" t="s">
        <v>177</v>
      </c>
      <c r="AO586">
        <v>89</v>
      </c>
      <c r="AP586">
        <v>12</v>
      </c>
      <c r="AS586">
        <v>2550</v>
      </c>
      <c r="AT586">
        <v>2550</v>
      </c>
      <c r="BN586" t="s">
        <v>338</v>
      </c>
      <c r="BO586">
        <v>2</v>
      </c>
      <c r="BP586">
        <v>2</v>
      </c>
      <c r="BQ586">
        <v>4</v>
      </c>
      <c r="BR586" t="s">
        <v>521</v>
      </c>
      <c r="BS586" t="s">
        <v>180</v>
      </c>
      <c r="BT586" t="s">
        <v>181</v>
      </c>
      <c r="BU586" s="1">
        <v>45429</v>
      </c>
      <c r="BV586">
        <v>34798</v>
      </c>
      <c r="BY586" t="s">
        <v>170</v>
      </c>
      <c r="CB586" t="s">
        <v>170</v>
      </c>
      <c r="CC586" t="s">
        <v>170</v>
      </c>
      <c r="CE586" t="s">
        <v>170</v>
      </c>
      <c r="CG586" t="s">
        <v>169</v>
      </c>
      <c r="CH586" t="s">
        <v>284</v>
      </c>
      <c r="CI586" t="s">
        <v>169</v>
      </c>
      <c r="CJ586" t="s">
        <v>606</v>
      </c>
      <c r="CK586" t="s">
        <v>233</v>
      </c>
      <c r="CM586">
        <v>1</v>
      </c>
      <c r="CN586" t="s">
        <v>234</v>
      </c>
      <c r="CP586">
        <v>48</v>
      </c>
      <c r="CQ586">
        <v>7.6</v>
      </c>
      <c r="CR586">
        <v>53</v>
      </c>
      <c r="CS586" t="s">
        <v>235</v>
      </c>
      <c r="CV586" t="s">
        <v>341</v>
      </c>
      <c r="CX586" t="s">
        <v>342</v>
      </c>
      <c r="CY586" t="s">
        <v>170</v>
      </c>
      <c r="DD586">
        <v>1</v>
      </c>
      <c r="DE586" t="s">
        <v>404</v>
      </c>
      <c r="DF586" t="s">
        <v>499</v>
      </c>
      <c r="DG586">
        <v>10</v>
      </c>
      <c r="DJ586" t="s">
        <v>184</v>
      </c>
      <c r="DK586" t="s">
        <v>185</v>
      </c>
      <c r="DL586" t="s">
        <v>170</v>
      </c>
      <c r="DM586" t="s">
        <v>170</v>
      </c>
      <c r="DN586" t="s">
        <v>170</v>
      </c>
      <c r="DO586" t="s">
        <v>259</v>
      </c>
      <c r="DP586" t="s">
        <v>169</v>
      </c>
      <c r="DQ586" t="s">
        <v>198</v>
      </c>
      <c r="DR586" t="s">
        <v>605</v>
      </c>
      <c r="DY586">
        <v>32.9</v>
      </c>
      <c r="EB586">
        <v>5</v>
      </c>
      <c r="EC586">
        <v>5</v>
      </c>
      <c r="EE586" t="s">
        <v>607</v>
      </c>
      <c r="EF586">
        <v>5</v>
      </c>
      <c r="EV586">
        <v>3250</v>
      </c>
      <c r="EW586">
        <v>409</v>
      </c>
      <c r="EX586">
        <v>304</v>
      </c>
      <c r="EY586">
        <v>362</v>
      </c>
    </row>
    <row r="587" spans="1:155" x14ac:dyDescent="0.35">
      <c r="A587">
        <v>2025</v>
      </c>
      <c r="B587" t="s">
        <v>279</v>
      </c>
      <c r="C587" t="s">
        <v>279</v>
      </c>
      <c r="D587" t="s">
        <v>608</v>
      </c>
      <c r="E587" t="s">
        <v>281</v>
      </c>
      <c r="F587">
        <v>211</v>
      </c>
      <c r="G587">
        <v>2</v>
      </c>
      <c r="H587">
        <v>4</v>
      </c>
      <c r="I587" t="s">
        <v>248</v>
      </c>
      <c r="J587">
        <v>20</v>
      </c>
      <c r="K587">
        <v>28</v>
      </c>
      <c r="L587">
        <v>23</v>
      </c>
      <c r="M587">
        <v>25.5</v>
      </c>
      <c r="N587">
        <v>39.9</v>
      </c>
      <c r="O587">
        <v>30.444299999999998</v>
      </c>
      <c r="P587">
        <v>20.167300000000001</v>
      </c>
      <c r="Q587">
        <v>28.0626</v>
      </c>
      <c r="R587">
        <v>23.090699999999998</v>
      </c>
      <c r="T587" t="s">
        <v>165</v>
      </c>
      <c r="U587" t="s">
        <v>166</v>
      </c>
      <c r="V587" t="s">
        <v>249</v>
      </c>
      <c r="W587" t="s">
        <v>250</v>
      </c>
      <c r="Y587">
        <v>8</v>
      </c>
      <c r="Z587" t="s">
        <v>169</v>
      </c>
      <c r="AA587" t="s">
        <v>170</v>
      </c>
      <c r="AB587" t="s">
        <v>167</v>
      </c>
      <c r="AC587" t="s">
        <v>213</v>
      </c>
      <c r="AD587">
        <v>10</v>
      </c>
      <c r="AG587" t="s">
        <v>214</v>
      </c>
      <c r="AH587" t="s">
        <v>215</v>
      </c>
      <c r="AI587" t="s">
        <v>175</v>
      </c>
      <c r="AJ587" t="s">
        <v>176</v>
      </c>
      <c r="AK587" t="s">
        <v>170</v>
      </c>
      <c r="AL587" t="s">
        <v>177</v>
      </c>
      <c r="AO587">
        <v>89</v>
      </c>
      <c r="AP587">
        <v>12</v>
      </c>
      <c r="AS587">
        <v>2750</v>
      </c>
      <c r="AT587">
        <v>2750</v>
      </c>
      <c r="BN587" t="s">
        <v>178</v>
      </c>
      <c r="BO587">
        <v>2</v>
      </c>
      <c r="BP587">
        <v>2</v>
      </c>
      <c r="BQ587">
        <v>4</v>
      </c>
      <c r="BR587" t="s">
        <v>521</v>
      </c>
      <c r="BS587" t="s">
        <v>180</v>
      </c>
      <c r="BT587" t="s">
        <v>181</v>
      </c>
      <c r="BU587" s="1">
        <v>45489</v>
      </c>
      <c r="BV587">
        <v>35188</v>
      </c>
      <c r="CB587" t="s">
        <v>170</v>
      </c>
      <c r="CC587" t="s">
        <v>170</v>
      </c>
      <c r="CD587" t="s">
        <v>609</v>
      </c>
      <c r="CE587" t="s">
        <v>170</v>
      </c>
      <c r="CG587" t="s">
        <v>169</v>
      </c>
      <c r="CH587" t="s">
        <v>284</v>
      </c>
      <c r="CI587" t="s">
        <v>169</v>
      </c>
      <c r="CJ587" t="s">
        <v>610</v>
      </c>
      <c r="DJ587" t="s">
        <v>184</v>
      </c>
      <c r="DK587" t="s">
        <v>185</v>
      </c>
      <c r="DN587" t="s">
        <v>170</v>
      </c>
      <c r="DO587" t="s">
        <v>197</v>
      </c>
      <c r="DP587" t="s">
        <v>169</v>
      </c>
      <c r="DQ587" t="s">
        <v>198</v>
      </c>
      <c r="DR587" t="s">
        <v>611</v>
      </c>
      <c r="DY587">
        <v>30.7</v>
      </c>
      <c r="EB587">
        <v>5</v>
      </c>
      <c r="EC587">
        <v>5</v>
      </c>
      <c r="EE587" t="s">
        <v>612</v>
      </c>
      <c r="EF587">
        <v>2</v>
      </c>
      <c r="EV587">
        <v>4250</v>
      </c>
      <c r="EW587">
        <v>438</v>
      </c>
      <c r="EX587">
        <v>308</v>
      </c>
      <c r="EY587">
        <v>379</v>
      </c>
    </row>
    <row r="588" spans="1:155" x14ac:dyDescent="0.35">
      <c r="A588">
        <v>2025</v>
      </c>
      <c r="B588" t="s">
        <v>279</v>
      </c>
      <c r="C588" t="s">
        <v>279</v>
      </c>
      <c r="D588" t="s">
        <v>483</v>
      </c>
      <c r="E588" t="s">
        <v>281</v>
      </c>
      <c r="F588">
        <v>344</v>
      </c>
      <c r="G588">
        <v>3</v>
      </c>
      <c r="H588">
        <v>6</v>
      </c>
      <c r="I588" t="s">
        <v>282</v>
      </c>
      <c r="J588">
        <v>19</v>
      </c>
      <c r="K588">
        <v>26</v>
      </c>
      <c r="L588">
        <v>22</v>
      </c>
      <c r="M588">
        <v>24.4</v>
      </c>
      <c r="N588">
        <v>36.200000000000003</v>
      </c>
      <c r="O588">
        <v>28.5944</v>
      </c>
      <c r="P588">
        <v>19.366299999999999</v>
      </c>
      <c r="Q588">
        <v>25.673500000000001</v>
      </c>
      <c r="R588">
        <v>21.773399999999999</v>
      </c>
      <c r="T588" t="s">
        <v>484</v>
      </c>
      <c r="U588" t="s">
        <v>485</v>
      </c>
      <c r="V588" t="s">
        <v>167</v>
      </c>
      <c r="W588" t="s">
        <v>168</v>
      </c>
      <c r="Y588">
        <v>9</v>
      </c>
      <c r="Z588" t="s">
        <v>169</v>
      </c>
      <c r="AA588" t="s">
        <v>170</v>
      </c>
      <c r="AB588" t="s">
        <v>167</v>
      </c>
      <c r="AC588" t="s">
        <v>213</v>
      </c>
      <c r="AD588">
        <v>10</v>
      </c>
      <c r="AG588" t="s">
        <v>214</v>
      </c>
      <c r="AH588" t="s">
        <v>215</v>
      </c>
      <c r="AI588" t="s">
        <v>175</v>
      </c>
      <c r="AJ588" t="s">
        <v>176</v>
      </c>
      <c r="AK588" t="s">
        <v>170</v>
      </c>
      <c r="AL588" t="s">
        <v>177</v>
      </c>
      <c r="AM588">
        <v>86</v>
      </c>
      <c r="AN588">
        <v>10</v>
      </c>
      <c r="AS588">
        <v>2900</v>
      </c>
      <c r="AT588">
        <v>2900</v>
      </c>
      <c r="BN588" t="s">
        <v>338</v>
      </c>
      <c r="BO588">
        <v>2</v>
      </c>
      <c r="BP588">
        <v>2</v>
      </c>
      <c r="BQ588">
        <v>3</v>
      </c>
      <c r="BR588" t="s">
        <v>387</v>
      </c>
      <c r="BS588" t="s">
        <v>180</v>
      </c>
      <c r="BT588" t="s">
        <v>181</v>
      </c>
      <c r="BU588" s="1">
        <v>45536</v>
      </c>
      <c r="BV588">
        <v>35114</v>
      </c>
      <c r="BY588" t="s">
        <v>170</v>
      </c>
      <c r="CB588" t="s">
        <v>170</v>
      </c>
      <c r="CC588" t="s">
        <v>170</v>
      </c>
      <c r="CD588" t="s">
        <v>486</v>
      </c>
      <c r="CE588" t="s">
        <v>170</v>
      </c>
      <c r="CG588" t="s">
        <v>169</v>
      </c>
      <c r="CH588" t="s">
        <v>284</v>
      </c>
      <c r="CI588" t="s">
        <v>169</v>
      </c>
      <c r="CJ588" t="s">
        <v>487</v>
      </c>
      <c r="CK588" t="s">
        <v>233</v>
      </c>
      <c r="CM588">
        <v>1</v>
      </c>
      <c r="CN588" t="s">
        <v>234</v>
      </c>
      <c r="CP588">
        <v>48</v>
      </c>
      <c r="CQ588">
        <v>20</v>
      </c>
      <c r="CR588">
        <v>80</v>
      </c>
      <c r="CS588" t="s">
        <v>235</v>
      </c>
      <c r="CV588" t="s">
        <v>341</v>
      </c>
      <c r="CX588" t="s">
        <v>342</v>
      </c>
      <c r="CY588" t="s">
        <v>170</v>
      </c>
      <c r="DC588" t="s">
        <v>488</v>
      </c>
      <c r="DD588">
        <v>1</v>
      </c>
      <c r="DE588" t="s">
        <v>404</v>
      </c>
      <c r="DF588" t="s">
        <v>489</v>
      </c>
      <c r="DG588">
        <v>15</v>
      </c>
      <c r="DJ588" t="s">
        <v>184</v>
      </c>
      <c r="DK588" t="s">
        <v>185</v>
      </c>
      <c r="DL588" t="s">
        <v>170</v>
      </c>
      <c r="DM588" t="s">
        <v>170</v>
      </c>
      <c r="DN588" t="s">
        <v>170</v>
      </c>
      <c r="DO588" t="s">
        <v>490</v>
      </c>
      <c r="DP588" t="s">
        <v>169</v>
      </c>
      <c r="DQ588" t="s">
        <v>198</v>
      </c>
      <c r="DR588" t="s">
        <v>491</v>
      </c>
      <c r="DY588">
        <v>28.8</v>
      </c>
      <c r="EB588">
        <v>5</v>
      </c>
      <c r="EC588">
        <v>5</v>
      </c>
      <c r="EE588" t="s">
        <v>492</v>
      </c>
      <c r="EF588">
        <v>6</v>
      </c>
      <c r="EV588">
        <v>5000</v>
      </c>
      <c r="EW588">
        <v>459</v>
      </c>
      <c r="EX588">
        <v>346</v>
      </c>
      <c r="EY588">
        <v>408</v>
      </c>
    </row>
    <row r="589" spans="1:155" x14ac:dyDescent="0.35">
      <c r="A589">
        <v>2025</v>
      </c>
      <c r="B589" t="s">
        <v>279</v>
      </c>
      <c r="C589" t="s">
        <v>279</v>
      </c>
      <c r="D589" t="s">
        <v>493</v>
      </c>
      <c r="E589" t="s">
        <v>281</v>
      </c>
      <c r="F589">
        <v>345</v>
      </c>
      <c r="G589">
        <v>3</v>
      </c>
      <c r="H589">
        <v>6</v>
      </c>
      <c r="I589" t="s">
        <v>282</v>
      </c>
      <c r="J589">
        <v>20</v>
      </c>
      <c r="K589">
        <v>27</v>
      </c>
      <c r="L589">
        <v>23</v>
      </c>
      <c r="M589">
        <v>25.3</v>
      </c>
      <c r="N589">
        <v>38.4</v>
      </c>
      <c r="O589">
        <v>29.888300000000001</v>
      </c>
      <c r="P589">
        <v>20.022099999999998</v>
      </c>
      <c r="Q589">
        <v>27.098800000000001</v>
      </c>
      <c r="R589">
        <v>22.688300000000002</v>
      </c>
      <c r="T589" t="s">
        <v>484</v>
      </c>
      <c r="U589" t="s">
        <v>485</v>
      </c>
      <c r="V589" t="s">
        <v>167</v>
      </c>
      <c r="W589" t="s">
        <v>168</v>
      </c>
      <c r="Y589">
        <v>9</v>
      </c>
      <c r="Z589" t="s">
        <v>169</v>
      </c>
      <c r="AA589" t="s">
        <v>170</v>
      </c>
      <c r="AB589" t="s">
        <v>167</v>
      </c>
      <c r="AC589" t="s">
        <v>213</v>
      </c>
      <c r="AD589">
        <v>10</v>
      </c>
      <c r="AG589" t="s">
        <v>214</v>
      </c>
      <c r="AH589" t="s">
        <v>215</v>
      </c>
      <c r="AI589" t="s">
        <v>175</v>
      </c>
      <c r="AJ589" t="s">
        <v>176</v>
      </c>
      <c r="AK589" t="s">
        <v>170</v>
      </c>
      <c r="AL589" t="s">
        <v>177</v>
      </c>
      <c r="AM589">
        <v>88</v>
      </c>
      <c r="AN589">
        <v>11</v>
      </c>
      <c r="AS589">
        <v>2750</v>
      </c>
      <c r="AT589">
        <v>2750</v>
      </c>
      <c r="BN589" t="s">
        <v>338</v>
      </c>
      <c r="BO589">
        <v>2</v>
      </c>
      <c r="BP589">
        <v>2</v>
      </c>
      <c r="BQ589">
        <v>3</v>
      </c>
      <c r="BR589" t="s">
        <v>387</v>
      </c>
      <c r="BS589" t="s">
        <v>180</v>
      </c>
      <c r="BT589" t="s">
        <v>181</v>
      </c>
      <c r="BU589" s="1">
        <v>45536</v>
      </c>
      <c r="BV589">
        <v>35113</v>
      </c>
      <c r="BY589" t="s">
        <v>170</v>
      </c>
      <c r="CB589" t="s">
        <v>170</v>
      </c>
      <c r="CC589" t="s">
        <v>170</v>
      </c>
      <c r="CD589" t="s">
        <v>486</v>
      </c>
      <c r="CE589" t="s">
        <v>170</v>
      </c>
      <c r="CG589" t="s">
        <v>169</v>
      </c>
      <c r="CH589" t="s">
        <v>284</v>
      </c>
      <c r="CI589" t="s">
        <v>169</v>
      </c>
      <c r="CJ589" t="s">
        <v>487</v>
      </c>
      <c r="CK589" t="s">
        <v>233</v>
      </c>
      <c r="CM589">
        <v>1</v>
      </c>
      <c r="CN589" t="s">
        <v>234</v>
      </c>
      <c r="CP589">
        <v>48</v>
      </c>
      <c r="CQ589">
        <v>20</v>
      </c>
      <c r="CR589">
        <v>80</v>
      </c>
      <c r="CS589" t="s">
        <v>235</v>
      </c>
      <c r="CV589" t="s">
        <v>341</v>
      </c>
      <c r="CX589" t="s">
        <v>342</v>
      </c>
      <c r="CY589" t="s">
        <v>170</v>
      </c>
      <c r="DC589" t="s">
        <v>488</v>
      </c>
      <c r="DD589">
        <v>1</v>
      </c>
      <c r="DE589" t="s">
        <v>404</v>
      </c>
      <c r="DF589" t="s">
        <v>489</v>
      </c>
      <c r="DG589">
        <v>15</v>
      </c>
      <c r="DJ589" t="s">
        <v>184</v>
      </c>
      <c r="DK589" t="s">
        <v>185</v>
      </c>
      <c r="DL589" t="s">
        <v>170</v>
      </c>
      <c r="DM589" t="s">
        <v>170</v>
      </c>
      <c r="DN589" t="s">
        <v>170</v>
      </c>
      <c r="DO589" t="s">
        <v>490</v>
      </c>
      <c r="DP589" t="s">
        <v>169</v>
      </c>
      <c r="DQ589" t="s">
        <v>198</v>
      </c>
      <c r="DR589" t="s">
        <v>493</v>
      </c>
      <c r="DY589">
        <v>30.1</v>
      </c>
      <c r="EB589">
        <v>5</v>
      </c>
      <c r="EC589">
        <v>5</v>
      </c>
      <c r="EE589" t="s">
        <v>492</v>
      </c>
      <c r="EF589">
        <v>6</v>
      </c>
      <c r="EV589">
        <v>4250</v>
      </c>
      <c r="EW589">
        <v>444</v>
      </c>
      <c r="EX589">
        <v>327</v>
      </c>
      <c r="EY589">
        <v>391</v>
      </c>
    </row>
    <row r="590" spans="1:155" x14ac:dyDescent="0.35">
      <c r="A590">
        <v>2025</v>
      </c>
      <c r="B590" t="s">
        <v>279</v>
      </c>
      <c r="C590" t="s">
        <v>279</v>
      </c>
      <c r="D590" t="s">
        <v>1621</v>
      </c>
      <c r="E590" t="s">
        <v>281</v>
      </c>
      <c r="F590">
        <v>440</v>
      </c>
      <c r="G590">
        <v>4</v>
      </c>
      <c r="H590">
        <v>8</v>
      </c>
      <c r="I590" t="s">
        <v>282</v>
      </c>
      <c r="J590">
        <v>14</v>
      </c>
      <c r="K590">
        <v>16</v>
      </c>
      <c r="L590">
        <v>15</v>
      </c>
      <c r="M590">
        <v>16.600000000000001</v>
      </c>
      <c r="N590">
        <v>21.8</v>
      </c>
      <c r="O590">
        <v>18.5961</v>
      </c>
      <c r="P590">
        <v>13.517799999999999</v>
      </c>
      <c r="Q590">
        <v>15.9817</v>
      </c>
      <c r="R590">
        <v>14.525499999999999</v>
      </c>
      <c r="T590" t="s">
        <v>165</v>
      </c>
      <c r="U590" t="s">
        <v>166</v>
      </c>
      <c r="V590" t="s">
        <v>167</v>
      </c>
      <c r="W590" t="s">
        <v>168</v>
      </c>
      <c r="Y590">
        <v>9</v>
      </c>
      <c r="Z590" t="s">
        <v>169</v>
      </c>
      <c r="AA590" t="s">
        <v>170</v>
      </c>
      <c r="AB590">
        <v>4</v>
      </c>
      <c r="AC590" t="s">
        <v>601</v>
      </c>
      <c r="AD590">
        <v>10</v>
      </c>
      <c r="AG590" t="s">
        <v>214</v>
      </c>
      <c r="AH590" t="s">
        <v>215</v>
      </c>
      <c r="AI590" t="s">
        <v>175</v>
      </c>
      <c r="AJ590" t="s">
        <v>176</v>
      </c>
      <c r="AK590" t="s">
        <v>940</v>
      </c>
      <c r="AL590" t="s">
        <v>941</v>
      </c>
      <c r="AS590">
        <v>4250</v>
      </c>
      <c r="AT590">
        <v>4250</v>
      </c>
      <c r="BN590" t="s">
        <v>338</v>
      </c>
      <c r="BO590">
        <v>2</v>
      </c>
      <c r="BP590">
        <v>2</v>
      </c>
      <c r="BQ590">
        <v>33</v>
      </c>
      <c r="BR590" t="s">
        <v>1497</v>
      </c>
      <c r="BT590" t="s">
        <v>181</v>
      </c>
      <c r="BU590" s="1">
        <v>45534</v>
      </c>
      <c r="BV590">
        <v>35532</v>
      </c>
      <c r="BY590" t="s">
        <v>170</v>
      </c>
      <c r="CB590" t="s">
        <v>170</v>
      </c>
      <c r="CC590" t="s">
        <v>170</v>
      </c>
      <c r="CD590" t="s">
        <v>1622</v>
      </c>
      <c r="CE590" t="s">
        <v>169</v>
      </c>
      <c r="CF590" t="s">
        <v>1623</v>
      </c>
      <c r="CG590" t="s">
        <v>169</v>
      </c>
      <c r="CH590" t="s">
        <v>614</v>
      </c>
      <c r="CI590" t="s">
        <v>170</v>
      </c>
      <c r="CK590" t="s">
        <v>233</v>
      </c>
      <c r="CM590">
        <v>1</v>
      </c>
      <c r="CN590" t="s">
        <v>234</v>
      </c>
      <c r="CP590">
        <v>48</v>
      </c>
      <c r="CQ590">
        <v>20</v>
      </c>
      <c r="CR590">
        <v>80</v>
      </c>
      <c r="CS590" t="s">
        <v>235</v>
      </c>
      <c r="CV590" t="s">
        <v>341</v>
      </c>
      <c r="CX590" t="s">
        <v>342</v>
      </c>
      <c r="CY590" t="s">
        <v>170</v>
      </c>
      <c r="DC590" t="s">
        <v>871</v>
      </c>
      <c r="DD590">
        <v>1</v>
      </c>
      <c r="DE590" t="s">
        <v>404</v>
      </c>
      <c r="DF590" t="s">
        <v>872</v>
      </c>
      <c r="DG590">
        <v>15</v>
      </c>
      <c r="DJ590" t="s">
        <v>184</v>
      </c>
      <c r="DK590" t="s">
        <v>185</v>
      </c>
      <c r="DL590" t="s">
        <v>170</v>
      </c>
      <c r="DM590" t="s">
        <v>170</v>
      </c>
      <c r="DN590" t="s">
        <v>170</v>
      </c>
      <c r="DO590" t="s">
        <v>259</v>
      </c>
      <c r="DP590" t="s">
        <v>169</v>
      </c>
      <c r="DQ590" t="s">
        <v>198</v>
      </c>
      <c r="DR590" t="s">
        <v>1621</v>
      </c>
      <c r="DY590">
        <v>18.7</v>
      </c>
      <c r="EB590">
        <v>2</v>
      </c>
      <c r="EC590">
        <v>2</v>
      </c>
      <c r="EE590" t="s">
        <v>1624</v>
      </c>
      <c r="EF590">
        <v>2</v>
      </c>
      <c r="EV590">
        <v>11750</v>
      </c>
      <c r="EW590">
        <v>654</v>
      </c>
      <c r="EX590">
        <v>553</v>
      </c>
      <c r="EY590">
        <v>608</v>
      </c>
    </row>
    <row r="591" spans="1:155" x14ac:dyDescent="0.35">
      <c r="A591">
        <v>2025</v>
      </c>
      <c r="B591" t="s">
        <v>279</v>
      </c>
      <c r="C591" t="s">
        <v>279</v>
      </c>
      <c r="D591" t="s">
        <v>919</v>
      </c>
      <c r="E591" t="s">
        <v>281</v>
      </c>
      <c r="F591">
        <v>183</v>
      </c>
      <c r="G591">
        <v>2</v>
      </c>
      <c r="H591">
        <v>4</v>
      </c>
      <c r="I591" t="s">
        <v>248</v>
      </c>
      <c r="J591">
        <v>22</v>
      </c>
      <c r="K591">
        <v>28</v>
      </c>
      <c r="L591">
        <v>24</v>
      </c>
      <c r="M591">
        <v>27.5</v>
      </c>
      <c r="N591">
        <v>39.6</v>
      </c>
      <c r="O591">
        <v>31.8841</v>
      </c>
      <c r="P591">
        <v>21.609300000000001</v>
      </c>
      <c r="Q591">
        <v>27.8704</v>
      </c>
      <c r="R591">
        <v>24.0395</v>
      </c>
      <c r="T591" t="s">
        <v>165</v>
      </c>
      <c r="U591" t="s">
        <v>166</v>
      </c>
      <c r="V591" t="s">
        <v>249</v>
      </c>
      <c r="W591" t="s">
        <v>250</v>
      </c>
      <c r="Y591">
        <v>8</v>
      </c>
      <c r="Z591" t="s">
        <v>169</v>
      </c>
      <c r="AA591" t="s">
        <v>170</v>
      </c>
      <c r="AB591" t="s">
        <v>167</v>
      </c>
      <c r="AC591" t="s">
        <v>213</v>
      </c>
      <c r="AD591">
        <v>10</v>
      </c>
      <c r="AG591" t="s">
        <v>214</v>
      </c>
      <c r="AH591" t="s">
        <v>215</v>
      </c>
      <c r="AI591" t="s">
        <v>175</v>
      </c>
      <c r="AJ591" t="s">
        <v>176</v>
      </c>
      <c r="AK591" t="s">
        <v>170</v>
      </c>
      <c r="AL591" t="s">
        <v>177</v>
      </c>
      <c r="AO591">
        <v>99</v>
      </c>
      <c r="AP591">
        <v>9</v>
      </c>
      <c r="AS591">
        <v>2650</v>
      </c>
      <c r="AT591">
        <v>2650</v>
      </c>
      <c r="BN591" t="s">
        <v>338</v>
      </c>
      <c r="BO591">
        <v>2</v>
      </c>
      <c r="BP591">
        <v>2</v>
      </c>
      <c r="BQ591">
        <v>7</v>
      </c>
      <c r="BR591" t="s">
        <v>897</v>
      </c>
      <c r="BS591" t="s">
        <v>180</v>
      </c>
      <c r="BT591" t="s">
        <v>181</v>
      </c>
      <c r="BU591" s="1">
        <v>45429</v>
      </c>
      <c r="BV591">
        <v>34799</v>
      </c>
      <c r="BY591" t="s">
        <v>170</v>
      </c>
      <c r="CB591" t="s">
        <v>170</v>
      </c>
      <c r="CC591" t="s">
        <v>170</v>
      </c>
      <c r="CE591" t="s">
        <v>170</v>
      </c>
      <c r="CG591" t="s">
        <v>169</v>
      </c>
      <c r="CH591" t="s">
        <v>284</v>
      </c>
      <c r="CI591" t="s">
        <v>169</v>
      </c>
      <c r="CJ591" t="s">
        <v>606</v>
      </c>
      <c r="CK591" t="s">
        <v>233</v>
      </c>
      <c r="CM591">
        <v>1</v>
      </c>
      <c r="CN591" t="s">
        <v>234</v>
      </c>
      <c r="CP591">
        <v>48</v>
      </c>
      <c r="CQ591">
        <v>7.6</v>
      </c>
      <c r="CR591">
        <v>53</v>
      </c>
      <c r="CS591" t="s">
        <v>235</v>
      </c>
      <c r="CV591" t="s">
        <v>341</v>
      </c>
      <c r="CX591" t="s">
        <v>342</v>
      </c>
      <c r="CY591" t="s">
        <v>170</v>
      </c>
      <c r="DD591">
        <v>1</v>
      </c>
      <c r="DE591" t="s">
        <v>404</v>
      </c>
      <c r="DF591" t="s">
        <v>499</v>
      </c>
      <c r="DG591">
        <v>10</v>
      </c>
      <c r="DJ591" t="s">
        <v>184</v>
      </c>
      <c r="DK591" t="s">
        <v>185</v>
      </c>
      <c r="DL591" t="s">
        <v>170</v>
      </c>
      <c r="DM591" t="s">
        <v>170</v>
      </c>
      <c r="DN591" t="s">
        <v>170</v>
      </c>
      <c r="DO591" t="s">
        <v>259</v>
      </c>
      <c r="DP591" t="s">
        <v>169</v>
      </c>
      <c r="DQ591" t="s">
        <v>198</v>
      </c>
      <c r="DR591" t="s">
        <v>919</v>
      </c>
      <c r="DY591">
        <v>32.1</v>
      </c>
      <c r="EB591">
        <v>5</v>
      </c>
      <c r="EC591">
        <v>5</v>
      </c>
      <c r="EE591" t="s">
        <v>607</v>
      </c>
      <c r="EF591">
        <v>5</v>
      </c>
      <c r="EV591">
        <v>3750</v>
      </c>
      <c r="EW591">
        <v>411</v>
      </c>
      <c r="EX591">
        <v>320</v>
      </c>
      <c r="EY591">
        <v>370</v>
      </c>
    </row>
    <row r="592" spans="1:155" x14ac:dyDescent="0.35">
      <c r="A592">
        <v>2025</v>
      </c>
      <c r="B592" t="s">
        <v>279</v>
      </c>
      <c r="C592" t="s">
        <v>279</v>
      </c>
      <c r="D592" t="s">
        <v>935</v>
      </c>
      <c r="E592" t="s">
        <v>281</v>
      </c>
      <c r="F592">
        <v>184</v>
      </c>
      <c r="G592">
        <v>2</v>
      </c>
      <c r="H592">
        <v>4</v>
      </c>
      <c r="I592" t="s">
        <v>248</v>
      </c>
      <c r="J592">
        <v>21</v>
      </c>
      <c r="K592">
        <v>26</v>
      </c>
      <c r="L592">
        <v>23</v>
      </c>
      <c r="M592">
        <v>26</v>
      </c>
      <c r="N592">
        <v>37.4</v>
      </c>
      <c r="O592">
        <v>30.133299999999998</v>
      </c>
      <c r="P592">
        <v>20.529599999999999</v>
      </c>
      <c r="Q592">
        <v>26.4527</v>
      </c>
      <c r="R592">
        <v>22.83</v>
      </c>
      <c r="T592" t="s">
        <v>165</v>
      </c>
      <c r="U592" t="s">
        <v>166</v>
      </c>
      <c r="V592" t="s">
        <v>249</v>
      </c>
      <c r="W592" t="s">
        <v>250</v>
      </c>
      <c r="Y592">
        <v>8</v>
      </c>
      <c r="Z592" t="s">
        <v>169</v>
      </c>
      <c r="AA592" t="s">
        <v>170</v>
      </c>
      <c r="AB592" t="s">
        <v>167</v>
      </c>
      <c r="AC592" t="s">
        <v>213</v>
      </c>
      <c r="AD592">
        <v>10</v>
      </c>
      <c r="AG592" t="s">
        <v>214</v>
      </c>
      <c r="AH592" t="s">
        <v>215</v>
      </c>
      <c r="AI592" t="s">
        <v>175</v>
      </c>
      <c r="AJ592" t="s">
        <v>176</v>
      </c>
      <c r="AK592" t="s">
        <v>170</v>
      </c>
      <c r="AL592" t="s">
        <v>177</v>
      </c>
      <c r="AO592">
        <v>125</v>
      </c>
      <c r="AP592">
        <v>12</v>
      </c>
      <c r="AS592">
        <v>2750</v>
      </c>
      <c r="AT592">
        <v>2750</v>
      </c>
      <c r="BN592" t="s">
        <v>338</v>
      </c>
      <c r="BO592">
        <v>2</v>
      </c>
      <c r="BP592">
        <v>2</v>
      </c>
      <c r="BQ592">
        <v>8</v>
      </c>
      <c r="BR592" t="s">
        <v>933</v>
      </c>
      <c r="BS592" t="s">
        <v>180</v>
      </c>
      <c r="BT592" t="s">
        <v>181</v>
      </c>
      <c r="BU592" s="1">
        <v>45429</v>
      </c>
      <c r="BV592">
        <v>34800</v>
      </c>
      <c r="BY592" t="s">
        <v>170</v>
      </c>
      <c r="CB592" t="s">
        <v>170</v>
      </c>
      <c r="CC592" t="s">
        <v>170</v>
      </c>
      <c r="CE592" t="s">
        <v>170</v>
      </c>
      <c r="CG592" t="s">
        <v>169</v>
      </c>
      <c r="CH592" t="s">
        <v>284</v>
      </c>
      <c r="CI592" t="s">
        <v>169</v>
      </c>
      <c r="CJ592" t="s">
        <v>606</v>
      </c>
      <c r="CK592" t="s">
        <v>233</v>
      </c>
      <c r="CM592">
        <v>1</v>
      </c>
      <c r="CN592" t="s">
        <v>234</v>
      </c>
      <c r="CP592">
        <v>48</v>
      </c>
      <c r="CQ592">
        <v>7.6</v>
      </c>
      <c r="CR592">
        <v>53</v>
      </c>
      <c r="CS592" t="s">
        <v>235</v>
      </c>
      <c r="CV592" t="s">
        <v>341</v>
      </c>
      <c r="CX592" t="s">
        <v>342</v>
      </c>
      <c r="CY592" t="s">
        <v>170</v>
      </c>
      <c r="DD592">
        <v>1</v>
      </c>
      <c r="DE592" t="s">
        <v>404</v>
      </c>
      <c r="DF592" t="s">
        <v>499</v>
      </c>
      <c r="DG592">
        <v>10</v>
      </c>
      <c r="DJ592" t="s">
        <v>184</v>
      </c>
      <c r="DK592" t="s">
        <v>185</v>
      </c>
      <c r="DL592" t="s">
        <v>170</v>
      </c>
      <c r="DM592" t="s">
        <v>170</v>
      </c>
      <c r="DN592" t="s">
        <v>170</v>
      </c>
      <c r="DO592" t="s">
        <v>259</v>
      </c>
      <c r="DP592" t="s">
        <v>169</v>
      </c>
      <c r="DQ592" t="s">
        <v>198</v>
      </c>
      <c r="DR592" t="s">
        <v>935</v>
      </c>
      <c r="DY592">
        <v>30.3</v>
      </c>
      <c r="EB592">
        <v>5</v>
      </c>
      <c r="EC592">
        <v>5</v>
      </c>
      <c r="EE592" t="s">
        <v>607</v>
      </c>
      <c r="EF592">
        <v>6</v>
      </c>
      <c r="EV592">
        <v>4250</v>
      </c>
      <c r="EW592">
        <v>433</v>
      </c>
      <c r="EX592">
        <v>336</v>
      </c>
      <c r="EY592">
        <v>390</v>
      </c>
    </row>
    <row r="593" spans="1:155" x14ac:dyDescent="0.35">
      <c r="A593">
        <v>2025</v>
      </c>
      <c r="B593" t="s">
        <v>279</v>
      </c>
      <c r="C593" t="s">
        <v>279</v>
      </c>
      <c r="D593" t="s">
        <v>920</v>
      </c>
      <c r="E593" t="s">
        <v>281</v>
      </c>
      <c r="F593">
        <v>310</v>
      </c>
      <c r="G593">
        <v>2</v>
      </c>
      <c r="H593">
        <v>4</v>
      </c>
      <c r="I593" t="s">
        <v>282</v>
      </c>
      <c r="J593">
        <v>19</v>
      </c>
      <c r="K593">
        <v>25</v>
      </c>
      <c r="L593">
        <v>21</v>
      </c>
      <c r="M593">
        <v>23.5</v>
      </c>
      <c r="N593">
        <v>35.1</v>
      </c>
      <c r="O593">
        <v>27.605399999999999</v>
      </c>
      <c r="P593">
        <v>18.706600000000002</v>
      </c>
      <c r="Q593">
        <v>24.955500000000001</v>
      </c>
      <c r="R593">
        <v>21.0822</v>
      </c>
      <c r="T593" t="s">
        <v>165</v>
      </c>
      <c r="U593" t="s">
        <v>166</v>
      </c>
      <c r="V593" t="s">
        <v>167</v>
      </c>
      <c r="W593" t="s">
        <v>168</v>
      </c>
      <c r="Y593">
        <v>9</v>
      </c>
      <c r="Z593" t="s">
        <v>169</v>
      </c>
      <c r="AA593" t="s">
        <v>170</v>
      </c>
      <c r="AB593" t="s">
        <v>167</v>
      </c>
      <c r="AC593" t="s">
        <v>213</v>
      </c>
      <c r="AD593">
        <v>10</v>
      </c>
      <c r="AG593" t="s">
        <v>214</v>
      </c>
      <c r="AH593" t="s">
        <v>215</v>
      </c>
      <c r="AI593" t="s">
        <v>175</v>
      </c>
      <c r="AJ593" t="s">
        <v>176</v>
      </c>
      <c r="AK593" t="s">
        <v>170</v>
      </c>
      <c r="AL593" t="s">
        <v>177</v>
      </c>
      <c r="AO593">
        <v>98</v>
      </c>
      <c r="AP593">
        <v>24</v>
      </c>
      <c r="AS593">
        <v>3050</v>
      </c>
      <c r="AT593">
        <v>3050</v>
      </c>
      <c r="BN593" t="s">
        <v>338</v>
      </c>
      <c r="BO593">
        <v>2</v>
      </c>
      <c r="BP593">
        <v>2</v>
      </c>
      <c r="BQ593">
        <v>7</v>
      </c>
      <c r="BR593" t="s">
        <v>897</v>
      </c>
      <c r="BS593" t="s">
        <v>180</v>
      </c>
      <c r="BT593" t="s">
        <v>181</v>
      </c>
      <c r="BU593" s="1">
        <v>45510</v>
      </c>
      <c r="BV593">
        <v>35336</v>
      </c>
      <c r="BY593" t="s">
        <v>170</v>
      </c>
      <c r="CB593" t="s">
        <v>170</v>
      </c>
      <c r="CC593" t="s">
        <v>170</v>
      </c>
      <c r="CD593" t="s">
        <v>339</v>
      </c>
      <c r="CE593" t="s">
        <v>170</v>
      </c>
      <c r="CG593" t="s">
        <v>169</v>
      </c>
      <c r="CH593" t="s">
        <v>284</v>
      </c>
      <c r="CI593" t="s">
        <v>169</v>
      </c>
      <c r="CJ593" t="s">
        <v>340</v>
      </c>
      <c r="CK593" t="s">
        <v>233</v>
      </c>
      <c r="CM593">
        <v>1</v>
      </c>
      <c r="CN593" t="s">
        <v>234</v>
      </c>
      <c r="CP593">
        <v>48</v>
      </c>
      <c r="CQ593">
        <v>20</v>
      </c>
      <c r="CR593">
        <v>80</v>
      </c>
      <c r="CS593" t="s">
        <v>235</v>
      </c>
      <c r="CV593" t="s">
        <v>341</v>
      </c>
      <c r="CX593" t="s">
        <v>342</v>
      </c>
      <c r="CY593" t="s">
        <v>170</v>
      </c>
      <c r="DC593" t="s">
        <v>343</v>
      </c>
      <c r="DD593">
        <v>1</v>
      </c>
      <c r="DE593" t="s">
        <v>344</v>
      </c>
      <c r="DG593">
        <v>10</v>
      </c>
      <c r="DJ593" t="s">
        <v>184</v>
      </c>
      <c r="DK593" t="s">
        <v>185</v>
      </c>
      <c r="DL593" t="s">
        <v>170</v>
      </c>
      <c r="DM593" t="s">
        <v>170</v>
      </c>
      <c r="DN593" t="s">
        <v>170</v>
      </c>
      <c r="DO593" t="s">
        <v>345</v>
      </c>
      <c r="DP593" t="s">
        <v>169</v>
      </c>
      <c r="DQ593" t="s">
        <v>198</v>
      </c>
      <c r="DY593">
        <v>27.8</v>
      </c>
      <c r="EB593">
        <v>4</v>
      </c>
      <c r="EC593">
        <v>4</v>
      </c>
      <c r="EE593" t="s">
        <v>346</v>
      </c>
      <c r="EF593">
        <v>5</v>
      </c>
      <c r="EV593">
        <v>5750</v>
      </c>
      <c r="EW593">
        <v>476</v>
      </c>
      <c r="EX593">
        <v>357</v>
      </c>
      <c r="EY593">
        <v>423</v>
      </c>
    </row>
    <row r="594" spans="1:155" x14ac:dyDescent="0.35">
      <c r="A594">
        <v>2025</v>
      </c>
      <c r="B594" t="s">
        <v>279</v>
      </c>
      <c r="C594" t="s">
        <v>279</v>
      </c>
      <c r="D594" t="s">
        <v>921</v>
      </c>
      <c r="E594" t="s">
        <v>281</v>
      </c>
      <c r="F594">
        <v>311</v>
      </c>
      <c r="G594">
        <v>2</v>
      </c>
      <c r="H594">
        <v>4</v>
      </c>
      <c r="I594" t="s">
        <v>282</v>
      </c>
      <c r="J594">
        <v>18</v>
      </c>
      <c r="K594">
        <v>24</v>
      </c>
      <c r="L594">
        <v>21</v>
      </c>
      <c r="M594">
        <v>23.2</v>
      </c>
      <c r="N594">
        <v>33.6</v>
      </c>
      <c r="O594">
        <v>26.9544</v>
      </c>
      <c r="P594">
        <v>18.485900000000001</v>
      </c>
      <c r="Q594">
        <v>23.970600000000001</v>
      </c>
      <c r="R594">
        <v>20.607800000000001</v>
      </c>
      <c r="T594" t="s">
        <v>165</v>
      </c>
      <c r="U594" t="s">
        <v>166</v>
      </c>
      <c r="V594" t="s">
        <v>167</v>
      </c>
      <c r="W594" t="s">
        <v>168</v>
      </c>
      <c r="Y594">
        <v>9</v>
      </c>
      <c r="Z594" t="s">
        <v>169</v>
      </c>
      <c r="AA594" t="s">
        <v>170</v>
      </c>
      <c r="AB594" t="s">
        <v>167</v>
      </c>
      <c r="AC594" t="s">
        <v>213</v>
      </c>
      <c r="AD594">
        <v>10</v>
      </c>
      <c r="AG594" t="s">
        <v>214</v>
      </c>
      <c r="AH594" t="s">
        <v>215</v>
      </c>
      <c r="AI594" t="s">
        <v>175</v>
      </c>
      <c r="AJ594" t="s">
        <v>176</v>
      </c>
      <c r="AK594" t="s">
        <v>170</v>
      </c>
      <c r="AL594" t="s">
        <v>177</v>
      </c>
      <c r="AO594">
        <v>95</v>
      </c>
      <c r="AP594">
        <v>22</v>
      </c>
      <c r="AS594">
        <v>3050</v>
      </c>
      <c r="AT594">
        <v>3050</v>
      </c>
      <c r="BN594" t="s">
        <v>338</v>
      </c>
      <c r="BO594">
        <v>2</v>
      </c>
      <c r="BP594">
        <v>2</v>
      </c>
      <c r="BQ594">
        <v>7</v>
      </c>
      <c r="BR594" t="s">
        <v>897</v>
      </c>
      <c r="BS594" t="s">
        <v>180</v>
      </c>
      <c r="BT594" t="s">
        <v>181</v>
      </c>
      <c r="BU594" s="1">
        <v>45510</v>
      </c>
      <c r="BV594">
        <v>35337</v>
      </c>
      <c r="BY594" t="s">
        <v>170</v>
      </c>
      <c r="CB594" t="s">
        <v>170</v>
      </c>
      <c r="CC594" t="s">
        <v>170</v>
      </c>
      <c r="CD594" t="s">
        <v>339</v>
      </c>
      <c r="CE594" t="s">
        <v>170</v>
      </c>
      <c r="CG594" t="s">
        <v>169</v>
      </c>
      <c r="CH594" t="s">
        <v>284</v>
      </c>
      <c r="CI594" t="s">
        <v>169</v>
      </c>
      <c r="CJ594" t="s">
        <v>340</v>
      </c>
      <c r="CK594" t="s">
        <v>233</v>
      </c>
      <c r="CM594">
        <v>1</v>
      </c>
      <c r="CN594" t="s">
        <v>234</v>
      </c>
      <c r="CP594">
        <v>48</v>
      </c>
      <c r="CQ594">
        <v>20</v>
      </c>
      <c r="CR594">
        <v>80</v>
      </c>
      <c r="CS594" t="s">
        <v>235</v>
      </c>
      <c r="CV594" t="s">
        <v>341</v>
      </c>
      <c r="CX594" t="s">
        <v>342</v>
      </c>
      <c r="CY594" t="s">
        <v>170</v>
      </c>
      <c r="DC594" t="s">
        <v>343</v>
      </c>
      <c r="DD594">
        <v>1</v>
      </c>
      <c r="DE594" t="s">
        <v>344</v>
      </c>
      <c r="DG594">
        <v>10</v>
      </c>
      <c r="DJ594" t="s">
        <v>184</v>
      </c>
      <c r="DK594" t="s">
        <v>185</v>
      </c>
      <c r="DL594" t="s">
        <v>170</v>
      </c>
      <c r="DM594" t="s">
        <v>170</v>
      </c>
      <c r="DN594" t="s">
        <v>170</v>
      </c>
      <c r="DO594" t="s">
        <v>345</v>
      </c>
      <c r="DP594" t="s">
        <v>169</v>
      </c>
      <c r="DQ594" t="s">
        <v>198</v>
      </c>
      <c r="DY594">
        <v>27.1</v>
      </c>
      <c r="EB594">
        <v>4</v>
      </c>
      <c r="EC594">
        <v>4</v>
      </c>
      <c r="EE594" t="s">
        <v>346</v>
      </c>
      <c r="EF594">
        <v>4</v>
      </c>
      <c r="EV594">
        <v>5750</v>
      </c>
      <c r="EW594">
        <v>483</v>
      </c>
      <c r="EX594">
        <v>371</v>
      </c>
      <c r="EY594">
        <v>433</v>
      </c>
    </row>
    <row r="595" spans="1:155" x14ac:dyDescent="0.35">
      <c r="A595">
        <v>2025</v>
      </c>
      <c r="B595" t="s">
        <v>279</v>
      </c>
      <c r="C595" t="s">
        <v>279</v>
      </c>
      <c r="D595" t="s">
        <v>1625</v>
      </c>
      <c r="E595" t="s">
        <v>281</v>
      </c>
      <c r="F595">
        <v>431</v>
      </c>
      <c r="G595">
        <v>3</v>
      </c>
      <c r="H595">
        <v>6</v>
      </c>
      <c r="I595" t="s">
        <v>282</v>
      </c>
      <c r="J595">
        <v>18</v>
      </c>
      <c r="K595">
        <v>23</v>
      </c>
      <c r="L595">
        <v>20</v>
      </c>
      <c r="M595">
        <v>22.9</v>
      </c>
      <c r="N595">
        <v>32.200000000000003</v>
      </c>
      <c r="O595">
        <v>26.320900000000002</v>
      </c>
      <c r="P595">
        <v>18.264700000000001</v>
      </c>
      <c r="Q595">
        <v>23.045300000000001</v>
      </c>
      <c r="R595">
        <v>20.145299999999999</v>
      </c>
      <c r="T595" t="s">
        <v>484</v>
      </c>
      <c r="U595" t="s">
        <v>485</v>
      </c>
      <c r="V595" t="s">
        <v>167</v>
      </c>
      <c r="W595" t="s">
        <v>168</v>
      </c>
      <c r="Y595">
        <v>9</v>
      </c>
      <c r="Z595" t="s">
        <v>169</v>
      </c>
      <c r="AA595" t="s">
        <v>170</v>
      </c>
      <c r="AB595" t="s">
        <v>167</v>
      </c>
      <c r="AC595" t="s">
        <v>213</v>
      </c>
      <c r="AD595">
        <v>10</v>
      </c>
      <c r="AG595" t="s">
        <v>214</v>
      </c>
      <c r="AH595" t="s">
        <v>215</v>
      </c>
      <c r="AI595" t="s">
        <v>175</v>
      </c>
      <c r="AJ595" t="s">
        <v>176</v>
      </c>
      <c r="AK595" t="s">
        <v>940</v>
      </c>
      <c r="AL595" t="s">
        <v>941</v>
      </c>
      <c r="AS595">
        <v>3200</v>
      </c>
      <c r="AT595">
        <v>3200</v>
      </c>
      <c r="BN595" t="s">
        <v>338</v>
      </c>
      <c r="BO595">
        <v>2</v>
      </c>
      <c r="BP595">
        <v>2</v>
      </c>
      <c r="BQ595">
        <v>33</v>
      </c>
      <c r="BR595" t="s">
        <v>1497</v>
      </c>
      <c r="BT595" t="s">
        <v>181</v>
      </c>
      <c r="BU595" s="1">
        <v>45475</v>
      </c>
      <c r="BV595">
        <v>35110</v>
      </c>
      <c r="BY595" t="s">
        <v>170</v>
      </c>
      <c r="CB595" t="s">
        <v>170</v>
      </c>
      <c r="CC595" t="s">
        <v>170</v>
      </c>
      <c r="CD595" t="s">
        <v>1626</v>
      </c>
      <c r="CE595" t="s">
        <v>170</v>
      </c>
      <c r="CG595" t="s">
        <v>169</v>
      </c>
      <c r="CH595" t="s">
        <v>284</v>
      </c>
      <c r="CI595" t="s">
        <v>169</v>
      </c>
      <c r="CJ595" t="s">
        <v>487</v>
      </c>
      <c r="CK595" t="s">
        <v>233</v>
      </c>
      <c r="CM595">
        <v>1</v>
      </c>
      <c r="CN595" t="s">
        <v>234</v>
      </c>
      <c r="CP595">
        <v>48</v>
      </c>
      <c r="CQ595">
        <v>20</v>
      </c>
      <c r="CR595">
        <v>80</v>
      </c>
      <c r="CS595" t="s">
        <v>235</v>
      </c>
      <c r="CV595" t="s">
        <v>341</v>
      </c>
      <c r="CX595" t="s">
        <v>342</v>
      </c>
      <c r="CY595" t="s">
        <v>170</v>
      </c>
      <c r="DC595" t="s">
        <v>488</v>
      </c>
      <c r="DD595">
        <v>1</v>
      </c>
      <c r="DE595" t="s">
        <v>404</v>
      </c>
      <c r="DF595" t="s">
        <v>489</v>
      </c>
      <c r="DG595">
        <v>15</v>
      </c>
      <c r="DJ595" t="s">
        <v>184</v>
      </c>
      <c r="DK595" t="s">
        <v>185</v>
      </c>
      <c r="DL595" t="s">
        <v>170</v>
      </c>
      <c r="DM595" t="s">
        <v>170</v>
      </c>
      <c r="DN595" t="s">
        <v>170</v>
      </c>
      <c r="DO595" t="s">
        <v>490</v>
      </c>
      <c r="DP595" t="s">
        <v>169</v>
      </c>
      <c r="DQ595" t="s">
        <v>198</v>
      </c>
      <c r="DR595" t="s">
        <v>1625</v>
      </c>
      <c r="DY595">
        <v>26.5</v>
      </c>
      <c r="EB595">
        <v>4</v>
      </c>
      <c r="EC595">
        <v>4</v>
      </c>
      <c r="EE595" t="s">
        <v>492</v>
      </c>
      <c r="EF595">
        <v>6</v>
      </c>
      <c r="EV595">
        <v>6500</v>
      </c>
      <c r="EW595">
        <v>484</v>
      </c>
      <c r="EX595">
        <v>384</v>
      </c>
      <c r="EY595">
        <v>439</v>
      </c>
    </row>
    <row r="596" spans="1:155" x14ac:dyDescent="0.35">
      <c r="A596">
        <v>2025</v>
      </c>
      <c r="B596" t="s">
        <v>279</v>
      </c>
      <c r="C596" t="s">
        <v>279</v>
      </c>
      <c r="D596" t="s">
        <v>1627</v>
      </c>
      <c r="E596" t="s">
        <v>281</v>
      </c>
      <c r="F596">
        <v>432</v>
      </c>
      <c r="G596">
        <v>3</v>
      </c>
      <c r="H596">
        <v>6</v>
      </c>
      <c r="I596" t="s">
        <v>282</v>
      </c>
      <c r="J596">
        <v>18</v>
      </c>
      <c r="K596">
        <v>22</v>
      </c>
      <c r="L596">
        <v>20</v>
      </c>
      <c r="M596">
        <v>22.3</v>
      </c>
      <c r="N596">
        <v>30.7</v>
      </c>
      <c r="O596">
        <v>25.4313</v>
      </c>
      <c r="P596">
        <v>17.821000000000002</v>
      </c>
      <c r="Q596">
        <v>22.0473</v>
      </c>
      <c r="R596">
        <v>19.503399999999999</v>
      </c>
      <c r="T596" t="s">
        <v>484</v>
      </c>
      <c r="U596" t="s">
        <v>485</v>
      </c>
      <c r="V596" t="s">
        <v>167</v>
      </c>
      <c r="W596" t="s">
        <v>168</v>
      </c>
      <c r="Y596">
        <v>9</v>
      </c>
      <c r="Z596" t="s">
        <v>169</v>
      </c>
      <c r="AA596" t="s">
        <v>170</v>
      </c>
      <c r="AB596" t="s">
        <v>167</v>
      </c>
      <c r="AC596" t="s">
        <v>213</v>
      </c>
      <c r="AD596">
        <v>10</v>
      </c>
      <c r="AG596" t="s">
        <v>214</v>
      </c>
      <c r="AH596" t="s">
        <v>215</v>
      </c>
      <c r="AI596" t="s">
        <v>175</v>
      </c>
      <c r="AJ596" t="s">
        <v>176</v>
      </c>
      <c r="AK596" t="s">
        <v>940</v>
      </c>
      <c r="AL596" t="s">
        <v>941</v>
      </c>
      <c r="AS596">
        <v>3200</v>
      </c>
      <c r="AT596">
        <v>3200</v>
      </c>
      <c r="BN596" t="s">
        <v>338</v>
      </c>
      <c r="BO596">
        <v>2</v>
      </c>
      <c r="BP596">
        <v>2</v>
      </c>
      <c r="BQ596">
        <v>33</v>
      </c>
      <c r="BR596" t="s">
        <v>1497</v>
      </c>
      <c r="BT596" t="s">
        <v>181</v>
      </c>
      <c r="BU596" s="1">
        <v>45475</v>
      </c>
      <c r="BV596">
        <v>35111</v>
      </c>
      <c r="BY596" t="s">
        <v>170</v>
      </c>
      <c r="CB596" t="s">
        <v>170</v>
      </c>
      <c r="CC596" t="s">
        <v>170</v>
      </c>
      <c r="CD596" t="s">
        <v>1626</v>
      </c>
      <c r="CE596" t="s">
        <v>170</v>
      </c>
      <c r="CG596" t="s">
        <v>169</v>
      </c>
      <c r="CH596" t="s">
        <v>284</v>
      </c>
      <c r="CI596" t="s">
        <v>169</v>
      </c>
      <c r="CJ596" t="s">
        <v>487</v>
      </c>
      <c r="CK596" t="s">
        <v>233</v>
      </c>
      <c r="CM596">
        <v>1</v>
      </c>
      <c r="CN596" t="s">
        <v>234</v>
      </c>
      <c r="CP596">
        <v>48</v>
      </c>
      <c r="CQ596">
        <v>20</v>
      </c>
      <c r="CR596">
        <v>80</v>
      </c>
      <c r="CS596" t="s">
        <v>235</v>
      </c>
      <c r="CV596" t="s">
        <v>341</v>
      </c>
      <c r="CX596" t="s">
        <v>342</v>
      </c>
      <c r="CY596" t="s">
        <v>170</v>
      </c>
      <c r="DC596" t="s">
        <v>488</v>
      </c>
      <c r="DD596">
        <v>1</v>
      </c>
      <c r="DE596" t="s">
        <v>404</v>
      </c>
      <c r="DF596" t="s">
        <v>489</v>
      </c>
      <c r="DG596">
        <v>15</v>
      </c>
      <c r="DJ596" t="s">
        <v>184</v>
      </c>
      <c r="DK596" t="s">
        <v>185</v>
      </c>
      <c r="DL596" t="s">
        <v>170</v>
      </c>
      <c r="DM596" t="s">
        <v>170</v>
      </c>
      <c r="DN596" t="s">
        <v>170</v>
      </c>
      <c r="DO596" t="s">
        <v>490</v>
      </c>
      <c r="DP596" t="s">
        <v>169</v>
      </c>
      <c r="DQ596" t="s">
        <v>198</v>
      </c>
      <c r="DR596" t="s">
        <v>1627</v>
      </c>
      <c r="DY596">
        <v>25.6</v>
      </c>
      <c r="EB596">
        <v>4</v>
      </c>
      <c r="EC596">
        <v>4</v>
      </c>
      <c r="EE596" t="s">
        <v>492</v>
      </c>
      <c r="EF596">
        <v>6</v>
      </c>
      <c r="EV596">
        <v>6500</v>
      </c>
      <c r="EW596">
        <v>497</v>
      </c>
      <c r="EX596">
        <v>401</v>
      </c>
      <c r="EY596">
        <v>454</v>
      </c>
    </row>
    <row r="597" spans="1:155" x14ac:dyDescent="0.35">
      <c r="A597">
        <v>2025</v>
      </c>
      <c r="B597" t="s">
        <v>279</v>
      </c>
      <c r="C597" t="s">
        <v>279</v>
      </c>
      <c r="D597" t="s">
        <v>1628</v>
      </c>
      <c r="E597" t="s">
        <v>281</v>
      </c>
      <c r="F597">
        <v>401</v>
      </c>
      <c r="G597">
        <v>4</v>
      </c>
      <c r="H597">
        <v>8</v>
      </c>
      <c r="I597" t="s">
        <v>282</v>
      </c>
      <c r="J597">
        <v>14</v>
      </c>
      <c r="K597">
        <v>19</v>
      </c>
      <c r="L597">
        <v>16</v>
      </c>
      <c r="M597">
        <v>17.2</v>
      </c>
      <c r="N597">
        <v>26.5</v>
      </c>
      <c r="O597">
        <v>20.425699999999999</v>
      </c>
      <c r="P597">
        <v>13.9785</v>
      </c>
      <c r="Q597">
        <v>19.216000000000001</v>
      </c>
      <c r="R597">
        <v>15.932700000000001</v>
      </c>
      <c r="T597" t="s">
        <v>165</v>
      </c>
      <c r="U597" t="s">
        <v>166</v>
      </c>
      <c r="V597" t="s">
        <v>167</v>
      </c>
      <c r="W597" t="s">
        <v>168</v>
      </c>
      <c r="Y597">
        <v>9</v>
      </c>
      <c r="Z597" t="s">
        <v>169</v>
      </c>
      <c r="AA597" t="s">
        <v>170</v>
      </c>
      <c r="AB597" t="s">
        <v>167</v>
      </c>
      <c r="AC597" t="s">
        <v>213</v>
      </c>
      <c r="AD597">
        <v>10</v>
      </c>
      <c r="AG597" t="s">
        <v>214</v>
      </c>
      <c r="AH597" t="s">
        <v>215</v>
      </c>
      <c r="AI597" t="s">
        <v>175</v>
      </c>
      <c r="AJ597" t="s">
        <v>176</v>
      </c>
      <c r="AK597" t="s">
        <v>940</v>
      </c>
      <c r="AL597" t="s">
        <v>941</v>
      </c>
      <c r="AS597">
        <v>4000</v>
      </c>
      <c r="AT597">
        <v>4000</v>
      </c>
      <c r="BN597" t="s">
        <v>338</v>
      </c>
      <c r="BO597">
        <v>2</v>
      </c>
      <c r="BP597">
        <v>2</v>
      </c>
      <c r="BQ597">
        <v>33</v>
      </c>
      <c r="BR597" t="s">
        <v>1497</v>
      </c>
      <c r="BT597" t="s">
        <v>181</v>
      </c>
      <c r="BU597" s="1">
        <v>45446</v>
      </c>
      <c r="BV597">
        <v>34891</v>
      </c>
      <c r="BY597" t="s">
        <v>170</v>
      </c>
      <c r="CB597" t="s">
        <v>170</v>
      </c>
      <c r="CC597" t="s">
        <v>170</v>
      </c>
      <c r="CD597" t="s">
        <v>1629</v>
      </c>
      <c r="CE597" t="s">
        <v>169</v>
      </c>
      <c r="CF597" t="s">
        <v>1623</v>
      </c>
      <c r="CG597" t="s">
        <v>169</v>
      </c>
      <c r="CH597" t="s">
        <v>284</v>
      </c>
      <c r="CI597" t="s">
        <v>170</v>
      </c>
      <c r="CK597" t="s">
        <v>233</v>
      </c>
      <c r="CM597">
        <v>1</v>
      </c>
      <c r="CN597" t="s">
        <v>234</v>
      </c>
      <c r="CP597">
        <v>48</v>
      </c>
      <c r="CQ597">
        <v>20</v>
      </c>
      <c r="CR597">
        <v>80</v>
      </c>
      <c r="CS597" t="s">
        <v>235</v>
      </c>
      <c r="CV597" t="s">
        <v>341</v>
      </c>
      <c r="CX597" t="s">
        <v>342</v>
      </c>
      <c r="CY597" t="s">
        <v>170</v>
      </c>
      <c r="DC597" t="s">
        <v>871</v>
      </c>
      <c r="DD597">
        <v>1</v>
      </c>
      <c r="DE597" t="s">
        <v>404</v>
      </c>
      <c r="DF597" t="s">
        <v>872</v>
      </c>
      <c r="DG597">
        <v>16</v>
      </c>
      <c r="DJ597" t="s">
        <v>184</v>
      </c>
      <c r="DK597" t="s">
        <v>185</v>
      </c>
      <c r="DL597" t="s">
        <v>170</v>
      </c>
      <c r="DM597" t="s">
        <v>170</v>
      </c>
      <c r="DN597" t="s">
        <v>170</v>
      </c>
      <c r="DO597" t="s">
        <v>197</v>
      </c>
      <c r="DP597" t="s">
        <v>169</v>
      </c>
      <c r="DQ597" t="s">
        <v>198</v>
      </c>
      <c r="DY597">
        <v>20.6</v>
      </c>
      <c r="EB597">
        <v>3</v>
      </c>
      <c r="EC597">
        <v>3</v>
      </c>
      <c r="EE597" t="s">
        <v>1630</v>
      </c>
      <c r="EF597">
        <v>4</v>
      </c>
      <c r="EV597">
        <v>10500</v>
      </c>
      <c r="EW597">
        <v>631</v>
      </c>
      <c r="EX597">
        <v>459</v>
      </c>
      <c r="EY597">
        <v>554</v>
      </c>
    </row>
    <row r="598" spans="1:155" x14ac:dyDescent="0.35">
      <c r="A598">
        <v>2025</v>
      </c>
      <c r="B598" t="s">
        <v>279</v>
      </c>
      <c r="C598" t="s">
        <v>279</v>
      </c>
      <c r="D598" t="s">
        <v>1631</v>
      </c>
      <c r="E598" t="s">
        <v>281</v>
      </c>
      <c r="F598">
        <v>400</v>
      </c>
      <c r="G598">
        <v>4</v>
      </c>
      <c r="H598">
        <v>8</v>
      </c>
      <c r="I598" t="s">
        <v>282</v>
      </c>
      <c r="J598">
        <v>14</v>
      </c>
      <c r="K598">
        <v>19</v>
      </c>
      <c r="L598">
        <v>16</v>
      </c>
      <c r="M598">
        <v>17.2</v>
      </c>
      <c r="N598">
        <v>26.5</v>
      </c>
      <c r="O598">
        <v>20.425699999999999</v>
      </c>
      <c r="P598">
        <v>13.9785</v>
      </c>
      <c r="Q598">
        <v>19.216000000000001</v>
      </c>
      <c r="R598">
        <v>15.932700000000001</v>
      </c>
      <c r="T598" t="s">
        <v>165</v>
      </c>
      <c r="U598" t="s">
        <v>166</v>
      </c>
      <c r="V598" t="s">
        <v>167</v>
      </c>
      <c r="W598" t="s">
        <v>168</v>
      </c>
      <c r="Y598">
        <v>9</v>
      </c>
      <c r="Z598" t="s">
        <v>169</v>
      </c>
      <c r="AA598" t="s">
        <v>170</v>
      </c>
      <c r="AB598" t="s">
        <v>167</v>
      </c>
      <c r="AC598" t="s">
        <v>213</v>
      </c>
      <c r="AD598">
        <v>10</v>
      </c>
      <c r="AG598" t="s">
        <v>214</v>
      </c>
      <c r="AH598" t="s">
        <v>215</v>
      </c>
      <c r="AI598" t="s">
        <v>175</v>
      </c>
      <c r="AJ598" t="s">
        <v>176</v>
      </c>
      <c r="AK598" t="s">
        <v>940</v>
      </c>
      <c r="AL598" t="s">
        <v>941</v>
      </c>
      <c r="AS598">
        <v>4000</v>
      </c>
      <c r="AT598">
        <v>4000</v>
      </c>
      <c r="BN598" t="s">
        <v>338</v>
      </c>
      <c r="BO598">
        <v>2</v>
      </c>
      <c r="BP598">
        <v>2</v>
      </c>
      <c r="BQ598">
        <v>33</v>
      </c>
      <c r="BR598" t="s">
        <v>1497</v>
      </c>
      <c r="BT598" t="s">
        <v>181</v>
      </c>
      <c r="BU598" s="1">
        <v>45446</v>
      </c>
      <c r="BV598">
        <v>34898</v>
      </c>
      <c r="BY598" t="s">
        <v>170</v>
      </c>
      <c r="CB598" t="s">
        <v>170</v>
      </c>
      <c r="CC598" t="s">
        <v>170</v>
      </c>
      <c r="CD598" t="s">
        <v>1629</v>
      </c>
      <c r="CE598" t="s">
        <v>169</v>
      </c>
      <c r="CF598" t="s">
        <v>1623</v>
      </c>
      <c r="CG598" t="s">
        <v>169</v>
      </c>
      <c r="CH598" t="s">
        <v>284</v>
      </c>
      <c r="CI598" t="s">
        <v>170</v>
      </c>
      <c r="CK598" t="s">
        <v>233</v>
      </c>
      <c r="CM598">
        <v>1</v>
      </c>
      <c r="CN598" t="s">
        <v>234</v>
      </c>
      <c r="CP598">
        <v>48</v>
      </c>
      <c r="CQ598">
        <v>20</v>
      </c>
      <c r="CR598">
        <v>80</v>
      </c>
      <c r="CS598" t="s">
        <v>235</v>
      </c>
      <c r="CV598" t="s">
        <v>341</v>
      </c>
      <c r="CX598" t="s">
        <v>342</v>
      </c>
      <c r="CY598" t="s">
        <v>170</v>
      </c>
      <c r="DC598" t="s">
        <v>871</v>
      </c>
      <c r="DD598">
        <v>1</v>
      </c>
      <c r="DE598" t="s">
        <v>404</v>
      </c>
      <c r="DF598" t="s">
        <v>872</v>
      </c>
      <c r="DG598">
        <v>16</v>
      </c>
      <c r="DJ598" t="s">
        <v>184</v>
      </c>
      <c r="DK598" t="s">
        <v>185</v>
      </c>
      <c r="DL598" t="s">
        <v>170</v>
      </c>
      <c r="DM598" t="s">
        <v>170</v>
      </c>
      <c r="DN598" t="s">
        <v>170</v>
      </c>
      <c r="DO598" t="s">
        <v>197</v>
      </c>
      <c r="DP598" t="s">
        <v>169</v>
      </c>
      <c r="DQ598" t="s">
        <v>198</v>
      </c>
      <c r="DY598">
        <v>20.6</v>
      </c>
      <c r="EB598">
        <v>3</v>
      </c>
      <c r="EC598">
        <v>3</v>
      </c>
      <c r="EE598" t="s">
        <v>1630</v>
      </c>
      <c r="EF598">
        <v>4</v>
      </c>
      <c r="EV598">
        <v>10500</v>
      </c>
      <c r="EW598">
        <v>631</v>
      </c>
      <c r="EX598">
        <v>459</v>
      </c>
      <c r="EY598">
        <v>554</v>
      </c>
    </row>
    <row r="599" spans="1:155" x14ac:dyDescent="0.35">
      <c r="A599">
        <v>2025</v>
      </c>
      <c r="B599" t="s">
        <v>279</v>
      </c>
      <c r="C599" t="s">
        <v>279</v>
      </c>
      <c r="D599" t="s">
        <v>1632</v>
      </c>
      <c r="E599" t="s">
        <v>281</v>
      </c>
      <c r="F599">
        <v>403</v>
      </c>
      <c r="G599">
        <v>4</v>
      </c>
      <c r="H599">
        <v>8</v>
      </c>
      <c r="I599" t="s">
        <v>282</v>
      </c>
      <c r="J599">
        <v>14</v>
      </c>
      <c r="K599">
        <v>18</v>
      </c>
      <c r="L599">
        <v>15</v>
      </c>
      <c r="M599">
        <v>16.8</v>
      </c>
      <c r="N599">
        <v>24.7</v>
      </c>
      <c r="O599">
        <v>19.624500000000001</v>
      </c>
      <c r="P599">
        <v>13.6716</v>
      </c>
      <c r="Q599">
        <v>17.985600000000002</v>
      </c>
      <c r="R599">
        <v>15.325799999999999</v>
      </c>
      <c r="T599" t="s">
        <v>165</v>
      </c>
      <c r="U599" t="s">
        <v>166</v>
      </c>
      <c r="V599" t="s">
        <v>167</v>
      </c>
      <c r="W599" t="s">
        <v>168</v>
      </c>
      <c r="Y599">
        <v>9</v>
      </c>
      <c r="Z599" t="s">
        <v>169</v>
      </c>
      <c r="AA599" t="s">
        <v>170</v>
      </c>
      <c r="AB599" t="s">
        <v>167</v>
      </c>
      <c r="AC599" t="s">
        <v>213</v>
      </c>
      <c r="AD599">
        <v>10</v>
      </c>
      <c r="AG599" t="s">
        <v>214</v>
      </c>
      <c r="AH599" t="s">
        <v>215</v>
      </c>
      <c r="AI599" t="s">
        <v>175</v>
      </c>
      <c r="AJ599" t="s">
        <v>176</v>
      </c>
      <c r="AK599" t="s">
        <v>940</v>
      </c>
      <c r="AL599" t="s">
        <v>941</v>
      </c>
      <c r="AS599">
        <v>4250</v>
      </c>
      <c r="AT599">
        <v>4250</v>
      </c>
      <c r="BN599" t="s">
        <v>338</v>
      </c>
      <c r="BO599">
        <v>2</v>
      </c>
      <c r="BP599">
        <v>2</v>
      </c>
      <c r="BQ599">
        <v>33</v>
      </c>
      <c r="BR599" t="s">
        <v>1497</v>
      </c>
      <c r="BT599" t="s">
        <v>181</v>
      </c>
      <c r="BU599" s="1">
        <v>45441</v>
      </c>
      <c r="BV599">
        <v>34851</v>
      </c>
      <c r="BY599" t="s">
        <v>170</v>
      </c>
      <c r="CB599" t="s">
        <v>170</v>
      </c>
      <c r="CC599" t="s">
        <v>170</v>
      </c>
      <c r="CD599" t="s">
        <v>1629</v>
      </c>
      <c r="CE599" t="s">
        <v>169</v>
      </c>
      <c r="CF599" t="s">
        <v>1623</v>
      </c>
      <c r="CG599" t="s">
        <v>169</v>
      </c>
      <c r="CH599" t="s">
        <v>284</v>
      </c>
      <c r="CI599" t="s">
        <v>170</v>
      </c>
      <c r="CK599" t="s">
        <v>233</v>
      </c>
      <c r="CM599">
        <v>1</v>
      </c>
      <c r="CN599" t="s">
        <v>234</v>
      </c>
      <c r="CP599">
        <v>48</v>
      </c>
      <c r="CQ599">
        <v>20</v>
      </c>
      <c r="CR599">
        <v>80</v>
      </c>
      <c r="CS599" t="s">
        <v>235</v>
      </c>
      <c r="CV599" t="s">
        <v>341</v>
      </c>
      <c r="CX599" t="s">
        <v>342</v>
      </c>
      <c r="CY599" t="s">
        <v>170</v>
      </c>
      <c r="DC599" t="s">
        <v>871</v>
      </c>
      <c r="DD599">
        <v>1</v>
      </c>
      <c r="DE599" t="s">
        <v>404</v>
      </c>
      <c r="DF599" t="s">
        <v>872</v>
      </c>
      <c r="DG599">
        <v>16</v>
      </c>
      <c r="DJ599" t="s">
        <v>184</v>
      </c>
      <c r="DK599" t="s">
        <v>185</v>
      </c>
      <c r="DL599" t="s">
        <v>170</v>
      </c>
      <c r="DM599" t="s">
        <v>170</v>
      </c>
      <c r="DN599" t="s">
        <v>170</v>
      </c>
      <c r="DO599" t="s">
        <v>197</v>
      </c>
      <c r="DP599" t="s">
        <v>169</v>
      </c>
      <c r="DQ599" t="s">
        <v>198</v>
      </c>
      <c r="DY599">
        <v>19.8</v>
      </c>
      <c r="EB599">
        <v>2</v>
      </c>
      <c r="EC599">
        <v>2</v>
      </c>
      <c r="EE599" t="s">
        <v>1630</v>
      </c>
      <c r="EF599">
        <v>4</v>
      </c>
      <c r="EV599">
        <v>11750</v>
      </c>
      <c r="EW599">
        <v>647</v>
      </c>
      <c r="EX599">
        <v>493</v>
      </c>
      <c r="EY599">
        <v>578</v>
      </c>
    </row>
    <row r="600" spans="1:155" x14ac:dyDescent="0.35">
      <c r="A600">
        <v>2025</v>
      </c>
      <c r="B600" t="s">
        <v>279</v>
      </c>
      <c r="C600" t="s">
        <v>279</v>
      </c>
      <c r="D600" t="s">
        <v>494</v>
      </c>
      <c r="E600" t="s">
        <v>281</v>
      </c>
      <c r="F600">
        <v>537</v>
      </c>
      <c r="G600">
        <v>2</v>
      </c>
      <c r="H600">
        <v>4</v>
      </c>
      <c r="I600" t="s">
        <v>282</v>
      </c>
      <c r="J600">
        <v>19</v>
      </c>
      <c r="K600">
        <v>27</v>
      </c>
      <c r="L600">
        <v>22</v>
      </c>
      <c r="M600">
        <v>23.9</v>
      </c>
      <c r="N600">
        <v>37.6</v>
      </c>
      <c r="O600">
        <v>28.587199999999999</v>
      </c>
      <c r="P600">
        <v>19.000299999999999</v>
      </c>
      <c r="Q600">
        <v>26.5822</v>
      </c>
      <c r="R600">
        <v>21.798100000000002</v>
      </c>
      <c r="T600" t="s">
        <v>165</v>
      </c>
      <c r="U600" t="s">
        <v>166</v>
      </c>
      <c r="V600" t="s">
        <v>167</v>
      </c>
      <c r="W600" t="s">
        <v>168</v>
      </c>
      <c r="Y600">
        <v>9</v>
      </c>
      <c r="Z600" t="s">
        <v>169</v>
      </c>
      <c r="AA600" t="s">
        <v>170</v>
      </c>
      <c r="AB600" t="s">
        <v>171</v>
      </c>
      <c r="AC600" t="s">
        <v>172</v>
      </c>
      <c r="AD600">
        <v>10</v>
      </c>
      <c r="AG600" t="s">
        <v>214</v>
      </c>
      <c r="AH600" t="s">
        <v>215</v>
      </c>
      <c r="AI600" t="s">
        <v>175</v>
      </c>
      <c r="AJ600" t="s">
        <v>176</v>
      </c>
      <c r="AK600" t="s">
        <v>170</v>
      </c>
      <c r="AL600" t="s">
        <v>177</v>
      </c>
      <c r="AM600">
        <v>81</v>
      </c>
      <c r="AN600">
        <v>16</v>
      </c>
      <c r="AS600">
        <v>2900</v>
      </c>
      <c r="AT600">
        <v>2900</v>
      </c>
      <c r="BN600" t="s">
        <v>338</v>
      </c>
      <c r="BO600">
        <v>2</v>
      </c>
      <c r="BP600">
        <v>2</v>
      </c>
      <c r="BQ600">
        <v>3</v>
      </c>
      <c r="BR600" t="s">
        <v>387</v>
      </c>
      <c r="BS600" t="s">
        <v>180</v>
      </c>
      <c r="BT600" t="s">
        <v>181</v>
      </c>
      <c r="BU600" s="1">
        <v>45517</v>
      </c>
      <c r="BV600">
        <v>35413</v>
      </c>
      <c r="BY600" t="s">
        <v>170</v>
      </c>
      <c r="CB600" t="s">
        <v>170</v>
      </c>
      <c r="CC600" t="s">
        <v>170</v>
      </c>
      <c r="CD600" t="s">
        <v>339</v>
      </c>
      <c r="CE600" t="s">
        <v>170</v>
      </c>
      <c r="CG600" t="s">
        <v>169</v>
      </c>
      <c r="CH600" t="s">
        <v>284</v>
      </c>
      <c r="CI600" t="s">
        <v>169</v>
      </c>
      <c r="CJ600" t="s">
        <v>340</v>
      </c>
      <c r="CK600" t="s">
        <v>233</v>
      </c>
      <c r="CM600">
        <v>1</v>
      </c>
      <c r="CN600" t="s">
        <v>234</v>
      </c>
      <c r="CP600">
        <v>48</v>
      </c>
      <c r="CQ600">
        <v>20</v>
      </c>
      <c r="CR600">
        <v>80</v>
      </c>
      <c r="CS600" t="s">
        <v>235</v>
      </c>
      <c r="CV600" t="s">
        <v>341</v>
      </c>
      <c r="CX600" t="s">
        <v>342</v>
      </c>
      <c r="CY600" t="s">
        <v>170</v>
      </c>
      <c r="DC600" t="s">
        <v>343</v>
      </c>
      <c r="DD600">
        <v>1</v>
      </c>
      <c r="DE600" t="s">
        <v>344</v>
      </c>
      <c r="DG600">
        <v>10</v>
      </c>
      <c r="DJ600" t="s">
        <v>184</v>
      </c>
      <c r="DK600" t="s">
        <v>185</v>
      </c>
      <c r="DL600" t="s">
        <v>170</v>
      </c>
      <c r="DM600" t="s">
        <v>170</v>
      </c>
      <c r="DN600" t="s">
        <v>170</v>
      </c>
      <c r="DO600" t="s">
        <v>345</v>
      </c>
      <c r="DP600" t="s">
        <v>169</v>
      </c>
      <c r="DQ600" t="s">
        <v>198</v>
      </c>
      <c r="DR600" t="s">
        <v>494</v>
      </c>
      <c r="DY600">
        <v>28.8</v>
      </c>
      <c r="EB600">
        <v>5</v>
      </c>
      <c r="EC600">
        <v>5</v>
      </c>
      <c r="EE600" t="s">
        <v>346</v>
      </c>
      <c r="EF600">
        <v>4</v>
      </c>
      <c r="EV600">
        <v>5000</v>
      </c>
      <c r="EW600">
        <v>464</v>
      </c>
      <c r="EX600">
        <v>333</v>
      </c>
      <c r="EY600">
        <v>405</v>
      </c>
    </row>
    <row r="601" spans="1:155" x14ac:dyDescent="0.35">
      <c r="A601">
        <v>2025</v>
      </c>
      <c r="B601" t="s">
        <v>279</v>
      </c>
      <c r="C601" t="s">
        <v>279</v>
      </c>
      <c r="D601" t="s">
        <v>922</v>
      </c>
      <c r="E601" t="s">
        <v>281</v>
      </c>
      <c r="F601">
        <v>430</v>
      </c>
      <c r="G601">
        <v>3</v>
      </c>
      <c r="H601">
        <v>6</v>
      </c>
      <c r="I601" t="s">
        <v>282</v>
      </c>
      <c r="J601">
        <v>19</v>
      </c>
      <c r="K601">
        <v>24</v>
      </c>
      <c r="L601">
        <v>21</v>
      </c>
      <c r="M601">
        <v>23.8</v>
      </c>
      <c r="N601">
        <v>33</v>
      </c>
      <c r="O601">
        <v>27.214099999999998</v>
      </c>
      <c r="P601">
        <v>18.927</v>
      </c>
      <c r="Q601">
        <v>23.5747</v>
      </c>
      <c r="R601">
        <v>20.769600000000001</v>
      </c>
      <c r="T601" t="s">
        <v>704</v>
      </c>
      <c r="U601" t="s">
        <v>404</v>
      </c>
      <c r="V601" t="s">
        <v>167</v>
      </c>
      <c r="W601" t="s">
        <v>168</v>
      </c>
      <c r="Y601">
        <v>9</v>
      </c>
      <c r="Z601" t="s">
        <v>169</v>
      </c>
      <c r="AA601" t="s">
        <v>170</v>
      </c>
      <c r="AB601" t="s">
        <v>167</v>
      </c>
      <c r="AC601" t="s">
        <v>213</v>
      </c>
      <c r="AD601">
        <v>10</v>
      </c>
      <c r="AG601" t="s">
        <v>214</v>
      </c>
      <c r="AH601" t="s">
        <v>215</v>
      </c>
      <c r="AI601" t="s">
        <v>175</v>
      </c>
      <c r="AJ601" t="s">
        <v>176</v>
      </c>
      <c r="AK601" t="s">
        <v>170</v>
      </c>
      <c r="AL601" t="s">
        <v>177</v>
      </c>
      <c r="AO601">
        <v>96</v>
      </c>
      <c r="AP601">
        <v>13</v>
      </c>
      <c r="AS601">
        <v>3050</v>
      </c>
      <c r="AT601">
        <v>3050</v>
      </c>
      <c r="BN601" t="s">
        <v>338</v>
      </c>
      <c r="BO601">
        <v>2</v>
      </c>
      <c r="BP601">
        <v>2</v>
      </c>
      <c r="BQ601">
        <v>7</v>
      </c>
      <c r="BR601" t="s">
        <v>897</v>
      </c>
      <c r="BS601" t="s">
        <v>180</v>
      </c>
      <c r="BT601" t="s">
        <v>181</v>
      </c>
      <c r="BU601" s="1">
        <v>45591</v>
      </c>
      <c r="BV601">
        <v>35838</v>
      </c>
      <c r="BY601" t="s">
        <v>170</v>
      </c>
      <c r="CB601" t="s">
        <v>170</v>
      </c>
      <c r="CC601" t="s">
        <v>170</v>
      </c>
      <c r="CD601" t="s">
        <v>923</v>
      </c>
      <c r="CE601" t="s">
        <v>170</v>
      </c>
      <c r="CG601" t="s">
        <v>169</v>
      </c>
      <c r="CH601" t="s">
        <v>284</v>
      </c>
      <c r="CI601" t="s">
        <v>169</v>
      </c>
      <c r="CJ601" t="s">
        <v>487</v>
      </c>
      <c r="CK601" t="s">
        <v>233</v>
      </c>
      <c r="CM601">
        <v>1</v>
      </c>
      <c r="CN601" t="s">
        <v>234</v>
      </c>
      <c r="CP601">
        <v>48</v>
      </c>
      <c r="CQ601">
        <v>20</v>
      </c>
      <c r="CR601">
        <v>80</v>
      </c>
      <c r="CS601" t="s">
        <v>235</v>
      </c>
      <c r="CV601" t="s">
        <v>341</v>
      </c>
      <c r="CX601" t="s">
        <v>342</v>
      </c>
      <c r="CY601" t="s">
        <v>170</v>
      </c>
      <c r="DD601">
        <v>1</v>
      </c>
      <c r="DE601" t="s">
        <v>404</v>
      </c>
      <c r="DF601" t="s">
        <v>499</v>
      </c>
      <c r="DG601">
        <v>16</v>
      </c>
      <c r="DJ601" t="s">
        <v>184</v>
      </c>
      <c r="DK601" t="s">
        <v>185</v>
      </c>
      <c r="DL601" t="s">
        <v>170</v>
      </c>
      <c r="DM601" t="s">
        <v>170</v>
      </c>
      <c r="DN601" t="s">
        <v>170</v>
      </c>
      <c r="DO601" t="s">
        <v>197</v>
      </c>
      <c r="DP601" t="s">
        <v>169</v>
      </c>
      <c r="DQ601" t="s">
        <v>198</v>
      </c>
      <c r="DY601">
        <v>27.4</v>
      </c>
      <c r="EB601">
        <v>4</v>
      </c>
      <c r="EC601">
        <v>4</v>
      </c>
      <c r="EE601" t="s">
        <v>924</v>
      </c>
      <c r="EF601">
        <v>5</v>
      </c>
      <c r="EV601">
        <v>5750</v>
      </c>
      <c r="EW601">
        <v>464</v>
      </c>
      <c r="EX601">
        <v>374</v>
      </c>
      <c r="EY601">
        <v>424</v>
      </c>
    </row>
    <row r="602" spans="1:155" x14ac:dyDescent="0.35">
      <c r="A602">
        <v>2025</v>
      </c>
      <c r="B602" t="s">
        <v>279</v>
      </c>
      <c r="C602" t="s">
        <v>279</v>
      </c>
      <c r="D602" t="s">
        <v>925</v>
      </c>
      <c r="E602" t="s">
        <v>281</v>
      </c>
      <c r="F602">
        <v>550</v>
      </c>
      <c r="G602">
        <v>3</v>
      </c>
      <c r="H602">
        <v>6</v>
      </c>
      <c r="I602" t="s">
        <v>282</v>
      </c>
      <c r="J602">
        <v>19</v>
      </c>
      <c r="K602">
        <v>24</v>
      </c>
      <c r="L602">
        <v>21</v>
      </c>
      <c r="M602">
        <v>23.8</v>
      </c>
      <c r="N602">
        <v>33</v>
      </c>
      <c r="O602">
        <v>27.214099999999998</v>
      </c>
      <c r="P602">
        <v>18.927</v>
      </c>
      <c r="Q602">
        <v>23.5747</v>
      </c>
      <c r="R602">
        <v>20.769600000000001</v>
      </c>
      <c r="T602" t="s">
        <v>704</v>
      </c>
      <c r="U602" t="s">
        <v>404</v>
      </c>
      <c r="V602" t="s">
        <v>167</v>
      </c>
      <c r="W602" t="s">
        <v>168</v>
      </c>
      <c r="Y602">
        <v>9</v>
      </c>
      <c r="Z602" t="s">
        <v>169</v>
      </c>
      <c r="AA602" t="s">
        <v>170</v>
      </c>
      <c r="AB602" t="s">
        <v>167</v>
      </c>
      <c r="AC602" t="s">
        <v>213</v>
      </c>
      <c r="AD602">
        <v>10</v>
      </c>
      <c r="AG602" t="s">
        <v>214</v>
      </c>
      <c r="AH602" t="s">
        <v>215</v>
      </c>
      <c r="AI602" t="s">
        <v>175</v>
      </c>
      <c r="AJ602" t="s">
        <v>176</v>
      </c>
      <c r="AK602" t="s">
        <v>170</v>
      </c>
      <c r="AL602" t="s">
        <v>177</v>
      </c>
      <c r="AO602">
        <v>96</v>
      </c>
      <c r="AP602">
        <v>13</v>
      </c>
      <c r="AS602">
        <v>3050</v>
      </c>
      <c r="AT602">
        <v>3050</v>
      </c>
      <c r="BN602" t="s">
        <v>338</v>
      </c>
      <c r="BO602">
        <v>2</v>
      </c>
      <c r="BP602">
        <v>2</v>
      </c>
      <c r="BQ602">
        <v>7</v>
      </c>
      <c r="BR602" t="s">
        <v>897</v>
      </c>
      <c r="BS602" t="s">
        <v>180</v>
      </c>
      <c r="BT602" t="s">
        <v>181</v>
      </c>
      <c r="BU602" s="1">
        <v>45591</v>
      </c>
      <c r="BV602">
        <v>35768</v>
      </c>
      <c r="BY602" t="s">
        <v>170</v>
      </c>
      <c r="CB602" t="s">
        <v>170</v>
      </c>
      <c r="CC602" t="s">
        <v>170</v>
      </c>
      <c r="CD602" t="s">
        <v>923</v>
      </c>
      <c r="CE602" t="s">
        <v>170</v>
      </c>
      <c r="CG602" t="s">
        <v>169</v>
      </c>
      <c r="CH602" t="s">
        <v>284</v>
      </c>
      <c r="CI602" t="s">
        <v>169</v>
      </c>
      <c r="CJ602" t="s">
        <v>487</v>
      </c>
      <c r="CK602" t="s">
        <v>233</v>
      </c>
      <c r="CM602">
        <v>1</v>
      </c>
      <c r="CN602" t="s">
        <v>234</v>
      </c>
      <c r="CP602">
        <v>48</v>
      </c>
      <c r="CQ602">
        <v>20</v>
      </c>
      <c r="CR602">
        <v>80</v>
      </c>
      <c r="CS602" t="s">
        <v>235</v>
      </c>
      <c r="CV602" t="s">
        <v>341</v>
      </c>
      <c r="CX602" t="s">
        <v>342</v>
      </c>
      <c r="CY602" t="s">
        <v>170</v>
      </c>
      <c r="DD602">
        <v>1</v>
      </c>
      <c r="DE602" t="s">
        <v>404</v>
      </c>
      <c r="DF602" t="s">
        <v>499</v>
      </c>
      <c r="DG602">
        <v>16</v>
      </c>
      <c r="DJ602" t="s">
        <v>184</v>
      </c>
      <c r="DK602" t="s">
        <v>185</v>
      </c>
      <c r="DL602" t="s">
        <v>170</v>
      </c>
      <c r="DM602" t="s">
        <v>170</v>
      </c>
      <c r="DN602" t="s">
        <v>170</v>
      </c>
      <c r="DO602" t="s">
        <v>197</v>
      </c>
      <c r="DP602" t="s">
        <v>169</v>
      </c>
      <c r="DQ602" t="s">
        <v>198</v>
      </c>
      <c r="DY602">
        <v>27.4</v>
      </c>
      <c r="EB602">
        <v>4</v>
      </c>
      <c r="EC602">
        <v>4</v>
      </c>
      <c r="EE602" t="s">
        <v>924</v>
      </c>
      <c r="EF602">
        <v>5</v>
      </c>
      <c r="EV602">
        <v>5750</v>
      </c>
      <c r="EW602">
        <v>464</v>
      </c>
      <c r="EX602">
        <v>374</v>
      </c>
      <c r="EY602">
        <v>424</v>
      </c>
    </row>
    <row r="603" spans="1:155" x14ac:dyDescent="0.35">
      <c r="A603">
        <v>2025</v>
      </c>
      <c r="B603" t="s">
        <v>279</v>
      </c>
      <c r="C603" t="s">
        <v>279</v>
      </c>
      <c r="D603" t="s">
        <v>280</v>
      </c>
      <c r="E603" t="s">
        <v>281</v>
      </c>
      <c r="F603">
        <v>533</v>
      </c>
      <c r="G603">
        <v>4</v>
      </c>
      <c r="H603">
        <v>8</v>
      </c>
      <c r="I603" t="s">
        <v>282</v>
      </c>
      <c r="J603">
        <v>12</v>
      </c>
      <c r="K603">
        <v>19</v>
      </c>
      <c r="L603">
        <v>14</v>
      </c>
      <c r="M603">
        <v>14.6</v>
      </c>
      <c r="N603">
        <v>25.7</v>
      </c>
      <c r="O603">
        <v>18.122199999999999</v>
      </c>
      <c r="P603">
        <v>11.9689</v>
      </c>
      <c r="Q603">
        <v>18.670400000000001</v>
      </c>
      <c r="R603">
        <v>14.2745</v>
      </c>
      <c r="S603" t="s">
        <v>210</v>
      </c>
      <c r="T603" t="s">
        <v>165</v>
      </c>
      <c r="U603" t="s">
        <v>166</v>
      </c>
      <c r="V603" t="s">
        <v>167</v>
      </c>
      <c r="W603" t="s">
        <v>168</v>
      </c>
      <c r="Y603">
        <v>9</v>
      </c>
      <c r="Z603" t="s">
        <v>169</v>
      </c>
      <c r="AA603" t="s">
        <v>170</v>
      </c>
      <c r="AB603" t="s">
        <v>167</v>
      </c>
      <c r="AC603" t="s">
        <v>213</v>
      </c>
      <c r="AD603">
        <v>10</v>
      </c>
      <c r="AG603" t="s">
        <v>214</v>
      </c>
      <c r="AH603" t="s">
        <v>215</v>
      </c>
      <c r="AI603" t="s">
        <v>175</v>
      </c>
      <c r="AJ603" t="s">
        <v>176</v>
      </c>
      <c r="AK603" t="s">
        <v>170</v>
      </c>
      <c r="AL603" t="s">
        <v>177</v>
      </c>
      <c r="AS603">
        <v>4550</v>
      </c>
      <c r="AT603">
        <v>4550</v>
      </c>
      <c r="BN603" t="s">
        <v>178</v>
      </c>
      <c r="BO603">
        <v>2</v>
      </c>
      <c r="BP603">
        <v>2</v>
      </c>
      <c r="BQ603">
        <v>1</v>
      </c>
      <c r="BR603" t="s">
        <v>179</v>
      </c>
      <c r="BS603" t="s">
        <v>180</v>
      </c>
      <c r="BT603" t="s">
        <v>181</v>
      </c>
      <c r="BU603" s="1">
        <v>45548</v>
      </c>
      <c r="BV603">
        <v>35633</v>
      </c>
      <c r="BY603" t="s">
        <v>170</v>
      </c>
      <c r="CB603" t="s">
        <v>170</v>
      </c>
      <c r="CC603" t="s">
        <v>170</v>
      </c>
      <c r="CD603" t="s">
        <v>283</v>
      </c>
      <c r="CE603" t="s">
        <v>170</v>
      </c>
      <c r="CG603" t="s">
        <v>169</v>
      </c>
      <c r="CH603" t="s">
        <v>284</v>
      </c>
      <c r="CI603" t="s">
        <v>170</v>
      </c>
      <c r="DJ603" t="s">
        <v>184</v>
      </c>
      <c r="DK603" t="s">
        <v>185</v>
      </c>
      <c r="DN603" t="s">
        <v>170</v>
      </c>
      <c r="DO603" t="s">
        <v>259</v>
      </c>
      <c r="DP603" t="s">
        <v>169</v>
      </c>
      <c r="DQ603" t="s">
        <v>198</v>
      </c>
      <c r="DR603" t="s">
        <v>280</v>
      </c>
      <c r="DY603">
        <v>18.3</v>
      </c>
      <c r="EB603">
        <v>2</v>
      </c>
      <c r="EC603">
        <v>2</v>
      </c>
      <c r="EE603" t="s">
        <v>285</v>
      </c>
      <c r="EF603">
        <v>4</v>
      </c>
      <c r="EV603">
        <v>13250</v>
      </c>
      <c r="EW603">
        <v>743</v>
      </c>
      <c r="EX603">
        <v>476</v>
      </c>
      <c r="EY603">
        <v>623</v>
      </c>
    </row>
    <row r="604" spans="1:155" x14ac:dyDescent="0.35">
      <c r="A604">
        <v>2025</v>
      </c>
      <c r="B604" t="s">
        <v>279</v>
      </c>
      <c r="C604" t="s">
        <v>279</v>
      </c>
      <c r="D604" t="s">
        <v>613</v>
      </c>
      <c r="E604" t="s">
        <v>281</v>
      </c>
      <c r="F604">
        <v>530</v>
      </c>
      <c r="G604">
        <v>4</v>
      </c>
      <c r="H604">
        <v>8</v>
      </c>
      <c r="I604" t="s">
        <v>282</v>
      </c>
      <c r="J604">
        <v>15</v>
      </c>
      <c r="K604">
        <v>21</v>
      </c>
      <c r="L604">
        <v>17</v>
      </c>
      <c r="M604">
        <v>19.049900000000001</v>
      </c>
      <c r="N604">
        <v>28.799700000000001</v>
      </c>
      <c r="O604">
        <v>22.473600000000001</v>
      </c>
      <c r="P604">
        <v>15.3872</v>
      </c>
      <c r="Q604">
        <v>20.773</v>
      </c>
      <c r="R604">
        <v>17.419599999999999</v>
      </c>
      <c r="T604" t="s">
        <v>165</v>
      </c>
      <c r="U604" t="s">
        <v>166</v>
      </c>
      <c r="V604" t="s">
        <v>167</v>
      </c>
      <c r="W604" t="s">
        <v>168</v>
      </c>
      <c r="Y604">
        <v>9</v>
      </c>
      <c r="Z604" t="s">
        <v>169</v>
      </c>
      <c r="AA604" t="s">
        <v>170</v>
      </c>
      <c r="AB604" t="s">
        <v>167</v>
      </c>
      <c r="AC604" t="s">
        <v>213</v>
      </c>
      <c r="AD604">
        <v>10</v>
      </c>
      <c r="AG604" t="s">
        <v>214</v>
      </c>
      <c r="AH604" t="s">
        <v>215</v>
      </c>
      <c r="AI604" t="s">
        <v>175</v>
      </c>
      <c r="AJ604" t="s">
        <v>176</v>
      </c>
      <c r="AK604" t="s">
        <v>170</v>
      </c>
      <c r="AL604" t="s">
        <v>177</v>
      </c>
      <c r="AO604">
        <v>96</v>
      </c>
      <c r="AP604">
        <v>13</v>
      </c>
      <c r="AS604">
        <v>3750</v>
      </c>
      <c r="AT604">
        <v>3750</v>
      </c>
      <c r="BN604" t="s">
        <v>178</v>
      </c>
      <c r="BO604">
        <v>2</v>
      </c>
      <c r="BP604">
        <v>2</v>
      </c>
      <c r="BQ604">
        <v>4</v>
      </c>
      <c r="BR604" t="s">
        <v>521</v>
      </c>
      <c r="BS604" t="s">
        <v>180</v>
      </c>
      <c r="BT604" t="s">
        <v>181</v>
      </c>
      <c r="BU604" s="1">
        <v>45636</v>
      </c>
      <c r="BV604">
        <v>35999</v>
      </c>
      <c r="BY604" t="s">
        <v>170</v>
      </c>
      <c r="CB604" t="s">
        <v>170</v>
      </c>
      <c r="CC604" t="s">
        <v>170</v>
      </c>
      <c r="CD604" t="s">
        <v>613</v>
      </c>
      <c r="CE604" t="s">
        <v>169</v>
      </c>
      <c r="CF604" t="s">
        <v>613</v>
      </c>
      <c r="CG604" t="s">
        <v>169</v>
      </c>
      <c r="CH604" t="s">
        <v>614</v>
      </c>
      <c r="CI604" t="s">
        <v>170</v>
      </c>
      <c r="DJ604" t="s">
        <v>184</v>
      </c>
      <c r="DK604" t="s">
        <v>185</v>
      </c>
      <c r="DN604" t="s">
        <v>170</v>
      </c>
      <c r="DO604" t="s">
        <v>259</v>
      </c>
      <c r="DP604" t="s">
        <v>169</v>
      </c>
      <c r="DQ604" t="s">
        <v>198</v>
      </c>
      <c r="DR604" t="s">
        <v>613</v>
      </c>
      <c r="DY604">
        <v>22.6</v>
      </c>
      <c r="EB604">
        <v>3</v>
      </c>
      <c r="EC604">
        <v>3</v>
      </c>
      <c r="EE604" t="s">
        <v>615</v>
      </c>
      <c r="EF604">
        <v>4</v>
      </c>
      <c r="EV604">
        <v>9250</v>
      </c>
      <c r="EW604">
        <v>579</v>
      </c>
      <c r="EX604">
        <v>430</v>
      </c>
      <c r="EY604">
        <v>512</v>
      </c>
    </row>
    <row r="605" spans="1:155" x14ac:dyDescent="0.35">
      <c r="A605">
        <v>2025</v>
      </c>
      <c r="B605" t="s">
        <v>279</v>
      </c>
      <c r="C605" t="s">
        <v>279</v>
      </c>
      <c r="D605" t="s">
        <v>286</v>
      </c>
      <c r="E605" t="s">
        <v>281</v>
      </c>
      <c r="F605">
        <v>534</v>
      </c>
      <c r="G605">
        <v>4</v>
      </c>
      <c r="H605">
        <v>8</v>
      </c>
      <c r="I605" t="s">
        <v>282</v>
      </c>
      <c r="J605">
        <v>12</v>
      </c>
      <c r="K605">
        <v>19</v>
      </c>
      <c r="L605">
        <v>14</v>
      </c>
      <c r="M605">
        <v>14.6</v>
      </c>
      <c r="N605">
        <v>25.7</v>
      </c>
      <c r="O605">
        <v>18.122199999999999</v>
      </c>
      <c r="P605">
        <v>11.9689</v>
      </c>
      <c r="Q605">
        <v>18.670400000000001</v>
      </c>
      <c r="R605">
        <v>14.2745</v>
      </c>
      <c r="S605" t="s">
        <v>210</v>
      </c>
      <c r="T605" t="s">
        <v>165</v>
      </c>
      <c r="U605" t="s">
        <v>166</v>
      </c>
      <c r="V605" t="s">
        <v>167</v>
      </c>
      <c r="W605" t="s">
        <v>168</v>
      </c>
      <c r="Y605">
        <v>9</v>
      </c>
      <c r="Z605" t="s">
        <v>169</v>
      </c>
      <c r="AA605" t="s">
        <v>170</v>
      </c>
      <c r="AB605" t="s">
        <v>167</v>
      </c>
      <c r="AC605" t="s">
        <v>213</v>
      </c>
      <c r="AD605">
        <v>10</v>
      </c>
      <c r="AG605" t="s">
        <v>214</v>
      </c>
      <c r="AH605" t="s">
        <v>215</v>
      </c>
      <c r="AI605" t="s">
        <v>175</v>
      </c>
      <c r="AJ605" t="s">
        <v>176</v>
      </c>
      <c r="AK605" t="s">
        <v>170</v>
      </c>
      <c r="AL605" t="s">
        <v>177</v>
      </c>
      <c r="AS605">
        <v>4550</v>
      </c>
      <c r="AT605">
        <v>4550</v>
      </c>
      <c r="BN605" t="s">
        <v>178</v>
      </c>
      <c r="BO605">
        <v>2</v>
      </c>
      <c r="BP605">
        <v>2</v>
      </c>
      <c r="BQ605">
        <v>1</v>
      </c>
      <c r="BR605" t="s">
        <v>179</v>
      </c>
      <c r="BS605" t="s">
        <v>180</v>
      </c>
      <c r="BT605" t="s">
        <v>181</v>
      </c>
      <c r="BU605" s="1">
        <v>45548</v>
      </c>
      <c r="BV605">
        <v>35634</v>
      </c>
      <c r="BY605" t="s">
        <v>170</v>
      </c>
      <c r="CB605" t="s">
        <v>170</v>
      </c>
      <c r="CC605" t="s">
        <v>170</v>
      </c>
      <c r="CD605" t="s">
        <v>283</v>
      </c>
      <c r="CE605" t="s">
        <v>170</v>
      </c>
      <c r="CG605" t="s">
        <v>169</v>
      </c>
      <c r="CH605" t="s">
        <v>284</v>
      </c>
      <c r="CI605" t="s">
        <v>170</v>
      </c>
      <c r="DJ605" t="s">
        <v>184</v>
      </c>
      <c r="DK605" t="s">
        <v>185</v>
      </c>
      <c r="DN605" t="s">
        <v>170</v>
      </c>
      <c r="DO605" t="s">
        <v>259</v>
      </c>
      <c r="DP605" t="s">
        <v>169</v>
      </c>
      <c r="DQ605" t="s">
        <v>198</v>
      </c>
      <c r="DR605" t="s">
        <v>286</v>
      </c>
      <c r="DY605">
        <v>18.3</v>
      </c>
      <c r="EB605">
        <v>2</v>
      </c>
      <c r="EC605">
        <v>2</v>
      </c>
      <c r="EE605" t="s">
        <v>285</v>
      </c>
      <c r="EF605">
        <v>4</v>
      </c>
      <c r="EV605">
        <v>13250</v>
      </c>
      <c r="EW605">
        <v>743</v>
      </c>
      <c r="EX605">
        <v>476</v>
      </c>
      <c r="EY605">
        <v>623</v>
      </c>
    </row>
    <row r="606" spans="1:155" x14ac:dyDescent="0.35">
      <c r="A606">
        <v>2025</v>
      </c>
      <c r="B606" t="s">
        <v>279</v>
      </c>
      <c r="C606" t="s">
        <v>279</v>
      </c>
      <c r="D606" t="s">
        <v>287</v>
      </c>
      <c r="E606" t="s">
        <v>281</v>
      </c>
      <c r="F606">
        <v>535</v>
      </c>
      <c r="G606">
        <v>4</v>
      </c>
      <c r="H606">
        <v>8</v>
      </c>
      <c r="I606" t="s">
        <v>282</v>
      </c>
      <c r="J606">
        <v>12</v>
      </c>
      <c r="K606">
        <v>19</v>
      </c>
      <c r="L606">
        <v>14</v>
      </c>
      <c r="M606">
        <v>14.6</v>
      </c>
      <c r="N606">
        <v>25.7</v>
      </c>
      <c r="O606">
        <v>18.122199999999999</v>
      </c>
      <c r="P606">
        <v>11.9689</v>
      </c>
      <c r="Q606">
        <v>18.670400000000001</v>
      </c>
      <c r="R606">
        <v>14.2745</v>
      </c>
      <c r="S606" t="s">
        <v>210</v>
      </c>
      <c r="T606" t="s">
        <v>165</v>
      </c>
      <c r="U606" t="s">
        <v>166</v>
      </c>
      <c r="V606" t="s">
        <v>167</v>
      </c>
      <c r="W606" t="s">
        <v>168</v>
      </c>
      <c r="Y606">
        <v>9</v>
      </c>
      <c r="Z606" t="s">
        <v>169</v>
      </c>
      <c r="AA606" t="s">
        <v>170</v>
      </c>
      <c r="AB606" t="s">
        <v>167</v>
      </c>
      <c r="AC606" t="s">
        <v>213</v>
      </c>
      <c r="AD606">
        <v>10</v>
      </c>
      <c r="AG606" t="s">
        <v>214</v>
      </c>
      <c r="AH606" t="s">
        <v>215</v>
      </c>
      <c r="AI606" t="s">
        <v>175</v>
      </c>
      <c r="AJ606" t="s">
        <v>176</v>
      </c>
      <c r="AK606" t="s">
        <v>170</v>
      </c>
      <c r="AL606" t="s">
        <v>177</v>
      </c>
      <c r="AS606">
        <v>4550</v>
      </c>
      <c r="AT606">
        <v>4550</v>
      </c>
      <c r="BN606" t="s">
        <v>178</v>
      </c>
      <c r="BO606">
        <v>2</v>
      </c>
      <c r="BP606">
        <v>2</v>
      </c>
      <c r="BQ606">
        <v>1</v>
      </c>
      <c r="BR606" t="s">
        <v>179</v>
      </c>
      <c r="BS606" t="s">
        <v>180</v>
      </c>
      <c r="BT606" t="s">
        <v>181</v>
      </c>
      <c r="BU606" s="1">
        <v>45688</v>
      </c>
      <c r="BV606">
        <v>36088</v>
      </c>
      <c r="BY606" t="s">
        <v>170</v>
      </c>
      <c r="CB606" t="s">
        <v>170</v>
      </c>
      <c r="CC606" t="s">
        <v>170</v>
      </c>
      <c r="CD606" t="s">
        <v>283</v>
      </c>
      <c r="CE606" t="s">
        <v>170</v>
      </c>
      <c r="CG606" t="s">
        <v>169</v>
      </c>
      <c r="CH606" t="s">
        <v>284</v>
      </c>
      <c r="CI606" t="s">
        <v>170</v>
      </c>
      <c r="DJ606" t="s">
        <v>184</v>
      </c>
      <c r="DK606" t="s">
        <v>185</v>
      </c>
      <c r="DN606" t="s">
        <v>170</v>
      </c>
      <c r="DO606" t="s">
        <v>259</v>
      </c>
      <c r="DP606" t="s">
        <v>169</v>
      </c>
      <c r="DQ606" t="s">
        <v>198</v>
      </c>
      <c r="DR606" t="s">
        <v>287</v>
      </c>
      <c r="DY606">
        <v>18.3</v>
      </c>
      <c r="EB606">
        <v>2</v>
      </c>
      <c r="EC606">
        <v>2</v>
      </c>
      <c r="EE606" t="s">
        <v>285</v>
      </c>
      <c r="EF606">
        <v>4</v>
      </c>
      <c r="EV606">
        <v>13250</v>
      </c>
      <c r="EW606">
        <v>743</v>
      </c>
      <c r="EX606">
        <v>476</v>
      </c>
      <c r="EY606">
        <v>623</v>
      </c>
    </row>
    <row r="607" spans="1:155" x14ac:dyDescent="0.35">
      <c r="A607">
        <v>2025</v>
      </c>
      <c r="B607" t="s">
        <v>279</v>
      </c>
      <c r="C607" t="s">
        <v>279</v>
      </c>
      <c r="D607" t="s">
        <v>337</v>
      </c>
      <c r="E607" t="s">
        <v>281</v>
      </c>
      <c r="F607">
        <v>222</v>
      </c>
      <c r="G607">
        <v>2</v>
      </c>
      <c r="H607">
        <v>4</v>
      </c>
      <c r="I607" t="s">
        <v>282</v>
      </c>
      <c r="J607">
        <v>19</v>
      </c>
      <c r="K607">
        <v>27</v>
      </c>
      <c r="L607">
        <v>22</v>
      </c>
      <c r="M607">
        <v>24.2</v>
      </c>
      <c r="N607">
        <v>38</v>
      </c>
      <c r="O607">
        <v>28.927299999999999</v>
      </c>
      <c r="P607">
        <v>19.22</v>
      </c>
      <c r="Q607">
        <v>26.840699999999998</v>
      </c>
      <c r="R607">
        <v>22.035399999999999</v>
      </c>
      <c r="T607" t="s">
        <v>165</v>
      </c>
      <c r="U607" t="s">
        <v>166</v>
      </c>
      <c r="V607" t="s">
        <v>167</v>
      </c>
      <c r="W607" t="s">
        <v>168</v>
      </c>
      <c r="Y607">
        <v>9</v>
      </c>
      <c r="Z607" t="s">
        <v>169</v>
      </c>
      <c r="AA607" t="s">
        <v>170</v>
      </c>
      <c r="AB607" t="s">
        <v>171</v>
      </c>
      <c r="AC607" t="s">
        <v>172</v>
      </c>
      <c r="AD607">
        <v>10</v>
      </c>
      <c r="AG607" t="s">
        <v>214</v>
      </c>
      <c r="AH607" t="s">
        <v>215</v>
      </c>
      <c r="AI607" t="s">
        <v>175</v>
      </c>
      <c r="AJ607" t="s">
        <v>176</v>
      </c>
      <c r="AK607" t="s">
        <v>170</v>
      </c>
      <c r="AL607" t="s">
        <v>177</v>
      </c>
      <c r="AM607">
        <v>76</v>
      </c>
      <c r="AN607">
        <v>6</v>
      </c>
      <c r="AS607">
        <v>2900</v>
      </c>
      <c r="AT607">
        <v>2900</v>
      </c>
      <c r="BN607" t="s">
        <v>338</v>
      </c>
      <c r="BO607">
        <v>2</v>
      </c>
      <c r="BP607">
        <v>2</v>
      </c>
      <c r="BQ607">
        <v>2</v>
      </c>
      <c r="BR607" t="s">
        <v>321</v>
      </c>
      <c r="BS607" t="s">
        <v>180</v>
      </c>
      <c r="BT607" t="s">
        <v>181</v>
      </c>
      <c r="BU607" s="1">
        <v>45518</v>
      </c>
      <c r="BV607">
        <v>35414</v>
      </c>
      <c r="BY607" t="s">
        <v>170</v>
      </c>
      <c r="CB607" t="s">
        <v>170</v>
      </c>
      <c r="CC607" t="s">
        <v>170</v>
      </c>
      <c r="CD607" t="s">
        <v>339</v>
      </c>
      <c r="CE607" t="s">
        <v>170</v>
      </c>
      <c r="CG607" t="s">
        <v>169</v>
      </c>
      <c r="CH607" t="s">
        <v>284</v>
      </c>
      <c r="CI607" t="s">
        <v>169</v>
      </c>
      <c r="CJ607" t="s">
        <v>340</v>
      </c>
      <c r="CK607" t="s">
        <v>233</v>
      </c>
      <c r="CM607">
        <v>1</v>
      </c>
      <c r="CN607" t="s">
        <v>234</v>
      </c>
      <c r="CP607">
        <v>48</v>
      </c>
      <c r="CQ607">
        <v>20</v>
      </c>
      <c r="CR607">
        <v>80</v>
      </c>
      <c r="CS607" t="s">
        <v>235</v>
      </c>
      <c r="CV607" t="s">
        <v>341</v>
      </c>
      <c r="CX607" t="s">
        <v>342</v>
      </c>
      <c r="CY607" t="s">
        <v>170</v>
      </c>
      <c r="DC607" t="s">
        <v>343</v>
      </c>
      <c r="DD607">
        <v>1</v>
      </c>
      <c r="DE607" t="s">
        <v>344</v>
      </c>
      <c r="DG607">
        <v>10</v>
      </c>
      <c r="DJ607" t="s">
        <v>184</v>
      </c>
      <c r="DK607" t="s">
        <v>185</v>
      </c>
      <c r="DL607" t="s">
        <v>170</v>
      </c>
      <c r="DM607" t="s">
        <v>170</v>
      </c>
      <c r="DN607" t="s">
        <v>170</v>
      </c>
      <c r="DO607" t="s">
        <v>345</v>
      </c>
      <c r="DP607" t="s">
        <v>169</v>
      </c>
      <c r="DQ607" t="s">
        <v>198</v>
      </c>
      <c r="DR607" t="s">
        <v>337</v>
      </c>
      <c r="DY607">
        <v>29.1</v>
      </c>
      <c r="EB607">
        <v>5</v>
      </c>
      <c r="EC607">
        <v>5</v>
      </c>
      <c r="EE607" t="s">
        <v>346</v>
      </c>
      <c r="EF607">
        <v>4</v>
      </c>
      <c r="EV607">
        <v>5000</v>
      </c>
      <c r="EW607">
        <v>459</v>
      </c>
      <c r="EX607">
        <v>329</v>
      </c>
      <c r="EY607">
        <v>400</v>
      </c>
    </row>
    <row r="608" spans="1:155" x14ac:dyDescent="0.35">
      <c r="A608">
        <v>2025</v>
      </c>
      <c r="B608" t="s">
        <v>279</v>
      </c>
      <c r="C608" t="s">
        <v>279</v>
      </c>
      <c r="D608" t="s">
        <v>347</v>
      </c>
      <c r="E608" t="s">
        <v>281</v>
      </c>
      <c r="F608">
        <v>232</v>
      </c>
      <c r="G608">
        <v>4</v>
      </c>
      <c r="H608">
        <v>8</v>
      </c>
      <c r="I608" t="s">
        <v>282</v>
      </c>
      <c r="J608">
        <v>13</v>
      </c>
      <c r="K608">
        <v>21</v>
      </c>
      <c r="L608">
        <v>16</v>
      </c>
      <c r="M608">
        <v>15.8</v>
      </c>
      <c r="N608">
        <v>28.9</v>
      </c>
      <c r="O608">
        <v>19.848700000000001</v>
      </c>
      <c r="P608">
        <v>12.900700000000001</v>
      </c>
      <c r="Q608">
        <v>20.840499999999999</v>
      </c>
      <c r="R608">
        <v>15.57</v>
      </c>
      <c r="S608" t="s">
        <v>210</v>
      </c>
      <c r="T608" t="s">
        <v>165</v>
      </c>
      <c r="U608" t="s">
        <v>166</v>
      </c>
      <c r="V608" t="s">
        <v>167</v>
      </c>
      <c r="W608" t="s">
        <v>168</v>
      </c>
      <c r="Y608">
        <v>9</v>
      </c>
      <c r="Z608" t="s">
        <v>169</v>
      </c>
      <c r="AA608" t="s">
        <v>170</v>
      </c>
      <c r="AB608" t="s">
        <v>167</v>
      </c>
      <c r="AC608" t="s">
        <v>213</v>
      </c>
      <c r="AD608">
        <v>10</v>
      </c>
      <c r="AG608" t="s">
        <v>214</v>
      </c>
      <c r="AH608" t="s">
        <v>215</v>
      </c>
      <c r="AI608" t="s">
        <v>175</v>
      </c>
      <c r="AJ608" t="s">
        <v>176</v>
      </c>
      <c r="AK608" t="s">
        <v>170</v>
      </c>
      <c r="AL608" t="s">
        <v>177</v>
      </c>
      <c r="AM608">
        <v>76</v>
      </c>
      <c r="AN608">
        <v>6</v>
      </c>
      <c r="AS608">
        <v>4000</v>
      </c>
      <c r="AT608">
        <v>4000</v>
      </c>
      <c r="BN608" t="s">
        <v>178</v>
      </c>
      <c r="BO608">
        <v>2</v>
      </c>
      <c r="BP608">
        <v>2</v>
      </c>
      <c r="BQ608">
        <v>2</v>
      </c>
      <c r="BR608" t="s">
        <v>321</v>
      </c>
      <c r="BS608" t="s">
        <v>180</v>
      </c>
      <c r="BT608" t="s">
        <v>181</v>
      </c>
      <c r="BU608" s="1">
        <v>45541</v>
      </c>
      <c r="BV608">
        <v>35494</v>
      </c>
      <c r="BY608" t="s">
        <v>170</v>
      </c>
      <c r="CB608" t="s">
        <v>170</v>
      </c>
      <c r="CC608" t="s">
        <v>170</v>
      </c>
      <c r="CD608" t="s">
        <v>283</v>
      </c>
      <c r="CE608" t="s">
        <v>170</v>
      </c>
      <c r="CG608" t="s">
        <v>169</v>
      </c>
      <c r="CH608" t="s">
        <v>284</v>
      </c>
      <c r="CI608" t="s">
        <v>170</v>
      </c>
      <c r="DJ608" t="s">
        <v>184</v>
      </c>
      <c r="DK608" t="s">
        <v>185</v>
      </c>
      <c r="DN608" t="s">
        <v>170</v>
      </c>
      <c r="DO608" t="s">
        <v>259</v>
      </c>
      <c r="DP608" t="s">
        <v>169</v>
      </c>
      <c r="DQ608" t="s">
        <v>198</v>
      </c>
      <c r="DR608" t="s">
        <v>347</v>
      </c>
      <c r="DY608">
        <v>20</v>
      </c>
      <c r="EB608">
        <v>3</v>
      </c>
      <c r="EC608">
        <v>3</v>
      </c>
      <c r="EE608" t="s">
        <v>285</v>
      </c>
      <c r="EF608">
        <v>4</v>
      </c>
      <c r="EV608">
        <v>10500</v>
      </c>
      <c r="EW608">
        <v>667</v>
      </c>
      <c r="EX608">
        <v>424</v>
      </c>
      <c r="EY608">
        <v>558</v>
      </c>
    </row>
    <row r="609" spans="1:155" x14ac:dyDescent="0.35">
      <c r="A609">
        <v>2025</v>
      </c>
      <c r="B609" t="s">
        <v>279</v>
      </c>
      <c r="C609" t="s">
        <v>279</v>
      </c>
      <c r="D609" t="s">
        <v>348</v>
      </c>
      <c r="E609" t="s">
        <v>281</v>
      </c>
      <c r="F609">
        <v>231</v>
      </c>
      <c r="G609">
        <v>4</v>
      </c>
      <c r="H609">
        <v>8</v>
      </c>
      <c r="I609" t="s">
        <v>282</v>
      </c>
      <c r="J609">
        <v>13</v>
      </c>
      <c r="K609">
        <v>21</v>
      </c>
      <c r="L609">
        <v>16</v>
      </c>
      <c r="M609">
        <v>15.8</v>
      </c>
      <c r="N609">
        <v>28.9</v>
      </c>
      <c r="O609">
        <v>19.848700000000001</v>
      </c>
      <c r="P609">
        <v>12.900700000000001</v>
      </c>
      <c r="Q609">
        <v>20.840499999999999</v>
      </c>
      <c r="R609">
        <v>15.57</v>
      </c>
      <c r="S609" t="s">
        <v>210</v>
      </c>
      <c r="T609" t="s">
        <v>165</v>
      </c>
      <c r="U609" t="s">
        <v>166</v>
      </c>
      <c r="V609" t="s">
        <v>167</v>
      </c>
      <c r="W609" t="s">
        <v>168</v>
      </c>
      <c r="Y609">
        <v>9</v>
      </c>
      <c r="Z609" t="s">
        <v>169</v>
      </c>
      <c r="AA609" t="s">
        <v>170</v>
      </c>
      <c r="AB609" t="s">
        <v>167</v>
      </c>
      <c r="AC609" t="s">
        <v>213</v>
      </c>
      <c r="AD609">
        <v>10</v>
      </c>
      <c r="AG609" t="s">
        <v>214</v>
      </c>
      <c r="AH609" t="s">
        <v>215</v>
      </c>
      <c r="AI609" t="s">
        <v>175</v>
      </c>
      <c r="AJ609" t="s">
        <v>176</v>
      </c>
      <c r="AK609" t="s">
        <v>170</v>
      </c>
      <c r="AL609" t="s">
        <v>177</v>
      </c>
      <c r="AM609">
        <v>76</v>
      </c>
      <c r="AN609">
        <v>6</v>
      </c>
      <c r="AS609">
        <v>4000</v>
      </c>
      <c r="AT609">
        <v>4000</v>
      </c>
      <c r="BN609" t="s">
        <v>178</v>
      </c>
      <c r="BO609">
        <v>2</v>
      </c>
      <c r="BP609">
        <v>2</v>
      </c>
      <c r="BQ609">
        <v>2</v>
      </c>
      <c r="BR609" t="s">
        <v>321</v>
      </c>
      <c r="BS609" t="s">
        <v>180</v>
      </c>
      <c r="BT609" t="s">
        <v>181</v>
      </c>
      <c r="BU609" s="1">
        <v>45541</v>
      </c>
      <c r="BV609">
        <v>35493</v>
      </c>
      <c r="BY609" t="s">
        <v>170</v>
      </c>
      <c r="CB609" t="s">
        <v>170</v>
      </c>
      <c r="CC609" t="s">
        <v>170</v>
      </c>
      <c r="CD609" t="s">
        <v>283</v>
      </c>
      <c r="CE609" t="s">
        <v>170</v>
      </c>
      <c r="CG609" t="s">
        <v>169</v>
      </c>
      <c r="CH609" t="s">
        <v>284</v>
      </c>
      <c r="CI609" t="s">
        <v>170</v>
      </c>
      <c r="DJ609" t="s">
        <v>184</v>
      </c>
      <c r="DK609" t="s">
        <v>185</v>
      </c>
      <c r="DN609" t="s">
        <v>170</v>
      </c>
      <c r="DO609" t="s">
        <v>259</v>
      </c>
      <c r="DP609" t="s">
        <v>169</v>
      </c>
      <c r="DQ609" t="s">
        <v>198</v>
      </c>
      <c r="DR609" t="s">
        <v>348</v>
      </c>
      <c r="DY609">
        <v>20</v>
      </c>
      <c r="EB609">
        <v>3</v>
      </c>
      <c r="EC609">
        <v>3</v>
      </c>
      <c r="EE609" t="s">
        <v>285</v>
      </c>
      <c r="EF609">
        <v>4</v>
      </c>
      <c r="EV609">
        <v>10500</v>
      </c>
      <c r="EW609">
        <v>667</v>
      </c>
      <c r="EX609">
        <v>424</v>
      </c>
      <c r="EY609">
        <v>558</v>
      </c>
    </row>
    <row r="610" spans="1:155" x14ac:dyDescent="0.35">
      <c r="A610">
        <v>2025</v>
      </c>
      <c r="B610" t="s">
        <v>279</v>
      </c>
      <c r="C610" t="s">
        <v>279</v>
      </c>
      <c r="D610" t="s">
        <v>616</v>
      </c>
      <c r="E610" t="s">
        <v>281</v>
      </c>
      <c r="F610">
        <v>150</v>
      </c>
      <c r="G610">
        <v>2</v>
      </c>
      <c r="H610">
        <v>4</v>
      </c>
      <c r="I610" t="s">
        <v>282</v>
      </c>
      <c r="J610">
        <v>25</v>
      </c>
      <c r="K610">
        <v>35</v>
      </c>
      <c r="L610">
        <v>29</v>
      </c>
      <c r="M610">
        <v>32.700000000000003</v>
      </c>
      <c r="N610">
        <v>51.5</v>
      </c>
      <c r="O610">
        <v>39.127600000000001</v>
      </c>
      <c r="P610">
        <v>25.2729</v>
      </c>
      <c r="Q610">
        <v>35.302100000000003</v>
      </c>
      <c r="R610">
        <v>28.977499999999999</v>
      </c>
      <c r="T610" t="s">
        <v>165</v>
      </c>
      <c r="U610" t="s">
        <v>166</v>
      </c>
      <c r="V610" t="s">
        <v>167</v>
      </c>
      <c r="W610" t="s">
        <v>168</v>
      </c>
      <c r="Y610">
        <v>9</v>
      </c>
      <c r="Z610" t="s">
        <v>169</v>
      </c>
      <c r="AA610" t="s">
        <v>170</v>
      </c>
      <c r="AB610" t="s">
        <v>171</v>
      </c>
      <c r="AC610" t="s">
        <v>172</v>
      </c>
      <c r="AD610">
        <v>10</v>
      </c>
      <c r="AG610" t="s">
        <v>214</v>
      </c>
      <c r="AH610" t="s">
        <v>215</v>
      </c>
      <c r="AI610" t="s">
        <v>175</v>
      </c>
      <c r="AJ610" t="s">
        <v>176</v>
      </c>
      <c r="AK610" t="s">
        <v>170</v>
      </c>
      <c r="AL610" t="s">
        <v>177</v>
      </c>
      <c r="AO610">
        <v>93</v>
      </c>
      <c r="AP610">
        <v>12</v>
      </c>
      <c r="AS610">
        <v>2200</v>
      </c>
      <c r="AT610">
        <v>2200</v>
      </c>
      <c r="BN610" t="s">
        <v>338</v>
      </c>
      <c r="BO610">
        <v>2</v>
      </c>
      <c r="BP610">
        <v>2</v>
      </c>
      <c r="BQ610">
        <v>4</v>
      </c>
      <c r="BR610" t="s">
        <v>521</v>
      </c>
      <c r="BS610" t="s">
        <v>180</v>
      </c>
      <c r="BT610" t="s">
        <v>181</v>
      </c>
      <c r="BU610" s="1">
        <v>45481</v>
      </c>
      <c r="BV610">
        <v>35253</v>
      </c>
      <c r="BY610" t="s">
        <v>170</v>
      </c>
      <c r="CB610" t="s">
        <v>170</v>
      </c>
      <c r="CC610" t="s">
        <v>170</v>
      </c>
      <c r="CD610" t="s">
        <v>496</v>
      </c>
      <c r="CE610" t="s">
        <v>170</v>
      </c>
      <c r="CG610" t="s">
        <v>169</v>
      </c>
      <c r="CH610" t="s">
        <v>284</v>
      </c>
      <c r="CI610" t="s">
        <v>169</v>
      </c>
      <c r="CJ610" t="s">
        <v>497</v>
      </c>
      <c r="CK610" t="s">
        <v>233</v>
      </c>
      <c r="CM610">
        <v>1</v>
      </c>
      <c r="CN610" t="s">
        <v>234</v>
      </c>
      <c r="CP610">
        <v>48</v>
      </c>
      <c r="CQ610">
        <v>17.5</v>
      </c>
      <c r="CR610">
        <v>78.2</v>
      </c>
      <c r="CS610" t="s">
        <v>235</v>
      </c>
      <c r="CV610" t="s">
        <v>341</v>
      </c>
      <c r="CX610" t="s">
        <v>342</v>
      </c>
      <c r="CY610" t="s">
        <v>170</v>
      </c>
      <c r="DC610" t="s">
        <v>498</v>
      </c>
      <c r="DD610">
        <v>1</v>
      </c>
      <c r="DE610" t="s">
        <v>404</v>
      </c>
      <c r="DF610" t="s">
        <v>499</v>
      </c>
      <c r="DG610">
        <v>17</v>
      </c>
      <c r="DJ610" t="s">
        <v>184</v>
      </c>
      <c r="DK610" t="s">
        <v>185</v>
      </c>
      <c r="DL610" t="s">
        <v>170</v>
      </c>
      <c r="DM610" t="s">
        <v>170</v>
      </c>
      <c r="DN610" t="s">
        <v>170</v>
      </c>
      <c r="DO610" t="s">
        <v>345</v>
      </c>
      <c r="DP610" t="s">
        <v>169</v>
      </c>
      <c r="DQ610" t="s">
        <v>198</v>
      </c>
      <c r="DR610" t="s">
        <v>616</v>
      </c>
      <c r="DY610">
        <v>39.4</v>
      </c>
      <c r="EB610">
        <v>6</v>
      </c>
      <c r="EC610">
        <v>6</v>
      </c>
      <c r="EE610" t="s">
        <v>500</v>
      </c>
      <c r="EF610">
        <v>7</v>
      </c>
      <c r="EV610">
        <v>1500</v>
      </c>
      <c r="EW610">
        <v>352</v>
      </c>
      <c r="EX610">
        <v>252</v>
      </c>
      <c r="EY610">
        <v>307</v>
      </c>
    </row>
    <row r="611" spans="1:155" x14ac:dyDescent="0.35">
      <c r="A611">
        <v>2025</v>
      </c>
      <c r="B611" t="s">
        <v>279</v>
      </c>
      <c r="C611" t="s">
        <v>279</v>
      </c>
      <c r="D611" t="s">
        <v>617</v>
      </c>
      <c r="E611" t="s">
        <v>281</v>
      </c>
      <c r="F611">
        <v>151</v>
      </c>
      <c r="G611">
        <v>2</v>
      </c>
      <c r="H611">
        <v>4</v>
      </c>
      <c r="I611" t="s">
        <v>282</v>
      </c>
      <c r="J611">
        <v>24</v>
      </c>
      <c r="K611">
        <v>33</v>
      </c>
      <c r="L611">
        <v>27</v>
      </c>
      <c r="M611">
        <v>30.2</v>
      </c>
      <c r="N611">
        <v>48.1</v>
      </c>
      <c r="O611">
        <v>36.274700000000003</v>
      </c>
      <c r="P611">
        <v>23.526700000000002</v>
      </c>
      <c r="Q611">
        <v>33.218499999999999</v>
      </c>
      <c r="R611">
        <v>27.0824</v>
      </c>
      <c r="T611" t="s">
        <v>165</v>
      </c>
      <c r="U611" t="s">
        <v>166</v>
      </c>
      <c r="V611" t="s">
        <v>167</v>
      </c>
      <c r="W611" t="s">
        <v>168</v>
      </c>
      <c r="Y611">
        <v>9</v>
      </c>
      <c r="Z611" t="s">
        <v>169</v>
      </c>
      <c r="AA611" t="s">
        <v>170</v>
      </c>
      <c r="AB611" t="s">
        <v>167</v>
      </c>
      <c r="AC611" t="s">
        <v>213</v>
      </c>
      <c r="AD611">
        <v>10</v>
      </c>
      <c r="AG611" t="s">
        <v>214</v>
      </c>
      <c r="AH611" t="s">
        <v>215</v>
      </c>
      <c r="AI611" t="s">
        <v>175</v>
      </c>
      <c r="AJ611" t="s">
        <v>176</v>
      </c>
      <c r="AK611" t="s">
        <v>170</v>
      </c>
      <c r="AL611" t="s">
        <v>177</v>
      </c>
      <c r="AO611">
        <v>93</v>
      </c>
      <c r="AP611">
        <v>12</v>
      </c>
      <c r="AS611">
        <v>2350</v>
      </c>
      <c r="AT611">
        <v>2350</v>
      </c>
      <c r="BN611" t="s">
        <v>338</v>
      </c>
      <c r="BO611">
        <v>2</v>
      </c>
      <c r="BP611">
        <v>2</v>
      </c>
      <c r="BQ611">
        <v>4</v>
      </c>
      <c r="BR611" t="s">
        <v>521</v>
      </c>
      <c r="BS611" t="s">
        <v>180</v>
      </c>
      <c r="BT611" t="s">
        <v>181</v>
      </c>
      <c r="BU611" s="1">
        <v>45481</v>
      </c>
      <c r="BV611">
        <v>35121</v>
      </c>
      <c r="BY611" t="s">
        <v>170</v>
      </c>
      <c r="CB611" t="s">
        <v>170</v>
      </c>
      <c r="CC611" t="s">
        <v>170</v>
      </c>
      <c r="CD611" t="s">
        <v>496</v>
      </c>
      <c r="CE611" t="s">
        <v>170</v>
      </c>
      <c r="CG611" t="s">
        <v>169</v>
      </c>
      <c r="CH611" t="s">
        <v>284</v>
      </c>
      <c r="CI611" t="s">
        <v>169</v>
      </c>
      <c r="CJ611" t="s">
        <v>497</v>
      </c>
      <c r="CK611" t="s">
        <v>233</v>
      </c>
      <c r="CM611">
        <v>1</v>
      </c>
      <c r="CN611" t="s">
        <v>234</v>
      </c>
      <c r="CP611">
        <v>48</v>
      </c>
      <c r="CQ611">
        <v>17.5</v>
      </c>
      <c r="CR611">
        <v>78.2</v>
      </c>
      <c r="CS611" t="s">
        <v>235</v>
      </c>
      <c r="CV611" t="s">
        <v>341</v>
      </c>
      <c r="CX611" t="s">
        <v>342</v>
      </c>
      <c r="CY611" t="s">
        <v>170</v>
      </c>
      <c r="DC611" t="s">
        <v>498</v>
      </c>
      <c r="DD611">
        <v>1</v>
      </c>
      <c r="DE611" t="s">
        <v>404</v>
      </c>
      <c r="DF611" t="s">
        <v>499</v>
      </c>
      <c r="DG611">
        <v>17</v>
      </c>
      <c r="DJ611" t="s">
        <v>184</v>
      </c>
      <c r="DK611" t="s">
        <v>185</v>
      </c>
      <c r="DL611" t="s">
        <v>170</v>
      </c>
      <c r="DM611" t="s">
        <v>170</v>
      </c>
      <c r="DN611" t="s">
        <v>170</v>
      </c>
      <c r="DO611" t="s">
        <v>345</v>
      </c>
      <c r="DP611" t="s">
        <v>169</v>
      </c>
      <c r="DQ611" t="s">
        <v>198</v>
      </c>
      <c r="DR611" t="s">
        <v>617</v>
      </c>
      <c r="DY611">
        <v>36.5</v>
      </c>
      <c r="EB611">
        <v>5</v>
      </c>
      <c r="EC611">
        <v>5</v>
      </c>
      <c r="EE611" t="s">
        <v>500</v>
      </c>
      <c r="EF611">
        <v>7</v>
      </c>
      <c r="EV611">
        <v>2250</v>
      </c>
      <c r="EW611">
        <v>379</v>
      </c>
      <c r="EX611">
        <v>268</v>
      </c>
      <c r="EY611">
        <v>329</v>
      </c>
    </row>
    <row r="612" spans="1:155" x14ac:dyDescent="0.35">
      <c r="A612">
        <v>2025</v>
      </c>
      <c r="B612" t="s">
        <v>279</v>
      </c>
      <c r="C612" t="s">
        <v>279</v>
      </c>
      <c r="D612" t="s">
        <v>618</v>
      </c>
      <c r="E612" t="s">
        <v>281</v>
      </c>
      <c r="F612">
        <v>240</v>
      </c>
      <c r="G612">
        <v>2</v>
      </c>
      <c r="H612">
        <v>4</v>
      </c>
      <c r="I612" t="s">
        <v>248</v>
      </c>
      <c r="J612">
        <v>26</v>
      </c>
      <c r="K612">
        <v>36</v>
      </c>
      <c r="L612">
        <v>30</v>
      </c>
      <c r="M612">
        <v>34.1</v>
      </c>
      <c r="N612">
        <v>52.7</v>
      </c>
      <c r="O612">
        <v>40.538499999999999</v>
      </c>
      <c r="P612">
        <v>26.238800000000001</v>
      </c>
      <c r="Q612">
        <v>36.030099999999997</v>
      </c>
      <c r="R612">
        <v>29.894600000000001</v>
      </c>
      <c r="T612" t="s">
        <v>165</v>
      </c>
      <c r="U612" t="s">
        <v>166</v>
      </c>
      <c r="V612" t="s">
        <v>249</v>
      </c>
      <c r="W612" t="s">
        <v>250</v>
      </c>
      <c r="Y612">
        <v>8</v>
      </c>
      <c r="Z612" t="s">
        <v>169</v>
      </c>
      <c r="AA612" t="s">
        <v>170</v>
      </c>
      <c r="AB612" t="s">
        <v>351</v>
      </c>
      <c r="AC612" t="s">
        <v>352</v>
      </c>
      <c r="AD612">
        <v>10</v>
      </c>
      <c r="AG612" t="s">
        <v>214</v>
      </c>
      <c r="AH612" t="s">
        <v>215</v>
      </c>
      <c r="AI612" t="s">
        <v>175</v>
      </c>
      <c r="AJ612" t="s">
        <v>176</v>
      </c>
      <c r="AK612" t="s">
        <v>170</v>
      </c>
      <c r="AL612" t="s">
        <v>177</v>
      </c>
      <c r="AO612">
        <v>89</v>
      </c>
      <c r="AP612">
        <v>12</v>
      </c>
      <c r="AS612">
        <v>2100</v>
      </c>
      <c r="AT612">
        <v>2100</v>
      </c>
      <c r="BN612" t="s">
        <v>338</v>
      </c>
      <c r="BO612">
        <v>2</v>
      </c>
      <c r="BP612">
        <v>2</v>
      </c>
      <c r="BQ612">
        <v>4</v>
      </c>
      <c r="BR612" t="s">
        <v>521</v>
      </c>
      <c r="BS612" t="s">
        <v>180</v>
      </c>
      <c r="BT612" t="s">
        <v>181</v>
      </c>
      <c r="BU612" s="1">
        <v>45429</v>
      </c>
      <c r="BV612">
        <v>34806</v>
      </c>
      <c r="CB612" t="s">
        <v>170</v>
      </c>
      <c r="CC612" t="s">
        <v>170</v>
      </c>
      <c r="CE612" t="s">
        <v>170</v>
      </c>
      <c r="CG612" t="s">
        <v>169</v>
      </c>
      <c r="CH612" t="s">
        <v>505</v>
      </c>
      <c r="CI612" t="s">
        <v>169</v>
      </c>
      <c r="CJ612" t="s">
        <v>606</v>
      </c>
      <c r="CK612" t="s">
        <v>233</v>
      </c>
      <c r="CM612">
        <v>1</v>
      </c>
      <c r="CN612" t="s">
        <v>234</v>
      </c>
      <c r="CP612">
        <v>48</v>
      </c>
      <c r="CQ612">
        <v>7.7</v>
      </c>
      <c r="CR612">
        <v>52.9</v>
      </c>
      <c r="CS612" t="s">
        <v>235</v>
      </c>
      <c r="CV612" t="s">
        <v>341</v>
      </c>
      <c r="CX612" t="s">
        <v>342</v>
      </c>
      <c r="CY612" t="s">
        <v>170</v>
      </c>
      <c r="DC612" t="s">
        <v>619</v>
      </c>
      <c r="DD612">
        <v>1</v>
      </c>
      <c r="DE612" t="s">
        <v>404</v>
      </c>
      <c r="DF612" t="s">
        <v>499</v>
      </c>
      <c r="DG612">
        <v>10</v>
      </c>
      <c r="DJ612" t="s">
        <v>184</v>
      </c>
      <c r="DK612" t="s">
        <v>185</v>
      </c>
      <c r="DL612" t="s">
        <v>170</v>
      </c>
      <c r="DM612" t="s">
        <v>170</v>
      </c>
      <c r="DN612" t="s">
        <v>170</v>
      </c>
      <c r="DO612" t="s">
        <v>259</v>
      </c>
      <c r="DP612" t="s">
        <v>169</v>
      </c>
      <c r="DQ612" t="s">
        <v>198</v>
      </c>
      <c r="DR612" t="s">
        <v>618</v>
      </c>
      <c r="DY612">
        <v>40.799999999999997</v>
      </c>
      <c r="EB612">
        <v>6</v>
      </c>
      <c r="EC612">
        <v>6</v>
      </c>
      <c r="EE612" t="s">
        <v>620</v>
      </c>
      <c r="EF612">
        <v>6</v>
      </c>
      <c r="EV612">
        <v>1000</v>
      </c>
      <c r="EW612">
        <v>339</v>
      </c>
      <c r="EX612">
        <v>247</v>
      </c>
      <c r="EY612">
        <v>298</v>
      </c>
    </row>
    <row r="613" spans="1:155" x14ac:dyDescent="0.35">
      <c r="A613">
        <v>2025</v>
      </c>
      <c r="B613" t="s">
        <v>279</v>
      </c>
      <c r="C613" t="s">
        <v>279</v>
      </c>
      <c r="D613" t="s">
        <v>621</v>
      </c>
      <c r="E613" t="s">
        <v>281</v>
      </c>
      <c r="F613">
        <v>212</v>
      </c>
      <c r="G613">
        <v>2</v>
      </c>
      <c r="H613">
        <v>4</v>
      </c>
      <c r="I613" t="s">
        <v>248</v>
      </c>
      <c r="J613">
        <v>25</v>
      </c>
      <c r="K613">
        <v>34</v>
      </c>
      <c r="L613">
        <v>29</v>
      </c>
      <c r="M613">
        <v>32.6</v>
      </c>
      <c r="N613">
        <v>49.7</v>
      </c>
      <c r="O613">
        <v>38.572099999999999</v>
      </c>
      <c r="P613">
        <v>25.203600000000002</v>
      </c>
      <c r="Q613">
        <v>34.2029</v>
      </c>
      <c r="R613">
        <v>28.5885</v>
      </c>
      <c r="T613" t="s">
        <v>165</v>
      </c>
      <c r="U613" t="s">
        <v>166</v>
      </c>
      <c r="V613" t="s">
        <v>249</v>
      </c>
      <c r="W613" t="s">
        <v>250</v>
      </c>
      <c r="Y613">
        <v>8</v>
      </c>
      <c r="Z613" t="s">
        <v>169</v>
      </c>
      <c r="AA613" t="s">
        <v>170</v>
      </c>
      <c r="AB613" t="s">
        <v>167</v>
      </c>
      <c r="AC613" t="s">
        <v>213</v>
      </c>
      <c r="AD613">
        <v>10</v>
      </c>
      <c r="AG613" t="s">
        <v>214</v>
      </c>
      <c r="AH613" t="s">
        <v>215</v>
      </c>
      <c r="AI613" t="s">
        <v>175</v>
      </c>
      <c r="AJ613" t="s">
        <v>176</v>
      </c>
      <c r="AK613" t="s">
        <v>170</v>
      </c>
      <c r="AL613" t="s">
        <v>177</v>
      </c>
      <c r="AO613">
        <v>89</v>
      </c>
      <c r="AP613">
        <v>12</v>
      </c>
      <c r="AS613">
        <v>2200</v>
      </c>
      <c r="AT613">
        <v>2200</v>
      </c>
      <c r="BN613" t="s">
        <v>338</v>
      </c>
      <c r="BO613">
        <v>2</v>
      </c>
      <c r="BP613">
        <v>2</v>
      </c>
      <c r="BQ613">
        <v>4</v>
      </c>
      <c r="BR613" t="s">
        <v>521</v>
      </c>
      <c r="BS613" t="s">
        <v>180</v>
      </c>
      <c r="BT613" t="s">
        <v>181</v>
      </c>
      <c r="BU613" s="1">
        <v>45434</v>
      </c>
      <c r="BV613">
        <v>34828</v>
      </c>
      <c r="BY613" t="s">
        <v>170</v>
      </c>
      <c r="CB613" t="s">
        <v>170</v>
      </c>
      <c r="CC613" t="s">
        <v>170</v>
      </c>
      <c r="CE613" t="s">
        <v>170</v>
      </c>
      <c r="CG613" t="s">
        <v>169</v>
      </c>
      <c r="CH613" t="s">
        <v>505</v>
      </c>
      <c r="CI613" t="s">
        <v>169</v>
      </c>
      <c r="CJ613" t="s">
        <v>606</v>
      </c>
      <c r="CK613" t="s">
        <v>233</v>
      </c>
      <c r="CM613">
        <v>1</v>
      </c>
      <c r="CN613" t="s">
        <v>234</v>
      </c>
      <c r="CP613">
        <v>48</v>
      </c>
      <c r="CQ613">
        <v>7.7</v>
      </c>
      <c r="CR613">
        <v>52.9</v>
      </c>
      <c r="CS613" t="s">
        <v>235</v>
      </c>
      <c r="CV613" t="s">
        <v>341</v>
      </c>
      <c r="CX613" t="s">
        <v>342</v>
      </c>
      <c r="CY613" t="s">
        <v>170</v>
      </c>
      <c r="DC613" t="s">
        <v>619</v>
      </c>
      <c r="DD613">
        <v>1</v>
      </c>
      <c r="DE613" t="s">
        <v>404</v>
      </c>
      <c r="DF613" t="s">
        <v>499</v>
      </c>
      <c r="DG613">
        <v>10</v>
      </c>
      <c r="DJ613" t="s">
        <v>184</v>
      </c>
      <c r="DK613" t="s">
        <v>185</v>
      </c>
      <c r="DL613" t="s">
        <v>170</v>
      </c>
      <c r="DM613" t="s">
        <v>170</v>
      </c>
      <c r="DN613" t="s">
        <v>170</v>
      </c>
      <c r="DO613" t="s">
        <v>259</v>
      </c>
      <c r="DP613" t="s">
        <v>169</v>
      </c>
      <c r="DQ613" t="s">
        <v>198</v>
      </c>
      <c r="DR613" t="s">
        <v>621</v>
      </c>
      <c r="DY613">
        <v>38.799999999999997</v>
      </c>
      <c r="EB613">
        <v>6</v>
      </c>
      <c r="EC613">
        <v>6</v>
      </c>
      <c r="EE613" t="s">
        <v>620</v>
      </c>
      <c r="EF613">
        <v>6</v>
      </c>
      <c r="EV613">
        <v>1500</v>
      </c>
      <c r="EW613">
        <v>353</v>
      </c>
      <c r="EX613">
        <v>260</v>
      </c>
      <c r="EY613">
        <v>311</v>
      </c>
    </row>
    <row r="614" spans="1:155" x14ac:dyDescent="0.35">
      <c r="A614">
        <v>2025</v>
      </c>
      <c r="B614" t="s">
        <v>279</v>
      </c>
      <c r="C614" t="s">
        <v>279</v>
      </c>
      <c r="D614" t="s">
        <v>495</v>
      </c>
      <c r="E614" t="s">
        <v>281</v>
      </c>
      <c r="F614">
        <v>340</v>
      </c>
      <c r="G614">
        <v>2</v>
      </c>
      <c r="H614">
        <v>4</v>
      </c>
      <c r="I614" t="s">
        <v>282</v>
      </c>
      <c r="J614">
        <v>23</v>
      </c>
      <c r="K614">
        <v>32</v>
      </c>
      <c r="L614">
        <v>26</v>
      </c>
      <c r="M614">
        <v>29</v>
      </c>
      <c r="N614">
        <v>45.5</v>
      </c>
      <c r="O614">
        <v>34.655299999999997</v>
      </c>
      <c r="P614">
        <v>22.678599999999999</v>
      </c>
      <c r="Q614">
        <v>31.603999999999999</v>
      </c>
      <c r="R614">
        <v>25.9803</v>
      </c>
      <c r="T614" t="s">
        <v>165</v>
      </c>
      <c r="U614" t="s">
        <v>166</v>
      </c>
      <c r="V614" t="s">
        <v>167</v>
      </c>
      <c r="W614" t="s">
        <v>168</v>
      </c>
      <c r="Y614">
        <v>9</v>
      </c>
      <c r="Z614" t="s">
        <v>169</v>
      </c>
      <c r="AA614" t="s">
        <v>170</v>
      </c>
      <c r="AB614" t="s">
        <v>167</v>
      </c>
      <c r="AC614" t="s">
        <v>213</v>
      </c>
      <c r="AD614">
        <v>10</v>
      </c>
      <c r="AG614" t="s">
        <v>214</v>
      </c>
      <c r="AH614" t="s">
        <v>215</v>
      </c>
      <c r="AI614" t="s">
        <v>175</v>
      </c>
      <c r="AJ614" t="s">
        <v>176</v>
      </c>
      <c r="AK614" t="s">
        <v>170</v>
      </c>
      <c r="AL614" t="s">
        <v>177</v>
      </c>
      <c r="AM614">
        <v>86</v>
      </c>
      <c r="AN614">
        <v>10</v>
      </c>
      <c r="AS614">
        <v>2450</v>
      </c>
      <c r="AT614">
        <v>2450</v>
      </c>
      <c r="BN614" t="s">
        <v>338</v>
      </c>
      <c r="BO614">
        <v>2</v>
      </c>
      <c r="BP614">
        <v>2</v>
      </c>
      <c r="BQ614">
        <v>3</v>
      </c>
      <c r="BR614" t="s">
        <v>387</v>
      </c>
      <c r="BS614" t="s">
        <v>180</v>
      </c>
      <c r="BT614" t="s">
        <v>181</v>
      </c>
      <c r="BU614" s="1">
        <v>45481</v>
      </c>
      <c r="BV614">
        <v>35275</v>
      </c>
      <c r="BY614" t="s">
        <v>170</v>
      </c>
      <c r="CB614" t="s">
        <v>170</v>
      </c>
      <c r="CC614" t="s">
        <v>170</v>
      </c>
      <c r="CD614" t="s">
        <v>496</v>
      </c>
      <c r="CE614" t="s">
        <v>170</v>
      </c>
      <c r="CG614" t="s">
        <v>169</v>
      </c>
      <c r="CH614" t="s">
        <v>284</v>
      </c>
      <c r="CI614" t="s">
        <v>169</v>
      </c>
      <c r="CJ614" t="s">
        <v>497</v>
      </c>
      <c r="CK614" t="s">
        <v>233</v>
      </c>
      <c r="CM614">
        <v>1</v>
      </c>
      <c r="CN614" t="s">
        <v>234</v>
      </c>
      <c r="CP614">
        <v>48</v>
      </c>
      <c r="CQ614">
        <v>17.5</v>
      </c>
      <c r="CR614">
        <v>78.2</v>
      </c>
      <c r="CS614" t="s">
        <v>235</v>
      </c>
      <c r="CV614" t="s">
        <v>341</v>
      </c>
      <c r="CX614" t="s">
        <v>342</v>
      </c>
      <c r="CY614" t="s">
        <v>170</v>
      </c>
      <c r="DC614" t="s">
        <v>498</v>
      </c>
      <c r="DD614">
        <v>1</v>
      </c>
      <c r="DE614" t="s">
        <v>404</v>
      </c>
      <c r="DF614" t="s">
        <v>499</v>
      </c>
      <c r="DG614">
        <v>17</v>
      </c>
      <c r="DJ614" t="s">
        <v>184</v>
      </c>
      <c r="DK614" t="s">
        <v>185</v>
      </c>
      <c r="DL614" t="s">
        <v>170</v>
      </c>
      <c r="DM614" t="s">
        <v>170</v>
      </c>
      <c r="DN614" t="s">
        <v>170</v>
      </c>
      <c r="DO614" t="s">
        <v>345</v>
      </c>
      <c r="DP614" t="s">
        <v>169</v>
      </c>
      <c r="DQ614" t="s">
        <v>198</v>
      </c>
      <c r="DR614" t="s">
        <v>495</v>
      </c>
      <c r="DY614">
        <v>34.9</v>
      </c>
      <c r="EB614">
        <v>5</v>
      </c>
      <c r="EC614">
        <v>5</v>
      </c>
      <c r="EE614" t="s">
        <v>500</v>
      </c>
      <c r="EF614">
        <v>7</v>
      </c>
      <c r="EV614">
        <v>2750</v>
      </c>
      <c r="EW614">
        <v>389</v>
      </c>
      <c r="EX614">
        <v>279</v>
      </c>
      <c r="EY614">
        <v>340</v>
      </c>
    </row>
    <row r="615" spans="1:155" x14ac:dyDescent="0.35">
      <c r="A615">
        <v>2025</v>
      </c>
      <c r="B615" t="s">
        <v>279</v>
      </c>
      <c r="C615" t="s">
        <v>279</v>
      </c>
      <c r="D615" t="s">
        <v>501</v>
      </c>
      <c r="E615" t="s">
        <v>281</v>
      </c>
      <c r="F615">
        <v>341</v>
      </c>
      <c r="G615">
        <v>2</v>
      </c>
      <c r="H615">
        <v>4</v>
      </c>
      <c r="I615" t="s">
        <v>282</v>
      </c>
      <c r="J615">
        <v>24</v>
      </c>
      <c r="K615">
        <v>33</v>
      </c>
      <c r="L615">
        <v>27</v>
      </c>
      <c r="M615">
        <v>30.8</v>
      </c>
      <c r="N615">
        <v>47.7</v>
      </c>
      <c r="O615">
        <v>36.642000000000003</v>
      </c>
      <c r="P615">
        <v>23.9483</v>
      </c>
      <c r="Q615">
        <v>32.971299999999999</v>
      </c>
      <c r="R615">
        <v>27.311699999999998</v>
      </c>
      <c r="T615" t="s">
        <v>165</v>
      </c>
      <c r="U615" t="s">
        <v>166</v>
      </c>
      <c r="V615" t="s">
        <v>167</v>
      </c>
      <c r="W615" t="s">
        <v>168</v>
      </c>
      <c r="Y615">
        <v>9</v>
      </c>
      <c r="Z615" t="s">
        <v>169</v>
      </c>
      <c r="AA615" t="s">
        <v>170</v>
      </c>
      <c r="AB615" t="s">
        <v>167</v>
      </c>
      <c r="AC615" t="s">
        <v>213</v>
      </c>
      <c r="AD615">
        <v>10</v>
      </c>
      <c r="AG615" t="s">
        <v>214</v>
      </c>
      <c r="AH615" t="s">
        <v>215</v>
      </c>
      <c r="AI615" t="s">
        <v>175</v>
      </c>
      <c r="AJ615" t="s">
        <v>176</v>
      </c>
      <c r="AK615" t="s">
        <v>170</v>
      </c>
      <c r="AL615" t="s">
        <v>177</v>
      </c>
      <c r="AM615">
        <v>88</v>
      </c>
      <c r="AN615">
        <v>11</v>
      </c>
      <c r="AS615">
        <v>2350</v>
      </c>
      <c r="AT615">
        <v>2350</v>
      </c>
      <c r="BN615" t="s">
        <v>338</v>
      </c>
      <c r="BO615">
        <v>2</v>
      </c>
      <c r="BP615">
        <v>2</v>
      </c>
      <c r="BQ615">
        <v>3</v>
      </c>
      <c r="BR615" t="s">
        <v>387</v>
      </c>
      <c r="BS615" t="s">
        <v>180</v>
      </c>
      <c r="BT615" t="s">
        <v>181</v>
      </c>
      <c r="BU615" s="1">
        <v>45481</v>
      </c>
      <c r="BV615">
        <v>35255</v>
      </c>
      <c r="BY615" t="s">
        <v>170</v>
      </c>
      <c r="CB615" t="s">
        <v>170</v>
      </c>
      <c r="CC615" t="s">
        <v>170</v>
      </c>
      <c r="CD615" t="s">
        <v>496</v>
      </c>
      <c r="CE615" t="s">
        <v>170</v>
      </c>
      <c r="CG615" t="s">
        <v>169</v>
      </c>
      <c r="CH615" t="s">
        <v>284</v>
      </c>
      <c r="CI615" t="s">
        <v>169</v>
      </c>
      <c r="CJ615" t="s">
        <v>497</v>
      </c>
      <c r="CK615" t="s">
        <v>233</v>
      </c>
      <c r="CM615">
        <v>1</v>
      </c>
      <c r="CN615" t="s">
        <v>234</v>
      </c>
      <c r="CP615">
        <v>48</v>
      </c>
      <c r="CQ615">
        <v>17.5</v>
      </c>
      <c r="CR615">
        <v>78.2</v>
      </c>
      <c r="CS615" t="s">
        <v>235</v>
      </c>
      <c r="CV615" t="s">
        <v>341</v>
      </c>
      <c r="CX615" t="s">
        <v>342</v>
      </c>
      <c r="CY615" t="s">
        <v>170</v>
      </c>
      <c r="DC615" t="s">
        <v>498</v>
      </c>
      <c r="DD615">
        <v>1</v>
      </c>
      <c r="DE615" t="s">
        <v>404</v>
      </c>
      <c r="DF615" t="s">
        <v>499</v>
      </c>
      <c r="DG615">
        <v>17</v>
      </c>
      <c r="DJ615" t="s">
        <v>184</v>
      </c>
      <c r="DK615" t="s">
        <v>185</v>
      </c>
      <c r="DL615" t="s">
        <v>170</v>
      </c>
      <c r="DM615" t="s">
        <v>170</v>
      </c>
      <c r="DN615" t="s">
        <v>170</v>
      </c>
      <c r="DO615" t="s">
        <v>345</v>
      </c>
      <c r="DP615" t="s">
        <v>169</v>
      </c>
      <c r="DQ615" t="s">
        <v>198</v>
      </c>
      <c r="DR615" t="s">
        <v>502</v>
      </c>
      <c r="DY615">
        <v>36.9</v>
      </c>
      <c r="EB615">
        <v>5</v>
      </c>
      <c r="EC615">
        <v>5</v>
      </c>
      <c r="EE615" t="s">
        <v>500</v>
      </c>
      <c r="EF615">
        <v>7</v>
      </c>
      <c r="EV615">
        <v>2250</v>
      </c>
      <c r="EW615">
        <v>368</v>
      </c>
      <c r="EX615">
        <v>268</v>
      </c>
      <c r="EY615">
        <v>323</v>
      </c>
    </row>
    <row r="616" spans="1:155" x14ac:dyDescent="0.35">
      <c r="A616">
        <v>2025</v>
      </c>
      <c r="B616" t="s">
        <v>279</v>
      </c>
      <c r="C616" t="s">
        <v>279</v>
      </c>
      <c r="D616" t="s">
        <v>503</v>
      </c>
      <c r="E616" t="s">
        <v>281</v>
      </c>
      <c r="F616">
        <v>342</v>
      </c>
      <c r="G616">
        <v>3</v>
      </c>
      <c r="H616">
        <v>6</v>
      </c>
      <c r="I616" t="s">
        <v>282</v>
      </c>
      <c r="J616">
        <v>23</v>
      </c>
      <c r="K616">
        <v>32</v>
      </c>
      <c r="L616">
        <v>26</v>
      </c>
      <c r="M616">
        <v>29.6</v>
      </c>
      <c r="N616">
        <v>46</v>
      </c>
      <c r="O616">
        <v>35.256300000000003</v>
      </c>
      <c r="P616">
        <v>23.1035</v>
      </c>
      <c r="Q616">
        <v>31.915900000000001</v>
      </c>
      <c r="R616">
        <v>26.381399999999999</v>
      </c>
      <c r="T616" t="s">
        <v>484</v>
      </c>
      <c r="U616" t="s">
        <v>485</v>
      </c>
      <c r="V616" t="s">
        <v>167</v>
      </c>
      <c r="W616" t="s">
        <v>168</v>
      </c>
      <c r="Y616">
        <v>9</v>
      </c>
      <c r="Z616" t="s">
        <v>169</v>
      </c>
      <c r="AA616" t="s">
        <v>170</v>
      </c>
      <c r="AB616" t="s">
        <v>167</v>
      </c>
      <c r="AC616" t="s">
        <v>213</v>
      </c>
      <c r="AD616">
        <v>10</v>
      </c>
      <c r="AG616" t="s">
        <v>214</v>
      </c>
      <c r="AH616" t="s">
        <v>215</v>
      </c>
      <c r="AI616" t="s">
        <v>175</v>
      </c>
      <c r="AJ616" t="s">
        <v>176</v>
      </c>
      <c r="AK616" t="s">
        <v>170</v>
      </c>
      <c r="AL616" t="s">
        <v>177</v>
      </c>
      <c r="AM616">
        <v>86</v>
      </c>
      <c r="AN616">
        <v>10</v>
      </c>
      <c r="AS616">
        <v>2450</v>
      </c>
      <c r="AT616">
        <v>2450</v>
      </c>
      <c r="BN616" t="s">
        <v>338</v>
      </c>
      <c r="BO616">
        <v>2</v>
      </c>
      <c r="BP616">
        <v>2</v>
      </c>
      <c r="BQ616">
        <v>3</v>
      </c>
      <c r="BR616" t="s">
        <v>387</v>
      </c>
      <c r="BS616" t="s">
        <v>180</v>
      </c>
      <c r="BT616" t="s">
        <v>181</v>
      </c>
      <c r="BU616" s="1">
        <v>45505</v>
      </c>
      <c r="BV616">
        <v>35161</v>
      </c>
      <c r="BY616" t="s">
        <v>170</v>
      </c>
      <c r="CB616" t="s">
        <v>170</v>
      </c>
      <c r="CC616" t="s">
        <v>170</v>
      </c>
      <c r="CD616" t="s">
        <v>504</v>
      </c>
      <c r="CE616" t="s">
        <v>170</v>
      </c>
      <c r="CG616" t="s">
        <v>169</v>
      </c>
      <c r="CH616" t="s">
        <v>505</v>
      </c>
      <c r="CI616" t="s">
        <v>169</v>
      </c>
      <c r="CJ616" t="s">
        <v>506</v>
      </c>
      <c r="CK616" t="s">
        <v>233</v>
      </c>
      <c r="CM616">
        <v>1</v>
      </c>
      <c r="CN616" t="s">
        <v>234</v>
      </c>
      <c r="CP616">
        <v>48</v>
      </c>
      <c r="CQ616">
        <v>17.5</v>
      </c>
      <c r="CR616">
        <v>78.2</v>
      </c>
      <c r="CS616" t="s">
        <v>235</v>
      </c>
      <c r="CV616" t="s">
        <v>341</v>
      </c>
      <c r="CX616" t="s">
        <v>342</v>
      </c>
      <c r="CY616" t="s">
        <v>170</v>
      </c>
      <c r="DC616" t="s">
        <v>507</v>
      </c>
      <c r="DD616">
        <v>1</v>
      </c>
      <c r="DE616" t="s">
        <v>404</v>
      </c>
      <c r="DF616" t="s">
        <v>499</v>
      </c>
      <c r="DG616">
        <v>17</v>
      </c>
      <c r="DJ616" t="s">
        <v>184</v>
      </c>
      <c r="DK616" t="s">
        <v>185</v>
      </c>
      <c r="DL616" t="s">
        <v>170</v>
      </c>
      <c r="DM616" t="s">
        <v>170</v>
      </c>
      <c r="DN616" t="s">
        <v>170</v>
      </c>
      <c r="DO616" t="s">
        <v>490</v>
      </c>
      <c r="DP616" t="s">
        <v>169</v>
      </c>
      <c r="DQ616" t="s">
        <v>198</v>
      </c>
      <c r="DR616" t="s">
        <v>508</v>
      </c>
      <c r="DY616">
        <v>35.5</v>
      </c>
      <c r="EB616">
        <v>5</v>
      </c>
      <c r="EC616">
        <v>5</v>
      </c>
      <c r="EE616" t="s">
        <v>509</v>
      </c>
      <c r="EF616">
        <v>7</v>
      </c>
      <c r="EV616">
        <v>2750</v>
      </c>
      <c r="EW616">
        <v>386</v>
      </c>
      <c r="EX616">
        <v>279</v>
      </c>
      <c r="EY616">
        <v>338</v>
      </c>
    </row>
    <row r="617" spans="1:155" x14ac:dyDescent="0.35">
      <c r="A617">
        <v>2025</v>
      </c>
      <c r="B617" t="s">
        <v>279</v>
      </c>
      <c r="C617" t="s">
        <v>279</v>
      </c>
      <c r="D617" t="s">
        <v>510</v>
      </c>
      <c r="E617" t="s">
        <v>281</v>
      </c>
      <c r="F617">
        <v>343</v>
      </c>
      <c r="G617">
        <v>3</v>
      </c>
      <c r="H617">
        <v>6</v>
      </c>
      <c r="I617" t="s">
        <v>282</v>
      </c>
      <c r="J617">
        <v>23</v>
      </c>
      <c r="K617">
        <v>33</v>
      </c>
      <c r="L617">
        <v>26</v>
      </c>
      <c r="M617">
        <v>28.7986</v>
      </c>
      <c r="N617">
        <v>47.582999999999998</v>
      </c>
      <c r="O617">
        <v>35.019799999999996</v>
      </c>
      <c r="P617">
        <v>22.535599999999999</v>
      </c>
      <c r="Q617">
        <v>32.899000000000001</v>
      </c>
      <c r="R617">
        <v>26.2577</v>
      </c>
      <c r="T617" t="s">
        <v>484</v>
      </c>
      <c r="U617" t="s">
        <v>485</v>
      </c>
      <c r="V617" t="s">
        <v>167</v>
      </c>
      <c r="W617" t="s">
        <v>168</v>
      </c>
      <c r="Y617">
        <v>9</v>
      </c>
      <c r="Z617" t="s">
        <v>169</v>
      </c>
      <c r="AA617" t="s">
        <v>170</v>
      </c>
      <c r="AB617" t="s">
        <v>167</v>
      </c>
      <c r="AC617" t="s">
        <v>213</v>
      </c>
      <c r="AD617">
        <v>10</v>
      </c>
      <c r="AG617" t="s">
        <v>214</v>
      </c>
      <c r="AH617" t="s">
        <v>215</v>
      </c>
      <c r="AI617" t="s">
        <v>175</v>
      </c>
      <c r="AJ617" t="s">
        <v>176</v>
      </c>
      <c r="AK617" t="s">
        <v>170</v>
      </c>
      <c r="AL617" t="s">
        <v>177</v>
      </c>
      <c r="AM617">
        <v>88</v>
      </c>
      <c r="AN617">
        <v>11</v>
      </c>
      <c r="AS617">
        <v>2450</v>
      </c>
      <c r="AT617">
        <v>2450</v>
      </c>
      <c r="BN617" t="s">
        <v>338</v>
      </c>
      <c r="BO617">
        <v>2</v>
      </c>
      <c r="BP617">
        <v>2</v>
      </c>
      <c r="BQ617">
        <v>3</v>
      </c>
      <c r="BR617" t="s">
        <v>387</v>
      </c>
      <c r="BS617" t="s">
        <v>180</v>
      </c>
      <c r="BT617" t="s">
        <v>181</v>
      </c>
      <c r="BU617" s="1">
        <v>45505</v>
      </c>
      <c r="BV617">
        <v>35160</v>
      </c>
      <c r="BY617" t="s">
        <v>170</v>
      </c>
      <c r="CB617" t="s">
        <v>170</v>
      </c>
      <c r="CC617" t="s">
        <v>170</v>
      </c>
      <c r="CD617" t="s">
        <v>504</v>
      </c>
      <c r="CE617" t="s">
        <v>170</v>
      </c>
      <c r="CG617" t="s">
        <v>169</v>
      </c>
      <c r="CH617" t="s">
        <v>505</v>
      </c>
      <c r="CI617" t="s">
        <v>169</v>
      </c>
      <c r="CJ617" t="s">
        <v>506</v>
      </c>
      <c r="CK617" t="s">
        <v>233</v>
      </c>
      <c r="CM617">
        <v>1</v>
      </c>
      <c r="CN617" t="s">
        <v>234</v>
      </c>
      <c r="CP617">
        <v>48</v>
      </c>
      <c r="CQ617">
        <v>17.5</v>
      </c>
      <c r="CR617">
        <v>78.2</v>
      </c>
      <c r="CS617" t="s">
        <v>235</v>
      </c>
      <c r="CV617" t="s">
        <v>341</v>
      </c>
      <c r="CX617" t="s">
        <v>342</v>
      </c>
      <c r="CY617" t="s">
        <v>170</v>
      </c>
      <c r="DC617" t="s">
        <v>507</v>
      </c>
      <c r="DD617">
        <v>1</v>
      </c>
      <c r="DE617" t="s">
        <v>404</v>
      </c>
      <c r="DF617" t="s">
        <v>499</v>
      </c>
      <c r="DG617">
        <v>17</v>
      </c>
      <c r="DJ617" t="s">
        <v>184</v>
      </c>
      <c r="DK617" t="s">
        <v>185</v>
      </c>
      <c r="DL617" t="s">
        <v>170</v>
      </c>
      <c r="DM617" t="s">
        <v>170</v>
      </c>
      <c r="DN617" t="s">
        <v>170</v>
      </c>
      <c r="DO617" t="s">
        <v>490</v>
      </c>
      <c r="DP617" t="s">
        <v>169</v>
      </c>
      <c r="DQ617" t="s">
        <v>198</v>
      </c>
      <c r="DR617" t="s">
        <v>511</v>
      </c>
      <c r="DY617">
        <v>35.299999999999997</v>
      </c>
      <c r="EB617">
        <v>5</v>
      </c>
      <c r="EC617">
        <v>5</v>
      </c>
      <c r="EE617" t="s">
        <v>509</v>
      </c>
      <c r="EF617">
        <v>7</v>
      </c>
      <c r="EV617">
        <v>2750</v>
      </c>
      <c r="EW617">
        <v>394</v>
      </c>
      <c r="EX617">
        <v>271</v>
      </c>
      <c r="EY617">
        <v>339</v>
      </c>
    </row>
    <row r="618" spans="1:155" x14ac:dyDescent="0.35">
      <c r="A618">
        <v>2025</v>
      </c>
      <c r="B618" t="s">
        <v>279</v>
      </c>
      <c r="C618" t="s">
        <v>279</v>
      </c>
      <c r="D618" t="s">
        <v>778</v>
      </c>
      <c r="E618" t="s">
        <v>281</v>
      </c>
      <c r="F618">
        <v>301</v>
      </c>
      <c r="G618">
        <v>2</v>
      </c>
      <c r="H618">
        <v>4</v>
      </c>
      <c r="I618" t="s">
        <v>282</v>
      </c>
      <c r="J618">
        <v>25</v>
      </c>
      <c r="K618">
        <v>33</v>
      </c>
      <c r="L618">
        <v>28</v>
      </c>
      <c r="M618">
        <v>31.7</v>
      </c>
      <c r="N618">
        <v>48.5</v>
      </c>
      <c r="O618">
        <v>37.553699999999999</v>
      </c>
      <c r="P618">
        <v>24.5777</v>
      </c>
      <c r="Q618">
        <v>33.465299999999999</v>
      </c>
      <c r="R618">
        <v>27.913599999999999</v>
      </c>
      <c r="T618" t="s">
        <v>165</v>
      </c>
      <c r="U618" t="s">
        <v>166</v>
      </c>
      <c r="V618" t="s">
        <v>167</v>
      </c>
      <c r="W618" t="s">
        <v>168</v>
      </c>
      <c r="Y618">
        <v>9</v>
      </c>
      <c r="Z618" t="s">
        <v>169</v>
      </c>
      <c r="AA618" t="s">
        <v>170</v>
      </c>
      <c r="AB618" t="s">
        <v>171</v>
      </c>
      <c r="AC618" t="s">
        <v>172</v>
      </c>
      <c r="AD618">
        <v>10</v>
      </c>
      <c r="AG618" t="s">
        <v>214</v>
      </c>
      <c r="AH618" t="s">
        <v>215</v>
      </c>
      <c r="AI618" t="s">
        <v>175</v>
      </c>
      <c r="AJ618" t="s">
        <v>176</v>
      </c>
      <c r="AK618" t="s">
        <v>170</v>
      </c>
      <c r="AL618" t="s">
        <v>177</v>
      </c>
      <c r="AO618">
        <v>100</v>
      </c>
      <c r="AP618">
        <v>13</v>
      </c>
      <c r="AS618">
        <v>2300</v>
      </c>
      <c r="AT618">
        <v>2300</v>
      </c>
      <c r="BN618" t="s">
        <v>338</v>
      </c>
      <c r="BO618">
        <v>2</v>
      </c>
      <c r="BP618">
        <v>2</v>
      </c>
      <c r="BQ618">
        <v>5</v>
      </c>
      <c r="BR618" t="s">
        <v>672</v>
      </c>
      <c r="BS618" t="s">
        <v>180</v>
      </c>
      <c r="BT618" t="s">
        <v>181</v>
      </c>
      <c r="BU618" s="1">
        <v>45473</v>
      </c>
      <c r="BV618">
        <v>35397</v>
      </c>
      <c r="BY618" t="s">
        <v>170</v>
      </c>
      <c r="CB618" t="s">
        <v>170</v>
      </c>
      <c r="CC618" t="s">
        <v>170</v>
      </c>
      <c r="CD618" t="s">
        <v>496</v>
      </c>
      <c r="CE618" t="s">
        <v>170</v>
      </c>
      <c r="CG618" t="s">
        <v>169</v>
      </c>
      <c r="CH618" t="s">
        <v>284</v>
      </c>
      <c r="CI618" t="s">
        <v>169</v>
      </c>
      <c r="CJ618" t="s">
        <v>497</v>
      </c>
      <c r="CK618" t="s">
        <v>233</v>
      </c>
      <c r="CM618">
        <v>1</v>
      </c>
      <c r="CN618" t="s">
        <v>234</v>
      </c>
      <c r="CP618">
        <v>48</v>
      </c>
      <c r="CQ618">
        <v>17.5</v>
      </c>
      <c r="CR618">
        <v>78.2</v>
      </c>
      <c r="CS618" t="s">
        <v>235</v>
      </c>
      <c r="CV618" t="s">
        <v>341</v>
      </c>
      <c r="CX618" t="s">
        <v>342</v>
      </c>
      <c r="CY618" t="s">
        <v>170</v>
      </c>
      <c r="DC618" t="s">
        <v>498</v>
      </c>
      <c r="DD618">
        <v>1</v>
      </c>
      <c r="DE618" t="s">
        <v>404</v>
      </c>
      <c r="DF618" t="s">
        <v>499</v>
      </c>
      <c r="DG618">
        <v>17</v>
      </c>
      <c r="DJ618" t="s">
        <v>184</v>
      </c>
      <c r="DK618" t="s">
        <v>185</v>
      </c>
      <c r="DL618" t="s">
        <v>170</v>
      </c>
      <c r="DM618" t="s">
        <v>170</v>
      </c>
      <c r="DN618" t="s">
        <v>170</v>
      </c>
      <c r="DO618" t="s">
        <v>345</v>
      </c>
      <c r="DP618" t="s">
        <v>169</v>
      </c>
      <c r="DQ618" t="s">
        <v>198</v>
      </c>
      <c r="DR618" t="s">
        <v>778</v>
      </c>
      <c r="DY618">
        <v>37.799999999999997</v>
      </c>
      <c r="EB618">
        <v>6</v>
      </c>
      <c r="EC618">
        <v>6</v>
      </c>
      <c r="EE618" t="s">
        <v>500</v>
      </c>
      <c r="EF618">
        <v>7</v>
      </c>
      <c r="EV618">
        <v>2000</v>
      </c>
      <c r="EW618">
        <v>359</v>
      </c>
      <c r="EX618">
        <v>264</v>
      </c>
      <c r="EY618">
        <v>316</v>
      </c>
    </row>
    <row r="619" spans="1:155" x14ac:dyDescent="0.35">
      <c r="A619">
        <v>2025</v>
      </c>
      <c r="B619" t="s">
        <v>279</v>
      </c>
      <c r="C619" t="s">
        <v>279</v>
      </c>
      <c r="D619" t="s">
        <v>779</v>
      </c>
      <c r="E619" t="s">
        <v>281</v>
      </c>
      <c r="F619">
        <v>306</v>
      </c>
      <c r="G619">
        <v>2</v>
      </c>
      <c r="H619">
        <v>4</v>
      </c>
      <c r="I619" t="s">
        <v>282</v>
      </c>
      <c r="J619">
        <v>24</v>
      </c>
      <c r="K619">
        <v>33</v>
      </c>
      <c r="L619">
        <v>27</v>
      </c>
      <c r="M619">
        <v>30.2</v>
      </c>
      <c r="N619">
        <v>47.4</v>
      </c>
      <c r="O619">
        <v>36.093800000000002</v>
      </c>
      <c r="P619">
        <v>23.526700000000002</v>
      </c>
      <c r="Q619">
        <v>32.785699999999999</v>
      </c>
      <c r="R619">
        <v>26.951899999999998</v>
      </c>
      <c r="T619" t="s">
        <v>165</v>
      </c>
      <c r="U619" t="s">
        <v>166</v>
      </c>
      <c r="V619" t="s">
        <v>167</v>
      </c>
      <c r="W619" t="s">
        <v>168</v>
      </c>
      <c r="Y619">
        <v>9</v>
      </c>
      <c r="Z619" t="s">
        <v>169</v>
      </c>
      <c r="AA619" t="s">
        <v>170</v>
      </c>
      <c r="AB619" t="s">
        <v>167</v>
      </c>
      <c r="AC619" t="s">
        <v>213</v>
      </c>
      <c r="AD619">
        <v>10</v>
      </c>
      <c r="AG619" t="s">
        <v>214</v>
      </c>
      <c r="AH619" t="s">
        <v>215</v>
      </c>
      <c r="AI619" t="s">
        <v>175</v>
      </c>
      <c r="AJ619" t="s">
        <v>176</v>
      </c>
      <c r="AK619" t="s">
        <v>170</v>
      </c>
      <c r="AL619" t="s">
        <v>177</v>
      </c>
      <c r="AO619">
        <v>100</v>
      </c>
      <c r="AP619">
        <v>13</v>
      </c>
      <c r="AS619">
        <v>2350</v>
      </c>
      <c r="AT619">
        <v>2350</v>
      </c>
      <c r="BN619" t="s">
        <v>338</v>
      </c>
      <c r="BO619">
        <v>2</v>
      </c>
      <c r="BP619">
        <v>2</v>
      </c>
      <c r="BQ619">
        <v>5</v>
      </c>
      <c r="BR619" t="s">
        <v>672</v>
      </c>
      <c r="BS619" t="s">
        <v>180</v>
      </c>
      <c r="BT619" t="s">
        <v>181</v>
      </c>
      <c r="BU619" s="1">
        <v>45473</v>
      </c>
      <c r="BV619">
        <v>35398</v>
      </c>
      <c r="BY619" t="s">
        <v>170</v>
      </c>
      <c r="CB619" t="s">
        <v>170</v>
      </c>
      <c r="CC619" t="s">
        <v>170</v>
      </c>
      <c r="CD619" t="s">
        <v>496</v>
      </c>
      <c r="CE619" t="s">
        <v>170</v>
      </c>
      <c r="CG619" t="s">
        <v>169</v>
      </c>
      <c r="CH619" t="s">
        <v>284</v>
      </c>
      <c r="CI619" t="s">
        <v>169</v>
      </c>
      <c r="CJ619" t="s">
        <v>497</v>
      </c>
      <c r="CK619" t="s">
        <v>233</v>
      </c>
      <c r="CM619">
        <v>1</v>
      </c>
      <c r="CN619" t="s">
        <v>234</v>
      </c>
      <c r="CP619">
        <v>48</v>
      </c>
      <c r="CQ619">
        <v>17.5</v>
      </c>
      <c r="CR619">
        <v>78.2</v>
      </c>
      <c r="CS619" t="s">
        <v>235</v>
      </c>
      <c r="CV619" t="s">
        <v>341</v>
      </c>
      <c r="CX619" t="s">
        <v>342</v>
      </c>
      <c r="CY619" t="s">
        <v>170</v>
      </c>
      <c r="DC619" t="s">
        <v>498</v>
      </c>
      <c r="DD619">
        <v>1</v>
      </c>
      <c r="DE619" t="s">
        <v>404</v>
      </c>
      <c r="DF619" t="s">
        <v>499</v>
      </c>
      <c r="DG619">
        <v>17</v>
      </c>
      <c r="DJ619" t="s">
        <v>184</v>
      </c>
      <c r="DK619" t="s">
        <v>185</v>
      </c>
      <c r="DL619" t="s">
        <v>170</v>
      </c>
      <c r="DM619" t="s">
        <v>170</v>
      </c>
      <c r="DN619" t="s">
        <v>170</v>
      </c>
      <c r="DO619" t="s">
        <v>345</v>
      </c>
      <c r="DP619" t="s">
        <v>169</v>
      </c>
      <c r="DQ619" t="s">
        <v>198</v>
      </c>
      <c r="DR619" t="s">
        <v>779</v>
      </c>
      <c r="DY619">
        <v>36.299999999999997</v>
      </c>
      <c r="EB619">
        <v>5</v>
      </c>
      <c r="EC619">
        <v>5</v>
      </c>
      <c r="EE619" t="s">
        <v>500</v>
      </c>
      <c r="EF619">
        <v>7</v>
      </c>
      <c r="EV619">
        <v>2250</v>
      </c>
      <c r="EW619">
        <v>375</v>
      </c>
      <c r="EX619">
        <v>269</v>
      </c>
      <c r="EY619">
        <v>327</v>
      </c>
    </row>
    <row r="620" spans="1:155" x14ac:dyDescent="0.35">
      <c r="A620">
        <v>2025</v>
      </c>
      <c r="B620" t="s">
        <v>279</v>
      </c>
      <c r="C620" t="s">
        <v>279</v>
      </c>
      <c r="D620" t="s">
        <v>780</v>
      </c>
      <c r="E620" t="s">
        <v>281</v>
      </c>
      <c r="F620">
        <v>302</v>
      </c>
      <c r="G620">
        <v>3</v>
      </c>
      <c r="H620">
        <v>6</v>
      </c>
      <c r="I620" t="s">
        <v>282</v>
      </c>
      <c r="J620">
        <v>22</v>
      </c>
      <c r="K620">
        <v>31</v>
      </c>
      <c r="L620">
        <v>25</v>
      </c>
      <c r="M620">
        <v>27.7</v>
      </c>
      <c r="N620">
        <v>44.1</v>
      </c>
      <c r="O620">
        <v>33.267200000000003</v>
      </c>
      <c r="P620">
        <v>21.752400000000002</v>
      </c>
      <c r="Q620">
        <v>30.726900000000001</v>
      </c>
      <c r="R620">
        <v>25.044</v>
      </c>
      <c r="T620" t="s">
        <v>484</v>
      </c>
      <c r="U620" t="s">
        <v>485</v>
      </c>
      <c r="V620" t="s">
        <v>167</v>
      </c>
      <c r="W620" t="s">
        <v>168</v>
      </c>
      <c r="Y620">
        <v>9</v>
      </c>
      <c r="Z620" t="s">
        <v>169</v>
      </c>
      <c r="AA620" t="s">
        <v>170</v>
      </c>
      <c r="AB620" t="s">
        <v>167</v>
      </c>
      <c r="AC620" t="s">
        <v>213</v>
      </c>
      <c r="AD620">
        <v>10</v>
      </c>
      <c r="AG620" t="s">
        <v>214</v>
      </c>
      <c r="AH620" t="s">
        <v>215</v>
      </c>
      <c r="AI620" t="s">
        <v>175</v>
      </c>
      <c r="AJ620" t="s">
        <v>176</v>
      </c>
      <c r="AK620" t="s">
        <v>170</v>
      </c>
      <c r="AL620" t="s">
        <v>177</v>
      </c>
      <c r="AO620">
        <v>100</v>
      </c>
      <c r="AP620">
        <v>13</v>
      </c>
      <c r="AS620">
        <v>2550</v>
      </c>
      <c r="AT620">
        <v>2550</v>
      </c>
      <c r="BN620" t="s">
        <v>338</v>
      </c>
      <c r="BO620">
        <v>2</v>
      </c>
      <c r="BP620">
        <v>2</v>
      </c>
      <c r="BQ620">
        <v>5</v>
      </c>
      <c r="BR620" t="s">
        <v>672</v>
      </c>
      <c r="BS620" t="s">
        <v>180</v>
      </c>
      <c r="BT620" t="s">
        <v>181</v>
      </c>
      <c r="BU620" s="1">
        <v>45505</v>
      </c>
      <c r="BV620">
        <v>35162</v>
      </c>
      <c r="BY620" t="s">
        <v>170</v>
      </c>
      <c r="CB620" t="s">
        <v>170</v>
      </c>
      <c r="CC620" t="s">
        <v>170</v>
      </c>
      <c r="CD620" t="s">
        <v>504</v>
      </c>
      <c r="CE620" t="s">
        <v>170</v>
      </c>
      <c r="CG620" t="s">
        <v>169</v>
      </c>
      <c r="CH620" t="s">
        <v>505</v>
      </c>
      <c r="CI620" t="s">
        <v>169</v>
      </c>
      <c r="CJ620" t="s">
        <v>506</v>
      </c>
      <c r="CK620" t="s">
        <v>233</v>
      </c>
      <c r="CM620">
        <v>1</v>
      </c>
      <c r="CN620" t="s">
        <v>234</v>
      </c>
      <c r="CP620">
        <v>48</v>
      </c>
      <c r="CQ620">
        <v>17.5</v>
      </c>
      <c r="CR620">
        <v>78.2</v>
      </c>
      <c r="CS620" t="s">
        <v>235</v>
      </c>
      <c r="CV620" t="s">
        <v>341</v>
      </c>
      <c r="CX620" t="s">
        <v>342</v>
      </c>
      <c r="CY620" t="s">
        <v>170</v>
      </c>
      <c r="DC620" t="s">
        <v>507</v>
      </c>
      <c r="DD620">
        <v>1</v>
      </c>
      <c r="DE620" t="s">
        <v>404</v>
      </c>
      <c r="DF620" t="s">
        <v>499</v>
      </c>
      <c r="DG620">
        <v>17</v>
      </c>
      <c r="DJ620" t="s">
        <v>184</v>
      </c>
      <c r="DK620" t="s">
        <v>185</v>
      </c>
      <c r="DL620" t="s">
        <v>170</v>
      </c>
      <c r="DM620" t="s">
        <v>170</v>
      </c>
      <c r="DN620" t="s">
        <v>170</v>
      </c>
      <c r="DO620" t="s">
        <v>490</v>
      </c>
      <c r="DP620" t="s">
        <v>169</v>
      </c>
      <c r="DQ620" t="s">
        <v>198</v>
      </c>
      <c r="DR620" t="s">
        <v>780</v>
      </c>
      <c r="DY620">
        <v>33.5</v>
      </c>
      <c r="EB620">
        <v>5</v>
      </c>
      <c r="EC620">
        <v>5</v>
      </c>
      <c r="EE620" t="s">
        <v>509</v>
      </c>
      <c r="EF620">
        <v>7</v>
      </c>
      <c r="EV620">
        <v>3250</v>
      </c>
      <c r="EW620">
        <v>409</v>
      </c>
      <c r="EX620">
        <v>290</v>
      </c>
      <c r="EY620">
        <v>355</v>
      </c>
    </row>
    <row r="621" spans="1:155" x14ac:dyDescent="0.35">
      <c r="A621">
        <v>2025</v>
      </c>
      <c r="B621" t="s">
        <v>279</v>
      </c>
      <c r="C621" t="s">
        <v>279</v>
      </c>
      <c r="D621" t="s">
        <v>936</v>
      </c>
      <c r="E621" t="s">
        <v>281</v>
      </c>
      <c r="F621">
        <v>303</v>
      </c>
      <c r="G621">
        <v>3</v>
      </c>
      <c r="H621">
        <v>6</v>
      </c>
      <c r="I621" t="s">
        <v>282</v>
      </c>
      <c r="J621">
        <v>22</v>
      </c>
      <c r="K621">
        <v>31</v>
      </c>
      <c r="L621">
        <v>25</v>
      </c>
      <c r="M621">
        <v>28.2</v>
      </c>
      <c r="N621">
        <v>44.2</v>
      </c>
      <c r="O621">
        <v>33.687600000000003</v>
      </c>
      <c r="P621">
        <v>22.1096</v>
      </c>
      <c r="Q621">
        <v>30.7898</v>
      </c>
      <c r="R621">
        <v>25.321999999999999</v>
      </c>
      <c r="T621" t="s">
        <v>484</v>
      </c>
      <c r="U621" t="s">
        <v>485</v>
      </c>
      <c r="V621" t="s">
        <v>167</v>
      </c>
      <c r="W621" t="s">
        <v>168</v>
      </c>
      <c r="Y621">
        <v>9</v>
      </c>
      <c r="Z621" t="s">
        <v>169</v>
      </c>
      <c r="AA621" t="s">
        <v>170</v>
      </c>
      <c r="AB621" t="s">
        <v>167</v>
      </c>
      <c r="AC621" t="s">
        <v>213</v>
      </c>
      <c r="AD621">
        <v>10</v>
      </c>
      <c r="AG621" t="s">
        <v>214</v>
      </c>
      <c r="AH621" t="s">
        <v>215</v>
      </c>
      <c r="AI621" t="s">
        <v>175</v>
      </c>
      <c r="AJ621" t="s">
        <v>176</v>
      </c>
      <c r="AK621" t="s">
        <v>170</v>
      </c>
      <c r="AL621" t="s">
        <v>177</v>
      </c>
      <c r="AO621">
        <v>102</v>
      </c>
      <c r="AP621">
        <v>33</v>
      </c>
      <c r="AS621">
        <v>2550</v>
      </c>
      <c r="AT621">
        <v>2550</v>
      </c>
      <c r="BN621" t="s">
        <v>338</v>
      </c>
      <c r="BO621">
        <v>2</v>
      </c>
      <c r="BP621">
        <v>2</v>
      </c>
      <c r="BQ621">
        <v>8</v>
      </c>
      <c r="BR621" t="s">
        <v>933</v>
      </c>
      <c r="BS621" t="s">
        <v>180</v>
      </c>
      <c r="BT621" t="s">
        <v>181</v>
      </c>
      <c r="BU621" s="1">
        <v>45505</v>
      </c>
      <c r="BV621">
        <v>35163</v>
      </c>
      <c r="BY621" t="s">
        <v>170</v>
      </c>
      <c r="CB621" t="s">
        <v>170</v>
      </c>
      <c r="CC621" t="s">
        <v>170</v>
      </c>
      <c r="CD621" t="s">
        <v>504</v>
      </c>
      <c r="CE621" t="s">
        <v>170</v>
      </c>
      <c r="CG621" t="s">
        <v>169</v>
      </c>
      <c r="CH621" t="s">
        <v>505</v>
      </c>
      <c r="CI621" t="s">
        <v>169</v>
      </c>
      <c r="CJ621" t="s">
        <v>506</v>
      </c>
      <c r="CK621" t="s">
        <v>233</v>
      </c>
      <c r="CM621">
        <v>1</v>
      </c>
      <c r="CN621" t="s">
        <v>234</v>
      </c>
      <c r="CP621">
        <v>48</v>
      </c>
      <c r="CQ621">
        <v>17.5</v>
      </c>
      <c r="CR621">
        <v>78.2</v>
      </c>
      <c r="CS621" t="s">
        <v>235</v>
      </c>
      <c r="CV621" t="s">
        <v>341</v>
      </c>
      <c r="CX621" t="s">
        <v>342</v>
      </c>
      <c r="CY621" t="s">
        <v>170</v>
      </c>
      <c r="DC621" t="s">
        <v>507</v>
      </c>
      <c r="DD621">
        <v>1</v>
      </c>
      <c r="DE621" t="s">
        <v>404</v>
      </c>
      <c r="DF621" t="s">
        <v>499</v>
      </c>
      <c r="DG621">
        <v>17</v>
      </c>
      <c r="DJ621" t="s">
        <v>184</v>
      </c>
      <c r="DK621" t="s">
        <v>185</v>
      </c>
      <c r="DL621" t="s">
        <v>170</v>
      </c>
      <c r="DM621" t="s">
        <v>170</v>
      </c>
      <c r="DN621" t="s">
        <v>170</v>
      </c>
      <c r="DO621" t="s">
        <v>490</v>
      </c>
      <c r="DP621" t="s">
        <v>169</v>
      </c>
      <c r="DQ621" t="s">
        <v>198</v>
      </c>
      <c r="DR621" t="s">
        <v>937</v>
      </c>
      <c r="DY621">
        <v>33.9</v>
      </c>
      <c r="EB621">
        <v>5</v>
      </c>
      <c r="EC621">
        <v>5</v>
      </c>
      <c r="EE621" t="s">
        <v>509</v>
      </c>
      <c r="EF621">
        <v>7</v>
      </c>
      <c r="EV621">
        <v>3250</v>
      </c>
      <c r="EW621">
        <v>402</v>
      </c>
      <c r="EX621">
        <v>289</v>
      </c>
      <c r="EY621">
        <v>351</v>
      </c>
    </row>
    <row r="622" spans="1:155" x14ac:dyDescent="0.35">
      <c r="A622">
        <v>2025</v>
      </c>
      <c r="B622" t="s">
        <v>279</v>
      </c>
      <c r="C622" t="s">
        <v>279</v>
      </c>
      <c r="D622" t="s">
        <v>1633</v>
      </c>
      <c r="E622" t="s">
        <v>281</v>
      </c>
      <c r="F622">
        <v>435</v>
      </c>
      <c r="G622">
        <v>3</v>
      </c>
      <c r="H622">
        <v>6</v>
      </c>
      <c r="I622" t="s">
        <v>282</v>
      </c>
      <c r="J622">
        <v>17</v>
      </c>
      <c r="K622">
        <v>19</v>
      </c>
      <c r="L622">
        <v>18</v>
      </c>
      <c r="M622">
        <v>22.6</v>
      </c>
      <c r="N622">
        <v>29.5</v>
      </c>
      <c r="O622">
        <v>25.258600000000001</v>
      </c>
      <c r="P622">
        <v>17.321100000000001</v>
      </c>
      <c r="Q622">
        <v>18.950600000000001</v>
      </c>
      <c r="R622">
        <v>18.0183</v>
      </c>
      <c r="T622" t="s">
        <v>484</v>
      </c>
      <c r="U622" t="s">
        <v>485</v>
      </c>
      <c r="V622" t="s">
        <v>167</v>
      </c>
      <c r="W622" t="s">
        <v>168</v>
      </c>
      <c r="Y622">
        <v>9</v>
      </c>
      <c r="Z622" t="s">
        <v>169</v>
      </c>
      <c r="AA622" t="s">
        <v>170</v>
      </c>
      <c r="AB622">
        <v>4</v>
      </c>
      <c r="AC622" t="s">
        <v>601</v>
      </c>
      <c r="AD622">
        <v>10</v>
      </c>
      <c r="AG622" t="s">
        <v>214</v>
      </c>
      <c r="AH622" t="s">
        <v>215</v>
      </c>
      <c r="AI622" t="s">
        <v>175</v>
      </c>
      <c r="AJ622" t="s">
        <v>176</v>
      </c>
      <c r="AK622" t="s">
        <v>940</v>
      </c>
      <c r="AL622" t="s">
        <v>941</v>
      </c>
      <c r="AS622">
        <v>3550</v>
      </c>
      <c r="AT622">
        <v>3550</v>
      </c>
      <c r="BN622" t="s">
        <v>338</v>
      </c>
      <c r="BO622">
        <v>2</v>
      </c>
      <c r="BP622">
        <v>2</v>
      </c>
      <c r="BQ622">
        <v>33</v>
      </c>
      <c r="BR622" t="s">
        <v>1497</v>
      </c>
      <c r="BT622" t="s">
        <v>225</v>
      </c>
      <c r="BU622" s="1">
        <v>45479</v>
      </c>
      <c r="BV622">
        <v>35120</v>
      </c>
      <c r="CB622" t="s">
        <v>170</v>
      </c>
      <c r="CC622" t="s">
        <v>170</v>
      </c>
      <c r="CD622" t="s">
        <v>1634</v>
      </c>
      <c r="CE622" t="s">
        <v>170</v>
      </c>
      <c r="CG622" t="s">
        <v>169</v>
      </c>
      <c r="CH622" t="s">
        <v>505</v>
      </c>
      <c r="CI622" t="s">
        <v>169</v>
      </c>
      <c r="CJ622" t="s">
        <v>506</v>
      </c>
      <c r="CK622" t="s">
        <v>233</v>
      </c>
      <c r="CM622">
        <v>1</v>
      </c>
      <c r="CN622" t="s">
        <v>234</v>
      </c>
      <c r="CP622">
        <v>48</v>
      </c>
      <c r="CQ622">
        <v>20</v>
      </c>
      <c r="CR622">
        <v>80</v>
      </c>
      <c r="CS622" t="s">
        <v>235</v>
      </c>
      <c r="CV622" t="s">
        <v>341</v>
      </c>
      <c r="CX622" t="s">
        <v>342</v>
      </c>
      <c r="CY622" t="s">
        <v>170</v>
      </c>
      <c r="DC622" t="s">
        <v>507</v>
      </c>
      <c r="DD622">
        <v>1</v>
      </c>
      <c r="DE622" t="s">
        <v>404</v>
      </c>
      <c r="DF622" t="s">
        <v>499</v>
      </c>
      <c r="DG622">
        <v>15</v>
      </c>
      <c r="DJ622" t="s">
        <v>184</v>
      </c>
      <c r="DK622" t="s">
        <v>185</v>
      </c>
      <c r="DL622" t="s">
        <v>170</v>
      </c>
      <c r="DM622" t="s">
        <v>170</v>
      </c>
      <c r="DN622" t="s">
        <v>170</v>
      </c>
      <c r="DO622" t="s">
        <v>490</v>
      </c>
      <c r="DP622" t="s">
        <v>169</v>
      </c>
      <c r="DQ622" t="s">
        <v>198</v>
      </c>
      <c r="DR622" t="s">
        <v>1633</v>
      </c>
      <c r="DY622">
        <v>25.4</v>
      </c>
      <c r="EB622">
        <v>4</v>
      </c>
      <c r="EC622">
        <v>4</v>
      </c>
      <c r="EE622" t="s">
        <v>1635</v>
      </c>
      <c r="EF622">
        <v>6</v>
      </c>
      <c r="EV622">
        <v>8250</v>
      </c>
      <c r="EW622">
        <v>510</v>
      </c>
      <c r="EX622">
        <v>465</v>
      </c>
      <c r="EY622">
        <v>490</v>
      </c>
    </row>
    <row r="623" spans="1:155" x14ac:dyDescent="0.35">
      <c r="A623">
        <v>2025</v>
      </c>
      <c r="B623" t="s">
        <v>279</v>
      </c>
      <c r="C623" t="s">
        <v>279</v>
      </c>
      <c r="D623" t="s">
        <v>1068</v>
      </c>
      <c r="E623" t="s">
        <v>281</v>
      </c>
      <c r="F623">
        <v>506</v>
      </c>
      <c r="G623">
        <v>2</v>
      </c>
      <c r="H623">
        <v>4</v>
      </c>
      <c r="I623" t="s">
        <v>248</v>
      </c>
      <c r="J623">
        <v>26</v>
      </c>
      <c r="K623">
        <v>34</v>
      </c>
      <c r="L623">
        <v>29</v>
      </c>
      <c r="M623">
        <v>33.299999999999997</v>
      </c>
      <c r="N623">
        <v>49.3</v>
      </c>
      <c r="O623">
        <v>38.994999999999997</v>
      </c>
      <c r="P623">
        <v>25.687899999999999</v>
      </c>
      <c r="Q623">
        <v>33.957500000000003</v>
      </c>
      <c r="R623">
        <v>28.849399999999999</v>
      </c>
      <c r="T623" t="s">
        <v>165</v>
      </c>
      <c r="U623" t="s">
        <v>166</v>
      </c>
      <c r="V623" t="s">
        <v>249</v>
      </c>
      <c r="W623" t="s">
        <v>250</v>
      </c>
      <c r="Y623">
        <v>8</v>
      </c>
      <c r="Z623" t="s">
        <v>169</v>
      </c>
      <c r="AA623" t="s">
        <v>170</v>
      </c>
      <c r="AB623" t="s">
        <v>351</v>
      </c>
      <c r="AC623" t="s">
        <v>352</v>
      </c>
      <c r="AD623">
        <v>10</v>
      </c>
      <c r="AG623" t="s">
        <v>214</v>
      </c>
      <c r="AH623" t="s">
        <v>215</v>
      </c>
      <c r="AI623" t="s">
        <v>175</v>
      </c>
      <c r="AJ623" t="s">
        <v>176</v>
      </c>
      <c r="AK623" t="s">
        <v>170</v>
      </c>
      <c r="AL623" t="s">
        <v>177</v>
      </c>
      <c r="AS623">
        <v>2200</v>
      </c>
      <c r="AT623">
        <v>2200</v>
      </c>
      <c r="BN623" t="s">
        <v>338</v>
      </c>
      <c r="BO623">
        <v>2</v>
      </c>
      <c r="BP623">
        <v>2</v>
      </c>
      <c r="BQ623">
        <v>17</v>
      </c>
      <c r="BR623" t="s">
        <v>1069</v>
      </c>
      <c r="BS623" t="s">
        <v>1070</v>
      </c>
      <c r="BT623" t="s">
        <v>181</v>
      </c>
      <c r="BU623" s="1">
        <v>45428</v>
      </c>
      <c r="BV623">
        <v>34791</v>
      </c>
      <c r="BX623" t="s">
        <v>170</v>
      </c>
      <c r="BY623" t="s">
        <v>170</v>
      </c>
      <c r="CB623" t="s">
        <v>170</v>
      </c>
      <c r="CC623" t="s">
        <v>170</v>
      </c>
      <c r="CE623" t="s">
        <v>170</v>
      </c>
      <c r="CG623" t="s">
        <v>169</v>
      </c>
      <c r="CH623" t="s">
        <v>505</v>
      </c>
      <c r="CI623" t="s">
        <v>169</v>
      </c>
      <c r="CJ623" t="s">
        <v>606</v>
      </c>
      <c r="CK623" t="s">
        <v>233</v>
      </c>
      <c r="CM623">
        <v>1</v>
      </c>
      <c r="CN623" t="s">
        <v>234</v>
      </c>
      <c r="CP623">
        <v>48</v>
      </c>
      <c r="CQ623">
        <v>7.7</v>
      </c>
      <c r="CR623">
        <v>52.9</v>
      </c>
      <c r="CS623" t="s">
        <v>235</v>
      </c>
      <c r="CV623" t="s">
        <v>341</v>
      </c>
      <c r="CX623" t="s">
        <v>342</v>
      </c>
      <c r="CY623" t="s">
        <v>170</v>
      </c>
      <c r="DC623" t="s">
        <v>619</v>
      </c>
      <c r="DD623">
        <v>1</v>
      </c>
      <c r="DE623" t="s">
        <v>404</v>
      </c>
      <c r="DF623" t="s">
        <v>499</v>
      </c>
      <c r="DG623">
        <v>10</v>
      </c>
      <c r="DJ623" t="s">
        <v>184</v>
      </c>
      <c r="DK623" t="s">
        <v>185</v>
      </c>
      <c r="DL623" t="s">
        <v>170</v>
      </c>
      <c r="DM623" t="s">
        <v>170</v>
      </c>
      <c r="DN623" t="s">
        <v>170</v>
      </c>
      <c r="DO623" t="s">
        <v>259</v>
      </c>
      <c r="DP623" t="s">
        <v>169</v>
      </c>
      <c r="DQ623" t="s">
        <v>198</v>
      </c>
      <c r="DR623" t="s">
        <v>1068</v>
      </c>
      <c r="DY623">
        <v>39.299999999999997</v>
      </c>
      <c r="EB623">
        <v>6</v>
      </c>
      <c r="EC623">
        <v>6</v>
      </c>
      <c r="EE623" t="s">
        <v>620</v>
      </c>
      <c r="EF623">
        <v>6</v>
      </c>
      <c r="EV623">
        <v>1500</v>
      </c>
      <c r="EW623">
        <v>344</v>
      </c>
      <c r="EX623">
        <v>260</v>
      </c>
      <c r="EY623">
        <v>306</v>
      </c>
    </row>
    <row r="624" spans="1:155" x14ac:dyDescent="0.35">
      <c r="A624">
        <v>2025</v>
      </c>
      <c r="B624" t="s">
        <v>279</v>
      </c>
      <c r="C624" t="s">
        <v>279</v>
      </c>
      <c r="D624" t="s">
        <v>1385</v>
      </c>
      <c r="E624" t="s">
        <v>281</v>
      </c>
      <c r="F624">
        <v>505</v>
      </c>
      <c r="G624">
        <v>2</v>
      </c>
      <c r="H624">
        <v>4</v>
      </c>
      <c r="I624" t="s">
        <v>248</v>
      </c>
      <c r="J624">
        <v>25</v>
      </c>
      <c r="K624">
        <v>33</v>
      </c>
      <c r="L624">
        <v>28</v>
      </c>
      <c r="M624">
        <v>32.4</v>
      </c>
      <c r="N624">
        <v>47.6</v>
      </c>
      <c r="O624">
        <v>37.8371</v>
      </c>
      <c r="P624">
        <v>25.064800000000002</v>
      </c>
      <c r="Q624">
        <v>32.909500000000001</v>
      </c>
      <c r="R624">
        <v>28.076499999999999</v>
      </c>
      <c r="T624" t="s">
        <v>165</v>
      </c>
      <c r="U624" t="s">
        <v>166</v>
      </c>
      <c r="V624" t="s">
        <v>249</v>
      </c>
      <c r="W624" t="s">
        <v>250</v>
      </c>
      <c r="Y624">
        <v>8</v>
      </c>
      <c r="Z624" t="s">
        <v>169</v>
      </c>
      <c r="AA624" t="s">
        <v>170</v>
      </c>
      <c r="AB624" t="s">
        <v>167</v>
      </c>
      <c r="AC624" t="s">
        <v>213</v>
      </c>
      <c r="AD624">
        <v>10</v>
      </c>
      <c r="AG624" t="s">
        <v>214</v>
      </c>
      <c r="AH624" t="s">
        <v>215</v>
      </c>
      <c r="AI624" t="s">
        <v>175</v>
      </c>
      <c r="AJ624" t="s">
        <v>176</v>
      </c>
      <c r="AK624" t="s">
        <v>940</v>
      </c>
      <c r="AL624" t="s">
        <v>941</v>
      </c>
      <c r="AS624">
        <v>2300</v>
      </c>
      <c r="AT624">
        <v>2300</v>
      </c>
      <c r="BN624" t="s">
        <v>338</v>
      </c>
      <c r="BO624">
        <v>2</v>
      </c>
      <c r="BP624">
        <v>2</v>
      </c>
      <c r="BQ624">
        <v>31</v>
      </c>
      <c r="BR624" t="s">
        <v>1219</v>
      </c>
      <c r="BT624" t="s">
        <v>181</v>
      </c>
      <c r="BU624" s="1">
        <v>45428</v>
      </c>
      <c r="BV624">
        <v>34790</v>
      </c>
      <c r="BX624" t="s">
        <v>170</v>
      </c>
      <c r="CB624" t="s">
        <v>170</v>
      </c>
      <c r="CC624" t="s">
        <v>170</v>
      </c>
      <c r="CE624" t="s">
        <v>170</v>
      </c>
      <c r="CG624" t="s">
        <v>169</v>
      </c>
      <c r="CH624" t="s">
        <v>505</v>
      </c>
      <c r="CI624" t="s">
        <v>169</v>
      </c>
      <c r="CJ624" t="s">
        <v>606</v>
      </c>
      <c r="CK624" t="s">
        <v>233</v>
      </c>
      <c r="CM624">
        <v>1</v>
      </c>
      <c r="CN624" t="s">
        <v>234</v>
      </c>
      <c r="CP624">
        <v>48</v>
      </c>
      <c r="CQ624">
        <v>7.7</v>
      </c>
      <c r="CR624">
        <v>52.9</v>
      </c>
      <c r="CS624" t="s">
        <v>235</v>
      </c>
      <c r="CV624" t="s">
        <v>341</v>
      </c>
      <c r="CX624" t="s">
        <v>342</v>
      </c>
      <c r="CY624" t="s">
        <v>170</v>
      </c>
      <c r="DC624" t="s">
        <v>619</v>
      </c>
      <c r="DD624">
        <v>1</v>
      </c>
      <c r="DE624" t="s">
        <v>404</v>
      </c>
      <c r="DF624" t="s">
        <v>499</v>
      </c>
      <c r="DG624">
        <v>10</v>
      </c>
      <c r="DJ624" t="s">
        <v>184</v>
      </c>
      <c r="DK624" t="s">
        <v>185</v>
      </c>
      <c r="DL624" t="s">
        <v>170</v>
      </c>
      <c r="DM624" t="s">
        <v>170</v>
      </c>
      <c r="DN624" t="s">
        <v>170</v>
      </c>
      <c r="DO624" t="s">
        <v>259</v>
      </c>
      <c r="DP624" t="s">
        <v>169</v>
      </c>
      <c r="DQ624" t="s">
        <v>198</v>
      </c>
      <c r="DR624" t="s">
        <v>1385</v>
      </c>
      <c r="DY624">
        <v>38.1</v>
      </c>
      <c r="EB624">
        <v>6</v>
      </c>
      <c r="EC624">
        <v>6</v>
      </c>
      <c r="EE624" t="s">
        <v>620</v>
      </c>
      <c r="EF624">
        <v>6</v>
      </c>
      <c r="EV624">
        <v>2000</v>
      </c>
      <c r="EW624">
        <v>353</v>
      </c>
      <c r="EX624">
        <v>269</v>
      </c>
      <c r="EY624">
        <v>315</v>
      </c>
    </row>
    <row r="625" spans="1:155" x14ac:dyDescent="0.35">
      <c r="A625">
        <v>2025</v>
      </c>
      <c r="B625" t="s">
        <v>279</v>
      </c>
      <c r="C625" t="s">
        <v>279</v>
      </c>
      <c r="D625" t="s">
        <v>1071</v>
      </c>
      <c r="E625" t="s">
        <v>281</v>
      </c>
      <c r="F625">
        <v>750</v>
      </c>
      <c r="G625">
        <v>2</v>
      </c>
      <c r="H625">
        <v>4</v>
      </c>
      <c r="I625" t="s">
        <v>248</v>
      </c>
      <c r="J625">
        <v>25</v>
      </c>
      <c r="K625">
        <v>33</v>
      </c>
      <c r="L625">
        <v>28</v>
      </c>
      <c r="M625">
        <v>32.9</v>
      </c>
      <c r="N625">
        <v>48.4</v>
      </c>
      <c r="O625">
        <v>38.439599999999999</v>
      </c>
      <c r="P625">
        <v>25.4114</v>
      </c>
      <c r="Q625">
        <v>33.403599999999997</v>
      </c>
      <c r="R625">
        <v>28.477499999999999</v>
      </c>
      <c r="T625" t="s">
        <v>165</v>
      </c>
      <c r="U625" t="s">
        <v>166</v>
      </c>
      <c r="V625" t="s">
        <v>249</v>
      </c>
      <c r="W625" t="s">
        <v>250</v>
      </c>
      <c r="Y625">
        <v>8</v>
      </c>
      <c r="Z625" t="s">
        <v>169</v>
      </c>
      <c r="AA625" t="s">
        <v>170</v>
      </c>
      <c r="AB625" t="s">
        <v>351</v>
      </c>
      <c r="AC625" t="s">
        <v>352</v>
      </c>
      <c r="AD625">
        <v>10</v>
      </c>
      <c r="AG625" t="s">
        <v>214</v>
      </c>
      <c r="AH625" t="s">
        <v>215</v>
      </c>
      <c r="AI625" t="s">
        <v>175</v>
      </c>
      <c r="AJ625" t="s">
        <v>176</v>
      </c>
      <c r="AK625" t="s">
        <v>170</v>
      </c>
      <c r="AL625" t="s">
        <v>177</v>
      </c>
      <c r="AS625">
        <v>2300</v>
      </c>
      <c r="AT625">
        <v>2300</v>
      </c>
      <c r="BN625" t="s">
        <v>338</v>
      </c>
      <c r="BO625">
        <v>2</v>
      </c>
      <c r="BP625">
        <v>2</v>
      </c>
      <c r="BQ625">
        <v>17</v>
      </c>
      <c r="BR625" t="s">
        <v>1069</v>
      </c>
      <c r="BS625" t="s">
        <v>1070</v>
      </c>
      <c r="BT625" t="s">
        <v>181</v>
      </c>
      <c r="BU625" s="1">
        <v>45429</v>
      </c>
      <c r="BV625">
        <v>34788</v>
      </c>
      <c r="BX625" t="s">
        <v>170</v>
      </c>
      <c r="CB625" t="s">
        <v>170</v>
      </c>
      <c r="CC625" t="s">
        <v>170</v>
      </c>
      <c r="CE625" t="s">
        <v>170</v>
      </c>
      <c r="CG625" t="s">
        <v>169</v>
      </c>
      <c r="CH625" t="s">
        <v>505</v>
      </c>
      <c r="CI625" t="s">
        <v>169</v>
      </c>
      <c r="CJ625" t="s">
        <v>606</v>
      </c>
      <c r="CK625" t="s">
        <v>233</v>
      </c>
      <c r="CM625">
        <v>1</v>
      </c>
      <c r="CN625" t="s">
        <v>234</v>
      </c>
      <c r="CP625">
        <v>48</v>
      </c>
      <c r="CQ625">
        <v>7.7</v>
      </c>
      <c r="CR625">
        <v>52.9</v>
      </c>
      <c r="CS625" t="s">
        <v>235</v>
      </c>
      <c r="CV625" t="s">
        <v>341</v>
      </c>
      <c r="CX625" t="s">
        <v>342</v>
      </c>
      <c r="CY625" t="s">
        <v>170</v>
      </c>
      <c r="DC625" t="s">
        <v>619</v>
      </c>
      <c r="DD625">
        <v>1</v>
      </c>
      <c r="DE625" t="s">
        <v>404</v>
      </c>
      <c r="DF625" t="s">
        <v>499</v>
      </c>
      <c r="DG625">
        <v>10</v>
      </c>
      <c r="DJ625" t="s">
        <v>184</v>
      </c>
      <c r="DK625" t="s">
        <v>185</v>
      </c>
      <c r="DL625" t="s">
        <v>170</v>
      </c>
      <c r="DM625" t="s">
        <v>170</v>
      </c>
      <c r="DN625" t="s">
        <v>170</v>
      </c>
      <c r="DO625" t="s">
        <v>259</v>
      </c>
      <c r="DP625" t="s">
        <v>169</v>
      </c>
      <c r="DQ625" t="s">
        <v>198</v>
      </c>
      <c r="DR625" t="s">
        <v>1071</v>
      </c>
      <c r="DY625">
        <v>38.700000000000003</v>
      </c>
      <c r="EB625">
        <v>6</v>
      </c>
      <c r="EC625">
        <v>6</v>
      </c>
      <c r="EE625" t="s">
        <v>620</v>
      </c>
      <c r="EF625">
        <v>6</v>
      </c>
      <c r="EV625">
        <v>2000</v>
      </c>
      <c r="EW625">
        <v>348</v>
      </c>
      <c r="EX625">
        <v>265</v>
      </c>
      <c r="EY625">
        <v>311</v>
      </c>
    </row>
    <row r="626" spans="1:155" x14ac:dyDescent="0.35">
      <c r="A626">
        <v>2025</v>
      </c>
      <c r="B626" t="s">
        <v>279</v>
      </c>
      <c r="C626" t="s">
        <v>279</v>
      </c>
      <c r="D626" t="s">
        <v>1386</v>
      </c>
      <c r="E626" t="s">
        <v>281</v>
      </c>
      <c r="F626">
        <v>751</v>
      </c>
      <c r="G626">
        <v>2</v>
      </c>
      <c r="H626">
        <v>4</v>
      </c>
      <c r="I626" t="s">
        <v>248</v>
      </c>
      <c r="J626">
        <v>24</v>
      </c>
      <c r="K626">
        <v>33</v>
      </c>
      <c r="L626">
        <v>27</v>
      </c>
      <c r="M626">
        <v>30.8</v>
      </c>
      <c r="N626">
        <v>47.2</v>
      </c>
      <c r="O626">
        <v>36.508299999999998</v>
      </c>
      <c r="P626">
        <v>23.9483</v>
      </c>
      <c r="Q626">
        <v>32.661799999999999</v>
      </c>
      <c r="R626">
        <v>27.215499999999999</v>
      </c>
      <c r="T626" t="s">
        <v>165</v>
      </c>
      <c r="U626" t="s">
        <v>166</v>
      </c>
      <c r="V626" t="s">
        <v>249</v>
      </c>
      <c r="W626" t="s">
        <v>250</v>
      </c>
      <c r="Y626">
        <v>8</v>
      </c>
      <c r="Z626" t="s">
        <v>169</v>
      </c>
      <c r="AA626" t="s">
        <v>170</v>
      </c>
      <c r="AB626" t="s">
        <v>167</v>
      </c>
      <c r="AC626" t="s">
        <v>213</v>
      </c>
      <c r="AD626">
        <v>10</v>
      </c>
      <c r="AG626" t="s">
        <v>214</v>
      </c>
      <c r="AH626" t="s">
        <v>215</v>
      </c>
      <c r="AI626" t="s">
        <v>175</v>
      </c>
      <c r="AJ626" t="s">
        <v>176</v>
      </c>
      <c r="AK626" t="s">
        <v>940</v>
      </c>
      <c r="AL626" t="s">
        <v>941</v>
      </c>
      <c r="AS626">
        <v>2350</v>
      </c>
      <c r="AT626">
        <v>2350</v>
      </c>
      <c r="BN626" t="s">
        <v>338</v>
      </c>
      <c r="BO626">
        <v>2</v>
      </c>
      <c r="BP626">
        <v>2</v>
      </c>
      <c r="BQ626">
        <v>31</v>
      </c>
      <c r="BR626" t="s">
        <v>1219</v>
      </c>
      <c r="BT626" t="s">
        <v>181</v>
      </c>
      <c r="BU626" s="1">
        <v>45429</v>
      </c>
      <c r="BV626">
        <v>34789</v>
      </c>
      <c r="BX626" t="s">
        <v>170</v>
      </c>
      <c r="CB626" t="s">
        <v>170</v>
      </c>
      <c r="CC626" t="s">
        <v>170</v>
      </c>
      <c r="CE626" t="s">
        <v>170</v>
      </c>
      <c r="CG626" t="s">
        <v>169</v>
      </c>
      <c r="CH626" t="s">
        <v>505</v>
      </c>
      <c r="CI626" t="s">
        <v>169</v>
      </c>
      <c r="CJ626" t="s">
        <v>606</v>
      </c>
      <c r="CK626" t="s">
        <v>233</v>
      </c>
      <c r="CM626">
        <v>1</v>
      </c>
      <c r="CN626" t="s">
        <v>234</v>
      </c>
      <c r="CP626">
        <v>48</v>
      </c>
      <c r="CQ626">
        <v>7.7</v>
      </c>
      <c r="CR626">
        <v>52.9</v>
      </c>
      <c r="CS626" t="s">
        <v>235</v>
      </c>
      <c r="CV626" t="s">
        <v>341</v>
      </c>
      <c r="CX626" t="s">
        <v>342</v>
      </c>
      <c r="CY626" t="s">
        <v>170</v>
      </c>
      <c r="DC626" t="s">
        <v>619</v>
      </c>
      <c r="DD626">
        <v>1</v>
      </c>
      <c r="DE626" t="s">
        <v>404</v>
      </c>
      <c r="DF626" t="s">
        <v>499</v>
      </c>
      <c r="DG626">
        <v>10</v>
      </c>
      <c r="DJ626" t="s">
        <v>184</v>
      </c>
      <c r="DK626" t="s">
        <v>185</v>
      </c>
      <c r="DL626" t="s">
        <v>170</v>
      </c>
      <c r="DM626" t="s">
        <v>170</v>
      </c>
      <c r="DN626" t="s">
        <v>170</v>
      </c>
      <c r="DO626" t="s">
        <v>259</v>
      </c>
      <c r="DP626" t="s">
        <v>169</v>
      </c>
      <c r="DQ626" t="s">
        <v>198</v>
      </c>
      <c r="DR626" t="s">
        <v>1386</v>
      </c>
      <c r="DY626">
        <v>36.799999999999997</v>
      </c>
      <c r="EB626">
        <v>5</v>
      </c>
      <c r="EC626">
        <v>5</v>
      </c>
      <c r="EE626" t="s">
        <v>620</v>
      </c>
      <c r="EF626">
        <v>6</v>
      </c>
      <c r="EV626">
        <v>2250</v>
      </c>
      <c r="EW626">
        <v>368</v>
      </c>
      <c r="EX626">
        <v>270</v>
      </c>
      <c r="EY626">
        <v>324</v>
      </c>
    </row>
    <row r="627" spans="1:155" x14ac:dyDescent="0.35">
      <c r="A627">
        <v>2025</v>
      </c>
      <c r="B627" t="s">
        <v>279</v>
      </c>
      <c r="C627" t="s">
        <v>279</v>
      </c>
      <c r="D627" t="s">
        <v>1711</v>
      </c>
      <c r="E627" t="s">
        <v>281</v>
      </c>
      <c r="F627">
        <v>111</v>
      </c>
      <c r="G627">
        <v>2</v>
      </c>
      <c r="H627">
        <v>4</v>
      </c>
      <c r="I627" t="s">
        <v>282</v>
      </c>
      <c r="J627">
        <v>24</v>
      </c>
      <c r="K627">
        <v>32</v>
      </c>
      <c r="L627">
        <v>27</v>
      </c>
      <c r="M627">
        <v>31.1</v>
      </c>
      <c r="N627">
        <v>46.7</v>
      </c>
      <c r="O627">
        <v>36.6021</v>
      </c>
      <c r="P627">
        <v>24.1585</v>
      </c>
      <c r="Q627">
        <v>32.351500000000001</v>
      </c>
      <c r="R627">
        <v>27.265799999999999</v>
      </c>
      <c r="T627" t="s">
        <v>165</v>
      </c>
      <c r="U627" t="s">
        <v>166</v>
      </c>
      <c r="V627" t="s">
        <v>167</v>
      </c>
      <c r="W627" t="s">
        <v>168</v>
      </c>
      <c r="Y627">
        <v>9</v>
      </c>
      <c r="Z627" t="s">
        <v>169</v>
      </c>
      <c r="AA627" t="s">
        <v>170</v>
      </c>
      <c r="AB627" t="s">
        <v>171</v>
      </c>
      <c r="AC627" t="s">
        <v>172</v>
      </c>
      <c r="AD627">
        <v>10</v>
      </c>
      <c r="AG627" t="s">
        <v>214</v>
      </c>
      <c r="AH627" t="s">
        <v>215</v>
      </c>
      <c r="AI627" t="s">
        <v>175</v>
      </c>
      <c r="AJ627" t="s">
        <v>176</v>
      </c>
      <c r="AK627" t="s">
        <v>940</v>
      </c>
      <c r="AL627" t="s">
        <v>941</v>
      </c>
      <c r="AS627">
        <v>2350</v>
      </c>
      <c r="AT627">
        <v>2350</v>
      </c>
      <c r="BN627" t="s">
        <v>338</v>
      </c>
      <c r="BO627">
        <v>2</v>
      </c>
      <c r="BP627">
        <v>2</v>
      </c>
      <c r="BQ627">
        <v>30</v>
      </c>
      <c r="BR627" t="s">
        <v>1099</v>
      </c>
      <c r="BT627" t="s">
        <v>181</v>
      </c>
      <c r="BV627">
        <v>35226</v>
      </c>
      <c r="BX627" t="s">
        <v>170</v>
      </c>
      <c r="CB627" t="s">
        <v>170</v>
      </c>
      <c r="CC627" t="s">
        <v>170</v>
      </c>
      <c r="CD627" t="s">
        <v>1388</v>
      </c>
      <c r="CE627" t="s">
        <v>170</v>
      </c>
      <c r="CG627" t="s">
        <v>169</v>
      </c>
      <c r="CH627" t="s">
        <v>1389</v>
      </c>
      <c r="CI627" t="s">
        <v>170</v>
      </c>
      <c r="CK627" t="s">
        <v>233</v>
      </c>
      <c r="CM627">
        <v>1</v>
      </c>
      <c r="CN627" t="s">
        <v>234</v>
      </c>
      <c r="CP627">
        <v>48</v>
      </c>
      <c r="CQ627">
        <v>17.5</v>
      </c>
      <c r="CR627">
        <v>62.2</v>
      </c>
      <c r="CS627" t="s">
        <v>235</v>
      </c>
      <c r="CV627" t="s">
        <v>341</v>
      </c>
      <c r="CX627" t="s">
        <v>342</v>
      </c>
      <c r="CY627" t="s">
        <v>170</v>
      </c>
      <c r="DC627" t="s">
        <v>507</v>
      </c>
      <c r="DD627">
        <v>1</v>
      </c>
      <c r="DE627" t="s">
        <v>404</v>
      </c>
      <c r="DF627" t="s">
        <v>499</v>
      </c>
      <c r="DG627">
        <v>17</v>
      </c>
      <c r="DJ627" t="s">
        <v>184</v>
      </c>
      <c r="DK627" t="s">
        <v>185</v>
      </c>
      <c r="DL627" t="s">
        <v>170</v>
      </c>
      <c r="DM627" t="s">
        <v>170</v>
      </c>
      <c r="DN627" t="s">
        <v>170</v>
      </c>
      <c r="DO627" t="s">
        <v>490</v>
      </c>
      <c r="DP627" t="s">
        <v>169</v>
      </c>
      <c r="DQ627" t="s">
        <v>198</v>
      </c>
      <c r="DR627" t="s">
        <v>1711</v>
      </c>
      <c r="DY627">
        <v>36.9</v>
      </c>
      <c r="EB627">
        <v>5</v>
      </c>
      <c r="EC627">
        <v>5</v>
      </c>
      <c r="EE627" t="s">
        <v>1390</v>
      </c>
      <c r="EF627">
        <v>6</v>
      </c>
      <c r="EV627">
        <v>2250</v>
      </c>
      <c r="EW627">
        <v>365</v>
      </c>
      <c r="EX627">
        <v>273</v>
      </c>
      <c r="EY627">
        <v>323</v>
      </c>
    </row>
    <row r="628" spans="1:155" x14ac:dyDescent="0.35">
      <c r="A628">
        <v>2025</v>
      </c>
      <c r="B628" t="s">
        <v>279</v>
      </c>
      <c r="C628" t="s">
        <v>279</v>
      </c>
      <c r="D628" t="s">
        <v>1712</v>
      </c>
      <c r="E628" t="s">
        <v>281</v>
      </c>
      <c r="F628">
        <v>112</v>
      </c>
      <c r="G628">
        <v>2</v>
      </c>
      <c r="H628">
        <v>4</v>
      </c>
      <c r="I628" t="s">
        <v>282</v>
      </c>
      <c r="J628">
        <v>23</v>
      </c>
      <c r="K628">
        <v>31</v>
      </c>
      <c r="L628">
        <v>26</v>
      </c>
      <c r="M628">
        <v>30.1</v>
      </c>
      <c r="N628">
        <v>44.5</v>
      </c>
      <c r="O628">
        <v>35.2301</v>
      </c>
      <c r="P628">
        <v>23.456299999999999</v>
      </c>
      <c r="Q628">
        <v>30.978100000000001</v>
      </c>
      <c r="R628">
        <v>26.333600000000001</v>
      </c>
      <c r="T628" t="s">
        <v>165</v>
      </c>
      <c r="U628" t="s">
        <v>166</v>
      </c>
      <c r="V628" t="s">
        <v>167</v>
      </c>
      <c r="W628" t="s">
        <v>168</v>
      </c>
      <c r="Y628">
        <v>9</v>
      </c>
      <c r="Z628" t="s">
        <v>169</v>
      </c>
      <c r="AA628" t="s">
        <v>170</v>
      </c>
      <c r="AB628" t="s">
        <v>167</v>
      </c>
      <c r="AC628" t="s">
        <v>213</v>
      </c>
      <c r="AD628">
        <v>10</v>
      </c>
      <c r="AG628" t="s">
        <v>214</v>
      </c>
      <c r="AH628" t="s">
        <v>215</v>
      </c>
      <c r="AI628" t="s">
        <v>175</v>
      </c>
      <c r="AJ628" t="s">
        <v>176</v>
      </c>
      <c r="AK628" t="s">
        <v>940</v>
      </c>
      <c r="AL628" t="s">
        <v>941</v>
      </c>
      <c r="AS628">
        <v>2450</v>
      </c>
      <c r="AT628">
        <v>2450</v>
      </c>
      <c r="BN628" t="s">
        <v>338</v>
      </c>
      <c r="BO628">
        <v>2</v>
      </c>
      <c r="BP628">
        <v>2</v>
      </c>
      <c r="BQ628">
        <v>31</v>
      </c>
      <c r="BR628" t="s">
        <v>1219</v>
      </c>
      <c r="BT628" t="s">
        <v>181</v>
      </c>
      <c r="BV628">
        <v>35241</v>
      </c>
      <c r="BX628" t="s">
        <v>170</v>
      </c>
      <c r="BY628" t="s">
        <v>170</v>
      </c>
      <c r="CB628" t="s">
        <v>170</v>
      </c>
      <c r="CC628" t="s">
        <v>170</v>
      </c>
      <c r="CD628" t="s">
        <v>1388</v>
      </c>
      <c r="CE628" t="s">
        <v>170</v>
      </c>
      <c r="CG628" t="s">
        <v>169</v>
      </c>
      <c r="CH628" t="s">
        <v>1389</v>
      </c>
      <c r="CI628" t="s">
        <v>170</v>
      </c>
      <c r="CK628" t="s">
        <v>233</v>
      </c>
      <c r="CM628">
        <v>1</v>
      </c>
      <c r="CN628" t="s">
        <v>234</v>
      </c>
      <c r="CP628">
        <v>48</v>
      </c>
      <c r="CQ628">
        <v>17.5</v>
      </c>
      <c r="CR628">
        <v>62.2</v>
      </c>
      <c r="CS628" t="s">
        <v>235</v>
      </c>
      <c r="CV628" t="s">
        <v>341</v>
      </c>
      <c r="CX628" t="s">
        <v>342</v>
      </c>
      <c r="CY628" t="s">
        <v>170</v>
      </c>
      <c r="DC628" t="s">
        <v>507</v>
      </c>
      <c r="DD628">
        <v>1</v>
      </c>
      <c r="DE628" t="s">
        <v>404</v>
      </c>
      <c r="DF628" t="s">
        <v>499</v>
      </c>
      <c r="DG628">
        <v>17</v>
      </c>
      <c r="DJ628" t="s">
        <v>184</v>
      </c>
      <c r="DK628" t="s">
        <v>185</v>
      </c>
      <c r="DL628" t="s">
        <v>170</v>
      </c>
      <c r="DM628" t="s">
        <v>170</v>
      </c>
      <c r="DN628" t="s">
        <v>170</v>
      </c>
      <c r="DO628" t="s">
        <v>490</v>
      </c>
      <c r="DP628" t="s">
        <v>169</v>
      </c>
      <c r="DQ628" t="s">
        <v>198</v>
      </c>
      <c r="DR628" t="s">
        <v>1712</v>
      </c>
      <c r="DY628">
        <v>35.5</v>
      </c>
      <c r="EB628">
        <v>5</v>
      </c>
      <c r="EC628">
        <v>5</v>
      </c>
      <c r="EE628" t="s">
        <v>1390</v>
      </c>
      <c r="EF628">
        <v>6</v>
      </c>
      <c r="EV628">
        <v>2750</v>
      </c>
      <c r="EW628">
        <v>380</v>
      </c>
      <c r="EX628">
        <v>287</v>
      </c>
      <c r="EY628">
        <v>338</v>
      </c>
    </row>
    <row r="629" spans="1:155" x14ac:dyDescent="0.35">
      <c r="A629">
        <v>2025</v>
      </c>
      <c r="B629" t="s">
        <v>279</v>
      </c>
      <c r="C629" t="s">
        <v>279</v>
      </c>
      <c r="D629" t="s">
        <v>1387</v>
      </c>
      <c r="E629" t="s">
        <v>281</v>
      </c>
      <c r="F629">
        <v>130</v>
      </c>
      <c r="G629">
        <v>2</v>
      </c>
      <c r="H629">
        <v>4</v>
      </c>
      <c r="I629" t="s">
        <v>282</v>
      </c>
      <c r="J629">
        <v>23</v>
      </c>
      <c r="K629">
        <v>31</v>
      </c>
      <c r="L629">
        <v>26</v>
      </c>
      <c r="M629">
        <v>29.9</v>
      </c>
      <c r="N629">
        <v>44.1</v>
      </c>
      <c r="O629">
        <v>34.9666</v>
      </c>
      <c r="P629">
        <v>23.315300000000001</v>
      </c>
      <c r="Q629">
        <v>30.726900000000001</v>
      </c>
      <c r="R629">
        <v>26.154199999999999</v>
      </c>
      <c r="T629" t="s">
        <v>165</v>
      </c>
      <c r="U629" t="s">
        <v>166</v>
      </c>
      <c r="V629" t="s">
        <v>167</v>
      </c>
      <c r="W629" t="s">
        <v>168</v>
      </c>
      <c r="Y629">
        <v>9</v>
      </c>
      <c r="Z629" t="s">
        <v>169</v>
      </c>
      <c r="AA629" t="s">
        <v>170</v>
      </c>
      <c r="AB629" t="s">
        <v>167</v>
      </c>
      <c r="AC629" t="s">
        <v>213</v>
      </c>
      <c r="AD629">
        <v>10</v>
      </c>
      <c r="AG629" t="s">
        <v>214</v>
      </c>
      <c r="AH629" t="s">
        <v>215</v>
      </c>
      <c r="AI629" t="s">
        <v>175</v>
      </c>
      <c r="AJ629" t="s">
        <v>176</v>
      </c>
      <c r="AK629" t="s">
        <v>940</v>
      </c>
      <c r="AL629" t="s">
        <v>941</v>
      </c>
      <c r="AS629">
        <v>2450</v>
      </c>
      <c r="AT629">
        <v>2450</v>
      </c>
      <c r="BN629" t="s">
        <v>338</v>
      </c>
      <c r="BO629">
        <v>2</v>
      </c>
      <c r="BP629">
        <v>2</v>
      </c>
      <c r="BQ629">
        <v>31</v>
      </c>
      <c r="BR629" t="s">
        <v>1219</v>
      </c>
      <c r="BT629" t="s">
        <v>181</v>
      </c>
      <c r="BU629" s="1">
        <v>45492</v>
      </c>
      <c r="BV629">
        <v>35230</v>
      </c>
      <c r="BX629" t="s">
        <v>170</v>
      </c>
      <c r="CB629" t="s">
        <v>170</v>
      </c>
      <c r="CC629" t="s">
        <v>170</v>
      </c>
      <c r="CD629" t="s">
        <v>1388</v>
      </c>
      <c r="CE629" t="s">
        <v>170</v>
      </c>
      <c r="CG629" t="s">
        <v>169</v>
      </c>
      <c r="CH629" t="s">
        <v>1389</v>
      </c>
      <c r="CI629" t="s">
        <v>170</v>
      </c>
      <c r="CK629" t="s">
        <v>233</v>
      </c>
      <c r="CM629">
        <v>1</v>
      </c>
      <c r="CN629" t="s">
        <v>234</v>
      </c>
      <c r="CP629">
        <v>48</v>
      </c>
      <c r="CQ629">
        <v>17.5</v>
      </c>
      <c r="CR629">
        <v>62.2</v>
      </c>
      <c r="CS629" t="s">
        <v>235</v>
      </c>
      <c r="CV629" t="s">
        <v>341</v>
      </c>
      <c r="CX629" t="s">
        <v>342</v>
      </c>
      <c r="CY629" t="s">
        <v>170</v>
      </c>
      <c r="DC629" t="s">
        <v>507</v>
      </c>
      <c r="DD629">
        <v>1</v>
      </c>
      <c r="DE629" t="s">
        <v>404</v>
      </c>
      <c r="DF629" t="s">
        <v>499</v>
      </c>
      <c r="DG629">
        <v>17</v>
      </c>
      <c r="DJ629" t="s">
        <v>184</v>
      </c>
      <c r="DK629" t="s">
        <v>185</v>
      </c>
      <c r="DL629" t="s">
        <v>170</v>
      </c>
      <c r="DM629" t="s">
        <v>170</v>
      </c>
      <c r="DN629" t="s">
        <v>170</v>
      </c>
      <c r="DO629" t="s">
        <v>490</v>
      </c>
      <c r="DP629" t="s">
        <v>169</v>
      </c>
      <c r="DQ629" t="s">
        <v>198</v>
      </c>
      <c r="DR629" t="s">
        <v>1387</v>
      </c>
      <c r="DY629">
        <v>35.200000000000003</v>
      </c>
      <c r="EB629">
        <v>5</v>
      </c>
      <c r="EC629">
        <v>5</v>
      </c>
      <c r="EE629" t="s">
        <v>1390</v>
      </c>
      <c r="EF629">
        <v>6</v>
      </c>
      <c r="EV629">
        <v>2750</v>
      </c>
      <c r="EW629">
        <v>379</v>
      </c>
      <c r="EX629">
        <v>287</v>
      </c>
      <c r="EY629">
        <v>337</v>
      </c>
    </row>
    <row r="630" spans="1:155" x14ac:dyDescent="0.35">
      <c r="A630">
        <v>2025</v>
      </c>
      <c r="B630" t="s">
        <v>279</v>
      </c>
      <c r="C630" t="s">
        <v>279</v>
      </c>
      <c r="D630" t="s">
        <v>1391</v>
      </c>
      <c r="E630" t="s">
        <v>281</v>
      </c>
      <c r="F630">
        <v>414</v>
      </c>
      <c r="G630">
        <v>2</v>
      </c>
      <c r="H630">
        <v>4</v>
      </c>
      <c r="I630" t="s">
        <v>282</v>
      </c>
      <c r="J630">
        <v>21</v>
      </c>
      <c r="K630">
        <v>28</v>
      </c>
      <c r="L630">
        <v>23</v>
      </c>
      <c r="M630">
        <v>25.9985</v>
      </c>
      <c r="N630">
        <v>39.698999999999998</v>
      </c>
      <c r="O630">
        <v>30.778400000000001</v>
      </c>
      <c r="P630">
        <v>20.528500000000001</v>
      </c>
      <c r="Q630">
        <v>27.933800000000002</v>
      </c>
      <c r="R630">
        <v>23.309200000000001</v>
      </c>
      <c r="T630" t="s">
        <v>165</v>
      </c>
      <c r="U630" t="s">
        <v>166</v>
      </c>
      <c r="V630" t="s">
        <v>167</v>
      </c>
      <c r="W630" t="s">
        <v>168</v>
      </c>
      <c r="Y630">
        <v>9</v>
      </c>
      <c r="Z630" t="s">
        <v>169</v>
      </c>
      <c r="AA630" t="s">
        <v>170</v>
      </c>
      <c r="AB630" t="s">
        <v>171</v>
      </c>
      <c r="AC630" t="s">
        <v>172</v>
      </c>
      <c r="AD630">
        <v>10</v>
      </c>
      <c r="AG630" t="s">
        <v>214</v>
      </c>
      <c r="AH630" t="s">
        <v>215</v>
      </c>
      <c r="AI630" t="s">
        <v>175</v>
      </c>
      <c r="AJ630" t="s">
        <v>176</v>
      </c>
      <c r="AK630" t="s">
        <v>940</v>
      </c>
      <c r="AL630" t="s">
        <v>941</v>
      </c>
      <c r="AS630">
        <v>2750</v>
      </c>
      <c r="AT630">
        <v>2750</v>
      </c>
      <c r="BN630" t="s">
        <v>338</v>
      </c>
      <c r="BO630">
        <v>2</v>
      </c>
      <c r="BP630">
        <v>2</v>
      </c>
      <c r="BQ630">
        <v>31</v>
      </c>
      <c r="BR630" t="s">
        <v>1219</v>
      </c>
      <c r="BT630" t="s">
        <v>181</v>
      </c>
      <c r="BU630" s="1">
        <v>45555</v>
      </c>
      <c r="BV630">
        <v>35635</v>
      </c>
      <c r="BY630" t="s">
        <v>170</v>
      </c>
      <c r="CB630" t="s">
        <v>170</v>
      </c>
      <c r="CC630" t="s">
        <v>170</v>
      </c>
      <c r="CE630" t="s">
        <v>170</v>
      </c>
      <c r="CG630" t="s">
        <v>169</v>
      </c>
      <c r="CH630" t="s">
        <v>505</v>
      </c>
      <c r="CI630" t="s">
        <v>170</v>
      </c>
      <c r="CK630" t="s">
        <v>233</v>
      </c>
      <c r="CM630">
        <v>1</v>
      </c>
      <c r="CN630" t="s">
        <v>234</v>
      </c>
      <c r="CP630">
        <v>48</v>
      </c>
      <c r="CQ630">
        <v>20</v>
      </c>
      <c r="CR630">
        <v>80</v>
      </c>
      <c r="CS630" t="s">
        <v>235</v>
      </c>
      <c r="CV630" t="s">
        <v>341</v>
      </c>
      <c r="CX630" t="s">
        <v>342</v>
      </c>
      <c r="CY630" t="s">
        <v>170</v>
      </c>
      <c r="DC630" t="s">
        <v>507</v>
      </c>
      <c r="DD630">
        <v>1</v>
      </c>
      <c r="DE630" t="s">
        <v>404</v>
      </c>
      <c r="DF630" t="s">
        <v>499</v>
      </c>
      <c r="DG630">
        <v>15</v>
      </c>
      <c r="DJ630" t="s">
        <v>184</v>
      </c>
      <c r="DK630" t="s">
        <v>185</v>
      </c>
      <c r="DL630" t="s">
        <v>170</v>
      </c>
      <c r="DM630" t="s">
        <v>170</v>
      </c>
      <c r="DN630" t="s">
        <v>170</v>
      </c>
      <c r="DO630" t="s">
        <v>490</v>
      </c>
      <c r="DP630" t="s">
        <v>169</v>
      </c>
      <c r="DQ630" t="s">
        <v>198</v>
      </c>
      <c r="DR630" t="s">
        <v>1391</v>
      </c>
      <c r="DY630">
        <v>31</v>
      </c>
      <c r="EB630">
        <v>5</v>
      </c>
      <c r="EC630">
        <v>5</v>
      </c>
      <c r="EE630" t="s">
        <v>1392</v>
      </c>
      <c r="EF630">
        <v>6</v>
      </c>
      <c r="EV630">
        <v>4250</v>
      </c>
      <c r="EW630">
        <v>434</v>
      </c>
      <c r="EX630">
        <v>318</v>
      </c>
      <c r="EY630">
        <v>382</v>
      </c>
    </row>
    <row r="631" spans="1:155" x14ac:dyDescent="0.35">
      <c r="A631">
        <v>2025</v>
      </c>
      <c r="B631" t="s">
        <v>279</v>
      </c>
      <c r="C631" t="s">
        <v>279</v>
      </c>
      <c r="D631" t="s">
        <v>1393</v>
      </c>
      <c r="E631" t="s">
        <v>281</v>
      </c>
      <c r="F631">
        <v>415</v>
      </c>
      <c r="G631">
        <v>2</v>
      </c>
      <c r="H631">
        <v>4</v>
      </c>
      <c r="I631" t="s">
        <v>282</v>
      </c>
      <c r="J631">
        <v>19</v>
      </c>
      <c r="K631">
        <v>26</v>
      </c>
      <c r="L631">
        <v>22</v>
      </c>
      <c r="M631">
        <v>24.3</v>
      </c>
      <c r="N631">
        <v>36.1</v>
      </c>
      <c r="O631">
        <v>28.4907</v>
      </c>
      <c r="P631">
        <v>19.293199999999999</v>
      </c>
      <c r="Q631">
        <v>25.6084</v>
      </c>
      <c r="R631">
        <v>21.701499999999999</v>
      </c>
      <c r="T631" t="s">
        <v>165</v>
      </c>
      <c r="U631" t="s">
        <v>166</v>
      </c>
      <c r="V631" t="s">
        <v>167</v>
      </c>
      <c r="W631" t="s">
        <v>168</v>
      </c>
      <c r="Y631">
        <v>9</v>
      </c>
      <c r="Z631" t="s">
        <v>169</v>
      </c>
      <c r="AA631" t="s">
        <v>170</v>
      </c>
      <c r="AB631" t="s">
        <v>167</v>
      </c>
      <c r="AC631" t="s">
        <v>213</v>
      </c>
      <c r="AD631">
        <v>10</v>
      </c>
      <c r="AG631" t="s">
        <v>214</v>
      </c>
      <c r="AH631" t="s">
        <v>215</v>
      </c>
      <c r="AI631" t="s">
        <v>175</v>
      </c>
      <c r="AJ631" t="s">
        <v>176</v>
      </c>
      <c r="AK631" t="s">
        <v>940</v>
      </c>
      <c r="AL631" t="s">
        <v>941</v>
      </c>
      <c r="AS631">
        <v>2900</v>
      </c>
      <c r="AT631">
        <v>2900</v>
      </c>
      <c r="BN631" t="s">
        <v>338</v>
      </c>
      <c r="BO631">
        <v>2</v>
      </c>
      <c r="BP631">
        <v>2</v>
      </c>
      <c r="BQ631">
        <v>31</v>
      </c>
      <c r="BR631" t="s">
        <v>1219</v>
      </c>
      <c r="BT631" t="s">
        <v>181</v>
      </c>
      <c r="BU631" s="1">
        <v>45457</v>
      </c>
      <c r="BV631">
        <v>34959</v>
      </c>
      <c r="BY631" t="s">
        <v>170</v>
      </c>
      <c r="CB631" t="s">
        <v>170</v>
      </c>
      <c r="CC631" t="s">
        <v>170</v>
      </c>
      <c r="CE631" t="s">
        <v>170</v>
      </c>
      <c r="CG631" t="s">
        <v>169</v>
      </c>
      <c r="CH631" t="s">
        <v>505</v>
      </c>
      <c r="CI631" t="s">
        <v>170</v>
      </c>
      <c r="CK631" t="s">
        <v>233</v>
      </c>
      <c r="CM631">
        <v>1</v>
      </c>
      <c r="CN631" t="s">
        <v>234</v>
      </c>
      <c r="CP631">
        <v>48</v>
      </c>
      <c r="CQ631">
        <v>20</v>
      </c>
      <c r="CR631">
        <v>80</v>
      </c>
      <c r="CS631" t="s">
        <v>235</v>
      </c>
      <c r="CV631" t="s">
        <v>341</v>
      </c>
      <c r="CX631" t="s">
        <v>342</v>
      </c>
      <c r="CY631" t="s">
        <v>170</v>
      </c>
      <c r="DC631" t="s">
        <v>507</v>
      </c>
      <c r="DD631">
        <v>1</v>
      </c>
      <c r="DE631" t="s">
        <v>404</v>
      </c>
      <c r="DF631" t="s">
        <v>499</v>
      </c>
      <c r="DG631">
        <v>15</v>
      </c>
      <c r="DJ631" t="s">
        <v>184</v>
      </c>
      <c r="DK631" t="s">
        <v>185</v>
      </c>
      <c r="DL631" t="s">
        <v>170</v>
      </c>
      <c r="DM631" t="s">
        <v>170</v>
      </c>
      <c r="DN631" t="s">
        <v>170</v>
      </c>
      <c r="DO631" t="s">
        <v>490</v>
      </c>
      <c r="DP631" t="s">
        <v>169</v>
      </c>
      <c r="DQ631" t="s">
        <v>198</v>
      </c>
      <c r="DR631" t="s">
        <v>1393</v>
      </c>
      <c r="DY631">
        <v>28.7</v>
      </c>
      <c r="EB631">
        <v>5</v>
      </c>
      <c r="EC631">
        <v>5</v>
      </c>
      <c r="EE631" t="s">
        <v>1392</v>
      </c>
      <c r="EF631">
        <v>6</v>
      </c>
      <c r="EV631">
        <v>5000</v>
      </c>
      <c r="EW631">
        <v>461</v>
      </c>
      <c r="EX631">
        <v>347</v>
      </c>
      <c r="EY631">
        <v>410</v>
      </c>
    </row>
    <row r="632" spans="1:155" x14ac:dyDescent="0.35">
      <c r="A632">
        <v>2025</v>
      </c>
      <c r="B632" t="s">
        <v>279</v>
      </c>
      <c r="C632" t="s">
        <v>279</v>
      </c>
      <c r="D632" t="s">
        <v>1636</v>
      </c>
      <c r="E632" t="s">
        <v>281</v>
      </c>
      <c r="F632">
        <v>408</v>
      </c>
      <c r="G632">
        <v>3</v>
      </c>
      <c r="H632">
        <v>6</v>
      </c>
      <c r="I632" t="s">
        <v>282</v>
      </c>
      <c r="J632">
        <v>19</v>
      </c>
      <c r="K632">
        <v>25</v>
      </c>
      <c r="L632">
        <v>21</v>
      </c>
      <c r="M632">
        <v>23.647400000000001</v>
      </c>
      <c r="N632">
        <v>34.446399999999997</v>
      </c>
      <c r="O632">
        <v>27.531400000000001</v>
      </c>
      <c r="P632">
        <v>18.814900000000002</v>
      </c>
      <c r="Q632">
        <v>24.527200000000001</v>
      </c>
      <c r="R632">
        <v>21.017600000000002</v>
      </c>
      <c r="T632" t="s">
        <v>484</v>
      </c>
      <c r="U632" t="s">
        <v>485</v>
      </c>
      <c r="V632" t="s">
        <v>167</v>
      </c>
      <c r="W632" t="s">
        <v>168</v>
      </c>
      <c r="Y632">
        <v>9</v>
      </c>
      <c r="Z632" t="s">
        <v>169</v>
      </c>
      <c r="AA632" t="s">
        <v>170</v>
      </c>
      <c r="AB632" t="s">
        <v>167</v>
      </c>
      <c r="AC632" t="s">
        <v>213</v>
      </c>
      <c r="AD632">
        <v>10</v>
      </c>
      <c r="AG632" t="s">
        <v>214</v>
      </c>
      <c r="AH632" t="s">
        <v>215</v>
      </c>
      <c r="AI632" t="s">
        <v>175</v>
      </c>
      <c r="AJ632" t="s">
        <v>176</v>
      </c>
      <c r="AK632" t="s">
        <v>940</v>
      </c>
      <c r="AL632" t="s">
        <v>941</v>
      </c>
      <c r="AS632">
        <v>3050</v>
      </c>
      <c r="AT632">
        <v>3050</v>
      </c>
      <c r="BN632" t="s">
        <v>338</v>
      </c>
      <c r="BO632">
        <v>2</v>
      </c>
      <c r="BP632">
        <v>2</v>
      </c>
      <c r="BQ632">
        <v>33</v>
      </c>
      <c r="BR632" t="s">
        <v>1497</v>
      </c>
      <c r="BT632" t="s">
        <v>181</v>
      </c>
      <c r="BU632" s="1">
        <v>45475</v>
      </c>
      <c r="BV632">
        <v>35108</v>
      </c>
      <c r="BY632" t="s">
        <v>170</v>
      </c>
      <c r="CB632" t="s">
        <v>170</v>
      </c>
      <c r="CC632" t="s">
        <v>170</v>
      </c>
      <c r="CD632" t="s">
        <v>1626</v>
      </c>
      <c r="CE632" t="s">
        <v>170</v>
      </c>
      <c r="CG632" t="s">
        <v>169</v>
      </c>
      <c r="CH632" t="s">
        <v>284</v>
      </c>
      <c r="CI632" t="s">
        <v>169</v>
      </c>
      <c r="CJ632" t="s">
        <v>487</v>
      </c>
      <c r="CK632" t="s">
        <v>233</v>
      </c>
      <c r="CM632">
        <v>1</v>
      </c>
      <c r="CN632" t="s">
        <v>234</v>
      </c>
      <c r="CP632">
        <v>48</v>
      </c>
      <c r="CQ632">
        <v>20</v>
      </c>
      <c r="CR632">
        <v>80</v>
      </c>
      <c r="CS632" t="s">
        <v>235</v>
      </c>
      <c r="CV632" t="s">
        <v>341</v>
      </c>
      <c r="CX632" t="s">
        <v>342</v>
      </c>
      <c r="CY632" t="s">
        <v>170</v>
      </c>
      <c r="DC632" t="s">
        <v>488</v>
      </c>
      <c r="DD632">
        <v>1</v>
      </c>
      <c r="DE632" t="s">
        <v>404</v>
      </c>
      <c r="DF632" t="s">
        <v>489</v>
      </c>
      <c r="DG632">
        <v>15</v>
      </c>
      <c r="DJ632" t="s">
        <v>184</v>
      </c>
      <c r="DK632" t="s">
        <v>185</v>
      </c>
      <c r="DL632" t="s">
        <v>170</v>
      </c>
      <c r="DM632" t="s">
        <v>170</v>
      </c>
      <c r="DN632" t="s">
        <v>170</v>
      </c>
      <c r="DO632" t="s">
        <v>490</v>
      </c>
      <c r="DP632" t="s">
        <v>169</v>
      </c>
      <c r="DQ632" t="s">
        <v>198</v>
      </c>
      <c r="DR632" t="s">
        <v>1636</v>
      </c>
      <c r="DY632">
        <v>27.7</v>
      </c>
      <c r="EB632">
        <v>4</v>
      </c>
      <c r="EC632">
        <v>4</v>
      </c>
      <c r="EE632" t="s">
        <v>492</v>
      </c>
      <c r="EF632">
        <v>6</v>
      </c>
      <c r="EV632">
        <v>5750</v>
      </c>
      <c r="EW632">
        <v>474</v>
      </c>
      <c r="EX632">
        <v>363</v>
      </c>
      <c r="EY632">
        <v>424</v>
      </c>
    </row>
    <row r="633" spans="1:155" x14ac:dyDescent="0.35">
      <c r="A633">
        <v>2025</v>
      </c>
      <c r="B633" t="s">
        <v>279</v>
      </c>
      <c r="C633" t="s">
        <v>279</v>
      </c>
      <c r="D633" t="s">
        <v>1637</v>
      </c>
      <c r="E633" t="s">
        <v>281</v>
      </c>
      <c r="F633">
        <v>409</v>
      </c>
      <c r="G633">
        <v>3</v>
      </c>
      <c r="H633">
        <v>6</v>
      </c>
      <c r="I633" t="s">
        <v>282</v>
      </c>
      <c r="J633">
        <v>19</v>
      </c>
      <c r="K633">
        <v>25</v>
      </c>
      <c r="L633">
        <v>21</v>
      </c>
      <c r="M633">
        <v>23.647400000000001</v>
      </c>
      <c r="N633">
        <v>34.446399999999997</v>
      </c>
      <c r="O633">
        <v>27.531400000000001</v>
      </c>
      <c r="P633">
        <v>18.814900000000002</v>
      </c>
      <c r="Q633">
        <v>24.527200000000001</v>
      </c>
      <c r="R633">
        <v>21.017600000000002</v>
      </c>
      <c r="T633" t="s">
        <v>484</v>
      </c>
      <c r="U633" t="s">
        <v>485</v>
      </c>
      <c r="V633" t="s">
        <v>167</v>
      </c>
      <c r="W633" t="s">
        <v>168</v>
      </c>
      <c r="Y633">
        <v>9</v>
      </c>
      <c r="Z633" t="s">
        <v>169</v>
      </c>
      <c r="AA633" t="s">
        <v>170</v>
      </c>
      <c r="AB633" t="s">
        <v>167</v>
      </c>
      <c r="AC633" t="s">
        <v>213</v>
      </c>
      <c r="AD633">
        <v>10</v>
      </c>
      <c r="AG633" t="s">
        <v>214</v>
      </c>
      <c r="AH633" t="s">
        <v>215</v>
      </c>
      <c r="AI633" t="s">
        <v>175</v>
      </c>
      <c r="AJ633" t="s">
        <v>176</v>
      </c>
      <c r="AK633" t="s">
        <v>940</v>
      </c>
      <c r="AL633" t="s">
        <v>941</v>
      </c>
      <c r="AS633">
        <v>3050</v>
      </c>
      <c r="AT633">
        <v>3050</v>
      </c>
      <c r="BN633" t="s">
        <v>338</v>
      </c>
      <c r="BO633">
        <v>2</v>
      </c>
      <c r="BP633">
        <v>2</v>
      </c>
      <c r="BQ633">
        <v>33</v>
      </c>
      <c r="BR633" t="s">
        <v>1497</v>
      </c>
      <c r="BT633" t="s">
        <v>181</v>
      </c>
      <c r="BU633" s="1">
        <v>45475</v>
      </c>
      <c r="BV633">
        <v>35109</v>
      </c>
      <c r="BY633" t="s">
        <v>170</v>
      </c>
      <c r="CB633" t="s">
        <v>170</v>
      </c>
      <c r="CC633" t="s">
        <v>170</v>
      </c>
      <c r="CD633" t="s">
        <v>1626</v>
      </c>
      <c r="CE633" t="s">
        <v>170</v>
      </c>
      <c r="CG633" t="s">
        <v>169</v>
      </c>
      <c r="CH633" t="s">
        <v>284</v>
      </c>
      <c r="CI633" t="s">
        <v>169</v>
      </c>
      <c r="CJ633" t="s">
        <v>487</v>
      </c>
      <c r="CK633" t="s">
        <v>233</v>
      </c>
      <c r="CM633">
        <v>1</v>
      </c>
      <c r="CN633" t="s">
        <v>234</v>
      </c>
      <c r="CP633">
        <v>48</v>
      </c>
      <c r="CQ633">
        <v>20</v>
      </c>
      <c r="CR633">
        <v>80</v>
      </c>
      <c r="CS633" t="s">
        <v>235</v>
      </c>
      <c r="CV633" t="s">
        <v>341</v>
      </c>
      <c r="CX633" t="s">
        <v>342</v>
      </c>
      <c r="CY633" t="s">
        <v>170</v>
      </c>
      <c r="DC633" t="s">
        <v>488</v>
      </c>
      <c r="DD633">
        <v>1</v>
      </c>
      <c r="DE633" t="s">
        <v>404</v>
      </c>
      <c r="DF633" t="s">
        <v>489</v>
      </c>
      <c r="DG633">
        <v>15</v>
      </c>
      <c r="DJ633" t="s">
        <v>184</v>
      </c>
      <c r="DK633" t="s">
        <v>185</v>
      </c>
      <c r="DL633" t="s">
        <v>170</v>
      </c>
      <c r="DM633" t="s">
        <v>170</v>
      </c>
      <c r="DN633" t="s">
        <v>170</v>
      </c>
      <c r="DO633" t="s">
        <v>490</v>
      </c>
      <c r="DP633" t="s">
        <v>169</v>
      </c>
      <c r="DQ633" t="s">
        <v>198</v>
      </c>
      <c r="DR633" t="s">
        <v>1637</v>
      </c>
      <c r="DY633">
        <v>27.7</v>
      </c>
      <c r="EB633">
        <v>4</v>
      </c>
      <c r="EC633">
        <v>4</v>
      </c>
      <c r="EE633" t="s">
        <v>492</v>
      </c>
      <c r="EF633">
        <v>6</v>
      </c>
      <c r="EV633">
        <v>5750</v>
      </c>
      <c r="EW633">
        <v>474</v>
      </c>
      <c r="EX633">
        <v>363</v>
      </c>
      <c r="EY633">
        <v>424</v>
      </c>
    </row>
    <row r="634" spans="1:155" x14ac:dyDescent="0.35">
      <c r="A634">
        <v>2025</v>
      </c>
      <c r="B634" t="s">
        <v>279</v>
      </c>
      <c r="C634" t="s">
        <v>279</v>
      </c>
      <c r="D634" t="s">
        <v>1638</v>
      </c>
      <c r="E634" t="s">
        <v>281</v>
      </c>
      <c r="F634">
        <v>405</v>
      </c>
      <c r="G634">
        <v>4</v>
      </c>
      <c r="H634">
        <v>8</v>
      </c>
      <c r="I634" t="s">
        <v>282</v>
      </c>
      <c r="J634">
        <v>15</v>
      </c>
      <c r="K634">
        <v>20</v>
      </c>
      <c r="L634">
        <v>17</v>
      </c>
      <c r="M634">
        <v>18.100000000000001</v>
      </c>
      <c r="N634">
        <v>28.1</v>
      </c>
      <c r="O634">
        <v>21.551300000000001</v>
      </c>
      <c r="P634">
        <v>14.666</v>
      </c>
      <c r="Q634">
        <v>20.300999999999998</v>
      </c>
      <c r="R634">
        <v>16.759399999999999</v>
      </c>
      <c r="T634" t="s">
        <v>165</v>
      </c>
      <c r="U634" t="s">
        <v>166</v>
      </c>
      <c r="V634" t="s">
        <v>167</v>
      </c>
      <c r="W634" t="s">
        <v>168</v>
      </c>
      <c r="Y634">
        <v>9</v>
      </c>
      <c r="Z634" t="s">
        <v>169</v>
      </c>
      <c r="AA634" t="s">
        <v>170</v>
      </c>
      <c r="AB634" t="s">
        <v>167</v>
      </c>
      <c r="AC634" t="s">
        <v>213</v>
      </c>
      <c r="AD634">
        <v>10</v>
      </c>
      <c r="AG634" t="s">
        <v>214</v>
      </c>
      <c r="AH634" t="s">
        <v>215</v>
      </c>
      <c r="AI634" t="s">
        <v>175</v>
      </c>
      <c r="AJ634" t="s">
        <v>176</v>
      </c>
      <c r="AK634" t="s">
        <v>940</v>
      </c>
      <c r="AL634" t="s">
        <v>941</v>
      </c>
      <c r="AS634">
        <v>3750</v>
      </c>
      <c r="AT634">
        <v>3750</v>
      </c>
      <c r="BN634" t="s">
        <v>338</v>
      </c>
      <c r="BO634">
        <v>2</v>
      </c>
      <c r="BP634">
        <v>2</v>
      </c>
      <c r="BQ634">
        <v>33</v>
      </c>
      <c r="BR634" t="s">
        <v>1497</v>
      </c>
      <c r="BT634" t="s">
        <v>181</v>
      </c>
      <c r="BU634" s="1">
        <v>45443</v>
      </c>
      <c r="BV634">
        <v>34835</v>
      </c>
      <c r="BY634" t="s">
        <v>170</v>
      </c>
      <c r="CB634" t="s">
        <v>170</v>
      </c>
      <c r="CC634" t="s">
        <v>170</v>
      </c>
      <c r="CD634" t="s">
        <v>1629</v>
      </c>
      <c r="CE634" t="s">
        <v>169</v>
      </c>
      <c r="CF634" t="s">
        <v>1623</v>
      </c>
      <c r="CG634" t="s">
        <v>169</v>
      </c>
      <c r="CH634" t="s">
        <v>284</v>
      </c>
      <c r="CI634" t="s">
        <v>170</v>
      </c>
      <c r="CK634" t="s">
        <v>233</v>
      </c>
      <c r="CM634">
        <v>1</v>
      </c>
      <c r="CN634" t="s">
        <v>234</v>
      </c>
      <c r="CP634">
        <v>48</v>
      </c>
      <c r="CQ634">
        <v>20</v>
      </c>
      <c r="CR634">
        <v>80</v>
      </c>
      <c r="CS634" t="s">
        <v>235</v>
      </c>
      <c r="CV634" t="s">
        <v>341</v>
      </c>
      <c r="CX634" t="s">
        <v>342</v>
      </c>
      <c r="CY634" t="s">
        <v>170</v>
      </c>
      <c r="DC634" t="s">
        <v>871</v>
      </c>
      <c r="DD634">
        <v>1</v>
      </c>
      <c r="DE634" t="s">
        <v>404</v>
      </c>
      <c r="DF634" t="s">
        <v>872</v>
      </c>
      <c r="DG634">
        <v>16</v>
      </c>
      <c r="DJ634" t="s">
        <v>184</v>
      </c>
      <c r="DK634" t="s">
        <v>185</v>
      </c>
      <c r="DL634" t="s">
        <v>170</v>
      </c>
      <c r="DM634" t="s">
        <v>170</v>
      </c>
      <c r="DN634" t="s">
        <v>170</v>
      </c>
      <c r="DO634" t="s">
        <v>197</v>
      </c>
      <c r="DP634" t="s">
        <v>169</v>
      </c>
      <c r="DQ634" t="s">
        <v>198</v>
      </c>
      <c r="DY634">
        <v>21.7</v>
      </c>
      <c r="EB634">
        <v>3</v>
      </c>
      <c r="EC634">
        <v>3</v>
      </c>
      <c r="EE634" t="s">
        <v>1630</v>
      </c>
      <c r="EF634">
        <v>4</v>
      </c>
      <c r="EV634">
        <v>9250</v>
      </c>
      <c r="EW634">
        <v>602</v>
      </c>
      <c r="EX634">
        <v>435</v>
      </c>
      <c r="EY634">
        <v>527</v>
      </c>
    </row>
    <row r="635" spans="1:155" x14ac:dyDescent="0.35">
      <c r="A635">
        <v>2025</v>
      </c>
      <c r="B635" t="s">
        <v>279</v>
      </c>
      <c r="C635" t="s">
        <v>279</v>
      </c>
      <c r="D635" t="s">
        <v>1639</v>
      </c>
      <c r="E635" t="s">
        <v>281</v>
      </c>
      <c r="F635">
        <v>421</v>
      </c>
      <c r="G635">
        <v>3</v>
      </c>
      <c r="H635">
        <v>6</v>
      </c>
      <c r="I635" t="s">
        <v>282</v>
      </c>
      <c r="J635">
        <v>19</v>
      </c>
      <c r="K635">
        <v>24</v>
      </c>
      <c r="L635">
        <v>21</v>
      </c>
      <c r="M635">
        <v>23.3</v>
      </c>
      <c r="N635">
        <v>34.4</v>
      </c>
      <c r="O635">
        <v>27.257899999999999</v>
      </c>
      <c r="P635">
        <v>18.5595</v>
      </c>
      <c r="Q635">
        <v>24.496700000000001</v>
      </c>
      <c r="R635">
        <v>20.831499999999998</v>
      </c>
      <c r="T635" t="s">
        <v>484</v>
      </c>
      <c r="U635" t="s">
        <v>485</v>
      </c>
      <c r="V635" t="s">
        <v>167</v>
      </c>
      <c r="W635" t="s">
        <v>168</v>
      </c>
      <c r="Y635">
        <v>9</v>
      </c>
      <c r="Z635" t="s">
        <v>169</v>
      </c>
      <c r="AA635" t="s">
        <v>170</v>
      </c>
      <c r="AB635" t="s">
        <v>167</v>
      </c>
      <c r="AC635" t="s">
        <v>213</v>
      </c>
      <c r="AD635">
        <v>10</v>
      </c>
      <c r="AG635" t="s">
        <v>214</v>
      </c>
      <c r="AH635" t="s">
        <v>215</v>
      </c>
      <c r="AI635" t="s">
        <v>175</v>
      </c>
      <c r="AJ635" t="s">
        <v>176</v>
      </c>
      <c r="AK635" t="s">
        <v>940</v>
      </c>
      <c r="AL635" t="s">
        <v>941</v>
      </c>
      <c r="AS635">
        <v>3050</v>
      </c>
      <c r="AT635">
        <v>3050</v>
      </c>
      <c r="BN635" t="s">
        <v>338</v>
      </c>
      <c r="BO635">
        <v>2</v>
      </c>
      <c r="BP635">
        <v>2</v>
      </c>
      <c r="BQ635">
        <v>33</v>
      </c>
      <c r="BR635" t="s">
        <v>1497</v>
      </c>
      <c r="BT635" t="s">
        <v>181</v>
      </c>
      <c r="BU635" s="1">
        <v>45475</v>
      </c>
      <c r="BV635">
        <v>35112</v>
      </c>
      <c r="BY635" t="s">
        <v>170</v>
      </c>
      <c r="CB635" t="s">
        <v>170</v>
      </c>
      <c r="CC635" t="s">
        <v>170</v>
      </c>
      <c r="CD635" t="s">
        <v>1626</v>
      </c>
      <c r="CE635" t="s">
        <v>170</v>
      </c>
      <c r="CG635" t="s">
        <v>169</v>
      </c>
      <c r="CH635" t="s">
        <v>284</v>
      </c>
      <c r="CI635" t="s">
        <v>169</v>
      </c>
      <c r="CJ635" t="s">
        <v>487</v>
      </c>
      <c r="CK635" t="s">
        <v>233</v>
      </c>
      <c r="CM635">
        <v>1</v>
      </c>
      <c r="CN635" t="s">
        <v>234</v>
      </c>
      <c r="CP635">
        <v>48</v>
      </c>
      <c r="CQ635">
        <v>20</v>
      </c>
      <c r="CR635">
        <v>80</v>
      </c>
      <c r="CS635" t="s">
        <v>235</v>
      </c>
      <c r="CV635" t="s">
        <v>341</v>
      </c>
      <c r="CX635" t="s">
        <v>342</v>
      </c>
      <c r="CY635" t="s">
        <v>170</v>
      </c>
      <c r="DC635" t="s">
        <v>488</v>
      </c>
      <c r="DD635">
        <v>1</v>
      </c>
      <c r="DE635" t="s">
        <v>404</v>
      </c>
      <c r="DF635" t="s">
        <v>489</v>
      </c>
      <c r="DG635">
        <v>15</v>
      </c>
      <c r="DJ635" t="s">
        <v>184</v>
      </c>
      <c r="DK635" t="s">
        <v>185</v>
      </c>
      <c r="DL635" t="s">
        <v>170</v>
      </c>
      <c r="DM635" t="s">
        <v>170</v>
      </c>
      <c r="DN635" t="s">
        <v>170</v>
      </c>
      <c r="DO635" t="s">
        <v>490</v>
      </c>
      <c r="DP635" t="s">
        <v>169</v>
      </c>
      <c r="DQ635" t="s">
        <v>198</v>
      </c>
      <c r="DR635" t="s">
        <v>1639</v>
      </c>
      <c r="DY635">
        <v>27.4</v>
      </c>
      <c r="EB635">
        <v>4</v>
      </c>
      <c r="EC635">
        <v>4</v>
      </c>
      <c r="EE635" t="s">
        <v>492</v>
      </c>
      <c r="EF635">
        <v>6</v>
      </c>
      <c r="EV635">
        <v>5750</v>
      </c>
      <c r="EW635">
        <v>481</v>
      </c>
      <c r="EX635">
        <v>364</v>
      </c>
      <c r="EY635">
        <v>428</v>
      </c>
    </row>
    <row r="636" spans="1:155" x14ac:dyDescent="0.35">
      <c r="A636">
        <v>2025</v>
      </c>
      <c r="B636" t="s">
        <v>279</v>
      </c>
      <c r="C636" t="s">
        <v>279</v>
      </c>
      <c r="D636" t="s">
        <v>1640</v>
      </c>
      <c r="E636" t="s">
        <v>281</v>
      </c>
      <c r="F636">
        <v>406</v>
      </c>
      <c r="G636">
        <v>4</v>
      </c>
      <c r="H636">
        <v>8</v>
      </c>
      <c r="I636" t="s">
        <v>282</v>
      </c>
      <c r="J636">
        <v>14</v>
      </c>
      <c r="K636">
        <v>19</v>
      </c>
      <c r="L636">
        <v>16</v>
      </c>
      <c r="M636">
        <v>17.399999999999999</v>
      </c>
      <c r="N636">
        <v>26.8</v>
      </c>
      <c r="O636">
        <v>20.661100000000001</v>
      </c>
      <c r="P636">
        <v>14.131600000000001</v>
      </c>
      <c r="Q636">
        <v>19.420000000000002</v>
      </c>
      <c r="R636">
        <v>16.1052</v>
      </c>
      <c r="T636" t="s">
        <v>165</v>
      </c>
      <c r="U636" t="s">
        <v>166</v>
      </c>
      <c r="V636" t="s">
        <v>167</v>
      </c>
      <c r="W636" t="s">
        <v>168</v>
      </c>
      <c r="Y636">
        <v>9</v>
      </c>
      <c r="Z636" t="s">
        <v>169</v>
      </c>
      <c r="AA636" t="s">
        <v>170</v>
      </c>
      <c r="AB636" t="s">
        <v>167</v>
      </c>
      <c r="AC636" t="s">
        <v>213</v>
      </c>
      <c r="AD636">
        <v>10</v>
      </c>
      <c r="AG636" t="s">
        <v>214</v>
      </c>
      <c r="AH636" t="s">
        <v>215</v>
      </c>
      <c r="AI636" t="s">
        <v>175</v>
      </c>
      <c r="AJ636" t="s">
        <v>176</v>
      </c>
      <c r="AK636" t="s">
        <v>940</v>
      </c>
      <c r="AL636" t="s">
        <v>941</v>
      </c>
      <c r="AS636">
        <v>4000</v>
      </c>
      <c r="AT636">
        <v>4000</v>
      </c>
      <c r="BN636" t="s">
        <v>338</v>
      </c>
      <c r="BO636">
        <v>2</v>
      </c>
      <c r="BP636">
        <v>2</v>
      </c>
      <c r="BQ636">
        <v>33</v>
      </c>
      <c r="BR636" t="s">
        <v>1497</v>
      </c>
      <c r="BT636" t="s">
        <v>181</v>
      </c>
      <c r="BU636" s="1">
        <v>45443</v>
      </c>
      <c r="BV636">
        <v>34834</v>
      </c>
      <c r="BY636" t="s">
        <v>170</v>
      </c>
      <c r="CB636" t="s">
        <v>170</v>
      </c>
      <c r="CC636" t="s">
        <v>170</v>
      </c>
      <c r="CD636" t="s">
        <v>1629</v>
      </c>
      <c r="CE636" t="s">
        <v>169</v>
      </c>
      <c r="CF636" t="s">
        <v>1623</v>
      </c>
      <c r="CG636" t="s">
        <v>169</v>
      </c>
      <c r="CH636" t="s">
        <v>284</v>
      </c>
      <c r="CI636" t="s">
        <v>170</v>
      </c>
      <c r="CK636" t="s">
        <v>233</v>
      </c>
      <c r="CM636">
        <v>1</v>
      </c>
      <c r="CN636" t="s">
        <v>234</v>
      </c>
      <c r="CP636">
        <v>48</v>
      </c>
      <c r="CQ636">
        <v>20</v>
      </c>
      <c r="CR636">
        <v>80</v>
      </c>
      <c r="CS636" t="s">
        <v>235</v>
      </c>
      <c r="CV636" t="s">
        <v>341</v>
      </c>
      <c r="CX636" t="s">
        <v>342</v>
      </c>
      <c r="CY636" t="s">
        <v>170</v>
      </c>
      <c r="DC636" t="s">
        <v>871</v>
      </c>
      <c r="DD636">
        <v>1</v>
      </c>
      <c r="DE636" t="s">
        <v>404</v>
      </c>
      <c r="DF636" t="s">
        <v>872</v>
      </c>
      <c r="DG636">
        <v>16</v>
      </c>
      <c r="DJ636" t="s">
        <v>184</v>
      </c>
      <c r="DK636" t="s">
        <v>185</v>
      </c>
      <c r="DL636" t="s">
        <v>170</v>
      </c>
      <c r="DM636" t="s">
        <v>170</v>
      </c>
      <c r="DN636" t="s">
        <v>170</v>
      </c>
      <c r="DO636" t="s">
        <v>197</v>
      </c>
      <c r="DP636" t="s">
        <v>169</v>
      </c>
      <c r="DQ636" t="s">
        <v>198</v>
      </c>
      <c r="DY636">
        <v>20.8</v>
      </c>
      <c r="EB636">
        <v>3</v>
      </c>
      <c r="EC636">
        <v>3</v>
      </c>
      <c r="EE636" t="s">
        <v>1630</v>
      </c>
      <c r="EF636">
        <v>4</v>
      </c>
      <c r="EV636">
        <v>10500</v>
      </c>
      <c r="EW636">
        <v>625</v>
      </c>
      <c r="EX636">
        <v>454</v>
      </c>
      <c r="EY636">
        <v>548</v>
      </c>
    </row>
    <row r="637" spans="1:155" x14ac:dyDescent="0.35">
      <c r="A637">
        <v>2025</v>
      </c>
      <c r="B637" t="s">
        <v>279</v>
      </c>
      <c r="C637" t="s">
        <v>279</v>
      </c>
      <c r="D637" t="s">
        <v>1641</v>
      </c>
      <c r="E637" t="s">
        <v>281</v>
      </c>
      <c r="F637">
        <v>404</v>
      </c>
      <c r="G637">
        <v>4</v>
      </c>
      <c r="H637">
        <v>8</v>
      </c>
      <c r="I637" t="s">
        <v>282</v>
      </c>
      <c r="J637">
        <v>13</v>
      </c>
      <c r="K637">
        <v>18</v>
      </c>
      <c r="L637">
        <v>15</v>
      </c>
      <c r="M637">
        <v>16.100000000000001</v>
      </c>
      <c r="N637">
        <v>25.1</v>
      </c>
      <c r="O637">
        <v>19.197600000000001</v>
      </c>
      <c r="P637">
        <v>13.1325</v>
      </c>
      <c r="Q637">
        <v>18.259899999999998</v>
      </c>
      <c r="R637">
        <v>15.0319</v>
      </c>
      <c r="T637" t="s">
        <v>165</v>
      </c>
      <c r="U637" t="s">
        <v>166</v>
      </c>
      <c r="V637" t="s">
        <v>167</v>
      </c>
      <c r="W637" t="s">
        <v>168</v>
      </c>
      <c r="Y637">
        <v>9</v>
      </c>
      <c r="Z637" t="s">
        <v>169</v>
      </c>
      <c r="AA637" t="s">
        <v>170</v>
      </c>
      <c r="AB637" t="s">
        <v>167</v>
      </c>
      <c r="AC637" t="s">
        <v>213</v>
      </c>
      <c r="AD637">
        <v>10</v>
      </c>
      <c r="AG637" t="s">
        <v>214</v>
      </c>
      <c r="AH637" t="s">
        <v>215</v>
      </c>
      <c r="AI637" t="s">
        <v>175</v>
      </c>
      <c r="AJ637" t="s">
        <v>176</v>
      </c>
      <c r="AK637" t="s">
        <v>940</v>
      </c>
      <c r="AL637" t="s">
        <v>941</v>
      </c>
      <c r="AS637">
        <v>4250</v>
      </c>
      <c r="AT637">
        <v>4250</v>
      </c>
      <c r="BN637" t="s">
        <v>338</v>
      </c>
      <c r="BO637">
        <v>2</v>
      </c>
      <c r="BP637">
        <v>2</v>
      </c>
      <c r="BQ637">
        <v>33</v>
      </c>
      <c r="BR637" t="s">
        <v>1497</v>
      </c>
      <c r="BT637" t="s">
        <v>181</v>
      </c>
      <c r="BU637" s="1">
        <v>45443</v>
      </c>
      <c r="BV637">
        <v>34833</v>
      </c>
      <c r="CB637" t="s">
        <v>170</v>
      </c>
      <c r="CC637" t="s">
        <v>170</v>
      </c>
      <c r="CD637" t="s">
        <v>1629</v>
      </c>
      <c r="CE637" t="s">
        <v>169</v>
      </c>
      <c r="CF637" t="s">
        <v>1623</v>
      </c>
      <c r="CG637" t="s">
        <v>169</v>
      </c>
      <c r="CH637" t="s">
        <v>284</v>
      </c>
      <c r="CI637" t="s">
        <v>170</v>
      </c>
      <c r="CK637" t="s">
        <v>233</v>
      </c>
      <c r="CM637">
        <v>1</v>
      </c>
      <c r="CN637" t="s">
        <v>234</v>
      </c>
      <c r="CP637">
        <v>48</v>
      </c>
      <c r="CQ637">
        <v>20</v>
      </c>
      <c r="CR637">
        <v>80</v>
      </c>
      <c r="CS637" t="s">
        <v>235</v>
      </c>
      <c r="CV637" t="s">
        <v>341</v>
      </c>
      <c r="CX637" t="s">
        <v>342</v>
      </c>
      <c r="CY637" t="s">
        <v>170</v>
      </c>
      <c r="DC637" t="s">
        <v>871</v>
      </c>
      <c r="DD637">
        <v>1</v>
      </c>
      <c r="DE637" t="s">
        <v>404</v>
      </c>
      <c r="DF637" t="s">
        <v>872</v>
      </c>
      <c r="DG637">
        <v>16</v>
      </c>
      <c r="DJ637" t="s">
        <v>184</v>
      </c>
      <c r="DK637" t="s">
        <v>185</v>
      </c>
      <c r="DL637" t="s">
        <v>170</v>
      </c>
      <c r="DM637" t="s">
        <v>170</v>
      </c>
      <c r="DN637" t="s">
        <v>170</v>
      </c>
      <c r="DO637" t="s">
        <v>197</v>
      </c>
      <c r="DP637" t="s">
        <v>169</v>
      </c>
      <c r="DQ637" t="s">
        <v>198</v>
      </c>
      <c r="DY637">
        <v>19.3</v>
      </c>
      <c r="EB637">
        <v>2</v>
      </c>
      <c r="EC637">
        <v>2</v>
      </c>
      <c r="EE637" t="s">
        <v>1630</v>
      </c>
      <c r="EF637">
        <v>4</v>
      </c>
      <c r="EV637">
        <v>11750</v>
      </c>
      <c r="EW637">
        <v>672</v>
      </c>
      <c r="EX637">
        <v>485</v>
      </c>
      <c r="EY637">
        <v>588</v>
      </c>
    </row>
    <row r="638" spans="1:155" x14ac:dyDescent="0.35">
      <c r="A638">
        <v>2025</v>
      </c>
      <c r="B638" t="s">
        <v>279</v>
      </c>
      <c r="C638" t="s">
        <v>279</v>
      </c>
      <c r="D638" t="s">
        <v>869</v>
      </c>
      <c r="E638" t="s">
        <v>281</v>
      </c>
      <c r="F638">
        <v>521</v>
      </c>
      <c r="G638">
        <v>3</v>
      </c>
      <c r="H638">
        <v>6</v>
      </c>
      <c r="I638" t="s">
        <v>282</v>
      </c>
      <c r="J638">
        <v>21</v>
      </c>
      <c r="K638">
        <v>31</v>
      </c>
      <c r="L638">
        <v>24</v>
      </c>
      <c r="M638">
        <v>26.6</v>
      </c>
      <c r="N638">
        <v>44.1</v>
      </c>
      <c r="O638">
        <v>32.382599999999996</v>
      </c>
      <c r="P638">
        <v>20.962700000000002</v>
      </c>
      <c r="Q638">
        <v>30.726900000000001</v>
      </c>
      <c r="R638">
        <v>24.4605</v>
      </c>
      <c r="T638" t="s">
        <v>484</v>
      </c>
      <c r="U638" t="s">
        <v>485</v>
      </c>
      <c r="V638" t="s">
        <v>167</v>
      </c>
      <c r="W638" t="s">
        <v>168</v>
      </c>
      <c r="Y638">
        <v>9</v>
      </c>
      <c r="Z638" t="s">
        <v>169</v>
      </c>
      <c r="AA638" t="s">
        <v>170</v>
      </c>
      <c r="AB638" t="s">
        <v>167</v>
      </c>
      <c r="AC638" t="s">
        <v>213</v>
      </c>
      <c r="AD638">
        <v>10</v>
      </c>
      <c r="AG638" t="s">
        <v>214</v>
      </c>
      <c r="AH638" t="s">
        <v>215</v>
      </c>
      <c r="AI638" t="s">
        <v>175</v>
      </c>
      <c r="AJ638" t="s">
        <v>176</v>
      </c>
      <c r="AK638" t="s">
        <v>170</v>
      </c>
      <c r="AL638" t="s">
        <v>177</v>
      </c>
      <c r="AO638">
        <v>112</v>
      </c>
      <c r="AP638">
        <v>13</v>
      </c>
      <c r="AS638">
        <v>2650</v>
      </c>
      <c r="AT638">
        <v>2650</v>
      </c>
      <c r="BN638" t="s">
        <v>338</v>
      </c>
      <c r="BO638">
        <v>2</v>
      </c>
      <c r="BP638">
        <v>2</v>
      </c>
      <c r="BQ638">
        <v>6</v>
      </c>
      <c r="BR638" t="s">
        <v>825</v>
      </c>
      <c r="BS638" t="s">
        <v>180</v>
      </c>
      <c r="BT638" t="s">
        <v>181</v>
      </c>
      <c r="BU638" s="1">
        <v>45505</v>
      </c>
      <c r="BV638">
        <v>35159</v>
      </c>
      <c r="BY638" t="s">
        <v>170</v>
      </c>
      <c r="CB638" t="s">
        <v>170</v>
      </c>
      <c r="CC638" t="s">
        <v>170</v>
      </c>
      <c r="CD638" t="s">
        <v>869</v>
      </c>
      <c r="CE638" t="s">
        <v>170</v>
      </c>
      <c r="CG638" t="s">
        <v>169</v>
      </c>
      <c r="CH638" t="s">
        <v>505</v>
      </c>
      <c r="CI638" t="s">
        <v>169</v>
      </c>
      <c r="CJ638" t="s">
        <v>506</v>
      </c>
      <c r="CK638" t="s">
        <v>233</v>
      </c>
      <c r="CM638">
        <v>1</v>
      </c>
      <c r="CN638" t="s">
        <v>234</v>
      </c>
      <c r="CP638">
        <v>48</v>
      </c>
      <c r="CQ638">
        <v>17.5</v>
      </c>
      <c r="CR638">
        <v>78.2</v>
      </c>
      <c r="CS638" t="s">
        <v>235</v>
      </c>
      <c r="CV638" t="s">
        <v>341</v>
      </c>
      <c r="CX638" t="s">
        <v>342</v>
      </c>
      <c r="CY638" t="s">
        <v>170</v>
      </c>
      <c r="DC638" t="s">
        <v>507</v>
      </c>
      <c r="DD638">
        <v>1</v>
      </c>
      <c r="DE638" t="s">
        <v>404</v>
      </c>
      <c r="DF638" t="s">
        <v>499</v>
      </c>
      <c r="DG638">
        <v>17</v>
      </c>
      <c r="DJ638" t="s">
        <v>184</v>
      </c>
      <c r="DK638" t="s">
        <v>185</v>
      </c>
      <c r="DL638" t="s">
        <v>170</v>
      </c>
      <c r="DM638" t="s">
        <v>170</v>
      </c>
      <c r="DN638" t="s">
        <v>170</v>
      </c>
      <c r="DO638" t="s">
        <v>490</v>
      </c>
      <c r="DP638" t="s">
        <v>169</v>
      </c>
      <c r="DQ638" t="s">
        <v>198</v>
      </c>
      <c r="DR638" t="s">
        <v>869</v>
      </c>
      <c r="DY638">
        <v>32.6</v>
      </c>
      <c r="EB638">
        <v>5</v>
      </c>
      <c r="EC638">
        <v>5</v>
      </c>
      <c r="EE638" t="s">
        <v>509</v>
      </c>
      <c r="EF638">
        <v>7</v>
      </c>
      <c r="EV638">
        <v>3750</v>
      </c>
      <c r="EW638">
        <v>425</v>
      </c>
      <c r="EX638">
        <v>290</v>
      </c>
      <c r="EY638">
        <v>364</v>
      </c>
    </row>
    <row r="639" spans="1:155" x14ac:dyDescent="0.35">
      <c r="A639">
        <v>2025</v>
      </c>
      <c r="B639" t="s">
        <v>279</v>
      </c>
      <c r="C639" t="s">
        <v>279</v>
      </c>
      <c r="D639" t="s">
        <v>870</v>
      </c>
      <c r="E639" t="s">
        <v>281</v>
      </c>
      <c r="F639">
        <v>806</v>
      </c>
      <c r="G639">
        <v>4</v>
      </c>
      <c r="H639">
        <v>8</v>
      </c>
      <c r="I639" t="s">
        <v>282</v>
      </c>
      <c r="J639">
        <v>17</v>
      </c>
      <c r="K639">
        <v>25</v>
      </c>
      <c r="L639">
        <v>20</v>
      </c>
      <c r="M639">
        <v>21.6</v>
      </c>
      <c r="N639">
        <v>38.4</v>
      </c>
      <c r="O639">
        <v>26.8949</v>
      </c>
      <c r="P639">
        <v>16.724799999999998</v>
      </c>
      <c r="Q639">
        <v>25.109100000000002</v>
      </c>
      <c r="R639">
        <v>19.682300000000001</v>
      </c>
      <c r="T639" t="s">
        <v>165</v>
      </c>
      <c r="U639" t="s">
        <v>166</v>
      </c>
      <c r="V639" t="s">
        <v>167</v>
      </c>
      <c r="W639" t="s">
        <v>168</v>
      </c>
      <c r="Y639">
        <v>9</v>
      </c>
      <c r="Z639" t="s">
        <v>169</v>
      </c>
      <c r="AA639" t="s">
        <v>170</v>
      </c>
      <c r="AB639" t="s">
        <v>167</v>
      </c>
      <c r="AC639" t="s">
        <v>213</v>
      </c>
      <c r="AD639">
        <v>10</v>
      </c>
      <c r="AG639" t="s">
        <v>214</v>
      </c>
      <c r="AH639" t="s">
        <v>215</v>
      </c>
      <c r="AI639" t="s">
        <v>175</v>
      </c>
      <c r="AJ639" t="s">
        <v>176</v>
      </c>
      <c r="AK639" t="s">
        <v>170</v>
      </c>
      <c r="AL639" t="s">
        <v>177</v>
      </c>
      <c r="AM639">
        <v>107</v>
      </c>
      <c r="AN639">
        <v>14</v>
      </c>
      <c r="AS639">
        <v>3200</v>
      </c>
      <c r="AT639">
        <v>3200</v>
      </c>
      <c r="BN639" t="s">
        <v>338</v>
      </c>
      <c r="BO639">
        <v>2</v>
      </c>
      <c r="BP639">
        <v>2</v>
      </c>
      <c r="BQ639">
        <v>6</v>
      </c>
      <c r="BR639" t="s">
        <v>825</v>
      </c>
      <c r="BS639" t="s">
        <v>180</v>
      </c>
      <c r="BT639" t="s">
        <v>225</v>
      </c>
      <c r="BU639" s="1">
        <v>45555</v>
      </c>
      <c r="BV639">
        <v>35619</v>
      </c>
      <c r="BY639" t="s">
        <v>170</v>
      </c>
      <c r="CB639" t="s">
        <v>170</v>
      </c>
      <c r="CC639" t="s">
        <v>170</v>
      </c>
      <c r="CE639" t="s">
        <v>170</v>
      </c>
      <c r="CG639" t="s">
        <v>169</v>
      </c>
      <c r="CH639" t="s">
        <v>284</v>
      </c>
      <c r="CI639" t="s">
        <v>170</v>
      </c>
      <c r="CK639" t="s">
        <v>233</v>
      </c>
      <c r="CM639">
        <v>1</v>
      </c>
      <c r="CN639" t="s">
        <v>234</v>
      </c>
      <c r="CP639">
        <v>48</v>
      </c>
      <c r="CQ639">
        <v>20</v>
      </c>
      <c r="CR639">
        <v>80</v>
      </c>
      <c r="CS639" t="s">
        <v>235</v>
      </c>
      <c r="CV639" t="s">
        <v>341</v>
      </c>
      <c r="CX639" t="s">
        <v>342</v>
      </c>
      <c r="CY639" t="s">
        <v>170</v>
      </c>
      <c r="DC639" t="s">
        <v>871</v>
      </c>
      <c r="DD639">
        <v>1</v>
      </c>
      <c r="DE639" t="s">
        <v>404</v>
      </c>
      <c r="DF639" t="s">
        <v>872</v>
      </c>
      <c r="DG639">
        <v>17</v>
      </c>
      <c r="DJ639" t="s">
        <v>184</v>
      </c>
      <c r="DK639" t="s">
        <v>185</v>
      </c>
      <c r="DL639" t="s">
        <v>170</v>
      </c>
      <c r="DM639" t="s">
        <v>170</v>
      </c>
      <c r="DN639" t="s">
        <v>170</v>
      </c>
      <c r="DO639" t="s">
        <v>197</v>
      </c>
      <c r="DP639" t="s">
        <v>169</v>
      </c>
      <c r="DQ639" t="s">
        <v>198</v>
      </c>
      <c r="DR639" t="s">
        <v>870</v>
      </c>
      <c r="DY639">
        <v>27.1</v>
      </c>
      <c r="EB639">
        <v>4</v>
      </c>
      <c r="EC639">
        <v>4</v>
      </c>
      <c r="EE639" t="s">
        <v>873</v>
      </c>
      <c r="EF639">
        <v>4</v>
      </c>
      <c r="EV639">
        <v>6500</v>
      </c>
      <c r="EW639">
        <v>528</v>
      </c>
      <c r="EX639">
        <v>350</v>
      </c>
      <c r="EY639">
        <v>448</v>
      </c>
    </row>
    <row r="640" spans="1:155" x14ac:dyDescent="0.35">
      <c r="A640">
        <v>2025</v>
      </c>
      <c r="B640" t="s">
        <v>279</v>
      </c>
      <c r="C640" t="s">
        <v>279</v>
      </c>
      <c r="D640" t="s">
        <v>874</v>
      </c>
      <c r="E640" t="s">
        <v>281</v>
      </c>
      <c r="F640">
        <v>805</v>
      </c>
      <c r="G640">
        <v>4</v>
      </c>
      <c r="H640">
        <v>8</v>
      </c>
      <c r="I640" t="s">
        <v>282</v>
      </c>
      <c r="J640">
        <v>16</v>
      </c>
      <c r="K640">
        <v>27</v>
      </c>
      <c r="L640">
        <v>20</v>
      </c>
      <c r="M640">
        <v>20.6</v>
      </c>
      <c r="N640">
        <v>36.9</v>
      </c>
      <c r="O640">
        <v>25.710799999999999</v>
      </c>
      <c r="P640">
        <v>16.0579</v>
      </c>
      <c r="Q640">
        <v>26.700800000000001</v>
      </c>
      <c r="R640">
        <v>19.567799999999998</v>
      </c>
      <c r="T640" t="s">
        <v>165</v>
      </c>
      <c r="U640" t="s">
        <v>166</v>
      </c>
      <c r="V640" t="s">
        <v>167</v>
      </c>
      <c r="W640" t="s">
        <v>168</v>
      </c>
      <c r="Y640">
        <v>9</v>
      </c>
      <c r="Z640" t="s">
        <v>169</v>
      </c>
      <c r="AA640" t="s">
        <v>170</v>
      </c>
      <c r="AB640" t="s">
        <v>167</v>
      </c>
      <c r="AC640" t="s">
        <v>213</v>
      </c>
      <c r="AD640">
        <v>10</v>
      </c>
      <c r="AG640" t="s">
        <v>214</v>
      </c>
      <c r="AH640" t="s">
        <v>215</v>
      </c>
      <c r="AI640" t="s">
        <v>175</v>
      </c>
      <c r="AJ640" t="s">
        <v>176</v>
      </c>
      <c r="AK640" t="s">
        <v>170</v>
      </c>
      <c r="AL640" t="s">
        <v>177</v>
      </c>
      <c r="AO640">
        <v>115</v>
      </c>
      <c r="AP640">
        <v>12</v>
      </c>
      <c r="AS640">
        <v>3200</v>
      </c>
      <c r="AT640">
        <v>3200</v>
      </c>
      <c r="BN640" t="s">
        <v>338</v>
      </c>
      <c r="BO640">
        <v>2</v>
      </c>
      <c r="BP640">
        <v>2</v>
      </c>
      <c r="BQ640">
        <v>6</v>
      </c>
      <c r="BR640" t="s">
        <v>825</v>
      </c>
      <c r="BS640" t="s">
        <v>180</v>
      </c>
      <c r="BT640" t="s">
        <v>225</v>
      </c>
      <c r="BU640" s="1">
        <v>45555</v>
      </c>
      <c r="BV640">
        <v>35618</v>
      </c>
      <c r="BY640" t="s">
        <v>170</v>
      </c>
      <c r="CB640" t="s">
        <v>170</v>
      </c>
      <c r="CC640" t="s">
        <v>170</v>
      </c>
      <c r="CE640" t="s">
        <v>170</v>
      </c>
      <c r="CG640" t="s">
        <v>169</v>
      </c>
      <c r="CH640" t="s">
        <v>284</v>
      </c>
      <c r="CI640" t="s">
        <v>170</v>
      </c>
      <c r="CK640" t="s">
        <v>233</v>
      </c>
      <c r="CM640">
        <v>1</v>
      </c>
      <c r="CN640" t="s">
        <v>234</v>
      </c>
      <c r="CP640">
        <v>48</v>
      </c>
      <c r="CQ640">
        <v>20</v>
      </c>
      <c r="CR640">
        <v>80</v>
      </c>
      <c r="CS640" t="s">
        <v>235</v>
      </c>
      <c r="CV640" t="s">
        <v>341</v>
      </c>
      <c r="CX640" t="s">
        <v>342</v>
      </c>
      <c r="CY640" t="s">
        <v>170</v>
      </c>
      <c r="DC640" t="s">
        <v>871</v>
      </c>
      <c r="DD640">
        <v>1</v>
      </c>
      <c r="DE640" t="s">
        <v>404</v>
      </c>
      <c r="DF640" t="s">
        <v>872</v>
      </c>
      <c r="DG640">
        <v>17</v>
      </c>
      <c r="DJ640" t="s">
        <v>184</v>
      </c>
      <c r="DK640" t="s">
        <v>185</v>
      </c>
      <c r="DL640" t="s">
        <v>170</v>
      </c>
      <c r="DM640" t="s">
        <v>170</v>
      </c>
      <c r="DN640" t="s">
        <v>170</v>
      </c>
      <c r="DO640" t="s">
        <v>197</v>
      </c>
      <c r="DP640" t="s">
        <v>169</v>
      </c>
      <c r="DQ640" t="s">
        <v>198</v>
      </c>
      <c r="DR640" t="s">
        <v>874</v>
      </c>
      <c r="DY640">
        <v>25.9</v>
      </c>
      <c r="EB640">
        <v>4</v>
      </c>
      <c r="EC640">
        <v>4</v>
      </c>
      <c r="EE640" t="s">
        <v>873</v>
      </c>
      <c r="EF640">
        <v>4</v>
      </c>
      <c r="EV640">
        <v>6500</v>
      </c>
      <c r="EW640">
        <v>549</v>
      </c>
      <c r="EX640">
        <v>330</v>
      </c>
      <c r="EY640">
        <v>451</v>
      </c>
    </row>
    <row r="641" spans="1:155" x14ac:dyDescent="0.35">
      <c r="A641">
        <v>2025</v>
      </c>
      <c r="B641" t="s">
        <v>279</v>
      </c>
      <c r="C641" t="s">
        <v>279</v>
      </c>
      <c r="D641" t="s">
        <v>875</v>
      </c>
      <c r="E641" t="s">
        <v>281</v>
      </c>
      <c r="F641">
        <v>807</v>
      </c>
      <c r="G641">
        <v>6</v>
      </c>
      <c r="H641">
        <v>12</v>
      </c>
      <c r="I641" t="s">
        <v>282</v>
      </c>
      <c r="J641">
        <v>12</v>
      </c>
      <c r="K641">
        <v>20</v>
      </c>
      <c r="L641">
        <v>15</v>
      </c>
      <c r="M641">
        <v>14.5</v>
      </c>
      <c r="N641">
        <v>28.1</v>
      </c>
      <c r="O641">
        <v>18.537299999999998</v>
      </c>
      <c r="P641">
        <v>11.8909</v>
      </c>
      <c r="Q641">
        <v>20.300999999999998</v>
      </c>
      <c r="R641">
        <v>14.615600000000001</v>
      </c>
      <c r="S641" t="s">
        <v>210</v>
      </c>
      <c r="T641" t="s">
        <v>165</v>
      </c>
      <c r="U641" t="s">
        <v>166</v>
      </c>
      <c r="V641" t="s">
        <v>167</v>
      </c>
      <c r="W641" t="s">
        <v>168</v>
      </c>
      <c r="Y641">
        <v>9</v>
      </c>
      <c r="Z641" t="s">
        <v>169</v>
      </c>
      <c r="AA641" t="s">
        <v>170</v>
      </c>
      <c r="AB641" t="s">
        <v>167</v>
      </c>
      <c r="AC641" t="s">
        <v>213</v>
      </c>
      <c r="AD641">
        <v>10</v>
      </c>
      <c r="AG641" t="s">
        <v>214</v>
      </c>
      <c r="AH641" t="s">
        <v>215</v>
      </c>
      <c r="AI641" t="s">
        <v>175</v>
      </c>
      <c r="AJ641" t="s">
        <v>176</v>
      </c>
      <c r="AK641" t="s">
        <v>170</v>
      </c>
      <c r="AL641" t="s">
        <v>177</v>
      </c>
      <c r="AO641">
        <v>115</v>
      </c>
      <c r="AP641">
        <v>12</v>
      </c>
      <c r="AS641">
        <v>4250</v>
      </c>
      <c r="AT641">
        <v>4250</v>
      </c>
      <c r="BO641">
        <v>2</v>
      </c>
      <c r="BP641">
        <v>1</v>
      </c>
      <c r="BQ641">
        <v>6</v>
      </c>
      <c r="BR641" t="s">
        <v>825</v>
      </c>
      <c r="BS641" t="s">
        <v>180</v>
      </c>
      <c r="BT641" t="s">
        <v>181</v>
      </c>
      <c r="BU641" s="1">
        <v>45527</v>
      </c>
      <c r="BV641">
        <v>35422</v>
      </c>
      <c r="BY641" t="s">
        <v>170</v>
      </c>
      <c r="CB641" t="s">
        <v>170</v>
      </c>
      <c r="CC641" t="s">
        <v>170</v>
      </c>
      <c r="CD641" t="s">
        <v>876</v>
      </c>
      <c r="CE641" t="s">
        <v>170</v>
      </c>
      <c r="CG641" t="s">
        <v>169</v>
      </c>
      <c r="CH641" t="s">
        <v>284</v>
      </c>
      <c r="CI641" t="s">
        <v>170</v>
      </c>
      <c r="DJ641" t="s">
        <v>449</v>
      </c>
      <c r="DK641" t="s">
        <v>450</v>
      </c>
      <c r="DN641" t="s">
        <v>170</v>
      </c>
      <c r="DO641" t="s">
        <v>877</v>
      </c>
      <c r="DP641" t="s">
        <v>169</v>
      </c>
      <c r="DQ641" t="s">
        <v>198</v>
      </c>
      <c r="DY641">
        <v>18.7</v>
      </c>
      <c r="EB641">
        <v>2</v>
      </c>
      <c r="EC641">
        <v>2</v>
      </c>
      <c r="EE641" t="s">
        <v>878</v>
      </c>
      <c r="EF641">
        <v>2</v>
      </c>
      <c r="EV641">
        <v>11750</v>
      </c>
      <c r="EW641">
        <v>741</v>
      </c>
      <c r="EX641">
        <v>435</v>
      </c>
      <c r="EY641">
        <v>603</v>
      </c>
    </row>
    <row r="642" spans="1:155" x14ac:dyDescent="0.35">
      <c r="A642">
        <v>2025</v>
      </c>
      <c r="B642" t="s">
        <v>189</v>
      </c>
      <c r="C642" t="s">
        <v>349</v>
      </c>
      <c r="D642" t="s">
        <v>350</v>
      </c>
      <c r="E642" t="s">
        <v>191</v>
      </c>
      <c r="F642">
        <v>37</v>
      </c>
      <c r="G642">
        <v>2</v>
      </c>
      <c r="H642">
        <v>4</v>
      </c>
      <c r="I642" t="s">
        <v>209</v>
      </c>
      <c r="J642">
        <v>27</v>
      </c>
      <c r="K642">
        <v>37</v>
      </c>
      <c r="L642">
        <v>30</v>
      </c>
      <c r="M642">
        <v>34.786499999999997</v>
      </c>
      <c r="N642">
        <v>53.770600000000002</v>
      </c>
      <c r="O642">
        <v>41.357100000000003</v>
      </c>
      <c r="P642">
        <v>26.709299999999999</v>
      </c>
      <c r="Q642">
        <v>36.676400000000001</v>
      </c>
      <c r="R642">
        <v>30.430700000000002</v>
      </c>
      <c r="T642" t="s">
        <v>165</v>
      </c>
      <c r="U642" t="s">
        <v>166</v>
      </c>
      <c r="V642" t="s">
        <v>211</v>
      </c>
      <c r="W642" t="s">
        <v>212</v>
      </c>
      <c r="Y642">
        <v>7</v>
      </c>
      <c r="Z642" t="s">
        <v>170</v>
      </c>
      <c r="AA642" t="s">
        <v>170</v>
      </c>
      <c r="AB642" t="s">
        <v>351</v>
      </c>
      <c r="AC642" t="s">
        <v>352</v>
      </c>
      <c r="AD642">
        <v>10</v>
      </c>
      <c r="AG642" t="s">
        <v>173</v>
      </c>
      <c r="AH642" t="s">
        <v>174</v>
      </c>
      <c r="AI642" t="s">
        <v>175</v>
      </c>
      <c r="AJ642" t="s">
        <v>176</v>
      </c>
      <c r="AK642" t="s">
        <v>170</v>
      </c>
      <c r="AL642" t="s">
        <v>177</v>
      </c>
      <c r="AM642">
        <v>77</v>
      </c>
      <c r="AN642">
        <v>5</v>
      </c>
      <c r="AS642">
        <v>2100</v>
      </c>
      <c r="AT642">
        <v>2100</v>
      </c>
      <c r="BN642" t="s">
        <v>265</v>
      </c>
      <c r="BO642">
        <v>2</v>
      </c>
      <c r="BP642">
        <v>2</v>
      </c>
      <c r="BQ642">
        <v>2</v>
      </c>
      <c r="BR642" t="s">
        <v>321</v>
      </c>
      <c r="BS642" t="s">
        <v>180</v>
      </c>
      <c r="BT642" t="s">
        <v>181</v>
      </c>
      <c r="BU642" s="1">
        <v>45590</v>
      </c>
      <c r="BV642">
        <v>35743</v>
      </c>
      <c r="BX642" t="s">
        <v>169</v>
      </c>
      <c r="BY642" t="s">
        <v>170</v>
      </c>
      <c r="CB642" t="s">
        <v>170</v>
      </c>
      <c r="CC642" t="s">
        <v>170</v>
      </c>
      <c r="CE642" t="s">
        <v>170</v>
      </c>
      <c r="CF642">
        <v>2</v>
      </c>
      <c r="CG642" t="s">
        <v>169</v>
      </c>
      <c r="CH642" t="s">
        <v>195</v>
      </c>
      <c r="CI642" t="s">
        <v>169</v>
      </c>
      <c r="CJ642" t="s">
        <v>196</v>
      </c>
      <c r="DJ642" t="s">
        <v>267</v>
      </c>
      <c r="DK642" t="s">
        <v>268</v>
      </c>
      <c r="DN642" t="s">
        <v>170</v>
      </c>
      <c r="DO642" t="s">
        <v>197</v>
      </c>
      <c r="DP642" t="s">
        <v>169</v>
      </c>
      <c r="DQ642" t="s">
        <v>198</v>
      </c>
      <c r="DY642">
        <v>41.6</v>
      </c>
      <c r="EB642">
        <v>6</v>
      </c>
      <c r="EC642">
        <v>6</v>
      </c>
      <c r="EE642" t="s">
        <v>353</v>
      </c>
      <c r="EF642">
        <v>6</v>
      </c>
      <c r="EV642">
        <v>1000</v>
      </c>
      <c r="EW642">
        <v>327</v>
      </c>
      <c r="EX642">
        <v>238</v>
      </c>
      <c r="EY642">
        <v>287</v>
      </c>
    </row>
    <row r="643" spans="1:155" x14ac:dyDescent="0.35">
      <c r="A643">
        <v>2025</v>
      </c>
      <c r="B643" t="s">
        <v>189</v>
      </c>
      <c r="C643" t="s">
        <v>349</v>
      </c>
      <c r="D643" t="s">
        <v>512</v>
      </c>
      <c r="E643" t="s">
        <v>191</v>
      </c>
      <c r="F643">
        <v>33</v>
      </c>
      <c r="G643">
        <v>2</v>
      </c>
      <c r="H643">
        <v>4</v>
      </c>
      <c r="I643" t="s">
        <v>209</v>
      </c>
      <c r="J643">
        <v>28</v>
      </c>
      <c r="K643">
        <v>39</v>
      </c>
      <c r="L643">
        <v>32</v>
      </c>
      <c r="M643">
        <v>36.1661</v>
      </c>
      <c r="N643">
        <v>57.817900000000002</v>
      </c>
      <c r="O643">
        <v>43.495899999999999</v>
      </c>
      <c r="P643">
        <v>27.648800000000001</v>
      </c>
      <c r="Q643">
        <v>39.092599999999997</v>
      </c>
      <c r="R643">
        <v>31.843599999999999</v>
      </c>
      <c r="T643" t="s">
        <v>165</v>
      </c>
      <c r="U643" t="s">
        <v>166</v>
      </c>
      <c r="V643" t="s">
        <v>211</v>
      </c>
      <c r="W643" t="s">
        <v>212</v>
      </c>
      <c r="Y643">
        <v>7</v>
      </c>
      <c r="Z643" t="s">
        <v>170</v>
      </c>
      <c r="AA643" t="s">
        <v>170</v>
      </c>
      <c r="AB643" t="s">
        <v>351</v>
      </c>
      <c r="AC643" t="s">
        <v>352</v>
      </c>
      <c r="AD643">
        <v>10</v>
      </c>
      <c r="AG643" t="s">
        <v>173</v>
      </c>
      <c r="AH643" t="s">
        <v>174</v>
      </c>
      <c r="AI643" t="s">
        <v>175</v>
      </c>
      <c r="AJ643" t="s">
        <v>176</v>
      </c>
      <c r="AK643" t="s">
        <v>170</v>
      </c>
      <c r="AL643" t="s">
        <v>177</v>
      </c>
      <c r="AQ643">
        <v>81</v>
      </c>
      <c r="AR643">
        <v>13</v>
      </c>
      <c r="AS643">
        <v>2000</v>
      </c>
      <c r="AT643">
        <v>2000</v>
      </c>
      <c r="BN643" t="s">
        <v>265</v>
      </c>
      <c r="BO643">
        <v>2</v>
      </c>
      <c r="BP643">
        <v>2</v>
      </c>
      <c r="BQ643">
        <v>3</v>
      </c>
      <c r="BR643" t="s">
        <v>387</v>
      </c>
      <c r="BS643" t="s">
        <v>180</v>
      </c>
      <c r="BT643" t="s">
        <v>181</v>
      </c>
      <c r="BU643" s="1">
        <v>45485</v>
      </c>
      <c r="BV643">
        <v>35078</v>
      </c>
      <c r="BX643" t="s">
        <v>169</v>
      </c>
      <c r="BY643" t="s">
        <v>170</v>
      </c>
      <c r="CB643" t="s">
        <v>170</v>
      </c>
      <c r="CC643" t="s">
        <v>170</v>
      </c>
      <c r="CE643" t="s">
        <v>170</v>
      </c>
      <c r="CF643">
        <v>2</v>
      </c>
      <c r="CG643" t="s">
        <v>169</v>
      </c>
      <c r="CH643" t="s">
        <v>195</v>
      </c>
      <c r="CI643" t="s">
        <v>169</v>
      </c>
      <c r="CJ643" t="s">
        <v>196</v>
      </c>
      <c r="DJ643" t="s">
        <v>267</v>
      </c>
      <c r="DK643" t="s">
        <v>268</v>
      </c>
      <c r="DN643" t="s">
        <v>170</v>
      </c>
      <c r="DO643" t="s">
        <v>197</v>
      </c>
      <c r="DP643" t="s">
        <v>169</v>
      </c>
      <c r="DQ643" t="s">
        <v>198</v>
      </c>
      <c r="DY643">
        <v>43.8</v>
      </c>
      <c r="EB643">
        <v>6</v>
      </c>
      <c r="EC643">
        <v>6</v>
      </c>
      <c r="EE643" t="s">
        <v>353</v>
      </c>
      <c r="EF643">
        <v>6</v>
      </c>
      <c r="EV643">
        <v>500</v>
      </c>
      <c r="EW643">
        <v>316</v>
      </c>
      <c r="EX643">
        <v>224</v>
      </c>
      <c r="EY643">
        <v>274</v>
      </c>
    </row>
    <row r="644" spans="1:155" x14ac:dyDescent="0.35">
      <c r="A644">
        <v>2025</v>
      </c>
      <c r="B644" t="s">
        <v>189</v>
      </c>
      <c r="C644" t="s">
        <v>349</v>
      </c>
      <c r="D644" t="s">
        <v>622</v>
      </c>
      <c r="E644" t="s">
        <v>191</v>
      </c>
      <c r="F644">
        <v>35</v>
      </c>
      <c r="G644">
        <v>2</v>
      </c>
      <c r="H644">
        <v>4</v>
      </c>
      <c r="I644" t="s">
        <v>209</v>
      </c>
      <c r="J644">
        <v>28</v>
      </c>
      <c r="K644">
        <v>39</v>
      </c>
      <c r="L644">
        <v>32</v>
      </c>
      <c r="M644">
        <v>36.326700000000002</v>
      </c>
      <c r="N644">
        <v>57.7791</v>
      </c>
      <c r="O644">
        <v>43.613500000000002</v>
      </c>
      <c r="P644">
        <v>27.7576</v>
      </c>
      <c r="Q644">
        <v>39.069699999999997</v>
      </c>
      <c r="R644">
        <v>31.916</v>
      </c>
      <c r="T644" t="s">
        <v>165</v>
      </c>
      <c r="U644" t="s">
        <v>166</v>
      </c>
      <c r="V644" t="s">
        <v>211</v>
      </c>
      <c r="W644" t="s">
        <v>212</v>
      </c>
      <c r="Y644">
        <v>7</v>
      </c>
      <c r="Z644" t="s">
        <v>170</v>
      </c>
      <c r="AA644" t="s">
        <v>170</v>
      </c>
      <c r="AB644" t="s">
        <v>351</v>
      </c>
      <c r="AC644" t="s">
        <v>352</v>
      </c>
      <c r="AD644">
        <v>10</v>
      </c>
      <c r="AG644" t="s">
        <v>173</v>
      </c>
      <c r="AH644" t="s">
        <v>174</v>
      </c>
      <c r="AI644" t="s">
        <v>175</v>
      </c>
      <c r="AJ644" t="s">
        <v>176</v>
      </c>
      <c r="AK644" t="s">
        <v>170</v>
      </c>
      <c r="AL644" t="s">
        <v>177</v>
      </c>
      <c r="AQ644">
        <v>84</v>
      </c>
      <c r="AR644">
        <v>17</v>
      </c>
      <c r="AS644">
        <v>2000</v>
      </c>
      <c r="AT644">
        <v>2000</v>
      </c>
      <c r="BN644" t="s">
        <v>265</v>
      </c>
      <c r="BO644">
        <v>2</v>
      </c>
      <c r="BP644">
        <v>2</v>
      </c>
      <c r="BQ644">
        <v>4</v>
      </c>
      <c r="BR644" t="s">
        <v>521</v>
      </c>
      <c r="BS644" t="s">
        <v>180</v>
      </c>
      <c r="BT644" t="s">
        <v>181</v>
      </c>
      <c r="BU644" s="1">
        <v>45646</v>
      </c>
      <c r="BV644">
        <v>36019</v>
      </c>
      <c r="BX644" t="s">
        <v>169</v>
      </c>
      <c r="BY644" t="s">
        <v>170</v>
      </c>
      <c r="CB644" t="s">
        <v>170</v>
      </c>
      <c r="CC644" t="s">
        <v>170</v>
      </c>
      <c r="CE644" t="s">
        <v>170</v>
      </c>
      <c r="CF644">
        <v>2</v>
      </c>
      <c r="CG644" t="s">
        <v>169</v>
      </c>
      <c r="CH644" t="s">
        <v>195</v>
      </c>
      <c r="CI644" t="s">
        <v>169</v>
      </c>
      <c r="CJ644" t="s">
        <v>196</v>
      </c>
      <c r="DJ644" t="s">
        <v>267</v>
      </c>
      <c r="DK644" t="s">
        <v>268</v>
      </c>
      <c r="DN644" t="s">
        <v>170</v>
      </c>
      <c r="DO644" t="s">
        <v>197</v>
      </c>
      <c r="DP644" t="s">
        <v>169</v>
      </c>
      <c r="DQ644" t="s">
        <v>198</v>
      </c>
      <c r="DY644">
        <v>43.9</v>
      </c>
      <c r="EB644">
        <v>6</v>
      </c>
      <c r="EC644">
        <v>6</v>
      </c>
      <c r="EE644" t="s">
        <v>353</v>
      </c>
      <c r="EF644">
        <v>6</v>
      </c>
      <c r="EV644">
        <v>500</v>
      </c>
      <c r="EW644">
        <v>318</v>
      </c>
      <c r="EX644">
        <v>225</v>
      </c>
      <c r="EY644">
        <v>276</v>
      </c>
    </row>
    <row r="645" spans="1:155" x14ac:dyDescent="0.35">
      <c r="A645">
        <v>2025</v>
      </c>
      <c r="B645" t="s">
        <v>189</v>
      </c>
      <c r="C645" t="s">
        <v>349</v>
      </c>
      <c r="D645" t="s">
        <v>354</v>
      </c>
      <c r="E645" t="s">
        <v>191</v>
      </c>
      <c r="F645">
        <v>59</v>
      </c>
      <c r="G645">
        <v>2</v>
      </c>
      <c r="H645">
        <v>4</v>
      </c>
      <c r="I645" t="s">
        <v>209</v>
      </c>
      <c r="J645">
        <v>26</v>
      </c>
      <c r="K645">
        <v>36</v>
      </c>
      <c r="L645">
        <v>30</v>
      </c>
      <c r="M645">
        <v>34.426699999999997</v>
      </c>
      <c r="N645">
        <v>52.198900000000002</v>
      </c>
      <c r="O645">
        <v>40.6556</v>
      </c>
      <c r="P645">
        <v>26.462900000000001</v>
      </c>
      <c r="Q645">
        <v>35.726599999999998</v>
      </c>
      <c r="R645">
        <v>29.958600000000001</v>
      </c>
      <c r="T645" t="s">
        <v>165</v>
      </c>
      <c r="U645" t="s">
        <v>166</v>
      </c>
      <c r="V645" t="s">
        <v>211</v>
      </c>
      <c r="W645" t="s">
        <v>212</v>
      </c>
      <c r="Y645">
        <v>7</v>
      </c>
      <c r="Z645" t="s">
        <v>170</v>
      </c>
      <c r="AA645" t="s">
        <v>170</v>
      </c>
      <c r="AB645" t="s">
        <v>351</v>
      </c>
      <c r="AC645" t="s">
        <v>352</v>
      </c>
      <c r="AD645">
        <v>10</v>
      </c>
      <c r="AG645" t="s">
        <v>173</v>
      </c>
      <c r="AH645" t="s">
        <v>174</v>
      </c>
      <c r="AI645" t="s">
        <v>175</v>
      </c>
      <c r="AJ645" t="s">
        <v>176</v>
      </c>
      <c r="AK645" t="s">
        <v>170</v>
      </c>
      <c r="AL645" t="s">
        <v>177</v>
      </c>
      <c r="AM645">
        <v>77</v>
      </c>
      <c r="AN645">
        <v>5</v>
      </c>
      <c r="AS645">
        <v>2100</v>
      </c>
      <c r="AT645">
        <v>2100</v>
      </c>
      <c r="BN645" t="s">
        <v>265</v>
      </c>
      <c r="BO645">
        <v>2</v>
      </c>
      <c r="BP645">
        <v>2</v>
      </c>
      <c r="BQ645">
        <v>2</v>
      </c>
      <c r="BR645" t="s">
        <v>321</v>
      </c>
      <c r="BS645" t="s">
        <v>180</v>
      </c>
      <c r="BT645" t="s">
        <v>181</v>
      </c>
      <c r="BU645" s="1">
        <v>45590</v>
      </c>
      <c r="BV645">
        <v>35744</v>
      </c>
      <c r="BX645" t="s">
        <v>169</v>
      </c>
      <c r="BY645" t="s">
        <v>170</v>
      </c>
      <c r="CB645" t="s">
        <v>170</v>
      </c>
      <c r="CC645" t="s">
        <v>170</v>
      </c>
      <c r="CE645" t="s">
        <v>170</v>
      </c>
      <c r="CG645" t="s">
        <v>169</v>
      </c>
      <c r="CH645" t="s">
        <v>195</v>
      </c>
      <c r="CI645" t="s">
        <v>169</v>
      </c>
      <c r="CJ645" t="s">
        <v>196</v>
      </c>
      <c r="DJ645" t="s">
        <v>267</v>
      </c>
      <c r="DK645" t="s">
        <v>268</v>
      </c>
      <c r="DN645" t="s">
        <v>170</v>
      </c>
      <c r="DO645" t="s">
        <v>197</v>
      </c>
      <c r="DP645" t="s">
        <v>169</v>
      </c>
      <c r="DQ645" t="s">
        <v>198</v>
      </c>
      <c r="DY645">
        <v>40.9</v>
      </c>
      <c r="EB645">
        <v>6</v>
      </c>
      <c r="EC645">
        <v>6</v>
      </c>
      <c r="EE645" t="s">
        <v>353</v>
      </c>
      <c r="EF645">
        <v>6</v>
      </c>
      <c r="EV645">
        <v>1000</v>
      </c>
      <c r="EW645">
        <v>330</v>
      </c>
      <c r="EX645">
        <v>245</v>
      </c>
      <c r="EY645">
        <v>292</v>
      </c>
    </row>
    <row r="646" spans="1:155" x14ac:dyDescent="0.35">
      <c r="A646">
        <v>2025</v>
      </c>
      <c r="B646" t="s">
        <v>189</v>
      </c>
      <c r="C646" t="s">
        <v>349</v>
      </c>
      <c r="D646" t="s">
        <v>513</v>
      </c>
      <c r="E646" t="s">
        <v>191</v>
      </c>
      <c r="F646">
        <v>55</v>
      </c>
      <c r="G646">
        <v>2</v>
      </c>
      <c r="H646">
        <v>4</v>
      </c>
      <c r="I646" t="s">
        <v>209</v>
      </c>
      <c r="J646">
        <v>28</v>
      </c>
      <c r="K646">
        <v>39</v>
      </c>
      <c r="L646">
        <v>32</v>
      </c>
      <c r="M646">
        <v>36.155099999999997</v>
      </c>
      <c r="N646">
        <v>57.140099999999997</v>
      </c>
      <c r="O646">
        <v>43.313200000000002</v>
      </c>
      <c r="P646">
        <v>27.641300000000001</v>
      </c>
      <c r="Q646">
        <v>38.690899999999999</v>
      </c>
      <c r="R646">
        <v>31.717400000000001</v>
      </c>
      <c r="T646" t="s">
        <v>165</v>
      </c>
      <c r="U646" t="s">
        <v>166</v>
      </c>
      <c r="V646" t="s">
        <v>211</v>
      </c>
      <c r="W646" t="s">
        <v>212</v>
      </c>
      <c r="Y646">
        <v>7</v>
      </c>
      <c r="Z646" t="s">
        <v>170</v>
      </c>
      <c r="AA646" t="s">
        <v>170</v>
      </c>
      <c r="AB646" t="s">
        <v>351</v>
      </c>
      <c r="AC646" t="s">
        <v>352</v>
      </c>
      <c r="AD646">
        <v>10</v>
      </c>
      <c r="AG646" t="s">
        <v>173</v>
      </c>
      <c r="AH646" t="s">
        <v>174</v>
      </c>
      <c r="AI646" t="s">
        <v>175</v>
      </c>
      <c r="AJ646" t="s">
        <v>176</v>
      </c>
      <c r="AK646" t="s">
        <v>170</v>
      </c>
      <c r="AL646" t="s">
        <v>177</v>
      </c>
      <c r="AQ646">
        <v>81</v>
      </c>
      <c r="AR646">
        <v>13</v>
      </c>
      <c r="AS646">
        <v>2000</v>
      </c>
      <c r="AT646">
        <v>2000</v>
      </c>
      <c r="BN646" t="s">
        <v>265</v>
      </c>
      <c r="BO646">
        <v>2</v>
      </c>
      <c r="BP646">
        <v>2</v>
      </c>
      <c r="BQ646">
        <v>3</v>
      </c>
      <c r="BR646" t="s">
        <v>387</v>
      </c>
      <c r="BS646" t="s">
        <v>180</v>
      </c>
      <c r="BT646" t="s">
        <v>181</v>
      </c>
      <c r="BU646" s="1">
        <v>45383</v>
      </c>
      <c r="BV646">
        <v>34628</v>
      </c>
      <c r="BX646" t="s">
        <v>170</v>
      </c>
      <c r="BY646" t="s">
        <v>170</v>
      </c>
      <c r="CB646" t="s">
        <v>170</v>
      </c>
      <c r="CC646" t="s">
        <v>170</v>
      </c>
      <c r="CE646" t="s">
        <v>170</v>
      </c>
      <c r="CG646" t="s">
        <v>169</v>
      </c>
      <c r="CH646" t="s">
        <v>195</v>
      </c>
      <c r="CI646" t="s">
        <v>169</v>
      </c>
      <c r="CJ646" t="s">
        <v>196</v>
      </c>
      <c r="DJ646" t="s">
        <v>267</v>
      </c>
      <c r="DK646" t="s">
        <v>268</v>
      </c>
      <c r="DN646" t="s">
        <v>170</v>
      </c>
      <c r="DO646" t="s">
        <v>197</v>
      </c>
      <c r="DP646" t="s">
        <v>169</v>
      </c>
      <c r="DQ646" t="s">
        <v>198</v>
      </c>
      <c r="DY646">
        <v>43.6</v>
      </c>
      <c r="EB646">
        <v>6</v>
      </c>
      <c r="EC646">
        <v>6</v>
      </c>
      <c r="EE646" t="s">
        <v>353</v>
      </c>
      <c r="EF646">
        <v>6</v>
      </c>
      <c r="EV646">
        <v>500</v>
      </c>
      <c r="EW646">
        <v>316</v>
      </c>
      <c r="EX646">
        <v>226</v>
      </c>
      <c r="EY646">
        <v>275</v>
      </c>
    </row>
    <row r="647" spans="1:155" x14ac:dyDescent="0.35">
      <c r="A647">
        <v>2025</v>
      </c>
      <c r="B647" t="s">
        <v>189</v>
      </c>
      <c r="C647" t="s">
        <v>349</v>
      </c>
      <c r="D647" t="s">
        <v>623</v>
      </c>
      <c r="E647" t="s">
        <v>191</v>
      </c>
      <c r="F647">
        <v>57</v>
      </c>
      <c r="G647">
        <v>2</v>
      </c>
      <c r="H647">
        <v>4</v>
      </c>
      <c r="I647" t="s">
        <v>209</v>
      </c>
      <c r="J647">
        <v>28</v>
      </c>
      <c r="K647">
        <v>39</v>
      </c>
      <c r="L647">
        <v>32</v>
      </c>
      <c r="M647">
        <v>36.808999999999997</v>
      </c>
      <c r="N647">
        <v>57.111499999999999</v>
      </c>
      <c r="O647">
        <v>43.8187</v>
      </c>
      <c r="P647">
        <v>28.0838</v>
      </c>
      <c r="Q647">
        <v>38.673999999999999</v>
      </c>
      <c r="R647">
        <v>32.030799999999999</v>
      </c>
      <c r="T647" t="s">
        <v>165</v>
      </c>
      <c r="U647" t="s">
        <v>166</v>
      </c>
      <c r="V647" t="s">
        <v>211</v>
      </c>
      <c r="W647" t="s">
        <v>212</v>
      </c>
      <c r="Y647">
        <v>7</v>
      </c>
      <c r="Z647" t="s">
        <v>170</v>
      </c>
      <c r="AA647" t="s">
        <v>170</v>
      </c>
      <c r="AB647" t="s">
        <v>351</v>
      </c>
      <c r="AC647" t="s">
        <v>352</v>
      </c>
      <c r="AD647">
        <v>10</v>
      </c>
      <c r="AG647" t="s">
        <v>173</v>
      </c>
      <c r="AH647" t="s">
        <v>174</v>
      </c>
      <c r="AI647" t="s">
        <v>175</v>
      </c>
      <c r="AJ647" t="s">
        <v>176</v>
      </c>
      <c r="AK647" t="s">
        <v>170</v>
      </c>
      <c r="AL647" t="s">
        <v>177</v>
      </c>
      <c r="AQ647">
        <v>84</v>
      </c>
      <c r="AR647">
        <v>17</v>
      </c>
      <c r="AS647">
        <v>2000</v>
      </c>
      <c r="AT647">
        <v>2000</v>
      </c>
      <c r="BN647" t="s">
        <v>265</v>
      </c>
      <c r="BO647">
        <v>2</v>
      </c>
      <c r="BP647">
        <v>2</v>
      </c>
      <c r="BQ647">
        <v>4</v>
      </c>
      <c r="BR647" t="s">
        <v>521</v>
      </c>
      <c r="BS647" t="s">
        <v>180</v>
      </c>
      <c r="BT647" t="s">
        <v>181</v>
      </c>
      <c r="BU647" s="1">
        <v>45485</v>
      </c>
      <c r="BV647">
        <v>35077</v>
      </c>
      <c r="BX647" t="s">
        <v>169</v>
      </c>
      <c r="BY647" t="s">
        <v>170</v>
      </c>
      <c r="CB647" t="s">
        <v>170</v>
      </c>
      <c r="CC647" t="s">
        <v>170</v>
      </c>
      <c r="CE647" t="s">
        <v>170</v>
      </c>
      <c r="CG647" t="s">
        <v>169</v>
      </c>
      <c r="CH647" t="s">
        <v>195</v>
      </c>
      <c r="CI647" t="s">
        <v>169</v>
      </c>
      <c r="CJ647" t="s">
        <v>196</v>
      </c>
      <c r="DJ647" t="s">
        <v>267</v>
      </c>
      <c r="DK647" t="s">
        <v>268</v>
      </c>
      <c r="DN647" t="s">
        <v>170</v>
      </c>
      <c r="DO647" t="s">
        <v>197</v>
      </c>
      <c r="DP647" t="s">
        <v>169</v>
      </c>
      <c r="DQ647" t="s">
        <v>198</v>
      </c>
      <c r="DY647">
        <v>44.1</v>
      </c>
      <c r="EB647">
        <v>6</v>
      </c>
      <c r="EC647">
        <v>6</v>
      </c>
      <c r="EE647" t="s">
        <v>353</v>
      </c>
      <c r="EF647">
        <v>6</v>
      </c>
      <c r="EV647">
        <v>500</v>
      </c>
      <c r="EW647">
        <v>311</v>
      </c>
      <c r="EX647">
        <v>226</v>
      </c>
      <c r="EY647">
        <v>273</v>
      </c>
    </row>
    <row r="648" spans="1:155" x14ac:dyDescent="0.35">
      <c r="A648">
        <v>2025</v>
      </c>
      <c r="B648" t="s">
        <v>189</v>
      </c>
      <c r="C648" t="s">
        <v>349</v>
      </c>
      <c r="D648" t="s">
        <v>1394</v>
      </c>
      <c r="E648" t="s">
        <v>191</v>
      </c>
      <c r="F648">
        <v>62</v>
      </c>
      <c r="G648">
        <v>2</v>
      </c>
      <c r="H648">
        <v>4</v>
      </c>
      <c r="I648" t="s">
        <v>209</v>
      </c>
      <c r="J648">
        <v>24</v>
      </c>
      <c r="K648">
        <v>32</v>
      </c>
      <c r="L648">
        <v>27</v>
      </c>
      <c r="M648">
        <v>30.749700000000001</v>
      </c>
      <c r="N648">
        <v>46.444899999999997</v>
      </c>
      <c r="O648">
        <v>36.264400000000002</v>
      </c>
      <c r="P648">
        <v>23.913</v>
      </c>
      <c r="Q648">
        <v>32.192900000000002</v>
      </c>
      <c r="R648">
        <v>27.042899999999999</v>
      </c>
      <c r="T648" t="s">
        <v>165</v>
      </c>
      <c r="U648" t="s">
        <v>166</v>
      </c>
      <c r="V648" t="s">
        <v>211</v>
      </c>
      <c r="W648" t="s">
        <v>212</v>
      </c>
      <c r="Y648">
        <v>7</v>
      </c>
      <c r="Z648" t="s">
        <v>170</v>
      </c>
      <c r="AA648" t="s">
        <v>170</v>
      </c>
      <c r="AB648" t="s">
        <v>167</v>
      </c>
      <c r="AC648" t="s">
        <v>213</v>
      </c>
      <c r="AD648">
        <v>10</v>
      </c>
      <c r="AG648" t="s">
        <v>173</v>
      </c>
      <c r="AH648" t="s">
        <v>174</v>
      </c>
      <c r="AI648" t="s">
        <v>175</v>
      </c>
      <c r="AJ648" t="s">
        <v>176</v>
      </c>
      <c r="AK648" t="s">
        <v>940</v>
      </c>
      <c r="AL648" t="s">
        <v>941</v>
      </c>
      <c r="AS648">
        <v>2350</v>
      </c>
      <c r="AT648">
        <v>2350</v>
      </c>
      <c r="BN648" t="s">
        <v>265</v>
      </c>
      <c r="BO648">
        <v>2</v>
      </c>
      <c r="BP648">
        <v>2</v>
      </c>
      <c r="BQ648">
        <v>31</v>
      </c>
      <c r="BR648" t="s">
        <v>1219</v>
      </c>
      <c r="BT648" t="s">
        <v>181</v>
      </c>
      <c r="BU648" s="1">
        <v>45373</v>
      </c>
      <c r="BV648">
        <v>34523</v>
      </c>
      <c r="BX648" t="s">
        <v>170</v>
      </c>
      <c r="BY648" t="s">
        <v>170</v>
      </c>
      <c r="CB648" t="s">
        <v>170</v>
      </c>
      <c r="CC648" t="s">
        <v>170</v>
      </c>
      <c r="CE648" t="s">
        <v>170</v>
      </c>
      <c r="CG648" t="s">
        <v>169</v>
      </c>
      <c r="CH648" t="s">
        <v>195</v>
      </c>
      <c r="CI648" t="s">
        <v>169</v>
      </c>
      <c r="CJ648" t="s">
        <v>196</v>
      </c>
      <c r="DJ648" t="s">
        <v>267</v>
      </c>
      <c r="DK648" t="s">
        <v>268</v>
      </c>
      <c r="DN648" t="s">
        <v>170</v>
      </c>
      <c r="DO648" t="s">
        <v>197</v>
      </c>
      <c r="DP648" t="s">
        <v>169</v>
      </c>
      <c r="DQ648" t="s">
        <v>198</v>
      </c>
      <c r="DY648">
        <v>36.5</v>
      </c>
      <c r="EB648">
        <v>5</v>
      </c>
      <c r="EC648">
        <v>5</v>
      </c>
      <c r="EE648" t="s">
        <v>353</v>
      </c>
      <c r="EF648">
        <v>6</v>
      </c>
      <c r="EV648">
        <v>2250</v>
      </c>
      <c r="EW648">
        <v>365</v>
      </c>
      <c r="EX648">
        <v>271</v>
      </c>
      <c r="EY648">
        <v>323</v>
      </c>
    </row>
    <row r="649" spans="1:155" x14ac:dyDescent="0.35">
      <c r="A649">
        <v>2025</v>
      </c>
      <c r="B649" t="s">
        <v>189</v>
      </c>
      <c r="C649" t="s">
        <v>349</v>
      </c>
      <c r="D649" t="s">
        <v>355</v>
      </c>
      <c r="E649" t="s">
        <v>191</v>
      </c>
      <c r="F649">
        <v>82</v>
      </c>
      <c r="G649">
        <v>2</v>
      </c>
      <c r="H649">
        <v>4</v>
      </c>
      <c r="I649" t="s">
        <v>209</v>
      </c>
      <c r="J649">
        <v>26</v>
      </c>
      <c r="K649">
        <v>35</v>
      </c>
      <c r="L649">
        <v>30</v>
      </c>
      <c r="M649">
        <v>33.957099999999997</v>
      </c>
      <c r="N649">
        <v>51.708399999999997</v>
      </c>
      <c r="O649">
        <v>40.1614</v>
      </c>
      <c r="P649">
        <v>26.140599999999999</v>
      </c>
      <c r="Q649">
        <v>35.428800000000003</v>
      </c>
      <c r="R649">
        <v>29.637</v>
      </c>
      <c r="T649" t="s">
        <v>165</v>
      </c>
      <c r="U649" t="s">
        <v>166</v>
      </c>
      <c r="V649" t="s">
        <v>211</v>
      </c>
      <c r="W649" t="s">
        <v>212</v>
      </c>
      <c r="Y649">
        <v>7</v>
      </c>
      <c r="Z649" t="s">
        <v>170</v>
      </c>
      <c r="AA649" t="s">
        <v>170</v>
      </c>
      <c r="AB649" t="s">
        <v>351</v>
      </c>
      <c r="AC649" t="s">
        <v>352</v>
      </c>
      <c r="AD649">
        <v>10</v>
      </c>
      <c r="AG649" t="s">
        <v>173</v>
      </c>
      <c r="AH649" t="s">
        <v>174</v>
      </c>
      <c r="AI649" t="s">
        <v>175</v>
      </c>
      <c r="AJ649" t="s">
        <v>176</v>
      </c>
      <c r="AK649" t="s">
        <v>170</v>
      </c>
      <c r="AL649" t="s">
        <v>177</v>
      </c>
      <c r="AM649">
        <v>77</v>
      </c>
      <c r="AN649">
        <v>5</v>
      </c>
      <c r="AS649">
        <v>2100</v>
      </c>
      <c r="AT649">
        <v>2100</v>
      </c>
      <c r="BN649" t="s">
        <v>265</v>
      </c>
      <c r="BO649">
        <v>2</v>
      </c>
      <c r="BP649">
        <v>2</v>
      </c>
      <c r="BQ649">
        <v>2</v>
      </c>
      <c r="BR649" t="s">
        <v>321</v>
      </c>
      <c r="BS649" t="s">
        <v>180</v>
      </c>
      <c r="BT649" t="s">
        <v>181</v>
      </c>
      <c r="BU649" s="1">
        <v>45625</v>
      </c>
      <c r="BV649">
        <v>35842</v>
      </c>
      <c r="BX649" t="s">
        <v>169</v>
      </c>
      <c r="BY649" t="s">
        <v>170</v>
      </c>
      <c r="CB649" t="s">
        <v>170</v>
      </c>
      <c r="CC649" t="s">
        <v>170</v>
      </c>
      <c r="CE649" t="s">
        <v>170</v>
      </c>
      <c r="CG649" t="s">
        <v>169</v>
      </c>
      <c r="CH649" t="s">
        <v>356</v>
      </c>
      <c r="CI649" t="s">
        <v>169</v>
      </c>
      <c r="CJ649" t="s">
        <v>357</v>
      </c>
      <c r="DJ649" t="s">
        <v>267</v>
      </c>
      <c r="DK649" t="s">
        <v>268</v>
      </c>
      <c r="DL649" t="s">
        <v>170</v>
      </c>
      <c r="DM649" t="s">
        <v>170</v>
      </c>
      <c r="DN649" t="s">
        <v>170</v>
      </c>
      <c r="DO649" t="s">
        <v>358</v>
      </c>
      <c r="DP649" t="s">
        <v>169</v>
      </c>
      <c r="DQ649" t="s">
        <v>198</v>
      </c>
      <c r="DY649">
        <v>40.4</v>
      </c>
      <c r="EB649">
        <v>6</v>
      </c>
      <c r="EC649">
        <v>6</v>
      </c>
      <c r="EE649" t="s">
        <v>359</v>
      </c>
      <c r="EF649">
        <v>7</v>
      </c>
      <c r="EV649">
        <v>1000</v>
      </c>
      <c r="EW649">
        <v>335</v>
      </c>
      <c r="EX649">
        <v>247</v>
      </c>
      <c r="EY649">
        <v>296</v>
      </c>
    </row>
    <row r="650" spans="1:155" x14ac:dyDescent="0.35">
      <c r="A650">
        <v>2025</v>
      </c>
      <c r="B650" t="s">
        <v>189</v>
      </c>
      <c r="C650" t="s">
        <v>349</v>
      </c>
      <c r="D650" t="s">
        <v>1395</v>
      </c>
      <c r="E650" t="s">
        <v>191</v>
      </c>
      <c r="F650">
        <v>86</v>
      </c>
      <c r="G650">
        <v>2</v>
      </c>
      <c r="H650">
        <v>4</v>
      </c>
      <c r="I650" t="s">
        <v>209</v>
      </c>
      <c r="J650">
        <v>23</v>
      </c>
      <c r="K650">
        <v>30</v>
      </c>
      <c r="L650">
        <v>26</v>
      </c>
      <c r="M650">
        <v>29.422499999999999</v>
      </c>
      <c r="N650">
        <v>42.634300000000003</v>
      </c>
      <c r="O650">
        <v>34.190300000000001</v>
      </c>
      <c r="P650">
        <v>22.977900000000002</v>
      </c>
      <c r="Q650">
        <v>29.802800000000001</v>
      </c>
      <c r="R650">
        <v>25.617899999999999</v>
      </c>
      <c r="T650" t="s">
        <v>165</v>
      </c>
      <c r="U650" t="s">
        <v>166</v>
      </c>
      <c r="V650" t="s">
        <v>211</v>
      </c>
      <c r="W650" t="s">
        <v>212</v>
      </c>
      <c r="Y650">
        <v>7</v>
      </c>
      <c r="Z650" t="s">
        <v>170</v>
      </c>
      <c r="AA650" t="s">
        <v>170</v>
      </c>
      <c r="AB650" t="s">
        <v>167</v>
      </c>
      <c r="AC650" t="s">
        <v>213</v>
      </c>
      <c r="AD650">
        <v>10</v>
      </c>
      <c r="AG650" t="s">
        <v>173</v>
      </c>
      <c r="AH650" t="s">
        <v>174</v>
      </c>
      <c r="AI650" t="s">
        <v>175</v>
      </c>
      <c r="AJ650" t="s">
        <v>176</v>
      </c>
      <c r="AK650" t="s">
        <v>940</v>
      </c>
      <c r="AL650" t="s">
        <v>941</v>
      </c>
      <c r="AS650">
        <v>2450</v>
      </c>
      <c r="AT650">
        <v>2450</v>
      </c>
      <c r="BN650" t="s">
        <v>265</v>
      </c>
      <c r="BO650">
        <v>2</v>
      </c>
      <c r="BP650">
        <v>2</v>
      </c>
      <c r="BQ650">
        <v>31</v>
      </c>
      <c r="BR650" t="s">
        <v>1219</v>
      </c>
      <c r="BT650" t="s">
        <v>181</v>
      </c>
      <c r="BU650" s="1">
        <v>45373</v>
      </c>
      <c r="BV650">
        <v>34518</v>
      </c>
      <c r="BX650" t="s">
        <v>169</v>
      </c>
      <c r="BY650" t="s">
        <v>170</v>
      </c>
      <c r="CB650" t="s">
        <v>170</v>
      </c>
      <c r="CC650" t="s">
        <v>170</v>
      </c>
      <c r="CE650" t="s">
        <v>170</v>
      </c>
      <c r="CG650" t="s">
        <v>169</v>
      </c>
      <c r="CH650" t="s">
        <v>195</v>
      </c>
      <c r="CI650" t="s">
        <v>169</v>
      </c>
      <c r="CJ650" t="s">
        <v>196</v>
      </c>
      <c r="DJ650" t="s">
        <v>267</v>
      </c>
      <c r="DK650" t="s">
        <v>268</v>
      </c>
      <c r="DN650" t="s">
        <v>170</v>
      </c>
      <c r="DO650" t="s">
        <v>197</v>
      </c>
      <c r="DP650" t="s">
        <v>169</v>
      </c>
      <c r="DQ650" t="s">
        <v>198</v>
      </c>
      <c r="EB650">
        <v>5</v>
      </c>
      <c r="EC650">
        <v>5</v>
      </c>
      <c r="EE650" t="s">
        <v>1250</v>
      </c>
      <c r="EF650">
        <v>5</v>
      </c>
      <c r="EV650">
        <v>2750</v>
      </c>
      <c r="EW650">
        <v>381</v>
      </c>
      <c r="EX650">
        <v>293</v>
      </c>
      <c r="EY650">
        <v>341</v>
      </c>
    </row>
    <row r="651" spans="1:155" x14ac:dyDescent="0.35">
      <c r="A651">
        <v>2025</v>
      </c>
      <c r="B651" t="s">
        <v>189</v>
      </c>
      <c r="C651" t="s">
        <v>349</v>
      </c>
      <c r="D651" t="s">
        <v>514</v>
      </c>
      <c r="E651" t="s">
        <v>191</v>
      </c>
      <c r="F651">
        <v>85</v>
      </c>
      <c r="G651">
        <v>2</v>
      </c>
      <c r="H651">
        <v>4</v>
      </c>
      <c r="I651" t="s">
        <v>209</v>
      </c>
      <c r="J651">
        <v>27</v>
      </c>
      <c r="K651">
        <v>37</v>
      </c>
      <c r="L651">
        <v>30</v>
      </c>
      <c r="M651">
        <v>34.690600000000003</v>
      </c>
      <c r="N651">
        <v>54.016800000000003</v>
      </c>
      <c r="O651">
        <v>41.347700000000003</v>
      </c>
      <c r="P651">
        <v>26.643699999999999</v>
      </c>
      <c r="Q651">
        <v>36.824599999999997</v>
      </c>
      <c r="R651">
        <v>30.429500000000001</v>
      </c>
      <c r="T651" t="s">
        <v>165</v>
      </c>
      <c r="U651" t="s">
        <v>166</v>
      </c>
      <c r="V651" t="s">
        <v>211</v>
      </c>
      <c r="W651" t="s">
        <v>212</v>
      </c>
      <c r="Y651">
        <v>7</v>
      </c>
      <c r="Z651" t="s">
        <v>170</v>
      </c>
      <c r="AA651" t="s">
        <v>170</v>
      </c>
      <c r="AB651" t="s">
        <v>351</v>
      </c>
      <c r="AC651" t="s">
        <v>352</v>
      </c>
      <c r="AD651">
        <v>10</v>
      </c>
      <c r="AG651" t="s">
        <v>173</v>
      </c>
      <c r="AH651" t="s">
        <v>174</v>
      </c>
      <c r="AI651" t="s">
        <v>175</v>
      </c>
      <c r="AJ651" t="s">
        <v>176</v>
      </c>
      <c r="AK651" t="s">
        <v>170</v>
      </c>
      <c r="AL651" t="s">
        <v>177</v>
      </c>
      <c r="AQ651">
        <v>81</v>
      </c>
      <c r="AR651">
        <v>13</v>
      </c>
      <c r="AS651">
        <v>2100</v>
      </c>
      <c r="AT651">
        <v>2100</v>
      </c>
      <c r="BN651" t="s">
        <v>265</v>
      </c>
      <c r="BO651">
        <v>2</v>
      </c>
      <c r="BP651">
        <v>2</v>
      </c>
      <c r="BQ651">
        <v>3</v>
      </c>
      <c r="BR651" t="s">
        <v>387</v>
      </c>
      <c r="BS651" t="s">
        <v>180</v>
      </c>
      <c r="BT651" t="s">
        <v>181</v>
      </c>
      <c r="BU651" s="1">
        <v>45625</v>
      </c>
      <c r="BV651">
        <v>35841</v>
      </c>
      <c r="BX651" t="s">
        <v>170</v>
      </c>
      <c r="BY651" t="s">
        <v>170</v>
      </c>
      <c r="CB651" t="s">
        <v>170</v>
      </c>
      <c r="CC651" t="s">
        <v>170</v>
      </c>
      <c r="CE651" t="s">
        <v>170</v>
      </c>
      <c r="CG651" t="s">
        <v>169</v>
      </c>
      <c r="CH651" t="s">
        <v>356</v>
      </c>
      <c r="CI651" t="s">
        <v>169</v>
      </c>
      <c r="CJ651" t="s">
        <v>357</v>
      </c>
      <c r="DJ651" t="s">
        <v>267</v>
      </c>
      <c r="DK651" t="s">
        <v>268</v>
      </c>
      <c r="DL651" t="s">
        <v>170</v>
      </c>
      <c r="DM651" t="s">
        <v>170</v>
      </c>
      <c r="DN651" t="s">
        <v>170</v>
      </c>
      <c r="DO651" t="s">
        <v>358</v>
      </c>
      <c r="DP651" t="s">
        <v>169</v>
      </c>
      <c r="DQ651" t="s">
        <v>198</v>
      </c>
      <c r="DY651">
        <v>41.6</v>
      </c>
      <c r="EB651">
        <v>6</v>
      </c>
      <c r="EC651">
        <v>6</v>
      </c>
      <c r="EE651" t="s">
        <v>359</v>
      </c>
      <c r="EF651">
        <v>7</v>
      </c>
      <c r="EV651">
        <v>1000</v>
      </c>
      <c r="EW651">
        <v>328</v>
      </c>
      <c r="EX651">
        <v>238</v>
      </c>
      <c r="EY651">
        <v>288</v>
      </c>
    </row>
    <row r="652" spans="1:155" x14ac:dyDescent="0.35">
      <c r="A652">
        <v>2025</v>
      </c>
      <c r="B652" t="s">
        <v>288</v>
      </c>
      <c r="C652" t="s">
        <v>1177</v>
      </c>
      <c r="D652" t="s">
        <v>1178</v>
      </c>
      <c r="E652" t="s">
        <v>291</v>
      </c>
      <c r="F652">
        <v>84</v>
      </c>
      <c r="G652">
        <v>2.5</v>
      </c>
      <c r="H652">
        <v>4</v>
      </c>
      <c r="I652" t="s">
        <v>793</v>
      </c>
      <c r="J652">
        <v>24</v>
      </c>
      <c r="K652">
        <v>31</v>
      </c>
      <c r="L652">
        <v>27</v>
      </c>
      <c r="M652">
        <v>31.7042</v>
      </c>
      <c r="N652">
        <v>44.5794</v>
      </c>
      <c r="O652">
        <v>36.440199999999997</v>
      </c>
      <c r="P652">
        <v>24</v>
      </c>
      <c r="Q652">
        <v>31.027899999999999</v>
      </c>
      <c r="R652">
        <v>27.116199999999999</v>
      </c>
      <c r="U652" t="s">
        <v>224</v>
      </c>
      <c r="V652" t="s">
        <v>463</v>
      </c>
      <c r="W652" t="s">
        <v>464</v>
      </c>
      <c r="Y652">
        <v>8</v>
      </c>
      <c r="Z652" t="s">
        <v>169</v>
      </c>
      <c r="AA652" t="s">
        <v>170</v>
      </c>
      <c r="AB652" t="s">
        <v>351</v>
      </c>
      <c r="AC652" t="s">
        <v>352</v>
      </c>
      <c r="AD652">
        <v>15</v>
      </c>
      <c r="AG652" t="s">
        <v>210</v>
      </c>
      <c r="AH652" t="s">
        <v>444</v>
      </c>
      <c r="AI652" t="s">
        <v>175</v>
      </c>
      <c r="AJ652" t="s">
        <v>176</v>
      </c>
      <c r="AK652" t="s">
        <v>940</v>
      </c>
      <c r="AL652" t="s">
        <v>941</v>
      </c>
      <c r="AS652">
        <v>1950</v>
      </c>
      <c r="AT652">
        <v>1950</v>
      </c>
      <c r="BN652" t="s">
        <v>178</v>
      </c>
      <c r="BO652">
        <v>2</v>
      </c>
      <c r="BP652">
        <v>2</v>
      </c>
      <c r="BQ652">
        <v>30</v>
      </c>
      <c r="BR652" t="s">
        <v>1099</v>
      </c>
      <c r="BT652" t="s">
        <v>181</v>
      </c>
      <c r="BU652" s="1">
        <v>45658</v>
      </c>
      <c r="BV652">
        <v>35966</v>
      </c>
      <c r="BX652" t="s">
        <v>170</v>
      </c>
      <c r="CB652" t="s">
        <v>170</v>
      </c>
      <c r="CC652" t="s">
        <v>170</v>
      </c>
      <c r="CE652" t="s">
        <v>170</v>
      </c>
      <c r="CG652" t="s">
        <v>169</v>
      </c>
      <c r="CH652" t="s">
        <v>1179</v>
      </c>
      <c r="CI652" t="s">
        <v>170</v>
      </c>
      <c r="DJ652" t="s">
        <v>184</v>
      </c>
      <c r="DK652" t="s">
        <v>185</v>
      </c>
      <c r="DN652" t="s">
        <v>170</v>
      </c>
      <c r="DO652" t="s">
        <v>295</v>
      </c>
      <c r="DP652" t="s">
        <v>170</v>
      </c>
      <c r="DQ652" t="s">
        <v>187</v>
      </c>
      <c r="EB652">
        <v>5</v>
      </c>
      <c r="EC652">
        <v>5</v>
      </c>
      <c r="EE652" t="s">
        <v>1180</v>
      </c>
      <c r="EF652">
        <v>5</v>
      </c>
      <c r="EV652">
        <v>250</v>
      </c>
      <c r="EW652">
        <v>370</v>
      </c>
      <c r="EX652">
        <v>287</v>
      </c>
      <c r="EY652">
        <v>333</v>
      </c>
    </row>
    <row r="653" spans="1:155" x14ac:dyDescent="0.35">
      <c r="A653">
        <v>2025</v>
      </c>
      <c r="B653" t="s">
        <v>288</v>
      </c>
      <c r="C653" t="s">
        <v>1177</v>
      </c>
      <c r="D653" t="s">
        <v>1396</v>
      </c>
      <c r="E653" t="s">
        <v>291</v>
      </c>
      <c r="F653">
        <v>85</v>
      </c>
      <c r="G653">
        <v>2.5</v>
      </c>
      <c r="H653">
        <v>4</v>
      </c>
      <c r="I653" t="s">
        <v>793</v>
      </c>
      <c r="J653">
        <v>24</v>
      </c>
      <c r="K653">
        <v>30</v>
      </c>
      <c r="L653">
        <v>26</v>
      </c>
      <c r="M653">
        <v>31.3</v>
      </c>
      <c r="N653">
        <v>43.7</v>
      </c>
      <c r="O653">
        <v>35.881700000000002</v>
      </c>
      <c r="P653">
        <v>24.298400000000001</v>
      </c>
      <c r="Q653">
        <v>30.475300000000001</v>
      </c>
      <c r="R653">
        <v>26</v>
      </c>
      <c r="U653" t="s">
        <v>224</v>
      </c>
      <c r="V653" t="s">
        <v>463</v>
      </c>
      <c r="W653" t="s">
        <v>464</v>
      </c>
      <c r="Y653">
        <v>8</v>
      </c>
      <c r="Z653" t="s">
        <v>169</v>
      </c>
      <c r="AA653" t="s">
        <v>170</v>
      </c>
      <c r="AB653">
        <v>4</v>
      </c>
      <c r="AC653" t="s">
        <v>601</v>
      </c>
      <c r="AD653">
        <v>15</v>
      </c>
      <c r="AG653" t="s">
        <v>210</v>
      </c>
      <c r="AH653" t="s">
        <v>444</v>
      </c>
      <c r="AI653" t="s">
        <v>175</v>
      </c>
      <c r="AJ653" t="s">
        <v>176</v>
      </c>
      <c r="AK653" t="s">
        <v>940</v>
      </c>
      <c r="AL653" t="s">
        <v>941</v>
      </c>
      <c r="AS653">
        <v>2000</v>
      </c>
      <c r="AT653">
        <v>2000</v>
      </c>
      <c r="BN653" t="s">
        <v>178</v>
      </c>
      <c r="BO653">
        <v>2</v>
      </c>
      <c r="BP653">
        <v>2</v>
      </c>
      <c r="BQ653">
        <v>31</v>
      </c>
      <c r="BR653" t="s">
        <v>1219</v>
      </c>
      <c r="BT653" t="s">
        <v>181</v>
      </c>
      <c r="BU653" s="1">
        <v>45658</v>
      </c>
      <c r="BV653">
        <v>35967</v>
      </c>
      <c r="BX653" t="s">
        <v>170</v>
      </c>
      <c r="CB653" t="s">
        <v>170</v>
      </c>
      <c r="CC653" t="s">
        <v>170</v>
      </c>
      <c r="CE653" t="s">
        <v>170</v>
      </c>
      <c r="CG653" t="s">
        <v>169</v>
      </c>
      <c r="CH653" t="s">
        <v>1179</v>
      </c>
      <c r="CI653" t="s">
        <v>170</v>
      </c>
      <c r="DJ653" t="s">
        <v>184</v>
      </c>
      <c r="DK653" t="s">
        <v>185</v>
      </c>
      <c r="DN653" t="s">
        <v>170</v>
      </c>
      <c r="DO653" t="s">
        <v>295</v>
      </c>
      <c r="DP653" t="s">
        <v>170</v>
      </c>
      <c r="DQ653" t="s">
        <v>187</v>
      </c>
      <c r="EB653">
        <v>5</v>
      </c>
      <c r="EC653">
        <v>5</v>
      </c>
      <c r="EE653" t="s">
        <v>1180</v>
      </c>
      <c r="EF653">
        <v>5</v>
      </c>
      <c r="EV653">
        <v>500</v>
      </c>
      <c r="EW653">
        <v>366</v>
      </c>
      <c r="EX653">
        <v>292</v>
      </c>
      <c r="EY653">
        <v>342</v>
      </c>
    </row>
    <row r="654" spans="1:155" x14ac:dyDescent="0.35">
      <c r="A654">
        <v>2025</v>
      </c>
      <c r="B654" t="s">
        <v>1181</v>
      </c>
      <c r="C654" t="s">
        <v>1182</v>
      </c>
      <c r="D654" t="s">
        <v>1183</v>
      </c>
      <c r="E654" t="s">
        <v>1184</v>
      </c>
      <c r="F654">
        <v>230</v>
      </c>
      <c r="G654">
        <v>1.5</v>
      </c>
      <c r="H654">
        <v>4</v>
      </c>
      <c r="I654" t="s">
        <v>793</v>
      </c>
      <c r="J654">
        <v>25</v>
      </c>
      <c r="K654">
        <v>28</v>
      </c>
      <c r="L654">
        <v>26</v>
      </c>
      <c r="M654">
        <v>33.845300000000002</v>
      </c>
      <c r="N654">
        <v>42.5137</v>
      </c>
      <c r="O654">
        <v>37.264400000000002</v>
      </c>
      <c r="P654">
        <v>25</v>
      </c>
      <c r="Q654">
        <v>28.322299999999998</v>
      </c>
      <c r="R654">
        <v>26</v>
      </c>
      <c r="T654" t="s">
        <v>165</v>
      </c>
      <c r="U654" t="s">
        <v>166</v>
      </c>
      <c r="V654" t="s">
        <v>463</v>
      </c>
      <c r="W654" t="s">
        <v>464</v>
      </c>
      <c r="Y654">
        <v>8</v>
      </c>
      <c r="Z654" t="s">
        <v>169</v>
      </c>
      <c r="AA654" t="s">
        <v>170</v>
      </c>
      <c r="AB654" t="s">
        <v>351</v>
      </c>
      <c r="AC654" t="s">
        <v>352</v>
      </c>
      <c r="AD654">
        <v>10</v>
      </c>
      <c r="AG654" t="s">
        <v>210</v>
      </c>
      <c r="AH654" t="s">
        <v>444</v>
      </c>
      <c r="AI654" t="s">
        <v>175</v>
      </c>
      <c r="AJ654" t="s">
        <v>176</v>
      </c>
      <c r="AK654" t="s">
        <v>940</v>
      </c>
      <c r="AL654" t="s">
        <v>941</v>
      </c>
      <c r="AS654">
        <v>2000</v>
      </c>
      <c r="AT654">
        <v>2000</v>
      </c>
      <c r="BN654" t="s">
        <v>178</v>
      </c>
      <c r="BO654">
        <v>2</v>
      </c>
      <c r="BP654">
        <v>2</v>
      </c>
      <c r="BQ654">
        <v>30</v>
      </c>
      <c r="BR654" t="s">
        <v>1099</v>
      </c>
      <c r="BT654" t="s">
        <v>457</v>
      </c>
      <c r="BU654" s="1">
        <v>45597</v>
      </c>
      <c r="BV654">
        <v>35495</v>
      </c>
      <c r="BX654" t="s">
        <v>170</v>
      </c>
      <c r="BY654" t="s">
        <v>170</v>
      </c>
      <c r="CB654" t="s">
        <v>170</v>
      </c>
      <c r="CC654" t="s">
        <v>170</v>
      </c>
      <c r="CE654" t="s">
        <v>170</v>
      </c>
      <c r="CG654" t="s">
        <v>169</v>
      </c>
      <c r="CH654" t="s">
        <v>1185</v>
      </c>
      <c r="CI654" t="s">
        <v>170</v>
      </c>
      <c r="DJ654" t="s">
        <v>184</v>
      </c>
      <c r="DK654" t="s">
        <v>185</v>
      </c>
      <c r="DN654" t="s">
        <v>170</v>
      </c>
      <c r="DO654" t="s">
        <v>197</v>
      </c>
      <c r="DP654" t="s">
        <v>170</v>
      </c>
      <c r="DQ654" t="s">
        <v>187</v>
      </c>
      <c r="DY654">
        <v>37.5</v>
      </c>
      <c r="EB654">
        <v>5</v>
      </c>
      <c r="EC654">
        <v>5</v>
      </c>
      <c r="EE654" t="s">
        <v>1186</v>
      </c>
      <c r="EF654">
        <v>4</v>
      </c>
      <c r="EV654">
        <v>500</v>
      </c>
      <c r="EW654">
        <v>354</v>
      </c>
      <c r="EX654">
        <v>311</v>
      </c>
      <c r="EY654">
        <v>339</v>
      </c>
    </row>
    <row r="655" spans="1:155" x14ac:dyDescent="0.35">
      <c r="A655">
        <v>2025</v>
      </c>
      <c r="B655" t="s">
        <v>1181</v>
      </c>
      <c r="C655" t="s">
        <v>1182</v>
      </c>
      <c r="D655" t="s">
        <v>1397</v>
      </c>
      <c r="E655" t="s">
        <v>1184</v>
      </c>
      <c r="F655">
        <v>231</v>
      </c>
      <c r="G655">
        <v>1.5</v>
      </c>
      <c r="H655">
        <v>4</v>
      </c>
      <c r="I655" t="s">
        <v>793</v>
      </c>
      <c r="J655">
        <v>25</v>
      </c>
      <c r="K655">
        <v>26</v>
      </c>
      <c r="L655">
        <v>25</v>
      </c>
      <c r="M655">
        <v>32.230400000000003</v>
      </c>
      <c r="N655">
        <v>40.899500000000003</v>
      </c>
      <c r="O655">
        <v>35.628799999999998</v>
      </c>
      <c r="P655">
        <v>24.946999999999999</v>
      </c>
      <c r="Q655">
        <v>26</v>
      </c>
      <c r="R655">
        <v>25</v>
      </c>
      <c r="T655" t="s">
        <v>165</v>
      </c>
      <c r="U655" t="s">
        <v>166</v>
      </c>
      <c r="V655" t="s">
        <v>463</v>
      </c>
      <c r="W655" t="s">
        <v>464</v>
      </c>
      <c r="Y655">
        <v>8</v>
      </c>
      <c r="Z655" t="s">
        <v>169</v>
      </c>
      <c r="AA655" t="s">
        <v>170</v>
      </c>
      <c r="AB655">
        <v>4</v>
      </c>
      <c r="AC655" t="s">
        <v>601</v>
      </c>
      <c r="AD655">
        <v>10</v>
      </c>
      <c r="AG655" t="s">
        <v>210</v>
      </c>
      <c r="AH655" t="s">
        <v>444</v>
      </c>
      <c r="AI655" t="s">
        <v>175</v>
      </c>
      <c r="AJ655" t="s">
        <v>176</v>
      </c>
      <c r="AK655" t="s">
        <v>940</v>
      </c>
      <c r="AL655" t="s">
        <v>941</v>
      </c>
      <c r="AS655">
        <v>2100</v>
      </c>
      <c r="AT655">
        <v>2100</v>
      </c>
      <c r="BN655" t="s">
        <v>178</v>
      </c>
      <c r="BO655">
        <v>2</v>
      </c>
      <c r="BP655">
        <v>2</v>
      </c>
      <c r="BQ655">
        <v>31</v>
      </c>
      <c r="BR655" t="s">
        <v>1219</v>
      </c>
      <c r="BT655" t="s">
        <v>457</v>
      </c>
      <c r="BU655" s="1">
        <v>45597</v>
      </c>
      <c r="BV655">
        <v>35497</v>
      </c>
      <c r="BX655" t="s">
        <v>170</v>
      </c>
      <c r="BY655" t="s">
        <v>170</v>
      </c>
      <c r="CB655" t="s">
        <v>170</v>
      </c>
      <c r="CC655" t="s">
        <v>170</v>
      </c>
      <c r="CE655" t="s">
        <v>170</v>
      </c>
      <c r="CG655" t="s">
        <v>169</v>
      </c>
      <c r="CH655" t="s">
        <v>1185</v>
      </c>
      <c r="CI655" t="s">
        <v>170</v>
      </c>
      <c r="DJ655" t="s">
        <v>184</v>
      </c>
      <c r="DK655" t="s">
        <v>185</v>
      </c>
      <c r="DN655" t="s">
        <v>170</v>
      </c>
      <c r="DO655" t="s">
        <v>197</v>
      </c>
      <c r="DP655" t="s">
        <v>170</v>
      </c>
      <c r="DQ655" t="s">
        <v>187</v>
      </c>
      <c r="DY655">
        <v>35.9</v>
      </c>
      <c r="EB655">
        <v>5</v>
      </c>
      <c r="EC655">
        <v>5</v>
      </c>
      <c r="EE655" t="s">
        <v>1186</v>
      </c>
      <c r="EF655">
        <v>4</v>
      </c>
      <c r="EV655">
        <v>1000</v>
      </c>
      <c r="EW655">
        <v>354</v>
      </c>
      <c r="EX655">
        <v>338</v>
      </c>
      <c r="EY655">
        <v>353</v>
      </c>
    </row>
    <row r="656" spans="1:155" x14ac:dyDescent="0.35">
      <c r="A656">
        <v>2025</v>
      </c>
      <c r="B656" t="s">
        <v>1181</v>
      </c>
      <c r="C656" t="s">
        <v>1182</v>
      </c>
      <c r="D656" t="s">
        <v>1398</v>
      </c>
      <c r="E656" t="s">
        <v>1184</v>
      </c>
      <c r="F656">
        <v>233</v>
      </c>
      <c r="G656">
        <v>1.5</v>
      </c>
      <c r="H656">
        <v>4</v>
      </c>
      <c r="I656" t="s">
        <v>793</v>
      </c>
      <c r="J656">
        <v>25</v>
      </c>
      <c r="K656">
        <v>28</v>
      </c>
      <c r="L656">
        <v>26</v>
      </c>
      <c r="M656">
        <v>33.464500000000001</v>
      </c>
      <c r="N656">
        <v>42.291600000000003</v>
      </c>
      <c r="O656">
        <v>36.933399999999999</v>
      </c>
      <c r="P656">
        <v>25</v>
      </c>
      <c r="Q656">
        <v>28.117899999999999</v>
      </c>
      <c r="R656">
        <v>26</v>
      </c>
      <c r="T656" t="s">
        <v>165</v>
      </c>
      <c r="U656" t="s">
        <v>166</v>
      </c>
      <c r="V656" t="s">
        <v>463</v>
      </c>
      <c r="W656" t="s">
        <v>464</v>
      </c>
      <c r="Y656">
        <v>8</v>
      </c>
      <c r="Z656" t="s">
        <v>169</v>
      </c>
      <c r="AA656" t="s">
        <v>170</v>
      </c>
      <c r="AB656">
        <v>4</v>
      </c>
      <c r="AC656" t="s">
        <v>601</v>
      </c>
      <c r="AD656">
        <v>10</v>
      </c>
      <c r="AG656" t="s">
        <v>210</v>
      </c>
      <c r="AH656" t="s">
        <v>444</v>
      </c>
      <c r="AI656" t="s">
        <v>175</v>
      </c>
      <c r="AJ656" t="s">
        <v>176</v>
      </c>
      <c r="AK656" t="s">
        <v>940</v>
      </c>
      <c r="AL656" t="s">
        <v>941</v>
      </c>
      <c r="AS656">
        <v>2000</v>
      </c>
      <c r="AT656">
        <v>2000</v>
      </c>
      <c r="BN656" t="s">
        <v>178</v>
      </c>
      <c r="BO656">
        <v>2</v>
      </c>
      <c r="BP656">
        <v>2</v>
      </c>
      <c r="BQ656">
        <v>31</v>
      </c>
      <c r="BR656" t="s">
        <v>1219</v>
      </c>
      <c r="BT656" t="s">
        <v>457</v>
      </c>
      <c r="BU656" s="1">
        <v>45597</v>
      </c>
      <c r="BV656">
        <v>35498</v>
      </c>
      <c r="BX656" t="s">
        <v>169</v>
      </c>
      <c r="BY656" t="s">
        <v>170</v>
      </c>
      <c r="CB656" t="s">
        <v>170</v>
      </c>
      <c r="CC656" t="s">
        <v>170</v>
      </c>
      <c r="CE656" t="s">
        <v>170</v>
      </c>
      <c r="CG656" t="s">
        <v>169</v>
      </c>
      <c r="CH656" t="s">
        <v>1185</v>
      </c>
      <c r="CI656" t="s">
        <v>170</v>
      </c>
      <c r="DJ656" t="s">
        <v>184</v>
      </c>
      <c r="DK656" t="s">
        <v>185</v>
      </c>
      <c r="DN656" t="s">
        <v>170</v>
      </c>
      <c r="DO656" t="s">
        <v>197</v>
      </c>
      <c r="DP656" t="s">
        <v>170</v>
      </c>
      <c r="DQ656" t="s">
        <v>187</v>
      </c>
      <c r="DY656">
        <v>37.200000000000003</v>
      </c>
      <c r="EB656">
        <v>5</v>
      </c>
      <c r="EC656">
        <v>5</v>
      </c>
      <c r="EE656" t="s">
        <v>1186</v>
      </c>
      <c r="EF656">
        <v>4</v>
      </c>
      <c r="EV656">
        <v>500</v>
      </c>
      <c r="EW656">
        <v>354</v>
      </c>
      <c r="EX656">
        <v>312</v>
      </c>
      <c r="EY656">
        <v>339</v>
      </c>
    </row>
    <row r="657" spans="1:155" x14ac:dyDescent="0.35">
      <c r="A657">
        <v>2025</v>
      </c>
      <c r="B657" t="s">
        <v>1181</v>
      </c>
      <c r="C657" t="s">
        <v>1182</v>
      </c>
      <c r="D657" t="s">
        <v>1399</v>
      </c>
      <c r="E657" t="s">
        <v>1184</v>
      </c>
      <c r="F657">
        <v>224</v>
      </c>
      <c r="G657">
        <v>2</v>
      </c>
      <c r="H657">
        <v>4</v>
      </c>
      <c r="I657" t="s">
        <v>594</v>
      </c>
      <c r="J657">
        <v>23</v>
      </c>
      <c r="K657">
        <v>29</v>
      </c>
      <c r="L657">
        <v>26</v>
      </c>
      <c r="M657">
        <v>30.1356</v>
      </c>
      <c r="N657">
        <v>41.816899999999997</v>
      </c>
      <c r="O657">
        <v>34.468400000000003</v>
      </c>
      <c r="P657">
        <v>23.481300000000001</v>
      </c>
      <c r="Q657">
        <v>29.284800000000001</v>
      </c>
      <c r="R657">
        <v>25.7804</v>
      </c>
      <c r="U657" t="s">
        <v>224</v>
      </c>
      <c r="V657" t="s">
        <v>463</v>
      </c>
      <c r="W657" t="s">
        <v>464</v>
      </c>
      <c r="Y657">
        <v>6</v>
      </c>
      <c r="Z657" t="s">
        <v>169</v>
      </c>
      <c r="AA657" t="s">
        <v>170</v>
      </c>
      <c r="AB657">
        <v>4</v>
      </c>
      <c r="AC657" t="s">
        <v>601</v>
      </c>
      <c r="AD657">
        <v>10</v>
      </c>
      <c r="AG657" t="s">
        <v>210</v>
      </c>
      <c r="AH657" t="s">
        <v>444</v>
      </c>
      <c r="AI657" t="s">
        <v>175</v>
      </c>
      <c r="AJ657" t="s">
        <v>176</v>
      </c>
      <c r="AK657" t="s">
        <v>940</v>
      </c>
      <c r="AL657" t="s">
        <v>941</v>
      </c>
      <c r="AS657">
        <v>2000</v>
      </c>
      <c r="AT657">
        <v>2000</v>
      </c>
      <c r="BO657">
        <v>2</v>
      </c>
      <c r="BP657">
        <v>2</v>
      </c>
      <c r="BQ657">
        <v>31</v>
      </c>
      <c r="BR657" t="s">
        <v>1219</v>
      </c>
      <c r="BT657" t="s">
        <v>181</v>
      </c>
      <c r="BU657" s="1">
        <v>45689</v>
      </c>
      <c r="BV657">
        <v>35972</v>
      </c>
      <c r="BX657" t="s">
        <v>170</v>
      </c>
      <c r="BY657" t="s">
        <v>170</v>
      </c>
      <c r="CB657" t="s">
        <v>170</v>
      </c>
      <c r="CC657" t="s">
        <v>170</v>
      </c>
      <c r="CE657" t="s">
        <v>170</v>
      </c>
      <c r="CG657" t="s">
        <v>169</v>
      </c>
      <c r="CH657" t="s">
        <v>1185</v>
      </c>
      <c r="CI657" t="s">
        <v>170</v>
      </c>
      <c r="DJ657" t="s">
        <v>449</v>
      </c>
      <c r="DK657" t="s">
        <v>450</v>
      </c>
      <c r="DN657" t="s">
        <v>170</v>
      </c>
      <c r="DO657" t="s">
        <v>197</v>
      </c>
      <c r="DP657" t="s">
        <v>170</v>
      </c>
      <c r="DQ657" t="s">
        <v>187</v>
      </c>
      <c r="DY657">
        <v>34.700000000000003</v>
      </c>
      <c r="EB657">
        <v>5</v>
      </c>
      <c r="EC657">
        <v>5</v>
      </c>
      <c r="EE657" t="s">
        <v>1400</v>
      </c>
      <c r="EF657">
        <v>4</v>
      </c>
      <c r="EV657">
        <v>500</v>
      </c>
      <c r="EW657">
        <v>377</v>
      </c>
      <c r="EX657">
        <v>302</v>
      </c>
      <c r="EY657">
        <v>343</v>
      </c>
    </row>
    <row r="658" spans="1:155" x14ac:dyDescent="0.35">
      <c r="A658">
        <v>2025</v>
      </c>
      <c r="B658" t="s">
        <v>1181</v>
      </c>
      <c r="C658" t="s">
        <v>1182</v>
      </c>
      <c r="D658" t="s">
        <v>1399</v>
      </c>
      <c r="E658" t="s">
        <v>1184</v>
      </c>
      <c r="F658">
        <v>226</v>
      </c>
      <c r="G658">
        <v>2.4</v>
      </c>
      <c r="H658">
        <v>4</v>
      </c>
      <c r="I658" t="s">
        <v>594</v>
      </c>
      <c r="J658">
        <v>23</v>
      </c>
      <c r="K658">
        <v>28</v>
      </c>
      <c r="L658">
        <v>25</v>
      </c>
      <c r="M658">
        <v>29.531199999999998</v>
      </c>
      <c r="N658">
        <v>40.496499999999997</v>
      </c>
      <c r="O658">
        <v>33.628799999999998</v>
      </c>
      <c r="P658">
        <v>23.0548</v>
      </c>
      <c r="Q658">
        <v>28.444099999999999</v>
      </c>
      <c r="R658">
        <v>25.203700000000001</v>
      </c>
      <c r="U658" t="s">
        <v>224</v>
      </c>
      <c r="V658" t="s">
        <v>463</v>
      </c>
      <c r="W658" t="s">
        <v>464</v>
      </c>
      <c r="Y658">
        <v>6</v>
      </c>
      <c r="Z658" t="s">
        <v>169</v>
      </c>
      <c r="AA658" t="s">
        <v>170</v>
      </c>
      <c r="AB658">
        <v>4</v>
      </c>
      <c r="AC658" t="s">
        <v>601</v>
      </c>
      <c r="AD658">
        <v>10</v>
      </c>
      <c r="AG658" t="s">
        <v>210</v>
      </c>
      <c r="AH658" t="s">
        <v>444</v>
      </c>
      <c r="AI658" t="s">
        <v>175</v>
      </c>
      <c r="AJ658" t="s">
        <v>176</v>
      </c>
      <c r="AK658" t="s">
        <v>940</v>
      </c>
      <c r="AL658" t="s">
        <v>941</v>
      </c>
      <c r="AS658">
        <v>2100</v>
      </c>
      <c r="AT658">
        <v>2100</v>
      </c>
      <c r="BO658">
        <v>2</v>
      </c>
      <c r="BP658">
        <v>2</v>
      </c>
      <c r="BQ658">
        <v>31</v>
      </c>
      <c r="BR658" t="s">
        <v>1219</v>
      </c>
      <c r="BT658" t="s">
        <v>181</v>
      </c>
      <c r="BU658" s="1">
        <v>45689</v>
      </c>
      <c r="BV658">
        <v>35973</v>
      </c>
      <c r="BX658" t="s">
        <v>170</v>
      </c>
      <c r="BY658" t="s">
        <v>170</v>
      </c>
      <c r="CB658" t="s">
        <v>170</v>
      </c>
      <c r="CC658" t="s">
        <v>170</v>
      </c>
      <c r="CE658" t="s">
        <v>170</v>
      </c>
      <c r="CG658" t="s">
        <v>169</v>
      </c>
      <c r="CH658" t="s">
        <v>1185</v>
      </c>
      <c r="CI658" t="s">
        <v>170</v>
      </c>
      <c r="DJ658" t="s">
        <v>449</v>
      </c>
      <c r="DK658" t="s">
        <v>450</v>
      </c>
      <c r="DN658" t="s">
        <v>170</v>
      </c>
      <c r="DO658" t="s">
        <v>197</v>
      </c>
      <c r="DP658" t="s">
        <v>170</v>
      </c>
      <c r="DQ658" t="s">
        <v>187</v>
      </c>
      <c r="DY658">
        <v>33.9</v>
      </c>
      <c r="EB658">
        <v>5</v>
      </c>
      <c r="EC658">
        <v>5</v>
      </c>
      <c r="EE658" t="s">
        <v>1400</v>
      </c>
      <c r="EF658">
        <v>4</v>
      </c>
      <c r="EV658">
        <v>1000</v>
      </c>
      <c r="EW658">
        <v>383</v>
      </c>
      <c r="EX658">
        <v>309</v>
      </c>
      <c r="EY658">
        <v>350</v>
      </c>
    </row>
    <row r="659" spans="1:155" x14ac:dyDescent="0.35">
      <c r="A659">
        <v>2025</v>
      </c>
      <c r="B659" t="s">
        <v>288</v>
      </c>
      <c r="C659" t="s">
        <v>289</v>
      </c>
      <c r="D659" t="s">
        <v>1713</v>
      </c>
      <c r="E659" t="s">
        <v>291</v>
      </c>
      <c r="F659">
        <v>211</v>
      </c>
      <c r="G659">
        <v>2.5</v>
      </c>
      <c r="H659">
        <v>4</v>
      </c>
      <c r="I659" t="s">
        <v>587</v>
      </c>
      <c r="J659">
        <v>27</v>
      </c>
      <c r="K659">
        <v>39</v>
      </c>
      <c r="L659">
        <v>32</v>
      </c>
      <c r="M659">
        <v>36.105200000000004</v>
      </c>
      <c r="N659">
        <v>57.230600000000003</v>
      </c>
      <c r="O659">
        <v>43.297199999999997</v>
      </c>
      <c r="P659">
        <v>27.607500000000002</v>
      </c>
      <c r="Q659">
        <v>38.744599999999998</v>
      </c>
      <c r="R659">
        <v>31.709099999999999</v>
      </c>
      <c r="U659" t="s">
        <v>224</v>
      </c>
      <c r="V659" t="s">
        <v>588</v>
      </c>
      <c r="W659" t="s">
        <v>589</v>
      </c>
      <c r="Y659">
        <v>1</v>
      </c>
      <c r="Z659" t="s">
        <v>169</v>
      </c>
      <c r="AA659" t="s">
        <v>170</v>
      </c>
      <c r="AB659" t="s">
        <v>351</v>
      </c>
      <c r="AC659" t="s">
        <v>352</v>
      </c>
      <c r="AD659">
        <v>15</v>
      </c>
      <c r="AG659" t="s">
        <v>210</v>
      </c>
      <c r="AH659" t="s">
        <v>444</v>
      </c>
      <c r="AI659" t="s">
        <v>175</v>
      </c>
      <c r="AJ659" t="s">
        <v>176</v>
      </c>
      <c r="AK659" t="s">
        <v>170</v>
      </c>
      <c r="AL659" t="s">
        <v>177</v>
      </c>
      <c r="AO659">
        <v>101</v>
      </c>
      <c r="AP659">
        <v>15</v>
      </c>
      <c r="AS659">
        <v>1650</v>
      </c>
      <c r="AT659">
        <v>1650</v>
      </c>
      <c r="BN659" t="s">
        <v>178</v>
      </c>
      <c r="BO659">
        <v>2</v>
      </c>
      <c r="BP659">
        <v>2</v>
      </c>
      <c r="BQ659">
        <v>5</v>
      </c>
      <c r="BR659" t="s">
        <v>672</v>
      </c>
      <c r="BS659" t="s">
        <v>180</v>
      </c>
      <c r="BT659" t="s">
        <v>181</v>
      </c>
      <c r="BV659">
        <v>35088</v>
      </c>
      <c r="BX659" t="s">
        <v>170</v>
      </c>
      <c r="CB659" t="s">
        <v>170</v>
      </c>
      <c r="CC659" t="s">
        <v>170</v>
      </c>
      <c r="CD659" t="s">
        <v>785</v>
      </c>
      <c r="CE659" t="s">
        <v>170</v>
      </c>
      <c r="CG659" t="s">
        <v>169</v>
      </c>
      <c r="CH659" t="s">
        <v>294</v>
      </c>
      <c r="CI659" t="s">
        <v>170</v>
      </c>
      <c r="DJ659" t="s">
        <v>184</v>
      </c>
      <c r="DK659" t="s">
        <v>185</v>
      </c>
      <c r="DN659" t="s">
        <v>170</v>
      </c>
      <c r="DO659" t="s">
        <v>295</v>
      </c>
      <c r="DP659" t="s">
        <v>170</v>
      </c>
      <c r="DQ659" t="s">
        <v>187</v>
      </c>
      <c r="DY659">
        <v>43.6</v>
      </c>
      <c r="EB659">
        <v>6</v>
      </c>
      <c r="EC659">
        <v>6</v>
      </c>
      <c r="EE659" t="s">
        <v>783</v>
      </c>
      <c r="EF659">
        <v>6</v>
      </c>
      <c r="EU659">
        <v>1250</v>
      </c>
      <c r="EW659">
        <v>322</v>
      </c>
      <c r="EX659">
        <v>230</v>
      </c>
      <c r="EY659">
        <v>281</v>
      </c>
    </row>
    <row r="660" spans="1:155" x14ac:dyDescent="0.35">
      <c r="A660">
        <v>2025</v>
      </c>
      <c r="B660" t="s">
        <v>288</v>
      </c>
      <c r="C660" t="s">
        <v>289</v>
      </c>
      <c r="D660" t="s">
        <v>781</v>
      </c>
      <c r="E660" t="s">
        <v>291</v>
      </c>
      <c r="F660">
        <v>213</v>
      </c>
      <c r="G660">
        <v>2.5</v>
      </c>
      <c r="H660">
        <v>4</v>
      </c>
      <c r="I660" t="s">
        <v>587</v>
      </c>
      <c r="J660">
        <v>25</v>
      </c>
      <c r="K660">
        <v>34</v>
      </c>
      <c r="L660">
        <v>28</v>
      </c>
      <c r="M660">
        <v>33.617899999999999</v>
      </c>
      <c r="N660">
        <v>52.092300000000002</v>
      </c>
      <c r="O660">
        <v>40.001800000000003</v>
      </c>
      <c r="P660">
        <v>25</v>
      </c>
      <c r="Q660">
        <v>34</v>
      </c>
      <c r="R660">
        <v>28</v>
      </c>
      <c r="U660" t="s">
        <v>224</v>
      </c>
      <c r="V660" t="s">
        <v>588</v>
      </c>
      <c r="W660" t="s">
        <v>589</v>
      </c>
      <c r="Y660">
        <v>1</v>
      </c>
      <c r="Z660" t="s">
        <v>169</v>
      </c>
      <c r="AA660" t="s">
        <v>170</v>
      </c>
      <c r="AB660" t="s">
        <v>167</v>
      </c>
      <c r="AC660" t="s">
        <v>213</v>
      </c>
      <c r="AD660">
        <v>15</v>
      </c>
      <c r="AG660" t="s">
        <v>210</v>
      </c>
      <c r="AH660" t="s">
        <v>444</v>
      </c>
      <c r="AI660" t="s">
        <v>175</v>
      </c>
      <c r="AJ660" t="s">
        <v>176</v>
      </c>
      <c r="AK660" t="s">
        <v>170</v>
      </c>
      <c r="AL660" t="s">
        <v>177</v>
      </c>
      <c r="AO660">
        <v>101</v>
      </c>
      <c r="AP660">
        <v>15</v>
      </c>
      <c r="AS660">
        <v>1900</v>
      </c>
      <c r="AT660">
        <v>1900</v>
      </c>
      <c r="BN660" t="s">
        <v>178</v>
      </c>
      <c r="BO660">
        <v>2</v>
      </c>
      <c r="BP660">
        <v>2</v>
      </c>
      <c r="BQ660">
        <v>5</v>
      </c>
      <c r="BR660" t="s">
        <v>672</v>
      </c>
      <c r="BS660" t="s">
        <v>180</v>
      </c>
      <c r="BT660" t="s">
        <v>181</v>
      </c>
      <c r="BU660" s="1">
        <v>45512</v>
      </c>
      <c r="BV660">
        <v>35089</v>
      </c>
      <c r="BX660" t="s">
        <v>170</v>
      </c>
      <c r="CB660" t="s">
        <v>170</v>
      </c>
      <c r="CC660" t="s">
        <v>170</v>
      </c>
      <c r="CD660" t="s">
        <v>782</v>
      </c>
      <c r="CE660" t="s">
        <v>170</v>
      </c>
      <c r="CG660" t="s">
        <v>169</v>
      </c>
      <c r="CH660" t="s">
        <v>294</v>
      </c>
      <c r="CI660" t="s">
        <v>170</v>
      </c>
      <c r="DJ660" t="s">
        <v>184</v>
      </c>
      <c r="DK660" t="s">
        <v>185</v>
      </c>
      <c r="DN660" t="s">
        <v>170</v>
      </c>
      <c r="DO660" t="s">
        <v>295</v>
      </c>
      <c r="DP660" t="s">
        <v>170</v>
      </c>
      <c r="DQ660" t="s">
        <v>187</v>
      </c>
      <c r="DY660">
        <v>40.299999999999997</v>
      </c>
      <c r="EB660">
        <v>6</v>
      </c>
      <c r="EC660">
        <v>6</v>
      </c>
      <c r="EE660" t="s">
        <v>783</v>
      </c>
      <c r="EF660">
        <v>6</v>
      </c>
      <c r="EU660">
        <v>0</v>
      </c>
      <c r="EW660">
        <v>355</v>
      </c>
      <c r="EX660">
        <v>261</v>
      </c>
      <c r="EY660">
        <v>317</v>
      </c>
    </row>
    <row r="661" spans="1:155" x14ac:dyDescent="0.35">
      <c r="A661">
        <v>2025</v>
      </c>
      <c r="B661" t="s">
        <v>288</v>
      </c>
      <c r="C661" t="s">
        <v>289</v>
      </c>
      <c r="D661" t="s">
        <v>784</v>
      </c>
      <c r="E661" t="s">
        <v>291</v>
      </c>
      <c r="F661">
        <v>217</v>
      </c>
      <c r="G661">
        <v>2.5</v>
      </c>
      <c r="H661">
        <v>4</v>
      </c>
      <c r="I661" t="s">
        <v>587</v>
      </c>
      <c r="J661">
        <v>27</v>
      </c>
      <c r="K661">
        <v>37</v>
      </c>
      <c r="L661">
        <v>31</v>
      </c>
      <c r="M661">
        <v>35.5</v>
      </c>
      <c r="N661">
        <v>55.1</v>
      </c>
      <c r="O661">
        <v>42.265599999999999</v>
      </c>
      <c r="P661">
        <v>27.196200000000001</v>
      </c>
      <c r="Q661">
        <v>37.474699999999999</v>
      </c>
      <c r="R661">
        <v>31.025500000000001</v>
      </c>
      <c r="U661" t="s">
        <v>224</v>
      </c>
      <c r="V661" t="s">
        <v>588</v>
      </c>
      <c r="W661" t="s">
        <v>589</v>
      </c>
      <c r="Y661">
        <v>1</v>
      </c>
      <c r="Z661" t="s">
        <v>169</v>
      </c>
      <c r="AA661" t="s">
        <v>170</v>
      </c>
      <c r="AB661" t="s">
        <v>351</v>
      </c>
      <c r="AC661" t="s">
        <v>352</v>
      </c>
      <c r="AD661">
        <v>15</v>
      </c>
      <c r="AG661" t="s">
        <v>210</v>
      </c>
      <c r="AH661" t="s">
        <v>444</v>
      </c>
      <c r="AI661" t="s">
        <v>175</v>
      </c>
      <c r="AJ661" t="s">
        <v>176</v>
      </c>
      <c r="AK661" t="s">
        <v>170</v>
      </c>
      <c r="AL661" t="s">
        <v>177</v>
      </c>
      <c r="AO661">
        <v>101</v>
      </c>
      <c r="AP661">
        <v>15</v>
      </c>
      <c r="AS661">
        <v>1700</v>
      </c>
      <c r="AT661">
        <v>1700</v>
      </c>
      <c r="BN661" t="s">
        <v>178</v>
      </c>
      <c r="BO661">
        <v>2</v>
      </c>
      <c r="BP661">
        <v>2</v>
      </c>
      <c r="BQ661">
        <v>5</v>
      </c>
      <c r="BR661" t="s">
        <v>672</v>
      </c>
      <c r="BS661" t="s">
        <v>180</v>
      </c>
      <c r="BT661" t="s">
        <v>181</v>
      </c>
      <c r="BU661" s="1">
        <v>45512</v>
      </c>
      <c r="BV661">
        <v>35090</v>
      </c>
      <c r="BX661" t="s">
        <v>169</v>
      </c>
      <c r="CB661" t="s">
        <v>170</v>
      </c>
      <c r="CC661" t="s">
        <v>170</v>
      </c>
      <c r="CD661" t="s">
        <v>785</v>
      </c>
      <c r="CE661" t="s">
        <v>170</v>
      </c>
      <c r="CG661" t="s">
        <v>169</v>
      </c>
      <c r="CH661" t="s">
        <v>294</v>
      </c>
      <c r="CI661" t="s">
        <v>170</v>
      </c>
      <c r="DJ661" t="s">
        <v>184</v>
      </c>
      <c r="DK661" t="s">
        <v>185</v>
      </c>
      <c r="DN661" t="s">
        <v>170</v>
      </c>
      <c r="DO661" t="s">
        <v>295</v>
      </c>
      <c r="DP661" t="s">
        <v>170</v>
      </c>
      <c r="DQ661" t="s">
        <v>187</v>
      </c>
      <c r="DY661">
        <v>42.6</v>
      </c>
      <c r="EB661">
        <v>6</v>
      </c>
      <c r="EC661">
        <v>6</v>
      </c>
      <c r="EE661" t="s">
        <v>783</v>
      </c>
      <c r="EF661">
        <v>6</v>
      </c>
      <c r="EU661">
        <v>1000</v>
      </c>
      <c r="EW661">
        <v>328</v>
      </c>
      <c r="EX661">
        <v>238</v>
      </c>
      <c r="EY661">
        <v>287</v>
      </c>
    </row>
    <row r="662" spans="1:155" x14ac:dyDescent="0.35">
      <c r="A662">
        <v>2025</v>
      </c>
      <c r="B662" t="s">
        <v>288</v>
      </c>
      <c r="C662" t="s">
        <v>289</v>
      </c>
      <c r="D662" t="s">
        <v>1487</v>
      </c>
      <c r="E662" t="s">
        <v>291</v>
      </c>
      <c r="F662">
        <v>282</v>
      </c>
      <c r="G662">
        <v>3.5</v>
      </c>
      <c r="H662">
        <v>6</v>
      </c>
      <c r="I662" t="s">
        <v>292</v>
      </c>
      <c r="J662">
        <v>16</v>
      </c>
      <c r="K662">
        <v>20</v>
      </c>
      <c r="L662">
        <v>18</v>
      </c>
      <c r="M662">
        <v>20.508700000000001</v>
      </c>
      <c r="N662">
        <v>31.162199999999999</v>
      </c>
      <c r="O662">
        <v>24.237500000000001</v>
      </c>
      <c r="P662">
        <v>16.486000000000001</v>
      </c>
      <c r="Q662">
        <v>20</v>
      </c>
      <c r="R662">
        <v>18.459700000000002</v>
      </c>
      <c r="T662" t="s">
        <v>165</v>
      </c>
      <c r="U662" t="s">
        <v>166</v>
      </c>
      <c r="V662" t="s">
        <v>193</v>
      </c>
      <c r="W662" t="s">
        <v>194</v>
      </c>
      <c r="Y662">
        <v>9</v>
      </c>
      <c r="Z662" t="s">
        <v>169</v>
      </c>
      <c r="AA662" t="s">
        <v>170</v>
      </c>
      <c r="AB662" t="s">
        <v>171</v>
      </c>
      <c r="AC662" t="s">
        <v>172</v>
      </c>
      <c r="AD662">
        <v>15</v>
      </c>
      <c r="AG662" t="s">
        <v>173</v>
      </c>
      <c r="AH662" t="s">
        <v>174</v>
      </c>
      <c r="AI662" t="s">
        <v>175</v>
      </c>
      <c r="AJ662" t="s">
        <v>176</v>
      </c>
      <c r="AK662" t="s">
        <v>940</v>
      </c>
      <c r="AL662" t="s">
        <v>941</v>
      </c>
      <c r="AS662">
        <v>3550</v>
      </c>
      <c r="AT662">
        <v>3550</v>
      </c>
      <c r="BN662" t="s">
        <v>178</v>
      </c>
      <c r="BO662">
        <v>2</v>
      </c>
      <c r="BP662">
        <v>2</v>
      </c>
      <c r="BQ662">
        <v>32</v>
      </c>
      <c r="BR662" t="s">
        <v>1453</v>
      </c>
      <c r="BT662" t="s">
        <v>457</v>
      </c>
      <c r="BU662" s="1">
        <v>45643</v>
      </c>
      <c r="BV662">
        <v>35859</v>
      </c>
      <c r="BX662" t="s">
        <v>170</v>
      </c>
      <c r="CB662" t="s">
        <v>170</v>
      </c>
      <c r="CC662" t="s">
        <v>170</v>
      </c>
      <c r="CD662" t="s">
        <v>1488</v>
      </c>
      <c r="CE662" t="s">
        <v>170</v>
      </c>
      <c r="CG662" t="s">
        <v>169</v>
      </c>
      <c r="CH662" t="s">
        <v>789</v>
      </c>
      <c r="CI662" t="s">
        <v>170</v>
      </c>
      <c r="DJ662" t="s">
        <v>184</v>
      </c>
      <c r="DK662" t="s">
        <v>185</v>
      </c>
      <c r="DN662" t="s">
        <v>170</v>
      </c>
      <c r="DO662" t="s">
        <v>295</v>
      </c>
      <c r="DP662" t="s">
        <v>169</v>
      </c>
      <c r="DQ662" t="s">
        <v>198</v>
      </c>
      <c r="EB662">
        <v>4</v>
      </c>
      <c r="EC662">
        <v>4</v>
      </c>
      <c r="EE662" t="s">
        <v>1480</v>
      </c>
      <c r="EF662">
        <v>5</v>
      </c>
      <c r="EV662">
        <v>8250</v>
      </c>
      <c r="EW662">
        <v>540</v>
      </c>
      <c r="EX662">
        <v>444</v>
      </c>
      <c r="EY662">
        <v>497</v>
      </c>
    </row>
    <row r="663" spans="1:155" x14ac:dyDescent="0.35">
      <c r="A663">
        <v>2025</v>
      </c>
      <c r="B663" t="s">
        <v>288</v>
      </c>
      <c r="C663" t="s">
        <v>289</v>
      </c>
      <c r="D663" t="s">
        <v>1642</v>
      </c>
      <c r="E663" t="s">
        <v>291</v>
      </c>
      <c r="F663">
        <v>283</v>
      </c>
      <c r="G663">
        <v>3.5</v>
      </c>
      <c r="H663">
        <v>6</v>
      </c>
      <c r="I663" t="s">
        <v>292</v>
      </c>
      <c r="J663">
        <v>16</v>
      </c>
      <c r="K663">
        <v>19</v>
      </c>
      <c r="L663">
        <v>17</v>
      </c>
      <c r="M663">
        <v>20.800699999999999</v>
      </c>
      <c r="N663">
        <v>30.2273</v>
      </c>
      <c r="O663">
        <v>24.196300000000001</v>
      </c>
      <c r="P663">
        <v>16</v>
      </c>
      <c r="Q663">
        <v>19</v>
      </c>
      <c r="R663">
        <v>17</v>
      </c>
      <c r="T663" t="s">
        <v>165</v>
      </c>
      <c r="U663" t="s">
        <v>166</v>
      </c>
      <c r="V663" t="s">
        <v>193</v>
      </c>
      <c r="W663" t="s">
        <v>194</v>
      </c>
      <c r="Y663">
        <v>9</v>
      </c>
      <c r="Z663" t="s">
        <v>169</v>
      </c>
      <c r="AA663" t="s">
        <v>170</v>
      </c>
      <c r="AB663">
        <v>4</v>
      </c>
      <c r="AC663" t="s">
        <v>601</v>
      </c>
      <c r="AD663">
        <v>15</v>
      </c>
      <c r="AG663" t="s">
        <v>173</v>
      </c>
      <c r="AH663" t="s">
        <v>174</v>
      </c>
      <c r="AI663" t="s">
        <v>175</v>
      </c>
      <c r="AJ663" t="s">
        <v>176</v>
      </c>
      <c r="AK663" t="s">
        <v>940</v>
      </c>
      <c r="AL663" t="s">
        <v>941</v>
      </c>
      <c r="AS663">
        <v>3750</v>
      </c>
      <c r="AT663">
        <v>3750</v>
      </c>
      <c r="BN663" t="s">
        <v>178</v>
      </c>
      <c r="BO663">
        <v>2</v>
      </c>
      <c r="BP663">
        <v>2</v>
      </c>
      <c r="BQ663">
        <v>33</v>
      </c>
      <c r="BR663" t="s">
        <v>1497</v>
      </c>
      <c r="BT663" t="s">
        <v>457</v>
      </c>
      <c r="BU663" s="1">
        <v>45643</v>
      </c>
      <c r="BV663">
        <v>35857</v>
      </c>
      <c r="BX663" t="s">
        <v>170</v>
      </c>
      <c r="CB663" t="s">
        <v>170</v>
      </c>
      <c r="CC663" t="s">
        <v>170</v>
      </c>
      <c r="CD663" t="s">
        <v>1488</v>
      </c>
      <c r="CE663" t="s">
        <v>170</v>
      </c>
      <c r="CG663" t="s">
        <v>169</v>
      </c>
      <c r="CH663" t="s">
        <v>789</v>
      </c>
      <c r="CI663" t="s">
        <v>170</v>
      </c>
      <c r="DJ663" t="s">
        <v>184</v>
      </c>
      <c r="DK663" t="s">
        <v>185</v>
      </c>
      <c r="DN663" t="s">
        <v>170</v>
      </c>
      <c r="DO663" t="s">
        <v>295</v>
      </c>
      <c r="DP663" t="s">
        <v>169</v>
      </c>
      <c r="DQ663" t="s">
        <v>198</v>
      </c>
      <c r="EB663">
        <v>3</v>
      </c>
      <c r="EC663">
        <v>3</v>
      </c>
      <c r="EE663" t="s">
        <v>1480</v>
      </c>
      <c r="EF663">
        <v>5</v>
      </c>
      <c r="EV663">
        <v>9250</v>
      </c>
      <c r="EW663">
        <v>557</v>
      </c>
      <c r="EX663">
        <v>469</v>
      </c>
      <c r="EY663">
        <v>524</v>
      </c>
    </row>
    <row r="664" spans="1:155" x14ac:dyDescent="0.35">
      <c r="A664">
        <v>2025</v>
      </c>
      <c r="B664" t="s">
        <v>288</v>
      </c>
      <c r="C664" t="s">
        <v>289</v>
      </c>
      <c r="D664" t="s">
        <v>1643</v>
      </c>
      <c r="E664" t="s">
        <v>291</v>
      </c>
      <c r="F664">
        <v>284</v>
      </c>
      <c r="G664">
        <v>3.5</v>
      </c>
      <c r="H664">
        <v>6</v>
      </c>
      <c r="I664" t="s">
        <v>292</v>
      </c>
      <c r="J664">
        <v>15</v>
      </c>
      <c r="K664">
        <v>18</v>
      </c>
      <c r="L664">
        <v>16</v>
      </c>
      <c r="M664">
        <v>19.999500000000001</v>
      </c>
      <c r="N664">
        <v>27.499600000000001</v>
      </c>
      <c r="O664">
        <v>22.7974</v>
      </c>
      <c r="P664">
        <v>15</v>
      </c>
      <c r="Q664">
        <v>18.221499999999999</v>
      </c>
      <c r="R664">
        <v>16</v>
      </c>
      <c r="T664" t="s">
        <v>165</v>
      </c>
      <c r="U664" t="s">
        <v>166</v>
      </c>
      <c r="V664" t="s">
        <v>193</v>
      </c>
      <c r="W664" t="s">
        <v>194</v>
      </c>
      <c r="Y664">
        <v>9</v>
      </c>
      <c r="Z664" t="s">
        <v>169</v>
      </c>
      <c r="AA664" t="s">
        <v>170</v>
      </c>
      <c r="AB664">
        <v>4</v>
      </c>
      <c r="AC664" t="s">
        <v>601</v>
      </c>
      <c r="AD664">
        <v>15</v>
      </c>
      <c r="AG664" t="s">
        <v>173</v>
      </c>
      <c r="AH664" t="s">
        <v>174</v>
      </c>
      <c r="AI664" t="s">
        <v>175</v>
      </c>
      <c r="AJ664" t="s">
        <v>176</v>
      </c>
      <c r="AK664" t="s">
        <v>940</v>
      </c>
      <c r="AL664" t="s">
        <v>941</v>
      </c>
      <c r="AS664">
        <v>4000</v>
      </c>
      <c r="AT664">
        <v>4000</v>
      </c>
      <c r="BN664" t="s">
        <v>178</v>
      </c>
      <c r="BO664">
        <v>2</v>
      </c>
      <c r="BP664">
        <v>2</v>
      </c>
      <c r="BQ664">
        <v>33</v>
      </c>
      <c r="BR664" t="s">
        <v>1497</v>
      </c>
      <c r="BT664" t="s">
        <v>457</v>
      </c>
      <c r="BU664" s="1">
        <v>45643</v>
      </c>
      <c r="BV664">
        <v>35858</v>
      </c>
      <c r="BX664" t="s">
        <v>169</v>
      </c>
      <c r="CB664" t="s">
        <v>170</v>
      </c>
      <c r="CC664" t="s">
        <v>170</v>
      </c>
      <c r="CD664" t="s">
        <v>1488</v>
      </c>
      <c r="CE664" t="s">
        <v>170</v>
      </c>
      <c r="CG664" t="s">
        <v>169</v>
      </c>
      <c r="CH664" t="s">
        <v>789</v>
      </c>
      <c r="CI664" t="s">
        <v>170</v>
      </c>
      <c r="DJ664" t="s">
        <v>184</v>
      </c>
      <c r="DK664" t="s">
        <v>185</v>
      </c>
      <c r="DN664" t="s">
        <v>170</v>
      </c>
      <c r="DO664" t="s">
        <v>295</v>
      </c>
      <c r="DP664" t="s">
        <v>169</v>
      </c>
      <c r="DQ664" t="s">
        <v>198</v>
      </c>
      <c r="EB664">
        <v>3</v>
      </c>
      <c r="EC664">
        <v>3</v>
      </c>
      <c r="EE664" t="s">
        <v>1480</v>
      </c>
      <c r="EF664">
        <v>5</v>
      </c>
      <c r="EV664">
        <v>10500</v>
      </c>
      <c r="EW664">
        <v>594</v>
      </c>
      <c r="EX664">
        <v>488</v>
      </c>
      <c r="EY664">
        <v>556</v>
      </c>
    </row>
    <row r="665" spans="1:155" x14ac:dyDescent="0.35">
      <c r="A665">
        <v>2025</v>
      </c>
      <c r="B665" t="s">
        <v>288</v>
      </c>
      <c r="C665" t="s">
        <v>289</v>
      </c>
      <c r="D665" t="s">
        <v>997</v>
      </c>
      <c r="E665" t="s">
        <v>291</v>
      </c>
      <c r="F665">
        <v>886</v>
      </c>
      <c r="G665">
        <v>3.8</v>
      </c>
      <c r="H665">
        <v>6</v>
      </c>
      <c r="I665" t="s">
        <v>292</v>
      </c>
      <c r="J665">
        <v>19</v>
      </c>
      <c r="K665">
        <v>24</v>
      </c>
      <c r="L665">
        <v>21</v>
      </c>
      <c r="M665">
        <v>23.267499999999998</v>
      </c>
      <c r="N665">
        <v>34.981499999999997</v>
      </c>
      <c r="O665">
        <v>27.395800000000001</v>
      </c>
      <c r="P665">
        <v>18.535599999999999</v>
      </c>
      <c r="Q665">
        <v>24</v>
      </c>
      <c r="R665">
        <v>20.9376</v>
      </c>
      <c r="U665" t="s">
        <v>224</v>
      </c>
      <c r="V665" t="s">
        <v>193</v>
      </c>
      <c r="W665" t="s">
        <v>194</v>
      </c>
      <c r="Y665">
        <v>9</v>
      </c>
      <c r="Z665" t="s">
        <v>169</v>
      </c>
      <c r="AA665" t="s">
        <v>170</v>
      </c>
      <c r="AB665" t="s">
        <v>171</v>
      </c>
      <c r="AC665" t="s">
        <v>172</v>
      </c>
      <c r="AD665">
        <v>15</v>
      </c>
      <c r="AG665" t="s">
        <v>210</v>
      </c>
      <c r="AH665" t="s">
        <v>444</v>
      </c>
      <c r="AI665" t="s">
        <v>175</v>
      </c>
      <c r="AJ665" t="s">
        <v>176</v>
      </c>
      <c r="AK665" t="s">
        <v>940</v>
      </c>
      <c r="AL665" t="s">
        <v>941</v>
      </c>
      <c r="AS665">
        <v>2500</v>
      </c>
      <c r="AT665">
        <v>2500</v>
      </c>
      <c r="BN665" t="s">
        <v>178</v>
      </c>
      <c r="BO665">
        <v>2</v>
      </c>
      <c r="BP665">
        <v>2</v>
      </c>
      <c r="BQ665">
        <v>12</v>
      </c>
      <c r="BR665" t="s">
        <v>971</v>
      </c>
      <c r="BT665" t="s">
        <v>181</v>
      </c>
      <c r="BU665" s="1">
        <v>45540</v>
      </c>
      <c r="BV665">
        <v>35360</v>
      </c>
      <c r="BX665" t="s">
        <v>170</v>
      </c>
      <c r="CB665" t="s">
        <v>170</v>
      </c>
      <c r="CC665" t="s">
        <v>170</v>
      </c>
      <c r="CE665" t="s">
        <v>170</v>
      </c>
      <c r="CG665" t="s">
        <v>169</v>
      </c>
      <c r="CH665" t="s">
        <v>789</v>
      </c>
      <c r="CI665" t="s">
        <v>170</v>
      </c>
      <c r="DJ665" t="s">
        <v>184</v>
      </c>
      <c r="DK665" t="s">
        <v>185</v>
      </c>
      <c r="DN665" t="s">
        <v>170</v>
      </c>
      <c r="DO665" t="s">
        <v>295</v>
      </c>
      <c r="DP665" t="s">
        <v>169</v>
      </c>
      <c r="DQ665" t="s">
        <v>198</v>
      </c>
      <c r="EB665">
        <v>4</v>
      </c>
      <c r="EC665">
        <v>4</v>
      </c>
      <c r="EE665" t="s">
        <v>998</v>
      </c>
      <c r="EF665">
        <v>5</v>
      </c>
      <c r="EV665">
        <v>3000</v>
      </c>
      <c r="EW665">
        <v>481</v>
      </c>
      <c r="EX665">
        <v>372</v>
      </c>
      <c r="EY665">
        <v>432</v>
      </c>
    </row>
    <row r="666" spans="1:155" x14ac:dyDescent="0.35">
      <c r="A666">
        <v>2025</v>
      </c>
      <c r="B666" t="s">
        <v>288</v>
      </c>
      <c r="C666" t="s">
        <v>289</v>
      </c>
      <c r="D666" t="s">
        <v>1054</v>
      </c>
      <c r="E666" t="s">
        <v>291</v>
      </c>
      <c r="F666">
        <v>887</v>
      </c>
      <c r="G666">
        <v>3.8</v>
      </c>
      <c r="H666">
        <v>6</v>
      </c>
      <c r="I666" t="s">
        <v>292</v>
      </c>
      <c r="J666">
        <v>17</v>
      </c>
      <c r="K666">
        <v>21</v>
      </c>
      <c r="L666">
        <v>19</v>
      </c>
      <c r="M666">
        <v>22.6</v>
      </c>
      <c r="N666">
        <v>32.253</v>
      </c>
      <c r="O666">
        <v>26.1175</v>
      </c>
      <c r="P666">
        <v>17</v>
      </c>
      <c r="Q666">
        <v>21</v>
      </c>
      <c r="R666">
        <v>19</v>
      </c>
      <c r="U666" t="s">
        <v>224</v>
      </c>
      <c r="V666" t="s">
        <v>193</v>
      </c>
      <c r="W666" t="s">
        <v>194</v>
      </c>
      <c r="Y666">
        <v>9</v>
      </c>
      <c r="Z666" t="s">
        <v>169</v>
      </c>
      <c r="AA666" t="s">
        <v>170</v>
      </c>
      <c r="AB666" t="s">
        <v>809</v>
      </c>
      <c r="AC666" t="s">
        <v>810</v>
      </c>
      <c r="AD666">
        <v>15</v>
      </c>
      <c r="AG666" t="s">
        <v>210</v>
      </c>
      <c r="AH666" t="s">
        <v>444</v>
      </c>
      <c r="AI666" t="s">
        <v>175</v>
      </c>
      <c r="AJ666" t="s">
        <v>176</v>
      </c>
      <c r="AK666" t="s">
        <v>940</v>
      </c>
      <c r="AL666" t="s">
        <v>941</v>
      </c>
      <c r="AS666">
        <v>2750</v>
      </c>
      <c r="AT666">
        <v>2750</v>
      </c>
      <c r="BN666" t="s">
        <v>178</v>
      </c>
      <c r="BO666">
        <v>2</v>
      </c>
      <c r="BP666">
        <v>2</v>
      </c>
      <c r="BQ666">
        <v>13</v>
      </c>
      <c r="BR666" t="s">
        <v>1016</v>
      </c>
      <c r="BT666" t="s">
        <v>181</v>
      </c>
      <c r="BU666" s="1">
        <v>45540</v>
      </c>
      <c r="BV666">
        <v>35324</v>
      </c>
      <c r="BX666" t="s">
        <v>170</v>
      </c>
      <c r="CB666" t="s">
        <v>170</v>
      </c>
      <c r="CC666" t="s">
        <v>170</v>
      </c>
      <c r="CE666" t="s">
        <v>170</v>
      </c>
      <c r="CG666" t="s">
        <v>169</v>
      </c>
      <c r="CH666" t="s">
        <v>789</v>
      </c>
      <c r="CI666" t="s">
        <v>170</v>
      </c>
      <c r="DJ666" t="s">
        <v>184</v>
      </c>
      <c r="DK666" t="s">
        <v>185</v>
      </c>
      <c r="DN666" t="s">
        <v>170</v>
      </c>
      <c r="DO666" t="s">
        <v>295</v>
      </c>
      <c r="DP666" t="s">
        <v>169</v>
      </c>
      <c r="DQ666" t="s">
        <v>198</v>
      </c>
      <c r="EB666">
        <v>4</v>
      </c>
      <c r="EC666">
        <v>4</v>
      </c>
      <c r="EE666" t="s">
        <v>998</v>
      </c>
      <c r="EF666">
        <v>5</v>
      </c>
      <c r="EV666">
        <v>4250</v>
      </c>
      <c r="EW666">
        <v>525</v>
      </c>
      <c r="EX666">
        <v>425</v>
      </c>
      <c r="EY666">
        <v>470</v>
      </c>
    </row>
    <row r="667" spans="1:155" x14ac:dyDescent="0.35">
      <c r="A667">
        <v>2025</v>
      </c>
      <c r="B667" t="s">
        <v>288</v>
      </c>
      <c r="C667" t="s">
        <v>289</v>
      </c>
      <c r="D667" t="s">
        <v>1055</v>
      </c>
      <c r="E667" t="s">
        <v>291</v>
      </c>
      <c r="F667">
        <v>888</v>
      </c>
      <c r="G667">
        <v>3.8</v>
      </c>
      <c r="H667">
        <v>6</v>
      </c>
      <c r="I667" t="s">
        <v>292</v>
      </c>
      <c r="J667">
        <v>16</v>
      </c>
      <c r="K667">
        <v>20</v>
      </c>
      <c r="L667">
        <v>18</v>
      </c>
      <c r="M667">
        <v>21.5</v>
      </c>
      <c r="N667">
        <v>31.1</v>
      </c>
      <c r="O667">
        <v>24.968299999999999</v>
      </c>
      <c r="P667">
        <v>16</v>
      </c>
      <c r="Q667">
        <v>20</v>
      </c>
      <c r="R667">
        <v>18</v>
      </c>
      <c r="U667" t="s">
        <v>224</v>
      </c>
      <c r="V667" t="s">
        <v>193</v>
      </c>
      <c r="W667" t="s">
        <v>194</v>
      </c>
      <c r="Y667">
        <v>9</v>
      </c>
      <c r="Z667" t="s">
        <v>169</v>
      </c>
      <c r="AA667" t="s">
        <v>170</v>
      </c>
      <c r="AB667" t="s">
        <v>809</v>
      </c>
      <c r="AC667" t="s">
        <v>810</v>
      </c>
      <c r="AD667">
        <v>15</v>
      </c>
      <c r="AG667" t="s">
        <v>210</v>
      </c>
      <c r="AH667" t="s">
        <v>444</v>
      </c>
      <c r="AI667" t="s">
        <v>175</v>
      </c>
      <c r="AJ667" t="s">
        <v>176</v>
      </c>
      <c r="AK667" t="s">
        <v>940</v>
      </c>
      <c r="AL667" t="s">
        <v>941</v>
      </c>
      <c r="AS667">
        <v>2900</v>
      </c>
      <c r="AT667">
        <v>2900</v>
      </c>
      <c r="BN667" t="s">
        <v>178</v>
      </c>
      <c r="BO667">
        <v>2</v>
      </c>
      <c r="BP667">
        <v>2</v>
      </c>
      <c r="BQ667">
        <v>13</v>
      </c>
      <c r="BR667" t="s">
        <v>1016</v>
      </c>
      <c r="BT667" t="s">
        <v>181</v>
      </c>
      <c r="BU667" s="1">
        <v>45540</v>
      </c>
      <c r="BV667">
        <v>35325</v>
      </c>
      <c r="BX667" t="s">
        <v>169</v>
      </c>
      <c r="CB667" t="s">
        <v>170</v>
      </c>
      <c r="CC667" t="s">
        <v>170</v>
      </c>
      <c r="CE667" t="s">
        <v>170</v>
      </c>
      <c r="CG667" t="s">
        <v>169</v>
      </c>
      <c r="CH667" t="s">
        <v>789</v>
      </c>
      <c r="CI667" t="s">
        <v>170</v>
      </c>
      <c r="DJ667" t="s">
        <v>184</v>
      </c>
      <c r="DK667" t="s">
        <v>185</v>
      </c>
      <c r="DN667" t="s">
        <v>170</v>
      </c>
      <c r="DO667" t="s">
        <v>295</v>
      </c>
      <c r="DP667" t="s">
        <v>169</v>
      </c>
      <c r="DQ667" t="s">
        <v>198</v>
      </c>
      <c r="EB667">
        <v>4</v>
      </c>
      <c r="EC667">
        <v>4</v>
      </c>
      <c r="EE667" t="s">
        <v>998</v>
      </c>
      <c r="EF667">
        <v>5</v>
      </c>
      <c r="EV667">
        <v>5000</v>
      </c>
      <c r="EW667">
        <v>556</v>
      </c>
      <c r="EX667">
        <v>446</v>
      </c>
      <c r="EY667">
        <v>495</v>
      </c>
    </row>
    <row r="668" spans="1:155" x14ac:dyDescent="0.35">
      <c r="A668">
        <v>2025</v>
      </c>
      <c r="B668" t="s">
        <v>288</v>
      </c>
      <c r="C668" t="s">
        <v>289</v>
      </c>
      <c r="D668" t="s">
        <v>1187</v>
      </c>
      <c r="E668" t="s">
        <v>291</v>
      </c>
      <c r="F668">
        <v>391</v>
      </c>
      <c r="G668">
        <v>2</v>
      </c>
      <c r="H668">
        <v>4</v>
      </c>
      <c r="I668" t="s">
        <v>587</v>
      </c>
      <c r="J668">
        <v>28</v>
      </c>
      <c r="K668">
        <v>35</v>
      </c>
      <c r="L668">
        <v>31</v>
      </c>
      <c r="M668">
        <v>38.604500000000002</v>
      </c>
      <c r="N668">
        <v>51.348599999999998</v>
      </c>
      <c r="O668">
        <v>43.458100000000002</v>
      </c>
      <c r="P668">
        <v>28</v>
      </c>
      <c r="Q668">
        <v>35.21</v>
      </c>
      <c r="R668">
        <v>31</v>
      </c>
      <c r="U668" t="s">
        <v>224</v>
      </c>
      <c r="V668" t="s">
        <v>588</v>
      </c>
      <c r="W668" t="s">
        <v>589</v>
      </c>
      <c r="Y668">
        <v>1</v>
      </c>
      <c r="Z668" t="s">
        <v>169</v>
      </c>
      <c r="AA668" t="s">
        <v>170</v>
      </c>
      <c r="AB668" t="s">
        <v>351</v>
      </c>
      <c r="AC668" t="s">
        <v>352</v>
      </c>
      <c r="AD668">
        <v>10</v>
      </c>
      <c r="AG668" t="s">
        <v>210</v>
      </c>
      <c r="AH668" t="s">
        <v>444</v>
      </c>
      <c r="AI668" t="s">
        <v>175</v>
      </c>
      <c r="AJ668" t="s">
        <v>176</v>
      </c>
      <c r="AK668" t="s">
        <v>940</v>
      </c>
      <c r="AL668" t="s">
        <v>941</v>
      </c>
      <c r="AS668">
        <v>1700</v>
      </c>
      <c r="AT668">
        <v>1700</v>
      </c>
      <c r="BN668" t="s">
        <v>178</v>
      </c>
      <c r="BO668">
        <v>2</v>
      </c>
      <c r="BP668">
        <v>2</v>
      </c>
      <c r="BQ668">
        <v>30</v>
      </c>
      <c r="BR668" t="s">
        <v>1099</v>
      </c>
      <c r="BT668" t="s">
        <v>181</v>
      </c>
      <c r="BU668" s="1">
        <v>45517</v>
      </c>
      <c r="BV668">
        <v>35264</v>
      </c>
      <c r="BX668" t="s">
        <v>170</v>
      </c>
      <c r="CB668" t="s">
        <v>170</v>
      </c>
      <c r="CC668" t="s">
        <v>170</v>
      </c>
      <c r="CD668" t="s">
        <v>1188</v>
      </c>
      <c r="CE668" t="s">
        <v>170</v>
      </c>
      <c r="CG668" t="s">
        <v>169</v>
      </c>
      <c r="CH668" t="s">
        <v>789</v>
      </c>
      <c r="CI668" t="s">
        <v>170</v>
      </c>
      <c r="DJ668" t="s">
        <v>184</v>
      </c>
      <c r="DK668" t="s">
        <v>185</v>
      </c>
      <c r="DN668" t="s">
        <v>170</v>
      </c>
      <c r="DO668" t="s">
        <v>295</v>
      </c>
      <c r="DP668" t="s">
        <v>169</v>
      </c>
      <c r="DQ668" t="s">
        <v>198</v>
      </c>
      <c r="EB668">
        <v>6</v>
      </c>
      <c r="EC668">
        <v>6</v>
      </c>
      <c r="EE668" t="s">
        <v>1189</v>
      </c>
      <c r="EF668">
        <v>6</v>
      </c>
      <c r="EU668">
        <v>1000</v>
      </c>
      <c r="EW668">
        <v>318</v>
      </c>
      <c r="EX668">
        <v>253</v>
      </c>
      <c r="EY668">
        <v>287</v>
      </c>
    </row>
    <row r="669" spans="1:155" x14ac:dyDescent="0.35">
      <c r="A669">
        <v>2025</v>
      </c>
      <c r="B669" t="s">
        <v>288</v>
      </c>
      <c r="C669" t="s">
        <v>289</v>
      </c>
      <c r="D669" t="s">
        <v>1401</v>
      </c>
      <c r="E669" t="s">
        <v>291</v>
      </c>
      <c r="F669">
        <v>392</v>
      </c>
      <c r="G669">
        <v>2</v>
      </c>
      <c r="H669">
        <v>4</v>
      </c>
      <c r="I669" t="s">
        <v>587</v>
      </c>
      <c r="J669">
        <v>27</v>
      </c>
      <c r="K669">
        <v>34</v>
      </c>
      <c r="L669">
        <v>30</v>
      </c>
      <c r="M669">
        <v>36.616399999999999</v>
      </c>
      <c r="N669">
        <v>49.569800000000001</v>
      </c>
      <c r="O669">
        <v>41.496000000000002</v>
      </c>
      <c r="P669">
        <v>27</v>
      </c>
      <c r="Q669">
        <v>34.123100000000001</v>
      </c>
      <c r="R669">
        <v>30.429300000000001</v>
      </c>
      <c r="U669" t="s">
        <v>224</v>
      </c>
      <c r="V669" t="s">
        <v>588</v>
      </c>
      <c r="W669" t="s">
        <v>589</v>
      </c>
      <c r="Y669">
        <v>1</v>
      </c>
      <c r="Z669" t="s">
        <v>169</v>
      </c>
      <c r="AA669" t="s">
        <v>170</v>
      </c>
      <c r="AB669" t="s">
        <v>167</v>
      </c>
      <c r="AC669" t="s">
        <v>213</v>
      </c>
      <c r="AD669">
        <v>10</v>
      </c>
      <c r="AG669" t="s">
        <v>210</v>
      </c>
      <c r="AH669" t="s">
        <v>444</v>
      </c>
      <c r="AI669" t="s">
        <v>175</v>
      </c>
      <c r="AJ669" t="s">
        <v>176</v>
      </c>
      <c r="AK669" t="s">
        <v>940</v>
      </c>
      <c r="AL669" t="s">
        <v>941</v>
      </c>
      <c r="AS669">
        <v>1750</v>
      </c>
      <c r="AT669">
        <v>1750</v>
      </c>
      <c r="BN669" t="s">
        <v>178</v>
      </c>
      <c r="BO669">
        <v>2</v>
      </c>
      <c r="BP669">
        <v>2</v>
      </c>
      <c r="BQ669">
        <v>31</v>
      </c>
      <c r="BR669" t="s">
        <v>1219</v>
      </c>
      <c r="BT669" t="s">
        <v>181</v>
      </c>
      <c r="BU669" s="1">
        <v>45517</v>
      </c>
      <c r="BV669">
        <v>35968</v>
      </c>
      <c r="BX669" t="s">
        <v>170</v>
      </c>
      <c r="BY669" t="s">
        <v>170</v>
      </c>
      <c r="CB669" t="s">
        <v>170</v>
      </c>
      <c r="CC669" t="s">
        <v>170</v>
      </c>
      <c r="CD669" t="s">
        <v>1402</v>
      </c>
      <c r="CE669" t="s">
        <v>170</v>
      </c>
      <c r="CG669" t="s">
        <v>169</v>
      </c>
      <c r="CH669" t="s">
        <v>789</v>
      </c>
      <c r="CI669" t="s">
        <v>170</v>
      </c>
      <c r="DJ669" t="s">
        <v>184</v>
      </c>
      <c r="DK669" t="s">
        <v>185</v>
      </c>
      <c r="DN669" t="s">
        <v>170</v>
      </c>
      <c r="DO669" t="s">
        <v>295</v>
      </c>
      <c r="DP669" t="s">
        <v>170</v>
      </c>
      <c r="DQ669" t="s">
        <v>187</v>
      </c>
      <c r="EB669">
        <v>6</v>
      </c>
      <c r="EC669">
        <v>6</v>
      </c>
      <c r="EE669" t="s">
        <v>1189</v>
      </c>
      <c r="EF669">
        <v>6</v>
      </c>
      <c r="EU669">
        <v>750</v>
      </c>
      <c r="EW669">
        <v>330</v>
      </c>
      <c r="EX669">
        <v>261</v>
      </c>
      <c r="EY669">
        <v>299</v>
      </c>
    </row>
    <row r="670" spans="1:155" x14ac:dyDescent="0.35">
      <c r="A670">
        <v>2025</v>
      </c>
      <c r="B670" t="s">
        <v>288</v>
      </c>
      <c r="C670" t="s">
        <v>289</v>
      </c>
      <c r="D670" t="s">
        <v>786</v>
      </c>
      <c r="E670" t="s">
        <v>291</v>
      </c>
      <c r="F670">
        <v>103</v>
      </c>
      <c r="G670">
        <v>1.6</v>
      </c>
      <c r="H670">
        <v>4</v>
      </c>
      <c r="I670" t="s">
        <v>587</v>
      </c>
      <c r="J670">
        <v>31</v>
      </c>
      <c r="K670">
        <v>36</v>
      </c>
      <c r="L670">
        <v>33</v>
      </c>
      <c r="M670">
        <v>41.2</v>
      </c>
      <c r="N670">
        <v>53</v>
      </c>
      <c r="O670">
        <v>45.787399999999998</v>
      </c>
      <c r="P670">
        <v>31.008900000000001</v>
      </c>
      <c r="Q670">
        <v>36.211500000000001</v>
      </c>
      <c r="R670">
        <v>33.152299999999997</v>
      </c>
      <c r="U670" t="s">
        <v>224</v>
      </c>
      <c r="V670" t="s">
        <v>588</v>
      </c>
      <c r="W670" t="s">
        <v>589</v>
      </c>
      <c r="Y670">
        <v>1</v>
      </c>
      <c r="Z670" t="s">
        <v>169</v>
      </c>
      <c r="AA670" t="s">
        <v>170</v>
      </c>
      <c r="AB670" t="s">
        <v>351</v>
      </c>
      <c r="AC670" t="s">
        <v>352</v>
      </c>
      <c r="AD670">
        <v>10</v>
      </c>
      <c r="AG670" t="s">
        <v>210</v>
      </c>
      <c r="AH670" t="s">
        <v>444</v>
      </c>
      <c r="AI670" t="s">
        <v>175</v>
      </c>
      <c r="AJ670" t="s">
        <v>176</v>
      </c>
      <c r="AK670" t="s">
        <v>170</v>
      </c>
      <c r="AL670" t="s">
        <v>177</v>
      </c>
      <c r="AQ670">
        <v>93</v>
      </c>
      <c r="AR670">
        <v>25</v>
      </c>
      <c r="AS670">
        <v>1600</v>
      </c>
      <c r="AT670">
        <v>1600</v>
      </c>
      <c r="BO670">
        <v>2</v>
      </c>
      <c r="BP670">
        <v>2</v>
      </c>
      <c r="BQ670">
        <v>5</v>
      </c>
      <c r="BR670" t="s">
        <v>672</v>
      </c>
      <c r="BS670" t="s">
        <v>180</v>
      </c>
      <c r="BT670" t="s">
        <v>181</v>
      </c>
      <c r="BU670" s="1">
        <v>45720</v>
      </c>
      <c r="BV670">
        <v>36054</v>
      </c>
      <c r="BX670" t="s">
        <v>170</v>
      </c>
      <c r="CB670" t="s">
        <v>170</v>
      </c>
      <c r="CC670" t="s">
        <v>170</v>
      </c>
      <c r="CE670" t="s">
        <v>170</v>
      </c>
      <c r="CG670" t="s">
        <v>169</v>
      </c>
      <c r="CH670" t="s">
        <v>625</v>
      </c>
      <c r="CI670" t="s">
        <v>170</v>
      </c>
      <c r="DJ670" t="s">
        <v>449</v>
      </c>
      <c r="DK670" t="s">
        <v>450</v>
      </c>
      <c r="DN670" t="s">
        <v>170</v>
      </c>
      <c r="DO670" t="s">
        <v>295</v>
      </c>
      <c r="DP670" t="s">
        <v>170</v>
      </c>
      <c r="DQ670" t="s">
        <v>187</v>
      </c>
      <c r="DY670">
        <v>46.5</v>
      </c>
      <c r="EB670">
        <v>6</v>
      </c>
      <c r="EC670">
        <v>6</v>
      </c>
      <c r="EE670" t="s">
        <v>787</v>
      </c>
      <c r="EF670">
        <v>6</v>
      </c>
      <c r="EU670">
        <v>1500</v>
      </c>
      <c r="EW670">
        <v>287</v>
      </c>
      <c r="EX670">
        <v>246</v>
      </c>
      <c r="EY670">
        <v>268</v>
      </c>
    </row>
    <row r="671" spans="1:155" x14ac:dyDescent="0.35">
      <c r="A671">
        <v>2025</v>
      </c>
      <c r="B671" t="s">
        <v>288</v>
      </c>
      <c r="C671" t="s">
        <v>289</v>
      </c>
      <c r="D671" t="s">
        <v>1403</v>
      </c>
      <c r="E671" t="s">
        <v>291</v>
      </c>
      <c r="F671">
        <v>226</v>
      </c>
      <c r="G671">
        <v>2</v>
      </c>
      <c r="H671">
        <v>4</v>
      </c>
      <c r="I671" t="s">
        <v>292</v>
      </c>
      <c r="J671">
        <v>21</v>
      </c>
      <c r="K671">
        <v>27</v>
      </c>
      <c r="L671">
        <v>23</v>
      </c>
      <c r="M671">
        <v>28.195900000000002</v>
      </c>
      <c r="N671">
        <v>38.8249</v>
      </c>
      <c r="O671">
        <v>32.157600000000002</v>
      </c>
      <c r="P671">
        <v>21</v>
      </c>
      <c r="Q671">
        <v>27.372499999999999</v>
      </c>
      <c r="R671">
        <v>23</v>
      </c>
      <c r="T671" t="s">
        <v>165</v>
      </c>
      <c r="U671" t="s">
        <v>166</v>
      </c>
      <c r="V671" t="s">
        <v>193</v>
      </c>
      <c r="W671" t="s">
        <v>194</v>
      </c>
      <c r="Y671">
        <v>9</v>
      </c>
      <c r="Z671" t="s">
        <v>169</v>
      </c>
      <c r="AA671" t="s">
        <v>170</v>
      </c>
      <c r="AB671" t="s">
        <v>167</v>
      </c>
      <c r="AC671" t="s">
        <v>213</v>
      </c>
      <c r="AD671">
        <v>15</v>
      </c>
      <c r="AG671" t="s">
        <v>210</v>
      </c>
      <c r="AH671" t="s">
        <v>444</v>
      </c>
      <c r="AI671" t="s">
        <v>175</v>
      </c>
      <c r="AJ671" t="s">
        <v>176</v>
      </c>
      <c r="AK671" t="s">
        <v>940</v>
      </c>
      <c r="AL671" t="s">
        <v>941</v>
      </c>
      <c r="AS671">
        <v>2300</v>
      </c>
      <c r="AT671">
        <v>2300</v>
      </c>
      <c r="BN671" t="s">
        <v>265</v>
      </c>
      <c r="BO671">
        <v>2</v>
      </c>
      <c r="BP671">
        <v>2</v>
      </c>
      <c r="BQ671">
        <v>31</v>
      </c>
      <c r="BR671" t="s">
        <v>1219</v>
      </c>
      <c r="BT671" t="s">
        <v>181</v>
      </c>
      <c r="BU671" s="1">
        <v>45646</v>
      </c>
      <c r="BV671">
        <v>35816</v>
      </c>
      <c r="BX671" t="s">
        <v>170</v>
      </c>
      <c r="CB671" t="s">
        <v>170</v>
      </c>
      <c r="CC671" t="s">
        <v>170</v>
      </c>
      <c r="CD671" t="s">
        <v>1191</v>
      </c>
      <c r="CE671" t="s">
        <v>170</v>
      </c>
      <c r="CG671" t="s">
        <v>169</v>
      </c>
      <c r="CH671" t="s">
        <v>1146</v>
      </c>
      <c r="CI671" t="s">
        <v>170</v>
      </c>
      <c r="DJ671" t="s">
        <v>267</v>
      </c>
      <c r="DK671" t="s">
        <v>268</v>
      </c>
      <c r="DN671" t="s">
        <v>170</v>
      </c>
      <c r="DO671" t="s">
        <v>295</v>
      </c>
      <c r="DP671" t="s">
        <v>169</v>
      </c>
      <c r="DQ671" t="s">
        <v>198</v>
      </c>
      <c r="EB671">
        <v>5</v>
      </c>
      <c r="EC671">
        <v>5</v>
      </c>
      <c r="EE671" t="s">
        <v>1192</v>
      </c>
      <c r="EF671">
        <v>5</v>
      </c>
      <c r="EV671">
        <v>2000</v>
      </c>
      <c r="EW671">
        <v>424</v>
      </c>
      <c r="EX671">
        <v>326</v>
      </c>
      <c r="EY671">
        <v>387</v>
      </c>
    </row>
    <row r="672" spans="1:155" x14ac:dyDescent="0.35">
      <c r="A672">
        <v>2025</v>
      </c>
      <c r="B672" t="s">
        <v>288</v>
      </c>
      <c r="C672" t="s">
        <v>289</v>
      </c>
      <c r="D672" t="s">
        <v>1190</v>
      </c>
      <c r="E672" t="s">
        <v>291</v>
      </c>
      <c r="F672">
        <v>225</v>
      </c>
      <c r="G672">
        <v>2</v>
      </c>
      <c r="H672">
        <v>4</v>
      </c>
      <c r="I672" t="s">
        <v>292</v>
      </c>
      <c r="J672">
        <v>21</v>
      </c>
      <c r="K672">
        <v>27</v>
      </c>
      <c r="L672">
        <v>23</v>
      </c>
      <c r="M672">
        <v>29.4</v>
      </c>
      <c r="N672">
        <v>41.3</v>
      </c>
      <c r="O672">
        <v>33.779899999999998</v>
      </c>
      <c r="P672">
        <v>21</v>
      </c>
      <c r="Q672">
        <v>27</v>
      </c>
      <c r="R672">
        <v>23</v>
      </c>
      <c r="T672" t="s">
        <v>165</v>
      </c>
      <c r="U672" t="s">
        <v>166</v>
      </c>
      <c r="V672" t="s">
        <v>193</v>
      </c>
      <c r="W672" t="s">
        <v>194</v>
      </c>
      <c r="Y672">
        <v>9</v>
      </c>
      <c r="Z672" t="s">
        <v>169</v>
      </c>
      <c r="AA672" t="s">
        <v>170</v>
      </c>
      <c r="AB672" t="s">
        <v>351</v>
      </c>
      <c r="AC672" t="s">
        <v>352</v>
      </c>
      <c r="AD672">
        <v>15</v>
      </c>
      <c r="AG672" t="s">
        <v>210</v>
      </c>
      <c r="AH672" t="s">
        <v>444</v>
      </c>
      <c r="AI672" t="s">
        <v>175</v>
      </c>
      <c r="AJ672" t="s">
        <v>176</v>
      </c>
      <c r="AK672" t="s">
        <v>940</v>
      </c>
      <c r="AL672" t="s">
        <v>941</v>
      </c>
      <c r="AS672">
        <v>2300</v>
      </c>
      <c r="AT672">
        <v>2300</v>
      </c>
      <c r="BN672" t="s">
        <v>265</v>
      </c>
      <c r="BO672">
        <v>2</v>
      </c>
      <c r="BP672">
        <v>2</v>
      </c>
      <c r="BQ672">
        <v>30</v>
      </c>
      <c r="BR672" t="s">
        <v>1099</v>
      </c>
      <c r="BT672" t="s">
        <v>181</v>
      </c>
      <c r="BU672" s="1">
        <v>45646</v>
      </c>
      <c r="BV672">
        <v>35815</v>
      </c>
      <c r="BX672" t="s">
        <v>170</v>
      </c>
      <c r="CB672" t="s">
        <v>170</v>
      </c>
      <c r="CC672" t="s">
        <v>170</v>
      </c>
      <c r="CD672" t="s">
        <v>1191</v>
      </c>
      <c r="CE672" t="s">
        <v>170</v>
      </c>
      <c r="CG672" t="s">
        <v>169</v>
      </c>
      <c r="CH672" t="s">
        <v>1146</v>
      </c>
      <c r="CI672" t="s">
        <v>170</v>
      </c>
      <c r="DJ672" t="s">
        <v>267</v>
      </c>
      <c r="DK672" t="s">
        <v>268</v>
      </c>
      <c r="DN672" t="s">
        <v>170</v>
      </c>
      <c r="DO672" t="s">
        <v>295</v>
      </c>
      <c r="DP672" t="s">
        <v>169</v>
      </c>
      <c r="DQ672" t="s">
        <v>198</v>
      </c>
      <c r="EB672">
        <v>5</v>
      </c>
      <c r="EC672">
        <v>5</v>
      </c>
      <c r="EE672" t="s">
        <v>1192</v>
      </c>
      <c r="EF672">
        <v>5</v>
      </c>
      <c r="EV672">
        <v>2000</v>
      </c>
      <c r="EW672">
        <v>424</v>
      </c>
      <c r="EX672">
        <v>330</v>
      </c>
      <c r="EY672">
        <v>387</v>
      </c>
    </row>
    <row r="673" spans="1:155" x14ac:dyDescent="0.35">
      <c r="A673">
        <v>2025</v>
      </c>
      <c r="B673" t="s">
        <v>288</v>
      </c>
      <c r="C673" t="s">
        <v>289</v>
      </c>
      <c r="D673" t="s">
        <v>1193</v>
      </c>
      <c r="E673" t="s">
        <v>291</v>
      </c>
      <c r="F673">
        <v>291</v>
      </c>
      <c r="G673">
        <v>3.5</v>
      </c>
      <c r="H673">
        <v>6</v>
      </c>
      <c r="I673" t="s">
        <v>292</v>
      </c>
      <c r="J673">
        <v>20</v>
      </c>
      <c r="K673">
        <v>27</v>
      </c>
      <c r="L673">
        <v>23</v>
      </c>
      <c r="M673">
        <v>25.753699999999998</v>
      </c>
      <c r="N673">
        <v>38.735500000000002</v>
      </c>
      <c r="O673">
        <v>30.327500000000001</v>
      </c>
      <c r="P673">
        <v>20.351299999999998</v>
      </c>
      <c r="Q673">
        <v>26.516300000000001</v>
      </c>
      <c r="R673">
        <v>22.729299999999999</v>
      </c>
      <c r="U673" t="s">
        <v>224</v>
      </c>
      <c r="V673" t="s">
        <v>193</v>
      </c>
      <c r="W673" t="s">
        <v>194</v>
      </c>
      <c r="Y673">
        <v>9</v>
      </c>
      <c r="Z673" t="s">
        <v>169</v>
      </c>
      <c r="AA673" t="s">
        <v>170</v>
      </c>
      <c r="AB673" t="s">
        <v>351</v>
      </c>
      <c r="AC673" t="s">
        <v>352</v>
      </c>
      <c r="AD673">
        <v>15</v>
      </c>
      <c r="AG673" t="s">
        <v>210</v>
      </c>
      <c r="AH673" t="s">
        <v>444</v>
      </c>
      <c r="AI673" t="s">
        <v>175</v>
      </c>
      <c r="AJ673" t="s">
        <v>176</v>
      </c>
      <c r="AK673" t="s">
        <v>940</v>
      </c>
      <c r="AL673" t="s">
        <v>941</v>
      </c>
      <c r="AS673">
        <v>2300</v>
      </c>
      <c r="AT673">
        <v>2300</v>
      </c>
      <c r="BN673" t="s">
        <v>178</v>
      </c>
      <c r="BO673">
        <v>2</v>
      </c>
      <c r="BP673">
        <v>2</v>
      </c>
      <c r="BQ673">
        <v>30</v>
      </c>
      <c r="BR673" t="s">
        <v>1099</v>
      </c>
      <c r="BT673" t="s">
        <v>457</v>
      </c>
      <c r="BU673" s="1">
        <v>45576</v>
      </c>
      <c r="BV673">
        <v>35503</v>
      </c>
      <c r="BX673" t="s">
        <v>170</v>
      </c>
      <c r="CB673" t="s">
        <v>170</v>
      </c>
      <c r="CC673" t="s">
        <v>170</v>
      </c>
      <c r="CE673" t="s">
        <v>170</v>
      </c>
      <c r="CG673" t="s">
        <v>169</v>
      </c>
      <c r="CH673" t="s">
        <v>1194</v>
      </c>
      <c r="CI673" t="s">
        <v>170</v>
      </c>
      <c r="DJ673" t="s">
        <v>184</v>
      </c>
      <c r="DK673" t="s">
        <v>185</v>
      </c>
      <c r="DN673" t="s">
        <v>170</v>
      </c>
      <c r="DO673" t="s">
        <v>295</v>
      </c>
      <c r="DP673" t="s">
        <v>169</v>
      </c>
      <c r="DQ673" t="s">
        <v>198</v>
      </c>
      <c r="EB673">
        <v>5</v>
      </c>
      <c r="EC673">
        <v>5</v>
      </c>
      <c r="EE673" t="s">
        <v>1195</v>
      </c>
      <c r="EF673">
        <v>4</v>
      </c>
      <c r="EV673">
        <v>2000</v>
      </c>
      <c r="EW673">
        <v>436</v>
      </c>
      <c r="EX673">
        <v>334</v>
      </c>
      <c r="EY673">
        <v>390</v>
      </c>
    </row>
    <row r="674" spans="1:155" x14ac:dyDescent="0.35">
      <c r="A674">
        <v>2025</v>
      </c>
      <c r="B674" t="s">
        <v>288</v>
      </c>
      <c r="C674" t="s">
        <v>289</v>
      </c>
      <c r="D674" t="s">
        <v>1404</v>
      </c>
      <c r="E674" t="s">
        <v>291</v>
      </c>
      <c r="F674">
        <v>292</v>
      </c>
      <c r="G674">
        <v>3.5</v>
      </c>
      <c r="H674">
        <v>6</v>
      </c>
      <c r="I674" t="s">
        <v>292</v>
      </c>
      <c r="J674">
        <v>21</v>
      </c>
      <c r="K674">
        <v>27</v>
      </c>
      <c r="L674">
        <v>23</v>
      </c>
      <c r="M674">
        <v>26.7</v>
      </c>
      <c r="N674">
        <v>40.5</v>
      </c>
      <c r="O674">
        <v>31.535399999999999</v>
      </c>
      <c r="P674">
        <v>21.034700000000001</v>
      </c>
      <c r="Q674">
        <v>27.235499999999998</v>
      </c>
      <c r="R674">
        <v>23.4358</v>
      </c>
      <c r="U674" t="s">
        <v>224</v>
      </c>
      <c r="V674" t="s">
        <v>193</v>
      </c>
      <c r="W674" t="s">
        <v>194</v>
      </c>
      <c r="Y674">
        <v>9</v>
      </c>
      <c r="Z674" t="s">
        <v>169</v>
      </c>
      <c r="AA674" t="s">
        <v>170</v>
      </c>
      <c r="AB674">
        <v>4</v>
      </c>
      <c r="AC674" t="s">
        <v>601</v>
      </c>
      <c r="AD674">
        <v>15</v>
      </c>
      <c r="AG674" t="s">
        <v>210</v>
      </c>
      <c r="AH674" t="s">
        <v>444</v>
      </c>
      <c r="AI674" t="s">
        <v>175</v>
      </c>
      <c r="AJ674" t="s">
        <v>176</v>
      </c>
      <c r="AK674" t="s">
        <v>940</v>
      </c>
      <c r="AL674" t="s">
        <v>941</v>
      </c>
      <c r="AS674">
        <v>2300</v>
      </c>
      <c r="AT674">
        <v>2300</v>
      </c>
      <c r="BN674" t="s">
        <v>178</v>
      </c>
      <c r="BO674">
        <v>2</v>
      </c>
      <c r="BP674">
        <v>2</v>
      </c>
      <c r="BQ674">
        <v>31</v>
      </c>
      <c r="BR674" t="s">
        <v>1219</v>
      </c>
      <c r="BT674" t="s">
        <v>457</v>
      </c>
      <c r="BU674" s="1">
        <v>45576</v>
      </c>
      <c r="BV674">
        <v>35504</v>
      </c>
      <c r="BX674" t="s">
        <v>170</v>
      </c>
      <c r="CB674" t="s">
        <v>170</v>
      </c>
      <c r="CC674" t="s">
        <v>170</v>
      </c>
      <c r="CE674" t="s">
        <v>170</v>
      </c>
      <c r="CG674" t="s">
        <v>169</v>
      </c>
      <c r="CH674" t="s">
        <v>1194</v>
      </c>
      <c r="CI674" t="s">
        <v>170</v>
      </c>
      <c r="DJ674" t="s">
        <v>184</v>
      </c>
      <c r="DK674" t="s">
        <v>185</v>
      </c>
      <c r="DN674" t="s">
        <v>170</v>
      </c>
      <c r="DO674" t="s">
        <v>295</v>
      </c>
      <c r="DP674" t="s">
        <v>169</v>
      </c>
      <c r="DQ674" t="s">
        <v>198</v>
      </c>
      <c r="EB674">
        <v>5</v>
      </c>
      <c r="EC674">
        <v>5</v>
      </c>
      <c r="EE674" t="s">
        <v>1195</v>
      </c>
      <c r="EF674">
        <v>4</v>
      </c>
      <c r="EV674">
        <v>2000</v>
      </c>
      <c r="EW674">
        <v>424</v>
      </c>
      <c r="EX674">
        <v>325</v>
      </c>
      <c r="EY674">
        <v>379</v>
      </c>
    </row>
    <row r="675" spans="1:155" x14ac:dyDescent="0.35">
      <c r="A675">
        <v>2025</v>
      </c>
      <c r="B675" t="s">
        <v>288</v>
      </c>
      <c r="C675" t="s">
        <v>289</v>
      </c>
      <c r="D675" t="s">
        <v>1644</v>
      </c>
      <c r="E675" t="s">
        <v>291</v>
      </c>
      <c r="F675">
        <v>293</v>
      </c>
      <c r="G675">
        <v>3.5</v>
      </c>
      <c r="H675">
        <v>6</v>
      </c>
      <c r="I675" t="s">
        <v>292</v>
      </c>
      <c r="J675">
        <v>20</v>
      </c>
      <c r="K675">
        <v>25</v>
      </c>
      <c r="L675">
        <v>22</v>
      </c>
      <c r="M675">
        <v>25.5</v>
      </c>
      <c r="N675">
        <v>38.6</v>
      </c>
      <c r="O675">
        <v>30.096299999999999</v>
      </c>
      <c r="P675">
        <v>20.167300000000001</v>
      </c>
      <c r="Q675">
        <v>25.084700000000002</v>
      </c>
      <c r="R675">
        <v>22.118500000000001</v>
      </c>
      <c r="U675" t="s">
        <v>224</v>
      </c>
      <c r="V675" t="s">
        <v>193</v>
      </c>
      <c r="W675" t="s">
        <v>194</v>
      </c>
      <c r="Y675">
        <v>9</v>
      </c>
      <c r="Z675" t="s">
        <v>169</v>
      </c>
      <c r="AA675" t="s">
        <v>170</v>
      </c>
      <c r="AB675">
        <v>4</v>
      </c>
      <c r="AC675" t="s">
        <v>601</v>
      </c>
      <c r="AD675">
        <v>15</v>
      </c>
      <c r="AG675" t="s">
        <v>210</v>
      </c>
      <c r="AH675" t="s">
        <v>444</v>
      </c>
      <c r="AI675" t="s">
        <v>175</v>
      </c>
      <c r="AJ675" t="s">
        <v>176</v>
      </c>
      <c r="AK675" t="s">
        <v>940</v>
      </c>
      <c r="AL675" t="s">
        <v>941</v>
      </c>
      <c r="AS675">
        <v>2400</v>
      </c>
      <c r="AT675">
        <v>2400</v>
      </c>
      <c r="BN675" t="s">
        <v>178</v>
      </c>
      <c r="BO675">
        <v>2</v>
      </c>
      <c r="BP675">
        <v>2</v>
      </c>
      <c r="BQ675">
        <v>33</v>
      </c>
      <c r="BR675" t="s">
        <v>1497</v>
      </c>
      <c r="BT675" t="s">
        <v>457</v>
      </c>
      <c r="BU675" s="1">
        <v>45576</v>
      </c>
      <c r="BV675">
        <v>35505</v>
      </c>
      <c r="BX675" t="s">
        <v>169</v>
      </c>
      <c r="CB675" t="s">
        <v>170</v>
      </c>
      <c r="CC675" t="s">
        <v>170</v>
      </c>
      <c r="CE675" t="s">
        <v>170</v>
      </c>
      <c r="CG675" t="s">
        <v>169</v>
      </c>
      <c r="CH675" t="s">
        <v>1194</v>
      </c>
      <c r="CI675" t="s">
        <v>170</v>
      </c>
      <c r="DJ675" t="s">
        <v>184</v>
      </c>
      <c r="DK675" t="s">
        <v>185</v>
      </c>
      <c r="DN675" t="s">
        <v>170</v>
      </c>
      <c r="DO675" t="s">
        <v>295</v>
      </c>
      <c r="DP675" t="s">
        <v>169</v>
      </c>
      <c r="DQ675" t="s">
        <v>198</v>
      </c>
      <c r="EB675">
        <v>5</v>
      </c>
      <c r="EC675">
        <v>5</v>
      </c>
      <c r="EE675" t="s">
        <v>1195</v>
      </c>
      <c r="EF675">
        <v>4</v>
      </c>
      <c r="EV675">
        <v>2500</v>
      </c>
      <c r="EW675">
        <v>441</v>
      </c>
      <c r="EX675">
        <v>350</v>
      </c>
      <c r="EY675">
        <v>400</v>
      </c>
    </row>
    <row r="676" spans="1:155" x14ac:dyDescent="0.35">
      <c r="A676">
        <v>2025</v>
      </c>
      <c r="B676" t="s">
        <v>288</v>
      </c>
      <c r="C676" t="s">
        <v>289</v>
      </c>
      <c r="D676" t="s">
        <v>1405</v>
      </c>
      <c r="E676" t="s">
        <v>291</v>
      </c>
      <c r="F676">
        <v>296</v>
      </c>
      <c r="G676">
        <v>3.5</v>
      </c>
      <c r="H676">
        <v>6</v>
      </c>
      <c r="I676" t="s">
        <v>292</v>
      </c>
      <c r="J676">
        <v>20</v>
      </c>
      <c r="K676">
        <v>23</v>
      </c>
      <c r="L676">
        <v>21</v>
      </c>
      <c r="M676">
        <v>24.9</v>
      </c>
      <c r="N676">
        <v>35.200000000000003</v>
      </c>
      <c r="O676">
        <v>28.675899999999999</v>
      </c>
      <c r="P676">
        <v>19.731100000000001</v>
      </c>
      <c r="Q676">
        <v>23.419499999999999</v>
      </c>
      <c r="R676">
        <v>21.2361</v>
      </c>
      <c r="U676" t="s">
        <v>224</v>
      </c>
      <c r="V676" t="s">
        <v>193</v>
      </c>
      <c r="W676" t="s">
        <v>194</v>
      </c>
      <c r="Y676">
        <v>9</v>
      </c>
      <c r="Z676" t="s">
        <v>169</v>
      </c>
      <c r="AA676" t="s">
        <v>170</v>
      </c>
      <c r="AB676">
        <v>4</v>
      </c>
      <c r="AC676" t="s">
        <v>601</v>
      </c>
      <c r="AD676">
        <v>15</v>
      </c>
      <c r="AG676" t="s">
        <v>173</v>
      </c>
      <c r="AH676" t="s">
        <v>174</v>
      </c>
      <c r="AI676" t="s">
        <v>175</v>
      </c>
      <c r="AJ676" t="s">
        <v>176</v>
      </c>
      <c r="AK676" t="s">
        <v>940</v>
      </c>
      <c r="AL676" t="s">
        <v>941</v>
      </c>
      <c r="AS676">
        <v>3050</v>
      </c>
      <c r="AT676">
        <v>3050</v>
      </c>
      <c r="BN676" t="s">
        <v>178</v>
      </c>
      <c r="BO676">
        <v>2</v>
      </c>
      <c r="BP676">
        <v>2</v>
      </c>
      <c r="BQ676">
        <v>31</v>
      </c>
      <c r="BR676" t="s">
        <v>1219</v>
      </c>
      <c r="BT676" t="s">
        <v>457</v>
      </c>
      <c r="BU676" s="1">
        <v>45576</v>
      </c>
      <c r="BV676">
        <v>35506</v>
      </c>
      <c r="BX676" t="s">
        <v>169</v>
      </c>
      <c r="CB676" t="s">
        <v>170</v>
      </c>
      <c r="CC676" t="s">
        <v>170</v>
      </c>
      <c r="CE676" t="s">
        <v>170</v>
      </c>
      <c r="CG676" t="s">
        <v>169</v>
      </c>
      <c r="CH676" t="s">
        <v>294</v>
      </c>
      <c r="CI676" t="s">
        <v>170</v>
      </c>
      <c r="DJ676" t="s">
        <v>184</v>
      </c>
      <c r="DK676" t="s">
        <v>185</v>
      </c>
      <c r="DN676" t="s">
        <v>170</v>
      </c>
      <c r="DO676" t="s">
        <v>295</v>
      </c>
      <c r="DP676" t="s">
        <v>169</v>
      </c>
      <c r="DQ676" t="s">
        <v>198</v>
      </c>
      <c r="EB676">
        <v>4</v>
      </c>
      <c r="EC676">
        <v>4</v>
      </c>
      <c r="EE676" t="s">
        <v>1406</v>
      </c>
      <c r="EF676">
        <v>4</v>
      </c>
      <c r="EV676">
        <v>5750</v>
      </c>
      <c r="EW676">
        <v>452</v>
      </c>
      <c r="EX676">
        <v>377</v>
      </c>
      <c r="EY676">
        <v>418</v>
      </c>
    </row>
    <row r="677" spans="1:155" x14ac:dyDescent="0.35">
      <c r="A677">
        <v>2025</v>
      </c>
      <c r="B677" t="s">
        <v>288</v>
      </c>
      <c r="C677" t="s">
        <v>289</v>
      </c>
      <c r="D677" t="s">
        <v>1407</v>
      </c>
      <c r="E677" t="s">
        <v>291</v>
      </c>
      <c r="F677">
        <v>197</v>
      </c>
      <c r="G677">
        <v>1.5</v>
      </c>
      <c r="H677">
        <v>3</v>
      </c>
      <c r="I677" t="s">
        <v>793</v>
      </c>
      <c r="J677">
        <v>28</v>
      </c>
      <c r="K677">
        <v>35</v>
      </c>
      <c r="L677">
        <v>31</v>
      </c>
      <c r="M677">
        <v>40.200000000000003</v>
      </c>
      <c r="N677">
        <v>55.3</v>
      </c>
      <c r="O677">
        <v>45.831600000000002</v>
      </c>
      <c r="P677">
        <v>28</v>
      </c>
      <c r="Q677">
        <v>35</v>
      </c>
      <c r="R677">
        <v>31</v>
      </c>
      <c r="T677" t="s">
        <v>165</v>
      </c>
      <c r="U677" t="s">
        <v>166</v>
      </c>
      <c r="V677" t="s">
        <v>463</v>
      </c>
      <c r="W677" t="s">
        <v>464</v>
      </c>
      <c r="Y677">
        <v>8</v>
      </c>
      <c r="Z677" t="s">
        <v>169</v>
      </c>
      <c r="AA677" t="s">
        <v>170</v>
      </c>
      <c r="AB677" t="s">
        <v>167</v>
      </c>
      <c r="AC677" t="s">
        <v>213</v>
      </c>
      <c r="AD677">
        <v>15</v>
      </c>
      <c r="AG677" t="s">
        <v>210</v>
      </c>
      <c r="AH677" t="s">
        <v>444</v>
      </c>
      <c r="AI677" t="s">
        <v>175</v>
      </c>
      <c r="AJ677" t="s">
        <v>176</v>
      </c>
      <c r="AK677" t="s">
        <v>940</v>
      </c>
      <c r="AL677" t="s">
        <v>941</v>
      </c>
      <c r="AS677">
        <v>1700</v>
      </c>
      <c r="AT677">
        <v>1700</v>
      </c>
      <c r="BN677" t="s">
        <v>178</v>
      </c>
      <c r="BO677">
        <v>2</v>
      </c>
      <c r="BP677">
        <v>2</v>
      </c>
      <c r="BQ677">
        <v>31</v>
      </c>
      <c r="BR677" t="s">
        <v>1219</v>
      </c>
      <c r="BT677" t="s">
        <v>181</v>
      </c>
      <c r="BU677" s="1">
        <v>45532</v>
      </c>
      <c r="BV677">
        <v>35204</v>
      </c>
      <c r="BX677" t="s">
        <v>170</v>
      </c>
      <c r="CB677" t="s">
        <v>170</v>
      </c>
      <c r="CC677" t="s">
        <v>170</v>
      </c>
      <c r="CE677" t="s">
        <v>170</v>
      </c>
      <c r="CG677" t="s">
        <v>169</v>
      </c>
      <c r="CH677" t="s">
        <v>1197</v>
      </c>
      <c r="CI677" t="s">
        <v>170</v>
      </c>
      <c r="DJ677" t="s">
        <v>184</v>
      </c>
      <c r="DK677" t="s">
        <v>185</v>
      </c>
      <c r="DN677" t="s">
        <v>170</v>
      </c>
      <c r="DO677" t="s">
        <v>295</v>
      </c>
      <c r="DP677" t="s">
        <v>169</v>
      </c>
      <c r="DQ677" t="s">
        <v>198</v>
      </c>
      <c r="EB677">
        <v>6</v>
      </c>
      <c r="EC677">
        <v>6</v>
      </c>
      <c r="EE677" t="s">
        <v>1198</v>
      </c>
      <c r="EF677">
        <v>5</v>
      </c>
      <c r="EU677">
        <v>1000</v>
      </c>
      <c r="EW677">
        <v>317</v>
      </c>
      <c r="EX677">
        <v>254</v>
      </c>
      <c r="EY677">
        <v>287</v>
      </c>
    </row>
    <row r="678" spans="1:155" x14ac:dyDescent="0.35">
      <c r="A678">
        <v>2025</v>
      </c>
      <c r="B678" t="s">
        <v>288</v>
      </c>
      <c r="C678" t="s">
        <v>289</v>
      </c>
      <c r="D678" t="s">
        <v>1408</v>
      </c>
      <c r="E678" t="s">
        <v>291</v>
      </c>
      <c r="F678">
        <v>199</v>
      </c>
      <c r="G678">
        <v>1.5</v>
      </c>
      <c r="H678">
        <v>3</v>
      </c>
      <c r="I678" t="s">
        <v>793</v>
      </c>
      <c r="J678">
        <v>27</v>
      </c>
      <c r="K678">
        <v>32</v>
      </c>
      <c r="L678">
        <v>29</v>
      </c>
      <c r="M678">
        <v>36.1</v>
      </c>
      <c r="N678">
        <v>46.2</v>
      </c>
      <c r="O678">
        <v>40.038899999999998</v>
      </c>
      <c r="P678">
        <v>27</v>
      </c>
      <c r="Q678">
        <v>32.040500000000002</v>
      </c>
      <c r="R678">
        <v>29.438199999999998</v>
      </c>
      <c r="T678" t="s">
        <v>165</v>
      </c>
      <c r="U678" t="s">
        <v>166</v>
      </c>
      <c r="V678" t="s">
        <v>463</v>
      </c>
      <c r="W678" t="s">
        <v>464</v>
      </c>
      <c r="Y678">
        <v>8</v>
      </c>
      <c r="Z678" t="s">
        <v>169</v>
      </c>
      <c r="AA678" t="s">
        <v>170</v>
      </c>
      <c r="AB678" t="s">
        <v>167</v>
      </c>
      <c r="AC678" t="s">
        <v>213</v>
      </c>
      <c r="AD678">
        <v>15</v>
      </c>
      <c r="AG678" t="s">
        <v>210</v>
      </c>
      <c r="AH678" t="s">
        <v>444</v>
      </c>
      <c r="AI678" t="s">
        <v>175</v>
      </c>
      <c r="AJ678" t="s">
        <v>176</v>
      </c>
      <c r="AK678" t="s">
        <v>940</v>
      </c>
      <c r="AL678" t="s">
        <v>941</v>
      </c>
      <c r="AS678">
        <v>1800</v>
      </c>
      <c r="AT678">
        <v>1800</v>
      </c>
      <c r="BN678" t="s">
        <v>178</v>
      </c>
      <c r="BO678">
        <v>2</v>
      </c>
      <c r="BP678">
        <v>2</v>
      </c>
      <c r="BQ678">
        <v>31</v>
      </c>
      <c r="BR678" t="s">
        <v>1219</v>
      </c>
      <c r="BT678" t="s">
        <v>181</v>
      </c>
      <c r="BU678" s="1">
        <v>45532</v>
      </c>
      <c r="BV678">
        <v>35186</v>
      </c>
      <c r="BX678" t="s">
        <v>169</v>
      </c>
      <c r="CB678" t="s">
        <v>170</v>
      </c>
      <c r="CC678" t="s">
        <v>170</v>
      </c>
      <c r="CE678" t="s">
        <v>170</v>
      </c>
      <c r="CG678" t="s">
        <v>169</v>
      </c>
      <c r="CH678" t="s">
        <v>1197</v>
      </c>
      <c r="CI678" t="s">
        <v>170</v>
      </c>
      <c r="DJ678" t="s">
        <v>184</v>
      </c>
      <c r="DK678" t="s">
        <v>185</v>
      </c>
      <c r="DN678" t="s">
        <v>170</v>
      </c>
      <c r="DO678" t="s">
        <v>295</v>
      </c>
      <c r="DP678" t="s">
        <v>169</v>
      </c>
      <c r="DQ678" t="s">
        <v>198</v>
      </c>
      <c r="EB678">
        <v>6</v>
      </c>
      <c r="EC678">
        <v>6</v>
      </c>
      <c r="EE678" t="s">
        <v>1409</v>
      </c>
      <c r="EF678">
        <v>5</v>
      </c>
      <c r="EU678">
        <v>500</v>
      </c>
      <c r="EW678">
        <v>330</v>
      </c>
      <c r="EX678">
        <v>278</v>
      </c>
      <c r="EY678">
        <v>307</v>
      </c>
    </row>
    <row r="679" spans="1:155" x14ac:dyDescent="0.35">
      <c r="A679">
        <v>2025</v>
      </c>
      <c r="B679" t="s">
        <v>288</v>
      </c>
      <c r="C679" t="s">
        <v>289</v>
      </c>
      <c r="D679" t="s">
        <v>1410</v>
      </c>
      <c r="E679" t="s">
        <v>291</v>
      </c>
      <c r="F679">
        <v>198</v>
      </c>
      <c r="G679">
        <v>1.5</v>
      </c>
      <c r="H679">
        <v>3</v>
      </c>
      <c r="I679" t="s">
        <v>793</v>
      </c>
      <c r="J679">
        <v>28</v>
      </c>
      <c r="K679">
        <v>34</v>
      </c>
      <c r="L679">
        <v>31</v>
      </c>
      <c r="M679">
        <v>39</v>
      </c>
      <c r="N679">
        <v>53</v>
      </c>
      <c r="O679">
        <v>44.261200000000002</v>
      </c>
      <c r="P679">
        <v>28</v>
      </c>
      <c r="Q679">
        <v>34</v>
      </c>
      <c r="R679">
        <v>31</v>
      </c>
      <c r="T679" t="s">
        <v>165</v>
      </c>
      <c r="U679" t="s">
        <v>166</v>
      </c>
      <c r="V679" t="s">
        <v>463</v>
      </c>
      <c r="W679" t="s">
        <v>464</v>
      </c>
      <c r="Y679">
        <v>8</v>
      </c>
      <c r="Z679" t="s">
        <v>169</v>
      </c>
      <c r="AA679" t="s">
        <v>170</v>
      </c>
      <c r="AB679" t="s">
        <v>167</v>
      </c>
      <c r="AC679" t="s">
        <v>213</v>
      </c>
      <c r="AD679">
        <v>15</v>
      </c>
      <c r="AG679" t="s">
        <v>210</v>
      </c>
      <c r="AH679" t="s">
        <v>444</v>
      </c>
      <c r="AI679" t="s">
        <v>175</v>
      </c>
      <c r="AJ679" t="s">
        <v>176</v>
      </c>
      <c r="AK679" t="s">
        <v>940</v>
      </c>
      <c r="AL679" t="s">
        <v>941</v>
      </c>
      <c r="AS679">
        <v>1700</v>
      </c>
      <c r="AT679">
        <v>1700</v>
      </c>
      <c r="BN679" t="s">
        <v>178</v>
      </c>
      <c r="BO679">
        <v>2</v>
      </c>
      <c r="BP679">
        <v>2</v>
      </c>
      <c r="BQ679">
        <v>31</v>
      </c>
      <c r="BR679" t="s">
        <v>1219</v>
      </c>
      <c r="BT679" t="s">
        <v>181</v>
      </c>
      <c r="BU679" s="1">
        <v>45532</v>
      </c>
      <c r="BV679">
        <v>35205</v>
      </c>
      <c r="BX679" t="s">
        <v>169</v>
      </c>
      <c r="CB679" t="s">
        <v>170</v>
      </c>
      <c r="CC679" t="s">
        <v>170</v>
      </c>
      <c r="CE679" t="s">
        <v>170</v>
      </c>
      <c r="CG679" t="s">
        <v>169</v>
      </c>
      <c r="CH679" t="s">
        <v>1197</v>
      </c>
      <c r="CI679" t="s">
        <v>170</v>
      </c>
      <c r="DJ679" t="s">
        <v>184</v>
      </c>
      <c r="DK679" t="s">
        <v>185</v>
      </c>
      <c r="DN679" t="s">
        <v>170</v>
      </c>
      <c r="DO679" t="s">
        <v>295</v>
      </c>
      <c r="DP679" t="s">
        <v>169</v>
      </c>
      <c r="DQ679" t="s">
        <v>198</v>
      </c>
      <c r="EB679">
        <v>6</v>
      </c>
      <c r="EC679">
        <v>6</v>
      </c>
      <c r="EE679" t="s">
        <v>1198</v>
      </c>
      <c r="EF679">
        <v>5</v>
      </c>
      <c r="EU679">
        <v>1000</v>
      </c>
      <c r="EW679">
        <v>318</v>
      </c>
      <c r="EX679">
        <v>262</v>
      </c>
      <c r="EY679">
        <v>287</v>
      </c>
    </row>
    <row r="680" spans="1:155" x14ac:dyDescent="0.35">
      <c r="A680">
        <v>2025</v>
      </c>
      <c r="B680" t="s">
        <v>288</v>
      </c>
      <c r="C680" t="s">
        <v>289</v>
      </c>
      <c r="D680" t="s">
        <v>1196</v>
      </c>
      <c r="E680" t="s">
        <v>291</v>
      </c>
      <c r="F680">
        <v>195</v>
      </c>
      <c r="G680">
        <v>1.5</v>
      </c>
      <c r="H680">
        <v>3</v>
      </c>
      <c r="I680" t="s">
        <v>793</v>
      </c>
      <c r="J680">
        <v>30</v>
      </c>
      <c r="K680">
        <v>37</v>
      </c>
      <c r="L680">
        <v>33</v>
      </c>
      <c r="M680">
        <v>41.423099999999998</v>
      </c>
      <c r="N680">
        <v>57</v>
      </c>
      <c r="O680">
        <v>47.231499999999997</v>
      </c>
      <c r="P680">
        <v>30</v>
      </c>
      <c r="Q680">
        <v>37</v>
      </c>
      <c r="R680">
        <v>33</v>
      </c>
      <c r="T680" t="s">
        <v>165</v>
      </c>
      <c r="U680" t="s">
        <v>166</v>
      </c>
      <c r="V680" t="s">
        <v>463</v>
      </c>
      <c r="W680" t="s">
        <v>464</v>
      </c>
      <c r="Y680">
        <v>8</v>
      </c>
      <c r="Z680" t="s">
        <v>169</v>
      </c>
      <c r="AA680" t="s">
        <v>170</v>
      </c>
      <c r="AB680" t="s">
        <v>351</v>
      </c>
      <c r="AC680" t="s">
        <v>352</v>
      </c>
      <c r="AD680">
        <v>15</v>
      </c>
      <c r="AG680" t="s">
        <v>210</v>
      </c>
      <c r="AH680" t="s">
        <v>444</v>
      </c>
      <c r="AI680" t="s">
        <v>175</v>
      </c>
      <c r="AJ680" t="s">
        <v>176</v>
      </c>
      <c r="AK680" t="s">
        <v>940</v>
      </c>
      <c r="AL680" t="s">
        <v>941</v>
      </c>
      <c r="AS680">
        <v>1600</v>
      </c>
      <c r="AT680">
        <v>1600</v>
      </c>
      <c r="BN680" t="s">
        <v>178</v>
      </c>
      <c r="BO680">
        <v>2</v>
      </c>
      <c r="BP680">
        <v>2</v>
      </c>
      <c r="BQ680">
        <v>30</v>
      </c>
      <c r="BR680" t="s">
        <v>1099</v>
      </c>
      <c r="BT680" t="s">
        <v>181</v>
      </c>
      <c r="BU680" s="1">
        <v>45532</v>
      </c>
      <c r="BV680">
        <v>35203</v>
      </c>
      <c r="BX680" t="s">
        <v>170</v>
      </c>
      <c r="CB680" t="s">
        <v>170</v>
      </c>
      <c r="CC680" t="s">
        <v>170</v>
      </c>
      <c r="CE680" t="s">
        <v>170</v>
      </c>
      <c r="CG680" t="s">
        <v>169</v>
      </c>
      <c r="CH680" t="s">
        <v>1197</v>
      </c>
      <c r="CI680" t="s">
        <v>170</v>
      </c>
      <c r="DJ680" t="s">
        <v>184</v>
      </c>
      <c r="DK680" t="s">
        <v>185</v>
      </c>
      <c r="DN680" t="s">
        <v>170</v>
      </c>
      <c r="DO680" t="s">
        <v>295</v>
      </c>
      <c r="DP680" t="s">
        <v>169</v>
      </c>
      <c r="DQ680" t="s">
        <v>198</v>
      </c>
      <c r="EB680">
        <v>6</v>
      </c>
      <c r="EC680">
        <v>6</v>
      </c>
      <c r="EE680" t="s">
        <v>1198</v>
      </c>
      <c r="EF680">
        <v>5</v>
      </c>
      <c r="EU680">
        <v>1500</v>
      </c>
      <c r="EW680">
        <v>296</v>
      </c>
      <c r="EX680">
        <v>240</v>
      </c>
      <c r="EY680">
        <v>269</v>
      </c>
    </row>
    <row r="681" spans="1:155" x14ac:dyDescent="0.35">
      <c r="A681">
        <v>2025</v>
      </c>
      <c r="B681" t="s">
        <v>288</v>
      </c>
      <c r="C681" t="s">
        <v>289</v>
      </c>
      <c r="D681" t="s">
        <v>1199</v>
      </c>
      <c r="E681" t="s">
        <v>291</v>
      </c>
      <c r="F681">
        <v>196</v>
      </c>
      <c r="G681">
        <v>1.5</v>
      </c>
      <c r="H681">
        <v>3</v>
      </c>
      <c r="I681" t="s">
        <v>793</v>
      </c>
      <c r="J681">
        <v>29</v>
      </c>
      <c r="K681">
        <v>36</v>
      </c>
      <c r="L681">
        <v>32</v>
      </c>
      <c r="M681">
        <v>40.6</v>
      </c>
      <c r="N681">
        <v>56</v>
      </c>
      <c r="O681">
        <v>46.333799999999997</v>
      </c>
      <c r="P681">
        <v>29</v>
      </c>
      <c r="Q681">
        <v>36</v>
      </c>
      <c r="R681">
        <v>32</v>
      </c>
      <c r="T681" t="s">
        <v>165</v>
      </c>
      <c r="U681" t="s">
        <v>166</v>
      </c>
      <c r="V681" t="s">
        <v>463</v>
      </c>
      <c r="W681" t="s">
        <v>464</v>
      </c>
      <c r="Y681">
        <v>8</v>
      </c>
      <c r="Z681" t="s">
        <v>169</v>
      </c>
      <c r="AA681" t="s">
        <v>170</v>
      </c>
      <c r="AB681" t="s">
        <v>351</v>
      </c>
      <c r="AC681" t="s">
        <v>352</v>
      </c>
      <c r="AD681">
        <v>15</v>
      </c>
      <c r="AG681" t="s">
        <v>210</v>
      </c>
      <c r="AH681" t="s">
        <v>444</v>
      </c>
      <c r="AI681" t="s">
        <v>175</v>
      </c>
      <c r="AJ681" t="s">
        <v>176</v>
      </c>
      <c r="AK681" t="s">
        <v>940</v>
      </c>
      <c r="AL681" t="s">
        <v>941</v>
      </c>
      <c r="AS681">
        <v>1650</v>
      </c>
      <c r="AT681">
        <v>1650</v>
      </c>
      <c r="BN681" t="s">
        <v>178</v>
      </c>
      <c r="BO681">
        <v>2</v>
      </c>
      <c r="BP681">
        <v>2</v>
      </c>
      <c r="BQ681">
        <v>30</v>
      </c>
      <c r="BR681" t="s">
        <v>1099</v>
      </c>
      <c r="BT681" t="s">
        <v>181</v>
      </c>
      <c r="BU681" s="1">
        <v>45532</v>
      </c>
      <c r="BV681">
        <v>35206</v>
      </c>
      <c r="BX681" t="s">
        <v>169</v>
      </c>
      <c r="CB681" t="s">
        <v>170</v>
      </c>
      <c r="CC681" t="s">
        <v>170</v>
      </c>
      <c r="CE681" t="s">
        <v>170</v>
      </c>
      <c r="CG681" t="s">
        <v>169</v>
      </c>
      <c r="CH681" t="s">
        <v>1197</v>
      </c>
      <c r="CI681" t="s">
        <v>170</v>
      </c>
      <c r="DJ681" t="s">
        <v>184</v>
      </c>
      <c r="DK681" t="s">
        <v>185</v>
      </c>
      <c r="DN681" t="s">
        <v>170</v>
      </c>
      <c r="DO681" t="s">
        <v>295</v>
      </c>
      <c r="DP681" t="s">
        <v>169</v>
      </c>
      <c r="DQ681" t="s">
        <v>198</v>
      </c>
      <c r="EB681">
        <v>6</v>
      </c>
      <c r="EC681">
        <v>6</v>
      </c>
      <c r="EE681" t="s">
        <v>1198</v>
      </c>
      <c r="EF681">
        <v>5</v>
      </c>
      <c r="EU681">
        <v>1250</v>
      </c>
      <c r="EW681">
        <v>307</v>
      </c>
      <c r="EX681">
        <v>247</v>
      </c>
      <c r="EY681">
        <v>278</v>
      </c>
    </row>
    <row r="682" spans="1:155" x14ac:dyDescent="0.35">
      <c r="A682">
        <v>2025</v>
      </c>
      <c r="B682" t="s">
        <v>288</v>
      </c>
      <c r="C682" t="s">
        <v>289</v>
      </c>
      <c r="D682" t="s">
        <v>788</v>
      </c>
      <c r="E682" t="s">
        <v>291</v>
      </c>
      <c r="F682">
        <v>205</v>
      </c>
      <c r="G682">
        <v>2</v>
      </c>
      <c r="H682">
        <v>4</v>
      </c>
      <c r="I682" t="s">
        <v>587</v>
      </c>
      <c r="J682">
        <v>30</v>
      </c>
      <c r="K682">
        <v>40</v>
      </c>
      <c r="L682">
        <v>34</v>
      </c>
      <c r="M682">
        <v>43.632399999999997</v>
      </c>
      <c r="N682">
        <v>59.994399999999999</v>
      </c>
      <c r="O682">
        <v>49.736400000000003</v>
      </c>
      <c r="P682">
        <v>30</v>
      </c>
      <c r="Q682">
        <v>40.374699999999997</v>
      </c>
      <c r="R682">
        <v>34</v>
      </c>
      <c r="U682" t="s">
        <v>224</v>
      </c>
      <c r="V682" t="s">
        <v>588</v>
      </c>
      <c r="W682" t="s">
        <v>589</v>
      </c>
      <c r="Y682">
        <v>1</v>
      </c>
      <c r="Z682" t="s">
        <v>169</v>
      </c>
      <c r="AA682" t="s">
        <v>170</v>
      </c>
      <c r="AB682" t="s">
        <v>351</v>
      </c>
      <c r="AC682" t="s">
        <v>352</v>
      </c>
      <c r="AD682">
        <v>10</v>
      </c>
      <c r="AG682" t="s">
        <v>210</v>
      </c>
      <c r="AH682" t="s">
        <v>444</v>
      </c>
      <c r="AI682" t="s">
        <v>175</v>
      </c>
      <c r="AJ682" t="s">
        <v>176</v>
      </c>
      <c r="AK682" t="s">
        <v>170</v>
      </c>
      <c r="AL682" t="s">
        <v>177</v>
      </c>
      <c r="AO682">
        <v>96</v>
      </c>
      <c r="AP682">
        <v>14</v>
      </c>
      <c r="AS682">
        <v>1550</v>
      </c>
      <c r="AT682">
        <v>1550</v>
      </c>
      <c r="BN682" t="s">
        <v>178</v>
      </c>
      <c r="BO682">
        <v>2</v>
      </c>
      <c r="BP682">
        <v>2</v>
      </c>
      <c r="BQ682">
        <v>5</v>
      </c>
      <c r="BR682" t="s">
        <v>672</v>
      </c>
      <c r="BS682" t="s">
        <v>180</v>
      </c>
      <c r="BT682" t="s">
        <v>181</v>
      </c>
      <c r="BU682" s="1">
        <v>45541</v>
      </c>
      <c r="BV682">
        <v>35092</v>
      </c>
      <c r="BX682" t="s">
        <v>170</v>
      </c>
      <c r="CB682" t="s">
        <v>170</v>
      </c>
      <c r="CC682" t="s">
        <v>170</v>
      </c>
      <c r="CE682" t="s">
        <v>170</v>
      </c>
      <c r="CG682" t="s">
        <v>169</v>
      </c>
      <c r="CH682" t="s">
        <v>789</v>
      </c>
      <c r="CI682" t="s">
        <v>170</v>
      </c>
      <c r="DJ682" t="s">
        <v>184</v>
      </c>
      <c r="DK682" t="s">
        <v>185</v>
      </c>
      <c r="DN682" t="s">
        <v>170</v>
      </c>
      <c r="DO682" t="s">
        <v>295</v>
      </c>
      <c r="DP682" t="s">
        <v>169</v>
      </c>
      <c r="DQ682" t="s">
        <v>198</v>
      </c>
      <c r="DY682">
        <v>50.1</v>
      </c>
      <c r="EB682">
        <v>7</v>
      </c>
      <c r="EC682">
        <v>7</v>
      </c>
      <c r="EE682" t="s">
        <v>790</v>
      </c>
      <c r="EF682">
        <v>6</v>
      </c>
      <c r="EU682">
        <v>1750</v>
      </c>
      <c r="EW682">
        <v>297</v>
      </c>
      <c r="EX682">
        <v>220</v>
      </c>
      <c r="EY682">
        <v>262</v>
      </c>
    </row>
    <row r="683" spans="1:155" x14ac:dyDescent="0.35">
      <c r="A683">
        <v>2025</v>
      </c>
      <c r="B683" t="s">
        <v>288</v>
      </c>
      <c r="C683" t="s">
        <v>289</v>
      </c>
      <c r="D683" t="s">
        <v>791</v>
      </c>
      <c r="E683" t="s">
        <v>291</v>
      </c>
      <c r="F683">
        <v>206</v>
      </c>
      <c r="G683">
        <v>2</v>
      </c>
      <c r="H683">
        <v>4</v>
      </c>
      <c r="I683" t="s">
        <v>587</v>
      </c>
      <c r="J683">
        <v>30</v>
      </c>
      <c r="K683">
        <v>38</v>
      </c>
      <c r="L683">
        <v>33</v>
      </c>
      <c r="M683">
        <v>42.4</v>
      </c>
      <c r="N683">
        <v>56</v>
      </c>
      <c r="O683">
        <v>47.602200000000003</v>
      </c>
      <c r="P683">
        <v>30</v>
      </c>
      <c r="Q683">
        <v>38.012599999999999</v>
      </c>
      <c r="R683">
        <v>33</v>
      </c>
      <c r="U683" t="s">
        <v>224</v>
      </c>
      <c r="V683" t="s">
        <v>588</v>
      </c>
      <c r="W683" t="s">
        <v>589</v>
      </c>
      <c r="Y683">
        <v>1</v>
      </c>
      <c r="Z683" t="s">
        <v>169</v>
      </c>
      <c r="AA683" t="s">
        <v>170</v>
      </c>
      <c r="AB683" t="s">
        <v>351</v>
      </c>
      <c r="AC683" t="s">
        <v>352</v>
      </c>
      <c r="AD683">
        <v>10</v>
      </c>
      <c r="AG683" t="s">
        <v>210</v>
      </c>
      <c r="AH683" t="s">
        <v>444</v>
      </c>
      <c r="AI683" t="s">
        <v>175</v>
      </c>
      <c r="AJ683" t="s">
        <v>176</v>
      </c>
      <c r="AK683" t="s">
        <v>170</v>
      </c>
      <c r="AL683" t="s">
        <v>177</v>
      </c>
      <c r="AO683">
        <v>96</v>
      </c>
      <c r="AP683">
        <v>14</v>
      </c>
      <c r="AS683">
        <v>1600</v>
      </c>
      <c r="AT683">
        <v>1600</v>
      </c>
      <c r="BN683" t="s">
        <v>178</v>
      </c>
      <c r="BO683">
        <v>2</v>
      </c>
      <c r="BP683">
        <v>2</v>
      </c>
      <c r="BQ683">
        <v>5</v>
      </c>
      <c r="BR683" t="s">
        <v>672</v>
      </c>
      <c r="BS683" t="s">
        <v>180</v>
      </c>
      <c r="BT683" t="s">
        <v>181</v>
      </c>
      <c r="BU683" s="1">
        <v>45541</v>
      </c>
      <c r="BV683">
        <v>35093</v>
      </c>
      <c r="BX683" t="s">
        <v>169</v>
      </c>
      <c r="CB683" t="s">
        <v>170</v>
      </c>
      <c r="CC683" t="s">
        <v>170</v>
      </c>
      <c r="CE683" t="s">
        <v>170</v>
      </c>
      <c r="CG683" t="s">
        <v>169</v>
      </c>
      <c r="CH683" t="s">
        <v>789</v>
      </c>
      <c r="CI683" t="s">
        <v>170</v>
      </c>
      <c r="DJ683" t="s">
        <v>184</v>
      </c>
      <c r="DK683" t="s">
        <v>185</v>
      </c>
      <c r="DN683" t="s">
        <v>170</v>
      </c>
      <c r="DO683" t="s">
        <v>295</v>
      </c>
      <c r="DP683" t="s">
        <v>169</v>
      </c>
      <c r="DQ683" t="s">
        <v>198</v>
      </c>
      <c r="DY683">
        <v>47.9</v>
      </c>
      <c r="EB683">
        <v>6</v>
      </c>
      <c r="EC683">
        <v>6</v>
      </c>
      <c r="EE683" t="s">
        <v>790</v>
      </c>
      <c r="EF683">
        <v>6</v>
      </c>
      <c r="EU683">
        <v>1500</v>
      </c>
      <c r="EW683">
        <v>297</v>
      </c>
      <c r="EX683">
        <v>234</v>
      </c>
      <c r="EY683">
        <v>270</v>
      </c>
    </row>
    <row r="684" spans="1:155" x14ac:dyDescent="0.35">
      <c r="A684">
        <v>2025</v>
      </c>
      <c r="B684" t="s">
        <v>288</v>
      </c>
      <c r="C684" t="s">
        <v>289</v>
      </c>
      <c r="D684" t="s">
        <v>624</v>
      </c>
      <c r="E684" t="s">
        <v>291</v>
      </c>
      <c r="F684">
        <v>101</v>
      </c>
      <c r="G684">
        <v>1.6</v>
      </c>
      <c r="H684">
        <v>4</v>
      </c>
      <c r="I684" t="s">
        <v>587</v>
      </c>
      <c r="J684">
        <v>32</v>
      </c>
      <c r="K684">
        <v>40</v>
      </c>
      <c r="L684">
        <v>35</v>
      </c>
      <c r="M684">
        <v>42.2774</v>
      </c>
      <c r="N684">
        <v>59.864199999999997</v>
      </c>
      <c r="O684">
        <v>48.7179</v>
      </c>
      <c r="P684">
        <v>31.714600000000001</v>
      </c>
      <c r="Q684">
        <v>40.298299999999998</v>
      </c>
      <c r="R684">
        <v>35.076799999999999</v>
      </c>
      <c r="U684" t="s">
        <v>224</v>
      </c>
      <c r="V684" t="s">
        <v>588</v>
      </c>
      <c r="W684" t="s">
        <v>589</v>
      </c>
      <c r="Y684">
        <v>1</v>
      </c>
      <c r="Z684" t="s">
        <v>169</v>
      </c>
      <c r="AA684" t="s">
        <v>170</v>
      </c>
      <c r="AB684" t="s">
        <v>351</v>
      </c>
      <c r="AC684" t="s">
        <v>352</v>
      </c>
      <c r="AD684">
        <v>10</v>
      </c>
      <c r="AG684" t="s">
        <v>210</v>
      </c>
      <c r="AH684" t="s">
        <v>444</v>
      </c>
      <c r="AI684" t="s">
        <v>175</v>
      </c>
      <c r="AJ684" t="s">
        <v>176</v>
      </c>
      <c r="AK684" t="s">
        <v>170</v>
      </c>
      <c r="AL684" t="s">
        <v>177</v>
      </c>
      <c r="AO684">
        <v>89</v>
      </c>
      <c r="AP684">
        <v>15</v>
      </c>
      <c r="AS684">
        <v>1500</v>
      </c>
      <c r="AT684">
        <v>1500</v>
      </c>
      <c r="BO684">
        <v>2</v>
      </c>
      <c r="BP684">
        <v>2</v>
      </c>
      <c r="BQ684">
        <v>4</v>
      </c>
      <c r="BR684" t="s">
        <v>521</v>
      </c>
      <c r="BS684" t="s">
        <v>180</v>
      </c>
      <c r="BT684" t="s">
        <v>181</v>
      </c>
      <c r="BU684" s="1">
        <v>45562</v>
      </c>
      <c r="BV684">
        <v>35320</v>
      </c>
      <c r="BX684" t="s">
        <v>170</v>
      </c>
      <c r="CB684" t="s">
        <v>170</v>
      </c>
      <c r="CC684" t="s">
        <v>170</v>
      </c>
      <c r="CE684" t="s">
        <v>170</v>
      </c>
      <c r="CG684" t="s">
        <v>169</v>
      </c>
      <c r="CH684" t="s">
        <v>625</v>
      </c>
      <c r="CI684" t="s">
        <v>170</v>
      </c>
      <c r="DJ684" t="s">
        <v>449</v>
      </c>
      <c r="DK684" t="s">
        <v>450</v>
      </c>
      <c r="DN684" t="s">
        <v>170</v>
      </c>
      <c r="DO684" t="s">
        <v>295</v>
      </c>
      <c r="DP684" t="s">
        <v>170</v>
      </c>
      <c r="DQ684" t="s">
        <v>187</v>
      </c>
      <c r="DY684">
        <v>49.5</v>
      </c>
      <c r="EB684">
        <v>7</v>
      </c>
      <c r="EC684">
        <v>7</v>
      </c>
      <c r="EE684" t="s">
        <v>626</v>
      </c>
      <c r="EF684">
        <v>6</v>
      </c>
      <c r="EU684">
        <v>2000</v>
      </c>
      <c r="EW684">
        <v>280</v>
      </c>
      <c r="EX684">
        <v>221</v>
      </c>
      <c r="EY684">
        <v>253</v>
      </c>
    </row>
    <row r="685" spans="1:155" x14ac:dyDescent="0.35">
      <c r="A685">
        <v>2025</v>
      </c>
      <c r="B685" t="s">
        <v>288</v>
      </c>
      <c r="C685" t="s">
        <v>289</v>
      </c>
      <c r="D685" t="s">
        <v>624</v>
      </c>
      <c r="E685" t="s">
        <v>291</v>
      </c>
      <c r="F685">
        <v>102</v>
      </c>
      <c r="G685">
        <v>1.6</v>
      </c>
      <c r="H685">
        <v>4</v>
      </c>
      <c r="I685" t="s">
        <v>627</v>
      </c>
      <c r="J685">
        <v>27</v>
      </c>
      <c r="K685">
        <v>35</v>
      </c>
      <c r="L685">
        <v>30</v>
      </c>
      <c r="M685">
        <v>36.299999999999997</v>
      </c>
      <c r="N685">
        <v>52.2</v>
      </c>
      <c r="O685">
        <v>42.065899999999999</v>
      </c>
      <c r="P685">
        <v>27</v>
      </c>
      <c r="Q685">
        <v>35</v>
      </c>
      <c r="R685">
        <v>30</v>
      </c>
      <c r="U685" t="s">
        <v>224</v>
      </c>
      <c r="V685" t="s">
        <v>201</v>
      </c>
      <c r="W685" t="s">
        <v>202</v>
      </c>
      <c r="Y685">
        <v>5</v>
      </c>
      <c r="Z685" t="s">
        <v>170</v>
      </c>
      <c r="AA685" t="s">
        <v>170</v>
      </c>
      <c r="AB685" t="s">
        <v>351</v>
      </c>
      <c r="AC685" t="s">
        <v>352</v>
      </c>
      <c r="AD685">
        <v>10</v>
      </c>
      <c r="AG685" t="s">
        <v>210</v>
      </c>
      <c r="AH685" t="s">
        <v>444</v>
      </c>
      <c r="AI685" t="s">
        <v>175</v>
      </c>
      <c r="AJ685" t="s">
        <v>176</v>
      </c>
      <c r="AK685" t="s">
        <v>170</v>
      </c>
      <c r="AL685" t="s">
        <v>177</v>
      </c>
      <c r="AO685">
        <v>89</v>
      </c>
      <c r="AP685">
        <v>15</v>
      </c>
      <c r="AS685">
        <v>1750</v>
      </c>
      <c r="AT685">
        <v>1750</v>
      </c>
      <c r="BO685">
        <v>2</v>
      </c>
      <c r="BP685">
        <v>2</v>
      </c>
      <c r="BQ685">
        <v>4</v>
      </c>
      <c r="BR685" t="s">
        <v>521</v>
      </c>
      <c r="BS685" t="s">
        <v>180</v>
      </c>
      <c r="BT685" t="s">
        <v>181</v>
      </c>
      <c r="BU685" s="1">
        <v>45562</v>
      </c>
      <c r="BV685">
        <v>35321</v>
      </c>
      <c r="BX685" t="s">
        <v>170</v>
      </c>
      <c r="CB685" t="s">
        <v>170</v>
      </c>
      <c r="CC685" t="s">
        <v>170</v>
      </c>
      <c r="CE685" t="s">
        <v>170</v>
      </c>
      <c r="CG685" t="s">
        <v>169</v>
      </c>
      <c r="CH685" t="s">
        <v>625</v>
      </c>
      <c r="CI685" t="s">
        <v>170</v>
      </c>
      <c r="DJ685" t="s">
        <v>449</v>
      </c>
      <c r="DK685" t="s">
        <v>450</v>
      </c>
      <c r="DN685" t="s">
        <v>170</v>
      </c>
      <c r="DO685" t="s">
        <v>295</v>
      </c>
      <c r="DP685" t="s">
        <v>170</v>
      </c>
      <c r="DQ685" t="s">
        <v>187</v>
      </c>
      <c r="DY685">
        <v>42.3</v>
      </c>
      <c r="EB685">
        <v>6</v>
      </c>
      <c r="EC685">
        <v>6</v>
      </c>
      <c r="EE685" t="s">
        <v>626</v>
      </c>
      <c r="EF685">
        <v>6</v>
      </c>
      <c r="EU685">
        <v>750</v>
      </c>
      <c r="EW685">
        <v>328</v>
      </c>
      <c r="EX685">
        <v>254</v>
      </c>
      <c r="EY685">
        <v>296</v>
      </c>
    </row>
    <row r="686" spans="1:155" x14ac:dyDescent="0.35">
      <c r="A686">
        <v>2025</v>
      </c>
      <c r="B686" t="s">
        <v>288</v>
      </c>
      <c r="C686" t="s">
        <v>289</v>
      </c>
      <c r="D686" t="s">
        <v>290</v>
      </c>
      <c r="E686" t="s">
        <v>291</v>
      </c>
      <c r="F686">
        <v>57</v>
      </c>
      <c r="G686">
        <v>3</v>
      </c>
      <c r="H686">
        <v>6</v>
      </c>
      <c r="I686" t="s">
        <v>200</v>
      </c>
      <c r="J686">
        <v>18</v>
      </c>
      <c r="K686">
        <v>24</v>
      </c>
      <c r="L686">
        <v>20</v>
      </c>
      <c r="M686">
        <v>22.8</v>
      </c>
      <c r="N686">
        <v>33.875999999999998</v>
      </c>
      <c r="O686">
        <v>26.7333</v>
      </c>
      <c r="P686">
        <v>18.190899999999999</v>
      </c>
      <c r="Q686">
        <v>24.1523</v>
      </c>
      <c r="R686">
        <v>20.463799999999999</v>
      </c>
      <c r="T686" t="s">
        <v>165</v>
      </c>
      <c r="U686" t="s">
        <v>166</v>
      </c>
      <c r="V686" t="s">
        <v>201</v>
      </c>
      <c r="W686" t="s">
        <v>202</v>
      </c>
      <c r="Y686">
        <v>6</v>
      </c>
      <c r="Z686" t="s">
        <v>170</v>
      </c>
      <c r="AA686" t="s">
        <v>170</v>
      </c>
      <c r="AB686" t="s">
        <v>171</v>
      </c>
      <c r="AC686" t="s">
        <v>172</v>
      </c>
      <c r="AD686">
        <v>15</v>
      </c>
      <c r="AG686" t="s">
        <v>214</v>
      </c>
      <c r="AH686" t="s">
        <v>215</v>
      </c>
      <c r="AI686" t="s">
        <v>175</v>
      </c>
      <c r="AJ686" t="s">
        <v>176</v>
      </c>
      <c r="AK686" t="s">
        <v>170</v>
      </c>
      <c r="AL686" t="s">
        <v>177</v>
      </c>
      <c r="AS686">
        <v>3200</v>
      </c>
      <c r="AT686">
        <v>3200</v>
      </c>
      <c r="BN686" t="s">
        <v>178</v>
      </c>
      <c r="BO686">
        <v>2</v>
      </c>
      <c r="BP686">
        <v>2</v>
      </c>
      <c r="BQ686">
        <v>1</v>
      </c>
      <c r="BR686" t="s">
        <v>179</v>
      </c>
      <c r="BS686" t="s">
        <v>180</v>
      </c>
      <c r="BT686" t="s">
        <v>181</v>
      </c>
      <c r="BU686" s="1">
        <v>45646</v>
      </c>
      <c r="BV686">
        <v>35860</v>
      </c>
      <c r="BX686" t="s">
        <v>170</v>
      </c>
      <c r="CB686" t="s">
        <v>170</v>
      </c>
      <c r="CC686" t="s">
        <v>170</v>
      </c>
      <c r="CD686" t="s">
        <v>293</v>
      </c>
      <c r="CE686" t="s">
        <v>170</v>
      </c>
      <c r="CG686" t="s">
        <v>169</v>
      </c>
      <c r="CH686" t="s">
        <v>294</v>
      </c>
      <c r="CI686" t="s">
        <v>170</v>
      </c>
      <c r="DJ686" t="s">
        <v>184</v>
      </c>
      <c r="DK686" t="s">
        <v>185</v>
      </c>
      <c r="DN686" t="s">
        <v>170</v>
      </c>
      <c r="DO686" t="s">
        <v>295</v>
      </c>
      <c r="DP686" t="s">
        <v>170</v>
      </c>
      <c r="DQ686" t="s">
        <v>187</v>
      </c>
      <c r="DY686">
        <v>26.9</v>
      </c>
      <c r="EB686">
        <v>4</v>
      </c>
      <c r="EC686">
        <v>4</v>
      </c>
      <c r="EE686" t="s">
        <v>296</v>
      </c>
      <c r="EF686">
        <v>4</v>
      </c>
      <c r="EV686">
        <v>6500</v>
      </c>
      <c r="EW686">
        <v>489</v>
      </c>
      <c r="EX686">
        <v>368</v>
      </c>
      <c r="EY686">
        <v>435</v>
      </c>
    </row>
    <row r="687" spans="1:155" x14ac:dyDescent="0.35">
      <c r="A687">
        <v>2025</v>
      </c>
      <c r="B687" t="s">
        <v>288</v>
      </c>
      <c r="C687" t="s">
        <v>289</v>
      </c>
      <c r="D687" t="s">
        <v>290</v>
      </c>
      <c r="E687" t="s">
        <v>291</v>
      </c>
      <c r="F687">
        <v>58</v>
      </c>
      <c r="G687">
        <v>3</v>
      </c>
      <c r="H687">
        <v>6</v>
      </c>
      <c r="I687" t="s">
        <v>292</v>
      </c>
      <c r="J687">
        <v>19</v>
      </c>
      <c r="K687">
        <v>28</v>
      </c>
      <c r="L687">
        <v>22</v>
      </c>
      <c r="M687">
        <v>25.0655</v>
      </c>
      <c r="N687">
        <v>39.882899999999999</v>
      </c>
      <c r="O687">
        <v>30.097300000000001</v>
      </c>
      <c r="P687">
        <v>19</v>
      </c>
      <c r="Q687">
        <v>28.0517</v>
      </c>
      <c r="R687">
        <v>22</v>
      </c>
      <c r="T687" t="s">
        <v>165</v>
      </c>
      <c r="U687" t="s">
        <v>166</v>
      </c>
      <c r="V687" t="s">
        <v>193</v>
      </c>
      <c r="W687" t="s">
        <v>194</v>
      </c>
      <c r="Y687">
        <v>9</v>
      </c>
      <c r="Z687" t="s">
        <v>169</v>
      </c>
      <c r="AA687" t="s">
        <v>170</v>
      </c>
      <c r="AB687" t="s">
        <v>171</v>
      </c>
      <c r="AC687" t="s">
        <v>172</v>
      </c>
      <c r="AD687">
        <v>15</v>
      </c>
      <c r="AG687" t="s">
        <v>214</v>
      </c>
      <c r="AH687" t="s">
        <v>215</v>
      </c>
      <c r="AI687" t="s">
        <v>175</v>
      </c>
      <c r="AJ687" t="s">
        <v>176</v>
      </c>
      <c r="AK687" t="s">
        <v>170</v>
      </c>
      <c r="AL687" t="s">
        <v>177</v>
      </c>
      <c r="AS687">
        <v>2900</v>
      </c>
      <c r="AT687">
        <v>2900</v>
      </c>
      <c r="BN687" t="s">
        <v>178</v>
      </c>
      <c r="BO687">
        <v>2</v>
      </c>
      <c r="BP687">
        <v>2</v>
      </c>
      <c r="BQ687">
        <v>1</v>
      </c>
      <c r="BR687" t="s">
        <v>179</v>
      </c>
      <c r="BS687" t="s">
        <v>180</v>
      </c>
      <c r="BT687" t="s">
        <v>181</v>
      </c>
      <c r="BU687" s="1">
        <v>45646</v>
      </c>
      <c r="BV687">
        <v>35861</v>
      </c>
      <c r="BX687" t="s">
        <v>170</v>
      </c>
      <c r="CB687" t="s">
        <v>170</v>
      </c>
      <c r="CC687" t="s">
        <v>170</v>
      </c>
      <c r="CD687" t="s">
        <v>293</v>
      </c>
      <c r="CE687" t="s">
        <v>170</v>
      </c>
      <c r="CG687" t="s">
        <v>169</v>
      </c>
      <c r="CH687" t="s">
        <v>294</v>
      </c>
      <c r="CI687" t="s">
        <v>170</v>
      </c>
      <c r="DJ687" t="s">
        <v>184</v>
      </c>
      <c r="DK687" t="s">
        <v>185</v>
      </c>
      <c r="DN687" t="s">
        <v>170</v>
      </c>
      <c r="DO687" t="s">
        <v>295</v>
      </c>
      <c r="DP687" t="s">
        <v>170</v>
      </c>
      <c r="DQ687" t="s">
        <v>187</v>
      </c>
      <c r="DY687">
        <v>30.3</v>
      </c>
      <c r="EB687">
        <v>5</v>
      </c>
      <c r="EC687">
        <v>5</v>
      </c>
      <c r="EE687" t="s">
        <v>296</v>
      </c>
      <c r="EF687">
        <v>4</v>
      </c>
      <c r="EV687">
        <v>5000</v>
      </c>
      <c r="EW687">
        <v>469</v>
      </c>
      <c r="EX687">
        <v>318</v>
      </c>
      <c r="EY687">
        <v>405</v>
      </c>
    </row>
    <row r="688" spans="1:155" x14ac:dyDescent="0.35">
      <c r="A688">
        <v>2025</v>
      </c>
      <c r="B688" t="s">
        <v>288</v>
      </c>
      <c r="C688" t="s">
        <v>289</v>
      </c>
      <c r="D688" t="s">
        <v>297</v>
      </c>
      <c r="E688" t="s">
        <v>291</v>
      </c>
      <c r="F688">
        <v>59</v>
      </c>
      <c r="G688">
        <v>3</v>
      </c>
      <c r="H688">
        <v>6</v>
      </c>
      <c r="I688" t="s">
        <v>292</v>
      </c>
      <c r="J688">
        <v>17</v>
      </c>
      <c r="K688">
        <v>24</v>
      </c>
      <c r="L688">
        <v>19</v>
      </c>
      <c r="M688">
        <v>23</v>
      </c>
      <c r="N688">
        <v>35.398899999999998</v>
      </c>
      <c r="O688">
        <v>27.3035</v>
      </c>
      <c r="P688">
        <v>17</v>
      </c>
      <c r="Q688">
        <v>24</v>
      </c>
      <c r="R688">
        <v>19</v>
      </c>
      <c r="T688" t="s">
        <v>165</v>
      </c>
      <c r="U688" t="s">
        <v>166</v>
      </c>
      <c r="V688" t="s">
        <v>193</v>
      </c>
      <c r="W688" t="s">
        <v>194</v>
      </c>
      <c r="Y688">
        <v>9</v>
      </c>
      <c r="Z688" t="s">
        <v>169</v>
      </c>
      <c r="AA688" t="s">
        <v>170</v>
      </c>
      <c r="AB688" t="s">
        <v>171</v>
      </c>
      <c r="AC688" t="s">
        <v>172</v>
      </c>
      <c r="AD688">
        <v>15</v>
      </c>
      <c r="AG688" t="s">
        <v>214</v>
      </c>
      <c r="AH688" t="s">
        <v>215</v>
      </c>
      <c r="AI688" t="s">
        <v>175</v>
      </c>
      <c r="AJ688" t="s">
        <v>176</v>
      </c>
      <c r="AK688" t="s">
        <v>170</v>
      </c>
      <c r="AL688" t="s">
        <v>177</v>
      </c>
      <c r="AS688">
        <v>3350</v>
      </c>
      <c r="AT688">
        <v>3350</v>
      </c>
      <c r="BN688" t="s">
        <v>178</v>
      </c>
      <c r="BO688">
        <v>2</v>
      </c>
      <c r="BP688">
        <v>2</v>
      </c>
      <c r="BQ688">
        <v>1</v>
      </c>
      <c r="BR688" t="s">
        <v>179</v>
      </c>
      <c r="BS688" t="s">
        <v>180</v>
      </c>
      <c r="BT688" t="s">
        <v>181</v>
      </c>
      <c r="BU688" s="1">
        <v>45646</v>
      </c>
      <c r="BV688">
        <v>35862</v>
      </c>
      <c r="BX688" t="s">
        <v>169</v>
      </c>
      <c r="CB688" t="s">
        <v>170</v>
      </c>
      <c r="CC688" t="s">
        <v>170</v>
      </c>
      <c r="CD688" t="s">
        <v>298</v>
      </c>
      <c r="CE688" t="s">
        <v>170</v>
      </c>
      <c r="CG688" t="s">
        <v>169</v>
      </c>
      <c r="CH688" t="s">
        <v>294</v>
      </c>
      <c r="CI688" t="s">
        <v>170</v>
      </c>
      <c r="DJ688" t="s">
        <v>184</v>
      </c>
      <c r="DK688" t="s">
        <v>185</v>
      </c>
      <c r="DN688" t="s">
        <v>170</v>
      </c>
      <c r="DO688" t="s">
        <v>295</v>
      </c>
      <c r="DP688" t="s">
        <v>170</v>
      </c>
      <c r="DQ688" t="s">
        <v>187</v>
      </c>
      <c r="DY688">
        <v>27.5</v>
      </c>
      <c r="EB688">
        <v>4</v>
      </c>
      <c r="EC688">
        <v>4</v>
      </c>
      <c r="EE688" t="s">
        <v>296</v>
      </c>
      <c r="EF688">
        <v>4</v>
      </c>
      <c r="EV688">
        <v>7250</v>
      </c>
      <c r="EW688">
        <v>524</v>
      </c>
      <c r="EX688">
        <v>371</v>
      </c>
      <c r="EY688">
        <v>469</v>
      </c>
    </row>
    <row r="689" spans="1:155" x14ac:dyDescent="0.35">
      <c r="A689">
        <v>2025</v>
      </c>
      <c r="B689" t="s">
        <v>299</v>
      </c>
      <c r="C689" t="s">
        <v>299</v>
      </c>
      <c r="D689" t="s">
        <v>300</v>
      </c>
      <c r="E689" t="s">
        <v>301</v>
      </c>
      <c r="F689">
        <v>201</v>
      </c>
      <c r="G689">
        <v>2</v>
      </c>
      <c r="H689">
        <v>4</v>
      </c>
      <c r="I689" t="s">
        <v>200</v>
      </c>
      <c r="J689">
        <v>20</v>
      </c>
      <c r="K689">
        <v>25</v>
      </c>
      <c r="L689">
        <v>22</v>
      </c>
      <c r="M689">
        <v>24.8</v>
      </c>
      <c r="N689">
        <v>34.700000000000003</v>
      </c>
      <c r="O689">
        <v>28.452999999999999</v>
      </c>
      <c r="P689">
        <v>19.658300000000001</v>
      </c>
      <c r="Q689">
        <v>24.6935</v>
      </c>
      <c r="R689">
        <v>21.644400000000001</v>
      </c>
      <c r="T689" t="s">
        <v>165</v>
      </c>
      <c r="U689" t="s">
        <v>166</v>
      </c>
      <c r="V689" t="s">
        <v>201</v>
      </c>
      <c r="W689" t="s">
        <v>202</v>
      </c>
      <c r="Y689">
        <v>6</v>
      </c>
      <c r="Z689" t="s">
        <v>170</v>
      </c>
      <c r="AA689" t="s">
        <v>170</v>
      </c>
      <c r="AB689" t="s">
        <v>171</v>
      </c>
      <c r="AC689" t="s">
        <v>172</v>
      </c>
      <c r="AD689">
        <v>10</v>
      </c>
      <c r="AG689" t="s">
        <v>214</v>
      </c>
      <c r="AH689" t="s">
        <v>215</v>
      </c>
      <c r="AI689" t="s">
        <v>175</v>
      </c>
      <c r="AJ689" t="s">
        <v>176</v>
      </c>
      <c r="AK689" t="s">
        <v>170</v>
      </c>
      <c r="AL689" t="s">
        <v>177</v>
      </c>
      <c r="AS689">
        <v>2900</v>
      </c>
      <c r="AT689">
        <v>2900</v>
      </c>
      <c r="BN689" t="s">
        <v>178</v>
      </c>
      <c r="BO689">
        <v>2</v>
      </c>
      <c r="BP689">
        <v>2</v>
      </c>
      <c r="BQ689">
        <v>1</v>
      </c>
      <c r="BR689" t="s">
        <v>179</v>
      </c>
      <c r="BS689" t="s">
        <v>180</v>
      </c>
      <c r="BT689" t="s">
        <v>181</v>
      </c>
      <c r="BV689">
        <v>36378</v>
      </c>
      <c r="BY689" t="s">
        <v>170</v>
      </c>
      <c r="CB689" t="s">
        <v>170</v>
      </c>
      <c r="CC689" t="s">
        <v>170</v>
      </c>
      <c r="CD689" t="s">
        <v>302</v>
      </c>
      <c r="CE689" t="s">
        <v>170</v>
      </c>
      <c r="CG689" t="s">
        <v>169</v>
      </c>
      <c r="CH689" t="s">
        <v>303</v>
      </c>
      <c r="CI689" t="s">
        <v>169</v>
      </c>
      <c r="CJ689" t="s">
        <v>303</v>
      </c>
      <c r="DJ689" t="s">
        <v>184</v>
      </c>
      <c r="DK689" t="s">
        <v>185</v>
      </c>
      <c r="DN689" t="s">
        <v>170</v>
      </c>
      <c r="DO689" t="s">
        <v>186</v>
      </c>
      <c r="DP689" t="s">
        <v>169</v>
      </c>
      <c r="DQ689" t="s">
        <v>198</v>
      </c>
      <c r="DY689">
        <v>28.7</v>
      </c>
      <c r="EB689">
        <v>5</v>
      </c>
      <c r="EC689">
        <v>5</v>
      </c>
      <c r="EE689" t="s">
        <v>304</v>
      </c>
      <c r="EF689">
        <v>1</v>
      </c>
      <c r="EV689">
        <v>5000</v>
      </c>
      <c r="EW689">
        <v>452</v>
      </c>
      <c r="EX689">
        <v>358</v>
      </c>
      <c r="EY689">
        <v>409</v>
      </c>
    </row>
    <row r="690" spans="1:155" x14ac:dyDescent="0.35">
      <c r="A690">
        <v>2025</v>
      </c>
      <c r="B690" t="s">
        <v>299</v>
      </c>
      <c r="C690" t="s">
        <v>299</v>
      </c>
      <c r="D690" t="s">
        <v>300</v>
      </c>
      <c r="E690" t="s">
        <v>301</v>
      </c>
      <c r="F690">
        <v>202</v>
      </c>
      <c r="G690">
        <v>2</v>
      </c>
      <c r="H690">
        <v>4</v>
      </c>
      <c r="I690" t="s">
        <v>209</v>
      </c>
      <c r="J690">
        <v>21</v>
      </c>
      <c r="K690">
        <v>27</v>
      </c>
      <c r="L690">
        <v>24</v>
      </c>
      <c r="M690">
        <v>27.2</v>
      </c>
      <c r="N690">
        <v>38.299999999999997</v>
      </c>
      <c r="O690">
        <v>31.279399999999999</v>
      </c>
      <c r="P690">
        <v>21.394200000000001</v>
      </c>
      <c r="Q690">
        <v>27.034400000000002</v>
      </c>
      <c r="R690">
        <v>23.610900000000001</v>
      </c>
      <c r="T690" t="s">
        <v>165</v>
      </c>
      <c r="U690" t="s">
        <v>166</v>
      </c>
      <c r="V690" t="s">
        <v>211</v>
      </c>
      <c r="W690" t="s">
        <v>212</v>
      </c>
      <c r="Y690">
        <v>7</v>
      </c>
      <c r="Z690" t="s">
        <v>170</v>
      </c>
      <c r="AA690" t="s">
        <v>170</v>
      </c>
      <c r="AB690" t="s">
        <v>171</v>
      </c>
      <c r="AC690" t="s">
        <v>172</v>
      </c>
      <c r="AD690">
        <v>10</v>
      </c>
      <c r="AG690" t="s">
        <v>214</v>
      </c>
      <c r="AH690" t="s">
        <v>215</v>
      </c>
      <c r="AI690" t="s">
        <v>175</v>
      </c>
      <c r="AJ690" t="s">
        <v>176</v>
      </c>
      <c r="AK690" t="s">
        <v>170</v>
      </c>
      <c r="AL690" t="s">
        <v>177</v>
      </c>
      <c r="AS690">
        <v>2650</v>
      </c>
      <c r="AT690">
        <v>2650</v>
      </c>
      <c r="BN690" t="s">
        <v>178</v>
      </c>
      <c r="BO690">
        <v>2</v>
      </c>
      <c r="BP690">
        <v>2</v>
      </c>
      <c r="BQ690">
        <v>1</v>
      </c>
      <c r="BR690" t="s">
        <v>179</v>
      </c>
      <c r="BS690" t="s">
        <v>180</v>
      </c>
      <c r="BT690" t="s">
        <v>181</v>
      </c>
      <c r="BU690" s="1">
        <v>45611</v>
      </c>
      <c r="BV690">
        <v>35820</v>
      </c>
      <c r="BY690" t="s">
        <v>170</v>
      </c>
      <c r="CB690" t="s">
        <v>170</v>
      </c>
      <c r="CC690" t="s">
        <v>170</v>
      </c>
      <c r="CD690" t="s">
        <v>302</v>
      </c>
      <c r="CE690" t="s">
        <v>170</v>
      </c>
      <c r="CG690" t="s">
        <v>169</v>
      </c>
      <c r="CH690" t="s">
        <v>303</v>
      </c>
      <c r="CI690" t="s">
        <v>169</v>
      </c>
      <c r="CJ690" t="s">
        <v>303</v>
      </c>
      <c r="DJ690" t="s">
        <v>184</v>
      </c>
      <c r="DK690" t="s">
        <v>185</v>
      </c>
      <c r="DN690" t="s">
        <v>170</v>
      </c>
      <c r="DO690" t="s">
        <v>186</v>
      </c>
      <c r="DP690" t="s">
        <v>169</v>
      </c>
      <c r="DQ690" t="s">
        <v>198</v>
      </c>
      <c r="DY690">
        <v>31.5</v>
      </c>
      <c r="EB690">
        <v>5</v>
      </c>
      <c r="EC690">
        <v>5</v>
      </c>
      <c r="EE690" t="s">
        <v>304</v>
      </c>
      <c r="EF690">
        <v>1</v>
      </c>
      <c r="EV690">
        <v>3750</v>
      </c>
      <c r="EW690">
        <v>414</v>
      </c>
      <c r="EX690">
        <v>328</v>
      </c>
      <c r="EY690">
        <v>375</v>
      </c>
    </row>
    <row r="691" spans="1:155" x14ac:dyDescent="0.35">
      <c r="A691">
        <v>2025</v>
      </c>
      <c r="B691" t="s">
        <v>299</v>
      </c>
      <c r="C691" t="s">
        <v>299</v>
      </c>
      <c r="D691" t="s">
        <v>305</v>
      </c>
      <c r="E691" t="s">
        <v>301</v>
      </c>
      <c r="F691">
        <v>223</v>
      </c>
      <c r="G691">
        <v>4</v>
      </c>
      <c r="H691">
        <v>6</v>
      </c>
      <c r="I691" t="s">
        <v>200</v>
      </c>
      <c r="J691">
        <v>17</v>
      </c>
      <c r="K691">
        <v>24</v>
      </c>
      <c r="L691">
        <v>19</v>
      </c>
      <c r="M691">
        <v>21</v>
      </c>
      <c r="N691">
        <v>32.9</v>
      </c>
      <c r="O691">
        <v>25.082599999999999</v>
      </c>
      <c r="P691">
        <v>16.8538</v>
      </c>
      <c r="Q691">
        <v>23.508700000000001</v>
      </c>
      <c r="R691">
        <v>19.3142</v>
      </c>
      <c r="U691" t="s">
        <v>224</v>
      </c>
      <c r="V691" t="s">
        <v>201</v>
      </c>
      <c r="W691" t="s">
        <v>202</v>
      </c>
      <c r="Y691">
        <v>6</v>
      </c>
      <c r="Z691" t="s">
        <v>170</v>
      </c>
      <c r="AA691" t="s">
        <v>170</v>
      </c>
      <c r="AB691" t="s">
        <v>171</v>
      </c>
      <c r="AC691" t="s">
        <v>172</v>
      </c>
      <c r="AD691">
        <v>10</v>
      </c>
      <c r="AG691" t="s">
        <v>214</v>
      </c>
      <c r="AH691" t="s">
        <v>215</v>
      </c>
      <c r="AI691" t="s">
        <v>175</v>
      </c>
      <c r="AJ691" t="s">
        <v>176</v>
      </c>
      <c r="AK691" t="s">
        <v>170</v>
      </c>
      <c r="AL691" t="s">
        <v>177</v>
      </c>
      <c r="AS691">
        <v>3350</v>
      </c>
      <c r="AT691">
        <v>3350</v>
      </c>
      <c r="BN691" t="s">
        <v>178</v>
      </c>
      <c r="BO691">
        <v>2</v>
      </c>
      <c r="BP691">
        <v>2</v>
      </c>
      <c r="BQ691">
        <v>1</v>
      </c>
      <c r="BR691" t="s">
        <v>179</v>
      </c>
      <c r="BS691" t="s">
        <v>180</v>
      </c>
      <c r="BT691" t="s">
        <v>181</v>
      </c>
      <c r="BU691" s="1">
        <v>45580</v>
      </c>
      <c r="BV691">
        <v>35713</v>
      </c>
      <c r="BX691" t="s">
        <v>170</v>
      </c>
      <c r="BY691" t="s">
        <v>170</v>
      </c>
      <c r="CB691" t="s">
        <v>170</v>
      </c>
      <c r="CC691" t="s">
        <v>170</v>
      </c>
      <c r="CD691" t="s">
        <v>306</v>
      </c>
      <c r="CE691" t="s">
        <v>170</v>
      </c>
      <c r="CG691" t="s">
        <v>169</v>
      </c>
      <c r="CH691" t="s">
        <v>303</v>
      </c>
      <c r="CI691" t="s">
        <v>169</v>
      </c>
      <c r="CJ691" t="s">
        <v>303</v>
      </c>
      <c r="DJ691" t="s">
        <v>184</v>
      </c>
      <c r="DK691" t="s">
        <v>185</v>
      </c>
      <c r="DN691" t="s">
        <v>170</v>
      </c>
      <c r="DO691" t="s">
        <v>186</v>
      </c>
      <c r="DP691" t="s">
        <v>170</v>
      </c>
      <c r="DQ691" t="s">
        <v>187</v>
      </c>
      <c r="DY691">
        <v>25.3</v>
      </c>
      <c r="EB691">
        <v>4</v>
      </c>
      <c r="EC691">
        <v>4</v>
      </c>
      <c r="EE691" t="s">
        <v>307</v>
      </c>
      <c r="EF691">
        <v>4</v>
      </c>
      <c r="EV691">
        <v>7250</v>
      </c>
      <c r="EW691">
        <v>523</v>
      </c>
      <c r="EX691">
        <v>377</v>
      </c>
      <c r="EY691">
        <v>458</v>
      </c>
    </row>
    <row r="692" spans="1:155" x14ac:dyDescent="0.35">
      <c r="A692">
        <v>2025</v>
      </c>
      <c r="B692" t="s">
        <v>299</v>
      </c>
      <c r="C692" t="s">
        <v>299</v>
      </c>
      <c r="D692" t="s">
        <v>305</v>
      </c>
      <c r="E692" t="s">
        <v>301</v>
      </c>
      <c r="F692">
        <v>224</v>
      </c>
      <c r="G692">
        <v>4</v>
      </c>
      <c r="H692">
        <v>6</v>
      </c>
      <c r="I692" t="s">
        <v>209</v>
      </c>
      <c r="J692">
        <v>19</v>
      </c>
      <c r="K692">
        <v>24</v>
      </c>
      <c r="L692">
        <v>21</v>
      </c>
      <c r="M692">
        <v>24.1</v>
      </c>
      <c r="N692">
        <v>33.799999999999997</v>
      </c>
      <c r="O692">
        <v>27.6739</v>
      </c>
      <c r="P692">
        <v>19.146799999999999</v>
      </c>
      <c r="Q692">
        <v>24.1023</v>
      </c>
      <c r="R692">
        <v>21.0989</v>
      </c>
      <c r="U692" t="s">
        <v>224</v>
      </c>
      <c r="V692" t="s">
        <v>211</v>
      </c>
      <c r="W692" t="s">
        <v>212</v>
      </c>
      <c r="Y692">
        <v>7</v>
      </c>
      <c r="Z692" t="s">
        <v>170</v>
      </c>
      <c r="AA692" t="s">
        <v>170</v>
      </c>
      <c r="AB692" t="s">
        <v>171</v>
      </c>
      <c r="AC692" t="s">
        <v>172</v>
      </c>
      <c r="AD692">
        <v>10</v>
      </c>
      <c r="AG692" t="s">
        <v>214</v>
      </c>
      <c r="AH692" t="s">
        <v>215</v>
      </c>
      <c r="AI692" t="s">
        <v>175</v>
      </c>
      <c r="AJ692" t="s">
        <v>176</v>
      </c>
      <c r="AK692" t="s">
        <v>170</v>
      </c>
      <c r="AL692" t="s">
        <v>177</v>
      </c>
      <c r="AS692">
        <v>3050</v>
      </c>
      <c r="AT692">
        <v>3050</v>
      </c>
      <c r="BN692" t="s">
        <v>178</v>
      </c>
      <c r="BO692">
        <v>2</v>
      </c>
      <c r="BP692">
        <v>2</v>
      </c>
      <c r="BQ692">
        <v>1</v>
      </c>
      <c r="BR692" t="s">
        <v>179</v>
      </c>
      <c r="BS692" t="s">
        <v>180</v>
      </c>
      <c r="BT692" t="s">
        <v>181</v>
      </c>
      <c r="BU692" s="1">
        <v>45580</v>
      </c>
      <c r="BV692">
        <v>35714</v>
      </c>
      <c r="BX692" t="s">
        <v>170</v>
      </c>
      <c r="BY692" t="s">
        <v>170</v>
      </c>
      <c r="CB692" t="s">
        <v>170</v>
      </c>
      <c r="CC692" t="s">
        <v>170</v>
      </c>
      <c r="CD692" t="s">
        <v>306</v>
      </c>
      <c r="CE692" t="s">
        <v>170</v>
      </c>
      <c r="CG692" t="s">
        <v>169</v>
      </c>
      <c r="CH692" t="s">
        <v>303</v>
      </c>
      <c r="CI692" t="s">
        <v>169</v>
      </c>
      <c r="CJ692" t="s">
        <v>303</v>
      </c>
      <c r="DJ692" t="s">
        <v>184</v>
      </c>
      <c r="DK692" t="s">
        <v>185</v>
      </c>
      <c r="DN692" t="s">
        <v>170</v>
      </c>
      <c r="DO692" t="s">
        <v>186</v>
      </c>
      <c r="DP692" t="s">
        <v>170</v>
      </c>
      <c r="DQ692" t="s">
        <v>187</v>
      </c>
      <c r="DY692">
        <v>27.9</v>
      </c>
      <c r="EB692">
        <v>4</v>
      </c>
      <c r="EC692">
        <v>4</v>
      </c>
      <c r="EE692" t="s">
        <v>307</v>
      </c>
      <c r="EF692">
        <v>4</v>
      </c>
      <c r="EV692">
        <v>5750</v>
      </c>
      <c r="EW692">
        <v>460</v>
      </c>
      <c r="EX692">
        <v>367</v>
      </c>
      <c r="EY692">
        <v>418</v>
      </c>
    </row>
    <row r="693" spans="1:155" x14ac:dyDescent="0.35">
      <c r="A693">
        <v>2025</v>
      </c>
      <c r="B693" t="s">
        <v>299</v>
      </c>
      <c r="C693" t="s">
        <v>299</v>
      </c>
      <c r="D693" t="s">
        <v>308</v>
      </c>
      <c r="E693" t="s">
        <v>301</v>
      </c>
      <c r="F693">
        <v>221</v>
      </c>
      <c r="G693">
        <v>2.5</v>
      </c>
      <c r="H693">
        <v>4</v>
      </c>
      <c r="I693" t="s">
        <v>200</v>
      </c>
      <c r="J693">
        <v>19</v>
      </c>
      <c r="K693">
        <v>24</v>
      </c>
      <c r="L693">
        <v>21</v>
      </c>
      <c r="M693">
        <v>23.6</v>
      </c>
      <c r="N693">
        <v>34.299999999999997</v>
      </c>
      <c r="O693">
        <v>27.454000000000001</v>
      </c>
      <c r="P693">
        <v>18.780100000000001</v>
      </c>
      <c r="Q693">
        <v>24.431000000000001</v>
      </c>
      <c r="R693">
        <v>20.9619</v>
      </c>
      <c r="T693" t="s">
        <v>165</v>
      </c>
      <c r="U693" t="s">
        <v>166</v>
      </c>
      <c r="V693" t="s">
        <v>201</v>
      </c>
      <c r="W693" t="s">
        <v>202</v>
      </c>
      <c r="Y693">
        <v>6</v>
      </c>
      <c r="Z693" t="s">
        <v>170</v>
      </c>
      <c r="AA693" t="s">
        <v>170</v>
      </c>
      <c r="AB693" t="s">
        <v>171</v>
      </c>
      <c r="AC693" t="s">
        <v>172</v>
      </c>
      <c r="AD693">
        <v>10</v>
      </c>
      <c r="AG693" t="s">
        <v>214</v>
      </c>
      <c r="AH693" t="s">
        <v>215</v>
      </c>
      <c r="AI693" t="s">
        <v>175</v>
      </c>
      <c r="AJ693" t="s">
        <v>176</v>
      </c>
      <c r="AK693" t="s">
        <v>170</v>
      </c>
      <c r="AL693" t="s">
        <v>177</v>
      </c>
      <c r="AS693">
        <v>3050</v>
      </c>
      <c r="AT693">
        <v>3050</v>
      </c>
      <c r="BN693" t="s">
        <v>178</v>
      </c>
      <c r="BO693">
        <v>2</v>
      </c>
      <c r="BP693">
        <v>2</v>
      </c>
      <c r="BQ693">
        <v>1</v>
      </c>
      <c r="BR693" t="s">
        <v>179</v>
      </c>
      <c r="BS693" t="s">
        <v>180</v>
      </c>
      <c r="BT693" t="s">
        <v>181</v>
      </c>
      <c r="BU693" s="1">
        <v>45611</v>
      </c>
      <c r="BV693">
        <v>35823</v>
      </c>
      <c r="BY693" t="s">
        <v>170</v>
      </c>
      <c r="CB693" t="s">
        <v>170</v>
      </c>
      <c r="CC693" t="s">
        <v>170</v>
      </c>
      <c r="CD693" t="s">
        <v>309</v>
      </c>
      <c r="CE693" t="s">
        <v>170</v>
      </c>
      <c r="CG693" t="s">
        <v>169</v>
      </c>
      <c r="CH693" t="s">
        <v>303</v>
      </c>
      <c r="CI693" t="s">
        <v>169</v>
      </c>
      <c r="CJ693" t="s">
        <v>303</v>
      </c>
      <c r="DJ693" t="s">
        <v>184</v>
      </c>
      <c r="DK693" t="s">
        <v>185</v>
      </c>
      <c r="DN693" t="s">
        <v>170</v>
      </c>
      <c r="DO693" t="s">
        <v>186</v>
      </c>
      <c r="DP693" t="s">
        <v>169</v>
      </c>
      <c r="DQ693" t="s">
        <v>198</v>
      </c>
      <c r="DY693">
        <v>27.7</v>
      </c>
      <c r="EB693">
        <v>4</v>
      </c>
      <c r="EC693">
        <v>4</v>
      </c>
      <c r="EE693" t="s">
        <v>304</v>
      </c>
      <c r="EF693">
        <v>1</v>
      </c>
      <c r="EV693">
        <v>5750</v>
      </c>
      <c r="EW693">
        <v>472</v>
      </c>
      <c r="EX693">
        <v>363</v>
      </c>
      <c r="EY693">
        <v>423</v>
      </c>
    </row>
    <row r="694" spans="1:155" x14ac:dyDescent="0.35">
      <c r="A694">
        <v>2025</v>
      </c>
      <c r="B694" t="s">
        <v>299</v>
      </c>
      <c r="C694" t="s">
        <v>299</v>
      </c>
      <c r="D694" t="s">
        <v>308</v>
      </c>
      <c r="E694" t="s">
        <v>301</v>
      </c>
      <c r="F694">
        <v>222</v>
      </c>
      <c r="G694">
        <v>2.5</v>
      </c>
      <c r="H694">
        <v>4</v>
      </c>
      <c r="I694" t="s">
        <v>209</v>
      </c>
      <c r="J694">
        <v>19</v>
      </c>
      <c r="K694">
        <v>25</v>
      </c>
      <c r="L694">
        <v>22</v>
      </c>
      <c r="M694">
        <v>24.2</v>
      </c>
      <c r="N694">
        <v>35.9</v>
      </c>
      <c r="O694">
        <v>28.359100000000002</v>
      </c>
      <c r="P694">
        <v>19.22</v>
      </c>
      <c r="Q694">
        <v>25.478000000000002</v>
      </c>
      <c r="R694">
        <v>21.6084</v>
      </c>
      <c r="T694" t="s">
        <v>165</v>
      </c>
      <c r="U694" t="s">
        <v>166</v>
      </c>
      <c r="V694" t="s">
        <v>211</v>
      </c>
      <c r="W694" t="s">
        <v>212</v>
      </c>
      <c r="Y694">
        <v>7</v>
      </c>
      <c r="Z694" t="s">
        <v>170</v>
      </c>
      <c r="AA694" t="s">
        <v>170</v>
      </c>
      <c r="AB694" t="s">
        <v>171</v>
      </c>
      <c r="AC694" t="s">
        <v>172</v>
      </c>
      <c r="AD694">
        <v>10</v>
      </c>
      <c r="AG694" t="s">
        <v>214</v>
      </c>
      <c r="AH694" t="s">
        <v>215</v>
      </c>
      <c r="AI694" t="s">
        <v>175</v>
      </c>
      <c r="AJ694" t="s">
        <v>176</v>
      </c>
      <c r="AK694" t="s">
        <v>170</v>
      </c>
      <c r="AL694" t="s">
        <v>177</v>
      </c>
      <c r="AS694">
        <v>2900</v>
      </c>
      <c r="AT694">
        <v>2900</v>
      </c>
      <c r="BN694" t="s">
        <v>178</v>
      </c>
      <c r="BO694">
        <v>2</v>
      </c>
      <c r="BP694">
        <v>2</v>
      </c>
      <c r="BQ694">
        <v>1</v>
      </c>
      <c r="BR694" t="s">
        <v>179</v>
      </c>
      <c r="BS694" t="s">
        <v>180</v>
      </c>
      <c r="BT694" t="s">
        <v>181</v>
      </c>
      <c r="BU694" s="1">
        <v>45611</v>
      </c>
      <c r="BV694">
        <v>35824</v>
      </c>
      <c r="BY694" t="s">
        <v>170</v>
      </c>
      <c r="CB694" t="s">
        <v>170</v>
      </c>
      <c r="CC694" t="s">
        <v>170</v>
      </c>
      <c r="CD694" t="s">
        <v>309</v>
      </c>
      <c r="CE694" t="s">
        <v>170</v>
      </c>
      <c r="CG694" t="s">
        <v>169</v>
      </c>
      <c r="CH694" t="s">
        <v>303</v>
      </c>
      <c r="CI694" t="s">
        <v>169</v>
      </c>
      <c r="CJ694" t="s">
        <v>303</v>
      </c>
      <c r="DJ694" t="s">
        <v>184</v>
      </c>
      <c r="DK694" t="s">
        <v>185</v>
      </c>
      <c r="DN694" t="s">
        <v>170</v>
      </c>
      <c r="DO694" t="s">
        <v>186</v>
      </c>
      <c r="DP694" t="s">
        <v>169</v>
      </c>
      <c r="DQ694" t="s">
        <v>198</v>
      </c>
      <c r="DY694">
        <v>28.6</v>
      </c>
      <c r="EB694">
        <v>5</v>
      </c>
      <c r="EC694">
        <v>5</v>
      </c>
      <c r="EE694" t="s">
        <v>304</v>
      </c>
      <c r="EF694">
        <v>1</v>
      </c>
      <c r="EV694">
        <v>5000</v>
      </c>
      <c r="EW694">
        <v>461</v>
      </c>
      <c r="EX694">
        <v>348</v>
      </c>
      <c r="EY694">
        <v>410</v>
      </c>
    </row>
    <row r="695" spans="1:155" x14ac:dyDescent="0.35">
      <c r="A695">
        <v>2025</v>
      </c>
      <c r="B695" t="s">
        <v>299</v>
      </c>
      <c r="C695" t="s">
        <v>299</v>
      </c>
      <c r="D695" t="s">
        <v>310</v>
      </c>
      <c r="E695" t="s">
        <v>301</v>
      </c>
      <c r="F695">
        <v>211</v>
      </c>
      <c r="G695">
        <v>2</v>
      </c>
      <c r="H695">
        <v>4</v>
      </c>
      <c r="I695" t="s">
        <v>200</v>
      </c>
      <c r="J695">
        <v>20</v>
      </c>
      <c r="K695">
        <v>25</v>
      </c>
      <c r="L695">
        <v>22</v>
      </c>
      <c r="M695">
        <v>24.8</v>
      </c>
      <c r="N695">
        <v>34.700000000000003</v>
      </c>
      <c r="O695">
        <v>28.452999999999999</v>
      </c>
      <c r="P695">
        <v>19.658300000000001</v>
      </c>
      <c r="Q695">
        <v>24.6935</v>
      </c>
      <c r="R695">
        <v>21.644400000000001</v>
      </c>
      <c r="T695" t="s">
        <v>165</v>
      </c>
      <c r="U695" t="s">
        <v>166</v>
      </c>
      <c r="V695" t="s">
        <v>201</v>
      </c>
      <c r="W695" t="s">
        <v>202</v>
      </c>
      <c r="Y695">
        <v>6</v>
      </c>
      <c r="Z695" t="s">
        <v>170</v>
      </c>
      <c r="AA695" t="s">
        <v>170</v>
      </c>
      <c r="AB695" t="s">
        <v>171</v>
      </c>
      <c r="AC695" t="s">
        <v>172</v>
      </c>
      <c r="AD695">
        <v>10</v>
      </c>
      <c r="AG695" t="s">
        <v>214</v>
      </c>
      <c r="AH695" t="s">
        <v>215</v>
      </c>
      <c r="AI695" t="s">
        <v>175</v>
      </c>
      <c r="AJ695" t="s">
        <v>176</v>
      </c>
      <c r="AK695" t="s">
        <v>170</v>
      </c>
      <c r="AL695" t="s">
        <v>177</v>
      </c>
      <c r="AS695">
        <v>2900</v>
      </c>
      <c r="AT695">
        <v>2900</v>
      </c>
      <c r="BN695" t="s">
        <v>178</v>
      </c>
      <c r="BO695">
        <v>2</v>
      </c>
      <c r="BP695">
        <v>2</v>
      </c>
      <c r="BQ695">
        <v>1</v>
      </c>
      <c r="BR695" t="s">
        <v>179</v>
      </c>
      <c r="BS695" t="s">
        <v>180</v>
      </c>
      <c r="BT695" t="s">
        <v>181</v>
      </c>
      <c r="BV695">
        <v>36377</v>
      </c>
      <c r="BY695" t="s">
        <v>170</v>
      </c>
      <c r="CB695" t="s">
        <v>170</v>
      </c>
      <c r="CC695" t="s">
        <v>170</v>
      </c>
      <c r="CD695" t="s">
        <v>302</v>
      </c>
      <c r="CE695" t="s">
        <v>170</v>
      </c>
      <c r="CG695" t="s">
        <v>169</v>
      </c>
      <c r="CH695" t="s">
        <v>303</v>
      </c>
      <c r="CI695" t="s">
        <v>169</v>
      </c>
      <c r="CJ695" t="s">
        <v>303</v>
      </c>
      <c r="DJ695" t="s">
        <v>184</v>
      </c>
      <c r="DK695" t="s">
        <v>185</v>
      </c>
      <c r="DN695" t="s">
        <v>170</v>
      </c>
      <c r="DO695" t="s">
        <v>186</v>
      </c>
      <c r="DP695" t="s">
        <v>169</v>
      </c>
      <c r="DQ695" t="s">
        <v>198</v>
      </c>
      <c r="DY695">
        <v>28.7</v>
      </c>
      <c r="EB695">
        <v>5</v>
      </c>
      <c r="EC695">
        <v>5</v>
      </c>
      <c r="EE695" t="s">
        <v>304</v>
      </c>
      <c r="EF695">
        <v>1</v>
      </c>
      <c r="EV695">
        <v>5000</v>
      </c>
      <c r="EW695">
        <v>452</v>
      </c>
      <c r="EX695">
        <v>358</v>
      </c>
      <c r="EY695">
        <v>409</v>
      </c>
    </row>
    <row r="696" spans="1:155" x14ac:dyDescent="0.35">
      <c r="A696">
        <v>2025</v>
      </c>
      <c r="B696" t="s">
        <v>299</v>
      </c>
      <c r="C696" t="s">
        <v>299</v>
      </c>
      <c r="D696" t="s">
        <v>310</v>
      </c>
      <c r="E696" t="s">
        <v>301</v>
      </c>
      <c r="F696">
        <v>212</v>
      </c>
      <c r="G696">
        <v>2</v>
      </c>
      <c r="H696">
        <v>4</v>
      </c>
      <c r="I696" t="s">
        <v>209</v>
      </c>
      <c r="J696">
        <v>21</v>
      </c>
      <c r="K696">
        <v>27</v>
      </c>
      <c r="L696">
        <v>24</v>
      </c>
      <c r="M696">
        <v>27.2</v>
      </c>
      <c r="N696">
        <v>38.299999999999997</v>
      </c>
      <c r="O696">
        <v>31.279399999999999</v>
      </c>
      <c r="P696">
        <v>21.394200000000001</v>
      </c>
      <c r="Q696">
        <v>27.034400000000002</v>
      </c>
      <c r="R696">
        <v>23.610900000000001</v>
      </c>
      <c r="T696" t="s">
        <v>165</v>
      </c>
      <c r="U696" t="s">
        <v>166</v>
      </c>
      <c r="V696" t="s">
        <v>211</v>
      </c>
      <c r="W696" t="s">
        <v>212</v>
      </c>
      <c r="Y696">
        <v>7</v>
      </c>
      <c r="Z696" t="s">
        <v>170</v>
      </c>
      <c r="AA696" t="s">
        <v>170</v>
      </c>
      <c r="AB696" t="s">
        <v>171</v>
      </c>
      <c r="AC696" t="s">
        <v>172</v>
      </c>
      <c r="AD696">
        <v>10</v>
      </c>
      <c r="AG696" t="s">
        <v>214</v>
      </c>
      <c r="AH696" t="s">
        <v>215</v>
      </c>
      <c r="AI696" t="s">
        <v>175</v>
      </c>
      <c r="AJ696" t="s">
        <v>176</v>
      </c>
      <c r="AK696" t="s">
        <v>170</v>
      </c>
      <c r="AL696" t="s">
        <v>177</v>
      </c>
      <c r="AS696">
        <v>2650</v>
      </c>
      <c r="AT696">
        <v>2650</v>
      </c>
      <c r="BN696" t="s">
        <v>178</v>
      </c>
      <c r="BO696">
        <v>2</v>
      </c>
      <c r="BP696">
        <v>2</v>
      </c>
      <c r="BQ696">
        <v>1</v>
      </c>
      <c r="BR696" t="s">
        <v>179</v>
      </c>
      <c r="BS696" t="s">
        <v>180</v>
      </c>
      <c r="BT696" t="s">
        <v>181</v>
      </c>
      <c r="BU696" s="1">
        <v>45611</v>
      </c>
      <c r="BV696">
        <v>35822</v>
      </c>
      <c r="BY696" t="s">
        <v>170</v>
      </c>
      <c r="CB696" t="s">
        <v>170</v>
      </c>
      <c r="CC696" t="s">
        <v>170</v>
      </c>
      <c r="CD696" t="s">
        <v>302</v>
      </c>
      <c r="CE696" t="s">
        <v>170</v>
      </c>
      <c r="CG696" t="s">
        <v>169</v>
      </c>
      <c r="CH696" t="s">
        <v>303</v>
      </c>
      <c r="CI696" t="s">
        <v>169</v>
      </c>
      <c r="CJ696" t="s">
        <v>303</v>
      </c>
      <c r="DJ696" t="s">
        <v>184</v>
      </c>
      <c r="DK696" t="s">
        <v>185</v>
      </c>
      <c r="DN696" t="s">
        <v>170</v>
      </c>
      <c r="DO696" t="s">
        <v>186</v>
      </c>
      <c r="DP696" t="s">
        <v>169</v>
      </c>
      <c r="DQ696" t="s">
        <v>198</v>
      </c>
      <c r="DY696">
        <v>31.5</v>
      </c>
      <c r="EB696">
        <v>5</v>
      </c>
      <c r="EC696">
        <v>5</v>
      </c>
      <c r="EE696" t="s">
        <v>304</v>
      </c>
      <c r="EF696">
        <v>1</v>
      </c>
      <c r="EV696">
        <v>3750</v>
      </c>
      <c r="EW696">
        <v>414</v>
      </c>
      <c r="EX696">
        <v>328</v>
      </c>
      <c r="EY696">
        <v>375</v>
      </c>
    </row>
    <row r="697" spans="1:155" x14ac:dyDescent="0.35">
      <c r="A697">
        <v>2025</v>
      </c>
      <c r="B697" t="s">
        <v>299</v>
      </c>
      <c r="C697" t="s">
        <v>299</v>
      </c>
      <c r="D697" t="s">
        <v>311</v>
      </c>
      <c r="E697" t="s">
        <v>301</v>
      </c>
      <c r="F697">
        <v>227</v>
      </c>
      <c r="G697">
        <v>4</v>
      </c>
      <c r="H697">
        <v>6</v>
      </c>
      <c r="I697" t="s">
        <v>200</v>
      </c>
      <c r="J697">
        <v>17</v>
      </c>
      <c r="K697">
        <v>24</v>
      </c>
      <c r="L697">
        <v>19</v>
      </c>
      <c r="M697">
        <v>21</v>
      </c>
      <c r="N697">
        <v>32.9</v>
      </c>
      <c r="O697">
        <v>25.082599999999999</v>
      </c>
      <c r="P697">
        <v>16.8538</v>
      </c>
      <c r="Q697">
        <v>23.508700000000001</v>
      </c>
      <c r="R697">
        <v>19.3142</v>
      </c>
      <c r="U697" t="s">
        <v>224</v>
      </c>
      <c r="V697" t="s">
        <v>201</v>
      </c>
      <c r="W697" t="s">
        <v>202</v>
      </c>
      <c r="Y697">
        <v>6</v>
      </c>
      <c r="Z697" t="s">
        <v>170</v>
      </c>
      <c r="AA697" t="s">
        <v>170</v>
      </c>
      <c r="AB697" t="s">
        <v>171</v>
      </c>
      <c r="AC697" t="s">
        <v>172</v>
      </c>
      <c r="AD697">
        <v>10</v>
      </c>
      <c r="AG697" t="s">
        <v>214</v>
      </c>
      <c r="AH697" t="s">
        <v>215</v>
      </c>
      <c r="AI697" t="s">
        <v>175</v>
      </c>
      <c r="AJ697" t="s">
        <v>176</v>
      </c>
      <c r="AK697" t="s">
        <v>170</v>
      </c>
      <c r="AL697" t="s">
        <v>177</v>
      </c>
      <c r="AS697">
        <v>3350</v>
      </c>
      <c r="AT697">
        <v>3350</v>
      </c>
      <c r="BN697" t="s">
        <v>178</v>
      </c>
      <c r="BO697">
        <v>2</v>
      </c>
      <c r="BP697">
        <v>2</v>
      </c>
      <c r="BQ697">
        <v>1</v>
      </c>
      <c r="BR697" t="s">
        <v>179</v>
      </c>
      <c r="BS697" t="s">
        <v>180</v>
      </c>
      <c r="BT697" t="s">
        <v>181</v>
      </c>
      <c r="BU697" s="1">
        <v>45580</v>
      </c>
      <c r="BV697">
        <v>35715</v>
      </c>
      <c r="BX697" t="s">
        <v>170</v>
      </c>
      <c r="BY697" t="s">
        <v>170</v>
      </c>
      <c r="CB697" t="s">
        <v>170</v>
      </c>
      <c r="CC697" t="s">
        <v>170</v>
      </c>
      <c r="CD697" t="s">
        <v>306</v>
      </c>
      <c r="CE697" t="s">
        <v>170</v>
      </c>
      <c r="CG697" t="s">
        <v>169</v>
      </c>
      <c r="CH697" t="s">
        <v>303</v>
      </c>
      <c r="CI697" t="s">
        <v>169</v>
      </c>
      <c r="CJ697" t="s">
        <v>303</v>
      </c>
      <c r="DJ697" t="s">
        <v>184</v>
      </c>
      <c r="DK697" t="s">
        <v>185</v>
      </c>
      <c r="DN697" t="s">
        <v>170</v>
      </c>
      <c r="DO697" t="s">
        <v>186</v>
      </c>
      <c r="DP697" t="s">
        <v>170</v>
      </c>
      <c r="DQ697" t="s">
        <v>187</v>
      </c>
      <c r="DY697">
        <v>25.3</v>
      </c>
      <c r="EB697">
        <v>4</v>
      </c>
      <c r="EC697">
        <v>4</v>
      </c>
      <c r="EE697" t="s">
        <v>307</v>
      </c>
      <c r="EF697">
        <v>4</v>
      </c>
      <c r="EV697">
        <v>7250</v>
      </c>
      <c r="EW697">
        <v>523</v>
      </c>
      <c r="EX697">
        <v>377</v>
      </c>
      <c r="EY697">
        <v>458</v>
      </c>
    </row>
    <row r="698" spans="1:155" x14ac:dyDescent="0.35">
      <c r="A698">
        <v>2025</v>
      </c>
      <c r="B698" t="s">
        <v>299</v>
      </c>
      <c r="C698" t="s">
        <v>299</v>
      </c>
      <c r="D698" t="s">
        <v>311</v>
      </c>
      <c r="E698" t="s">
        <v>301</v>
      </c>
      <c r="F698">
        <v>228</v>
      </c>
      <c r="G698">
        <v>4</v>
      </c>
      <c r="H698">
        <v>6</v>
      </c>
      <c r="I698" t="s">
        <v>209</v>
      </c>
      <c r="J698">
        <v>19</v>
      </c>
      <c r="K698">
        <v>24</v>
      </c>
      <c r="L698">
        <v>21</v>
      </c>
      <c r="M698">
        <v>24.1</v>
      </c>
      <c r="N698">
        <v>33.799999999999997</v>
      </c>
      <c r="O698">
        <v>27.6739</v>
      </c>
      <c r="P698">
        <v>19.146799999999999</v>
      </c>
      <c r="Q698">
        <v>24.1023</v>
      </c>
      <c r="R698">
        <v>21.0989</v>
      </c>
      <c r="U698" t="s">
        <v>224</v>
      </c>
      <c r="V698" t="s">
        <v>211</v>
      </c>
      <c r="W698" t="s">
        <v>212</v>
      </c>
      <c r="Y698">
        <v>7</v>
      </c>
      <c r="Z698" t="s">
        <v>170</v>
      </c>
      <c r="AA698" t="s">
        <v>170</v>
      </c>
      <c r="AB698" t="s">
        <v>171</v>
      </c>
      <c r="AC698" t="s">
        <v>172</v>
      </c>
      <c r="AD698">
        <v>10</v>
      </c>
      <c r="AG698" t="s">
        <v>214</v>
      </c>
      <c r="AH698" t="s">
        <v>215</v>
      </c>
      <c r="AI698" t="s">
        <v>175</v>
      </c>
      <c r="AJ698" t="s">
        <v>176</v>
      </c>
      <c r="AK698" t="s">
        <v>170</v>
      </c>
      <c r="AL698" t="s">
        <v>177</v>
      </c>
      <c r="AS698">
        <v>3050</v>
      </c>
      <c r="AT698">
        <v>3050</v>
      </c>
      <c r="BN698" t="s">
        <v>178</v>
      </c>
      <c r="BO698">
        <v>2</v>
      </c>
      <c r="BP698">
        <v>2</v>
      </c>
      <c r="BQ698">
        <v>1</v>
      </c>
      <c r="BR698" t="s">
        <v>179</v>
      </c>
      <c r="BS698" t="s">
        <v>180</v>
      </c>
      <c r="BT698" t="s">
        <v>181</v>
      </c>
      <c r="BU698" s="1">
        <v>45580</v>
      </c>
      <c r="BV698">
        <v>35716</v>
      </c>
      <c r="BX698" t="s">
        <v>170</v>
      </c>
      <c r="BY698" t="s">
        <v>170</v>
      </c>
      <c r="CB698" t="s">
        <v>170</v>
      </c>
      <c r="CC698" t="s">
        <v>170</v>
      </c>
      <c r="CD698" t="s">
        <v>306</v>
      </c>
      <c r="CE698" t="s">
        <v>170</v>
      </c>
      <c r="CG698" t="s">
        <v>169</v>
      </c>
      <c r="CH698" t="s">
        <v>303</v>
      </c>
      <c r="CI698" t="s">
        <v>169</v>
      </c>
      <c r="CJ698" t="s">
        <v>303</v>
      </c>
      <c r="DJ698" t="s">
        <v>184</v>
      </c>
      <c r="DK698" t="s">
        <v>185</v>
      </c>
      <c r="DN698" t="s">
        <v>170</v>
      </c>
      <c r="DO698" t="s">
        <v>186</v>
      </c>
      <c r="DP698" t="s">
        <v>170</v>
      </c>
      <c r="DQ698" t="s">
        <v>187</v>
      </c>
      <c r="DY698">
        <v>27.9</v>
      </c>
      <c r="EB698">
        <v>4</v>
      </c>
      <c r="EC698">
        <v>4</v>
      </c>
      <c r="EE698" t="s">
        <v>307</v>
      </c>
      <c r="EF698">
        <v>4</v>
      </c>
      <c r="EV698">
        <v>5750</v>
      </c>
      <c r="EW698">
        <v>460</v>
      </c>
      <c r="EX698">
        <v>367</v>
      </c>
      <c r="EY698">
        <v>418</v>
      </c>
    </row>
    <row r="699" spans="1:155" x14ac:dyDescent="0.35">
      <c r="A699">
        <v>2025</v>
      </c>
      <c r="B699" t="s">
        <v>299</v>
      </c>
      <c r="C699" t="s">
        <v>299</v>
      </c>
      <c r="D699" t="s">
        <v>312</v>
      </c>
      <c r="E699" t="s">
        <v>301</v>
      </c>
      <c r="F699">
        <v>231</v>
      </c>
      <c r="G699">
        <v>2.5</v>
      </c>
      <c r="H699">
        <v>4</v>
      </c>
      <c r="I699" t="s">
        <v>200</v>
      </c>
      <c r="J699">
        <v>19</v>
      </c>
      <c r="K699">
        <v>24</v>
      </c>
      <c r="L699">
        <v>21</v>
      </c>
      <c r="M699">
        <v>23.6</v>
      </c>
      <c r="N699">
        <v>34.299999999999997</v>
      </c>
      <c r="O699">
        <v>27.454000000000001</v>
      </c>
      <c r="P699">
        <v>18.780100000000001</v>
      </c>
      <c r="Q699">
        <v>24.431000000000001</v>
      </c>
      <c r="R699">
        <v>20.9619</v>
      </c>
      <c r="T699" t="s">
        <v>165</v>
      </c>
      <c r="U699" t="s">
        <v>166</v>
      </c>
      <c r="V699" t="s">
        <v>201</v>
      </c>
      <c r="W699" t="s">
        <v>202</v>
      </c>
      <c r="Y699">
        <v>6</v>
      </c>
      <c r="Z699" t="s">
        <v>170</v>
      </c>
      <c r="AA699" t="s">
        <v>170</v>
      </c>
      <c r="AB699" t="s">
        <v>171</v>
      </c>
      <c r="AC699" t="s">
        <v>172</v>
      </c>
      <c r="AD699">
        <v>10</v>
      </c>
      <c r="AG699" t="s">
        <v>214</v>
      </c>
      <c r="AH699" t="s">
        <v>215</v>
      </c>
      <c r="AI699" t="s">
        <v>175</v>
      </c>
      <c r="AJ699" t="s">
        <v>176</v>
      </c>
      <c r="AK699" t="s">
        <v>170</v>
      </c>
      <c r="AL699" t="s">
        <v>177</v>
      </c>
      <c r="AS699">
        <v>3050</v>
      </c>
      <c r="AT699">
        <v>3050</v>
      </c>
      <c r="BN699" t="s">
        <v>178</v>
      </c>
      <c r="BO699">
        <v>2</v>
      </c>
      <c r="BP699">
        <v>2</v>
      </c>
      <c r="BQ699">
        <v>1</v>
      </c>
      <c r="BR699" t="s">
        <v>179</v>
      </c>
      <c r="BS699" t="s">
        <v>180</v>
      </c>
      <c r="BT699" t="s">
        <v>181</v>
      </c>
      <c r="BU699" s="1">
        <v>45611</v>
      </c>
      <c r="BV699">
        <v>35825</v>
      </c>
      <c r="BY699" t="s">
        <v>170</v>
      </c>
      <c r="CB699" t="s">
        <v>170</v>
      </c>
      <c r="CC699" t="s">
        <v>170</v>
      </c>
      <c r="CD699" t="s">
        <v>309</v>
      </c>
      <c r="CE699" t="s">
        <v>170</v>
      </c>
      <c r="CG699" t="s">
        <v>169</v>
      </c>
      <c r="CH699" t="s">
        <v>303</v>
      </c>
      <c r="CI699" t="s">
        <v>169</v>
      </c>
      <c r="CJ699" t="s">
        <v>303</v>
      </c>
      <c r="DJ699" t="s">
        <v>184</v>
      </c>
      <c r="DK699" t="s">
        <v>185</v>
      </c>
      <c r="DN699" t="s">
        <v>170</v>
      </c>
      <c r="DO699" t="s">
        <v>186</v>
      </c>
      <c r="DP699" t="s">
        <v>169</v>
      </c>
      <c r="DQ699" t="s">
        <v>198</v>
      </c>
      <c r="DY699">
        <v>27.7</v>
      </c>
      <c r="EB699">
        <v>4</v>
      </c>
      <c r="EC699">
        <v>4</v>
      </c>
      <c r="EE699" t="s">
        <v>304</v>
      </c>
      <c r="EF699">
        <v>1</v>
      </c>
      <c r="EV699">
        <v>5750</v>
      </c>
      <c r="EW699">
        <v>472</v>
      </c>
      <c r="EX699">
        <v>363</v>
      </c>
      <c r="EY699">
        <v>423</v>
      </c>
    </row>
    <row r="700" spans="1:155" x14ac:dyDescent="0.35">
      <c r="A700">
        <v>2025</v>
      </c>
      <c r="B700" t="s">
        <v>299</v>
      </c>
      <c r="C700" t="s">
        <v>299</v>
      </c>
      <c r="D700" t="s">
        <v>312</v>
      </c>
      <c r="E700" t="s">
        <v>301</v>
      </c>
      <c r="F700">
        <v>232</v>
      </c>
      <c r="G700">
        <v>2.5</v>
      </c>
      <c r="H700">
        <v>4</v>
      </c>
      <c r="I700" t="s">
        <v>209</v>
      </c>
      <c r="J700">
        <v>19</v>
      </c>
      <c r="K700">
        <v>25</v>
      </c>
      <c r="L700">
        <v>22</v>
      </c>
      <c r="M700">
        <v>24.2</v>
      </c>
      <c r="N700">
        <v>35.9</v>
      </c>
      <c r="O700">
        <v>28.359100000000002</v>
      </c>
      <c r="P700">
        <v>19.22</v>
      </c>
      <c r="Q700">
        <v>25.478000000000002</v>
      </c>
      <c r="R700">
        <v>21.6084</v>
      </c>
      <c r="T700" t="s">
        <v>165</v>
      </c>
      <c r="U700" t="s">
        <v>166</v>
      </c>
      <c r="V700" t="s">
        <v>211</v>
      </c>
      <c r="W700" t="s">
        <v>212</v>
      </c>
      <c r="Y700">
        <v>7</v>
      </c>
      <c r="Z700" t="s">
        <v>170</v>
      </c>
      <c r="AA700" t="s">
        <v>170</v>
      </c>
      <c r="AB700" t="s">
        <v>171</v>
      </c>
      <c r="AC700" t="s">
        <v>172</v>
      </c>
      <c r="AD700">
        <v>10</v>
      </c>
      <c r="AG700" t="s">
        <v>214</v>
      </c>
      <c r="AH700" t="s">
        <v>215</v>
      </c>
      <c r="AI700" t="s">
        <v>175</v>
      </c>
      <c r="AJ700" t="s">
        <v>176</v>
      </c>
      <c r="AK700" t="s">
        <v>170</v>
      </c>
      <c r="AL700" t="s">
        <v>177</v>
      </c>
      <c r="AS700">
        <v>2900</v>
      </c>
      <c r="AT700">
        <v>2900</v>
      </c>
      <c r="BN700" t="s">
        <v>178</v>
      </c>
      <c r="BO700">
        <v>2</v>
      </c>
      <c r="BP700">
        <v>2</v>
      </c>
      <c r="BQ700">
        <v>1</v>
      </c>
      <c r="BR700" t="s">
        <v>179</v>
      </c>
      <c r="BS700" t="s">
        <v>180</v>
      </c>
      <c r="BT700" t="s">
        <v>181</v>
      </c>
      <c r="BU700" s="1">
        <v>45611</v>
      </c>
      <c r="BV700">
        <v>35826</v>
      </c>
      <c r="BY700" t="s">
        <v>170</v>
      </c>
      <c r="CB700" t="s">
        <v>170</v>
      </c>
      <c r="CC700" t="s">
        <v>170</v>
      </c>
      <c r="CD700" t="s">
        <v>309</v>
      </c>
      <c r="CE700" t="s">
        <v>170</v>
      </c>
      <c r="CG700" t="s">
        <v>169</v>
      </c>
      <c r="CH700" t="s">
        <v>303</v>
      </c>
      <c r="CI700" t="s">
        <v>169</v>
      </c>
      <c r="CJ700" t="s">
        <v>303</v>
      </c>
      <c r="DJ700" t="s">
        <v>184</v>
      </c>
      <c r="DK700" t="s">
        <v>185</v>
      </c>
      <c r="DN700" t="s">
        <v>170</v>
      </c>
      <c r="DO700" t="s">
        <v>186</v>
      </c>
      <c r="DP700" t="s">
        <v>169</v>
      </c>
      <c r="DQ700" t="s">
        <v>198</v>
      </c>
      <c r="DY700">
        <v>28.6</v>
      </c>
      <c r="EB700">
        <v>5</v>
      </c>
      <c r="EC700">
        <v>5</v>
      </c>
      <c r="EE700" t="s">
        <v>304</v>
      </c>
      <c r="EF700">
        <v>1</v>
      </c>
      <c r="EV700">
        <v>5000</v>
      </c>
      <c r="EW700">
        <v>461</v>
      </c>
      <c r="EX700">
        <v>348</v>
      </c>
      <c r="EY700">
        <v>410</v>
      </c>
    </row>
    <row r="701" spans="1:155" x14ac:dyDescent="0.35">
      <c r="A701">
        <v>2025</v>
      </c>
      <c r="B701" t="s">
        <v>299</v>
      </c>
      <c r="C701" t="s">
        <v>299</v>
      </c>
      <c r="D701" t="s">
        <v>313</v>
      </c>
      <c r="E701" t="s">
        <v>301</v>
      </c>
      <c r="F701">
        <v>248</v>
      </c>
      <c r="G701">
        <v>4</v>
      </c>
      <c r="H701">
        <v>6</v>
      </c>
      <c r="I701" t="s">
        <v>209</v>
      </c>
      <c r="J701">
        <v>15</v>
      </c>
      <c r="K701">
        <v>19</v>
      </c>
      <c r="L701">
        <v>16</v>
      </c>
      <c r="M701">
        <v>18.100000000000001</v>
      </c>
      <c r="N701">
        <v>26</v>
      </c>
      <c r="O701">
        <v>20.966799999999999</v>
      </c>
      <c r="P701">
        <v>14.666</v>
      </c>
      <c r="Q701">
        <v>18.8752</v>
      </c>
      <c r="R701">
        <v>16.3019</v>
      </c>
      <c r="S701" t="s">
        <v>210</v>
      </c>
      <c r="U701" t="s">
        <v>224</v>
      </c>
      <c r="V701" t="s">
        <v>211</v>
      </c>
      <c r="W701" t="s">
        <v>212</v>
      </c>
      <c r="Y701">
        <v>7</v>
      </c>
      <c r="Z701" t="s">
        <v>170</v>
      </c>
      <c r="AA701" t="s">
        <v>170</v>
      </c>
      <c r="AB701" t="s">
        <v>171</v>
      </c>
      <c r="AC701" t="s">
        <v>172</v>
      </c>
      <c r="AD701">
        <v>10</v>
      </c>
      <c r="AG701" t="s">
        <v>214</v>
      </c>
      <c r="AH701" t="s">
        <v>215</v>
      </c>
      <c r="AI701" t="s">
        <v>175</v>
      </c>
      <c r="AJ701" t="s">
        <v>176</v>
      </c>
      <c r="AK701" t="s">
        <v>170</v>
      </c>
      <c r="AL701" t="s">
        <v>177</v>
      </c>
      <c r="AS701">
        <v>4000</v>
      </c>
      <c r="AT701">
        <v>4000</v>
      </c>
      <c r="BN701" t="s">
        <v>178</v>
      </c>
      <c r="BO701">
        <v>2</v>
      </c>
      <c r="BP701">
        <v>2</v>
      </c>
      <c r="BQ701">
        <v>1</v>
      </c>
      <c r="BR701" t="s">
        <v>179</v>
      </c>
      <c r="BS701" t="s">
        <v>180</v>
      </c>
      <c r="BT701" t="s">
        <v>181</v>
      </c>
      <c r="BU701" s="1">
        <v>45641</v>
      </c>
      <c r="BV701">
        <v>36003</v>
      </c>
      <c r="BY701" t="s">
        <v>170</v>
      </c>
      <c r="CB701" t="s">
        <v>170</v>
      </c>
      <c r="CC701" t="s">
        <v>170</v>
      </c>
      <c r="CE701" t="s">
        <v>170</v>
      </c>
      <c r="CG701" t="s">
        <v>169</v>
      </c>
      <c r="CH701" t="s">
        <v>314</v>
      </c>
      <c r="CI701" t="s">
        <v>170</v>
      </c>
      <c r="CJ701" t="s">
        <v>314</v>
      </c>
      <c r="DJ701" t="s">
        <v>184</v>
      </c>
      <c r="DK701" t="s">
        <v>185</v>
      </c>
      <c r="DN701" t="s">
        <v>170</v>
      </c>
      <c r="DO701" t="s">
        <v>186</v>
      </c>
      <c r="DP701" t="s">
        <v>169</v>
      </c>
      <c r="DQ701" t="s">
        <v>198</v>
      </c>
      <c r="DY701">
        <v>21.1</v>
      </c>
      <c r="EB701">
        <v>3</v>
      </c>
      <c r="EC701">
        <v>3</v>
      </c>
      <c r="EE701" t="s">
        <v>315</v>
      </c>
      <c r="EF701">
        <v>2</v>
      </c>
      <c r="EV701">
        <v>10500</v>
      </c>
      <c r="EW701">
        <v>605</v>
      </c>
      <c r="EX701">
        <v>469</v>
      </c>
      <c r="EY701">
        <v>544</v>
      </c>
    </row>
    <row r="702" spans="1:155" x14ac:dyDescent="0.35">
      <c r="A702">
        <v>2025</v>
      </c>
      <c r="B702" t="s">
        <v>299</v>
      </c>
      <c r="C702" t="s">
        <v>299</v>
      </c>
      <c r="D702" t="s">
        <v>316</v>
      </c>
      <c r="E702" t="s">
        <v>301</v>
      </c>
      <c r="F702">
        <v>249</v>
      </c>
      <c r="G702">
        <v>4</v>
      </c>
      <c r="H702">
        <v>6</v>
      </c>
      <c r="I702" t="s">
        <v>209</v>
      </c>
      <c r="J702">
        <v>14</v>
      </c>
      <c r="K702">
        <v>19</v>
      </c>
      <c r="L702">
        <v>16</v>
      </c>
      <c r="M702">
        <v>17.600000000000001</v>
      </c>
      <c r="N702">
        <v>26.2</v>
      </c>
      <c r="O702">
        <v>20.650200000000002</v>
      </c>
      <c r="P702">
        <v>14.2845</v>
      </c>
      <c r="Q702">
        <v>19.011600000000001</v>
      </c>
      <c r="R702">
        <v>16.084099999999999</v>
      </c>
      <c r="S702" t="s">
        <v>210</v>
      </c>
      <c r="U702" t="s">
        <v>224</v>
      </c>
      <c r="V702" t="s">
        <v>211</v>
      </c>
      <c r="W702" t="s">
        <v>212</v>
      </c>
      <c r="Y702">
        <v>7</v>
      </c>
      <c r="Z702" t="s">
        <v>170</v>
      </c>
      <c r="AA702" t="s">
        <v>170</v>
      </c>
      <c r="AB702" t="s">
        <v>171</v>
      </c>
      <c r="AC702" t="s">
        <v>172</v>
      </c>
      <c r="AD702">
        <v>10</v>
      </c>
      <c r="AG702" t="s">
        <v>214</v>
      </c>
      <c r="AH702" t="s">
        <v>215</v>
      </c>
      <c r="AI702" t="s">
        <v>175</v>
      </c>
      <c r="AJ702" t="s">
        <v>176</v>
      </c>
      <c r="AK702" t="s">
        <v>170</v>
      </c>
      <c r="AL702" t="s">
        <v>177</v>
      </c>
      <c r="AS702">
        <v>4000</v>
      </c>
      <c r="AT702">
        <v>4000</v>
      </c>
      <c r="BN702" t="s">
        <v>178</v>
      </c>
      <c r="BO702">
        <v>2</v>
      </c>
      <c r="BP702">
        <v>2</v>
      </c>
      <c r="BQ702">
        <v>1</v>
      </c>
      <c r="BR702" t="s">
        <v>179</v>
      </c>
      <c r="BS702" t="s">
        <v>180</v>
      </c>
      <c r="BT702" t="s">
        <v>181</v>
      </c>
      <c r="BU702" s="1">
        <v>45641</v>
      </c>
      <c r="BV702">
        <v>36002</v>
      </c>
      <c r="BY702" t="s">
        <v>170</v>
      </c>
      <c r="CB702" t="s">
        <v>170</v>
      </c>
      <c r="CC702" t="s">
        <v>170</v>
      </c>
      <c r="CE702" t="s">
        <v>170</v>
      </c>
      <c r="CG702" t="s">
        <v>169</v>
      </c>
      <c r="CH702" t="s">
        <v>314</v>
      </c>
      <c r="CI702" t="s">
        <v>170</v>
      </c>
      <c r="CJ702" t="s">
        <v>314</v>
      </c>
      <c r="DJ702" t="s">
        <v>184</v>
      </c>
      <c r="DK702" t="s">
        <v>185</v>
      </c>
      <c r="DN702" t="s">
        <v>170</v>
      </c>
      <c r="DO702" t="s">
        <v>186</v>
      </c>
      <c r="DP702" t="s">
        <v>169</v>
      </c>
      <c r="DQ702" t="s">
        <v>198</v>
      </c>
      <c r="DY702">
        <v>20.8</v>
      </c>
      <c r="EB702">
        <v>3</v>
      </c>
      <c r="EC702">
        <v>3</v>
      </c>
      <c r="EE702" t="s">
        <v>315</v>
      </c>
      <c r="EF702">
        <v>2</v>
      </c>
      <c r="EV702">
        <v>10500</v>
      </c>
      <c r="EW702">
        <v>621</v>
      </c>
      <c r="EX702">
        <v>466</v>
      </c>
      <c r="EY702">
        <v>551</v>
      </c>
    </row>
    <row r="703" spans="1:155" x14ac:dyDescent="0.35">
      <c r="A703">
        <v>2025</v>
      </c>
      <c r="B703" t="s">
        <v>299</v>
      </c>
      <c r="C703" t="s">
        <v>299</v>
      </c>
      <c r="D703" t="s">
        <v>360</v>
      </c>
      <c r="E703" t="s">
        <v>301</v>
      </c>
      <c r="F703">
        <v>102</v>
      </c>
      <c r="G703">
        <v>3</v>
      </c>
      <c r="H703">
        <v>6</v>
      </c>
      <c r="I703" t="s">
        <v>361</v>
      </c>
      <c r="J703">
        <v>18</v>
      </c>
      <c r="K703">
        <v>25</v>
      </c>
      <c r="L703">
        <v>21</v>
      </c>
      <c r="M703">
        <v>22.8</v>
      </c>
      <c r="N703">
        <v>35.9</v>
      </c>
      <c r="O703">
        <v>27.279499999999999</v>
      </c>
      <c r="P703">
        <v>18.190899999999999</v>
      </c>
      <c r="Q703">
        <v>25.478000000000002</v>
      </c>
      <c r="R703">
        <v>20.878</v>
      </c>
      <c r="T703" t="s">
        <v>165</v>
      </c>
      <c r="U703" t="s">
        <v>166</v>
      </c>
      <c r="V703" t="s">
        <v>211</v>
      </c>
      <c r="W703" t="s">
        <v>212</v>
      </c>
      <c r="Y703">
        <v>8</v>
      </c>
      <c r="Z703" t="s">
        <v>170</v>
      </c>
      <c r="AA703" t="s">
        <v>170</v>
      </c>
      <c r="AB703" t="s">
        <v>171</v>
      </c>
      <c r="AC703" t="s">
        <v>172</v>
      </c>
      <c r="AD703">
        <v>10</v>
      </c>
      <c r="AG703" t="s">
        <v>214</v>
      </c>
      <c r="AH703" t="s">
        <v>215</v>
      </c>
      <c r="AI703" t="s">
        <v>175</v>
      </c>
      <c r="AJ703" t="s">
        <v>176</v>
      </c>
      <c r="AK703" t="s">
        <v>170</v>
      </c>
      <c r="AL703" t="s">
        <v>177</v>
      </c>
      <c r="AM703">
        <v>70</v>
      </c>
      <c r="AN703">
        <v>5</v>
      </c>
      <c r="AS703">
        <v>3050</v>
      </c>
      <c r="AT703">
        <v>3050</v>
      </c>
      <c r="BN703" t="s">
        <v>178</v>
      </c>
      <c r="BO703">
        <v>2</v>
      </c>
      <c r="BP703">
        <v>2</v>
      </c>
      <c r="BQ703">
        <v>2</v>
      </c>
      <c r="BR703" t="s">
        <v>321</v>
      </c>
      <c r="BS703" t="s">
        <v>180</v>
      </c>
      <c r="BT703" t="s">
        <v>181</v>
      </c>
      <c r="BU703" s="1">
        <v>45553</v>
      </c>
      <c r="BV703">
        <v>35570</v>
      </c>
      <c r="BY703" t="s">
        <v>170</v>
      </c>
      <c r="CB703" t="s">
        <v>170</v>
      </c>
      <c r="CC703" t="s">
        <v>170</v>
      </c>
      <c r="CD703" t="s">
        <v>362</v>
      </c>
      <c r="CE703" t="s">
        <v>170</v>
      </c>
      <c r="CG703" t="s">
        <v>169</v>
      </c>
      <c r="CH703" t="s">
        <v>303</v>
      </c>
      <c r="CI703" t="s">
        <v>169</v>
      </c>
      <c r="CJ703" t="s">
        <v>303</v>
      </c>
      <c r="DJ703" t="s">
        <v>184</v>
      </c>
      <c r="DK703" t="s">
        <v>185</v>
      </c>
      <c r="DN703" t="s">
        <v>170</v>
      </c>
      <c r="DO703" t="s">
        <v>186</v>
      </c>
      <c r="DP703" t="s">
        <v>169</v>
      </c>
      <c r="DQ703" t="s">
        <v>198</v>
      </c>
      <c r="DY703">
        <v>27.5</v>
      </c>
      <c r="EB703">
        <v>4</v>
      </c>
      <c r="EC703">
        <v>4</v>
      </c>
      <c r="EE703" t="s">
        <v>363</v>
      </c>
      <c r="EF703">
        <v>4</v>
      </c>
      <c r="EV703">
        <v>5750</v>
      </c>
      <c r="EW703">
        <v>486</v>
      </c>
      <c r="EX703">
        <v>348</v>
      </c>
      <c r="EY703">
        <v>424</v>
      </c>
    </row>
    <row r="704" spans="1:155" x14ac:dyDescent="0.35">
      <c r="A704">
        <v>2025</v>
      </c>
      <c r="B704" t="s">
        <v>299</v>
      </c>
      <c r="C704" t="s">
        <v>299</v>
      </c>
      <c r="D704" t="s">
        <v>364</v>
      </c>
      <c r="E704" t="s">
        <v>301</v>
      </c>
      <c r="F704">
        <v>134</v>
      </c>
      <c r="G704">
        <v>3.6</v>
      </c>
      <c r="H704">
        <v>6</v>
      </c>
      <c r="I704" t="s">
        <v>361</v>
      </c>
      <c r="J704">
        <v>17</v>
      </c>
      <c r="K704">
        <v>23</v>
      </c>
      <c r="L704">
        <v>19</v>
      </c>
      <c r="M704">
        <v>21.3</v>
      </c>
      <c r="N704">
        <v>32.1</v>
      </c>
      <c r="O704">
        <v>25.100200000000001</v>
      </c>
      <c r="P704">
        <v>17.0777</v>
      </c>
      <c r="Q704">
        <v>22.978899999999999</v>
      </c>
      <c r="R704">
        <v>19.309100000000001</v>
      </c>
      <c r="T704" t="s">
        <v>165</v>
      </c>
      <c r="U704" t="s">
        <v>166</v>
      </c>
      <c r="V704" t="s">
        <v>211</v>
      </c>
      <c r="W704" t="s">
        <v>212</v>
      </c>
      <c r="Y704">
        <v>8</v>
      </c>
      <c r="Z704" t="s">
        <v>170</v>
      </c>
      <c r="AA704" t="s">
        <v>170</v>
      </c>
      <c r="AB704" t="s">
        <v>167</v>
      </c>
      <c r="AC704" t="s">
        <v>213</v>
      </c>
      <c r="AD704">
        <v>10</v>
      </c>
      <c r="AG704" t="s">
        <v>214</v>
      </c>
      <c r="AH704" t="s">
        <v>215</v>
      </c>
      <c r="AI704" t="s">
        <v>175</v>
      </c>
      <c r="AJ704" t="s">
        <v>176</v>
      </c>
      <c r="AK704" t="s">
        <v>170</v>
      </c>
      <c r="AL704" t="s">
        <v>177</v>
      </c>
      <c r="AM704">
        <v>70</v>
      </c>
      <c r="AN704">
        <v>5</v>
      </c>
      <c r="AS704">
        <v>3350</v>
      </c>
      <c r="AT704">
        <v>3350</v>
      </c>
      <c r="BN704" t="s">
        <v>178</v>
      </c>
      <c r="BO704">
        <v>2</v>
      </c>
      <c r="BP704">
        <v>2</v>
      </c>
      <c r="BQ704">
        <v>2</v>
      </c>
      <c r="BR704" t="s">
        <v>321</v>
      </c>
      <c r="BS704" t="s">
        <v>180</v>
      </c>
      <c r="BT704" t="s">
        <v>181</v>
      </c>
      <c r="BU704" s="1">
        <v>45716</v>
      </c>
      <c r="BV704">
        <v>36107</v>
      </c>
      <c r="BY704" t="s">
        <v>170</v>
      </c>
      <c r="CB704" t="s">
        <v>170</v>
      </c>
      <c r="CC704" t="s">
        <v>170</v>
      </c>
      <c r="CE704" t="s">
        <v>170</v>
      </c>
      <c r="CG704" t="s">
        <v>169</v>
      </c>
      <c r="CH704" t="s">
        <v>314</v>
      </c>
      <c r="CI704" t="s">
        <v>170</v>
      </c>
      <c r="DJ704" t="s">
        <v>184</v>
      </c>
      <c r="DK704" t="s">
        <v>185</v>
      </c>
      <c r="DN704" t="s">
        <v>170</v>
      </c>
      <c r="DO704" t="s">
        <v>186</v>
      </c>
      <c r="DP704" t="s">
        <v>169</v>
      </c>
      <c r="DQ704" t="s">
        <v>198</v>
      </c>
      <c r="DY704">
        <v>25.3</v>
      </c>
      <c r="EB704">
        <v>4</v>
      </c>
      <c r="EC704">
        <v>4</v>
      </c>
      <c r="EE704" t="s">
        <v>365</v>
      </c>
      <c r="EF704">
        <v>5</v>
      </c>
      <c r="EV704">
        <v>7250</v>
      </c>
      <c r="EW704">
        <v>521</v>
      </c>
      <c r="EX704">
        <v>388</v>
      </c>
      <c r="EY704">
        <v>461</v>
      </c>
    </row>
    <row r="705" spans="1:155" x14ac:dyDescent="0.35">
      <c r="A705">
        <v>2025</v>
      </c>
      <c r="B705" t="s">
        <v>299</v>
      </c>
      <c r="C705" t="s">
        <v>299</v>
      </c>
      <c r="D705" t="s">
        <v>366</v>
      </c>
      <c r="E705" t="s">
        <v>301</v>
      </c>
      <c r="F705">
        <v>136</v>
      </c>
      <c r="G705">
        <v>3.6</v>
      </c>
      <c r="H705">
        <v>6</v>
      </c>
      <c r="I705" t="s">
        <v>361</v>
      </c>
      <c r="J705">
        <v>17</v>
      </c>
      <c r="K705">
        <v>23</v>
      </c>
      <c r="L705">
        <v>19</v>
      </c>
      <c r="M705">
        <v>21.7</v>
      </c>
      <c r="N705">
        <v>32.5</v>
      </c>
      <c r="O705">
        <v>25.515599999999999</v>
      </c>
      <c r="P705">
        <v>17.375599999999999</v>
      </c>
      <c r="Q705">
        <v>23.244</v>
      </c>
      <c r="R705">
        <v>19</v>
      </c>
      <c r="T705" t="s">
        <v>165</v>
      </c>
      <c r="U705" t="s">
        <v>166</v>
      </c>
      <c r="V705" t="s">
        <v>211</v>
      </c>
      <c r="W705" t="s">
        <v>212</v>
      </c>
      <c r="Y705">
        <v>8</v>
      </c>
      <c r="Z705" t="s">
        <v>170</v>
      </c>
      <c r="AA705" t="s">
        <v>170</v>
      </c>
      <c r="AB705" t="s">
        <v>167</v>
      </c>
      <c r="AC705" t="s">
        <v>213</v>
      </c>
      <c r="AD705">
        <v>10</v>
      </c>
      <c r="AG705" t="s">
        <v>214</v>
      </c>
      <c r="AH705" t="s">
        <v>215</v>
      </c>
      <c r="AI705" t="s">
        <v>175</v>
      </c>
      <c r="AJ705" t="s">
        <v>176</v>
      </c>
      <c r="AK705" t="s">
        <v>170</v>
      </c>
      <c r="AL705" t="s">
        <v>177</v>
      </c>
      <c r="AM705">
        <v>68</v>
      </c>
      <c r="AN705">
        <v>5</v>
      </c>
      <c r="AS705">
        <v>3350</v>
      </c>
      <c r="AT705">
        <v>3350</v>
      </c>
      <c r="BN705" t="s">
        <v>178</v>
      </c>
      <c r="BO705">
        <v>2</v>
      </c>
      <c r="BP705">
        <v>2</v>
      </c>
      <c r="BQ705">
        <v>2</v>
      </c>
      <c r="BR705" t="s">
        <v>321</v>
      </c>
      <c r="BS705" t="s">
        <v>180</v>
      </c>
      <c r="BT705" t="s">
        <v>181</v>
      </c>
      <c r="BU705" s="1">
        <v>45716</v>
      </c>
      <c r="BV705">
        <v>36109</v>
      </c>
      <c r="BY705" t="s">
        <v>170</v>
      </c>
      <c r="CB705" t="s">
        <v>170</v>
      </c>
      <c r="CC705" t="s">
        <v>170</v>
      </c>
      <c r="CE705" t="s">
        <v>170</v>
      </c>
      <c r="CG705" t="s">
        <v>169</v>
      </c>
      <c r="CH705" t="s">
        <v>314</v>
      </c>
      <c r="CI705" t="s">
        <v>170</v>
      </c>
      <c r="DJ705" t="s">
        <v>184</v>
      </c>
      <c r="DK705" t="s">
        <v>185</v>
      </c>
      <c r="DN705" t="s">
        <v>170</v>
      </c>
      <c r="DO705" t="s">
        <v>186</v>
      </c>
      <c r="DP705" t="s">
        <v>169</v>
      </c>
      <c r="DQ705" t="s">
        <v>198</v>
      </c>
      <c r="DY705">
        <v>25.7</v>
      </c>
      <c r="EB705">
        <v>4</v>
      </c>
      <c r="EC705">
        <v>4</v>
      </c>
      <c r="EE705" t="s">
        <v>365</v>
      </c>
      <c r="EF705">
        <v>5</v>
      </c>
      <c r="EV705">
        <v>7250</v>
      </c>
      <c r="EW705">
        <v>512</v>
      </c>
      <c r="EX705">
        <v>383</v>
      </c>
      <c r="EY705">
        <v>468</v>
      </c>
    </row>
    <row r="706" spans="1:155" x14ac:dyDescent="0.35">
      <c r="A706">
        <v>2025</v>
      </c>
      <c r="B706" t="s">
        <v>299</v>
      </c>
      <c r="C706" t="s">
        <v>299</v>
      </c>
      <c r="D706" t="s">
        <v>367</v>
      </c>
      <c r="E706" t="s">
        <v>301</v>
      </c>
      <c r="F706">
        <v>104</v>
      </c>
      <c r="G706">
        <v>3</v>
      </c>
      <c r="H706">
        <v>6</v>
      </c>
      <c r="I706" t="s">
        <v>361</v>
      </c>
      <c r="J706">
        <v>18</v>
      </c>
      <c r="K706">
        <v>25</v>
      </c>
      <c r="L706">
        <v>21</v>
      </c>
      <c r="M706">
        <v>22.7</v>
      </c>
      <c r="N706">
        <v>36.200000000000003</v>
      </c>
      <c r="O706">
        <v>27.277699999999999</v>
      </c>
      <c r="P706">
        <v>18.117000000000001</v>
      </c>
      <c r="Q706">
        <v>25</v>
      </c>
      <c r="R706">
        <v>20.882899999999999</v>
      </c>
      <c r="T706" t="s">
        <v>165</v>
      </c>
      <c r="U706" t="s">
        <v>166</v>
      </c>
      <c r="V706" t="s">
        <v>211</v>
      </c>
      <c r="W706" t="s">
        <v>212</v>
      </c>
      <c r="Y706">
        <v>8</v>
      </c>
      <c r="Z706" t="s">
        <v>170</v>
      </c>
      <c r="AA706" t="s">
        <v>170</v>
      </c>
      <c r="AB706" t="s">
        <v>171</v>
      </c>
      <c r="AC706" t="s">
        <v>172</v>
      </c>
      <c r="AD706">
        <v>10</v>
      </c>
      <c r="AG706" t="s">
        <v>214</v>
      </c>
      <c r="AH706" t="s">
        <v>215</v>
      </c>
      <c r="AI706" t="s">
        <v>175</v>
      </c>
      <c r="AJ706" t="s">
        <v>176</v>
      </c>
      <c r="AK706" t="s">
        <v>170</v>
      </c>
      <c r="AL706" t="s">
        <v>177</v>
      </c>
      <c r="AM706">
        <v>68</v>
      </c>
      <c r="AN706">
        <v>5</v>
      </c>
      <c r="AS706">
        <v>3050</v>
      </c>
      <c r="AT706">
        <v>3050</v>
      </c>
      <c r="BN706" t="s">
        <v>178</v>
      </c>
      <c r="BO706">
        <v>2</v>
      </c>
      <c r="BP706">
        <v>2</v>
      </c>
      <c r="BQ706">
        <v>2</v>
      </c>
      <c r="BR706" t="s">
        <v>321</v>
      </c>
      <c r="BS706" t="s">
        <v>180</v>
      </c>
      <c r="BT706" t="s">
        <v>181</v>
      </c>
      <c r="BU706" s="1">
        <v>45553</v>
      </c>
      <c r="BV706">
        <v>35571</v>
      </c>
      <c r="BY706" t="s">
        <v>170</v>
      </c>
      <c r="CB706" t="s">
        <v>170</v>
      </c>
      <c r="CC706" t="s">
        <v>170</v>
      </c>
      <c r="CD706" t="s">
        <v>362</v>
      </c>
      <c r="CE706" t="s">
        <v>170</v>
      </c>
      <c r="CG706" t="s">
        <v>169</v>
      </c>
      <c r="CH706" t="s">
        <v>303</v>
      </c>
      <c r="CI706" t="s">
        <v>169</v>
      </c>
      <c r="CJ706" t="s">
        <v>303</v>
      </c>
      <c r="DJ706" t="s">
        <v>184</v>
      </c>
      <c r="DK706" t="s">
        <v>185</v>
      </c>
      <c r="DN706" t="s">
        <v>170</v>
      </c>
      <c r="DO706" t="s">
        <v>186</v>
      </c>
      <c r="DP706" t="s">
        <v>169</v>
      </c>
      <c r="DQ706" t="s">
        <v>198</v>
      </c>
      <c r="DY706">
        <v>27.5</v>
      </c>
      <c r="EB706">
        <v>4</v>
      </c>
      <c r="EC706">
        <v>4</v>
      </c>
      <c r="EE706" t="s">
        <v>363</v>
      </c>
      <c r="EF706">
        <v>4</v>
      </c>
      <c r="EV706">
        <v>5750</v>
      </c>
      <c r="EW706">
        <v>489</v>
      </c>
      <c r="EX706">
        <v>354</v>
      </c>
      <c r="EY706">
        <v>429</v>
      </c>
    </row>
    <row r="707" spans="1:155" x14ac:dyDescent="0.35">
      <c r="A707">
        <v>2025</v>
      </c>
      <c r="B707" t="s">
        <v>299</v>
      </c>
      <c r="C707" t="s">
        <v>299</v>
      </c>
      <c r="D707" t="s">
        <v>1714</v>
      </c>
      <c r="E707" t="s">
        <v>301</v>
      </c>
      <c r="F707">
        <v>130</v>
      </c>
      <c r="G707">
        <v>3.6</v>
      </c>
      <c r="H707">
        <v>6</v>
      </c>
      <c r="I707" t="s">
        <v>361</v>
      </c>
      <c r="J707">
        <v>17</v>
      </c>
      <c r="K707">
        <v>24</v>
      </c>
      <c r="L707">
        <v>20</v>
      </c>
      <c r="M707">
        <v>22.3</v>
      </c>
      <c r="N707">
        <v>34</v>
      </c>
      <c r="O707">
        <v>26.385899999999999</v>
      </c>
      <c r="P707">
        <v>17.821000000000002</v>
      </c>
      <c r="Q707">
        <v>24.233899999999998</v>
      </c>
      <c r="R707">
        <v>20.23</v>
      </c>
      <c r="T707" t="s">
        <v>165</v>
      </c>
      <c r="U707" t="s">
        <v>166</v>
      </c>
      <c r="V707" t="s">
        <v>211</v>
      </c>
      <c r="W707" t="s">
        <v>212</v>
      </c>
      <c r="Y707">
        <v>8</v>
      </c>
      <c r="Z707" t="s">
        <v>170</v>
      </c>
      <c r="AA707" t="s">
        <v>170</v>
      </c>
      <c r="AB707" t="s">
        <v>171</v>
      </c>
      <c r="AC707" t="s">
        <v>172</v>
      </c>
      <c r="AD707">
        <v>10</v>
      </c>
      <c r="AG707" t="s">
        <v>214</v>
      </c>
      <c r="AH707" t="s">
        <v>215</v>
      </c>
      <c r="AI707" t="s">
        <v>175</v>
      </c>
      <c r="AJ707" t="s">
        <v>176</v>
      </c>
      <c r="AK707" t="s">
        <v>170</v>
      </c>
      <c r="AL707" t="s">
        <v>177</v>
      </c>
      <c r="AM707">
        <v>70</v>
      </c>
      <c r="AN707">
        <v>5</v>
      </c>
      <c r="AS707">
        <v>3200</v>
      </c>
      <c r="AT707">
        <v>3200</v>
      </c>
      <c r="BN707" t="s">
        <v>178</v>
      </c>
      <c r="BO707">
        <v>2</v>
      </c>
      <c r="BP707">
        <v>2</v>
      </c>
      <c r="BQ707">
        <v>2</v>
      </c>
      <c r="BR707" t="s">
        <v>321</v>
      </c>
      <c r="BS707" t="s">
        <v>180</v>
      </c>
      <c r="BT707" t="s">
        <v>181</v>
      </c>
      <c r="BV707">
        <v>36105</v>
      </c>
      <c r="BY707" t="s">
        <v>170</v>
      </c>
      <c r="CB707" t="s">
        <v>170</v>
      </c>
      <c r="CC707" t="s">
        <v>170</v>
      </c>
      <c r="CE707" t="s">
        <v>170</v>
      </c>
      <c r="CG707" t="s">
        <v>169</v>
      </c>
      <c r="CH707" t="s">
        <v>314</v>
      </c>
      <c r="CI707" t="s">
        <v>170</v>
      </c>
      <c r="DJ707" t="s">
        <v>184</v>
      </c>
      <c r="DK707" t="s">
        <v>185</v>
      </c>
      <c r="DN707" t="s">
        <v>170</v>
      </c>
      <c r="DO707" t="s">
        <v>186</v>
      </c>
      <c r="DP707" t="s">
        <v>169</v>
      </c>
      <c r="DQ707" t="s">
        <v>198</v>
      </c>
      <c r="DY707">
        <v>27.5</v>
      </c>
      <c r="EB707">
        <v>4</v>
      </c>
      <c r="EC707">
        <v>4</v>
      </c>
      <c r="EE707" t="s">
        <v>365</v>
      </c>
      <c r="EF707">
        <v>5</v>
      </c>
      <c r="EV707">
        <v>6500</v>
      </c>
      <c r="EW707">
        <v>499</v>
      </c>
      <c r="EX707">
        <v>368</v>
      </c>
      <c r="EY707">
        <v>440</v>
      </c>
    </row>
    <row r="708" spans="1:155" x14ac:dyDescent="0.35">
      <c r="A708">
        <v>2025</v>
      </c>
      <c r="B708" t="s">
        <v>299</v>
      </c>
      <c r="C708" t="s">
        <v>299</v>
      </c>
      <c r="D708" t="s">
        <v>368</v>
      </c>
      <c r="E708" t="s">
        <v>301</v>
      </c>
      <c r="F708">
        <v>132</v>
      </c>
      <c r="G708">
        <v>3.6</v>
      </c>
      <c r="H708">
        <v>6</v>
      </c>
      <c r="I708" t="s">
        <v>361</v>
      </c>
      <c r="J708">
        <v>17</v>
      </c>
      <c r="K708">
        <v>23</v>
      </c>
      <c r="L708">
        <v>19</v>
      </c>
      <c r="M708">
        <v>21.4</v>
      </c>
      <c r="N708">
        <v>32.5</v>
      </c>
      <c r="O708">
        <v>25.286300000000001</v>
      </c>
      <c r="P708">
        <v>17.1523</v>
      </c>
      <c r="Q708">
        <v>23.244</v>
      </c>
      <c r="R708">
        <v>19.445599999999999</v>
      </c>
      <c r="T708" t="s">
        <v>165</v>
      </c>
      <c r="U708" t="s">
        <v>166</v>
      </c>
      <c r="V708" t="s">
        <v>211</v>
      </c>
      <c r="W708" t="s">
        <v>212</v>
      </c>
      <c r="Y708">
        <v>8</v>
      </c>
      <c r="Z708" t="s">
        <v>170</v>
      </c>
      <c r="AA708" t="s">
        <v>170</v>
      </c>
      <c r="AB708" t="s">
        <v>171</v>
      </c>
      <c r="AC708" t="s">
        <v>172</v>
      </c>
      <c r="AD708">
        <v>10</v>
      </c>
      <c r="AG708" t="s">
        <v>214</v>
      </c>
      <c r="AH708" t="s">
        <v>215</v>
      </c>
      <c r="AI708" t="s">
        <v>175</v>
      </c>
      <c r="AJ708" t="s">
        <v>176</v>
      </c>
      <c r="AK708" t="s">
        <v>170</v>
      </c>
      <c r="AL708" t="s">
        <v>177</v>
      </c>
      <c r="AM708">
        <v>68</v>
      </c>
      <c r="AN708">
        <v>5</v>
      </c>
      <c r="AS708">
        <v>3350</v>
      </c>
      <c r="AT708">
        <v>3350</v>
      </c>
      <c r="BN708" t="s">
        <v>178</v>
      </c>
      <c r="BO708">
        <v>2</v>
      </c>
      <c r="BP708">
        <v>2</v>
      </c>
      <c r="BQ708">
        <v>2</v>
      </c>
      <c r="BR708" t="s">
        <v>321</v>
      </c>
      <c r="BS708" t="s">
        <v>180</v>
      </c>
      <c r="BT708" t="s">
        <v>181</v>
      </c>
      <c r="BU708" s="1">
        <v>45716</v>
      </c>
      <c r="BV708">
        <v>36108</v>
      </c>
      <c r="BY708" t="s">
        <v>170</v>
      </c>
      <c r="CB708" t="s">
        <v>170</v>
      </c>
      <c r="CC708" t="s">
        <v>170</v>
      </c>
      <c r="CE708" t="s">
        <v>170</v>
      </c>
      <c r="CG708" t="s">
        <v>169</v>
      </c>
      <c r="CH708" t="s">
        <v>314</v>
      </c>
      <c r="CI708" t="s">
        <v>170</v>
      </c>
      <c r="DJ708" t="s">
        <v>184</v>
      </c>
      <c r="DK708" t="s">
        <v>185</v>
      </c>
      <c r="DN708" t="s">
        <v>170</v>
      </c>
      <c r="DO708" t="s">
        <v>186</v>
      </c>
      <c r="DP708" t="s">
        <v>169</v>
      </c>
      <c r="DQ708" t="s">
        <v>198</v>
      </c>
      <c r="DY708">
        <v>25.5</v>
      </c>
      <c r="EB708">
        <v>4</v>
      </c>
      <c r="EC708">
        <v>4</v>
      </c>
      <c r="EE708" t="s">
        <v>365</v>
      </c>
      <c r="EF708">
        <v>5</v>
      </c>
      <c r="EV708">
        <v>7250</v>
      </c>
      <c r="EW708">
        <v>520</v>
      </c>
      <c r="EX708">
        <v>383</v>
      </c>
      <c r="EY708">
        <v>459</v>
      </c>
    </row>
    <row r="709" spans="1:155" x14ac:dyDescent="0.35">
      <c r="A709">
        <v>2025</v>
      </c>
      <c r="B709" t="s">
        <v>299</v>
      </c>
      <c r="C709" t="s">
        <v>299</v>
      </c>
      <c r="D709" t="s">
        <v>368</v>
      </c>
      <c r="E709" t="s">
        <v>301</v>
      </c>
      <c r="F709">
        <v>132</v>
      </c>
      <c r="G709">
        <v>3.6</v>
      </c>
      <c r="H709">
        <v>6</v>
      </c>
      <c r="I709" t="s">
        <v>361</v>
      </c>
      <c r="J709">
        <v>17</v>
      </c>
      <c r="K709">
        <v>23</v>
      </c>
      <c r="L709">
        <v>19</v>
      </c>
      <c r="M709">
        <v>21.4</v>
      </c>
      <c r="N709">
        <v>32.5</v>
      </c>
      <c r="O709">
        <v>25.286300000000001</v>
      </c>
      <c r="P709">
        <v>17.1523</v>
      </c>
      <c r="Q709">
        <v>23.244</v>
      </c>
      <c r="R709">
        <v>19.445599999999999</v>
      </c>
      <c r="T709" t="s">
        <v>165</v>
      </c>
      <c r="U709" t="s">
        <v>166</v>
      </c>
      <c r="V709" t="s">
        <v>211</v>
      </c>
      <c r="W709" t="s">
        <v>212</v>
      </c>
      <c r="Y709">
        <v>8</v>
      </c>
      <c r="Z709" t="s">
        <v>170</v>
      </c>
      <c r="AA709" t="s">
        <v>170</v>
      </c>
      <c r="AB709" t="s">
        <v>171</v>
      </c>
      <c r="AC709" t="s">
        <v>172</v>
      </c>
      <c r="AD709">
        <v>10</v>
      </c>
      <c r="AG709" t="s">
        <v>214</v>
      </c>
      <c r="AH709" t="s">
        <v>215</v>
      </c>
      <c r="AI709" t="s">
        <v>175</v>
      </c>
      <c r="AJ709" t="s">
        <v>176</v>
      </c>
      <c r="AK709" t="s">
        <v>170</v>
      </c>
      <c r="AL709" t="s">
        <v>177</v>
      </c>
      <c r="AM709">
        <v>68</v>
      </c>
      <c r="AN709">
        <v>5</v>
      </c>
      <c r="AS709">
        <v>3350</v>
      </c>
      <c r="AT709">
        <v>3350</v>
      </c>
      <c r="BN709" t="s">
        <v>178</v>
      </c>
      <c r="BO709">
        <v>2</v>
      </c>
      <c r="BP709">
        <v>2</v>
      </c>
      <c r="BQ709">
        <v>2</v>
      </c>
      <c r="BR709" t="s">
        <v>321</v>
      </c>
      <c r="BS709" t="s">
        <v>180</v>
      </c>
      <c r="BT709" t="s">
        <v>181</v>
      </c>
      <c r="BU709" s="1">
        <v>45716</v>
      </c>
      <c r="BV709">
        <v>36108</v>
      </c>
      <c r="BY709" t="s">
        <v>170</v>
      </c>
      <c r="CB709" t="s">
        <v>170</v>
      </c>
      <c r="CC709" t="s">
        <v>170</v>
      </c>
      <c r="CE709" t="s">
        <v>170</v>
      </c>
      <c r="CG709" t="s">
        <v>169</v>
      </c>
      <c r="CH709" t="s">
        <v>314</v>
      </c>
      <c r="CI709" t="s">
        <v>170</v>
      </c>
      <c r="DJ709" t="s">
        <v>184</v>
      </c>
      <c r="DK709" t="s">
        <v>185</v>
      </c>
      <c r="DN709" t="s">
        <v>170</v>
      </c>
      <c r="DO709" t="s">
        <v>186</v>
      </c>
      <c r="DP709" t="s">
        <v>169</v>
      </c>
      <c r="DQ709" t="s">
        <v>198</v>
      </c>
      <c r="DY709">
        <v>25.5</v>
      </c>
      <c r="EB709">
        <v>4</v>
      </c>
      <c r="EC709">
        <v>4</v>
      </c>
      <c r="EE709" t="s">
        <v>365</v>
      </c>
      <c r="EF709">
        <v>5</v>
      </c>
      <c r="EV709">
        <v>7250</v>
      </c>
      <c r="EW709">
        <v>520</v>
      </c>
      <c r="EX709">
        <v>383</v>
      </c>
      <c r="EY709">
        <v>459</v>
      </c>
    </row>
    <row r="710" spans="1:155" x14ac:dyDescent="0.35">
      <c r="A710">
        <v>2025</v>
      </c>
      <c r="B710" t="s">
        <v>299</v>
      </c>
      <c r="C710" t="s">
        <v>299</v>
      </c>
      <c r="D710" t="s">
        <v>1715</v>
      </c>
      <c r="E710" t="s">
        <v>301</v>
      </c>
      <c r="F710">
        <v>106</v>
      </c>
      <c r="G710">
        <v>3</v>
      </c>
      <c r="H710">
        <v>6</v>
      </c>
      <c r="I710" t="s">
        <v>361</v>
      </c>
      <c r="J710">
        <v>17</v>
      </c>
      <c r="K710">
        <v>24</v>
      </c>
      <c r="L710">
        <v>20</v>
      </c>
      <c r="M710">
        <v>22.8</v>
      </c>
      <c r="N710">
        <v>34.700000000000003</v>
      </c>
      <c r="O710">
        <v>26.960599999999999</v>
      </c>
      <c r="P710">
        <v>18.190899999999999</v>
      </c>
      <c r="Q710">
        <v>24.6935</v>
      </c>
      <c r="R710">
        <v>20.636299999999999</v>
      </c>
      <c r="T710" t="s">
        <v>165</v>
      </c>
      <c r="U710" t="s">
        <v>166</v>
      </c>
      <c r="V710" t="s">
        <v>211</v>
      </c>
      <c r="W710" t="s">
        <v>212</v>
      </c>
      <c r="Y710">
        <v>8</v>
      </c>
      <c r="Z710" t="s">
        <v>170</v>
      </c>
      <c r="AA710" t="s">
        <v>170</v>
      </c>
      <c r="AB710" t="s">
        <v>171</v>
      </c>
      <c r="AC710" t="s">
        <v>172</v>
      </c>
      <c r="AD710">
        <v>10</v>
      </c>
      <c r="AG710" t="s">
        <v>214</v>
      </c>
      <c r="AH710" t="s">
        <v>215</v>
      </c>
      <c r="AI710" t="s">
        <v>175</v>
      </c>
      <c r="AJ710" t="s">
        <v>176</v>
      </c>
      <c r="AK710" t="s">
        <v>170</v>
      </c>
      <c r="AL710" t="s">
        <v>177</v>
      </c>
      <c r="AM710">
        <v>70</v>
      </c>
      <c r="AN710">
        <v>5</v>
      </c>
      <c r="AS710">
        <v>3200</v>
      </c>
      <c r="AT710">
        <v>3200</v>
      </c>
      <c r="BN710" t="s">
        <v>178</v>
      </c>
      <c r="BO710">
        <v>2</v>
      </c>
      <c r="BP710">
        <v>2</v>
      </c>
      <c r="BQ710">
        <v>2</v>
      </c>
      <c r="BR710" t="s">
        <v>321</v>
      </c>
      <c r="BS710" t="s">
        <v>180</v>
      </c>
      <c r="BT710" t="s">
        <v>181</v>
      </c>
      <c r="BV710">
        <v>36291</v>
      </c>
      <c r="BY710" t="s">
        <v>170</v>
      </c>
      <c r="CB710" t="s">
        <v>170</v>
      </c>
      <c r="CC710" t="s">
        <v>170</v>
      </c>
      <c r="CD710" t="s">
        <v>1716</v>
      </c>
      <c r="CE710" t="s">
        <v>170</v>
      </c>
      <c r="CG710" t="s">
        <v>169</v>
      </c>
      <c r="CH710" t="s">
        <v>303</v>
      </c>
      <c r="CI710" t="s">
        <v>169</v>
      </c>
      <c r="CJ710" t="s">
        <v>303</v>
      </c>
      <c r="DJ710" t="s">
        <v>184</v>
      </c>
      <c r="DK710" t="s">
        <v>185</v>
      </c>
      <c r="DN710" t="s">
        <v>170</v>
      </c>
      <c r="DO710" t="s">
        <v>186</v>
      </c>
      <c r="DP710" t="s">
        <v>169</v>
      </c>
      <c r="DQ710" t="s">
        <v>198</v>
      </c>
      <c r="DY710">
        <v>27.2</v>
      </c>
      <c r="EB710">
        <v>4</v>
      </c>
      <c r="EC710">
        <v>4</v>
      </c>
      <c r="EE710" t="s">
        <v>363</v>
      </c>
      <c r="EF710">
        <v>4</v>
      </c>
      <c r="EV710">
        <v>6500</v>
      </c>
      <c r="EW710">
        <v>490</v>
      </c>
      <c r="EX710">
        <v>361</v>
      </c>
      <c r="EY710">
        <v>432</v>
      </c>
    </row>
    <row r="711" spans="1:155" x14ac:dyDescent="0.35">
      <c r="A711">
        <v>2025</v>
      </c>
      <c r="B711" t="s">
        <v>299</v>
      </c>
      <c r="C711" t="s">
        <v>299</v>
      </c>
      <c r="D711" t="s">
        <v>1717</v>
      </c>
      <c r="E711" t="s">
        <v>301</v>
      </c>
      <c r="F711">
        <v>108</v>
      </c>
      <c r="G711">
        <v>3</v>
      </c>
      <c r="H711">
        <v>6</v>
      </c>
      <c r="I711" t="s">
        <v>361</v>
      </c>
      <c r="J711">
        <v>17</v>
      </c>
      <c r="K711">
        <v>24</v>
      </c>
      <c r="L711">
        <v>20</v>
      </c>
      <c r="M711">
        <v>22.3</v>
      </c>
      <c r="N711">
        <v>35.1</v>
      </c>
      <c r="O711">
        <v>26.677900000000001</v>
      </c>
      <c r="P711">
        <v>17.821000000000002</v>
      </c>
      <c r="Q711">
        <v>24.955500000000001</v>
      </c>
      <c r="R711">
        <v>20.452200000000001</v>
      </c>
      <c r="T711" t="s">
        <v>165</v>
      </c>
      <c r="U711" t="s">
        <v>166</v>
      </c>
      <c r="V711" t="s">
        <v>211</v>
      </c>
      <c r="W711" t="s">
        <v>212</v>
      </c>
      <c r="Y711">
        <v>8</v>
      </c>
      <c r="Z711" t="s">
        <v>170</v>
      </c>
      <c r="AA711" t="s">
        <v>170</v>
      </c>
      <c r="AB711" t="s">
        <v>171</v>
      </c>
      <c r="AC711" t="s">
        <v>172</v>
      </c>
      <c r="AD711">
        <v>10</v>
      </c>
      <c r="AG711" t="s">
        <v>214</v>
      </c>
      <c r="AH711" t="s">
        <v>215</v>
      </c>
      <c r="AI711" t="s">
        <v>175</v>
      </c>
      <c r="AJ711" t="s">
        <v>176</v>
      </c>
      <c r="AK711" t="s">
        <v>170</v>
      </c>
      <c r="AL711" t="s">
        <v>177</v>
      </c>
      <c r="AM711">
        <v>68</v>
      </c>
      <c r="AN711">
        <v>5</v>
      </c>
      <c r="AS711">
        <v>3200</v>
      </c>
      <c r="AT711">
        <v>3200</v>
      </c>
      <c r="BN711" t="s">
        <v>178</v>
      </c>
      <c r="BO711">
        <v>2</v>
      </c>
      <c r="BP711">
        <v>2</v>
      </c>
      <c r="BQ711">
        <v>2</v>
      </c>
      <c r="BR711" t="s">
        <v>321</v>
      </c>
      <c r="BS711" t="s">
        <v>180</v>
      </c>
      <c r="BT711" t="s">
        <v>181</v>
      </c>
      <c r="BV711">
        <v>36292</v>
      </c>
      <c r="BY711" t="s">
        <v>170</v>
      </c>
      <c r="CB711" t="s">
        <v>170</v>
      </c>
      <c r="CC711" t="s">
        <v>170</v>
      </c>
      <c r="CD711" t="s">
        <v>1716</v>
      </c>
      <c r="CE711" t="s">
        <v>170</v>
      </c>
      <c r="CG711" t="s">
        <v>169</v>
      </c>
      <c r="CH711" t="s">
        <v>303</v>
      </c>
      <c r="CI711" t="s">
        <v>169</v>
      </c>
      <c r="CJ711" t="s">
        <v>303</v>
      </c>
      <c r="DJ711" t="s">
        <v>184</v>
      </c>
      <c r="DK711" t="s">
        <v>185</v>
      </c>
      <c r="DN711" t="s">
        <v>170</v>
      </c>
      <c r="DO711" t="s">
        <v>186</v>
      </c>
      <c r="DP711" t="s">
        <v>169</v>
      </c>
      <c r="DQ711" t="s">
        <v>198</v>
      </c>
      <c r="DY711">
        <v>26.9</v>
      </c>
      <c r="EB711">
        <v>4</v>
      </c>
      <c r="EC711">
        <v>4</v>
      </c>
      <c r="EE711" t="s">
        <v>363</v>
      </c>
      <c r="EF711">
        <v>4</v>
      </c>
      <c r="EV711">
        <v>6500</v>
      </c>
      <c r="EW711">
        <v>500</v>
      </c>
      <c r="EX711">
        <v>357</v>
      </c>
      <c r="EY711">
        <v>436</v>
      </c>
    </row>
    <row r="712" spans="1:155" x14ac:dyDescent="0.35">
      <c r="A712">
        <v>2025</v>
      </c>
      <c r="B712" t="s">
        <v>299</v>
      </c>
      <c r="C712" t="s">
        <v>299</v>
      </c>
      <c r="D712" t="s">
        <v>369</v>
      </c>
      <c r="E712" t="s">
        <v>301</v>
      </c>
      <c r="F712">
        <v>109</v>
      </c>
      <c r="G712">
        <v>3</v>
      </c>
      <c r="H712">
        <v>6</v>
      </c>
      <c r="I712" t="s">
        <v>200</v>
      </c>
      <c r="J712">
        <v>17</v>
      </c>
      <c r="K712">
        <v>25</v>
      </c>
      <c r="L712">
        <v>20</v>
      </c>
      <c r="M712">
        <v>21.3</v>
      </c>
      <c r="N712">
        <v>35.200000000000003</v>
      </c>
      <c r="O712">
        <v>25.902899999999999</v>
      </c>
      <c r="P712">
        <v>17.0777</v>
      </c>
      <c r="Q712">
        <v>25.020900000000001</v>
      </c>
      <c r="R712">
        <v>19.923999999999999</v>
      </c>
      <c r="T712" t="s">
        <v>165</v>
      </c>
      <c r="U712" t="s">
        <v>166</v>
      </c>
      <c r="V712" t="s">
        <v>201</v>
      </c>
      <c r="W712" t="s">
        <v>202</v>
      </c>
      <c r="Y712">
        <v>6</v>
      </c>
      <c r="Z712" t="s">
        <v>170</v>
      </c>
      <c r="AA712" t="s">
        <v>170</v>
      </c>
      <c r="AB712" t="s">
        <v>171</v>
      </c>
      <c r="AC712" t="s">
        <v>172</v>
      </c>
      <c r="AD712">
        <v>10</v>
      </c>
      <c r="AG712" t="s">
        <v>214</v>
      </c>
      <c r="AH712" t="s">
        <v>215</v>
      </c>
      <c r="AI712" t="s">
        <v>175</v>
      </c>
      <c r="AJ712" t="s">
        <v>176</v>
      </c>
      <c r="AK712" t="s">
        <v>170</v>
      </c>
      <c r="AL712" t="s">
        <v>177</v>
      </c>
      <c r="AM712">
        <v>70</v>
      </c>
      <c r="AN712">
        <v>5</v>
      </c>
      <c r="AS712">
        <v>3200</v>
      </c>
      <c r="AT712">
        <v>3200</v>
      </c>
      <c r="BN712" t="s">
        <v>178</v>
      </c>
      <c r="BO712">
        <v>2</v>
      </c>
      <c r="BP712">
        <v>2</v>
      </c>
      <c r="BQ712">
        <v>2</v>
      </c>
      <c r="BR712" t="s">
        <v>321</v>
      </c>
      <c r="BS712" t="s">
        <v>180</v>
      </c>
      <c r="BT712" t="s">
        <v>181</v>
      </c>
      <c r="BU712" s="1">
        <v>45716</v>
      </c>
      <c r="BV712">
        <v>36166</v>
      </c>
      <c r="BY712" t="s">
        <v>170</v>
      </c>
      <c r="CB712" t="s">
        <v>170</v>
      </c>
      <c r="CC712" t="s">
        <v>170</v>
      </c>
      <c r="CD712" t="s">
        <v>362</v>
      </c>
      <c r="CE712" t="s">
        <v>170</v>
      </c>
      <c r="CG712" t="s">
        <v>169</v>
      </c>
      <c r="CH712" t="s">
        <v>303</v>
      </c>
      <c r="CI712" t="s">
        <v>169</v>
      </c>
      <c r="CJ712" t="s">
        <v>303</v>
      </c>
      <c r="DJ712" t="s">
        <v>184</v>
      </c>
      <c r="DK712" t="s">
        <v>185</v>
      </c>
      <c r="DN712" t="s">
        <v>170</v>
      </c>
      <c r="DO712" t="s">
        <v>186</v>
      </c>
      <c r="DP712" t="s">
        <v>169</v>
      </c>
      <c r="DQ712" t="s">
        <v>198</v>
      </c>
      <c r="DY712">
        <v>26.1</v>
      </c>
      <c r="EB712">
        <v>4</v>
      </c>
      <c r="EC712">
        <v>4</v>
      </c>
      <c r="EE712" t="s">
        <v>363</v>
      </c>
      <c r="EF712">
        <v>4</v>
      </c>
      <c r="EV712">
        <v>6500</v>
      </c>
      <c r="EW712">
        <v>523</v>
      </c>
      <c r="EX712">
        <v>356</v>
      </c>
      <c r="EY712">
        <v>448</v>
      </c>
    </row>
    <row r="713" spans="1:155" x14ac:dyDescent="0.35">
      <c r="A713">
        <v>2025</v>
      </c>
      <c r="B713" t="s">
        <v>299</v>
      </c>
      <c r="C713" t="s">
        <v>299</v>
      </c>
      <c r="D713" t="s">
        <v>370</v>
      </c>
      <c r="E713" t="s">
        <v>301</v>
      </c>
      <c r="F713">
        <v>111</v>
      </c>
      <c r="G713">
        <v>3</v>
      </c>
      <c r="H713">
        <v>6</v>
      </c>
      <c r="I713" t="s">
        <v>200</v>
      </c>
      <c r="J713">
        <v>17</v>
      </c>
      <c r="K713">
        <v>25</v>
      </c>
      <c r="L713">
        <v>19</v>
      </c>
      <c r="M713">
        <v>21.1</v>
      </c>
      <c r="N713">
        <v>35.200000000000003</v>
      </c>
      <c r="O713">
        <v>25.739699999999999</v>
      </c>
      <c r="P713">
        <v>16.9285</v>
      </c>
      <c r="Q713">
        <v>25.020900000000001</v>
      </c>
      <c r="R713">
        <v>19</v>
      </c>
      <c r="T713" t="s">
        <v>165</v>
      </c>
      <c r="U713" t="s">
        <v>166</v>
      </c>
      <c r="V713" t="s">
        <v>201</v>
      </c>
      <c r="W713" t="s">
        <v>202</v>
      </c>
      <c r="Y713">
        <v>6</v>
      </c>
      <c r="Z713" t="s">
        <v>170</v>
      </c>
      <c r="AA713" t="s">
        <v>170</v>
      </c>
      <c r="AB713" t="s">
        <v>171</v>
      </c>
      <c r="AC713" t="s">
        <v>172</v>
      </c>
      <c r="AD713">
        <v>10</v>
      </c>
      <c r="AG713" t="s">
        <v>214</v>
      </c>
      <c r="AH713" t="s">
        <v>215</v>
      </c>
      <c r="AI713" t="s">
        <v>175</v>
      </c>
      <c r="AJ713" t="s">
        <v>176</v>
      </c>
      <c r="AK713" t="s">
        <v>170</v>
      </c>
      <c r="AL713" t="s">
        <v>177</v>
      </c>
      <c r="AM713">
        <v>68</v>
      </c>
      <c r="AN713">
        <v>5</v>
      </c>
      <c r="AS713">
        <v>3350</v>
      </c>
      <c r="AT713">
        <v>3350</v>
      </c>
      <c r="BN713" t="s">
        <v>178</v>
      </c>
      <c r="BO713">
        <v>2</v>
      </c>
      <c r="BP713">
        <v>2</v>
      </c>
      <c r="BQ713">
        <v>2</v>
      </c>
      <c r="BR713" t="s">
        <v>321</v>
      </c>
      <c r="BS713" t="s">
        <v>180</v>
      </c>
      <c r="BT713" t="s">
        <v>181</v>
      </c>
      <c r="BU713" s="1">
        <v>45716</v>
      </c>
      <c r="BV713">
        <v>36167</v>
      </c>
      <c r="BY713" t="s">
        <v>170</v>
      </c>
      <c r="CB713" t="s">
        <v>170</v>
      </c>
      <c r="CC713" t="s">
        <v>170</v>
      </c>
      <c r="CD713" t="s">
        <v>362</v>
      </c>
      <c r="CE713" t="s">
        <v>170</v>
      </c>
      <c r="CG713" t="s">
        <v>169</v>
      </c>
      <c r="CH713" t="s">
        <v>303</v>
      </c>
      <c r="CI713" t="s">
        <v>169</v>
      </c>
      <c r="CJ713" t="s">
        <v>303</v>
      </c>
      <c r="DJ713" t="s">
        <v>184</v>
      </c>
      <c r="DK713" t="s">
        <v>185</v>
      </c>
      <c r="DN713" t="s">
        <v>170</v>
      </c>
      <c r="DO713" t="s">
        <v>186</v>
      </c>
      <c r="DP713" t="s">
        <v>169</v>
      </c>
      <c r="DQ713" t="s">
        <v>198</v>
      </c>
      <c r="DY713">
        <v>25.9</v>
      </c>
      <c r="EB713">
        <v>4</v>
      </c>
      <c r="EC713">
        <v>4</v>
      </c>
      <c r="EE713" t="s">
        <v>363</v>
      </c>
      <c r="EF713">
        <v>4</v>
      </c>
      <c r="EV713">
        <v>7250</v>
      </c>
      <c r="EW713">
        <v>526</v>
      </c>
      <c r="EX713">
        <v>356</v>
      </c>
      <c r="EY713">
        <v>469</v>
      </c>
    </row>
    <row r="714" spans="1:155" x14ac:dyDescent="0.35">
      <c r="A714">
        <v>2025</v>
      </c>
      <c r="B714" t="s">
        <v>299</v>
      </c>
      <c r="C714" t="s">
        <v>299</v>
      </c>
      <c r="D714" t="s">
        <v>371</v>
      </c>
      <c r="E714" t="s">
        <v>301</v>
      </c>
      <c r="F714">
        <v>138</v>
      </c>
      <c r="G714">
        <v>3.6</v>
      </c>
      <c r="H714">
        <v>6</v>
      </c>
      <c r="I714" t="s">
        <v>361</v>
      </c>
      <c r="J714">
        <v>17</v>
      </c>
      <c r="K714">
        <v>23</v>
      </c>
      <c r="L714">
        <v>19</v>
      </c>
      <c r="M714">
        <v>21.5</v>
      </c>
      <c r="N714">
        <v>32.6</v>
      </c>
      <c r="O714">
        <v>25.3903</v>
      </c>
      <c r="P714">
        <v>17.226800000000001</v>
      </c>
      <c r="Q714">
        <v>23.310199999999998</v>
      </c>
      <c r="R714">
        <v>19</v>
      </c>
      <c r="T714" t="s">
        <v>165</v>
      </c>
      <c r="U714" t="s">
        <v>166</v>
      </c>
      <c r="V714" t="s">
        <v>211</v>
      </c>
      <c r="W714" t="s">
        <v>212</v>
      </c>
      <c r="Y714">
        <v>8</v>
      </c>
      <c r="Z714" t="s">
        <v>170</v>
      </c>
      <c r="AA714" t="s">
        <v>170</v>
      </c>
      <c r="AB714" t="s">
        <v>167</v>
      </c>
      <c r="AC714" t="s">
        <v>213</v>
      </c>
      <c r="AD714">
        <v>10</v>
      </c>
      <c r="AG714" t="s">
        <v>214</v>
      </c>
      <c r="AH714" t="s">
        <v>215</v>
      </c>
      <c r="AI714" t="s">
        <v>175</v>
      </c>
      <c r="AJ714" t="s">
        <v>176</v>
      </c>
      <c r="AK714" t="s">
        <v>170</v>
      </c>
      <c r="AL714" t="s">
        <v>177</v>
      </c>
      <c r="AM714">
        <v>70</v>
      </c>
      <c r="AN714">
        <v>5</v>
      </c>
      <c r="AS714">
        <v>3350</v>
      </c>
      <c r="AT714">
        <v>3350</v>
      </c>
      <c r="BN714" t="s">
        <v>178</v>
      </c>
      <c r="BO714">
        <v>2</v>
      </c>
      <c r="BP714">
        <v>2</v>
      </c>
      <c r="BQ714">
        <v>2</v>
      </c>
      <c r="BR714" t="s">
        <v>321</v>
      </c>
      <c r="BS714" t="s">
        <v>180</v>
      </c>
      <c r="BT714" t="s">
        <v>181</v>
      </c>
      <c r="BU714" s="1">
        <v>45716</v>
      </c>
      <c r="BV714">
        <v>36110</v>
      </c>
      <c r="BY714" t="s">
        <v>170</v>
      </c>
      <c r="CB714" t="s">
        <v>170</v>
      </c>
      <c r="CC714" t="s">
        <v>170</v>
      </c>
      <c r="CE714" t="s">
        <v>170</v>
      </c>
      <c r="CG714" t="s">
        <v>169</v>
      </c>
      <c r="CH714" t="s">
        <v>314</v>
      </c>
      <c r="CI714" t="s">
        <v>170</v>
      </c>
      <c r="DJ714" t="s">
        <v>184</v>
      </c>
      <c r="DK714" t="s">
        <v>185</v>
      </c>
      <c r="DN714" t="s">
        <v>170</v>
      </c>
      <c r="DO714" t="s">
        <v>186</v>
      </c>
      <c r="DP714" t="s">
        <v>169</v>
      </c>
      <c r="DQ714" t="s">
        <v>198</v>
      </c>
      <c r="DY714">
        <v>25.6</v>
      </c>
      <c r="EB714">
        <v>4</v>
      </c>
      <c r="EC714">
        <v>4</v>
      </c>
      <c r="EE714" t="s">
        <v>365</v>
      </c>
      <c r="EF714">
        <v>5</v>
      </c>
      <c r="EV714">
        <v>7250</v>
      </c>
      <c r="EW714">
        <v>516</v>
      </c>
      <c r="EX714">
        <v>381</v>
      </c>
      <c r="EY714">
        <v>468</v>
      </c>
    </row>
    <row r="715" spans="1:155" x14ac:dyDescent="0.35">
      <c r="A715">
        <v>2025</v>
      </c>
      <c r="B715" t="s">
        <v>299</v>
      </c>
      <c r="C715" t="s">
        <v>299</v>
      </c>
      <c r="D715" t="s">
        <v>372</v>
      </c>
      <c r="E715" t="s">
        <v>301</v>
      </c>
      <c r="F715">
        <v>140</v>
      </c>
      <c r="G715">
        <v>3.7</v>
      </c>
      <c r="H715">
        <v>6</v>
      </c>
      <c r="I715" t="s">
        <v>361</v>
      </c>
      <c r="J715">
        <v>14</v>
      </c>
      <c r="K715">
        <v>21</v>
      </c>
      <c r="L715">
        <v>17</v>
      </c>
      <c r="M715">
        <v>17.600000000000001</v>
      </c>
      <c r="N715">
        <v>28.6</v>
      </c>
      <c r="O715">
        <v>21.2837</v>
      </c>
      <c r="P715">
        <v>14.2845</v>
      </c>
      <c r="Q715">
        <v>20.638500000000001</v>
      </c>
      <c r="R715">
        <v>16.581800000000001</v>
      </c>
      <c r="S715" t="s">
        <v>210</v>
      </c>
      <c r="T715" t="s">
        <v>165</v>
      </c>
      <c r="U715" t="s">
        <v>166</v>
      </c>
      <c r="V715" t="s">
        <v>211</v>
      </c>
      <c r="W715" t="s">
        <v>212</v>
      </c>
      <c r="Y715">
        <v>8</v>
      </c>
      <c r="Z715" t="s">
        <v>170</v>
      </c>
      <c r="AA715" t="s">
        <v>170</v>
      </c>
      <c r="AB715" t="s">
        <v>167</v>
      </c>
      <c r="AC715" t="s">
        <v>213</v>
      </c>
      <c r="AD715">
        <v>10</v>
      </c>
      <c r="AG715" t="s">
        <v>214</v>
      </c>
      <c r="AH715" t="s">
        <v>215</v>
      </c>
      <c r="AI715" t="s">
        <v>175</v>
      </c>
      <c r="AJ715" t="s">
        <v>176</v>
      </c>
      <c r="AK715" t="s">
        <v>170</v>
      </c>
      <c r="AL715" t="s">
        <v>177</v>
      </c>
      <c r="AM715">
        <v>70</v>
      </c>
      <c r="AN715">
        <v>5</v>
      </c>
      <c r="AS715">
        <v>3750</v>
      </c>
      <c r="AT715">
        <v>3750</v>
      </c>
      <c r="BN715" t="s">
        <v>178</v>
      </c>
      <c r="BO715">
        <v>2</v>
      </c>
      <c r="BP715">
        <v>2</v>
      </c>
      <c r="BQ715">
        <v>2</v>
      </c>
      <c r="BR715" t="s">
        <v>321</v>
      </c>
      <c r="BS715" t="s">
        <v>180</v>
      </c>
      <c r="BT715" t="s">
        <v>181</v>
      </c>
      <c r="BU715" s="1">
        <v>45580</v>
      </c>
      <c r="BV715">
        <v>35709</v>
      </c>
      <c r="BY715" t="s">
        <v>170</v>
      </c>
      <c r="CB715" t="s">
        <v>170</v>
      </c>
      <c r="CC715" t="s">
        <v>170</v>
      </c>
      <c r="CD715" t="s">
        <v>373</v>
      </c>
      <c r="CE715" t="s">
        <v>170</v>
      </c>
      <c r="CG715" t="s">
        <v>169</v>
      </c>
      <c r="CH715" t="s">
        <v>303</v>
      </c>
      <c r="CI715" t="s">
        <v>169</v>
      </c>
      <c r="CJ715" t="s">
        <v>303</v>
      </c>
      <c r="DJ715" t="s">
        <v>184</v>
      </c>
      <c r="DK715" t="s">
        <v>185</v>
      </c>
      <c r="DN715" t="s">
        <v>170</v>
      </c>
      <c r="DO715" t="s">
        <v>186</v>
      </c>
      <c r="DP715" t="s">
        <v>169</v>
      </c>
      <c r="DQ715" t="s">
        <v>198</v>
      </c>
      <c r="DY715">
        <v>21.5</v>
      </c>
      <c r="EB715">
        <v>3</v>
      </c>
      <c r="EC715">
        <v>3</v>
      </c>
      <c r="EE715" t="s">
        <v>307</v>
      </c>
      <c r="EF715">
        <v>4</v>
      </c>
      <c r="EV715">
        <v>9250</v>
      </c>
      <c r="EW715">
        <v>620</v>
      </c>
      <c r="EX715">
        <v>430</v>
      </c>
      <c r="EY715">
        <v>534</v>
      </c>
    </row>
    <row r="716" spans="1:155" x14ac:dyDescent="0.35">
      <c r="A716">
        <v>2025</v>
      </c>
      <c r="B716" t="s">
        <v>299</v>
      </c>
      <c r="C716" t="s">
        <v>299</v>
      </c>
      <c r="D716" t="s">
        <v>374</v>
      </c>
      <c r="E716" t="s">
        <v>301</v>
      </c>
      <c r="F716">
        <v>142</v>
      </c>
      <c r="G716">
        <v>3.7</v>
      </c>
      <c r="H716">
        <v>6</v>
      </c>
      <c r="I716" t="s">
        <v>361</v>
      </c>
      <c r="J716">
        <v>14</v>
      </c>
      <c r="K716">
        <v>20</v>
      </c>
      <c r="L716">
        <v>16</v>
      </c>
      <c r="M716">
        <v>17.100000000000001</v>
      </c>
      <c r="N716">
        <v>28.2</v>
      </c>
      <c r="O716">
        <v>20.780899999999999</v>
      </c>
      <c r="P716">
        <v>13.9018</v>
      </c>
      <c r="Q716">
        <v>20.368600000000001</v>
      </c>
      <c r="R716">
        <v>16.219000000000001</v>
      </c>
      <c r="S716" t="s">
        <v>210</v>
      </c>
      <c r="T716" t="s">
        <v>165</v>
      </c>
      <c r="U716" t="s">
        <v>166</v>
      </c>
      <c r="V716" t="s">
        <v>211</v>
      </c>
      <c r="W716" t="s">
        <v>212</v>
      </c>
      <c r="Y716">
        <v>8</v>
      </c>
      <c r="Z716" t="s">
        <v>170</v>
      </c>
      <c r="AA716" t="s">
        <v>170</v>
      </c>
      <c r="AB716" t="s">
        <v>167</v>
      </c>
      <c r="AC716" t="s">
        <v>213</v>
      </c>
      <c r="AD716">
        <v>10</v>
      </c>
      <c r="AG716" t="s">
        <v>214</v>
      </c>
      <c r="AH716" t="s">
        <v>215</v>
      </c>
      <c r="AI716" t="s">
        <v>175</v>
      </c>
      <c r="AJ716" t="s">
        <v>176</v>
      </c>
      <c r="AK716" t="s">
        <v>170</v>
      </c>
      <c r="AL716" t="s">
        <v>177</v>
      </c>
      <c r="AM716">
        <v>70</v>
      </c>
      <c r="AN716">
        <v>5</v>
      </c>
      <c r="AS716">
        <v>4000</v>
      </c>
      <c r="AT716">
        <v>4000</v>
      </c>
      <c r="BN716" t="s">
        <v>178</v>
      </c>
      <c r="BO716">
        <v>2</v>
      </c>
      <c r="BP716">
        <v>2</v>
      </c>
      <c r="BQ716">
        <v>2</v>
      </c>
      <c r="BR716" t="s">
        <v>321</v>
      </c>
      <c r="BS716" t="s">
        <v>180</v>
      </c>
      <c r="BT716" t="s">
        <v>181</v>
      </c>
      <c r="BU716" s="1">
        <v>45580</v>
      </c>
      <c r="BV716">
        <v>35710</v>
      </c>
      <c r="BY716" t="s">
        <v>170</v>
      </c>
      <c r="CB716" t="s">
        <v>170</v>
      </c>
      <c r="CC716" t="s">
        <v>170</v>
      </c>
      <c r="CD716" t="s">
        <v>373</v>
      </c>
      <c r="CE716" t="s">
        <v>170</v>
      </c>
      <c r="CG716" t="s">
        <v>169</v>
      </c>
      <c r="CH716" t="s">
        <v>303</v>
      </c>
      <c r="CI716" t="s">
        <v>169</v>
      </c>
      <c r="CJ716" t="s">
        <v>303</v>
      </c>
      <c r="DJ716" t="s">
        <v>184</v>
      </c>
      <c r="DK716" t="s">
        <v>185</v>
      </c>
      <c r="DN716" t="s">
        <v>170</v>
      </c>
      <c r="DO716" t="s">
        <v>186</v>
      </c>
      <c r="DP716" t="s">
        <v>169</v>
      </c>
      <c r="DQ716" t="s">
        <v>198</v>
      </c>
      <c r="DY716">
        <v>20.9</v>
      </c>
      <c r="EB716">
        <v>3</v>
      </c>
      <c r="EC716">
        <v>3</v>
      </c>
      <c r="EE716" t="s">
        <v>307</v>
      </c>
      <c r="EF716">
        <v>4</v>
      </c>
      <c r="EV716">
        <v>10500</v>
      </c>
      <c r="EW716">
        <v>637</v>
      </c>
      <c r="EX716">
        <v>435</v>
      </c>
      <c r="EY716">
        <v>546</v>
      </c>
    </row>
    <row r="717" spans="1:155" x14ac:dyDescent="0.35">
      <c r="A717">
        <v>2025</v>
      </c>
      <c r="B717" t="s">
        <v>299</v>
      </c>
      <c r="C717" t="s">
        <v>299</v>
      </c>
      <c r="D717" t="s">
        <v>375</v>
      </c>
      <c r="E717" t="s">
        <v>301</v>
      </c>
      <c r="F717">
        <v>144</v>
      </c>
      <c r="G717">
        <v>3.7</v>
      </c>
      <c r="H717">
        <v>6</v>
      </c>
      <c r="I717" t="s">
        <v>361</v>
      </c>
      <c r="J717">
        <v>14</v>
      </c>
      <c r="K717">
        <v>20</v>
      </c>
      <c r="L717">
        <v>16</v>
      </c>
      <c r="M717">
        <v>17.5</v>
      </c>
      <c r="N717">
        <v>29.2</v>
      </c>
      <c r="O717">
        <v>21.349499999999999</v>
      </c>
      <c r="P717">
        <v>14.2081</v>
      </c>
      <c r="Q717">
        <v>20</v>
      </c>
      <c r="R717">
        <v>16</v>
      </c>
      <c r="S717" t="s">
        <v>210</v>
      </c>
      <c r="T717" t="s">
        <v>165</v>
      </c>
      <c r="U717" t="s">
        <v>166</v>
      </c>
      <c r="V717" t="s">
        <v>211</v>
      </c>
      <c r="W717" t="s">
        <v>212</v>
      </c>
      <c r="Y717">
        <v>8</v>
      </c>
      <c r="Z717" t="s">
        <v>170</v>
      </c>
      <c r="AA717" t="s">
        <v>170</v>
      </c>
      <c r="AB717" t="s">
        <v>167</v>
      </c>
      <c r="AC717" t="s">
        <v>213</v>
      </c>
      <c r="AD717">
        <v>10</v>
      </c>
      <c r="AG717" t="s">
        <v>214</v>
      </c>
      <c r="AH717" t="s">
        <v>215</v>
      </c>
      <c r="AI717" t="s">
        <v>175</v>
      </c>
      <c r="AJ717" t="s">
        <v>176</v>
      </c>
      <c r="AK717" t="s">
        <v>170</v>
      </c>
      <c r="AL717" t="s">
        <v>177</v>
      </c>
      <c r="AM717">
        <v>70</v>
      </c>
      <c r="AN717">
        <v>5</v>
      </c>
      <c r="AS717">
        <v>4000</v>
      </c>
      <c r="AT717">
        <v>4000</v>
      </c>
      <c r="BN717" t="s">
        <v>178</v>
      </c>
      <c r="BO717">
        <v>2</v>
      </c>
      <c r="BP717">
        <v>2</v>
      </c>
      <c r="BQ717">
        <v>2</v>
      </c>
      <c r="BR717" t="s">
        <v>321</v>
      </c>
      <c r="BS717" t="s">
        <v>180</v>
      </c>
      <c r="BT717" t="s">
        <v>181</v>
      </c>
      <c r="BU717" s="1">
        <v>45580</v>
      </c>
      <c r="BV717">
        <v>35711</v>
      </c>
      <c r="BY717" t="s">
        <v>170</v>
      </c>
      <c r="CB717" t="s">
        <v>170</v>
      </c>
      <c r="CC717" t="s">
        <v>170</v>
      </c>
      <c r="CD717" t="s">
        <v>376</v>
      </c>
      <c r="CE717" t="s">
        <v>170</v>
      </c>
      <c r="CG717" t="s">
        <v>169</v>
      </c>
      <c r="CH717" t="s">
        <v>303</v>
      </c>
      <c r="CI717" t="s">
        <v>169</v>
      </c>
      <c r="CJ717" t="s">
        <v>303</v>
      </c>
      <c r="DJ717" t="s">
        <v>184</v>
      </c>
      <c r="DK717" t="s">
        <v>185</v>
      </c>
      <c r="DN717" t="s">
        <v>170</v>
      </c>
      <c r="DO717" t="s">
        <v>186</v>
      </c>
      <c r="DP717" t="s">
        <v>169</v>
      </c>
      <c r="DQ717" t="s">
        <v>198</v>
      </c>
      <c r="DY717">
        <v>21.5</v>
      </c>
      <c r="EB717">
        <v>3</v>
      </c>
      <c r="EC717">
        <v>3</v>
      </c>
      <c r="EE717" t="s">
        <v>307</v>
      </c>
      <c r="EF717">
        <v>5</v>
      </c>
      <c r="EV717">
        <v>10500</v>
      </c>
      <c r="EW717">
        <v>627</v>
      </c>
      <c r="EX717">
        <v>445</v>
      </c>
      <c r="EY717">
        <v>556</v>
      </c>
    </row>
    <row r="718" spans="1:155" x14ac:dyDescent="0.35">
      <c r="A718">
        <v>2025</v>
      </c>
      <c r="B718" t="s">
        <v>299</v>
      </c>
      <c r="C718" t="s">
        <v>299</v>
      </c>
      <c r="D718" t="s">
        <v>377</v>
      </c>
      <c r="E718" t="s">
        <v>301</v>
      </c>
      <c r="F718">
        <v>146</v>
      </c>
      <c r="G718">
        <v>3.7</v>
      </c>
      <c r="H718">
        <v>6</v>
      </c>
      <c r="I718" t="s">
        <v>361</v>
      </c>
      <c r="J718">
        <v>14</v>
      </c>
      <c r="K718">
        <v>20</v>
      </c>
      <c r="L718">
        <v>16</v>
      </c>
      <c r="M718">
        <v>17.3</v>
      </c>
      <c r="N718">
        <v>28.9</v>
      </c>
      <c r="O718">
        <v>21.113600000000002</v>
      </c>
      <c r="P718">
        <v>14.055099999999999</v>
      </c>
      <c r="Q718">
        <v>20</v>
      </c>
      <c r="R718">
        <v>16.4679</v>
      </c>
      <c r="S718" t="s">
        <v>210</v>
      </c>
      <c r="T718" t="s">
        <v>165</v>
      </c>
      <c r="U718" t="s">
        <v>166</v>
      </c>
      <c r="V718" t="s">
        <v>211</v>
      </c>
      <c r="W718" t="s">
        <v>212</v>
      </c>
      <c r="Y718">
        <v>8</v>
      </c>
      <c r="Z718" t="s">
        <v>170</v>
      </c>
      <c r="AA718" t="s">
        <v>170</v>
      </c>
      <c r="AB718" t="s">
        <v>167</v>
      </c>
      <c r="AC718" t="s">
        <v>213</v>
      </c>
      <c r="AD718">
        <v>10</v>
      </c>
      <c r="AG718" t="s">
        <v>214</v>
      </c>
      <c r="AH718" t="s">
        <v>215</v>
      </c>
      <c r="AI718" t="s">
        <v>175</v>
      </c>
      <c r="AJ718" t="s">
        <v>176</v>
      </c>
      <c r="AK718" t="s">
        <v>170</v>
      </c>
      <c r="AL718" t="s">
        <v>177</v>
      </c>
      <c r="AM718">
        <v>70</v>
      </c>
      <c r="AN718">
        <v>5</v>
      </c>
      <c r="AS718">
        <v>4000</v>
      </c>
      <c r="AT718">
        <v>4000</v>
      </c>
      <c r="BN718" t="s">
        <v>178</v>
      </c>
      <c r="BO718">
        <v>2</v>
      </c>
      <c r="BP718">
        <v>2</v>
      </c>
      <c r="BQ718">
        <v>2</v>
      </c>
      <c r="BR718" t="s">
        <v>321</v>
      </c>
      <c r="BS718" t="s">
        <v>180</v>
      </c>
      <c r="BT718" t="s">
        <v>181</v>
      </c>
      <c r="BU718" s="1">
        <v>45580</v>
      </c>
      <c r="BV718">
        <v>35712</v>
      </c>
      <c r="BY718" t="s">
        <v>170</v>
      </c>
      <c r="CB718" t="s">
        <v>170</v>
      </c>
      <c r="CC718" t="s">
        <v>170</v>
      </c>
      <c r="CD718" t="s">
        <v>376</v>
      </c>
      <c r="CE718" t="s">
        <v>170</v>
      </c>
      <c r="CG718" t="s">
        <v>169</v>
      </c>
      <c r="CH718" t="s">
        <v>303</v>
      </c>
      <c r="CI718" t="s">
        <v>169</v>
      </c>
      <c r="CJ718" t="s">
        <v>303</v>
      </c>
      <c r="DJ718" t="s">
        <v>184</v>
      </c>
      <c r="DK718" t="s">
        <v>185</v>
      </c>
      <c r="DN718" t="s">
        <v>170</v>
      </c>
      <c r="DO718" t="s">
        <v>186</v>
      </c>
      <c r="DP718" t="s">
        <v>169</v>
      </c>
      <c r="DQ718" t="s">
        <v>198</v>
      </c>
      <c r="DY718">
        <v>21.3</v>
      </c>
      <c r="EB718">
        <v>3</v>
      </c>
      <c r="EC718">
        <v>3</v>
      </c>
      <c r="EE718" t="s">
        <v>307</v>
      </c>
      <c r="EF718">
        <v>4</v>
      </c>
      <c r="EV718">
        <v>10500</v>
      </c>
      <c r="EW718">
        <v>633</v>
      </c>
      <c r="EX718">
        <v>447</v>
      </c>
      <c r="EY718">
        <v>549</v>
      </c>
    </row>
    <row r="719" spans="1:155" x14ac:dyDescent="0.35">
      <c r="A719">
        <v>2025</v>
      </c>
      <c r="B719" t="s">
        <v>299</v>
      </c>
      <c r="C719" t="s">
        <v>299</v>
      </c>
      <c r="D719" t="s">
        <v>1645</v>
      </c>
      <c r="E719" t="s">
        <v>301</v>
      </c>
      <c r="F719">
        <v>401</v>
      </c>
      <c r="G719">
        <v>3</v>
      </c>
      <c r="H719">
        <v>6</v>
      </c>
      <c r="I719" t="s">
        <v>192</v>
      </c>
      <c r="J719">
        <v>17</v>
      </c>
      <c r="K719">
        <v>23</v>
      </c>
      <c r="L719">
        <v>19</v>
      </c>
      <c r="M719">
        <v>21.9</v>
      </c>
      <c r="N719">
        <v>33.299999999999997</v>
      </c>
      <c r="O719">
        <v>25.888200000000001</v>
      </c>
      <c r="P719">
        <v>17</v>
      </c>
      <c r="Q719">
        <v>23</v>
      </c>
      <c r="R719">
        <v>19</v>
      </c>
      <c r="T719" t="s">
        <v>165</v>
      </c>
      <c r="U719" t="s">
        <v>166</v>
      </c>
      <c r="V719" t="s">
        <v>193</v>
      </c>
      <c r="W719" t="s">
        <v>194</v>
      </c>
      <c r="Y719">
        <v>8</v>
      </c>
      <c r="Z719" t="s">
        <v>169</v>
      </c>
      <c r="AA719" t="s">
        <v>170</v>
      </c>
      <c r="AB719" t="s">
        <v>167</v>
      </c>
      <c r="AC719" t="s">
        <v>213</v>
      </c>
      <c r="AD719">
        <v>10</v>
      </c>
      <c r="AG719" t="s">
        <v>214</v>
      </c>
      <c r="AH719" t="s">
        <v>215</v>
      </c>
      <c r="AI719" t="s">
        <v>175</v>
      </c>
      <c r="AJ719" t="s">
        <v>176</v>
      </c>
      <c r="AK719" t="s">
        <v>940</v>
      </c>
      <c r="AL719" t="s">
        <v>941</v>
      </c>
      <c r="AS719">
        <v>3350</v>
      </c>
      <c r="AT719">
        <v>3350</v>
      </c>
      <c r="BN719" t="s">
        <v>178</v>
      </c>
      <c r="BO719">
        <v>2</v>
      </c>
      <c r="BP719">
        <v>2</v>
      </c>
      <c r="BQ719">
        <v>33</v>
      </c>
      <c r="BR719" t="s">
        <v>1497</v>
      </c>
      <c r="BT719" t="s">
        <v>181</v>
      </c>
      <c r="BU719" s="1">
        <v>45536</v>
      </c>
      <c r="BV719">
        <v>35545</v>
      </c>
      <c r="BY719" t="s">
        <v>170</v>
      </c>
      <c r="CB719" t="s">
        <v>170</v>
      </c>
      <c r="CC719" t="s">
        <v>170</v>
      </c>
      <c r="CD719" t="s">
        <v>1646</v>
      </c>
      <c r="CE719" t="s">
        <v>170</v>
      </c>
      <c r="CG719" t="s">
        <v>169</v>
      </c>
      <c r="CH719" t="s">
        <v>314</v>
      </c>
      <c r="CI719" t="s">
        <v>169</v>
      </c>
      <c r="CJ719" t="s">
        <v>303</v>
      </c>
      <c r="DJ719" t="s">
        <v>184</v>
      </c>
      <c r="DK719" t="s">
        <v>185</v>
      </c>
      <c r="DN719" t="s">
        <v>170</v>
      </c>
      <c r="DO719" t="s">
        <v>186</v>
      </c>
      <c r="DP719" t="s">
        <v>169</v>
      </c>
      <c r="DQ719" t="s">
        <v>198</v>
      </c>
      <c r="EB719">
        <v>4</v>
      </c>
      <c r="EC719">
        <v>4</v>
      </c>
      <c r="EE719" t="s">
        <v>1415</v>
      </c>
      <c r="EF719">
        <v>4</v>
      </c>
      <c r="EV719">
        <v>7250</v>
      </c>
      <c r="EW719">
        <v>524</v>
      </c>
      <c r="EX719">
        <v>388</v>
      </c>
      <c r="EY719">
        <v>469</v>
      </c>
    </row>
    <row r="720" spans="1:155" x14ac:dyDescent="0.35">
      <c r="A720">
        <v>2025</v>
      </c>
      <c r="B720" t="s">
        <v>299</v>
      </c>
      <c r="C720" t="s">
        <v>299</v>
      </c>
      <c r="D720" t="s">
        <v>1647</v>
      </c>
      <c r="E720" t="s">
        <v>301</v>
      </c>
      <c r="F720">
        <v>402</v>
      </c>
      <c r="G720">
        <v>3</v>
      </c>
      <c r="H720">
        <v>6</v>
      </c>
      <c r="I720" t="s">
        <v>192</v>
      </c>
      <c r="J720">
        <v>17</v>
      </c>
      <c r="K720">
        <v>23</v>
      </c>
      <c r="L720">
        <v>19</v>
      </c>
      <c r="M720">
        <v>23</v>
      </c>
      <c r="N720">
        <v>32.200000000000003</v>
      </c>
      <c r="O720">
        <v>26.3934</v>
      </c>
      <c r="P720">
        <v>17</v>
      </c>
      <c r="Q720">
        <v>23.045300000000001</v>
      </c>
      <c r="R720">
        <v>19</v>
      </c>
      <c r="T720" t="s">
        <v>165</v>
      </c>
      <c r="U720" t="s">
        <v>166</v>
      </c>
      <c r="V720" t="s">
        <v>193</v>
      </c>
      <c r="W720" t="s">
        <v>194</v>
      </c>
      <c r="Y720">
        <v>8</v>
      </c>
      <c r="Z720" t="s">
        <v>169</v>
      </c>
      <c r="AA720" t="s">
        <v>170</v>
      </c>
      <c r="AB720" t="s">
        <v>167</v>
      </c>
      <c r="AC720" t="s">
        <v>213</v>
      </c>
      <c r="AD720">
        <v>10</v>
      </c>
      <c r="AG720" t="s">
        <v>214</v>
      </c>
      <c r="AH720" t="s">
        <v>215</v>
      </c>
      <c r="AI720" t="s">
        <v>175</v>
      </c>
      <c r="AJ720" t="s">
        <v>176</v>
      </c>
      <c r="AK720" t="s">
        <v>940</v>
      </c>
      <c r="AL720" t="s">
        <v>941</v>
      </c>
      <c r="AS720">
        <v>3350</v>
      </c>
      <c r="AT720">
        <v>3350</v>
      </c>
      <c r="BN720" t="s">
        <v>178</v>
      </c>
      <c r="BO720">
        <v>2</v>
      </c>
      <c r="BP720">
        <v>2</v>
      </c>
      <c r="BQ720">
        <v>33</v>
      </c>
      <c r="BR720" t="s">
        <v>1497</v>
      </c>
      <c r="BT720" t="s">
        <v>181</v>
      </c>
      <c r="BU720" s="1">
        <v>45534</v>
      </c>
      <c r="BV720">
        <v>35546</v>
      </c>
      <c r="BY720" t="s">
        <v>170</v>
      </c>
      <c r="CB720" t="s">
        <v>170</v>
      </c>
      <c r="CC720" t="s">
        <v>170</v>
      </c>
      <c r="CD720" t="s">
        <v>1646</v>
      </c>
      <c r="CE720" t="s">
        <v>170</v>
      </c>
      <c r="CG720" t="s">
        <v>169</v>
      </c>
      <c r="CH720" t="s">
        <v>314</v>
      </c>
      <c r="CI720" t="s">
        <v>169</v>
      </c>
      <c r="CJ720" t="s">
        <v>303</v>
      </c>
      <c r="DJ720" t="s">
        <v>184</v>
      </c>
      <c r="DK720" t="s">
        <v>185</v>
      </c>
      <c r="DN720" t="s">
        <v>170</v>
      </c>
      <c r="DO720" t="s">
        <v>186</v>
      </c>
      <c r="DP720" t="s">
        <v>169</v>
      </c>
      <c r="DQ720" t="s">
        <v>198</v>
      </c>
      <c r="EB720">
        <v>4</v>
      </c>
      <c r="EC720">
        <v>4</v>
      </c>
      <c r="EE720" t="s">
        <v>1415</v>
      </c>
      <c r="EF720">
        <v>4</v>
      </c>
      <c r="EV720">
        <v>7250</v>
      </c>
      <c r="EW720">
        <v>524</v>
      </c>
      <c r="EX720">
        <v>386</v>
      </c>
      <c r="EY720">
        <v>469</v>
      </c>
    </row>
    <row r="721" spans="1:155" x14ac:dyDescent="0.35">
      <c r="A721">
        <v>2025</v>
      </c>
      <c r="B721" t="s">
        <v>299</v>
      </c>
      <c r="C721" t="s">
        <v>299</v>
      </c>
      <c r="D721" t="s">
        <v>1718</v>
      </c>
      <c r="E721" t="s">
        <v>301</v>
      </c>
      <c r="F721">
        <v>470</v>
      </c>
      <c r="G721">
        <v>4</v>
      </c>
      <c r="H721">
        <v>8</v>
      </c>
      <c r="I721" t="s">
        <v>192</v>
      </c>
      <c r="J721">
        <v>15</v>
      </c>
      <c r="K721">
        <v>22</v>
      </c>
      <c r="L721">
        <v>18</v>
      </c>
      <c r="M721">
        <v>19.399999999999999</v>
      </c>
      <c r="N721">
        <v>30.2</v>
      </c>
      <c r="O721">
        <v>23.120799999999999</v>
      </c>
      <c r="P721">
        <v>15.651899999999999</v>
      </c>
      <c r="Q721">
        <v>21.713100000000001</v>
      </c>
      <c r="R721">
        <v>17.900500000000001</v>
      </c>
      <c r="T721" t="s">
        <v>165</v>
      </c>
      <c r="U721" t="s">
        <v>166</v>
      </c>
      <c r="V721" t="s">
        <v>193</v>
      </c>
      <c r="W721" t="s">
        <v>194</v>
      </c>
      <c r="Y721">
        <v>8</v>
      </c>
      <c r="Z721" t="s">
        <v>169</v>
      </c>
      <c r="AA721" t="s">
        <v>170</v>
      </c>
      <c r="AB721" t="s">
        <v>167</v>
      </c>
      <c r="AC721" t="s">
        <v>213</v>
      </c>
      <c r="AD721">
        <v>10</v>
      </c>
      <c r="AG721" t="s">
        <v>214</v>
      </c>
      <c r="AH721" t="s">
        <v>215</v>
      </c>
      <c r="AI721" t="s">
        <v>175</v>
      </c>
      <c r="AJ721" t="s">
        <v>176</v>
      </c>
      <c r="AK721" t="s">
        <v>940</v>
      </c>
      <c r="AL721" t="s">
        <v>941</v>
      </c>
      <c r="AS721">
        <v>3550</v>
      </c>
      <c r="AT721">
        <v>3550</v>
      </c>
      <c r="BN721" t="s">
        <v>178</v>
      </c>
      <c r="BO721">
        <v>2</v>
      </c>
      <c r="BP721">
        <v>2</v>
      </c>
      <c r="BQ721">
        <v>33</v>
      </c>
      <c r="BR721" t="s">
        <v>1497</v>
      </c>
      <c r="BT721" t="s">
        <v>181</v>
      </c>
      <c r="BV721">
        <v>35677</v>
      </c>
      <c r="BY721" t="s">
        <v>170</v>
      </c>
      <c r="CB721" t="s">
        <v>170</v>
      </c>
      <c r="CC721" t="s">
        <v>170</v>
      </c>
      <c r="CD721" t="s">
        <v>1649</v>
      </c>
      <c r="CE721" t="s">
        <v>170</v>
      </c>
      <c r="CG721" t="s">
        <v>169</v>
      </c>
      <c r="CH721" t="s">
        <v>314</v>
      </c>
      <c r="CI721" t="s">
        <v>169</v>
      </c>
      <c r="CJ721" t="s">
        <v>303</v>
      </c>
      <c r="DJ721" t="s">
        <v>184</v>
      </c>
      <c r="DK721" t="s">
        <v>185</v>
      </c>
      <c r="DN721" t="s">
        <v>170</v>
      </c>
      <c r="DO721" t="s">
        <v>186</v>
      </c>
      <c r="DP721" t="s">
        <v>169</v>
      </c>
      <c r="DQ721" t="s">
        <v>198</v>
      </c>
      <c r="EB721">
        <v>4</v>
      </c>
      <c r="EC721">
        <v>4</v>
      </c>
      <c r="EE721" t="s">
        <v>1650</v>
      </c>
      <c r="EF721">
        <v>4</v>
      </c>
      <c r="EV721">
        <v>8250</v>
      </c>
      <c r="EW721">
        <v>570</v>
      </c>
      <c r="EX721">
        <v>410</v>
      </c>
      <c r="EY721">
        <v>498</v>
      </c>
    </row>
    <row r="722" spans="1:155" x14ac:dyDescent="0.35">
      <c r="A722">
        <v>2025</v>
      </c>
      <c r="B722" t="s">
        <v>299</v>
      </c>
      <c r="C722" t="s">
        <v>299</v>
      </c>
      <c r="D722" t="s">
        <v>1648</v>
      </c>
      <c r="E722" t="s">
        <v>301</v>
      </c>
      <c r="F722">
        <v>471</v>
      </c>
      <c r="G722">
        <v>4</v>
      </c>
      <c r="H722">
        <v>8</v>
      </c>
      <c r="I722" t="s">
        <v>192</v>
      </c>
      <c r="J722">
        <v>16</v>
      </c>
      <c r="K722">
        <v>22</v>
      </c>
      <c r="L722">
        <v>18</v>
      </c>
      <c r="M722">
        <v>19.899999999999999</v>
      </c>
      <c r="N722">
        <v>31.6</v>
      </c>
      <c r="O722">
        <v>23.878499999999999</v>
      </c>
      <c r="P722">
        <v>16.0289</v>
      </c>
      <c r="Q722">
        <v>22</v>
      </c>
      <c r="R722">
        <v>18.4559</v>
      </c>
      <c r="T722" t="s">
        <v>165</v>
      </c>
      <c r="U722" t="s">
        <v>166</v>
      </c>
      <c r="V722" t="s">
        <v>193</v>
      </c>
      <c r="W722" t="s">
        <v>194</v>
      </c>
      <c r="Y722">
        <v>8</v>
      </c>
      <c r="Z722" t="s">
        <v>169</v>
      </c>
      <c r="AA722" t="s">
        <v>170</v>
      </c>
      <c r="AB722" t="s">
        <v>167</v>
      </c>
      <c r="AC722" t="s">
        <v>213</v>
      </c>
      <c r="AD722">
        <v>10</v>
      </c>
      <c r="AG722" t="s">
        <v>214</v>
      </c>
      <c r="AH722" t="s">
        <v>215</v>
      </c>
      <c r="AI722" t="s">
        <v>175</v>
      </c>
      <c r="AJ722" t="s">
        <v>176</v>
      </c>
      <c r="AK722" t="s">
        <v>940</v>
      </c>
      <c r="AL722" t="s">
        <v>941</v>
      </c>
      <c r="AS722">
        <v>3550</v>
      </c>
      <c r="AT722">
        <v>3550</v>
      </c>
      <c r="BN722" t="s">
        <v>178</v>
      </c>
      <c r="BO722">
        <v>2</v>
      </c>
      <c r="BP722">
        <v>2</v>
      </c>
      <c r="BQ722">
        <v>33</v>
      </c>
      <c r="BR722" t="s">
        <v>1497</v>
      </c>
      <c r="BT722" t="s">
        <v>181</v>
      </c>
      <c r="BU722" s="1">
        <v>45570</v>
      </c>
      <c r="BV722">
        <v>35678</v>
      </c>
      <c r="BY722" t="s">
        <v>170</v>
      </c>
      <c r="CB722" t="s">
        <v>170</v>
      </c>
      <c r="CC722" t="s">
        <v>170</v>
      </c>
      <c r="CD722" t="s">
        <v>1649</v>
      </c>
      <c r="CE722" t="s">
        <v>170</v>
      </c>
      <c r="CG722" t="s">
        <v>169</v>
      </c>
      <c r="CH722" t="s">
        <v>314</v>
      </c>
      <c r="CI722" t="s">
        <v>169</v>
      </c>
      <c r="CJ722" t="s">
        <v>303</v>
      </c>
      <c r="DJ722" t="s">
        <v>184</v>
      </c>
      <c r="DK722" t="s">
        <v>185</v>
      </c>
      <c r="DN722" t="s">
        <v>170</v>
      </c>
      <c r="DO722" t="s">
        <v>186</v>
      </c>
      <c r="DP722" t="s">
        <v>169</v>
      </c>
      <c r="DQ722" t="s">
        <v>198</v>
      </c>
      <c r="EB722">
        <v>4</v>
      </c>
      <c r="EC722">
        <v>4</v>
      </c>
      <c r="EE722" t="s">
        <v>1650</v>
      </c>
      <c r="EF722">
        <v>4</v>
      </c>
      <c r="EV722">
        <v>8250</v>
      </c>
      <c r="EW722">
        <v>557</v>
      </c>
      <c r="EX722">
        <v>405</v>
      </c>
      <c r="EY722">
        <v>489</v>
      </c>
    </row>
    <row r="723" spans="1:155" x14ac:dyDescent="0.35">
      <c r="A723">
        <v>2025</v>
      </c>
      <c r="B723" t="s">
        <v>299</v>
      </c>
      <c r="C723" t="s">
        <v>299</v>
      </c>
      <c r="D723" t="s">
        <v>1651</v>
      </c>
      <c r="E723" t="s">
        <v>301</v>
      </c>
      <c r="F723">
        <v>410</v>
      </c>
      <c r="G723">
        <v>4</v>
      </c>
      <c r="H723">
        <v>8</v>
      </c>
      <c r="I723" t="s">
        <v>192</v>
      </c>
      <c r="J723">
        <v>16</v>
      </c>
      <c r="K723">
        <v>21</v>
      </c>
      <c r="L723">
        <v>18</v>
      </c>
      <c r="M723">
        <v>20.100000000000001</v>
      </c>
      <c r="N723">
        <v>30.6</v>
      </c>
      <c r="O723">
        <v>23.770399999999999</v>
      </c>
      <c r="P723">
        <v>16.179300000000001</v>
      </c>
      <c r="Q723">
        <v>21</v>
      </c>
      <c r="R723">
        <v>18.3598</v>
      </c>
      <c r="T723" t="s">
        <v>165</v>
      </c>
      <c r="U723" t="s">
        <v>166</v>
      </c>
      <c r="V723" t="s">
        <v>193</v>
      </c>
      <c r="W723" t="s">
        <v>194</v>
      </c>
      <c r="Y723">
        <v>8</v>
      </c>
      <c r="Z723" t="s">
        <v>169</v>
      </c>
      <c r="AA723" t="s">
        <v>170</v>
      </c>
      <c r="AB723" t="s">
        <v>167</v>
      </c>
      <c r="AC723" t="s">
        <v>213</v>
      </c>
      <c r="AD723">
        <v>10</v>
      </c>
      <c r="AG723" t="s">
        <v>214</v>
      </c>
      <c r="AH723" t="s">
        <v>215</v>
      </c>
      <c r="AI723" t="s">
        <v>175</v>
      </c>
      <c r="AJ723" t="s">
        <v>176</v>
      </c>
      <c r="AK723" t="s">
        <v>940</v>
      </c>
      <c r="AL723" t="s">
        <v>941</v>
      </c>
      <c r="AS723">
        <v>3550</v>
      </c>
      <c r="AT723">
        <v>3550</v>
      </c>
      <c r="BN723" t="s">
        <v>178</v>
      </c>
      <c r="BO723">
        <v>2</v>
      </c>
      <c r="BP723">
        <v>2</v>
      </c>
      <c r="BQ723">
        <v>33</v>
      </c>
      <c r="BR723" t="s">
        <v>1497</v>
      </c>
      <c r="BT723" t="s">
        <v>181</v>
      </c>
      <c r="BU723" s="1">
        <v>45565</v>
      </c>
      <c r="BV723">
        <v>35780</v>
      </c>
      <c r="BY723" t="s">
        <v>170</v>
      </c>
      <c r="CB723" t="s">
        <v>170</v>
      </c>
      <c r="CC723" t="s">
        <v>170</v>
      </c>
      <c r="CD723" t="s">
        <v>1649</v>
      </c>
      <c r="CE723" t="s">
        <v>170</v>
      </c>
      <c r="CG723" t="s">
        <v>169</v>
      </c>
      <c r="CH723" t="s">
        <v>314</v>
      </c>
      <c r="CI723" t="s">
        <v>169</v>
      </c>
      <c r="CJ723" t="s">
        <v>303</v>
      </c>
      <c r="DJ723" t="s">
        <v>184</v>
      </c>
      <c r="DK723" t="s">
        <v>185</v>
      </c>
      <c r="DN723" t="s">
        <v>170</v>
      </c>
      <c r="DO723" t="s">
        <v>186</v>
      </c>
      <c r="DP723" t="s">
        <v>169</v>
      </c>
      <c r="DQ723" t="s">
        <v>198</v>
      </c>
      <c r="EB723">
        <v>4</v>
      </c>
      <c r="EC723">
        <v>4</v>
      </c>
      <c r="EE723" t="s">
        <v>1650</v>
      </c>
      <c r="EF723">
        <v>4</v>
      </c>
      <c r="EV723">
        <v>8250</v>
      </c>
      <c r="EW723">
        <v>549</v>
      </c>
      <c r="EX723">
        <v>423</v>
      </c>
      <c r="EY723">
        <v>492</v>
      </c>
    </row>
    <row r="724" spans="1:155" x14ac:dyDescent="0.35">
      <c r="A724">
        <v>2025</v>
      </c>
      <c r="B724" t="s">
        <v>299</v>
      </c>
      <c r="C724" t="s">
        <v>299</v>
      </c>
      <c r="D724" t="s">
        <v>1652</v>
      </c>
      <c r="E724" t="s">
        <v>301</v>
      </c>
      <c r="F724">
        <v>411</v>
      </c>
      <c r="G724">
        <v>4</v>
      </c>
      <c r="H724">
        <v>8</v>
      </c>
      <c r="I724" t="s">
        <v>192</v>
      </c>
      <c r="J724">
        <v>16</v>
      </c>
      <c r="K724">
        <v>21</v>
      </c>
      <c r="L724">
        <v>18</v>
      </c>
      <c r="M724">
        <v>20.100000000000001</v>
      </c>
      <c r="N724">
        <v>30.5</v>
      </c>
      <c r="O724">
        <v>23.743200000000002</v>
      </c>
      <c r="P724">
        <v>16.179300000000001</v>
      </c>
      <c r="Q724">
        <v>21</v>
      </c>
      <c r="R724">
        <v>18.338799999999999</v>
      </c>
      <c r="T724" t="s">
        <v>165</v>
      </c>
      <c r="U724" t="s">
        <v>166</v>
      </c>
      <c r="V724" t="s">
        <v>193</v>
      </c>
      <c r="W724" t="s">
        <v>194</v>
      </c>
      <c r="Y724">
        <v>8</v>
      </c>
      <c r="Z724" t="s">
        <v>169</v>
      </c>
      <c r="AA724" t="s">
        <v>170</v>
      </c>
      <c r="AB724" t="s">
        <v>167</v>
      </c>
      <c r="AC724" t="s">
        <v>213</v>
      </c>
      <c r="AD724">
        <v>10</v>
      </c>
      <c r="AG724" t="s">
        <v>214</v>
      </c>
      <c r="AH724" t="s">
        <v>215</v>
      </c>
      <c r="AI724" t="s">
        <v>175</v>
      </c>
      <c r="AJ724" t="s">
        <v>176</v>
      </c>
      <c r="AK724" t="s">
        <v>940</v>
      </c>
      <c r="AL724" t="s">
        <v>941</v>
      </c>
      <c r="AS724">
        <v>3550</v>
      </c>
      <c r="AT724">
        <v>3550</v>
      </c>
      <c r="BN724" t="s">
        <v>178</v>
      </c>
      <c r="BO724">
        <v>2</v>
      </c>
      <c r="BP724">
        <v>2</v>
      </c>
      <c r="BQ724">
        <v>33</v>
      </c>
      <c r="BR724" t="s">
        <v>1497</v>
      </c>
      <c r="BT724" t="s">
        <v>181</v>
      </c>
      <c r="BU724" s="1">
        <v>45565</v>
      </c>
      <c r="BV724">
        <v>35779</v>
      </c>
      <c r="BY724" t="s">
        <v>170</v>
      </c>
      <c r="CB724" t="s">
        <v>170</v>
      </c>
      <c r="CC724" t="s">
        <v>170</v>
      </c>
      <c r="CD724" t="s">
        <v>1649</v>
      </c>
      <c r="CE724" t="s">
        <v>170</v>
      </c>
      <c r="CG724" t="s">
        <v>169</v>
      </c>
      <c r="CH724" t="s">
        <v>314</v>
      </c>
      <c r="CI724" t="s">
        <v>169</v>
      </c>
      <c r="CJ724" t="s">
        <v>303</v>
      </c>
      <c r="DJ724" t="s">
        <v>184</v>
      </c>
      <c r="DK724" t="s">
        <v>185</v>
      </c>
      <c r="DN724" t="s">
        <v>170</v>
      </c>
      <c r="DO724" t="s">
        <v>186</v>
      </c>
      <c r="DP724" t="s">
        <v>169</v>
      </c>
      <c r="DQ724" t="s">
        <v>198</v>
      </c>
      <c r="EB724">
        <v>4</v>
      </c>
      <c r="EC724">
        <v>4</v>
      </c>
      <c r="EE724" t="s">
        <v>1650</v>
      </c>
      <c r="EF724">
        <v>4</v>
      </c>
      <c r="EV724">
        <v>8250</v>
      </c>
      <c r="EW724">
        <v>549</v>
      </c>
      <c r="EX724">
        <v>423</v>
      </c>
      <c r="EY724">
        <v>492</v>
      </c>
    </row>
    <row r="725" spans="1:155" x14ac:dyDescent="0.35">
      <c r="A725">
        <v>2025</v>
      </c>
      <c r="B725" t="s">
        <v>299</v>
      </c>
      <c r="C725" t="s">
        <v>299</v>
      </c>
      <c r="D725" t="s">
        <v>1653</v>
      </c>
      <c r="E725" t="s">
        <v>301</v>
      </c>
      <c r="F725">
        <v>442</v>
      </c>
      <c r="G725">
        <v>4</v>
      </c>
      <c r="H725">
        <v>8</v>
      </c>
      <c r="I725" t="s">
        <v>192</v>
      </c>
      <c r="J725">
        <v>15</v>
      </c>
      <c r="K725">
        <v>20</v>
      </c>
      <c r="L725">
        <v>17</v>
      </c>
      <c r="M725">
        <v>18.8</v>
      </c>
      <c r="N725">
        <v>29</v>
      </c>
      <c r="O725">
        <v>22.335100000000001</v>
      </c>
      <c r="P725">
        <v>15.197900000000001</v>
      </c>
      <c r="Q725">
        <v>20</v>
      </c>
      <c r="R725">
        <v>17.327300000000001</v>
      </c>
      <c r="T725" t="s">
        <v>165</v>
      </c>
      <c r="U725" t="s">
        <v>166</v>
      </c>
      <c r="V725" t="s">
        <v>193</v>
      </c>
      <c r="W725" t="s">
        <v>194</v>
      </c>
      <c r="Y725">
        <v>8</v>
      </c>
      <c r="Z725" t="s">
        <v>169</v>
      </c>
      <c r="AA725" t="s">
        <v>170</v>
      </c>
      <c r="AB725" t="s">
        <v>167</v>
      </c>
      <c r="AC725" t="s">
        <v>213</v>
      </c>
      <c r="AD725">
        <v>10</v>
      </c>
      <c r="AG725" t="s">
        <v>214</v>
      </c>
      <c r="AH725" t="s">
        <v>215</v>
      </c>
      <c r="AI725" t="s">
        <v>175</v>
      </c>
      <c r="AJ725" t="s">
        <v>176</v>
      </c>
      <c r="AK725" t="s">
        <v>940</v>
      </c>
      <c r="AL725" t="s">
        <v>941</v>
      </c>
      <c r="AS725">
        <v>3750</v>
      </c>
      <c r="AT725">
        <v>3750</v>
      </c>
      <c r="BN725" t="s">
        <v>178</v>
      </c>
      <c r="BO725">
        <v>2</v>
      </c>
      <c r="BP725">
        <v>2</v>
      </c>
      <c r="BQ725">
        <v>33</v>
      </c>
      <c r="BR725" t="s">
        <v>1497</v>
      </c>
      <c r="BT725" t="s">
        <v>181</v>
      </c>
      <c r="BU725" s="1">
        <v>45580</v>
      </c>
      <c r="BV725">
        <v>35700</v>
      </c>
      <c r="BY725" t="s">
        <v>170</v>
      </c>
      <c r="CB725" t="s">
        <v>170</v>
      </c>
      <c r="CC725" t="s">
        <v>170</v>
      </c>
      <c r="CD725" t="s">
        <v>1654</v>
      </c>
      <c r="CE725" t="s">
        <v>169</v>
      </c>
      <c r="CF725" t="s">
        <v>883</v>
      </c>
      <c r="CG725" t="s">
        <v>169</v>
      </c>
      <c r="CH725" t="s">
        <v>303</v>
      </c>
      <c r="CI725" t="s">
        <v>169</v>
      </c>
      <c r="CJ725" t="s">
        <v>303</v>
      </c>
      <c r="DJ725" t="s">
        <v>184</v>
      </c>
      <c r="DK725" t="s">
        <v>185</v>
      </c>
      <c r="DN725" t="s">
        <v>170</v>
      </c>
      <c r="DO725" t="s">
        <v>186</v>
      </c>
      <c r="DP725" t="s">
        <v>169</v>
      </c>
      <c r="DQ725" t="s">
        <v>198</v>
      </c>
      <c r="EB725">
        <v>3</v>
      </c>
      <c r="EC725">
        <v>3</v>
      </c>
      <c r="EE725" t="s">
        <v>1655</v>
      </c>
      <c r="EF725">
        <v>2</v>
      </c>
      <c r="EV725">
        <v>9250</v>
      </c>
      <c r="EW725">
        <v>583</v>
      </c>
      <c r="EX725">
        <v>444</v>
      </c>
      <c r="EY725">
        <v>521</v>
      </c>
    </row>
    <row r="726" spans="1:155" x14ac:dyDescent="0.35">
      <c r="A726">
        <v>2025</v>
      </c>
      <c r="B726" t="s">
        <v>299</v>
      </c>
      <c r="C726" t="s">
        <v>299</v>
      </c>
      <c r="D726" t="s">
        <v>1411</v>
      </c>
      <c r="E726" t="s">
        <v>301</v>
      </c>
      <c r="F726">
        <v>301</v>
      </c>
      <c r="G726">
        <v>2</v>
      </c>
      <c r="H726">
        <v>4</v>
      </c>
      <c r="I726" t="s">
        <v>209</v>
      </c>
      <c r="J726">
        <v>19</v>
      </c>
      <c r="K726">
        <v>25</v>
      </c>
      <c r="L726">
        <v>21</v>
      </c>
      <c r="M726">
        <v>24.967600000000001</v>
      </c>
      <c r="N726">
        <v>35.6</v>
      </c>
      <c r="O726">
        <v>28.844200000000001</v>
      </c>
      <c r="P726">
        <v>19</v>
      </c>
      <c r="Q726">
        <v>25.282299999999999</v>
      </c>
      <c r="R726">
        <v>21</v>
      </c>
      <c r="T726" t="s">
        <v>165</v>
      </c>
      <c r="U726" t="s">
        <v>166</v>
      </c>
      <c r="V726" t="s">
        <v>211</v>
      </c>
      <c r="W726" t="s">
        <v>212</v>
      </c>
      <c r="Y726">
        <v>7</v>
      </c>
      <c r="Z726" t="s">
        <v>170</v>
      </c>
      <c r="AA726" t="s">
        <v>170</v>
      </c>
      <c r="AB726" t="s">
        <v>167</v>
      </c>
      <c r="AC726" t="s">
        <v>213</v>
      </c>
      <c r="AD726">
        <v>10</v>
      </c>
      <c r="AG726" t="s">
        <v>214</v>
      </c>
      <c r="AH726" t="s">
        <v>215</v>
      </c>
      <c r="AI726" t="s">
        <v>175</v>
      </c>
      <c r="AJ726" t="s">
        <v>176</v>
      </c>
      <c r="AK726" t="s">
        <v>940</v>
      </c>
      <c r="AL726" t="s">
        <v>941</v>
      </c>
      <c r="AS726">
        <v>3050</v>
      </c>
      <c r="AT726">
        <v>3050</v>
      </c>
      <c r="BN726" t="s">
        <v>178</v>
      </c>
      <c r="BO726">
        <v>2</v>
      </c>
      <c r="BP726">
        <v>2</v>
      </c>
      <c r="BQ726">
        <v>31</v>
      </c>
      <c r="BR726" t="s">
        <v>1219</v>
      </c>
      <c r="BT726" t="s">
        <v>181</v>
      </c>
      <c r="BU726" s="1">
        <v>45505</v>
      </c>
      <c r="BV726">
        <v>35643</v>
      </c>
      <c r="BY726" t="s">
        <v>170</v>
      </c>
      <c r="CB726" t="s">
        <v>170</v>
      </c>
      <c r="CC726" t="s">
        <v>170</v>
      </c>
      <c r="CD726" t="s">
        <v>1412</v>
      </c>
      <c r="CE726" t="s">
        <v>170</v>
      </c>
      <c r="CG726" t="s">
        <v>169</v>
      </c>
      <c r="CH726" t="s">
        <v>303</v>
      </c>
      <c r="CI726" t="s">
        <v>169</v>
      </c>
      <c r="CJ726" t="s">
        <v>303</v>
      </c>
      <c r="DJ726" t="s">
        <v>184</v>
      </c>
      <c r="DK726" t="s">
        <v>185</v>
      </c>
      <c r="DN726" t="s">
        <v>170</v>
      </c>
      <c r="DO726" t="s">
        <v>186</v>
      </c>
      <c r="DP726" t="s">
        <v>169</v>
      </c>
      <c r="DQ726" t="s">
        <v>198</v>
      </c>
      <c r="DR726" t="s">
        <v>1411</v>
      </c>
      <c r="EB726">
        <v>4</v>
      </c>
      <c r="EC726">
        <v>4</v>
      </c>
      <c r="EE726" t="s">
        <v>1413</v>
      </c>
      <c r="EF726">
        <v>4</v>
      </c>
      <c r="EV726">
        <v>5750</v>
      </c>
      <c r="EW726">
        <v>468</v>
      </c>
      <c r="EX726">
        <v>352</v>
      </c>
      <c r="EY726">
        <v>424</v>
      </c>
    </row>
    <row r="727" spans="1:155" x14ac:dyDescent="0.35">
      <c r="A727">
        <v>2025</v>
      </c>
      <c r="B727" t="s">
        <v>299</v>
      </c>
      <c r="C727" t="s">
        <v>299</v>
      </c>
      <c r="D727" t="s">
        <v>1414</v>
      </c>
      <c r="E727" t="s">
        <v>301</v>
      </c>
      <c r="F727">
        <v>370</v>
      </c>
      <c r="G727">
        <v>2.9</v>
      </c>
      <c r="H727">
        <v>6</v>
      </c>
      <c r="I727" t="s">
        <v>209</v>
      </c>
      <c r="J727">
        <v>17</v>
      </c>
      <c r="K727">
        <v>22</v>
      </c>
      <c r="L727">
        <v>19</v>
      </c>
      <c r="M727">
        <v>21.8444</v>
      </c>
      <c r="N727">
        <v>32.200000000000003</v>
      </c>
      <c r="O727">
        <v>25.540700000000001</v>
      </c>
      <c r="P727">
        <v>17.483000000000001</v>
      </c>
      <c r="Q727">
        <v>22</v>
      </c>
      <c r="R727">
        <v>19</v>
      </c>
      <c r="T727" t="s">
        <v>165</v>
      </c>
      <c r="U727" t="s">
        <v>166</v>
      </c>
      <c r="V727" t="s">
        <v>211</v>
      </c>
      <c r="W727" t="s">
        <v>212</v>
      </c>
      <c r="Y727">
        <v>7</v>
      </c>
      <c r="Z727" t="s">
        <v>170</v>
      </c>
      <c r="AA727" t="s">
        <v>170</v>
      </c>
      <c r="AB727" t="s">
        <v>167</v>
      </c>
      <c r="AC727" t="s">
        <v>213</v>
      </c>
      <c r="AD727">
        <v>10</v>
      </c>
      <c r="AG727" t="s">
        <v>214</v>
      </c>
      <c r="AH727" t="s">
        <v>215</v>
      </c>
      <c r="AI727" t="s">
        <v>175</v>
      </c>
      <c r="AJ727" t="s">
        <v>176</v>
      </c>
      <c r="AK727" t="s">
        <v>940</v>
      </c>
      <c r="AL727" t="s">
        <v>941</v>
      </c>
      <c r="AS727">
        <v>3350</v>
      </c>
      <c r="AT727">
        <v>3350</v>
      </c>
      <c r="BN727" t="s">
        <v>178</v>
      </c>
      <c r="BO727">
        <v>2</v>
      </c>
      <c r="BP727">
        <v>2</v>
      </c>
      <c r="BQ727">
        <v>31</v>
      </c>
      <c r="BR727" t="s">
        <v>1219</v>
      </c>
      <c r="BT727" t="s">
        <v>181</v>
      </c>
      <c r="BU727" s="1">
        <v>45505</v>
      </c>
      <c r="BV727">
        <v>35742</v>
      </c>
      <c r="BY727" t="s">
        <v>170</v>
      </c>
      <c r="CB727" t="s">
        <v>170</v>
      </c>
      <c r="CC727" t="s">
        <v>170</v>
      </c>
      <c r="CE727" t="s">
        <v>170</v>
      </c>
      <c r="CG727" t="s">
        <v>169</v>
      </c>
      <c r="CH727" t="s">
        <v>314</v>
      </c>
      <c r="CI727" t="s">
        <v>169</v>
      </c>
      <c r="CJ727" t="s">
        <v>303</v>
      </c>
      <c r="DJ727" t="s">
        <v>184</v>
      </c>
      <c r="DK727" t="s">
        <v>185</v>
      </c>
      <c r="DN727" t="s">
        <v>170</v>
      </c>
      <c r="DO727" t="s">
        <v>186</v>
      </c>
      <c r="DP727" t="s">
        <v>169</v>
      </c>
      <c r="DQ727" t="s">
        <v>198</v>
      </c>
      <c r="DR727" t="s">
        <v>1411</v>
      </c>
      <c r="EB727">
        <v>4</v>
      </c>
      <c r="EC727">
        <v>4</v>
      </c>
      <c r="EE727" t="s">
        <v>1415</v>
      </c>
      <c r="EF727">
        <v>4</v>
      </c>
      <c r="EV727">
        <v>7250</v>
      </c>
      <c r="EW727">
        <v>506</v>
      </c>
      <c r="EX727">
        <v>403</v>
      </c>
      <c r="EY727">
        <v>466</v>
      </c>
    </row>
    <row r="728" spans="1:155" x14ac:dyDescent="0.35">
      <c r="A728">
        <v>2025</v>
      </c>
      <c r="B728" t="s">
        <v>299</v>
      </c>
      <c r="C728" t="s">
        <v>299</v>
      </c>
      <c r="D728" t="s">
        <v>1416</v>
      </c>
      <c r="E728" t="s">
        <v>301</v>
      </c>
      <c r="F728">
        <v>310</v>
      </c>
      <c r="G728">
        <v>2.9</v>
      </c>
      <c r="H728">
        <v>6</v>
      </c>
      <c r="I728" t="s">
        <v>209</v>
      </c>
      <c r="J728">
        <v>17</v>
      </c>
      <c r="K728">
        <v>23</v>
      </c>
      <c r="L728">
        <v>19</v>
      </c>
      <c r="M728">
        <v>22.392900000000001</v>
      </c>
      <c r="N728">
        <v>32.499699999999997</v>
      </c>
      <c r="O728">
        <v>26.0365</v>
      </c>
      <c r="P728">
        <v>17</v>
      </c>
      <c r="Q728">
        <v>23.2438</v>
      </c>
      <c r="R728">
        <v>19</v>
      </c>
      <c r="T728" t="s">
        <v>165</v>
      </c>
      <c r="U728" t="s">
        <v>166</v>
      </c>
      <c r="V728" t="s">
        <v>211</v>
      </c>
      <c r="W728" t="s">
        <v>212</v>
      </c>
      <c r="Y728">
        <v>7</v>
      </c>
      <c r="Z728" t="s">
        <v>170</v>
      </c>
      <c r="AA728" t="s">
        <v>170</v>
      </c>
      <c r="AB728" t="s">
        <v>167</v>
      </c>
      <c r="AC728" t="s">
        <v>213</v>
      </c>
      <c r="AD728">
        <v>10</v>
      </c>
      <c r="AG728" t="s">
        <v>214</v>
      </c>
      <c r="AH728" t="s">
        <v>215</v>
      </c>
      <c r="AI728" t="s">
        <v>175</v>
      </c>
      <c r="AJ728" t="s">
        <v>176</v>
      </c>
      <c r="AK728" t="s">
        <v>940</v>
      </c>
      <c r="AL728" t="s">
        <v>941</v>
      </c>
      <c r="AS728">
        <v>3350</v>
      </c>
      <c r="AT728">
        <v>3350</v>
      </c>
      <c r="BN728" t="s">
        <v>178</v>
      </c>
      <c r="BO728">
        <v>2</v>
      </c>
      <c r="BP728">
        <v>2</v>
      </c>
      <c r="BQ728">
        <v>31</v>
      </c>
      <c r="BR728" t="s">
        <v>1219</v>
      </c>
      <c r="BT728" t="s">
        <v>181</v>
      </c>
      <c r="BU728" s="1">
        <v>45505</v>
      </c>
      <c r="BV728">
        <v>35645</v>
      </c>
      <c r="BY728" t="s">
        <v>170</v>
      </c>
      <c r="CB728" t="s">
        <v>170</v>
      </c>
      <c r="CC728" t="s">
        <v>170</v>
      </c>
      <c r="CD728" t="s">
        <v>1417</v>
      </c>
      <c r="CE728" t="s">
        <v>170</v>
      </c>
      <c r="CG728" t="s">
        <v>169</v>
      </c>
      <c r="CH728" t="s">
        <v>314</v>
      </c>
      <c r="CI728" t="s">
        <v>169</v>
      </c>
      <c r="CJ728" t="s">
        <v>303</v>
      </c>
      <c r="DJ728" t="s">
        <v>184</v>
      </c>
      <c r="DK728" t="s">
        <v>185</v>
      </c>
      <c r="DN728" t="s">
        <v>170</v>
      </c>
      <c r="DO728" t="s">
        <v>186</v>
      </c>
      <c r="DP728" t="s">
        <v>169</v>
      </c>
      <c r="DQ728" t="s">
        <v>198</v>
      </c>
      <c r="DR728" t="s">
        <v>1411</v>
      </c>
      <c r="EB728">
        <v>4</v>
      </c>
      <c r="EC728">
        <v>4</v>
      </c>
      <c r="EE728" t="s">
        <v>1415</v>
      </c>
      <c r="EF728">
        <v>4</v>
      </c>
      <c r="EV728">
        <v>7250</v>
      </c>
      <c r="EW728">
        <v>520</v>
      </c>
      <c r="EX728">
        <v>381</v>
      </c>
      <c r="EY728">
        <v>466</v>
      </c>
    </row>
    <row r="729" spans="1:155" x14ac:dyDescent="0.35">
      <c r="A729">
        <v>2025</v>
      </c>
      <c r="B729" t="s">
        <v>299</v>
      </c>
      <c r="C729" t="s">
        <v>299</v>
      </c>
      <c r="D729" t="s">
        <v>1418</v>
      </c>
      <c r="E729" t="s">
        <v>301</v>
      </c>
      <c r="F729">
        <v>314</v>
      </c>
      <c r="G729">
        <v>2</v>
      </c>
      <c r="H729">
        <v>4</v>
      </c>
      <c r="I729" t="s">
        <v>209</v>
      </c>
      <c r="J729">
        <v>19</v>
      </c>
      <c r="K729">
        <v>25</v>
      </c>
      <c r="L729">
        <v>21</v>
      </c>
      <c r="M729">
        <v>24.185099999999998</v>
      </c>
      <c r="N729">
        <v>34.6</v>
      </c>
      <c r="O729">
        <v>27.974299999999999</v>
      </c>
      <c r="P729">
        <v>19.209099999999999</v>
      </c>
      <c r="Q729">
        <v>24.6279</v>
      </c>
      <c r="R729">
        <v>21.32</v>
      </c>
      <c r="T729" t="s">
        <v>165</v>
      </c>
      <c r="U729" t="s">
        <v>166</v>
      </c>
      <c r="V729" t="s">
        <v>211</v>
      </c>
      <c r="W729" t="s">
        <v>212</v>
      </c>
      <c r="Y729">
        <v>7</v>
      </c>
      <c r="Z729" t="s">
        <v>170</v>
      </c>
      <c r="AA729" t="s">
        <v>170</v>
      </c>
      <c r="AB729" t="s">
        <v>167</v>
      </c>
      <c r="AC729" t="s">
        <v>213</v>
      </c>
      <c r="AD729">
        <v>10</v>
      </c>
      <c r="AG729" t="s">
        <v>214</v>
      </c>
      <c r="AH729" t="s">
        <v>215</v>
      </c>
      <c r="AI729" t="s">
        <v>175</v>
      </c>
      <c r="AJ729" t="s">
        <v>176</v>
      </c>
      <c r="AK729" t="s">
        <v>940</v>
      </c>
      <c r="AL729" t="s">
        <v>941</v>
      </c>
      <c r="AS729">
        <v>3050</v>
      </c>
      <c r="AT729">
        <v>3050</v>
      </c>
      <c r="BN729" t="s">
        <v>178</v>
      </c>
      <c r="BO729">
        <v>2</v>
      </c>
      <c r="BP729">
        <v>2</v>
      </c>
      <c r="BQ729">
        <v>31</v>
      </c>
      <c r="BR729" t="s">
        <v>1219</v>
      </c>
      <c r="BT729" t="s">
        <v>181</v>
      </c>
      <c r="BU729" s="1">
        <v>45505</v>
      </c>
      <c r="BV729">
        <v>35644</v>
      </c>
      <c r="BY729" t="s">
        <v>170</v>
      </c>
      <c r="CB729" t="s">
        <v>170</v>
      </c>
      <c r="CC729" t="s">
        <v>170</v>
      </c>
      <c r="CD729" t="s">
        <v>1412</v>
      </c>
      <c r="CE729" t="s">
        <v>170</v>
      </c>
      <c r="CG729" t="s">
        <v>169</v>
      </c>
      <c r="CH729" t="s">
        <v>303</v>
      </c>
      <c r="CI729" t="s">
        <v>169</v>
      </c>
      <c r="CJ729" t="s">
        <v>303</v>
      </c>
      <c r="DJ729" t="s">
        <v>184</v>
      </c>
      <c r="DK729" t="s">
        <v>185</v>
      </c>
      <c r="DN729" t="s">
        <v>170</v>
      </c>
      <c r="DO729" t="s">
        <v>186</v>
      </c>
      <c r="DP729" t="s">
        <v>169</v>
      </c>
      <c r="DQ729" t="s">
        <v>198</v>
      </c>
      <c r="EB729">
        <v>4</v>
      </c>
      <c r="EC729">
        <v>4</v>
      </c>
      <c r="EE729" t="s">
        <v>1413</v>
      </c>
      <c r="EF729">
        <v>4</v>
      </c>
      <c r="EV729">
        <v>5750</v>
      </c>
      <c r="EW729">
        <v>463</v>
      </c>
      <c r="EX729">
        <v>361</v>
      </c>
      <c r="EY729">
        <v>417</v>
      </c>
    </row>
    <row r="730" spans="1:155" x14ac:dyDescent="0.35">
      <c r="A730">
        <v>2025</v>
      </c>
      <c r="B730" t="s">
        <v>299</v>
      </c>
      <c r="C730" t="s">
        <v>299</v>
      </c>
      <c r="D730" t="s">
        <v>879</v>
      </c>
      <c r="E730" t="s">
        <v>301</v>
      </c>
      <c r="F730">
        <v>601</v>
      </c>
      <c r="G730">
        <v>2.9</v>
      </c>
      <c r="H730">
        <v>6</v>
      </c>
      <c r="I730" t="s">
        <v>361</v>
      </c>
      <c r="J730">
        <v>18</v>
      </c>
      <c r="K730">
        <v>25</v>
      </c>
      <c r="L730">
        <v>21</v>
      </c>
      <c r="M730">
        <v>23.5</v>
      </c>
      <c r="N730">
        <v>36.299999999999997</v>
      </c>
      <c r="O730">
        <v>27.932200000000002</v>
      </c>
      <c r="P730">
        <v>18</v>
      </c>
      <c r="Q730">
        <v>25</v>
      </c>
      <c r="R730">
        <v>21.328800000000001</v>
      </c>
      <c r="T730" t="s">
        <v>165</v>
      </c>
      <c r="U730" t="s">
        <v>166</v>
      </c>
      <c r="V730" t="s">
        <v>211</v>
      </c>
      <c r="W730" t="s">
        <v>212</v>
      </c>
      <c r="Y730">
        <v>8</v>
      </c>
      <c r="Z730" t="s">
        <v>170</v>
      </c>
      <c r="AA730" t="s">
        <v>170</v>
      </c>
      <c r="AB730" t="s">
        <v>171</v>
      </c>
      <c r="AC730" t="s">
        <v>172</v>
      </c>
      <c r="AD730">
        <v>10</v>
      </c>
      <c r="AG730" t="s">
        <v>214</v>
      </c>
      <c r="AH730" t="s">
        <v>215</v>
      </c>
      <c r="AI730" t="s">
        <v>175</v>
      </c>
      <c r="AJ730" t="s">
        <v>176</v>
      </c>
      <c r="AK730" t="s">
        <v>170</v>
      </c>
      <c r="AL730" t="s">
        <v>177</v>
      </c>
      <c r="AQ730">
        <v>98</v>
      </c>
      <c r="AR730">
        <v>27</v>
      </c>
      <c r="AS730">
        <v>3050</v>
      </c>
      <c r="AT730">
        <v>3050</v>
      </c>
      <c r="BN730" t="s">
        <v>178</v>
      </c>
      <c r="BO730">
        <v>2</v>
      </c>
      <c r="BP730">
        <v>2</v>
      </c>
      <c r="BQ730">
        <v>6</v>
      </c>
      <c r="BR730" t="s">
        <v>825</v>
      </c>
      <c r="BS730" t="s">
        <v>180</v>
      </c>
      <c r="BT730" t="s">
        <v>181</v>
      </c>
      <c r="BU730" s="1">
        <v>45495</v>
      </c>
      <c r="BV730">
        <v>35169</v>
      </c>
      <c r="BY730" t="s">
        <v>170</v>
      </c>
      <c r="CB730" t="s">
        <v>170</v>
      </c>
      <c r="CC730" t="s">
        <v>170</v>
      </c>
      <c r="CE730" t="s">
        <v>170</v>
      </c>
      <c r="CG730" t="s">
        <v>169</v>
      </c>
      <c r="CH730" t="s">
        <v>314</v>
      </c>
      <c r="CI730" t="s">
        <v>169</v>
      </c>
      <c r="CJ730" t="s">
        <v>303</v>
      </c>
      <c r="DJ730" t="s">
        <v>184</v>
      </c>
      <c r="DK730" t="s">
        <v>185</v>
      </c>
      <c r="DN730" t="s">
        <v>170</v>
      </c>
      <c r="DO730" t="s">
        <v>186</v>
      </c>
      <c r="DP730" t="s">
        <v>169</v>
      </c>
      <c r="DQ730" t="s">
        <v>198</v>
      </c>
      <c r="DY730">
        <v>28.1</v>
      </c>
      <c r="EB730">
        <v>4</v>
      </c>
      <c r="EC730">
        <v>4</v>
      </c>
      <c r="EE730" t="s">
        <v>880</v>
      </c>
      <c r="EF730">
        <v>5</v>
      </c>
      <c r="EV730">
        <v>5750</v>
      </c>
      <c r="EW730">
        <v>493</v>
      </c>
      <c r="EX730">
        <v>355</v>
      </c>
      <c r="EY730">
        <v>431</v>
      </c>
    </row>
    <row r="731" spans="1:155" x14ac:dyDescent="0.35">
      <c r="A731">
        <v>2025</v>
      </c>
      <c r="B731" t="s">
        <v>299</v>
      </c>
      <c r="C731" t="s">
        <v>299</v>
      </c>
      <c r="D731" t="s">
        <v>881</v>
      </c>
      <c r="E731" t="s">
        <v>301</v>
      </c>
      <c r="F731">
        <v>630</v>
      </c>
      <c r="G731">
        <v>2.9</v>
      </c>
      <c r="H731">
        <v>6</v>
      </c>
      <c r="I731" t="s">
        <v>361</v>
      </c>
      <c r="J731">
        <v>18</v>
      </c>
      <c r="K731">
        <v>25</v>
      </c>
      <c r="L731">
        <v>21</v>
      </c>
      <c r="M731">
        <v>23.7</v>
      </c>
      <c r="N731">
        <v>36.700000000000003</v>
      </c>
      <c r="O731">
        <v>28.194199999999999</v>
      </c>
      <c r="P731">
        <v>18</v>
      </c>
      <c r="Q731">
        <v>25</v>
      </c>
      <c r="R731">
        <v>21</v>
      </c>
      <c r="T731" t="s">
        <v>165</v>
      </c>
      <c r="U731" t="s">
        <v>166</v>
      </c>
      <c r="V731" t="s">
        <v>211</v>
      </c>
      <c r="W731" t="s">
        <v>212</v>
      </c>
      <c r="Y731">
        <v>8</v>
      </c>
      <c r="Z731" t="s">
        <v>170</v>
      </c>
      <c r="AA731" t="s">
        <v>170</v>
      </c>
      <c r="AB731" t="s">
        <v>167</v>
      </c>
      <c r="AC731" t="s">
        <v>213</v>
      </c>
      <c r="AD731">
        <v>10</v>
      </c>
      <c r="AG731" t="s">
        <v>214</v>
      </c>
      <c r="AH731" t="s">
        <v>215</v>
      </c>
      <c r="AI731" t="s">
        <v>175</v>
      </c>
      <c r="AJ731" t="s">
        <v>176</v>
      </c>
      <c r="AK731" t="s">
        <v>170</v>
      </c>
      <c r="AL731" t="s">
        <v>177</v>
      </c>
      <c r="AQ731">
        <v>98</v>
      </c>
      <c r="AR731">
        <v>27</v>
      </c>
      <c r="AS731">
        <v>3050</v>
      </c>
      <c r="AT731">
        <v>3050</v>
      </c>
      <c r="BN731" t="s">
        <v>178</v>
      </c>
      <c r="BO731">
        <v>2</v>
      </c>
      <c r="BP731">
        <v>2</v>
      </c>
      <c r="BQ731">
        <v>6</v>
      </c>
      <c r="BR731" t="s">
        <v>825</v>
      </c>
      <c r="BS731" t="s">
        <v>180</v>
      </c>
      <c r="BT731" t="s">
        <v>181</v>
      </c>
      <c r="BU731" s="1">
        <v>45495</v>
      </c>
      <c r="BV731">
        <v>35199</v>
      </c>
      <c r="BY731" t="s">
        <v>170</v>
      </c>
      <c r="CB731" t="s">
        <v>170</v>
      </c>
      <c r="CC731" t="s">
        <v>170</v>
      </c>
      <c r="CE731" t="s">
        <v>170</v>
      </c>
      <c r="CG731" t="s">
        <v>169</v>
      </c>
      <c r="CH731" t="s">
        <v>314</v>
      </c>
      <c r="CI731" t="s">
        <v>169</v>
      </c>
      <c r="CJ731" t="s">
        <v>303</v>
      </c>
      <c r="DJ731" t="s">
        <v>184</v>
      </c>
      <c r="DK731" t="s">
        <v>185</v>
      </c>
      <c r="DN731" t="s">
        <v>170</v>
      </c>
      <c r="DO731" t="s">
        <v>186</v>
      </c>
      <c r="DP731" t="s">
        <v>169</v>
      </c>
      <c r="DQ731" t="s">
        <v>198</v>
      </c>
      <c r="DY731">
        <v>27.3</v>
      </c>
      <c r="EB731">
        <v>4</v>
      </c>
      <c r="EC731">
        <v>4</v>
      </c>
      <c r="EE731" t="s">
        <v>880</v>
      </c>
      <c r="EF731">
        <v>5</v>
      </c>
      <c r="EV731">
        <v>5750</v>
      </c>
      <c r="EW731">
        <v>496</v>
      </c>
      <c r="EX731">
        <v>356</v>
      </c>
      <c r="EY731">
        <v>425</v>
      </c>
    </row>
    <row r="732" spans="1:155" x14ac:dyDescent="0.35">
      <c r="A732">
        <v>2025</v>
      </c>
      <c r="B732" t="s">
        <v>299</v>
      </c>
      <c r="C732" t="s">
        <v>299</v>
      </c>
      <c r="D732" t="s">
        <v>882</v>
      </c>
      <c r="E732" t="s">
        <v>301</v>
      </c>
      <c r="F732">
        <v>670</v>
      </c>
      <c r="G732">
        <v>4</v>
      </c>
      <c r="H732">
        <v>8</v>
      </c>
      <c r="I732" t="s">
        <v>361</v>
      </c>
      <c r="J732">
        <v>16</v>
      </c>
      <c r="K732">
        <v>24</v>
      </c>
      <c r="L732">
        <v>18</v>
      </c>
      <c r="M732">
        <v>19.809000000000001</v>
      </c>
      <c r="N732">
        <v>33.609000000000002</v>
      </c>
      <c r="O732">
        <v>24.2987</v>
      </c>
      <c r="P732">
        <v>15.9603</v>
      </c>
      <c r="Q732">
        <v>23.976500000000001</v>
      </c>
      <c r="R732">
        <v>18</v>
      </c>
      <c r="T732" t="s">
        <v>165</v>
      </c>
      <c r="U732" t="s">
        <v>166</v>
      </c>
      <c r="V732" t="s">
        <v>211</v>
      </c>
      <c r="W732" t="s">
        <v>212</v>
      </c>
      <c r="Y732">
        <v>8</v>
      </c>
      <c r="Z732" t="s">
        <v>170</v>
      </c>
      <c r="AA732" t="s">
        <v>170</v>
      </c>
      <c r="AB732" t="s">
        <v>167</v>
      </c>
      <c r="AC732" t="s">
        <v>213</v>
      </c>
      <c r="AD732">
        <v>10</v>
      </c>
      <c r="AG732" t="s">
        <v>214</v>
      </c>
      <c r="AH732" t="s">
        <v>215</v>
      </c>
      <c r="AI732" t="s">
        <v>175</v>
      </c>
      <c r="AJ732" t="s">
        <v>176</v>
      </c>
      <c r="AK732" t="s">
        <v>170</v>
      </c>
      <c r="AL732" t="s">
        <v>177</v>
      </c>
      <c r="AQ732">
        <v>98</v>
      </c>
      <c r="AR732">
        <v>27</v>
      </c>
      <c r="AS732">
        <v>3550</v>
      </c>
      <c r="AT732">
        <v>3550</v>
      </c>
      <c r="BN732" t="s">
        <v>178</v>
      </c>
      <c r="BO732">
        <v>2</v>
      </c>
      <c r="BP732">
        <v>2</v>
      </c>
      <c r="BQ732">
        <v>6</v>
      </c>
      <c r="BR732" t="s">
        <v>825</v>
      </c>
      <c r="BS732" t="s">
        <v>180</v>
      </c>
      <c r="BT732" t="s">
        <v>181</v>
      </c>
      <c r="BU732" s="1">
        <v>45709</v>
      </c>
      <c r="BV732">
        <v>36090</v>
      </c>
      <c r="BY732" t="s">
        <v>170</v>
      </c>
      <c r="CB732" t="s">
        <v>170</v>
      </c>
      <c r="CC732" t="s">
        <v>170</v>
      </c>
      <c r="CE732" t="s">
        <v>169</v>
      </c>
      <c r="CF732" t="s">
        <v>883</v>
      </c>
      <c r="CG732" t="s">
        <v>169</v>
      </c>
      <c r="CH732" t="s">
        <v>314</v>
      </c>
      <c r="CI732" t="s">
        <v>169</v>
      </c>
      <c r="CJ732" t="s">
        <v>303</v>
      </c>
      <c r="DJ732" t="s">
        <v>184</v>
      </c>
      <c r="DK732" t="s">
        <v>185</v>
      </c>
      <c r="DN732" t="s">
        <v>170</v>
      </c>
      <c r="DO732" t="s">
        <v>186</v>
      </c>
      <c r="DP732" t="s">
        <v>169</v>
      </c>
      <c r="DQ732" t="s">
        <v>198</v>
      </c>
      <c r="DY732">
        <v>24.5</v>
      </c>
      <c r="EB732">
        <v>4</v>
      </c>
      <c r="EC732">
        <v>4</v>
      </c>
      <c r="EE732" t="s">
        <v>884</v>
      </c>
      <c r="EF732">
        <v>4</v>
      </c>
      <c r="EV732">
        <v>8250</v>
      </c>
      <c r="EW732">
        <v>557</v>
      </c>
      <c r="EX732">
        <v>372</v>
      </c>
      <c r="EY732">
        <v>495</v>
      </c>
    </row>
    <row r="733" spans="1:155" x14ac:dyDescent="0.35">
      <c r="A733">
        <v>2025</v>
      </c>
      <c r="B733" t="s">
        <v>668</v>
      </c>
      <c r="C733" t="s">
        <v>999</v>
      </c>
      <c r="D733" t="s">
        <v>1000</v>
      </c>
      <c r="E733" t="s">
        <v>671</v>
      </c>
      <c r="F733">
        <v>500</v>
      </c>
      <c r="G733">
        <v>3</v>
      </c>
      <c r="H733">
        <v>6</v>
      </c>
      <c r="I733" t="s">
        <v>164</v>
      </c>
      <c r="J733">
        <v>18</v>
      </c>
      <c r="K733">
        <v>25</v>
      </c>
      <c r="L733">
        <v>21</v>
      </c>
      <c r="M733">
        <v>22.4</v>
      </c>
      <c r="N733">
        <v>35.1</v>
      </c>
      <c r="O733">
        <v>26.756499999999999</v>
      </c>
      <c r="P733">
        <v>17.895099999999999</v>
      </c>
      <c r="Q733">
        <v>24.955500000000001</v>
      </c>
      <c r="R733">
        <v>20.505800000000001</v>
      </c>
      <c r="T733" t="s">
        <v>165</v>
      </c>
      <c r="U733" t="s">
        <v>166</v>
      </c>
      <c r="V733" t="s">
        <v>167</v>
      </c>
      <c r="W733" t="s">
        <v>168</v>
      </c>
      <c r="Y733">
        <v>8</v>
      </c>
      <c r="Z733" t="s">
        <v>169</v>
      </c>
      <c r="AA733" t="s">
        <v>170</v>
      </c>
      <c r="AB733" t="s">
        <v>171</v>
      </c>
      <c r="AC733" t="s">
        <v>172</v>
      </c>
      <c r="AD733">
        <v>10</v>
      </c>
      <c r="AG733" t="s">
        <v>210</v>
      </c>
      <c r="AH733" t="s">
        <v>444</v>
      </c>
      <c r="AI733" t="s">
        <v>175</v>
      </c>
      <c r="AJ733" t="s">
        <v>176</v>
      </c>
      <c r="AK733" t="s">
        <v>940</v>
      </c>
      <c r="AL733" t="s">
        <v>941</v>
      </c>
      <c r="AS733">
        <v>2500</v>
      </c>
      <c r="AT733">
        <v>2500</v>
      </c>
      <c r="BN733" t="s">
        <v>178</v>
      </c>
      <c r="BO733">
        <v>2</v>
      </c>
      <c r="BP733">
        <v>2</v>
      </c>
      <c r="BQ733">
        <v>12</v>
      </c>
      <c r="BR733" t="s">
        <v>971</v>
      </c>
      <c r="BT733" t="s">
        <v>181</v>
      </c>
      <c r="BU733" s="1">
        <v>45352</v>
      </c>
      <c r="BV733">
        <v>34469</v>
      </c>
      <c r="BX733" t="s">
        <v>170</v>
      </c>
      <c r="BY733" t="s">
        <v>170</v>
      </c>
      <c r="CB733" t="s">
        <v>170</v>
      </c>
      <c r="CC733" t="s">
        <v>170</v>
      </c>
      <c r="CD733" t="s">
        <v>1001</v>
      </c>
      <c r="CE733" t="s">
        <v>170</v>
      </c>
      <c r="CG733" t="s">
        <v>169</v>
      </c>
      <c r="CH733" t="s">
        <v>1002</v>
      </c>
      <c r="CI733" t="s">
        <v>170</v>
      </c>
      <c r="DJ733" t="s">
        <v>184</v>
      </c>
      <c r="DK733" t="s">
        <v>185</v>
      </c>
      <c r="DN733" t="s">
        <v>170</v>
      </c>
      <c r="DO733" t="s">
        <v>1003</v>
      </c>
      <c r="DP733" t="s">
        <v>169</v>
      </c>
      <c r="DQ733" t="s">
        <v>198</v>
      </c>
      <c r="EB733">
        <v>4</v>
      </c>
      <c r="EC733">
        <v>4</v>
      </c>
      <c r="EE733" t="s">
        <v>1004</v>
      </c>
      <c r="EF733">
        <v>6</v>
      </c>
      <c r="EV733">
        <v>3000</v>
      </c>
      <c r="EW733">
        <v>497</v>
      </c>
      <c r="EX733">
        <v>356</v>
      </c>
      <c r="EY733">
        <v>433</v>
      </c>
    </row>
    <row r="734" spans="1:155" x14ac:dyDescent="0.35">
      <c r="A734">
        <v>2025</v>
      </c>
      <c r="B734" t="s">
        <v>668</v>
      </c>
      <c r="C734" t="s">
        <v>999</v>
      </c>
      <c r="D734" t="s">
        <v>1000</v>
      </c>
      <c r="E734" t="s">
        <v>671</v>
      </c>
      <c r="F734">
        <v>501</v>
      </c>
      <c r="G734">
        <v>3.6</v>
      </c>
      <c r="H734">
        <v>6</v>
      </c>
      <c r="I734" t="s">
        <v>164</v>
      </c>
      <c r="J734">
        <v>20</v>
      </c>
      <c r="K734">
        <v>25</v>
      </c>
      <c r="L734">
        <v>22</v>
      </c>
      <c r="M734">
        <v>24.8491</v>
      </c>
      <c r="N734">
        <v>35.297499999999999</v>
      </c>
      <c r="O734">
        <v>28.6678</v>
      </c>
      <c r="P734">
        <v>19.693999999999999</v>
      </c>
      <c r="Q734">
        <v>25.084700000000002</v>
      </c>
      <c r="R734">
        <v>21.802399999999999</v>
      </c>
      <c r="U734" t="s">
        <v>224</v>
      </c>
      <c r="V734" t="s">
        <v>167</v>
      </c>
      <c r="W734" t="s">
        <v>168</v>
      </c>
      <c r="Y734">
        <v>8</v>
      </c>
      <c r="Z734" t="s">
        <v>169</v>
      </c>
      <c r="AA734" t="s">
        <v>170</v>
      </c>
      <c r="AB734" t="s">
        <v>171</v>
      </c>
      <c r="AC734" t="s">
        <v>172</v>
      </c>
      <c r="AD734">
        <v>10</v>
      </c>
      <c r="AG734" t="s">
        <v>210</v>
      </c>
      <c r="AH734" t="s">
        <v>444</v>
      </c>
      <c r="AI734" t="s">
        <v>175</v>
      </c>
      <c r="AJ734" t="s">
        <v>176</v>
      </c>
      <c r="AK734" t="s">
        <v>940</v>
      </c>
      <c r="AL734" t="s">
        <v>941</v>
      </c>
      <c r="AS734">
        <v>2400</v>
      </c>
      <c r="AT734">
        <v>2400</v>
      </c>
      <c r="BN734" t="s">
        <v>336</v>
      </c>
      <c r="BO734">
        <v>2</v>
      </c>
      <c r="BP734">
        <v>2</v>
      </c>
      <c r="BQ734">
        <v>12</v>
      </c>
      <c r="BR734" t="s">
        <v>971</v>
      </c>
      <c r="BT734" t="s">
        <v>181</v>
      </c>
      <c r="BU734" s="1">
        <v>45352</v>
      </c>
      <c r="BV734">
        <v>34386</v>
      </c>
      <c r="BX734" t="s">
        <v>170</v>
      </c>
      <c r="BY734" t="s">
        <v>170</v>
      </c>
      <c r="CB734" t="s">
        <v>170</v>
      </c>
      <c r="CC734" t="s">
        <v>170</v>
      </c>
      <c r="CE734" t="s">
        <v>170</v>
      </c>
      <c r="CG734" t="s">
        <v>169</v>
      </c>
      <c r="CH734" t="s">
        <v>240</v>
      </c>
      <c r="CI734" t="s">
        <v>170</v>
      </c>
      <c r="CK734" t="s">
        <v>233</v>
      </c>
      <c r="CM734">
        <v>1</v>
      </c>
      <c r="CN734" t="s">
        <v>234</v>
      </c>
      <c r="CP734">
        <v>48</v>
      </c>
      <c r="CQ734">
        <v>9.8000000000000007</v>
      </c>
      <c r="CR734">
        <v>42</v>
      </c>
      <c r="CS734" t="s">
        <v>235</v>
      </c>
      <c r="CV734" t="s">
        <v>341</v>
      </c>
      <c r="CX734" t="s">
        <v>342</v>
      </c>
      <c r="CY734" t="s">
        <v>170</v>
      </c>
      <c r="DD734">
        <v>1</v>
      </c>
      <c r="DE734" t="s">
        <v>237</v>
      </c>
      <c r="DG734">
        <v>11</v>
      </c>
      <c r="DJ734" t="s">
        <v>449</v>
      </c>
      <c r="DK734" t="s">
        <v>450</v>
      </c>
      <c r="DL734" t="s">
        <v>170</v>
      </c>
      <c r="DM734" t="s">
        <v>170</v>
      </c>
      <c r="DN734" t="s">
        <v>170</v>
      </c>
      <c r="DO734" t="s">
        <v>295</v>
      </c>
      <c r="DP734" t="s">
        <v>169</v>
      </c>
      <c r="DQ734" t="s">
        <v>198</v>
      </c>
      <c r="EB734">
        <v>5</v>
      </c>
      <c r="EC734">
        <v>5</v>
      </c>
      <c r="EE734" t="s">
        <v>1005</v>
      </c>
      <c r="EF734">
        <v>6</v>
      </c>
      <c r="EV734">
        <v>2500</v>
      </c>
      <c r="EW734">
        <v>451</v>
      </c>
      <c r="EX734">
        <v>353</v>
      </c>
      <c r="EY734">
        <v>407</v>
      </c>
    </row>
    <row r="735" spans="1:155" x14ac:dyDescent="0.35">
      <c r="A735">
        <v>2025</v>
      </c>
      <c r="B735" t="s">
        <v>668</v>
      </c>
      <c r="C735" t="s">
        <v>999</v>
      </c>
      <c r="D735" t="s">
        <v>1056</v>
      </c>
      <c r="E735" t="s">
        <v>671</v>
      </c>
      <c r="F735">
        <v>504</v>
      </c>
      <c r="G735">
        <v>3</v>
      </c>
      <c r="H735">
        <v>6</v>
      </c>
      <c r="I735" t="s">
        <v>164</v>
      </c>
      <c r="J735">
        <v>17</v>
      </c>
      <c r="K735">
        <v>24</v>
      </c>
      <c r="L735">
        <v>19</v>
      </c>
      <c r="M735">
        <v>20.9</v>
      </c>
      <c r="N735">
        <v>33.700000000000003</v>
      </c>
      <c r="O735">
        <v>25.2087</v>
      </c>
      <c r="P735">
        <v>16.779</v>
      </c>
      <c r="Q735">
        <v>24.0365</v>
      </c>
      <c r="R735">
        <v>19.417300000000001</v>
      </c>
      <c r="T735" t="s">
        <v>165</v>
      </c>
      <c r="U735" t="s">
        <v>166</v>
      </c>
      <c r="V735" t="s">
        <v>167</v>
      </c>
      <c r="W735" t="s">
        <v>168</v>
      </c>
      <c r="Y735">
        <v>8</v>
      </c>
      <c r="Z735" t="s">
        <v>169</v>
      </c>
      <c r="AA735" t="s">
        <v>170</v>
      </c>
      <c r="AB735">
        <v>4</v>
      </c>
      <c r="AC735" t="s">
        <v>601</v>
      </c>
      <c r="AD735">
        <v>10</v>
      </c>
      <c r="AG735" t="s">
        <v>210</v>
      </c>
      <c r="AH735" t="s">
        <v>444</v>
      </c>
      <c r="AI735" t="s">
        <v>175</v>
      </c>
      <c r="AJ735" t="s">
        <v>176</v>
      </c>
      <c r="AK735" t="s">
        <v>940</v>
      </c>
      <c r="AL735" t="s">
        <v>941</v>
      </c>
      <c r="AS735">
        <v>2750</v>
      </c>
      <c r="AT735">
        <v>2750</v>
      </c>
      <c r="BN735" t="s">
        <v>178</v>
      </c>
      <c r="BO735">
        <v>2</v>
      </c>
      <c r="BP735">
        <v>2</v>
      </c>
      <c r="BQ735">
        <v>13</v>
      </c>
      <c r="BR735" t="s">
        <v>1016</v>
      </c>
      <c r="BT735" t="s">
        <v>181</v>
      </c>
      <c r="BU735" s="1">
        <v>45352</v>
      </c>
      <c r="BV735">
        <v>34384</v>
      </c>
      <c r="BX735" t="s">
        <v>170</v>
      </c>
      <c r="BY735" t="s">
        <v>170</v>
      </c>
      <c r="CB735" t="s">
        <v>170</v>
      </c>
      <c r="CC735" t="s">
        <v>170</v>
      </c>
      <c r="CD735" t="s">
        <v>1001</v>
      </c>
      <c r="CE735" t="s">
        <v>170</v>
      </c>
      <c r="CG735" t="s">
        <v>169</v>
      </c>
      <c r="CH735" t="s">
        <v>1002</v>
      </c>
      <c r="CI735" t="s">
        <v>170</v>
      </c>
      <c r="DJ735" t="s">
        <v>184</v>
      </c>
      <c r="DK735" t="s">
        <v>185</v>
      </c>
      <c r="DN735" t="s">
        <v>170</v>
      </c>
      <c r="DO735" t="s">
        <v>1003</v>
      </c>
      <c r="DP735" t="s">
        <v>169</v>
      </c>
      <c r="DQ735" t="s">
        <v>198</v>
      </c>
      <c r="EB735">
        <v>4</v>
      </c>
      <c r="EC735">
        <v>4</v>
      </c>
      <c r="EE735" t="s">
        <v>1004</v>
      </c>
      <c r="EF735">
        <v>6</v>
      </c>
      <c r="EV735">
        <v>4250</v>
      </c>
      <c r="EW735">
        <v>529</v>
      </c>
      <c r="EX735">
        <v>370</v>
      </c>
      <c r="EY735">
        <v>458</v>
      </c>
    </row>
    <row r="736" spans="1:155" x14ac:dyDescent="0.35">
      <c r="A736">
        <v>2025</v>
      </c>
      <c r="B736" t="s">
        <v>668</v>
      </c>
      <c r="C736" t="s">
        <v>999</v>
      </c>
      <c r="D736" t="s">
        <v>1056</v>
      </c>
      <c r="E736" t="s">
        <v>671</v>
      </c>
      <c r="F736">
        <v>505</v>
      </c>
      <c r="G736">
        <v>3.6</v>
      </c>
      <c r="H736">
        <v>6</v>
      </c>
      <c r="I736" t="s">
        <v>164</v>
      </c>
      <c r="J736">
        <v>19</v>
      </c>
      <c r="K736">
        <v>24</v>
      </c>
      <c r="L736">
        <v>21</v>
      </c>
      <c r="M736">
        <v>24.417000000000002</v>
      </c>
      <c r="N736">
        <v>33.921199999999999</v>
      </c>
      <c r="O736">
        <v>27.939699999999998</v>
      </c>
      <c r="P736">
        <v>19.378699999999998</v>
      </c>
      <c r="Q736">
        <v>24.182099999999998</v>
      </c>
      <c r="R736">
        <v>21.280899999999999</v>
      </c>
      <c r="U736" t="s">
        <v>224</v>
      </c>
      <c r="V736" t="s">
        <v>167</v>
      </c>
      <c r="W736" t="s">
        <v>168</v>
      </c>
      <c r="Y736">
        <v>8</v>
      </c>
      <c r="Z736" t="s">
        <v>169</v>
      </c>
      <c r="AA736" t="s">
        <v>170</v>
      </c>
      <c r="AB736">
        <v>4</v>
      </c>
      <c r="AC736" t="s">
        <v>601</v>
      </c>
      <c r="AD736">
        <v>10</v>
      </c>
      <c r="AG736" t="s">
        <v>210</v>
      </c>
      <c r="AH736" t="s">
        <v>444</v>
      </c>
      <c r="AI736" t="s">
        <v>175</v>
      </c>
      <c r="AJ736" t="s">
        <v>176</v>
      </c>
      <c r="AK736" t="s">
        <v>940</v>
      </c>
      <c r="AL736" t="s">
        <v>941</v>
      </c>
      <c r="AS736">
        <v>2500</v>
      </c>
      <c r="AT736">
        <v>2500</v>
      </c>
      <c r="BN736" t="s">
        <v>336</v>
      </c>
      <c r="BO736">
        <v>2</v>
      </c>
      <c r="BP736">
        <v>2</v>
      </c>
      <c r="BQ736">
        <v>13</v>
      </c>
      <c r="BR736" t="s">
        <v>1016</v>
      </c>
      <c r="BT736" t="s">
        <v>181</v>
      </c>
      <c r="BU736" s="1">
        <v>45352</v>
      </c>
      <c r="BV736">
        <v>34385</v>
      </c>
      <c r="BX736" t="s">
        <v>170</v>
      </c>
      <c r="BY736" t="s">
        <v>170</v>
      </c>
      <c r="CB736" t="s">
        <v>170</v>
      </c>
      <c r="CC736" t="s">
        <v>170</v>
      </c>
      <c r="CE736" t="s">
        <v>170</v>
      </c>
      <c r="CG736" t="s">
        <v>169</v>
      </c>
      <c r="CH736" t="s">
        <v>240</v>
      </c>
      <c r="CI736" t="s">
        <v>170</v>
      </c>
      <c r="CK736" t="s">
        <v>233</v>
      </c>
      <c r="CM736">
        <v>1</v>
      </c>
      <c r="CN736" t="s">
        <v>234</v>
      </c>
      <c r="CP736">
        <v>48</v>
      </c>
      <c r="CQ736">
        <v>9.8000000000000007</v>
      </c>
      <c r="CR736">
        <v>42</v>
      </c>
      <c r="CS736" t="s">
        <v>235</v>
      </c>
      <c r="CV736" t="s">
        <v>341</v>
      </c>
      <c r="CX736" t="s">
        <v>342</v>
      </c>
      <c r="CY736" t="s">
        <v>170</v>
      </c>
      <c r="DD736">
        <v>1</v>
      </c>
      <c r="DE736" t="s">
        <v>237</v>
      </c>
      <c r="DG736">
        <v>11</v>
      </c>
      <c r="DJ736" t="s">
        <v>449</v>
      </c>
      <c r="DK736" t="s">
        <v>450</v>
      </c>
      <c r="DL736" t="s">
        <v>170</v>
      </c>
      <c r="DM736" t="s">
        <v>170</v>
      </c>
      <c r="DN736" t="s">
        <v>170</v>
      </c>
      <c r="DO736" t="s">
        <v>295</v>
      </c>
      <c r="DP736" t="s">
        <v>169</v>
      </c>
      <c r="DQ736" t="s">
        <v>198</v>
      </c>
      <c r="EB736">
        <v>4</v>
      </c>
      <c r="EC736">
        <v>4</v>
      </c>
      <c r="EE736" t="s">
        <v>1005</v>
      </c>
      <c r="EF736">
        <v>6</v>
      </c>
      <c r="EV736">
        <v>3000</v>
      </c>
      <c r="EW736">
        <v>458</v>
      </c>
      <c r="EX736">
        <v>367</v>
      </c>
      <c r="EY736">
        <v>417</v>
      </c>
    </row>
    <row r="737" spans="1:155" x14ac:dyDescent="0.35">
      <c r="A737">
        <v>2025</v>
      </c>
      <c r="B737" t="s">
        <v>668</v>
      </c>
      <c r="C737" t="s">
        <v>999</v>
      </c>
      <c r="D737" t="s">
        <v>1006</v>
      </c>
      <c r="E737" t="s">
        <v>671</v>
      </c>
      <c r="F737">
        <v>503</v>
      </c>
      <c r="G737">
        <v>3.6</v>
      </c>
      <c r="H737">
        <v>6</v>
      </c>
      <c r="I737" t="s">
        <v>164</v>
      </c>
      <c r="J737">
        <v>20</v>
      </c>
      <c r="K737">
        <v>26</v>
      </c>
      <c r="L737">
        <v>23</v>
      </c>
      <c r="M737">
        <v>25.7</v>
      </c>
      <c r="N737">
        <v>37</v>
      </c>
      <c r="O737">
        <v>29.794799999999999</v>
      </c>
      <c r="P737">
        <v>20.3124</v>
      </c>
      <c r="Q737">
        <v>26.1934</v>
      </c>
      <c r="R737">
        <v>22.595300000000002</v>
      </c>
      <c r="U737" t="s">
        <v>224</v>
      </c>
      <c r="V737" t="s">
        <v>167</v>
      </c>
      <c r="W737" t="s">
        <v>168</v>
      </c>
      <c r="Y737">
        <v>8</v>
      </c>
      <c r="Z737" t="s">
        <v>169</v>
      </c>
      <c r="AA737" t="s">
        <v>170</v>
      </c>
      <c r="AB737" t="s">
        <v>171</v>
      </c>
      <c r="AC737" t="s">
        <v>172</v>
      </c>
      <c r="AD737">
        <v>10</v>
      </c>
      <c r="AG737" t="s">
        <v>210</v>
      </c>
      <c r="AH737" t="s">
        <v>444</v>
      </c>
      <c r="AI737" t="s">
        <v>175</v>
      </c>
      <c r="AJ737" t="s">
        <v>176</v>
      </c>
      <c r="AK737" t="s">
        <v>940</v>
      </c>
      <c r="AL737" t="s">
        <v>941</v>
      </c>
      <c r="AS737">
        <v>2300</v>
      </c>
      <c r="AT737">
        <v>2300</v>
      </c>
      <c r="BN737" t="s">
        <v>336</v>
      </c>
      <c r="BO737">
        <v>2</v>
      </c>
      <c r="BP737">
        <v>2</v>
      </c>
      <c r="BQ737">
        <v>12</v>
      </c>
      <c r="BR737" t="s">
        <v>971</v>
      </c>
      <c r="BT737" t="s">
        <v>181</v>
      </c>
      <c r="BU737" s="1">
        <v>45352</v>
      </c>
      <c r="BV737">
        <v>34387</v>
      </c>
      <c r="BX737" t="s">
        <v>170</v>
      </c>
      <c r="BY737" t="s">
        <v>170</v>
      </c>
      <c r="CB737" t="s">
        <v>170</v>
      </c>
      <c r="CC737" t="s">
        <v>170</v>
      </c>
      <c r="CE737" t="s">
        <v>170</v>
      </c>
      <c r="CG737" t="s">
        <v>169</v>
      </c>
      <c r="CH737" t="s">
        <v>240</v>
      </c>
      <c r="CI737" t="s">
        <v>170</v>
      </c>
      <c r="CK737" t="s">
        <v>233</v>
      </c>
      <c r="CM737">
        <v>1</v>
      </c>
      <c r="CN737" t="s">
        <v>234</v>
      </c>
      <c r="CP737">
        <v>48</v>
      </c>
      <c r="CQ737">
        <v>9.8000000000000007</v>
      </c>
      <c r="CR737">
        <v>42</v>
      </c>
      <c r="CS737" t="s">
        <v>235</v>
      </c>
      <c r="CV737" t="s">
        <v>341</v>
      </c>
      <c r="CX737" t="s">
        <v>342</v>
      </c>
      <c r="CY737" t="s">
        <v>170</v>
      </c>
      <c r="DD737">
        <v>1</v>
      </c>
      <c r="DE737" t="s">
        <v>237</v>
      </c>
      <c r="DG737">
        <v>11</v>
      </c>
      <c r="DJ737" t="s">
        <v>449</v>
      </c>
      <c r="DK737" t="s">
        <v>450</v>
      </c>
      <c r="DL737" t="s">
        <v>170</v>
      </c>
      <c r="DM737" t="s">
        <v>170</v>
      </c>
      <c r="DN737" t="s">
        <v>170</v>
      </c>
      <c r="DO737" t="s">
        <v>295</v>
      </c>
      <c r="DP737" t="s">
        <v>169</v>
      </c>
      <c r="DQ737" t="s">
        <v>198</v>
      </c>
      <c r="EB737">
        <v>5</v>
      </c>
      <c r="EC737">
        <v>5</v>
      </c>
      <c r="EE737" t="s">
        <v>1005</v>
      </c>
      <c r="EF737">
        <v>6</v>
      </c>
      <c r="EV737">
        <v>2000</v>
      </c>
      <c r="EW737">
        <v>438</v>
      </c>
      <c r="EX737">
        <v>340</v>
      </c>
      <c r="EY737">
        <v>394</v>
      </c>
    </row>
    <row r="738" spans="1:155" x14ac:dyDescent="0.35">
      <c r="A738">
        <v>2025</v>
      </c>
      <c r="B738" t="s">
        <v>668</v>
      </c>
      <c r="C738" t="s">
        <v>999</v>
      </c>
      <c r="D738" t="s">
        <v>1057</v>
      </c>
      <c r="E738" t="s">
        <v>671</v>
      </c>
      <c r="F738">
        <v>509</v>
      </c>
      <c r="G738">
        <v>3</v>
      </c>
      <c r="H738">
        <v>6</v>
      </c>
      <c r="I738" t="s">
        <v>164</v>
      </c>
      <c r="J738">
        <v>15</v>
      </c>
      <c r="K738">
        <v>21</v>
      </c>
      <c r="L738">
        <v>17</v>
      </c>
      <c r="M738">
        <v>18.5</v>
      </c>
      <c r="N738">
        <v>28.4</v>
      </c>
      <c r="O738">
        <v>21.942</v>
      </c>
      <c r="P738">
        <v>14.9703</v>
      </c>
      <c r="Q738">
        <v>20.503599999999999</v>
      </c>
      <c r="R738">
        <v>17.0396</v>
      </c>
      <c r="T738" t="s">
        <v>165</v>
      </c>
      <c r="U738" t="s">
        <v>166</v>
      </c>
      <c r="V738" t="s">
        <v>167</v>
      </c>
      <c r="W738" t="s">
        <v>168</v>
      </c>
      <c r="Y738">
        <v>8</v>
      </c>
      <c r="Z738" t="s">
        <v>169</v>
      </c>
      <c r="AA738" t="s">
        <v>170</v>
      </c>
      <c r="AB738">
        <v>4</v>
      </c>
      <c r="AC738" t="s">
        <v>601</v>
      </c>
      <c r="AD738">
        <v>10</v>
      </c>
      <c r="AG738" t="s">
        <v>173</v>
      </c>
      <c r="AH738" t="s">
        <v>174</v>
      </c>
      <c r="AI738" t="s">
        <v>175</v>
      </c>
      <c r="AJ738" t="s">
        <v>176</v>
      </c>
      <c r="AK738" t="s">
        <v>940</v>
      </c>
      <c r="AL738" t="s">
        <v>941</v>
      </c>
      <c r="AS738">
        <v>3750</v>
      </c>
      <c r="AT738">
        <v>3750</v>
      </c>
      <c r="BN738" t="s">
        <v>178</v>
      </c>
      <c r="BO738">
        <v>2</v>
      </c>
      <c r="BP738">
        <v>2</v>
      </c>
      <c r="BQ738">
        <v>13</v>
      </c>
      <c r="BR738" t="s">
        <v>1016</v>
      </c>
      <c r="BT738" t="s">
        <v>181</v>
      </c>
      <c r="BU738" s="1">
        <v>45352</v>
      </c>
      <c r="BV738">
        <v>34467</v>
      </c>
      <c r="BX738" t="s">
        <v>170</v>
      </c>
      <c r="BY738" t="s">
        <v>170</v>
      </c>
      <c r="CB738" t="s">
        <v>170</v>
      </c>
      <c r="CC738" t="s">
        <v>170</v>
      </c>
      <c r="CD738" t="s">
        <v>1058</v>
      </c>
      <c r="CE738" t="s">
        <v>170</v>
      </c>
      <c r="CG738" t="s">
        <v>169</v>
      </c>
      <c r="CH738" t="s">
        <v>1002</v>
      </c>
      <c r="CI738" t="s">
        <v>170</v>
      </c>
      <c r="DJ738" t="s">
        <v>184</v>
      </c>
      <c r="DK738" t="s">
        <v>185</v>
      </c>
      <c r="DN738" t="s">
        <v>170</v>
      </c>
      <c r="DO738" t="s">
        <v>1003</v>
      </c>
      <c r="DP738" t="s">
        <v>169</v>
      </c>
      <c r="DQ738" t="s">
        <v>198</v>
      </c>
      <c r="EB738">
        <v>3</v>
      </c>
      <c r="EC738">
        <v>3</v>
      </c>
      <c r="EE738" t="s">
        <v>1059</v>
      </c>
      <c r="EF738">
        <v>6</v>
      </c>
      <c r="EV738">
        <v>9250</v>
      </c>
      <c r="EW738">
        <v>593</v>
      </c>
      <c r="EX738">
        <v>434</v>
      </c>
      <c r="EY738">
        <v>521</v>
      </c>
    </row>
    <row r="739" spans="1:155" x14ac:dyDescent="0.35">
      <c r="A739">
        <v>2025</v>
      </c>
      <c r="B739" t="s">
        <v>668</v>
      </c>
      <c r="C739" t="s">
        <v>999</v>
      </c>
      <c r="D739" t="s">
        <v>1060</v>
      </c>
      <c r="E739" t="s">
        <v>671</v>
      </c>
      <c r="F739">
        <v>508</v>
      </c>
      <c r="G739">
        <v>3</v>
      </c>
      <c r="H739">
        <v>6</v>
      </c>
      <c r="I739" t="s">
        <v>164</v>
      </c>
      <c r="J739">
        <v>14</v>
      </c>
      <c r="K739">
        <v>16</v>
      </c>
      <c r="L739">
        <v>15</v>
      </c>
      <c r="M739">
        <v>17.3</v>
      </c>
      <c r="N739">
        <v>22.7</v>
      </c>
      <c r="O739">
        <v>19.373999999999999</v>
      </c>
      <c r="P739">
        <v>14.055</v>
      </c>
      <c r="Q739">
        <v>15.7926</v>
      </c>
      <c r="R739">
        <v>14.787100000000001</v>
      </c>
      <c r="T739" t="s">
        <v>165</v>
      </c>
      <c r="U739" t="s">
        <v>166</v>
      </c>
      <c r="V739" t="s">
        <v>167</v>
      </c>
      <c r="W739" t="s">
        <v>168</v>
      </c>
      <c r="Y739">
        <v>8</v>
      </c>
      <c r="Z739" t="s">
        <v>169</v>
      </c>
      <c r="AA739" t="s">
        <v>170</v>
      </c>
      <c r="AB739">
        <v>4</v>
      </c>
      <c r="AC739" t="s">
        <v>601</v>
      </c>
      <c r="AD739">
        <v>10</v>
      </c>
      <c r="AG739" t="s">
        <v>173</v>
      </c>
      <c r="AH739" t="s">
        <v>174</v>
      </c>
      <c r="AI739" t="s">
        <v>175</v>
      </c>
      <c r="AJ739" t="s">
        <v>176</v>
      </c>
      <c r="AK739" t="s">
        <v>940</v>
      </c>
      <c r="AL739" t="s">
        <v>941</v>
      </c>
      <c r="AS739">
        <v>4250</v>
      </c>
      <c r="AT739">
        <v>4250</v>
      </c>
      <c r="BN739" t="s">
        <v>178</v>
      </c>
      <c r="BO739">
        <v>2</v>
      </c>
      <c r="BP739">
        <v>2</v>
      </c>
      <c r="BQ739">
        <v>13</v>
      </c>
      <c r="BR739" t="s">
        <v>1016</v>
      </c>
      <c r="BT739" t="s">
        <v>457</v>
      </c>
      <c r="BU739" s="1">
        <v>45432</v>
      </c>
      <c r="BV739">
        <v>34813</v>
      </c>
      <c r="BX739" t="s">
        <v>170</v>
      </c>
      <c r="BY739" t="s">
        <v>170</v>
      </c>
      <c r="CB739" t="s">
        <v>170</v>
      </c>
      <c r="CC739" t="s">
        <v>170</v>
      </c>
      <c r="CD739" t="s">
        <v>1058</v>
      </c>
      <c r="CE739" t="s">
        <v>170</v>
      </c>
      <c r="CG739" t="s">
        <v>169</v>
      </c>
      <c r="CH739" t="s">
        <v>1002</v>
      </c>
      <c r="CI739" t="s">
        <v>170</v>
      </c>
      <c r="DJ739" t="s">
        <v>184</v>
      </c>
      <c r="DK739" t="s">
        <v>185</v>
      </c>
      <c r="DN739" t="s">
        <v>170</v>
      </c>
      <c r="DO739" t="s">
        <v>1061</v>
      </c>
      <c r="DP739" t="s">
        <v>169</v>
      </c>
      <c r="DQ739" t="s">
        <v>198</v>
      </c>
      <c r="EB739">
        <v>2</v>
      </c>
      <c r="EC739">
        <v>2</v>
      </c>
      <c r="EE739" t="s">
        <v>1062</v>
      </c>
      <c r="EF739">
        <v>6</v>
      </c>
      <c r="EV739">
        <v>11750</v>
      </c>
      <c r="EW739">
        <v>634</v>
      </c>
      <c r="EX739">
        <v>564</v>
      </c>
      <c r="EY739">
        <v>602</v>
      </c>
    </row>
    <row r="740" spans="1:155" x14ac:dyDescent="0.35">
      <c r="A740">
        <v>2025</v>
      </c>
      <c r="B740" t="s">
        <v>885</v>
      </c>
      <c r="C740" t="s">
        <v>886</v>
      </c>
      <c r="D740" t="s">
        <v>1656</v>
      </c>
      <c r="E740" t="s">
        <v>888</v>
      </c>
      <c r="F740">
        <v>11</v>
      </c>
      <c r="G740">
        <v>6.7</v>
      </c>
      <c r="H740">
        <v>12</v>
      </c>
      <c r="I740" t="s">
        <v>192</v>
      </c>
      <c r="J740">
        <v>12</v>
      </c>
      <c r="K740">
        <v>19</v>
      </c>
      <c r="L740">
        <v>14</v>
      </c>
      <c r="M740">
        <v>14.6</v>
      </c>
      <c r="N740">
        <v>26.2</v>
      </c>
      <c r="O740">
        <v>18.232600000000001</v>
      </c>
      <c r="P740">
        <v>11.9689</v>
      </c>
      <c r="Q740">
        <v>19.011600000000001</v>
      </c>
      <c r="R740">
        <v>14.363200000000001</v>
      </c>
      <c r="T740" t="s">
        <v>165</v>
      </c>
      <c r="U740" t="s">
        <v>166</v>
      </c>
      <c r="V740" t="s">
        <v>193</v>
      </c>
      <c r="W740" t="s">
        <v>194</v>
      </c>
      <c r="Y740">
        <v>8</v>
      </c>
      <c r="Z740" t="s">
        <v>169</v>
      </c>
      <c r="AA740" t="s">
        <v>170</v>
      </c>
      <c r="AB740" t="s">
        <v>167</v>
      </c>
      <c r="AC740" t="s">
        <v>213</v>
      </c>
      <c r="AD740">
        <v>10</v>
      </c>
      <c r="AG740" t="s">
        <v>173</v>
      </c>
      <c r="AH740" t="s">
        <v>174</v>
      </c>
      <c r="AI740" t="s">
        <v>175</v>
      </c>
      <c r="AJ740" t="s">
        <v>176</v>
      </c>
      <c r="AK740" t="s">
        <v>940</v>
      </c>
      <c r="AL740" t="s">
        <v>941</v>
      </c>
      <c r="AS740">
        <v>4550</v>
      </c>
      <c r="AT740">
        <v>4550</v>
      </c>
      <c r="BN740" t="s">
        <v>178</v>
      </c>
      <c r="BO740">
        <v>2</v>
      </c>
      <c r="BP740">
        <v>2</v>
      </c>
      <c r="BQ740">
        <v>33</v>
      </c>
      <c r="BR740" t="s">
        <v>1497</v>
      </c>
      <c r="BT740" t="s">
        <v>181</v>
      </c>
      <c r="BU740" s="1">
        <v>45513</v>
      </c>
      <c r="BV740">
        <v>35489</v>
      </c>
      <c r="BX740" t="s">
        <v>170</v>
      </c>
      <c r="BY740" t="s">
        <v>170</v>
      </c>
      <c r="CB740" t="s">
        <v>170</v>
      </c>
      <c r="CC740" t="s">
        <v>170</v>
      </c>
      <c r="CD740" t="s">
        <v>889</v>
      </c>
      <c r="CE740" t="s">
        <v>170</v>
      </c>
      <c r="CG740" t="s">
        <v>169</v>
      </c>
      <c r="CH740" t="s">
        <v>195</v>
      </c>
      <c r="CI740" t="s">
        <v>170</v>
      </c>
      <c r="DJ740" t="s">
        <v>184</v>
      </c>
      <c r="DK740" t="s">
        <v>185</v>
      </c>
      <c r="DN740" t="s">
        <v>170</v>
      </c>
      <c r="DO740" t="s">
        <v>345</v>
      </c>
      <c r="DP740" t="s">
        <v>170</v>
      </c>
      <c r="DQ740" t="s">
        <v>187</v>
      </c>
      <c r="DY740">
        <v>18.399999999999999</v>
      </c>
      <c r="EB740">
        <v>2</v>
      </c>
      <c r="EC740">
        <v>2</v>
      </c>
      <c r="EE740" t="s">
        <v>890</v>
      </c>
      <c r="EF740">
        <v>2</v>
      </c>
      <c r="EV740">
        <v>13250</v>
      </c>
      <c r="EW740">
        <v>732</v>
      </c>
      <c r="EX740">
        <v>459</v>
      </c>
      <c r="EY740">
        <v>609</v>
      </c>
    </row>
    <row r="741" spans="1:155" x14ac:dyDescent="0.35">
      <c r="A741">
        <v>2025</v>
      </c>
      <c r="B741" t="s">
        <v>885</v>
      </c>
      <c r="C741" t="s">
        <v>886</v>
      </c>
      <c r="D741" t="s">
        <v>887</v>
      </c>
      <c r="E741" t="s">
        <v>888</v>
      </c>
      <c r="F741">
        <v>16</v>
      </c>
      <c r="G741">
        <v>6.7</v>
      </c>
      <c r="H741">
        <v>12</v>
      </c>
      <c r="I741" t="s">
        <v>192</v>
      </c>
      <c r="J741">
        <v>12</v>
      </c>
      <c r="K741">
        <v>19</v>
      </c>
      <c r="L741">
        <v>14</v>
      </c>
      <c r="M741">
        <v>14.6</v>
      </c>
      <c r="N741">
        <v>26.2</v>
      </c>
      <c r="O741">
        <v>18.232600000000001</v>
      </c>
      <c r="P741">
        <v>11.9689</v>
      </c>
      <c r="Q741">
        <v>19.011600000000001</v>
      </c>
      <c r="R741">
        <v>14.363200000000001</v>
      </c>
      <c r="S741" t="s">
        <v>210</v>
      </c>
      <c r="T741" t="s">
        <v>165</v>
      </c>
      <c r="U741" t="s">
        <v>166</v>
      </c>
      <c r="V741" t="s">
        <v>193</v>
      </c>
      <c r="W741" t="s">
        <v>194</v>
      </c>
      <c r="Y741">
        <v>8</v>
      </c>
      <c r="Z741" t="s">
        <v>169</v>
      </c>
      <c r="AA741" t="s">
        <v>170</v>
      </c>
      <c r="AB741" t="s">
        <v>167</v>
      </c>
      <c r="AC741" t="s">
        <v>213</v>
      </c>
      <c r="AD741">
        <v>10</v>
      </c>
      <c r="AG741" t="s">
        <v>173</v>
      </c>
      <c r="AH741" t="s">
        <v>174</v>
      </c>
      <c r="AI741" t="s">
        <v>175</v>
      </c>
      <c r="AJ741" t="s">
        <v>176</v>
      </c>
      <c r="AK741" t="s">
        <v>170</v>
      </c>
      <c r="AL741" t="s">
        <v>177</v>
      </c>
      <c r="AO741">
        <v>111</v>
      </c>
      <c r="AP741">
        <v>13</v>
      </c>
      <c r="AS741">
        <v>4550</v>
      </c>
      <c r="AT741">
        <v>4550</v>
      </c>
      <c r="BN741" t="s">
        <v>178</v>
      </c>
      <c r="BO741">
        <v>2</v>
      </c>
      <c r="BP741">
        <v>2</v>
      </c>
      <c r="BQ741">
        <v>6</v>
      </c>
      <c r="BR741" t="s">
        <v>825</v>
      </c>
      <c r="BS741" t="s">
        <v>180</v>
      </c>
      <c r="BT741" t="s">
        <v>181</v>
      </c>
      <c r="BU741" s="1">
        <v>45611</v>
      </c>
      <c r="BV741">
        <v>35783</v>
      </c>
      <c r="BX741" t="s">
        <v>170</v>
      </c>
      <c r="BY741" t="s">
        <v>170</v>
      </c>
      <c r="CB741" t="s">
        <v>170</v>
      </c>
      <c r="CC741" t="s">
        <v>170</v>
      </c>
      <c r="CD741" t="s">
        <v>889</v>
      </c>
      <c r="CE741" t="s">
        <v>170</v>
      </c>
      <c r="CG741" t="s">
        <v>169</v>
      </c>
      <c r="CH741" t="s">
        <v>195</v>
      </c>
      <c r="CI741" t="s">
        <v>170</v>
      </c>
      <c r="DJ741" t="s">
        <v>184</v>
      </c>
      <c r="DK741" t="s">
        <v>185</v>
      </c>
      <c r="DN741" t="s">
        <v>170</v>
      </c>
      <c r="DO741" t="s">
        <v>345</v>
      </c>
      <c r="DP741" t="s">
        <v>170</v>
      </c>
      <c r="DQ741" t="s">
        <v>187</v>
      </c>
      <c r="DY741">
        <v>18.399999999999999</v>
      </c>
      <c r="EB741">
        <v>2</v>
      </c>
      <c r="EC741">
        <v>2</v>
      </c>
      <c r="EE741" t="s">
        <v>890</v>
      </c>
      <c r="EF741">
        <v>2</v>
      </c>
      <c r="EV741">
        <v>13250</v>
      </c>
      <c r="EW741">
        <v>732</v>
      </c>
      <c r="EX741">
        <v>459</v>
      </c>
      <c r="EY741">
        <v>609</v>
      </c>
    </row>
    <row r="742" spans="1:155" x14ac:dyDescent="0.35">
      <c r="A742">
        <v>2025</v>
      </c>
      <c r="B742" t="s">
        <v>885</v>
      </c>
      <c r="C742" t="s">
        <v>886</v>
      </c>
      <c r="D742" t="s">
        <v>1657</v>
      </c>
      <c r="E742" t="s">
        <v>888</v>
      </c>
      <c r="F742">
        <v>10</v>
      </c>
      <c r="G742">
        <v>6.7</v>
      </c>
      <c r="H742">
        <v>12</v>
      </c>
      <c r="I742" t="s">
        <v>192</v>
      </c>
      <c r="J742">
        <v>12</v>
      </c>
      <c r="K742">
        <v>19</v>
      </c>
      <c r="L742">
        <v>14</v>
      </c>
      <c r="M742">
        <v>14.6</v>
      </c>
      <c r="N742">
        <v>26.2</v>
      </c>
      <c r="O742">
        <v>18.232600000000001</v>
      </c>
      <c r="P742">
        <v>11.9689</v>
      </c>
      <c r="Q742">
        <v>19.011600000000001</v>
      </c>
      <c r="R742">
        <v>14.363200000000001</v>
      </c>
      <c r="T742" t="s">
        <v>165</v>
      </c>
      <c r="U742" t="s">
        <v>166</v>
      </c>
      <c r="V742" t="s">
        <v>193</v>
      </c>
      <c r="W742" t="s">
        <v>194</v>
      </c>
      <c r="Y742">
        <v>8</v>
      </c>
      <c r="Z742" t="s">
        <v>169</v>
      </c>
      <c r="AA742" t="s">
        <v>170</v>
      </c>
      <c r="AB742" t="s">
        <v>167</v>
      </c>
      <c r="AC742" t="s">
        <v>213</v>
      </c>
      <c r="AD742">
        <v>10</v>
      </c>
      <c r="AG742" t="s">
        <v>173</v>
      </c>
      <c r="AH742" t="s">
        <v>174</v>
      </c>
      <c r="AI742" t="s">
        <v>175</v>
      </c>
      <c r="AJ742" t="s">
        <v>176</v>
      </c>
      <c r="AK742" t="s">
        <v>940</v>
      </c>
      <c r="AL742" t="s">
        <v>941</v>
      </c>
      <c r="AS742">
        <v>4550</v>
      </c>
      <c r="AT742">
        <v>4550</v>
      </c>
      <c r="BN742" t="s">
        <v>178</v>
      </c>
      <c r="BO742">
        <v>2</v>
      </c>
      <c r="BP742">
        <v>2</v>
      </c>
      <c r="BQ742">
        <v>33</v>
      </c>
      <c r="BR742" t="s">
        <v>1497</v>
      </c>
      <c r="BT742" t="s">
        <v>181</v>
      </c>
      <c r="BU742" s="1">
        <v>45513</v>
      </c>
      <c r="BV742">
        <v>35488</v>
      </c>
      <c r="BX742" t="s">
        <v>170</v>
      </c>
      <c r="BY742" t="s">
        <v>170</v>
      </c>
      <c r="CB742" t="s">
        <v>170</v>
      </c>
      <c r="CC742" t="s">
        <v>170</v>
      </c>
      <c r="CD742" t="s">
        <v>892</v>
      </c>
      <c r="CE742" t="s">
        <v>170</v>
      </c>
      <c r="CG742" t="s">
        <v>169</v>
      </c>
      <c r="CH742" t="s">
        <v>195</v>
      </c>
      <c r="CI742" t="s">
        <v>170</v>
      </c>
      <c r="DJ742" t="s">
        <v>184</v>
      </c>
      <c r="DK742" t="s">
        <v>185</v>
      </c>
      <c r="DN742" t="s">
        <v>170</v>
      </c>
      <c r="DO742" t="s">
        <v>345</v>
      </c>
      <c r="DP742" t="s">
        <v>170</v>
      </c>
      <c r="DQ742" t="s">
        <v>187</v>
      </c>
      <c r="DY742">
        <v>18.399999999999999</v>
      </c>
      <c r="EB742">
        <v>2</v>
      </c>
      <c r="EC742">
        <v>2</v>
      </c>
      <c r="EE742" t="s">
        <v>890</v>
      </c>
      <c r="EF742">
        <v>2</v>
      </c>
      <c r="EV742">
        <v>13250</v>
      </c>
      <c r="EW742">
        <v>732</v>
      </c>
      <c r="EX742">
        <v>459</v>
      </c>
      <c r="EY742">
        <v>609</v>
      </c>
    </row>
    <row r="743" spans="1:155" x14ac:dyDescent="0.35">
      <c r="A743">
        <v>2025</v>
      </c>
      <c r="B743" t="s">
        <v>885</v>
      </c>
      <c r="C743" t="s">
        <v>886</v>
      </c>
      <c r="D743" t="s">
        <v>891</v>
      </c>
      <c r="E743" t="s">
        <v>888</v>
      </c>
      <c r="F743">
        <v>14</v>
      </c>
      <c r="G743">
        <v>6.7</v>
      </c>
      <c r="H743">
        <v>12</v>
      </c>
      <c r="I743" t="s">
        <v>192</v>
      </c>
      <c r="J743">
        <v>12</v>
      </c>
      <c r="K743">
        <v>19</v>
      </c>
      <c r="L743">
        <v>14</v>
      </c>
      <c r="M743">
        <v>14.6</v>
      </c>
      <c r="N743">
        <v>26.2</v>
      </c>
      <c r="O743">
        <v>18.232600000000001</v>
      </c>
      <c r="P743">
        <v>11.9689</v>
      </c>
      <c r="Q743">
        <v>19.011600000000001</v>
      </c>
      <c r="R743">
        <v>14.363200000000001</v>
      </c>
      <c r="S743" t="s">
        <v>210</v>
      </c>
      <c r="T743" t="s">
        <v>165</v>
      </c>
      <c r="U743" t="s">
        <v>166</v>
      </c>
      <c r="V743" t="s">
        <v>193</v>
      </c>
      <c r="W743" t="s">
        <v>194</v>
      </c>
      <c r="Y743">
        <v>8</v>
      </c>
      <c r="Z743" t="s">
        <v>169</v>
      </c>
      <c r="AA743" t="s">
        <v>170</v>
      </c>
      <c r="AB743" t="s">
        <v>167</v>
      </c>
      <c r="AC743" t="s">
        <v>213</v>
      </c>
      <c r="AD743">
        <v>10</v>
      </c>
      <c r="AG743" t="s">
        <v>173</v>
      </c>
      <c r="AH743" t="s">
        <v>174</v>
      </c>
      <c r="AI743" t="s">
        <v>175</v>
      </c>
      <c r="AJ743" t="s">
        <v>176</v>
      </c>
      <c r="AK743" t="s">
        <v>170</v>
      </c>
      <c r="AL743" t="s">
        <v>177</v>
      </c>
      <c r="AO743">
        <v>111</v>
      </c>
      <c r="AP743">
        <v>13</v>
      </c>
      <c r="AS743">
        <v>4550</v>
      </c>
      <c r="AT743">
        <v>4550</v>
      </c>
      <c r="BN743" t="s">
        <v>178</v>
      </c>
      <c r="BO743">
        <v>2</v>
      </c>
      <c r="BP743">
        <v>2</v>
      </c>
      <c r="BQ743">
        <v>6</v>
      </c>
      <c r="BR743" t="s">
        <v>825</v>
      </c>
      <c r="BS743" t="s">
        <v>180</v>
      </c>
      <c r="BT743" t="s">
        <v>181</v>
      </c>
      <c r="BU743" s="1">
        <v>45611</v>
      </c>
      <c r="BV743">
        <v>35781</v>
      </c>
      <c r="BX743" t="s">
        <v>170</v>
      </c>
      <c r="BY743" t="s">
        <v>170</v>
      </c>
      <c r="CB743" t="s">
        <v>170</v>
      </c>
      <c r="CC743" t="s">
        <v>170</v>
      </c>
      <c r="CD743" t="s">
        <v>892</v>
      </c>
      <c r="CE743" t="s">
        <v>170</v>
      </c>
      <c r="CG743" t="s">
        <v>169</v>
      </c>
      <c r="CH743" t="s">
        <v>195</v>
      </c>
      <c r="CI743" t="s">
        <v>170</v>
      </c>
      <c r="DJ743" t="s">
        <v>184</v>
      </c>
      <c r="DK743" t="s">
        <v>185</v>
      </c>
      <c r="DN743" t="s">
        <v>170</v>
      </c>
      <c r="DO743" t="s">
        <v>345</v>
      </c>
      <c r="DP743" t="s">
        <v>170</v>
      </c>
      <c r="DQ743" t="s">
        <v>187</v>
      </c>
      <c r="DY743">
        <v>18.399999999999999</v>
      </c>
      <c r="EB743">
        <v>2</v>
      </c>
      <c r="EC743">
        <v>2</v>
      </c>
      <c r="EE743" t="s">
        <v>890</v>
      </c>
      <c r="EF743">
        <v>2</v>
      </c>
      <c r="EV743">
        <v>13250</v>
      </c>
      <c r="EW743">
        <v>732</v>
      </c>
      <c r="EX743">
        <v>459</v>
      </c>
      <c r="EY743">
        <v>609</v>
      </c>
    </row>
    <row r="744" spans="1:155" x14ac:dyDescent="0.35">
      <c r="A744">
        <v>2025</v>
      </c>
      <c r="B744" t="s">
        <v>885</v>
      </c>
      <c r="C744" t="s">
        <v>886</v>
      </c>
      <c r="D744" t="s">
        <v>893</v>
      </c>
      <c r="E744" t="s">
        <v>888</v>
      </c>
      <c r="F744">
        <v>15</v>
      </c>
      <c r="G744">
        <v>6.7</v>
      </c>
      <c r="H744">
        <v>12</v>
      </c>
      <c r="I744" t="s">
        <v>192</v>
      </c>
      <c r="J744">
        <v>12</v>
      </c>
      <c r="K744">
        <v>19</v>
      </c>
      <c r="L744">
        <v>14</v>
      </c>
      <c r="M744">
        <v>14.6</v>
      </c>
      <c r="N744">
        <v>26.2</v>
      </c>
      <c r="O744">
        <v>18.232600000000001</v>
      </c>
      <c r="P744">
        <v>11.9689</v>
      </c>
      <c r="Q744">
        <v>19.011600000000001</v>
      </c>
      <c r="R744">
        <v>14.363200000000001</v>
      </c>
      <c r="S744" t="s">
        <v>210</v>
      </c>
      <c r="T744" t="s">
        <v>165</v>
      </c>
      <c r="U744" t="s">
        <v>166</v>
      </c>
      <c r="V744" t="s">
        <v>193</v>
      </c>
      <c r="W744" t="s">
        <v>194</v>
      </c>
      <c r="Y744">
        <v>8</v>
      </c>
      <c r="Z744" t="s">
        <v>169</v>
      </c>
      <c r="AA744" t="s">
        <v>170</v>
      </c>
      <c r="AB744" t="s">
        <v>167</v>
      </c>
      <c r="AC744" t="s">
        <v>213</v>
      </c>
      <c r="AD744">
        <v>10</v>
      </c>
      <c r="AG744" t="s">
        <v>173</v>
      </c>
      <c r="AH744" t="s">
        <v>174</v>
      </c>
      <c r="AI744" t="s">
        <v>175</v>
      </c>
      <c r="AJ744" t="s">
        <v>176</v>
      </c>
      <c r="AK744" t="s">
        <v>170</v>
      </c>
      <c r="AL744" t="s">
        <v>177</v>
      </c>
      <c r="AO744">
        <v>120</v>
      </c>
      <c r="AP744">
        <v>13</v>
      </c>
      <c r="AS744">
        <v>4550</v>
      </c>
      <c r="AT744">
        <v>4550</v>
      </c>
      <c r="BN744" t="s">
        <v>178</v>
      </c>
      <c r="BO744">
        <v>2</v>
      </c>
      <c r="BP744">
        <v>2</v>
      </c>
      <c r="BQ744">
        <v>6</v>
      </c>
      <c r="BR744" t="s">
        <v>825</v>
      </c>
      <c r="BS744" t="s">
        <v>180</v>
      </c>
      <c r="BT744" t="s">
        <v>181</v>
      </c>
      <c r="BU744" s="1">
        <v>45611</v>
      </c>
      <c r="BV744">
        <v>35782</v>
      </c>
      <c r="BX744" t="s">
        <v>170</v>
      </c>
      <c r="BY744" t="s">
        <v>170</v>
      </c>
      <c r="CB744" t="s">
        <v>170</v>
      </c>
      <c r="CC744" t="s">
        <v>170</v>
      </c>
      <c r="CD744" t="s">
        <v>892</v>
      </c>
      <c r="CE744" t="s">
        <v>170</v>
      </c>
      <c r="CG744" t="s">
        <v>169</v>
      </c>
      <c r="CH744" t="s">
        <v>195</v>
      </c>
      <c r="CI744" t="s">
        <v>170</v>
      </c>
      <c r="DJ744" t="s">
        <v>184</v>
      </c>
      <c r="DK744" t="s">
        <v>185</v>
      </c>
      <c r="DN744" t="s">
        <v>170</v>
      </c>
      <c r="DO744" t="s">
        <v>345</v>
      </c>
      <c r="DP744" t="s">
        <v>170</v>
      </c>
      <c r="DQ744" t="s">
        <v>187</v>
      </c>
      <c r="DY744">
        <v>18.399999999999999</v>
      </c>
      <c r="EB744">
        <v>2</v>
      </c>
      <c r="EC744">
        <v>2</v>
      </c>
      <c r="EE744" t="s">
        <v>890</v>
      </c>
      <c r="EF744">
        <v>2</v>
      </c>
      <c r="EV744">
        <v>13250</v>
      </c>
      <c r="EW744">
        <v>732</v>
      </c>
      <c r="EX744">
        <v>459</v>
      </c>
      <c r="EY744">
        <v>609</v>
      </c>
    </row>
    <row r="745" spans="1:155" x14ac:dyDescent="0.35">
      <c r="A745">
        <v>2025</v>
      </c>
      <c r="B745" t="s">
        <v>885</v>
      </c>
      <c r="C745" t="s">
        <v>886</v>
      </c>
      <c r="D745" t="s">
        <v>894</v>
      </c>
      <c r="E745" t="s">
        <v>888</v>
      </c>
      <c r="F745">
        <v>12</v>
      </c>
      <c r="G745">
        <v>6.7</v>
      </c>
      <c r="H745">
        <v>12</v>
      </c>
      <c r="I745" t="s">
        <v>192</v>
      </c>
      <c r="J745">
        <v>12</v>
      </c>
      <c r="K745">
        <v>19</v>
      </c>
      <c r="L745">
        <v>14</v>
      </c>
      <c r="M745">
        <v>14.6</v>
      </c>
      <c r="N745">
        <v>26.2</v>
      </c>
      <c r="O745">
        <v>18.232600000000001</v>
      </c>
      <c r="P745">
        <v>11.9689</v>
      </c>
      <c r="Q745">
        <v>19.011600000000001</v>
      </c>
      <c r="R745">
        <v>14.363200000000001</v>
      </c>
      <c r="S745" t="s">
        <v>210</v>
      </c>
      <c r="T745" t="s">
        <v>165</v>
      </c>
      <c r="U745" t="s">
        <v>166</v>
      </c>
      <c r="V745" t="s">
        <v>193</v>
      </c>
      <c r="W745" t="s">
        <v>194</v>
      </c>
      <c r="Y745">
        <v>8</v>
      </c>
      <c r="Z745" t="s">
        <v>169</v>
      </c>
      <c r="AA745" t="s">
        <v>170</v>
      </c>
      <c r="AB745" t="s">
        <v>171</v>
      </c>
      <c r="AC745" t="s">
        <v>172</v>
      </c>
      <c r="AD745">
        <v>10</v>
      </c>
      <c r="AG745" t="s">
        <v>173</v>
      </c>
      <c r="AH745" t="s">
        <v>174</v>
      </c>
      <c r="AI745" t="s">
        <v>175</v>
      </c>
      <c r="AJ745" t="s">
        <v>176</v>
      </c>
      <c r="AK745" t="s">
        <v>170</v>
      </c>
      <c r="AL745" t="s">
        <v>177</v>
      </c>
      <c r="AO745">
        <v>116</v>
      </c>
      <c r="AP745">
        <v>15</v>
      </c>
      <c r="AS745">
        <v>4550</v>
      </c>
      <c r="AT745">
        <v>4550</v>
      </c>
      <c r="BN745" t="s">
        <v>178</v>
      </c>
      <c r="BO745">
        <v>2</v>
      </c>
      <c r="BP745">
        <v>2</v>
      </c>
      <c r="BQ745">
        <v>6</v>
      </c>
      <c r="BR745" t="s">
        <v>825</v>
      </c>
      <c r="BS745" t="s">
        <v>180</v>
      </c>
      <c r="BT745" t="s">
        <v>181</v>
      </c>
      <c r="BU745" s="1">
        <v>45625</v>
      </c>
      <c r="BV745">
        <v>35817</v>
      </c>
      <c r="BX745" t="s">
        <v>170</v>
      </c>
      <c r="BY745" t="s">
        <v>170</v>
      </c>
      <c r="CB745" t="s">
        <v>170</v>
      </c>
      <c r="CC745" t="s">
        <v>170</v>
      </c>
      <c r="CD745" t="s">
        <v>892</v>
      </c>
      <c r="CE745" t="s">
        <v>170</v>
      </c>
      <c r="CG745" t="s">
        <v>169</v>
      </c>
      <c r="CH745" t="s">
        <v>195</v>
      </c>
      <c r="CI745" t="s">
        <v>170</v>
      </c>
      <c r="DJ745" t="s">
        <v>184</v>
      </c>
      <c r="DK745" t="s">
        <v>185</v>
      </c>
      <c r="DN745" t="s">
        <v>170</v>
      </c>
      <c r="DO745" t="s">
        <v>345</v>
      </c>
      <c r="DP745" t="s">
        <v>170</v>
      </c>
      <c r="DQ745" t="s">
        <v>187</v>
      </c>
      <c r="DY745">
        <v>18.399999999999999</v>
      </c>
      <c r="EB745">
        <v>2</v>
      </c>
      <c r="EC745">
        <v>2</v>
      </c>
      <c r="EE745" t="s">
        <v>890</v>
      </c>
      <c r="EF745">
        <v>2</v>
      </c>
      <c r="EV745">
        <v>13250</v>
      </c>
      <c r="EW745">
        <v>732</v>
      </c>
      <c r="EX745">
        <v>459</v>
      </c>
      <c r="EY745">
        <v>609</v>
      </c>
    </row>
    <row r="746" spans="1:155" x14ac:dyDescent="0.35">
      <c r="A746">
        <v>2025</v>
      </c>
      <c r="B746" t="s">
        <v>885</v>
      </c>
      <c r="C746" t="s">
        <v>886</v>
      </c>
      <c r="D746" t="s">
        <v>895</v>
      </c>
      <c r="E746" t="s">
        <v>888</v>
      </c>
      <c r="F746">
        <v>13</v>
      </c>
      <c r="G746">
        <v>6.7</v>
      </c>
      <c r="H746">
        <v>12</v>
      </c>
      <c r="I746" t="s">
        <v>192</v>
      </c>
      <c r="J746">
        <v>12</v>
      </c>
      <c r="K746">
        <v>19</v>
      </c>
      <c r="L746">
        <v>14</v>
      </c>
      <c r="M746">
        <v>14.6</v>
      </c>
      <c r="N746">
        <v>26.2</v>
      </c>
      <c r="O746">
        <v>18.232600000000001</v>
      </c>
      <c r="P746">
        <v>11.9689</v>
      </c>
      <c r="Q746">
        <v>19.011600000000001</v>
      </c>
      <c r="R746">
        <v>14.363200000000001</v>
      </c>
      <c r="S746" t="s">
        <v>210</v>
      </c>
      <c r="T746" t="s">
        <v>165</v>
      </c>
      <c r="U746" t="s">
        <v>166</v>
      </c>
      <c r="V746" t="s">
        <v>193</v>
      </c>
      <c r="W746" t="s">
        <v>194</v>
      </c>
      <c r="Y746">
        <v>8</v>
      </c>
      <c r="Z746" t="s">
        <v>169</v>
      </c>
      <c r="AA746" t="s">
        <v>170</v>
      </c>
      <c r="AB746" t="s">
        <v>171</v>
      </c>
      <c r="AC746" t="s">
        <v>172</v>
      </c>
      <c r="AD746">
        <v>10</v>
      </c>
      <c r="AG746" t="s">
        <v>173</v>
      </c>
      <c r="AH746" t="s">
        <v>174</v>
      </c>
      <c r="AI746" t="s">
        <v>175</v>
      </c>
      <c r="AJ746" t="s">
        <v>176</v>
      </c>
      <c r="AK746" t="s">
        <v>170</v>
      </c>
      <c r="AL746" t="s">
        <v>177</v>
      </c>
      <c r="AO746">
        <v>127</v>
      </c>
      <c r="AP746">
        <v>15</v>
      </c>
      <c r="AS746">
        <v>4550</v>
      </c>
      <c r="AT746">
        <v>4550</v>
      </c>
      <c r="BN746" t="s">
        <v>178</v>
      </c>
      <c r="BO746">
        <v>2</v>
      </c>
      <c r="BP746">
        <v>2</v>
      </c>
      <c r="BQ746">
        <v>6</v>
      </c>
      <c r="BR746" t="s">
        <v>825</v>
      </c>
      <c r="BS746" t="s">
        <v>180</v>
      </c>
      <c r="BT746" t="s">
        <v>181</v>
      </c>
      <c r="BU746" s="1">
        <v>45625</v>
      </c>
      <c r="BV746">
        <v>35818</v>
      </c>
      <c r="BX746" t="s">
        <v>170</v>
      </c>
      <c r="BY746" t="s">
        <v>170</v>
      </c>
      <c r="CB746" t="s">
        <v>170</v>
      </c>
      <c r="CC746" t="s">
        <v>170</v>
      </c>
      <c r="CD746" t="s">
        <v>892</v>
      </c>
      <c r="CE746" t="s">
        <v>170</v>
      </c>
      <c r="CG746" t="s">
        <v>169</v>
      </c>
      <c r="CH746" t="s">
        <v>195</v>
      </c>
      <c r="CI746" t="s">
        <v>170</v>
      </c>
      <c r="DJ746" t="s">
        <v>184</v>
      </c>
      <c r="DK746" t="s">
        <v>185</v>
      </c>
      <c r="DN746" t="s">
        <v>170</v>
      </c>
      <c r="DO746" t="s">
        <v>345</v>
      </c>
      <c r="DP746" t="s">
        <v>170</v>
      </c>
      <c r="DQ746" t="s">
        <v>187</v>
      </c>
      <c r="DY746">
        <v>18.399999999999999</v>
      </c>
      <c r="EB746">
        <v>2</v>
      </c>
      <c r="EC746">
        <v>2</v>
      </c>
      <c r="EE746" t="s">
        <v>890</v>
      </c>
      <c r="EF746">
        <v>2</v>
      </c>
      <c r="EV746">
        <v>13250</v>
      </c>
      <c r="EW746">
        <v>732</v>
      </c>
      <c r="EX746">
        <v>459</v>
      </c>
      <c r="EY746">
        <v>609</v>
      </c>
    </row>
    <row r="747" spans="1:155" x14ac:dyDescent="0.35">
      <c r="A747">
        <v>2025</v>
      </c>
      <c r="B747" t="s">
        <v>378</v>
      </c>
      <c r="C747" t="s">
        <v>378</v>
      </c>
      <c r="D747" t="s">
        <v>1658</v>
      </c>
      <c r="E747" t="s">
        <v>380</v>
      </c>
      <c r="F747">
        <v>33</v>
      </c>
      <c r="G747">
        <v>2.4</v>
      </c>
      <c r="H747">
        <v>4</v>
      </c>
      <c r="I747" t="s">
        <v>793</v>
      </c>
      <c r="J747">
        <v>20</v>
      </c>
      <c r="K747">
        <v>26</v>
      </c>
      <c r="L747">
        <v>22</v>
      </c>
      <c r="M747">
        <v>25.1</v>
      </c>
      <c r="N747">
        <v>36.299999999999997</v>
      </c>
      <c r="O747">
        <v>29.146799999999999</v>
      </c>
      <c r="P747">
        <v>19.8767</v>
      </c>
      <c r="Q747">
        <v>25.738600000000002</v>
      </c>
      <c r="R747">
        <v>22.1464</v>
      </c>
      <c r="T747" t="s">
        <v>165</v>
      </c>
      <c r="U747" t="s">
        <v>166</v>
      </c>
      <c r="V747" t="s">
        <v>463</v>
      </c>
      <c r="W747" t="s">
        <v>464</v>
      </c>
      <c r="Y747">
        <v>8</v>
      </c>
      <c r="Z747" t="s">
        <v>169</v>
      </c>
      <c r="AA747" t="s">
        <v>170</v>
      </c>
      <c r="AB747" t="s">
        <v>167</v>
      </c>
      <c r="AC747" t="s">
        <v>213</v>
      </c>
      <c r="AD747">
        <v>15</v>
      </c>
      <c r="AG747" t="s">
        <v>210</v>
      </c>
      <c r="AH747" t="s">
        <v>444</v>
      </c>
      <c r="AI747" t="s">
        <v>175</v>
      </c>
      <c r="AJ747" t="s">
        <v>176</v>
      </c>
      <c r="AK747" t="s">
        <v>940</v>
      </c>
      <c r="AL747" t="s">
        <v>941</v>
      </c>
      <c r="AS747">
        <v>2400</v>
      </c>
      <c r="AT747">
        <v>2400</v>
      </c>
      <c r="BN747" t="s">
        <v>178</v>
      </c>
      <c r="BO747">
        <v>2</v>
      </c>
      <c r="BP747">
        <v>2</v>
      </c>
      <c r="BQ747">
        <v>33</v>
      </c>
      <c r="BR747" t="s">
        <v>1497</v>
      </c>
      <c r="BT747" t="s">
        <v>181</v>
      </c>
      <c r="BU747" s="1">
        <v>45551</v>
      </c>
      <c r="BV747">
        <v>35552</v>
      </c>
      <c r="BX747" t="s">
        <v>170</v>
      </c>
      <c r="BY747" t="s">
        <v>170</v>
      </c>
      <c r="CB747" t="s">
        <v>170</v>
      </c>
      <c r="CC747" t="s">
        <v>170</v>
      </c>
      <c r="CE747" t="s">
        <v>170</v>
      </c>
      <c r="CG747" t="s">
        <v>169</v>
      </c>
      <c r="CH747" t="s">
        <v>381</v>
      </c>
      <c r="CI747" t="s">
        <v>170</v>
      </c>
      <c r="DJ747" t="s">
        <v>184</v>
      </c>
      <c r="DK747" t="s">
        <v>185</v>
      </c>
      <c r="DN747" t="s">
        <v>170</v>
      </c>
      <c r="DO747" t="s">
        <v>798</v>
      </c>
      <c r="DP747" t="s">
        <v>170</v>
      </c>
      <c r="DQ747" t="s">
        <v>187</v>
      </c>
      <c r="EB747">
        <v>5</v>
      </c>
      <c r="EC747">
        <v>5</v>
      </c>
      <c r="EE747" t="s">
        <v>1659</v>
      </c>
      <c r="EF747">
        <v>4</v>
      </c>
      <c r="EV747">
        <v>2500</v>
      </c>
      <c r="EW747">
        <v>444</v>
      </c>
      <c r="EX747">
        <v>343</v>
      </c>
      <c r="EY747">
        <v>398</v>
      </c>
    </row>
    <row r="748" spans="1:155" x14ac:dyDescent="0.35">
      <c r="A748">
        <v>2025</v>
      </c>
      <c r="B748" t="s">
        <v>378</v>
      </c>
      <c r="C748" t="s">
        <v>378</v>
      </c>
      <c r="D748" t="s">
        <v>1660</v>
      </c>
      <c r="E748" t="s">
        <v>380</v>
      </c>
      <c r="F748">
        <v>34</v>
      </c>
      <c r="G748">
        <v>2.4</v>
      </c>
      <c r="H748">
        <v>4</v>
      </c>
      <c r="I748" t="s">
        <v>793</v>
      </c>
      <c r="J748">
        <v>19</v>
      </c>
      <c r="K748">
        <v>25</v>
      </c>
      <c r="L748">
        <v>21</v>
      </c>
      <c r="M748">
        <v>23.7</v>
      </c>
      <c r="N748">
        <v>34.9</v>
      </c>
      <c r="O748">
        <v>27.700299999999999</v>
      </c>
      <c r="P748">
        <v>18.8536</v>
      </c>
      <c r="Q748">
        <v>24.8246</v>
      </c>
      <c r="R748">
        <v>21.1419</v>
      </c>
      <c r="T748" t="s">
        <v>165</v>
      </c>
      <c r="U748" t="s">
        <v>166</v>
      </c>
      <c r="V748" t="s">
        <v>463</v>
      </c>
      <c r="W748" t="s">
        <v>464</v>
      </c>
      <c r="Y748">
        <v>8</v>
      </c>
      <c r="Z748" t="s">
        <v>169</v>
      </c>
      <c r="AA748" t="s">
        <v>170</v>
      </c>
      <c r="AB748" t="s">
        <v>167</v>
      </c>
      <c r="AC748" t="s">
        <v>213</v>
      </c>
      <c r="AD748">
        <v>15</v>
      </c>
      <c r="AG748" t="s">
        <v>210</v>
      </c>
      <c r="AH748" t="s">
        <v>444</v>
      </c>
      <c r="AI748" t="s">
        <v>175</v>
      </c>
      <c r="AJ748" t="s">
        <v>176</v>
      </c>
      <c r="AK748" t="s">
        <v>940</v>
      </c>
      <c r="AL748" t="s">
        <v>941</v>
      </c>
      <c r="AS748">
        <v>2500</v>
      </c>
      <c r="AT748">
        <v>2500</v>
      </c>
      <c r="BN748" t="s">
        <v>178</v>
      </c>
      <c r="BO748">
        <v>2</v>
      </c>
      <c r="BP748">
        <v>2</v>
      </c>
      <c r="BQ748">
        <v>33</v>
      </c>
      <c r="BR748" t="s">
        <v>1497</v>
      </c>
      <c r="BT748" t="s">
        <v>181</v>
      </c>
      <c r="BU748" s="1">
        <v>45551</v>
      </c>
      <c r="BV748">
        <v>35553</v>
      </c>
      <c r="BX748" t="s">
        <v>169</v>
      </c>
      <c r="BY748" t="s">
        <v>170</v>
      </c>
      <c r="CB748" t="s">
        <v>170</v>
      </c>
      <c r="CC748" t="s">
        <v>170</v>
      </c>
      <c r="CE748" t="s">
        <v>170</v>
      </c>
      <c r="CG748" t="s">
        <v>169</v>
      </c>
      <c r="CH748" t="s">
        <v>381</v>
      </c>
      <c r="CI748" t="s">
        <v>170</v>
      </c>
      <c r="DJ748" t="s">
        <v>184</v>
      </c>
      <c r="DK748" t="s">
        <v>185</v>
      </c>
      <c r="DN748" t="s">
        <v>170</v>
      </c>
      <c r="DO748" t="s">
        <v>798</v>
      </c>
      <c r="DP748" t="s">
        <v>170</v>
      </c>
      <c r="DQ748" t="s">
        <v>187</v>
      </c>
      <c r="EB748">
        <v>4</v>
      </c>
      <c r="EC748">
        <v>4</v>
      </c>
      <c r="EE748" t="s">
        <v>1659</v>
      </c>
      <c r="EF748">
        <v>4</v>
      </c>
      <c r="EV748">
        <v>3000</v>
      </c>
      <c r="EW748">
        <v>470</v>
      </c>
      <c r="EX748">
        <v>356</v>
      </c>
      <c r="EY748">
        <v>419</v>
      </c>
    </row>
    <row r="749" spans="1:155" x14ac:dyDescent="0.35">
      <c r="A749">
        <v>2025</v>
      </c>
      <c r="B749" t="s">
        <v>378</v>
      </c>
      <c r="C749" t="s">
        <v>378</v>
      </c>
      <c r="D749" t="s">
        <v>379</v>
      </c>
      <c r="E749" t="s">
        <v>380</v>
      </c>
      <c r="F749">
        <v>1</v>
      </c>
      <c r="G749">
        <v>2.4</v>
      </c>
      <c r="H749">
        <v>4</v>
      </c>
      <c r="I749" t="s">
        <v>200</v>
      </c>
      <c r="J749">
        <v>20</v>
      </c>
      <c r="K749">
        <v>27</v>
      </c>
      <c r="L749">
        <v>22</v>
      </c>
      <c r="M749">
        <v>24.7393</v>
      </c>
      <c r="N749">
        <v>37.936300000000003</v>
      </c>
      <c r="O749">
        <v>29.3308</v>
      </c>
      <c r="P749">
        <v>19.614000000000001</v>
      </c>
      <c r="Q749">
        <v>26.799600000000002</v>
      </c>
      <c r="R749">
        <v>22.305299999999999</v>
      </c>
      <c r="U749" t="s">
        <v>224</v>
      </c>
      <c r="V749" t="s">
        <v>201</v>
      </c>
      <c r="W749" t="s">
        <v>202</v>
      </c>
      <c r="Y749">
        <v>6</v>
      </c>
      <c r="Z749" t="s">
        <v>170</v>
      </c>
      <c r="AA749" t="s">
        <v>170</v>
      </c>
      <c r="AB749" t="s">
        <v>171</v>
      </c>
      <c r="AC749" t="s">
        <v>172</v>
      </c>
      <c r="AD749">
        <v>15</v>
      </c>
      <c r="AG749" t="s">
        <v>214</v>
      </c>
      <c r="AH749" t="s">
        <v>215</v>
      </c>
      <c r="AI749" t="s">
        <v>175</v>
      </c>
      <c r="AJ749" t="s">
        <v>176</v>
      </c>
      <c r="AK749" t="s">
        <v>170</v>
      </c>
      <c r="AL749" t="s">
        <v>177</v>
      </c>
      <c r="AM749">
        <v>77</v>
      </c>
      <c r="AN749">
        <v>6</v>
      </c>
      <c r="AS749">
        <v>2900</v>
      </c>
      <c r="AT749">
        <v>2900</v>
      </c>
      <c r="BN749" t="s">
        <v>265</v>
      </c>
      <c r="BO749">
        <v>2</v>
      </c>
      <c r="BP749">
        <v>2</v>
      </c>
      <c r="BQ749">
        <v>2</v>
      </c>
      <c r="BR749" t="s">
        <v>321</v>
      </c>
      <c r="BS749" t="s">
        <v>180</v>
      </c>
      <c r="BT749" t="s">
        <v>181</v>
      </c>
      <c r="BU749" s="1">
        <v>45537</v>
      </c>
      <c r="BV749">
        <v>35461</v>
      </c>
      <c r="BX749" t="s">
        <v>170</v>
      </c>
      <c r="BY749" t="s">
        <v>170</v>
      </c>
      <c r="CB749" t="s">
        <v>170</v>
      </c>
      <c r="CC749" t="s">
        <v>170</v>
      </c>
      <c r="CE749" t="s">
        <v>170</v>
      </c>
      <c r="CG749" t="s">
        <v>169</v>
      </c>
      <c r="CH749" t="s">
        <v>381</v>
      </c>
      <c r="CI749" t="s">
        <v>170</v>
      </c>
      <c r="DJ749" t="s">
        <v>267</v>
      </c>
      <c r="DK749" t="s">
        <v>268</v>
      </c>
      <c r="DN749" t="s">
        <v>170</v>
      </c>
      <c r="DO749" t="s">
        <v>382</v>
      </c>
      <c r="DP749" t="s">
        <v>170</v>
      </c>
      <c r="DQ749" t="s">
        <v>187</v>
      </c>
      <c r="DY749">
        <v>29.3</v>
      </c>
      <c r="EB749">
        <v>5</v>
      </c>
      <c r="EC749">
        <v>5</v>
      </c>
      <c r="EE749" t="s">
        <v>383</v>
      </c>
      <c r="EF749">
        <v>2</v>
      </c>
      <c r="EV749">
        <v>5000</v>
      </c>
      <c r="EW749">
        <v>452</v>
      </c>
      <c r="EX749">
        <v>332</v>
      </c>
      <c r="EY749">
        <v>398</v>
      </c>
    </row>
    <row r="750" spans="1:155" x14ac:dyDescent="0.35">
      <c r="A750">
        <v>2025</v>
      </c>
      <c r="B750" t="s">
        <v>378</v>
      </c>
      <c r="C750" t="s">
        <v>378</v>
      </c>
      <c r="D750" t="s">
        <v>379</v>
      </c>
      <c r="E750" t="s">
        <v>380</v>
      </c>
      <c r="F750">
        <v>2</v>
      </c>
      <c r="G750">
        <v>2.4</v>
      </c>
      <c r="H750">
        <v>4</v>
      </c>
      <c r="I750" t="s">
        <v>275</v>
      </c>
      <c r="J750">
        <v>21</v>
      </c>
      <c r="K750">
        <v>30</v>
      </c>
      <c r="L750">
        <v>25</v>
      </c>
      <c r="M750">
        <v>27</v>
      </c>
      <c r="N750">
        <v>43.5</v>
      </c>
      <c r="O750">
        <v>32.557200000000002</v>
      </c>
      <c r="P750">
        <v>21.250499999999999</v>
      </c>
      <c r="Q750">
        <v>30.349399999999999</v>
      </c>
      <c r="R750">
        <v>24.564599999999999</v>
      </c>
      <c r="U750" t="s">
        <v>224</v>
      </c>
      <c r="V750" t="s">
        <v>193</v>
      </c>
      <c r="W750" t="s">
        <v>194</v>
      </c>
      <c r="Y750">
        <v>6</v>
      </c>
      <c r="Z750" t="s">
        <v>169</v>
      </c>
      <c r="AA750" t="s">
        <v>170</v>
      </c>
      <c r="AB750" t="s">
        <v>171</v>
      </c>
      <c r="AC750" t="s">
        <v>172</v>
      </c>
      <c r="AD750">
        <v>15</v>
      </c>
      <c r="AG750" t="s">
        <v>214</v>
      </c>
      <c r="AH750" t="s">
        <v>215</v>
      </c>
      <c r="AI750" t="s">
        <v>175</v>
      </c>
      <c r="AJ750" t="s">
        <v>176</v>
      </c>
      <c r="AK750" t="s">
        <v>170</v>
      </c>
      <c r="AL750" t="s">
        <v>177</v>
      </c>
      <c r="AM750">
        <v>77</v>
      </c>
      <c r="AN750">
        <v>6</v>
      </c>
      <c r="AS750">
        <v>2550</v>
      </c>
      <c r="AT750">
        <v>2550</v>
      </c>
      <c r="BN750" t="s">
        <v>265</v>
      </c>
      <c r="BO750">
        <v>2</v>
      </c>
      <c r="BP750">
        <v>2</v>
      </c>
      <c r="BQ750">
        <v>2</v>
      </c>
      <c r="BR750" t="s">
        <v>321</v>
      </c>
      <c r="BS750" t="s">
        <v>180</v>
      </c>
      <c r="BT750" t="s">
        <v>181</v>
      </c>
      <c r="BU750" s="1">
        <v>45537</v>
      </c>
      <c r="BV750">
        <v>35462</v>
      </c>
      <c r="BX750" t="s">
        <v>170</v>
      </c>
      <c r="BY750" t="s">
        <v>170</v>
      </c>
      <c r="CB750" t="s">
        <v>170</v>
      </c>
      <c r="CC750" t="s">
        <v>170</v>
      </c>
      <c r="CE750" t="s">
        <v>170</v>
      </c>
      <c r="CG750" t="s">
        <v>169</v>
      </c>
      <c r="CH750" t="s">
        <v>381</v>
      </c>
      <c r="CI750" t="s">
        <v>170</v>
      </c>
      <c r="DJ750" t="s">
        <v>267</v>
      </c>
      <c r="DK750" t="s">
        <v>268</v>
      </c>
      <c r="DN750" t="s">
        <v>170</v>
      </c>
      <c r="DO750" t="s">
        <v>382</v>
      </c>
      <c r="DP750" t="s">
        <v>170</v>
      </c>
      <c r="DQ750" t="s">
        <v>187</v>
      </c>
      <c r="DY750">
        <v>32.6</v>
      </c>
      <c r="EB750">
        <v>5</v>
      </c>
      <c r="EC750">
        <v>5</v>
      </c>
      <c r="EE750" t="s">
        <v>383</v>
      </c>
      <c r="EF750">
        <v>2</v>
      </c>
      <c r="EV750">
        <v>3250</v>
      </c>
      <c r="EW750">
        <v>419</v>
      </c>
      <c r="EX750">
        <v>292</v>
      </c>
      <c r="EY750">
        <v>362</v>
      </c>
    </row>
    <row r="751" spans="1:155" x14ac:dyDescent="0.35">
      <c r="A751">
        <v>2025</v>
      </c>
      <c r="B751" t="s">
        <v>378</v>
      </c>
      <c r="C751" t="s">
        <v>378</v>
      </c>
      <c r="D751" t="s">
        <v>1419</v>
      </c>
      <c r="E751" t="s">
        <v>380</v>
      </c>
      <c r="F751">
        <v>15</v>
      </c>
      <c r="G751">
        <v>2</v>
      </c>
      <c r="H751">
        <v>4</v>
      </c>
      <c r="I751" t="s">
        <v>793</v>
      </c>
      <c r="J751">
        <v>27</v>
      </c>
      <c r="K751">
        <v>34</v>
      </c>
      <c r="L751">
        <v>29</v>
      </c>
      <c r="M751">
        <v>34.700000000000003</v>
      </c>
      <c r="N751">
        <v>48.7</v>
      </c>
      <c r="O751">
        <v>39.855899999999998</v>
      </c>
      <c r="P751">
        <v>26.650099999999998</v>
      </c>
      <c r="Q751">
        <v>33.588500000000003</v>
      </c>
      <c r="R751">
        <v>29.3813</v>
      </c>
      <c r="U751" t="s">
        <v>224</v>
      </c>
      <c r="V751" t="s">
        <v>463</v>
      </c>
      <c r="W751" t="s">
        <v>464</v>
      </c>
      <c r="Y751">
        <v>8</v>
      </c>
      <c r="Z751" t="s">
        <v>169</v>
      </c>
      <c r="AA751" t="s">
        <v>170</v>
      </c>
      <c r="AB751" t="s">
        <v>167</v>
      </c>
      <c r="AC751" t="s">
        <v>213</v>
      </c>
      <c r="AD751">
        <v>15</v>
      </c>
      <c r="AG751" t="s">
        <v>210</v>
      </c>
      <c r="AH751" t="s">
        <v>444</v>
      </c>
      <c r="AI751" t="s">
        <v>175</v>
      </c>
      <c r="AJ751" t="s">
        <v>176</v>
      </c>
      <c r="AK751" t="s">
        <v>940</v>
      </c>
      <c r="AL751" t="s">
        <v>941</v>
      </c>
      <c r="AS751">
        <v>1800</v>
      </c>
      <c r="AT751">
        <v>1800</v>
      </c>
      <c r="BN751" t="s">
        <v>178</v>
      </c>
      <c r="BO751">
        <v>2</v>
      </c>
      <c r="BP751">
        <v>2</v>
      </c>
      <c r="BQ751">
        <v>31</v>
      </c>
      <c r="BR751" t="s">
        <v>1219</v>
      </c>
      <c r="BT751" t="s">
        <v>181</v>
      </c>
      <c r="BU751" s="1">
        <v>45551</v>
      </c>
      <c r="BV751">
        <v>35549</v>
      </c>
      <c r="BX751" t="s">
        <v>170</v>
      </c>
      <c r="BY751" t="s">
        <v>170</v>
      </c>
      <c r="CB751" t="s">
        <v>170</v>
      </c>
      <c r="CC751" t="s">
        <v>170</v>
      </c>
      <c r="CE751" t="s">
        <v>170</v>
      </c>
      <c r="CG751" t="s">
        <v>169</v>
      </c>
      <c r="CH751" t="s">
        <v>381</v>
      </c>
      <c r="CI751" t="s">
        <v>170</v>
      </c>
      <c r="DJ751" t="s">
        <v>184</v>
      </c>
      <c r="DK751" t="s">
        <v>185</v>
      </c>
      <c r="DN751" t="s">
        <v>170</v>
      </c>
      <c r="DO751" t="s">
        <v>927</v>
      </c>
      <c r="DP751" t="s">
        <v>169</v>
      </c>
      <c r="DQ751" t="s">
        <v>198</v>
      </c>
      <c r="EB751">
        <v>6</v>
      </c>
      <c r="EC751">
        <v>6</v>
      </c>
      <c r="EE751" t="s">
        <v>928</v>
      </c>
      <c r="EF751">
        <v>6</v>
      </c>
      <c r="EU751">
        <v>500</v>
      </c>
      <c r="EW751">
        <v>331</v>
      </c>
      <c r="EX751">
        <v>263</v>
      </c>
      <c r="EY751">
        <v>300</v>
      </c>
    </row>
    <row r="752" spans="1:155" x14ac:dyDescent="0.35">
      <c r="A752">
        <v>2025</v>
      </c>
      <c r="B752" t="s">
        <v>378</v>
      </c>
      <c r="C752" t="s">
        <v>378</v>
      </c>
      <c r="D752" t="s">
        <v>1419</v>
      </c>
      <c r="E752" t="s">
        <v>380</v>
      </c>
      <c r="F752">
        <v>40</v>
      </c>
      <c r="G752">
        <v>2.5</v>
      </c>
      <c r="H752">
        <v>4</v>
      </c>
      <c r="I752" t="s">
        <v>793</v>
      </c>
      <c r="J752">
        <v>27</v>
      </c>
      <c r="K752">
        <v>33</v>
      </c>
      <c r="L752">
        <v>29</v>
      </c>
      <c r="M752">
        <v>34.543199999999999</v>
      </c>
      <c r="N752">
        <v>47.561</v>
      </c>
      <c r="O752">
        <v>39.395499999999998</v>
      </c>
      <c r="P752">
        <v>26.5428</v>
      </c>
      <c r="Q752">
        <v>32.885300000000001</v>
      </c>
      <c r="R752">
        <v>29.0654</v>
      </c>
      <c r="U752" t="s">
        <v>224</v>
      </c>
      <c r="V752" t="s">
        <v>463</v>
      </c>
      <c r="W752" t="s">
        <v>464</v>
      </c>
      <c r="Y752">
        <v>8</v>
      </c>
      <c r="Z752" t="s">
        <v>169</v>
      </c>
      <c r="AA752" t="s">
        <v>170</v>
      </c>
      <c r="AB752" t="s">
        <v>167</v>
      </c>
      <c r="AC752" t="s">
        <v>213</v>
      </c>
      <c r="AD752">
        <v>15</v>
      </c>
      <c r="AG752" t="s">
        <v>210</v>
      </c>
      <c r="AH752" t="s">
        <v>444</v>
      </c>
      <c r="AI752" t="s">
        <v>175</v>
      </c>
      <c r="AJ752" t="s">
        <v>176</v>
      </c>
      <c r="AK752" t="s">
        <v>940</v>
      </c>
      <c r="AL752" t="s">
        <v>941</v>
      </c>
      <c r="AS752">
        <v>1800</v>
      </c>
      <c r="AT752">
        <v>1800</v>
      </c>
      <c r="BN752" t="s">
        <v>178</v>
      </c>
      <c r="BO752">
        <v>2</v>
      </c>
      <c r="BP752">
        <v>2</v>
      </c>
      <c r="BQ752">
        <v>31</v>
      </c>
      <c r="BR752" t="s">
        <v>1219</v>
      </c>
      <c r="BT752" t="s">
        <v>181</v>
      </c>
      <c r="BU752" s="1">
        <v>45551</v>
      </c>
      <c r="BV752">
        <v>35550</v>
      </c>
      <c r="BX752" t="s">
        <v>170</v>
      </c>
      <c r="BY752" t="s">
        <v>170</v>
      </c>
      <c r="CB752" t="s">
        <v>170</v>
      </c>
      <c r="CC752" t="s">
        <v>170</v>
      </c>
      <c r="CE752" t="s">
        <v>170</v>
      </c>
      <c r="CG752" t="s">
        <v>169</v>
      </c>
      <c r="CH752" t="s">
        <v>381</v>
      </c>
      <c r="CI752" t="s">
        <v>170</v>
      </c>
      <c r="DJ752" t="s">
        <v>184</v>
      </c>
      <c r="DK752" t="s">
        <v>185</v>
      </c>
      <c r="DN752" t="s">
        <v>170</v>
      </c>
      <c r="DO752" t="s">
        <v>927</v>
      </c>
      <c r="DP752" t="s">
        <v>169</v>
      </c>
      <c r="DQ752" t="s">
        <v>198</v>
      </c>
      <c r="EB752">
        <v>6</v>
      </c>
      <c r="EC752">
        <v>6</v>
      </c>
      <c r="EE752" t="s">
        <v>928</v>
      </c>
      <c r="EF752">
        <v>6</v>
      </c>
      <c r="EU752">
        <v>500</v>
      </c>
      <c r="EW752">
        <v>334</v>
      </c>
      <c r="EX752">
        <v>270</v>
      </c>
      <c r="EY752">
        <v>305</v>
      </c>
    </row>
    <row r="753" spans="1:155" x14ac:dyDescent="0.35">
      <c r="A753">
        <v>2025</v>
      </c>
      <c r="B753" t="s">
        <v>378</v>
      </c>
      <c r="C753" t="s">
        <v>378</v>
      </c>
      <c r="D753" t="s">
        <v>1420</v>
      </c>
      <c r="E753" t="s">
        <v>380</v>
      </c>
      <c r="F753">
        <v>41</v>
      </c>
      <c r="G753">
        <v>2.5</v>
      </c>
      <c r="H753">
        <v>4</v>
      </c>
      <c r="I753" t="s">
        <v>793</v>
      </c>
      <c r="J753">
        <v>25</v>
      </c>
      <c r="K753">
        <v>29</v>
      </c>
      <c r="L753">
        <v>27</v>
      </c>
      <c r="M753">
        <v>32.4</v>
      </c>
      <c r="N753">
        <v>42.8</v>
      </c>
      <c r="O753">
        <v>36.377800000000001</v>
      </c>
      <c r="P753">
        <v>25.064800000000002</v>
      </c>
      <c r="Q753">
        <v>29</v>
      </c>
      <c r="R753">
        <v>27.034700000000001</v>
      </c>
      <c r="U753" t="s">
        <v>224</v>
      </c>
      <c r="V753" t="s">
        <v>463</v>
      </c>
      <c r="W753" t="s">
        <v>464</v>
      </c>
      <c r="Y753">
        <v>8</v>
      </c>
      <c r="Z753" t="s">
        <v>169</v>
      </c>
      <c r="AA753" t="s">
        <v>170</v>
      </c>
      <c r="AB753" t="s">
        <v>167</v>
      </c>
      <c r="AC753" t="s">
        <v>213</v>
      </c>
      <c r="AD753">
        <v>15</v>
      </c>
      <c r="AG753" t="s">
        <v>210</v>
      </c>
      <c r="AH753" t="s">
        <v>444</v>
      </c>
      <c r="AI753" t="s">
        <v>175</v>
      </c>
      <c r="AJ753" t="s">
        <v>176</v>
      </c>
      <c r="AK753" t="s">
        <v>940</v>
      </c>
      <c r="AL753" t="s">
        <v>941</v>
      </c>
      <c r="AS753">
        <v>1950</v>
      </c>
      <c r="AT753">
        <v>1950</v>
      </c>
      <c r="BN753" t="s">
        <v>178</v>
      </c>
      <c r="BO753">
        <v>2</v>
      </c>
      <c r="BP753">
        <v>2</v>
      </c>
      <c r="BQ753">
        <v>31</v>
      </c>
      <c r="BR753" t="s">
        <v>1219</v>
      </c>
      <c r="BT753" t="s">
        <v>181</v>
      </c>
      <c r="BU753" s="1">
        <v>45551</v>
      </c>
      <c r="BV753">
        <v>35551</v>
      </c>
      <c r="BX753" t="s">
        <v>169</v>
      </c>
      <c r="BY753" t="s">
        <v>170</v>
      </c>
      <c r="CB753" t="s">
        <v>170</v>
      </c>
      <c r="CC753" t="s">
        <v>170</v>
      </c>
      <c r="CE753" t="s">
        <v>170</v>
      </c>
      <c r="CG753" t="s">
        <v>169</v>
      </c>
      <c r="CH753" t="s">
        <v>381</v>
      </c>
      <c r="CI753" t="s">
        <v>170</v>
      </c>
      <c r="DJ753" t="s">
        <v>184</v>
      </c>
      <c r="DK753" t="s">
        <v>185</v>
      </c>
      <c r="DN753" t="s">
        <v>170</v>
      </c>
      <c r="DO753" t="s">
        <v>927</v>
      </c>
      <c r="DP753" t="s">
        <v>169</v>
      </c>
      <c r="DQ753" t="s">
        <v>198</v>
      </c>
      <c r="EB753">
        <v>5</v>
      </c>
      <c r="EC753">
        <v>5</v>
      </c>
      <c r="EE753" t="s">
        <v>928</v>
      </c>
      <c r="EF753">
        <v>6</v>
      </c>
      <c r="EV753">
        <v>250</v>
      </c>
      <c r="EW753">
        <v>353</v>
      </c>
      <c r="EX753">
        <v>306</v>
      </c>
      <c r="EY753">
        <v>332</v>
      </c>
    </row>
    <row r="754" spans="1:155" x14ac:dyDescent="0.35">
      <c r="A754">
        <v>2025</v>
      </c>
      <c r="B754" t="s">
        <v>378</v>
      </c>
      <c r="C754" t="s">
        <v>378</v>
      </c>
      <c r="D754" t="s">
        <v>1421</v>
      </c>
      <c r="E754" t="s">
        <v>380</v>
      </c>
      <c r="F754">
        <v>18</v>
      </c>
      <c r="G754">
        <v>2.5</v>
      </c>
      <c r="H754">
        <v>4</v>
      </c>
      <c r="I754" t="s">
        <v>793</v>
      </c>
      <c r="J754">
        <v>26</v>
      </c>
      <c r="K754">
        <v>33</v>
      </c>
      <c r="L754">
        <v>29</v>
      </c>
      <c r="M754">
        <v>33.617600000000003</v>
      </c>
      <c r="N754">
        <v>47.9</v>
      </c>
      <c r="O754">
        <v>38.827300000000001</v>
      </c>
      <c r="P754">
        <v>25.9069</v>
      </c>
      <c r="Q754">
        <v>33.094999999999999</v>
      </c>
      <c r="R754">
        <v>28.7133</v>
      </c>
      <c r="U754" t="s">
        <v>224</v>
      </c>
      <c r="V754" t="s">
        <v>463</v>
      </c>
      <c r="W754" t="s">
        <v>464</v>
      </c>
      <c r="Y754">
        <v>8</v>
      </c>
      <c r="Z754" t="s">
        <v>169</v>
      </c>
      <c r="AA754" t="s">
        <v>170</v>
      </c>
      <c r="AB754" t="s">
        <v>167</v>
      </c>
      <c r="AC754" t="s">
        <v>213</v>
      </c>
      <c r="AD754">
        <v>15</v>
      </c>
      <c r="AG754" t="s">
        <v>210</v>
      </c>
      <c r="AH754" t="s">
        <v>444</v>
      </c>
      <c r="AI754" t="s">
        <v>175</v>
      </c>
      <c r="AJ754" t="s">
        <v>176</v>
      </c>
      <c r="AK754" t="s">
        <v>940</v>
      </c>
      <c r="AL754" t="s">
        <v>941</v>
      </c>
      <c r="AS754">
        <v>1800</v>
      </c>
      <c r="AT754">
        <v>1800</v>
      </c>
      <c r="BN754" t="s">
        <v>178</v>
      </c>
      <c r="BO754">
        <v>2</v>
      </c>
      <c r="BP754">
        <v>2</v>
      </c>
      <c r="BQ754">
        <v>31</v>
      </c>
      <c r="BR754" t="s">
        <v>1219</v>
      </c>
      <c r="BT754" t="s">
        <v>181</v>
      </c>
      <c r="BU754" s="1">
        <v>45352</v>
      </c>
      <c r="BV754">
        <v>34516</v>
      </c>
      <c r="BX754" t="s">
        <v>170</v>
      </c>
      <c r="BY754" t="s">
        <v>170</v>
      </c>
      <c r="CB754" t="s">
        <v>170</v>
      </c>
      <c r="CC754" t="s">
        <v>170</v>
      </c>
      <c r="CE754" t="s">
        <v>170</v>
      </c>
      <c r="CG754" t="s">
        <v>169</v>
      </c>
      <c r="CH754" t="s">
        <v>381</v>
      </c>
      <c r="CI754" t="s">
        <v>170</v>
      </c>
      <c r="DJ754" t="s">
        <v>184</v>
      </c>
      <c r="DK754" t="s">
        <v>185</v>
      </c>
      <c r="DN754" t="s">
        <v>170</v>
      </c>
      <c r="DO754" t="s">
        <v>927</v>
      </c>
      <c r="DP754" t="s">
        <v>169</v>
      </c>
      <c r="DQ754" t="s">
        <v>198</v>
      </c>
      <c r="EB754">
        <v>6</v>
      </c>
      <c r="EC754">
        <v>6</v>
      </c>
      <c r="EE754" t="s">
        <v>1422</v>
      </c>
      <c r="EF754">
        <v>6</v>
      </c>
      <c r="EU754">
        <v>500</v>
      </c>
      <c r="EW754">
        <v>343</v>
      </c>
      <c r="EX754">
        <v>269</v>
      </c>
      <c r="EY754">
        <v>310</v>
      </c>
    </row>
    <row r="755" spans="1:155" x14ac:dyDescent="0.35">
      <c r="A755">
        <v>2025</v>
      </c>
      <c r="B755" t="s">
        <v>378</v>
      </c>
      <c r="C755" t="s">
        <v>378</v>
      </c>
      <c r="D755" t="s">
        <v>1423</v>
      </c>
      <c r="E755" t="s">
        <v>380</v>
      </c>
      <c r="F755">
        <v>90</v>
      </c>
      <c r="G755">
        <v>2.5</v>
      </c>
      <c r="H755">
        <v>4</v>
      </c>
      <c r="I755" t="s">
        <v>594</v>
      </c>
      <c r="J755">
        <v>35</v>
      </c>
      <c r="K755">
        <v>34</v>
      </c>
      <c r="L755">
        <v>35</v>
      </c>
      <c r="M755">
        <v>51.521099999999997</v>
      </c>
      <c r="N755">
        <v>48.973700000000001</v>
      </c>
      <c r="O755">
        <v>50.342700000000001</v>
      </c>
      <c r="P755">
        <v>35.0961</v>
      </c>
      <c r="Q755">
        <v>34.073399999999999</v>
      </c>
      <c r="R755">
        <v>34.628399999999999</v>
      </c>
      <c r="U755" t="s">
        <v>224</v>
      </c>
      <c r="V755" t="s">
        <v>463</v>
      </c>
      <c r="W755" t="s">
        <v>464</v>
      </c>
      <c r="Y755">
        <v>6</v>
      </c>
      <c r="Z755" t="s">
        <v>170</v>
      </c>
      <c r="AA755" t="s">
        <v>170</v>
      </c>
      <c r="AB755" t="s">
        <v>167</v>
      </c>
      <c r="AC755" t="s">
        <v>213</v>
      </c>
      <c r="AD755">
        <v>15</v>
      </c>
      <c r="AG755" t="s">
        <v>210</v>
      </c>
      <c r="AH755" t="s">
        <v>444</v>
      </c>
      <c r="AI755" t="s">
        <v>175</v>
      </c>
      <c r="AJ755" t="s">
        <v>176</v>
      </c>
      <c r="AK755" t="s">
        <v>940</v>
      </c>
      <c r="AL755" t="s">
        <v>941</v>
      </c>
      <c r="AS755">
        <v>1500</v>
      </c>
      <c r="AT755">
        <v>1500</v>
      </c>
      <c r="BN755" t="s">
        <v>232</v>
      </c>
      <c r="BO755">
        <v>2</v>
      </c>
      <c r="BP755">
        <v>2</v>
      </c>
      <c r="BQ755">
        <v>31</v>
      </c>
      <c r="BR755" t="s">
        <v>1219</v>
      </c>
      <c r="BT755" t="s">
        <v>225</v>
      </c>
      <c r="BU755" s="1">
        <v>45697</v>
      </c>
      <c r="BV755">
        <v>36053</v>
      </c>
      <c r="BX755" t="s">
        <v>170</v>
      </c>
      <c r="BY755" t="s">
        <v>170</v>
      </c>
      <c r="CB755" t="s">
        <v>170</v>
      </c>
      <c r="CC755" t="s">
        <v>170</v>
      </c>
      <c r="CE755" t="s">
        <v>170</v>
      </c>
      <c r="CG755" t="s">
        <v>169</v>
      </c>
      <c r="CH755" t="s">
        <v>636</v>
      </c>
      <c r="CI755" t="s">
        <v>170</v>
      </c>
      <c r="CK755" t="s">
        <v>233</v>
      </c>
      <c r="CM755">
        <v>1</v>
      </c>
      <c r="CN755" t="s">
        <v>234</v>
      </c>
      <c r="CP755">
        <v>259</v>
      </c>
      <c r="CQ755">
        <v>4</v>
      </c>
      <c r="CR755">
        <v>60.5</v>
      </c>
      <c r="CS755" t="s">
        <v>235</v>
      </c>
      <c r="CV755" t="s">
        <v>341</v>
      </c>
      <c r="CX755" t="s">
        <v>342</v>
      </c>
      <c r="CY755" t="s">
        <v>170</v>
      </c>
      <c r="DD755">
        <v>1</v>
      </c>
      <c r="DE755" t="s">
        <v>663</v>
      </c>
      <c r="DG755">
        <v>77</v>
      </c>
      <c r="DJ755" t="s">
        <v>184</v>
      </c>
      <c r="DK755" t="s">
        <v>185</v>
      </c>
      <c r="DL755" t="s">
        <v>170</v>
      </c>
      <c r="DM755" t="s">
        <v>170</v>
      </c>
      <c r="DN755" t="s">
        <v>170</v>
      </c>
      <c r="DO755" t="s">
        <v>927</v>
      </c>
      <c r="DP755" t="s">
        <v>169</v>
      </c>
      <c r="DQ755" t="s">
        <v>198</v>
      </c>
      <c r="EB755">
        <v>7</v>
      </c>
      <c r="EC755">
        <v>7</v>
      </c>
      <c r="EE755" t="s">
        <v>1424</v>
      </c>
      <c r="EF755">
        <v>7</v>
      </c>
      <c r="EU755">
        <v>2000</v>
      </c>
      <c r="EW755">
        <v>251</v>
      </c>
      <c r="EX755">
        <v>260</v>
      </c>
      <c r="EY755">
        <v>255</v>
      </c>
    </row>
    <row r="756" spans="1:155" x14ac:dyDescent="0.35">
      <c r="A756">
        <v>2025</v>
      </c>
      <c r="B756" t="s">
        <v>378</v>
      </c>
      <c r="C756" t="s">
        <v>378</v>
      </c>
      <c r="D756" t="s">
        <v>1425</v>
      </c>
      <c r="E756" t="s">
        <v>380</v>
      </c>
      <c r="F756">
        <v>20</v>
      </c>
      <c r="G756">
        <v>2.5</v>
      </c>
      <c r="H756">
        <v>4</v>
      </c>
      <c r="I756" t="s">
        <v>793</v>
      </c>
      <c r="J756">
        <v>25</v>
      </c>
      <c r="K756">
        <v>32</v>
      </c>
      <c r="L756">
        <v>28</v>
      </c>
      <c r="M756">
        <v>32.9</v>
      </c>
      <c r="N756">
        <v>46.2</v>
      </c>
      <c r="O756">
        <v>37.796300000000002</v>
      </c>
      <c r="P756">
        <v>25.4114</v>
      </c>
      <c r="Q756">
        <v>32.040500000000002</v>
      </c>
      <c r="R756">
        <v>28.020199999999999</v>
      </c>
      <c r="U756" t="s">
        <v>224</v>
      </c>
      <c r="V756" t="s">
        <v>463</v>
      </c>
      <c r="W756" t="s">
        <v>464</v>
      </c>
      <c r="Y756">
        <v>8</v>
      </c>
      <c r="Z756" t="s">
        <v>169</v>
      </c>
      <c r="AA756" t="s">
        <v>170</v>
      </c>
      <c r="AB756" t="s">
        <v>167</v>
      </c>
      <c r="AC756" t="s">
        <v>213</v>
      </c>
      <c r="AD756">
        <v>15</v>
      </c>
      <c r="AG756" t="s">
        <v>210</v>
      </c>
      <c r="AH756" t="s">
        <v>444</v>
      </c>
      <c r="AI756" t="s">
        <v>175</v>
      </c>
      <c r="AJ756" t="s">
        <v>176</v>
      </c>
      <c r="AK756" t="s">
        <v>940</v>
      </c>
      <c r="AL756" t="s">
        <v>941</v>
      </c>
      <c r="AS756">
        <v>1900</v>
      </c>
      <c r="AT756">
        <v>1900</v>
      </c>
      <c r="BN756" t="s">
        <v>178</v>
      </c>
      <c r="BO756">
        <v>2</v>
      </c>
      <c r="BP756">
        <v>2</v>
      </c>
      <c r="BQ756">
        <v>31</v>
      </c>
      <c r="BR756" t="s">
        <v>1219</v>
      </c>
      <c r="BT756" t="s">
        <v>181</v>
      </c>
      <c r="BU756" s="1">
        <v>45352</v>
      </c>
      <c r="BV756">
        <v>34517</v>
      </c>
      <c r="BX756" t="s">
        <v>169</v>
      </c>
      <c r="BY756" t="s">
        <v>170</v>
      </c>
      <c r="CB756" t="s">
        <v>170</v>
      </c>
      <c r="CC756" t="s">
        <v>170</v>
      </c>
      <c r="CE756" t="s">
        <v>170</v>
      </c>
      <c r="CG756" t="s">
        <v>169</v>
      </c>
      <c r="CH756" t="s">
        <v>381</v>
      </c>
      <c r="CI756" t="s">
        <v>170</v>
      </c>
      <c r="DJ756" t="s">
        <v>184</v>
      </c>
      <c r="DK756" t="s">
        <v>185</v>
      </c>
      <c r="DN756" t="s">
        <v>170</v>
      </c>
      <c r="DO756" t="s">
        <v>927</v>
      </c>
      <c r="DP756" t="s">
        <v>169</v>
      </c>
      <c r="DQ756" t="s">
        <v>198</v>
      </c>
      <c r="EB756">
        <v>6</v>
      </c>
      <c r="EC756">
        <v>6</v>
      </c>
      <c r="EE756" t="s">
        <v>1422</v>
      </c>
      <c r="EF756">
        <v>6</v>
      </c>
      <c r="EU756">
        <v>0</v>
      </c>
      <c r="EW756">
        <v>350</v>
      </c>
      <c r="EX756">
        <v>278</v>
      </c>
      <c r="EY756">
        <v>317</v>
      </c>
    </row>
    <row r="757" spans="1:155" x14ac:dyDescent="0.35">
      <c r="A757">
        <v>2025</v>
      </c>
      <c r="B757" t="s">
        <v>378</v>
      </c>
      <c r="C757" t="s">
        <v>378</v>
      </c>
      <c r="D757" t="s">
        <v>1426</v>
      </c>
      <c r="E757" t="s">
        <v>380</v>
      </c>
      <c r="F757">
        <v>80</v>
      </c>
      <c r="G757">
        <v>2.5</v>
      </c>
      <c r="H757">
        <v>4</v>
      </c>
      <c r="I757" t="s">
        <v>793</v>
      </c>
      <c r="J757">
        <v>25</v>
      </c>
      <c r="K757">
        <v>28</v>
      </c>
      <c r="L757">
        <v>26</v>
      </c>
      <c r="M757">
        <v>31.9</v>
      </c>
      <c r="N757">
        <v>40.4</v>
      </c>
      <c r="O757">
        <v>35.2361</v>
      </c>
      <c r="P757">
        <v>24.717099999999999</v>
      </c>
      <c r="Q757">
        <v>28.382400000000001</v>
      </c>
      <c r="R757">
        <v>26.242100000000001</v>
      </c>
      <c r="U757" t="s">
        <v>224</v>
      </c>
      <c r="V757" t="s">
        <v>463</v>
      </c>
      <c r="W757" t="s">
        <v>464</v>
      </c>
      <c r="Y757">
        <v>8</v>
      </c>
      <c r="Z757" t="s">
        <v>169</v>
      </c>
      <c r="AA757" t="s">
        <v>170</v>
      </c>
      <c r="AB757" t="s">
        <v>167</v>
      </c>
      <c r="AC757" t="s">
        <v>213</v>
      </c>
      <c r="AD757">
        <v>15</v>
      </c>
      <c r="AG757" t="s">
        <v>210</v>
      </c>
      <c r="AH757" t="s">
        <v>444</v>
      </c>
      <c r="AI757" t="s">
        <v>175</v>
      </c>
      <c r="AJ757" t="s">
        <v>176</v>
      </c>
      <c r="AK757" t="s">
        <v>940</v>
      </c>
      <c r="AL757" t="s">
        <v>941</v>
      </c>
      <c r="AS757">
        <v>2000</v>
      </c>
      <c r="AT757">
        <v>2000</v>
      </c>
      <c r="BN757" t="s">
        <v>178</v>
      </c>
      <c r="BO757">
        <v>2</v>
      </c>
      <c r="BP757">
        <v>2</v>
      </c>
      <c r="BQ757">
        <v>31</v>
      </c>
      <c r="BR757" t="s">
        <v>1219</v>
      </c>
      <c r="BT757" t="s">
        <v>181</v>
      </c>
      <c r="BU757" s="1">
        <v>45611</v>
      </c>
      <c r="BV757">
        <v>35812</v>
      </c>
      <c r="BX757" t="s">
        <v>169</v>
      </c>
      <c r="BY757" t="s">
        <v>170</v>
      </c>
      <c r="CB757" t="s">
        <v>170</v>
      </c>
      <c r="CC757" t="s">
        <v>170</v>
      </c>
      <c r="CE757" t="s">
        <v>170</v>
      </c>
      <c r="CG757" t="s">
        <v>169</v>
      </c>
      <c r="CH757" t="s">
        <v>381</v>
      </c>
      <c r="CI757" t="s">
        <v>170</v>
      </c>
      <c r="DJ757" t="s">
        <v>184</v>
      </c>
      <c r="DK757" t="s">
        <v>185</v>
      </c>
      <c r="DN757" t="s">
        <v>170</v>
      </c>
      <c r="DO757" t="s">
        <v>794</v>
      </c>
      <c r="DP757" t="s">
        <v>169</v>
      </c>
      <c r="DQ757" t="s">
        <v>198</v>
      </c>
      <c r="EB757">
        <v>5</v>
      </c>
      <c r="EC757">
        <v>5</v>
      </c>
      <c r="EE757" t="s">
        <v>796</v>
      </c>
      <c r="EF757">
        <v>6</v>
      </c>
      <c r="EV757">
        <v>500</v>
      </c>
      <c r="EW757">
        <v>359</v>
      </c>
      <c r="EX757">
        <v>313</v>
      </c>
      <c r="EY757">
        <v>338</v>
      </c>
    </row>
    <row r="758" spans="1:155" x14ac:dyDescent="0.35">
      <c r="A758">
        <v>2025</v>
      </c>
      <c r="B758" t="s">
        <v>378</v>
      </c>
      <c r="C758" t="s">
        <v>378</v>
      </c>
      <c r="D758" t="s">
        <v>926</v>
      </c>
      <c r="E758" t="s">
        <v>380</v>
      </c>
      <c r="F758">
        <v>6</v>
      </c>
      <c r="G758">
        <v>2</v>
      </c>
      <c r="H758">
        <v>4</v>
      </c>
      <c r="I758" t="s">
        <v>793</v>
      </c>
      <c r="J758">
        <v>27</v>
      </c>
      <c r="K758">
        <v>34</v>
      </c>
      <c r="L758">
        <v>30</v>
      </c>
      <c r="M758">
        <v>35.023299999999999</v>
      </c>
      <c r="N758">
        <v>49.3688</v>
      </c>
      <c r="O758">
        <v>40.291899999999998</v>
      </c>
      <c r="P758">
        <v>26.871099999999998</v>
      </c>
      <c r="Q758">
        <v>33.999699999999997</v>
      </c>
      <c r="R758">
        <v>29.670500000000001</v>
      </c>
      <c r="U758" t="s">
        <v>224</v>
      </c>
      <c r="V758" t="s">
        <v>463</v>
      </c>
      <c r="W758" t="s">
        <v>464</v>
      </c>
      <c r="Y758">
        <v>8</v>
      </c>
      <c r="Z758" t="s">
        <v>169</v>
      </c>
      <c r="AA758" t="s">
        <v>170</v>
      </c>
      <c r="AB758" t="s">
        <v>167</v>
      </c>
      <c r="AC758" t="s">
        <v>213</v>
      </c>
      <c r="AD758">
        <v>15</v>
      </c>
      <c r="AG758" t="s">
        <v>210</v>
      </c>
      <c r="AH758" t="s">
        <v>444</v>
      </c>
      <c r="AI758" t="s">
        <v>175</v>
      </c>
      <c r="AJ758" t="s">
        <v>176</v>
      </c>
      <c r="AK758" t="s">
        <v>170</v>
      </c>
      <c r="AL758" t="s">
        <v>177</v>
      </c>
      <c r="AO758">
        <v>100</v>
      </c>
      <c r="AP758">
        <v>20</v>
      </c>
      <c r="AS758">
        <v>1750</v>
      </c>
      <c r="AT758">
        <v>1750</v>
      </c>
      <c r="BN758" t="s">
        <v>178</v>
      </c>
      <c r="BO758">
        <v>2</v>
      </c>
      <c r="BP758">
        <v>2</v>
      </c>
      <c r="BQ758">
        <v>7</v>
      </c>
      <c r="BR758" t="s">
        <v>897</v>
      </c>
      <c r="BS758" t="s">
        <v>180</v>
      </c>
      <c r="BT758" t="s">
        <v>181</v>
      </c>
      <c r="BU758" s="1">
        <v>45551</v>
      </c>
      <c r="BV758">
        <v>35547</v>
      </c>
      <c r="BX758" t="s">
        <v>170</v>
      </c>
      <c r="BY758" t="s">
        <v>170</v>
      </c>
      <c r="CB758" t="s">
        <v>170</v>
      </c>
      <c r="CC758" t="s">
        <v>170</v>
      </c>
      <c r="CE758" t="s">
        <v>170</v>
      </c>
      <c r="CG758" t="s">
        <v>169</v>
      </c>
      <c r="CH758" t="s">
        <v>381</v>
      </c>
      <c r="CI758" t="s">
        <v>170</v>
      </c>
      <c r="DJ758" t="s">
        <v>184</v>
      </c>
      <c r="DK758" t="s">
        <v>185</v>
      </c>
      <c r="DN758" t="s">
        <v>170</v>
      </c>
      <c r="DO758" t="s">
        <v>927</v>
      </c>
      <c r="DP758" t="s">
        <v>169</v>
      </c>
      <c r="DQ758" t="s">
        <v>198</v>
      </c>
      <c r="DY758">
        <v>40.299999999999997</v>
      </c>
      <c r="EB758">
        <v>6</v>
      </c>
      <c r="EC758">
        <v>6</v>
      </c>
      <c r="EE758" t="s">
        <v>928</v>
      </c>
      <c r="EF758">
        <v>6</v>
      </c>
      <c r="EU758">
        <v>750</v>
      </c>
      <c r="EW758">
        <v>328</v>
      </c>
      <c r="EX758">
        <v>260</v>
      </c>
      <c r="EY758">
        <v>297</v>
      </c>
    </row>
    <row r="759" spans="1:155" x14ac:dyDescent="0.35">
      <c r="A759">
        <v>2025</v>
      </c>
      <c r="B759" t="s">
        <v>378</v>
      </c>
      <c r="C759" t="s">
        <v>378</v>
      </c>
      <c r="D759" t="s">
        <v>926</v>
      </c>
      <c r="E759" t="s">
        <v>380</v>
      </c>
      <c r="F759">
        <v>9</v>
      </c>
      <c r="G759">
        <v>2.5</v>
      </c>
      <c r="H759">
        <v>4</v>
      </c>
      <c r="I759" t="s">
        <v>793</v>
      </c>
      <c r="J759">
        <v>26</v>
      </c>
      <c r="K759">
        <v>33</v>
      </c>
      <c r="L759">
        <v>29</v>
      </c>
      <c r="M759">
        <v>34</v>
      </c>
      <c r="N759">
        <v>47.7</v>
      </c>
      <c r="O759">
        <v>39.046599999999998</v>
      </c>
      <c r="P759">
        <v>26.170100000000001</v>
      </c>
      <c r="Q759">
        <v>32.971299999999999</v>
      </c>
      <c r="R759">
        <v>28.847899999999999</v>
      </c>
      <c r="U759" t="s">
        <v>224</v>
      </c>
      <c r="V759" t="s">
        <v>463</v>
      </c>
      <c r="W759" t="s">
        <v>464</v>
      </c>
      <c r="Y759">
        <v>8</v>
      </c>
      <c r="Z759" t="s">
        <v>169</v>
      </c>
      <c r="AA759" t="s">
        <v>170</v>
      </c>
      <c r="AB759" t="s">
        <v>167</v>
      </c>
      <c r="AC759" t="s">
        <v>213</v>
      </c>
      <c r="AD759">
        <v>15</v>
      </c>
      <c r="AG759" t="s">
        <v>210</v>
      </c>
      <c r="AH759" t="s">
        <v>444</v>
      </c>
      <c r="AI759" t="s">
        <v>175</v>
      </c>
      <c r="AJ759" t="s">
        <v>176</v>
      </c>
      <c r="AK759" t="s">
        <v>170</v>
      </c>
      <c r="AL759" t="s">
        <v>177</v>
      </c>
      <c r="AO759">
        <v>100</v>
      </c>
      <c r="AP759">
        <v>20</v>
      </c>
      <c r="AS759">
        <v>1800</v>
      </c>
      <c r="AT759">
        <v>1800</v>
      </c>
      <c r="BN759" t="s">
        <v>178</v>
      </c>
      <c r="BO759">
        <v>2</v>
      </c>
      <c r="BP759">
        <v>2</v>
      </c>
      <c r="BQ759">
        <v>7</v>
      </c>
      <c r="BR759" t="s">
        <v>897</v>
      </c>
      <c r="BS759" t="s">
        <v>180</v>
      </c>
      <c r="BT759" t="s">
        <v>181</v>
      </c>
      <c r="BU759" s="1">
        <v>45551</v>
      </c>
      <c r="BV759">
        <v>35548</v>
      </c>
      <c r="BX759" t="s">
        <v>170</v>
      </c>
      <c r="BY759" t="s">
        <v>170</v>
      </c>
      <c r="CB759" t="s">
        <v>170</v>
      </c>
      <c r="CC759" t="s">
        <v>170</v>
      </c>
      <c r="CE759" t="s">
        <v>170</v>
      </c>
      <c r="CG759" t="s">
        <v>169</v>
      </c>
      <c r="CH759" t="s">
        <v>381</v>
      </c>
      <c r="CI759" t="s">
        <v>170</v>
      </c>
      <c r="DJ759" t="s">
        <v>184</v>
      </c>
      <c r="DK759" t="s">
        <v>185</v>
      </c>
      <c r="DN759" t="s">
        <v>170</v>
      </c>
      <c r="DO759" t="s">
        <v>927</v>
      </c>
      <c r="DP759" t="s">
        <v>169</v>
      </c>
      <c r="DQ759" t="s">
        <v>198</v>
      </c>
      <c r="DY759">
        <v>39</v>
      </c>
      <c r="EB759">
        <v>6</v>
      </c>
      <c r="EC759">
        <v>6</v>
      </c>
      <c r="EE759" t="s">
        <v>928</v>
      </c>
      <c r="EF759">
        <v>6</v>
      </c>
      <c r="EU759">
        <v>500</v>
      </c>
      <c r="EW759">
        <v>337</v>
      </c>
      <c r="EX759">
        <v>268</v>
      </c>
      <c r="EY759">
        <v>306</v>
      </c>
    </row>
    <row r="760" spans="1:155" x14ac:dyDescent="0.35">
      <c r="A760">
        <v>2025</v>
      </c>
      <c r="B760" t="s">
        <v>378</v>
      </c>
      <c r="C760" t="s">
        <v>378</v>
      </c>
      <c r="D760" t="s">
        <v>792</v>
      </c>
      <c r="E760" t="s">
        <v>380</v>
      </c>
      <c r="F760">
        <v>8</v>
      </c>
      <c r="G760">
        <v>2.5</v>
      </c>
      <c r="H760">
        <v>4</v>
      </c>
      <c r="I760" t="s">
        <v>793</v>
      </c>
      <c r="J760">
        <v>27</v>
      </c>
      <c r="K760">
        <v>35</v>
      </c>
      <c r="L760">
        <v>30</v>
      </c>
      <c r="M760">
        <v>35.005699999999997</v>
      </c>
      <c r="N760">
        <v>51.210900000000002</v>
      </c>
      <c r="O760">
        <v>40.818100000000001</v>
      </c>
      <c r="P760">
        <v>26.859100000000002</v>
      </c>
      <c r="Q760">
        <v>35.126100000000001</v>
      </c>
      <c r="R760">
        <v>30.040700000000001</v>
      </c>
      <c r="U760" t="s">
        <v>224</v>
      </c>
      <c r="V760" t="s">
        <v>463</v>
      </c>
      <c r="W760" t="s">
        <v>464</v>
      </c>
      <c r="Y760">
        <v>8</v>
      </c>
      <c r="Z760" t="s">
        <v>169</v>
      </c>
      <c r="AA760" t="s">
        <v>170</v>
      </c>
      <c r="AB760" t="s">
        <v>167</v>
      </c>
      <c r="AC760" t="s">
        <v>213</v>
      </c>
      <c r="AD760">
        <v>15</v>
      </c>
      <c r="AG760" t="s">
        <v>210</v>
      </c>
      <c r="AH760" t="s">
        <v>444</v>
      </c>
      <c r="AI760" t="s">
        <v>175</v>
      </c>
      <c r="AJ760" t="s">
        <v>176</v>
      </c>
      <c r="AK760" t="s">
        <v>170</v>
      </c>
      <c r="AL760" t="s">
        <v>177</v>
      </c>
      <c r="AO760">
        <v>105</v>
      </c>
      <c r="AP760">
        <v>15</v>
      </c>
      <c r="AS760">
        <v>1750</v>
      </c>
      <c r="AT760">
        <v>1750</v>
      </c>
      <c r="BN760" t="s">
        <v>178</v>
      </c>
      <c r="BO760">
        <v>2</v>
      </c>
      <c r="BP760">
        <v>2</v>
      </c>
      <c r="BQ760">
        <v>5</v>
      </c>
      <c r="BR760" t="s">
        <v>672</v>
      </c>
      <c r="BS760" t="s">
        <v>180</v>
      </c>
      <c r="BT760" t="s">
        <v>181</v>
      </c>
      <c r="BU760" s="1">
        <v>45397</v>
      </c>
      <c r="BV760">
        <v>34648</v>
      </c>
      <c r="BX760" t="s">
        <v>170</v>
      </c>
      <c r="BY760" t="s">
        <v>170</v>
      </c>
      <c r="CB760" t="s">
        <v>170</v>
      </c>
      <c r="CC760" t="s">
        <v>170</v>
      </c>
      <c r="CE760" t="s">
        <v>170</v>
      </c>
      <c r="CG760" t="s">
        <v>169</v>
      </c>
      <c r="CH760" t="s">
        <v>381</v>
      </c>
      <c r="CI760" t="s">
        <v>170</v>
      </c>
      <c r="DJ760" t="s">
        <v>184</v>
      </c>
      <c r="DK760" t="s">
        <v>185</v>
      </c>
      <c r="DN760" t="s">
        <v>170</v>
      </c>
      <c r="DO760" t="s">
        <v>794</v>
      </c>
      <c r="DP760" t="s">
        <v>169</v>
      </c>
      <c r="DQ760" t="s">
        <v>198</v>
      </c>
      <c r="DY760">
        <v>40.799999999999997</v>
      </c>
      <c r="EB760">
        <v>6</v>
      </c>
      <c r="EC760">
        <v>6</v>
      </c>
      <c r="EE760" t="s">
        <v>796</v>
      </c>
      <c r="EF760">
        <v>6</v>
      </c>
      <c r="EU760">
        <v>750</v>
      </c>
      <c r="EW760">
        <v>330</v>
      </c>
      <c r="EX760">
        <v>253</v>
      </c>
      <c r="EY760">
        <v>295</v>
      </c>
    </row>
    <row r="761" spans="1:155" x14ac:dyDescent="0.35">
      <c r="A761">
        <v>2025</v>
      </c>
      <c r="B761" t="s">
        <v>378</v>
      </c>
      <c r="C761" t="s">
        <v>378</v>
      </c>
      <c r="D761" t="s">
        <v>792</v>
      </c>
      <c r="E761" t="s">
        <v>380</v>
      </c>
      <c r="F761">
        <v>13</v>
      </c>
      <c r="G761">
        <v>2.4</v>
      </c>
      <c r="H761">
        <v>4</v>
      </c>
      <c r="I761" t="s">
        <v>793</v>
      </c>
      <c r="J761">
        <v>23</v>
      </c>
      <c r="K761">
        <v>31</v>
      </c>
      <c r="L761">
        <v>26</v>
      </c>
      <c r="M761">
        <v>29.647500000000001</v>
      </c>
      <c r="N761">
        <v>44.904600000000002</v>
      </c>
      <c r="O761">
        <v>34.998600000000003</v>
      </c>
      <c r="P761">
        <v>23.137</v>
      </c>
      <c r="Q761">
        <v>31.2317</v>
      </c>
      <c r="R761">
        <v>26.191800000000001</v>
      </c>
      <c r="T761" t="s">
        <v>165</v>
      </c>
      <c r="U761" t="s">
        <v>166</v>
      </c>
      <c r="V761" t="s">
        <v>463</v>
      </c>
      <c r="W761" t="s">
        <v>464</v>
      </c>
      <c r="Y761">
        <v>8</v>
      </c>
      <c r="Z761" t="s">
        <v>169</v>
      </c>
      <c r="AA761" t="s">
        <v>170</v>
      </c>
      <c r="AB761" t="s">
        <v>167</v>
      </c>
      <c r="AC761" t="s">
        <v>213</v>
      </c>
      <c r="AD761">
        <v>15</v>
      </c>
      <c r="AG761" t="s">
        <v>210</v>
      </c>
      <c r="AH761" t="s">
        <v>444</v>
      </c>
      <c r="AI761" t="s">
        <v>175</v>
      </c>
      <c r="AJ761" t="s">
        <v>176</v>
      </c>
      <c r="AK761" t="s">
        <v>170</v>
      </c>
      <c r="AL761" t="s">
        <v>177</v>
      </c>
      <c r="AO761">
        <v>105</v>
      </c>
      <c r="AP761">
        <v>15</v>
      </c>
      <c r="AS761">
        <v>2000</v>
      </c>
      <c r="AT761">
        <v>2000</v>
      </c>
      <c r="BN761" t="s">
        <v>178</v>
      </c>
      <c r="BO761">
        <v>2</v>
      </c>
      <c r="BP761">
        <v>2</v>
      </c>
      <c r="BQ761">
        <v>5</v>
      </c>
      <c r="BR761" t="s">
        <v>672</v>
      </c>
      <c r="BS761" t="s">
        <v>180</v>
      </c>
      <c r="BT761" t="s">
        <v>181</v>
      </c>
      <c r="BU761" s="1">
        <v>45397</v>
      </c>
      <c r="BV761">
        <v>34649</v>
      </c>
      <c r="BX761" t="s">
        <v>170</v>
      </c>
      <c r="BY761" t="s">
        <v>170</v>
      </c>
      <c r="CB761" t="s">
        <v>170</v>
      </c>
      <c r="CC761" t="s">
        <v>170</v>
      </c>
      <c r="CE761" t="s">
        <v>170</v>
      </c>
      <c r="CG761" t="s">
        <v>169</v>
      </c>
      <c r="CH761" t="s">
        <v>381</v>
      </c>
      <c r="CI761" t="s">
        <v>170</v>
      </c>
      <c r="DJ761" t="s">
        <v>184</v>
      </c>
      <c r="DK761" t="s">
        <v>185</v>
      </c>
      <c r="DN761" t="s">
        <v>170</v>
      </c>
      <c r="DO761" t="s">
        <v>794</v>
      </c>
      <c r="DP761" t="s">
        <v>169</v>
      </c>
      <c r="DQ761" t="s">
        <v>198</v>
      </c>
      <c r="DY761">
        <v>35</v>
      </c>
      <c r="EB761">
        <v>5</v>
      </c>
      <c r="EC761">
        <v>5</v>
      </c>
      <c r="EE761" t="s">
        <v>795</v>
      </c>
      <c r="EF761">
        <v>5</v>
      </c>
      <c r="EV761">
        <v>500</v>
      </c>
      <c r="EW761">
        <v>381</v>
      </c>
      <c r="EX761">
        <v>283</v>
      </c>
      <c r="EY761">
        <v>337</v>
      </c>
    </row>
    <row r="762" spans="1:155" x14ac:dyDescent="0.35">
      <c r="A762">
        <v>2025</v>
      </c>
      <c r="B762" t="s">
        <v>378</v>
      </c>
      <c r="C762" t="s">
        <v>378</v>
      </c>
      <c r="D762" t="s">
        <v>1427</v>
      </c>
      <c r="E762" t="s">
        <v>380</v>
      </c>
      <c r="F762">
        <v>19</v>
      </c>
      <c r="G762">
        <v>2.5</v>
      </c>
      <c r="H762">
        <v>4</v>
      </c>
      <c r="I762" t="s">
        <v>793</v>
      </c>
      <c r="J762">
        <v>26</v>
      </c>
      <c r="K762">
        <v>32</v>
      </c>
      <c r="L762">
        <v>28</v>
      </c>
      <c r="M762">
        <v>33.311799999999998</v>
      </c>
      <c r="N762">
        <v>46.347099999999998</v>
      </c>
      <c r="O762">
        <v>38.138800000000003</v>
      </c>
      <c r="P762">
        <v>25.696000000000002</v>
      </c>
      <c r="Q762">
        <v>32.132100000000001</v>
      </c>
      <c r="R762">
        <v>28.241599999999998</v>
      </c>
      <c r="U762" t="s">
        <v>224</v>
      </c>
      <c r="V762" t="s">
        <v>463</v>
      </c>
      <c r="W762" t="s">
        <v>464</v>
      </c>
      <c r="Y762">
        <v>8</v>
      </c>
      <c r="Z762" t="s">
        <v>169</v>
      </c>
      <c r="AA762" t="s">
        <v>170</v>
      </c>
      <c r="AB762" t="s">
        <v>167</v>
      </c>
      <c r="AC762" t="s">
        <v>213</v>
      </c>
      <c r="AD762">
        <v>15</v>
      </c>
      <c r="AG762" t="s">
        <v>210</v>
      </c>
      <c r="AH762" t="s">
        <v>444</v>
      </c>
      <c r="AI762" t="s">
        <v>175</v>
      </c>
      <c r="AJ762" t="s">
        <v>176</v>
      </c>
      <c r="AK762" t="s">
        <v>940</v>
      </c>
      <c r="AL762" t="s">
        <v>941</v>
      </c>
      <c r="AS762">
        <v>1900</v>
      </c>
      <c r="AT762">
        <v>1900</v>
      </c>
      <c r="BN762" t="s">
        <v>178</v>
      </c>
      <c r="BO762">
        <v>2</v>
      </c>
      <c r="BP762">
        <v>2</v>
      </c>
      <c r="BQ762">
        <v>31</v>
      </c>
      <c r="BR762" t="s">
        <v>1219</v>
      </c>
      <c r="BT762" t="s">
        <v>181</v>
      </c>
      <c r="BU762" s="1">
        <v>45397</v>
      </c>
      <c r="BV762">
        <v>34650</v>
      </c>
      <c r="BX762" t="s">
        <v>170</v>
      </c>
      <c r="BY762" t="s">
        <v>170</v>
      </c>
      <c r="CB762" t="s">
        <v>170</v>
      </c>
      <c r="CC762" t="s">
        <v>170</v>
      </c>
      <c r="CE762" t="s">
        <v>170</v>
      </c>
      <c r="CG762" t="s">
        <v>169</v>
      </c>
      <c r="CH762" t="s">
        <v>381</v>
      </c>
      <c r="CI762" t="s">
        <v>170</v>
      </c>
      <c r="DJ762" t="s">
        <v>184</v>
      </c>
      <c r="DK762" t="s">
        <v>185</v>
      </c>
      <c r="DN762" t="s">
        <v>170</v>
      </c>
      <c r="DO762" t="s">
        <v>794</v>
      </c>
      <c r="DP762" t="s">
        <v>169</v>
      </c>
      <c r="DQ762" t="s">
        <v>198</v>
      </c>
      <c r="EB762">
        <v>6</v>
      </c>
      <c r="EC762">
        <v>6</v>
      </c>
      <c r="EE762" t="s">
        <v>796</v>
      </c>
      <c r="EF762">
        <v>6</v>
      </c>
      <c r="EU762">
        <v>0</v>
      </c>
      <c r="EW762">
        <v>345</v>
      </c>
      <c r="EX762">
        <v>276</v>
      </c>
      <c r="EY762">
        <v>314</v>
      </c>
    </row>
    <row r="763" spans="1:155" x14ac:dyDescent="0.35">
      <c r="A763">
        <v>2025</v>
      </c>
      <c r="B763" t="s">
        <v>378</v>
      </c>
      <c r="C763" t="s">
        <v>378</v>
      </c>
      <c r="D763" t="s">
        <v>1427</v>
      </c>
      <c r="E763" t="s">
        <v>380</v>
      </c>
      <c r="F763">
        <v>21</v>
      </c>
      <c r="G763">
        <v>2.4</v>
      </c>
      <c r="H763">
        <v>4</v>
      </c>
      <c r="I763" t="s">
        <v>793</v>
      </c>
      <c r="J763">
        <v>22</v>
      </c>
      <c r="K763">
        <v>29</v>
      </c>
      <c r="L763">
        <v>25</v>
      </c>
      <c r="M763">
        <v>28.2</v>
      </c>
      <c r="N763">
        <v>41.4</v>
      </c>
      <c r="O763">
        <v>32.923900000000003</v>
      </c>
      <c r="P763">
        <v>22.1096</v>
      </c>
      <c r="Q763">
        <v>29.0199</v>
      </c>
      <c r="R763">
        <v>24.763100000000001</v>
      </c>
      <c r="T763" t="s">
        <v>165</v>
      </c>
      <c r="U763" t="s">
        <v>166</v>
      </c>
      <c r="V763" t="s">
        <v>463</v>
      </c>
      <c r="W763" t="s">
        <v>464</v>
      </c>
      <c r="Y763">
        <v>8</v>
      </c>
      <c r="Z763" t="s">
        <v>169</v>
      </c>
      <c r="AA763" t="s">
        <v>170</v>
      </c>
      <c r="AB763" t="s">
        <v>167</v>
      </c>
      <c r="AC763" t="s">
        <v>213</v>
      </c>
      <c r="AD763">
        <v>15</v>
      </c>
      <c r="AG763" t="s">
        <v>210</v>
      </c>
      <c r="AH763" t="s">
        <v>444</v>
      </c>
      <c r="AI763" t="s">
        <v>175</v>
      </c>
      <c r="AJ763" t="s">
        <v>176</v>
      </c>
      <c r="AK763" t="s">
        <v>940</v>
      </c>
      <c r="AL763" t="s">
        <v>941</v>
      </c>
      <c r="AS763">
        <v>2100</v>
      </c>
      <c r="AT763">
        <v>2100</v>
      </c>
      <c r="BN763" t="s">
        <v>178</v>
      </c>
      <c r="BO763">
        <v>2</v>
      </c>
      <c r="BP763">
        <v>2</v>
      </c>
      <c r="BQ763">
        <v>31</v>
      </c>
      <c r="BR763" t="s">
        <v>1219</v>
      </c>
      <c r="BT763" t="s">
        <v>181</v>
      </c>
      <c r="BU763" s="1">
        <v>45397</v>
      </c>
      <c r="BV763">
        <v>34651</v>
      </c>
      <c r="BX763" t="s">
        <v>170</v>
      </c>
      <c r="BY763" t="s">
        <v>170</v>
      </c>
      <c r="CB763" t="s">
        <v>170</v>
      </c>
      <c r="CC763" t="s">
        <v>170</v>
      </c>
      <c r="CE763" t="s">
        <v>170</v>
      </c>
      <c r="CG763" t="s">
        <v>169</v>
      </c>
      <c r="CH763" t="s">
        <v>381</v>
      </c>
      <c r="CI763" t="s">
        <v>170</v>
      </c>
      <c r="DJ763" t="s">
        <v>184</v>
      </c>
      <c r="DK763" t="s">
        <v>185</v>
      </c>
      <c r="DN763" t="s">
        <v>170</v>
      </c>
      <c r="DO763" t="s">
        <v>794</v>
      </c>
      <c r="DP763" t="s">
        <v>169</v>
      </c>
      <c r="DQ763" t="s">
        <v>198</v>
      </c>
      <c r="EB763">
        <v>5</v>
      </c>
      <c r="EC763">
        <v>5</v>
      </c>
      <c r="EE763" t="s">
        <v>795</v>
      </c>
      <c r="EF763">
        <v>5</v>
      </c>
      <c r="EV763">
        <v>1000</v>
      </c>
      <c r="EW763">
        <v>398</v>
      </c>
      <c r="EX763">
        <v>304</v>
      </c>
      <c r="EY763">
        <v>356</v>
      </c>
    </row>
    <row r="764" spans="1:155" x14ac:dyDescent="0.35">
      <c r="A764">
        <v>2025</v>
      </c>
      <c r="B764" t="s">
        <v>378</v>
      </c>
      <c r="C764" t="s">
        <v>378</v>
      </c>
      <c r="D764" t="s">
        <v>1428</v>
      </c>
      <c r="E764" t="s">
        <v>380</v>
      </c>
      <c r="F764">
        <v>75</v>
      </c>
      <c r="G764">
        <v>2.4</v>
      </c>
      <c r="H764">
        <v>4</v>
      </c>
      <c r="I764" t="s">
        <v>793</v>
      </c>
      <c r="J764">
        <v>21</v>
      </c>
      <c r="K764">
        <v>26</v>
      </c>
      <c r="L764">
        <v>23</v>
      </c>
      <c r="M764">
        <v>27.2</v>
      </c>
      <c r="N764">
        <v>37.1</v>
      </c>
      <c r="O764">
        <v>30.911899999999999</v>
      </c>
      <c r="P764">
        <v>21.394200000000001</v>
      </c>
      <c r="Q764">
        <v>26.258299999999998</v>
      </c>
      <c r="R764">
        <v>23.3398</v>
      </c>
      <c r="T764" t="s">
        <v>165</v>
      </c>
      <c r="U764" t="s">
        <v>166</v>
      </c>
      <c r="V764" t="s">
        <v>463</v>
      </c>
      <c r="W764" t="s">
        <v>464</v>
      </c>
      <c r="Y764">
        <v>8</v>
      </c>
      <c r="Z764" t="s">
        <v>169</v>
      </c>
      <c r="AA764" t="s">
        <v>170</v>
      </c>
      <c r="AB764" t="s">
        <v>167</v>
      </c>
      <c r="AC764" t="s">
        <v>213</v>
      </c>
      <c r="AD764">
        <v>15</v>
      </c>
      <c r="AG764" t="s">
        <v>210</v>
      </c>
      <c r="AH764" t="s">
        <v>444</v>
      </c>
      <c r="AI764" t="s">
        <v>175</v>
      </c>
      <c r="AJ764" t="s">
        <v>176</v>
      </c>
      <c r="AK764" t="s">
        <v>940</v>
      </c>
      <c r="AL764" t="s">
        <v>941</v>
      </c>
      <c r="AS764">
        <v>2300</v>
      </c>
      <c r="AT764">
        <v>2300</v>
      </c>
      <c r="BN764" t="s">
        <v>178</v>
      </c>
      <c r="BO764">
        <v>2</v>
      </c>
      <c r="BP764">
        <v>2</v>
      </c>
      <c r="BQ764">
        <v>31</v>
      </c>
      <c r="BR764" t="s">
        <v>1219</v>
      </c>
      <c r="BT764" t="s">
        <v>181</v>
      </c>
      <c r="BU764" s="1">
        <v>45397</v>
      </c>
      <c r="BV764">
        <v>34652</v>
      </c>
      <c r="BX764" t="s">
        <v>169</v>
      </c>
      <c r="BY764" t="s">
        <v>170</v>
      </c>
      <c r="CB764" t="s">
        <v>170</v>
      </c>
      <c r="CC764" t="s">
        <v>170</v>
      </c>
      <c r="CE764" t="s">
        <v>170</v>
      </c>
      <c r="CG764" t="s">
        <v>169</v>
      </c>
      <c r="CH764" t="s">
        <v>381</v>
      </c>
      <c r="CI764" t="s">
        <v>170</v>
      </c>
      <c r="DJ764" t="s">
        <v>184</v>
      </c>
      <c r="DK764" t="s">
        <v>185</v>
      </c>
      <c r="DN764" t="s">
        <v>170</v>
      </c>
      <c r="DO764" t="s">
        <v>794</v>
      </c>
      <c r="DP764" t="s">
        <v>169</v>
      </c>
      <c r="DQ764" t="s">
        <v>198</v>
      </c>
      <c r="EB764">
        <v>5</v>
      </c>
      <c r="EC764">
        <v>5</v>
      </c>
      <c r="EE764" t="s">
        <v>795</v>
      </c>
      <c r="EF764">
        <v>5</v>
      </c>
      <c r="EV764">
        <v>2000</v>
      </c>
      <c r="EW764">
        <v>412</v>
      </c>
      <c r="EX764">
        <v>336</v>
      </c>
      <c r="EY764">
        <v>378</v>
      </c>
    </row>
    <row r="765" spans="1:155" x14ac:dyDescent="0.35">
      <c r="A765">
        <v>2025</v>
      </c>
      <c r="B765" t="s">
        <v>378</v>
      </c>
      <c r="C765" t="s">
        <v>378</v>
      </c>
      <c r="D765" t="s">
        <v>797</v>
      </c>
      <c r="E765" t="s">
        <v>380</v>
      </c>
      <c r="F765">
        <v>24</v>
      </c>
      <c r="G765">
        <v>2.4</v>
      </c>
      <c r="H765">
        <v>4</v>
      </c>
      <c r="I765" t="s">
        <v>200</v>
      </c>
      <c r="J765">
        <v>19</v>
      </c>
      <c r="K765">
        <v>26</v>
      </c>
      <c r="L765">
        <v>22</v>
      </c>
      <c r="M765">
        <v>23.697199999999999</v>
      </c>
      <c r="N765">
        <v>36.663699999999999</v>
      </c>
      <c r="O765">
        <v>28.182300000000001</v>
      </c>
      <c r="P765">
        <v>18.851500000000001</v>
      </c>
      <c r="Q765">
        <v>25.975100000000001</v>
      </c>
      <c r="R765">
        <v>21.505500000000001</v>
      </c>
      <c r="T765" t="s">
        <v>165</v>
      </c>
      <c r="U765" t="s">
        <v>166</v>
      </c>
      <c r="V765" t="s">
        <v>201</v>
      </c>
      <c r="W765" t="s">
        <v>202</v>
      </c>
      <c r="Y765">
        <v>6</v>
      </c>
      <c r="Z765" t="s">
        <v>170</v>
      </c>
      <c r="AA765" t="s">
        <v>170</v>
      </c>
      <c r="AB765" t="s">
        <v>167</v>
      </c>
      <c r="AC765" t="s">
        <v>213</v>
      </c>
      <c r="AD765">
        <v>15</v>
      </c>
      <c r="AG765" t="s">
        <v>173</v>
      </c>
      <c r="AH765" t="s">
        <v>174</v>
      </c>
      <c r="AI765" t="s">
        <v>175</v>
      </c>
      <c r="AJ765" t="s">
        <v>176</v>
      </c>
      <c r="AK765" t="s">
        <v>170</v>
      </c>
      <c r="AL765" t="s">
        <v>177</v>
      </c>
      <c r="AO765">
        <v>99</v>
      </c>
      <c r="AP765">
        <v>12</v>
      </c>
      <c r="AS765">
        <v>2900</v>
      </c>
      <c r="AT765">
        <v>2900</v>
      </c>
      <c r="BN765" t="s">
        <v>178</v>
      </c>
      <c r="BO765">
        <v>2</v>
      </c>
      <c r="BP765">
        <v>2</v>
      </c>
      <c r="BQ765">
        <v>5</v>
      </c>
      <c r="BR765" t="s">
        <v>672</v>
      </c>
      <c r="BS765" t="s">
        <v>180</v>
      </c>
      <c r="BT765" t="s">
        <v>181</v>
      </c>
      <c r="BU765" s="1">
        <v>45642</v>
      </c>
      <c r="BV765">
        <v>36006</v>
      </c>
      <c r="BX765" t="s">
        <v>170</v>
      </c>
      <c r="BY765" t="s">
        <v>170</v>
      </c>
      <c r="CB765" t="s">
        <v>170</v>
      </c>
      <c r="CC765" t="s">
        <v>170</v>
      </c>
      <c r="CE765" t="s">
        <v>170</v>
      </c>
      <c r="CG765" t="s">
        <v>169</v>
      </c>
      <c r="CH765" t="s">
        <v>381</v>
      </c>
      <c r="CI765" t="s">
        <v>170</v>
      </c>
      <c r="DJ765" t="s">
        <v>184</v>
      </c>
      <c r="DK765" t="s">
        <v>185</v>
      </c>
      <c r="DN765" t="s">
        <v>170</v>
      </c>
      <c r="DO765" t="s">
        <v>798</v>
      </c>
      <c r="DP765" t="s">
        <v>170</v>
      </c>
      <c r="DQ765" t="s">
        <v>187</v>
      </c>
      <c r="DY765">
        <v>28.2</v>
      </c>
      <c r="EB765">
        <v>5</v>
      </c>
      <c r="EC765">
        <v>5</v>
      </c>
      <c r="EE765" t="s">
        <v>799</v>
      </c>
      <c r="EF765">
        <v>2</v>
      </c>
      <c r="EV765">
        <v>5000</v>
      </c>
      <c r="EW765">
        <v>471</v>
      </c>
      <c r="EX765">
        <v>343</v>
      </c>
      <c r="EY765">
        <v>413</v>
      </c>
    </row>
    <row r="766" spans="1:155" x14ac:dyDescent="0.35">
      <c r="A766">
        <v>2025</v>
      </c>
      <c r="B766" t="s">
        <v>378</v>
      </c>
      <c r="C766" t="s">
        <v>378</v>
      </c>
      <c r="D766" t="s">
        <v>797</v>
      </c>
      <c r="E766" t="s">
        <v>380</v>
      </c>
      <c r="F766">
        <v>25</v>
      </c>
      <c r="G766">
        <v>2.4</v>
      </c>
      <c r="H766">
        <v>4</v>
      </c>
      <c r="I766" t="s">
        <v>793</v>
      </c>
      <c r="J766">
        <v>18</v>
      </c>
      <c r="K766">
        <v>25</v>
      </c>
      <c r="L766">
        <v>21</v>
      </c>
      <c r="M766">
        <v>23.2</v>
      </c>
      <c r="N766">
        <v>35.299999999999997</v>
      </c>
      <c r="O766">
        <v>27.4313</v>
      </c>
      <c r="P766">
        <v>18.485900000000001</v>
      </c>
      <c r="Q766">
        <v>25.086300000000001</v>
      </c>
      <c r="R766">
        <v>20.968499999999999</v>
      </c>
      <c r="T766" t="s">
        <v>165</v>
      </c>
      <c r="U766" t="s">
        <v>166</v>
      </c>
      <c r="V766" t="s">
        <v>463</v>
      </c>
      <c r="W766" t="s">
        <v>464</v>
      </c>
      <c r="Y766">
        <v>8</v>
      </c>
      <c r="Z766" t="s">
        <v>169</v>
      </c>
      <c r="AA766" t="s">
        <v>170</v>
      </c>
      <c r="AB766" t="s">
        <v>167</v>
      </c>
      <c r="AC766" t="s">
        <v>213</v>
      </c>
      <c r="AD766">
        <v>15</v>
      </c>
      <c r="AG766" t="s">
        <v>173</v>
      </c>
      <c r="AH766" t="s">
        <v>174</v>
      </c>
      <c r="AI766" t="s">
        <v>175</v>
      </c>
      <c r="AJ766" t="s">
        <v>176</v>
      </c>
      <c r="AK766" t="s">
        <v>170</v>
      </c>
      <c r="AL766" t="s">
        <v>177</v>
      </c>
      <c r="AO766">
        <v>99</v>
      </c>
      <c r="AP766">
        <v>12</v>
      </c>
      <c r="AS766">
        <v>3050</v>
      </c>
      <c r="AT766">
        <v>3050</v>
      </c>
      <c r="BN766" t="s">
        <v>178</v>
      </c>
      <c r="BO766">
        <v>2</v>
      </c>
      <c r="BP766">
        <v>2</v>
      </c>
      <c r="BQ766">
        <v>5</v>
      </c>
      <c r="BR766" t="s">
        <v>672</v>
      </c>
      <c r="BS766" t="s">
        <v>180</v>
      </c>
      <c r="BT766" t="s">
        <v>181</v>
      </c>
      <c r="BU766" s="1">
        <v>45642</v>
      </c>
      <c r="BV766">
        <v>36007</v>
      </c>
      <c r="BX766" t="s">
        <v>170</v>
      </c>
      <c r="BY766" t="s">
        <v>170</v>
      </c>
      <c r="CB766" t="s">
        <v>170</v>
      </c>
      <c r="CC766" t="s">
        <v>170</v>
      </c>
      <c r="CE766" t="s">
        <v>170</v>
      </c>
      <c r="CG766" t="s">
        <v>169</v>
      </c>
      <c r="CH766" t="s">
        <v>381</v>
      </c>
      <c r="CI766" t="s">
        <v>170</v>
      </c>
      <c r="DJ766" t="s">
        <v>184</v>
      </c>
      <c r="DK766" t="s">
        <v>185</v>
      </c>
      <c r="DN766" t="s">
        <v>170</v>
      </c>
      <c r="DO766" t="s">
        <v>798</v>
      </c>
      <c r="DP766" t="s">
        <v>170</v>
      </c>
      <c r="DQ766" t="s">
        <v>187</v>
      </c>
      <c r="DY766">
        <v>27.4</v>
      </c>
      <c r="EB766">
        <v>4</v>
      </c>
      <c r="EC766">
        <v>4</v>
      </c>
      <c r="EE766" t="s">
        <v>799</v>
      </c>
      <c r="EF766">
        <v>2</v>
      </c>
      <c r="EV766">
        <v>5750</v>
      </c>
      <c r="EW766">
        <v>478</v>
      </c>
      <c r="EX766">
        <v>353</v>
      </c>
      <c r="EY766">
        <v>422</v>
      </c>
    </row>
    <row r="767" spans="1:155" x14ac:dyDescent="0.35">
      <c r="A767">
        <v>2025</v>
      </c>
      <c r="B767" t="s">
        <v>327</v>
      </c>
      <c r="C767" t="s">
        <v>317</v>
      </c>
      <c r="D767" t="s">
        <v>1489</v>
      </c>
      <c r="E767" t="s">
        <v>330</v>
      </c>
      <c r="F767">
        <v>67</v>
      </c>
      <c r="G767">
        <v>2.4</v>
      </c>
      <c r="H767">
        <v>4</v>
      </c>
      <c r="I767" t="s">
        <v>192</v>
      </c>
      <c r="J767">
        <v>20</v>
      </c>
      <c r="K767">
        <v>26</v>
      </c>
      <c r="L767">
        <v>22</v>
      </c>
      <c r="M767">
        <v>25</v>
      </c>
      <c r="N767">
        <v>36.299999999999997</v>
      </c>
      <c r="O767">
        <v>29.072600000000001</v>
      </c>
      <c r="P767">
        <v>19.803899999999999</v>
      </c>
      <c r="Q767">
        <v>25.738600000000002</v>
      </c>
      <c r="R767">
        <v>22.096599999999999</v>
      </c>
      <c r="T767" t="s">
        <v>165</v>
      </c>
      <c r="U767" t="s">
        <v>166</v>
      </c>
      <c r="V767" t="s">
        <v>193</v>
      </c>
      <c r="W767" t="s">
        <v>194</v>
      </c>
      <c r="Y767">
        <v>8</v>
      </c>
      <c r="Z767" t="s">
        <v>169</v>
      </c>
      <c r="AA767" t="s">
        <v>170</v>
      </c>
      <c r="AB767" t="s">
        <v>171</v>
      </c>
      <c r="AC767" t="s">
        <v>172</v>
      </c>
      <c r="AD767">
        <v>15</v>
      </c>
      <c r="AG767" t="s">
        <v>210</v>
      </c>
      <c r="AH767" t="s">
        <v>444</v>
      </c>
      <c r="AI767" t="s">
        <v>175</v>
      </c>
      <c r="AJ767" t="s">
        <v>176</v>
      </c>
      <c r="AK767" t="s">
        <v>940</v>
      </c>
      <c r="AL767" t="s">
        <v>941</v>
      </c>
      <c r="AS767">
        <v>2400</v>
      </c>
      <c r="AT767">
        <v>2400</v>
      </c>
      <c r="BN767" t="s">
        <v>265</v>
      </c>
      <c r="BO767">
        <v>2</v>
      </c>
      <c r="BP767">
        <v>2</v>
      </c>
      <c r="BQ767">
        <v>32</v>
      </c>
      <c r="BR767" t="s">
        <v>1453</v>
      </c>
      <c r="BT767" t="s">
        <v>181</v>
      </c>
      <c r="BU767" s="1">
        <v>45658</v>
      </c>
      <c r="BV767">
        <v>35866</v>
      </c>
      <c r="BX767" t="s">
        <v>170</v>
      </c>
      <c r="BY767" t="s">
        <v>170</v>
      </c>
      <c r="CB767" t="s">
        <v>170</v>
      </c>
      <c r="CC767" t="s">
        <v>170</v>
      </c>
      <c r="CE767" t="s">
        <v>170</v>
      </c>
      <c r="CG767" t="s">
        <v>169</v>
      </c>
      <c r="CH767" t="s">
        <v>333</v>
      </c>
      <c r="CI767" t="s">
        <v>170</v>
      </c>
      <c r="DJ767" t="s">
        <v>267</v>
      </c>
      <c r="DK767" t="s">
        <v>268</v>
      </c>
      <c r="DN767" t="s">
        <v>170</v>
      </c>
      <c r="DO767" t="s">
        <v>358</v>
      </c>
      <c r="DP767" t="s">
        <v>170</v>
      </c>
      <c r="DQ767" t="s">
        <v>187</v>
      </c>
      <c r="EB767">
        <v>5</v>
      </c>
      <c r="EC767">
        <v>5</v>
      </c>
      <c r="EE767" t="s">
        <v>1490</v>
      </c>
      <c r="EF767">
        <v>6</v>
      </c>
      <c r="EV767">
        <v>2500</v>
      </c>
      <c r="EW767">
        <v>445</v>
      </c>
      <c r="EX767">
        <v>343</v>
      </c>
      <c r="EY767">
        <v>399</v>
      </c>
    </row>
    <row r="768" spans="1:155" x14ac:dyDescent="0.35">
      <c r="A768">
        <v>2025</v>
      </c>
      <c r="B768" t="s">
        <v>327</v>
      </c>
      <c r="C768" t="s">
        <v>317</v>
      </c>
      <c r="D768" t="s">
        <v>1489</v>
      </c>
      <c r="E768" t="s">
        <v>330</v>
      </c>
      <c r="F768">
        <v>157</v>
      </c>
      <c r="G768">
        <v>2.4</v>
      </c>
      <c r="H768">
        <v>4</v>
      </c>
      <c r="I768" t="s">
        <v>192</v>
      </c>
      <c r="J768">
        <v>20</v>
      </c>
      <c r="K768">
        <v>24</v>
      </c>
      <c r="L768">
        <v>22</v>
      </c>
      <c r="M768">
        <v>25.829000000000001</v>
      </c>
      <c r="N768">
        <v>34.222799999999999</v>
      </c>
      <c r="O768">
        <v>29.0335</v>
      </c>
      <c r="P768">
        <v>20.405799999999999</v>
      </c>
      <c r="Q768">
        <v>24.380299999999998</v>
      </c>
      <c r="R768">
        <v>22.0213</v>
      </c>
      <c r="T768" t="s">
        <v>165</v>
      </c>
      <c r="U768" t="s">
        <v>166</v>
      </c>
      <c r="V768" t="s">
        <v>193</v>
      </c>
      <c r="W768" t="s">
        <v>194</v>
      </c>
      <c r="Y768">
        <v>8</v>
      </c>
      <c r="Z768" t="s">
        <v>169</v>
      </c>
      <c r="AA768" t="s">
        <v>170</v>
      </c>
      <c r="AB768" t="s">
        <v>171</v>
      </c>
      <c r="AC768" t="s">
        <v>172</v>
      </c>
      <c r="AD768">
        <v>15</v>
      </c>
      <c r="AG768" t="s">
        <v>210</v>
      </c>
      <c r="AH768" t="s">
        <v>444</v>
      </c>
      <c r="AI768" t="s">
        <v>175</v>
      </c>
      <c r="AJ768" t="s">
        <v>176</v>
      </c>
      <c r="AK768" t="s">
        <v>940</v>
      </c>
      <c r="AL768" t="s">
        <v>941</v>
      </c>
      <c r="AS768">
        <v>2400</v>
      </c>
      <c r="AT768">
        <v>2400</v>
      </c>
      <c r="BN768" t="s">
        <v>265</v>
      </c>
      <c r="BO768">
        <v>2</v>
      </c>
      <c r="BP768">
        <v>2</v>
      </c>
      <c r="BQ768">
        <v>32</v>
      </c>
      <c r="BR768" t="s">
        <v>1453</v>
      </c>
      <c r="BT768" t="s">
        <v>181</v>
      </c>
      <c r="BU768" s="1">
        <v>45658</v>
      </c>
      <c r="BV768">
        <v>35909</v>
      </c>
      <c r="BX768" t="s">
        <v>170</v>
      </c>
      <c r="BY768" t="s">
        <v>170</v>
      </c>
      <c r="CB768" t="s">
        <v>170</v>
      </c>
      <c r="CC768" t="s">
        <v>170</v>
      </c>
      <c r="CE768" t="s">
        <v>170</v>
      </c>
      <c r="CG768" t="s">
        <v>169</v>
      </c>
      <c r="CH768" t="s">
        <v>333</v>
      </c>
      <c r="CI768" t="s">
        <v>170</v>
      </c>
      <c r="DJ768" t="s">
        <v>267</v>
      </c>
      <c r="DK768" t="s">
        <v>268</v>
      </c>
      <c r="DN768" t="s">
        <v>170</v>
      </c>
      <c r="DO768" t="s">
        <v>358</v>
      </c>
      <c r="DP768" t="s">
        <v>169</v>
      </c>
      <c r="DQ768" t="s">
        <v>198</v>
      </c>
      <c r="DR768" t="s">
        <v>745</v>
      </c>
      <c r="EB768">
        <v>5</v>
      </c>
      <c r="EC768">
        <v>5</v>
      </c>
      <c r="EE768" t="s">
        <v>1490</v>
      </c>
      <c r="EF768">
        <v>6</v>
      </c>
      <c r="EV768">
        <v>2500</v>
      </c>
      <c r="EW768">
        <v>436</v>
      </c>
      <c r="EX768">
        <v>365</v>
      </c>
      <c r="EY768">
        <v>404</v>
      </c>
    </row>
    <row r="769" spans="1:155" x14ac:dyDescent="0.35">
      <c r="A769">
        <v>2025</v>
      </c>
      <c r="B769" t="s">
        <v>327</v>
      </c>
      <c r="C769" t="s">
        <v>317</v>
      </c>
      <c r="D769" t="s">
        <v>1661</v>
      </c>
      <c r="E769" t="s">
        <v>330</v>
      </c>
      <c r="F769">
        <v>68</v>
      </c>
      <c r="G769">
        <v>2.4</v>
      </c>
      <c r="H769">
        <v>4</v>
      </c>
      <c r="I769" t="s">
        <v>192</v>
      </c>
      <c r="J769">
        <v>19</v>
      </c>
      <c r="K769">
        <v>25</v>
      </c>
      <c r="L769">
        <v>21</v>
      </c>
      <c r="M769">
        <v>23.9</v>
      </c>
      <c r="N769">
        <v>34.6</v>
      </c>
      <c r="O769">
        <v>27.7636</v>
      </c>
      <c r="P769">
        <v>19.000299999999999</v>
      </c>
      <c r="Q769">
        <v>24.6279</v>
      </c>
      <c r="R769">
        <v>21.178000000000001</v>
      </c>
      <c r="T769" t="s">
        <v>165</v>
      </c>
      <c r="U769" t="s">
        <v>166</v>
      </c>
      <c r="V769" t="s">
        <v>193</v>
      </c>
      <c r="W769" t="s">
        <v>194</v>
      </c>
      <c r="Y769">
        <v>8</v>
      </c>
      <c r="Z769" t="s">
        <v>169</v>
      </c>
      <c r="AA769" t="s">
        <v>170</v>
      </c>
      <c r="AB769" t="s">
        <v>809</v>
      </c>
      <c r="AC769" t="s">
        <v>810</v>
      </c>
      <c r="AD769">
        <v>15</v>
      </c>
      <c r="AG769" t="s">
        <v>210</v>
      </c>
      <c r="AH769" t="s">
        <v>444</v>
      </c>
      <c r="AI769" t="s">
        <v>175</v>
      </c>
      <c r="AJ769" t="s">
        <v>176</v>
      </c>
      <c r="AK769" t="s">
        <v>940</v>
      </c>
      <c r="AL769" t="s">
        <v>941</v>
      </c>
      <c r="AS769">
        <v>2500</v>
      </c>
      <c r="AT769">
        <v>2500</v>
      </c>
      <c r="BN769" t="s">
        <v>265</v>
      </c>
      <c r="BO769">
        <v>2</v>
      </c>
      <c r="BP769">
        <v>2</v>
      </c>
      <c r="BQ769">
        <v>33</v>
      </c>
      <c r="BR769" t="s">
        <v>1497</v>
      </c>
      <c r="BT769" t="s">
        <v>181</v>
      </c>
      <c r="BU769" s="1">
        <v>45658</v>
      </c>
      <c r="BV769">
        <v>35867</v>
      </c>
      <c r="BX769" t="s">
        <v>170</v>
      </c>
      <c r="BY769" t="s">
        <v>170</v>
      </c>
      <c r="CB769" t="s">
        <v>170</v>
      </c>
      <c r="CC769" t="s">
        <v>170</v>
      </c>
      <c r="CE769" t="s">
        <v>170</v>
      </c>
      <c r="CG769" t="s">
        <v>169</v>
      </c>
      <c r="CH769" t="s">
        <v>333</v>
      </c>
      <c r="CI769" t="s">
        <v>170</v>
      </c>
      <c r="DJ769" t="s">
        <v>267</v>
      </c>
      <c r="DK769" t="s">
        <v>268</v>
      </c>
      <c r="DN769" t="s">
        <v>170</v>
      </c>
      <c r="DO769" t="s">
        <v>358</v>
      </c>
      <c r="DP769" t="s">
        <v>170</v>
      </c>
      <c r="DQ769" t="s">
        <v>187</v>
      </c>
      <c r="EB769">
        <v>4</v>
      </c>
      <c r="EC769">
        <v>4</v>
      </c>
      <c r="EE769" t="s">
        <v>1490</v>
      </c>
      <c r="EF769">
        <v>6</v>
      </c>
      <c r="EV769">
        <v>3000</v>
      </c>
      <c r="EW769">
        <v>464</v>
      </c>
      <c r="EX769">
        <v>358</v>
      </c>
      <c r="EY769">
        <v>417</v>
      </c>
    </row>
    <row r="770" spans="1:155" x14ac:dyDescent="0.35">
      <c r="A770">
        <v>2025</v>
      </c>
      <c r="B770" t="s">
        <v>327</v>
      </c>
      <c r="C770" t="s">
        <v>317</v>
      </c>
      <c r="D770" t="s">
        <v>1661</v>
      </c>
      <c r="E770" t="s">
        <v>330</v>
      </c>
      <c r="F770">
        <v>158</v>
      </c>
      <c r="G770">
        <v>2.4</v>
      </c>
      <c r="H770">
        <v>4</v>
      </c>
      <c r="I770" t="s">
        <v>192</v>
      </c>
      <c r="J770">
        <v>20</v>
      </c>
      <c r="K770">
        <v>24</v>
      </c>
      <c r="L770">
        <v>21</v>
      </c>
      <c r="M770">
        <v>24.7</v>
      </c>
      <c r="N770">
        <v>33.299999999999997</v>
      </c>
      <c r="O770">
        <v>27.948</v>
      </c>
      <c r="P770">
        <v>19.5853</v>
      </c>
      <c r="Q770">
        <v>23.7728</v>
      </c>
      <c r="R770">
        <v>21.2714</v>
      </c>
      <c r="T770" t="s">
        <v>165</v>
      </c>
      <c r="U770" t="s">
        <v>166</v>
      </c>
      <c r="V770" t="s">
        <v>193</v>
      </c>
      <c r="W770" t="s">
        <v>194</v>
      </c>
      <c r="Y770">
        <v>8</v>
      </c>
      <c r="Z770" t="s">
        <v>169</v>
      </c>
      <c r="AA770" t="s">
        <v>170</v>
      </c>
      <c r="AB770">
        <v>4</v>
      </c>
      <c r="AC770" t="s">
        <v>601</v>
      </c>
      <c r="AD770">
        <v>15</v>
      </c>
      <c r="AG770" t="s">
        <v>210</v>
      </c>
      <c r="AH770" t="s">
        <v>444</v>
      </c>
      <c r="AI770" t="s">
        <v>175</v>
      </c>
      <c r="AJ770" t="s">
        <v>176</v>
      </c>
      <c r="AK770" t="s">
        <v>940</v>
      </c>
      <c r="AL770" t="s">
        <v>941</v>
      </c>
      <c r="AS770">
        <v>2500</v>
      </c>
      <c r="AT770">
        <v>2500</v>
      </c>
      <c r="BN770" t="s">
        <v>265</v>
      </c>
      <c r="BO770">
        <v>2</v>
      </c>
      <c r="BP770">
        <v>2</v>
      </c>
      <c r="BQ770">
        <v>33</v>
      </c>
      <c r="BR770" t="s">
        <v>1497</v>
      </c>
      <c r="BT770" t="s">
        <v>181</v>
      </c>
      <c r="BU770" s="1">
        <v>45658</v>
      </c>
      <c r="BV770">
        <v>35908</v>
      </c>
      <c r="BX770" t="s">
        <v>170</v>
      </c>
      <c r="BY770" t="s">
        <v>170</v>
      </c>
      <c r="CB770" t="s">
        <v>170</v>
      </c>
      <c r="CC770" t="s">
        <v>170</v>
      </c>
      <c r="CE770" t="s">
        <v>170</v>
      </c>
      <c r="CG770" t="s">
        <v>169</v>
      </c>
      <c r="CH770" t="s">
        <v>333</v>
      </c>
      <c r="CI770" t="s">
        <v>170</v>
      </c>
      <c r="DJ770" t="s">
        <v>267</v>
      </c>
      <c r="DK770" t="s">
        <v>268</v>
      </c>
      <c r="DN770" t="s">
        <v>170</v>
      </c>
      <c r="DO770" t="s">
        <v>358</v>
      </c>
      <c r="DP770" t="s">
        <v>169</v>
      </c>
      <c r="DQ770" t="s">
        <v>198</v>
      </c>
      <c r="DR770" t="s">
        <v>745</v>
      </c>
      <c r="EB770">
        <v>4</v>
      </c>
      <c r="EC770">
        <v>4</v>
      </c>
      <c r="EE770" t="s">
        <v>1490</v>
      </c>
      <c r="EF770">
        <v>6</v>
      </c>
      <c r="EV770">
        <v>3000</v>
      </c>
      <c r="EW770">
        <v>451</v>
      </c>
      <c r="EX770">
        <v>371</v>
      </c>
      <c r="EY770">
        <v>415</v>
      </c>
    </row>
    <row r="771" spans="1:155" x14ac:dyDescent="0.35">
      <c r="A771">
        <v>2025</v>
      </c>
      <c r="B771" t="s">
        <v>327</v>
      </c>
      <c r="C771" t="s">
        <v>317</v>
      </c>
      <c r="D771" t="s">
        <v>1661</v>
      </c>
      <c r="E771" t="s">
        <v>330</v>
      </c>
      <c r="F771">
        <v>159</v>
      </c>
      <c r="G771">
        <v>2.4</v>
      </c>
      <c r="H771">
        <v>4</v>
      </c>
      <c r="I771" t="s">
        <v>192</v>
      </c>
      <c r="J771">
        <v>23</v>
      </c>
      <c r="K771">
        <v>24</v>
      </c>
      <c r="L771">
        <v>23</v>
      </c>
      <c r="M771">
        <v>28.887499999999999</v>
      </c>
      <c r="N771">
        <v>34.039099999999998</v>
      </c>
      <c r="O771">
        <v>30.998699999999999</v>
      </c>
      <c r="P771">
        <v>22.598700000000001</v>
      </c>
      <c r="Q771">
        <v>24.259599999999999</v>
      </c>
      <c r="R771">
        <v>23.3171</v>
      </c>
      <c r="T771" t="s">
        <v>165</v>
      </c>
      <c r="U771" t="s">
        <v>166</v>
      </c>
      <c r="V771" t="s">
        <v>193</v>
      </c>
      <c r="W771" t="s">
        <v>194</v>
      </c>
      <c r="Y771">
        <v>8</v>
      </c>
      <c r="Z771" t="s">
        <v>169</v>
      </c>
      <c r="AA771" t="s">
        <v>170</v>
      </c>
      <c r="AB771" t="s">
        <v>809</v>
      </c>
      <c r="AC771" t="s">
        <v>810</v>
      </c>
      <c r="AD771">
        <v>15</v>
      </c>
      <c r="AG771" t="s">
        <v>210</v>
      </c>
      <c r="AH771" t="s">
        <v>444</v>
      </c>
      <c r="AI771" t="s">
        <v>175</v>
      </c>
      <c r="AJ771" t="s">
        <v>176</v>
      </c>
      <c r="AK771" t="s">
        <v>940</v>
      </c>
      <c r="AL771" t="s">
        <v>941</v>
      </c>
      <c r="AS771">
        <v>2300</v>
      </c>
      <c r="AT771">
        <v>2300</v>
      </c>
      <c r="BN771" t="s">
        <v>465</v>
      </c>
      <c r="BO771">
        <v>2</v>
      </c>
      <c r="BP771">
        <v>2</v>
      </c>
      <c r="BQ771">
        <v>33</v>
      </c>
      <c r="BR771" t="s">
        <v>1497</v>
      </c>
      <c r="BT771" t="s">
        <v>181</v>
      </c>
      <c r="BU771" s="1">
        <v>45714</v>
      </c>
      <c r="BV771">
        <v>35912</v>
      </c>
      <c r="BX771" t="s">
        <v>170</v>
      </c>
      <c r="BY771" t="s">
        <v>170</v>
      </c>
      <c r="CB771" t="s">
        <v>170</v>
      </c>
      <c r="CC771" t="s">
        <v>170</v>
      </c>
      <c r="CD771" t="s">
        <v>1064</v>
      </c>
      <c r="CE771" t="s">
        <v>170</v>
      </c>
      <c r="CG771" t="s">
        <v>169</v>
      </c>
      <c r="CH771" t="s">
        <v>333</v>
      </c>
      <c r="CI771" t="s">
        <v>170</v>
      </c>
      <c r="CK771" t="s">
        <v>233</v>
      </c>
      <c r="CM771">
        <v>1</v>
      </c>
      <c r="CN771" t="s">
        <v>814</v>
      </c>
      <c r="CP771">
        <v>288</v>
      </c>
      <c r="CQ771">
        <v>6.5</v>
      </c>
      <c r="CR771">
        <v>46.4</v>
      </c>
      <c r="CS771" t="s">
        <v>235</v>
      </c>
      <c r="CV771" t="s">
        <v>341</v>
      </c>
      <c r="CX771" t="s">
        <v>342</v>
      </c>
      <c r="CY771" t="s">
        <v>170</v>
      </c>
      <c r="DD771">
        <v>1</v>
      </c>
      <c r="DE771" t="s">
        <v>404</v>
      </c>
      <c r="DF771" t="s">
        <v>466</v>
      </c>
      <c r="DG771">
        <v>36</v>
      </c>
      <c r="DJ771" t="s">
        <v>267</v>
      </c>
      <c r="DK771" t="s">
        <v>268</v>
      </c>
      <c r="DL771" t="s">
        <v>170</v>
      </c>
      <c r="DM771" t="s">
        <v>170</v>
      </c>
      <c r="DN771" t="s">
        <v>170</v>
      </c>
      <c r="DO771" t="s">
        <v>358</v>
      </c>
      <c r="DP771" t="s">
        <v>169</v>
      </c>
      <c r="DQ771" t="s">
        <v>198</v>
      </c>
      <c r="DR771" t="s">
        <v>1664</v>
      </c>
      <c r="EB771">
        <v>5</v>
      </c>
      <c r="EC771">
        <v>5</v>
      </c>
      <c r="EE771" t="s">
        <v>1663</v>
      </c>
      <c r="EF771">
        <v>6</v>
      </c>
      <c r="EV771">
        <v>2000</v>
      </c>
      <c r="EW771">
        <v>392</v>
      </c>
      <c r="EX771">
        <v>366</v>
      </c>
      <c r="EY771">
        <v>380</v>
      </c>
    </row>
    <row r="772" spans="1:155" x14ac:dyDescent="0.35">
      <c r="A772">
        <v>2025</v>
      </c>
      <c r="B772" t="s">
        <v>327</v>
      </c>
      <c r="C772" t="s">
        <v>317</v>
      </c>
      <c r="D772" t="s">
        <v>1661</v>
      </c>
      <c r="E772" t="s">
        <v>330</v>
      </c>
      <c r="F772">
        <v>160</v>
      </c>
      <c r="G772">
        <v>2.4</v>
      </c>
      <c r="H772">
        <v>4</v>
      </c>
      <c r="I772" t="s">
        <v>192</v>
      </c>
      <c r="J772">
        <v>23</v>
      </c>
      <c r="K772">
        <v>24</v>
      </c>
      <c r="L772">
        <v>23</v>
      </c>
      <c r="M772">
        <v>28.760200000000001</v>
      </c>
      <c r="N772">
        <v>34.033099999999997</v>
      </c>
      <c r="O772">
        <v>30.915600000000001</v>
      </c>
      <c r="P772">
        <v>22.508299999999998</v>
      </c>
      <c r="Q772">
        <v>24.255700000000001</v>
      </c>
      <c r="R772">
        <v>23.2624</v>
      </c>
      <c r="T772" t="s">
        <v>165</v>
      </c>
      <c r="U772" t="s">
        <v>166</v>
      </c>
      <c r="V772" t="s">
        <v>193</v>
      </c>
      <c r="W772" t="s">
        <v>194</v>
      </c>
      <c r="Y772">
        <v>8</v>
      </c>
      <c r="Z772" t="s">
        <v>169</v>
      </c>
      <c r="AA772" t="s">
        <v>170</v>
      </c>
      <c r="AB772">
        <v>4</v>
      </c>
      <c r="AC772" t="s">
        <v>601</v>
      </c>
      <c r="AD772">
        <v>15</v>
      </c>
      <c r="AG772" t="s">
        <v>210</v>
      </c>
      <c r="AH772" t="s">
        <v>444</v>
      </c>
      <c r="AI772" t="s">
        <v>175</v>
      </c>
      <c r="AJ772" t="s">
        <v>176</v>
      </c>
      <c r="AK772" t="s">
        <v>940</v>
      </c>
      <c r="AL772" t="s">
        <v>941</v>
      </c>
      <c r="AS772">
        <v>2300</v>
      </c>
      <c r="AT772">
        <v>2300</v>
      </c>
      <c r="BN772" t="s">
        <v>465</v>
      </c>
      <c r="BO772">
        <v>2</v>
      </c>
      <c r="BP772">
        <v>2</v>
      </c>
      <c r="BQ772">
        <v>33</v>
      </c>
      <c r="BR772" t="s">
        <v>1497</v>
      </c>
      <c r="BT772" t="s">
        <v>181</v>
      </c>
      <c r="BU772" s="1">
        <v>45714</v>
      </c>
      <c r="BV772">
        <v>35911</v>
      </c>
      <c r="BX772" t="s">
        <v>170</v>
      </c>
      <c r="BY772" t="s">
        <v>170</v>
      </c>
      <c r="CB772" t="s">
        <v>170</v>
      </c>
      <c r="CC772" t="s">
        <v>170</v>
      </c>
      <c r="CD772" t="s">
        <v>1064</v>
      </c>
      <c r="CE772" t="s">
        <v>170</v>
      </c>
      <c r="CG772" t="s">
        <v>169</v>
      </c>
      <c r="CH772" t="s">
        <v>333</v>
      </c>
      <c r="CI772" t="s">
        <v>170</v>
      </c>
      <c r="CK772" t="s">
        <v>233</v>
      </c>
      <c r="CM772">
        <v>1</v>
      </c>
      <c r="CN772" t="s">
        <v>814</v>
      </c>
      <c r="CP772">
        <v>288</v>
      </c>
      <c r="CQ772">
        <v>6.5</v>
      </c>
      <c r="CR772">
        <v>46.4</v>
      </c>
      <c r="CS772" t="s">
        <v>235</v>
      </c>
      <c r="CV772" t="s">
        <v>341</v>
      </c>
      <c r="CX772" t="s">
        <v>342</v>
      </c>
      <c r="CY772" t="s">
        <v>170</v>
      </c>
      <c r="DD772">
        <v>1</v>
      </c>
      <c r="DE772" t="s">
        <v>404</v>
      </c>
      <c r="DF772" t="s">
        <v>466</v>
      </c>
      <c r="DG772">
        <v>36</v>
      </c>
      <c r="DJ772" t="s">
        <v>267</v>
      </c>
      <c r="DK772" t="s">
        <v>268</v>
      </c>
      <c r="DL772" t="s">
        <v>170</v>
      </c>
      <c r="DM772" t="s">
        <v>170</v>
      </c>
      <c r="DN772" t="s">
        <v>170</v>
      </c>
      <c r="DO772" t="s">
        <v>358</v>
      </c>
      <c r="DP772" t="s">
        <v>169</v>
      </c>
      <c r="DQ772" t="s">
        <v>198</v>
      </c>
      <c r="DR772" t="s">
        <v>1662</v>
      </c>
      <c r="EB772">
        <v>5</v>
      </c>
      <c r="EC772">
        <v>5</v>
      </c>
      <c r="EE772" t="s">
        <v>1663</v>
      </c>
      <c r="EF772">
        <v>6</v>
      </c>
      <c r="EV772">
        <v>2000</v>
      </c>
      <c r="EW772">
        <v>393</v>
      </c>
      <c r="EX772">
        <v>365</v>
      </c>
      <c r="EY772">
        <v>380</v>
      </c>
    </row>
    <row r="773" spans="1:155" x14ac:dyDescent="0.35">
      <c r="A773">
        <v>2025</v>
      </c>
      <c r="B773" t="s">
        <v>327</v>
      </c>
      <c r="C773" t="s">
        <v>317</v>
      </c>
      <c r="D773" t="s">
        <v>800</v>
      </c>
      <c r="E773" t="s">
        <v>330</v>
      </c>
      <c r="F773">
        <v>59</v>
      </c>
      <c r="G773">
        <v>2.5</v>
      </c>
      <c r="H773">
        <v>4</v>
      </c>
      <c r="I773" t="s">
        <v>594</v>
      </c>
      <c r="J773">
        <v>51</v>
      </c>
      <c r="K773">
        <v>49</v>
      </c>
      <c r="L773">
        <v>50</v>
      </c>
      <c r="M773">
        <v>68.400000000000006</v>
      </c>
      <c r="N773">
        <v>68</v>
      </c>
      <c r="O773">
        <v>68.219399999999993</v>
      </c>
      <c r="P773">
        <v>50.787199999999999</v>
      </c>
      <c r="Q773">
        <v>49</v>
      </c>
      <c r="R773">
        <v>50.224800000000002</v>
      </c>
      <c r="U773" t="s">
        <v>224</v>
      </c>
      <c r="V773" t="s">
        <v>463</v>
      </c>
      <c r="W773" t="s">
        <v>464</v>
      </c>
      <c r="Y773">
        <v>6</v>
      </c>
      <c r="Z773" t="s">
        <v>170</v>
      </c>
      <c r="AA773" t="s">
        <v>170</v>
      </c>
      <c r="AB773" t="s">
        <v>167</v>
      </c>
      <c r="AC773" t="s">
        <v>213</v>
      </c>
      <c r="AD773">
        <v>15</v>
      </c>
      <c r="AG773" t="s">
        <v>210</v>
      </c>
      <c r="AH773" t="s">
        <v>444</v>
      </c>
      <c r="AI773" t="s">
        <v>175</v>
      </c>
      <c r="AJ773" t="s">
        <v>176</v>
      </c>
      <c r="AK773" t="s">
        <v>170</v>
      </c>
      <c r="AL773" t="s">
        <v>177</v>
      </c>
      <c r="AO773">
        <v>100</v>
      </c>
      <c r="AP773">
        <v>15</v>
      </c>
      <c r="AS773">
        <v>1050</v>
      </c>
      <c r="AT773">
        <v>1050</v>
      </c>
      <c r="BN773" t="s">
        <v>465</v>
      </c>
      <c r="BO773">
        <v>2</v>
      </c>
      <c r="BP773">
        <v>2</v>
      </c>
      <c r="BQ773">
        <v>5</v>
      </c>
      <c r="BR773" t="s">
        <v>672</v>
      </c>
      <c r="BS773" t="s">
        <v>180</v>
      </c>
      <c r="BT773" t="s">
        <v>225</v>
      </c>
      <c r="BU773" s="1">
        <v>45404</v>
      </c>
      <c r="BV773">
        <v>34849</v>
      </c>
      <c r="BX773" t="s">
        <v>169</v>
      </c>
      <c r="BY773" t="s">
        <v>170</v>
      </c>
      <c r="CB773" t="s">
        <v>170</v>
      </c>
      <c r="CC773" t="s">
        <v>170</v>
      </c>
      <c r="CE773" t="s">
        <v>170</v>
      </c>
      <c r="CG773" t="s">
        <v>169</v>
      </c>
      <c r="CH773" t="s">
        <v>333</v>
      </c>
      <c r="CI773" t="s">
        <v>170</v>
      </c>
      <c r="CK773" t="s">
        <v>233</v>
      </c>
      <c r="CM773">
        <v>1</v>
      </c>
      <c r="CN773" t="s">
        <v>234</v>
      </c>
      <c r="CP773">
        <v>252</v>
      </c>
      <c r="CQ773">
        <v>4</v>
      </c>
      <c r="CR773">
        <v>90.8</v>
      </c>
      <c r="CS773" t="s">
        <v>235</v>
      </c>
      <c r="CV773" t="s">
        <v>341</v>
      </c>
      <c r="CX773" t="s">
        <v>342</v>
      </c>
      <c r="CY773" t="s">
        <v>170</v>
      </c>
      <c r="DC773" t="s">
        <v>590</v>
      </c>
      <c r="DD773">
        <v>2</v>
      </c>
      <c r="DE773" t="s">
        <v>404</v>
      </c>
      <c r="DF773" t="s">
        <v>466</v>
      </c>
      <c r="DG773">
        <v>30</v>
      </c>
      <c r="DJ773" t="s">
        <v>267</v>
      </c>
      <c r="DK773" t="s">
        <v>268</v>
      </c>
      <c r="DL773" t="s">
        <v>170</v>
      </c>
      <c r="DM773" t="s">
        <v>170</v>
      </c>
      <c r="DN773" t="s">
        <v>170</v>
      </c>
      <c r="DO773" t="s">
        <v>592</v>
      </c>
      <c r="DP773" t="s">
        <v>169</v>
      </c>
      <c r="DQ773" t="s">
        <v>198</v>
      </c>
      <c r="DR773" t="s">
        <v>467</v>
      </c>
      <c r="DY773">
        <v>69</v>
      </c>
      <c r="EB773">
        <v>8</v>
      </c>
      <c r="EC773">
        <v>8</v>
      </c>
      <c r="EE773" t="s">
        <v>801</v>
      </c>
      <c r="EF773">
        <v>6</v>
      </c>
      <c r="EU773">
        <v>4250</v>
      </c>
      <c r="EW773">
        <v>174</v>
      </c>
      <c r="EX773">
        <v>182</v>
      </c>
      <c r="EY773">
        <v>177</v>
      </c>
    </row>
    <row r="774" spans="1:155" x14ac:dyDescent="0.35">
      <c r="A774">
        <v>2025</v>
      </c>
      <c r="B774" t="s">
        <v>327</v>
      </c>
      <c r="C774" t="s">
        <v>317</v>
      </c>
      <c r="D774" t="s">
        <v>802</v>
      </c>
      <c r="E774" t="s">
        <v>330</v>
      </c>
      <c r="F774">
        <v>53</v>
      </c>
      <c r="G774">
        <v>2.5</v>
      </c>
      <c r="H774">
        <v>4</v>
      </c>
      <c r="I774" t="s">
        <v>594</v>
      </c>
      <c r="J774">
        <v>46</v>
      </c>
      <c r="K774">
        <v>46</v>
      </c>
      <c r="L774">
        <v>46</v>
      </c>
      <c r="M774">
        <v>62.3</v>
      </c>
      <c r="N774">
        <v>61.1</v>
      </c>
      <c r="O774">
        <v>61.754199999999997</v>
      </c>
      <c r="P774">
        <v>46.371499999999997</v>
      </c>
      <c r="Q774">
        <v>46.487699999999997</v>
      </c>
      <c r="R774">
        <v>46.423699999999997</v>
      </c>
      <c r="U774" t="s">
        <v>224</v>
      </c>
      <c r="V774" t="s">
        <v>463</v>
      </c>
      <c r="W774" t="s">
        <v>464</v>
      </c>
      <c r="Y774">
        <v>6</v>
      </c>
      <c r="Z774" t="s">
        <v>170</v>
      </c>
      <c r="AA774" t="s">
        <v>170</v>
      </c>
      <c r="AB774" t="s">
        <v>167</v>
      </c>
      <c r="AC774" t="s">
        <v>213</v>
      </c>
      <c r="AD774">
        <v>15</v>
      </c>
      <c r="AG774" t="s">
        <v>210</v>
      </c>
      <c r="AH774" t="s">
        <v>444</v>
      </c>
      <c r="AI774" t="s">
        <v>175</v>
      </c>
      <c r="AJ774" t="s">
        <v>176</v>
      </c>
      <c r="AK774" t="s">
        <v>170</v>
      </c>
      <c r="AL774" t="s">
        <v>177</v>
      </c>
      <c r="AO774">
        <v>100</v>
      </c>
      <c r="AP774">
        <v>15</v>
      </c>
      <c r="AS774">
        <v>1150</v>
      </c>
      <c r="AT774">
        <v>1150</v>
      </c>
      <c r="BN774" t="s">
        <v>465</v>
      </c>
      <c r="BO774">
        <v>2</v>
      </c>
      <c r="BP774">
        <v>2</v>
      </c>
      <c r="BQ774">
        <v>5</v>
      </c>
      <c r="BR774" t="s">
        <v>672</v>
      </c>
      <c r="BS774" t="s">
        <v>180</v>
      </c>
      <c r="BT774" t="s">
        <v>225</v>
      </c>
      <c r="BU774" s="1">
        <v>45404</v>
      </c>
      <c r="BV774">
        <v>34845</v>
      </c>
      <c r="BX774" t="s">
        <v>170</v>
      </c>
      <c r="BY774" t="s">
        <v>170</v>
      </c>
      <c r="CB774" t="s">
        <v>170</v>
      </c>
      <c r="CC774" t="s">
        <v>170</v>
      </c>
      <c r="CE774" t="s">
        <v>170</v>
      </c>
      <c r="CG774" t="s">
        <v>169</v>
      </c>
      <c r="CH774" t="s">
        <v>333</v>
      </c>
      <c r="CI774" t="s">
        <v>170</v>
      </c>
      <c r="CK774" t="s">
        <v>233</v>
      </c>
      <c r="CM774">
        <v>1</v>
      </c>
      <c r="CN774" t="s">
        <v>234</v>
      </c>
      <c r="CP774">
        <v>252</v>
      </c>
      <c r="CQ774">
        <v>4</v>
      </c>
      <c r="CR774">
        <v>90.8</v>
      </c>
      <c r="CS774" t="s">
        <v>235</v>
      </c>
      <c r="CV774" t="s">
        <v>341</v>
      </c>
      <c r="CX774" t="s">
        <v>342</v>
      </c>
      <c r="CY774" t="s">
        <v>170</v>
      </c>
      <c r="DC774" t="s">
        <v>590</v>
      </c>
      <c r="DD774">
        <v>2</v>
      </c>
      <c r="DE774" t="s">
        <v>404</v>
      </c>
      <c r="DF774" t="s">
        <v>466</v>
      </c>
      <c r="DG774">
        <v>30</v>
      </c>
      <c r="DJ774" t="s">
        <v>267</v>
      </c>
      <c r="DK774" t="s">
        <v>268</v>
      </c>
      <c r="DL774" t="s">
        <v>170</v>
      </c>
      <c r="DM774" t="s">
        <v>170</v>
      </c>
      <c r="DN774" t="s">
        <v>170</v>
      </c>
      <c r="DO774" t="s">
        <v>592</v>
      </c>
      <c r="DP774" t="s">
        <v>169</v>
      </c>
      <c r="DQ774" t="s">
        <v>198</v>
      </c>
      <c r="DR774" t="s">
        <v>467</v>
      </c>
      <c r="DY774">
        <v>62.4</v>
      </c>
      <c r="EB774">
        <v>8</v>
      </c>
      <c r="EC774">
        <v>8</v>
      </c>
      <c r="EE774" t="s">
        <v>801</v>
      </c>
      <c r="EF774">
        <v>6</v>
      </c>
      <c r="EU774">
        <v>3750</v>
      </c>
      <c r="EW774">
        <v>189</v>
      </c>
      <c r="EX774">
        <v>189</v>
      </c>
      <c r="EY774">
        <v>189</v>
      </c>
    </row>
    <row r="775" spans="1:155" x14ac:dyDescent="0.35">
      <c r="A775">
        <v>2025</v>
      </c>
      <c r="B775" t="s">
        <v>327</v>
      </c>
      <c r="C775" t="s">
        <v>317</v>
      </c>
      <c r="D775" t="s">
        <v>803</v>
      </c>
      <c r="E775" t="s">
        <v>330</v>
      </c>
      <c r="F775">
        <v>54</v>
      </c>
      <c r="G775">
        <v>2.5</v>
      </c>
      <c r="H775">
        <v>4</v>
      </c>
      <c r="I775" t="s">
        <v>594</v>
      </c>
      <c r="J775">
        <v>44</v>
      </c>
      <c r="K775">
        <v>43</v>
      </c>
      <c r="L775">
        <v>44</v>
      </c>
      <c r="M775">
        <v>62.3</v>
      </c>
      <c r="N775">
        <v>61.1</v>
      </c>
      <c r="O775">
        <v>61.754199999999997</v>
      </c>
      <c r="P775">
        <v>44</v>
      </c>
      <c r="Q775">
        <v>43</v>
      </c>
      <c r="R775">
        <v>44</v>
      </c>
      <c r="U775" t="s">
        <v>224</v>
      </c>
      <c r="V775" t="s">
        <v>463</v>
      </c>
      <c r="W775" t="s">
        <v>464</v>
      </c>
      <c r="Y775">
        <v>6</v>
      </c>
      <c r="Z775" t="s">
        <v>170</v>
      </c>
      <c r="AA775" t="s">
        <v>170</v>
      </c>
      <c r="AB775" t="s">
        <v>167</v>
      </c>
      <c r="AC775" t="s">
        <v>213</v>
      </c>
      <c r="AD775">
        <v>15</v>
      </c>
      <c r="AG775" t="s">
        <v>210</v>
      </c>
      <c r="AH775" t="s">
        <v>444</v>
      </c>
      <c r="AI775" t="s">
        <v>175</v>
      </c>
      <c r="AJ775" t="s">
        <v>176</v>
      </c>
      <c r="AK775" t="s">
        <v>170</v>
      </c>
      <c r="AL775" t="s">
        <v>177</v>
      </c>
      <c r="AO775">
        <v>100</v>
      </c>
      <c r="AP775">
        <v>15</v>
      </c>
      <c r="AS775">
        <v>1200</v>
      </c>
      <c r="AT775">
        <v>1200</v>
      </c>
      <c r="BN775" t="s">
        <v>465</v>
      </c>
      <c r="BO775">
        <v>2</v>
      </c>
      <c r="BP775">
        <v>2</v>
      </c>
      <c r="BQ775">
        <v>5</v>
      </c>
      <c r="BR775" t="s">
        <v>672</v>
      </c>
      <c r="BS775" t="s">
        <v>180</v>
      </c>
      <c r="BT775" t="s">
        <v>225</v>
      </c>
      <c r="BU775" s="1">
        <v>45404</v>
      </c>
      <c r="BV775">
        <v>34846</v>
      </c>
      <c r="BX775" t="s">
        <v>170</v>
      </c>
      <c r="BY775" t="s">
        <v>170</v>
      </c>
      <c r="CB775" t="s">
        <v>170</v>
      </c>
      <c r="CC775" t="s">
        <v>170</v>
      </c>
      <c r="CE775" t="s">
        <v>170</v>
      </c>
      <c r="CG775" t="s">
        <v>169</v>
      </c>
      <c r="CH775" t="s">
        <v>333</v>
      </c>
      <c r="CI775" t="s">
        <v>170</v>
      </c>
      <c r="CK775" t="s">
        <v>233</v>
      </c>
      <c r="CM775">
        <v>1</v>
      </c>
      <c r="CN775" t="s">
        <v>234</v>
      </c>
      <c r="CP775">
        <v>252</v>
      </c>
      <c r="CQ775">
        <v>4</v>
      </c>
      <c r="CR775">
        <v>90.8</v>
      </c>
      <c r="CS775" t="s">
        <v>235</v>
      </c>
      <c r="CV775" t="s">
        <v>341</v>
      </c>
      <c r="CX775" t="s">
        <v>342</v>
      </c>
      <c r="CY775" t="s">
        <v>170</v>
      </c>
      <c r="DC775" t="s">
        <v>590</v>
      </c>
      <c r="DD775">
        <v>2</v>
      </c>
      <c r="DE775" t="s">
        <v>404</v>
      </c>
      <c r="DF775" t="s">
        <v>466</v>
      </c>
      <c r="DG775">
        <v>30</v>
      </c>
      <c r="DJ775" t="s">
        <v>267</v>
      </c>
      <c r="DK775" t="s">
        <v>268</v>
      </c>
      <c r="DL775" t="s">
        <v>170</v>
      </c>
      <c r="DM775" t="s">
        <v>170</v>
      </c>
      <c r="DN775" t="s">
        <v>170</v>
      </c>
      <c r="DO775" t="s">
        <v>592</v>
      </c>
      <c r="DP775" t="s">
        <v>169</v>
      </c>
      <c r="DQ775" t="s">
        <v>198</v>
      </c>
      <c r="DR775" t="s">
        <v>467</v>
      </c>
      <c r="DY775">
        <v>62.4</v>
      </c>
      <c r="EB775">
        <v>7</v>
      </c>
      <c r="EC775">
        <v>7</v>
      </c>
      <c r="EE775" t="s">
        <v>801</v>
      </c>
      <c r="EF775">
        <v>6</v>
      </c>
      <c r="EU775">
        <v>3500</v>
      </c>
      <c r="EW775">
        <v>199</v>
      </c>
      <c r="EX775">
        <v>204</v>
      </c>
      <c r="EY775">
        <v>199</v>
      </c>
    </row>
    <row r="776" spans="1:155" x14ac:dyDescent="0.35">
      <c r="A776">
        <v>2025</v>
      </c>
      <c r="B776" t="s">
        <v>327</v>
      </c>
      <c r="C776" t="s">
        <v>317</v>
      </c>
      <c r="D776" t="s">
        <v>804</v>
      </c>
      <c r="E776" t="s">
        <v>330</v>
      </c>
      <c r="F776">
        <v>55</v>
      </c>
      <c r="G776">
        <v>2.5</v>
      </c>
      <c r="H776">
        <v>4</v>
      </c>
      <c r="I776" t="s">
        <v>594</v>
      </c>
      <c r="J776">
        <v>53</v>
      </c>
      <c r="K776">
        <v>50</v>
      </c>
      <c r="L776">
        <v>51</v>
      </c>
      <c r="M776">
        <v>74.099999999999994</v>
      </c>
      <c r="N776">
        <v>69.5</v>
      </c>
      <c r="O776">
        <v>71.956800000000001</v>
      </c>
      <c r="P776">
        <v>52.703200000000002</v>
      </c>
      <c r="Q776">
        <v>49.712299999999999</v>
      </c>
      <c r="R776">
        <v>51.313899999999997</v>
      </c>
      <c r="U776" t="s">
        <v>224</v>
      </c>
      <c r="V776" t="s">
        <v>463</v>
      </c>
      <c r="W776" t="s">
        <v>464</v>
      </c>
      <c r="Y776">
        <v>6</v>
      </c>
      <c r="Z776" t="s">
        <v>170</v>
      </c>
      <c r="AA776" t="s">
        <v>170</v>
      </c>
      <c r="AB776" t="s">
        <v>351</v>
      </c>
      <c r="AC776" t="s">
        <v>352</v>
      </c>
      <c r="AD776">
        <v>15</v>
      </c>
      <c r="AG776" t="s">
        <v>210</v>
      </c>
      <c r="AH776" t="s">
        <v>444</v>
      </c>
      <c r="AI776" t="s">
        <v>175</v>
      </c>
      <c r="AJ776" t="s">
        <v>176</v>
      </c>
      <c r="AK776" t="s">
        <v>170</v>
      </c>
      <c r="AL776" t="s">
        <v>177</v>
      </c>
      <c r="AO776">
        <v>100</v>
      </c>
      <c r="AP776">
        <v>15</v>
      </c>
      <c r="AS776">
        <v>1050</v>
      </c>
      <c r="AT776">
        <v>1050</v>
      </c>
      <c r="BN776" t="s">
        <v>465</v>
      </c>
      <c r="BO776">
        <v>2</v>
      </c>
      <c r="BP776">
        <v>2</v>
      </c>
      <c r="BQ776">
        <v>5</v>
      </c>
      <c r="BR776" t="s">
        <v>672</v>
      </c>
      <c r="BS776" t="s">
        <v>180</v>
      </c>
      <c r="BT776" t="s">
        <v>225</v>
      </c>
      <c r="BU776" s="1">
        <v>45399</v>
      </c>
      <c r="BV776">
        <v>34848</v>
      </c>
      <c r="BX776" t="s">
        <v>170</v>
      </c>
      <c r="BY776" t="s">
        <v>170</v>
      </c>
      <c r="CB776" t="s">
        <v>170</v>
      </c>
      <c r="CC776" t="s">
        <v>170</v>
      </c>
      <c r="CE776" t="s">
        <v>170</v>
      </c>
      <c r="CG776" t="s">
        <v>169</v>
      </c>
      <c r="CH776" t="s">
        <v>333</v>
      </c>
      <c r="CI776" t="s">
        <v>170</v>
      </c>
      <c r="CK776" t="s">
        <v>233</v>
      </c>
      <c r="CM776">
        <v>1</v>
      </c>
      <c r="CN776" t="s">
        <v>234</v>
      </c>
      <c r="CP776">
        <v>252</v>
      </c>
      <c r="CQ776">
        <v>4</v>
      </c>
      <c r="CR776">
        <v>90.8</v>
      </c>
      <c r="CS776" t="s">
        <v>235</v>
      </c>
      <c r="CV776" t="s">
        <v>341</v>
      </c>
      <c r="CX776" t="s">
        <v>342</v>
      </c>
      <c r="CY776" t="s">
        <v>170</v>
      </c>
      <c r="DC776" t="s">
        <v>590</v>
      </c>
      <c r="DD776">
        <v>2</v>
      </c>
      <c r="DE776" t="s">
        <v>404</v>
      </c>
      <c r="DF776" t="s">
        <v>466</v>
      </c>
      <c r="DG776">
        <v>30</v>
      </c>
      <c r="DJ776" t="s">
        <v>267</v>
      </c>
      <c r="DK776" t="s">
        <v>268</v>
      </c>
      <c r="DL776" t="s">
        <v>170</v>
      </c>
      <c r="DM776" t="s">
        <v>170</v>
      </c>
      <c r="DN776" t="s">
        <v>170</v>
      </c>
      <c r="DO776" t="s">
        <v>592</v>
      </c>
      <c r="DP776" t="s">
        <v>169</v>
      </c>
      <c r="DQ776" t="s">
        <v>198</v>
      </c>
      <c r="DR776" t="s">
        <v>467</v>
      </c>
      <c r="DY776">
        <v>72.7</v>
      </c>
      <c r="EB776">
        <v>8</v>
      </c>
      <c r="EC776">
        <v>8</v>
      </c>
      <c r="EE776" t="s">
        <v>801</v>
      </c>
      <c r="EF776">
        <v>6</v>
      </c>
      <c r="EU776">
        <v>4250</v>
      </c>
      <c r="EW776">
        <v>168</v>
      </c>
      <c r="EX776">
        <v>179</v>
      </c>
      <c r="EY776">
        <v>173</v>
      </c>
    </row>
    <row r="777" spans="1:155" x14ac:dyDescent="0.35">
      <c r="A777">
        <v>2025</v>
      </c>
      <c r="B777" t="s">
        <v>327</v>
      </c>
      <c r="C777" t="s">
        <v>317</v>
      </c>
      <c r="D777" t="s">
        <v>805</v>
      </c>
      <c r="E777" t="s">
        <v>330</v>
      </c>
      <c r="F777">
        <v>56</v>
      </c>
      <c r="G777">
        <v>2.5</v>
      </c>
      <c r="H777">
        <v>4</v>
      </c>
      <c r="I777" t="s">
        <v>594</v>
      </c>
      <c r="J777">
        <v>48</v>
      </c>
      <c r="K777">
        <v>47</v>
      </c>
      <c r="L777">
        <v>47</v>
      </c>
      <c r="M777">
        <v>63.5</v>
      </c>
      <c r="N777">
        <v>65</v>
      </c>
      <c r="O777">
        <v>64.166300000000007</v>
      </c>
      <c r="P777">
        <v>47.886600000000001</v>
      </c>
      <c r="Q777">
        <v>46.831299999999999</v>
      </c>
      <c r="R777">
        <v>47.405900000000003</v>
      </c>
      <c r="U777" t="s">
        <v>224</v>
      </c>
      <c r="V777" t="s">
        <v>463</v>
      </c>
      <c r="W777" t="s">
        <v>464</v>
      </c>
      <c r="Y777">
        <v>6</v>
      </c>
      <c r="Z777" t="s">
        <v>170</v>
      </c>
      <c r="AA777" t="s">
        <v>170</v>
      </c>
      <c r="AB777" t="s">
        <v>351</v>
      </c>
      <c r="AC777" t="s">
        <v>352</v>
      </c>
      <c r="AD777">
        <v>15</v>
      </c>
      <c r="AG777" t="s">
        <v>210</v>
      </c>
      <c r="AH777" t="s">
        <v>444</v>
      </c>
      <c r="AI777" t="s">
        <v>175</v>
      </c>
      <c r="AJ777" t="s">
        <v>176</v>
      </c>
      <c r="AK777" t="s">
        <v>170</v>
      </c>
      <c r="AL777" t="s">
        <v>177</v>
      </c>
      <c r="AO777">
        <v>100</v>
      </c>
      <c r="AP777">
        <v>15</v>
      </c>
      <c r="AS777">
        <v>1100</v>
      </c>
      <c r="AT777">
        <v>1100</v>
      </c>
      <c r="BN777" t="s">
        <v>465</v>
      </c>
      <c r="BO777">
        <v>2</v>
      </c>
      <c r="BP777">
        <v>2</v>
      </c>
      <c r="BQ777">
        <v>5</v>
      </c>
      <c r="BR777" t="s">
        <v>672</v>
      </c>
      <c r="BS777" t="s">
        <v>180</v>
      </c>
      <c r="BT777" t="s">
        <v>225</v>
      </c>
      <c r="BU777" s="1">
        <v>45399</v>
      </c>
      <c r="BV777">
        <v>34847</v>
      </c>
      <c r="BX777" t="s">
        <v>170</v>
      </c>
      <c r="BY777" t="s">
        <v>170</v>
      </c>
      <c r="CB777" t="s">
        <v>170</v>
      </c>
      <c r="CC777" t="s">
        <v>170</v>
      </c>
      <c r="CE777" t="s">
        <v>170</v>
      </c>
      <c r="CG777" t="s">
        <v>169</v>
      </c>
      <c r="CH777" t="s">
        <v>333</v>
      </c>
      <c r="CI777" t="s">
        <v>170</v>
      </c>
      <c r="CK777" t="s">
        <v>233</v>
      </c>
      <c r="CM777">
        <v>1</v>
      </c>
      <c r="CN777" t="s">
        <v>234</v>
      </c>
      <c r="CP777">
        <v>252</v>
      </c>
      <c r="CQ777">
        <v>4</v>
      </c>
      <c r="CR777">
        <v>90.8</v>
      </c>
      <c r="CS777" t="s">
        <v>235</v>
      </c>
      <c r="CV777" t="s">
        <v>341</v>
      </c>
      <c r="CX777" t="s">
        <v>342</v>
      </c>
      <c r="CY777" t="s">
        <v>170</v>
      </c>
      <c r="DC777" t="s">
        <v>590</v>
      </c>
      <c r="DD777">
        <v>2</v>
      </c>
      <c r="DE777" t="s">
        <v>404</v>
      </c>
      <c r="DF777" t="s">
        <v>466</v>
      </c>
      <c r="DG777">
        <v>30</v>
      </c>
      <c r="DJ777" t="s">
        <v>267</v>
      </c>
      <c r="DK777" t="s">
        <v>268</v>
      </c>
      <c r="DL777" t="s">
        <v>170</v>
      </c>
      <c r="DM777" t="s">
        <v>170</v>
      </c>
      <c r="DN777" t="s">
        <v>170</v>
      </c>
      <c r="DO777" t="s">
        <v>592</v>
      </c>
      <c r="DP777" t="s">
        <v>169</v>
      </c>
      <c r="DQ777" t="s">
        <v>198</v>
      </c>
      <c r="DR777" t="s">
        <v>467</v>
      </c>
      <c r="DY777">
        <v>64.900000000000006</v>
      </c>
      <c r="EB777">
        <v>8</v>
      </c>
      <c r="EC777">
        <v>8</v>
      </c>
      <c r="EE777" t="s">
        <v>801</v>
      </c>
      <c r="EF777">
        <v>6</v>
      </c>
      <c r="EU777">
        <v>4000</v>
      </c>
      <c r="EW777">
        <v>184</v>
      </c>
      <c r="EX777">
        <v>188</v>
      </c>
      <c r="EY777">
        <v>186</v>
      </c>
    </row>
    <row r="778" spans="1:155" x14ac:dyDescent="0.35">
      <c r="A778">
        <v>2025</v>
      </c>
      <c r="B778" t="s">
        <v>327</v>
      </c>
      <c r="C778" t="s">
        <v>317</v>
      </c>
      <c r="D778" t="s">
        <v>628</v>
      </c>
      <c r="E778" t="s">
        <v>330</v>
      </c>
      <c r="F778">
        <v>50</v>
      </c>
      <c r="G778">
        <v>2</v>
      </c>
      <c r="H778">
        <v>4</v>
      </c>
      <c r="I778" t="s">
        <v>587</v>
      </c>
      <c r="J778">
        <v>32</v>
      </c>
      <c r="K778">
        <v>41</v>
      </c>
      <c r="L778">
        <v>35</v>
      </c>
      <c r="M778">
        <v>43.5</v>
      </c>
      <c r="N778">
        <v>62.699399999999997</v>
      </c>
      <c r="O778">
        <v>50.452100000000002</v>
      </c>
      <c r="P778">
        <v>32</v>
      </c>
      <c r="Q778">
        <v>41</v>
      </c>
      <c r="R778">
        <v>35</v>
      </c>
      <c r="U778" t="s">
        <v>224</v>
      </c>
      <c r="V778" t="s">
        <v>588</v>
      </c>
      <c r="W778" t="s">
        <v>589</v>
      </c>
      <c r="Y778">
        <v>1</v>
      </c>
      <c r="Z778" t="s">
        <v>169</v>
      </c>
      <c r="AA778" t="s">
        <v>170</v>
      </c>
      <c r="AB778" t="s">
        <v>351</v>
      </c>
      <c r="AC778" t="s">
        <v>352</v>
      </c>
      <c r="AD778">
        <v>15</v>
      </c>
      <c r="AG778" t="s">
        <v>210</v>
      </c>
      <c r="AH778" t="s">
        <v>444</v>
      </c>
      <c r="AI778" t="s">
        <v>175</v>
      </c>
      <c r="AJ778" t="s">
        <v>176</v>
      </c>
      <c r="AK778" t="s">
        <v>170</v>
      </c>
      <c r="AL778" t="s">
        <v>177</v>
      </c>
      <c r="AO778">
        <v>89</v>
      </c>
      <c r="AP778">
        <v>13</v>
      </c>
      <c r="AS778">
        <v>1500</v>
      </c>
      <c r="AT778">
        <v>1500</v>
      </c>
      <c r="BN778" t="s">
        <v>265</v>
      </c>
      <c r="BO778">
        <v>2</v>
      </c>
      <c r="BP778">
        <v>2</v>
      </c>
      <c r="BQ778">
        <v>4</v>
      </c>
      <c r="BR778" t="s">
        <v>521</v>
      </c>
      <c r="BS778" t="s">
        <v>180</v>
      </c>
      <c r="BT778" t="s">
        <v>181</v>
      </c>
      <c r="BU778" s="1">
        <v>45552</v>
      </c>
      <c r="BV778">
        <v>35523</v>
      </c>
      <c r="BX778" t="s">
        <v>170</v>
      </c>
      <c r="BY778" t="s">
        <v>170</v>
      </c>
      <c r="CB778" t="s">
        <v>170</v>
      </c>
      <c r="CC778" t="s">
        <v>170</v>
      </c>
      <c r="CE778" t="s">
        <v>170</v>
      </c>
      <c r="CG778" t="s">
        <v>169</v>
      </c>
      <c r="CH778" t="s">
        <v>333</v>
      </c>
      <c r="CI778" t="s">
        <v>170</v>
      </c>
      <c r="DJ778" t="s">
        <v>267</v>
      </c>
      <c r="DK778" t="s">
        <v>268</v>
      </c>
      <c r="DN778" t="s">
        <v>170</v>
      </c>
      <c r="DO778" t="s">
        <v>592</v>
      </c>
      <c r="DP778" t="s">
        <v>170</v>
      </c>
      <c r="DQ778" t="s">
        <v>187</v>
      </c>
      <c r="DR778" t="s">
        <v>630</v>
      </c>
      <c r="DY778">
        <v>51.5</v>
      </c>
      <c r="EB778">
        <v>7</v>
      </c>
      <c r="EC778">
        <v>7</v>
      </c>
      <c r="EE778" t="s">
        <v>629</v>
      </c>
      <c r="EF778">
        <v>6</v>
      </c>
      <c r="EU778">
        <v>2000</v>
      </c>
      <c r="EW778">
        <v>277</v>
      </c>
      <c r="EX778">
        <v>216</v>
      </c>
      <c r="EY778">
        <v>254</v>
      </c>
    </row>
    <row r="779" spans="1:155" x14ac:dyDescent="0.35">
      <c r="A779">
        <v>2025</v>
      </c>
      <c r="B779" t="s">
        <v>327</v>
      </c>
      <c r="C779" t="s">
        <v>317</v>
      </c>
      <c r="D779" t="s">
        <v>628</v>
      </c>
      <c r="E779" t="s">
        <v>330</v>
      </c>
      <c r="F779">
        <v>51</v>
      </c>
      <c r="G779">
        <v>2</v>
      </c>
      <c r="H779">
        <v>4</v>
      </c>
      <c r="I779" t="s">
        <v>587</v>
      </c>
      <c r="J779">
        <v>31</v>
      </c>
      <c r="K779">
        <v>40</v>
      </c>
      <c r="L779">
        <v>34</v>
      </c>
      <c r="M779">
        <v>41</v>
      </c>
      <c r="N779">
        <v>58.7</v>
      </c>
      <c r="O779">
        <v>47.436700000000002</v>
      </c>
      <c r="P779">
        <v>30.877400000000002</v>
      </c>
      <c r="Q779">
        <v>39.613700000000001</v>
      </c>
      <c r="R779">
        <v>34.279299999999999</v>
      </c>
      <c r="U779" t="s">
        <v>224</v>
      </c>
      <c r="V779" t="s">
        <v>588</v>
      </c>
      <c r="W779" t="s">
        <v>589</v>
      </c>
      <c r="Y779">
        <v>1</v>
      </c>
      <c r="Z779" t="s">
        <v>169</v>
      </c>
      <c r="AA779" t="s">
        <v>170</v>
      </c>
      <c r="AB779" t="s">
        <v>351</v>
      </c>
      <c r="AC779" t="s">
        <v>352</v>
      </c>
      <c r="AD779">
        <v>15</v>
      </c>
      <c r="AG779" t="s">
        <v>210</v>
      </c>
      <c r="AH779" t="s">
        <v>444</v>
      </c>
      <c r="AI779" t="s">
        <v>175</v>
      </c>
      <c r="AJ779" t="s">
        <v>176</v>
      </c>
      <c r="AK779" t="s">
        <v>170</v>
      </c>
      <c r="AL779" t="s">
        <v>177</v>
      </c>
      <c r="AO779">
        <v>89</v>
      </c>
      <c r="AP779">
        <v>13</v>
      </c>
      <c r="AS779">
        <v>1550</v>
      </c>
      <c r="AT779">
        <v>1550</v>
      </c>
      <c r="BN779" t="s">
        <v>265</v>
      </c>
      <c r="BO779">
        <v>2</v>
      </c>
      <c r="BP779">
        <v>2</v>
      </c>
      <c r="BQ779">
        <v>4</v>
      </c>
      <c r="BR779" t="s">
        <v>521</v>
      </c>
      <c r="BS779" t="s">
        <v>180</v>
      </c>
      <c r="BT779" t="s">
        <v>181</v>
      </c>
      <c r="BU779" s="1">
        <v>45552</v>
      </c>
      <c r="BV779">
        <v>35516</v>
      </c>
      <c r="BX779" t="s">
        <v>170</v>
      </c>
      <c r="BY779" t="s">
        <v>170</v>
      </c>
      <c r="CB779" t="s">
        <v>170</v>
      </c>
      <c r="CC779" t="s">
        <v>170</v>
      </c>
      <c r="CE779" t="s">
        <v>170</v>
      </c>
      <c r="CG779" t="s">
        <v>169</v>
      </c>
      <c r="CH779" t="s">
        <v>333</v>
      </c>
      <c r="CI779" t="s">
        <v>170</v>
      </c>
      <c r="DJ779" t="s">
        <v>267</v>
      </c>
      <c r="DK779" t="s">
        <v>268</v>
      </c>
      <c r="DN779" t="s">
        <v>170</v>
      </c>
      <c r="DO779" t="s">
        <v>592</v>
      </c>
      <c r="DP779" t="s">
        <v>170</v>
      </c>
      <c r="DQ779" t="s">
        <v>187</v>
      </c>
      <c r="DY779">
        <v>48</v>
      </c>
      <c r="EB779">
        <v>7</v>
      </c>
      <c r="EC779">
        <v>7</v>
      </c>
      <c r="EE779" t="s">
        <v>629</v>
      </c>
      <c r="EF779">
        <v>6</v>
      </c>
      <c r="EU779">
        <v>1750</v>
      </c>
      <c r="EW779">
        <v>286</v>
      </c>
      <c r="EX779">
        <v>223</v>
      </c>
      <c r="EY779">
        <v>257</v>
      </c>
    </row>
    <row r="780" spans="1:155" x14ac:dyDescent="0.35">
      <c r="A780">
        <v>2025</v>
      </c>
      <c r="B780" t="s">
        <v>327</v>
      </c>
      <c r="C780" t="s">
        <v>317</v>
      </c>
      <c r="D780" t="s">
        <v>628</v>
      </c>
      <c r="E780" t="s">
        <v>330</v>
      </c>
      <c r="F780">
        <v>52</v>
      </c>
      <c r="G780">
        <v>2</v>
      </c>
      <c r="H780">
        <v>4</v>
      </c>
      <c r="I780" t="s">
        <v>462</v>
      </c>
      <c r="J780">
        <v>31</v>
      </c>
      <c r="K780">
        <v>38</v>
      </c>
      <c r="L780">
        <v>34</v>
      </c>
      <c r="M780">
        <v>40.5</v>
      </c>
      <c r="N780">
        <v>56.8</v>
      </c>
      <c r="O780">
        <v>46.505600000000001</v>
      </c>
      <c r="P780">
        <v>30.547899999999998</v>
      </c>
      <c r="Q780">
        <v>38.488900000000001</v>
      </c>
      <c r="R780">
        <v>33.674300000000002</v>
      </c>
      <c r="U780" t="s">
        <v>224</v>
      </c>
      <c r="V780" t="s">
        <v>463</v>
      </c>
      <c r="W780" t="s">
        <v>464</v>
      </c>
      <c r="Y780">
        <v>10</v>
      </c>
      <c r="Z780" t="s">
        <v>169</v>
      </c>
      <c r="AA780" t="s">
        <v>170</v>
      </c>
      <c r="AB780" t="s">
        <v>351</v>
      </c>
      <c r="AC780" t="s">
        <v>352</v>
      </c>
      <c r="AD780">
        <v>15</v>
      </c>
      <c r="AG780" t="s">
        <v>210</v>
      </c>
      <c r="AH780" t="s">
        <v>444</v>
      </c>
      <c r="AI780" t="s">
        <v>175</v>
      </c>
      <c r="AJ780" t="s">
        <v>176</v>
      </c>
      <c r="AK780" t="s">
        <v>170</v>
      </c>
      <c r="AL780" t="s">
        <v>177</v>
      </c>
      <c r="AO780">
        <v>89</v>
      </c>
      <c r="AP780">
        <v>13</v>
      </c>
      <c r="AS780">
        <v>1550</v>
      </c>
      <c r="AT780">
        <v>1550</v>
      </c>
      <c r="BN780" t="s">
        <v>265</v>
      </c>
      <c r="BO780">
        <v>2</v>
      </c>
      <c r="BP780">
        <v>2</v>
      </c>
      <c r="BQ780">
        <v>4</v>
      </c>
      <c r="BR780" t="s">
        <v>521</v>
      </c>
      <c r="BS780" t="s">
        <v>180</v>
      </c>
      <c r="BT780" t="s">
        <v>181</v>
      </c>
      <c r="BU780" s="1">
        <v>45552</v>
      </c>
      <c r="BV780">
        <v>35515</v>
      </c>
      <c r="BX780" t="s">
        <v>170</v>
      </c>
      <c r="BY780" t="s">
        <v>170</v>
      </c>
      <c r="CB780" t="s">
        <v>170</v>
      </c>
      <c r="CC780" t="s">
        <v>170</v>
      </c>
      <c r="CE780" t="s">
        <v>170</v>
      </c>
      <c r="CG780" t="s">
        <v>169</v>
      </c>
      <c r="CH780" t="s">
        <v>333</v>
      </c>
      <c r="CI780" t="s">
        <v>170</v>
      </c>
      <c r="DJ780" t="s">
        <v>267</v>
      </c>
      <c r="DK780" t="s">
        <v>268</v>
      </c>
      <c r="DN780" t="s">
        <v>170</v>
      </c>
      <c r="DO780" t="s">
        <v>592</v>
      </c>
      <c r="DP780" t="s">
        <v>170</v>
      </c>
      <c r="DQ780" t="s">
        <v>187</v>
      </c>
      <c r="DR780" t="s">
        <v>631</v>
      </c>
      <c r="DY780">
        <v>47</v>
      </c>
      <c r="EB780">
        <v>7</v>
      </c>
      <c r="EC780">
        <v>7</v>
      </c>
      <c r="EE780" t="s">
        <v>629</v>
      </c>
      <c r="EF780">
        <v>6</v>
      </c>
      <c r="EU780">
        <v>1750</v>
      </c>
      <c r="EW780">
        <v>292</v>
      </c>
      <c r="EX780">
        <v>232</v>
      </c>
      <c r="EY780">
        <v>265</v>
      </c>
    </row>
    <row r="781" spans="1:155" x14ac:dyDescent="0.35">
      <c r="A781">
        <v>2025</v>
      </c>
      <c r="B781" t="s">
        <v>327</v>
      </c>
      <c r="C781" t="s">
        <v>317</v>
      </c>
      <c r="D781" t="s">
        <v>1200</v>
      </c>
      <c r="E781" t="s">
        <v>330</v>
      </c>
      <c r="F781">
        <v>93</v>
      </c>
      <c r="G781">
        <v>2</v>
      </c>
      <c r="H781">
        <v>4</v>
      </c>
      <c r="I781" t="s">
        <v>462</v>
      </c>
      <c r="J781">
        <v>31</v>
      </c>
      <c r="K781">
        <v>33</v>
      </c>
      <c r="L781">
        <v>32</v>
      </c>
      <c r="M781">
        <v>41.3</v>
      </c>
      <c r="N781">
        <v>53.6</v>
      </c>
      <c r="O781">
        <v>46.055999999999997</v>
      </c>
      <c r="P781">
        <v>31.0746</v>
      </c>
      <c r="Q781">
        <v>32.603099999999998</v>
      </c>
      <c r="R781">
        <v>31.744299999999999</v>
      </c>
      <c r="U781" t="s">
        <v>224</v>
      </c>
      <c r="V781" t="s">
        <v>463</v>
      </c>
      <c r="W781" t="s">
        <v>464</v>
      </c>
      <c r="Y781">
        <v>10</v>
      </c>
      <c r="Z781" t="s">
        <v>169</v>
      </c>
      <c r="AA781" t="s">
        <v>170</v>
      </c>
      <c r="AB781" t="s">
        <v>351</v>
      </c>
      <c r="AC781" t="s">
        <v>352</v>
      </c>
      <c r="AD781">
        <v>15</v>
      </c>
      <c r="AG781" t="s">
        <v>210</v>
      </c>
      <c r="AH781" t="s">
        <v>444</v>
      </c>
      <c r="AI781" t="s">
        <v>175</v>
      </c>
      <c r="AJ781" t="s">
        <v>176</v>
      </c>
      <c r="AK781" t="s">
        <v>940</v>
      </c>
      <c r="AL781" t="s">
        <v>941</v>
      </c>
      <c r="AS781">
        <v>1650</v>
      </c>
      <c r="AT781">
        <v>1650</v>
      </c>
      <c r="BN781" t="s">
        <v>265</v>
      </c>
      <c r="BO781">
        <v>2</v>
      </c>
      <c r="BP781">
        <v>2</v>
      </c>
      <c r="BQ781">
        <v>30</v>
      </c>
      <c r="BR781" t="s">
        <v>1099</v>
      </c>
      <c r="BT781" t="s">
        <v>457</v>
      </c>
      <c r="BU781" s="1">
        <v>45629</v>
      </c>
      <c r="BV781">
        <v>35880</v>
      </c>
      <c r="BX781" t="s">
        <v>170</v>
      </c>
      <c r="BY781" t="s">
        <v>170</v>
      </c>
      <c r="CB781" t="s">
        <v>170</v>
      </c>
      <c r="CC781" t="s">
        <v>170</v>
      </c>
      <c r="CE781" t="s">
        <v>170</v>
      </c>
      <c r="CG781" t="s">
        <v>169</v>
      </c>
      <c r="CH781" t="s">
        <v>333</v>
      </c>
      <c r="CI781" t="s">
        <v>170</v>
      </c>
      <c r="DJ781" t="s">
        <v>267</v>
      </c>
      <c r="DK781" t="s">
        <v>268</v>
      </c>
      <c r="DN781" t="s">
        <v>170</v>
      </c>
      <c r="DO781" t="s">
        <v>592</v>
      </c>
      <c r="DP781" t="s">
        <v>169</v>
      </c>
      <c r="DQ781" t="s">
        <v>198</v>
      </c>
      <c r="EB781">
        <v>6</v>
      </c>
      <c r="EC781">
        <v>6</v>
      </c>
      <c r="EE781" t="s">
        <v>1201</v>
      </c>
      <c r="EF781">
        <v>6</v>
      </c>
      <c r="EU781">
        <v>1250</v>
      </c>
      <c r="EW781">
        <v>283</v>
      </c>
      <c r="EX781">
        <v>267</v>
      </c>
      <c r="EY781">
        <v>276</v>
      </c>
    </row>
    <row r="782" spans="1:155" x14ac:dyDescent="0.35">
      <c r="A782">
        <v>2025</v>
      </c>
      <c r="B782" t="s">
        <v>327</v>
      </c>
      <c r="C782" t="s">
        <v>317</v>
      </c>
      <c r="D782" t="s">
        <v>1429</v>
      </c>
      <c r="E782" t="s">
        <v>330</v>
      </c>
      <c r="F782">
        <v>94</v>
      </c>
      <c r="G782">
        <v>2</v>
      </c>
      <c r="H782">
        <v>4</v>
      </c>
      <c r="I782" t="s">
        <v>462</v>
      </c>
      <c r="J782">
        <v>29</v>
      </c>
      <c r="K782">
        <v>31</v>
      </c>
      <c r="L782">
        <v>30</v>
      </c>
      <c r="M782">
        <v>39.915300000000002</v>
      </c>
      <c r="N782">
        <v>50</v>
      </c>
      <c r="O782">
        <v>43.899700000000003</v>
      </c>
      <c r="P782">
        <v>29</v>
      </c>
      <c r="Q782">
        <v>31.070799999999998</v>
      </c>
      <c r="R782">
        <v>30</v>
      </c>
      <c r="U782" t="s">
        <v>224</v>
      </c>
      <c r="V782" t="s">
        <v>463</v>
      </c>
      <c r="W782" t="s">
        <v>464</v>
      </c>
      <c r="Y782">
        <v>10</v>
      </c>
      <c r="Z782" t="s">
        <v>169</v>
      </c>
      <c r="AA782" t="s">
        <v>170</v>
      </c>
      <c r="AB782" t="s">
        <v>167</v>
      </c>
      <c r="AC782" t="s">
        <v>213</v>
      </c>
      <c r="AD782">
        <v>15</v>
      </c>
      <c r="AG782" t="s">
        <v>210</v>
      </c>
      <c r="AH782" t="s">
        <v>444</v>
      </c>
      <c r="AI782" t="s">
        <v>175</v>
      </c>
      <c r="AJ782" t="s">
        <v>176</v>
      </c>
      <c r="AK782" t="s">
        <v>940</v>
      </c>
      <c r="AL782" t="s">
        <v>941</v>
      </c>
      <c r="AS782">
        <v>1750</v>
      </c>
      <c r="AT782">
        <v>1750</v>
      </c>
      <c r="BN782" t="s">
        <v>265</v>
      </c>
      <c r="BO782">
        <v>2</v>
      </c>
      <c r="BP782">
        <v>2</v>
      </c>
      <c r="BQ782">
        <v>31</v>
      </c>
      <c r="BR782" t="s">
        <v>1219</v>
      </c>
      <c r="BT782" t="s">
        <v>457</v>
      </c>
      <c r="BU782" s="1">
        <v>45629</v>
      </c>
      <c r="BV782">
        <v>35881</v>
      </c>
      <c r="BX782" t="s">
        <v>170</v>
      </c>
      <c r="BY782" t="s">
        <v>170</v>
      </c>
      <c r="CB782" t="s">
        <v>170</v>
      </c>
      <c r="CC782" t="s">
        <v>170</v>
      </c>
      <c r="CE782" t="s">
        <v>170</v>
      </c>
      <c r="CG782" t="s">
        <v>169</v>
      </c>
      <c r="CH782" t="s">
        <v>333</v>
      </c>
      <c r="CI782" t="s">
        <v>170</v>
      </c>
      <c r="DJ782" t="s">
        <v>267</v>
      </c>
      <c r="DK782" t="s">
        <v>268</v>
      </c>
      <c r="DN782" t="s">
        <v>170</v>
      </c>
      <c r="DO782" t="s">
        <v>592</v>
      </c>
      <c r="DP782" t="s">
        <v>169</v>
      </c>
      <c r="DQ782" t="s">
        <v>198</v>
      </c>
      <c r="EB782">
        <v>6</v>
      </c>
      <c r="EC782">
        <v>6</v>
      </c>
      <c r="EE782" t="s">
        <v>1201</v>
      </c>
      <c r="EF782">
        <v>6</v>
      </c>
      <c r="EU782">
        <v>750</v>
      </c>
      <c r="EW782">
        <v>305</v>
      </c>
      <c r="EX782">
        <v>282</v>
      </c>
      <c r="EY782">
        <v>294</v>
      </c>
    </row>
    <row r="783" spans="1:155" x14ac:dyDescent="0.35">
      <c r="A783">
        <v>2025</v>
      </c>
      <c r="B783" t="s">
        <v>327</v>
      </c>
      <c r="C783" t="s">
        <v>317</v>
      </c>
      <c r="D783" t="s">
        <v>1430</v>
      </c>
      <c r="E783" t="s">
        <v>330</v>
      </c>
      <c r="F783">
        <v>95</v>
      </c>
      <c r="G783">
        <v>2</v>
      </c>
      <c r="H783">
        <v>4</v>
      </c>
      <c r="I783" t="s">
        <v>594</v>
      </c>
      <c r="J783">
        <v>45</v>
      </c>
      <c r="K783">
        <v>38</v>
      </c>
      <c r="L783">
        <v>42</v>
      </c>
      <c r="M783">
        <v>66.202399999999997</v>
      </c>
      <c r="N783">
        <v>57.320599999999999</v>
      </c>
      <c r="O783">
        <v>61.8872</v>
      </c>
      <c r="P783">
        <v>45</v>
      </c>
      <c r="Q783">
        <v>38</v>
      </c>
      <c r="R783">
        <v>42</v>
      </c>
      <c r="U783" t="s">
        <v>224</v>
      </c>
      <c r="V783" t="s">
        <v>463</v>
      </c>
      <c r="W783" t="s">
        <v>464</v>
      </c>
      <c r="Y783">
        <v>6</v>
      </c>
      <c r="Z783" t="s">
        <v>170</v>
      </c>
      <c r="AA783" t="s">
        <v>170</v>
      </c>
      <c r="AB783" t="s">
        <v>167</v>
      </c>
      <c r="AC783" t="s">
        <v>213</v>
      </c>
      <c r="AD783">
        <v>15</v>
      </c>
      <c r="AG783" t="s">
        <v>210</v>
      </c>
      <c r="AH783" t="s">
        <v>444</v>
      </c>
      <c r="AI783" t="s">
        <v>175</v>
      </c>
      <c r="AJ783" t="s">
        <v>176</v>
      </c>
      <c r="AK783" t="s">
        <v>940</v>
      </c>
      <c r="AL783" t="s">
        <v>941</v>
      </c>
      <c r="AS783">
        <v>1250</v>
      </c>
      <c r="AT783">
        <v>1250</v>
      </c>
      <c r="BN783" t="s">
        <v>465</v>
      </c>
      <c r="BO783">
        <v>2</v>
      </c>
      <c r="BP783">
        <v>2</v>
      </c>
      <c r="BQ783">
        <v>31</v>
      </c>
      <c r="BR783" t="s">
        <v>1219</v>
      </c>
      <c r="BT783" t="s">
        <v>225</v>
      </c>
      <c r="BU783" s="1">
        <v>45629</v>
      </c>
      <c r="BV783">
        <v>35882</v>
      </c>
      <c r="BX783" t="s">
        <v>170</v>
      </c>
      <c r="BY783" t="s">
        <v>170</v>
      </c>
      <c r="CB783" t="s">
        <v>170</v>
      </c>
      <c r="CC783" t="s">
        <v>170</v>
      </c>
      <c r="CE783" t="s">
        <v>170</v>
      </c>
      <c r="CG783" t="s">
        <v>169</v>
      </c>
      <c r="CH783" t="s">
        <v>333</v>
      </c>
      <c r="CI783" t="s">
        <v>170</v>
      </c>
      <c r="CK783" t="s">
        <v>233</v>
      </c>
      <c r="CM783">
        <v>1</v>
      </c>
      <c r="CN783" t="s">
        <v>234</v>
      </c>
      <c r="CP783">
        <v>222</v>
      </c>
      <c r="CQ783">
        <v>4.08</v>
      </c>
      <c r="CR783">
        <v>80.7</v>
      </c>
      <c r="CS783" t="s">
        <v>235</v>
      </c>
      <c r="CV783" t="s">
        <v>341</v>
      </c>
      <c r="CX783" t="s">
        <v>342</v>
      </c>
      <c r="CY783" t="s">
        <v>170</v>
      </c>
      <c r="DC783" t="s">
        <v>590</v>
      </c>
      <c r="DD783">
        <v>2</v>
      </c>
      <c r="DE783" t="s">
        <v>404</v>
      </c>
      <c r="DF783" t="s">
        <v>466</v>
      </c>
      <c r="DG783" t="s">
        <v>1431</v>
      </c>
      <c r="DJ783" t="s">
        <v>267</v>
      </c>
      <c r="DK783" t="s">
        <v>268</v>
      </c>
      <c r="DL783" t="s">
        <v>170</v>
      </c>
      <c r="DM783" t="s">
        <v>170</v>
      </c>
      <c r="DN783" t="s">
        <v>170</v>
      </c>
      <c r="DO783" t="s">
        <v>640</v>
      </c>
      <c r="DP783" t="s">
        <v>169</v>
      </c>
      <c r="DQ783" t="s">
        <v>198</v>
      </c>
      <c r="DR783" t="s">
        <v>467</v>
      </c>
      <c r="EB783">
        <v>7</v>
      </c>
      <c r="EC783">
        <v>7</v>
      </c>
      <c r="EE783" t="s">
        <v>807</v>
      </c>
      <c r="EF783">
        <v>6</v>
      </c>
      <c r="EU783">
        <v>3250</v>
      </c>
      <c r="EW783">
        <v>195</v>
      </c>
      <c r="EX783">
        <v>231</v>
      </c>
      <c r="EY783">
        <v>209</v>
      </c>
    </row>
    <row r="784" spans="1:155" x14ac:dyDescent="0.35">
      <c r="A784">
        <v>2025</v>
      </c>
      <c r="B784" t="s">
        <v>327</v>
      </c>
      <c r="C784" t="s">
        <v>317</v>
      </c>
      <c r="D784" t="s">
        <v>632</v>
      </c>
      <c r="E784" t="s">
        <v>330</v>
      </c>
      <c r="F784">
        <v>128</v>
      </c>
      <c r="G784">
        <v>2</v>
      </c>
      <c r="H784">
        <v>4</v>
      </c>
      <c r="I784" t="s">
        <v>587</v>
      </c>
      <c r="J784">
        <v>31</v>
      </c>
      <c r="K784">
        <v>39</v>
      </c>
      <c r="L784">
        <v>34</v>
      </c>
      <c r="M784">
        <v>40.799999999999997</v>
      </c>
      <c r="N784">
        <v>57.9</v>
      </c>
      <c r="O784">
        <v>47.0535</v>
      </c>
      <c r="P784">
        <v>30.745699999999999</v>
      </c>
      <c r="Q784">
        <v>39.141199999999998</v>
      </c>
      <c r="R784">
        <v>34.0304</v>
      </c>
      <c r="U784" t="s">
        <v>224</v>
      </c>
      <c r="V784" t="s">
        <v>588</v>
      </c>
      <c r="W784" t="s">
        <v>589</v>
      </c>
      <c r="Y784">
        <v>1</v>
      </c>
      <c r="Z784" t="s">
        <v>169</v>
      </c>
      <c r="AA784" t="s">
        <v>170</v>
      </c>
      <c r="AB784" t="s">
        <v>351</v>
      </c>
      <c r="AC784" t="s">
        <v>352</v>
      </c>
      <c r="AD784">
        <v>15</v>
      </c>
      <c r="AG784" t="s">
        <v>210</v>
      </c>
      <c r="AH784" t="s">
        <v>444</v>
      </c>
      <c r="AI784" t="s">
        <v>175</v>
      </c>
      <c r="AJ784" t="s">
        <v>176</v>
      </c>
      <c r="AK784" t="s">
        <v>170</v>
      </c>
      <c r="AL784" t="s">
        <v>177</v>
      </c>
      <c r="AO784">
        <v>89</v>
      </c>
      <c r="AP784">
        <v>13</v>
      </c>
      <c r="AS784">
        <v>1550</v>
      </c>
      <c r="AT784">
        <v>1550</v>
      </c>
      <c r="BN784" t="s">
        <v>265</v>
      </c>
      <c r="BO784">
        <v>2</v>
      </c>
      <c r="BP784">
        <v>2</v>
      </c>
      <c r="BQ784">
        <v>4</v>
      </c>
      <c r="BR784" t="s">
        <v>521</v>
      </c>
      <c r="BS784" t="s">
        <v>180</v>
      </c>
      <c r="BT784" t="s">
        <v>181</v>
      </c>
      <c r="BU784" s="1">
        <v>45552</v>
      </c>
      <c r="BV784">
        <v>35521</v>
      </c>
      <c r="BX784" t="s">
        <v>169</v>
      </c>
      <c r="BY784" t="s">
        <v>170</v>
      </c>
      <c r="CB784" t="s">
        <v>170</v>
      </c>
      <c r="CC784" t="s">
        <v>170</v>
      </c>
      <c r="CE784" t="s">
        <v>170</v>
      </c>
      <c r="CG784" t="s">
        <v>169</v>
      </c>
      <c r="CH784" t="s">
        <v>333</v>
      </c>
      <c r="CI784" t="s">
        <v>170</v>
      </c>
      <c r="DJ784" t="s">
        <v>267</v>
      </c>
      <c r="DK784" t="s">
        <v>268</v>
      </c>
      <c r="DN784" t="s">
        <v>170</v>
      </c>
      <c r="DO784" t="s">
        <v>592</v>
      </c>
      <c r="DP784" t="s">
        <v>170</v>
      </c>
      <c r="DQ784" t="s">
        <v>187</v>
      </c>
      <c r="DY784">
        <v>47.6</v>
      </c>
      <c r="EB784">
        <v>7</v>
      </c>
      <c r="EC784">
        <v>7</v>
      </c>
      <c r="EE784" t="s">
        <v>629</v>
      </c>
      <c r="EF784">
        <v>6</v>
      </c>
      <c r="EU784">
        <v>1750</v>
      </c>
      <c r="EW784">
        <v>289</v>
      </c>
      <c r="EX784">
        <v>226</v>
      </c>
      <c r="EY784">
        <v>261</v>
      </c>
    </row>
    <row r="785" spans="1:155" x14ac:dyDescent="0.35">
      <c r="A785">
        <v>2025</v>
      </c>
      <c r="B785" t="s">
        <v>327</v>
      </c>
      <c r="C785" t="s">
        <v>317</v>
      </c>
      <c r="D785" t="s">
        <v>633</v>
      </c>
      <c r="E785" t="s">
        <v>330</v>
      </c>
      <c r="F785">
        <v>25</v>
      </c>
      <c r="G785">
        <v>2</v>
      </c>
      <c r="H785">
        <v>4</v>
      </c>
      <c r="I785" t="s">
        <v>462</v>
      </c>
      <c r="J785">
        <v>32</v>
      </c>
      <c r="K785">
        <v>41</v>
      </c>
      <c r="L785">
        <v>35</v>
      </c>
      <c r="M785">
        <v>42.7149</v>
      </c>
      <c r="N785">
        <v>61.964399999999998</v>
      </c>
      <c r="O785">
        <v>49.656599999999997</v>
      </c>
      <c r="P785">
        <v>31.9999</v>
      </c>
      <c r="Q785">
        <v>41</v>
      </c>
      <c r="R785">
        <v>35</v>
      </c>
      <c r="U785" t="s">
        <v>224</v>
      </c>
      <c r="V785" t="s">
        <v>463</v>
      </c>
      <c r="W785" t="s">
        <v>464</v>
      </c>
      <c r="Y785">
        <v>10</v>
      </c>
      <c r="Z785" t="s">
        <v>169</v>
      </c>
      <c r="AA785" t="s">
        <v>170</v>
      </c>
      <c r="AB785" t="s">
        <v>351</v>
      </c>
      <c r="AC785" t="s">
        <v>352</v>
      </c>
      <c r="AD785">
        <v>15</v>
      </c>
      <c r="AG785" t="s">
        <v>210</v>
      </c>
      <c r="AH785" t="s">
        <v>444</v>
      </c>
      <c r="AI785" t="s">
        <v>175</v>
      </c>
      <c r="AJ785" t="s">
        <v>176</v>
      </c>
      <c r="AK785" t="s">
        <v>170</v>
      </c>
      <c r="AL785" t="s">
        <v>177</v>
      </c>
      <c r="AQ785">
        <v>85</v>
      </c>
      <c r="AR785">
        <v>18</v>
      </c>
      <c r="AS785">
        <v>1500</v>
      </c>
      <c r="AT785">
        <v>1500</v>
      </c>
      <c r="BN785" t="s">
        <v>265</v>
      </c>
      <c r="BO785">
        <v>2</v>
      </c>
      <c r="BP785">
        <v>2</v>
      </c>
      <c r="BQ785">
        <v>4</v>
      </c>
      <c r="BR785" t="s">
        <v>521</v>
      </c>
      <c r="BS785" t="s">
        <v>180</v>
      </c>
      <c r="BT785" t="s">
        <v>181</v>
      </c>
      <c r="BU785" s="1">
        <v>45429</v>
      </c>
      <c r="BV785">
        <v>34979</v>
      </c>
      <c r="BX785" t="s">
        <v>169</v>
      </c>
      <c r="BY785" t="s">
        <v>170</v>
      </c>
      <c r="CB785" t="s">
        <v>170</v>
      </c>
      <c r="CC785" t="s">
        <v>170</v>
      </c>
      <c r="CE785" t="s">
        <v>170</v>
      </c>
      <c r="CG785" t="s">
        <v>169</v>
      </c>
      <c r="CH785" t="s">
        <v>333</v>
      </c>
      <c r="CI785" t="s">
        <v>170</v>
      </c>
      <c r="DJ785" t="s">
        <v>267</v>
      </c>
      <c r="DK785" t="s">
        <v>268</v>
      </c>
      <c r="DN785" t="s">
        <v>170</v>
      </c>
      <c r="DO785" t="s">
        <v>592</v>
      </c>
      <c r="DP785" t="s">
        <v>170</v>
      </c>
      <c r="DQ785" t="s">
        <v>187</v>
      </c>
      <c r="DY785">
        <v>50.2</v>
      </c>
      <c r="EB785">
        <v>7</v>
      </c>
      <c r="EC785">
        <v>7</v>
      </c>
      <c r="EE785" t="s">
        <v>629</v>
      </c>
      <c r="EF785">
        <v>6</v>
      </c>
      <c r="EU785">
        <v>2000</v>
      </c>
      <c r="EW785">
        <v>278</v>
      </c>
      <c r="EX785">
        <v>217</v>
      </c>
      <c r="EY785">
        <v>254</v>
      </c>
    </row>
    <row r="786" spans="1:155" x14ac:dyDescent="0.35">
      <c r="A786">
        <v>2025</v>
      </c>
      <c r="B786" t="s">
        <v>327</v>
      </c>
      <c r="C786" t="s">
        <v>317</v>
      </c>
      <c r="D786" t="s">
        <v>634</v>
      </c>
      <c r="E786" t="s">
        <v>330</v>
      </c>
      <c r="F786">
        <v>26</v>
      </c>
      <c r="G786">
        <v>2</v>
      </c>
      <c r="H786">
        <v>4</v>
      </c>
      <c r="I786" t="s">
        <v>462</v>
      </c>
      <c r="J786">
        <v>30</v>
      </c>
      <c r="K786">
        <v>38</v>
      </c>
      <c r="L786">
        <v>33</v>
      </c>
      <c r="M786">
        <v>39.5</v>
      </c>
      <c r="N786">
        <v>56.5</v>
      </c>
      <c r="O786">
        <v>45.6858</v>
      </c>
      <c r="P786">
        <v>29.885899999999999</v>
      </c>
      <c r="Q786">
        <v>38.310499999999998</v>
      </c>
      <c r="R786">
        <v>33.168100000000003</v>
      </c>
      <c r="U786" t="s">
        <v>224</v>
      </c>
      <c r="V786" t="s">
        <v>463</v>
      </c>
      <c r="W786" t="s">
        <v>464</v>
      </c>
      <c r="Y786">
        <v>10</v>
      </c>
      <c r="Z786" t="s">
        <v>169</v>
      </c>
      <c r="AA786" t="s">
        <v>170</v>
      </c>
      <c r="AB786" t="s">
        <v>351</v>
      </c>
      <c r="AC786" t="s">
        <v>352</v>
      </c>
      <c r="AD786">
        <v>15</v>
      </c>
      <c r="AG786" t="s">
        <v>210</v>
      </c>
      <c r="AH786" t="s">
        <v>444</v>
      </c>
      <c r="AI786" t="s">
        <v>175</v>
      </c>
      <c r="AJ786" t="s">
        <v>176</v>
      </c>
      <c r="AK786" t="s">
        <v>170</v>
      </c>
      <c r="AL786" t="s">
        <v>177</v>
      </c>
      <c r="AQ786">
        <v>85</v>
      </c>
      <c r="AR786">
        <v>18</v>
      </c>
      <c r="AS786">
        <v>1600</v>
      </c>
      <c r="AT786">
        <v>1600</v>
      </c>
      <c r="BN786" t="s">
        <v>265</v>
      </c>
      <c r="BO786">
        <v>2</v>
      </c>
      <c r="BP786">
        <v>2</v>
      </c>
      <c r="BQ786">
        <v>4</v>
      </c>
      <c r="BR786" t="s">
        <v>521</v>
      </c>
      <c r="BS786" t="s">
        <v>180</v>
      </c>
      <c r="BT786" t="s">
        <v>181</v>
      </c>
      <c r="BU786" s="1">
        <v>45429</v>
      </c>
      <c r="BV786">
        <v>34980</v>
      </c>
      <c r="BX786" t="s">
        <v>169</v>
      </c>
      <c r="BY786" t="s">
        <v>170</v>
      </c>
      <c r="CB786" t="s">
        <v>170</v>
      </c>
      <c r="CC786" t="s">
        <v>170</v>
      </c>
      <c r="CE786" t="s">
        <v>170</v>
      </c>
      <c r="CG786" t="s">
        <v>169</v>
      </c>
      <c r="CH786" t="s">
        <v>333</v>
      </c>
      <c r="CI786" t="s">
        <v>170</v>
      </c>
      <c r="DJ786" t="s">
        <v>267</v>
      </c>
      <c r="DK786" t="s">
        <v>268</v>
      </c>
      <c r="DN786" t="s">
        <v>170</v>
      </c>
      <c r="DO786" t="s">
        <v>592</v>
      </c>
      <c r="DP786" t="s">
        <v>170</v>
      </c>
      <c r="DQ786" t="s">
        <v>187</v>
      </c>
      <c r="DY786">
        <v>46.2</v>
      </c>
      <c r="EB786">
        <v>6</v>
      </c>
      <c r="EC786">
        <v>6</v>
      </c>
      <c r="EE786" t="s">
        <v>629</v>
      </c>
      <c r="EF786">
        <v>6</v>
      </c>
      <c r="EU786">
        <v>1500</v>
      </c>
      <c r="EW786">
        <v>295</v>
      </c>
      <c r="EX786">
        <v>230</v>
      </c>
      <c r="EY786">
        <v>266</v>
      </c>
    </row>
    <row r="787" spans="1:155" x14ac:dyDescent="0.35">
      <c r="A787">
        <v>2025</v>
      </c>
      <c r="B787" t="s">
        <v>327</v>
      </c>
      <c r="C787" t="s">
        <v>317</v>
      </c>
      <c r="D787" t="s">
        <v>635</v>
      </c>
      <c r="E787" t="s">
        <v>330</v>
      </c>
      <c r="F787">
        <v>44</v>
      </c>
      <c r="G787">
        <v>1.8</v>
      </c>
      <c r="H787">
        <v>4</v>
      </c>
      <c r="I787" t="s">
        <v>587</v>
      </c>
      <c r="J787">
        <v>53</v>
      </c>
      <c r="K787">
        <v>46</v>
      </c>
      <c r="L787">
        <v>50</v>
      </c>
      <c r="M787">
        <v>77.099999999999994</v>
      </c>
      <c r="N787">
        <v>72.2</v>
      </c>
      <c r="O787">
        <v>74.815100000000001</v>
      </c>
      <c r="P787">
        <v>53.779600000000002</v>
      </c>
      <c r="Q787">
        <v>47.3399</v>
      </c>
      <c r="R787">
        <v>50.677399999999999</v>
      </c>
      <c r="U787" t="s">
        <v>224</v>
      </c>
      <c r="V787" t="s">
        <v>588</v>
      </c>
      <c r="W787" t="s">
        <v>589</v>
      </c>
      <c r="Y787">
        <v>1</v>
      </c>
      <c r="Z787" t="s">
        <v>170</v>
      </c>
      <c r="AA787" t="s">
        <v>170</v>
      </c>
      <c r="AB787" t="s">
        <v>351</v>
      </c>
      <c r="AC787" t="s">
        <v>352</v>
      </c>
      <c r="AD787">
        <v>15</v>
      </c>
      <c r="AG787" t="s">
        <v>210</v>
      </c>
      <c r="AH787" t="s">
        <v>444</v>
      </c>
      <c r="AI787" t="s">
        <v>175</v>
      </c>
      <c r="AJ787" t="s">
        <v>176</v>
      </c>
      <c r="AK787" t="s">
        <v>170</v>
      </c>
      <c r="AL787" t="s">
        <v>177</v>
      </c>
      <c r="AO787">
        <v>89</v>
      </c>
      <c r="AP787">
        <v>13</v>
      </c>
      <c r="AS787">
        <v>1050</v>
      </c>
      <c r="AT787">
        <v>1050</v>
      </c>
      <c r="BN787" t="s">
        <v>230</v>
      </c>
      <c r="BO787">
        <v>2</v>
      </c>
      <c r="BP787">
        <v>2</v>
      </c>
      <c r="BQ787">
        <v>4</v>
      </c>
      <c r="BR787" t="s">
        <v>521</v>
      </c>
      <c r="BS787" t="s">
        <v>180</v>
      </c>
      <c r="BT787" t="s">
        <v>225</v>
      </c>
      <c r="BV787">
        <v>35518</v>
      </c>
      <c r="BX787" t="s">
        <v>170</v>
      </c>
      <c r="BY787" t="s">
        <v>170</v>
      </c>
      <c r="CB787" t="s">
        <v>170</v>
      </c>
      <c r="CC787" t="s">
        <v>170</v>
      </c>
      <c r="CE787" t="s">
        <v>170</v>
      </c>
      <c r="CG787" t="s">
        <v>169</v>
      </c>
      <c r="CH787" t="s">
        <v>636</v>
      </c>
      <c r="CI787" t="s">
        <v>170</v>
      </c>
      <c r="CK787" t="s">
        <v>233</v>
      </c>
      <c r="CM787">
        <v>1</v>
      </c>
      <c r="CN787" t="s">
        <v>234</v>
      </c>
      <c r="CP787">
        <v>207</v>
      </c>
      <c r="CQ787">
        <v>4</v>
      </c>
      <c r="CR787">
        <v>80.7</v>
      </c>
      <c r="CS787" t="s">
        <v>235</v>
      </c>
      <c r="CV787" t="s">
        <v>341</v>
      </c>
      <c r="CX787" t="s">
        <v>342</v>
      </c>
      <c r="CY787" t="s">
        <v>170</v>
      </c>
      <c r="DC787" t="s">
        <v>637</v>
      </c>
      <c r="DD787">
        <v>2</v>
      </c>
      <c r="DE787" t="s">
        <v>404</v>
      </c>
      <c r="DF787" t="s">
        <v>638</v>
      </c>
      <c r="DG787">
        <v>70</v>
      </c>
      <c r="DJ787" t="s">
        <v>449</v>
      </c>
      <c r="DK787" t="s">
        <v>450</v>
      </c>
      <c r="DL787" t="s">
        <v>170</v>
      </c>
      <c r="DM787" t="s">
        <v>170</v>
      </c>
      <c r="DN787" t="s">
        <v>170</v>
      </c>
      <c r="DO787" t="s">
        <v>640</v>
      </c>
      <c r="DP787" t="s">
        <v>169</v>
      </c>
      <c r="DQ787" t="s">
        <v>198</v>
      </c>
      <c r="DR787" t="s">
        <v>467</v>
      </c>
      <c r="DY787">
        <v>75.599999999999994</v>
      </c>
      <c r="EB787">
        <v>8</v>
      </c>
      <c r="EC787">
        <v>8</v>
      </c>
      <c r="EE787" t="s">
        <v>641</v>
      </c>
      <c r="EF787">
        <v>6</v>
      </c>
      <c r="EU787">
        <v>4250</v>
      </c>
      <c r="EW787">
        <v>163</v>
      </c>
      <c r="EX787">
        <v>186</v>
      </c>
      <c r="EY787">
        <v>173</v>
      </c>
    </row>
    <row r="788" spans="1:155" x14ac:dyDescent="0.35">
      <c r="A788">
        <v>2025</v>
      </c>
      <c r="B788" t="s">
        <v>327</v>
      </c>
      <c r="C788" t="s">
        <v>317</v>
      </c>
      <c r="D788" t="s">
        <v>635</v>
      </c>
      <c r="E788" t="s">
        <v>330</v>
      </c>
      <c r="F788">
        <v>45</v>
      </c>
      <c r="G788">
        <v>1.8</v>
      </c>
      <c r="H788">
        <v>4</v>
      </c>
      <c r="I788" t="s">
        <v>587</v>
      </c>
      <c r="J788">
        <v>50</v>
      </c>
      <c r="K788">
        <v>43</v>
      </c>
      <c r="L788">
        <v>47</v>
      </c>
      <c r="M788">
        <v>70.8</v>
      </c>
      <c r="N788">
        <v>64.2</v>
      </c>
      <c r="O788">
        <v>67.669499999999999</v>
      </c>
      <c r="P788">
        <v>50.384599999999999</v>
      </c>
      <c r="Q788">
        <v>43</v>
      </c>
      <c r="R788">
        <v>47</v>
      </c>
      <c r="U788" t="s">
        <v>224</v>
      </c>
      <c r="V788" t="s">
        <v>588</v>
      </c>
      <c r="W788" t="s">
        <v>589</v>
      </c>
      <c r="Y788">
        <v>1</v>
      </c>
      <c r="Z788" t="s">
        <v>170</v>
      </c>
      <c r="AA788" t="s">
        <v>170</v>
      </c>
      <c r="AB788" t="s">
        <v>351</v>
      </c>
      <c r="AC788" t="s">
        <v>352</v>
      </c>
      <c r="AD788">
        <v>15</v>
      </c>
      <c r="AG788" t="s">
        <v>210</v>
      </c>
      <c r="AH788" t="s">
        <v>444</v>
      </c>
      <c r="AI788" t="s">
        <v>175</v>
      </c>
      <c r="AJ788" t="s">
        <v>176</v>
      </c>
      <c r="AK788" t="s">
        <v>170</v>
      </c>
      <c r="AL788" t="s">
        <v>177</v>
      </c>
      <c r="AO788">
        <v>89</v>
      </c>
      <c r="AP788">
        <v>13</v>
      </c>
      <c r="AS788">
        <v>1100</v>
      </c>
      <c r="AT788">
        <v>1100</v>
      </c>
      <c r="BN788" t="s">
        <v>230</v>
      </c>
      <c r="BO788">
        <v>2</v>
      </c>
      <c r="BP788">
        <v>2</v>
      </c>
      <c r="BQ788">
        <v>4</v>
      </c>
      <c r="BR788" t="s">
        <v>521</v>
      </c>
      <c r="BS788" t="s">
        <v>180</v>
      </c>
      <c r="BT788" t="s">
        <v>225</v>
      </c>
      <c r="BU788" s="1">
        <v>45552</v>
      </c>
      <c r="BV788">
        <v>35520</v>
      </c>
      <c r="BX788" t="s">
        <v>170</v>
      </c>
      <c r="BY788" t="s">
        <v>170</v>
      </c>
      <c r="CB788" t="s">
        <v>170</v>
      </c>
      <c r="CC788" t="s">
        <v>170</v>
      </c>
      <c r="CE788" t="s">
        <v>170</v>
      </c>
      <c r="CG788" t="s">
        <v>169</v>
      </c>
      <c r="CH788" t="s">
        <v>636</v>
      </c>
      <c r="CI788" t="s">
        <v>170</v>
      </c>
      <c r="CK788" t="s">
        <v>233</v>
      </c>
      <c r="CM788">
        <v>1</v>
      </c>
      <c r="CN788" t="s">
        <v>234</v>
      </c>
      <c r="CP788">
        <v>207</v>
      </c>
      <c r="CQ788">
        <v>4</v>
      </c>
      <c r="CR788">
        <v>80.7</v>
      </c>
      <c r="CS788" t="s">
        <v>235</v>
      </c>
      <c r="CV788" t="s">
        <v>341</v>
      </c>
      <c r="CX788" t="s">
        <v>342</v>
      </c>
      <c r="CY788" t="s">
        <v>170</v>
      </c>
      <c r="DC788" t="s">
        <v>637</v>
      </c>
      <c r="DD788">
        <v>2</v>
      </c>
      <c r="DE788" t="s">
        <v>404</v>
      </c>
      <c r="DF788" t="s">
        <v>638</v>
      </c>
      <c r="DG788" t="s">
        <v>639</v>
      </c>
      <c r="DJ788" t="s">
        <v>449</v>
      </c>
      <c r="DK788" t="s">
        <v>450</v>
      </c>
      <c r="DL788" t="s">
        <v>170</v>
      </c>
      <c r="DM788" t="s">
        <v>170</v>
      </c>
      <c r="DN788" t="s">
        <v>170</v>
      </c>
      <c r="DO788" t="s">
        <v>640</v>
      </c>
      <c r="DP788" t="s">
        <v>169</v>
      </c>
      <c r="DQ788" t="s">
        <v>198</v>
      </c>
      <c r="DR788" t="s">
        <v>467</v>
      </c>
      <c r="DY788">
        <v>68.400000000000006</v>
      </c>
      <c r="EB788">
        <v>8</v>
      </c>
      <c r="EC788">
        <v>8</v>
      </c>
      <c r="EE788" t="s">
        <v>641</v>
      </c>
      <c r="EF788">
        <v>6</v>
      </c>
      <c r="EU788">
        <v>4000</v>
      </c>
      <c r="EW788">
        <v>173</v>
      </c>
      <c r="EX788">
        <v>204</v>
      </c>
      <c r="EY788">
        <v>186</v>
      </c>
    </row>
    <row r="789" spans="1:155" x14ac:dyDescent="0.35">
      <c r="A789">
        <v>2025</v>
      </c>
      <c r="B789" t="s">
        <v>327</v>
      </c>
      <c r="C789" t="s">
        <v>317</v>
      </c>
      <c r="D789" t="s">
        <v>642</v>
      </c>
      <c r="E789" t="s">
        <v>330</v>
      </c>
      <c r="F789">
        <v>46</v>
      </c>
      <c r="G789">
        <v>1.8</v>
      </c>
      <c r="H789">
        <v>4</v>
      </c>
      <c r="I789" t="s">
        <v>587</v>
      </c>
      <c r="J789">
        <v>51</v>
      </c>
      <c r="K789">
        <v>44</v>
      </c>
      <c r="L789">
        <v>48</v>
      </c>
      <c r="M789">
        <v>72.7</v>
      </c>
      <c r="N789">
        <v>67.2</v>
      </c>
      <c r="O789">
        <v>70.117500000000007</v>
      </c>
      <c r="P789">
        <v>52.4679</v>
      </c>
      <c r="Q789">
        <v>45.327399999999997</v>
      </c>
      <c r="R789">
        <v>48.994700000000002</v>
      </c>
      <c r="U789" t="s">
        <v>224</v>
      </c>
      <c r="V789" t="s">
        <v>588</v>
      </c>
      <c r="W789" t="s">
        <v>589</v>
      </c>
      <c r="Y789">
        <v>1</v>
      </c>
      <c r="Z789" t="s">
        <v>170</v>
      </c>
      <c r="AA789" t="s">
        <v>170</v>
      </c>
      <c r="AB789" t="s">
        <v>167</v>
      </c>
      <c r="AC789" t="s">
        <v>213</v>
      </c>
      <c r="AD789">
        <v>15</v>
      </c>
      <c r="AG789" t="s">
        <v>210</v>
      </c>
      <c r="AH789" t="s">
        <v>444</v>
      </c>
      <c r="AI789" t="s">
        <v>175</v>
      </c>
      <c r="AJ789" t="s">
        <v>176</v>
      </c>
      <c r="AK789" t="s">
        <v>170</v>
      </c>
      <c r="AL789" t="s">
        <v>177</v>
      </c>
      <c r="AO789">
        <v>89</v>
      </c>
      <c r="AP789">
        <v>12</v>
      </c>
      <c r="AS789">
        <v>1100</v>
      </c>
      <c r="AT789">
        <v>1100</v>
      </c>
      <c r="BN789" t="s">
        <v>230</v>
      </c>
      <c r="BO789">
        <v>2</v>
      </c>
      <c r="BP789">
        <v>2</v>
      </c>
      <c r="BQ789">
        <v>4</v>
      </c>
      <c r="BR789" t="s">
        <v>521</v>
      </c>
      <c r="BS789" t="s">
        <v>180</v>
      </c>
      <c r="BT789" t="s">
        <v>225</v>
      </c>
      <c r="BV789">
        <v>35519</v>
      </c>
      <c r="BX789" t="s">
        <v>170</v>
      </c>
      <c r="BY789" t="s">
        <v>170</v>
      </c>
      <c r="CB789" t="s">
        <v>170</v>
      </c>
      <c r="CC789" t="s">
        <v>170</v>
      </c>
      <c r="CE789" t="s">
        <v>170</v>
      </c>
      <c r="CG789" t="s">
        <v>169</v>
      </c>
      <c r="CH789" t="s">
        <v>636</v>
      </c>
      <c r="CI789" t="s">
        <v>170</v>
      </c>
      <c r="CK789" t="s">
        <v>233</v>
      </c>
      <c r="CM789">
        <v>1</v>
      </c>
      <c r="CN789" t="s">
        <v>234</v>
      </c>
      <c r="CP789">
        <v>207</v>
      </c>
      <c r="CQ789">
        <v>4</v>
      </c>
      <c r="CR789">
        <v>80.7</v>
      </c>
      <c r="CS789" t="s">
        <v>235</v>
      </c>
      <c r="CV789" t="s">
        <v>341</v>
      </c>
      <c r="CX789" t="s">
        <v>342</v>
      </c>
      <c r="CY789" t="s">
        <v>170</v>
      </c>
      <c r="DC789" t="s">
        <v>637</v>
      </c>
      <c r="DD789">
        <v>2</v>
      </c>
      <c r="DE789" t="s">
        <v>404</v>
      </c>
      <c r="DF789" t="s">
        <v>638</v>
      </c>
      <c r="DG789" t="s">
        <v>639</v>
      </c>
      <c r="DJ789" t="s">
        <v>449</v>
      </c>
      <c r="DK789" t="s">
        <v>450</v>
      </c>
      <c r="DL789" t="s">
        <v>170</v>
      </c>
      <c r="DM789" t="s">
        <v>170</v>
      </c>
      <c r="DN789" t="s">
        <v>170</v>
      </c>
      <c r="DO789" t="s">
        <v>640</v>
      </c>
      <c r="DP789" t="s">
        <v>169</v>
      </c>
      <c r="DQ789" t="s">
        <v>198</v>
      </c>
      <c r="DR789" t="s">
        <v>467</v>
      </c>
      <c r="DY789">
        <v>70.900000000000006</v>
      </c>
      <c r="EB789">
        <v>8</v>
      </c>
      <c r="EC789">
        <v>8</v>
      </c>
      <c r="EE789" t="s">
        <v>641</v>
      </c>
      <c r="EF789">
        <v>6</v>
      </c>
      <c r="EU789">
        <v>4000</v>
      </c>
      <c r="EW789">
        <v>167</v>
      </c>
      <c r="EX789">
        <v>194</v>
      </c>
      <c r="EY789">
        <v>179</v>
      </c>
    </row>
    <row r="790" spans="1:155" x14ac:dyDescent="0.35">
      <c r="A790">
        <v>2025</v>
      </c>
      <c r="B790" t="s">
        <v>327</v>
      </c>
      <c r="C790" t="s">
        <v>317</v>
      </c>
      <c r="D790" t="s">
        <v>642</v>
      </c>
      <c r="E790" t="s">
        <v>330</v>
      </c>
      <c r="F790">
        <v>47</v>
      </c>
      <c r="G790">
        <v>1.8</v>
      </c>
      <c r="H790">
        <v>4</v>
      </c>
      <c r="I790" t="s">
        <v>587</v>
      </c>
      <c r="J790">
        <v>47</v>
      </c>
      <c r="K790">
        <v>41</v>
      </c>
      <c r="L790">
        <v>44</v>
      </c>
      <c r="M790">
        <v>65.5</v>
      </c>
      <c r="N790">
        <v>61</v>
      </c>
      <c r="O790">
        <v>63.395499999999998</v>
      </c>
      <c r="P790">
        <v>47</v>
      </c>
      <c r="Q790">
        <v>41</v>
      </c>
      <c r="R790">
        <v>44</v>
      </c>
      <c r="U790" t="s">
        <v>224</v>
      </c>
      <c r="V790" t="s">
        <v>588</v>
      </c>
      <c r="W790" t="s">
        <v>589</v>
      </c>
      <c r="Y790">
        <v>1</v>
      </c>
      <c r="Z790" t="s">
        <v>170</v>
      </c>
      <c r="AA790" t="s">
        <v>170</v>
      </c>
      <c r="AB790" t="s">
        <v>167</v>
      </c>
      <c r="AC790" t="s">
        <v>213</v>
      </c>
      <c r="AD790">
        <v>15</v>
      </c>
      <c r="AG790" t="s">
        <v>210</v>
      </c>
      <c r="AH790" t="s">
        <v>444</v>
      </c>
      <c r="AI790" t="s">
        <v>175</v>
      </c>
      <c r="AJ790" t="s">
        <v>176</v>
      </c>
      <c r="AK790" t="s">
        <v>170</v>
      </c>
      <c r="AL790" t="s">
        <v>177</v>
      </c>
      <c r="AO790">
        <v>89</v>
      </c>
      <c r="AP790">
        <v>12</v>
      </c>
      <c r="AS790">
        <v>1200</v>
      </c>
      <c r="AT790">
        <v>1200</v>
      </c>
      <c r="BN790" t="s">
        <v>230</v>
      </c>
      <c r="BO790">
        <v>2</v>
      </c>
      <c r="BP790">
        <v>2</v>
      </c>
      <c r="BQ790">
        <v>4</v>
      </c>
      <c r="BR790" t="s">
        <v>521</v>
      </c>
      <c r="BS790" t="s">
        <v>180</v>
      </c>
      <c r="BT790" t="s">
        <v>225</v>
      </c>
      <c r="BU790" s="1">
        <v>45552</v>
      </c>
      <c r="BV790">
        <v>35522</v>
      </c>
      <c r="BX790" t="s">
        <v>170</v>
      </c>
      <c r="BY790" t="s">
        <v>170</v>
      </c>
      <c r="CB790" t="s">
        <v>170</v>
      </c>
      <c r="CC790" t="s">
        <v>170</v>
      </c>
      <c r="CE790" t="s">
        <v>170</v>
      </c>
      <c r="CG790" t="s">
        <v>169</v>
      </c>
      <c r="CH790" t="s">
        <v>636</v>
      </c>
      <c r="CI790" t="s">
        <v>170</v>
      </c>
      <c r="CK790" t="s">
        <v>233</v>
      </c>
      <c r="CM790">
        <v>1</v>
      </c>
      <c r="CN790" t="s">
        <v>234</v>
      </c>
      <c r="CP790">
        <v>207</v>
      </c>
      <c r="CQ790">
        <v>4</v>
      </c>
      <c r="CR790">
        <v>80.7</v>
      </c>
      <c r="CS790" t="s">
        <v>235</v>
      </c>
      <c r="CV790" t="s">
        <v>341</v>
      </c>
      <c r="CX790" t="s">
        <v>342</v>
      </c>
      <c r="CY790" t="s">
        <v>170</v>
      </c>
      <c r="DC790" t="s">
        <v>637</v>
      </c>
      <c r="DD790">
        <v>2</v>
      </c>
      <c r="DE790" t="s">
        <v>404</v>
      </c>
      <c r="DF790" t="s">
        <v>638</v>
      </c>
      <c r="DG790" t="s">
        <v>639</v>
      </c>
      <c r="DJ790" t="s">
        <v>449</v>
      </c>
      <c r="DK790" t="s">
        <v>450</v>
      </c>
      <c r="DL790" t="s">
        <v>170</v>
      </c>
      <c r="DM790" t="s">
        <v>170</v>
      </c>
      <c r="DN790" t="s">
        <v>170</v>
      </c>
      <c r="DO790" t="s">
        <v>640</v>
      </c>
      <c r="DP790" t="s">
        <v>169</v>
      </c>
      <c r="DQ790" t="s">
        <v>198</v>
      </c>
      <c r="DR790" t="s">
        <v>467</v>
      </c>
      <c r="DY790">
        <v>64.099999999999994</v>
      </c>
      <c r="EB790">
        <v>7</v>
      </c>
      <c r="EC790">
        <v>7</v>
      </c>
      <c r="EE790" t="s">
        <v>641</v>
      </c>
      <c r="EF790">
        <v>6</v>
      </c>
      <c r="EU790">
        <v>3500</v>
      </c>
      <c r="EW790">
        <v>186</v>
      </c>
      <c r="EX790">
        <v>214</v>
      </c>
      <c r="EY790">
        <v>199</v>
      </c>
    </row>
    <row r="791" spans="1:155" x14ac:dyDescent="0.35">
      <c r="A791">
        <v>2025</v>
      </c>
      <c r="B791" t="s">
        <v>327</v>
      </c>
      <c r="C791" t="s">
        <v>317</v>
      </c>
      <c r="D791" t="s">
        <v>515</v>
      </c>
      <c r="E791" t="s">
        <v>330</v>
      </c>
      <c r="F791">
        <v>48</v>
      </c>
      <c r="G791">
        <v>1.6</v>
      </c>
      <c r="H791">
        <v>3</v>
      </c>
      <c r="I791" t="s">
        <v>192</v>
      </c>
      <c r="J791">
        <v>19</v>
      </c>
      <c r="K791">
        <v>27</v>
      </c>
      <c r="L791">
        <v>22</v>
      </c>
      <c r="M791">
        <v>24.4</v>
      </c>
      <c r="N791">
        <v>39</v>
      </c>
      <c r="O791">
        <v>29.3432</v>
      </c>
      <c r="P791">
        <v>19.366299999999999</v>
      </c>
      <c r="Q791">
        <v>27.485099999999999</v>
      </c>
      <c r="R791">
        <v>22.3352</v>
      </c>
      <c r="T791" t="s">
        <v>165</v>
      </c>
      <c r="U791" t="s">
        <v>166</v>
      </c>
      <c r="V791" t="s">
        <v>193</v>
      </c>
      <c r="W791" t="s">
        <v>194</v>
      </c>
      <c r="Y791">
        <v>8</v>
      </c>
      <c r="Z791" t="s">
        <v>169</v>
      </c>
      <c r="AA791" t="s">
        <v>170</v>
      </c>
      <c r="AB791" t="s">
        <v>167</v>
      </c>
      <c r="AC791" t="s">
        <v>213</v>
      </c>
      <c r="AD791">
        <v>15</v>
      </c>
      <c r="AG791" t="s">
        <v>214</v>
      </c>
      <c r="AH791" t="s">
        <v>215</v>
      </c>
      <c r="AI791" t="s">
        <v>175</v>
      </c>
      <c r="AJ791" t="s">
        <v>176</v>
      </c>
      <c r="AK791" t="s">
        <v>170</v>
      </c>
      <c r="AL791" t="s">
        <v>177</v>
      </c>
      <c r="AQ791">
        <v>67</v>
      </c>
      <c r="AR791">
        <v>27</v>
      </c>
      <c r="AS791">
        <v>2900</v>
      </c>
      <c r="AT791">
        <v>2900</v>
      </c>
      <c r="BN791" t="s">
        <v>265</v>
      </c>
      <c r="BO791">
        <v>2</v>
      </c>
      <c r="BP791">
        <v>2</v>
      </c>
      <c r="BQ791">
        <v>3</v>
      </c>
      <c r="BR791" t="s">
        <v>387</v>
      </c>
      <c r="BS791" t="s">
        <v>180</v>
      </c>
      <c r="BT791" t="s">
        <v>181</v>
      </c>
      <c r="BU791" s="1">
        <v>45574</v>
      </c>
      <c r="BV791">
        <v>35514</v>
      </c>
      <c r="BX791" t="s">
        <v>170</v>
      </c>
      <c r="BY791" t="s">
        <v>170</v>
      </c>
      <c r="CB791" t="s">
        <v>170</v>
      </c>
      <c r="CC791" t="s">
        <v>170</v>
      </c>
      <c r="CE791" t="s">
        <v>170</v>
      </c>
      <c r="CG791" t="s">
        <v>169</v>
      </c>
      <c r="CH791" t="s">
        <v>333</v>
      </c>
      <c r="CI791" t="s">
        <v>170</v>
      </c>
      <c r="DJ791" t="s">
        <v>267</v>
      </c>
      <c r="DK791" t="s">
        <v>268</v>
      </c>
      <c r="DN791" t="s">
        <v>170</v>
      </c>
      <c r="DO791" t="s">
        <v>358</v>
      </c>
      <c r="DP791" t="s">
        <v>170</v>
      </c>
      <c r="DQ791" t="s">
        <v>187</v>
      </c>
      <c r="DY791">
        <v>29.7</v>
      </c>
      <c r="EB791">
        <v>5</v>
      </c>
      <c r="EC791">
        <v>5</v>
      </c>
      <c r="EE791" t="s">
        <v>516</v>
      </c>
      <c r="EF791">
        <v>4</v>
      </c>
      <c r="EV791">
        <v>5000</v>
      </c>
      <c r="EW791">
        <v>455</v>
      </c>
      <c r="EX791">
        <v>321</v>
      </c>
      <c r="EY791">
        <v>395</v>
      </c>
    </row>
    <row r="792" spans="1:155" x14ac:dyDescent="0.35">
      <c r="A792">
        <v>2025</v>
      </c>
      <c r="B792" t="s">
        <v>327</v>
      </c>
      <c r="C792" t="s">
        <v>317</v>
      </c>
      <c r="D792" t="s">
        <v>515</v>
      </c>
      <c r="E792" t="s">
        <v>330</v>
      </c>
      <c r="F792">
        <v>49</v>
      </c>
      <c r="G792">
        <v>1.6</v>
      </c>
      <c r="H792">
        <v>3</v>
      </c>
      <c r="I792" t="s">
        <v>200</v>
      </c>
      <c r="J792">
        <v>21</v>
      </c>
      <c r="K792">
        <v>28</v>
      </c>
      <c r="L792">
        <v>24</v>
      </c>
      <c r="M792">
        <v>26.9</v>
      </c>
      <c r="N792">
        <v>40.299999999999997</v>
      </c>
      <c r="O792">
        <v>31.633199999999999</v>
      </c>
      <c r="P792">
        <v>21.178599999999999</v>
      </c>
      <c r="Q792">
        <v>28.3185</v>
      </c>
      <c r="R792">
        <v>23.888999999999999</v>
      </c>
      <c r="T792" t="s">
        <v>165</v>
      </c>
      <c r="U792" t="s">
        <v>166</v>
      </c>
      <c r="V792" t="s">
        <v>201</v>
      </c>
      <c r="W792" t="s">
        <v>202</v>
      </c>
      <c r="Y792">
        <v>6</v>
      </c>
      <c r="Z792" t="s">
        <v>170</v>
      </c>
      <c r="AA792" t="s">
        <v>170</v>
      </c>
      <c r="AB792" t="s">
        <v>167</v>
      </c>
      <c r="AC792" t="s">
        <v>213</v>
      </c>
      <c r="AD792">
        <v>15</v>
      </c>
      <c r="AG792" t="s">
        <v>214</v>
      </c>
      <c r="AH792" t="s">
        <v>215</v>
      </c>
      <c r="AI792" t="s">
        <v>175</v>
      </c>
      <c r="AJ792" t="s">
        <v>176</v>
      </c>
      <c r="AK792" t="s">
        <v>170</v>
      </c>
      <c r="AL792" t="s">
        <v>177</v>
      </c>
      <c r="AQ792">
        <v>67</v>
      </c>
      <c r="AR792">
        <v>27</v>
      </c>
      <c r="AS792">
        <v>2650</v>
      </c>
      <c r="AT792">
        <v>2650</v>
      </c>
      <c r="BN792" t="s">
        <v>265</v>
      </c>
      <c r="BO792">
        <v>2</v>
      </c>
      <c r="BP792">
        <v>2</v>
      </c>
      <c r="BQ792">
        <v>3</v>
      </c>
      <c r="BR792" t="s">
        <v>387</v>
      </c>
      <c r="BS792" t="s">
        <v>180</v>
      </c>
      <c r="BT792" t="s">
        <v>181</v>
      </c>
      <c r="BU792" s="1">
        <v>45574</v>
      </c>
      <c r="BV792">
        <v>35517</v>
      </c>
      <c r="BX792" t="s">
        <v>170</v>
      </c>
      <c r="BY792" t="s">
        <v>170</v>
      </c>
      <c r="CB792" t="s">
        <v>170</v>
      </c>
      <c r="CC792" t="s">
        <v>170</v>
      </c>
      <c r="CE792" t="s">
        <v>170</v>
      </c>
      <c r="CG792" t="s">
        <v>169</v>
      </c>
      <c r="CH792" t="s">
        <v>333</v>
      </c>
      <c r="CI792" t="s">
        <v>170</v>
      </c>
      <c r="DJ792" t="s">
        <v>267</v>
      </c>
      <c r="DK792" t="s">
        <v>268</v>
      </c>
      <c r="DN792" t="s">
        <v>170</v>
      </c>
      <c r="DO792" t="s">
        <v>358</v>
      </c>
      <c r="DP792" t="s">
        <v>170</v>
      </c>
      <c r="DQ792" t="s">
        <v>187</v>
      </c>
      <c r="DY792">
        <v>32</v>
      </c>
      <c r="EB792">
        <v>5</v>
      </c>
      <c r="EC792">
        <v>5</v>
      </c>
      <c r="EE792" t="s">
        <v>516</v>
      </c>
      <c r="EF792">
        <v>4</v>
      </c>
      <c r="EV792">
        <v>3750</v>
      </c>
      <c r="EW792">
        <v>415</v>
      </c>
      <c r="EX792">
        <v>311</v>
      </c>
      <c r="EY792">
        <v>368</v>
      </c>
    </row>
    <row r="793" spans="1:155" x14ac:dyDescent="0.35">
      <c r="A793">
        <v>2025</v>
      </c>
      <c r="B793" t="s">
        <v>327</v>
      </c>
      <c r="C793" t="s">
        <v>317</v>
      </c>
      <c r="D793" t="s">
        <v>384</v>
      </c>
      <c r="E793" t="s">
        <v>330</v>
      </c>
      <c r="F793">
        <v>161</v>
      </c>
      <c r="G793">
        <v>2.4</v>
      </c>
      <c r="H793">
        <v>4</v>
      </c>
      <c r="I793" t="s">
        <v>200</v>
      </c>
      <c r="J793">
        <v>20</v>
      </c>
      <c r="K793">
        <v>26</v>
      </c>
      <c r="L793">
        <v>22</v>
      </c>
      <c r="M793">
        <v>24.7</v>
      </c>
      <c r="N793">
        <v>37.4</v>
      </c>
      <c r="O793">
        <v>29.155100000000001</v>
      </c>
      <c r="P793">
        <v>19.5853</v>
      </c>
      <c r="Q793">
        <v>26.4527</v>
      </c>
      <c r="R793">
        <v>22.175999999999998</v>
      </c>
      <c r="U793" t="s">
        <v>224</v>
      </c>
      <c r="V793" t="s">
        <v>201</v>
      </c>
      <c r="W793" t="s">
        <v>202</v>
      </c>
      <c r="Y793">
        <v>6</v>
      </c>
      <c r="Z793" t="s">
        <v>170</v>
      </c>
      <c r="AA793" t="s">
        <v>170</v>
      </c>
      <c r="AB793" t="s">
        <v>171</v>
      </c>
      <c r="AC793" t="s">
        <v>172</v>
      </c>
      <c r="AD793">
        <v>15</v>
      </c>
      <c r="AG793" t="s">
        <v>214</v>
      </c>
      <c r="AH793" t="s">
        <v>215</v>
      </c>
      <c r="AI793" t="s">
        <v>175</v>
      </c>
      <c r="AJ793" t="s">
        <v>176</v>
      </c>
      <c r="AK793" t="s">
        <v>170</v>
      </c>
      <c r="AL793" t="s">
        <v>177</v>
      </c>
      <c r="AM793">
        <v>77</v>
      </c>
      <c r="AN793">
        <v>6</v>
      </c>
      <c r="AS793">
        <v>2900</v>
      </c>
      <c r="AT793">
        <v>2900</v>
      </c>
      <c r="BN793" t="s">
        <v>265</v>
      </c>
      <c r="BO793">
        <v>2</v>
      </c>
      <c r="BP793">
        <v>2</v>
      </c>
      <c r="BQ793">
        <v>2</v>
      </c>
      <c r="BR793" t="s">
        <v>321</v>
      </c>
      <c r="BS793" t="s">
        <v>180</v>
      </c>
      <c r="BT793" t="s">
        <v>181</v>
      </c>
      <c r="BU793" s="1">
        <v>45582</v>
      </c>
      <c r="BV793">
        <v>36029</v>
      </c>
      <c r="BX793" t="s">
        <v>170</v>
      </c>
      <c r="BY793" t="s">
        <v>170</v>
      </c>
      <c r="CB793" t="s">
        <v>170</v>
      </c>
      <c r="CC793" t="s">
        <v>170</v>
      </c>
      <c r="CE793" t="s">
        <v>170</v>
      </c>
      <c r="CG793" t="s">
        <v>169</v>
      </c>
      <c r="CH793" t="s">
        <v>381</v>
      </c>
      <c r="CI793" t="s">
        <v>170</v>
      </c>
      <c r="DJ793" t="s">
        <v>267</v>
      </c>
      <c r="DK793" t="s">
        <v>268</v>
      </c>
      <c r="DN793" t="s">
        <v>170</v>
      </c>
      <c r="DO793" t="s">
        <v>382</v>
      </c>
      <c r="DP793" t="s">
        <v>170</v>
      </c>
      <c r="DQ793" t="s">
        <v>187</v>
      </c>
      <c r="DY793">
        <v>29.7</v>
      </c>
      <c r="EB793">
        <v>5</v>
      </c>
      <c r="EC793">
        <v>5</v>
      </c>
      <c r="EE793" t="s">
        <v>383</v>
      </c>
      <c r="EF793">
        <v>2</v>
      </c>
      <c r="EV793">
        <v>5000</v>
      </c>
      <c r="EW793">
        <v>454</v>
      </c>
      <c r="EX793">
        <v>336</v>
      </c>
      <c r="EY793">
        <v>401</v>
      </c>
    </row>
    <row r="794" spans="1:155" x14ac:dyDescent="0.35">
      <c r="A794">
        <v>2025</v>
      </c>
      <c r="B794" t="s">
        <v>327</v>
      </c>
      <c r="C794" t="s">
        <v>317</v>
      </c>
      <c r="D794" t="s">
        <v>384</v>
      </c>
      <c r="E794" t="s">
        <v>330</v>
      </c>
      <c r="F794">
        <v>162</v>
      </c>
      <c r="G794">
        <v>2.4</v>
      </c>
      <c r="H794">
        <v>4</v>
      </c>
      <c r="I794" t="s">
        <v>275</v>
      </c>
      <c r="J794">
        <v>21</v>
      </c>
      <c r="K794">
        <v>30</v>
      </c>
      <c r="L794">
        <v>24</v>
      </c>
      <c r="M794">
        <v>26.650700000000001</v>
      </c>
      <c r="N794">
        <v>43.040199999999999</v>
      </c>
      <c r="O794">
        <v>32.161900000000003</v>
      </c>
      <c r="P794">
        <v>20.999199999999998</v>
      </c>
      <c r="Q794">
        <v>30.0593</v>
      </c>
      <c r="R794">
        <v>24.2943</v>
      </c>
      <c r="U794" t="s">
        <v>224</v>
      </c>
      <c r="V794" t="s">
        <v>193</v>
      </c>
      <c r="W794" t="s">
        <v>194</v>
      </c>
      <c r="Y794">
        <v>6</v>
      </c>
      <c r="Z794" t="s">
        <v>169</v>
      </c>
      <c r="AA794" t="s">
        <v>170</v>
      </c>
      <c r="AB794" t="s">
        <v>171</v>
      </c>
      <c r="AC794" t="s">
        <v>172</v>
      </c>
      <c r="AD794">
        <v>15</v>
      </c>
      <c r="AG794" t="s">
        <v>214</v>
      </c>
      <c r="AH794" t="s">
        <v>215</v>
      </c>
      <c r="AI794" t="s">
        <v>175</v>
      </c>
      <c r="AJ794" t="s">
        <v>176</v>
      </c>
      <c r="AK794" t="s">
        <v>170</v>
      </c>
      <c r="AL794" t="s">
        <v>177</v>
      </c>
      <c r="AM794">
        <v>77</v>
      </c>
      <c r="AN794">
        <v>6</v>
      </c>
      <c r="AS794">
        <v>2650</v>
      </c>
      <c r="AT794">
        <v>2650</v>
      </c>
      <c r="BN794" t="s">
        <v>265</v>
      </c>
      <c r="BO794">
        <v>2</v>
      </c>
      <c r="BP794">
        <v>2</v>
      </c>
      <c r="BQ794">
        <v>2</v>
      </c>
      <c r="BR794" t="s">
        <v>321</v>
      </c>
      <c r="BS794" t="s">
        <v>180</v>
      </c>
      <c r="BT794" t="s">
        <v>181</v>
      </c>
      <c r="BU794" s="1">
        <v>45582</v>
      </c>
      <c r="BV794">
        <v>36030</v>
      </c>
      <c r="BX794" t="s">
        <v>170</v>
      </c>
      <c r="BY794" t="s">
        <v>170</v>
      </c>
      <c r="CB794" t="s">
        <v>170</v>
      </c>
      <c r="CC794" t="s">
        <v>170</v>
      </c>
      <c r="CE794" t="s">
        <v>170</v>
      </c>
      <c r="CG794" t="s">
        <v>169</v>
      </c>
      <c r="CH794" t="s">
        <v>381</v>
      </c>
      <c r="CI794" t="s">
        <v>170</v>
      </c>
      <c r="DJ794" t="s">
        <v>267</v>
      </c>
      <c r="DK794" t="s">
        <v>268</v>
      </c>
      <c r="DN794" t="s">
        <v>170</v>
      </c>
      <c r="DO794" t="s">
        <v>382</v>
      </c>
      <c r="DP794" t="s">
        <v>170</v>
      </c>
      <c r="DQ794" t="s">
        <v>187</v>
      </c>
      <c r="DY794">
        <v>32.799999999999997</v>
      </c>
      <c r="EB794">
        <v>5</v>
      </c>
      <c r="EC794">
        <v>5</v>
      </c>
      <c r="EE794" t="s">
        <v>383</v>
      </c>
      <c r="EF794">
        <v>2</v>
      </c>
      <c r="EV794">
        <v>3750</v>
      </c>
      <c r="EW794">
        <v>423</v>
      </c>
      <c r="EX794">
        <v>296</v>
      </c>
      <c r="EY794">
        <v>366</v>
      </c>
    </row>
    <row r="795" spans="1:155" x14ac:dyDescent="0.35">
      <c r="A795">
        <v>2025</v>
      </c>
      <c r="B795" t="s">
        <v>327</v>
      </c>
      <c r="C795" t="s">
        <v>317</v>
      </c>
      <c r="D795" t="s">
        <v>1665</v>
      </c>
      <c r="E795" t="s">
        <v>330</v>
      </c>
      <c r="F795">
        <v>29</v>
      </c>
      <c r="G795">
        <v>2.4</v>
      </c>
      <c r="H795">
        <v>4</v>
      </c>
      <c r="I795" t="s">
        <v>192</v>
      </c>
      <c r="J795">
        <v>21</v>
      </c>
      <c r="K795">
        <v>27</v>
      </c>
      <c r="L795">
        <v>23</v>
      </c>
      <c r="M795">
        <v>26.6</v>
      </c>
      <c r="N795">
        <v>38.700000000000003</v>
      </c>
      <c r="O795">
        <v>30.955300000000001</v>
      </c>
      <c r="P795">
        <v>20.962700000000002</v>
      </c>
      <c r="Q795">
        <v>27.292100000000001</v>
      </c>
      <c r="R795">
        <v>23.4053</v>
      </c>
      <c r="T795" t="s">
        <v>165</v>
      </c>
      <c r="U795" t="s">
        <v>166</v>
      </c>
      <c r="V795" t="s">
        <v>193</v>
      </c>
      <c r="W795" t="s">
        <v>194</v>
      </c>
      <c r="Y795">
        <v>8</v>
      </c>
      <c r="Z795" t="s">
        <v>169</v>
      </c>
      <c r="AA795" t="s">
        <v>170</v>
      </c>
      <c r="AB795" t="s">
        <v>167</v>
      </c>
      <c r="AC795" t="s">
        <v>213</v>
      </c>
      <c r="AD795">
        <v>15</v>
      </c>
      <c r="AG795" t="s">
        <v>210</v>
      </c>
      <c r="AH795" t="s">
        <v>444</v>
      </c>
      <c r="AI795" t="s">
        <v>175</v>
      </c>
      <c r="AJ795" t="s">
        <v>176</v>
      </c>
      <c r="AK795" t="s">
        <v>940</v>
      </c>
      <c r="AL795" t="s">
        <v>941</v>
      </c>
      <c r="AS795">
        <v>2300</v>
      </c>
      <c r="AT795">
        <v>2300</v>
      </c>
      <c r="BN795" t="s">
        <v>265</v>
      </c>
      <c r="BO795">
        <v>2</v>
      </c>
      <c r="BP795">
        <v>2</v>
      </c>
      <c r="BQ795">
        <v>33</v>
      </c>
      <c r="BR795" t="s">
        <v>1497</v>
      </c>
      <c r="BT795" t="s">
        <v>181</v>
      </c>
      <c r="BU795" s="1">
        <v>45636</v>
      </c>
      <c r="BV795">
        <v>35657</v>
      </c>
      <c r="BX795" t="s">
        <v>169</v>
      </c>
      <c r="BY795" t="s">
        <v>170</v>
      </c>
      <c r="CB795" t="s">
        <v>170</v>
      </c>
      <c r="CC795" t="s">
        <v>170</v>
      </c>
      <c r="CD795" t="s">
        <v>1203</v>
      </c>
      <c r="CE795" t="s">
        <v>170</v>
      </c>
      <c r="CG795" t="s">
        <v>169</v>
      </c>
      <c r="CH795" t="s">
        <v>333</v>
      </c>
      <c r="CI795" t="s">
        <v>170</v>
      </c>
      <c r="DJ795" t="s">
        <v>267</v>
      </c>
      <c r="DK795" t="s">
        <v>268</v>
      </c>
      <c r="DN795" t="s">
        <v>170</v>
      </c>
      <c r="DO795" t="s">
        <v>358</v>
      </c>
      <c r="DP795" t="s">
        <v>169</v>
      </c>
      <c r="DQ795" t="s">
        <v>198</v>
      </c>
      <c r="EB795">
        <v>5</v>
      </c>
      <c r="EC795">
        <v>5</v>
      </c>
      <c r="EE795" t="s">
        <v>1170</v>
      </c>
      <c r="EF795">
        <v>6</v>
      </c>
      <c r="EV795">
        <v>2000</v>
      </c>
      <c r="EW795">
        <v>424</v>
      </c>
      <c r="EX795">
        <v>325</v>
      </c>
      <c r="EY795">
        <v>379</v>
      </c>
    </row>
    <row r="796" spans="1:155" x14ac:dyDescent="0.35">
      <c r="A796">
        <v>2025</v>
      </c>
      <c r="B796" t="s">
        <v>327</v>
      </c>
      <c r="C796" t="s">
        <v>317</v>
      </c>
      <c r="D796" t="s">
        <v>1666</v>
      </c>
      <c r="E796" t="s">
        <v>330</v>
      </c>
      <c r="F796">
        <v>31</v>
      </c>
      <c r="G796">
        <v>2.4</v>
      </c>
      <c r="H796">
        <v>4</v>
      </c>
      <c r="I796" t="s">
        <v>192</v>
      </c>
      <c r="J796">
        <v>20</v>
      </c>
      <c r="K796">
        <v>26</v>
      </c>
      <c r="L796">
        <v>22</v>
      </c>
      <c r="M796">
        <v>25.7</v>
      </c>
      <c r="N796">
        <v>36.799999999999997</v>
      </c>
      <c r="O796">
        <v>29.7362</v>
      </c>
      <c r="P796">
        <v>20.3124</v>
      </c>
      <c r="Q796">
        <v>26.063600000000001</v>
      </c>
      <c r="R796">
        <v>22</v>
      </c>
      <c r="T796" t="s">
        <v>165</v>
      </c>
      <c r="U796" t="s">
        <v>166</v>
      </c>
      <c r="V796" t="s">
        <v>193</v>
      </c>
      <c r="W796" t="s">
        <v>194</v>
      </c>
      <c r="Y796">
        <v>8</v>
      </c>
      <c r="Z796" t="s">
        <v>169</v>
      </c>
      <c r="AA796" t="s">
        <v>170</v>
      </c>
      <c r="AB796" t="s">
        <v>167</v>
      </c>
      <c r="AC796" t="s">
        <v>213</v>
      </c>
      <c r="AD796">
        <v>15</v>
      </c>
      <c r="AG796" t="s">
        <v>210</v>
      </c>
      <c r="AH796" t="s">
        <v>444</v>
      </c>
      <c r="AI796" t="s">
        <v>175</v>
      </c>
      <c r="AJ796" t="s">
        <v>176</v>
      </c>
      <c r="AK796" t="s">
        <v>940</v>
      </c>
      <c r="AL796" t="s">
        <v>941</v>
      </c>
      <c r="AS796">
        <v>2400</v>
      </c>
      <c r="AT796">
        <v>2400</v>
      </c>
      <c r="BN796" t="s">
        <v>265</v>
      </c>
      <c r="BO796">
        <v>2</v>
      </c>
      <c r="BP796">
        <v>2</v>
      </c>
      <c r="BQ796">
        <v>33</v>
      </c>
      <c r="BR796" t="s">
        <v>1497</v>
      </c>
      <c r="BT796" t="s">
        <v>181</v>
      </c>
      <c r="BU796" s="1">
        <v>45636</v>
      </c>
      <c r="BV796">
        <v>35656</v>
      </c>
      <c r="BX796" t="s">
        <v>169</v>
      </c>
      <c r="BY796" t="s">
        <v>170</v>
      </c>
      <c r="CB796" t="s">
        <v>170</v>
      </c>
      <c r="CC796" t="s">
        <v>170</v>
      </c>
      <c r="CD796" t="s">
        <v>1203</v>
      </c>
      <c r="CE796" t="s">
        <v>170</v>
      </c>
      <c r="CG796" t="s">
        <v>169</v>
      </c>
      <c r="CH796" t="s">
        <v>333</v>
      </c>
      <c r="CI796" t="s">
        <v>170</v>
      </c>
      <c r="DJ796" t="s">
        <v>267</v>
      </c>
      <c r="DK796" t="s">
        <v>268</v>
      </c>
      <c r="DN796" t="s">
        <v>170</v>
      </c>
      <c r="DO796" t="s">
        <v>358</v>
      </c>
      <c r="DP796" t="s">
        <v>169</v>
      </c>
      <c r="DQ796" t="s">
        <v>198</v>
      </c>
      <c r="EB796">
        <v>5</v>
      </c>
      <c r="EC796">
        <v>5</v>
      </c>
      <c r="EE796" t="s">
        <v>1170</v>
      </c>
      <c r="EF796">
        <v>6</v>
      </c>
      <c r="EV796">
        <v>2500</v>
      </c>
      <c r="EW796">
        <v>433</v>
      </c>
      <c r="EX796">
        <v>338</v>
      </c>
      <c r="EY796">
        <v>400</v>
      </c>
    </row>
    <row r="797" spans="1:155" x14ac:dyDescent="0.35">
      <c r="A797">
        <v>2025</v>
      </c>
      <c r="B797" t="s">
        <v>327</v>
      </c>
      <c r="C797" t="s">
        <v>317</v>
      </c>
      <c r="D797" t="s">
        <v>1491</v>
      </c>
      <c r="E797" t="s">
        <v>330</v>
      </c>
      <c r="F797">
        <v>22</v>
      </c>
      <c r="G797">
        <v>2.5</v>
      </c>
      <c r="H797">
        <v>4</v>
      </c>
      <c r="I797" t="s">
        <v>594</v>
      </c>
      <c r="J797">
        <v>37</v>
      </c>
      <c r="K797">
        <v>34</v>
      </c>
      <c r="L797">
        <v>36</v>
      </c>
      <c r="M797">
        <v>52.298299999999998</v>
      </c>
      <c r="N797">
        <v>48.6</v>
      </c>
      <c r="O797">
        <v>50.566699999999997</v>
      </c>
      <c r="P797">
        <v>37</v>
      </c>
      <c r="Q797">
        <v>34.058500000000002</v>
      </c>
      <c r="R797">
        <v>36.1798</v>
      </c>
      <c r="U797" t="s">
        <v>224</v>
      </c>
      <c r="V797" t="s">
        <v>463</v>
      </c>
      <c r="W797" t="s">
        <v>464</v>
      </c>
      <c r="Y797">
        <v>6</v>
      </c>
      <c r="Z797" t="s">
        <v>170</v>
      </c>
      <c r="AA797" t="s">
        <v>170</v>
      </c>
      <c r="AB797" t="s">
        <v>351</v>
      </c>
      <c r="AC797" t="s">
        <v>352</v>
      </c>
      <c r="AD797">
        <v>15</v>
      </c>
      <c r="AG797" t="s">
        <v>210</v>
      </c>
      <c r="AH797" t="s">
        <v>444</v>
      </c>
      <c r="AI797" t="s">
        <v>175</v>
      </c>
      <c r="AJ797" t="s">
        <v>176</v>
      </c>
      <c r="AK797" t="s">
        <v>940</v>
      </c>
      <c r="AL797" t="s">
        <v>941</v>
      </c>
      <c r="AS797">
        <v>1450</v>
      </c>
      <c r="AT797">
        <v>1450</v>
      </c>
      <c r="BN797" t="s">
        <v>465</v>
      </c>
      <c r="BO797">
        <v>2</v>
      </c>
      <c r="BP797">
        <v>2</v>
      </c>
      <c r="BQ797">
        <v>32</v>
      </c>
      <c r="BR797" t="s">
        <v>1453</v>
      </c>
      <c r="BT797" t="s">
        <v>225</v>
      </c>
      <c r="BU797" s="1">
        <v>45636</v>
      </c>
      <c r="BV797">
        <v>35658</v>
      </c>
      <c r="BX797" t="s">
        <v>170</v>
      </c>
      <c r="BY797" t="s">
        <v>170</v>
      </c>
      <c r="CB797" t="s">
        <v>170</v>
      </c>
      <c r="CC797" t="s">
        <v>170</v>
      </c>
      <c r="CD797" t="s">
        <v>1362</v>
      </c>
      <c r="CE797" t="s">
        <v>170</v>
      </c>
      <c r="CG797" t="s">
        <v>169</v>
      </c>
      <c r="CH797" t="s">
        <v>333</v>
      </c>
      <c r="CI797" t="s">
        <v>170</v>
      </c>
      <c r="CK797" t="s">
        <v>233</v>
      </c>
      <c r="CM797">
        <v>1</v>
      </c>
      <c r="CN797" t="s">
        <v>234</v>
      </c>
      <c r="CP797">
        <v>259</v>
      </c>
      <c r="CQ797">
        <v>4.3</v>
      </c>
      <c r="CR797">
        <v>76.5</v>
      </c>
      <c r="CS797" t="s">
        <v>235</v>
      </c>
      <c r="CV797" t="s">
        <v>341</v>
      </c>
      <c r="CX797" t="s">
        <v>342</v>
      </c>
      <c r="CY797" t="s">
        <v>170</v>
      </c>
      <c r="DC797" t="s">
        <v>1092</v>
      </c>
      <c r="DD797">
        <v>2</v>
      </c>
      <c r="DE797" t="s">
        <v>404</v>
      </c>
      <c r="DF797" t="s">
        <v>638</v>
      </c>
      <c r="DG797" t="s">
        <v>1492</v>
      </c>
      <c r="DJ797" t="s">
        <v>267</v>
      </c>
      <c r="DK797" t="s">
        <v>268</v>
      </c>
      <c r="DL797" t="s">
        <v>170</v>
      </c>
      <c r="DM797" t="s">
        <v>170</v>
      </c>
      <c r="DN797" t="s">
        <v>170</v>
      </c>
      <c r="DO797" t="s">
        <v>1093</v>
      </c>
      <c r="DP797" t="s">
        <v>169</v>
      </c>
      <c r="DQ797" t="s">
        <v>198</v>
      </c>
      <c r="DR797" t="s">
        <v>467</v>
      </c>
      <c r="EB797">
        <v>7</v>
      </c>
      <c r="EC797">
        <v>7</v>
      </c>
      <c r="EE797" t="s">
        <v>1094</v>
      </c>
      <c r="EF797">
        <v>6</v>
      </c>
      <c r="EU797">
        <v>2250</v>
      </c>
      <c r="EW797">
        <v>237</v>
      </c>
      <c r="EX797">
        <v>258</v>
      </c>
      <c r="EY797">
        <v>246</v>
      </c>
    </row>
    <row r="798" spans="1:155" x14ac:dyDescent="0.35">
      <c r="A798">
        <v>2025</v>
      </c>
      <c r="B798" t="s">
        <v>327</v>
      </c>
      <c r="C798" t="s">
        <v>317</v>
      </c>
      <c r="D798" t="s">
        <v>1667</v>
      </c>
      <c r="E798" t="s">
        <v>330</v>
      </c>
      <c r="F798">
        <v>23</v>
      </c>
      <c r="G798">
        <v>2.5</v>
      </c>
      <c r="H798">
        <v>4</v>
      </c>
      <c r="I798" t="s">
        <v>594</v>
      </c>
      <c r="J798">
        <v>36</v>
      </c>
      <c r="K798">
        <v>32</v>
      </c>
      <c r="L798">
        <v>34</v>
      </c>
      <c r="M798">
        <v>48.414999999999999</v>
      </c>
      <c r="N798">
        <v>47.426499999999997</v>
      </c>
      <c r="O798">
        <v>47.9651</v>
      </c>
      <c r="P798">
        <v>35.785699999999999</v>
      </c>
      <c r="Q798">
        <v>31.969200000000001</v>
      </c>
      <c r="R798">
        <v>33.961300000000001</v>
      </c>
      <c r="U798" t="s">
        <v>224</v>
      </c>
      <c r="V798" t="s">
        <v>463</v>
      </c>
      <c r="W798" t="s">
        <v>464</v>
      </c>
      <c r="Y798">
        <v>6</v>
      </c>
      <c r="Z798" t="s">
        <v>170</v>
      </c>
      <c r="AA798" t="s">
        <v>170</v>
      </c>
      <c r="AB798" t="s">
        <v>167</v>
      </c>
      <c r="AC798" t="s">
        <v>213</v>
      </c>
      <c r="AD798">
        <v>15</v>
      </c>
      <c r="AG798" t="s">
        <v>210</v>
      </c>
      <c r="AH798" t="s">
        <v>444</v>
      </c>
      <c r="AI798" t="s">
        <v>175</v>
      </c>
      <c r="AJ798" t="s">
        <v>176</v>
      </c>
      <c r="AK798" t="s">
        <v>940</v>
      </c>
      <c r="AL798" t="s">
        <v>941</v>
      </c>
      <c r="AS798">
        <v>1550</v>
      </c>
      <c r="AT798">
        <v>1550</v>
      </c>
      <c r="BN798" t="s">
        <v>465</v>
      </c>
      <c r="BO798">
        <v>2</v>
      </c>
      <c r="BP798">
        <v>2</v>
      </c>
      <c r="BQ798">
        <v>33</v>
      </c>
      <c r="BR798" t="s">
        <v>1497</v>
      </c>
      <c r="BT798" t="s">
        <v>225</v>
      </c>
      <c r="BU798" s="1">
        <v>45636</v>
      </c>
      <c r="BV798">
        <v>35654</v>
      </c>
      <c r="BX798" t="s">
        <v>170</v>
      </c>
      <c r="BY798" t="s">
        <v>170</v>
      </c>
      <c r="CB798" t="s">
        <v>170</v>
      </c>
      <c r="CC798" t="s">
        <v>170</v>
      </c>
      <c r="CD798" t="s">
        <v>1362</v>
      </c>
      <c r="CE798" t="s">
        <v>170</v>
      </c>
      <c r="CG798" t="s">
        <v>169</v>
      </c>
      <c r="CH798" t="s">
        <v>333</v>
      </c>
      <c r="CI798" t="s">
        <v>170</v>
      </c>
      <c r="CK798" t="s">
        <v>233</v>
      </c>
      <c r="CM798">
        <v>1</v>
      </c>
      <c r="CN798" t="s">
        <v>234</v>
      </c>
      <c r="CP798">
        <v>259</v>
      </c>
      <c r="CQ798">
        <v>4.3</v>
      </c>
      <c r="CR798">
        <v>76.5</v>
      </c>
      <c r="CS798" t="s">
        <v>235</v>
      </c>
      <c r="CV798" t="s">
        <v>341</v>
      </c>
      <c r="CX798" t="s">
        <v>342</v>
      </c>
      <c r="CY798" t="s">
        <v>170</v>
      </c>
      <c r="DC798" t="s">
        <v>1092</v>
      </c>
      <c r="DD798">
        <v>2</v>
      </c>
      <c r="DE798" t="s">
        <v>404</v>
      </c>
      <c r="DF798" t="s">
        <v>638</v>
      </c>
      <c r="DG798" t="s">
        <v>930</v>
      </c>
      <c r="DJ798" t="s">
        <v>267</v>
      </c>
      <c r="DK798" t="s">
        <v>268</v>
      </c>
      <c r="DL798" t="s">
        <v>170</v>
      </c>
      <c r="DM798" t="s">
        <v>170</v>
      </c>
      <c r="DN798" t="s">
        <v>170</v>
      </c>
      <c r="DO798" t="s">
        <v>1093</v>
      </c>
      <c r="DP798" t="s">
        <v>169</v>
      </c>
      <c r="DQ798" t="s">
        <v>198</v>
      </c>
      <c r="DR798" t="s">
        <v>467</v>
      </c>
      <c r="EB798">
        <v>7</v>
      </c>
      <c r="EC798">
        <v>7</v>
      </c>
      <c r="EE798" t="s">
        <v>1094</v>
      </c>
      <c r="EF798">
        <v>6</v>
      </c>
      <c r="EU798">
        <v>1750</v>
      </c>
      <c r="EW798">
        <v>245</v>
      </c>
      <c r="EX798">
        <v>275</v>
      </c>
      <c r="EY798">
        <v>258</v>
      </c>
    </row>
    <row r="799" spans="1:155" x14ac:dyDescent="0.35">
      <c r="A799">
        <v>2025</v>
      </c>
      <c r="B799" t="s">
        <v>327</v>
      </c>
      <c r="C799" t="s">
        <v>317</v>
      </c>
      <c r="D799" t="s">
        <v>1667</v>
      </c>
      <c r="E799" t="s">
        <v>330</v>
      </c>
      <c r="F799">
        <v>28</v>
      </c>
      <c r="G799">
        <v>2.4</v>
      </c>
      <c r="H799">
        <v>4</v>
      </c>
      <c r="I799" t="s">
        <v>275</v>
      </c>
      <c r="J799">
        <v>26</v>
      </c>
      <c r="K799">
        <v>27</v>
      </c>
      <c r="L799">
        <v>27</v>
      </c>
      <c r="M799">
        <v>34.1</v>
      </c>
      <c r="N799">
        <v>38.700000000000003</v>
      </c>
      <c r="O799">
        <v>36.027000000000001</v>
      </c>
      <c r="P799">
        <v>26.238800000000001</v>
      </c>
      <c r="Q799">
        <v>27.292100000000001</v>
      </c>
      <c r="R799">
        <v>26.702500000000001</v>
      </c>
      <c r="T799" t="s">
        <v>165</v>
      </c>
      <c r="U799" t="s">
        <v>166</v>
      </c>
      <c r="V799" t="s">
        <v>193</v>
      </c>
      <c r="W799" t="s">
        <v>194</v>
      </c>
      <c r="Y799">
        <v>6</v>
      </c>
      <c r="Z799" t="s">
        <v>170</v>
      </c>
      <c r="AA799" t="s">
        <v>170</v>
      </c>
      <c r="AB799" t="s">
        <v>167</v>
      </c>
      <c r="AC799" t="s">
        <v>213</v>
      </c>
      <c r="AD799">
        <v>15</v>
      </c>
      <c r="AG799" t="s">
        <v>210</v>
      </c>
      <c r="AH799" t="s">
        <v>444</v>
      </c>
      <c r="AI799" t="s">
        <v>175</v>
      </c>
      <c r="AJ799" t="s">
        <v>176</v>
      </c>
      <c r="AK799" t="s">
        <v>940</v>
      </c>
      <c r="AL799" t="s">
        <v>941</v>
      </c>
      <c r="AS799">
        <v>1950</v>
      </c>
      <c r="AT799">
        <v>1950</v>
      </c>
      <c r="BN799" t="s">
        <v>465</v>
      </c>
      <c r="BO799">
        <v>2</v>
      </c>
      <c r="BP799">
        <v>2</v>
      </c>
      <c r="BQ799">
        <v>33</v>
      </c>
      <c r="BR799" t="s">
        <v>1497</v>
      </c>
      <c r="BT799" t="s">
        <v>181</v>
      </c>
      <c r="BU799" s="1">
        <v>45636</v>
      </c>
      <c r="BV799">
        <v>35512</v>
      </c>
      <c r="BX799" t="s">
        <v>170</v>
      </c>
      <c r="BY799" t="s">
        <v>170</v>
      </c>
      <c r="CB799" t="s">
        <v>170</v>
      </c>
      <c r="CC799" t="s">
        <v>170</v>
      </c>
      <c r="CD799" t="s">
        <v>1668</v>
      </c>
      <c r="CE799" t="s">
        <v>170</v>
      </c>
      <c r="CG799" t="s">
        <v>169</v>
      </c>
      <c r="CH799" t="s">
        <v>333</v>
      </c>
      <c r="CI799" t="s">
        <v>170</v>
      </c>
      <c r="CK799" t="s">
        <v>233</v>
      </c>
      <c r="CM799">
        <v>1</v>
      </c>
      <c r="CN799" t="s">
        <v>814</v>
      </c>
      <c r="CP799">
        <v>288</v>
      </c>
      <c r="CQ799">
        <v>5</v>
      </c>
      <c r="CR799">
        <v>36</v>
      </c>
      <c r="CS799" t="s">
        <v>235</v>
      </c>
      <c r="CV799" t="s">
        <v>341</v>
      </c>
      <c r="CX799" t="s">
        <v>342</v>
      </c>
      <c r="CY799" t="s">
        <v>170</v>
      </c>
      <c r="DD799">
        <v>2</v>
      </c>
      <c r="DE799" t="s">
        <v>404</v>
      </c>
      <c r="DF799" t="s">
        <v>638</v>
      </c>
      <c r="DG799" t="s">
        <v>1365</v>
      </c>
      <c r="DJ799" t="s">
        <v>267</v>
      </c>
      <c r="DK799" t="s">
        <v>268</v>
      </c>
      <c r="DL799" t="s">
        <v>170</v>
      </c>
      <c r="DM799" t="s">
        <v>170</v>
      </c>
      <c r="DN799" t="s">
        <v>170</v>
      </c>
      <c r="DO799" t="s">
        <v>358</v>
      </c>
      <c r="DP799" t="s">
        <v>169</v>
      </c>
      <c r="DQ799" t="s">
        <v>198</v>
      </c>
      <c r="DR799" t="s">
        <v>467</v>
      </c>
      <c r="EB799">
        <v>5</v>
      </c>
      <c r="EC799">
        <v>5</v>
      </c>
      <c r="EE799" t="s">
        <v>1366</v>
      </c>
      <c r="EF799">
        <v>6</v>
      </c>
      <c r="EV799">
        <v>250</v>
      </c>
      <c r="EW799">
        <v>338</v>
      </c>
      <c r="EX799">
        <v>325</v>
      </c>
      <c r="EY799">
        <v>332</v>
      </c>
    </row>
    <row r="800" spans="1:155" x14ac:dyDescent="0.35">
      <c r="A800">
        <v>2025</v>
      </c>
      <c r="B800" t="s">
        <v>327</v>
      </c>
      <c r="C800" t="s">
        <v>317</v>
      </c>
      <c r="D800" t="s">
        <v>1493</v>
      </c>
      <c r="E800" t="s">
        <v>330</v>
      </c>
      <c r="F800">
        <v>30</v>
      </c>
      <c r="G800">
        <v>2.4</v>
      </c>
      <c r="H800">
        <v>4</v>
      </c>
      <c r="I800" t="s">
        <v>192</v>
      </c>
      <c r="J800">
        <v>21</v>
      </c>
      <c r="K800">
        <v>28</v>
      </c>
      <c r="L800">
        <v>24</v>
      </c>
      <c r="M800">
        <v>27.4</v>
      </c>
      <c r="N800">
        <v>40</v>
      </c>
      <c r="O800">
        <v>31.9254</v>
      </c>
      <c r="P800">
        <v>21</v>
      </c>
      <c r="Q800">
        <v>28.1266</v>
      </c>
      <c r="R800">
        <v>24.075600000000001</v>
      </c>
      <c r="T800" t="s">
        <v>165</v>
      </c>
      <c r="U800" t="s">
        <v>166</v>
      </c>
      <c r="V800" t="s">
        <v>193</v>
      </c>
      <c r="W800" t="s">
        <v>194</v>
      </c>
      <c r="Y800">
        <v>8</v>
      </c>
      <c r="Z800" t="s">
        <v>169</v>
      </c>
      <c r="AA800" t="s">
        <v>170</v>
      </c>
      <c r="AB800" t="s">
        <v>351</v>
      </c>
      <c r="AC800" t="s">
        <v>352</v>
      </c>
      <c r="AD800">
        <v>15</v>
      </c>
      <c r="AG800" t="s">
        <v>210</v>
      </c>
      <c r="AH800" t="s">
        <v>444</v>
      </c>
      <c r="AI800" t="s">
        <v>175</v>
      </c>
      <c r="AJ800" t="s">
        <v>176</v>
      </c>
      <c r="AK800" t="s">
        <v>940</v>
      </c>
      <c r="AL800" t="s">
        <v>941</v>
      </c>
      <c r="AS800">
        <v>2200</v>
      </c>
      <c r="AT800">
        <v>2200</v>
      </c>
      <c r="BN800" t="s">
        <v>265</v>
      </c>
      <c r="BO800">
        <v>2</v>
      </c>
      <c r="BP800">
        <v>2</v>
      </c>
      <c r="BQ800">
        <v>32</v>
      </c>
      <c r="BR800" t="s">
        <v>1453</v>
      </c>
      <c r="BT800" t="s">
        <v>181</v>
      </c>
      <c r="BU800" s="1">
        <v>45636</v>
      </c>
      <c r="BV800">
        <v>35655</v>
      </c>
      <c r="BX800" t="s">
        <v>169</v>
      </c>
      <c r="BY800" t="s">
        <v>170</v>
      </c>
      <c r="CB800" t="s">
        <v>170</v>
      </c>
      <c r="CC800" t="s">
        <v>170</v>
      </c>
      <c r="CD800" t="s">
        <v>1203</v>
      </c>
      <c r="CE800" t="s">
        <v>170</v>
      </c>
      <c r="CG800" t="s">
        <v>169</v>
      </c>
      <c r="CH800" t="s">
        <v>333</v>
      </c>
      <c r="CI800" t="s">
        <v>170</v>
      </c>
      <c r="DJ800" t="s">
        <v>267</v>
      </c>
      <c r="DK800" t="s">
        <v>268</v>
      </c>
      <c r="DN800" t="s">
        <v>170</v>
      </c>
      <c r="DO800" t="s">
        <v>358</v>
      </c>
      <c r="DP800" t="s">
        <v>169</v>
      </c>
      <c r="DQ800" t="s">
        <v>198</v>
      </c>
      <c r="EB800">
        <v>5</v>
      </c>
      <c r="EC800">
        <v>5</v>
      </c>
      <c r="EE800" t="s">
        <v>1170</v>
      </c>
      <c r="EF800">
        <v>6</v>
      </c>
      <c r="EV800">
        <v>1500</v>
      </c>
      <c r="EW800">
        <v>419</v>
      </c>
      <c r="EX800">
        <v>313</v>
      </c>
      <c r="EY800">
        <v>371</v>
      </c>
    </row>
    <row r="801" spans="1:155" x14ac:dyDescent="0.35">
      <c r="A801">
        <v>2025</v>
      </c>
      <c r="B801" t="s">
        <v>327</v>
      </c>
      <c r="C801" t="s">
        <v>317</v>
      </c>
      <c r="D801" t="s">
        <v>1494</v>
      </c>
      <c r="E801" t="s">
        <v>330</v>
      </c>
      <c r="F801">
        <v>32</v>
      </c>
      <c r="G801">
        <v>2.4</v>
      </c>
      <c r="H801">
        <v>4</v>
      </c>
      <c r="I801" t="s">
        <v>192</v>
      </c>
      <c r="J801">
        <v>21</v>
      </c>
      <c r="K801">
        <v>28</v>
      </c>
      <c r="L801">
        <v>24</v>
      </c>
      <c r="M801">
        <v>27.3</v>
      </c>
      <c r="N801">
        <v>40.200000000000003</v>
      </c>
      <c r="O801">
        <v>31.907499999999999</v>
      </c>
      <c r="P801">
        <v>21.465900000000001</v>
      </c>
      <c r="Q801">
        <v>28.2546</v>
      </c>
      <c r="R801">
        <v>24.068200000000001</v>
      </c>
      <c r="T801" t="s">
        <v>165</v>
      </c>
      <c r="U801" t="s">
        <v>166</v>
      </c>
      <c r="V801" t="s">
        <v>193</v>
      </c>
      <c r="W801" t="s">
        <v>194</v>
      </c>
      <c r="Y801">
        <v>8</v>
      </c>
      <c r="Z801" t="s">
        <v>169</v>
      </c>
      <c r="AA801" t="s">
        <v>170</v>
      </c>
      <c r="AB801" t="s">
        <v>351</v>
      </c>
      <c r="AC801" t="s">
        <v>352</v>
      </c>
      <c r="AD801">
        <v>15</v>
      </c>
      <c r="AG801" t="s">
        <v>210</v>
      </c>
      <c r="AH801" t="s">
        <v>444</v>
      </c>
      <c r="AI801" t="s">
        <v>175</v>
      </c>
      <c r="AJ801" t="s">
        <v>176</v>
      </c>
      <c r="AK801" t="s">
        <v>940</v>
      </c>
      <c r="AL801" t="s">
        <v>941</v>
      </c>
      <c r="AS801">
        <v>2200</v>
      </c>
      <c r="AT801">
        <v>2200</v>
      </c>
      <c r="BN801" t="s">
        <v>265</v>
      </c>
      <c r="BO801">
        <v>2</v>
      </c>
      <c r="BP801">
        <v>2</v>
      </c>
      <c r="BQ801">
        <v>32</v>
      </c>
      <c r="BR801" t="s">
        <v>1453</v>
      </c>
      <c r="BT801" t="s">
        <v>181</v>
      </c>
      <c r="BU801" s="1">
        <v>45636</v>
      </c>
      <c r="BV801">
        <v>35659</v>
      </c>
      <c r="BX801" t="s">
        <v>169</v>
      </c>
      <c r="BY801" t="s">
        <v>170</v>
      </c>
      <c r="CB801" t="s">
        <v>170</v>
      </c>
      <c r="CC801" t="s">
        <v>170</v>
      </c>
      <c r="CD801" t="s">
        <v>1203</v>
      </c>
      <c r="CE801" t="s">
        <v>170</v>
      </c>
      <c r="CG801" t="s">
        <v>169</v>
      </c>
      <c r="CH801" t="s">
        <v>333</v>
      </c>
      <c r="CI801" t="s">
        <v>170</v>
      </c>
      <c r="DJ801" t="s">
        <v>267</v>
      </c>
      <c r="DK801" t="s">
        <v>268</v>
      </c>
      <c r="DN801" t="s">
        <v>170</v>
      </c>
      <c r="DO801" t="s">
        <v>358</v>
      </c>
      <c r="DP801" t="s">
        <v>169</v>
      </c>
      <c r="DQ801" t="s">
        <v>198</v>
      </c>
      <c r="EB801">
        <v>5</v>
      </c>
      <c r="EC801">
        <v>5</v>
      </c>
      <c r="EE801" t="s">
        <v>1170</v>
      </c>
      <c r="EF801">
        <v>6</v>
      </c>
      <c r="EV801">
        <v>1500</v>
      </c>
      <c r="EW801">
        <v>410</v>
      </c>
      <c r="EX801">
        <v>312</v>
      </c>
      <c r="EY801">
        <v>366</v>
      </c>
    </row>
    <row r="802" spans="1:155" x14ac:dyDescent="0.35">
      <c r="A802">
        <v>2025</v>
      </c>
      <c r="B802" t="s">
        <v>327</v>
      </c>
      <c r="C802" t="s">
        <v>317</v>
      </c>
      <c r="D802" t="s">
        <v>1202</v>
      </c>
      <c r="E802" t="s">
        <v>330</v>
      </c>
      <c r="F802">
        <v>154</v>
      </c>
      <c r="G802">
        <v>2.4</v>
      </c>
      <c r="H802">
        <v>4</v>
      </c>
      <c r="I802" t="s">
        <v>192</v>
      </c>
      <c r="J802">
        <v>22</v>
      </c>
      <c r="K802">
        <v>29</v>
      </c>
      <c r="L802">
        <v>25</v>
      </c>
      <c r="M802">
        <v>28.1</v>
      </c>
      <c r="N802">
        <v>41.5</v>
      </c>
      <c r="O802">
        <v>32.877099999999999</v>
      </c>
      <c r="P802">
        <v>22.0382</v>
      </c>
      <c r="Q802">
        <v>29.083500000000001</v>
      </c>
      <c r="R802">
        <v>24.734500000000001</v>
      </c>
      <c r="T802" t="s">
        <v>165</v>
      </c>
      <c r="U802" t="s">
        <v>166</v>
      </c>
      <c r="V802" t="s">
        <v>193</v>
      </c>
      <c r="W802" t="s">
        <v>194</v>
      </c>
      <c r="Y802">
        <v>8</v>
      </c>
      <c r="Z802" t="s">
        <v>169</v>
      </c>
      <c r="AA802" t="s">
        <v>170</v>
      </c>
      <c r="AB802" t="s">
        <v>351</v>
      </c>
      <c r="AC802" t="s">
        <v>352</v>
      </c>
      <c r="AD802">
        <v>15</v>
      </c>
      <c r="AG802" t="s">
        <v>210</v>
      </c>
      <c r="AH802" t="s">
        <v>444</v>
      </c>
      <c r="AI802" t="s">
        <v>175</v>
      </c>
      <c r="AJ802" t="s">
        <v>176</v>
      </c>
      <c r="AK802" t="s">
        <v>940</v>
      </c>
      <c r="AL802" t="s">
        <v>941</v>
      </c>
      <c r="AS802">
        <v>2100</v>
      </c>
      <c r="AT802">
        <v>2100</v>
      </c>
      <c r="BN802" t="s">
        <v>265</v>
      </c>
      <c r="BO802">
        <v>2</v>
      </c>
      <c r="BP802">
        <v>2</v>
      </c>
      <c r="BQ802">
        <v>30</v>
      </c>
      <c r="BR802" t="s">
        <v>1099</v>
      </c>
      <c r="BT802" t="s">
        <v>181</v>
      </c>
      <c r="BU802" s="1">
        <v>45603</v>
      </c>
      <c r="BV802">
        <v>35906</v>
      </c>
      <c r="BX802" t="s">
        <v>170</v>
      </c>
      <c r="BY802" t="s">
        <v>170</v>
      </c>
      <c r="CB802" t="s">
        <v>170</v>
      </c>
      <c r="CC802" t="s">
        <v>170</v>
      </c>
      <c r="CD802" t="s">
        <v>1203</v>
      </c>
      <c r="CE802" t="s">
        <v>170</v>
      </c>
      <c r="CG802" t="s">
        <v>169</v>
      </c>
      <c r="CH802" t="s">
        <v>333</v>
      </c>
      <c r="CI802" t="s">
        <v>170</v>
      </c>
      <c r="DJ802" t="s">
        <v>267</v>
      </c>
      <c r="DK802" t="s">
        <v>268</v>
      </c>
      <c r="DN802" t="s">
        <v>170</v>
      </c>
      <c r="DO802" t="s">
        <v>358</v>
      </c>
      <c r="DP802" t="s">
        <v>169</v>
      </c>
      <c r="DQ802" t="s">
        <v>198</v>
      </c>
      <c r="DR802" t="s">
        <v>745</v>
      </c>
      <c r="EB802">
        <v>5</v>
      </c>
      <c r="EC802">
        <v>5</v>
      </c>
      <c r="EE802" t="s">
        <v>1170</v>
      </c>
      <c r="EF802">
        <v>6</v>
      </c>
      <c r="EV802">
        <v>1000</v>
      </c>
      <c r="EW802">
        <v>403</v>
      </c>
      <c r="EX802">
        <v>305</v>
      </c>
      <c r="EY802">
        <v>359</v>
      </c>
    </row>
    <row r="803" spans="1:155" x14ac:dyDescent="0.35">
      <c r="A803">
        <v>2025</v>
      </c>
      <c r="B803" t="s">
        <v>327</v>
      </c>
      <c r="C803" t="s">
        <v>317</v>
      </c>
      <c r="D803" t="s">
        <v>1202</v>
      </c>
      <c r="E803" t="s">
        <v>330</v>
      </c>
      <c r="F803">
        <v>155</v>
      </c>
      <c r="G803">
        <v>2.4</v>
      </c>
      <c r="H803">
        <v>4</v>
      </c>
      <c r="I803" t="s">
        <v>192</v>
      </c>
      <c r="J803">
        <v>21</v>
      </c>
      <c r="K803">
        <v>28</v>
      </c>
      <c r="L803">
        <v>24</v>
      </c>
      <c r="M803">
        <v>26.6</v>
      </c>
      <c r="N803">
        <v>40.4</v>
      </c>
      <c r="O803">
        <v>31.4314</v>
      </c>
      <c r="P803">
        <v>20.962700000000002</v>
      </c>
      <c r="Q803">
        <v>28.382400000000001</v>
      </c>
      <c r="R803">
        <v>23.7575</v>
      </c>
      <c r="T803" t="s">
        <v>165</v>
      </c>
      <c r="U803" t="s">
        <v>166</v>
      </c>
      <c r="V803" t="s">
        <v>193</v>
      </c>
      <c r="W803" t="s">
        <v>194</v>
      </c>
      <c r="Y803">
        <v>8</v>
      </c>
      <c r="Z803" t="s">
        <v>169</v>
      </c>
      <c r="AA803" t="s">
        <v>170</v>
      </c>
      <c r="AB803" t="s">
        <v>351</v>
      </c>
      <c r="AC803" t="s">
        <v>352</v>
      </c>
      <c r="AD803">
        <v>15</v>
      </c>
      <c r="AG803" t="s">
        <v>210</v>
      </c>
      <c r="AH803" t="s">
        <v>444</v>
      </c>
      <c r="AI803" t="s">
        <v>175</v>
      </c>
      <c r="AJ803" t="s">
        <v>176</v>
      </c>
      <c r="AK803" t="s">
        <v>940</v>
      </c>
      <c r="AL803" t="s">
        <v>941</v>
      </c>
      <c r="AS803">
        <v>2200</v>
      </c>
      <c r="AT803">
        <v>2200</v>
      </c>
      <c r="BN803" t="s">
        <v>265</v>
      </c>
      <c r="BO803">
        <v>2</v>
      </c>
      <c r="BP803">
        <v>2</v>
      </c>
      <c r="BQ803">
        <v>30</v>
      </c>
      <c r="BR803" t="s">
        <v>1099</v>
      </c>
      <c r="BT803" t="s">
        <v>181</v>
      </c>
      <c r="BU803" s="1">
        <v>45603</v>
      </c>
      <c r="BV803">
        <v>35905</v>
      </c>
      <c r="BX803" t="s">
        <v>170</v>
      </c>
      <c r="BY803" t="s">
        <v>170</v>
      </c>
      <c r="CB803" t="s">
        <v>170</v>
      </c>
      <c r="CC803" t="s">
        <v>170</v>
      </c>
      <c r="CD803" t="s">
        <v>1203</v>
      </c>
      <c r="CE803" t="s">
        <v>170</v>
      </c>
      <c r="CG803" t="s">
        <v>169</v>
      </c>
      <c r="CH803" t="s">
        <v>333</v>
      </c>
      <c r="CI803" t="s">
        <v>170</v>
      </c>
      <c r="DJ803" t="s">
        <v>267</v>
      </c>
      <c r="DK803" t="s">
        <v>268</v>
      </c>
      <c r="DN803" t="s">
        <v>170</v>
      </c>
      <c r="DO803" t="s">
        <v>358</v>
      </c>
      <c r="DP803" t="s">
        <v>170</v>
      </c>
      <c r="DQ803" t="s">
        <v>187</v>
      </c>
      <c r="EB803">
        <v>5</v>
      </c>
      <c r="EC803">
        <v>5</v>
      </c>
      <c r="EE803" t="s">
        <v>1170</v>
      </c>
      <c r="EF803">
        <v>6</v>
      </c>
      <c r="EV803">
        <v>1500</v>
      </c>
      <c r="EW803">
        <v>419</v>
      </c>
      <c r="EX803">
        <v>311</v>
      </c>
      <c r="EY803">
        <v>370</v>
      </c>
    </row>
    <row r="804" spans="1:155" x14ac:dyDescent="0.35">
      <c r="A804">
        <v>2025</v>
      </c>
      <c r="B804" t="s">
        <v>327</v>
      </c>
      <c r="C804" t="s">
        <v>317</v>
      </c>
      <c r="D804" t="s">
        <v>1432</v>
      </c>
      <c r="E804" t="s">
        <v>330</v>
      </c>
      <c r="F804">
        <v>156</v>
      </c>
      <c r="G804">
        <v>2.4</v>
      </c>
      <c r="H804">
        <v>4</v>
      </c>
      <c r="I804" t="s">
        <v>192</v>
      </c>
      <c r="J804">
        <v>21</v>
      </c>
      <c r="K804">
        <v>28</v>
      </c>
      <c r="L804">
        <v>24</v>
      </c>
      <c r="M804">
        <v>27</v>
      </c>
      <c r="N804">
        <v>39.299999999999997</v>
      </c>
      <c r="O804">
        <v>31.425999999999998</v>
      </c>
      <c r="P804">
        <v>21.250499999999999</v>
      </c>
      <c r="Q804">
        <v>27.677900000000001</v>
      </c>
      <c r="R804">
        <v>23.7303</v>
      </c>
      <c r="T804" t="s">
        <v>165</v>
      </c>
      <c r="U804" t="s">
        <v>166</v>
      </c>
      <c r="V804" t="s">
        <v>193</v>
      </c>
      <c r="W804" t="s">
        <v>194</v>
      </c>
      <c r="Y804">
        <v>8</v>
      </c>
      <c r="Z804" t="s">
        <v>169</v>
      </c>
      <c r="AA804" t="s">
        <v>170</v>
      </c>
      <c r="AB804" t="s">
        <v>167</v>
      </c>
      <c r="AC804" t="s">
        <v>213</v>
      </c>
      <c r="AD804">
        <v>15</v>
      </c>
      <c r="AG804" t="s">
        <v>210</v>
      </c>
      <c r="AH804" t="s">
        <v>444</v>
      </c>
      <c r="AI804" t="s">
        <v>175</v>
      </c>
      <c r="AJ804" t="s">
        <v>176</v>
      </c>
      <c r="AK804" t="s">
        <v>940</v>
      </c>
      <c r="AL804" t="s">
        <v>941</v>
      </c>
      <c r="AS804">
        <v>2200</v>
      </c>
      <c r="AT804">
        <v>2200</v>
      </c>
      <c r="BN804" t="s">
        <v>265</v>
      </c>
      <c r="BO804">
        <v>2</v>
      </c>
      <c r="BP804">
        <v>2</v>
      </c>
      <c r="BQ804">
        <v>31</v>
      </c>
      <c r="BR804" t="s">
        <v>1219</v>
      </c>
      <c r="BT804" t="s">
        <v>181</v>
      </c>
      <c r="BU804" s="1">
        <v>45603</v>
      </c>
      <c r="BV804">
        <v>35910</v>
      </c>
      <c r="BX804" t="s">
        <v>170</v>
      </c>
      <c r="BY804" t="s">
        <v>170</v>
      </c>
      <c r="CB804" t="s">
        <v>170</v>
      </c>
      <c r="CC804" t="s">
        <v>170</v>
      </c>
      <c r="CD804" t="s">
        <v>1203</v>
      </c>
      <c r="CE804" t="s">
        <v>170</v>
      </c>
      <c r="CG804" t="s">
        <v>169</v>
      </c>
      <c r="CH804" t="s">
        <v>333</v>
      </c>
      <c r="CI804" t="s">
        <v>170</v>
      </c>
      <c r="DJ804" t="s">
        <v>267</v>
      </c>
      <c r="DK804" t="s">
        <v>268</v>
      </c>
      <c r="DN804" t="s">
        <v>170</v>
      </c>
      <c r="DO804" t="s">
        <v>358</v>
      </c>
      <c r="DP804" t="s">
        <v>169</v>
      </c>
      <c r="DQ804" t="s">
        <v>198</v>
      </c>
      <c r="EB804">
        <v>5</v>
      </c>
      <c r="EC804">
        <v>5</v>
      </c>
      <c r="EE804" t="s">
        <v>1170</v>
      </c>
      <c r="EF804">
        <v>6</v>
      </c>
      <c r="EV804">
        <v>1500</v>
      </c>
      <c r="EW804">
        <v>415</v>
      </c>
      <c r="EX804">
        <v>318</v>
      </c>
      <c r="EY804">
        <v>371</v>
      </c>
    </row>
    <row r="805" spans="1:155" x14ac:dyDescent="0.35">
      <c r="A805">
        <v>2025</v>
      </c>
      <c r="B805" t="s">
        <v>327</v>
      </c>
      <c r="C805" t="s">
        <v>317</v>
      </c>
      <c r="D805" t="s">
        <v>1669</v>
      </c>
      <c r="E805" t="s">
        <v>330</v>
      </c>
      <c r="F805">
        <v>146</v>
      </c>
      <c r="G805">
        <v>2.5</v>
      </c>
      <c r="H805">
        <v>4</v>
      </c>
      <c r="I805" t="s">
        <v>594</v>
      </c>
      <c r="J805">
        <v>35</v>
      </c>
      <c r="K805">
        <v>35</v>
      </c>
      <c r="L805">
        <v>35</v>
      </c>
      <c r="M805">
        <v>47.6</v>
      </c>
      <c r="N805">
        <v>46.4</v>
      </c>
      <c r="O805">
        <v>47.052399999999999</v>
      </c>
      <c r="P805">
        <v>35.142400000000002</v>
      </c>
      <c r="Q805">
        <v>34.788899999999998</v>
      </c>
      <c r="R805">
        <v>34.982399999999998</v>
      </c>
      <c r="U805" t="s">
        <v>224</v>
      </c>
      <c r="V805" t="s">
        <v>463</v>
      </c>
      <c r="W805" t="s">
        <v>464</v>
      </c>
      <c r="Y805">
        <v>6</v>
      </c>
      <c r="Z805" t="s">
        <v>170</v>
      </c>
      <c r="AA805" t="s">
        <v>170</v>
      </c>
      <c r="AB805" t="s">
        <v>167</v>
      </c>
      <c r="AC805" t="s">
        <v>213</v>
      </c>
      <c r="AD805">
        <v>15</v>
      </c>
      <c r="AG805" t="s">
        <v>210</v>
      </c>
      <c r="AH805" t="s">
        <v>444</v>
      </c>
      <c r="AI805" t="s">
        <v>175</v>
      </c>
      <c r="AJ805" t="s">
        <v>176</v>
      </c>
      <c r="AK805" t="s">
        <v>940</v>
      </c>
      <c r="AL805" t="s">
        <v>941</v>
      </c>
      <c r="AS805">
        <v>1500</v>
      </c>
      <c r="AT805">
        <v>1500</v>
      </c>
      <c r="BN805" t="s">
        <v>465</v>
      </c>
      <c r="BO805">
        <v>2</v>
      </c>
      <c r="BP805">
        <v>2</v>
      </c>
      <c r="BQ805">
        <v>33</v>
      </c>
      <c r="BR805" t="s">
        <v>1497</v>
      </c>
      <c r="BT805" t="s">
        <v>225</v>
      </c>
      <c r="BU805" s="1">
        <v>45605</v>
      </c>
      <c r="BV805">
        <v>35907</v>
      </c>
      <c r="BX805" t="s">
        <v>169</v>
      </c>
      <c r="BY805" t="s">
        <v>170</v>
      </c>
      <c r="CB805" t="s">
        <v>170</v>
      </c>
      <c r="CC805" t="s">
        <v>170</v>
      </c>
      <c r="CD805" t="s">
        <v>1670</v>
      </c>
      <c r="CE805" t="s">
        <v>170</v>
      </c>
      <c r="CG805" t="s">
        <v>169</v>
      </c>
      <c r="CH805" t="s">
        <v>333</v>
      </c>
      <c r="CI805" t="s">
        <v>170</v>
      </c>
      <c r="CK805" t="s">
        <v>233</v>
      </c>
      <c r="CM805">
        <v>1</v>
      </c>
      <c r="CN805" t="s">
        <v>234</v>
      </c>
      <c r="CP805">
        <v>259</v>
      </c>
      <c r="CQ805">
        <v>4.3</v>
      </c>
      <c r="CR805">
        <v>76.5</v>
      </c>
      <c r="CS805" t="s">
        <v>235</v>
      </c>
      <c r="CV805" t="s">
        <v>341</v>
      </c>
      <c r="CX805" t="s">
        <v>342</v>
      </c>
      <c r="CY805" t="s">
        <v>170</v>
      </c>
      <c r="DC805" t="s">
        <v>1092</v>
      </c>
      <c r="DD805">
        <v>2</v>
      </c>
      <c r="DE805" t="s">
        <v>404</v>
      </c>
      <c r="DF805" t="s">
        <v>638</v>
      </c>
      <c r="DG805" t="s">
        <v>1492</v>
      </c>
      <c r="DJ805" t="s">
        <v>267</v>
      </c>
      <c r="DK805" t="s">
        <v>268</v>
      </c>
      <c r="DL805" t="s">
        <v>170</v>
      </c>
      <c r="DM805" t="s">
        <v>170</v>
      </c>
      <c r="DN805" t="s">
        <v>170</v>
      </c>
      <c r="DO805" t="s">
        <v>1093</v>
      </c>
      <c r="DP805" t="s">
        <v>169</v>
      </c>
      <c r="DQ805" t="s">
        <v>198</v>
      </c>
      <c r="DR805" t="s">
        <v>467</v>
      </c>
      <c r="EB805">
        <v>7</v>
      </c>
      <c r="EC805">
        <v>7</v>
      </c>
      <c r="EE805" t="s">
        <v>1094</v>
      </c>
      <c r="EF805">
        <v>6</v>
      </c>
      <c r="EU805">
        <v>2000</v>
      </c>
      <c r="EW805">
        <v>252</v>
      </c>
      <c r="EX805">
        <v>256</v>
      </c>
      <c r="EY805">
        <v>254</v>
      </c>
    </row>
    <row r="806" spans="1:155" x14ac:dyDescent="0.35">
      <c r="A806">
        <v>2025</v>
      </c>
      <c r="B806" t="s">
        <v>327</v>
      </c>
      <c r="C806" t="s">
        <v>317</v>
      </c>
      <c r="D806" t="s">
        <v>1671</v>
      </c>
      <c r="E806" t="s">
        <v>330</v>
      </c>
      <c r="F806">
        <v>145</v>
      </c>
      <c r="G806">
        <v>2.5</v>
      </c>
      <c r="H806">
        <v>4</v>
      </c>
      <c r="I806" t="s">
        <v>594</v>
      </c>
      <c r="J806">
        <v>35</v>
      </c>
      <c r="K806">
        <v>34</v>
      </c>
      <c r="L806">
        <v>35</v>
      </c>
      <c r="M806">
        <v>48.2</v>
      </c>
      <c r="N806">
        <v>47</v>
      </c>
      <c r="O806">
        <v>47.652500000000003</v>
      </c>
      <c r="P806">
        <v>35.465200000000003</v>
      </c>
      <c r="Q806">
        <v>34</v>
      </c>
      <c r="R806">
        <v>35.0276</v>
      </c>
      <c r="U806" t="s">
        <v>224</v>
      </c>
      <c r="V806" t="s">
        <v>463</v>
      </c>
      <c r="W806" t="s">
        <v>464</v>
      </c>
      <c r="Y806">
        <v>6</v>
      </c>
      <c r="Z806" t="s">
        <v>170</v>
      </c>
      <c r="AA806" t="s">
        <v>170</v>
      </c>
      <c r="AB806" t="s">
        <v>167</v>
      </c>
      <c r="AC806" t="s">
        <v>213</v>
      </c>
      <c r="AD806">
        <v>15</v>
      </c>
      <c r="AG806" t="s">
        <v>210</v>
      </c>
      <c r="AH806" t="s">
        <v>444</v>
      </c>
      <c r="AI806" t="s">
        <v>175</v>
      </c>
      <c r="AJ806" t="s">
        <v>176</v>
      </c>
      <c r="AK806" t="s">
        <v>940</v>
      </c>
      <c r="AL806" t="s">
        <v>941</v>
      </c>
      <c r="AS806">
        <v>1500</v>
      </c>
      <c r="AT806">
        <v>1500</v>
      </c>
      <c r="BN806" t="s">
        <v>465</v>
      </c>
      <c r="BO806">
        <v>2</v>
      </c>
      <c r="BP806">
        <v>2</v>
      </c>
      <c r="BQ806">
        <v>33</v>
      </c>
      <c r="BR806" t="s">
        <v>1497</v>
      </c>
      <c r="BT806" t="s">
        <v>225</v>
      </c>
      <c r="BU806" s="1">
        <v>45605</v>
      </c>
      <c r="BV806">
        <v>35903</v>
      </c>
      <c r="BX806" t="s">
        <v>169</v>
      </c>
      <c r="BY806" t="s">
        <v>170</v>
      </c>
      <c r="CB806" t="s">
        <v>170</v>
      </c>
      <c r="CC806" t="s">
        <v>170</v>
      </c>
      <c r="CD806" t="s">
        <v>1670</v>
      </c>
      <c r="CE806" t="s">
        <v>170</v>
      </c>
      <c r="CG806" t="s">
        <v>169</v>
      </c>
      <c r="CH806" t="s">
        <v>333</v>
      </c>
      <c r="CI806" t="s">
        <v>170</v>
      </c>
      <c r="CK806" t="s">
        <v>233</v>
      </c>
      <c r="CM806">
        <v>1</v>
      </c>
      <c r="CN806" t="s">
        <v>234</v>
      </c>
      <c r="CP806">
        <v>259</v>
      </c>
      <c r="CQ806">
        <v>4.3</v>
      </c>
      <c r="CR806">
        <v>76.5</v>
      </c>
      <c r="CS806" t="s">
        <v>235</v>
      </c>
      <c r="CV806" t="s">
        <v>341</v>
      </c>
      <c r="CX806" t="s">
        <v>342</v>
      </c>
      <c r="CY806" t="s">
        <v>170</v>
      </c>
      <c r="DC806" t="s">
        <v>1092</v>
      </c>
      <c r="DD806">
        <v>2</v>
      </c>
      <c r="DE806" t="s">
        <v>404</v>
      </c>
      <c r="DF806" t="s">
        <v>638</v>
      </c>
      <c r="DG806" t="s">
        <v>1492</v>
      </c>
      <c r="DJ806" t="s">
        <v>267</v>
      </c>
      <c r="DK806" t="s">
        <v>268</v>
      </c>
      <c r="DL806" t="s">
        <v>170</v>
      </c>
      <c r="DM806" t="s">
        <v>170</v>
      </c>
      <c r="DN806" t="s">
        <v>170</v>
      </c>
      <c r="DO806" t="s">
        <v>1093</v>
      </c>
      <c r="DP806" t="s">
        <v>169</v>
      </c>
      <c r="DQ806" t="s">
        <v>198</v>
      </c>
      <c r="DR806" t="s">
        <v>467</v>
      </c>
      <c r="EB806">
        <v>7</v>
      </c>
      <c r="EC806">
        <v>7</v>
      </c>
      <c r="EE806" t="s">
        <v>1094</v>
      </c>
      <c r="EF806">
        <v>6</v>
      </c>
      <c r="EU806">
        <v>2000</v>
      </c>
      <c r="EW806">
        <v>248</v>
      </c>
      <c r="EX806">
        <v>259</v>
      </c>
      <c r="EY806">
        <v>253</v>
      </c>
    </row>
    <row r="807" spans="1:155" x14ac:dyDescent="0.35">
      <c r="A807">
        <v>2025</v>
      </c>
      <c r="B807" t="s">
        <v>327</v>
      </c>
      <c r="C807" t="s">
        <v>317</v>
      </c>
      <c r="D807" t="s">
        <v>1672</v>
      </c>
      <c r="E807" t="s">
        <v>330</v>
      </c>
      <c r="F807">
        <v>124</v>
      </c>
      <c r="G807">
        <v>2.4</v>
      </c>
      <c r="H807">
        <v>4</v>
      </c>
      <c r="I807" t="s">
        <v>192</v>
      </c>
      <c r="J807">
        <v>22</v>
      </c>
      <c r="K807">
        <v>25</v>
      </c>
      <c r="L807">
        <v>23</v>
      </c>
      <c r="M807">
        <v>27.9452</v>
      </c>
      <c r="N807">
        <v>34.925899999999999</v>
      </c>
      <c r="O807">
        <v>30.707100000000001</v>
      </c>
      <c r="P807">
        <v>21.927700000000002</v>
      </c>
      <c r="Q807">
        <v>24.8415</v>
      </c>
      <c r="R807">
        <v>23.1496</v>
      </c>
      <c r="T807" t="s">
        <v>165</v>
      </c>
      <c r="U807" t="s">
        <v>166</v>
      </c>
      <c r="V807" t="s">
        <v>193</v>
      </c>
      <c r="W807" t="s">
        <v>194</v>
      </c>
      <c r="Y807">
        <v>8</v>
      </c>
      <c r="Z807" t="s">
        <v>169</v>
      </c>
      <c r="AA807" t="s">
        <v>170</v>
      </c>
      <c r="AB807">
        <v>4</v>
      </c>
      <c r="AC807" t="s">
        <v>601</v>
      </c>
      <c r="AD807">
        <v>15</v>
      </c>
      <c r="AG807" t="s">
        <v>214</v>
      </c>
      <c r="AH807" t="s">
        <v>215</v>
      </c>
      <c r="AI807" t="s">
        <v>175</v>
      </c>
      <c r="AJ807" t="s">
        <v>176</v>
      </c>
      <c r="AK807" t="s">
        <v>940</v>
      </c>
      <c r="AL807" t="s">
        <v>941</v>
      </c>
      <c r="AS807">
        <v>2750</v>
      </c>
      <c r="AT807">
        <v>2750</v>
      </c>
      <c r="BN807" t="s">
        <v>465</v>
      </c>
      <c r="BO807">
        <v>2</v>
      </c>
      <c r="BP807">
        <v>2</v>
      </c>
      <c r="BQ807">
        <v>33</v>
      </c>
      <c r="BR807" t="s">
        <v>1497</v>
      </c>
      <c r="BT807" t="s">
        <v>181</v>
      </c>
      <c r="BU807" s="1">
        <v>45582</v>
      </c>
      <c r="BV807">
        <v>35890</v>
      </c>
      <c r="BX807" t="s">
        <v>169</v>
      </c>
      <c r="BY807" t="s">
        <v>170</v>
      </c>
      <c r="CB807" t="s">
        <v>170</v>
      </c>
      <c r="CC807" t="s">
        <v>170</v>
      </c>
      <c r="CE807" t="s">
        <v>170</v>
      </c>
      <c r="CG807" t="s">
        <v>169</v>
      </c>
      <c r="CH807" t="s">
        <v>333</v>
      </c>
      <c r="CI807" t="s">
        <v>170</v>
      </c>
      <c r="CK807" t="s">
        <v>233</v>
      </c>
      <c r="CM807">
        <v>1</v>
      </c>
      <c r="CN807" t="s">
        <v>814</v>
      </c>
      <c r="CP807">
        <v>288</v>
      </c>
      <c r="CQ807">
        <v>6.5</v>
      </c>
      <c r="CR807">
        <v>46.4</v>
      </c>
      <c r="CS807" t="s">
        <v>235</v>
      </c>
      <c r="CV807" t="s">
        <v>341</v>
      </c>
      <c r="CX807" t="s">
        <v>342</v>
      </c>
      <c r="CY807" t="s">
        <v>170</v>
      </c>
      <c r="DD807">
        <v>1</v>
      </c>
      <c r="DE807" t="s">
        <v>404</v>
      </c>
      <c r="DF807" t="s">
        <v>466</v>
      </c>
      <c r="DG807">
        <v>36</v>
      </c>
      <c r="DJ807" t="s">
        <v>267</v>
      </c>
      <c r="DK807" t="s">
        <v>268</v>
      </c>
      <c r="DL807" t="s">
        <v>170</v>
      </c>
      <c r="DM807" t="s">
        <v>170</v>
      </c>
      <c r="DN807" t="s">
        <v>170</v>
      </c>
      <c r="DO807" t="s">
        <v>358</v>
      </c>
      <c r="DP807" t="s">
        <v>169</v>
      </c>
      <c r="DQ807" t="s">
        <v>198</v>
      </c>
      <c r="DR807" t="s">
        <v>467</v>
      </c>
      <c r="EB807">
        <v>5</v>
      </c>
      <c r="EC807">
        <v>5</v>
      </c>
      <c r="EE807" t="s">
        <v>1673</v>
      </c>
      <c r="EF807">
        <v>5</v>
      </c>
      <c r="EV807">
        <v>4250</v>
      </c>
      <c r="EW807">
        <v>402</v>
      </c>
      <c r="EX807">
        <v>355</v>
      </c>
      <c r="EY807">
        <v>381</v>
      </c>
    </row>
    <row r="808" spans="1:155" x14ac:dyDescent="0.35">
      <c r="A808">
        <v>2025</v>
      </c>
      <c r="B808" t="s">
        <v>327</v>
      </c>
      <c r="C808" t="s">
        <v>317</v>
      </c>
      <c r="D808" t="s">
        <v>806</v>
      </c>
      <c r="E808" t="s">
        <v>330</v>
      </c>
      <c r="F808">
        <v>163</v>
      </c>
      <c r="G808">
        <v>2</v>
      </c>
      <c r="H808">
        <v>4</v>
      </c>
      <c r="I808" t="s">
        <v>587</v>
      </c>
      <c r="J808">
        <v>57</v>
      </c>
      <c r="K808">
        <v>56</v>
      </c>
      <c r="L808">
        <v>57</v>
      </c>
      <c r="M808">
        <v>82.8</v>
      </c>
      <c r="N808">
        <v>77.8</v>
      </c>
      <c r="O808">
        <v>80.472700000000003</v>
      </c>
      <c r="P808">
        <v>57</v>
      </c>
      <c r="Q808">
        <v>56</v>
      </c>
      <c r="R808">
        <v>57</v>
      </c>
      <c r="U808" t="s">
        <v>224</v>
      </c>
      <c r="V808" t="s">
        <v>588</v>
      </c>
      <c r="W808" t="s">
        <v>589</v>
      </c>
      <c r="Y808">
        <v>1</v>
      </c>
      <c r="Z808" t="s">
        <v>170</v>
      </c>
      <c r="AA808" t="s">
        <v>170</v>
      </c>
      <c r="AB808" t="s">
        <v>351</v>
      </c>
      <c r="AC808" t="s">
        <v>352</v>
      </c>
      <c r="AD808">
        <v>15</v>
      </c>
      <c r="AG808" t="s">
        <v>210</v>
      </c>
      <c r="AH808" t="s">
        <v>444</v>
      </c>
      <c r="AI808" t="s">
        <v>175</v>
      </c>
      <c r="AJ808" t="s">
        <v>176</v>
      </c>
      <c r="AK808" t="s">
        <v>170</v>
      </c>
      <c r="AL808" t="s">
        <v>177</v>
      </c>
      <c r="AQ808">
        <v>91</v>
      </c>
      <c r="AR808">
        <v>24</v>
      </c>
      <c r="AS808">
        <v>900</v>
      </c>
      <c r="AT808">
        <v>900</v>
      </c>
      <c r="BN808" t="s">
        <v>465</v>
      </c>
      <c r="BO808">
        <v>2</v>
      </c>
      <c r="BP808">
        <v>2</v>
      </c>
      <c r="BQ808">
        <v>5</v>
      </c>
      <c r="BR808" t="s">
        <v>672</v>
      </c>
      <c r="BS808" t="s">
        <v>180</v>
      </c>
      <c r="BT808" t="s">
        <v>225</v>
      </c>
      <c r="BU808" s="1">
        <v>45674</v>
      </c>
      <c r="BV808">
        <v>35914</v>
      </c>
      <c r="BX808" t="s">
        <v>169</v>
      </c>
      <c r="BY808" t="s">
        <v>170</v>
      </c>
      <c r="CB808" t="s">
        <v>170</v>
      </c>
      <c r="CC808" t="s">
        <v>170</v>
      </c>
      <c r="CE808" t="s">
        <v>170</v>
      </c>
      <c r="CG808" t="s">
        <v>169</v>
      </c>
      <c r="CH808" t="s">
        <v>333</v>
      </c>
      <c r="CI808" t="s">
        <v>170</v>
      </c>
      <c r="CK808" t="s">
        <v>233</v>
      </c>
      <c r="CM808">
        <v>1</v>
      </c>
      <c r="CN808" t="s">
        <v>234</v>
      </c>
      <c r="CP808">
        <v>222</v>
      </c>
      <c r="CQ808">
        <v>4.08</v>
      </c>
      <c r="CR808">
        <v>80.7</v>
      </c>
      <c r="CS808" t="s">
        <v>235</v>
      </c>
      <c r="CV808" t="s">
        <v>341</v>
      </c>
      <c r="CX808" t="s">
        <v>342</v>
      </c>
      <c r="CY808" t="s">
        <v>170</v>
      </c>
      <c r="DC808" t="s">
        <v>590</v>
      </c>
      <c r="DD808">
        <v>2</v>
      </c>
      <c r="DE808" t="s">
        <v>404</v>
      </c>
      <c r="DF808" t="s">
        <v>466</v>
      </c>
      <c r="DG808" t="s">
        <v>591</v>
      </c>
      <c r="DJ808" t="s">
        <v>267</v>
      </c>
      <c r="DK808" t="s">
        <v>268</v>
      </c>
      <c r="DL808" t="s">
        <v>170</v>
      </c>
      <c r="DM808" t="s">
        <v>170</v>
      </c>
      <c r="DN808" t="s">
        <v>170</v>
      </c>
      <c r="DO808" t="s">
        <v>640</v>
      </c>
      <c r="DP808" t="s">
        <v>169</v>
      </c>
      <c r="DQ808" t="s">
        <v>198</v>
      </c>
      <c r="DR808" t="s">
        <v>467</v>
      </c>
      <c r="DY808">
        <v>81.3</v>
      </c>
      <c r="EB808">
        <v>8</v>
      </c>
      <c r="EC808">
        <v>8</v>
      </c>
      <c r="EE808" t="s">
        <v>807</v>
      </c>
      <c r="EF808">
        <v>6</v>
      </c>
      <c r="EU808">
        <v>5000</v>
      </c>
      <c r="EW808">
        <v>154</v>
      </c>
      <c r="EX808">
        <v>158</v>
      </c>
      <c r="EY808">
        <v>155</v>
      </c>
    </row>
    <row r="809" spans="1:155" x14ac:dyDescent="0.35">
      <c r="A809">
        <v>2025</v>
      </c>
      <c r="B809" t="s">
        <v>327</v>
      </c>
      <c r="C809" t="s">
        <v>317</v>
      </c>
      <c r="D809" t="s">
        <v>808</v>
      </c>
      <c r="E809" t="s">
        <v>330</v>
      </c>
      <c r="F809">
        <v>62</v>
      </c>
      <c r="G809">
        <v>2</v>
      </c>
      <c r="H809">
        <v>4</v>
      </c>
      <c r="I809" t="s">
        <v>587</v>
      </c>
      <c r="J809">
        <v>53</v>
      </c>
      <c r="K809">
        <v>54</v>
      </c>
      <c r="L809">
        <v>54</v>
      </c>
      <c r="M809">
        <v>77.900000000000006</v>
      </c>
      <c r="N809">
        <v>74.599999999999994</v>
      </c>
      <c r="O809">
        <v>76.379599999999996</v>
      </c>
      <c r="P809">
        <v>53</v>
      </c>
      <c r="Q809">
        <v>54</v>
      </c>
      <c r="R809">
        <v>54</v>
      </c>
      <c r="U809" t="s">
        <v>224</v>
      </c>
      <c r="V809" t="s">
        <v>588</v>
      </c>
      <c r="W809" t="s">
        <v>589</v>
      </c>
      <c r="Y809">
        <v>1</v>
      </c>
      <c r="Z809" t="s">
        <v>170</v>
      </c>
      <c r="AA809" t="s">
        <v>170</v>
      </c>
      <c r="AB809" t="s">
        <v>809</v>
      </c>
      <c r="AC809" t="s">
        <v>810</v>
      </c>
      <c r="AD809">
        <v>15</v>
      </c>
      <c r="AG809" t="s">
        <v>210</v>
      </c>
      <c r="AH809" t="s">
        <v>444</v>
      </c>
      <c r="AI809" t="s">
        <v>175</v>
      </c>
      <c r="AJ809" t="s">
        <v>176</v>
      </c>
      <c r="AK809" t="s">
        <v>170</v>
      </c>
      <c r="AL809" t="s">
        <v>177</v>
      </c>
      <c r="AQ809">
        <v>91</v>
      </c>
      <c r="AR809">
        <v>24</v>
      </c>
      <c r="AS809">
        <v>950</v>
      </c>
      <c r="AT809">
        <v>950</v>
      </c>
      <c r="BN809" t="s">
        <v>465</v>
      </c>
      <c r="BO809">
        <v>2</v>
      </c>
      <c r="BP809">
        <v>2</v>
      </c>
      <c r="BQ809">
        <v>5</v>
      </c>
      <c r="BR809" t="s">
        <v>672</v>
      </c>
      <c r="BS809" t="s">
        <v>180</v>
      </c>
      <c r="BT809" t="s">
        <v>225</v>
      </c>
      <c r="BU809" s="1">
        <v>45674</v>
      </c>
      <c r="BV809">
        <v>35915</v>
      </c>
      <c r="BX809" t="s">
        <v>170</v>
      </c>
      <c r="BY809" t="s">
        <v>170</v>
      </c>
      <c r="CB809" t="s">
        <v>170</v>
      </c>
      <c r="CC809" t="s">
        <v>170</v>
      </c>
      <c r="CE809" t="s">
        <v>170</v>
      </c>
      <c r="CG809" t="s">
        <v>169</v>
      </c>
      <c r="CH809" t="s">
        <v>333</v>
      </c>
      <c r="CI809" t="s">
        <v>170</v>
      </c>
      <c r="CK809" t="s">
        <v>233</v>
      </c>
      <c r="CM809">
        <v>1</v>
      </c>
      <c r="CN809" t="s">
        <v>234</v>
      </c>
      <c r="CP809">
        <v>222</v>
      </c>
      <c r="CQ809">
        <v>4.08</v>
      </c>
      <c r="CR809">
        <v>80.7</v>
      </c>
      <c r="CS809" t="s">
        <v>235</v>
      </c>
      <c r="CV809" t="s">
        <v>341</v>
      </c>
      <c r="CX809" t="s">
        <v>342</v>
      </c>
      <c r="CY809" t="s">
        <v>170</v>
      </c>
      <c r="DC809" t="s">
        <v>590</v>
      </c>
      <c r="DD809">
        <v>2</v>
      </c>
      <c r="DE809" t="s">
        <v>404</v>
      </c>
      <c r="DF809" t="s">
        <v>466</v>
      </c>
      <c r="DG809" t="s">
        <v>591</v>
      </c>
      <c r="DJ809" t="s">
        <v>267</v>
      </c>
      <c r="DK809" t="s">
        <v>268</v>
      </c>
      <c r="DL809" t="s">
        <v>170</v>
      </c>
      <c r="DM809" t="s">
        <v>170</v>
      </c>
      <c r="DN809" t="s">
        <v>170</v>
      </c>
      <c r="DO809" t="s">
        <v>640</v>
      </c>
      <c r="DP809" t="s">
        <v>169</v>
      </c>
      <c r="DQ809" t="s">
        <v>198</v>
      </c>
      <c r="DR809" t="s">
        <v>467</v>
      </c>
      <c r="DY809">
        <v>77.2</v>
      </c>
      <c r="EB809">
        <v>8</v>
      </c>
      <c r="EC809">
        <v>8</v>
      </c>
      <c r="EE809" t="s">
        <v>807</v>
      </c>
      <c r="EF809">
        <v>6</v>
      </c>
      <c r="EU809">
        <v>4750</v>
      </c>
      <c r="EW809">
        <v>166</v>
      </c>
      <c r="EX809">
        <v>163</v>
      </c>
      <c r="EY809">
        <v>163</v>
      </c>
    </row>
    <row r="810" spans="1:155" x14ac:dyDescent="0.35">
      <c r="A810">
        <v>2025</v>
      </c>
      <c r="B810" t="s">
        <v>327</v>
      </c>
      <c r="C810" t="s">
        <v>317</v>
      </c>
      <c r="D810" t="s">
        <v>811</v>
      </c>
      <c r="E810" t="s">
        <v>330</v>
      </c>
      <c r="F810">
        <v>65</v>
      </c>
      <c r="G810">
        <v>2</v>
      </c>
      <c r="H810">
        <v>4</v>
      </c>
      <c r="I810" t="s">
        <v>587</v>
      </c>
      <c r="J810">
        <v>49</v>
      </c>
      <c r="K810">
        <v>50</v>
      </c>
      <c r="L810">
        <v>49</v>
      </c>
      <c r="M810">
        <v>71</v>
      </c>
      <c r="N810">
        <v>69.3</v>
      </c>
      <c r="O810">
        <v>70.224800000000002</v>
      </c>
      <c r="P810">
        <v>49</v>
      </c>
      <c r="Q810">
        <v>50</v>
      </c>
      <c r="R810">
        <v>49</v>
      </c>
      <c r="U810" t="s">
        <v>224</v>
      </c>
      <c r="V810" t="s">
        <v>588</v>
      </c>
      <c r="W810" t="s">
        <v>589</v>
      </c>
      <c r="Y810">
        <v>1</v>
      </c>
      <c r="Z810" t="s">
        <v>170</v>
      </c>
      <c r="AA810" t="s">
        <v>170</v>
      </c>
      <c r="AB810" t="s">
        <v>809</v>
      </c>
      <c r="AC810" t="s">
        <v>810</v>
      </c>
      <c r="AD810">
        <v>15</v>
      </c>
      <c r="AG810" t="s">
        <v>210</v>
      </c>
      <c r="AH810" t="s">
        <v>444</v>
      </c>
      <c r="AI810" t="s">
        <v>175</v>
      </c>
      <c r="AJ810" t="s">
        <v>176</v>
      </c>
      <c r="AK810" t="s">
        <v>170</v>
      </c>
      <c r="AL810" t="s">
        <v>177</v>
      </c>
      <c r="AQ810">
        <v>91</v>
      </c>
      <c r="AR810">
        <v>24</v>
      </c>
      <c r="AS810">
        <v>1050</v>
      </c>
      <c r="AT810">
        <v>1050</v>
      </c>
      <c r="BN810" t="s">
        <v>465</v>
      </c>
      <c r="BO810">
        <v>2</v>
      </c>
      <c r="BP810">
        <v>2</v>
      </c>
      <c r="BQ810">
        <v>5</v>
      </c>
      <c r="BR810" t="s">
        <v>672</v>
      </c>
      <c r="BS810" t="s">
        <v>180</v>
      </c>
      <c r="BT810" t="s">
        <v>225</v>
      </c>
      <c r="BU810" s="1">
        <v>45674</v>
      </c>
      <c r="BV810">
        <v>35918</v>
      </c>
      <c r="BX810" t="s">
        <v>170</v>
      </c>
      <c r="BY810" t="s">
        <v>170</v>
      </c>
      <c r="CB810" t="s">
        <v>170</v>
      </c>
      <c r="CC810" t="s">
        <v>170</v>
      </c>
      <c r="CE810" t="s">
        <v>170</v>
      </c>
      <c r="CG810" t="s">
        <v>169</v>
      </c>
      <c r="CH810" t="s">
        <v>333</v>
      </c>
      <c r="CI810" t="s">
        <v>170</v>
      </c>
      <c r="CK810" t="s">
        <v>233</v>
      </c>
      <c r="CM810">
        <v>1</v>
      </c>
      <c r="CN810" t="s">
        <v>234</v>
      </c>
      <c r="CP810">
        <v>222</v>
      </c>
      <c r="CQ810">
        <v>4.08</v>
      </c>
      <c r="CR810">
        <v>80.7</v>
      </c>
      <c r="CS810" t="s">
        <v>235</v>
      </c>
      <c r="CV810" t="s">
        <v>341</v>
      </c>
      <c r="CX810" t="s">
        <v>342</v>
      </c>
      <c r="CY810" t="s">
        <v>170</v>
      </c>
      <c r="DC810" t="s">
        <v>590</v>
      </c>
      <c r="DD810">
        <v>2</v>
      </c>
      <c r="DE810" t="s">
        <v>404</v>
      </c>
      <c r="DF810" t="s">
        <v>466</v>
      </c>
      <c r="DG810" t="s">
        <v>591</v>
      </c>
      <c r="DJ810" t="s">
        <v>267</v>
      </c>
      <c r="DK810" t="s">
        <v>268</v>
      </c>
      <c r="DL810" t="s">
        <v>170</v>
      </c>
      <c r="DM810" t="s">
        <v>170</v>
      </c>
      <c r="DN810" t="s">
        <v>170</v>
      </c>
      <c r="DO810" t="s">
        <v>640</v>
      </c>
      <c r="DP810" t="s">
        <v>169</v>
      </c>
      <c r="DQ810" t="s">
        <v>198</v>
      </c>
      <c r="DR810" t="s">
        <v>467</v>
      </c>
      <c r="DY810">
        <v>71</v>
      </c>
      <c r="EB810">
        <v>8</v>
      </c>
      <c r="EC810">
        <v>8</v>
      </c>
      <c r="EE810" t="s">
        <v>807</v>
      </c>
      <c r="EF810">
        <v>6</v>
      </c>
      <c r="EU810">
        <v>4250</v>
      </c>
      <c r="EW810">
        <v>179</v>
      </c>
      <c r="EX810">
        <v>176</v>
      </c>
      <c r="EY810">
        <v>179</v>
      </c>
    </row>
    <row r="811" spans="1:155" x14ac:dyDescent="0.35">
      <c r="A811">
        <v>2025</v>
      </c>
      <c r="B811" t="s">
        <v>327</v>
      </c>
      <c r="C811" t="s">
        <v>317</v>
      </c>
      <c r="D811" t="s">
        <v>812</v>
      </c>
      <c r="E811" t="s">
        <v>330</v>
      </c>
      <c r="F811">
        <v>66</v>
      </c>
      <c r="G811">
        <v>2</v>
      </c>
      <c r="H811">
        <v>4</v>
      </c>
      <c r="I811" t="s">
        <v>587</v>
      </c>
      <c r="J811">
        <v>52</v>
      </c>
      <c r="K811">
        <v>52</v>
      </c>
      <c r="L811">
        <v>52</v>
      </c>
      <c r="M811">
        <v>75.7</v>
      </c>
      <c r="N811">
        <v>73.2</v>
      </c>
      <c r="O811">
        <v>74.554199999999994</v>
      </c>
      <c r="P811">
        <v>52</v>
      </c>
      <c r="Q811">
        <v>52</v>
      </c>
      <c r="R811">
        <v>52</v>
      </c>
      <c r="U811" t="s">
        <v>224</v>
      </c>
      <c r="V811" t="s">
        <v>588</v>
      </c>
      <c r="W811" t="s">
        <v>589</v>
      </c>
      <c r="Y811">
        <v>1</v>
      </c>
      <c r="Z811" t="s">
        <v>170</v>
      </c>
      <c r="AA811" t="s">
        <v>170</v>
      </c>
      <c r="AB811" t="s">
        <v>351</v>
      </c>
      <c r="AC811" t="s">
        <v>352</v>
      </c>
      <c r="AD811">
        <v>15</v>
      </c>
      <c r="AG811" t="s">
        <v>210</v>
      </c>
      <c r="AH811" t="s">
        <v>444</v>
      </c>
      <c r="AI811" t="s">
        <v>175</v>
      </c>
      <c r="AJ811" t="s">
        <v>176</v>
      </c>
      <c r="AK811" t="s">
        <v>170</v>
      </c>
      <c r="AL811" t="s">
        <v>177</v>
      </c>
      <c r="AQ811">
        <v>91</v>
      </c>
      <c r="AR811">
        <v>24</v>
      </c>
      <c r="AS811">
        <v>1000</v>
      </c>
      <c r="AT811">
        <v>1000</v>
      </c>
      <c r="BN811" t="s">
        <v>465</v>
      </c>
      <c r="BO811">
        <v>2</v>
      </c>
      <c r="BP811">
        <v>2</v>
      </c>
      <c r="BQ811">
        <v>5</v>
      </c>
      <c r="BR811" t="s">
        <v>672</v>
      </c>
      <c r="BS811" t="s">
        <v>180</v>
      </c>
      <c r="BT811" t="s">
        <v>225</v>
      </c>
      <c r="BU811" s="1">
        <v>45674</v>
      </c>
      <c r="BV811">
        <v>35865</v>
      </c>
      <c r="BX811" t="s">
        <v>169</v>
      </c>
      <c r="BY811" t="s">
        <v>170</v>
      </c>
      <c r="CB811" t="s">
        <v>170</v>
      </c>
      <c r="CC811" t="s">
        <v>170</v>
      </c>
      <c r="CE811" t="s">
        <v>170</v>
      </c>
      <c r="CG811" t="s">
        <v>169</v>
      </c>
      <c r="CH811" t="s">
        <v>333</v>
      </c>
      <c r="CI811" t="s">
        <v>170</v>
      </c>
      <c r="CK811" t="s">
        <v>233</v>
      </c>
      <c r="CM811">
        <v>1</v>
      </c>
      <c r="CN811" t="s">
        <v>234</v>
      </c>
      <c r="CP811">
        <v>222</v>
      </c>
      <c r="CQ811">
        <v>4.08</v>
      </c>
      <c r="CR811">
        <v>80.7</v>
      </c>
      <c r="CS811" t="s">
        <v>235</v>
      </c>
      <c r="CV811" t="s">
        <v>341</v>
      </c>
      <c r="CX811" t="s">
        <v>342</v>
      </c>
      <c r="CY811" t="s">
        <v>170</v>
      </c>
      <c r="DC811" t="s">
        <v>590</v>
      </c>
      <c r="DD811">
        <v>2</v>
      </c>
      <c r="DE811" t="s">
        <v>404</v>
      </c>
      <c r="DF811" t="s">
        <v>466</v>
      </c>
      <c r="DG811" t="s">
        <v>591</v>
      </c>
      <c r="DJ811" t="s">
        <v>267</v>
      </c>
      <c r="DK811" t="s">
        <v>268</v>
      </c>
      <c r="DL811" t="s">
        <v>170</v>
      </c>
      <c r="DM811" t="s">
        <v>170</v>
      </c>
      <c r="DN811" t="s">
        <v>170</v>
      </c>
      <c r="DO811" t="s">
        <v>640</v>
      </c>
      <c r="DP811" t="s">
        <v>169</v>
      </c>
      <c r="DQ811" t="s">
        <v>198</v>
      </c>
      <c r="DR811" t="s">
        <v>467</v>
      </c>
      <c r="DY811">
        <v>75.400000000000006</v>
      </c>
      <c r="EB811">
        <v>8</v>
      </c>
      <c r="EC811">
        <v>8</v>
      </c>
      <c r="EE811" t="s">
        <v>807</v>
      </c>
      <c r="EF811">
        <v>6</v>
      </c>
      <c r="EU811">
        <v>4500</v>
      </c>
      <c r="EW811">
        <v>168</v>
      </c>
      <c r="EX811">
        <v>169</v>
      </c>
      <c r="EY811">
        <v>169</v>
      </c>
    </row>
    <row r="812" spans="1:155" x14ac:dyDescent="0.35">
      <c r="A812">
        <v>2025</v>
      </c>
      <c r="B812" t="s">
        <v>327</v>
      </c>
      <c r="C812" t="s">
        <v>317</v>
      </c>
      <c r="D812" t="s">
        <v>1204</v>
      </c>
      <c r="E812" t="s">
        <v>330</v>
      </c>
      <c r="F812">
        <v>81</v>
      </c>
      <c r="G812">
        <v>2.5</v>
      </c>
      <c r="H812">
        <v>4</v>
      </c>
      <c r="I812" t="s">
        <v>192</v>
      </c>
      <c r="J812">
        <v>27</v>
      </c>
      <c r="K812">
        <v>35</v>
      </c>
      <c r="L812">
        <v>30</v>
      </c>
      <c r="M812">
        <v>35.909300000000002</v>
      </c>
      <c r="N812">
        <v>50.271000000000001</v>
      </c>
      <c r="O812">
        <v>41.206800000000001</v>
      </c>
      <c r="P812">
        <v>27.474499999999999</v>
      </c>
      <c r="Q812">
        <v>34.552500000000002</v>
      </c>
      <c r="R812">
        <v>30.264299999999999</v>
      </c>
      <c r="U812" t="s">
        <v>224</v>
      </c>
      <c r="V812" t="s">
        <v>193</v>
      </c>
      <c r="W812" t="s">
        <v>194</v>
      </c>
      <c r="Y812">
        <v>8</v>
      </c>
      <c r="Z812" t="s">
        <v>169</v>
      </c>
      <c r="AA812" t="s">
        <v>170</v>
      </c>
      <c r="AB812" t="s">
        <v>351</v>
      </c>
      <c r="AC812" t="s">
        <v>352</v>
      </c>
      <c r="AD812">
        <v>15</v>
      </c>
      <c r="AG812" t="s">
        <v>210</v>
      </c>
      <c r="AH812" t="s">
        <v>444</v>
      </c>
      <c r="AI812" t="s">
        <v>175</v>
      </c>
      <c r="AJ812" t="s">
        <v>176</v>
      </c>
      <c r="AK812" t="s">
        <v>940</v>
      </c>
      <c r="AL812" t="s">
        <v>941</v>
      </c>
      <c r="AS812">
        <v>1750</v>
      </c>
      <c r="AT812">
        <v>1750</v>
      </c>
      <c r="BN812" t="s">
        <v>265</v>
      </c>
      <c r="BO812">
        <v>2</v>
      </c>
      <c r="BP812">
        <v>2</v>
      </c>
      <c r="BQ812">
        <v>30</v>
      </c>
      <c r="BR812" t="s">
        <v>1099</v>
      </c>
      <c r="BT812" t="s">
        <v>181</v>
      </c>
      <c r="BU812" s="1">
        <v>45601</v>
      </c>
      <c r="BV812">
        <v>35873</v>
      </c>
      <c r="BX812" t="s">
        <v>170</v>
      </c>
      <c r="BY812" t="s">
        <v>170</v>
      </c>
      <c r="CB812" t="s">
        <v>170</v>
      </c>
      <c r="CC812" t="s">
        <v>170</v>
      </c>
      <c r="CE812" t="s">
        <v>170</v>
      </c>
      <c r="CG812" t="s">
        <v>169</v>
      </c>
      <c r="CH812" t="s">
        <v>333</v>
      </c>
      <c r="CI812" t="s">
        <v>170</v>
      </c>
      <c r="DJ812" t="s">
        <v>267</v>
      </c>
      <c r="DK812" t="s">
        <v>268</v>
      </c>
      <c r="DL812" t="s">
        <v>170</v>
      </c>
      <c r="DN812" t="s">
        <v>170</v>
      </c>
      <c r="DO812" t="s">
        <v>640</v>
      </c>
      <c r="DP812" t="s">
        <v>169</v>
      </c>
      <c r="DQ812" t="s">
        <v>198</v>
      </c>
      <c r="EB812">
        <v>6</v>
      </c>
      <c r="EC812">
        <v>6</v>
      </c>
      <c r="EE812" t="s">
        <v>1205</v>
      </c>
      <c r="EF812">
        <v>6</v>
      </c>
      <c r="EU812">
        <v>750</v>
      </c>
      <c r="EW812">
        <v>321</v>
      </c>
      <c r="EX812">
        <v>256</v>
      </c>
      <c r="EY812">
        <v>292</v>
      </c>
    </row>
    <row r="813" spans="1:155" x14ac:dyDescent="0.35">
      <c r="A813">
        <v>2025</v>
      </c>
      <c r="B813" t="s">
        <v>327</v>
      </c>
      <c r="C813" t="s">
        <v>317</v>
      </c>
      <c r="D813" t="s">
        <v>1434</v>
      </c>
      <c r="E813" t="s">
        <v>330</v>
      </c>
      <c r="F813">
        <v>82</v>
      </c>
      <c r="G813">
        <v>2.5</v>
      </c>
      <c r="H813">
        <v>4</v>
      </c>
      <c r="I813" t="s">
        <v>192</v>
      </c>
      <c r="J813">
        <v>27</v>
      </c>
      <c r="K813">
        <v>33</v>
      </c>
      <c r="L813">
        <v>29</v>
      </c>
      <c r="M813">
        <v>34.799999999999997</v>
      </c>
      <c r="N813">
        <v>48</v>
      </c>
      <c r="O813">
        <v>39.714700000000001</v>
      </c>
      <c r="P813">
        <v>26.718499999999999</v>
      </c>
      <c r="Q813">
        <v>33.156799999999997</v>
      </c>
      <c r="R813">
        <v>29.276700000000002</v>
      </c>
      <c r="U813" t="s">
        <v>224</v>
      </c>
      <c r="V813" t="s">
        <v>193</v>
      </c>
      <c r="W813" t="s">
        <v>194</v>
      </c>
      <c r="Y813">
        <v>8</v>
      </c>
      <c r="Z813" t="s">
        <v>169</v>
      </c>
      <c r="AA813" t="s">
        <v>170</v>
      </c>
      <c r="AB813" t="s">
        <v>167</v>
      </c>
      <c r="AC813" t="s">
        <v>213</v>
      </c>
      <c r="AD813">
        <v>15</v>
      </c>
      <c r="AG813" t="s">
        <v>210</v>
      </c>
      <c r="AH813" t="s">
        <v>444</v>
      </c>
      <c r="AI813" t="s">
        <v>175</v>
      </c>
      <c r="AJ813" t="s">
        <v>176</v>
      </c>
      <c r="AK813" t="s">
        <v>940</v>
      </c>
      <c r="AL813" t="s">
        <v>941</v>
      </c>
      <c r="AS813">
        <v>1800</v>
      </c>
      <c r="AT813">
        <v>1800</v>
      </c>
      <c r="BN813" t="s">
        <v>265</v>
      </c>
      <c r="BO813">
        <v>2</v>
      </c>
      <c r="BP813">
        <v>2</v>
      </c>
      <c r="BQ813">
        <v>31</v>
      </c>
      <c r="BR813" t="s">
        <v>1219</v>
      </c>
      <c r="BT813" t="s">
        <v>181</v>
      </c>
      <c r="BU813" s="1">
        <v>45601</v>
      </c>
      <c r="BV813">
        <v>35874</v>
      </c>
      <c r="BX813" t="s">
        <v>170</v>
      </c>
      <c r="BY813" t="s">
        <v>170</v>
      </c>
      <c r="CB813" t="s">
        <v>170</v>
      </c>
      <c r="CC813" t="s">
        <v>170</v>
      </c>
      <c r="CE813" t="s">
        <v>170</v>
      </c>
      <c r="CG813" t="s">
        <v>169</v>
      </c>
      <c r="CH813" t="s">
        <v>333</v>
      </c>
      <c r="CI813" t="s">
        <v>170</v>
      </c>
      <c r="DJ813" t="s">
        <v>267</v>
      </c>
      <c r="DK813" t="s">
        <v>268</v>
      </c>
      <c r="DN813" t="s">
        <v>170</v>
      </c>
      <c r="DO813" t="s">
        <v>640</v>
      </c>
      <c r="DP813" t="s">
        <v>169</v>
      </c>
      <c r="DQ813" t="s">
        <v>198</v>
      </c>
      <c r="DR813" t="s">
        <v>745</v>
      </c>
      <c r="EB813">
        <v>6</v>
      </c>
      <c r="EC813">
        <v>6</v>
      </c>
      <c r="EE813" t="s">
        <v>1167</v>
      </c>
      <c r="EF813">
        <v>5</v>
      </c>
      <c r="EU813">
        <v>500</v>
      </c>
      <c r="EW813">
        <v>330</v>
      </c>
      <c r="EX813">
        <v>267</v>
      </c>
      <c r="EY813">
        <v>301</v>
      </c>
    </row>
    <row r="814" spans="1:155" x14ac:dyDescent="0.35">
      <c r="A814">
        <v>2025</v>
      </c>
      <c r="B814" t="s">
        <v>327</v>
      </c>
      <c r="C814" t="s">
        <v>317</v>
      </c>
      <c r="D814" t="s">
        <v>1434</v>
      </c>
      <c r="E814" t="s">
        <v>330</v>
      </c>
      <c r="F814">
        <v>83</v>
      </c>
      <c r="G814">
        <v>2.5</v>
      </c>
      <c r="H814">
        <v>4</v>
      </c>
      <c r="I814" t="s">
        <v>192</v>
      </c>
      <c r="J814">
        <v>25</v>
      </c>
      <c r="K814">
        <v>33</v>
      </c>
      <c r="L814">
        <v>28</v>
      </c>
      <c r="M814">
        <v>31.8</v>
      </c>
      <c r="N814">
        <v>47.4</v>
      </c>
      <c r="O814">
        <v>37.328400000000002</v>
      </c>
      <c r="P814">
        <v>24.647500000000001</v>
      </c>
      <c r="Q814">
        <v>32.785699999999999</v>
      </c>
      <c r="R814">
        <v>27.7468</v>
      </c>
      <c r="U814" t="s">
        <v>224</v>
      </c>
      <c r="V814" t="s">
        <v>193</v>
      </c>
      <c r="W814" t="s">
        <v>194</v>
      </c>
      <c r="Y814">
        <v>8</v>
      </c>
      <c r="Z814" t="s">
        <v>169</v>
      </c>
      <c r="AA814" t="s">
        <v>170</v>
      </c>
      <c r="AB814" t="s">
        <v>167</v>
      </c>
      <c r="AC814" t="s">
        <v>213</v>
      </c>
      <c r="AD814">
        <v>15</v>
      </c>
      <c r="AG814" t="s">
        <v>210</v>
      </c>
      <c r="AH814" t="s">
        <v>444</v>
      </c>
      <c r="AI814" t="s">
        <v>175</v>
      </c>
      <c r="AJ814" t="s">
        <v>176</v>
      </c>
      <c r="AK814" t="s">
        <v>940</v>
      </c>
      <c r="AL814" t="s">
        <v>941</v>
      </c>
      <c r="AS814">
        <v>1900</v>
      </c>
      <c r="AT814">
        <v>1900</v>
      </c>
      <c r="BN814" t="s">
        <v>265</v>
      </c>
      <c r="BO814">
        <v>2</v>
      </c>
      <c r="BP814">
        <v>2</v>
      </c>
      <c r="BQ814">
        <v>31</v>
      </c>
      <c r="BR814" t="s">
        <v>1219</v>
      </c>
      <c r="BT814" t="s">
        <v>181</v>
      </c>
      <c r="BU814" s="1">
        <v>45601</v>
      </c>
      <c r="BV814">
        <v>35917</v>
      </c>
      <c r="BX814" t="s">
        <v>170</v>
      </c>
      <c r="BY814" t="s">
        <v>170</v>
      </c>
      <c r="CB814" t="s">
        <v>170</v>
      </c>
      <c r="CC814" t="s">
        <v>170</v>
      </c>
      <c r="CE814" t="s">
        <v>170</v>
      </c>
      <c r="CG814" t="s">
        <v>169</v>
      </c>
      <c r="CH814" t="s">
        <v>333</v>
      </c>
      <c r="CI814" t="s">
        <v>170</v>
      </c>
      <c r="DJ814" t="s">
        <v>267</v>
      </c>
      <c r="DK814" t="s">
        <v>268</v>
      </c>
      <c r="DN814" t="s">
        <v>170</v>
      </c>
      <c r="DO814" t="s">
        <v>640</v>
      </c>
      <c r="DP814" t="s">
        <v>170</v>
      </c>
      <c r="DQ814" t="s">
        <v>187</v>
      </c>
      <c r="DR814" t="s">
        <v>1433</v>
      </c>
      <c r="EB814">
        <v>6</v>
      </c>
      <c r="EC814">
        <v>6</v>
      </c>
      <c r="EE814" t="s">
        <v>1167</v>
      </c>
      <c r="EF814">
        <v>5</v>
      </c>
      <c r="EU814">
        <v>0</v>
      </c>
      <c r="EW814">
        <v>360</v>
      </c>
      <c r="EX814">
        <v>270</v>
      </c>
      <c r="EY814">
        <v>320</v>
      </c>
    </row>
    <row r="815" spans="1:155" x14ac:dyDescent="0.35">
      <c r="A815">
        <v>2025</v>
      </c>
      <c r="B815" t="s">
        <v>327</v>
      </c>
      <c r="C815" t="s">
        <v>317</v>
      </c>
      <c r="D815" t="s">
        <v>1435</v>
      </c>
      <c r="E815" t="s">
        <v>330</v>
      </c>
      <c r="F815">
        <v>85</v>
      </c>
      <c r="G815">
        <v>2.5</v>
      </c>
      <c r="H815">
        <v>4</v>
      </c>
      <c r="I815" t="s">
        <v>192</v>
      </c>
      <c r="J815">
        <v>27</v>
      </c>
      <c r="K815">
        <v>34</v>
      </c>
      <c r="L815">
        <v>30</v>
      </c>
      <c r="M815">
        <v>35.398800000000001</v>
      </c>
      <c r="N815">
        <v>49.296300000000002</v>
      </c>
      <c r="O815">
        <v>40.542099999999998</v>
      </c>
      <c r="P815">
        <v>27.127300000000002</v>
      </c>
      <c r="Q815">
        <v>33.955199999999998</v>
      </c>
      <c r="R815">
        <v>29.8262</v>
      </c>
      <c r="U815" t="s">
        <v>224</v>
      </c>
      <c r="V815" t="s">
        <v>193</v>
      </c>
      <c r="W815" t="s">
        <v>194</v>
      </c>
      <c r="Y815">
        <v>8</v>
      </c>
      <c r="Z815" t="s">
        <v>169</v>
      </c>
      <c r="AA815" t="s">
        <v>170</v>
      </c>
      <c r="AB815" t="s">
        <v>167</v>
      </c>
      <c r="AC815" t="s">
        <v>213</v>
      </c>
      <c r="AD815">
        <v>15</v>
      </c>
      <c r="AG815" t="s">
        <v>210</v>
      </c>
      <c r="AH815" t="s">
        <v>444</v>
      </c>
      <c r="AI815" t="s">
        <v>175</v>
      </c>
      <c r="AJ815" t="s">
        <v>176</v>
      </c>
      <c r="AK815" t="s">
        <v>940</v>
      </c>
      <c r="AL815" t="s">
        <v>941</v>
      </c>
      <c r="AS815">
        <v>1750</v>
      </c>
      <c r="AT815">
        <v>1750</v>
      </c>
      <c r="BN815" t="s">
        <v>265</v>
      </c>
      <c r="BO815">
        <v>2</v>
      </c>
      <c r="BP815">
        <v>2</v>
      </c>
      <c r="BQ815">
        <v>31</v>
      </c>
      <c r="BR815" t="s">
        <v>1219</v>
      </c>
      <c r="BT815" t="s">
        <v>181</v>
      </c>
      <c r="BU815" s="1">
        <v>45601</v>
      </c>
      <c r="BV815">
        <v>35875</v>
      </c>
      <c r="BX815" t="s">
        <v>169</v>
      </c>
      <c r="BY815" t="s">
        <v>170</v>
      </c>
      <c r="CB815" t="s">
        <v>170</v>
      </c>
      <c r="CC815" t="s">
        <v>170</v>
      </c>
      <c r="CE815" t="s">
        <v>170</v>
      </c>
      <c r="CG815" t="s">
        <v>169</v>
      </c>
      <c r="CH815" t="s">
        <v>333</v>
      </c>
      <c r="CI815" t="s">
        <v>170</v>
      </c>
      <c r="DJ815" t="s">
        <v>267</v>
      </c>
      <c r="DK815" t="s">
        <v>268</v>
      </c>
      <c r="DN815" t="s">
        <v>170</v>
      </c>
      <c r="DO815" t="s">
        <v>640</v>
      </c>
      <c r="DP815" t="s">
        <v>169</v>
      </c>
      <c r="DQ815" t="s">
        <v>198</v>
      </c>
      <c r="EB815">
        <v>6</v>
      </c>
      <c r="EC815">
        <v>6</v>
      </c>
      <c r="EE815" t="s">
        <v>1167</v>
      </c>
      <c r="EF815">
        <v>5</v>
      </c>
      <c r="EU815">
        <v>750</v>
      </c>
      <c r="EW815">
        <v>325</v>
      </c>
      <c r="EX815">
        <v>260</v>
      </c>
      <c r="EY815">
        <v>296</v>
      </c>
    </row>
    <row r="816" spans="1:155" x14ac:dyDescent="0.35">
      <c r="A816">
        <v>2025</v>
      </c>
      <c r="B816" t="s">
        <v>327</v>
      </c>
      <c r="C816" t="s">
        <v>317</v>
      </c>
      <c r="D816" t="s">
        <v>1436</v>
      </c>
      <c r="E816" t="s">
        <v>330</v>
      </c>
      <c r="F816">
        <v>89</v>
      </c>
      <c r="G816">
        <v>2.5</v>
      </c>
      <c r="H816">
        <v>4</v>
      </c>
      <c r="I816" t="s">
        <v>594</v>
      </c>
      <c r="J816">
        <v>41</v>
      </c>
      <c r="K816">
        <v>38</v>
      </c>
      <c r="L816">
        <v>39</v>
      </c>
      <c r="M816">
        <v>55.807000000000002</v>
      </c>
      <c r="N816">
        <v>52.532299999999999</v>
      </c>
      <c r="O816">
        <v>54.284199999999998</v>
      </c>
      <c r="P816">
        <v>40.825200000000002</v>
      </c>
      <c r="Q816">
        <v>37.5505</v>
      </c>
      <c r="R816">
        <v>39.2836</v>
      </c>
      <c r="U816" t="s">
        <v>224</v>
      </c>
      <c r="V816" t="s">
        <v>463</v>
      </c>
      <c r="W816" t="s">
        <v>464</v>
      </c>
      <c r="Y816">
        <v>6</v>
      </c>
      <c r="Z816" t="s">
        <v>170</v>
      </c>
      <c r="AA816" t="s">
        <v>170</v>
      </c>
      <c r="AB816" t="s">
        <v>167</v>
      </c>
      <c r="AC816" t="s">
        <v>213</v>
      </c>
      <c r="AD816">
        <v>15</v>
      </c>
      <c r="AG816" t="s">
        <v>210</v>
      </c>
      <c r="AH816" t="s">
        <v>444</v>
      </c>
      <c r="AI816" t="s">
        <v>175</v>
      </c>
      <c r="AJ816" t="s">
        <v>176</v>
      </c>
      <c r="AK816" t="s">
        <v>940</v>
      </c>
      <c r="AL816" t="s">
        <v>941</v>
      </c>
      <c r="AS816">
        <v>1350</v>
      </c>
      <c r="AT816">
        <v>1350</v>
      </c>
      <c r="BN816" t="s">
        <v>465</v>
      </c>
      <c r="BO816">
        <v>2</v>
      </c>
      <c r="BP816">
        <v>2</v>
      </c>
      <c r="BQ816">
        <v>31</v>
      </c>
      <c r="BR816" t="s">
        <v>1219</v>
      </c>
      <c r="BT816" t="s">
        <v>225</v>
      </c>
      <c r="BU816" s="1">
        <v>45601</v>
      </c>
      <c r="BV816">
        <v>35877</v>
      </c>
      <c r="BX816" t="s">
        <v>170</v>
      </c>
      <c r="BY816" t="s">
        <v>170</v>
      </c>
      <c r="CB816" t="s">
        <v>170</v>
      </c>
      <c r="CC816" t="s">
        <v>170</v>
      </c>
      <c r="CE816" t="s">
        <v>170</v>
      </c>
      <c r="CG816" t="s">
        <v>169</v>
      </c>
      <c r="CH816" t="s">
        <v>333</v>
      </c>
      <c r="CI816" t="s">
        <v>170</v>
      </c>
      <c r="CK816" t="s">
        <v>233</v>
      </c>
      <c r="CM816">
        <v>1</v>
      </c>
      <c r="CN816" t="s">
        <v>404</v>
      </c>
      <c r="CO816" t="s">
        <v>1437</v>
      </c>
      <c r="CP816">
        <v>252</v>
      </c>
      <c r="CQ816">
        <v>3.7</v>
      </c>
      <c r="CR816">
        <v>69.400000000000006</v>
      </c>
      <c r="CS816" t="s">
        <v>235</v>
      </c>
      <c r="CV816" t="s">
        <v>341</v>
      </c>
      <c r="CX816" t="s">
        <v>342</v>
      </c>
      <c r="CY816" t="s">
        <v>170</v>
      </c>
      <c r="DC816" t="s">
        <v>1438</v>
      </c>
      <c r="DD816">
        <v>2</v>
      </c>
      <c r="DE816" t="s">
        <v>404</v>
      </c>
      <c r="DF816" t="s">
        <v>466</v>
      </c>
      <c r="DG816">
        <v>88</v>
      </c>
      <c r="DH816" t="s">
        <v>1439</v>
      </c>
      <c r="DJ816" t="s">
        <v>267</v>
      </c>
      <c r="DK816" t="s">
        <v>268</v>
      </c>
      <c r="DL816" t="s">
        <v>170</v>
      </c>
      <c r="DM816" t="s">
        <v>170</v>
      </c>
      <c r="DN816" t="s">
        <v>170</v>
      </c>
      <c r="DO816" t="s">
        <v>640</v>
      </c>
      <c r="DP816" t="s">
        <v>169</v>
      </c>
      <c r="DQ816" t="s">
        <v>198</v>
      </c>
      <c r="DR816" t="s">
        <v>467</v>
      </c>
      <c r="EB816">
        <v>7</v>
      </c>
      <c r="EC816">
        <v>7</v>
      </c>
      <c r="EE816" t="s">
        <v>1440</v>
      </c>
      <c r="EF816">
        <v>6</v>
      </c>
      <c r="EU816">
        <v>2750</v>
      </c>
      <c r="EW816">
        <v>215</v>
      </c>
      <c r="EX816">
        <v>235</v>
      </c>
      <c r="EY816">
        <v>224</v>
      </c>
    </row>
    <row r="817" spans="1:155" x14ac:dyDescent="0.35">
      <c r="A817">
        <v>2025</v>
      </c>
      <c r="B817" t="s">
        <v>327</v>
      </c>
      <c r="C817" t="s">
        <v>317</v>
      </c>
      <c r="D817" t="s">
        <v>1441</v>
      </c>
      <c r="E817" t="s">
        <v>330</v>
      </c>
      <c r="F817">
        <v>88</v>
      </c>
      <c r="G817">
        <v>2.5</v>
      </c>
      <c r="H817">
        <v>4</v>
      </c>
      <c r="I817" t="s">
        <v>594</v>
      </c>
      <c r="J817">
        <v>38</v>
      </c>
      <c r="K817">
        <v>35</v>
      </c>
      <c r="L817">
        <v>37</v>
      </c>
      <c r="M817">
        <v>52.3</v>
      </c>
      <c r="N817">
        <v>49.1</v>
      </c>
      <c r="O817">
        <v>50.809899999999999</v>
      </c>
      <c r="P817">
        <v>38.252800000000001</v>
      </c>
      <c r="Q817">
        <v>34.6706</v>
      </c>
      <c r="R817">
        <v>36.5533</v>
      </c>
      <c r="U817" t="s">
        <v>224</v>
      </c>
      <c r="V817" t="s">
        <v>463</v>
      </c>
      <c r="W817" t="s">
        <v>464</v>
      </c>
      <c r="Y817">
        <v>6</v>
      </c>
      <c r="Z817" t="s">
        <v>170</v>
      </c>
      <c r="AA817" t="s">
        <v>170</v>
      </c>
      <c r="AB817" t="s">
        <v>167</v>
      </c>
      <c r="AC817" t="s">
        <v>213</v>
      </c>
      <c r="AD817">
        <v>15</v>
      </c>
      <c r="AG817" t="s">
        <v>210</v>
      </c>
      <c r="AH817" t="s">
        <v>444</v>
      </c>
      <c r="AI817" t="s">
        <v>175</v>
      </c>
      <c r="AJ817" t="s">
        <v>176</v>
      </c>
      <c r="AK817" t="s">
        <v>940</v>
      </c>
      <c r="AL817" t="s">
        <v>941</v>
      </c>
      <c r="AS817">
        <v>1400</v>
      </c>
      <c r="AT817">
        <v>1400</v>
      </c>
      <c r="BN817" t="s">
        <v>465</v>
      </c>
      <c r="BO817">
        <v>2</v>
      </c>
      <c r="BP817">
        <v>2</v>
      </c>
      <c r="BQ817">
        <v>31</v>
      </c>
      <c r="BR817" t="s">
        <v>1219</v>
      </c>
      <c r="BT817" t="s">
        <v>225</v>
      </c>
      <c r="BU817" s="1">
        <v>45601</v>
      </c>
      <c r="BV817">
        <v>35876</v>
      </c>
      <c r="BX817" t="s">
        <v>169</v>
      </c>
      <c r="BY817" t="s">
        <v>170</v>
      </c>
      <c r="CB817" t="s">
        <v>170</v>
      </c>
      <c r="CC817" t="s">
        <v>170</v>
      </c>
      <c r="CE817" t="s">
        <v>170</v>
      </c>
      <c r="CG817" t="s">
        <v>169</v>
      </c>
      <c r="CH817" t="s">
        <v>333</v>
      </c>
      <c r="CI817" t="s">
        <v>170</v>
      </c>
      <c r="CK817" t="s">
        <v>233</v>
      </c>
      <c r="CM817">
        <v>1</v>
      </c>
      <c r="CN817" t="s">
        <v>404</v>
      </c>
      <c r="CO817" t="s">
        <v>1437</v>
      </c>
      <c r="CP817">
        <v>252</v>
      </c>
      <c r="CQ817">
        <v>3.7</v>
      </c>
      <c r="CR817">
        <v>69.400000000000006</v>
      </c>
      <c r="CS817" t="s">
        <v>235</v>
      </c>
      <c r="CV817" t="s">
        <v>341</v>
      </c>
      <c r="CX817" t="s">
        <v>342</v>
      </c>
      <c r="CY817" t="s">
        <v>170</v>
      </c>
      <c r="DC817" t="s">
        <v>1438</v>
      </c>
      <c r="DD817">
        <v>2</v>
      </c>
      <c r="DE817" t="s">
        <v>404</v>
      </c>
      <c r="DF817" t="s">
        <v>466</v>
      </c>
      <c r="DG817">
        <v>88</v>
      </c>
      <c r="DH817" t="s">
        <v>1439</v>
      </c>
      <c r="DJ817" t="s">
        <v>267</v>
      </c>
      <c r="DK817" t="s">
        <v>268</v>
      </c>
      <c r="DL817" t="s">
        <v>170</v>
      </c>
      <c r="DM817" t="s">
        <v>170</v>
      </c>
      <c r="DN817" t="s">
        <v>170</v>
      </c>
      <c r="DO817" t="s">
        <v>640</v>
      </c>
      <c r="DP817" t="s">
        <v>169</v>
      </c>
      <c r="DQ817" t="s">
        <v>198</v>
      </c>
      <c r="DR817" t="s">
        <v>467</v>
      </c>
      <c r="EB817">
        <v>7</v>
      </c>
      <c r="EC817">
        <v>7</v>
      </c>
      <c r="EE817" t="s">
        <v>1440</v>
      </c>
      <c r="EF817">
        <v>6</v>
      </c>
      <c r="EU817">
        <v>2500</v>
      </c>
      <c r="EW817">
        <v>229</v>
      </c>
      <c r="EX817">
        <v>253</v>
      </c>
      <c r="EY817">
        <v>240</v>
      </c>
    </row>
    <row r="818" spans="1:155" x14ac:dyDescent="0.35">
      <c r="A818">
        <v>2025</v>
      </c>
      <c r="B818" t="s">
        <v>327</v>
      </c>
      <c r="C818" t="s">
        <v>317</v>
      </c>
      <c r="D818" t="s">
        <v>1495</v>
      </c>
      <c r="E818" t="s">
        <v>330</v>
      </c>
      <c r="F818">
        <v>39</v>
      </c>
      <c r="G818">
        <v>3.4</v>
      </c>
      <c r="H818">
        <v>6</v>
      </c>
      <c r="I818" t="s">
        <v>331</v>
      </c>
      <c r="J818">
        <v>21</v>
      </c>
      <c r="K818">
        <v>24</v>
      </c>
      <c r="L818">
        <v>22</v>
      </c>
      <c r="M818">
        <v>25.970099999999999</v>
      </c>
      <c r="N818">
        <v>33.4495</v>
      </c>
      <c r="O818">
        <v>28.875499999999999</v>
      </c>
      <c r="P818">
        <v>20.507899999999999</v>
      </c>
      <c r="Q818">
        <v>23.871400000000001</v>
      </c>
      <c r="R818">
        <v>21.8962</v>
      </c>
      <c r="T818" t="s">
        <v>165</v>
      </c>
      <c r="U818" t="s">
        <v>166</v>
      </c>
      <c r="V818" t="s">
        <v>193</v>
      </c>
      <c r="W818" t="s">
        <v>194</v>
      </c>
      <c r="Y818">
        <v>10</v>
      </c>
      <c r="Z818" t="s">
        <v>169</v>
      </c>
      <c r="AA818" t="s">
        <v>170</v>
      </c>
      <c r="AB818" t="s">
        <v>171</v>
      </c>
      <c r="AC818" t="s">
        <v>172</v>
      </c>
      <c r="AD818">
        <v>15</v>
      </c>
      <c r="AG818" t="s">
        <v>210</v>
      </c>
      <c r="AH818" t="s">
        <v>444</v>
      </c>
      <c r="AI818" t="s">
        <v>175</v>
      </c>
      <c r="AJ818" t="s">
        <v>176</v>
      </c>
      <c r="AK818" t="s">
        <v>940</v>
      </c>
      <c r="AL818" t="s">
        <v>941</v>
      </c>
      <c r="AS818">
        <v>2400</v>
      </c>
      <c r="AT818">
        <v>2400</v>
      </c>
      <c r="BN818" t="s">
        <v>465</v>
      </c>
      <c r="BO818">
        <v>2</v>
      </c>
      <c r="BP818">
        <v>2</v>
      </c>
      <c r="BQ818">
        <v>32</v>
      </c>
      <c r="BR818" t="s">
        <v>1453</v>
      </c>
      <c r="BT818" t="s">
        <v>181</v>
      </c>
      <c r="BU818" s="1">
        <v>45537</v>
      </c>
      <c r="BV818">
        <v>35377</v>
      </c>
      <c r="BX818" t="s">
        <v>170</v>
      </c>
      <c r="BY818" t="s">
        <v>170</v>
      </c>
      <c r="CB818" t="s">
        <v>170</v>
      </c>
      <c r="CC818" t="s">
        <v>170</v>
      </c>
      <c r="CD818" t="s">
        <v>1011</v>
      </c>
      <c r="CE818" t="s">
        <v>170</v>
      </c>
      <c r="CG818" t="s">
        <v>169</v>
      </c>
      <c r="CH818" t="s">
        <v>333</v>
      </c>
      <c r="CI818" t="s">
        <v>170</v>
      </c>
      <c r="CK818" t="s">
        <v>233</v>
      </c>
      <c r="CM818">
        <v>1</v>
      </c>
      <c r="CN818" t="s">
        <v>814</v>
      </c>
      <c r="CP818">
        <v>288</v>
      </c>
      <c r="CQ818">
        <v>6.5</v>
      </c>
      <c r="CR818">
        <v>46.4</v>
      </c>
      <c r="CS818" t="s">
        <v>235</v>
      </c>
      <c r="CV818" t="s">
        <v>341</v>
      </c>
      <c r="CX818" t="s">
        <v>1012</v>
      </c>
      <c r="CY818" t="s">
        <v>170</v>
      </c>
      <c r="DC818" t="s">
        <v>1013</v>
      </c>
      <c r="DD818">
        <v>1</v>
      </c>
      <c r="DE818" t="s">
        <v>404</v>
      </c>
      <c r="DF818" t="s">
        <v>466</v>
      </c>
      <c r="DG818">
        <v>36</v>
      </c>
      <c r="DJ818" t="s">
        <v>267</v>
      </c>
      <c r="DK818" t="s">
        <v>268</v>
      </c>
      <c r="DL818" t="s">
        <v>170</v>
      </c>
      <c r="DM818" t="s">
        <v>170</v>
      </c>
      <c r="DN818" t="s">
        <v>170</v>
      </c>
      <c r="DO818" t="s">
        <v>358</v>
      </c>
      <c r="DP818" t="s">
        <v>169</v>
      </c>
      <c r="DQ818" t="s">
        <v>198</v>
      </c>
      <c r="DR818" t="s">
        <v>467</v>
      </c>
      <c r="EB818">
        <v>5</v>
      </c>
      <c r="EC818">
        <v>5</v>
      </c>
      <c r="EE818" t="s">
        <v>1014</v>
      </c>
      <c r="EF818">
        <v>4</v>
      </c>
      <c r="EV818">
        <v>2500</v>
      </c>
      <c r="EW818">
        <v>430</v>
      </c>
      <c r="EX818">
        <v>370</v>
      </c>
      <c r="EY818">
        <v>403</v>
      </c>
    </row>
    <row r="819" spans="1:155" x14ac:dyDescent="0.35">
      <c r="A819">
        <v>2025</v>
      </c>
      <c r="B819" t="s">
        <v>327</v>
      </c>
      <c r="C819" t="s">
        <v>317</v>
      </c>
      <c r="D819" t="s">
        <v>1674</v>
      </c>
      <c r="E819" t="s">
        <v>330</v>
      </c>
      <c r="F819">
        <v>40</v>
      </c>
      <c r="G819">
        <v>3.4</v>
      </c>
      <c r="H819">
        <v>6</v>
      </c>
      <c r="I819" t="s">
        <v>331</v>
      </c>
      <c r="J819">
        <v>19</v>
      </c>
      <c r="K819">
        <v>22</v>
      </c>
      <c r="L819">
        <v>20</v>
      </c>
      <c r="M819">
        <v>23.4724</v>
      </c>
      <c r="N819">
        <v>31.161100000000001</v>
      </c>
      <c r="O819">
        <v>26.404199999999999</v>
      </c>
      <c r="P819">
        <v>18.686299999999999</v>
      </c>
      <c r="Q819">
        <v>22.354800000000001</v>
      </c>
      <c r="R819">
        <v>20.176200000000001</v>
      </c>
      <c r="T819" t="s">
        <v>165</v>
      </c>
      <c r="U819" t="s">
        <v>166</v>
      </c>
      <c r="V819" t="s">
        <v>193</v>
      </c>
      <c r="W819" t="s">
        <v>194</v>
      </c>
      <c r="Y819">
        <v>10</v>
      </c>
      <c r="Z819" t="s">
        <v>169</v>
      </c>
      <c r="AA819" t="s">
        <v>170</v>
      </c>
      <c r="AB819" t="s">
        <v>809</v>
      </c>
      <c r="AC819" t="s">
        <v>810</v>
      </c>
      <c r="AD819">
        <v>15</v>
      </c>
      <c r="AG819" t="s">
        <v>210</v>
      </c>
      <c r="AH819" t="s">
        <v>444</v>
      </c>
      <c r="AI819" t="s">
        <v>175</v>
      </c>
      <c r="AJ819" t="s">
        <v>176</v>
      </c>
      <c r="AK819" t="s">
        <v>940</v>
      </c>
      <c r="AL819" t="s">
        <v>941</v>
      </c>
      <c r="AS819">
        <v>2600</v>
      </c>
      <c r="AT819">
        <v>2600</v>
      </c>
      <c r="BN819" t="s">
        <v>465</v>
      </c>
      <c r="BO819">
        <v>2</v>
      </c>
      <c r="BP819">
        <v>2</v>
      </c>
      <c r="BQ819">
        <v>33</v>
      </c>
      <c r="BR819" t="s">
        <v>1497</v>
      </c>
      <c r="BT819" t="s">
        <v>181</v>
      </c>
      <c r="BU819" s="1">
        <v>45537</v>
      </c>
      <c r="BV819">
        <v>35378</v>
      </c>
      <c r="BX819" t="s">
        <v>170</v>
      </c>
      <c r="BY819" t="s">
        <v>170</v>
      </c>
      <c r="CB819" t="s">
        <v>170</v>
      </c>
      <c r="CC819" t="s">
        <v>170</v>
      </c>
      <c r="CD819" t="s">
        <v>1011</v>
      </c>
      <c r="CE819" t="s">
        <v>170</v>
      </c>
      <c r="CG819" t="s">
        <v>169</v>
      </c>
      <c r="CH819" t="s">
        <v>333</v>
      </c>
      <c r="CI819" t="s">
        <v>170</v>
      </c>
      <c r="CK819" t="s">
        <v>233</v>
      </c>
      <c r="CM819">
        <v>1</v>
      </c>
      <c r="CN819" t="s">
        <v>814</v>
      </c>
      <c r="CP819">
        <v>288</v>
      </c>
      <c r="CQ819">
        <v>6.5</v>
      </c>
      <c r="CR819">
        <v>46.4</v>
      </c>
      <c r="CS819" t="s">
        <v>235</v>
      </c>
      <c r="CV819" t="s">
        <v>341</v>
      </c>
      <c r="CX819" t="s">
        <v>1012</v>
      </c>
      <c r="CY819" t="s">
        <v>170</v>
      </c>
      <c r="DC819" t="s">
        <v>1013</v>
      </c>
      <c r="DD819">
        <v>1</v>
      </c>
      <c r="DE819" t="s">
        <v>404</v>
      </c>
      <c r="DF819" t="s">
        <v>466</v>
      </c>
      <c r="DG819">
        <v>36</v>
      </c>
      <c r="DJ819" t="s">
        <v>267</v>
      </c>
      <c r="DK819" t="s">
        <v>268</v>
      </c>
      <c r="DL819" t="s">
        <v>170</v>
      </c>
      <c r="DM819" t="s">
        <v>170</v>
      </c>
      <c r="DN819" t="s">
        <v>170</v>
      </c>
      <c r="DO819" t="s">
        <v>358</v>
      </c>
      <c r="DP819" t="s">
        <v>169</v>
      </c>
      <c r="DQ819" t="s">
        <v>198</v>
      </c>
      <c r="DR819" t="s">
        <v>467</v>
      </c>
      <c r="EB819">
        <v>4</v>
      </c>
      <c r="EC819">
        <v>4</v>
      </c>
      <c r="EE819" t="s">
        <v>1014</v>
      </c>
      <c r="EF819">
        <v>4</v>
      </c>
      <c r="EV819">
        <v>3500</v>
      </c>
      <c r="EW819">
        <v>474</v>
      </c>
      <c r="EX819">
        <v>397</v>
      </c>
      <c r="EY819">
        <v>439</v>
      </c>
    </row>
    <row r="820" spans="1:155" x14ac:dyDescent="0.35">
      <c r="A820">
        <v>2025</v>
      </c>
      <c r="B820" t="s">
        <v>327</v>
      </c>
      <c r="C820" t="s">
        <v>317</v>
      </c>
      <c r="D820" t="s">
        <v>1090</v>
      </c>
      <c r="E820" t="s">
        <v>330</v>
      </c>
      <c r="F820">
        <v>90</v>
      </c>
      <c r="G820">
        <v>2.5</v>
      </c>
      <c r="H820">
        <v>4</v>
      </c>
      <c r="I820" t="s">
        <v>594</v>
      </c>
      <c r="J820">
        <v>36</v>
      </c>
      <c r="K820">
        <v>36</v>
      </c>
      <c r="L820">
        <v>36</v>
      </c>
      <c r="M820">
        <v>48.640599999999999</v>
      </c>
      <c r="N820">
        <v>49.630499999999998</v>
      </c>
      <c r="O820">
        <v>49.081099999999999</v>
      </c>
      <c r="P820">
        <v>35.763199999999998</v>
      </c>
      <c r="Q820">
        <v>36.369799999999998</v>
      </c>
      <c r="R820">
        <v>36.0336</v>
      </c>
      <c r="U820" t="s">
        <v>224</v>
      </c>
      <c r="V820" t="s">
        <v>463</v>
      </c>
      <c r="W820" t="s">
        <v>464</v>
      </c>
      <c r="Y820">
        <v>6</v>
      </c>
      <c r="Z820" t="s">
        <v>170</v>
      </c>
      <c r="AA820" t="s">
        <v>170</v>
      </c>
      <c r="AB820" t="s">
        <v>351</v>
      </c>
      <c r="AC820" t="s">
        <v>352</v>
      </c>
      <c r="AD820">
        <v>15</v>
      </c>
      <c r="AG820" t="s">
        <v>210</v>
      </c>
      <c r="AH820" t="s">
        <v>444</v>
      </c>
      <c r="AI820" t="s">
        <v>175</v>
      </c>
      <c r="AJ820" t="s">
        <v>176</v>
      </c>
      <c r="AK820" t="s">
        <v>940</v>
      </c>
      <c r="AL820" t="s">
        <v>941</v>
      </c>
      <c r="AS820">
        <v>1450</v>
      </c>
      <c r="AT820">
        <v>1450</v>
      </c>
      <c r="BN820" t="s">
        <v>465</v>
      </c>
      <c r="BO820">
        <v>2</v>
      </c>
      <c r="BP820">
        <v>2</v>
      </c>
      <c r="BQ820">
        <v>20</v>
      </c>
      <c r="BR820" t="s">
        <v>1079</v>
      </c>
      <c r="BS820">
        <v>1</v>
      </c>
      <c r="BT820" t="s">
        <v>225</v>
      </c>
      <c r="BU820" s="1">
        <v>45575</v>
      </c>
      <c r="BV820">
        <v>35879</v>
      </c>
      <c r="BX820" t="s">
        <v>170</v>
      </c>
      <c r="BY820" t="s">
        <v>170</v>
      </c>
      <c r="CB820" t="s">
        <v>170</v>
      </c>
      <c r="CC820" t="s">
        <v>170</v>
      </c>
      <c r="CD820" t="s">
        <v>1091</v>
      </c>
      <c r="CE820" t="s">
        <v>170</v>
      </c>
      <c r="CG820" t="s">
        <v>169</v>
      </c>
      <c r="CH820" t="s">
        <v>333</v>
      </c>
      <c r="CI820" t="s">
        <v>170</v>
      </c>
      <c r="CK820" t="s">
        <v>233</v>
      </c>
      <c r="CM820">
        <v>1</v>
      </c>
      <c r="CN820" t="s">
        <v>234</v>
      </c>
      <c r="CP820">
        <v>259</v>
      </c>
      <c r="CQ820">
        <v>4.3</v>
      </c>
      <c r="CR820">
        <v>76.5</v>
      </c>
      <c r="CS820" t="s">
        <v>235</v>
      </c>
      <c r="CV820" t="s">
        <v>341</v>
      </c>
      <c r="CX820" t="s">
        <v>342</v>
      </c>
      <c r="CY820" t="s">
        <v>170</v>
      </c>
      <c r="DC820" t="s">
        <v>1092</v>
      </c>
      <c r="DD820">
        <v>2</v>
      </c>
      <c r="DE820" t="s">
        <v>404</v>
      </c>
      <c r="DF820" t="s">
        <v>638</v>
      </c>
      <c r="DG820" t="s">
        <v>930</v>
      </c>
      <c r="DJ820" t="s">
        <v>267</v>
      </c>
      <c r="DK820" t="s">
        <v>268</v>
      </c>
      <c r="DL820" t="s">
        <v>170</v>
      </c>
      <c r="DM820" t="s">
        <v>170</v>
      </c>
      <c r="DN820" t="s">
        <v>170</v>
      </c>
      <c r="DO820" t="s">
        <v>1093</v>
      </c>
      <c r="DP820" t="s">
        <v>169</v>
      </c>
      <c r="DQ820" t="s">
        <v>198</v>
      </c>
      <c r="DR820" t="s">
        <v>467</v>
      </c>
      <c r="EB820">
        <v>7</v>
      </c>
      <c r="EC820">
        <v>7</v>
      </c>
      <c r="EE820" t="s">
        <v>1094</v>
      </c>
      <c r="EF820">
        <v>6</v>
      </c>
      <c r="EU820">
        <v>2250</v>
      </c>
      <c r="EW820">
        <v>247</v>
      </c>
      <c r="EX820">
        <v>244</v>
      </c>
      <c r="EY820">
        <v>246</v>
      </c>
    </row>
    <row r="821" spans="1:155" x14ac:dyDescent="0.35">
      <c r="A821">
        <v>2025</v>
      </c>
      <c r="B821" t="s">
        <v>327</v>
      </c>
      <c r="C821" t="s">
        <v>317</v>
      </c>
      <c r="D821" t="s">
        <v>1097</v>
      </c>
      <c r="E821" t="s">
        <v>330</v>
      </c>
      <c r="F821">
        <v>91</v>
      </c>
      <c r="G821">
        <v>2.5</v>
      </c>
      <c r="H821">
        <v>4</v>
      </c>
      <c r="I821" t="s">
        <v>594</v>
      </c>
      <c r="J821">
        <v>34</v>
      </c>
      <c r="K821">
        <v>36</v>
      </c>
      <c r="L821">
        <v>35</v>
      </c>
      <c r="M821">
        <v>47</v>
      </c>
      <c r="N821">
        <v>48.470399999999998</v>
      </c>
      <c r="O821">
        <v>47.650500000000001</v>
      </c>
      <c r="P821">
        <v>34.497500000000002</v>
      </c>
      <c r="Q821">
        <v>35.707299999999996</v>
      </c>
      <c r="R821">
        <v>35.031599999999997</v>
      </c>
      <c r="U821" t="s">
        <v>224</v>
      </c>
      <c r="V821" t="s">
        <v>463</v>
      </c>
      <c r="W821" t="s">
        <v>464</v>
      </c>
      <c r="Y821">
        <v>6</v>
      </c>
      <c r="Z821" t="s">
        <v>170</v>
      </c>
      <c r="AA821" t="s">
        <v>170</v>
      </c>
      <c r="AB821" t="s">
        <v>167</v>
      </c>
      <c r="AC821" t="s">
        <v>213</v>
      </c>
      <c r="AD821">
        <v>15</v>
      </c>
      <c r="AG821" t="s">
        <v>210</v>
      </c>
      <c r="AH821" t="s">
        <v>444</v>
      </c>
      <c r="AI821" t="s">
        <v>175</v>
      </c>
      <c r="AJ821" t="s">
        <v>176</v>
      </c>
      <c r="AK821" t="s">
        <v>940</v>
      </c>
      <c r="AL821" t="s">
        <v>941</v>
      </c>
      <c r="AS821">
        <v>1500</v>
      </c>
      <c r="AT821">
        <v>1500</v>
      </c>
      <c r="BN821" t="s">
        <v>465</v>
      </c>
      <c r="BO821">
        <v>2</v>
      </c>
      <c r="BP821">
        <v>2</v>
      </c>
      <c r="BQ821">
        <v>21</v>
      </c>
      <c r="BR821" t="s">
        <v>1096</v>
      </c>
      <c r="BS821">
        <v>1</v>
      </c>
      <c r="BT821" t="s">
        <v>225</v>
      </c>
      <c r="BU821" s="1">
        <v>45575</v>
      </c>
      <c r="BV821">
        <v>35878</v>
      </c>
      <c r="BX821" t="s">
        <v>170</v>
      </c>
      <c r="BY821" t="s">
        <v>170</v>
      </c>
      <c r="CB821" t="s">
        <v>170</v>
      </c>
      <c r="CC821" t="s">
        <v>170</v>
      </c>
      <c r="CD821" t="s">
        <v>1091</v>
      </c>
      <c r="CE821" t="s">
        <v>170</v>
      </c>
      <c r="CG821" t="s">
        <v>169</v>
      </c>
      <c r="CH821" t="s">
        <v>333</v>
      </c>
      <c r="CI821" t="s">
        <v>170</v>
      </c>
      <c r="CK821" t="s">
        <v>233</v>
      </c>
      <c r="CM821">
        <v>1</v>
      </c>
      <c r="CN821" t="s">
        <v>234</v>
      </c>
      <c r="CP821">
        <v>259</v>
      </c>
      <c r="CQ821">
        <v>4.3</v>
      </c>
      <c r="CR821">
        <v>76.5</v>
      </c>
      <c r="CS821" t="s">
        <v>235</v>
      </c>
      <c r="CV821" t="s">
        <v>341</v>
      </c>
      <c r="CX821" t="s">
        <v>342</v>
      </c>
      <c r="CY821" t="s">
        <v>170</v>
      </c>
      <c r="DC821" t="s">
        <v>1092</v>
      </c>
      <c r="DD821">
        <v>2</v>
      </c>
      <c r="DE821" t="s">
        <v>404</v>
      </c>
      <c r="DF821" t="s">
        <v>638</v>
      </c>
      <c r="DG821" t="s">
        <v>930</v>
      </c>
      <c r="DJ821" t="s">
        <v>267</v>
      </c>
      <c r="DK821" t="s">
        <v>268</v>
      </c>
      <c r="DL821" t="s">
        <v>170</v>
      </c>
      <c r="DM821" t="s">
        <v>170</v>
      </c>
      <c r="DN821" t="s">
        <v>170</v>
      </c>
      <c r="DO821" t="s">
        <v>1093</v>
      </c>
      <c r="DP821" t="s">
        <v>169</v>
      </c>
      <c r="DQ821" t="s">
        <v>198</v>
      </c>
      <c r="DR821" t="s">
        <v>467</v>
      </c>
      <c r="EB821">
        <v>7</v>
      </c>
      <c r="EC821">
        <v>7</v>
      </c>
      <c r="EE821" t="s">
        <v>1094</v>
      </c>
      <c r="EF821">
        <v>6</v>
      </c>
      <c r="EU821">
        <v>2000</v>
      </c>
      <c r="EW821">
        <v>256</v>
      </c>
      <c r="EX821">
        <v>249</v>
      </c>
      <c r="EY821">
        <v>253</v>
      </c>
    </row>
    <row r="822" spans="1:155" x14ac:dyDescent="0.35">
      <c r="A822">
        <v>2025</v>
      </c>
      <c r="B822" t="s">
        <v>189</v>
      </c>
      <c r="C822" t="s">
        <v>317</v>
      </c>
      <c r="D822" t="s">
        <v>318</v>
      </c>
      <c r="E822" t="s">
        <v>191</v>
      </c>
      <c r="F822">
        <v>20</v>
      </c>
      <c r="G822">
        <v>2</v>
      </c>
      <c r="H822">
        <v>4</v>
      </c>
      <c r="I822" t="s">
        <v>192</v>
      </c>
      <c r="J822">
        <v>25</v>
      </c>
      <c r="K822">
        <v>31</v>
      </c>
      <c r="L822">
        <v>27</v>
      </c>
      <c r="M822">
        <v>32.594299999999997</v>
      </c>
      <c r="N822">
        <v>43.9</v>
      </c>
      <c r="O822">
        <v>36.866799999999998</v>
      </c>
      <c r="P822">
        <v>25.1996</v>
      </c>
      <c r="Q822">
        <v>30.601199999999999</v>
      </c>
      <c r="R822">
        <v>27.373999999999999</v>
      </c>
      <c r="T822" t="s">
        <v>165</v>
      </c>
      <c r="U822" t="s">
        <v>166</v>
      </c>
      <c r="V822" t="s">
        <v>193</v>
      </c>
      <c r="W822" t="s">
        <v>194</v>
      </c>
      <c r="Y822">
        <v>8</v>
      </c>
      <c r="Z822" t="s">
        <v>169</v>
      </c>
      <c r="AA822" t="s">
        <v>170</v>
      </c>
      <c r="AB822" t="s">
        <v>171</v>
      </c>
      <c r="AC822" t="s">
        <v>172</v>
      </c>
      <c r="AD822">
        <v>10</v>
      </c>
      <c r="AG822" t="s">
        <v>173</v>
      </c>
      <c r="AH822" t="s">
        <v>174</v>
      </c>
      <c r="AI822" t="s">
        <v>175</v>
      </c>
      <c r="AJ822" t="s">
        <v>176</v>
      </c>
      <c r="AK822" t="s">
        <v>170</v>
      </c>
      <c r="AL822" t="s">
        <v>177</v>
      </c>
      <c r="AS822">
        <v>2350</v>
      </c>
      <c r="AT822">
        <v>2350</v>
      </c>
      <c r="BN822" t="s">
        <v>178</v>
      </c>
      <c r="BO822">
        <v>2</v>
      </c>
      <c r="BP822">
        <v>2</v>
      </c>
      <c r="BQ822">
        <v>1</v>
      </c>
      <c r="BR822" t="s">
        <v>179</v>
      </c>
      <c r="BS822" t="s">
        <v>180</v>
      </c>
      <c r="BT822" t="s">
        <v>181</v>
      </c>
      <c r="BU822" s="1">
        <v>45471</v>
      </c>
      <c r="BV822">
        <v>34957</v>
      </c>
      <c r="BX822" t="s">
        <v>169</v>
      </c>
      <c r="BY822" t="s">
        <v>170</v>
      </c>
      <c r="CB822" t="s">
        <v>170</v>
      </c>
      <c r="CC822" t="s">
        <v>170</v>
      </c>
      <c r="CE822" t="s">
        <v>170</v>
      </c>
      <c r="CG822" t="s">
        <v>169</v>
      </c>
      <c r="CH822" t="s">
        <v>195</v>
      </c>
      <c r="CI822" t="s">
        <v>169</v>
      </c>
      <c r="CJ822" t="s">
        <v>196</v>
      </c>
      <c r="DJ822" t="s">
        <v>184</v>
      </c>
      <c r="DK822" t="s">
        <v>185</v>
      </c>
      <c r="DN822" t="s">
        <v>170</v>
      </c>
      <c r="DO822" t="s">
        <v>197</v>
      </c>
      <c r="DP822" t="s">
        <v>169</v>
      </c>
      <c r="DQ822" t="s">
        <v>198</v>
      </c>
      <c r="DY822">
        <v>37.1</v>
      </c>
      <c r="EB822">
        <v>5</v>
      </c>
      <c r="EC822">
        <v>5</v>
      </c>
      <c r="EE822" t="s">
        <v>204</v>
      </c>
      <c r="EF822">
        <v>6</v>
      </c>
      <c r="EV822">
        <v>2250</v>
      </c>
      <c r="EW822">
        <v>350</v>
      </c>
      <c r="EX822">
        <v>288</v>
      </c>
      <c r="EY822">
        <v>322</v>
      </c>
    </row>
    <row r="823" spans="1:155" x14ac:dyDescent="0.35">
      <c r="A823">
        <v>2025</v>
      </c>
      <c r="B823" t="s">
        <v>189</v>
      </c>
      <c r="C823" t="s">
        <v>317</v>
      </c>
      <c r="D823" t="s">
        <v>319</v>
      </c>
      <c r="E823" t="s">
        <v>191</v>
      </c>
      <c r="F823">
        <v>21</v>
      </c>
      <c r="G823">
        <v>3</v>
      </c>
      <c r="H823">
        <v>6</v>
      </c>
      <c r="I823" t="s">
        <v>192</v>
      </c>
      <c r="J823">
        <v>23</v>
      </c>
      <c r="K823">
        <v>31</v>
      </c>
      <c r="L823">
        <v>26</v>
      </c>
      <c r="M823">
        <v>29.4</v>
      </c>
      <c r="N823">
        <v>43.9</v>
      </c>
      <c r="O823">
        <v>34.532699999999998</v>
      </c>
      <c r="P823">
        <v>22.962</v>
      </c>
      <c r="Q823">
        <v>30.601199999999999</v>
      </c>
      <c r="R823">
        <v>25.867899999999999</v>
      </c>
      <c r="T823" t="s">
        <v>165</v>
      </c>
      <c r="U823" t="s">
        <v>166</v>
      </c>
      <c r="V823" t="s">
        <v>193</v>
      </c>
      <c r="W823" t="s">
        <v>194</v>
      </c>
      <c r="Y823">
        <v>8</v>
      </c>
      <c r="Z823" t="s">
        <v>169</v>
      </c>
      <c r="AA823" t="s">
        <v>170</v>
      </c>
      <c r="AB823" t="s">
        <v>171</v>
      </c>
      <c r="AC823" t="s">
        <v>172</v>
      </c>
      <c r="AD823">
        <v>10</v>
      </c>
      <c r="AG823" t="s">
        <v>173</v>
      </c>
      <c r="AH823" t="s">
        <v>174</v>
      </c>
      <c r="AI823" t="s">
        <v>175</v>
      </c>
      <c r="AJ823" t="s">
        <v>176</v>
      </c>
      <c r="AK823" t="s">
        <v>170</v>
      </c>
      <c r="AL823" t="s">
        <v>177</v>
      </c>
      <c r="AS823">
        <v>2450</v>
      </c>
      <c r="AT823">
        <v>2450</v>
      </c>
      <c r="BN823" t="s">
        <v>178</v>
      </c>
      <c r="BO823">
        <v>2</v>
      </c>
      <c r="BP823">
        <v>2</v>
      </c>
      <c r="BQ823">
        <v>1</v>
      </c>
      <c r="BR823" t="s">
        <v>179</v>
      </c>
      <c r="BS823" t="s">
        <v>180</v>
      </c>
      <c r="BT823" t="s">
        <v>181</v>
      </c>
      <c r="BU823" s="1">
        <v>45471</v>
      </c>
      <c r="BV823">
        <v>34961</v>
      </c>
      <c r="BX823" t="s">
        <v>170</v>
      </c>
      <c r="BY823" t="s">
        <v>170</v>
      </c>
      <c r="CB823" t="s">
        <v>170</v>
      </c>
      <c r="CC823" t="s">
        <v>170</v>
      </c>
      <c r="CE823" t="s">
        <v>170</v>
      </c>
      <c r="CG823" t="s">
        <v>169</v>
      </c>
      <c r="CH823" t="s">
        <v>195</v>
      </c>
      <c r="CI823" t="s">
        <v>169</v>
      </c>
      <c r="CJ823" t="s">
        <v>196</v>
      </c>
      <c r="DJ823" t="s">
        <v>184</v>
      </c>
      <c r="DK823" t="s">
        <v>185</v>
      </c>
      <c r="DN823" t="s">
        <v>170</v>
      </c>
      <c r="DO823" t="s">
        <v>197</v>
      </c>
      <c r="DP823" t="s">
        <v>169</v>
      </c>
      <c r="DQ823" t="s">
        <v>198</v>
      </c>
      <c r="DY823">
        <v>34.799999999999997</v>
      </c>
      <c r="EB823">
        <v>5</v>
      </c>
      <c r="EC823">
        <v>5</v>
      </c>
      <c r="EE823" t="s">
        <v>199</v>
      </c>
      <c r="EF823">
        <v>4</v>
      </c>
      <c r="EV823">
        <v>2750</v>
      </c>
      <c r="EW823">
        <v>385</v>
      </c>
      <c r="EX823">
        <v>289</v>
      </c>
      <c r="EY823">
        <v>342</v>
      </c>
    </row>
    <row r="824" spans="1:155" x14ac:dyDescent="0.35">
      <c r="A824">
        <v>2025</v>
      </c>
      <c r="B824" t="s">
        <v>189</v>
      </c>
      <c r="C824" t="s">
        <v>317</v>
      </c>
      <c r="D824" t="s">
        <v>319</v>
      </c>
      <c r="E824" t="s">
        <v>191</v>
      </c>
      <c r="F824">
        <v>22</v>
      </c>
      <c r="G824">
        <v>3</v>
      </c>
      <c r="H824">
        <v>6</v>
      </c>
      <c r="I824" t="s">
        <v>200</v>
      </c>
      <c r="J824">
        <v>19</v>
      </c>
      <c r="K824">
        <v>27</v>
      </c>
      <c r="L824">
        <v>21</v>
      </c>
      <c r="M824">
        <v>23.3</v>
      </c>
      <c r="N824">
        <v>37.700000000000003</v>
      </c>
      <c r="O824">
        <v>28.136099999999999</v>
      </c>
      <c r="P824">
        <v>18.5595</v>
      </c>
      <c r="Q824">
        <v>26.646899999999999</v>
      </c>
      <c r="R824">
        <v>21.495200000000001</v>
      </c>
      <c r="T824" t="s">
        <v>165</v>
      </c>
      <c r="U824" t="s">
        <v>166</v>
      </c>
      <c r="V824" t="s">
        <v>201</v>
      </c>
      <c r="W824" t="s">
        <v>202</v>
      </c>
      <c r="Y824">
        <v>6</v>
      </c>
      <c r="Z824" t="s">
        <v>170</v>
      </c>
      <c r="AA824" t="s">
        <v>170</v>
      </c>
      <c r="AB824" t="s">
        <v>171</v>
      </c>
      <c r="AC824" t="s">
        <v>172</v>
      </c>
      <c r="AD824">
        <v>10</v>
      </c>
      <c r="AG824" t="s">
        <v>173</v>
      </c>
      <c r="AH824" t="s">
        <v>174</v>
      </c>
      <c r="AI824" t="s">
        <v>175</v>
      </c>
      <c r="AJ824" t="s">
        <v>176</v>
      </c>
      <c r="AK824" t="s">
        <v>170</v>
      </c>
      <c r="AL824" t="s">
        <v>177</v>
      </c>
      <c r="AS824">
        <v>3050</v>
      </c>
      <c r="AT824">
        <v>3050</v>
      </c>
      <c r="BN824" t="s">
        <v>178</v>
      </c>
      <c r="BO824">
        <v>2</v>
      </c>
      <c r="BP824">
        <v>2</v>
      </c>
      <c r="BQ824">
        <v>1</v>
      </c>
      <c r="BR824" t="s">
        <v>179</v>
      </c>
      <c r="BS824" t="s">
        <v>180</v>
      </c>
      <c r="BT824" t="s">
        <v>181</v>
      </c>
      <c r="BU824" s="1">
        <v>45471</v>
      </c>
      <c r="BV824">
        <v>34962</v>
      </c>
      <c r="BX824" t="s">
        <v>170</v>
      </c>
      <c r="BY824" t="s">
        <v>170</v>
      </c>
      <c r="CB824" t="s">
        <v>170</v>
      </c>
      <c r="CC824" t="s">
        <v>170</v>
      </c>
      <c r="CE824" t="s">
        <v>170</v>
      </c>
      <c r="CG824" t="s">
        <v>169</v>
      </c>
      <c r="CH824" t="s">
        <v>195</v>
      </c>
      <c r="CI824" t="s">
        <v>169</v>
      </c>
      <c r="CJ824" t="s">
        <v>196</v>
      </c>
      <c r="DJ824" t="s">
        <v>184</v>
      </c>
      <c r="DK824" t="s">
        <v>185</v>
      </c>
      <c r="DN824" t="s">
        <v>170</v>
      </c>
      <c r="DO824" t="s">
        <v>197</v>
      </c>
      <c r="DP824" t="s">
        <v>170</v>
      </c>
      <c r="DQ824" t="s">
        <v>187</v>
      </c>
      <c r="DY824">
        <v>28.3</v>
      </c>
      <c r="EB824">
        <v>4</v>
      </c>
      <c r="EC824">
        <v>4</v>
      </c>
      <c r="EE824" t="s">
        <v>199</v>
      </c>
      <c r="EF824">
        <v>4</v>
      </c>
      <c r="EV824">
        <v>5750</v>
      </c>
      <c r="EW824">
        <v>476</v>
      </c>
      <c r="EX824">
        <v>331</v>
      </c>
      <c r="EY824">
        <v>411</v>
      </c>
    </row>
    <row r="825" spans="1:155" x14ac:dyDescent="0.35">
      <c r="A825">
        <v>2025</v>
      </c>
      <c r="B825" t="s">
        <v>327</v>
      </c>
      <c r="C825" t="s">
        <v>317</v>
      </c>
      <c r="D825" t="s">
        <v>948</v>
      </c>
      <c r="E825" t="s">
        <v>330</v>
      </c>
      <c r="F825">
        <v>136</v>
      </c>
      <c r="G825">
        <v>2.4</v>
      </c>
      <c r="H825">
        <v>4</v>
      </c>
      <c r="I825" t="s">
        <v>192</v>
      </c>
      <c r="J825">
        <v>20</v>
      </c>
      <c r="K825">
        <v>26</v>
      </c>
      <c r="L825">
        <v>23</v>
      </c>
      <c r="M825">
        <v>25.9</v>
      </c>
      <c r="N825">
        <v>36.700000000000003</v>
      </c>
      <c r="O825">
        <v>29.853300000000001</v>
      </c>
      <c r="P825">
        <v>20.4572</v>
      </c>
      <c r="Q825">
        <v>25.998699999999999</v>
      </c>
      <c r="R825">
        <v>22.627500000000001</v>
      </c>
      <c r="T825" t="s">
        <v>165</v>
      </c>
      <c r="U825" t="s">
        <v>166</v>
      </c>
      <c r="V825" t="s">
        <v>193</v>
      </c>
      <c r="W825" t="s">
        <v>194</v>
      </c>
      <c r="Y825">
        <v>8</v>
      </c>
      <c r="Z825" t="s">
        <v>169</v>
      </c>
      <c r="AA825" t="s">
        <v>170</v>
      </c>
      <c r="AB825" t="s">
        <v>171</v>
      </c>
      <c r="AC825" t="s">
        <v>172</v>
      </c>
      <c r="AD825">
        <v>15</v>
      </c>
      <c r="AG825" t="s">
        <v>210</v>
      </c>
      <c r="AH825" t="s">
        <v>444</v>
      </c>
      <c r="AI825" t="s">
        <v>175</v>
      </c>
      <c r="AJ825" t="s">
        <v>176</v>
      </c>
      <c r="AK825" t="s">
        <v>940</v>
      </c>
      <c r="AL825" t="s">
        <v>941</v>
      </c>
      <c r="AS825">
        <v>2300</v>
      </c>
      <c r="AT825">
        <v>2300</v>
      </c>
      <c r="BN825" t="s">
        <v>265</v>
      </c>
      <c r="BO825">
        <v>2</v>
      </c>
      <c r="BP825">
        <v>2</v>
      </c>
      <c r="BQ825">
        <v>10</v>
      </c>
      <c r="BR825" t="s">
        <v>942</v>
      </c>
      <c r="BT825" t="s">
        <v>181</v>
      </c>
      <c r="BU825" s="1">
        <v>45638</v>
      </c>
      <c r="BV825">
        <v>35897</v>
      </c>
      <c r="BX825" t="s">
        <v>169</v>
      </c>
      <c r="BY825" t="s">
        <v>170</v>
      </c>
      <c r="CB825" t="s">
        <v>170</v>
      </c>
      <c r="CC825" t="s">
        <v>170</v>
      </c>
      <c r="CD825" t="s">
        <v>949</v>
      </c>
      <c r="CE825" t="s">
        <v>170</v>
      </c>
      <c r="CG825" t="s">
        <v>169</v>
      </c>
      <c r="CH825" t="s">
        <v>333</v>
      </c>
      <c r="CI825" t="s">
        <v>170</v>
      </c>
      <c r="DJ825" t="s">
        <v>267</v>
      </c>
      <c r="DK825" t="s">
        <v>268</v>
      </c>
      <c r="DN825" t="s">
        <v>170</v>
      </c>
      <c r="DO825" t="s">
        <v>358</v>
      </c>
      <c r="DP825" t="s">
        <v>170</v>
      </c>
      <c r="DQ825" t="s">
        <v>187</v>
      </c>
      <c r="EB825">
        <v>5</v>
      </c>
      <c r="EC825">
        <v>5</v>
      </c>
      <c r="EE825" t="s">
        <v>950</v>
      </c>
      <c r="EF825">
        <v>6</v>
      </c>
      <c r="EV825">
        <v>2000</v>
      </c>
      <c r="EW825">
        <v>435</v>
      </c>
      <c r="EX825">
        <v>343</v>
      </c>
      <c r="EY825">
        <v>394</v>
      </c>
    </row>
    <row r="826" spans="1:155" x14ac:dyDescent="0.35">
      <c r="A826">
        <v>2025</v>
      </c>
      <c r="B826" t="s">
        <v>327</v>
      </c>
      <c r="C826" t="s">
        <v>317</v>
      </c>
      <c r="D826" t="s">
        <v>963</v>
      </c>
      <c r="E826" t="s">
        <v>330</v>
      </c>
      <c r="F826">
        <v>137</v>
      </c>
      <c r="G826">
        <v>2.4</v>
      </c>
      <c r="H826">
        <v>4</v>
      </c>
      <c r="I826" t="s">
        <v>192</v>
      </c>
      <c r="J826">
        <v>19</v>
      </c>
      <c r="K826">
        <v>24</v>
      </c>
      <c r="L826">
        <v>21</v>
      </c>
      <c r="M826">
        <v>23.7</v>
      </c>
      <c r="N826">
        <v>34.340499999999999</v>
      </c>
      <c r="O826">
        <v>27.54</v>
      </c>
      <c r="P826">
        <v>18.8536</v>
      </c>
      <c r="Q826">
        <v>24.457599999999999</v>
      </c>
      <c r="R826">
        <v>21.021100000000001</v>
      </c>
      <c r="T826" t="s">
        <v>165</v>
      </c>
      <c r="U826" t="s">
        <v>166</v>
      </c>
      <c r="V826" t="s">
        <v>193</v>
      </c>
      <c r="W826" t="s">
        <v>194</v>
      </c>
      <c r="Y826">
        <v>8</v>
      </c>
      <c r="Z826" t="s">
        <v>169</v>
      </c>
      <c r="AA826" t="s">
        <v>170</v>
      </c>
      <c r="AB826" t="s">
        <v>809</v>
      </c>
      <c r="AC826" t="s">
        <v>810</v>
      </c>
      <c r="AD826">
        <v>15</v>
      </c>
      <c r="AG826" t="s">
        <v>210</v>
      </c>
      <c r="AH826" t="s">
        <v>444</v>
      </c>
      <c r="AI826" t="s">
        <v>175</v>
      </c>
      <c r="AJ826" t="s">
        <v>176</v>
      </c>
      <c r="AK826" t="s">
        <v>940</v>
      </c>
      <c r="AL826" t="s">
        <v>941</v>
      </c>
      <c r="AS826">
        <v>2500</v>
      </c>
      <c r="AT826">
        <v>2500</v>
      </c>
      <c r="BN826" t="s">
        <v>265</v>
      </c>
      <c r="BO826">
        <v>2</v>
      </c>
      <c r="BP826">
        <v>2</v>
      </c>
      <c r="BQ826">
        <v>11</v>
      </c>
      <c r="BR826" t="s">
        <v>956</v>
      </c>
      <c r="BT826" t="s">
        <v>181</v>
      </c>
      <c r="BU826" s="1">
        <v>45638</v>
      </c>
      <c r="BV826">
        <v>35900</v>
      </c>
      <c r="BX826" t="s">
        <v>169</v>
      </c>
      <c r="BY826" t="s">
        <v>170</v>
      </c>
      <c r="CB826" t="s">
        <v>170</v>
      </c>
      <c r="CC826" t="s">
        <v>170</v>
      </c>
      <c r="CD826" t="s">
        <v>949</v>
      </c>
      <c r="CE826" t="s">
        <v>170</v>
      </c>
      <c r="CG826" t="s">
        <v>169</v>
      </c>
      <c r="CH826" t="s">
        <v>333</v>
      </c>
      <c r="CI826" t="s">
        <v>170</v>
      </c>
      <c r="DJ826" t="s">
        <v>267</v>
      </c>
      <c r="DK826" t="s">
        <v>268</v>
      </c>
      <c r="DN826" t="s">
        <v>170</v>
      </c>
      <c r="DO826" t="s">
        <v>358</v>
      </c>
      <c r="DP826" t="s">
        <v>170</v>
      </c>
      <c r="DQ826" t="s">
        <v>187</v>
      </c>
      <c r="EB826">
        <v>4</v>
      </c>
      <c r="EC826">
        <v>4</v>
      </c>
      <c r="EE826" t="s">
        <v>950</v>
      </c>
      <c r="EF826">
        <v>6</v>
      </c>
      <c r="EV826">
        <v>3000</v>
      </c>
      <c r="EW826">
        <v>472</v>
      </c>
      <c r="EX826">
        <v>364</v>
      </c>
      <c r="EY826">
        <v>424</v>
      </c>
    </row>
    <row r="827" spans="1:155" x14ac:dyDescent="0.35">
      <c r="A827">
        <v>2025</v>
      </c>
      <c r="B827" t="s">
        <v>327</v>
      </c>
      <c r="C827" t="s">
        <v>317</v>
      </c>
      <c r="D827" t="s">
        <v>964</v>
      </c>
      <c r="E827" t="s">
        <v>330</v>
      </c>
      <c r="F827">
        <v>129</v>
      </c>
      <c r="G827">
        <v>2.4</v>
      </c>
      <c r="H827">
        <v>4</v>
      </c>
      <c r="I827" t="s">
        <v>200</v>
      </c>
      <c r="J827">
        <v>18</v>
      </c>
      <c r="K827">
        <v>23</v>
      </c>
      <c r="L827">
        <v>20</v>
      </c>
      <c r="M827">
        <v>22.3</v>
      </c>
      <c r="N827">
        <v>31.6</v>
      </c>
      <c r="O827">
        <v>25.7042</v>
      </c>
      <c r="P827">
        <v>17.821000000000002</v>
      </c>
      <c r="Q827">
        <v>22.646899999999999</v>
      </c>
      <c r="R827">
        <v>19.711099999999998</v>
      </c>
      <c r="T827" t="s">
        <v>165</v>
      </c>
      <c r="U827" t="s">
        <v>166</v>
      </c>
      <c r="V827" t="s">
        <v>201</v>
      </c>
      <c r="W827" t="s">
        <v>202</v>
      </c>
      <c r="Y827">
        <v>6</v>
      </c>
      <c r="Z827" t="s">
        <v>170</v>
      </c>
      <c r="AA827" t="s">
        <v>170</v>
      </c>
      <c r="AB827" t="s">
        <v>809</v>
      </c>
      <c r="AC827" t="s">
        <v>810</v>
      </c>
      <c r="AD827">
        <v>15</v>
      </c>
      <c r="AG827" t="s">
        <v>210</v>
      </c>
      <c r="AH827" t="s">
        <v>444</v>
      </c>
      <c r="AI827" t="s">
        <v>175</v>
      </c>
      <c r="AJ827" t="s">
        <v>176</v>
      </c>
      <c r="AK827" t="s">
        <v>940</v>
      </c>
      <c r="AL827" t="s">
        <v>941</v>
      </c>
      <c r="AS827">
        <v>2600</v>
      </c>
      <c r="AT827">
        <v>2600</v>
      </c>
      <c r="BN827" t="s">
        <v>265</v>
      </c>
      <c r="BO827">
        <v>2</v>
      </c>
      <c r="BP827">
        <v>2</v>
      </c>
      <c r="BQ827">
        <v>11</v>
      </c>
      <c r="BR827" t="s">
        <v>956</v>
      </c>
      <c r="BT827" t="s">
        <v>181</v>
      </c>
      <c r="BU827" s="1">
        <v>45638</v>
      </c>
      <c r="BV827">
        <v>35891</v>
      </c>
      <c r="BX827" t="s">
        <v>170</v>
      </c>
      <c r="BY827" t="s">
        <v>170</v>
      </c>
      <c r="CB827" t="s">
        <v>170</v>
      </c>
      <c r="CC827" t="s">
        <v>170</v>
      </c>
      <c r="CE827" t="s">
        <v>170</v>
      </c>
      <c r="CG827" t="s">
        <v>169</v>
      </c>
      <c r="CH827" t="s">
        <v>333</v>
      </c>
      <c r="CI827" t="s">
        <v>170</v>
      </c>
      <c r="DJ827" t="s">
        <v>267</v>
      </c>
      <c r="DK827" t="s">
        <v>268</v>
      </c>
      <c r="DN827" t="s">
        <v>170</v>
      </c>
      <c r="DO827" t="s">
        <v>358</v>
      </c>
      <c r="DP827" t="s">
        <v>170</v>
      </c>
      <c r="DQ827" t="s">
        <v>187</v>
      </c>
      <c r="EB827">
        <v>4</v>
      </c>
      <c r="EC827">
        <v>4</v>
      </c>
      <c r="EE827" t="s">
        <v>965</v>
      </c>
      <c r="EF827">
        <v>4</v>
      </c>
      <c r="EV827">
        <v>3500</v>
      </c>
      <c r="EW827">
        <v>499</v>
      </c>
      <c r="EX827">
        <v>393</v>
      </c>
      <c r="EY827">
        <v>452</v>
      </c>
    </row>
    <row r="828" spans="1:155" x14ac:dyDescent="0.35">
      <c r="A828">
        <v>2025</v>
      </c>
      <c r="B828" t="s">
        <v>327</v>
      </c>
      <c r="C828" t="s">
        <v>317</v>
      </c>
      <c r="D828" t="s">
        <v>1063</v>
      </c>
      <c r="E828" t="s">
        <v>330</v>
      </c>
      <c r="F828">
        <v>135</v>
      </c>
      <c r="G828">
        <v>2.4</v>
      </c>
      <c r="H828">
        <v>4</v>
      </c>
      <c r="I828" t="s">
        <v>192</v>
      </c>
      <c r="J828">
        <v>22</v>
      </c>
      <c r="K828">
        <v>24</v>
      </c>
      <c r="L828">
        <v>23</v>
      </c>
      <c r="M828">
        <v>28.887499999999999</v>
      </c>
      <c r="N828">
        <v>34.039099999999998</v>
      </c>
      <c r="O828">
        <v>30.998699999999999</v>
      </c>
      <c r="P828">
        <v>22</v>
      </c>
      <c r="Q828">
        <v>24.259599999999999</v>
      </c>
      <c r="R828">
        <v>23.3171</v>
      </c>
      <c r="T828" t="s">
        <v>165</v>
      </c>
      <c r="U828" t="s">
        <v>166</v>
      </c>
      <c r="V828" t="s">
        <v>193</v>
      </c>
      <c r="W828" t="s">
        <v>194</v>
      </c>
      <c r="Y828">
        <v>8</v>
      </c>
      <c r="Z828" t="s">
        <v>169</v>
      </c>
      <c r="AA828" t="s">
        <v>170</v>
      </c>
      <c r="AB828" t="s">
        <v>809</v>
      </c>
      <c r="AC828" t="s">
        <v>810</v>
      </c>
      <c r="AD828">
        <v>15</v>
      </c>
      <c r="AG828" t="s">
        <v>210</v>
      </c>
      <c r="AH828" t="s">
        <v>444</v>
      </c>
      <c r="AI828" t="s">
        <v>175</v>
      </c>
      <c r="AJ828" t="s">
        <v>176</v>
      </c>
      <c r="AK828" t="s">
        <v>940</v>
      </c>
      <c r="AL828" t="s">
        <v>941</v>
      </c>
      <c r="AS828">
        <v>2300</v>
      </c>
      <c r="AT828">
        <v>2300</v>
      </c>
      <c r="BN828" t="s">
        <v>465</v>
      </c>
      <c r="BO828">
        <v>2</v>
      </c>
      <c r="BP828">
        <v>2</v>
      </c>
      <c r="BQ828">
        <v>13</v>
      </c>
      <c r="BR828" t="s">
        <v>1016</v>
      </c>
      <c r="BT828" t="s">
        <v>181</v>
      </c>
      <c r="BU828" s="1">
        <v>45638</v>
      </c>
      <c r="BV828">
        <v>35898</v>
      </c>
      <c r="BX828" t="s">
        <v>170</v>
      </c>
      <c r="BY828" t="s">
        <v>170</v>
      </c>
      <c r="CB828" t="s">
        <v>170</v>
      </c>
      <c r="CC828" t="s">
        <v>170</v>
      </c>
      <c r="CD828" t="s">
        <v>1064</v>
      </c>
      <c r="CE828" t="s">
        <v>170</v>
      </c>
      <c r="CG828" t="s">
        <v>169</v>
      </c>
      <c r="CH828" t="s">
        <v>333</v>
      </c>
      <c r="CI828" t="s">
        <v>170</v>
      </c>
      <c r="CK828" t="s">
        <v>233</v>
      </c>
      <c r="CM828">
        <v>1</v>
      </c>
      <c r="CN828" t="s">
        <v>814</v>
      </c>
      <c r="CP828">
        <v>288</v>
      </c>
      <c r="CQ828">
        <v>6.5</v>
      </c>
      <c r="CR828">
        <v>46.4</v>
      </c>
      <c r="CS828" t="s">
        <v>235</v>
      </c>
      <c r="CV828" t="s">
        <v>341</v>
      </c>
      <c r="CX828" t="s">
        <v>342</v>
      </c>
      <c r="CY828" t="s">
        <v>170</v>
      </c>
      <c r="DD828">
        <v>1</v>
      </c>
      <c r="DE828" t="s">
        <v>404</v>
      </c>
      <c r="DF828" t="s">
        <v>466</v>
      </c>
      <c r="DG828">
        <v>36</v>
      </c>
      <c r="DJ828" t="s">
        <v>267</v>
      </c>
      <c r="DK828" t="s">
        <v>268</v>
      </c>
      <c r="DL828" t="s">
        <v>170</v>
      </c>
      <c r="DM828" t="s">
        <v>170</v>
      </c>
      <c r="DN828" t="s">
        <v>170</v>
      </c>
      <c r="DO828" t="s">
        <v>358</v>
      </c>
      <c r="DP828" t="s">
        <v>169</v>
      </c>
      <c r="DQ828" t="s">
        <v>198</v>
      </c>
      <c r="DR828" t="s">
        <v>467</v>
      </c>
      <c r="EB828">
        <v>5</v>
      </c>
      <c r="EC828">
        <v>5</v>
      </c>
      <c r="EE828" t="s">
        <v>1065</v>
      </c>
      <c r="EF828">
        <v>6</v>
      </c>
      <c r="EV828">
        <v>2000</v>
      </c>
      <c r="EW828">
        <v>403</v>
      </c>
      <c r="EX828">
        <v>366</v>
      </c>
      <c r="EY828">
        <v>386</v>
      </c>
    </row>
    <row r="829" spans="1:155" x14ac:dyDescent="0.35">
      <c r="A829">
        <v>2025</v>
      </c>
      <c r="B829" t="s">
        <v>327</v>
      </c>
      <c r="C829" t="s">
        <v>317</v>
      </c>
      <c r="D829" t="s">
        <v>1063</v>
      </c>
      <c r="E829" t="s">
        <v>330</v>
      </c>
      <c r="F829">
        <v>138</v>
      </c>
      <c r="G829">
        <v>2.4</v>
      </c>
      <c r="H829">
        <v>4</v>
      </c>
      <c r="I829" t="s">
        <v>192</v>
      </c>
      <c r="J829">
        <v>23</v>
      </c>
      <c r="K829">
        <v>24</v>
      </c>
      <c r="L829">
        <v>23</v>
      </c>
      <c r="M829">
        <v>28.760200000000001</v>
      </c>
      <c r="N829">
        <v>34.033099999999997</v>
      </c>
      <c r="O829">
        <v>30.915600000000001</v>
      </c>
      <c r="P829">
        <v>22.508299999999998</v>
      </c>
      <c r="Q829">
        <v>24.255700000000001</v>
      </c>
      <c r="R829">
        <v>23.2624</v>
      </c>
      <c r="T829" t="s">
        <v>165</v>
      </c>
      <c r="U829" t="s">
        <v>166</v>
      </c>
      <c r="V829" t="s">
        <v>193</v>
      </c>
      <c r="W829" t="s">
        <v>194</v>
      </c>
      <c r="Y829">
        <v>8</v>
      </c>
      <c r="Z829" t="s">
        <v>169</v>
      </c>
      <c r="AA829" t="s">
        <v>170</v>
      </c>
      <c r="AB829">
        <v>4</v>
      </c>
      <c r="AC829" t="s">
        <v>601</v>
      </c>
      <c r="AD829">
        <v>15</v>
      </c>
      <c r="AG829" t="s">
        <v>210</v>
      </c>
      <c r="AH829" t="s">
        <v>444</v>
      </c>
      <c r="AI829" t="s">
        <v>175</v>
      </c>
      <c r="AJ829" t="s">
        <v>176</v>
      </c>
      <c r="AK829" t="s">
        <v>940</v>
      </c>
      <c r="AL829" t="s">
        <v>941</v>
      </c>
      <c r="AS829">
        <v>2300</v>
      </c>
      <c r="AT829">
        <v>2300</v>
      </c>
      <c r="BN829" t="s">
        <v>465</v>
      </c>
      <c r="BO829">
        <v>2</v>
      </c>
      <c r="BP829">
        <v>2</v>
      </c>
      <c r="BQ829">
        <v>13</v>
      </c>
      <c r="BR829" t="s">
        <v>1016</v>
      </c>
      <c r="BT829" t="s">
        <v>181</v>
      </c>
      <c r="BU829" s="1">
        <v>45638</v>
      </c>
      <c r="BV829">
        <v>35899</v>
      </c>
      <c r="BX829" t="s">
        <v>170</v>
      </c>
      <c r="BY829" t="s">
        <v>170</v>
      </c>
      <c r="CB829" t="s">
        <v>170</v>
      </c>
      <c r="CC829" t="s">
        <v>170</v>
      </c>
      <c r="CD829" t="s">
        <v>1064</v>
      </c>
      <c r="CE829" t="s">
        <v>170</v>
      </c>
      <c r="CG829" t="s">
        <v>169</v>
      </c>
      <c r="CH829" t="s">
        <v>333</v>
      </c>
      <c r="CI829" t="s">
        <v>170</v>
      </c>
      <c r="CK829" t="s">
        <v>233</v>
      </c>
      <c r="CM829">
        <v>1</v>
      </c>
      <c r="CN829" t="s">
        <v>814</v>
      </c>
      <c r="CP829">
        <v>288</v>
      </c>
      <c r="CQ829">
        <v>6.5</v>
      </c>
      <c r="CR829">
        <v>46.4</v>
      </c>
      <c r="CS829" t="s">
        <v>235</v>
      </c>
      <c r="CV829" t="s">
        <v>341</v>
      </c>
      <c r="CX829" t="s">
        <v>342</v>
      </c>
      <c r="CY829" t="s">
        <v>170</v>
      </c>
      <c r="DD829">
        <v>1</v>
      </c>
      <c r="DE829" t="s">
        <v>404</v>
      </c>
      <c r="DF829" t="s">
        <v>466</v>
      </c>
      <c r="DG829">
        <v>36</v>
      </c>
      <c r="DJ829" t="s">
        <v>267</v>
      </c>
      <c r="DK829" t="s">
        <v>268</v>
      </c>
      <c r="DL829" t="s">
        <v>170</v>
      </c>
      <c r="DM829" t="s">
        <v>170</v>
      </c>
      <c r="DN829" t="s">
        <v>170</v>
      </c>
      <c r="DO829" t="s">
        <v>358</v>
      </c>
      <c r="DP829" t="s">
        <v>169</v>
      </c>
      <c r="DQ829" t="s">
        <v>198</v>
      </c>
      <c r="DR829" t="s">
        <v>467</v>
      </c>
      <c r="EB829">
        <v>5</v>
      </c>
      <c r="EC829">
        <v>5</v>
      </c>
      <c r="EE829" t="s">
        <v>1065</v>
      </c>
      <c r="EF829">
        <v>6</v>
      </c>
      <c r="EV829">
        <v>2000</v>
      </c>
      <c r="EW829">
        <v>393</v>
      </c>
      <c r="EX829">
        <v>365</v>
      </c>
      <c r="EY829">
        <v>380</v>
      </c>
    </row>
    <row r="830" spans="1:155" x14ac:dyDescent="0.35">
      <c r="A830">
        <v>2025</v>
      </c>
      <c r="B830" t="s">
        <v>327</v>
      </c>
      <c r="C830" t="s">
        <v>317</v>
      </c>
      <c r="D830" t="s">
        <v>967</v>
      </c>
      <c r="E830" t="s">
        <v>330</v>
      </c>
      <c r="F830">
        <v>130</v>
      </c>
      <c r="G830">
        <v>2.4</v>
      </c>
      <c r="H830">
        <v>4</v>
      </c>
      <c r="I830" t="s">
        <v>192</v>
      </c>
      <c r="J830">
        <v>19</v>
      </c>
      <c r="K830">
        <v>23</v>
      </c>
      <c r="L830">
        <v>21</v>
      </c>
      <c r="M830">
        <v>23.909300000000002</v>
      </c>
      <c r="N830">
        <v>32.023899999999998</v>
      </c>
      <c r="O830">
        <v>26.986499999999999</v>
      </c>
      <c r="P830">
        <v>19.007100000000001</v>
      </c>
      <c r="Q830">
        <v>22.9285</v>
      </c>
      <c r="R830">
        <v>20.591899999999999</v>
      </c>
      <c r="T830" t="s">
        <v>165</v>
      </c>
      <c r="U830" t="s">
        <v>166</v>
      </c>
      <c r="V830" t="s">
        <v>193</v>
      </c>
      <c r="W830" t="s">
        <v>194</v>
      </c>
      <c r="Y830">
        <v>8</v>
      </c>
      <c r="Z830" t="s">
        <v>169</v>
      </c>
      <c r="AA830" t="s">
        <v>170</v>
      </c>
      <c r="AB830" t="s">
        <v>809</v>
      </c>
      <c r="AC830" t="s">
        <v>810</v>
      </c>
      <c r="AD830">
        <v>15</v>
      </c>
      <c r="AG830" t="s">
        <v>210</v>
      </c>
      <c r="AH830" t="s">
        <v>444</v>
      </c>
      <c r="AI830" t="s">
        <v>175</v>
      </c>
      <c r="AJ830" t="s">
        <v>176</v>
      </c>
      <c r="AK830" t="s">
        <v>940</v>
      </c>
      <c r="AL830" t="s">
        <v>941</v>
      </c>
      <c r="AS830">
        <v>2500</v>
      </c>
      <c r="AT830">
        <v>2500</v>
      </c>
      <c r="BN830" t="s">
        <v>265</v>
      </c>
      <c r="BO830">
        <v>2</v>
      </c>
      <c r="BP830">
        <v>2</v>
      </c>
      <c r="BQ830">
        <v>11</v>
      </c>
      <c r="BR830" t="s">
        <v>956</v>
      </c>
      <c r="BT830" t="s">
        <v>181</v>
      </c>
      <c r="BU830" s="1">
        <v>45638</v>
      </c>
      <c r="BV830">
        <v>35892</v>
      </c>
      <c r="BX830" t="s">
        <v>170</v>
      </c>
      <c r="BY830" t="s">
        <v>170</v>
      </c>
      <c r="CB830" t="s">
        <v>170</v>
      </c>
      <c r="CC830" t="s">
        <v>170</v>
      </c>
      <c r="CD830" t="s">
        <v>953</v>
      </c>
      <c r="CE830" t="s">
        <v>170</v>
      </c>
      <c r="CG830" t="s">
        <v>169</v>
      </c>
      <c r="CH830" t="s">
        <v>333</v>
      </c>
      <c r="CI830" t="s">
        <v>170</v>
      </c>
      <c r="DJ830" t="s">
        <v>267</v>
      </c>
      <c r="DK830" t="s">
        <v>268</v>
      </c>
      <c r="DN830" t="s">
        <v>170</v>
      </c>
      <c r="DO830" t="s">
        <v>358</v>
      </c>
      <c r="DP830" t="s">
        <v>170</v>
      </c>
      <c r="DQ830" t="s">
        <v>187</v>
      </c>
      <c r="DR830" t="s">
        <v>968</v>
      </c>
      <c r="EB830">
        <v>4</v>
      </c>
      <c r="EC830">
        <v>4</v>
      </c>
      <c r="EE830" t="s">
        <v>950</v>
      </c>
      <c r="EF830">
        <v>6</v>
      </c>
      <c r="EV830">
        <v>3000</v>
      </c>
      <c r="EW830">
        <v>469</v>
      </c>
      <c r="EX830">
        <v>388</v>
      </c>
      <c r="EY830">
        <v>433</v>
      </c>
    </row>
    <row r="831" spans="1:155" x14ac:dyDescent="0.35">
      <c r="A831">
        <v>2025</v>
      </c>
      <c r="B831" t="s">
        <v>327</v>
      </c>
      <c r="C831" t="s">
        <v>317</v>
      </c>
      <c r="D831" t="s">
        <v>967</v>
      </c>
      <c r="E831" t="s">
        <v>330</v>
      </c>
      <c r="F831">
        <v>132</v>
      </c>
      <c r="G831">
        <v>2.4</v>
      </c>
      <c r="H831">
        <v>4</v>
      </c>
      <c r="I831" t="s">
        <v>192</v>
      </c>
      <c r="J831">
        <v>20</v>
      </c>
      <c r="K831">
        <v>23</v>
      </c>
      <c r="L831">
        <v>21</v>
      </c>
      <c r="M831">
        <v>25.1</v>
      </c>
      <c r="N831">
        <v>32.200000000000003</v>
      </c>
      <c r="O831">
        <v>27.864899999999999</v>
      </c>
      <c r="P831">
        <v>19.8767</v>
      </c>
      <c r="Q831">
        <v>23.045300000000001</v>
      </c>
      <c r="R831">
        <v>21.1876</v>
      </c>
      <c r="T831" t="s">
        <v>165</v>
      </c>
      <c r="U831" t="s">
        <v>166</v>
      </c>
      <c r="V831" t="s">
        <v>193</v>
      </c>
      <c r="W831" t="s">
        <v>194</v>
      </c>
      <c r="Y831">
        <v>8</v>
      </c>
      <c r="Z831" t="s">
        <v>169</v>
      </c>
      <c r="AA831" t="s">
        <v>170</v>
      </c>
      <c r="AB831" t="s">
        <v>809</v>
      </c>
      <c r="AC831" t="s">
        <v>810</v>
      </c>
      <c r="AD831">
        <v>15</v>
      </c>
      <c r="AG831" t="s">
        <v>210</v>
      </c>
      <c r="AH831" t="s">
        <v>444</v>
      </c>
      <c r="AI831" t="s">
        <v>175</v>
      </c>
      <c r="AJ831" t="s">
        <v>176</v>
      </c>
      <c r="AK831" t="s">
        <v>940</v>
      </c>
      <c r="AL831" t="s">
        <v>941</v>
      </c>
      <c r="AS831">
        <v>2500</v>
      </c>
      <c r="AT831">
        <v>2500</v>
      </c>
      <c r="BN831" t="s">
        <v>265</v>
      </c>
      <c r="BO831">
        <v>2</v>
      </c>
      <c r="BP831">
        <v>2</v>
      </c>
      <c r="BQ831">
        <v>11</v>
      </c>
      <c r="BR831" t="s">
        <v>956</v>
      </c>
      <c r="BT831" t="s">
        <v>181</v>
      </c>
      <c r="BU831" s="1">
        <v>45638</v>
      </c>
      <c r="BV831">
        <v>35894</v>
      </c>
      <c r="BX831" t="s">
        <v>170</v>
      </c>
      <c r="BY831" t="s">
        <v>170</v>
      </c>
      <c r="CB831" t="s">
        <v>170</v>
      </c>
      <c r="CC831" t="s">
        <v>170</v>
      </c>
      <c r="CD831" t="s">
        <v>953</v>
      </c>
      <c r="CE831" t="s">
        <v>170</v>
      </c>
      <c r="CG831" t="s">
        <v>169</v>
      </c>
      <c r="CH831" t="s">
        <v>333</v>
      </c>
      <c r="CI831" t="s">
        <v>170</v>
      </c>
      <c r="DJ831" t="s">
        <v>267</v>
      </c>
      <c r="DK831" t="s">
        <v>268</v>
      </c>
      <c r="DN831" t="s">
        <v>170</v>
      </c>
      <c r="DO831" t="s">
        <v>358</v>
      </c>
      <c r="DP831" t="s">
        <v>169</v>
      </c>
      <c r="DQ831" t="s">
        <v>198</v>
      </c>
      <c r="DR831" t="s">
        <v>969</v>
      </c>
      <c r="EB831">
        <v>4</v>
      </c>
      <c r="EC831">
        <v>4</v>
      </c>
      <c r="EE831" t="s">
        <v>950</v>
      </c>
      <c r="EF831">
        <v>6</v>
      </c>
      <c r="EV831">
        <v>3000</v>
      </c>
      <c r="EW831">
        <v>448</v>
      </c>
      <c r="EX831">
        <v>386</v>
      </c>
      <c r="EY831">
        <v>420</v>
      </c>
    </row>
    <row r="832" spans="1:155" x14ac:dyDescent="0.35">
      <c r="A832">
        <v>2025</v>
      </c>
      <c r="B832" t="s">
        <v>327</v>
      </c>
      <c r="C832" t="s">
        <v>317</v>
      </c>
      <c r="D832" t="s">
        <v>967</v>
      </c>
      <c r="E832" t="s">
        <v>330</v>
      </c>
      <c r="F832">
        <v>133</v>
      </c>
      <c r="G832">
        <v>2.4</v>
      </c>
      <c r="H832">
        <v>4</v>
      </c>
      <c r="I832" t="s">
        <v>192</v>
      </c>
      <c r="J832">
        <v>19</v>
      </c>
      <c r="K832">
        <v>24</v>
      </c>
      <c r="L832">
        <v>21</v>
      </c>
      <c r="M832">
        <v>23.7</v>
      </c>
      <c r="N832">
        <v>34.299999999999997</v>
      </c>
      <c r="O832">
        <v>27.528300000000002</v>
      </c>
      <c r="P832">
        <v>18.8536</v>
      </c>
      <c r="Q832">
        <v>24.431000000000001</v>
      </c>
      <c r="R832">
        <v>21.0122</v>
      </c>
      <c r="T832" t="s">
        <v>165</v>
      </c>
      <c r="U832" t="s">
        <v>166</v>
      </c>
      <c r="V832" t="s">
        <v>193</v>
      </c>
      <c r="W832" t="s">
        <v>194</v>
      </c>
      <c r="Y832">
        <v>8</v>
      </c>
      <c r="Z832" t="s">
        <v>169</v>
      </c>
      <c r="AA832" t="s">
        <v>170</v>
      </c>
      <c r="AB832" t="s">
        <v>809</v>
      </c>
      <c r="AC832" t="s">
        <v>810</v>
      </c>
      <c r="AD832">
        <v>15</v>
      </c>
      <c r="AG832" t="s">
        <v>210</v>
      </c>
      <c r="AH832" t="s">
        <v>444</v>
      </c>
      <c r="AI832" t="s">
        <v>175</v>
      </c>
      <c r="AJ832" t="s">
        <v>176</v>
      </c>
      <c r="AK832" t="s">
        <v>940</v>
      </c>
      <c r="AL832" t="s">
        <v>941</v>
      </c>
      <c r="AS832">
        <v>2500</v>
      </c>
      <c r="AT832">
        <v>2500</v>
      </c>
      <c r="BN832" t="s">
        <v>265</v>
      </c>
      <c r="BO832">
        <v>2</v>
      </c>
      <c r="BP832">
        <v>2</v>
      </c>
      <c r="BQ832">
        <v>11</v>
      </c>
      <c r="BR832" t="s">
        <v>956</v>
      </c>
      <c r="BT832" t="s">
        <v>181</v>
      </c>
      <c r="BU832" s="1">
        <v>45638</v>
      </c>
      <c r="BV832">
        <v>35895</v>
      </c>
      <c r="BX832" t="s">
        <v>170</v>
      </c>
      <c r="BY832" t="s">
        <v>170</v>
      </c>
      <c r="CB832" t="s">
        <v>170</v>
      </c>
      <c r="CC832" t="s">
        <v>170</v>
      </c>
      <c r="CD832" t="s">
        <v>953</v>
      </c>
      <c r="CE832" t="s">
        <v>170</v>
      </c>
      <c r="CG832" t="s">
        <v>169</v>
      </c>
      <c r="CH832" t="s">
        <v>333</v>
      </c>
      <c r="CI832" t="s">
        <v>170</v>
      </c>
      <c r="DJ832" t="s">
        <v>267</v>
      </c>
      <c r="DK832" t="s">
        <v>268</v>
      </c>
      <c r="DN832" t="s">
        <v>170</v>
      </c>
      <c r="DO832" t="s">
        <v>358</v>
      </c>
      <c r="DP832" t="s">
        <v>170</v>
      </c>
      <c r="DQ832" t="s">
        <v>187</v>
      </c>
      <c r="DR832" t="s">
        <v>966</v>
      </c>
      <c r="EB832">
        <v>4</v>
      </c>
      <c r="EC832">
        <v>4</v>
      </c>
      <c r="EE832" t="s">
        <v>950</v>
      </c>
      <c r="EF832">
        <v>6</v>
      </c>
      <c r="EV832">
        <v>3000</v>
      </c>
      <c r="EW832">
        <v>473</v>
      </c>
      <c r="EX832">
        <v>365</v>
      </c>
      <c r="EY832">
        <v>424</v>
      </c>
    </row>
    <row r="833" spans="1:155" x14ac:dyDescent="0.35">
      <c r="A833">
        <v>2025</v>
      </c>
      <c r="B833" t="s">
        <v>327</v>
      </c>
      <c r="C833" t="s">
        <v>317</v>
      </c>
      <c r="D833" t="s">
        <v>952</v>
      </c>
      <c r="E833" t="s">
        <v>330</v>
      </c>
      <c r="F833">
        <v>131</v>
      </c>
      <c r="G833">
        <v>2.4</v>
      </c>
      <c r="H833">
        <v>4</v>
      </c>
      <c r="I833" t="s">
        <v>192</v>
      </c>
      <c r="J833">
        <v>20</v>
      </c>
      <c r="K833">
        <v>24</v>
      </c>
      <c r="L833">
        <v>22</v>
      </c>
      <c r="M833">
        <v>25.829000000000001</v>
      </c>
      <c r="N833">
        <v>34.222799999999999</v>
      </c>
      <c r="O833">
        <v>29.0335</v>
      </c>
      <c r="P833">
        <v>20.405799999999999</v>
      </c>
      <c r="Q833">
        <v>24.380299999999998</v>
      </c>
      <c r="R833">
        <v>22.0213</v>
      </c>
      <c r="T833" t="s">
        <v>165</v>
      </c>
      <c r="U833" t="s">
        <v>166</v>
      </c>
      <c r="V833" t="s">
        <v>193</v>
      </c>
      <c r="W833" t="s">
        <v>194</v>
      </c>
      <c r="Y833">
        <v>8</v>
      </c>
      <c r="Z833" t="s">
        <v>169</v>
      </c>
      <c r="AA833" t="s">
        <v>170</v>
      </c>
      <c r="AB833" t="s">
        <v>171</v>
      </c>
      <c r="AC833" t="s">
        <v>172</v>
      </c>
      <c r="AD833">
        <v>15</v>
      </c>
      <c r="AG833" t="s">
        <v>210</v>
      </c>
      <c r="AH833" t="s">
        <v>444</v>
      </c>
      <c r="AI833" t="s">
        <v>175</v>
      </c>
      <c r="AJ833" t="s">
        <v>176</v>
      </c>
      <c r="AK833" t="s">
        <v>940</v>
      </c>
      <c r="AL833" t="s">
        <v>941</v>
      </c>
      <c r="AS833">
        <v>2400</v>
      </c>
      <c r="AT833">
        <v>2400</v>
      </c>
      <c r="BN833" t="s">
        <v>265</v>
      </c>
      <c r="BO833">
        <v>2</v>
      </c>
      <c r="BP833">
        <v>2</v>
      </c>
      <c r="BQ833">
        <v>10</v>
      </c>
      <c r="BR833" t="s">
        <v>942</v>
      </c>
      <c r="BT833" t="s">
        <v>181</v>
      </c>
      <c r="BU833" s="1">
        <v>45638</v>
      </c>
      <c r="BV833">
        <v>35893</v>
      </c>
      <c r="BX833" t="s">
        <v>170</v>
      </c>
      <c r="BY833" t="s">
        <v>170</v>
      </c>
      <c r="CB833" t="s">
        <v>170</v>
      </c>
      <c r="CC833" t="s">
        <v>170</v>
      </c>
      <c r="CD833" t="s">
        <v>953</v>
      </c>
      <c r="CE833" t="s">
        <v>170</v>
      </c>
      <c r="CG833" t="s">
        <v>169</v>
      </c>
      <c r="CH833" t="s">
        <v>333</v>
      </c>
      <c r="CI833" t="s">
        <v>170</v>
      </c>
      <c r="DJ833" t="s">
        <v>267</v>
      </c>
      <c r="DK833" t="s">
        <v>268</v>
      </c>
      <c r="DN833" t="s">
        <v>170</v>
      </c>
      <c r="DO833" t="s">
        <v>358</v>
      </c>
      <c r="DP833" t="s">
        <v>169</v>
      </c>
      <c r="DQ833" t="s">
        <v>198</v>
      </c>
      <c r="DR833" t="s">
        <v>951</v>
      </c>
      <c r="EB833">
        <v>5</v>
      </c>
      <c r="EC833">
        <v>5</v>
      </c>
      <c r="EE833" t="s">
        <v>950</v>
      </c>
      <c r="EF833">
        <v>6</v>
      </c>
      <c r="EV833">
        <v>2500</v>
      </c>
      <c r="EW833">
        <v>436</v>
      </c>
      <c r="EX833">
        <v>365</v>
      </c>
      <c r="EY833">
        <v>404</v>
      </c>
    </row>
    <row r="834" spans="1:155" x14ac:dyDescent="0.35">
      <c r="A834">
        <v>2025</v>
      </c>
      <c r="B834" t="s">
        <v>327</v>
      </c>
      <c r="C834" t="s">
        <v>317</v>
      </c>
      <c r="D834" t="s">
        <v>952</v>
      </c>
      <c r="E834" t="s">
        <v>330</v>
      </c>
      <c r="F834">
        <v>134</v>
      </c>
      <c r="G834">
        <v>2.4</v>
      </c>
      <c r="H834">
        <v>4</v>
      </c>
      <c r="I834" t="s">
        <v>192</v>
      </c>
      <c r="J834">
        <v>21</v>
      </c>
      <c r="K834">
        <v>26</v>
      </c>
      <c r="L834">
        <v>23</v>
      </c>
      <c r="M834">
        <v>26.2</v>
      </c>
      <c r="N834">
        <v>36.200000000000003</v>
      </c>
      <c r="O834">
        <v>29.9192</v>
      </c>
      <c r="P834">
        <v>20.674099999999999</v>
      </c>
      <c r="Q834">
        <v>25.673500000000001</v>
      </c>
      <c r="R834">
        <v>22.659700000000001</v>
      </c>
      <c r="T834" t="s">
        <v>165</v>
      </c>
      <c r="U834" t="s">
        <v>166</v>
      </c>
      <c r="V834" t="s">
        <v>193</v>
      </c>
      <c r="W834" t="s">
        <v>194</v>
      </c>
      <c r="Y834">
        <v>8</v>
      </c>
      <c r="Z834" t="s">
        <v>169</v>
      </c>
      <c r="AA834" t="s">
        <v>170</v>
      </c>
      <c r="AB834" t="s">
        <v>171</v>
      </c>
      <c r="AC834" t="s">
        <v>172</v>
      </c>
      <c r="AD834">
        <v>15</v>
      </c>
      <c r="AG834" t="s">
        <v>210</v>
      </c>
      <c r="AH834" t="s">
        <v>444</v>
      </c>
      <c r="AI834" t="s">
        <v>175</v>
      </c>
      <c r="AJ834" t="s">
        <v>176</v>
      </c>
      <c r="AK834" t="s">
        <v>940</v>
      </c>
      <c r="AL834" t="s">
        <v>941</v>
      </c>
      <c r="AS834">
        <v>2300</v>
      </c>
      <c r="AT834">
        <v>2300</v>
      </c>
      <c r="BN834" t="s">
        <v>265</v>
      </c>
      <c r="BO834">
        <v>2</v>
      </c>
      <c r="BP834">
        <v>2</v>
      </c>
      <c r="BQ834">
        <v>10</v>
      </c>
      <c r="BR834" t="s">
        <v>942</v>
      </c>
      <c r="BT834" t="s">
        <v>181</v>
      </c>
      <c r="BU834" s="1">
        <v>45638</v>
      </c>
      <c r="BV834">
        <v>35896</v>
      </c>
      <c r="BX834" t="s">
        <v>170</v>
      </c>
      <c r="BY834" t="s">
        <v>170</v>
      </c>
      <c r="CB834" t="s">
        <v>170</v>
      </c>
      <c r="CC834" t="s">
        <v>170</v>
      </c>
      <c r="CD834" t="s">
        <v>953</v>
      </c>
      <c r="CE834" t="s">
        <v>170</v>
      </c>
      <c r="CG834" t="s">
        <v>169</v>
      </c>
      <c r="CH834" t="s">
        <v>333</v>
      </c>
      <c r="CI834" t="s">
        <v>170</v>
      </c>
      <c r="DJ834" t="s">
        <v>267</v>
      </c>
      <c r="DK834" t="s">
        <v>268</v>
      </c>
      <c r="DN834" t="s">
        <v>170</v>
      </c>
      <c r="DO834" t="s">
        <v>358</v>
      </c>
      <c r="DP834" t="s">
        <v>169</v>
      </c>
      <c r="DQ834" t="s">
        <v>198</v>
      </c>
      <c r="DR834" t="s">
        <v>954</v>
      </c>
      <c r="EB834">
        <v>5</v>
      </c>
      <c r="EC834">
        <v>5</v>
      </c>
      <c r="EE834" t="s">
        <v>950</v>
      </c>
      <c r="EF834">
        <v>6</v>
      </c>
      <c r="EV834">
        <v>2000</v>
      </c>
      <c r="EW834">
        <v>431</v>
      </c>
      <c r="EX834">
        <v>347</v>
      </c>
      <c r="EY834">
        <v>393</v>
      </c>
    </row>
    <row r="835" spans="1:155" x14ac:dyDescent="0.35">
      <c r="A835">
        <v>2025</v>
      </c>
      <c r="B835" t="s">
        <v>327</v>
      </c>
      <c r="C835" t="s">
        <v>317</v>
      </c>
      <c r="D835" t="s">
        <v>813</v>
      </c>
      <c r="E835" t="s">
        <v>330</v>
      </c>
      <c r="F835">
        <v>87</v>
      </c>
      <c r="G835">
        <v>2.5</v>
      </c>
      <c r="H835">
        <v>4</v>
      </c>
      <c r="I835" t="s">
        <v>587</v>
      </c>
      <c r="J835">
        <v>42</v>
      </c>
      <c r="K835">
        <v>41</v>
      </c>
      <c r="L835">
        <v>41</v>
      </c>
      <c r="M835">
        <v>58.761699999999998</v>
      </c>
      <c r="N835">
        <v>58.042700000000004</v>
      </c>
      <c r="O835">
        <v>58.436</v>
      </c>
      <c r="P835">
        <v>42</v>
      </c>
      <c r="Q835">
        <v>41</v>
      </c>
      <c r="R835">
        <v>41</v>
      </c>
      <c r="U835" t="s">
        <v>224</v>
      </c>
      <c r="V835" t="s">
        <v>588</v>
      </c>
      <c r="W835" t="s">
        <v>589</v>
      </c>
      <c r="Y835">
        <v>1</v>
      </c>
      <c r="Z835" t="s">
        <v>170</v>
      </c>
      <c r="AA835" t="s">
        <v>170</v>
      </c>
      <c r="AB835" t="s">
        <v>167</v>
      </c>
      <c r="AC835" t="s">
        <v>213</v>
      </c>
      <c r="AD835">
        <v>15</v>
      </c>
      <c r="AG835" t="s">
        <v>210</v>
      </c>
      <c r="AH835" t="s">
        <v>444</v>
      </c>
      <c r="AI835" t="s">
        <v>175</v>
      </c>
      <c r="AJ835" t="s">
        <v>176</v>
      </c>
      <c r="AK835" t="s">
        <v>170</v>
      </c>
      <c r="AL835" t="s">
        <v>177</v>
      </c>
      <c r="AO835">
        <v>98</v>
      </c>
      <c r="AP835">
        <v>13</v>
      </c>
      <c r="AS835">
        <v>1300</v>
      </c>
      <c r="AT835">
        <v>1300</v>
      </c>
      <c r="BN835" t="s">
        <v>465</v>
      </c>
      <c r="BO835">
        <v>2</v>
      </c>
      <c r="BP835">
        <v>2</v>
      </c>
      <c r="BQ835">
        <v>5</v>
      </c>
      <c r="BR835" t="s">
        <v>672</v>
      </c>
      <c r="BS835" t="s">
        <v>180</v>
      </c>
      <c r="BT835" t="s">
        <v>225</v>
      </c>
      <c r="BU835" s="1">
        <v>45399</v>
      </c>
      <c r="BV835">
        <v>34588</v>
      </c>
      <c r="BX835" t="s">
        <v>170</v>
      </c>
      <c r="BY835" t="s">
        <v>170</v>
      </c>
      <c r="CB835" t="s">
        <v>170</v>
      </c>
      <c r="CC835" t="s">
        <v>170</v>
      </c>
      <c r="CE835" t="s">
        <v>170</v>
      </c>
      <c r="CG835" t="s">
        <v>169</v>
      </c>
      <c r="CH835" t="s">
        <v>333</v>
      </c>
      <c r="CI835" t="s">
        <v>170</v>
      </c>
      <c r="CK835" t="s">
        <v>233</v>
      </c>
      <c r="CM835">
        <v>1</v>
      </c>
      <c r="CN835" t="s">
        <v>814</v>
      </c>
      <c r="CP835">
        <v>230</v>
      </c>
      <c r="CQ835">
        <v>5</v>
      </c>
      <c r="CR835">
        <v>36</v>
      </c>
      <c r="CS835" t="s">
        <v>235</v>
      </c>
      <c r="CV835" t="s">
        <v>341</v>
      </c>
      <c r="CX835" t="s">
        <v>342</v>
      </c>
      <c r="CY835" t="s">
        <v>170</v>
      </c>
      <c r="DD835">
        <v>2</v>
      </c>
      <c r="DE835" t="s">
        <v>404</v>
      </c>
      <c r="DF835" t="s">
        <v>466</v>
      </c>
      <c r="DG835" t="s">
        <v>818</v>
      </c>
      <c r="DJ835" t="s">
        <v>267</v>
      </c>
      <c r="DK835" t="s">
        <v>268</v>
      </c>
      <c r="DL835" t="s">
        <v>170</v>
      </c>
      <c r="DM835" t="s">
        <v>170</v>
      </c>
      <c r="DN835" t="s">
        <v>170</v>
      </c>
      <c r="DO835" t="s">
        <v>592</v>
      </c>
      <c r="DP835" t="s">
        <v>169</v>
      </c>
      <c r="DQ835" t="s">
        <v>198</v>
      </c>
      <c r="DR835" t="s">
        <v>467</v>
      </c>
      <c r="DY835">
        <v>59.1</v>
      </c>
      <c r="EB835">
        <v>7</v>
      </c>
      <c r="EC835">
        <v>7</v>
      </c>
      <c r="EE835" t="s">
        <v>819</v>
      </c>
      <c r="EF835">
        <v>6</v>
      </c>
      <c r="EU835">
        <v>3000</v>
      </c>
      <c r="EW835">
        <v>209</v>
      </c>
      <c r="EX835">
        <v>214</v>
      </c>
      <c r="EY835">
        <v>214</v>
      </c>
    </row>
    <row r="836" spans="1:155" x14ac:dyDescent="0.35">
      <c r="A836">
        <v>2025</v>
      </c>
      <c r="B836" t="s">
        <v>327</v>
      </c>
      <c r="C836" t="s">
        <v>317</v>
      </c>
      <c r="D836" t="s">
        <v>813</v>
      </c>
      <c r="E836" t="s">
        <v>330</v>
      </c>
      <c r="F836">
        <v>98</v>
      </c>
      <c r="G836">
        <v>2.4</v>
      </c>
      <c r="H836">
        <v>4</v>
      </c>
      <c r="I836" t="s">
        <v>594</v>
      </c>
      <c r="J836">
        <v>29</v>
      </c>
      <c r="K836">
        <v>32</v>
      </c>
      <c r="L836">
        <v>30</v>
      </c>
      <c r="M836">
        <v>39.200000000000003</v>
      </c>
      <c r="N836">
        <v>46.8</v>
      </c>
      <c r="O836">
        <v>42.290500000000002</v>
      </c>
      <c r="P836">
        <v>29</v>
      </c>
      <c r="Q836">
        <v>32.413600000000002</v>
      </c>
      <c r="R836">
        <v>30</v>
      </c>
      <c r="T836" t="s">
        <v>165</v>
      </c>
      <c r="U836" t="s">
        <v>166</v>
      </c>
      <c r="V836" t="s">
        <v>463</v>
      </c>
      <c r="W836" t="s">
        <v>464</v>
      </c>
      <c r="Y836">
        <v>6</v>
      </c>
      <c r="Z836" t="s">
        <v>170</v>
      </c>
      <c r="AA836" t="s">
        <v>170</v>
      </c>
      <c r="AB836" t="s">
        <v>167</v>
      </c>
      <c r="AC836" t="s">
        <v>213</v>
      </c>
      <c r="AD836">
        <v>15</v>
      </c>
      <c r="AG836" t="s">
        <v>210</v>
      </c>
      <c r="AH836" t="s">
        <v>444</v>
      </c>
      <c r="AI836" t="s">
        <v>175</v>
      </c>
      <c r="AJ836" t="s">
        <v>176</v>
      </c>
      <c r="AK836" t="s">
        <v>170</v>
      </c>
      <c r="AL836" t="s">
        <v>177</v>
      </c>
      <c r="AO836">
        <v>98</v>
      </c>
      <c r="AP836">
        <v>13</v>
      </c>
      <c r="AS836">
        <v>1750</v>
      </c>
      <c r="AT836">
        <v>1750</v>
      </c>
      <c r="BN836" t="s">
        <v>465</v>
      </c>
      <c r="BO836">
        <v>2</v>
      </c>
      <c r="BP836">
        <v>2</v>
      </c>
      <c r="BQ836">
        <v>5</v>
      </c>
      <c r="BR836" t="s">
        <v>672</v>
      </c>
      <c r="BS836" t="s">
        <v>180</v>
      </c>
      <c r="BT836" t="s">
        <v>181</v>
      </c>
      <c r="BU836" s="1">
        <v>45399</v>
      </c>
      <c r="BV836">
        <v>34589</v>
      </c>
      <c r="BX836" t="s">
        <v>170</v>
      </c>
      <c r="BY836" t="s">
        <v>170</v>
      </c>
      <c r="CB836" t="s">
        <v>170</v>
      </c>
      <c r="CC836" t="s">
        <v>170</v>
      </c>
      <c r="CE836" t="s">
        <v>170</v>
      </c>
      <c r="CG836" t="s">
        <v>169</v>
      </c>
      <c r="CH836" t="s">
        <v>333</v>
      </c>
      <c r="CI836" t="s">
        <v>170</v>
      </c>
      <c r="CK836" t="s">
        <v>233</v>
      </c>
      <c r="CM836">
        <v>1</v>
      </c>
      <c r="CN836" t="s">
        <v>814</v>
      </c>
      <c r="CP836">
        <v>230</v>
      </c>
      <c r="CQ836">
        <v>5</v>
      </c>
      <c r="CR836">
        <v>36</v>
      </c>
      <c r="CS836" t="s">
        <v>235</v>
      </c>
      <c r="CV836" t="s">
        <v>341</v>
      </c>
      <c r="CX836" t="s">
        <v>342</v>
      </c>
      <c r="CY836" t="s">
        <v>170</v>
      </c>
      <c r="DC836" t="s">
        <v>815</v>
      </c>
      <c r="DD836">
        <v>2</v>
      </c>
      <c r="DE836" t="s">
        <v>404</v>
      </c>
      <c r="DF836" t="s">
        <v>638</v>
      </c>
      <c r="DG836" t="s">
        <v>816</v>
      </c>
      <c r="DJ836" t="s">
        <v>267</v>
      </c>
      <c r="DK836" t="s">
        <v>268</v>
      </c>
      <c r="DL836" t="s">
        <v>170</v>
      </c>
      <c r="DM836" t="s">
        <v>170</v>
      </c>
      <c r="DN836" t="s">
        <v>170</v>
      </c>
      <c r="DO836" t="s">
        <v>358</v>
      </c>
      <c r="DP836" t="s">
        <v>169</v>
      </c>
      <c r="DQ836" t="s">
        <v>198</v>
      </c>
      <c r="DR836" t="s">
        <v>467</v>
      </c>
      <c r="DY836">
        <v>42.8</v>
      </c>
      <c r="EB836">
        <v>6</v>
      </c>
      <c r="EC836">
        <v>6</v>
      </c>
      <c r="EE836" t="s">
        <v>817</v>
      </c>
      <c r="EF836">
        <v>6</v>
      </c>
      <c r="EU836">
        <v>750</v>
      </c>
      <c r="EW836">
        <v>303</v>
      </c>
      <c r="EX836">
        <v>272</v>
      </c>
      <c r="EY836">
        <v>293</v>
      </c>
    </row>
    <row r="837" spans="1:155" x14ac:dyDescent="0.35">
      <c r="A837">
        <v>2025</v>
      </c>
      <c r="B837" t="s">
        <v>327</v>
      </c>
      <c r="C837" t="s">
        <v>317</v>
      </c>
      <c r="D837" t="s">
        <v>929</v>
      </c>
      <c r="E837" t="s">
        <v>330</v>
      </c>
      <c r="F837">
        <v>57</v>
      </c>
      <c r="G837">
        <v>2.5</v>
      </c>
      <c r="H837">
        <v>4</v>
      </c>
      <c r="I837" t="s">
        <v>594</v>
      </c>
      <c r="J837">
        <v>39</v>
      </c>
      <c r="K837">
        <v>37</v>
      </c>
      <c r="L837">
        <v>38</v>
      </c>
      <c r="M837">
        <v>52.663499999999999</v>
      </c>
      <c r="N837">
        <v>52.413899999999998</v>
      </c>
      <c r="O837">
        <v>52.550899999999999</v>
      </c>
      <c r="P837">
        <v>38.899000000000001</v>
      </c>
      <c r="Q837">
        <v>37.323</v>
      </c>
      <c r="R837">
        <v>38.1736</v>
      </c>
      <c r="U837" t="s">
        <v>224</v>
      </c>
      <c r="V837" t="s">
        <v>463</v>
      </c>
      <c r="W837" t="s">
        <v>464</v>
      </c>
      <c r="Y837">
        <v>6</v>
      </c>
      <c r="Z837" t="s">
        <v>170</v>
      </c>
      <c r="AA837" t="s">
        <v>170</v>
      </c>
      <c r="AB837" t="s">
        <v>167</v>
      </c>
      <c r="AC837" t="s">
        <v>213</v>
      </c>
      <c r="AD837">
        <v>15</v>
      </c>
      <c r="AG837" t="s">
        <v>210</v>
      </c>
      <c r="AH837" t="s">
        <v>444</v>
      </c>
      <c r="AI837" t="s">
        <v>175</v>
      </c>
      <c r="AJ837" t="s">
        <v>176</v>
      </c>
      <c r="AK837" t="s">
        <v>170</v>
      </c>
      <c r="AL837" t="s">
        <v>177</v>
      </c>
      <c r="AO837">
        <v>99</v>
      </c>
      <c r="AP837">
        <v>26</v>
      </c>
      <c r="AS837">
        <v>1400</v>
      </c>
      <c r="AT837">
        <v>1400</v>
      </c>
      <c r="BN837" t="s">
        <v>465</v>
      </c>
      <c r="BO837">
        <v>2</v>
      </c>
      <c r="BP837">
        <v>2</v>
      </c>
      <c r="BQ837">
        <v>7</v>
      </c>
      <c r="BR837" t="s">
        <v>897</v>
      </c>
      <c r="BS837" t="s">
        <v>180</v>
      </c>
      <c r="BT837" t="s">
        <v>225</v>
      </c>
      <c r="BU837" s="1">
        <v>45487</v>
      </c>
      <c r="BV837">
        <v>34850</v>
      </c>
      <c r="BX837" t="s">
        <v>170</v>
      </c>
      <c r="BY837" t="s">
        <v>170</v>
      </c>
      <c r="CB837" t="s">
        <v>170</v>
      </c>
      <c r="CC837" t="s">
        <v>170</v>
      </c>
      <c r="CE837" t="s">
        <v>170</v>
      </c>
      <c r="CG837" t="s">
        <v>169</v>
      </c>
      <c r="CH837" t="s">
        <v>333</v>
      </c>
      <c r="CI837" t="s">
        <v>170</v>
      </c>
      <c r="CK837" t="s">
        <v>233</v>
      </c>
      <c r="CM837">
        <v>1</v>
      </c>
      <c r="CN837" t="s">
        <v>814</v>
      </c>
      <c r="CP837">
        <v>230</v>
      </c>
      <c r="CQ837">
        <v>5</v>
      </c>
      <c r="CR837">
        <v>36</v>
      </c>
      <c r="CS837" t="s">
        <v>235</v>
      </c>
      <c r="CV837" t="s">
        <v>341</v>
      </c>
      <c r="CX837" t="s">
        <v>342</v>
      </c>
      <c r="CY837" t="s">
        <v>170</v>
      </c>
      <c r="DD837">
        <v>2</v>
      </c>
      <c r="DE837" t="s">
        <v>404</v>
      </c>
      <c r="DF837" t="s">
        <v>466</v>
      </c>
      <c r="DG837" t="s">
        <v>930</v>
      </c>
      <c r="DJ837" t="s">
        <v>267</v>
      </c>
      <c r="DK837" t="s">
        <v>268</v>
      </c>
      <c r="DL837" t="s">
        <v>170</v>
      </c>
      <c r="DM837" t="s">
        <v>170</v>
      </c>
      <c r="DN837" t="s">
        <v>170</v>
      </c>
      <c r="DO837" t="s">
        <v>592</v>
      </c>
      <c r="DP837" t="s">
        <v>169</v>
      </c>
      <c r="DQ837" t="s">
        <v>198</v>
      </c>
      <c r="DR837" t="s">
        <v>467</v>
      </c>
      <c r="DY837">
        <v>53.1</v>
      </c>
      <c r="EB837">
        <v>7</v>
      </c>
      <c r="EC837">
        <v>7</v>
      </c>
      <c r="EE837" t="s">
        <v>931</v>
      </c>
      <c r="EF837">
        <v>6</v>
      </c>
      <c r="EU837">
        <v>2500</v>
      </c>
      <c r="EW837">
        <v>226</v>
      </c>
      <c r="EX837">
        <v>237</v>
      </c>
      <c r="EY837">
        <v>231</v>
      </c>
    </row>
    <row r="838" spans="1:155" x14ac:dyDescent="0.35">
      <c r="A838">
        <v>2025</v>
      </c>
      <c r="B838" t="s">
        <v>327</v>
      </c>
      <c r="C838" t="s">
        <v>317</v>
      </c>
      <c r="D838" t="s">
        <v>1007</v>
      </c>
      <c r="E838" t="s">
        <v>330</v>
      </c>
      <c r="F838">
        <v>35</v>
      </c>
      <c r="G838">
        <v>3.4</v>
      </c>
      <c r="H838">
        <v>6</v>
      </c>
      <c r="I838" t="s">
        <v>331</v>
      </c>
      <c r="J838">
        <v>18</v>
      </c>
      <c r="K838">
        <v>23</v>
      </c>
      <c r="L838">
        <v>20</v>
      </c>
      <c r="M838">
        <v>22.394100000000002</v>
      </c>
      <c r="N838">
        <v>31.6556</v>
      </c>
      <c r="O838">
        <v>25.7895</v>
      </c>
      <c r="P838">
        <v>17.890699999999999</v>
      </c>
      <c r="Q838">
        <v>22.683800000000002</v>
      </c>
      <c r="R838">
        <v>19.770600000000002</v>
      </c>
      <c r="T838" t="s">
        <v>165</v>
      </c>
      <c r="U838" t="s">
        <v>166</v>
      </c>
      <c r="V838" t="s">
        <v>193</v>
      </c>
      <c r="W838" t="s">
        <v>194</v>
      </c>
      <c r="Y838">
        <v>10</v>
      </c>
      <c r="Z838" t="s">
        <v>169</v>
      </c>
      <c r="AA838" t="s">
        <v>170</v>
      </c>
      <c r="AB838" t="s">
        <v>171</v>
      </c>
      <c r="AC838" t="s">
        <v>172</v>
      </c>
      <c r="AD838">
        <v>15</v>
      </c>
      <c r="AG838" t="s">
        <v>210</v>
      </c>
      <c r="AH838" t="s">
        <v>444</v>
      </c>
      <c r="AI838" t="s">
        <v>175</v>
      </c>
      <c r="AJ838" t="s">
        <v>176</v>
      </c>
      <c r="AK838" t="s">
        <v>940</v>
      </c>
      <c r="AL838" t="s">
        <v>941</v>
      </c>
      <c r="AS838">
        <v>2600</v>
      </c>
      <c r="AT838">
        <v>2600</v>
      </c>
      <c r="BN838" t="s">
        <v>265</v>
      </c>
      <c r="BO838">
        <v>2</v>
      </c>
      <c r="BP838">
        <v>2</v>
      </c>
      <c r="BQ838">
        <v>12</v>
      </c>
      <c r="BR838" t="s">
        <v>971</v>
      </c>
      <c r="BT838" t="s">
        <v>181</v>
      </c>
      <c r="BU838" s="1">
        <v>45537</v>
      </c>
      <c r="BV838">
        <v>35406</v>
      </c>
      <c r="BX838" t="s">
        <v>170</v>
      </c>
      <c r="BY838" t="s">
        <v>170</v>
      </c>
      <c r="CB838" t="s">
        <v>170</v>
      </c>
      <c r="CC838" t="s">
        <v>170</v>
      </c>
      <c r="CD838" t="s">
        <v>1008</v>
      </c>
      <c r="CE838" t="s">
        <v>170</v>
      </c>
      <c r="CG838" t="s">
        <v>169</v>
      </c>
      <c r="CH838" t="s">
        <v>333</v>
      </c>
      <c r="CI838" t="s">
        <v>170</v>
      </c>
      <c r="DJ838" t="s">
        <v>267</v>
      </c>
      <c r="DK838" t="s">
        <v>268</v>
      </c>
      <c r="DN838" t="s">
        <v>170</v>
      </c>
      <c r="DO838" t="s">
        <v>358</v>
      </c>
      <c r="DP838" t="s">
        <v>169</v>
      </c>
      <c r="DQ838" t="s">
        <v>198</v>
      </c>
      <c r="EB838">
        <v>4</v>
      </c>
      <c r="EC838">
        <v>4</v>
      </c>
      <c r="EE838" t="s">
        <v>1009</v>
      </c>
      <c r="EF838">
        <v>4</v>
      </c>
      <c r="EV838">
        <v>3500</v>
      </c>
      <c r="EW838">
        <v>497</v>
      </c>
      <c r="EX838">
        <v>392</v>
      </c>
      <c r="EY838">
        <v>450</v>
      </c>
    </row>
    <row r="839" spans="1:155" x14ac:dyDescent="0.35">
      <c r="A839">
        <v>2025</v>
      </c>
      <c r="B839" t="s">
        <v>327</v>
      </c>
      <c r="C839" t="s">
        <v>317</v>
      </c>
      <c r="D839" t="s">
        <v>1007</v>
      </c>
      <c r="E839" t="s">
        <v>330</v>
      </c>
      <c r="F839">
        <v>36</v>
      </c>
      <c r="G839">
        <v>3.4</v>
      </c>
      <c r="H839">
        <v>6</v>
      </c>
      <c r="I839" t="s">
        <v>331</v>
      </c>
      <c r="J839">
        <v>18</v>
      </c>
      <c r="K839">
        <v>23</v>
      </c>
      <c r="L839">
        <v>20</v>
      </c>
      <c r="M839">
        <v>22.6404</v>
      </c>
      <c r="N839">
        <v>32.787799999999997</v>
      </c>
      <c r="O839">
        <v>26.303699999999999</v>
      </c>
      <c r="P839">
        <v>18.073</v>
      </c>
      <c r="Q839">
        <v>23.4345</v>
      </c>
      <c r="R839">
        <v>20.147200000000002</v>
      </c>
      <c r="T839" t="s">
        <v>165</v>
      </c>
      <c r="U839" t="s">
        <v>166</v>
      </c>
      <c r="V839" t="s">
        <v>193</v>
      </c>
      <c r="W839" t="s">
        <v>194</v>
      </c>
      <c r="Y839">
        <v>10</v>
      </c>
      <c r="Z839" t="s">
        <v>169</v>
      </c>
      <c r="AA839" t="s">
        <v>170</v>
      </c>
      <c r="AB839" t="s">
        <v>171</v>
      </c>
      <c r="AC839" t="s">
        <v>172</v>
      </c>
      <c r="AD839">
        <v>15</v>
      </c>
      <c r="AG839" t="s">
        <v>210</v>
      </c>
      <c r="AH839" t="s">
        <v>444</v>
      </c>
      <c r="AI839" t="s">
        <v>175</v>
      </c>
      <c r="AJ839" t="s">
        <v>176</v>
      </c>
      <c r="AK839" t="s">
        <v>940</v>
      </c>
      <c r="AL839" t="s">
        <v>941</v>
      </c>
      <c r="AS839">
        <v>2600</v>
      </c>
      <c r="AT839">
        <v>2600</v>
      </c>
      <c r="BN839" t="s">
        <v>265</v>
      </c>
      <c r="BO839">
        <v>2</v>
      </c>
      <c r="BP839">
        <v>2</v>
      </c>
      <c r="BQ839">
        <v>12</v>
      </c>
      <c r="BR839" t="s">
        <v>971</v>
      </c>
      <c r="BT839" t="s">
        <v>181</v>
      </c>
      <c r="BU839" s="1">
        <v>45537</v>
      </c>
      <c r="BV839">
        <v>35409</v>
      </c>
      <c r="BX839" t="s">
        <v>170</v>
      </c>
      <c r="BY839" t="s">
        <v>170</v>
      </c>
      <c r="CB839" t="s">
        <v>170</v>
      </c>
      <c r="CC839" t="s">
        <v>170</v>
      </c>
      <c r="CD839" t="s">
        <v>1010</v>
      </c>
      <c r="CE839" t="s">
        <v>170</v>
      </c>
      <c r="CG839" t="s">
        <v>169</v>
      </c>
      <c r="CH839" t="s">
        <v>333</v>
      </c>
      <c r="CI839" t="s">
        <v>170</v>
      </c>
      <c r="DJ839" t="s">
        <v>267</v>
      </c>
      <c r="DK839" t="s">
        <v>268</v>
      </c>
      <c r="DN839" t="s">
        <v>170</v>
      </c>
      <c r="DO839" t="s">
        <v>358</v>
      </c>
      <c r="DP839" t="s">
        <v>169</v>
      </c>
      <c r="DQ839" t="s">
        <v>198</v>
      </c>
      <c r="DR839" t="s">
        <v>968</v>
      </c>
      <c r="EB839">
        <v>4</v>
      </c>
      <c r="EC839">
        <v>4</v>
      </c>
      <c r="EE839" t="s">
        <v>1009</v>
      </c>
      <c r="EF839">
        <v>4</v>
      </c>
      <c r="EV839">
        <v>3500</v>
      </c>
      <c r="EW839">
        <v>493</v>
      </c>
      <c r="EX839">
        <v>379</v>
      </c>
      <c r="EY839">
        <v>442</v>
      </c>
    </row>
    <row r="840" spans="1:155" x14ac:dyDescent="0.35">
      <c r="A840">
        <v>2025</v>
      </c>
      <c r="B840" t="s">
        <v>327</v>
      </c>
      <c r="C840" t="s">
        <v>317</v>
      </c>
      <c r="D840" t="s">
        <v>1007</v>
      </c>
      <c r="E840" t="s">
        <v>330</v>
      </c>
      <c r="F840">
        <v>41</v>
      </c>
      <c r="G840">
        <v>3.4</v>
      </c>
      <c r="H840">
        <v>6</v>
      </c>
      <c r="I840" t="s">
        <v>331</v>
      </c>
      <c r="J840">
        <v>20</v>
      </c>
      <c r="K840">
        <v>24</v>
      </c>
      <c r="L840">
        <v>22</v>
      </c>
      <c r="M840">
        <v>25.970099999999999</v>
      </c>
      <c r="N840">
        <v>33.4495</v>
      </c>
      <c r="O840">
        <v>28.875499999999999</v>
      </c>
      <c r="P840">
        <v>20</v>
      </c>
      <c r="Q840">
        <v>23.871400000000001</v>
      </c>
      <c r="R840">
        <v>21.8962</v>
      </c>
      <c r="T840" t="s">
        <v>165</v>
      </c>
      <c r="U840" t="s">
        <v>166</v>
      </c>
      <c r="V840" t="s">
        <v>193</v>
      </c>
      <c r="W840" t="s">
        <v>194</v>
      </c>
      <c r="Y840">
        <v>10</v>
      </c>
      <c r="Z840" t="s">
        <v>169</v>
      </c>
      <c r="AA840" t="s">
        <v>170</v>
      </c>
      <c r="AB840" t="s">
        <v>171</v>
      </c>
      <c r="AC840" t="s">
        <v>172</v>
      </c>
      <c r="AD840">
        <v>15</v>
      </c>
      <c r="AG840" t="s">
        <v>210</v>
      </c>
      <c r="AH840" t="s">
        <v>444</v>
      </c>
      <c r="AI840" t="s">
        <v>175</v>
      </c>
      <c r="AJ840" t="s">
        <v>176</v>
      </c>
      <c r="AK840" t="s">
        <v>940</v>
      </c>
      <c r="AL840" t="s">
        <v>941</v>
      </c>
      <c r="AS840">
        <v>2400</v>
      </c>
      <c r="AT840">
        <v>2400</v>
      </c>
      <c r="BN840" t="s">
        <v>465</v>
      </c>
      <c r="BO840">
        <v>2</v>
      </c>
      <c r="BP840">
        <v>2</v>
      </c>
      <c r="BQ840">
        <v>12</v>
      </c>
      <c r="BR840" t="s">
        <v>971</v>
      </c>
      <c r="BT840" t="s">
        <v>181</v>
      </c>
      <c r="BU840" s="1">
        <v>45537</v>
      </c>
      <c r="BV840">
        <v>35379</v>
      </c>
      <c r="BX840" t="s">
        <v>170</v>
      </c>
      <c r="BY840" t="s">
        <v>170</v>
      </c>
      <c r="CB840" t="s">
        <v>170</v>
      </c>
      <c r="CC840" t="s">
        <v>170</v>
      </c>
      <c r="CD840" t="s">
        <v>1011</v>
      </c>
      <c r="CE840" t="s">
        <v>170</v>
      </c>
      <c r="CG840" t="s">
        <v>169</v>
      </c>
      <c r="CH840" t="s">
        <v>333</v>
      </c>
      <c r="CI840" t="s">
        <v>170</v>
      </c>
      <c r="CK840" t="s">
        <v>233</v>
      </c>
      <c r="CM840">
        <v>1</v>
      </c>
      <c r="CN840" t="s">
        <v>814</v>
      </c>
      <c r="CP840">
        <v>288</v>
      </c>
      <c r="CQ840">
        <v>6.5</v>
      </c>
      <c r="CR840">
        <v>46.4</v>
      </c>
      <c r="CS840" t="s">
        <v>235</v>
      </c>
      <c r="CV840" t="s">
        <v>341</v>
      </c>
      <c r="CX840" t="s">
        <v>1012</v>
      </c>
      <c r="CY840" t="s">
        <v>170</v>
      </c>
      <c r="DC840" t="s">
        <v>1013</v>
      </c>
      <c r="DD840">
        <v>1</v>
      </c>
      <c r="DE840" t="s">
        <v>404</v>
      </c>
      <c r="DF840" t="s">
        <v>466</v>
      </c>
      <c r="DG840">
        <v>36</v>
      </c>
      <c r="DJ840" t="s">
        <v>267</v>
      </c>
      <c r="DK840" t="s">
        <v>268</v>
      </c>
      <c r="DL840" t="s">
        <v>170</v>
      </c>
      <c r="DM840" t="s">
        <v>170</v>
      </c>
      <c r="DN840" t="s">
        <v>170</v>
      </c>
      <c r="DO840" t="s">
        <v>358</v>
      </c>
      <c r="DP840" t="s">
        <v>169</v>
      </c>
      <c r="DQ840" t="s">
        <v>198</v>
      </c>
      <c r="DR840" t="s">
        <v>467</v>
      </c>
      <c r="EB840">
        <v>5</v>
      </c>
      <c r="EC840">
        <v>5</v>
      </c>
      <c r="EE840" t="s">
        <v>1014</v>
      </c>
      <c r="EF840">
        <v>4</v>
      </c>
      <c r="EV840">
        <v>2500</v>
      </c>
      <c r="EW840">
        <v>441</v>
      </c>
      <c r="EX840">
        <v>370</v>
      </c>
      <c r="EY840">
        <v>409</v>
      </c>
    </row>
    <row r="841" spans="1:155" x14ac:dyDescent="0.35">
      <c r="A841">
        <v>2025</v>
      </c>
      <c r="B841" t="s">
        <v>327</v>
      </c>
      <c r="C841" t="s">
        <v>317</v>
      </c>
      <c r="D841" t="s">
        <v>1066</v>
      </c>
      <c r="E841" t="s">
        <v>330</v>
      </c>
      <c r="F841">
        <v>37</v>
      </c>
      <c r="G841">
        <v>3.4</v>
      </c>
      <c r="H841">
        <v>6</v>
      </c>
      <c r="I841" t="s">
        <v>331</v>
      </c>
      <c r="J841">
        <v>17</v>
      </c>
      <c r="K841">
        <v>22</v>
      </c>
      <c r="L841">
        <v>19</v>
      </c>
      <c r="M841">
        <v>21.7667</v>
      </c>
      <c r="N841">
        <v>31.132999999999999</v>
      </c>
      <c r="O841">
        <v>25.174900000000001</v>
      </c>
      <c r="P841">
        <v>17.4252</v>
      </c>
      <c r="Q841">
        <v>22.335999999999999</v>
      </c>
      <c r="R841">
        <v>19.3385</v>
      </c>
      <c r="T841" t="s">
        <v>165</v>
      </c>
      <c r="U841" t="s">
        <v>166</v>
      </c>
      <c r="V841" t="s">
        <v>193</v>
      </c>
      <c r="W841" t="s">
        <v>194</v>
      </c>
      <c r="Y841">
        <v>10</v>
      </c>
      <c r="Z841" t="s">
        <v>169</v>
      </c>
      <c r="AA841" t="s">
        <v>170</v>
      </c>
      <c r="AB841" t="s">
        <v>809</v>
      </c>
      <c r="AC841" t="s">
        <v>810</v>
      </c>
      <c r="AD841">
        <v>15</v>
      </c>
      <c r="AG841" t="s">
        <v>210</v>
      </c>
      <c r="AH841" t="s">
        <v>444</v>
      </c>
      <c r="AI841" t="s">
        <v>175</v>
      </c>
      <c r="AJ841" t="s">
        <v>176</v>
      </c>
      <c r="AK841" t="s">
        <v>940</v>
      </c>
      <c r="AL841" t="s">
        <v>941</v>
      </c>
      <c r="AS841">
        <v>2750</v>
      </c>
      <c r="AT841">
        <v>2750</v>
      </c>
      <c r="BN841" t="s">
        <v>265</v>
      </c>
      <c r="BO841">
        <v>2</v>
      </c>
      <c r="BP841">
        <v>2</v>
      </c>
      <c r="BQ841">
        <v>13</v>
      </c>
      <c r="BR841" t="s">
        <v>1016</v>
      </c>
      <c r="BT841" t="s">
        <v>181</v>
      </c>
      <c r="BU841" s="1">
        <v>45537</v>
      </c>
      <c r="BV841">
        <v>35408</v>
      </c>
      <c r="BX841" t="s">
        <v>170</v>
      </c>
      <c r="BY841" t="s">
        <v>170</v>
      </c>
      <c r="CB841" t="s">
        <v>170</v>
      </c>
      <c r="CC841" t="s">
        <v>170</v>
      </c>
      <c r="CD841" t="s">
        <v>1010</v>
      </c>
      <c r="CE841" t="s">
        <v>170</v>
      </c>
      <c r="CG841" t="s">
        <v>169</v>
      </c>
      <c r="CH841" t="s">
        <v>333</v>
      </c>
      <c r="CI841" t="s">
        <v>170</v>
      </c>
      <c r="DJ841" t="s">
        <v>267</v>
      </c>
      <c r="DK841" t="s">
        <v>268</v>
      </c>
      <c r="DN841" t="s">
        <v>170</v>
      </c>
      <c r="DO841" t="s">
        <v>358</v>
      </c>
      <c r="DP841" t="s">
        <v>169</v>
      </c>
      <c r="DQ841" t="s">
        <v>198</v>
      </c>
      <c r="DR841" t="s">
        <v>968</v>
      </c>
      <c r="EB841">
        <v>4</v>
      </c>
      <c r="EC841">
        <v>4</v>
      </c>
      <c r="EE841" t="s">
        <v>1009</v>
      </c>
      <c r="EF841">
        <v>4</v>
      </c>
      <c r="EV841">
        <v>4250</v>
      </c>
      <c r="EW841">
        <v>510</v>
      </c>
      <c r="EX841">
        <v>398</v>
      </c>
      <c r="EY841">
        <v>460</v>
      </c>
    </row>
    <row r="842" spans="1:155" x14ac:dyDescent="0.35">
      <c r="A842">
        <v>2025</v>
      </c>
      <c r="B842" t="s">
        <v>327</v>
      </c>
      <c r="C842" t="s">
        <v>317</v>
      </c>
      <c r="D842" t="s">
        <v>1066</v>
      </c>
      <c r="E842" t="s">
        <v>330</v>
      </c>
      <c r="F842">
        <v>38</v>
      </c>
      <c r="G842">
        <v>3.4</v>
      </c>
      <c r="H842">
        <v>6</v>
      </c>
      <c r="I842" t="s">
        <v>331</v>
      </c>
      <c r="J842">
        <v>17</v>
      </c>
      <c r="K842">
        <v>22</v>
      </c>
      <c r="L842">
        <v>19</v>
      </c>
      <c r="M842">
        <v>21.4</v>
      </c>
      <c r="N842">
        <v>30.3</v>
      </c>
      <c r="O842">
        <v>24.659400000000002</v>
      </c>
      <c r="P842">
        <v>17.1523</v>
      </c>
      <c r="Q842">
        <v>21.78</v>
      </c>
      <c r="R842">
        <v>18.965699999999998</v>
      </c>
      <c r="T842" t="s">
        <v>165</v>
      </c>
      <c r="U842" t="s">
        <v>166</v>
      </c>
      <c r="V842" t="s">
        <v>193</v>
      </c>
      <c r="W842" t="s">
        <v>194</v>
      </c>
      <c r="Y842">
        <v>10</v>
      </c>
      <c r="Z842" t="s">
        <v>169</v>
      </c>
      <c r="AA842" t="s">
        <v>170</v>
      </c>
      <c r="AB842" t="s">
        <v>809</v>
      </c>
      <c r="AC842" t="s">
        <v>810</v>
      </c>
      <c r="AD842">
        <v>15</v>
      </c>
      <c r="AG842" t="s">
        <v>210</v>
      </c>
      <c r="AH842" t="s">
        <v>444</v>
      </c>
      <c r="AI842" t="s">
        <v>175</v>
      </c>
      <c r="AJ842" t="s">
        <v>176</v>
      </c>
      <c r="AK842" t="s">
        <v>940</v>
      </c>
      <c r="AL842" t="s">
        <v>941</v>
      </c>
      <c r="AS842">
        <v>2750</v>
      </c>
      <c r="AT842">
        <v>2750</v>
      </c>
      <c r="BN842" t="s">
        <v>265</v>
      </c>
      <c r="BO842">
        <v>2</v>
      </c>
      <c r="BP842">
        <v>2</v>
      </c>
      <c r="BQ842">
        <v>13</v>
      </c>
      <c r="BR842" t="s">
        <v>1016</v>
      </c>
      <c r="BT842" t="s">
        <v>181</v>
      </c>
      <c r="BU842" s="1">
        <v>45537</v>
      </c>
      <c r="BV842">
        <v>35407</v>
      </c>
      <c r="BX842" t="s">
        <v>170</v>
      </c>
      <c r="BY842" t="s">
        <v>170</v>
      </c>
      <c r="CB842" t="s">
        <v>170</v>
      </c>
      <c r="CC842" t="s">
        <v>170</v>
      </c>
      <c r="CD842" t="s">
        <v>1008</v>
      </c>
      <c r="CE842" t="s">
        <v>170</v>
      </c>
      <c r="CG842" t="s">
        <v>169</v>
      </c>
      <c r="CH842" t="s">
        <v>333</v>
      </c>
      <c r="CI842" t="s">
        <v>170</v>
      </c>
      <c r="DJ842" t="s">
        <v>267</v>
      </c>
      <c r="DK842" t="s">
        <v>268</v>
      </c>
      <c r="DN842" t="s">
        <v>170</v>
      </c>
      <c r="DO842" t="s">
        <v>358</v>
      </c>
      <c r="DP842" t="s">
        <v>169</v>
      </c>
      <c r="DQ842" t="s">
        <v>198</v>
      </c>
      <c r="EB842">
        <v>4</v>
      </c>
      <c r="EC842">
        <v>4</v>
      </c>
      <c r="EE842" t="s">
        <v>1009</v>
      </c>
      <c r="EF842">
        <v>4</v>
      </c>
      <c r="EV842">
        <v>4250</v>
      </c>
      <c r="EW842">
        <v>518</v>
      </c>
      <c r="EX842">
        <v>408</v>
      </c>
      <c r="EY842">
        <v>468</v>
      </c>
    </row>
    <row r="843" spans="1:155" x14ac:dyDescent="0.35">
      <c r="A843">
        <v>2025</v>
      </c>
      <c r="B843" t="s">
        <v>327</v>
      </c>
      <c r="C843" t="s">
        <v>317</v>
      </c>
      <c r="D843" t="s">
        <v>1066</v>
      </c>
      <c r="E843" t="s">
        <v>330</v>
      </c>
      <c r="F843">
        <v>42</v>
      </c>
      <c r="G843">
        <v>3.4</v>
      </c>
      <c r="H843">
        <v>6</v>
      </c>
      <c r="I843" t="s">
        <v>331</v>
      </c>
      <c r="J843">
        <v>19</v>
      </c>
      <c r="K843">
        <v>22</v>
      </c>
      <c r="L843">
        <v>20</v>
      </c>
      <c r="M843">
        <v>23.4724</v>
      </c>
      <c r="N843">
        <v>31.161100000000001</v>
      </c>
      <c r="O843">
        <v>26.404199999999999</v>
      </c>
      <c r="P843">
        <v>18.686299999999999</v>
      </c>
      <c r="Q843">
        <v>22.354800000000001</v>
      </c>
      <c r="R843">
        <v>20.176200000000001</v>
      </c>
      <c r="T843" t="s">
        <v>165</v>
      </c>
      <c r="U843" t="s">
        <v>166</v>
      </c>
      <c r="V843" t="s">
        <v>193</v>
      </c>
      <c r="W843" t="s">
        <v>194</v>
      </c>
      <c r="Y843">
        <v>10</v>
      </c>
      <c r="Z843" t="s">
        <v>169</v>
      </c>
      <c r="AA843" t="s">
        <v>170</v>
      </c>
      <c r="AB843" t="s">
        <v>809</v>
      </c>
      <c r="AC843" t="s">
        <v>810</v>
      </c>
      <c r="AD843">
        <v>15</v>
      </c>
      <c r="AG843" t="s">
        <v>210</v>
      </c>
      <c r="AH843" t="s">
        <v>444</v>
      </c>
      <c r="AI843" t="s">
        <v>175</v>
      </c>
      <c r="AJ843" t="s">
        <v>176</v>
      </c>
      <c r="AK843" t="s">
        <v>940</v>
      </c>
      <c r="AL843" t="s">
        <v>941</v>
      </c>
      <c r="AS843">
        <v>2600</v>
      </c>
      <c r="AT843">
        <v>2600</v>
      </c>
      <c r="BN843" t="s">
        <v>465</v>
      </c>
      <c r="BO843">
        <v>2</v>
      </c>
      <c r="BP843">
        <v>2</v>
      </c>
      <c r="BQ843">
        <v>13</v>
      </c>
      <c r="BR843" t="s">
        <v>1016</v>
      </c>
      <c r="BT843" t="s">
        <v>181</v>
      </c>
      <c r="BU843" s="1">
        <v>45537</v>
      </c>
      <c r="BV843">
        <v>35380</v>
      </c>
      <c r="BX843" t="s">
        <v>170</v>
      </c>
      <c r="BY843" t="s">
        <v>170</v>
      </c>
      <c r="CB843" t="s">
        <v>170</v>
      </c>
      <c r="CC843" t="s">
        <v>170</v>
      </c>
      <c r="CD843" t="s">
        <v>1011</v>
      </c>
      <c r="CE843" t="s">
        <v>170</v>
      </c>
      <c r="CG843" t="s">
        <v>169</v>
      </c>
      <c r="CH843" t="s">
        <v>333</v>
      </c>
      <c r="CI843" t="s">
        <v>170</v>
      </c>
      <c r="CK843" t="s">
        <v>233</v>
      </c>
      <c r="CM843">
        <v>1</v>
      </c>
      <c r="CN843" t="s">
        <v>814</v>
      </c>
      <c r="CP843">
        <v>288</v>
      </c>
      <c r="CQ843">
        <v>6.5</v>
      </c>
      <c r="CR843">
        <v>46.4</v>
      </c>
      <c r="CS843" t="s">
        <v>235</v>
      </c>
      <c r="CV843" t="s">
        <v>341</v>
      </c>
      <c r="CX843" t="s">
        <v>1012</v>
      </c>
      <c r="CY843" t="s">
        <v>170</v>
      </c>
      <c r="DC843" t="s">
        <v>1013</v>
      </c>
      <c r="DD843">
        <v>1</v>
      </c>
      <c r="DE843" t="s">
        <v>404</v>
      </c>
      <c r="DF843" t="s">
        <v>466</v>
      </c>
      <c r="DG843">
        <v>36</v>
      </c>
      <c r="DJ843" t="s">
        <v>267</v>
      </c>
      <c r="DK843" t="s">
        <v>268</v>
      </c>
      <c r="DL843" t="s">
        <v>170</v>
      </c>
      <c r="DM843" t="s">
        <v>170</v>
      </c>
      <c r="DN843" t="s">
        <v>170</v>
      </c>
      <c r="DO843" t="s">
        <v>358</v>
      </c>
      <c r="DP843" t="s">
        <v>169</v>
      </c>
      <c r="DQ843" t="s">
        <v>198</v>
      </c>
      <c r="DR843" t="s">
        <v>467</v>
      </c>
      <c r="EB843">
        <v>4</v>
      </c>
      <c r="EC843">
        <v>4</v>
      </c>
      <c r="EE843" t="s">
        <v>1014</v>
      </c>
      <c r="EF843">
        <v>4</v>
      </c>
      <c r="EV843">
        <v>3500</v>
      </c>
      <c r="EW843">
        <v>474</v>
      </c>
      <c r="EX843">
        <v>397</v>
      </c>
      <c r="EY843">
        <v>439</v>
      </c>
    </row>
    <row r="844" spans="1:155" x14ac:dyDescent="0.35">
      <c r="A844">
        <v>2025</v>
      </c>
      <c r="B844" t="s">
        <v>327</v>
      </c>
      <c r="C844" t="s">
        <v>317</v>
      </c>
      <c r="D844" t="s">
        <v>1067</v>
      </c>
      <c r="E844" t="s">
        <v>330</v>
      </c>
      <c r="F844">
        <v>43</v>
      </c>
      <c r="G844">
        <v>3.4</v>
      </c>
      <c r="H844">
        <v>6</v>
      </c>
      <c r="I844" t="s">
        <v>331</v>
      </c>
      <c r="J844">
        <v>18</v>
      </c>
      <c r="K844">
        <v>20</v>
      </c>
      <c r="L844">
        <v>19</v>
      </c>
      <c r="M844">
        <v>22.9</v>
      </c>
      <c r="N844">
        <v>28.1</v>
      </c>
      <c r="O844">
        <v>24.9802</v>
      </c>
      <c r="P844">
        <v>18.264700000000001</v>
      </c>
      <c r="Q844">
        <v>20.300999999999998</v>
      </c>
      <c r="R844">
        <v>19.1281</v>
      </c>
      <c r="T844" t="s">
        <v>165</v>
      </c>
      <c r="U844" t="s">
        <v>166</v>
      </c>
      <c r="V844" t="s">
        <v>193</v>
      </c>
      <c r="W844" t="s">
        <v>194</v>
      </c>
      <c r="Y844">
        <v>10</v>
      </c>
      <c r="Z844" t="s">
        <v>169</v>
      </c>
      <c r="AA844" t="s">
        <v>170</v>
      </c>
      <c r="AB844" t="s">
        <v>809</v>
      </c>
      <c r="AC844" t="s">
        <v>810</v>
      </c>
      <c r="AD844">
        <v>15</v>
      </c>
      <c r="AG844" t="s">
        <v>210</v>
      </c>
      <c r="AH844" t="s">
        <v>444</v>
      </c>
      <c r="AI844" t="s">
        <v>175</v>
      </c>
      <c r="AJ844" t="s">
        <v>176</v>
      </c>
      <c r="AK844" t="s">
        <v>940</v>
      </c>
      <c r="AL844" t="s">
        <v>941</v>
      </c>
      <c r="AS844">
        <v>2750</v>
      </c>
      <c r="AT844">
        <v>2750</v>
      </c>
      <c r="BN844" t="s">
        <v>465</v>
      </c>
      <c r="BO844">
        <v>2</v>
      </c>
      <c r="BP844">
        <v>2</v>
      </c>
      <c r="BQ844">
        <v>13</v>
      </c>
      <c r="BR844" t="s">
        <v>1016</v>
      </c>
      <c r="BT844" t="s">
        <v>181</v>
      </c>
      <c r="BU844" s="1">
        <v>45537</v>
      </c>
      <c r="BV844">
        <v>35381</v>
      </c>
      <c r="BX844" t="s">
        <v>169</v>
      </c>
      <c r="BY844" t="s">
        <v>170</v>
      </c>
      <c r="CB844" t="s">
        <v>170</v>
      </c>
      <c r="CC844" t="s">
        <v>170</v>
      </c>
      <c r="CD844" t="s">
        <v>1011</v>
      </c>
      <c r="CE844" t="s">
        <v>170</v>
      </c>
      <c r="CG844" t="s">
        <v>169</v>
      </c>
      <c r="CH844" t="s">
        <v>333</v>
      </c>
      <c r="CI844" t="s">
        <v>170</v>
      </c>
      <c r="CK844" t="s">
        <v>233</v>
      </c>
      <c r="CM844">
        <v>1</v>
      </c>
      <c r="CN844" t="s">
        <v>814</v>
      </c>
      <c r="CP844">
        <v>288</v>
      </c>
      <c r="CQ844">
        <v>6.5</v>
      </c>
      <c r="CR844">
        <v>46.4</v>
      </c>
      <c r="CS844" t="s">
        <v>235</v>
      </c>
      <c r="CV844" t="s">
        <v>341</v>
      </c>
      <c r="CX844" t="s">
        <v>1012</v>
      </c>
      <c r="CY844" t="s">
        <v>170</v>
      </c>
      <c r="DC844" t="s">
        <v>1013</v>
      </c>
      <c r="DD844">
        <v>1</v>
      </c>
      <c r="DE844" t="s">
        <v>404</v>
      </c>
      <c r="DF844" t="s">
        <v>466</v>
      </c>
      <c r="DG844">
        <v>36</v>
      </c>
      <c r="DJ844" t="s">
        <v>267</v>
      </c>
      <c r="DK844" t="s">
        <v>268</v>
      </c>
      <c r="DL844" t="s">
        <v>170</v>
      </c>
      <c r="DM844" t="s">
        <v>170</v>
      </c>
      <c r="DN844" t="s">
        <v>170</v>
      </c>
      <c r="DO844" t="s">
        <v>358</v>
      </c>
      <c r="DP844" t="s">
        <v>169</v>
      </c>
      <c r="DQ844" t="s">
        <v>198</v>
      </c>
      <c r="DR844" t="s">
        <v>467</v>
      </c>
      <c r="EB844">
        <v>4</v>
      </c>
      <c r="EC844">
        <v>4</v>
      </c>
      <c r="EE844" t="s">
        <v>1014</v>
      </c>
      <c r="EF844">
        <v>4</v>
      </c>
      <c r="EV844">
        <v>4250</v>
      </c>
      <c r="EW844">
        <v>483</v>
      </c>
      <c r="EX844">
        <v>435</v>
      </c>
      <c r="EY844">
        <v>461</v>
      </c>
    </row>
    <row r="845" spans="1:155" x14ac:dyDescent="0.35">
      <c r="A845">
        <v>2025</v>
      </c>
      <c r="B845" t="s">
        <v>205</v>
      </c>
      <c r="C845" t="s">
        <v>643</v>
      </c>
      <c r="D845" t="s">
        <v>1206</v>
      </c>
      <c r="E845" t="s">
        <v>208</v>
      </c>
      <c r="F845">
        <v>46</v>
      </c>
      <c r="G845">
        <v>2</v>
      </c>
      <c r="H845">
        <v>4</v>
      </c>
      <c r="I845" t="s">
        <v>192</v>
      </c>
      <c r="J845">
        <v>20</v>
      </c>
      <c r="K845">
        <v>26</v>
      </c>
      <c r="L845">
        <v>22</v>
      </c>
      <c r="M845">
        <v>24.9</v>
      </c>
      <c r="N845">
        <v>37</v>
      </c>
      <c r="O845">
        <v>29.1966</v>
      </c>
      <c r="P845">
        <v>19.731100000000001</v>
      </c>
      <c r="Q845">
        <v>26.1934</v>
      </c>
      <c r="R845">
        <v>22.1953</v>
      </c>
      <c r="T845" t="s">
        <v>165</v>
      </c>
      <c r="U845" t="s">
        <v>166</v>
      </c>
      <c r="V845" t="s">
        <v>193</v>
      </c>
      <c r="W845" t="s">
        <v>194</v>
      </c>
      <c r="Y845">
        <v>8</v>
      </c>
      <c r="Z845" t="s">
        <v>169</v>
      </c>
      <c r="AA845" t="s">
        <v>170</v>
      </c>
      <c r="AB845" t="s">
        <v>351</v>
      </c>
      <c r="AC845" t="s">
        <v>352</v>
      </c>
      <c r="AD845">
        <v>15</v>
      </c>
      <c r="AG845" t="s">
        <v>210</v>
      </c>
      <c r="AH845" t="s">
        <v>444</v>
      </c>
      <c r="AI845" t="s">
        <v>175</v>
      </c>
      <c r="AJ845" t="s">
        <v>176</v>
      </c>
      <c r="AK845" t="s">
        <v>940</v>
      </c>
      <c r="AL845" t="s">
        <v>941</v>
      </c>
      <c r="AS845">
        <v>2400</v>
      </c>
      <c r="AT845">
        <v>2400</v>
      </c>
      <c r="BN845" t="s">
        <v>178</v>
      </c>
      <c r="BO845">
        <v>2</v>
      </c>
      <c r="BP845">
        <v>2</v>
      </c>
      <c r="BQ845">
        <v>30</v>
      </c>
      <c r="BR845" t="s">
        <v>1099</v>
      </c>
      <c r="BT845" t="s">
        <v>181</v>
      </c>
      <c r="BU845" s="1">
        <v>45548</v>
      </c>
      <c r="BV845">
        <v>35529</v>
      </c>
      <c r="BX845" t="s">
        <v>169</v>
      </c>
      <c r="BY845" t="s">
        <v>170</v>
      </c>
      <c r="CB845" t="s">
        <v>170</v>
      </c>
      <c r="CC845" t="s">
        <v>170</v>
      </c>
      <c r="CD845" t="s">
        <v>1207</v>
      </c>
      <c r="CE845" t="s">
        <v>170</v>
      </c>
      <c r="CG845" t="s">
        <v>169</v>
      </c>
      <c r="CH845" t="s">
        <v>532</v>
      </c>
      <c r="CI845" t="s">
        <v>169</v>
      </c>
      <c r="CJ845" t="s">
        <v>685</v>
      </c>
      <c r="DJ845" t="s">
        <v>184</v>
      </c>
      <c r="DK845" t="s">
        <v>185</v>
      </c>
      <c r="DN845" t="s">
        <v>170</v>
      </c>
      <c r="DO845" t="s">
        <v>391</v>
      </c>
      <c r="DP845" t="s">
        <v>169</v>
      </c>
      <c r="DQ845" t="s">
        <v>198</v>
      </c>
      <c r="EB845">
        <v>5</v>
      </c>
      <c r="EC845">
        <v>5</v>
      </c>
      <c r="EE845" t="s">
        <v>1208</v>
      </c>
      <c r="EF845">
        <v>4</v>
      </c>
      <c r="EV845">
        <v>2500</v>
      </c>
      <c r="EW845">
        <v>452</v>
      </c>
      <c r="EX845">
        <v>340</v>
      </c>
      <c r="EY845">
        <v>402</v>
      </c>
    </row>
    <row r="846" spans="1:155" x14ac:dyDescent="0.35">
      <c r="A846">
        <v>2025</v>
      </c>
      <c r="B846" t="s">
        <v>205</v>
      </c>
      <c r="C846" t="s">
        <v>643</v>
      </c>
      <c r="D846" t="s">
        <v>1442</v>
      </c>
      <c r="E846" t="s">
        <v>208</v>
      </c>
      <c r="F846">
        <v>39</v>
      </c>
      <c r="G846">
        <v>2</v>
      </c>
      <c r="H846">
        <v>4</v>
      </c>
      <c r="I846" t="s">
        <v>192</v>
      </c>
      <c r="J846">
        <v>18</v>
      </c>
      <c r="K846">
        <v>25</v>
      </c>
      <c r="L846">
        <v>20</v>
      </c>
      <c r="M846">
        <v>22.349</v>
      </c>
      <c r="N846">
        <v>35.049900000000001</v>
      </c>
      <c r="O846">
        <v>26.703399999999998</v>
      </c>
      <c r="P846">
        <v>17.857299999999999</v>
      </c>
      <c r="Q846">
        <v>24.922699999999999</v>
      </c>
      <c r="R846">
        <v>20.468499999999999</v>
      </c>
      <c r="T846" t="s">
        <v>165</v>
      </c>
      <c r="U846" t="s">
        <v>166</v>
      </c>
      <c r="V846" t="s">
        <v>193</v>
      </c>
      <c r="W846" t="s">
        <v>194</v>
      </c>
      <c r="Y846">
        <v>8</v>
      </c>
      <c r="Z846" t="s">
        <v>169</v>
      </c>
      <c r="AA846" t="s">
        <v>170</v>
      </c>
      <c r="AB846" t="s">
        <v>167</v>
      </c>
      <c r="AC846" t="s">
        <v>213</v>
      </c>
      <c r="AD846">
        <v>15</v>
      </c>
      <c r="AG846" t="s">
        <v>210</v>
      </c>
      <c r="AH846" t="s">
        <v>444</v>
      </c>
      <c r="AI846" t="s">
        <v>175</v>
      </c>
      <c r="AJ846" t="s">
        <v>176</v>
      </c>
      <c r="AK846" t="s">
        <v>940</v>
      </c>
      <c r="AL846" t="s">
        <v>941</v>
      </c>
      <c r="AS846">
        <v>2600</v>
      </c>
      <c r="AT846">
        <v>2600</v>
      </c>
      <c r="BN846" t="s">
        <v>178</v>
      </c>
      <c r="BO846">
        <v>2</v>
      </c>
      <c r="BP846">
        <v>2</v>
      </c>
      <c r="BQ846">
        <v>31</v>
      </c>
      <c r="BR846" t="s">
        <v>1219</v>
      </c>
      <c r="BT846" t="s">
        <v>181</v>
      </c>
      <c r="BU846" s="1">
        <v>45520</v>
      </c>
      <c r="BV846">
        <v>35333</v>
      </c>
      <c r="BX846" t="s">
        <v>170</v>
      </c>
      <c r="BY846" t="s">
        <v>170</v>
      </c>
      <c r="CB846" t="s">
        <v>170</v>
      </c>
      <c r="CC846" t="s">
        <v>170</v>
      </c>
      <c r="CD846" t="s">
        <v>1207</v>
      </c>
      <c r="CE846" t="s">
        <v>170</v>
      </c>
      <c r="CG846" t="s">
        <v>169</v>
      </c>
      <c r="CH846" t="s">
        <v>532</v>
      </c>
      <c r="CI846" t="s">
        <v>169</v>
      </c>
      <c r="CJ846" t="s">
        <v>685</v>
      </c>
      <c r="DJ846" t="s">
        <v>184</v>
      </c>
      <c r="DK846" t="s">
        <v>185</v>
      </c>
      <c r="DN846" t="s">
        <v>170</v>
      </c>
      <c r="DO846" t="s">
        <v>391</v>
      </c>
      <c r="DP846" t="s">
        <v>169</v>
      </c>
      <c r="DQ846" t="s">
        <v>198</v>
      </c>
      <c r="EB846">
        <v>4</v>
      </c>
      <c r="EC846">
        <v>4</v>
      </c>
      <c r="EE846" t="s">
        <v>1208</v>
      </c>
      <c r="EF846">
        <v>4</v>
      </c>
      <c r="EV846">
        <v>3500</v>
      </c>
      <c r="EW846">
        <v>499</v>
      </c>
      <c r="EX846">
        <v>358</v>
      </c>
      <c r="EY846">
        <v>436</v>
      </c>
    </row>
    <row r="847" spans="1:155" x14ac:dyDescent="0.35">
      <c r="A847">
        <v>2025</v>
      </c>
      <c r="B847" t="s">
        <v>205</v>
      </c>
      <c r="C847" t="s">
        <v>643</v>
      </c>
      <c r="D847" t="s">
        <v>1209</v>
      </c>
      <c r="E847" t="s">
        <v>208</v>
      </c>
      <c r="F847">
        <v>47</v>
      </c>
      <c r="G847">
        <v>2</v>
      </c>
      <c r="H847">
        <v>4</v>
      </c>
      <c r="I847" t="s">
        <v>192</v>
      </c>
      <c r="J847">
        <v>20</v>
      </c>
      <c r="K847">
        <v>26</v>
      </c>
      <c r="L847">
        <v>23</v>
      </c>
      <c r="M847">
        <v>25.8</v>
      </c>
      <c r="N847">
        <v>37.4</v>
      </c>
      <c r="O847">
        <v>29.985099999999999</v>
      </c>
      <c r="P847">
        <v>20.384799999999998</v>
      </c>
      <c r="Q847">
        <v>26.4527</v>
      </c>
      <c r="R847">
        <v>22.731200000000001</v>
      </c>
      <c r="T847" t="s">
        <v>165</v>
      </c>
      <c r="U847" t="s">
        <v>166</v>
      </c>
      <c r="V847" t="s">
        <v>193</v>
      </c>
      <c r="W847" t="s">
        <v>194</v>
      </c>
      <c r="Y847">
        <v>8</v>
      </c>
      <c r="Z847" t="s">
        <v>169</v>
      </c>
      <c r="AA847" t="s">
        <v>170</v>
      </c>
      <c r="AB847" t="s">
        <v>351</v>
      </c>
      <c r="AC847" t="s">
        <v>352</v>
      </c>
      <c r="AD847">
        <v>15</v>
      </c>
      <c r="AG847" t="s">
        <v>210</v>
      </c>
      <c r="AH847" t="s">
        <v>444</v>
      </c>
      <c r="AI847" t="s">
        <v>175</v>
      </c>
      <c r="AJ847" t="s">
        <v>176</v>
      </c>
      <c r="AK847" t="s">
        <v>940</v>
      </c>
      <c r="AL847" t="s">
        <v>941</v>
      </c>
      <c r="AS847">
        <v>2300</v>
      </c>
      <c r="AT847">
        <v>2300</v>
      </c>
      <c r="BN847" t="s">
        <v>178</v>
      </c>
      <c r="BO847">
        <v>2</v>
      </c>
      <c r="BP847">
        <v>2</v>
      </c>
      <c r="BQ847">
        <v>30</v>
      </c>
      <c r="BR847" t="s">
        <v>1099</v>
      </c>
      <c r="BT847" t="s">
        <v>181</v>
      </c>
      <c r="BU847" s="1">
        <v>45548</v>
      </c>
      <c r="BV847">
        <v>35530</v>
      </c>
      <c r="BX847" t="s">
        <v>169</v>
      </c>
      <c r="BY847" t="s">
        <v>170</v>
      </c>
      <c r="CB847" t="s">
        <v>170</v>
      </c>
      <c r="CC847" t="s">
        <v>170</v>
      </c>
      <c r="CD847" t="s">
        <v>1207</v>
      </c>
      <c r="CE847" t="s">
        <v>170</v>
      </c>
      <c r="CG847" t="s">
        <v>169</v>
      </c>
      <c r="CH847" t="s">
        <v>532</v>
      </c>
      <c r="CI847" t="s">
        <v>169</v>
      </c>
      <c r="CJ847" t="s">
        <v>685</v>
      </c>
      <c r="DJ847" t="s">
        <v>184</v>
      </c>
      <c r="DK847" t="s">
        <v>185</v>
      </c>
      <c r="DN847" t="s">
        <v>170</v>
      </c>
      <c r="DO847" t="s">
        <v>391</v>
      </c>
      <c r="DP847" t="s">
        <v>169</v>
      </c>
      <c r="DQ847" t="s">
        <v>198</v>
      </c>
      <c r="EB847">
        <v>5</v>
      </c>
      <c r="EC847">
        <v>5</v>
      </c>
      <c r="EE847" t="s">
        <v>1208</v>
      </c>
      <c r="EF847">
        <v>4</v>
      </c>
      <c r="EV847">
        <v>2000</v>
      </c>
      <c r="EW847">
        <v>437</v>
      </c>
      <c r="EX847">
        <v>336</v>
      </c>
      <c r="EY847">
        <v>392</v>
      </c>
    </row>
    <row r="848" spans="1:155" x14ac:dyDescent="0.35">
      <c r="A848">
        <v>2025</v>
      </c>
      <c r="B848" t="s">
        <v>205</v>
      </c>
      <c r="C848" t="s">
        <v>643</v>
      </c>
      <c r="D848" t="s">
        <v>1443</v>
      </c>
      <c r="E848" t="s">
        <v>208</v>
      </c>
      <c r="F848">
        <v>45</v>
      </c>
      <c r="G848">
        <v>2</v>
      </c>
      <c r="H848">
        <v>4</v>
      </c>
      <c r="I848" t="s">
        <v>192</v>
      </c>
      <c r="J848">
        <v>19</v>
      </c>
      <c r="K848">
        <v>26</v>
      </c>
      <c r="L848">
        <v>21</v>
      </c>
      <c r="M848">
        <v>23.279299999999999</v>
      </c>
      <c r="N848">
        <v>36.2727</v>
      </c>
      <c r="O848">
        <v>27.753</v>
      </c>
      <c r="P848">
        <v>18.5443</v>
      </c>
      <c r="Q848">
        <v>25.720800000000001</v>
      </c>
      <c r="R848">
        <v>21.207000000000001</v>
      </c>
      <c r="T848" t="s">
        <v>165</v>
      </c>
      <c r="U848" t="s">
        <v>166</v>
      </c>
      <c r="V848" t="s">
        <v>193</v>
      </c>
      <c r="W848" t="s">
        <v>194</v>
      </c>
      <c r="Y848">
        <v>8</v>
      </c>
      <c r="Z848" t="s">
        <v>169</v>
      </c>
      <c r="AA848" t="s">
        <v>170</v>
      </c>
      <c r="AB848" t="s">
        <v>167</v>
      </c>
      <c r="AC848" t="s">
        <v>213</v>
      </c>
      <c r="AD848">
        <v>15</v>
      </c>
      <c r="AG848" t="s">
        <v>210</v>
      </c>
      <c r="AH848" t="s">
        <v>444</v>
      </c>
      <c r="AI848" t="s">
        <v>175</v>
      </c>
      <c r="AJ848" t="s">
        <v>176</v>
      </c>
      <c r="AK848" t="s">
        <v>940</v>
      </c>
      <c r="AL848" t="s">
        <v>941</v>
      </c>
      <c r="AS848">
        <v>2500</v>
      </c>
      <c r="AT848">
        <v>2500</v>
      </c>
      <c r="BN848" t="s">
        <v>178</v>
      </c>
      <c r="BO848">
        <v>2</v>
      </c>
      <c r="BP848">
        <v>2</v>
      </c>
      <c r="BQ848">
        <v>31</v>
      </c>
      <c r="BR848" t="s">
        <v>1219</v>
      </c>
      <c r="BT848" t="s">
        <v>181</v>
      </c>
      <c r="BU848" s="1">
        <v>45548</v>
      </c>
      <c r="BV848">
        <v>35527</v>
      </c>
      <c r="BX848" t="s">
        <v>170</v>
      </c>
      <c r="BY848" t="s">
        <v>170</v>
      </c>
      <c r="CB848" t="s">
        <v>170</v>
      </c>
      <c r="CC848" t="s">
        <v>170</v>
      </c>
      <c r="CD848" t="s">
        <v>1207</v>
      </c>
      <c r="CE848" t="s">
        <v>170</v>
      </c>
      <c r="CG848" t="s">
        <v>169</v>
      </c>
      <c r="CH848" t="s">
        <v>532</v>
      </c>
      <c r="CI848" t="s">
        <v>169</v>
      </c>
      <c r="CJ848" t="s">
        <v>685</v>
      </c>
      <c r="DJ848" t="s">
        <v>184</v>
      </c>
      <c r="DK848" t="s">
        <v>185</v>
      </c>
      <c r="DN848" t="s">
        <v>170</v>
      </c>
      <c r="DO848" t="s">
        <v>391</v>
      </c>
      <c r="DP848" t="s">
        <v>169</v>
      </c>
      <c r="DQ848" t="s">
        <v>198</v>
      </c>
      <c r="EB848">
        <v>4</v>
      </c>
      <c r="EC848">
        <v>4</v>
      </c>
      <c r="EE848" t="s">
        <v>1208</v>
      </c>
      <c r="EF848">
        <v>4</v>
      </c>
      <c r="EV848">
        <v>3000</v>
      </c>
      <c r="EW848">
        <v>481</v>
      </c>
      <c r="EX848">
        <v>346</v>
      </c>
      <c r="EY848">
        <v>420</v>
      </c>
    </row>
    <row r="849" spans="1:155" x14ac:dyDescent="0.35">
      <c r="A849">
        <v>2025</v>
      </c>
      <c r="B849" t="s">
        <v>205</v>
      </c>
      <c r="C849" t="s">
        <v>643</v>
      </c>
      <c r="D849" t="s">
        <v>1444</v>
      </c>
      <c r="E849" t="s">
        <v>208</v>
      </c>
      <c r="F849">
        <v>44</v>
      </c>
      <c r="G849">
        <v>2</v>
      </c>
      <c r="H849">
        <v>4</v>
      </c>
      <c r="I849" t="s">
        <v>192</v>
      </c>
      <c r="J849">
        <v>19</v>
      </c>
      <c r="K849">
        <v>26</v>
      </c>
      <c r="L849">
        <v>21</v>
      </c>
      <c r="M849">
        <v>23.279299999999999</v>
      </c>
      <c r="N849">
        <v>36.2727</v>
      </c>
      <c r="O849">
        <v>27.753</v>
      </c>
      <c r="P849">
        <v>18.5443</v>
      </c>
      <c r="Q849">
        <v>25.720800000000001</v>
      </c>
      <c r="R849">
        <v>21.207000000000001</v>
      </c>
      <c r="T849" t="s">
        <v>165</v>
      </c>
      <c r="U849" t="s">
        <v>166</v>
      </c>
      <c r="V849" t="s">
        <v>193</v>
      </c>
      <c r="W849" t="s">
        <v>194</v>
      </c>
      <c r="Y849">
        <v>8</v>
      </c>
      <c r="Z849" t="s">
        <v>169</v>
      </c>
      <c r="AA849" t="s">
        <v>170</v>
      </c>
      <c r="AB849" t="s">
        <v>167</v>
      </c>
      <c r="AC849" t="s">
        <v>213</v>
      </c>
      <c r="AD849">
        <v>15</v>
      </c>
      <c r="AG849" t="s">
        <v>210</v>
      </c>
      <c r="AH849" t="s">
        <v>444</v>
      </c>
      <c r="AI849" t="s">
        <v>175</v>
      </c>
      <c r="AJ849" t="s">
        <v>176</v>
      </c>
      <c r="AK849" t="s">
        <v>940</v>
      </c>
      <c r="AL849" t="s">
        <v>941</v>
      </c>
      <c r="AS849">
        <v>2500</v>
      </c>
      <c r="AT849">
        <v>2500</v>
      </c>
      <c r="BN849" t="s">
        <v>178</v>
      </c>
      <c r="BO849">
        <v>2</v>
      </c>
      <c r="BP849">
        <v>2</v>
      </c>
      <c r="BQ849">
        <v>31</v>
      </c>
      <c r="BR849" t="s">
        <v>1219</v>
      </c>
      <c r="BT849" t="s">
        <v>181</v>
      </c>
      <c r="BU849" s="1">
        <v>45548</v>
      </c>
      <c r="BV849">
        <v>35526</v>
      </c>
      <c r="BX849" t="s">
        <v>170</v>
      </c>
      <c r="BY849" t="s">
        <v>170</v>
      </c>
      <c r="CB849" t="s">
        <v>170</v>
      </c>
      <c r="CC849" t="s">
        <v>170</v>
      </c>
      <c r="CD849" t="s">
        <v>1207</v>
      </c>
      <c r="CE849" t="s">
        <v>170</v>
      </c>
      <c r="CG849" t="s">
        <v>169</v>
      </c>
      <c r="CH849" t="s">
        <v>532</v>
      </c>
      <c r="CI849" t="s">
        <v>169</v>
      </c>
      <c r="CJ849" t="s">
        <v>685</v>
      </c>
      <c r="DJ849" t="s">
        <v>184</v>
      </c>
      <c r="DK849" t="s">
        <v>185</v>
      </c>
      <c r="DN849" t="s">
        <v>170</v>
      </c>
      <c r="DO849" t="s">
        <v>391</v>
      </c>
      <c r="DP849" t="s">
        <v>169</v>
      </c>
      <c r="DQ849" t="s">
        <v>198</v>
      </c>
      <c r="EB849">
        <v>4</v>
      </c>
      <c r="EC849">
        <v>4</v>
      </c>
      <c r="EE849" t="s">
        <v>1208</v>
      </c>
      <c r="EF849">
        <v>4</v>
      </c>
      <c r="EV849">
        <v>3000</v>
      </c>
      <c r="EW849">
        <v>481</v>
      </c>
      <c r="EX849">
        <v>346</v>
      </c>
      <c r="EY849">
        <v>420</v>
      </c>
    </row>
    <row r="850" spans="1:155" x14ac:dyDescent="0.35">
      <c r="A850">
        <v>2025</v>
      </c>
      <c r="B850" t="s">
        <v>205</v>
      </c>
      <c r="C850" t="s">
        <v>643</v>
      </c>
      <c r="D850" t="s">
        <v>1445</v>
      </c>
      <c r="E850" t="s">
        <v>208</v>
      </c>
      <c r="F850">
        <v>43</v>
      </c>
      <c r="G850">
        <v>2</v>
      </c>
      <c r="H850">
        <v>4</v>
      </c>
      <c r="I850" t="s">
        <v>192</v>
      </c>
      <c r="J850">
        <v>18</v>
      </c>
      <c r="K850">
        <v>25</v>
      </c>
      <c r="L850">
        <v>21</v>
      </c>
      <c r="M850">
        <v>23</v>
      </c>
      <c r="N850">
        <v>35.1</v>
      </c>
      <c r="O850">
        <v>27.223099999999999</v>
      </c>
      <c r="P850">
        <v>18.3385</v>
      </c>
      <c r="Q850">
        <v>24.955500000000001</v>
      </c>
      <c r="R850">
        <v>20.8231</v>
      </c>
      <c r="T850" t="s">
        <v>165</v>
      </c>
      <c r="U850" t="s">
        <v>166</v>
      </c>
      <c r="V850" t="s">
        <v>193</v>
      </c>
      <c r="W850" t="s">
        <v>194</v>
      </c>
      <c r="Y850">
        <v>8</v>
      </c>
      <c r="Z850" t="s">
        <v>169</v>
      </c>
      <c r="AA850" t="s">
        <v>170</v>
      </c>
      <c r="AB850" t="s">
        <v>167</v>
      </c>
      <c r="AC850" t="s">
        <v>213</v>
      </c>
      <c r="AD850">
        <v>15</v>
      </c>
      <c r="AG850" t="s">
        <v>210</v>
      </c>
      <c r="AH850" t="s">
        <v>444</v>
      </c>
      <c r="AI850" t="s">
        <v>175</v>
      </c>
      <c r="AJ850" t="s">
        <v>176</v>
      </c>
      <c r="AK850" t="s">
        <v>940</v>
      </c>
      <c r="AL850" t="s">
        <v>941</v>
      </c>
      <c r="AS850">
        <v>2500</v>
      </c>
      <c r="AT850">
        <v>2500</v>
      </c>
      <c r="BN850" t="s">
        <v>178</v>
      </c>
      <c r="BO850">
        <v>2</v>
      </c>
      <c r="BP850">
        <v>2</v>
      </c>
      <c r="BQ850">
        <v>31</v>
      </c>
      <c r="BR850" t="s">
        <v>1219</v>
      </c>
      <c r="BT850" t="s">
        <v>181</v>
      </c>
      <c r="BU850" s="1">
        <v>45548</v>
      </c>
      <c r="BV850">
        <v>35528</v>
      </c>
      <c r="BX850" t="s">
        <v>170</v>
      </c>
      <c r="BY850" t="s">
        <v>170</v>
      </c>
      <c r="CB850" t="s">
        <v>170</v>
      </c>
      <c r="CC850" t="s">
        <v>170</v>
      </c>
      <c r="CD850" t="s">
        <v>1207</v>
      </c>
      <c r="CE850" t="s">
        <v>170</v>
      </c>
      <c r="CG850" t="s">
        <v>169</v>
      </c>
      <c r="CH850" t="s">
        <v>532</v>
      </c>
      <c r="CI850" t="s">
        <v>169</v>
      </c>
      <c r="CJ850" t="s">
        <v>685</v>
      </c>
      <c r="DJ850" t="s">
        <v>184</v>
      </c>
      <c r="DK850" t="s">
        <v>185</v>
      </c>
      <c r="DN850" t="s">
        <v>170</v>
      </c>
      <c r="DO850" t="s">
        <v>391</v>
      </c>
      <c r="DP850" t="s">
        <v>169</v>
      </c>
      <c r="DQ850" t="s">
        <v>198</v>
      </c>
      <c r="EB850">
        <v>4</v>
      </c>
      <c r="EC850">
        <v>4</v>
      </c>
      <c r="EE850" t="s">
        <v>1208</v>
      </c>
      <c r="EF850">
        <v>4</v>
      </c>
      <c r="EV850">
        <v>3000</v>
      </c>
      <c r="EW850">
        <v>486</v>
      </c>
      <c r="EX850">
        <v>357</v>
      </c>
      <c r="EY850">
        <v>428</v>
      </c>
    </row>
    <row r="851" spans="1:155" x14ac:dyDescent="0.35">
      <c r="A851">
        <v>2025</v>
      </c>
      <c r="B851" t="s">
        <v>205</v>
      </c>
      <c r="C851" t="s">
        <v>643</v>
      </c>
      <c r="D851" t="s">
        <v>644</v>
      </c>
      <c r="E851" t="s">
        <v>208</v>
      </c>
      <c r="F851">
        <v>31</v>
      </c>
      <c r="G851">
        <v>2</v>
      </c>
      <c r="H851">
        <v>4</v>
      </c>
      <c r="I851" t="s">
        <v>209</v>
      </c>
      <c r="J851">
        <v>25</v>
      </c>
      <c r="K851">
        <v>35</v>
      </c>
      <c r="L851">
        <v>29</v>
      </c>
      <c r="M851">
        <v>30.6</v>
      </c>
      <c r="N851">
        <v>49.8</v>
      </c>
      <c r="O851">
        <v>37.023299999999999</v>
      </c>
      <c r="P851">
        <v>24.694299999999998</v>
      </c>
      <c r="Q851">
        <v>35.3279</v>
      </c>
      <c r="R851">
        <v>28.563099999999999</v>
      </c>
      <c r="T851" t="s">
        <v>165</v>
      </c>
      <c r="U851" t="s">
        <v>166</v>
      </c>
      <c r="V851" t="s">
        <v>211</v>
      </c>
      <c r="W851" t="s">
        <v>212</v>
      </c>
      <c r="Y851">
        <v>7</v>
      </c>
      <c r="Z851" t="s">
        <v>169</v>
      </c>
      <c r="AA851" t="s">
        <v>170</v>
      </c>
      <c r="AB851" t="s">
        <v>351</v>
      </c>
      <c r="AC851" t="s">
        <v>352</v>
      </c>
      <c r="AD851">
        <v>15</v>
      </c>
      <c r="AG851" t="s">
        <v>210</v>
      </c>
      <c r="AH851" t="s">
        <v>444</v>
      </c>
      <c r="AI851" t="s">
        <v>175</v>
      </c>
      <c r="AJ851" t="s">
        <v>176</v>
      </c>
      <c r="AK851" t="s">
        <v>170</v>
      </c>
      <c r="AL851" t="s">
        <v>177</v>
      </c>
      <c r="AO851">
        <v>94</v>
      </c>
      <c r="AP851">
        <v>16</v>
      </c>
      <c r="AS851">
        <v>1800</v>
      </c>
      <c r="AT851">
        <v>1800</v>
      </c>
      <c r="BN851" t="s">
        <v>178</v>
      </c>
      <c r="BO851">
        <v>2</v>
      </c>
      <c r="BP851">
        <v>2</v>
      </c>
      <c r="BQ851">
        <v>4</v>
      </c>
      <c r="BR851" t="s">
        <v>521</v>
      </c>
      <c r="BS851" t="s">
        <v>180</v>
      </c>
      <c r="BT851" t="s">
        <v>225</v>
      </c>
      <c r="BU851" s="1">
        <v>45485</v>
      </c>
      <c r="BV851">
        <v>35070</v>
      </c>
      <c r="BX851" t="s">
        <v>169</v>
      </c>
      <c r="BY851" t="s">
        <v>170</v>
      </c>
      <c r="CB851" t="s">
        <v>170</v>
      </c>
      <c r="CC851" t="s">
        <v>170</v>
      </c>
      <c r="CD851" t="s">
        <v>645</v>
      </c>
      <c r="CE851" t="s">
        <v>170</v>
      </c>
      <c r="CG851" t="s">
        <v>169</v>
      </c>
      <c r="CH851" t="s">
        <v>646</v>
      </c>
      <c r="CI851" t="s">
        <v>169</v>
      </c>
      <c r="CJ851" t="s">
        <v>390</v>
      </c>
      <c r="DJ851" t="s">
        <v>184</v>
      </c>
      <c r="DK851" t="s">
        <v>185</v>
      </c>
      <c r="DL851" t="s">
        <v>170</v>
      </c>
      <c r="DN851" t="s">
        <v>170</v>
      </c>
      <c r="DO851" t="s">
        <v>391</v>
      </c>
      <c r="DP851" t="s">
        <v>169</v>
      </c>
      <c r="DQ851" t="s">
        <v>198</v>
      </c>
      <c r="DY851">
        <v>37.299999999999997</v>
      </c>
      <c r="EB851">
        <v>6</v>
      </c>
      <c r="EC851">
        <v>6</v>
      </c>
      <c r="EE851" t="s">
        <v>647</v>
      </c>
      <c r="EF851">
        <v>6</v>
      </c>
      <c r="EU851">
        <v>500</v>
      </c>
      <c r="EW851">
        <v>360</v>
      </c>
      <c r="EX851">
        <v>252</v>
      </c>
      <c r="EY851">
        <v>311</v>
      </c>
    </row>
    <row r="852" spans="1:155" x14ac:dyDescent="0.35">
      <c r="A852">
        <v>2025</v>
      </c>
      <c r="B852" t="s">
        <v>205</v>
      </c>
      <c r="C852" t="s">
        <v>643</v>
      </c>
      <c r="D852" t="s">
        <v>644</v>
      </c>
      <c r="E852" t="s">
        <v>208</v>
      </c>
      <c r="F852">
        <v>32</v>
      </c>
      <c r="G852">
        <v>2</v>
      </c>
      <c r="H852">
        <v>4</v>
      </c>
      <c r="I852" t="s">
        <v>200</v>
      </c>
      <c r="J852">
        <v>26</v>
      </c>
      <c r="K852">
        <v>36</v>
      </c>
      <c r="L852">
        <v>30</v>
      </c>
      <c r="M852">
        <v>31.5</v>
      </c>
      <c r="N852">
        <v>49.6</v>
      </c>
      <c r="O852">
        <v>37.689100000000003</v>
      </c>
      <c r="P852">
        <v>25.740400000000001</v>
      </c>
      <c r="Q852">
        <v>36.050400000000003</v>
      </c>
      <c r="R852">
        <v>29.542300000000001</v>
      </c>
      <c r="T852" t="s">
        <v>165</v>
      </c>
      <c r="U852" t="s">
        <v>166</v>
      </c>
      <c r="V852" t="s">
        <v>201</v>
      </c>
      <c r="W852" t="s">
        <v>202</v>
      </c>
      <c r="Y852">
        <v>6</v>
      </c>
      <c r="Z852" t="s">
        <v>170</v>
      </c>
      <c r="AA852" t="s">
        <v>170</v>
      </c>
      <c r="AB852" t="s">
        <v>351</v>
      </c>
      <c r="AC852" t="s">
        <v>352</v>
      </c>
      <c r="AD852">
        <v>15</v>
      </c>
      <c r="AG852" t="s">
        <v>210</v>
      </c>
      <c r="AH852" t="s">
        <v>444</v>
      </c>
      <c r="AI852" t="s">
        <v>175</v>
      </c>
      <c r="AJ852" t="s">
        <v>176</v>
      </c>
      <c r="AK852" t="s">
        <v>170</v>
      </c>
      <c r="AL852" t="s">
        <v>177</v>
      </c>
      <c r="AO852">
        <v>94</v>
      </c>
      <c r="AP852">
        <v>16</v>
      </c>
      <c r="AS852">
        <v>1750</v>
      </c>
      <c r="AT852">
        <v>1750</v>
      </c>
      <c r="BN852" t="s">
        <v>178</v>
      </c>
      <c r="BO852">
        <v>2</v>
      </c>
      <c r="BP852">
        <v>2</v>
      </c>
      <c r="BQ852">
        <v>4</v>
      </c>
      <c r="BR852" t="s">
        <v>521</v>
      </c>
      <c r="BS852" t="s">
        <v>180</v>
      </c>
      <c r="BT852" t="s">
        <v>225</v>
      </c>
      <c r="BU852" s="1">
        <v>45485</v>
      </c>
      <c r="BV852">
        <v>35071</v>
      </c>
      <c r="BX852" t="s">
        <v>169</v>
      </c>
      <c r="BY852" t="s">
        <v>170</v>
      </c>
      <c r="CB852" t="s">
        <v>170</v>
      </c>
      <c r="CC852" t="s">
        <v>170</v>
      </c>
      <c r="CD852" t="s">
        <v>645</v>
      </c>
      <c r="CE852" t="s">
        <v>170</v>
      </c>
      <c r="CG852" t="s">
        <v>169</v>
      </c>
      <c r="CH852" t="s">
        <v>646</v>
      </c>
      <c r="CI852" t="s">
        <v>169</v>
      </c>
      <c r="CJ852" t="s">
        <v>390</v>
      </c>
      <c r="DJ852" t="s">
        <v>184</v>
      </c>
      <c r="DK852" t="s">
        <v>185</v>
      </c>
      <c r="DL852" t="s">
        <v>170</v>
      </c>
      <c r="DN852" t="s">
        <v>170</v>
      </c>
      <c r="DO852" t="s">
        <v>391</v>
      </c>
      <c r="DP852" t="s">
        <v>169</v>
      </c>
      <c r="DQ852" t="s">
        <v>198</v>
      </c>
      <c r="DY852">
        <v>37.299999999999997</v>
      </c>
      <c r="EB852">
        <v>6</v>
      </c>
      <c r="EC852">
        <v>6</v>
      </c>
      <c r="EE852" t="s">
        <v>647</v>
      </c>
      <c r="EF852">
        <v>6</v>
      </c>
      <c r="EU852">
        <v>750</v>
      </c>
      <c r="EW852">
        <v>346</v>
      </c>
      <c r="EX852">
        <v>247</v>
      </c>
      <c r="EY852">
        <v>301</v>
      </c>
    </row>
    <row r="853" spans="1:155" x14ac:dyDescent="0.35">
      <c r="A853">
        <v>2025</v>
      </c>
      <c r="B853" t="s">
        <v>205</v>
      </c>
      <c r="C853" t="s">
        <v>643</v>
      </c>
      <c r="D853" t="s">
        <v>648</v>
      </c>
      <c r="E853" t="s">
        <v>208</v>
      </c>
      <c r="F853">
        <v>49</v>
      </c>
      <c r="G853">
        <v>2</v>
      </c>
      <c r="H853">
        <v>4</v>
      </c>
      <c r="I853" t="s">
        <v>209</v>
      </c>
      <c r="J853">
        <v>22</v>
      </c>
      <c r="K853">
        <v>31</v>
      </c>
      <c r="L853">
        <v>25</v>
      </c>
      <c r="M853">
        <v>28</v>
      </c>
      <c r="N853">
        <v>42.2</v>
      </c>
      <c r="O853">
        <v>32.996400000000001</v>
      </c>
      <c r="P853">
        <v>22.343900000000001</v>
      </c>
      <c r="Q853">
        <v>30.521999999999998</v>
      </c>
      <c r="R853">
        <v>25.407399999999999</v>
      </c>
      <c r="T853" t="s">
        <v>165</v>
      </c>
      <c r="U853" t="s">
        <v>166</v>
      </c>
      <c r="V853" t="s">
        <v>211</v>
      </c>
      <c r="W853" t="s">
        <v>212</v>
      </c>
      <c r="Y853">
        <v>7</v>
      </c>
      <c r="Z853" t="s">
        <v>170</v>
      </c>
      <c r="AA853" t="s">
        <v>170</v>
      </c>
      <c r="AB853" t="s">
        <v>167</v>
      </c>
      <c r="AC853" t="s">
        <v>213</v>
      </c>
      <c r="AD853">
        <v>15</v>
      </c>
      <c r="AG853" t="s">
        <v>173</v>
      </c>
      <c r="AH853" t="s">
        <v>174</v>
      </c>
      <c r="AI853" t="s">
        <v>175</v>
      </c>
      <c r="AJ853" t="s">
        <v>176</v>
      </c>
      <c r="AK853" t="s">
        <v>170</v>
      </c>
      <c r="AL853" t="s">
        <v>177</v>
      </c>
      <c r="AQ853">
        <v>93</v>
      </c>
      <c r="AR853">
        <v>16</v>
      </c>
      <c r="AS853">
        <v>2550</v>
      </c>
      <c r="AT853">
        <v>2550</v>
      </c>
      <c r="BN853" t="s">
        <v>178</v>
      </c>
      <c r="BO853">
        <v>2</v>
      </c>
      <c r="BP853">
        <v>2</v>
      </c>
      <c r="BQ853">
        <v>4</v>
      </c>
      <c r="BR853" t="s">
        <v>521</v>
      </c>
      <c r="BS853" t="s">
        <v>180</v>
      </c>
      <c r="BT853" t="s">
        <v>225</v>
      </c>
      <c r="BU853" s="1">
        <v>45583</v>
      </c>
      <c r="BV853">
        <v>35740</v>
      </c>
      <c r="BX853" t="s">
        <v>169</v>
      </c>
      <c r="BY853" t="s">
        <v>170</v>
      </c>
      <c r="CB853" t="s">
        <v>170</v>
      </c>
      <c r="CC853" t="s">
        <v>170</v>
      </c>
      <c r="CD853" t="s">
        <v>649</v>
      </c>
      <c r="CE853" t="s">
        <v>170</v>
      </c>
      <c r="CG853" t="s">
        <v>169</v>
      </c>
      <c r="CH853" t="s">
        <v>542</v>
      </c>
      <c r="CI853" t="s">
        <v>169</v>
      </c>
      <c r="CJ853" t="s">
        <v>542</v>
      </c>
      <c r="DJ853" t="s">
        <v>184</v>
      </c>
      <c r="DK853" t="s">
        <v>185</v>
      </c>
      <c r="DL853" t="s">
        <v>170</v>
      </c>
      <c r="DM853" t="s">
        <v>170</v>
      </c>
      <c r="DN853" t="s">
        <v>170</v>
      </c>
      <c r="DO853" t="s">
        <v>650</v>
      </c>
      <c r="DP853" t="s">
        <v>169</v>
      </c>
      <c r="DQ853" t="s">
        <v>198</v>
      </c>
      <c r="DY853">
        <v>33.200000000000003</v>
      </c>
      <c r="EB853">
        <v>5</v>
      </c>
      <c r="EC853">
        <v>5</v>
      </c>
      <c r="EE853" t="s">
        <v>651</v>
      </c>
      <c r="EF853">
        <v>4</v>
      </c>
      <c r="EV853">
        <v>3250</v>
      </c>
      <c r="EW853">
        <v>397</v>
      </c>
      <c r="EX853">
        <v>289</v>
      </c>
      <c r="EY853">
        <v>349</v>
      </c>
    </row>
    <row r="854" spans="1:155" x14ac:dyDescent="0.35">
      <c r="A854">
        <v>2025</v>
      </c>
      <c r="B854" t="s">
        <v>205</v>
      </c>
      <c r="C854" t="s">
        <v>643</v>
      </c>
      <c r="D854" t="s">
        <v>652</v>
      </c>
      <c r="E854" t="s">
        <v>208</v>
      </c>
      <c r="F854">
        <v>50</v>
      </c>
      <c r="G854">
        <v>2</v>
      </c>
      <c r="H854">
        <v>4</v>
      </c>
      <c r="I854" t="s">
        <v>209</v>
      </c>
      <c r="J854">
        <v>24</v>
      </c>
      <c r="K854">
        <v>32</v>
      </c>
      <c r="L854">
        <v>27</v>
      </c>
      <c r="M854">
        <v>31.5</v>
      </c>
      <c r="N854">
        <v>46.2</v>
      </c>
      <c r="O854">
        <v>36.7639</v>
      </c>
      <c r="P854">
        <v>24.438199999999998</v>
      </c>
      <c r="Q854">
        <v>32.040500000000002</v>
      </c>
      <c r="R854">
        <v>27.359400000000001</v>
      </c>
      <c r="T854" t="s">
        <v>165</v>
      </c>
      <c r="U854" t="s">
        <v>166</v>
      </c>
      <c r="V854" t="s">
        <v>211</v>
      </c>
      <c r="W854" t="s">
        <v>212</v>
      </c>
      <c r="Y854">
        <v>7</v>
      </c>
      <c r="Z854" t="s">
        <v>170</v>
      </c>
      <c r="AA854" t="s">
        <v>170</v>
      </c>
      <c r="AB854" t="s">
        <v>351</v>
      </c>
      <c r="AC854" t="s">
        <v>352</v>
      </c>
      <c r="AD854">
        <v>15</v>
      </c>
      <c r="AG854" t="s">
        <v>210</v>
      </c>
      <c r="AH854" t="s">
        <v>444</v>
      </c>
      <c r="AI854" t="s">
        <v>175</v>
      </c>
      <c r="AJ854" t="s">
        <v>176</v>
      </c>
      <c r="AK854" t="s">
        <v>170</v>
      </c>
      <c r="AL854" t="s">
        <v>177</v>
      </c>
      <c r="AQ854">
        <v>93</v>
      </c>
      <c r="AR854">
        <v>16</v>
      </c>
      <c r="AS854">
        <v>1950</v>
      </c>
      <c r="AT854">
        <v>1950</v>
      </c>
      <c r="BN854" t="s">
        <v>178</v>
      </c>
      <c r="BO854">
        <v>2</v>
      </c>
      <c r="BP854">
        <v>2</v>
      </c>
      <c r="BQ854">
        <v>4</v>
      </c>
      <c r="BR854" t="s">
        <v>521</v>
      </c>
      <c r="BS854" t="s">
        <v>180</v>
      </c>
      <c r="BT854" t="s">
        <v>181</v>
      </c>
      <c r="BU854" s="1">
        <v>45611</v>
      </c>
      <c r="BV854">
        <v>35795</v>
      </c>
      <c r="BX854" t="s">
        <v>169</v>
      </c>
      <c r="BY854" t="s">
        <v>170</v>
      </c>
      <c r="CB854" t="s">
        <v>170</v>
      </c>
      <c r="CC854" t="s">
        <v>170</v>
      </c>
      <c r="CD854" t="s">
        <v>653</v>
      </c>
      <c r="CE854" t="s">
        <v>170</v>
      </c>
      <c r="CG854" t="s">
        <v>169</v>
      </c>
      <c r="CH854" t="s">
        <v>542</v>
      </c>
      <c r="CI854" t="s">
        <v>169</v>
      </c>
      <c r="CJ854" t="s">
        <v>542</v>
      </c>
      <c r="DJ854" t="s">
        <v>184</v>
      </c>
      <c r="DK854" t="s">
        <v>185</v>
      </c>
      <c r="DL854" t="s">
        <v>170</v>
      </c>
      <c r="DM854" t="s">
        <v>170</v>
      </c>
      <c r="DN854" t="s">
        <v>170</v>
      </c>
      <c r="DO854" t="s">
        <v>650</v>
      </c>
      <c r="DP854" t="s">
        <v>169</v>
      </c>
      <c r="DQ854" t="s">
        <v>198</v>
      </c>
      <c r="DY854">
        <v>37</v>
      </c>
      <c r="EB854">
        <v>5</v>
      </c>
      <c r="EC854">
        <v>5</v>
      </c>
      <c r="EE854" t="s">
        <v>651</v>
      </c>
      <c r="EF854">
        <v>4</v>
      </c>
      <c r="EV854">
        <v>250</v>
      </c>
      <c r="EW854">
        <v>365</v>
      </c>
      <c r="EX854">
        <v>278</v>
      </c>
      <c r="EY854">
        <v>326</v>
      </c>
    </row>
    <row r="855" spans="1:155" x14ac:dyDescent="0.35">
      <c r="A855">
        <v>2025</v>
      </c>
      <c r="B855" t="s">
        <v>205</v>
      </c>
      <c r="C855" t="s">
        <v>643</v>
      </c>
      <c r="D855" t="s">
        <v>654</v>
      </c>
      <c r="E855" t="s">
        <v>208</v>
      </c>
      <c r="F855">
        <v>33</v>
      </c>
      <c r="G855">
        <v>1.5</v>
      </c>
      <c r="H855">
        <v>4</v>
      </c>
      <c r="I855" t="s">
        <v>192</v>
      </c>
      <c r="J855">
        <v>29</v>
      </c>
      <c r="K855">
        <v>39</v>
      </c>
      <c r="L855">
        <v>33</v>
      </c>
      <c r="M855">
        <v>38.200000000000003</v>
      </c>
      <c r="N855">
        <v>58.049599999999998</v>
      </c>
      <c r="O855">
        <v>45.146900000000002</v>
      </c>
      <c r="P855">
        <v>29.019100000000002</v>
      </c>
      <c r="Q855">
        <v>39.229700000000001</v>
      </c>
      <c r="R855">
        <v>32.868899999999996</v>
      </c>
      <c r="T855" t="s">
        <v>165</v>
      </c>
      <c r="U855" t="s">
        <v>166</v>
      </c>
      <c r="V855" t="s">
        <v>193</v>
      </c>
      <c r="W855" t="s">
        <v>194</v>
      </c>
      <c r="Y855">
        <v>8</v>
      </c>
      <c r="Z855" t="s">
        <v>169</v>
      </c>
      <c r="AA855" t="s">
        <v>170</v>
      </c>
      <c r="AB855" t="s">
        <v>351</v>
      </c>
      <c r="AC855" t="s">
        <v>352</v>
      </c>
      <c r="AD855">
        <v>15</v>
      </c>
      <c r="AG855" t="s">
        <v>210</v>
      </c>
      <c r="AH855" t="s">
        <v>444</v>
      </c>
      <c r="AI855" t="s">
        <v>175</v>
      </c>
      <c r="AJ855" t="s">
        <v>176</v>
      </c>
      <c r="AK855" t="s">
        <v>170</v>
      </c>
      <c r="AL855" t="s">
        <v>177</v>
      </c>
      <c r="AO855">
        <v>94</v>
      </c>
      <c r="AP855">
        <v>16</v>
      </c>
      <c r="AS855">
        <v>1600</v>
      </c>
      <c r="AT855">
        <v>1600</v>
      </c>
      <c r="BN855" t="s">
        <v>178</v>
      </c>
      <c r="BO855">
        <v>2</v>
      </c>
      <c r="BP855">
        <v>2</v>
      </c>
      <c r="BQ855">
        <v>4</v>
      </c>
      <c r="BR855" t="s">
        <v>521</v>
      </c>
      <c r="BS855" t="s">
        <v>180</v>
      </c>
      <c r="BT855" t="s">
        <v>181</v>
      </c>
      <c r="BU855" s="1">
        <v>45492</v>
      </c>
      <c r="BV855">
        <v>35147</v>
      </c>
      <c r="BX855" t="s">
        <v>170</v>
      </c>
      <c r="BY855" t="s">
        <v>170</v>
      </c>
      <c r="CB855" t="s">
        <v>170</v>
      </c>
      <c r="CC855" t="s">
        <v>170</v>
      </c>
      <c r="CD855" t="s">
        <v>655</v>
      </c>
      <c r="CE855" t="s">
        <v>170</v>
      </c>
      <c r="CG855" t="s">
        <v>169</v>
      </c>
      <c r="CH855" t="s">
        <v>542</v>
      </c>
      <c r="CI855" t="s">
        <v>170</v>
      </c>
      <c r="DJ855" t="s">
        <v>184</v>
      </c>
      <c r="DK855" t="s">
        <v>185</v>
      </c>
      <c r="DN855" t="s">
        <v>170</v>
      </c>
      <c r="DO855" t="s">
        <v>391</v>
      </c>
      <c r="DP855" t="s">
        <v>169</v>
      </c>
      <c r="DQ855" t="s">
        <v>198</v>
      </c>
      <c r="DY855">
        <v>45.5</v>
      </c>
      <c r="EB855">
        <v>6</v>
      </c>
      <c r="EC855">
        <v>6</v>
      </c>
      <c r="EE855" t="s">
        <v>656</v>
      </c>
      <c r="EF855">
        <v>6</v>
      </c>
      <c r="EU855">
        <v>1500</v>
      </c>
      <c r="EW855">
        <v>307</v>
      </c>
      <c r="EX855">
        <v>227</v>
      </c>
      <c r="EY855">
        <v>271</v>
      </c>
    </row>
    <row r="856" spans="1:155" x14ac:dyDescent="0.35">
      <c r="A856">
        <v>2025</v>
      </c>
      <c r="B856" t="s">
        <v>205</v>
      </c>
      <c r="C856" t="s">
        <v>643</v>
      </c>
      <c r="D856" t="s">
        <v>657</v>
      </c>
      <c r="E856" t="s">
        <v>208</v>
      </c>
      <c r="F856">
        <v>34</v>
      </c>
      <c r="G856">
        <v>1.5</v>
      </c>
      <c r="H856">
        <v>4</v>
      </c>
      <c r="I856" t="s">
        <v>192</v>
      </c>
      <c r="J856">
        <v>29</v>
      </c>
      <c r="K856">
        <v>40</v>
      </c>
      <c r="L856">
        <v>33</v>
      </c>
      <c r="M856">
        <v>37.799999999999997</v>
      </c>
      <c r="N856">
        <v>59.1</v>
      </c>
      <c r="O856">
        <v>45.117199999999997</v>
      </c>
      <c r="P856">
        <v>28.750900000000001</v>
      </c>
      <c r="Q856">
        <v>39.849299999999999</v>
      </c>
      <c r="R856">
        <v>32.8705</v>
      </c>
      <c r="T856" t="s">
        <v>165</v>
      </c>
      <c r="U856" t="s">
        <v>166</v>
      </c>
      <c r="V856" t="s">
        <v>193</v>
      </c>
      <c r="W856" t="s">
        <v>194</v>
      </c>
      <c r="Y856">
        <v>8</v>
      </c>
      <c r="Z856" t="s">
        <v>169</v>
      </c>
      <c r="AA856" t="s">
        <v>170</v>
      </c>
      <c r="AB856" t="s">
        <v>351</v>
      </c>
      <c r="AC856" t="s">
        <v>352</v>
      </c>
      <c r="AD856">
        <v>15</v>
      </c>
      <c r="AG856" t="s">
        <v>210</v>
      </c>
      <c r="AH856" t="s">
        <v>444</v>
      </c>
      <c r="AI856" t="s">
        <v>175</v>
      </c>
      <c r="AJ856" t="s">
        <v>176</v>
      </c>
      <c r="AK856" t="s">
        <v>170</v>
      </c>
      <c r="AL856" t="s">
        <v>177</v>
      </c>
      <c r="AO856">
        <v>94</v>
      </c>
      <c r="AP856">
        <v>16</v>
      </c>
      <c r="AS856">
        <v>1600</v>
      </c>
      <c r="AT856">
        <v>1600</v>
      </c>
      <c r="BN856" t="s">
        <v>178</v>
      </c>
      <c r="BO856">
        <v>2</v>
      </c>
      <c r="BP856">
        <v>2</v>
      </c>
      <c r="BQ856">
        <v>4</v>
      </c>
      <c r="BR856" t="s">
        <v>521</v>
      </c>
      <c r="BS856" t="s">
        <v>180</v>
      </c>
      <c r="BT856" t="s">
        <v>181</v>
      </c>
      <c r="BU856" s="1">
        <v>45485</v>
      </c>
      <c r="BV856">
        <v>35076</v>
      </c>
      <c r="BX856" t="s">
        <v>170</v>
      </c>
      <c r="BY856" t="s">
        <v>170</v>
      </c>
      <c r="CB856" t="s">
        <v>170</v>
      </c>
      <c r="CC856" t="s">
        <v>170</v>
      </c>
      <c r="CD856" t="s">
        <v>655</v>
      </c>
      <c r="CE856" t="s">
        <v>170</v>
      </c>
      <c r="CG856" t="s">
        <v>169</v>
      </c>
      <c r="CH856" t="s">
        <v>542</v>
      </c>
      <c r="CI856" t="s">
        <v>170</v>
      </c>
      <c r="DJ856" t="s">
        <v>184</v>
      </c>
      <c r="DK856" t="s">
        <v>185</v>
      </c>
      <c r="DN856" t="s">
        <v>170</v>
      </c>
      <c r="DO856" t="s">
        <v>391</v>
      </c>
      <c r="DP856" t="s">
        <v>169</v>
      </c>
      <c r="DQ856" t="s">
        <v>198</v>
      </c>
      <c r="DY856">
        <v>45.4</v>
      </c>
      <c r="EB856">
        <v>6</v>
      </c>
      <c r="EC856">
        <v>6</v>
      </c>
      <c r="EE856" t="s">
        <v>656</v>
      </c>
      <c r="EF856">
        <v>6</v>
      </c>
      <c r="EU856">
        <v>1500</v>
      </c>
      <c r="EW856">
        <v>310</v>
      </c>
      <c r="EX856">
        <v>224</v>
      </c>
      <c r="EY856">
        <v>271</v>
      </c>
    </row>
    <row r="857" spans="1:155" x14ac:dyDescent="0.35">
      <c r="A857">
        <v>2025</v>
      </c>
      <c r="B857" t="s">
        <v>205</v>
      </c>
      <c r="C857" t="s">
        <v>643</v>
      </c>
      <c r="D857" t="s">
        <v>1210</v>
      </c>
      <c r="E857" t="s">
        <v>208</v>
      </c>
      <c r="F857">
        <v>141</v>
      </c>
      <c r="G857">
        <v>1.5</v>
      </c>
      <c r="H857">
        <v>4</v>
      </c>
      <c r="I857" t="s">
        <v>192</v>
      </c>
      <c r="J857">
        <v>28</v>
      </c>
      <c r="K857">
        <v>36</v>
      </c>
      <c r="L857">
        <v>31</v>
      </c>
      <c r="M857">
        <v>37.4</v>
      </c>
      <c r="N857">
        <v>54</v>
      </c>
      <c r="O857">
        <v>43.404299999999999</v>
      </c>
      <c r="P857">
        <v>28.482099999999999</v>
      </c>
      <c r="Q857">
        <v>36</v>
      </c>
      <c r="R857">
        <v>31</v>
      </c>
      <c r="T857" t="s">
        <v>165</v>
      </c>
      <c r="U857" t="s">
        <v>166</v>
      </c>
      <c r="V857" t="s">
        <v>193</v>
      </c>
      <c r="W857" t="s">
        <v>194</v>
      </c>
      <c r="Y857">
        <v>8</v>
      </c>
      <c r="Z857" t="s">
        <v>169</v>
      </c>
      <c r="AA857" t="s">
        <v>170</v>
      </c>
      <c r="AB857" t="s">
        <v>351</v>
      </c>
      <c r="AC857" t="s">
        <v>352</v>
      </c>
      <c r="AD857">
        <v>15</v>
      </c>
      <c r="AG857" t="s">
        <v>210</v>
      </c>
      <c r="AH857" t="s">
        <v>444</v>
      </c>
      <c r="AI857" t="s">
        <v>175</v>
      </c>
      <c r="AJ857" t="s">
        <v>176</v>
      </c>
      <c r="AK857" t="s">
        <v>940</v>
      </c>
      <c r="AL857" t="s">
        <v>941</v>
      </c>
      <c r="AO857">
        <v>100</v>
      </c>
      <c r="AP857">
        <v>28</v>
      </c>
      <c r="AS857">
        <v>1700</v>
      </c>
      <c r="AT857">
        <v>1700</v>
      </c>
      <c r="BN857" t="s">
        <v>178</v>
      </c>
      <c r="BO857">
        <v>2</v>
      </c>
      <c r="BP857">
        <v>2</v>
      </c>
      <c r="BQ857">
        <v>30</v>
      </c>
      <c r="BR857" t="s">
        <v>1099</v>
      </c>
      <c r="BT857" t="s">
        <v>181</v>
      </c>
      <c r="BU857" s="1">
        <v>45618</v>
      </c>
      <c r="BV857">
        <v>35988</v>
      </c>
      <c r="BX857" t="s">
        <v>170</v>
      </c>
      <c r="BY857" t="s">
        <v>170</v>
      </c>
      <c r="CB857" t="s">
        <v>170</v>
      </c>
      <c r="CC857" t="s">
        <v>170</v>
      </c>
      <c r="CD857" t="s">
        <v>1211</v>
      </c>
      <c r="CE857" t="s">
        <v>170</v>
      </c>
      <c r="CG857" t="s">
        <v>169</v>
      </c>
      <c r="CH857" t="s">
        <v>542</v>
      </c>
      <c r="CI857" t="s">
        <v>170</v>
      </c>
      <c r="DJ857" t="s">
        <v>184</v>
      </c>
      <c r="DK857" t="s">
        <v>185</v>
      </c>
      <c r="DN857" t="s">
        <v>170</v>
      </c>
      <c r="DO857" t="s">
        <v>391</v>
      </c>
      <c r="DP857" t="s">
        <v>169</v>
      </c>
      <c r="DQ857" t="s">
        <v>198</v>
      </c>
      <c r="DY857">
        <v>43.7</v>
      </c>
      <c r="EB857">
        <v>6</v>
      </c>
      <c r="EC857">
        <v>6</v>
      </c>
      <c r="EE857" t="s">
        <v>1212</v>
      </c>
      <c r="EF857">
        <v>7</v>
      </c>
      <c r="EU857">
        <v>1000</v>
      </c>
      <c r="EW857">
        <v>312</v>
      </c>
      <c r="EX857">
        <v>247</v>
      </c>
      <c r="EY857">
        <v>287</v>
      </c>
    </row>
    <row r="858" spans="1:155" x14ac:dyDescent="0.35">
      <c r="A858">
        <v>2025</v>
      </c>
      <c r="B858" t="s">
        <v>205</v>
      </c>
      <c r="C858" t="s">
        <v>643</v>
      </c>
      <c r="D858" t="s">
        <v>1446</v>
      </c>
      <c r="E858" t="s">
        <v>208</v>
      </c>
      <c r="F858">
        <v>51</v>
      </c>
      <c r="G858">
        <v>1.5</v>
      </c>
      <c r="H858">
        <v>4</v>
      </c>
      <c r="I858" t="s">
        <v>192</v>
      </c>
      <c r="J858">
        <v>25</v>
      </c>
      <c r="K858">
        <v>33</v>
      </c>
      <c r="L858">
        <v>28</v>
      </c>
      <c r="M858">
        <v>32.4499</v>
      </c>
      <c r="N858">
        <v>47.047400000000003</v>
      </c>
      <c r="O858">
        <v>37.715899999999998</v>
      </c>
      <c r="P858">
        <v>25.099499999999999</v>
      </c>
      <c r="Q858">
        <v>32.567100000000003</v>
      </c>
      <c r="R858">
        <v>27.987400000000001</v>
      </c>
      <c r="T858" t="s">
        <v>165</v>
      </c>
      <c r="U858" t="s">
        <v>166</v>
      </c>
      <c r="V858" t="s">
        <v>193</v>
      </c>
      <c r="W858" t="s">
        <v>194</v>
      </c>
      <c r="Y858">
        <v>8</v>
      </c>
      <c r="Z858" t="s">
        <v>169</v>
      </c>
      <c r="AA858" t="s">
        <v>170</v>
      </c>
      <c r="AB858" t="s">
        <v>167</v>
      </c>
      <c r="AC858" t="s">
        <v>213</v>
      </c>
      <c r="AD858">
        <v>15</v>
      </c>
      <c r="AG858" t="s">
        <v>210</v>
      </c>
      <c r="AH858" t="s">
        <v>444</v>
      </c>
      <c r="AI858" t="s">
        <v>175</v>
      </c>
      <c r="AJ858" t="s">
        <v>176</v>
      </c>
      <c r="AK858" t="s">
        <v>940</v>
      </c>
      <c r="AL858" t="s">
        <v>941</v>
      </c>
      <c r="AO858">
        <v>100</v>
      </c>
      <c r="AP858">
        <v>28</v>
      </c>
      <c r="AS858">
        <v>1900</v>
      </c>
      <c r="AT858">
        <v>1900</v>
      </c>
      <c r="BN858" t="s">
        <v>178</v>
      </c>
      <c r="BO858">
        <v>2</v>
      </c>
      <c r="BP858">
        <v>2</v>
      </c>
      <c r="BQ858">
        <v>31</v>
      </c>
      <c r="BR858" t="s">
        <v>1219</v>
      </c>
      <c r="BT858" t="s">
        <v>181</v>
      </c>
      <c r="BU858" s="1">
        <v>45604</v>
      </c>
      <c r="BV858">
        <v>35771</v>
      </c>
      <c r="BX858" t="s">
        <v>169</v>
      </c>
      <c r="BY858" t="s">
        <v>170</v>
      </c>
      <c r="CB858" t="s">
        <v>170</v>
      </c>
      <c r="CC858" t="s">
        <v>170</v>
      </c>
      <c r="CD858" t="s">
        <v>1211</v>
      </c>
      <c r="CE858" t="s">
        <v>170</v>
      </c>
      <c r="CG858" t="s">
        <v>169</v>
      </c>
      <c r="CH858" t="s">
        <v>542</v>
      </c>
      <c r="CI858" t="s">
        <v>170</v>
      </c>
      <c r="DJ858" t="s">
        <v>184</v>
      </c>
      <c r="DK858" t="s">
        <v>185</v>
      </c>
      <c r="DN858" t="s">
        <v>170</v>
      </c>
      <c r="DO858" t="s">
        <v>391</v>
      </c>
      <c r="DP858" t="s">
        <v>169</v>
      </c>
      <c r="DQ858" t="s">
        <v>198</v>
      </c>
      <c r="DY858">
        <v>38</v>
      </c>
      <c r="EB858">
        <v>6</v>
      </c>
      <c r="EC858">
        <v>6</v>
      </c>
      <c r="EE858" t="s">
        <v>1212</v>
      </c>
      <c r="EF858">
        <v>7</v>
      </c>
      <c r="EU858">
        <v>0</v>
      </c>
      <c r="EW858">
        <v>355</v>
      </c>
      <c r="EX858">
        <v>274</v>
      </c>
      <c r="EY858">
        <v>318</v>
      </c>
    </row>
    <row r="859" spans="1:155" x14ac:dyDescent="0.35">
      <c r="A859">
        <v>2025</v>
      </c>
      <c r="B859" t="s">
        <v>205</v>
      </c>
      <c r="C859" t="s">
        <v>643</v>
      </c>
      <c r="D859" t="s">
        <v>1213</v>
      </c>
      <c r="E859" t="s">
        <v>208</v>
      </c>
      <c r="F859">
        <v>58</v>
      </c>
      <c r="G859">
        <v>2</v>
      </c>
      <c r="H859">
        <v>4</v>
      </c>
      <c r="I859" t="s">
        <v>192</v>
      </c>
      <c r="J859">
        <v>25</v>
      </c>
      <c r="K859">
        <v>32</v>
      </c>
      <c r="L859">
        <v>28</v>
      </c>
      <c r="M859">
        <v>32.299999999999997</v>
      </c>
      <c r="N859">
        <v>46.3</v>
      </c>
      <c r="O859">
        <v>37.3872</v>
      </c>
      <c r="P859">
        <v>24.9954</v>
      </c>
      <c r="Q859">
        <v>32.102800000000002</v>
      </c>
      <c r="R859">
        <v>27.761199999999999</v>
      </c>
      <c r="T859" t="s">
        <v>165</v>
      </c>
      <c r="U859" t="s">
        <v>166</v>
      </c>
      <c r="V859" t="s">
        <v>193</v>
      </c>
      <c r="W859" t="s">
        <v>194</v>
      </c>
      <c r="Y859">
        <v>8</v>
      </c>
      <c r="Z859" t="s">
        <v>169</v>
      </c>
      <c r="AA859" t="s">
        <v>170</v>
      </c>
      <c r="AB859" t="s">
        <v>351</v>
      </c>
      <c r="AC859" t="s">
        <v>352</v>
      </c>
      <c r="AD859">
        <v>15</v>
      </c>
      <c r="AG859" t="s">
        <v>210</v>
      </c>
      <c r="AH859" t="s">
        <v>444</v>
      </c>
      <c r="AI859" t="s">
        <v>175</v>
      </c>
      <c r="AJ859" t="s">
        <v>176</v>
      </c>
      <c r="AK859" t="s">
        <v>940</v>
      </c>
      <c r="AL859" t="s">
        <v>941</v>
      </c>
      <c r="AS859">
        <v>1900</v>
      </c>
      <c r="AT859">
        <v>1900</v>
      </c>
      <c r="BN859" t="s">
        <v>178</v>
      </c>
      <c r="BO859">
        <v>2</v>
      </c>
      <c r="BP859">
        <v>2</v>
      </c>
      <c r="BQ859">
        <v>30</v>
      </c>
      <c r="BR859" t="s">
        <v>1099</v>
      </c>
      <c r="BT859" t="s">
        <v>181</v>
      </c>
      <c r="BU859" s="1">
        <v>45740</v>
      </c>
      <c r="BV859">
        <v>36211</v>
      </c>
      <c r="BX859" t="s">
        <v>169</v>
      </c>
      <c r="BY859" t="s">
        <v>170</v>
      </c>
      <c r="CB859" t="s">
        <v>170</v>
      </c>
      <c r="CC859" t="s">
        <v>170</v>
      </c>
      <c r="CD859" t="s">
        <v>1214</v>
      </c>
      <c r="CE859" t="s">
        <v>170</v>
      </c>
      <c r="CG859" t="s">
        <v>169</v>
      </c>
      <c r="CH859" t="s">
        <v>1215</v>
      </c>
      <c r="CI859" t="s">
        <v>170</v>
      </c>
      <c r="DJ859" t="s">
        <v>184</v>
      </c>
      <c r="DK859" t="s">
        <v>185</v>
      </c>
      <c r="DN859" t="s">
        <v>170</v>
      </c>
      <c r="DO859" t="s">
        <v>391</v>
      </c>
      <c r="DP859" t="s">
        <v>169</v>
      </c>
      <c r="DQ859" t="s">
        <v>198</v>
      </c>
      <c r="EB859">
        <v>6</v>
      </c>
      <c r="EC859">
        <v>6</v>
      </c>
      <c r="EE859" t="s">
        <v>1216</v>
      </c>
      <c r="EF859">
        <v>6</v>
      </c>
      <c r="EU859">
        <v>0</v>
      </c>
      <c r="EW859">
        <v>355</v>
      </c>
      <c r="EX859">
        <v>277</v>
      </c>
      <c r="EY859">
        <v>320</v>
      </c>
    </row>
    <row r="860" spans="1:155" x14ac:dyDescent="0.35">
      <c r="A860">
        <v>2025</v>
      </c>
      <c r="B860" t="s">
        <v>205</v>
      </c>
      <c r="C860" t="s">
        <v>643</v>
      </c>
      <c r="D860" t="s">
        <v>1447</v>
      </c>
      <c r="E860" t="s">
        <v>208</v>
      </c>
      <c r="F860">
        <v>60</v>
      </c>
      <c r="G860">
        <v>2</v>
      </c>
      <c r="H860">
        <v>4</v>
      </c>
      <c r="I860" t="s">
        <v>192</v>
      </c>
      <c r="J860">
        <v>22</v>
      </c>
      <c r="K860">
        <v>30</v>
      </c>
      <c r="L860">
        <v>25</v>
      </c>
      <c r="M860">
        <v>28.5</v>
      </c>
      <c r="N860">
        <v>43.4</v>
      </c>
      <c r="O860">
        <v>33.707599999999999</v>
      </c>
      <c r="P860">
        <v>22.3233</v>
      </c>
      <c r="Q860">
        <v>30.286300000000001</v>
      </c>
      <c r="R860">
        <v>25.318899999999999</v>
      </c>
      <c r="T860" t="s">
        <v>165</v>
      </c>
      <c r="U860" t="s">
        <v>166</v>
      </c>
      <c r="V860" t="s">
        <v>193</v>
      </c>
      <c r="W860" t="s">
        <v>194</v>
      </c>
      <c r="Y860">
        <v>8</v>
      </c>
      <c r="Z860" t="s">
        <v>169</v>
      </c>
      <c r="AA860" t="s">
        <v>170</v>
      </c>
      <c r="AB860" t="s">
        <v>167</v>
      </c>
      <c r="AC860" t="s">
        <v>213</v>
      </c>
      <c r="AD860">
        <v>15</v>
      </c>
      <c r="AG860" t="s">
        <v>210</v>
      </c>
      <c r="AH860" t="s">
        <v>444</v>
      </c>
      <c r="AI860" t="s">
        <v>175</v>
      </c>
      <c r="AJ860" t="s">
        <v>176</v>
      </c>
      <c r="AK860" t="s">
        <v>940</v>
      </c>
      <c r="AL860" t="s">
        <v>941</v>
      </c>
      <c r="AS860">
        <v>2100</v>
      </c>
      <c r="AT860">
        <v>2100</v>
      </c>
      <c r="BN860" t="s">
        <v>178</v>
      </c>
      <c r="BO860">
        <v>2</v>
      </c>
      <c r="BP860">
        <v>2</v>
      </c>
      <c r="BQ860">
        <v>31</v>
      </c>
      <c r="BR860" t="s">
        <v>1219</v>
      </c>
      <c r="BT860" t="s">
        <v>181</v>
      </c>
      <c r="BU860" s="1">
        <v>45740</v>
      </c>
      <c r="BV860">
        <v>36210</v>
      </c>
      <c r="BX860" t="s">
        <v>169</v>
      </c>
      <c r="BY860" t="s">
        <v>170</v>
      </c>
      <c r="CB860" t="s">
        <v>170</v>
      </c>
      <c r="CC860" t="s">
        <v>170</v>
      </c>
      <c r="CD860" t="s">
        <v>1448</v>
      </c>
      <c r="CE860" t="s">
        <v>170</v>
      </c>
      <c r="CG860" t="s">
        <v>169</v>
      </c>
      <c r="CH860" t="s">
        <v>1215</v>
      </c>
      <c r="CI860" t="s">
        <v>170</v>
      </c>
      <c r="DJ860" t="s">
        <v>184</v>
      </c>
      <c r="DK860" t="s">
        <v>185</v>
      </c>
      <c r="DN860" t="s">
        <v>170</v>
      </c>
      <c r="DO860" t="s">
        <v>391</v>
      </c>
      <c r="DP860" t="s">
        <v>169</v>
      </c>
      <c r="DQ860" t="s">
        <v>198</v>
      </c>
      <c r="EB860">
        <v>5</v>
      </c>
      <c r="EC860">
        <v>5</v>
      </c>
      <c r="EE860" t="s">
        <v>1216</v>
      </c>
      <c r="EF860">
        <v>6</v>
      </c>
      <c r="EV860">
        <v>1000</v>
      </c>
      <c r="EW860">
        <v>398</v>
      </c>
      <c r="EX860">
        <v>294</v>
      </c>
      <c r="EY860">
        <v>351</v>
      </c>
    </row>
    <row r="861" spans="1:155" x14ac:dyDescent="0.35">
      <c r="A861">
        <v>2025</v>
      </c>
      <c r="B861" t="s">
        <v>205</v>
      </c>
      <c r="C861" t="s">
        <v>643</v>
      </c>
      <c r="D861" t="s">
        <v>1217</v>
      </c>
      <c r="E861" t="s">
        <v>208</v>
      </c>
      <c r="F861">
        <v>59</v>
      </c>
      <c r="G861">
        <v>2</v>
      </c>
      <c r="H861">
        <v>4</v>
      </c>
      <c r="I861" t="s">
        <v>192</v>
      </c>
      <c r="J861">
        <v>26</v>
      </c>
      <c r="K861">
        <v>34</v>
      </c>
      <c r="L861">
        <v>29</v>
      </c>
      <c r="M861">
        <v>33.4</v>
      </c>
      <c r="N861">
        <v>49.7</v>
      </c>
      <c r="O861">
        <v>39.1828</v>
      </c>
      <c r="P861">
        <v>25.756900000000002</v>
      </c>
      <c r="Q861">
        <v>34.2029</v>
      </c>
      <c r="R861">
        <v>28.976900000000001</v>
      </c>
      <c r="T861" t="s">
        <v>165</v>
      </c>
      <c r="U861" t="s">
        <v>166</v>
      </c>
      <c r="V861" t="s">
        <v>193</v>
      </c>
      <c r="W861" t="s">
        <v>194</v>
      </c>
      <c r="Y861">
        <v>8</v>
      </c>
      <c r="Z861" t="s">
        <v>169</v>
      </c>
      <c r="AA861" t="s">
        <v>170</v>
      </c>
      <c r="AB861" t="s">
        <v>351</v>
      </c>
      <c r="AC861" t="s">
        <v>352</v>
      </c>
      <c r="AD861">
        <v>15</v>
      </c>
      <c r="AG861" t="s">
        <v>210</v>
      </c>
      <c r="AH861" t="s">
        <v>444</v>
      </c>
      <c r="AI861" t="s">
        <v>175</v>
      </c>
      <c r="AJ861" t="s">
        <v>176</v>
      </c>
      <c r="AK861" t="s">
        <v>940</v>
      </c>
      <c r="AL861" t="s">
        <v>941</v>
      </c>
      <c r="AS861">
        <v>1800</v>
      </c>
      <c r="AT861">
        <v>1800</v>
      </c>
      <c r="BN861" t="s">
        <v>178</v>
      </c>
      <c r="BO861">
        <v>2</v>
      </c>
      <c r="BP861">
        <v>2</v>
      </c>
      <c r="BQ861">
        <v>30</v>
      </c>
      <c r="BR861" t="s">
        <v>1099</v>
      </c>
      <c r="BT861" t="s">
        <v>181</v>
      </c>
      <c r="BU861" s="1">
        <v>45740</v>
      </c>
      <c r="BV861">
        <v>36212</v>
      </c>
      <c r="BX861" t="s">
        <v>169</v>
      </c>
      <c r="BY861" t="s">
        <v>170</v>
      </c>
      <c r="CB861" t="s">
        <v>170</v>
      </c>
      <c r="CC861" t="s">
        <v>170</v>
      </c>
      <c r="CD861" t="s">
        <v>1214</v>
      </c>
      <c r="CE861" t="s">
        <v>170</v>
      </c>
      <c r="CG861" t="s">
        <v>169</v>
      </c>
      <c r="CH861" t="s">
        <v>1215</v>
      </c>
      <c r="CI861" t="s">
        <v>170</v>
      </c>
      <c r="DJ861" t="s">
        <v>184</v>
      </c>
      <c r="DK861" t="s">
        <v>185</v>
      </c>
      <c r="DN861" t="s">
        <v>170</v>
      </c>
      <c r="DO861" t="s">
        <v>391</v>
      </c>
      <c r="DP861" t="s">
        <v>169</v>
      </c>
      <c r="DQ861" t="s">
        <v>198</v>
      </c>
      <c r="EB861">
        <v>6</v>
      </c>
      <c r="EC861">
        <v>6</v>
      </c>
      <c r="EE861" t="s">
        <v>1216</v>
      </c>
      <c r="EF861">
        <v>6</v>
      </c>
      <c r="EU861">
        <v>500</v>
      </c>
      <c r="EW861">
        <v>345</v>
      </c>
      <c r="EX861">
        <v>260</v>
      </c>
      <c r="EY861">
        <v>307</v>
      </c>
    </row>
    <row r="862" spans="1:155" x14ac:dyDescent="0.35">
      <c r="A862">
        <v>2025</v>
      </c>
      <c r="B862" t="s">
        <v>658</v>
      </c>
      <c r="C862" t="s">
        <v>659</v>
      </c>
      <c r="D862" t="s">
        <v>660</v>
      </c>
      <c r="E862" t="s">
        <v>661</v>
      </c>
      <c r="F862">
        <v>205</v>
      </c>
      <c r="G862">
        <v>2</v>
      </c>
      <c r="H862">
        <v>4</v>
      </c>
      <c r="I862" t="s">
        <v>192</v>
      </c>
      <c r="J862">
        <v>27</v>
      </c>
      <c r="K862">
        <v>36</v>
      </c>
      <c r="L862">
        <v>30</v>
      </c>
      <c r="M862">
        <v>34.799999999999997</v>
      </c>
      <c r="N862">
        <v>52.5</v>
      </c>
      <c r="O862">
        <v>41.023899999999998</v>
      </c>
      <c r="P862">
        <v>26.718499999999999</v>
      </c>
      <c r="Q862">
        <v>35.908999999999999</v>
      </c>
      <c r="R862">
        <v>30.196300000000001</v>
      </c>
      <c r="T862" t="s">
        <v>165</v>
      </c>
      <c r="U862" t="s">
        <v>166</v>
      </c>
      <c r="V862" t="s">
        <v>193</v>
      </c>
      <c r="W862" t="s">
        <v>194</v>
      </c>
      <c r="Y862">
        <v>8</v>
      </c>
      <c r="Z862" t="s">
        <v>169</v>
      </c>
      <c r="AA862" t="s">
        <v>170</v>
      </c>
      <c r="AB862" t="s">
        <v>351</v>
      </c>
      <c r="AC862" t="s">
        <v>352</v>
      </c>
      <c r="AD862">
        <v>10</v>
      </c>
      <c r="AG862" t="s">
        <v>214</v>
      </c>
      <c r="AH862" t="s">
        <v>215</v>
      </c>
      <c r="AI862" t="s">
        <v>175</v>
      </c>
      <c r="AJ862" t="s">
        <v>176</v>
      </c>
      <c r="AK862" t="s">
        <v>170</v>
      </c>
      <c r="AL862" t="s">
        <v>177</v>
      </c>
      <c r="AO862">
        <v>93</v>
      </c>
      <c r="AP862">
        <v>12</v>
      </c>
      <c r="AS862">
        <v>2100</v>
      </c>
      <c r="AT862">
        <v>2100</v>
      </c>
      <c r="BN862" t="s">
        <v>338</v>
      </c>
      <c r="BO862">
        <v>2</v>
      </c>
      <c r="BP862">
        <v>2</v>
      </c>
      <c r="BQ862">
        <v>4</v>
      </c>
      <c r="BR862" t="s">
        <v>521</v>
      </c>
      <c r="BS862" t="s">
        <v>180</v>
      </c>
      <c r="BT862" t="s">
        <v>181</v>
      </c>
      <c r="BU862" s="1">
        <v>45446</v>
      </c>
      <c r="BV862">
        <v>34876</v>
      </c>
      <c r="BY862" t="s">
        <v>170</v>
      </c>
      <c r="CB862" t="s">
        <v>170</v>
      </c>
      <c r="CC862" t="s">
        <v>170</v>
      </c>
      <c r="CE862" t="s">
        <v>170</v>
      </c>
      <c r="CG862" t="s">
        <v>169</v>
      </c>
      <c r="CH862" t="s">
        <v>662</v>
      </c>
      <c r="CI862" t="s">
        <v>170</v>
      </c>
      <c r="CK862" t="s">
        <v>233</v>
      </c>
      <c r="CM862">
        <v>1</v>
      </c>
      <c r="CN862" t="s">
        <v>234</v>
      </c>
      <c r="CP862">
        <v>44</v>
      </c>
      <c r="CQ862">
        <v>8.4</v>
      </c>
      <c r="CR862">
        <v>56</v>
      </c>
      <c r="CS862" t="s">
        <v>235</v>
      </c>
      <c r="CV862" t="s">
        <v>341</v>
      </c>
      <c r="CX862" t="s">
        <v>342</v>
      </c>
      <c r="CY862" t="s">
        <v>170</v>
      </c>
      <c r="DD862">
        <v>1</v>
      </c>
      <c r="DE862" t="s">
        <v>663</v>
      </c>
      <c r="DG862">
        <v>10</v>
      </c>
      <c r="DJ862" t="s">
        <v>184</v>
      </c>
      <c r="DK862" t="s">
        <v>185</v>
      </c>
      <c r="DL862" t="s">
        <v>170</v>
      </c>
      <c r="DM862" t="s">
        <v>170</v>
      </c>
      <c r="DN862" t="s">
        <v>170</v>
      </c>
      <c r="DO862" t="s">
        <v>664</v>
      </c>
      <c r="DP862" t="s">
        <v>169</v>
      </c>
      <c r="DQ862" t="s">
        <v>198</v>
      </c>
      <c r="DR862" t="s">
        <v>665</v>
      </c>
      <c r="DY862">
        <v>41</v>
      </c>
      <c r="EB862">
        <v>6</v>
      </c>
      <c r="EC862">
        <v>6</v>
      </c>
      <c r="EE862" t="s">
        <v>666</v>
      </c>
      <c r="EF862">
        <v>4</v>
      </c>
      <c r="EV862">
        <v>1000</v>
      </c>
      <c r="EW862">
        <v>333</v>
      </c>
      <c r="EX862">
        <v>248</v>
      </c>
      <c r="EY862">
        <v>295</v>
      </c>
    </row>
    <row r="863" spans="1:155" x14ac:dyDescent="0.35">
      <c r="A863">
        <v>2025</v>
      </c>
      <c r="B863" t="s">
        <v>658</v>
      </c>
      <c r="C863" t="s">
        <v>659</v>
      </c>
      <c r="D863" t="s">
        <v>667</v>
      </c>
      <c r="E863" t="s">
        <v>661</v>
      </c>
      <c r="F863">
        <v>206</v>
      </c>
      <c r="G863">
        <v>2</v>
      </c>
      <c r="H863">
        <v>4</v>
      </c>
      <c r="I863" t="s">
        <v>192</v>
      </c>
      <c r="J863">
        <v>25</v>
      </c>
      <c r="K863">
        <v>34</v>
      </c>
      <c r="L863">
        <v>28</v>
      </c>
      <c r="M863">
        <v>32.799999999999997</v>
      </c>
      <c r="N863">
        <v>48.7</v>
      </c>
      <c r="O863">
        <v>38.448900000000002</v>
      </c>
      <c r="P863">
        <v>25.342199999999998</v>
      </c>
      <c r="Q863">
        <v>33.588500000000003</v>
      </c>
      <c r="R863">
        <v>28.489699999999999</v>
      </c>
      <c r="T863" t="s">
        <v>165</v>
      </c>
      <c r="U863" t="s">
        <v>166</v>
      </c>
      <c r="V863" t="s">
        <v>193</v>
      </c>
      <c r="W863" t="s">
        <v>194</v>
      </c>
      <c r="Y863">
        <v>8</v>
      </c>
      <c r="Z863" t="s">
        <v>169</v>
      </c>
      <c r="AA863" t="s">
        <v>170</v>
      </c>
      <c r="AB863" t="s">
        <v>167</v>
      </c>
      <c r="AC863" t="s">
        <v>213</v>
      </c>
      <c r="AD863">
        <v>10</v>
      </c>
      <c r="AG863" t="s">
        <v>214</v>
      </c>
      <c r="AH863" t="s">
        <v>215</v>
      </c>
      <c r="AI863" t="s">
        <v>175</v>
      </c>
      <c r="AJ863" t="s">
        <v>176</v>
      </c>
      <c r="AK863" t="s">
        <v>170</v>
      </c>
      <c r="AL863" t="s">
        <v>177</v>
      </c>
      <c r="AO863">
        <v>93</v>
      </c>
      <c r="AP863">
        <v>12</v>
      </c>
      <c r="AS863">
        <v>2300</v>
      </c>
      <c r="AT863">
        <v>2300</v>
      </c>
      <c r="BN863" t="s">
        <v>338</v>
      </c>
      <c r="BO863">
        <v>2</v>
      </c>
      <c r="BP863">
        <v>2</v>
      </c>
      <c r="BQ863">
        <v>4</v>
      </c>
      <c r="BR863" t="s">
        <v>521</v>
      </c>
      <c r="BS863" t="s">
        <v>180</v>
      </c>
      <c r="BT863" t="s">
        <v>181</v>
      </c>
      <c r="BU863" s="1">
        <v>45446</v>
      </c>
      <c r="BV863">
        <v>34875</v>
      </c>
      <c r="BY863" t="s">
        <v>170</v>
      </c>
      <c r="CB863" t="s">
        <v>170</v>
      </c>
      <c r="CC863" t="s">
        <v>170</v>
      </c>
      <c r="CE863" t="s">
        <v>170</v>
      </c>
      <c r="CG863" t="s">
        <v>169</v>
      </c>
      <c r="CH863" t="s">
        <v>662</v>
      </c>
      <c r="CI863" t="s">
        <v>170</v>
      </c>
      <c r="CK863" t="s">
        <v>233</v>
      </c>
      <c r="CM863">
        <v>1</v>
      </c>
      <c r="CN863" t="s">
        <v>234</v>
      </c>
      <c r="CP863">
        <v>44</v>
      </c>
      <c r="CQ863">
        <v>8.4</v>
      </c>
      <c r="CR863">
        <v>56</v>
      </c>
      <c r="CS863" t="s">
        <v>235</v>
      </c>
      <c r="CV863" t="s">
        <v>341</v>
      </c>
      <c r="CX863" t="s">
        <v>342</v>
      </c>
      <c r="CY863" t="s">
        <v>170</v>
      </c>
      <c r="DD863">
        <v>1</v>
      </c>
      <c r="DE863" t="s">
        <v>663</v>
      </c>
      <c r="DG863">
        <v>10</v>
      </c>
      <c r="DJ863" t="s">
        <v>184</v>
      </c>
      <c r="DK863" t="s">
        <v>185</v>
      </c>
      <c r="DL863" t="s">
        <v>170</v>
      </c>
      <c r="DM863" t="s">
        <v>170</v>
      </c>
      <c r="DN863" t="s">
        <v>170</v>
      </c>
      <c r="DO863" t="s">
        <v>664</v>
      </c>
      <c r="DP863" t="s">
        <v>169</v>
      </c>
      <c r="DQ863" t="s">
        <v>198</v>
      </c>
      <c r="DR863" t="s">
        <v>665</v>
      </c>
      <c r="DY863">
        <v>38.4</v>
      </c>
      <c r="EB863">
        <v>6</v>
      </c>
      <c r="EC863">
        <v>6</v>
      </c>
      <c r="EE863" t="s">
        <v>666</v>
      </c>
      <c r="EF863">
        <v>4</v>
      </c>
      <c r="EV863">
        <v>2000</v>
      </c>
      <c r="EW863">
        <v>352</v>
      </c>
      <c r="EX863">
        <v>265</v>
      </c>
      <c r="EY863">
        <v>313</v>
      </c>
    </row>
    <row r="864" spans="1:155" x14ac:dyDescent="0.35">
      <c r="A864">
        <v>2025</v>
      </c>
      <c r="B864" t="s">
        <v>658</v>
      </c>
      <c r="C864" t="s">
        <v>659</v>
      </c>
      <c r="D864" t="s">
        <v>820</v>
      </c>
      <c r="E864" t="s">
        <v>661</v>
      </c>
      <c r="F864">
        <v>217</v>
      </c>
      <c r="G864">
        <v>2</v>
      </c>
      <c r="H864">
        <v>4</v>
      </c>
      <c r="I864" t="s">
        <v>192</v>
      </c>
      <c r="J864">
        <v>23</v>
      </c>
      <c r="K864">
        <v>31</v>
      </c>
      <c r="L864">
        <v>26</v>
      </c>
      <c r="M864">
        <v>29.6</v>
      </c>
      <c r="N864">
        <v>44.6</v>
      </c>
      <c r="O864">
        <v>34.878700000000002</v>
      </c>
      <c r="P864">
        <v>23.1035</v>
      </c>
      <c r="Q864">
        <v>31.040800000000001</v>
      </c>
      <c r="R864">
        <v>26.107600000000001</v>
      </c>
      <c r="T864" t="s">
        <v>484</v>
      </c>
      <c r="U864" t="s">
        <v>485</v>
      </c>
      <c r="V864" t="s">
        <v>193</v>
      </c>
      <c r="W864" t="s">
        <v>194</v>
      </c>
      <c r="Y864">
        <v>8</v>
      </c>
      <c r="Z864" t="s">
        <v>169</v>
      </c>
      <c r="AA864" t="s">
        <v>170</v>
      </c>
      <c r="AB864" t="s">
        <v>167</v>
      </c>
      <c r="AC864" t="s">
        <v>213</v>
      </c>
      <c r="AD864">
        <v>10</v>
      </c>
      <c r="AG864" t="s">
        <v>214</v>
      </c>
      <c r="AH864" t="s">
        <v>215</v>
      </c>
      <c r="AI864" t="s">
        <v>175</v>
      </c>
      <c r="AJ864" t="s">
        <v>176</v>
      </c>
      <c r="AK864" t="s">
        <v>170</v>
      </c>
      <c r="AL864" t="s">
        <v>177</v>
      </c>
      <c r="AO864">
        <v>102</v>
      </c>
      <c r="AP864">
        <v>14</v>
      </c>
      <c r="AS864">
        <v>2450</v>
      </c>
      <c r="AT864">
        <v>2450</v>
      </c>
      <c r="BN864" t="s">
        <v>338</v>
      </c>
      <c r="BO864">
        <v>2</v>
      </c>
      <c r="BP864">
        <v>2</v>
      </c>
      <c r="BQ864">
        <v>5</v>
      </c>
      <c r="BR864" t="s">
        <v>672</v>
      </c>
      <c r="BS864" t="s">
        <v>180</v>
      </c>
      <c r="BT864" t="s">
        <v>181</v>
      </c>
      <c r="BU864" s="1">
        <v>45446</v>
      </c>
      <c r="BV864">
        <v>34870</v>
      </c>
      <c r="BY864" t="s">
        <v>170</v>
      </c>
      <c r="CB864" t="s">
        <v>170</v>
      </c>
      <c r="CC864" t="s">
        <v>170</v>
      </c>
      <c r="CD864" t="s">
        <v>821</v>
      </c>
      <c r="CE864" t="s">
        <v>170</v>
      </c>
      <c r="CG864" t="s">
        <v>169</v>
      </c>
      <c r="CH864" t="s">
        <v>662</v>
      </c>
      <c r="CI864" t="s">
        <v>170</v>
      </c>
      <c r="CK864" t="s">
        <v>233</v>
      </c>
      <c r="CM864">
        <v>1</v>
      </c>
      <c r="CN864" t="s">
        <v>234</v>
      </c>
      <c r="CP864">
        <v>44</v>
      </c>
      <c r="CQ864">
        <v>8.4</v>
      </c>
      <c r="CR864">
        <v>56</v>
      </c>
      <c r="CS864" t="s">
        <v>235</v>
      </c>
      <c r="CV864" t="s">
        <v>341</v>
      </c>
      <c r="CX864" t="s">
        <v>342</v>
      </c>
      <c r="CY864" t="s">
        <v>170</v>
      </c>
      <c r="DD864">
        <v>1</v>
      </c>
      <c r="DE864" t="s">
        <v>663</v>
      </c>
      <c r="DG864">
        <v>10</v>
      </c>
      <c r="DJ864" t="s">
        <v>184</v>
      </c>
      <c r="DK864" t="s">
        <v>185</v>
      </c>
      <c r="DL864" t="s">
        <v>170</v>
      </c>
      <c r="DM864" t="s">
        <v>170</v>
      </c>
      <c r="DN864" t="s">
        <v>170</v>
      </c>
      <c r="DO864" t="s">
        <v>822</v>
      </c>
      <c r="DP864" t="s">
        <v>169</v>
      </c>
      <c r="DQ864" t="s">
        <v>198</v>
      </c>
      <c r="DR864" t="s">
        <v>665</v>
      </c>
      <c r="DY864">
        <v>34.9</v>
      </c>
      <c r="EB864">
        <v>5</v>
      </c>
      <c r="EC864">
        <v>5</v>
      </c>
      <c r="EE864" t="s">
        <v>823</v>
      </c>
      <c r="EF864">
        <v>6</v>
      </c>
      <c r="EV864">
        <v>2750</v>
      </c>
      <c r="EW864">
        <v>386</v>
      </c>
      <c r="EX864">
        <v>287</v>
      </c>
      <c r="EY864">
        <v>341</v>
      </c>
    </row>
    <row r="865" spans="1:155" x14ac:dyDescent="0.35">
      <c r="A865">
        <v>2025</v>
      </c>
      <c r="B865" t="s">
        <v>658</v>
      </c>
      <c r="C865" t="s">
        <v>659</v>
      </c>
      <c r="D865" t="s">
        <v>938</v>
      </c>
      <c r="E865" t="s">
        <v>661</v>
      </c>
      <c r="F865">
        <v>220</v>
      </c>
      <c r="G865">
        <v>2</v>
      </c>
      <c r="H865">
        <v>4</v>
      </c>
      <c r="I865" t="s">
        <v>192</v>
      </c>
      <c r="J865">
        <v>22</v>
      </c>
      <c r="K865">
        <v>29</v>
      </c>
      <c r="L865">
        <v>25</v>
      </c>
      <c r="M865">
        <v>28</v>
      </c>
      <c r="N865">
        <v>41.6</v>
      </c>
      <c r="O865">
        <v>32.829799999999999</v>
      </c>
      <c r="P865">
        <v>21.966799999999999</v>
      </c>
      <c r="Q865">
        <v>29.147099999999998</v>
      </c>
      <c r="R865">
        <v>24.7056</v>
      </c>
      <c r="T865" t="s">
        <v>484</v>
      </c>
      <c r="U865" t="s">
        <v>485</v>
      </c>
      <c r="V865" t="s">
        <v>193</v>
      </c>
      <c r="W865" t="s">
        <v>194</v>
      </c>
      <c r="Y865">
        <v>8</v>
      </c>
      <c r="Z865" t="s">
        <v>169</v>
      </c>
      <c r="AA865" t="s">
        <v>170</v>
      </c>
      <c r="AB865" t="s">
        <v>167</v>
      </c>
      <c r="AC865" t="s">
        <v>213</v>
      </c>
      <c r="AD865">
        <v>10</v>
      </c>
      <c r="AG865" t="s">
        <v>214</v>
      </c>
      <c r="AH865" t="s">
        <v>215</v>
      </c>
      <c r="AI865" t="s">
        <v>175</v>
      </c>
      <c r="AJ865" t="s">
        <v>176</v>
      </c>
      <c r="AK865" t="s">
        <v>170</v>
      </c>
      <c r="AL865" t="s">
        <v>177</v>
      </c>
      <c r="AO865">
        <v>98</v>
      </c>
      <c r="AP865">
        <v>34</v>
      </c>
      <c r="AS865">
        <v>2550</v>
      </c>
      <c r="AT865">
        <v>2550</v>
      </c>
      <c r="BN865" t="s">
        <v>338</v>
      </c>
      <c r="BO865">
        <v>2</v>
      </c>
      <c r="BP865">
        <v>2</v>
      </c>
      <c r="BQ865">
        <v>8</v>
      </c>
      <c r="BR865" t="s">
        <v>933</v>
      </c>
      <c r="BS865" t="s">
        <v>180</v>
      </c>
      <c r="BT865" t="s">
        <v>181</v>
      </c>
      <c r="BU865" s="1">
        <v>45446</v>
      </c>
      <c r="BV865">
        <v>34869</v>
      </c>
      <c r="BY865" t="s">
        <v>170</v>
      </c>
      <c r="CB865" t="s">
        <v>170</v>
      </c>
      <c r="CC865" t="s">
        <v>170</v>
      </c>
      <c r="CD865" t="s">
        <v>821</v>
      </c>
      <c r="CE865" t="s">
        <v>170</v>
      </c>
      <c r="CG865" t="s">
        <v>169</v>
      </c>
      <c r="CH865" t="s">
        <v>662</v>
      </c>
      <c r="CI865" t="s">
        <v>170</v>
      </c>
      <c r="CK865" t="s">
        <v>233</v>
      </c>
      <c r="CM865">
        <v>1</v>
      </c>
      <c r="CN865" t="s">
        <v>234</v>
      </c>
      <c r="CP865">
        <v>44</v>
      </c>
      <c r="CQ865">
        <v>8.4</v>
      </c>
      <c r="CR865">
        <v>56</v>
      </c>
      <c r="CS865" t="s">
        <v>235</v>
      </c>
      <c r="CV865" t="s">
        <v>341</v>
      </c>
      <c r="CX865" t="s">
        <v>342</v>
      </c>
      <c r="CY865" t="s">
        <v>170</v>
      </c>
      <c r="DD865">
        <v>1</v>
      </c>
      <c r="DE865" t="s">
        <v>663</v>
      </c>
      <c r="DG865">
        <v>10</v>
      </c>
      <c r="DJ865" t="s">
        <v>184</v>
      </c>
      <c r="DK865" t="s">
        <v>185</v>
      </c>
      <c r="DL865" t="s">
        <v>170</v>
      </c>
      <c r="DM865" t="s">
        <v>170</v>
      </c>
      <c r="DN865" t="s">
        <v>170</v>
      </c>
      <c r="DO865" t="s">
        <v>822</v>
      </c>
      <c r="DP865" t="s">
        <v>169</v>
      </c>
      <c r="DQ865" t="s">
        <v>198</v>
      </c>
      <c r="DR865" t="s">
        <v>665</v>
      </c>
      <c r="DY865">
        <v>32.799999999999997</v>
      </c>
      <c r="EB865">
        <v>5</v>
      </c>
      <c r="EC865">
        <v>5</v>
      </c>
      <c r="EE865" t="s">
        <v>823</v>
      </c>
      <c r="EF865">
        <v>6</v>
      </c>
      <c r="EV865">
        <v>3250</v>
      </c>
      <c r="EW865">
        <v>403</v>
      </c>
      <c r="EX865">
        <v>304</v>
      </c>
      <c r="EY865">
        <v>358</v>
      </c>
    </row>
    <row r="866" spans="1:155" x14ac:dyDescent="0.35">
      <c r="A866">
        <v>2025</v>
      </c>
      <c r="B866" t="s">
        <v>658</v>
      </c>
      <c r="C866" t="s">
        <v>659</v>
      </c>
      <c r="D866" t="s">
        <v>1449</v>
      </c>
      <c r="E866" t="s">
        <v>661</v>
      </c>
      <c r="F866">
        <v>240</v>
      </c>
      <c r="G866">
        <v>2</v>
      </c>
      <c r="H866">
        <v>4</v>
      </c>
      <c r="I866" t="s">
        <v>192</v>
      </c>
      <c r="J866">
        <v>23</v>
      </c>
      <c r="K866">
        <v>30</v>
      </c>
      <c r="L866">
        <v>26</v>
      </c>
      <c r="M866">
        <v>30</v>
      </c>
      <c r="N866">
        <v>43</v>
      </c>
      <c r="O866">
        <v>34.7241</v>
      </c>
      <c r="P866">
        <v>23.3858</v>
      </c>
      <c r="Q866">
        <v>30.033999999999999</v>
      </c>
      <c r="R866">
        <v>25.972999999999999</v>
      </c>
      <c r="T866" t="s">
        <v>165</v>
      </c>
      <c r="U866" t="s">
        <v>166</v>
      </c>
      <c r="V866" t="s">
        <v>193</v>
      </c>
      <c r="W866" t="s">
        <v>194</v>
      </c>
      <c r="Y866">
        <v>8</v>
      </c>
      <c r="Z866" t="s">
        <v>169</v>
      </c>
      <c r="AA866" t="s">
        <v>170</v>
      </c>
      <c r="AB866" t="s">
        <v>167</v>
      </c>
      <c r="AC866" t="s">
        <v>213</v>
      </c>
      <c r="AD866">
        <v>10</v>
      </c>
      <c r="AG866" t="s">
        <v>214</v>
      </c>
      <c r="AH866" t="s">
        <v>215</v>
      </c>
      <c r="AI866" t="s">
        <v>175</v>
      </c>
      <c r="AJ866" t="s">
        <v>176</v>
      </c>
      <c r="AK866" t="s">
        <v>940</v>
      </c>
      <c r="AL866" t="s">
        <v>941</v>
      </c>
      <c r="AS866">
        <v>2450</v>
      </c>
      <c r="AT866">
        <v>2450</v>
      </c>
      <c r="BN866" t="s">
        <v>338</v>
      </c>
      <c r="BO866">
        <v>2</v>
      </c>
      <c r="BP866">
        <v>2</v>
      </c>
      <c r="BQ866">
        <v>31</v>
      </c>
      <c r="BR866" t="s">
        <v>1219</v>
      </c>
      <c r="BT866" t="s">
        <v>181</v>
      </c>
      <c r="BU866" s="1">
        <v>45446</v>
      </c>
      <c r="BV866">
        <v>34873</v>
      </c>
      <c r="BY866" t="s">
        <v>170</v>
      </c>
      <c r="CB866" t="s">
        <v>170</v>
      </c>
      <c r="CC866" t="s">
        <v>170</v>
      </c>
      <c r="CE866" t="s">
        <v>170</v>
      </c>
      <c r="CG866" t="s">
        <v>169</v>
      </c>
      <c r="CH866" t="s">
        <v>662</v>
      </c>
      <c r="CI866" t="s">
        <v>170</v>
      </c>
      <c r="CK866" t="s">
        <v>233</v>
      </c>
      <c r="CM866">
        <v>1</v>
      </c>
      <c r="CN866" t="s">
        <v>234</v>
      </c>
      <c r="CP866">
        <v>44</v>
      </c>
      <c r="CQ866">
        <v>8.4</v>
      </c>
      <c r="CR866">
        <v>56</v>
      </c>
      <c r="CS866" t="s">
        <v>235</v>
      </c>
      <c r="CV866" t="s">
        <v>341</v>
      </c>
      <c r="CX866" t="s">
        <v>342</v>
      </c>
      <c r="CY866" t="s">
        <v>170</v>
      </c>
      <c r="DD866">
        <v>1</v>
      </c>
      <c r="DE866" t="s">
        <v>663</v>
      </c>
      <c r="DG866">
        <v>10</v>
      </c>
      <c r="DJ866" t="s">
        <v>184</v>
      </c>
      <c r="DK866" t="s">
        <v>185</v>
      </c>
      <c r="DL866" t="s">
        <v>170</v>
      </c>
      <c r="DM866" t="s">
        <v>170</v>
      </c>
      <c r="DN866" t="s">
        <v>170</v>
      </c>
      <c r="DO866" t="s">
        <v>664</v>
      </c>
      <c r="DP866" t="s">
        <v>169</v>
      </c>
      <c r="DQ866" t="s">
        <v>198</v>
      </c>
      <c r="DR866" t="s">
        <v>665</v>
      </c>
      <c r="DY866">
        <v>34.700000000000003</v>
      </c>
      <c r="EB866">
        <v>5</v>
      </c>
      <c r="EC866">
        <v>5</v>
      </c>
      <c r="EE866" t="s">
        <v>666</v>
      </c>
      <c r="EF866">
        <v>4</v>
      </c>
      <c r="EV866">
        <v>2750</v>
      </c>
      <c r="EW866">
        <v>381</v>
      </c>
      <c r="EX866">
        <v>296</v>
      </c>
      <c r="EY866">
        <v>343</v>
      </c>
    </row>
    <row r="867" spans="1:155" x14ac:dyDescent="0.35">
      <c r="A867">
        <v>2025</v>
      </c>
      <c r="B867" t="s">
        <v>658</v>
      </c>
      <c r="C867" t="s">
        <v>659</v>
      </c>
      <c r="D867" t="s">
        <v>1450</v>
      </c>
      <c r="E867" t="s">
        <v>661</v>
      </c>
      <c r="F867">
        <v>260</v>
      </c>
      <c r="G867">
        <v>2</v>
      </c>
      <c r="H867">
        <v>4</v>
      </c>
      <c r="I867" t="s">
        <v>192</v>
      </c>
      <c r="J867">
        <v>23</v>
      </c>
      <c r="K867">
        <v>30</v>
      </c>
      <c r="L867">
        <v>26</v>
      </c>
      <c r="M867">
        <v>29.599699999999999</v>
      </c>
      <c r="N867">
        <v>43.6</v>
      </c>
      <c r="O867">
        <v>34.599200000000003</v>
      </c>
      <c r="P867">
        <v>23.103200000000001</v>
      </c>
      <c r="Q867">
        <v>30.412400000000002</v>
      </c>
      <c r="R867">
        <v>25.904800000000002</v>
      </c>
      <c r="T867" t="s">
        <v>165</v>
      </c>
      <c r="U867" t="s">
        <v>166</v>
      </c>
      <c r="V867" t="s">
        <v>193</v>
      </c>
      <c r="W867" t="s">
        <v>194</v>
      </c>
      <c r="Y867">
        <v>8</v>
      </c>
      <c r="Z867" t="s">
        <v>169</v>
      </c>
      <c r="AA867" t="s">
        <v>170</v>
      </c>
      <c r="AB867" t="s">
        <v>167</v>
      </c>
      <c r="AC867" t="s">
        <v>213</v>
      </c>
      <c r="AD867">
        <v>10</v>
      </c>
      <c r="AG867" t="s">
        <v>214</v>
      </c>
      <c r="AH867" t="s">
        <v>215</v>
      </c>
      <c r="AI867" t="s">
        <v>175</v>
      </c>
      <c r="AJ867" t="s">
        <v>176</v>
      </c>
      <c r="AK867" t="s">
        <v>940</v>
      </c>
      <c r="AL867" t="s">
        <v>941</v>
      </c>
      <c r="AS867">
        <v>2450</v>
      </c>
      <c r="AT867">
        <v>2450</v>
      </c>
      <c r="BN867" t="s">
        <v>338</v>
      </c>
      <c r="BO867">
        <v>2</v>
      </c>
      <c r="BP867">
        <v>2</v>
      </c>
      <c r="BQ867">
        <v>31</v>
      </c>
      <c r="BR867" t="s">
        <v>1219</v>
      </c>
      <c r="BT867" t="s">
        <v>181</v>
      </c>
      <c r="BU867" s="1">
        <v>45457</v>
      </c>
      <c r="BV867">
        <v>34976</v>
      </c>
      <c r="BY867" t="s">
        <v>170</v>
      </c>
      <c r="CB867" t="s">
        <v>170</v>
      </c>
      <c r="CC867" t="s">
        <v>170</v>
      </c>
      <c r="CD867" t="s">
        <v>821</v>
      </c>
      <c r="CE867" t="s">
        <v>170</v>
      </c>
      <c r="CG867" t="s">
        <v>169</v>
      </c>
      <c r="CH867" t="s">
        <v>662</v>
      </c>
      <c r="CI867" t="s">
        <v>170</v>
      </c>
      <c r="CK867" t="s">
        <v>233</v>
      </c>
      <c r="CM867">
        <v>1</v>
      </c>
      <c r="CN867" t="s">
        <v>234</v>
      </c>
      <c r="CP867">
        <v>44</v>
      </c>
      <c r="CQ867">
        <v>8.4</v>
      </c>
      <c r="CR867">
        <v>56</v>
      </c>
      <c r="CS867" t="s">
        <v>235</v>
      </c>
      <c r="CV867" t="s">
        <v>341</v>
      </c>
      <c r="CX867" t="s">
        <v>342</v>
      </c>
      <c r="CY867" t="s">
        <v>170</v>
      </c>
      <c r="DD867">
        <v>1</v>
      </c>
      <c r="DE867" t="s">
        <v>663</v>
      </c>
      <c r="DG867">
        <v>10</v>
      </c>
      <c r="DJ867" t="s">
        <v>184</v>
      </c>
      <c r="DK867" t="s">
        <v>185</v>
      </c>
      <c r="DL867" t="s">
        <v>170</v>
      </c>
      <c r="DM867" t="s">
        <v>170</v>
      </c>
      <c r="DN867" t="s">
        <v>170</v>
      </c>
      <c r="DO867" t="s">
        <v>822</v>
      </c>
      <c r="DP867" t="s">
        <v>169</v>
      </c>
      <c r="DQ867" t="s">
        <v>198</v>
      </c>
      <c r="DR867" t="s">
        <v>665</v>
      </c>
      <c r="EB867">
        <v>5</v>
      </c>
      <c r="EC867">
        <v>5</v>
      </c>
      <c r="EE867" t="s">
        <v>1451</v>
      </c>
      <c r="EF867">
        <v>6</v>
      </c>
      <c r="EV867">
        <v>2750</v>
      </c>
      <c r="EW867">
        <v>384</v>
      </c>
      <c r="EX867">
        <v>292</v>
      </c>
      <c r="EY867">
        <v>343</v>
      </c>
    </row>
    <row r="868" spans="1:155" x14ac:dyDescent="0.35">
      <c r="A868">
        <v>2025</v>
      </c>
      <c r="B868" t="s">
        <v>658</v>
      </c>
      <c r="C868" t="s">
        <v>659</v>
      </c>
      <c r="D868" t="s">
        <v>1675</v>
      </c>
      <c r="E868" t="s">
        <v>661</v>
      </c>
      <c r="F868">
        <v>259</v>
      </c>
      <c r="G868">
        <v>2</v>
      </c>
      <c r="H868">
        <v>4</v>
      </c>
      <c r="I868" t="s">
        <v>192</v>
      </c>
      <c r="J868">
        <v>23</v>
      </c>
      <c r="K868">
        <v>30</v>
      </c>
      <c r="L868">
        <v>26</v>
      </c>
      <c r="M868">
        <v>30</v>
      </c>
      <c r="N868">
        <v>42.9</v>
      </c>
      <c r="O868">
        <v>34.694699999999997</v>
      </c>
      <c r="P868">
        <v>23.3858</v>
      </c>
      <c r="Q868">
        <v>29.970800000000001</v>
      </c>
      <c r="R868">
        <v>25.951699999999999</v>
      </c>
      <c r="T868" t="s">
        <v>165</v>
      </c>
      <c r="U868" t="s">
        <v>166</v>
      </c>
      <c r="V868" t="s">
        <v>193</v>
      </c>
      <c r="W868" t="s">
        <v>194</v>
      </c>
      <c r="Y868">
        <v>8</v>
      </c>
      <c r="Z868" t="s">
        <v>169</v>
      </c>
      <c r="AA868" t="s">
        <v>170</v>
      </c>
      <c r="AB868" t="s">
        <v>167</v>
      </c>
      <c r="AC868" t="s">
        <v>213</v>
      </c>
      <c r="AD868">
        <v>10</v>
      </c>
      <c r="AG868" t="s">
        <v>214</v>
      </c>
      <c r="AH868" t="s">
        <v>215</v>
      </c>
      <c r="AI868" t="s">
        <v>175</v>
      </c>
      <c r="AJ868" t="s">
        <v>176</v>
      </c>
      <c r="AK868" t="s">
        <v>940</v>
      </c>
      <c r="AL868" t="s">
        <v>941</v>
      </c>
      <c r="AS868">
        <v>2450</v>
      </c>
      <c r="AT868">
        <v>2450</v>
      </c>
      <c r="BN868" t="s">
        <v>338</v>
      </c>
      <c r="BO868">
        <v>2</v>
      </c>
      <c r="BP868">
        <v>2</v>
      </c>
      <c r="BQ868">
        <v>33</v>
      </c>
      <c r="BR868" t="s">
        <v>1497</v>
      </c>
      <c r="BT868" t="s">
        <v>181</v>
      </c>
      <c r="BU868" s="1">
        <v>45457</v>
      </c>
      <c r="BV868">
        <v>34975</v>
      </c>
      <c r="BY868" t="s">
        <v>170</v>
      </c>
      <c r="CB868" t="s">
        <v>170</v>
      </c>
      <c r="CC868" t="s">
        <v>170</v>
      </c>
      <c r="CD868" t="s">
        <v>821</v>
      </c>
      <c r="CE868" t="s">
        <v>170</v>
      </c>
      <c r="CG868" t="s">
        <v>169</v>
      </c>
      <c r="CH868" t="s">
        <v>662</v>
      </c>
      <c r="CI868" t="s">
        <v>170</v>
      </c>
      <c r="CK868" t="s">
        <v>233</v>
      </c>
      <c r="CM868">
        <v>1</v>
      </c>
      <c r="CN868" t="s">
        <v>234</v>
      </c>
      <c r="CP868">
        <v>44</v>
      </c>
      <c r="CQ868">
        <v>8.4</v>
      </c>
      <c r="CR868">
        <v>56</v>
      </c>
      <c r="CS868" t="s">
        <v>235</v>
      </c>
      <c r="CV868" t="s">
        <v>341</v>
      </c>
      <c r="CX868" t="s">
        <v>342</v>
      </c>
      <c r="CY868" t="s">
        <v>170</v>
      </c>
      <c r="DD868">
        <v>1</v>
      </c>
      <c r="DE868" t="s">
        <v>663</v>
      </c>
      <c r="DG868">
        <v>10</v>
      </c>
      <c r="DJ868" t="s">
        <v>184</v>
      </c>
      <c r="DK868" t="s">
        <v>185</v>
      </c>
      <c r="DL868" t="s">
        <v>170</v>
      </c>
      <c r="DM868" t="s">
        <v>170</v>
      </c>
      <c r="DN868" t="s">
        <v>170</v>
      </c>
      <c r="DO868" t="s">
        <v>822</v>
      </c>
      <c r="DP868" t="s">
        <v>169</v>
      </c>
      <c r="DQ868" t="s">
        <v>198</v>
      </c>
      <c r="DR868" t="s">
        <v>665</v>
      </c>
      <c r="EB868">
        <v>5</v>
      </c>
      <c r="EC868">
        <v>5</v>
      </c>
      <c r="EE868" t="s">
        <v>1451</v>
      </c>
      <c r="EF868">
        <v>6</v>
      </c>
      <c r="EV868">
        <v>2750</v>
      </c>
      <c r="EW868">
        <v>381</v>
      </c>
      <c r="EX868">
        <v>298</v>
      </c>
      <c r="EY868">
        <v>343</v>
      </c>
    </row>
    <row r="869" spans="1:155" x14ac:dyDescent="0.35">
      <c r="A869">
        <v>2025</v>
      </c>
      <c r="B869" t="s">
        <v>658</v>
      </c>
      <c r="C869" t="s">
        <v>659</v>
      </c>
      <c r="D869" t="s">
        <v>1676</v>
      </c>
      <c r="E869" t="s">
        <v>661</v>
      </c>
      <c r="F869">
        <v>243</v>
      </c>
      <c r="G869">
        <v>2</v>
      </c>
      <c r="H869">
        <v>4</v>
      </c>
      <c r="I869" t="s">
        <v>192</v>
      </c>
      <c r="J869">
        <v>20</v>
      </c>
      <c r="K869">
        <v>26</v>
      </c>
      <c r="L869">
        <v>23</v>
      </c>
      <c r="M869">
        <v>25.9</v>
      </c>
      <c r="N869">
        <v>36.799999999999997</v>
      </c>
      <c r="O869">
        <v>29.883099999999999</v>
      </c>
      <c r="P869">
        <v>20.4572</v>
      </c>
      <c r="Q869">
        <v>26.063600000000001</v>
      </c>
      <c r="R869">
        <v>22.6496</v>
      </c>
      <c r="T869" t="s">
        <v>484</v>
      </c>
      <c r="U869" t="s">
        <v>485</v>
      </c>
      <c r="V869" t="s">
        <v>193</v>
      </c>
      <c r="W869" t="s">
        <v>194</v>
      </c>
      <c r="Y869">
        <v>8</v>
      </c>
      <c r="Z869" t="s">
        <v>169</v>
      </c>
      <c r="AA869" t="s">
        <v>170</v>
      </c>
      <c r="AB869" t="s">
        <v>167</v>
      </c>
      <c r="AC869" t="s">
        <v>213</v>
      </c>
      <c r="AD869">
        <v>10</v>
      </c>
      <c r="AG869" t="s">
        <v>214</v>
      </c>
      <c r="AH869" t="s">
        <v>215</v>
      </c>
      <c r="AI869" t="s">
        <v>175</v>
      </c>
      <c r="AJ869" t="s">
        <v>176</v>
      </c>
      <c r="AK869" t="s">
        <v>940</v>
      </c>
      <c r="AL869" t="s">
        <v>941</v>
      </c>
      <c r="AS869">
        <v>2750</v>
      </c>
      <c r="AT869">
        <v>2750</v>
      </c>
      <c r="BN869" t="s">
        <v>338</v>
      </c>
      <c r="BO869">
        <v>2</v>
      </c>
      <c r="BP869">
        <v>2</v>
      </c>
      <c r="BQ869">
        <v>33</v>
      </c>
      <c r="BR869" t="s">
        <v>1497</v>
      </c>
      <c r="BT869" t="s">
        <v>181</v>
      </c>
      <c r="BU869" s="1">
        <v>45446</v>
      </c>
      <c r="BV869">
        <v>34868</v>
      </c>
      <c r="BY869" t="s">
        <v>170</v>
      </c>
      <c r="CB869" t="s">
        <v>170</v>
      </c>
      <c r="CC869" t="s">
        <v>170</v>
      </c>
      <c r="CD869" t="s">
        <v>821</v>
      </c>
      <c r="CE869" t="s">
        <v>170</v>
      </c>
      <c r="CG869" t="s">
        <v>169</v>
      </c>
      <c r="CH869" t="s">
        <v>662</v>
      </c>
      <c r="CI869" t="s">
        <v>170</v>
      </c>
      <c r="CK869" t="s">
        <v>233</v>
      </c>
      <c r="CM869">
        <v>1</v>
      </c>
      <c r="CN869" t="s">
        <v>234</v>
      </c>
      <c r="CP869">
        <v>44</v>
      </c>
      <c r="CQ869">
        <v>8.4</v>
      </c>
      <c r="CR869">
        <v>56</v>
      </c>
      <c r="CS869" t="s">
        <v>235</v>
      </c>
      <c r="CV869" t="s">
        <v>341</v>
      </c>
      <c r="CX869" t="s">
        <v>342</v>
      </c>
      <c r="CY869" t="s">
        <v>170</v>
      </c>
      <c r="DD869">
        <v>1</v>
      </c>
      <c r="DE869" t="s">
        <v>663</v>
      </c>
      <c r="DG869">
        <v>10</v>
      </c>
      <c r="DJ869" t="s">
        <v>184</v>
      </c>
      <c r="DK869" t="s">
        <v>185</v>
      </c>
      <c r="DL869" t="s">
        <v>170</v>
      </c>
      <c r="DM869" t="s">
        <v>170</v>
      </c>
      <c r="DN869" t="s">
        <v>170</v>
      </c>
      <c r="DO869" t="s">
        <v>822</v>
      </c>
      <c r="DP869" t="s">
        <v>169</v>
      </c>
      <c r="DQ869" t="s">
        <v>198</v>
      </c>
      <c r="DR869" t="s">
        <v>665</v>
      </c>
      <c r="EB869">
        <v>5</v>
      </c>
      <c r="EC869">
        <v>5</v>
      </c>
      <c r="EE869" t="s">
        <v>823</v>
      </c>
      <c r="EF869">
        <v>6</v>
      </c>
      <c r="EV869">
        <v>4250</v>
      </c>
      <c r="EW869">
        <v>435</v>
      </c>
      <c r="EX869">
        <v>342</v>
      </c>
      <c r="EY869">
        <v>393</v>
      </c>
    </row>
  </sheetData>
  <autoFilter ref="A1:FF869" xr:uid="{00000000-0001-0000-0000-000000000000}">
    <sortState xmlns:xlrd2="http://schemas.microsoft.com/office/spreadsheetml/2017/richdata2" ref="A2:FF869">
      <sortCondition ref="C2:C869"/>
      <sortCondition ref="D2:D869"/>
      <sortCondition ref="F2:F869"/>
    </sortState>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J1001"/>
  <sheetViews>
    <sheetView workbookViewId="0">
      <selection activeCell="AU1" sqref="AU1:AU1048576"/>
    </sheetView>
  </sheetViews>
  <sheetFormatPr defaultRowHeight="14.5" x14ac:dyDescent="0.35"/>
  <cols>
    <col min="4" max="4" width="37.81640625" customWidth="1"/>
    <col min="73" max="73" width="10.453125" bestFit="1" customWidth="1"/>
    <col min="75" max="75" width="9.1796875" style="150"/>
    <col min="131" max="131" width="9.1796875" style="159"/>
  </cols>
  <sheetData>
    <row r="1" spans="1:166" x14ac:dyDescent="0.35">
      <c r="A1" s="2" t="s">
        <v>0</v>
      </c>
      <c r="B1" s="2" t="s">
        <v>1</v>
      </c>
      <c r="C1" s="2" t="s">
        <v>2</v>
      </c>
      <c r="D1" s="2" t="s">
        <v>3</v>
      </c>
      <c r="E1" s="2" t="s">
        <v>4</v>
      </c>
      <c r="F1" s="3" t="s">
        <v>5</v>
      </c>
      <c r="G1" s="2" t="s">
        <v>6</v>
      </c>
      <c r="H1" s="2" t="s">
        <v>7</v>
      </c>
      <c r="I1" s="4" t="s">
        <v>8</v>
      </c>
      <c r="J1" s="5" t="s">
        <v>9</v>
      </c>
      <c r="K1" s="5" t="s">
        <v>10</v>
      </c>
      <c r="L1" s="5" t="s">
        <v>11</v>
      </c>
      <c r="M1" s="5" t="s">
        <v>12</v>
      </c>
      <c r="N1" s="5" t="s">
        <v>13</v>
      </c>
      <c r="O1" s="5" t="s">
        <v>14</v>
      </c>
      <c r="P1" s="5" t="s">
        <v>15</v>
      </c>
      <c r="Q1" s="5" t="s">
        <v>16</v>
      </c>
      <c r="R1" s="5" t="s">
        <v>17</v>
      </c>
      <c r="S1" s="6" t="s">
        <v>18</v>
      </c>
      <c r="T1" s="2" t="s">
        <v>19</v>
      </c>
      <c r="U1" s="2" t="s">
        <v>20</v>
      </c>
      <c r="V1" s="2" t="s">
        <v>21</v>
      </c>
      <c r="W1" s="2" t="s">
        <v>22</v>
      </c>
      <c r="X1" s="2" t="s">
        <v>23</v>
      </c>
      <c r="Y1" s="2" t="s">
        <v>24</v>
      </c>
      <c r="Z1" s="2" t="s">
        <v>25</v>
      </c>
      <c r="AA1" s="2" t="s">
        <v>26</v>
      </c>
      <c r="AB1" s="2" t="s">
        <v>27</v>
      </c>
      <c r="AC1" s="2" t="s">
        <v>28</v>
      </c>
      <c r="AD1" s="2" t="s">
        <v>29</v>
      </c>
      <c r="AE1" s="2" t="s">
        <v>30</v>
      </c>
      <c r="AF1" s="5" t="s">
        <v>31</v>
      </c>
      <c r="AG1" s="5" t="s">
        <v>32</v>
      </c>
      <c r="AH1" s="5" t="s">
        <v>33</v>
      </c>
      <c r="AI1" s="5" t="s">
        <v>34</v>
      </c>
      <c r="AJ1" s="5" t="s">
        <v>35</v>
      </c>
      <c r="AK1" s="2" t="s">
        <v>36</v>
      </c>
      <c r="AL1" s="2" t="s">
        <v>37</v>
      </c>
      <c r="AM1" s="2" t="s">
        <v>38</v>
      </c>
      <c r="AN1" s="2" t="s">
        <v>39</v>
      </c>
      <c r="AO1" s="2" t="s">
        <v>40</v>
      </c>
      <c r="AP1" s="2" t="s">
        <v>41</v>
      </c>
      <c r="AQ1" s="2" t="s">
        <v>42</v>
      </c>
      <c r="AR1" s="2" t="s">
        <v>43</v>
      </c>
      <c r="AS1" s="5" t="s">
        <v>44</v>
      </c>
      <c r="AT1" s="4"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8" t="s">
        <v>64</v>
      </c>
      <c r="BN1" s="9" t="s">
        <v>65</v>
      </c>
      <c r="BO1" s="2" t="s">
        <v>66</v>
      </c>
      <c r="BP1" s="2" t="s">
        <v>67</v>
      </c>
      <c r="BQ1" s="2" t="s">
        <v>68</v>
      </c>
      <c r="BR1" s="2" t="s">
        <v>69</v>
      </c>
      <c r="BS1" s="2" t="s">
        <v>70</v>
      </c>
      <c r="BT1" s="2" t="s">
        <v>71</v>
      </c>
      <c r="BU1" s="2" t="s">
        <v>72</v>
      </c>
      <c r="BV1" s="2" t="s">
        <v>73</v>
      </c>
      <c r="BW1" s="149" t="s">
        <v>665</v>
      </c>
      <c r="BX1" s="2" t="s">
        <v>74</v>
      </c>
      <c r="BY1" s="10" t="s">
        <v>75</v>
      </c>
      <c r="BZ1" s="2" t="s">
        <v>76</v>
      </c>
      <c r="CA1" s="11" t="s">
        <v>77</v>
      </c>
      <c r="CB1" s="2" t="s">
        <v>78</v>
      </c>
      <c r="CC1" s="2" t="s">
        <v>79</v>
      </c>
      <c r="CD1" s="2" t="s">
        <v>80</v>
      </c>
      <c r="CE1" s="2" t="s">
        <v>81</v>
      </c>
      <c r="CF1" s="2" t="s">
        <v>82</v>
      </c>
      <c r="CG1" s="11" t="s">
        <v>83</v>
      </c>
      <c r="CH1" s="2" t="s">
        <v>84</v>
      </c>
      <c r="CI1" s="2" t="s">
        <v>85</v>
      </c>
      <c r="CJ1" s="2" t="s">
        <v>86</v>
      </c>
      <c r="CK1" s="2" t="s">
        <v>87</v>
      </c>
      <c r="CL1" s="4" t="s">
        <v>88</v>
      </c>
      <c r="CM1" s="4" t="s">
        <v>89</v>
      </c>
      <c r="CN1" s="4" t="s">
        <v>90</v>
      </c>
      <c r="CO1" s="4" t="s">
        <v>91</v>
      </c>
      <c r="CP1" s="4" t="s">
        <v>92</v>
      </c>
      <c r="CQ1" s="4" t="s">
        <v>93</v>
      </c>
      <c r="CR1" s="4" t="s">
        <v>94</v>
      </c>
      <c r="CS1" s="4" t="s">
        <v>95</v>
      </c>
      <c r="CT1" s="4" t="s">
        <v>96</v>
      </c>
      <c r="CU1" s="4" t="s">
        <v>97</v>
      </c>
      <c r="CV1" s="4" t="s">
        <v>98</v>
      </c>
      <c r="CW1" s="4" t="s">
        <v>99</v>
      </c>
      <c r="CX1" s="4" t="s">
        <v>100</v>
      </c>
      <c r="CY1" s="4" t="s">
        <v>101</v>
      </c>
      <c r="CZ1" s="4" t="s">
        <v>102</v>
      </c>
      <c r="DA1" s="12" t="s">
        <v>103</v>
      </c>
      <c r="DB1" s="12" t="s">
        <v>104</v>
      </c>
      <c r="DC1" s="12" t="s">
        <v>105</v>
      </c>
      <c r="DD1" s="4" t="s">
        <v>106</v>
      </c>
      <c r="DE1" s="4" t="s">
        <v>107</v>
      </c>
      <c r="DF1" s="4" t="s">
        <v>108</v>
      </c>
      <c r="DG1" s="4" t="s">
        <v>109</v>
      </c>
      <c r="DH1" s="4" t="s">
        <v>110</v>
      </c>
      <c r="DI1" s="2" t="s">
        <v>111</v>
      </c>
      <c r="DJ1" s="2" t="s">
        <v>112</v>
      </c>
      <c r="DK1" s="13" t="s">
        <v>113</v>
      </c>
      <c r="DL1" s="13" t="s">
        <v>114</v>
      </c>
      <c r="DM1" s="14" t="s">
        <v>115</v>
      </c>
      <c r="DN1" s="13" t="s">
        <v>116</v>
      </c>
      <c r="DO1" s="13" t="s">
        <v>117</v>
      </c>
      <c r="DP1" s="13" t="s">
        <v>118</v>
      </c>
      <c r="DQ1" s="13" t="s">
        <v>119</v>
      </c>
      <c r="DR1" s="13" t="s">
        <v>120</v>
      </c>
      <c r="DS1" s="13" t="s">
        <v>121</v>
      </c>
      <c r="DT1" s="14" t="s">
        <v>122</v>
      </c>
      <c r="DU1" s="14" t="s">
        <v>123</v>
      </c>
      <c r="DV1" s="14" t="s">
        <v>124</v>
      </c>
      <c r="DW1" s="14" t="s">
        <v>125</v>
      </c>
      <c r="DX1" s="13" t="s">
        <v>126</v>
      </c>
      <c r="DY1" s="13" t="s">
        <v>127</v>
      </c>
      <c r="DZ1" s="14" t="s">
        <v>128</v>
      </c>
      <c r="EA1" s="158" t="s">
        <v>2710</v>
      </c>
      <c r="EB1" s="13" t="s">
        <v>129</v>
      </c>
      <c r="EC1" s="13" t="s">
        <v>130</v>
      </c>
      <c r="ED1" s="14" t="s">
        <v>131</v>
      </c>
      <c r="EE1" s="14" t="s">
        <v>132</v>
      </c>
      <c r="EF1" s="14" t="s">
        <v>133</v>
      </c>
      <c r="EG1" s="15" t="s">
        <v>134</v>
      </c>
      <c r="EH1" s="15" t="s">
        <v>135</v>
      </c>
      <c r="EI1" s="15" t="s">
        <v>136</v>
      </c>
      <c r="EJ1" s="15" t="s">
        <v>137</v>
      </c>
      <c r="EK1" s="16" t="s">
        <v>138</v>
      </c>
      <c r="EL1" s="15" t="s">
        <v>139</v>
      </c>
      <c r="EM1" s="15" t="s">
        <v>140</v>
      </c>
      <c r="EN1" s="15" t="s">
        <v>141</v>
      </c>
      <c r="EO1" s="16" t="s">
        <v>142</v>
      </c>
      <c r="EP1" s="15" t="s">
        <v>143</v>
      </c>
      <c r="EQ1" s="15" t="s">
        <v>144</v>
      </c>
      <c r="ER1" s="15" t="s">
        <v>145</v>
      </c>
      <c r="ES1" s="16" t="s">
        <v>146</v>
      </c>
      <c r="ET1" s="15" t="s">
        <v>147</v>
      </c>
      <c r="EU1" s="15" t="s">
        <v>148</v>
      </c>
      <c r="EV1" s="15" t="s">
        <v>149</v>
      </c>
      <c r="EW1" s="17" t="s">
        <v>150</v>
      </c>
      <c r="EX1" s="17" t="s">
        <v>151</v>
      </c>
      <c r="EY1" s="17" t="s">
        <v>152</v>
      </c>
      <c r="EZ1" s="18" t="s">
        <v>153</v>
      </c>
      <c r="FA1" s="19" t="s">
        <v>154</v>
      </c>
      <c r="FB1" s="18" t="s">
        <v>155</v>
      </c>
      <c r="FC1" s="19" t="s">
        <v>156</v>
      </c>
      <c r="FD1" s="19" t="s">
        <v>157</v>
      </c>
      <c r="FE1" s="19" t="s">
        <v>158</v>
      </c>
      <c r="FF1" s="19" t="s">
        <v>159</v>
      </c>
      <c r="FG1" s="23" t="s">
        <v>1730</v>
      </c>
      <c r="FH1" s="23" t="s">
        <v>1731</v>
      </c>
      <c r="FI1" s="23" t="s">
        <v>1732</v>
      </c>
      <c r="FJ1" s="24"/>
    </row>
    <row r="2" spans="1:166" x14ac:dyDescent="0.35">
      <c r="A2" s="25"/>
      <c r="B2" s="25"/>
      <c r="C2" s="25"/>
      <c r="D2" s="25"/>
      <c r="E2" s="25"/>
      <c r="F2" s="25" t="str">
        <f>_xlfn.CONCAT($A3," ",$B3," ",$D3)</f>
        <v>2025 Volkswagen Group of Q8 e-tron quattro</v>
      </c>
      <c r="G2" s="25"/>
      <c r="H2" s="25"/>
      <c r="I2" s="25"/>
      <c r="J2" s="25"/>
      <c r="K2" s="25"/>
      <c r="L2" s="25"/>
      <c r="M2" s="25"/>
      <c r="N2" s="25"/>
      <c r="O2" s="25"/>
      <c r="P2" s="25"/>
      <c r="Q2" s="25"/>
      <c r="R2" s="25"/>
      <c r="S2" s="25"/>
      <c r="T2" s="25"/>
      <c r="U2" s="25"/>
      <c r="V2" s="25"/>
      <c r="W2" s="25"/>
      <c r="X2" s="25"/>
      <c r="Y2" s="25"/>
      <c r="Z2" s="25"/>
      <c r="AA2" s="25"/>
      <c r="AB2" s="25"/>
      <c r="AC2" s="25"/>
      <c r="AD2" s="25" t="str">
        <f>_xlfn.CONCAT($A3," ",$B3," ",$D3)</f>
        <v>2025 Volkswagen Group of Q8 e-tron quattro</v>
      </c>
      <c r="AE2" s="25"/>
      <c r="AF2" s="25"/>
      <c r="AG2" s="25"/>
      <c r="AH2" s="25"/>
      <c r="AI2" s="25"/>
      <c r="AJ2" s="25"/>
      <c r="AK2" s="25"/>
      <c r="AL2" s="25"/>
      <c r="AM2" s="25"/>
      <c r="AN2" s="25"/>
      <c r="AO2" s="25"/>
      <c r="AP2" s="25"/>
      <c r="AQ2" s="25"/>
      <c r="AR2" s="25"/>
      <c r="AS2" s="25"/>
      <c r="AT2" s="25"/>
      <c r="AU2" s="25"/>
      <c r="AV2" s="25"/>
      <c r="AW2" s="25"/>
      <c r="AX2" s="25" t="str">
        <f>_xlfn.CONCAT($A3," ",$B3," ",$D3)</f>
        <v>2025 Volkswagen Group of Q8 e-tron quattro</v>
      </c>
      <c r="AY2" s="25"/>
      <c r="AZ2" s="25"/>
      <c r="BA2" s="25"/>
      <c r="BB2" s="25"/>
      <c r="BC2" s="25"/>
      <c r="BD2" s="25"/>
      <c r="BE2" s="25"/>
      <c r="BF2" s="25"/>
      <c r="BG2" s="25"/>
      <c r="BH2" s="25"/>
      <c r="BI2" s="25"/>
      <c r="BJ2" s="25"/>
      <c r="BK2" s="25"/>
      <c r="BL2" s="25"/>
      <c r="BM2" s="25"/>
      <c r="BN2" s="25"/>
      <c r="BO2" s="25"/>
      <c r="BP2" s="25"/>
      <c r="BQ2" s="25"/>
      <c r="BR2" s="25" t="str">
        <f>_xlfn.CONCAT($A3," ",$B3," ",$D3)</f>
        <v>2025 Volkswagen Group of Q8 e-tron quattro</v>
      </c>
      <c r="BS2" s="25"/>
      <c r="BT2" s="25"/>
      <c r="BU2" s="25"/>
      <c r="BV2" s="25"/>
      <c r="BX2" s="25"/>
      <c r="BY2" s="25"/>
      <c r="BZ2" s="25"/>
      <c r="CA2" s="25"/>
      <c r="CB2" s="25"/>
      <c r="CC2" s="25"/>
      <c r="CD2" s="25"/>
      <c r="CE2" s="25"/>
      <c r="CF2" s="25"/>
      <c r="CG2" s="25"/>
      <c r="CH2" s="25"/>
      <c r="CI2" s="25"/>
      <c r="CJ2" s="25"/>
      <c r="CK2" s="25"/>
      <c r="CL2" s="25"/>
      <c r="CM2" s="25"/>
      <c r="CN2" s="25"/>
      <c r="CO2" s="25"/>
      <c r="CP2" s="25" t="str">
        <f>_xlfn.CONCAT($A3," ",$B3," ",$D3)</f>
        <v>2025 Volkswagen Group of Q8 e-tron quattro</v>
      </c>
      <c r="CQ2" s="25"/>
      <c r="CR2" s="25"/>
      <c r="CS2" s="25"/>
      <c r="CT2" s="25"/>
      <c r="CU2" s="25"/>
      <c r="CV2" s="25"/>
      <c r="CW2" s="25"/>
      <c r="CX2" s="25"/>
      <c r="CY2" s="25"/>
      <c r="CZ2" s="25"/>
      <c r="DA2" s="25"/>
      <c r="DB2" s="25"/>
      <c r="DC2" s="25"/>
      <c r="DD2" s="25"/>
      <c r="DE2" s="25"/>
      <c r="DF2" s="25"/>
      <c r="DG2" s="25"/>
      <c r="DH2" s="25"/>
      <c r="DI2" s="25" t="str">
        <f>_xlfn.CONCAT($A3," ",$B3," ",$D3)</f>
        <v>2025 Volkswagen Group of Q8 e-tron quattro</v>
      </c>
      <c r="DJ2" s="25"/>
      <c r="DK2" s="25"/>
      <c r="DL2" s="25"/>
      <c r="DM2" s="25"/>
      <c r="DN2" s="25"/>
      <c r="DO2" s="25"/>
      <c r="DP2" s="25"/>
      <c r="DQ2" s="25"/>
      <c r="DR2" s="25"/>
      <c r="DS2" s="25"/>
      <c r="DT2" s="25"/>
      <c r="DU2" s="25"/>
      <c r="DV2" s="25"/>
      <c r="DW2" s="25"/>
      <c r="DX2" s="25"/>
      <c r="DY2" s="25"/>
      <c r="DZ2" s="25" t="str">
        <f>_xlfn.CONCAT($A3," ",$B3," ",$D3)</f>
        <v>2025 Volkswagen Group of Q8 e-tron quattro</v>
      </c>
      <c r="EB2" s="25"/>
      <c r="EC2" s="25"/>
      <c r="ED2" s="25"/>
      <c r="EE2" s="25"/>
      <c r="EF2" s="25"/>
      <c r="EG2" s="25"/>
      <c r="EH2" s="25"/>
      <c r="EI2" s="25"/>
      <c r="EJ2" s="25"/>
      <c r="EK2" s="25"/>
      <c r="EL2" s="25"/>
      <c r="EM2" s="25"/>
      <c r="EN2" s="25"/>
      <c r="EO2" s="25"/>
      <c r="EP2" s="25"/>
      <c r="EQ2" s="25"/>
      <c r="ER2" s="25"/>
      <c r="ES2" s="25"/>
      <c r="ET2" s="25"/>
      <c r="EU2" s="25"/>
      <c r="EV2" s="25" t="str">
        <f>_xlfn.CONCAT($A3," ",$B3," ",$D3)</f>
        <v>2025 Volkswagen Group of Q8 e-tron quattro</v>
      </c>
      <c r="EW2" s="25"/>
      <c r="EX2" s="25"/>
      <c r="EY2" s="25"/>
      <c r="EZ2" s="25"/>
      <c r="FA2" s="25"/>
      <c r="FB2" s="25"/>
      <c r="FC2" s="25"/>
      <c r="FD2" s="25"/>
      <c r="FE2" s="25"/>
      <c r="FF2" s="25"/>
      <c r="FG2" s="25"/>
    </row>
    <row r="3" spans="1:166" x14ac:dyDescent="0.35">
      <c r="A3">
        <v>2025</v>
      </c>
      <c r="B3" t="s">
        <v>205</v>
      </c>
      <c r="C3" t="s">
        <v>385</v>
      </c>
      <c r="D3" t="s">
        <v>1768</v>
      </c>
      <c r="E3" t="s">
        <v>208</v>
      </c>
      <c r="F3">
        <v>350</v>
      </c>
      <c r="G3">
        <v>0</v>
      </c>
      <c r="I3" t="s">
        <v>1734</v>
      </c>
      <c r="J3">
        <v>77</v>
      </c>
      <c r="K3">
        <v>80</v>
      </c>
      <c r="L3">
        <v>78</v>
      </c>
      <c r="M3">
        <v>106.90989999999999</v>
      </c>
      <c r="N3">
        <v>110.96169999999999</v>
      </c>
      <c r="O3">
        <v>108.696</v>
      </c>
      <c r="P3">
        <v>76.781599999999997</v>
      </c>
      <c r="Q3">
        <v>79.691599999999994</v>
      </c>
      <c r="R3">
        <v>78.064400000000006</v>
      </c>
      <c r="V3" t="s">
        <v>167</v>
      </c>
      <c r="W3" t="s">
        <v>168</v>
      </c>
      <c r="X3" t="s">
        <v>1745</v>
      </c>
      <c r="Y3">
        <v>1</v>
      </c>
      <c r="Z3" t="s">
        <v>169</v>
      </c>
      <c r="AA3" t="s">
        <v>170</v>
      </c>
      <c r="AB3" t="s">
        <v>167</v>
      </c>
      <c r="AC3" t="s">
        <v>213</v>
      </c>
      <c r="AF3">
        <v>272</v>
      </c>
      <c r="AG3" t="s">
        <v>1735</v>
      </c>
      <c r="AH3" t="s">
        <v>1736</v>
      </c>
      <c r="AI3" t="s">
        <v>175</v>
      </c>
      <c r="AJ3" t="s">
        <v>176</v>
      </c>
      <c r="AK3" t="s">
        <v>940</v>
      </c>
      <c r="AL3" t="s">
        <v>941</v>
      </c>
      <c r="AO3">
        <v>103</v>
      </c>
      <c r="AP3">
        <v>28</v>
      </c>
      <c r="AS3">
        <v>1050</v>
      </c>
      <c r="AT3">
        <v>1050</v>
      </c>
      <c r="BQ3">
        <v>33</v>
      </c>
      <c r="BR3" t="s">
        <v>1497</v>
      </c>
      <c r="BT3" t="s">
        <v>1769</v>
      </c>
      <c r="BU3" s="1">
        <v>45499</v>
      </c>
      <c r="BV3">
        <v>35209</v>
      </c>
      <c r="BX3" t="s">
        <v>170</v>
      </c>
      <c r="BY3" t="s">
        <v>170</v>
      </c>
      <c r="CB3" t="s">
        <v>170</v>
      </c>
      <c r="CC3" t="s">
        <v>170</v>
      </c>
      <c r="CK3" t="s">
        <v>233</v>
      </c>
      <c r="CM3">
        <v>36</v>
      </c>
      <c r="CN3" t="s">
        <v>234</v>
      </c>
      <c r="CP3">
        <v>397</v>
      </c>
      <c r="CQ3">
        <v>288</v>
      </c>
      <c r="CR3">
        <v>156.6</v>
      </c>
      <c r="CS3" t="s">
        <v>1752</v>
      </c>
      <c r="CV3" t="s">
        <v>341</v>
      </c>
      <c r="CX3" t="s">
        <v>342</v>
      </c>
      <c r="CY3" t="s">
        <v>169</v>
      </c>
      <c r="DC3" t="s">
        <v>1770</v>
      </c>
      <c r="DD3">
        <v>2</v>
      </c>
      <c r="DE3" t="s">
        <v>404</v>
      </c>
      <c r="DF3" t="s">
        <v>1747</v>
      </c>
      <c r="DG3" t="s">
        <v>1771</v>
      </c>
      <c r="DL3" t="s">
        <v>170</v>
      </c>
      <c r="DM3" t="s">
        <v>169</v>
      </c>
      <c r="DP3" t="s">
        <v>170</v>
      </c>
      <c r="DQ3" t="s">
        <v>187</v>
      </c>
      <c r="EB3">
        <v>9</v>
      </c>
      <c r="EC3">
        <v>10</v>
      </c>
      <c r="EE3" t="s">
        <v>1772</v>
      </c>
      <c r="EF3">
        <v>10</v>
      </c>
      <c r="EU3">
        <v>4250</v>
      </c>
      <c r="EW3">
        <v>0</v>
      </c>
      <c r="EX3">
        <v>0</v>
      </c>
      <c r="EY3">
        <v>0</v>
      </c>
      <c r="FA3">
        <v>16</v>
      </c>
      <c r="FG3">
        <v>267</v>
      </c>
      <c r="FH3">
        <v>278</v>
      </c>
      <c r="FI3">
        <v>272</v>
      </c>
    </row>
    <row r="4" spans="1:166" x14ac:dyDescent="0.35">
      <c r="A4">
        <v>2025</v>
      </c>
      <c r="B4" t="s">
        <v>205</v>
      </c>
      <c r="C4" t="s">
        <v>385</v>
      </c>
      <c r="D4" t="s">
        <v>1768</v>
      </c>
      <c r="E4" t="s">
        <v>208</v>
      </c>
      <c r="F4">
        <v>350</v>
      </c>
      <c r="G4">
        <v>0</v>
      </c>
      <c r="I4" t="s">
        <v>1734</v>
      </c>
      <c r="J4">
        <v>44</v>
      </c>
      <c r="K4">
        <v>42</v>
      </c>
      <c r="L4">
        <v>43</v>
      </c>
      <c r="M4">
        <v>31.536899999999999</v>
      </c>
      <c r="N4">
        <v>30.383199999999999</v>
      </c>
      <c r="O4">
        <v>31.017700000000001</v>
      </c>
      <c r="P4">
        <v>43.897100000000002</v>
      </c>
      <c r="Q4">
        <v>42.294199999999996</v>
      </c>
      <c r="R4">
        <v>43.175800000000002</v>
      </c>
      <c r="V4" t="s">
        <v>167</v>
      </c>
      <c r="W4" t="s">
        <v>168</v>
      </c>
      <c r="X4" t="s">
        <v>1745</v>
      </c>
      <c r="Y4">
        <v>1</v>
      </c>
      <c r="Z4" t="s">
        <v>169</v>
      </c>
      <c r="AA4" t="s">
        <v>170</v>
      </c>
      <c r="AB4" t="s">
        <v>167</v>
      </c>
      <c r="AC4" t="s">
        <v>213</v>
      </c>
      <c r="AF4">
        <v>272</v>
      </c>
      <c r="AG4" t="s">
        <v>1735</v>
      </c>
      <c r="AH4" t="s">
        <v>1736</v>
      </c>
      <c r="AI4" t="s">
        <v>1742</v>
      </c>
      <c r="AJ4" t="s">
        <v>1743</v>
      </c>
      <c r="AK4" t="s">
        <v>940</v>
      </c>
      <c r="AL4" t="s">
        <v>941</v>
      </c>
      <c r="AO4">
        <v>103</v>
      </c>
      <c r="AP4">
        <v>28</v>
      </c>
      <c r="AS4">
        <v>1050</v>
      </c>
      <c r="AT4">
        <v>1050</v>
      </c>
      <c r="BQ4">
        <v>33</v>
      </c>
      <c r="BR4" t="s">
        <v>1497</v>
      </c>
      <c r="BT4" t="s">
        <v>1769</v>
      </c>
      <c r="BU4" s="1">
        <v>45499</v>
      </c>
      <c r="BV4">
        <v>35209</v>
      </c>
      <c r="BX4" t="s">
        <v>170</v>
      </c>
      <c r="BY4" t="s">
        <v>170</v>
      </c>
      <c r="CB4" t="s">
        <v>170</v>
      </c>
      <c r="CC4" t="s">
        <v>170</v>
      </c>
      <c r="CK4" t="s">
        <v>233</v>
      </c>
      <c r="CM4">
        <v>36</v>
      </c>
      <c r="CN4" t="s">
        <v>234</v>
      </c>
      <c r="CP4">
        <v>397</v>
      </c>
      <c r="CQ4">
        <v>288</v>
      </c>
      <c r="CR4">
        <v>156.6</v>
      </c>
      <c r="CS4" t="s">
        <v>1752</v>
      </c>
      <c r="CV4" t="s">
        <v>341</v>
      </c>
      <c r="CX4" t="s">
        <v>342</v>
      </c>
      <c r="CY4" t="s">
        <v>169</v>
      </c>
      <c r="DC4" t="s">
        <v>1770</v>
      </c>
      <c r="DD4">
        <v>2</v>
      </c>
      <c r="DE4" t="s">
        <v>404</v>
      </c>
      <c r="DF4" t="s">
        <v>1747</v>
      </c>
      <c r="DG4" t="s">
        <v>1771</v>
      </c>
      <c r="DL4" t="s">
        <v>170</v>
      </c>
      <c r="DM4" t="s">
        <v>169</v>
      </c>
      <c r="DP4" t="s">
        <v>170</v>
      </c>
      <c r="DQ4" t="s">
        <v>187</v>
      </c>
      <c r="EB4">
        <v>9</v>
      </c>
      <c r="EC4">
        <v>10</v>
      </c>
      <c r="EE4" t="s">
        <v>1772</v>
      </c>
      <c r="EF4">
        <v>10</v>
      </c>
      <c r="EU4">
        <v>4250</v>
      </c>
      <c r="EW4">
        <v>0</v>
      </c>
      <c r="EX4">
        <v>0</v>
      </c>
      <c r="EY4">
        <v>0</v>
      </c>
      <c r="FA4">
        <v>16</v>
      </c>
      <c r="FG4">
        <v>267</v>
      </c>
      <c r="FH4">
        <v>278</v>
      </c>
      <c r="FI4">
        <v>272</v>
      </c>
    </row>
    <row r="5" spans="1:166" x14ac:dyDescent="0.35">
      <c r="A5" s="25"/>
      <c r="B5" s="25"/>
      <c r="C5" s="25"/>
      <c r="D5" s="25"/>
      <c r="E5" s="25"/>
      <c r="F5" s="25" t="str">
        <f>_xlfn.CONCAT($A6," ",$B6," ",$D6)</f>
        <v>2025 Volkswagen Group of Q8 Sportback e-tron quattro</v>
      </c>
      <c r="G5" s="25"/>
      <c r="H5" s="25"/>
      <c r="I5" s="25"/>
      <c r="J5" s="25"/>
      <c r="K5" s="25"/>
      <c r="L5" s="25"/>
      <c r="M5" s="25"/>
      <c r="N5" s="25"/>
      <c r="O5" s="25"/>
      <c r="P5" s="25"/>
      <c r="Q5" s="25"/>
      <c r="R5" s="25"/>
      <c r="S5" s="25"/>
      <c r="T5" s="25"/>
      <c r="U5" s="25"/>
      <c r="V5" s="25"/>
      <c r="W5" s="25"/>
      <c r="X5" s="25"/>
      <c r="Y5" s="25"/>
      <c r="Z5" s="25"/>
      <c r="AA5" s="25"/>
      <c r="AB5" s="25"/>
      <c r="AC5" s="25"/>
      <c r="AD5" s="25" t="str">
        <f>_xlfn.CONCAT($A6," ",$B6," ",$D6)</f>
        <v>2025 Volkswagen Group of Q8 Sportback e-tron quattro</v>
      </c>
      <c r="AE5" s="25"/>
      <c r="AF5" s="25"/>
      <c r="AG5" s="25"/>
      <c r="AH5" s="25"/>
      <c r="AI5" s="25"/>
      <c r="AJ5" s="25"/>
      <c r="AK5" s="25"/>
      <c r="AL5" s="25"/>
      <c r="AM5" s="25"/>
      <c r="AN5" s="25"/>
      <c r="AO5" s="25"/>
      <c r="AP5" s="25"/>
      <c r="AQ5" s="25"/>
      <c r="AR5" s="25"/>
      <c r="AS5" s="25"/>
      <c r="AT5" s="25"/>
      <c r="AU5" s="25"/>
      <c r="AV5" s="25"/>
      <c r="AW5" s="25"/>
      <c r="AX5" s="25" t="str">
        <f>_xlfn.CONCAT($A6," ",$B6," ",$D6)</f>
        <v>2025 Volkswagen Group of Q8 Sportback e-tron quattro</v>
      </c>
      <c r="AY5" s="25"/>
      <c r="AZ5" s="25"/>
      <c r="BA5" s="25"/>
      <c r="BB5" s="25"/>
      <c r="BC5" s="25"/>
      <c r="BD5" s="25"/>
      <c r="BE5" s="25"/>
      <c r="BF5" s="25"/>
      <c r="BG5" s="25"/>
      <c r="BH5" s="25"/>
      <c r="BI5" s="25"/>
      <c r="BJ5" s="25"/>
      <c r="BK5" s="25"/>
      <c r="BL5" s="25"/>
      <c r="BM5" s="25"/>
      <c r="BN5" s="25"/>
      <c r="BO5" s="25"/>
      <c r="BP5" s="25"/>
      <c r="BQ5" s="25"/>
      <c r="BR5" s="25" t="str">
        <f>_xlfn.CONCAT($A6," ",$B6," ",$D6)</f>
        <v>2025 Volkswagen Group of Q8 Sportback e-tron quattro</v>
      </c>
      <c r="BS5" s="25"/>
      <c r="BT5" s="25"/>
      <c r="BU5" s="25"/>
      <c r="BV5" s="25"/>
      <c r="BX5" s="25"/>
      <c r="BY5" s="25"/>
      <c r="BZ5" s="25"/>
      <c r="CA5" s="25"/>
      <c r="CB5" s="25"/>
      <c r="CC5" s="25"/>
      <c r="CD5" s="25"/>
      <c r="CE5" s="25"/>
      <c r="CF5" s="25"/>
      <c r="CG5" s="25"/>
      <c r="CH5" s="25"/>
      <c r="CI5" s="25"/>
      <c r="CJ5" s="25"/>
      <c r="CK5" s="25"/>
      <c r="CL5" s="25"/>
      <c r="CM5" s="25"/>
      <c r="CN5" s="25"/>
      <c r="CO5" s="25"/>
      <c r="CP5" s="25" t="str">
        <f>_xlfn.CONCAT($A6," ",$B6," ",$D6)</f>
        <v>2025 Volkswagen Group of Q8 Sportback e-tron quattro</v>
      </c>
      <c r="CQ5" s="25"/>
      <c r="CR5" s="25"/>
      <c r="CS5" s="25"/>
      <c r="CT5" s="25"/>
      <c r="CU5" s="25"/>
      <c r="CV5" s="25"/>
      <c r="CW5" s="25"/>
      <c r="CX5" s="25"/>
      <c r="CY5" s="25"/>
      <c r="CZ5" s="25"/>
      <c r="DA5" s="25"/>
      <c r="DB5" s="25"/>
      <c r="DC5" s="25"/>
      <c r="DD5" s="25"/>
      <c r="DE5" s="25"/>
      <c r="DF5" s="25"/>
      <c r="DG5" s="25"/>
      <c r="DH5" s="25"/>
      <c r="DI5" s="25" t="str">
        <f>_xlfn.CONCAT($A6," ",$B6," ",$D6)</f>
        <v>2025 Volkswagen Group of Q8 Sportback e-tron quattro</v>
      </c>
      <c r="DJ5" s="25"/>
      <c r="DK5" s="25"/>
      <c r="DL5" s="25"/>
      <c r="DM5" s="25"/>
      <c r="DN5" s="25"/>
      <c r="DO5" s="25"/>
      <c r="DP5" s="25"/>
      <c r="DQ5" s="25"/>
      <c r="DR5" s="25"/>
      <c r="DS5" s="25"/>
      <c r="DT5" s="25"/>
      <c r="DU5" s="25"/>
      <c r="DV5" s="25"/>
      <c r="DW5" s="25"/>
      <c r="DX5" s="25"/>
      <c r="DY5" s="25"/>
      <c r="DZ5" s="25" t="str">
        <f>_xlfn.CONCAT($A6," ",$B6," ",$D6)</f>
        <v>2025 Volkswagen Group of Q8 Sportback e-tron quattro</v>
      </c>
      <c r="EB5" s="25"/>
      <c r="EC5" s="25"/>
      <c r="ED5" s="25"/>
      <c r="EE5" s="25"/>
      <c r="EF5" s="25"/>
      <c r="EG5" s="25"/>
      <c r="EH5" s="25"/>
      <c r="EI5" s="25"/>
      <c r="EJ5" s="25"/>
      <c r="EK5" s="25"/>
      <c r="EL5" s="25"/>
      <c r="EM5" s="25"/>
      <c r="EN5" s="25"/>
      <c r="EO5" s="25"/>
      <c r="EP5" s="25"/>
      <c r="EQ5" s="25"/>
      <c r="ER5" s="25"/>
      <c r="ES5" s="25"/>
      <c r="ET5" s="25"/>
      <c r="EU5" s="25"/>
      <c r="EV5" s="25" t="str">
        <f>_xlfn.CONCAT($A6," ",$B6," ",$D6)</f>
        <v>2025 Volkswagen Group of Q8 Sportback e-tron quattro</v>
      </c>
      <c r="EW5" s="25"/>
      <c r="EX5" s="25"/>
      <c r="EY5" s="25"/>
      <c r="EZ5" s="25"/>
      <c r="FA5" s="25"/>
      <c r="FB5" s="25"/>
      <c r="FC5" s="25"/>
      <c r="FD5" s="25"/>
      <c r="FE5" s="25"/>
      <c r="FF5" s="25"/>
      <c r="FG5" s="25"/>
    </row>
    <row r="6" spans="1:166" x14ac:dyDescent="0.35">
      <c r="A6">
        <v>2025</v>
      </c>
      <c r="B6" t="s">
        <v>205</v>
      </c>
      <c r="C6" t="s">
        <v>385</v>
      </c>
      <c r="D6" t="s">
        <v>1774</v>
      </c>
      <c r="E6" t="s">
        <v>208</v>
      </c>
      <c r="F6">
        <v>351</v>
      </c>
      <c r="G6">
        <v>0</v>
      </c>
      <c r="I6" t="s">
        <v>1734</v>
      </c>
      <c r="J6">
        <v>77</v>
      </c>
      <c r="K6">
        <v>80</v>
      </c>
      <c r="L6">
        <v>78</v>
      </c>
      <c r="M6">
        <v>106.90989999999999</v>
      </c>
      <c r="N6">
        <v>110.96169999999999</v>
      </c>
      <c r="O6">
        <v>108.696</v>
      </c>
      <c r="P6">
        <v>76.781599999999997</v>
      </c>
      <c r="Q6">
        <v>79.691599999999994</v>
      </c>
      <c r="R6">
        <v>78.064400000000006</v>
      </c>
      <c r="V6" t="s">
        <v>167</v>
      </c>
      <c r="W6" t="s">
        <v>168</v>
      </c>
      <c r="X6" t="s">
        <v>1745</v>
      </c>
      <c r="Y6">
        <v>1</v>
      </c>
      <c r="Z6" t="s">
        <v>169</v>
      </c>
      <c r="AA6" t="s">
        <v>170</v>
      </c>
      <c r="AB6" t="s">
        <v>167</v>
      </c>
      <c r="AC6" t="s">
        <v>213</v>
      </c>
      <c r="AF6">
        <v>272</v>
      </c>
      <c r="AG6" t="s">
        <v>1735</v>
      </c>
      <c r="AH6" t="s">
        <v>1736</v>
      </c>
      <c r="AI6" t="s">
        <v>175</v>
      </c>
      <c r="AJ6" t="s">
        <v>176</v>
      </c>
      <c r="AK6" t="s">
        <v>940</v>
      </c>
      <c r="AL6" t="s">
        <v>941</v>
      </c>
      <c r="AO6">
        <v>102</v>
      </c>
      <c r="AP6">
        <v>27</v>
      </c>
      <c r="AS6">
        <v>1050</v>
      </c>
      <c r="AT6">
        <v>1050</v>
      </c>
      <c r="BQ6">
        <v>33</v>
      </c>
      <c r="BR6" t="s">
        <v>1497</v>
      </c>
      <c r="BT6" t="s">
        <v>1769</v>
      </c>
      <c r="BU6" s="1">
        <v>45499</v>
      </c>
      <c r="BV6">
        <v>35210</v>
      </c>
      <c r="BX6" t="s">
        <v>170</v>
      </c>
      <c r="BY6" t="s">
        <v>170</v>
      </c>
      <c r="CB6" t="s">
        <v>170</v>
      </c>
      <c r="CC6" t="s">
        <v>170</v>
      </c>
      <c r="CK6" t="s">
        <v>233</v>
      </c>
      <c r="CM6">
        <v>36</v>
      </c>
      <c r="CN6" t="s">
        <v>234</v>
      </c>
      <c r="CP6">
        <v>397</v>
      </c>
      <c r="CQ6">
        <v>288</v>
      </c>
      <c r="CR6">
        <v>156.6</v>
      </c>
      <c r="CS6" t="s">
        <v>1752</v>
      </c>
      <c r="CV6" t="s">
        <v>341</v>
      </c>
      <c r="CX6" t="s">
        <v>342</v>
      </c>
      <c r="CY6" t="s">
        <v>169</v>
      </c>
      <c r="DC6" t="s">
        <v>1770</v>
      </c>
      <c r="DD6">
        <v>2</v>
      </c>
      <c r="DE6" t="s">
        <v>404</v>
      </c>
      <c r="DF6" t="s">
        <v>1747</v>
      </c>
      <c r="DG6" t="s">
        <v>1771</v>
      </c>
      <c r="DL6" t="s">
        <v>170</v>
      </c>
      <c r="DM6" t="s">
        <v>169</v>
      </c>
      <c r="DP6" t="s">
        <v>170</v>
      </c>
      <c r="DQ6" t="s">
        <v>187</v>
      </c>
      <c r="EB6">
        <v>9</v>
      </c>
      <c r="EC6">
        <v>10</v>
      </c>
      <c r="EE6" t="s">
        <v>1772</v>
      </c>
      <c r="EF6">
        <v>10</v>
      </c>
      <c r="EU6">
        <v>4250</v>
      </c>
      <c r="EW6">
        <v>0</v>
      </c>
      <c r="EX6">
        <v>0</v>
      </c>
      <c r="EY6">
        <v>0</v>
      </c>
      <c r="FA6">
        <v>16</v>
      </c>
      <c r="FG6">
        <v>267</v>
      </c>
      <c r="FH6">
        <v>278</v>
      </c>
      <c r="FI6">
        <v>272</v>
      </c>
    </row>
    <row r="7" spans="1:166" ht="15" thickBot="1" x14ac:dyDescent="0.4">
      <c r="A7">
        <v>2025</v>
      </c>
      <c r="B7" t="s">
        <v>205</v>
      </c>
      <c r="C7" t="s">
        <v>385</v>
      </c>
      <c r="D7" t="s">
        <v>1774</v>
      </c>
      <c r="E7" t="s">
        <v>208</v>
      </c>
      <c r="F7">
        <v>351</v>
      </c>
      <c r="G7">
        <v>0</v>
      </c>
      <c r="I7" t="s">
        <v>1734</v>
      </c>
      <c r="J7">
        <v>44</v>
      </c>
      <c r="K7">
        <v>42</v>
      </c>
      <c r="L7">
        <v>43</v>
      </c>
      <c r="M7">
        <v>31.536899999999999</v>
      </c>
      <c r="N7">
        <v>30.383199999999999</v>
      </c>
      <c r="O7">
        <v>31.017700000000001</v>
      </c>
      <c r="P7">
        <v>43.897100000000002</v>
      </c>
      <c r="Q7">
        <v>42.294199999999996</v>
      </c>
      <c r="R7">
        <v>43.175800000000002</v>
      </c>
      <c r="V7" t="s">
        <v>167</v>
      </c>
      <c r="W7" t="s">
        <v>168</v>
      </c>
      <c r="X7" t="s">
        <v>1745</v>
      </c>
      <c r="Y7">
        <v>1</v>
      </c>
      <c r="Z7" t="s">
        <v>169</v>
      </c>
      <c r="AA7" t="s">
        <v>170</v>
      </c>
      <c r="AB7" t="s">
        <v>167</v>
      </c>
      <c r="AC7" t="s">
        <v>213</v>
      </c>
      <c r="AF7">
        <v>272</v>
      </c>
      <c r="AG7" t="s">
        <v>1735</v>
      </c>
      <c r="AH7" t="s">
        <v>1736</v>
      </c>
      <c r="AI7" t="s">
        <v>1742</v>
      </c>
      <c r="AJ7" t="s">
        <v>1743</v>
      </c>
      <c r="AK7" t="s">
        <v>940</v>
      </c>
      <c r="AL7" t="s">
        <v>941</v>
      </c>
      <c r="AO7">
        <v>102</v>
      </c>
      <c r="AP7">
        <v>27</v>
      </c>
      <c r="AS7">
        <v>1050</v>
      </c>
      <c r="AT7">
        <v>1050</v>
      </c>
      <c r="BQ7">
        <v>33</v>
      </c>
      <c r="BR7" t="s">
        <v>1497</v>
      </c>
      <c r="BT7" t="s">
        <v>1769</v>
      </c>
      <c r="BU7" s="1">
        <v>45499</v>
      </c>
      <c r="BV7">
        <v>35210</v>
      </c>
      <c r="BX7" t="s">
        <v>170</v>
      </c>
      <c r="BY7" t="s">
        <v>170</v>
      </c>
      <c r="CB7" t="s">
        <v>170</v>
      </c>
      <c r="CC7" t="s">
        <v>170</v>
      </c>
      <c r="CK7" t="s">
        <v>233</v>
      </c>
      <c r="CM7">
        <v>36</v>
      </c>
      <c r="CN7" t="s">
        <v>234</v>
      </c>
      <c r="CP7">
        <v>397</v>
      </c>
      <c r="CQ7">
        <v>288</v>
      </c>
      <c r="CR7">
        <v>156.6</v>
      </c>
      <c r="CS7" t="s">
        <v>1752</v>
      </c>
      <c r="CV7" t="s">
        <v>341</v>
      </c>
      <c r="CX7" t="s">
        <v>342</v>
      </c>
      <c r="CY7" t="s">
        <v>169</v>
      </c>
      <c r="DC7" t="s">
        <v>1770</v>
      </c>
      <c r="DD7">
        <v>2</v>
      </c>
      <c r="DE7" t="s">
        <v>404</v>
      </c>
      <c r="DF7" t="s">
        <v>1747</v>
      </c>
      <c r="DG7" t="s">
        <v>1771</v>
      </c>
      <c r="DL7" t="s">
        <v>170</v>
      </c>
      <c r="DM7" t="s">
        <v>169</v>
      </c>
      <c r="DP7" t="s">
        <v>170</v>
      </c>
      <c r="DQ7" t="s">
        <v>187</v>
      </c>
      <c r="EB7">
        <v>9</v>
      </c>
      <c r="EC7">
        <v>10</v>
      </c>
      <c r="EE7" t="s">
        <v>1772</v>
      </c>
      <c r="EF7">
        <v>10</v>
      </c>
      <c r="EU7">
        <v>4250</v>
      </c>
      <c r="EW7">
        <v>0</v>
      </c>
      <c r="EX7">
        <v>0</v>
      </c>
      <c r="EY7">
        <v>0</v>
      </c>
      <c r="FA7">
        <v>16</v>
      </c>
      <c r="FG7">
        <v>267</v>
      </c>
      <c r="FH7">
        <v>278</v>
      </c>
      <c r="FI7">
        <v>272</v>
      </c>
    </row>
    <row r="8" spans="1:166" ht="15" thickBot="1" x14ac:dyDescent="0.4">
      <c r="A8" s="25"/>
      <c r="B8" s="25"/>
      <c r="C8" s="25"/>
      <c r="D8" s="25"/>
      <c r="E8" s="25"/>
      <c r="F8" s="25" t="str">
        <f>_xlfn.CONCAT($A9," ",$B9," ",$D9)</f>
        <v>2025 Volkswagen Group of S e-tron GT (20in. Wheels)</v>
      </c>
      <c r="G8" s="25"/>
      <c r="H8" s="25"/>
      <c r="I8" s="25"/>
      <c r="J8" s="25"/>
      <c r="K8" s="25"/>
      <c r="L8" s="25"/>
      <c r="M8" s="25"/>
      <c r="N8" s="25"/>
      <c r="O8" s="25"/>
      <c r="P8" s="25"/>
      <c r="Q8" s="25"/>
      <c r="R8" s="25"/>
      <c r="S8" s="25"/>
      <c r="T8" s="25"/>
      <c r="U8" s="25"/>
      <c r="V8" s="25"/>
      <c r="W8" s="25"/>
      <c r="X8" s="25"/>
      <c r="Y8" s="25"/>
      <c r="Z8" s="25"/>
      <c r="AA8" s="25"/>
      <c r="AB8" s="25"/>
      <c r="AC8" s="25"/>
      <c r="AD8" s="25" t="str">
        <f>_xlfn.CONCAT($A9," ",$B9," ",$D9)</f>
        <v>2025 Volkswagen Group of S e-tron GT (20in. Wheels)</v>
      </c>
      <c r="AE8" s="25"/>
      <c r="AF8" s="25"/>
      <c r="AG8" s="25"/>
      <c r="AH8" s="25"/>
      <c r="AI8" s="25"/>
      <c r="AJ8" s="25"/>
      <c r="AK8" s="25"/>
      <c r="AL8" s="25"/>
      <c r="AM8" s="25"/>
      <c r="AN8" s="25"/>
      <c r="AO8" s="25"/>
      <c r="AP8" s="25"/>
      <c r="AQ8" s="25"/>
      <c r="AR8" s="25"/>
      <c r="AS8" s="25"/>
      <c r="AT8" s="25"/>
      <c r="AU8" s="25"/>
      <c r="AV8" s="25"/>
      <c r="AW8" s="25"/>
      <c r="AX8" s="25" t="str">
        <f>_xlfn.CONCAT($A9," ",$B9," ",$D9)</f>
        <v>2025 Volkswagen Group of S e-tron GT (20in. Wheels)</v>
      </c>
      <c r="AY8" s="25"/>
      <c r="AZ8" s="25"/>
      <c r="BA8" s="25"/>
      <c r="BB8" s="25"/>
      <c r="BC8" s="25"/>
      <c r="BD8" s="25"/>
      <c r="BE8" s="25"/>
      <c r="BF8" s="25"/>
      <c r="BG8" s="25"/>
      <c r="BH8" s="25"/>
      <c r="BI8" s="25"/>
      <c r="BJ8" s="25"/>
      <c r="BK8" s="25"/>
      <c r="BL8" s="25"/>
      <c r="BM8" s="25"/>
      <c r="BN8" s="25"/>
      <c r="BO8" s="25"/>
      <c r="BP8" s="25"/>
      <c r="BQ8" s="25"/>
      <c r="BR8" s="25" t="str">
        <f>_xlfn.CONCAT($A9," ",$B9," ",$D9)</f>
        <v>2025 Volkswagen Group of S e-tron GT (20in. Wheels)</v>
      </c>
      <c r="BS8" s="25"/>
      <c r="BT8" s="25"/>
      <c r="BU8" s="25"/>
      <c r="BV8" s="25"/>
      <c r="BW8" s="151" t="s">
        <v>2445</v>
      </c>
      <c r="BX8" s="25"/>
      <c r="BY8" s="25"/>
      <c r="BZ8" s="25"/>
      <c r="CA8" s="25"/>
      <c r="CB8" s="25"/>
      <c r="CC8" s="25"/>
      <c r="CD8" s="25"/>
      <c r="CE8" s="25"/>
      <c r="CF8" s="25"/>
      <c r="CG8" s="25"/>
      <c r="CH8" s="25"/>
      <c r="CI8" s="25"/>
      <c r="CJ8" s="25"/>
      <c r="CK8" s="25"/>
      <c r="CL8" s="25"/>
      <c r="CM8" s="25"/>
      <c r="CN8" s="25"/>
      <c r="CO8" s="25"/>
      <c r="CP8" s="25" t="str">
        <f>_xlfn.CONCAT($A9," ",$B9," ",$D9)</f>
        <v>2025 Volkswagen Group of S e-tron GT (20in. Wheels)</v>
      </c>
      <c r="CQ8" s="25"/>
      <c r="CR8" s="25"/>
      <c r="CS8" s="25"/>
      <c r="CT8" s="25"/>
      <c r="CU8" s="25"/>
      <c r="CV8" s="25"/>
      <c r="CW8" s="25"/>
      <c r="CX8" s="25"/>
      <c r="CY8" s="25"/>
      <c r="CZ8" s="25"/>
      <c r="DA8" s="25"/>
      <c r="DB8" s="25"/>
      <c r="DC8" s="25"/>
      <c r="DD8" s="25"/>
      <c r="DE8" s="25"/>
      <c r="DF8" s="25"/>
      <c r="DG8" s="25"/>
      <c r="DH8" s="25"/>
      <c r="DI8" s="25" t="str">
        <f>_xlfn.CONCAT($A9," ",$B9," ",$D9)</f>
        <v>2025 Volkswagen Group of S e-tron GT (20in. Wheels)</v>
      </c>
      <c r="DJ8" s="25"/>
      <c r="DK8" s="25"/>
      <c r="DL8" s="25"/>
      <c r="DM8" s="25"/>
      <c r="DN8" s="25"/>
      <c r="DO8" s="25"/>
      <c r="DP8" s="25"/>
      <c r="DQ8" s="25"/>
      <c r="DR8" s="25"/>
      <c r="DS8" s="25"/>
      <c r="DT8" s="25"/>
      <c r="DU8" s="25"/>
      <c r="DV8" s="25"/>
      <c r="DW8" s="25"/>
      <c r="DX8" s="25"/>
      <c r="DY8" s="25"/>
      <c r="DZ8" s="25" t="str">
        <f>_xlfn.CONCAT($A9," ",$B9," ",$D9)</f>
        <v>2025 Volkswagen Group of S e-tron GT (20in. Wheels)</v>
      </c>
      <c r="EA8" s="32"/>
      <c r="EB8" s="25"/>
      <c r="EC8" s="25"/>
      <c r="ED8" s="25"/>
      <c r="EE8" s="25"/>
      <c r="EF8" s="25"/>
      <c r="EG8" s="25"/>
      <c r="EH8" s="25"/>
      <c r="EI8" s="25"/>
      <c r="EJ8" s="25"/>
      <c r="EK8" s="25"/>
      <c r="EL8" s="25"/>
      <c r="EM8" s="25"/>
      <c r="EN8" s="25"/>
      <c r="EO8" s="25"/>
      <c r="EP8" s="25"/>
      <c r="EQ8" s="25"/>
      <c r="ER8" s="25"/>
      <c r="ES8" s="25"/>
      <c r="ET8" s="25"/>
      <c r="EU8" s="25"/>
      <c r="EV8" s="25" t="str">
        <f>_xlfn.CONCAT($A9," ",$B9," ",$D9)</f>
        <v>2025 Volkswagen Group of S e-tron GT (20in. Wheels)</v>
      </c>
      <c r="EW8" s="25"/>
      <c r="EX8" s="25"/>
      <c r="EY8" s="25"/>
      <c r="EZ8" s="25"/>
      <c r="FA8" s="25"/>
      <c r="FB8" s="25"/>
      <c r="FC8" s="25"/>
      <c r="FD8" s="25"/>
      <c r="FE8" s="25"/>
      <c r="FF8" s="25"/>
      <c r="FG8" s="25"/>
    </row>
    <row r="9" spans="1:166" x14ac:dyDescent="0.35">
      <c r="A9">
        <v>2025</v>
      </c>
      <c r="B9" t="s">
        <v>205</v>
      </c>
      <c r="C9" t="s">
        <v>385</v>
      </c>
      <c r="D9" t="s">
        <v>1781</v>
      </c>
      <c r="E9" t="s">
        <v>208</v>
      </c>
      <c r="F9">
        <v>352</v>
      </c>
      <c r="G9">
        <v>0</v>
      </c>
      <c r="I9" t="s">
        <v>1734</v>
      </c>
      <c r="J9">
        <v>91</v>
      </c>
      <c r="K9">
        <v>88</v>
      </c>
      <c r="L9">
        <v>90</v>
      </c>
      <c r="M9">
        <v>130.0498</v>
      </c>
      <c r="N9">
        <v>125.3476</v>
      </c>
      <c r="O9">
        <v>127.8909</v>
      </c>
      <c r="P9">
        <v>91.034899999999993</v>
      </c>
      <c r="Q9">
        <v>87.743300000000005</v>
      </c>
      <c r="R9">
        <v>89.523600000000002</v>
      </c>
      <c r="V9" t="s">
        <v>167</v>
      </c>
      <c r="W9" t="s">
        <v>168</v>
      </c>
      <c r="X9" t="s">
        <v>1745</v>
      </c>
      <c r="Y9">
        <v>1</v>
      </c>
      <c r="Z9" t="s">
        <v>170</v>
      </c>
      <c r="AA9" t="s">
        <v>170</v>
      </c>
      <c r="AB9" t="s">
        <v>167</v>
      </c>
      <c r="AC9" t="s">
        <v>213</v>
      </c>
      <c r="AF9">
        <v>300</v>
      </c>
      <c r="AG9" t="s">
        <v>1735</v>
      </c>
      <c r="AH9" t="s">
        <v>1736</v>
      </c>
      <c r="AI9" t="s">
        <v>175</v>
      </c>
      <c r="AJ9" t="s">
        <v>176</v>
      </c>
      <c r="AK9" t="s">
        <v>170</v>
      </c>
      <c r="AL9" t="s">
        <v>177</v>
      </c>
      <c r="AO9">
        <v>89</v>
      </c>
      <c r="AP9">
        <v>11</v>
      </c>
      <c r="AS9">
        <v>900</v>
      </c>
      <c r="AT9">
        <v>900</v>
      </c>
      <c r="BQ9">
        <v>3</v>
      </c>
      <c r="BR9" t="s">
        <v>387</v>
      </c>
      <c r="BS9" t="s">
        <v>180</v>
      </c>
      <c r="BT9" t="s">
        <v>1738</v>
      </c>
      <c r="BU9" s="1">
        <v>45534</v>
      </c>
      <c r="BV9">
        <v>35400</v>
      </c>
      <c r="BW9" s="152" t="s">
        <v>2445</v>
      </c>
      <c r="BX9" t="s">
        <v>170</v>
      </c>
      <c r="BY9" t="s">
        <v>170</v>
      </c>
      <c r="CB9" t="s">
        <v>170</v>
      </c>
      <c r="CC9" t="s">
        <v>170</v>
      </c>
      <c r="CK9" t="s">
        <v>233</v>
      </c>
      <c r="CM9">
        <v>33</v>
      </c>
      <c r="CN9" t="s">
        <v>234</v>
      </c>
      <c r="CP9">
        <v>727</v>
      </c>
      <c r="CQ9">
        <v>144.4</v>
      </c>
      <c r="CR9">
        <v>168</v>
      </c>
      <c r="CS9" t="s">
        <v>1752</v>
      </c>
      <c r="CV9" t="s">
        <v>341</v>
      </c>
      <c r="CX9" t="s">
        <v>342</v>
      </c>
      <c r="CY9" t="s">
        <v>169</v>
      </c>
      <c r="DC9" t="s">
        <v>1777</v>
      </c>
      <c r="DD9">
        <v>3</v>
      </c>
      <c r="DE9" t="s">
        <v>404</v>
      </c>
      <c r="DF9" t="s">
        <v>1740</v>
      </c>
      <c r="DG9" t="s">
        <v>1783</v>
      </c>
      <c r="DL9" t="s">
        <v>170</v>
      </c>
      <c r="DM9" t="s">
        <v>169</v>
      </c>
      <c r="DP9" t="s">
        <v>170</v>
      </c>
      <c r="DQ9" t="s">
        <v>187</v>
      </c>
      <c r="DR9" t="s">
        <v>1782</v>
      </c>
      <c r="EA9" s="56" t="s">
        <v>2445</v>
      </c>
      <c r="EB9">
        <v>9</v>
      </c>
      <c r="EC9">
        <v>10</v>
      </c>
      <c r="EE9" t="s">
        <v>1779</v>
      </c>
      <c r="EF9">
        <v>10</v>
      </c>
      <c r="EU9">
        <v>5000</v>
      </c>
      <c r="EW9">
        <v>0</v>
      </c>
      <c r="EX9">
        <v>0</v>
      </c>
      <c r="EY9">
        <v>0</v>
      </c>
      <c r="FA9">
        <v>15.5</v>
      </c>
      <c r="FG9">
        <v>305</v>
      </c>
      <c r="FH9">
        <v>294</v>
      </c>
      <c r="FI9">
        <v>300</v>
      </c>
    </row>
    <row r="10" spans="1:166" x14ac:dyDescent="0.35">
      <c r="A10">
        <v>2025</v>
      </c>
      <c r="B10" t="s">
        <v>205</v>
      </c>
      <c r="C10" t="s">
        <v>385</v>
      </c>
      <c r="D10" t="s">
        <v>1781</v>
      </c>
      <c r="E10" t="s">
        <v>208</v>
      </c>
      <c r="F10">
        <v>352</v>
      </c>
      <c r="G10">
        <v>0</v>
      </c>
      <c r="I10" t="s">
        <v>1734</v>
      </c>
      <c r="J10">
        <v>37</v>
      </c>
      <c r="K10">
        <v>38</v>
      </c>
      <c r="L10">
        <v>38</v>
      </c>
      <c r="M10">
        <v>25.92</v>
      </c>
      <c r="N10">
        <v>26.894300000000001</v>
      </c>
      <c r="O10">
        <v>26.3584</v>
      </c>
      <c r="P10">
        <v>37.024299999999997</v>
      </c>
      <c r="Q10">
        <v>38.413200000000003</v>
      </c>
      <c r="R10">
        <v>37.649299999999997</v>
      </c>
      <c r="V10" t="s">
        <v>167</v>
      </c>
      <c r="W10" t="s">
        <v>168</v>
      </c>
      <c r="X10" t="s">
        <v>1745</v>
      </c>
      <c r="Y10">
        <v>1</v>
      </c>
      <c r="Z10" t="s">
        <v>170</v>
      </c>
      <c r="AA10" t="s">
        <v>170</v>
      </c>
      <c r="AB10" t="s">
        <v>167</v>
      </c>
      <c r="AC10" t="s">
        <v>213</v>
      </c>
      <c r="AF10">
        <v>300</v>
      </c>
      <c r="AG10" t="s">
        <v>1735</v>
      </c>
      <c r="AH10" t="s">
        <v>1736</v>
      </c>
      <c r="AI10" t="s">
        <v>1742</v>
      </c>
      <c r="AJ10" t="s">
        <v>1743</v>
      </c>
      <c r="AK10" t="s">
        <v>170</v>
      </c>
      <c r="AL10" t="s">
        <v>177</v>
      </c>
      <c r="AO10">
        <v>89</v>
      </c>
      <c r="AP10">
        <v>11</v>
      </c>
      <c r="AS10">
        <v>900</v>
      </c>
      <c r="AT10">
        <v>900</v>
      </c>
      <c r="BQ10">
        <v>3</v>
      </c>
      <c r="BR10" t="s">
        <v>387</v>
      </c>
      <c r="BS10" t="s">
        <v>180</v>
      </c>
      <c r="BT10" t="s">
        <v>1738</v>
      </c>
      <c r="BU10" s="1">
        <v>45534</v>
      </c>
      <c r="BV10">
        <v>35400</v>
      </c>
      <c r="BW10" s="153"/>
      <c r="BX10" t="s">
        <v>170</v>
      </c>
      <c r="BY10" t="s">
        <v>170</v>
      </c>
      <c r="CB10" t="s">
        <v>170</v>
      </c>
      <c r="CC10" t="s">
        <v>170</v>
      </c>
      <c r="CK10" t="s">
        <v>233</v>
      </c>
      <c r="CM10">
        <v>33</v>
      </c>
      <c r="CN10" t="s">
        <v>234</v>
      </c>
      <c r="CP10">
        <v>727</v>
      </c>
      <c r="CQ10">
        <v>144.4</v>
      </c>
      <c r="CR10">
        <v>168</v>
      </c>
      <c r="CS10" t="s">
        <v>1752</v>
      </c>
      <c r="CV10" t="s">
        <v>341</v>
      </c>
      <c r="CX10" t="s">
        <v>342</v>
      </c>
      <c r="CY10" t="s">
        <v>169</v>
      </c>
      <c r="DC10" t="s">
        <v>1777</v>
      </c>
      <c r="DD10">
        <v>3</v>
      </c>
      <c r="DE10" t="s">
        <v>404</v>
      </c>
      <c r="DF10" t="s">
        <v>1740</v>
      </c>
      <c r="DG10" t="s">
        <v>1783</v>
      </c>
      <c r="DL10" t="s">
        <v>170</v>
      </c>
      <c r="DM10" t="s">
        <v>169</v>
      </c>
      <c r="DP10" t="s">
        <v>170</v>
      </c>
      <c r="DQ10" t="s">
        <v>187</v>
      </c>
      <c r="DR10" t="s">
        <v>1782</v>
      </c>
      <c r="EA10" s="89"/>
      <c r="EB10">
        <v>9</v>
      </c>
      <c r="EC10">
        <v>10</v>
      </c>
      <c r="EE10" t="s">
        <v>1779</v>
      </c>
      <c r="EF10">
        <v>10</v>
      </c>
      <c r="EU10">
        <v>5000</v>
      </c>
      <c r="EW10">
        <v>0</v>
      </c>
      <c r="EX10">
        <v>0</v>
      </c>
      <c r="EY10">
        <v>0</v>
      </c>
      <c r="FA10">
        <v>15.5</v>
      </c>
      <c r="FG10">
        <v>305</v>
      </c>
      <c r="FH10">
        <v>294</v>
      </c>
      <c r="FI10">
        <v>300</v>
      </c>
    </row>
    <row r="11" spans="1:166" x14ac:dyDescent="0.35">
      <c r="A11" s="25"/>
      <c r="B11" s="25"/>
      <c r="C11" s="25"/>
      <c r="D11" s="25"/>
      <c r="E11" s="25"/>
      <c r="F11" s="25" t="str">
        <f>_xlfn.CONCAT($A12," ",$B12," ",$D12)</f>
        <v>2025 Volkswagen Group of RS e-tron GT Performance</v>
      </c>
      <c r="G11" s="25"/>
      <c r="H11" s="25"/>
      <c r="I11" s="25"/>
      <c r="J11" s="25"/>
      <c r="K11" s="25"/>
      <c r="L11" s="25"/>
      <c r="M11" s="25"/>
      <c r="N11" s="25"/>
      <c r="O11" s="25"/>
      <c r="P11" s="25"/>
      <c r="Q11" s="25"/>
      <c r="R11" s="25"/>
      <c r="S11" s="25"/>
      <c r="T11" s="25"/>
      <c r="U11" s="25"/>
      <c r="V11" s="25"/>
      <c r="W11" s="25"/>
      <c r="X11" s="25"/>
      <c r="Y11" s="25"/>
      <c r="Z11" s="25"/>
      <c r="AA11" s="25"/>
      <c r="AB11" s="25"/>
      <c r="AC11" s="25"/>
      <c r="AD11" s="25" t="str">
        <f>_xlfn.CONCAT($A12," ",$B12," ",$D12)</f>
        <v>2025 Volkswagen Group of RS e-tron GT Performance</v>
      </c>
      <c r="AE11" s="25"/>
      <c r="AF11" s="25"/>
      <c r="AG11" s="25"/>
      <c r="AH11" s="25"/>
      <c r="AI11" s="25"/>
      <c r="AJ11" s="25"/>
      <c r="AK11" s="25"/>
      <c r="AL11" s="25"/>
      <c r="AM11" s="25"/>
      <c r="AN11" s="25"/>
      <c r="AO11" s="25"/>
      <c r="AP11" s="25"/>
      <c r="AQ11" s="25"/>
      <c r="AR11" s="25"/>
      <c r="AS11" s="25"/>
      <c r="AT11" s="25"/>
      <c r="AU11" s="25"/>
      <c r="AV11" s="25"/>
      <c r="AW11" s="25"/>
      <c r="AX11" s="25" t="str">
        <f>_xlfn.CONCAT($A12," ",$B12," ",$D12)</f>
        <v>2025 Volkswagen Group of RS e-tron GT Performance</v>
      </c>
      <c r="AY11" s="25"/>
      <c r="AZ11" s="25"/>
      <c r="BA11" s="25"/>
      <c r="BB11" s="25"/>
      <c r="BC11" s="25"/>
      <c r="BD11" s="25"/>
      <c r="BE11" s="25"/>
      <c r="BF11" s="25"/>
      <c r="BG11" s="25"/>
      <c r="BH11" s="25"/>
      <c r="BI11" s="25"/>
      <c r="BJ11" s="25"/>
      <c r="BK11" s="25"/>
      <c r="BL11" s="25"/>
      <c r="BM11" s="25"/>
      <c r="BN11" s="25"/>
      <c r="BO11" s="25"/>
      <c r="BP11" s="25"/>
      <c r="BQ11" s="25"/>
      <c r="BR11" s="25" t="str">
        <f>_xlfn.CONCAT($A12," ",$B12," ",$D12)</f>
        <v>2025 Volkswagen Group of RS e-tron GT Performance</v>
      </c>
      <c r="BS11" s="25"/>
      <c r="BT11" s="25"/>
      <c r="BU11" s="25"/>
      <c r="BV11" s="25"/>
      <c r="BW11" s="153"/>
      <c r="BX11" s="25"/>
      <c r="BY11" s="25"/>
      <c r="BZ11" s="25"/>
      <c r="CA11" s="25"/>
      <c r="CB11" s="25"/>
      <c r="CC11" s="25"/>
      <c r="CD11" s="25"/>
      <c r="CE11" s="25"/>
      <c r="CF11" s="25"/>
      <c r="CG11" s="25"/>
      <c r="CH11" s="25"/>
      <c r="CI11" s="25"/>
      <c r="CJ11" s="25"/>
      <c r="CK11" s="25"/>
      <c r="CL11" s="25"/>
      <c r="CM11" s="25"/>
      <c r="CN11" s="25"/>
      <c r="CO11" s="25"/>
      <c r="CP11" s="25" t="str">
        <f>_xlfn.CONCAT($A12," ",$B12," ",$D12)</f>
        <v>2025 Volkswagen Group of RS e-tron GT Performance</v>
      </c>
      <c r="CQ11" s="25"/>
      <c r="CR11" s="25"/>
      <c r="CS11" s="25"/>
      <c r="CT11" s="25"/>
      <c r="CU11" s="25"/>
      <c r="CV11" s="25"/>
      <c r="CW11" s="25"/>
      <c r="CX11" s="25"/>
      <c r="CY11" s="25"/>
      <c r="CZ11" s="25"/>
      <c r="DA11" s="25"/>
      <c r="DB11" s="25"/>
      <c r="DC11" s="25"/>
      <c r="DD11" s="25"/>
      <c r="DE11" s="25"/>
      <c r="DF11" s="25"/>
      <c r="DG11" s="25"/>
      <c r="DH11" s="25"/>
      <c r="DI11" s="25" t="str">
        <f>_xlfn.CONCAT($A12," ",$B12," ",$D12)</f>
        <v>2025 Volkswagen Group of RS e-tron GT Performance</v>
      </c>
      <c r="DJ11" s="25"/>
      <c r="DK11" s="25"/>
      <c r="DL11" s="25"/>
      <c r="DM11" s="25"/>
      <c r="DN11" s="25"/>
      <c r="DO11" s="25"/>
      <c r="DP11" s="25"/>
      <c r="DQ11" s="25"/>
      <c r="DR11" s="25"/>
      <c r="DS11" s="25"/>
      <c r="DT11" s="25"/>
      <c r="DU11" s="25"/>
      <c r="DV11" s="25"/>
      <c r="DW11" s="25"/>
      <c r="DX11" s="25"/>
      <c r="DY11" s="25"/>
      <c r="DZ11" s="25" t="str">
        <f>_xlfn.CONCAT($A12," ",$B12," ",$D12)</f>
        <v>2025 Volkswagen Group of RS e-tron GT Performance</v>
      </c>
      <c r="EA11" s="89"/>
      <c r="EB11" s="25"/>
      <c r="EC11" s="25"/>
      <c r="ED11" s="25"/>
      <c r="EE11" s="25"/>
      <c r="EF11" s="25"/>
      <c r="EG11" s="25"/>
      <c r="EH11" s="25"/>
      <c r="EI11" s="25"/>
      <c r="EJ11" s="25"/>
      <c r="EK11" s="25"/>
      <c r="EL11" s="25"/>
      <c r="EM11" s="25"/>
      <c r="EN11" s="25"/>
      <c r="EO11" s="25"/>
      <c r="EP11" s="25"/>
      <c r="EQ11" s="25"/>
      <c r="ER11" s="25"/>
      <c r="ES11" s="25"/>
      <c r="ET11" s="25"/>
      <c r="EU11" s="25"/>
      <c r="EV11" s="25" t="str">
        <f>_xlfn.CONCAT($A12," ",$B12," ",$D12)</f>
        <v>2025 Volkswagen Group of RS e-tron GT Performance</v>
      </c>
      <c r="EW11" s="25"/>
      <c r="EX11" s="25"/>
      <c r="EY11" s="25"/>
      <c r="EZ11" s="25"/>
      <c r="FA11" s="25"/>
      <c r="FB11" s="25"/>
      <c r="FC11" s="25"/>
      <c r="FD11" s="25"/>
      <c r="FE11" s="25"/>
      <c r="FF11" s="25"/>
      <c r="FG11" s="25"/>
    </row>
    <row r="12" spans="1:166" x14ac:dyDescent="0.35">
      <c r="A12">
        <v>2025</v>
      </c>
      <c r="B12" t="s">
        <v>205</v>
      </c>
      <c r="C12" t="s">
        <v>385</v>
      </c>
      <c r="D12" t="s">
        <v>1776</v>
      </c>
      <c r="E12" t="s">
        <v>208</v>
      </c>
      <c r="F12">
        <v>353</v>
      </c>
      <c r="G12">
        <v>0</v>
      </c>
      <c r="I12" t="s">
        <v>1734</v>
      </c>
      <c r="J12">
        <v>85</v>
      </c>
      <c r="K12">
        <v>82</v>
      </c>
      <c r="L12">
        <v>84</v>
      </c>
      <c r="M12">
        <v>122.01479999999999</v>
      </c>
      <c r="N12">
        <v>117.3</v>
      </c>
      <c r="O12">
        <v>119.8471</v>
      </c>
      <c r="P12">
        <v>85.410399999999996</v>
      </c>
      <c r="Q12">
        <v>82.11</v>
      </c>
      <c r="R12">
        <v>83.893000000000001</v>
      </c>
      <c r="V12" t="s">
        <v>167</v>
      </c>
      <c r="W12" t="s">
        <v>168</v>
      </c>
      <c r="X12" t="s">
        <v>1745</v>
      </c>
      <c r="Y12">
        <v>1</v>
      </c>
      <c r="Z12" t="s">
        <v>170</v>
      </c>
      <c r="AA12" t="s">
        <v>170</v>
      </c>
      <c r="AB12" t="s">
        <v>167</v>
      </c>
      <c r="AC12" t="s">
        <v>213</v>
      </c>
      <c r="AF12">
        <v>278</v>
      </c>
      <c r="AG12" t="s">
        <v>1735</v>
      </c>
      <c r="AH12" t="s">
        <v>1736</v>
      </c>
      <c r="AI12" t="s">
        <v>175</v>
      </c>
      <c r="AJ12" t="s">
        <v>176</v>
      </c>
      <c r="AK12" t="s">
        <v>170</v>
      </c>
      <c r="AL12" t="s">
        <v>177</v>
      </c>
      <c r="AO12">
        <v>89</v>
      </c>
      <c r="AP12">
        <v>11</v>
      </c>
      <c r="AS12">
        <v>950</v>
      </c>
      <c r="AT12">
        <v>950</v>
      </c>
      <c r="BQ12">
        <v>3</v>
      </c>
      <c r="BR12" t="s">
        <v>387</v>
      </c>
      <c r="BS12" t="s">
        <v>180</v>
      </c>
      <c r="BT12" t="s">
        <v>1738</v>
      </c>
      <c r="BU12" s="1">
        <v>45629</v>
      </c>
      <c r="BV12">
        <v>35979</v>
      </c>
      <c r="BW12" s="154"/>
      <c r="BX12" t="s">
        <v>170</v>
      </c>
      <c r="BY12" t="s">
        <v>170</v>
      </c>
      <c r="CB12" t="s">
        <v>170</v>
      </c>
      <c r="CC12" t="s">
        <v>170</v>
      </c>
      <c r="CK12" t="s">
        <v>233</v>
      </c>
      <c r="CM12">
        <v>33</v>
      </c>
      <c r="CN12" t="s">
        <v>234</v>
      </c>
      <c r="CP12">
        <v>727</v>
      </c>
      <c r="CQ12">
        <v>144.4</v>
      </c>
      <c r="CR12">
        <v>168</v>
      </c>
      <c r="CS12" t="s">
        <v>1752</v>
      </c>
      <c r="CV12" t="s">
        <v>341</v>
      </c>
      <c r="CX12" t="s">
        <v>342</v>
      </c>
      <c r="CY12" t="s">
        <v>169</v>
      </c>
      <c r="DC12" t="s">
        <v>1777</v>
      </c>
      <c r="DD12">
        <v>2</v>
      </c>
      <c r="DE12" t="s">
        <v>404</v>
      </c>
      <c r="DF12" t="s">
        <v>1740</v>
      </c>
      <c r="DG12" t="s">
        <v>1778</v>
      </c>
      <c r="DL12" t="s">
        <v>170</v>
      </c>
      <c r="DM12" t="s">
        <v>169</v>
      </c>
      <c r="DP12" t="s">
        <v>170</v>
      </c>
      <c r="DQ12" t="s">
        <v>187</v>
      </c>
      <c r="EA12" s="101"/>
      <c r="EB12">
        <v>9</v>
      </c>
      <c r="EC12">
        <v>10</v>
      </c>
      <c r="EE12" t="s">
        <v>1779</v>
      </c>
      <c r="EF12">
        <v>10</v>
      </c>
      <c r="EU12">
        <v>4750</v>
      </c>
      <c r="EW12">
        <v>0</v>
      </c>
      <c r="EX12">
        <v>0</v>
      </c>
      <c r="EY12">
        <v>0</v>
      </c>
      <c r="FA12">
        <v>15.5</v>
      </c>
      <c r="FG12">
        <v>283</v>
      </c>
      <c r="FH12">
        <v>272</v>
      </c>
      <c r="FI12">
        <v>278</v>
      </c>
    </row>
    <row r="13" spans="1:166" x14ac:dyDescent="0.35">
      <c r="A13">
        <v>2025</v>
      </c>
      <c r="B13" t="s">
        <v>205</v>
      </c>
      <c r="C13" t="s">
        <v>385</v>
      </c>
      <c r="D13" t="s">
        <v>1776</v>
      </c>
      <c r="E13" t="s">
        <v>208</v>
      </c>
      <c r="F13">
        <v>353</v>
      </c>
      <c r="G13">
        <v>0</v>
      </c>
      <c r="I13" t="s">
        <v>1734</v>
      </c>
      <c r="J13">
        <v>39</v>
      </c>
      <c r="K13">
        <v>41</v>
      </c>
      <c r="L13">
        <v>40</v>
      </c>
      <c r="M13">
        <v>27.621400000000001</v>
      </c>
      <c r="N13">
        <v>28.736499999999999</v>
      </c>
      <c r="O13">
        <v>28.123200000000001</v>
      </c>
      <c r="P13">
        <v>39.462400000000002</v>
      </c>
      <c r="Q13">
        <v>41.0486</v>
      </c>
      <c r="R13">
        <v>40.176200000000001</v>
      </c>
      <c r="V13" t="s">
        <v>167</v>
      </c>
      <c r="W13" t="s">
        <v>168</v>
      </c>
      <c r="X13" t="s">
        <v>1745</v>
      </c>
      <c r="Y13">
        <v>1</v>
      </c>
      <c r="Z13" t="s">
        <v>170</v>
      </c>
      <c r="AA13" t="s">
        <v>170</v>
      </c>
      <c r="AB13" t="s">
        <v>167</v>
      </c>
      <c r="AC13" t="s">
        <v>213</v>
      </c>
      <c r="AF13">
        <v>278</v>
      </c>
      <c r="AG13" t="s">
        <v>1735</v>
      </c>
      <c r="AH13" t="s">
        <v>1736</v>
      </c>
      <c r="AI13" t="s">
        <v>1742</v>
      </c>
      <c r="AJ13" t="s">
        <v>1743</v>
      </c>
      <c r="AK13" t="s">
        <v>170</v>
      </c>
      <c r="AL13" t="s">
        <v>177</v>
      </c>
      <c r="AO13">
        <v>89</v>
      </c>
      <c r="AP13">
        <v>11</v>
      </c>
      <c r="AS13">
        <v>950</v>
      </c>
      <c r="AT13">
        <v>950</v>
      </c>
      <c r="BQ13">
        <v>3</v>
      </c>
      <c r="BR13" t="s">
        <v>387</v>
      </c>
      <c r="BS13" t="s">
        <v>180</v>
      </c>
      <c r="BT13" t="s">
        <v>1738</v>
      </c>
      <c r="BU13" s="1">
        <v>45629</v>
      </c>
      <c r="BV13">
        <v>35979</v>
      </c>
      <c r="BW13" s="154"/>
      <c r="BX13" t="s">
        <v>170</v>
      </c>
      <c r="BY13" t="s">
        <v>170</v>
      </c>
      <c r="CB13" t="s">
        <v>170</v>
      </c>
      <c r="CC13" t="s">
        <v>170</v>
      </c>
      <c r="CK13" t="s">
        <v>233</v>
      </c>
      <c r="CM13">
        <v>33</v>
      </c>
      <c r="CN13" t="s">
        <v>234</v>
      </c>
      <c r="CP13">
        <v>727</v>
      </c>
      <c r="CQ13">
        <v>144.4</v>
      </c>
      <c r="CR13">
        <v>168</v>
      </c>
      <c r="CS13" t="s">
        <v>1752</v>
      </c>
      <c r="CV13" t="s">
        <v>341</v>
      </c>
      <c r="CX13" t="s">
        <v>342</v>
      </c>
      <c r="CY13" t="s">
        <v>169</v>
      </c>
      <c r="DC13" t="s">
        <v>1777</v>
      </c>
      <c r="DD13">
        <v>2</v>
      </c>
      <c r="DE13" t="s">
        <v>404</v>
      </c>
      <c r="DF13" t="s">
        <v>1740</v>
      </c>
      <c r="DG13" t="s">
        <v>1778</v>
      </c>
      <c r="DL13" t="s">
        <v>170</v>
      </c>
      <c r="DM13" t="s">
        <v>169</v>
      </c>
      <c r="DP13" t="s">
        <v>170</v>
      </c>
      <c r="DQ13" t="s">
        <v>187</v>
      </c>
      <c r="EA13" s="101"/>
      <c r="EB13">
        <v>9</v>
      </c>
      <c r="EC13">
        <v>10</v>
      </c>
      <c r="EE13" t="s">
        <v>1779</v>
      </c>
      <c r="EF13">
        <v>10</v>
      </c>
      <c r="EU13">
        <v>4750</v>
      </c>
      <c r="EW13">
        <v>0</v>
      </c>
      <c r="EX13">
        <v>0</v>
      </c>
      <c r="EY13">
        <v>0</v>
      </c>
      <c r="FA13">
        <v>15.5</v>
      </c>
      <c r="FG13">
        <v>283</v>
      </c>
      <c r="FH13">
        <v>272</v>
      </c>
      <c r="FI13">
        <v>278</v>
      </c>
    </row>
    <row r="14" spans="1:166" x14ac:dyDescent="0.35">
      <c r="A14" s="25"/>
      <c r="B14" s="25"/>
      <c r="C14" s="25"/>
      <c r="D14" s="25"/>
      <c r="E14" s="25"/>
      <c r="F14" s="25" t="str">
        <f>_xlfn.CONCAT($A15," ",$B15," ",$D15)</f>
        <v>2025 Volkswagen Group of SQ8 e-tron (20in wheels)</v>
      </c>
      <c r="G14" s="25"/>
      <c r="H14" s="25"/>
      <c r="I14" s="25"/>
      <c r="J14" s="25"/>
      <c r="K14" s="25"/>
      <c r="L14" s="25"/>
      <c r="M14" s="25"/>
      <c r="N14" s="25"/>
      <c r="O14" s="25"/>
      <c r="P14" s="25"/>
      <c r="Q14" s="25"/>
      <c r="R14" s="25"/>
      <c r="S14" s="25"/>
      <c r="T14" s="25"/>
      <c r="U14" s="25"/>
      <c r="V14" s="25"/>
      <c r="W14" s="25"/>
      <c r="X14" s="25"/>
      <c r="Y14" s="25"/>
      <c r="Z14" s="25"/>
      <c r="AA14" s="25"/>
      <c r="AB14" s="25"/>
      <c r="AC14" s="25"/>
      <c r="AD14" s="25" t="str">
        <f>_xlfn.CONCAT($A15," ",$B15," ",$D15)</f>
        <v>2025 Volkswagen Group of SQ8 e-tron (20in wheels)</v>
      </c>
      <c r="AE14" s="25"/>
      <c r="AF14" s="25"/>
      <c r="AG14" s="25"/>
      <c r="AH14" s="25"/>
      <c r="AI14" s="25"/>
      <c r="AJ14" s="25"/>
      <c r="AK14" s="25"/>
      <c r="AL14" s="25"/>
      <c r="AM14" s="25"/>
      <c r="AN14" s="25"/>
      <c r="AO14" s="25"/>
      <c r="AP14" s="25"/>
      <c r="AQ14" s="25"/>
      <c r="AR14" s="25"/>
      <c r="AS14" s="25"/>
      <c r="AT14" s="25"/>
      <c r="AU14" s="25"/>
      <c r="AV14" s="25"/>
      <c r="AW14" s="25"/>
      <c r="AX14" s="25" t="str">
        <f>_xlfn.CONCAT($A15," ",$B15," ",$D15)</f>
        <v>2025 Volkswagen Group of SQ8 e-tron (20in wheels)</v>
      </c>
      <c r="AY14" s="25"/>
      <c r="AZ14" s="25"/>
      <c r="BA14" s="25"/>
      <c r="BB14" s="25"/>
      <c r="BC14" s="25"/>
      <c r="BD14" s="25"/>
      <c r="BE14" s="25"/>
      <c r="BF14" s="25"/>
      <c r="BG14" s="25"/>
      <c r="BH14" s="25"/>
      <c r="BI14" s="25"/>
      <c r="BJ14" s="25"/>
      <c r="BK14" s="25"/>
      <c r="BL14" s="25"/>
      <c r="BM14" s="25"/>
      <c r="BN14" s="25"/>
      <c r="BO14" s="25"/>
      <c r="BP14" s="25"/>
      <c r="BQ14" s="25"/>
      <c r="BR14" s="25" t="str">
        <f>_xlfn.CONCAT($A15," ",$B15," ",$D15)</f>
        <v>2025 Volkswagen Group of SQ8 e-tron (20in wheels)</v>
      </c>
      <c r="BS14" s="25"/>
      <c r="BT14" s="25"/>
      <c r="BU14" s="25"/>
      <c r="BV14" s="25"/>
      <c r="BW14" s="153"/>
      <c r="BX14" s="25"/>
      <c r="BY14" s="25"/>
      <c r="BZ14" s="25"/>
      <c r="CA14" s="25"/>
      <c r="CB14" s="25"/>
      <c r="CC14" s="25"/>
      <c r="CD14" s="25"/>
      <c r="CE14" s="25"/>
      <c r="CF14" s="25"/>
      <c r="CG14" s="25"/>
      <c r="CH14" s="25"/>
      <c r="CI14" s="25"/>
      <c r="CJ14" s="25"/>
      <c r="CK14" s="25"/>
      <c r="CL14" s="25"/>
      <c r="CM14" s="25"/>
      <c r="CN14" s="25"/>
      <c r="CO14" s="25"/>
      <c r="CP14" s="25" t="str">
        <f>_xlfn.CONCAT($A15," ",$B15," ",$D15)</f>
        <v>2025 Volkswagen Group of SQ8 e-tron (20in wheels)</v>
      </c>
      <c r="CQ14" s="25"/>
      <c r="CR14" s="25"/>
      <c r="CS14" s="25"/>
      <c r="CT14" s="25"/>
      <c r="CU14" s="25"/>
      <c r="CV14" s="25"/>
      <c r="CW14" s="25"/>
      <c r="CX14" s="25"/>
      <c r="CY14" s="25"/>
      <c r="CZ14" s="25"/>
      <c r="DA14" s="25"/>
      <c r="DB14" s="25"/>
      <c r="DC14" s="25"/>
      <c r="DD14" s="25"/>
      <c r="DE14" s="25"/>
      <c r="DF14" s="25"/>
      <c r="DG14" s="25"/>
      <c r="DH14" s="25"/>
      <c r="DI14" s="25" t="str">
        <f>_xlfn.CONCAT($A15," ",$B15," ",$D15)</f>
        <v>2025 Volkswagen Group of SQ8 e-tron (20in wheels)</v>
      </c>
      <c r="DJ14" s="25"/>
      <c r="DK14" s="25"/>
      <c r="DL14" s="25"/>
      <c r="DM14" s="25"/>
      <c r="DN14" s="25"/>
      <c r="DO14" s="25"/>
      <c r="DP14" s="25"/>
      <c r="DQ14" s="25"/>
      <c r="DR14" s="25"/>
      <c r="DS14" s="25"/>
      <c r="DT14" s="25"/>
      <c r="DU14" s="25"/>
      <c r="DV14" s="25"/>
      <c r="DW14" s="25"/>
      <c r="DX14" s="25"/>
      <c r="DY14" s="25"/>
      <c r="DZ14" s="25" t="str">
        <f>_xlfn.CONCAT($A15," ",$B15," ",$D15)</f>
        <v>2025 Volkswagen Group of SQ8 e-tron (20in wheels)</v>
      </c>
      <c r="EA14" s="89"/>
      <c r="EB14" s="25"/>
      <c r="EC14" s="25"/>
      <c r="ED14" s="25"/>
      <c r="EE14" s="25"/>
      <c r="EF14" s="25"/>
      <c r="EG14" s="25"/>
      <c r="EH14" s="25"/>
      <c r="EI14" s="25"/>
      <c r="EJ14" s="25"/>
      <c r="EK14" s="25"/>
      <c r="EL14" s="25"/>
      <c r="EM14" s="25"/>
      <c r="EN14" s="25"/>
      <c r="EO14" s="25"/>
      <c r="EP14" s="25"/>
      <c r="EQ14" s="25"/>
      <c r="ER14" s="25"/>
      <c r="ES14" s="25"/>
      <c r="ET14" s="25"/>
      <c r="EU14" s="25"/>
      <c r="EV14" s="25" t="str">
        <f>_xlfn.CONCAT($A15," ",$B15," ",$D15)</f>
        <v>2025 Volkswagen Group of SQ8 e-tron (20in wheels)</v>
      </c>
      <c r="EW14" s="25"/>
      <c r="EX14" s="25"/>
      <c r="EY14" s="25"/>
      <c r="EZ14" s="25"/>
      <c r="FA14" s="25"/>
      <c r="FB14" s="25"/>
      <c r="FC14" s="25"/>
      <c r="FD14" s="25"/>
      <c r="FE14" s="25"/>
      <c r="FF14" s="25"/>
      <c r="FG14" s="25"/>
    </row>
    <row r="15" spans="1:166" x14ac:dyDescent="0.35">
      <c r="A15">
        <v>2025</v>
      </c>
      <c r="B15" t="s">
        <v>205</v>
      </c>
      <c r="C15" t="s">
        <v>385</v>
      </c>
      <c r="D15" t="s">
        <v>1789</v>
      </c>
      <c r="E15" t="s">
        <v>208</v>
      </c>
      <c r="F15">
        <v>354</v>
      </c>
      <c r="G15">
        <v>0</v>
      </c>
      <c r="I15" t="s">
        <v>1734</v>
      </c>
      <c r="J15">
        <v>68</v>
      </c>
      <c r="K15">
        <v>72</v>
      </c>
      <c r="L15">
        <v>70</v>
      </c>
      <c r="M15">
        <v>93.298299999999998</v>
      </c>
      <c r="N15">
        <v>98.039699999999996</v>
      </c>
      <c r="O15">
        <v>95.373900000000006</v>
      </c>
      <c r="P15">
        <v>68.478099999999998</v>
      </c>
      <c r="Q15">
        <v>71.958200000000005</v>
      </c>
      <c r="R15">
        <v>70.001599999999996</v>
      </c>
      <c r="V15" t="s">
        <v>167</v>
      </c>
      <c r="W15" t="s">
        <v>168</v>
      </c>
      <c r="X15" t="s">
        <v>1745</v>
      </c>
      <c r="Y15">
        <v>1</v>
      </c>
      <c r="Z15" t="s">
        <v>170</v>
      </c>
      <c r="AA15" t="s">
        <v>170</v>
      </c>
      <c r="AB15" t="s">
        <v>167</v>
      </c>
      <c r="AC15" t="s">
        <v>213</v>
      </c>
      <c r="AF15">
        <v>242</v>
      </c>
      <c r="AG15" t="s">
        <v>1735</v>
      </c>
      <c r="AH15" t="s">
        <v>1736</v>
      </c>
      <c r="AI15" t="s">
        <v>175</v>
      </c>
      <c r="AJ15" t="s">
        <v>176</v>
      </c>
      <c r="AK15" t="s">
        <v>940</v>
      </c>
      <c r="AL15" t="s">
        <v>941</v>
      </c>
      <c r="AS15">
        <v>1150</v>
      </c>
      <c r="AT15">
        <v>1150</v>
      </c>
      <c r="BQ15">
        <v>33</v>
      </c>
      <c r="BR15" t="s">
        <v>1497</v>
      </c>
      <c r="BT15" t="s">
        <v>1769</v>
      </c>
      <c r="BU15" s="1">
        <v>45464</v>
      </c>
      <c r="BV15">
        <v>35097</v>
      </c>
      <c r="BW15" s="154"/>
      <c r="BX15" t="s">
        <v>170</v>
      </c>
      <c r="BY15" t="s">
        <v>170</v>
      </c>
      <c r="CB15" t="s">
        <v>170</v>
      </c>
      <c r="CC15" t="s">
        <v>170</v>
      </c>
      <c r="CK15" t="s">
        <v>233</v>
      </c>
      <c r="CM15">
        <v>36</v>
      </c>
      <c r="CN15" t="s">
        <v>234</v>
      </c>
      <c r="CP15">
        <v>397</v>
      </c>
      <c r="CQ15">
        <v>288</v>
      </c>
      <c r="CR15">
        <v>156.6</v>
      </c>
      <c r="CS15" t="s">
        <v>1752</v>
      </c>
      <c r="CV15" t="s">
        <v>341</v>
      </c>
      <c r="CX15" t="s">
        <v>342</v>
      </c>
      <c r="CY15" t="s">
        <v>169</v>
      </c>
      <c r="DC15" t="s">
        <v>1790</v>
      </c>
      <c r="DD15">
        <v>2</v>
      </c>
      <c r="DE15" t="s">
        <v>404</v>
      </c>
      <c r="DF15" t="s">
        <v>1747</v>
      </c>
      <c r="DG15" t="s">
        <v>1791</v>
      </c>
      <c r="DL15" t="s">
        <v>170</v>
      </c>
      <c r="DM15" t="s">
        <v>169</v>
      </c>
      <c r="DP15" t="s">
        <v>170</v>
      </c>
      <c r="DQ15" t="s">
        <v>187</v>
      </c>
      <c r="EA15" s="101"/>
      <c r="EB15">
        <v>9</v>
      </c>
      <c r="EC15">
        <v>10</v>
      </c>
      <c r="EE15" t="s">
        <v>1792</v>
      </c>
      <c r="EF15">
        <v>10</v>
      </c>
      <c r="EU15">
        <v>3750</v>
      </c>
      <c r="EW15">
        <v>0</v>
      </c>
      <c r="EX15">
        <v>0</v>
      </c>
      <c r="EY15">
        <v>0</v>
      </c>
      <c r="FA15">
        <v>16</v>
      </c>
      <c r="FG15">
        <v>237</v>
      </c>
      <c r="FH15">
        <v>249</v>
      </c>
      <c r="FI15">
        <v>242</v>
      </c>
    </row>
    <row r="16" spans="1:166" x14ac:dyDescent="0.35">
      <c r="A16">
        <v>2025</v>
      </c>
      <c r="B16" t="s">
        <v>205</v>
      </c>
      <c r="C16" t="s">
        <v>385</v>
      </c>
      <c r="D16" t="s">
        <v>1789</v>
      </c>
      <c r="E16" t="s">
        <v>208</v>
      </c>
      <c r="F16">
        <v>354</v>
      </c>
      <c r="G16">
        <v>0</v>
      </c>
      <c r="I16" t="s">
        <v>1734</v>
      </c>
      <c r="J16">
        <v>49</v>
      </c>
      <c r="K16">
        <v>47</v>
      </c>
      <c r="L16">
        <v>48</v>
      </c>
      <c r="M16">
        <v>36.119300000000003</v>
      </c>
      <c r="N16">
        <v>34.375599999999999</v>
      </c>
      <c r="O16">
        <v>35.334600000000002</v>
      </c>
      <c r="P16">
        <v>49.220100000000002</v>
      </c>
      <c r="Q16">
        <v>46.839700000000001</v>
      </c>
      <c r="R16">
        <v>48.148899999999998</v>
      </c>
      <c r="V16" t="s">
        <v>167</v>
      </c>
      <c r="W16" t="s">
        <v>168</v>
      </c>
      <c r="X16" t="s">
        <v>1745</v>
      </c>
      <c r="Y16">
        <v>1</v>
      </c>
      <c r="Z16" t="s">
        <v>170</v>
      </c>
      <c r="AA16" t="s">
        <v>170</v>
      </c>
      <c r="AB16" t="s">
        <v>167</v>
      </c>
      <c r="AC16" t="s">
        <v>213</v>
      </c>
      <c r="AF16">
        <v>242</v>
      </c>
      <c r="AG16" t="s">
        <v>1735</v>
      </c>
      <c r="AH16" t="s">
        <v>1736</v>
      </c>
      <c r="AI16" t="s">
        <v>1742</v>
      </c>
      <c r="AJ16" t="s">
        <v>1743</v>
      </c>
      <c r="AK16" t="s">
        <v>940</v>
      </c>
      <c r="AL16" t="s">
        <v>941</v>
      </c>
      <c r="AS16">
        <v>1150</v>
      </c>
      <c r="AT16">
        <v>1150</v>
      </c>
      <c r="BQ16">
        <v>33</v>
      </c>
      <c r="BR16" t="s">
        <v>1497</v>
      </c>
      <c r="BT16" t="s">
        <v>1769</v>
      </c>
      <c r="BU16" s="1">
        <v>45464</v>
      </c>
      <c r="BV16">
        <v>35097</v>
      </c>
      <c r="BW16" s="154"/>
      <c r="BX16" t="s">
        <v>170</v>
      </c>
      <c r="BY16" t="s">
        <v>170</v>
      </c>
      <c r="CB16" t="s">
        <v>170</v>
      </c>
      <c r="CC16" t="s">
        <v>170</v>
      </c>
      <c r="CK16" t="s">
        <v>233</v>
      </c>
      <c r="CM16">
        <v>36</v>
      </c>
      <c r="CN16" t="s">
        <v>234</v>
      </c>
      <c r="CP16">
        <v>397</v>
      </c>
      <c r="CQ16">
        <v>288</v>
      </c>
      <c r="CR16">
        <v>156.6</v>
      </c>
      <c r="CS16" t="s">
        <v>1752</v>
      </c>
      <c r="CV16" t="s">
        <v>341</v>
      </c>
      <c r="CX16" t="s">
        <v>342</v>
      </c>
      <c r="CY16" t="s">
        <v>169</v>
      </c>
      <c r="DC16" t="s">
        <v>1790</v>
      </c>
      <c r="DD16">
        <v>2</v>
      </c>
      <c r="DE16" t="s">
        <v>404</v>
      </c>
      <c r="DF16" t="s">
        <v>1747</v>
      </c>
      <c r="DG16" t="s">
        <v>1791</v>
      </c>
      <c r="DL16" t="s">
        <v>170</v>
      </c>
      <c r="DM16" t="s">
        <v>169</v>
      </c>
      <c r="DP16" t="s">
        <v>170</v>
      </c>
      <c r="DQ16" t="s">
        <v>187</v>
      </c>
      <c r="EA16" s="101"/>
      <c r="EB16">
        <v>9</v>
      </c>
      <c r="EC16">
        <v>10</v>
      </c>
      <c r="EE16" t="s">
        <v>1792</v>
      </c>
      <c r="EF16">
        <v>10</v>
      </c>
      <c r="EU16">
        <v>3750</v>
      </c>
      <c r="EW16">
        <v>0</v>
      </c>
      <c r="EX16">
        <v>0</v>
      </c>
      <c r="EY16">
        <v>0</v>
      </c>
      <c r="FA16">
        <v>16</v>
      </c>
      <c r="FG16">
        <v>237</v>
      </c>
      <c r="FH16">
        <v>249</v>
      </c>
      <c r="FI16">
        <v>242</v>
      </c>
    </row>
    <row r="17" spans="1:165" x14ac:dyDescent="0.35">
      <c r="A17" s="25"/>
      <c r="B17" s="25"/>
      <c r="C17" s="25"/>
      <c r="D17" s="25"/>
      <c r="E17" s="25"/>
      <c r="F17" s="25" t="str">
        <f>_xlfn.CONCAT($A18," ",$B18," ",$D18)</f>
        <v>2025 Volkswagen Group of SQ8 Sportback e-tron (20in wheels)</v>
      </c>
      <c r="G17" s="25"/>
      <c r="H17" s="25"/>
      <c r="I17" s="25"/>
      <c r="J17" s="25"/>
      <c r="K17" s="25"/>
      <c r="L17" s="25"/>
      <c r="M17" s="25"/>
      <c r="N17" s="25"/>
      <c r="O17" s="25"/>
      <c r="P17" s="25"/>
      <c r="Q17" s="25"/>
      <c r="R17" s="25"/>
      <c r="S17" s="25"/>
      <c r="T17" s="25"/>
      <c r="U17" s="25"/>
      <c r="V17" s="25"/>
      <c r="W17" s="25"/>
      <c r="X17" s="25"/>
      <c r="Y17" s="25"/>
      <c r="Z17" s="25"/>
      <c r="AA17" s="25"/>
      <c r="AB17" s="25"/>
      <c r="AC17" s="25"/>
      <c r="AD17" s="25" t="str">
        <f>_xlfn.CONCAT($A18," ",$B18," ",$D18)</f>
        <v>2025 Volkswagen Group of SQ8 Sportback e-tron (20in wheels)</v>
      </c>
      <c r="AE17" s="25"/>
      <c r="AF17" s="25"/>
      <c r="AG17" s="25"/>
      <c r="AH17" s="25"/>
      <c r="AI17" s="25"/>
      <c r="AJ17" s="25"/>
      <c r="AK17" s="25"/>
      <c r="AL17" s="25"/>
      <c r="AM17" s="25"/>
      <c r="AN17" s="25"/>
      <c r="AO17" s="25"/>
      <c r="AP17" s="25"/>
      <c r="AQ17" s="25"/>
      <c r="AR17" s="25"/>
      <c r="AS17" s="25"/>
      <c r="AT17" s="25"/>
      <c r="AU17" s="25"/>
      <c r="AV17" s="25"/>
      <c r="AW17" s="25"/>
      <c r="AX17" s="25" t="str">
        <f>_xlfn.CONCAT($A18," ",$B18," ",$D18)</f>
        <v>2025 Volkswagen Group of SQ8 Sportback e-tron (20in wheels)</v>
      </c>
      <c r="AY17" s="25"/>
      <c r="AZ17" s="25"/>
      <c r="BA17" s="25"/>
      <c r="BB17" s="25"/>
      <c r="BC17" s="25"/>
      <c r="BD17" s="25"/>
      <c r="BE17" s="25"/>
      <c r="BF17" s="25"/>
      <c r="BG17" s="25"/>
      <c r="BH17" s="25"/>
      <c r="BI17" s="25"/>
      <c r="BJ17" s="25"/>
      <c r="BK17" s="25"/>
      <c r="BL17" s="25"/>
      <c r="BM17" s="25"/>
      <c r="BN17" s="25"/>
      <c r="BO17" s="25"/>
      <c r="BP17" s="25"/>
      <c r="BQ17" s="25"/>
      <c r="BR17" s="25" t="str">
        <f>_xlfn.CONCAT($A18," ",$B18," ",$D18)</f>
        <v>2025 Volkswagen Group of SQ8 Sportback e-tron (20in wheels)</v>
      </c>
      <c r="BS17" s="25"/>
      <c r="BT17" s="25"/>
      <c r="BU17" s="25"/>
      <c r="BV17" s="25"/>
      <c r="BW17" s="153"/>
      <c r="BX17" s="25"/>
      <c r="BY17" s="25"/>
      <c r="BZ17" s="25"/>
      <c r="CA17" s="25"/>
      <c r="CB17" s="25"/>
      <c r="CC17" s="25"/>
      <c r="CD17" s="25"/>
      <c r="CE17" s="25"/>
      <c r="CF17" s="25"/>
      <c r="CG17" s="25"/>
      <c r="CH17" s="25"/>
      <c r="CI17" s="25"/>
      <c r="CJ17" s="25"/>
      <c r="CK17" s="25"/>
      <c r="CL17" s="25"/>
      <c r="CM17" s="25"/>
      <c r="CN17" s="25"/>
      <c r="CO17" s="25"/>
      <c r="CP17" s="25" t="str">
        <f>_xlfn.CONCAT($A18," ",$B18," ",$D18)</f>
        <v>2025 Volkswagen Group of SQ8 Sportback e-tron (20in wheels)</v>
      </c>
      <c r="CQ17" s="25"/>
      <c r="CR17" s="25"/>
      <c r="CS17" s="25"/>
      <c r="CT17" s="25"/>
      <c r="CU17" s="25"/>
      <c r="CV17" s="25"/>
      <c r="CW17" s="25"/>
      <c r="CX17" s="25"/>
      <c r="CY17" s="25"/>
      <c r="CZ17" s="25"/>
      <c r="DA17" s="25"/>
      <c r="DB17" s="25"/>
      <c r="DC17" s="25"/>
      <c r="DD17" s="25"/>
      <c r="DE17" s="25"/>
      <c r="DF17" s="25"/>
      <c r="DG17" s="25"/>
      <c r="DH17" s="25"/>
      <c r="DI17" s="25" t="str">
        <f>_xlfn.CONCAT($A18," ",$B18," ",$D18)</f>
        <v>2025 Volkswagen Group of SQ8 Sportback e-tron (20in wheels)</v>
      </c>
      <c r="DJ17" s="25"/>
      <c r="DK17" s="25"/>
      <c r="DL17" s="25"/>
      <c r="DM17" s="25"/>
      <c r="DN17" s="25"/>
      <c r="DO17" s="25"/>
      <c r="DP17" s="25"/>
      <c r="DQ17" s="25"/>
      <c r="DR17" s="25"/>
      <c r="DS17" s="25"/>
      <c r="DT17" s="25"/>
      <c r="DU17" s="25"/>
      <c r="DV17" s="25"/>
      <c r="DW17" s="25"/>
      <c r="DX17" s="25"/>
      <c r="DY17" s="25"/>
      <c r="DZ17" s="25" t="str">
        <f>_xlfn.CONCAT($A18," ",$B18," ",$D18)</f>
        <v>2025 Volkswagen Group of SQ8 Sportback e-tron (20in wheels)</v>
      </c>
      <c r="EA17" s="89"/>
      <c r="EB17" s="25"/>
      <c r="EC17" s="25"/>
      <c r="ED17" s="25"/>
      <c r="EE17" s="25"/>
      <c r="EF17" s="25"/>
      <c r="EG17" s="25"/>
      <c r="EH17" s="25"/>
      <c r="EI17" s="25"/>
      <c r="EJ17" s="25"/>
      <c r="EK17" s="25"/>
      <c r="EL17" s="25"/>
      <c r="EM17" s="25"/>
      <c r="EN17" s="25"/>
      <c r="EO17" s="25"/>
      <c r="EP17" s="25"/>
      <c r="EQ17" s="25"/>
      <c r="ER17" s="25"/>
      <c r="ES17" s="25"/>
      <c r="ET17" s="25"/>
      <c r="EU17" s="25"/>
      <c r="EV17" s="25" t="str">
        <f>_xlfn.CONCAT($A18," ",$B18," ",$D18)</f>
        <v>2025 Volkswagen Group of SQ8 Sportback e-tron (20in wheels)</v>
      </c>
      <c r="EW17" s="25"/>
      <c r="EX17" s="25"/>
      <c r="EY17" s="25"/>
      <c r="EZ17" s="25"/>
      <c r="FA17" s="25"/>
      <c r="FB17" s="25"/>
      <c r="FC17" s="25"/>
      <c r="FD17" s="25"/>
      <c r="FE17" s="25"/>
      <c r="FF17" s="25"/>
      <c r="FG17" s="25"/>
    </row>
    <row r="18" spans="1:165" x14ac:dyDescent="0.35">
      <c r="A18">
        <v>2025</v>
      </c>
      <c r="B18" t="s">
        <v>205</v>
      </c>
      <c r="C18" t="s">
        <v>385</v>
      </c>
      <c r="D18" t="s">
        <v>1794</v>
      </c>
      <c r="E18" t="s">
        <v>208</v>
      </c>
      <c r="F18">
        <v>355</v>
      </c>
      <c r="G18">
        <v>0</v>
      </c>
      <c r="I18" t="s">
        <v>1734</v>
      </c>
      <c r="J18">
        <v>68</v>
      </c>
      <c r="K18">
        <v>72</v>
      </c>
      <c r="L18">
        <v>70</v>
      </c>
      <c r="M18">
        <v>93.298299999999998</v>
      </c>
      <c r="N18">
        <v>98.039699999999996</v>
      </c>
      <c r="O18">
        <v>95.373900000000006</v>
      </c>
      <c r="P18">
        <v>68.478099999999998</v>
      </c>
      <c r="Q18">
        <v>71.958200000000005</v>
      </c>
      <c r="R18">
        <v>70.001599999999996</v>
      </c>
      <c r="V18" t="s">
        <v>167</v>
      </c>
      <c r="W18" t="s">
        <v>168</v>
      </c>
      <c r="X18" t="s">
        <v>1745</v>
      </c>
      <c r="Y18">
        <v>1</v>
      </c>
      <c r="Z18" t="s">
        <v>170</v>
      </c>
      <c r="AA18" t="s">
        <v>170</v>
      </c>
      <c r="AB18" t="s">
        <v>167</v>
      </c>
      <c r="AC18" t="s">
        <v>213</v>
      </c>
      <c r="AF18">
        <v>242</v>
      </c>
      <c r="AG18" t="s">
        <v>1735</v>
      </c>
      <c r="AH18" t="s">
        <v>1736</v>
      </c>
      <c r="AI18" t="s">
        <v>175</v>
      </c>
      <c r="AJ18" t="s">
        <v>176</v>
      </c>
      <c r="AK18" t="s">
        <v>940</v>
      </c>
      <c r="AL18" t="s">
        <v>941</v>
      </c>
      <c r="AS18">
        <v>1150</v>
      </c>
      <c r="AT18">
        <v>1150</v>
      </c>
      <c r="BQ18">
        <v>33</v>
      </c>
      <c r="BR18" t="s">
        <v>1497</v>
      </c>
      <c r="BT18" t="s">
        <v>1769</v>
      </c>
      <c r="BU18" s="1">
        <v>45464</v>
      </c>
      <c r="BV18">
        <v>35096</v>
      </c>
      <c r="BW18" s="154"/>
      <c r="BX18" t="s">
        <v>170</v>
      </c>
      <c r="BY18" t="s">
        <v>170</v>
      </c>
      <c r="CB18" t="s">
        <v>170</v>
      </c>
      <c r="CC18" t="s">
        <v>170</v>
      </c>
      <c r="CK18" t="s">
        <v>233</v>
      </c>
      <c r="CM18">
        <v>36</v>
      </c>
      <c r="CN18" t="s">
        <v>234</v>
      </c>
      <c r="CP18">
        <v>397</v>
      </c>
      <c r="CQ18">
        <v>288</v>
      </c>
      <c r="CR18">
        <v>156.6</v>
      </c>
      <c r="CS18" t="s">
        <v>1752</v>
      </c>
      <c r="CV18" t="s">
        <v>341</v>
      </c>
      <c r="CX18" t="s">
        <v>342</v>
      </c>
      <c r="CY18" t="s">
        <v>169</v>
      </c>
      <c r="DC18" t="s">
        <v>1790</v>
      </c>
      <c r="DD18">
        <v>2</v>
      </c>
      <c r="DE18" t="s">
        <v>404</v>
      </c>
      <c r="DF18" t="s">
        <v>1747</v>
      </c>
      <c r="DG18" t="s">
        <v>1791</v>
      </c>
      <c r="DL18" t="s">
        <v>170</v>
      </c>
      <c r="DM18" t="s">
        <v>169</v>
      </c>
      <c r="DP18" t="s">
        <v>170</v>
      </c>
      <c r="DQ18" t="s">
        <v>187</v>
      </c>
      <c r="EA18" s="101"/>
      <c r="EB18">
        <v>9</v>
      </c>
      <c r="EC18">
        <v>10</v>
      </c>
      <c r="EE18" t="s">
        <v>1792</v>
      </c>
      <c r="EF18">
        <v>10</v>
      </c>
      <c r="EU18">
        <v>3750</v>
      </c>
      <c r="EW18">
        <v>0</v>
      </c>
      <c r="EX18">
        <v>0</v>
      </c>
      <c r="EY18">
        <v>0</v>
      </c>
      <c r="FA18">
        <v>16</v>
      </c>
      <c r="FG18">
        <v>237</v>
      </c>
      <c r="FH18">
        <v>249</v>
      </c>
      <c r="FI18">
        <v>242</v>
      </c>
    </row>
    <row r="19" spans="1:165" x14ac:dyDescent="0.35">
      <c r="A19">
        <v>2025</v>
      </c>
      <c r="B19" t="s">
        <v>205</v>
      </c>
      <c r="C19" t="s">
        <v>385</v>
      </c>
      <c r="D19" t="s">
        <v>1794</v>
      </c>
      <c r="E19" t="s">
        <v>208</v>
      </c>
      <c r="F19">
        <v>355</v>
      </c>
      <c r="G19">
        <v>0</v>
      </c>
      <c r="I19" t="s">
        <v>1734</v>
      </c>
      <c r="J19">
        <v>49</v>
      </c>
      <c r="K19">
        <v>47</v>
      </c>
      <c r="L19">
        <v>48</v>
      </c>
      <c r="M19">
        <v>36.119300000000003</v>
      </c>
      <c r="N19">
        <v>34.375599999999999</v>
      </c>
      <c r="O19">
        <v>35.334600000000002</v>
      </c>
      <c r="P19">
        <v>49.220100000000002</v>
      </c>
      <c r="Q19">
        <v>46.839700000000001</v>
      </c>
      <c r="R19">
        <v>48.148899999999998</v>
      </c>
      <c r="V19" t="s">
        <v>167</v>
      </c>
      <c r="W19" t="s">
        <v>168</v>
      </c>
      <c r="X19" t="s">
        <v>1745</v>
      </c>
      <c r="Y19">
        <v>1</v>
      </c>
      <c r="Z19" t="s">
        <v>170</v>
      </c>
      <c r="AA19" t="s">
        <v>170</v>
      </c>
      <c r="AB19" t="s">
        <v>167</v>
      </c>
      <c r="AC19" t="s">
        <v>213</v>
      </c>
      <c r="AF19">
        <v>242</v>
      </c>
      <c r="AG19" t="s">
        <v>1735</v>
      </c>
      <c r="AH19" t="s">
        <v>1736</v>
      </c>
      <c r="AI19" t="s">
        <v>1742</v>
      </c>
      <c r="AJ19" t="s">
        <v>1743</v>
      </c>
      <c r="AK19" t="s">
        <v>940</v>
      </c>
      <c r="AL19" t="s">
        <v>941</v>
      </c>
      <c r="AS19">
        <v>1150</v>
      </c>
      <c r="AT19">
        <v>1150</v>
      </c>
      <c r="BQ19">
        <v>33</v>
      </c>
      <c r="BR19" t="s">
        <v>1497</v>
      </c>
      <c r="BT19" t="s">
        <v>1769</v>
      </c>
      <c r="BU19" s="1">
        <v>45464</v>
      </c>
      <c r="BV19">
        <v>35096</v>
      </c>
      <c r="BW19" s="154"/>
      <c r="BX19" t="s">
        <v>170</v>
      </c>
      <c r="BY19" t="s">
        <v>170</v>
      </c>
      <c r="CB19" t="s">
        <v>170</v>
      </c>
      <c r="CC19" t="s">
        <v>170</v>
      </c>
      <c r="CK19" t="s">
        <v>233</v>
      </c>
      <c r="CM19">
        <v>36</v>
      </c>
      <c r="CN19" t="s">
        <v>234</v>
      </c>
      <c r="CP19">
        <v>397</v>
      </c>
      <c r="CQ19">
        <v>288</v>
      </c>
      <c r="CR19">
        <v>156.6</v>
      </c>
      <c r="CS19" t="s">
        <v>1752</v>
      </c>
      <c r="CV19" t="s">
        <v>341</v>
      </c>
      <c r="CX19" t="s">
        <v>342</v>
      </c>
      <c r="CY19" t="s">
        <v>169</v>
      </c>
      <c r="DC19" t="s">
        <v>1790</v>
      </c>
      <c r="DD19">
        <v>2</v>
      </c>
      <c r="DE19" t="s">
        <v>404</v>
      </c>
      <c r="DF19" t="s">
        <v>1747</v>
      </c>
      <c r="DG19" t="s">
        <v>1791</v>
      </c>
      <c r="DL19" t="s">
        <v>170</v>
      </c>
      <c r="DM19" t="s">
        <v>169</v>
      </c>
      <c r="DP19" t="s">
        <v>170</v>
      </c>
      <c r="DQ19" t="s">
        <v>187</v>
      </c>
      <c r="EA19" s="101"/>
      <c r="EB19">
        <v>9</v>
      </c>
      <c r="EC19">
        <v>10</v>
      </c>
      <c r="EE19" t="s">
        <v>1792</v>
      </c>
      <c r="EF19">
        <v>10</v>
      </c>
      <c r="EU19">
        <v>3750</v>
      </c>
      <c r="EW19">
        <v>0</v>
      </c>
      <c r="EX19">
        <v>0</v>
      </c>
      <c r="EY19">
        <v>0</v>
      </c>
      <c r="FA19">
        <v>16</v>
      </c>
      <c r="FG19">
        <v>237</v>
      </c>
      <c r="FH19">
        <v>249</v>
      </c>
      <c r="FI19">
        <v>242</v>
      </c>
    </row>
    <row r="20" spans="1:165" x14ac:dyDescent="0.35">
      <c r="A20" s="25"/>
      <c r="B20" s="25"/>
      <c r="C20" s="25"/>
      <c r="D20" s="25"/>
      <c r="E20" s="25"/>
      <c r="F20" s="25" t="str">
        <f>_xlfn.CONCAT($A21," ",$B21," ",$D21)</f>
        <v>2025 Volkswagen Group of SQ8 e-tron (21/22in wheels)</v>
      </c>
      <c r="G20" s="25"/>
      <c r="H20" s="25"/>
      <c r="I20" s="25"/>
      <c r="J20" s="25"/>
      <c r="K20" s="25"/>
      <c r="L20" s="25"/>
      <c r="M20" s="25"/>
      <c r="N20" s="25"/>
      <c r="O20" s="25"/>
      <c r="P20" s="25"/>
      <c r="Q20" s="25"/>
      <c r="R20" s="25"/>
      <c r="S20" s="25"/>
      <c r="T20" s="25"/>
      <c r="U20" s="25"/>
      <c r="V20" s="25"/>
      <c r="W20" s="25"/>
      <c r="X20" s="25"/>
      <c r="Y20" s="25"/>
      <c r="Z20" s="25"/>
      <c r="AA20" s="25"/>
      <c r="AB20" s="25"/>
      <c r="AC20" s="25"/>
      <c r="AD20" s="25" t="str">
        <f>_xlfn.CONCAT($A21," ",$B21," ",$D21)</f>
        <v>2025 Volkswagen Group of SQ8 e-tron (21/22in wheels)</v>
      </c>
      <c r="AE20" s="25"/>
      <c r="AF20" s="25"/>
      <c r="AG20" s="25"/>
      <c r="AH20" s="25"/>
      <c r="AI20" s="25"/>
      <c r="AJ20" s="25"/>
      <c r="AK20" s="25"/>
      <c r="AL20" s="25"/>
      <c r="AM20" s="25"/>
      <c r="AN20" s="25"/>
      <c r="AO20" s="25"/>
      <c r="AP20" s="25"/>
      <c r="AQ20" s="25"/>
      <c r="AR20" s="25"/>
      <c r="AS20" s="25"/>
      <c r="AT20" s="25"/>
      <c r="AU20" s="25"/>
      <c r="AV20" s="25"/>
      <c r="AW20" s="25"/>
      <c r="AX20" s="25" t="str">
        <f>_xlfn.CONCAT($A21," ",$B21," ",$D21)</f>
        <v>2025 Volkswagen Group of SQ8 e-tron (21/22in wheels)</v>
      </c>
      <c r="AY20" s="25"/>
      <c r="AZ20" s="25"/>
      <c r="BA20" s="25"/>
      <c r="BB20" s="25"/>
      <c r="BC20" s="25"/>
      <c r="BD20" s="25"/>
      <c r="BE20" s="25"/>
      <c r="BF20" s="25"/>
      <c r="BG20" s="25"/>
      <c r="BH20" s="25"/>
      <c r="BI20" s="25"/>
      <c r="BJ20" s="25"/>
      <c r="BK20" s="25"/>
      <c r="BL20" s="25"/>
      <c r="BM20" s="25"/>
      <c r="BN20" s="25"/>
      <c r="BO20" s="25"/>
      <c r="BP20" s="25"/>
      <c r="BQ20" s="25"/>
      <c r="BR20" s="25" t="str">
        <f>_xlfn.CONCAT($A21," ",$B21," ",$D21)</f>
        <v>2025 Volkswagen Group of SQ8 e-tron (21/22in wheels)</v>
      </c>
      <c r="BS20" s="25"/>
      <c r="BT20" s="25"/>
      <c r="BU20" s="25"/>
      <c r="BV20" s="25"/>
      <c r="BW20" s="153"/>
      <c r="BX20" s="25"/>
      <c r="BY20" s="25"/>
      <c r="BZ20" s="25"/>
      <c r="CA20" s="25"/>
      <c r="CB20" s="25"/>
      <c r="CC20" s="25"/>
      <c r="CD20" s="25"/>
      <c r="CE20" s="25"/>
      <c r="CF20" s="25"/>
      <c r="CG20" s="25"/>
      <c r="CH20" s="25"/>
      <c r="CI20" s="25"/>
      <c r="CJ20" s="25"/>
      <c r="CK20" s="25"/>
      <c r="CL20" s="25"/>
      <c r="CM20" s="25"/>
      <c r="CN20" s="25"/>
      <c r="CO20" s="25"/>
      <c r="CP20" s="25" t="str">
        <f>_xlfn.CONCAT($A21," ",$B21," ",$D21)</f>
        <v>2025 Volkswagen Group of SQ8 e-tron (21/22in wheels)</v>
      </c>
      <c r="CQ20" s="25"/>
      <c r="CR20" s="25"/>
      <c r="CS20" s="25"/>
      <c r="CT20" s="25"/>
      <c r="CU20" s="25"/>
      <c r="CV20" s="25"/>
      <c r="CW20" s="25"/>
      <c r="CX20" s="25"/>
      <c r="CY20" s="25"/>
      <c r="CZ20" s="25"/>
      <c r="DA20" s="25"/>
      <c r="DB20" s="25"/>
      <c r="DC20" s="25"/>
      <c r="DD20" s="25"/>
      <c r="DE20" s="25"/>
      <c r="DF20" s="25"/>
      <c r="DG20" s="25"/>
      <c r="DH20" s="25"/>
      <c r="DI20" s="25" t="str">
        <f>_xlfn.CONCAT($A21," ",$B21," ",$D21)</f>
        <v>2025 Volkswagen Group of SQ8 e-tron (21/22in wheels)</v>
      </c>
      <c r="DJ20" s="25"/>
      <c r="DK20" s="25"/>
      <c r="DL20" s="25"/>
      <c r="DM20" s="25"/>
      <c r="DN20" s="25"/>
      <c r="DO20" s="25"/>
      <c r="DP20" s="25"/>
      <c r="DQ20" s="25"/>
      <c r="DR20" s="25"/>
      <c r="DS20" s="25"/>
      <c r="DT20" s="25"/>
      <c r="DU20" s="25"/>
      <c r="DV20" s="25"/>
      <c r="DW20" s="25"/>
      <c r="DX20" s="25"/>
      <c r="DY20" s="25"/>
      <c r="DZ20" s="25" t="str">
        <f>_xlfn.CONCAT($A21," ",$B21," ",$D21)</f>
        <v>2025 Volkswagen Group of SQ8 e-tron (21/22in wheels)</v>
      </c>
      <c r="EA20" s="89"/>
      <c r="EB20" s="25"/>
      <c r="EC20" s="25"/>
      <c r="ED20" s="25"/>
      <c r="EE20" s="25"/>
      <c r="EF20" s="25"/>
      <c r="EG20" s="25"/>
      <c r="EH20" s="25"/>
      <c r="EI20" s="25"/>
      <c r="EJ20" s="25"/>
      <c r="EK20" s="25"/>
      <c r="EL20" s="25"/>
      <c r="EM20" s="25"/>
      <c r="EN20" s="25"/>
      <c r="EO20" s="25"/>
      <c r="EP20" s="25"/>
      <c r="EQ20" s="25"/>
      <c r="ER20" s="25"/>
      <c r="ES20" s="25"/>
      <c r="ET20" s="25"/>
      <c r="EU20" s="25"/>
      <c r="EV20" s="25" t="str">
        <f>_xlfn.CONCAT($A21," ",$B21," ",$D21)</f>
        <v>2025 Volkswagen Group of SQ8 e-tron (21/22in wheels)</v>
      </c>
      <c r="EW20" s="25"/>
      <c r="EX20" s="25"/>
      <c r="EY20" s="25"/>
      <c r="EZ20" s="25"/>
      <c r="FA20" s="25"/>
      <c r="FB20" s="25"/>
      <c r="FC20" s="25"/>
      <c r="FD20" s="25"/>
      <c r="FE20" s="25"/>
      <c r="FF20" s="25"/>
      <c r="FG20" s="25"/>
    </row>
    <row r="21" spans="1:165" x14ac:dyDescent="0.35">
      <c r="A21">
        <v>2025</v>
      </c>
      <c r="B21" t="s">
        <v>205</v>
      </c>
      <c r="C21" t="s">
        <v>385</v>
      </c>
      <c r="D21" t="s">
        <v>1793</v>
      </c>
      <c r="E21" t="s">
        <v>208</v>
      </c>
      <c r="F21">
        <v>356</v>
      </c>
      <c r="G21">
        <v>0</v>
      </c>
      <c r="I21" t="s">
        <v>1734</v>
      </c>
      <c r="J21">
        <v>59</v>
      </c>
      <c r="K21">
        <v>60</v>
      </c>
      <c r="L21">
        <v>60</v>
      </c>
      <c r="M21">
        <v>81.006</v>
      </c>
      <c r="N21">
        <v>82.395799999999994</v>
      </c>
      <c r="O21">
        <v>81.625600000000006</v>
      </c>
      <c r="P21">
        <v>59.456000000000003</v>
      </c>
      <c r="Q21">
        <v>60.475999999999999</v>
      </c>
      <c r="R21">
        <v>59.910699999999999</v>
      </c>
      <c r="V21" t="s">
        <v>167</v>
      </c>
      <c r="W21" t="s">
        <v>168</v>
      </c>
      <c r="X21" t="s">
        <v>1745</v>
      </c>
      <c r="Y21">
        <v>1</v>
      </c>
      <c r="Z21" t="s">
        <v>170</v>
      </c>
      <c r="AA21" t="s">
        <v>170</v>
      </c>
      <c r="AB21" t="s">
        <v>167</v>
      </c>
      <c r="AC21" t="s">
        <v>213</v>
      </c>
      <c r="AF21">
        <v>208</v>
      </c>
      <c r="AG21" t="s">
        <v>1735</v>
      </c>
      <c r="AH21" t="s">
        <v>1736</v>
      </c>
      <c r="AI21" t="s">
        <v>175</v>
      </c>
      <c r="AJ21" t="s">
        <v>176</v>
      </c>
      <c r="AK21" t="s">
        <v>940</v>
      </c>
      <c r="AL21" t="s">
        <v>941</v>
      </c>
      <c r="AS21">
        <v>1350</v>
      </c>
      <c r="AT21">
        <v>1350</v>
      </c>
      <c r="BQ21">
        <v>33</v>
      </c>
      <c r="BR21" t="s">
        <v>1497</v>
      </c>
      <c r="BT21" t="s">
        <v>1769</v>
      </c>
      <c r="BU21" s="1">
        <v>45471</v>
      </c>
      <c r="BV21">
        <v>34996</v>
      </c>
      <c r="BW21" s="154"/>
      <c r="BX21" t="s">
        <v>170</v>
      </c>
      <c r="BY21" t="s">
        <v>170</v>
      </c>
      <c r="CB21" t="s">
        <v>170</v>
      </c>
      <c r="CC21" t="s">
        <v>170</v>
      </c>
      <c r="CK21" t="s">
        <v>233</v>
      </c>
      <c r="CM21">
        <v>36</v>
      </c>
      <c r="CN21" t="s">
        <v>234</v>
      </c>
      <c r="CP21">
        <v>397</v>
      </c>
      <c r="CQ21">
        <v>288</v>
      </c>
      <c r="CR21">
        <v>156.6</v>
      </c>
      <c r="CS21" t="s">
        <v>1752</v>
      </c>
      <c r="CV21" t="s">
        <v>341</v>
      </c>
      <c r="CX21" t="s">
        <v>342</v>
      </c>
      <c r="CY21" t="s">
        <v>169</v>
      </c>
      <c r="DC21" t="s">
        <v>1790</v>
      </c>
      <c r="DD21">
        <v>2</v>
      </c>
      <c r="DE21" t="s">
        <v>404</v>
      </c>
      <c r="DF21" t="s">
        <v>1747</v>
      </c>
      <c r="DG21" t="s">
        <v>1791</v>
      </c>
      <c r="DL21" t="s">
        <v>170</v>
      </c>
      <c r="DM21" t="s">
        <v>169</v>
      </c>
      <c r="DP21" t="s">
        <v>170</v>
      </c>
      <c r="DQ21" t="s">
        <v>187</v>
      </c>
      <c r="EA21" s="112"/>
      <c r="EB21">
        <v>10</v>
      </c>
      <c r="EC21">
        <v>10</v>
      </c>
      <c r="EE21" t="s">
        <v>1792</v>
      </c>
      <c r="EF21">
        <v>10</v>
      </c>
      <c r="EU21">
        <v>2750</v>
      </c>
      <c r="EW21">
        <v>0</v>
      </c>
      <c r="EX21">
        <v>0</v>
      </c>
      <c r="EY21">
        <v>0</v>
      </c>
      <c r="FA21">
        <v>16</v>
      </c>
      <c r="FG21">
        <v>206</v>
      </c>
      <c r="FH21">
        <v>210</v>
      </c>
      <c r="FI21">
        <v>208</v>
      </c>
    </row>
    <row r="22" spans="1:165" x14ac:dyDescent="0.35">
      <c r="A22">
        <v>2025</v>
      </c>
      <c r="B22" t="s">
        <v>205</v>
      </c>
      <c r="C22" t="s">
        <v>385</v>
      </c>
      <c r="D22" t="s">
        <v>1793</v>
      </c>
      <c r="E22" t="s">
        <v>208</v>
      </c>
      <c r="F22">
        <v>356</v>
      </c>
      <c r="G22">
        <v>0</v>
      </c>
      <c r="I22" t="s">
        <v>1734</v>
      </c>
      <c r="J22">
        <v>57</v>
      </c>
      <c r="K22">
        <v>56</v>
      </c>
      <c r="L22">
        <v>56</v>
      </c>
      <c r="M22">
        <v>41.596899999999998</v>
      </c>
      <c r="N22">
        <v>40.921700000000001</v>
      </c>
      <c r="O22">
        <v>41.293100000000003</v>
      </c>
      <c r="P22">
        <v>56.689</v>
      </c>
      <c r="Q22">
        <v>55.732799999999997</v>
      </c>
      <c r="R22">
        <v>56.258699999999997</v>
      </c>
      <c r="V22" t="s">
        <v>167</v>
      </c>
      <c r="W22" t="s">
        <v>168</v>
      </c>
      <c r="X22" t="s">
        <v>1745</v>
      </c>
      <c r="Y22">
        <v>1</v>
      </c>
      <c r="Z22" t="s">
        <v>170</v>
      </c>
      <c r="AA22" t="s">
        <v>170</v>
      </c>
      <c r="AB22" t="s">
        <v>167</v>
      </c>
      <c r="AC22" t="s">
        <v>213</v>
      </c>
      <c r="AF22">
        <v>208</v>
      </c>
      <c r="AG22" t="s">
        <v>1735</v>
      </c>
      <c r="AH22" t="s">
        <v>1736</v>
      </c>
      <c r="AI22" t="s">
        <v>1742</v>
      </c>
      <c r="AJ22" t="s">
        <v>1743</v>
      </c>
      <c r="AK22" t="s">
        <v>940</v>
      </c>
      <c r="AL22" t="s">
        <v>941</v>
      </c>
      <c r="AS22">
        <v>1350</v>
      </c>
      <c r="AT22">
        <v>1350</v>
      </c>
      <c r="BQ22">
        <v>33</v>
      </c>
      <c r="BR22" t="s">
        <v>1497</v>
      </c>
      <c r="BT22" t="s">
        <v>1769</v>
      </c>
      <c r="BU22" s="1">
        <v>45471</v>
      </c>
      <c r="BV22">
        <v>34996</v>
      </c>
      <c r="BW22" s="154"/>
      <c r="BX22" t="s">
        <v>170</v>
      </c>
      <c r="BY22" t="s">
        <v>170</v>
      </c>
      <c r="CB22" t="s">
        <v>170</v>
      </c>
      <c r="CC22" t="s">
        <v>170</v>
      </c>
      <c r="CK22" t="s">
        <v>233</v>
      </c>
      <c r="CM22">
        <v>36</v>
      </c>
      <c r="CN22" t="s">
        <v>234</v>
      </c>
      <c r="CP22">
        <v>397</v>
      </c>
      <c r="CQ22">
        <v>288</v>
      </c>
      <c r="CR22">
        <v>156.6</v>
      </c>
      <c r="CS22" t="s">
        <v>1752</v>
      </c>
      <c r="CV22" t="s">
        <v>341</v>
      </c>
      <c r="CX22" t="s">
        <v>342</v>
      </c>
      <c r="CY22" t="s">
        <v>169</v>
      </c>
      <c r="DC22" t="s">
        <v>1790</v>
      </c>
      <c r="DD22">
        <v>2</v>
      </c>
      <c r="DE22" t="s">
        <v>404</v>
      </c>
      <c r="DF22" t="s">
        <v>1747</v>
      </c>
      <c r="DG22" t="s">
        <v>1791</v>
      </c>
      <c r="DL22" t="s">
        <v>170</v>
      </c>
      <c r="DM22" t="s">
        <v>169</v>
      </c>
      <c r="DP22" t="s">
        <v>170</v>
      </c>
      <c r="DQ22" t="s">
        <v>187</v>
      </c>
      <c r="EA22" s="112"/>
      <c r="EB22">
        <v>10</v>
      </c>
      <c r="EC22">
        <v>10</v>
      </c>
      <c r="EE22" t="s">
        <v>1792</v>
      </c>
      <c r="EF22">
        <v>10</v>
      </c>
      <c r="EU22">
        <v>2750</v>
      </c>
      <c r="EW22">
        <v>0</v>
      </c>
      <c r="EX22">
        <v>0</v>
      </c>
      <c r="EY22">
        <v>0</v>
      </c>
      <c r="FA22">
        <v>16</v>
      </c>
      <c r="FG22">
        <v>206</v>
      </c>
      <c r="FH22">
        <v>210</v>
      </c>
      <c r="FI22">
        <v>208</v>
      </c>
    </row>
    <row r="23" spans="1:165" x14ac:dyDescent="0.35">
      <c r="A23" s="25"/>
      <c r="B23" s="25"/>
      <c r="C23" s="25"/>
      <c r="D23" s="25"/>
      <c r="E23" s="25"/>
      <c r="F23" s="25" t="str">
        <f>_xlfn.CONCAT($A24," ",$B24," ",$D24)</f>
        <v>2025 Volkswagen Group of SQ8 Sportback e-tron (21/22in wheels)</v>
      </c>
      <c r="G23" s="25"/>
      <c r="H23" s="25"/>
      <c r="I23" s="25"/>
      <c r="J23" s="25"/>
      <c r="K23" s="25"/>
      <c r="L23" s="25"/>
      <c r="M23" s="25"/>
      <c r="N23" s="25"/>
      <c r="O23" s="25"/>
      <c r="P23" s="25"/>
      <c r="Q23" s="25"/>
      <c r="R23" s="25"/>
      <c r="S23" s="25"/>
      <c r="T23" s="25"/>
      <c r="U23" s="25"/>
      <c r="V23" s="25"/>
      <c r="W23" s="25"/>
      <c r="X23" s="25"/>
      <c r="Y23" s="25"/>
      <c r="Z23" s="25"/>
      <c r="AA23" s="25"/>
      <c r="AB23" s="25"/>
      <c r="AC23" s="25"/>
      <c r="AD23" s="25" t="str">
        <f>_xlfn.CONCAT($A24," ",$B24," ",$D24)</f>
        <v>2025 Volkswagen Group of SQ8 Sportback e-tron (21/22in wheels)</v>
      </c>
      <c r="AE23" s="25"/>
      <c r="AF23" s="25"/>
      <c r="AG23" s="25"/>
      <c r="AH23" s="25"/>
      <c r="AI23" s="25"/>
      <c r="AJ23" s="25"/>
      <c r="AK23" s="25"/>
      <c r="AL23" s="25"/>
      <c r="AM23" s="25"/>
      <c r="AN23" s="25"/>
      <c r="AO23" s="25"/>
      <c r="AP23" s="25"/>
      <c r="AQ23" s="25"/>
      <c r="AR23" s="25"/>
      <c r="AS23" s="25"/>
      <c r="AT23" s="25"/>
      <c r="AU23" s="25"/>
      <c r="AV23" s="25"/>
      <c r="AW23" s="25"/>
      <c r="AX23" s="25" t="str">
        <f>_xlfn.CONCAT($A24," ",$B24," ",$D24)</f>
        <v>2025 Volkswagen Group of SQ8 Sportback e-tron (21/22in wheels)</v>
      </c>
      <c r="AY23" s="25"/>
      <c r="AZ23" s="25"/>
      <c r="BA23" s="25"/>
      <c r="BB23" s="25"/>
      <c r="BC23" s="25"/>
      <c r="BD23" s="25"/>
      <c r="BE23" s="25"/>
      <c r="BF23" s="25"/>
      <c r="BG23" s="25"/>
      <c r="BH23" s="25"/>
      <c r="BI23" s="25"/>
      <c r="BJ23" s="25"/>
      <c r="BK23" s="25"/>
      <c r="BL23" s="25"/>
      <c r="BM23" s="25"/>
      <c r="BN23" s="25"/>
      <c r="BO23" s="25"/>
      <c r="BP23" s="25"/>
      <c r="BQ23" s="25"/>
      <c r="BR23" s="25" t="str">
        <f>_xlfn.CONCAT($A24," ",$B24," ",$D24)</f>
        <v>2025 Volkswagen Group of SQ8 Sportback e-tron (21/22in wheels)</v>
      </c>
      <c r="BS23" s="25"/>
      <c r="BT23" s="25"/>
      <c r="BU23" s="25"/>
      <c r="BV23" s="25"/>
      <c r="BW23" s="153"/>
      <c r="BX23" s="25"/>
      <c r="BY23" s="25"/>
      <c r="BZ23" s="25"/>
      <c r="CA23" s="25"/>
      <c r="CB23" s="25"/>
      <c r="CC23" s="25"/>
      <c r="CD23" s="25"/>
      <c r="CE23" s="25"/>
      <c r="CF23" s="25"/>
      <c r="CG23" s="25"/>
      <c r="CH23" s="25"/>
      <c r="CI23" s="25"/>
      <c r="CJ23" s="25"/>
      <c r="CK23" s="25"/>
      <c r="CL23" s="25"/>
      <c r="CM23" s="25"/>
      <c r="CN23" s="25"/>
      <c r="CO23" s="25"/>
      <c r="CP23" s="25" t="str">
        <f>_xlfn.CONCAT($A24," ",$B24," ",$D24)</f>
        <v>2025 Volkswagen Group of SQ8 Sportback e-tron (21/22in wheels)</v>
      </c>
      <c r="CQ23" s="25"/>
      <c r="CR23" s="25"/>
      <c r="CS23" s="25"/>
      <c r="CT23" s="25"/>
      <c r="CU23" s="25"/>
      <c r="CV23" s="25"/>
      <c r="CW23" s="25"/>
      <c r="CX23" s="25"/>
      <c r="CY23" s="25"/>
      <c r="CZ23" s="25"/>
      <c r="DA23" s="25"/>
      <c r="DB23" s="25"/>
      <c r="DC23" s="25"/>
      <c r="DD23" s="25"/>
      <c r="DE23" s="25"/>
      <c r="DF23" s="25"/>
      <c r="DG23" s="25"/>
      <c r="DH23" s="25"/>
      <c r="DI23" s="25" t="str">
        <f>_xlfn.CONCAT($A24," ",$B24," ",$D24)</f>
        <v>2025 Volkswagen Group of SQ8 Sportback e-tron (21/22in wheels)</v>
      </c>
      <c r="DJ23" s="25"/>
      <c r="DK23" s="25"/>
      <c r="DL23" s="25"/>
      <c r="DM23" s="25"/>
      <c r="DN23" s="25"/>
      <c r="DO23" s="25"/>
      <c r="DP23" s="25"/>
      <c r="DQ23" s="25"/>
      <c r="DR23" s="25"/>
      <c r="DS23" s="25"/>
      <c r="DT23" s="25"/>
      <c r="DU23" s="25"/>
      <c r="DV23" s="25"/>
      <c r="DW23" s="25"/>
      <c r="DX23" s="25"/>
      <c r="DY23" s="25"/>
      <c r="DZ23" s="25" t="str">
        <f>_xlfn.CONCAT($A24," ",$B24," ",$D24)</f>
        <v>2025 Volkswagen Group of SQ8 Sportback e-tron (21/22in wheels)</v>
      </c>
      <c r="EA23" s="89"/>
      <c r="EB23" s="25"/>
      <c r="EC23" s="25"/>
      <c r="ED23" s="25"/>
      <c r="EE23" s="25"/>
      <c r="EF23" s="25"/>
      <c r="EG23" s="25"/>
      <c r="EH23" s="25"/>
      <c r="EI23" s="25"/>
      <c r="EJ23" s="25"/>
      <c r="EK23" s="25"/>
      <c r="EL23" s="25"/>
      <c r="EM23" s="25"/>
      <c r="EN23" s="25"/>
      <c r="EO23" s="25"/>
      <c r="EP23" s="25"/>
      <c r="EQ23" s="25"/>
      <c r="ER23" s="25"/>
      <c r="ES23" s="25"/>
      <c r="ET23" s="25"/>
      <c r="EU23" s="25"/>
      <c r="EV23" s="25" t="str">
        <f>_xlfn.CONCAT($A24," ",$B24," ",$D24)</f>
        <v>2025 Volkswagen Group of SQ8 Sportback e-tron (21/22in wheels)</v>
      </c>
      <c r="EW23" s="25"/>
      <c r="EX23" s="25"/>
      <c r="EY23" s="25"/>
      <c r="EZ23" s="25"/>
      <c r="FA23" s="25"/>
      <c r="FB23" s="25"/>
      <c r="FC23" s="25"/>
      <c r="FD23" s="25"/>
      <c r="FE23" s="25"/>
      <c r="FF23" s="25"/>
      <c r="FG23" s="25"/>
    </row>
    <row r="24" spans="1:165" x14ac:dyDescent="0.35">
      <c r="A24">
        <v>2025</v>
      </c>
      <c r="B24" t="s">
        <v>205</v>
      </c>
      <c r="C24" t="s">
        <v>385</v>
      </c>
      <c r="D24" t="s">
        <v>1795</v>
      </c>
      <c r="E24" t="s">
        <v>208</v>
      </c>
      <c r="F24">
        <v>357</v>
      </c>
      <c r="G24">
        <v>0</v>
      </c>
      <c r="I24" t="s">
        <v>1734</v>
      </c>
      <c r="J24">
        <v>59</v>
      </c>
      <c r="K24">
        <v>60</v>
      </c>
      <c r="L24">
        <v>60</v>
      </c>
      <c r="M24">
        <v>81.006</v>
      </c>
      <c r="N24">
        <v>82.395799999999994</v>
      </c>
      <c r="O24">
        <v>81.625600000000006</v>
      </c>
      <c r="P24">
        <v>59.456000000000003</v>
      </c>
      <c r="Q24">
        <v>60.475999999999999</v>
      </c>
      <c r="R24">
        <v>59.910699999999999</v>
      </c>
      <c r="V24" t="s">
        <v>167</v>
      </c>
      <c r="W24" t="s">
        <v>168</v>
      </c>
      <c r="X24" t="s">
        <v>1745</v>
      </c>
      <c r="Y24">
        <v>1</v>
      </c>
      <c r="Z24" t="s">
        <v>170</v>
      </c>
      <c r="AA24" t="s">
        <v>170</v>
      </c>
      <c r="AB24" t="s">
        <v>167</v>
      </c>
      <c r="AC24" t="s">
        <v>213</v>
      </c>
      <c r="AF24">
        <v>208</v>
      </c>
      <c r="AG24" t="s">
        <v>1735</v>
      </c>
      <c r="AH24" t="s">
        <v>1736</v>
      </c>
      <c r="AI24" t="s">
        <v>175</v>
      </c>
      <c r="AJ24" t="s">
        <v>176</v>
      </c>
      <c r="AK24" t="s">
        <v>940</v>
      </c>
      <c r="AL24" t="s">
        <v>941</v>
      </c>
      <c r="AS24">
        <v>1350</v>
      </c>
      <c r="AT24">
        <v>1350</v>
      </c>
      <c r="BQ24">
        <v>33</v>
      </c>
      <c r="BR24" t="s">
        <v>1497</v>
      </c>
      <c r="BT24" t="s">
        <v>1769</v>
      </c>
      <c r="BU24" s="1">
        <v>45471</v>
      </c>
      <c r="BV24">
        <v>34997</v>
      </c>
      <c r="BW24" s="154"/>
      <c r="BX24" t="s">
        <v>170</v>
      </c>
      <c r="BY24" t="s">
        <v>170</v>
      </c>
      <c r="CB24" t="s">
        <v>170</v>
      </c>
      <c r="CC24" t="s">
        <v>170</v>
      </c>
      <c r="CK24" t="s">
        <v>233</v>
      </c>
      <c r="CM24">
        <v>36</v>
      </c>
      <c r="CN24" t="s">
        <v>234</v>
      </c>
      <c r="CP24">
        <v>397</v>
      </c>
      <c r="CQ24">
        <v>288</v>
      </c>
      <c r="CR24">
        <v>156.6</v>
      </c>
      <c r="CS24" t="s">
        <v>1752</v>
      </c>
      <c r="CV24" t="s">
        <v>341</v>
      </c>
      <c r="CX24" t="s">
        <v>342</v>
      </c>
      <c r="CY24" t="s">
        <v>169</v>
      </c>
      <c r="DC24" t="s">
        <v>1790</v>
      </c>
      <c r="DD24">
        <v>2</v>
      </c>
      <c r="DE24" t="s">
        <v>404</v>
      </c>
      <c r="DF24" t="s">
        <v>1747</v>
      </c>
      <c r="DG24" t="s">
        <v>1791</v>
      </c>
      <c r="DL24" t="s">
        <v>170</v>
      </c>
      <c r="DM24" t="s">
        <v>169</v>
      </c>
      <c r="DP24" t="s">
        <v>170</v>
      </c>
      <c r="DQ24" t="s">
        <v>187</v>
      </c>
      <c r="EA24" s="112"/>
      <c r="EB24">
        <v>10</v>
      </c>
      <c r="EC24">
        <v>10</v>
      </c>
      <c r="EE24" t="s">
        <v>1792</v>
      </c>
      <c r="EF24">
        <v>10</v>
      </c>
      <c r="EU24">
        <v>2750</v>
      </c>
      <c r="EW24">
        <v>0</v>
      </c>
      <c r="EX24">
        <v>0</v>
      </c>
      <c r="EY24">
        <v>0</v>
      </c>
      <c r="FA24">
        <v>16</v>
      </c>
      <c r="FG24">
        <v>206</v>
      </c>
      <c r="FH24">
        <v>210</v>
      </c>
      <c r="FI24">
        <v>208</v>
      </c>
    </row>
    <row r="25" spans="1:165" x14ac:dyDescent="0.35">
      <c r="A25">
        <v>2025</v>
      </c>
      <c r="B25" t="s">
        <v>205</v>
      </c>
      <c r="C25" t="s">
        <v>385</v>
      </c>
      <c r="D25" t="s">
        <v>1795</v>
      </c>
      <c r="E25" t="s">
        <v>208</v>
      </c>
      <c r="F25">
        <v>357</v>
      </c>
      <c r="G25">
        <v>0</v>
      </c>
      <c r="I25" t="s">
        <v>1734</v>
      </c>
      <c r="J25">
        <v>57</v>
      </c>
      <c r="K25">
        <v>56</v>
      </c>
      <c r="L25">
        <v>56</v>
      </c>
      <c r="M25">
        <v>41.596899999999998</v>
      </c>
      <c r="N25">
        <v>40.921700000000001</v>
      </c>
      <c r="O25">
        <v>41.293100000000003</v>
      </c>
      <c r="P25">
        <v>56.689</v>
      </c>
      <c r="Q25">
        <v>55.732799999999997</v>
      </c>
      <c r="R25">
        <v>56.258699999999997</v>
      </c>
      <c r="V25" t="s">
        <v>167</v>
      </c>
      <c r="W25" t="s">
        <v>168</v>
      </c>
      <c r="X25" t="s">
        <v>1745</v>
      </c>
      <c r="Y25">
        <v>1</v>
      </c>
      <c r="Z25" t="s">
        <v>170</v>
      </c>
      <c r="AA25" t="s">
        <v>170</v>
      </c>
      <c r="AB25" t="s">
        <v>167</v>
      </c>
      <c r="AC25" t="s">
        <v>213</v>
      </c>
      <c r="AF25">
        <v>208</v>
      </c>
      <c r="AG25" t="s">
        <v>1735</v>
      </c>
      <c r="AH25" t="s">
        <v>1736</v>
      </c>
      <c r="AI25" t="s">
        <v>1742</v>
      </c>
      <c r="AJ25" t="s">
        <v>1743</v>
      </c>
      <c r="AK25" t="s">
        <v>940</v>
      </c>
      <c r="AL25" t="s">
        <v>941</v>
      </c>
      <c r="AS25">
        <v>1350</v>
      </c>
      <c r="AT25">
        <v>1350</v>
      </c>
      <c r="BQ25">
        <v>33</v>
      </c>
      <c r="BR25" t="s">
        <v>1497</v>
      </c>
      <c r="BT25" t="s">
        <v>1769</v>
      </c>
      <c r="BU25" s="1">
        <v>45471</v>
      </c>
      <c r="BV25">
        <v>34997</v>
      </c>
      <c r="BW25" s="154"/>
      <c r="BX25" t="s">
        <v>170</v>
      </c>
      <c r="BY25" t="s">
        <v>170</v>
      </c>
      <c r="CB25" t="s">
        <v>170</v>
      </c>
      <c r="CC25" t="s">
        <v>170</v>
      </c>
      <c r="CK25" t="s">
        <v>233</v>
      </c>
      <c r="CM25">
        <v>36</v>
      </c>
      <c r="CN25" t="s">
        <v>234</v>
      </c>
      <c r="CP25">
        <v>397</v>
      </c>
      <c r="CQ25">
        <v>288</v>
      </c>
      <c r="CR25">
        <v>156.6</v>
      </c>
      <c r="CS25" t="s">
        <v>1752</v>
      </c>
      <c r="CV25" t="s">
        <v>341</v>
      </c>
      <c r="CX25" t="s">
        <v>342</v>
      </c>
      <c r="CY25" t="s">
        <v>169</v>
      </c>
      <c r="DC25" t="s">
        <v>1790</v>
      </c>
      <c r="DD25">
        <v>2</v>
      </c>
      <c r="DE25" t="s">
        <v>404</v>
      </c>
      <c r="DF25" t="s">
        <v>1747</v>
      </c>
      <c r="DG25" t="s">
        <v>1791</v>
      </c>
      <c r="DL25" t="s">
        <v>170</v>
      </c>
      <c r="DM25" t="s">
        <v>169</v>
      </c>
      <c r="DP25" t="s">
        <v>170</v>
      </c>
      <c r="DQ25" t="s">
        <v>187</v>
      </c>
      <c r="EA25" s="112"/>
      <c r="EB25">
        <v>10</v>
      </c>
      <c r="EC25">
        <v>10</v>
      </c>
      <c r="EE25" t="s">
        <v>1792</v>
      </c>
      <c r="EF25">
        <v>10</v>
      </c>
      <c r="EU25">
        <v>2750</v>
      </c>
      <c r="EW25">
        <v>0</v>
      </c>
      <c r="EX25">
        <v>0</v>
      </c>
      <c r="EY25">
        <v>0</v>
      </c>
      <c r="FA25">
        <v>16</v>
      </c>
      <c r="FG25">
        <v>206</v>
      </c>
      <c r="FH25">
        <v>210</v>
      </c>
      <c r="FI25">
        <v>208</v>
      </c>
    </row>
    <row r="26" spans="1:165" x14ac:dyDescent="0.35">
      <c r="A26" s="25"/>
      <c r="B26" s="25"/>
      <c r="C26" s="25"/>
      <c r="D26" s="25"/>
      <c r="E26" s="25"/>
      <c r="F26" s="25" t="str">
        <f>_xlfn.CONCAT($A27," ",$B27," ",$D27)</f>
        <v>2025 Volkswagen Group of Q4 45 e-tron</v>
      </c>
      <c r="G26" s="25"/>
      <c r="H26" s="25"/>
      <c r="I26" s="25"/>
      <c r="J26" s="25"/>
      <c r="K26" s="25"/>
      <c r="L26" s="25"/>
      <c r="M26" s="25"/>
      <c r="N26" s="25"/>
      <c r="O26" s="25"/>
      <c r="P26" s="25"/>
      <c r="Q26" s="25"/>
      <c r="R26" s="25"/>
      <c r="S26" s="25"/>
      <c r="T26" s="25"/>
      <c r="U26" s="25"/>
      <c r="V26" s="25"/>
      <c r="W26" s="25"/>
      <c r="X26" s="25"/>
      <c r="Y26" s="25"/>
      <c r="Z26" s="25"/>
      <c r="AA26" s="25"/>
      <c r="AB26" s="25"/>
      <c r="AC26" s="25"/>
      <c r="AD26" s="25" t="str">
        <f>_xlfn.CONCAT($A27," ",$B27," ",$D27)</f>
        <v>2025 Volkswagen Group of Q4 45 e-tron</v>
      </c>
      <c r="AE26" s="25"/>
      <c r="AF26" s="25"/>
      <c r="AG26" s="25"/>
      <c r="AH26" s="25"/>
      <c r="AI26" s="25"/>
      <c r="AJ26" s="25"/>
      <c r="AK26" s="25"/>
      <c r="AL26" s="25"/>
      <c r="AM26" s="25"/>
      <c r="AN26" s="25"/>
      <c r="AO26" s="25"/>
      <c r="AP26" s="25"/>
      <c r="AQ26" s="25"/>
      <c r="AR26" s="25"/>
      <c r="AS26" s="25"/>
      <c r="AT26" s="25"/>
      <c r="AU26" s="25"/>
      <c r="AV26" s="25"/>
      <c r="AW26" s="25"/>
      <c r="AX26" s="25" t="str">
        <f>_xlfn.CONCAT($A27," ",$B27," ",$D27)</f>
        <v>2025 Volkswagen Group of Q4 45 e-tron</v>
      </c>
      <c r="AY26" s="25"/>
      <c r="AZ26" s="25"/>
      <c r="BA26" s="25"/>
      <c r="BB26" s="25"/>
      <c r="BC26" s="25"/>
      <c r="BD26" s="25"/>
      <c r="BE26" s="25"/>
      <c r="BF26" s="25"/>
      <c r="BG26" s="25"/>
      <c r="BH26" s="25"/>
      <c r="BI26" s="25"/>
      <c r="BJ26" s="25"/>
      <c r="BK26" s="25"/>
      <c r="BL26" s="25"/>
      <c r="BM26" s="25"/>
      <c r="BN26" s="25"/>
      <c r="BO26" s="25"/>
      <c r="BP26" s="25"/>
      <c r="BQ26" s="25"/>
      <c r="BR26" s="25" t="str">
        <f>_xlfn.CONCAT($A27," ",$B27," ",$D27)</f>
        <v>2025 Volkswagen Group of Q4 45 e-tron</v>
      </c>
      <c r="BS26" s="25"/>
      <c r="BT26" s="25"/>
      <c r="BU26" s="25"/>
      <c r="BV26" s="25"/>
      <c r="BW26" s="153"/>
      <c r="BX26" s="25"/>
      <c r="BY26" s="25"/>
      <c r="BZ26" s="25"/>
      <c r="CA26" s="25"/>
      <c r="CB26" s="25"/>
      <c r="CC26" s="25"/>
      <c r="CD26" s="25"/>
      <c r="CE26" s="25"/>
      <c r="CF26" s="25"/>
      <c r="CG26" s="25"/>
      <c r="CH26" s="25"/>
      <c r="CI26" s="25"/>
      <c r="CJ26" s="25"/>
      <c r="CK26" s="25"/>
      <c r="CL26" s="25"/>
      <c r="CM26" s="25"/>
      <c r="CN26" s="25"/>
      <c r="CO26" s="25"/>
      <c r="CP26" s="25" t="str">
        <f>_xlfn.CONCAT($A27," ",$B27," ",$D27)</f>
        <v>2025 Volkswagen Group of Q4 45 e-tron</v>
      </c>
      <c r="CQ26" s="25"/>
      <c r="CR26" s="25"/>
      <c r="CS26" s="25"/>
      <c r="CT26" s="25"/>
      <c r="CU26" s="25"/>
      <c r="CV26" s="25"/>
      <c r="CW26" s="25"/>
      <c r="CX26" s="25"/>
      <c r="CY26" s="25"/>
      <c r="CZ26" s="25"/>
      <c r="DA26" s="25"/>
      <c r="DB26" s="25"/>
      <c r="DC26" s="25"/>
      <c r="DD26" s="25"/>
      <c r="DE26" s="25"/>
      <c r="DF26" s="25"/>
      <c r="DG26" s="25"/>
      <c r="DH26" s="25"/>
      <c r="DI26" s="25" t="str">
        <f>_xlfn.CONCAT($A27," ",$B27," ",$D27)</f>
        <v>2025 Volkswagen Group of Q4 45 e-tron</v>
      </c>
      <c r="DJ26" s="25"/>
      <c r="DK26" s="25"/>
      <c r="DL26" s="25"/>
      <c r="DM26" s="25"/>
      <c r="DN26" s="25"/>
      <c r="DO26" s="25"/>
      <c r="DP26" s="25"/>
      <c r="DQ26" s="25"/>
      <c r="DR26" s="25"/>
      <c r="DS26" s="25"/>
      <c r="DT26" s="25"/>
      <c r="DU26" s="25"/>
      <c r="DV26" s="25"/>
      <c r="DW26" s="25"/>
      <c r="DX26" s="25"/>
      <c r="DY26" s="25"/>
      <c r="DZ26" s="25" t="str">
        <f>_xlfn.CONCAT($A27," ",$B27," ",$D27)</f>
        <v>2025 Volkswagen Group of Q4 45 e-tron</v>
      </c>
      <c r="EA26" s="89"/>
      <c r="EB26" s="25"/>
      <c r="EC26" s="25"/>
      <c r="ED26" s="25"/>
      <c r="EE26" s="25"/>
      <c r="EF26" s="25"/>
      <c r="EG26" s="25"/>
      <c r="EH26" s="25"/>
      <c r="EI26" s="25"/>
      <c r="EJ26" s="25"/>
      <c r="EK26" s="25"/>
      <c r="EL26" s="25"/>
      <c r="EM26" s="25"/>
      <c r="EN26" s="25"/>
      <c r="EO26" s="25"/>
      <c r="EP26" s="25"/>
      <c r="EQ26" s="25"/>
      <c r="ER26" s="25"/>
      <c r="ES26" s="25"/>
      <c r="ET26" s="25"/>
      <c r="EU26" s="25"/>
      <c r="EV26" s="25" t="str">
        <f>_xlfn.CONCAT($A27," ",$B27," ",$D27)</f>
        <v>2025 Volkswagen Group of Q4 45 e-tron</v>
      </c>
      <c r="EW26" s="25"/>
      <c r="EX26" s="25"/>
      <c r="EY26" s="25"/>
      <c r="EZ26" s="25"/>
      <c r="FA26" s="25"/>
      <c r="FB26" s="25"/>
      <c r="FC26" s="25"/>
      <c r="FD26" s="25"/>
      <c r="FE26" s="25"/>
      <c r="FF26" s="25"/>
      <c r="FG26" s="25"/>
    </row>
    <row r="27" spans="1:165" x14ac:dyDescent="0.35">
      <c r="A27">
        <v>2025</v>
      </c>
      <c r="B27" t="s">
        <v>205</v>
      </c>
      <c r="C27" t="s">
        <v>385</v>
      </c>
      <c r="D27" t="s">
        <v>1733</v>
      </c>
      <c r="E27" t="s">
        <v>208</v>
      </c>
      <c r="F27">
        <v>361</v>
      </c>
      <c r="G27">
        <v>0</v>
      </c>
      <c r="I27" t="s">
        <v>1734</v>
      </c>
      <c r="J27">
        <v>125</v>
      </c>
      <c r="K27">
        <v>104</v>
      </c>
      <c r="L27">
        <v>115</v>
      </c>
      <c r="M27">
        <v>178.2</v>
      </c>
      <c r="N27">
        <v>149</v>
      </c>
      <c r="O27">
        <v>163.7585</v>
      </c>
      <c r="P27">
        <v>124.74</v>
      </c>
      <c r="Q27">
        <v>104.3</v>
      </c>
      <c r="R27">
        <v>114.631</v>
      </c>
      <c r="V27" t="s">
        <v>167</v>
      </c>
      <c r="W27" t="s">
        <v>168</v>
      </c>
      <c r="Y27">
        <v>1</v>
      </c>
      <c r="Z27" t="s">
        <v>170</v>
      </c>
      <c r="AA27" t="s">
        <v>170</v>
      </c>
      <c r="AB27" t="s">
        <v>171</v>
      </c>
      <c r="AC27" t="s">
        <v>172</v>
      </c>
      <c r="AF27">
        <v>288</v>
      </c>
      <c r="AG27" t="s">
        <v>1735</v>
      </c>
      <c r="AH27" t="s">
        <v>1736</v>
      </c>
      <c r="AI27" t="s">
        <v>175</v>
      </c>
      <c r="AJ27" t="s">
        <v>176</v>
      </c>
      <c r="AK27">
        <v>4</v>
      </c>
      <c r="AL27" t="s">
        <v>1737</v>
      </c>
      <c r="AO27">
        <v>96</v>
      </c>
      <c r="AP27">
        <v>26</v>
      </c>
      <c r="AS27">
        <v>700</v>
      </c>
      <c r="AT27">
        <v>700</v>
      </c>
      <c r="BQ27">
        <v>32</v>
      </c>
      <c r="BR27" t="s">
        <v>1453</v>
      </c>
      <c r="BT27" t="s">
        <v>1738</v>
      </c>
      <c r="BU27" s="1">
        <v>45527</v>
      </c>
      <c r="BV27">
        <v>35485</v>
      </c>
      <c r="BW27" s="154"/>
      <c r="BX27" t="s">
        <v>170</v>
      </c>
      <c r="BY27" t="s">
        <v>170</v>
      </c>
      <c r="CB27" t="s">
        <v>170</v>
      </c>
      <c r="CC27" t="s">
        <v>170</v>
      </c>
      <c r="CK27" t="s">
        <v>233</v>
      </c>
      <c r="CM27">
        <v>12</v>
      </c>
      <c r="CN27" t="s">
        <v>234</v>
      </c>
      <c r="CP27">
        <v>350</v>
      </c>
      <c r="CQ27">
        <v>233</v>
      </c>
      <c r="CR27">
        <v>166</v>
      </c>
      <c r="CS27" t="s">
        <v>1739</v>
      </c>
      <c r="CV27" t="s">
        <v>341</v>
      </c>
      <c r="CX27" t="s">
        <v>1012</v>
      </c>
      <c r="CY27" t="s">
        <v>169</v>
      </c>
      <c r="DD27">
        <v>1</v>
      </c>
      <c r="DE27" t="s">
        <v>404</v>
      </c>
      <c r="DF27" t="s">
        <v>1740</v>
      </c>
      <c r="DG27">
        <v>210</v>
      </c>
      <c r="DL27" t="s">
        <v>170</v>
      </c>
      <c r="DM27" t="s">
        <v>169</v>
      </c>
      <c r="DP27" t="s">
        <v>170</v>
      </c>
      <c r="DQ27" t="s">
        <v>187</v>
      </c>
      <c r="EA27" s="112"/>
      <c r="EB27">
        <v>9</v>
      </c>
      <c r="EC27">
        <v>10</v>
      </c>
      <c r="EE27" t="s">
        <v>1741</v>
      </c>
      <c r="EF27">
        <v>10</v>
      </c>
      <c r="EU27">
        <v>6000</v>
      </c>
      <c r="EW27">
        <v>0</v>
      </c>
      <c r="EX27">
        <v>0</v>
      </c>
      <c r="EY27">
        <v>0</v>
      </c>
      <c r="FA27">
        <v>12</v>
      </c>
      <c r="FG27">
        <v>265</v>
      </c>
      <c r="FH27">
        <v>317</v>
      </c>
      <c r="FI27">
        <v>288</v>
      </c>
    </row>
    <row r="28" spans="1:165" x14ac:dyDescent="0.35">
      <c r="A28">
        <v>2025</v>
      </c>
      <c r="B28" t="s">
        <v>205</v>
      </c>
      <c r="C28" t="s">
        <v>385</v>
      </c>
      <c r="D28" t="s">
        <v>1733</v>
      </c>
      <c r="E28" t="s">
        <v>208</v>
      </c>
      <c r="F28">
        <v>361</v>
      </c>
      <c r="G28">
        <v>0</v>
      </c>
      <c r="I28" t="s">
        <v>1734</v>
      </c>
      <c r="J28">
        <v>27</v>
      </c>
      <c r="K28">
        <v>32</v>
      </c>
      <c r="L28">
        <v>29</v>
      </c>
      <c r="M28">
        <v>18.913799999999998</v>
      </c>
      <c r="N28">
        <v>22.6188</v>
      </c>
      <c r="O28">
        <v>20.581099999999999</v>
      </c>
      <c r="P28">
        <v>27.020199999999999</v>
      </c>
      <c r="Q28">
        <v>32.315399999999997</v>
      </c>
      <c r="R28">
        <v>29.403099999999998</v>
      </c>
      <c r="V28" t="s">
        <v>167</v>
      </c>
      <c r="W28" t="s">
        <v>168</v>
      </c>
      <c r="Y28">
        <v>1</v>
      </c>
      <c r="Z28" t="s">
        <v>170</v>
      </c>
      <c r="AA28" t="s">
        <v>170</v>
      </c>
      <c r="AB28" t="s">
        <v>171</v>
      </c>
      <c r="AC28" t="s">
        <v>172</v>
      </c>
      <c r="AF28">
        <v>288</v>
      </c>
      <c r="AG28" t="s">
        <v>1735</v>
      </c>
      <c r="AH28" t="s">
        <v>1736</v>
      </c>
      <c r="AI28" t="s">
        <v>1742</v>
      </c>
      <c r="AJ28" t="s">
        <v>1743</v>
      </c>
      <c r="AK28">
        <v>4</v>
      </c>
      <c r="AL28" t="s">
        <v>1737</v>
      </c>
      <c r="AO28">
        <v>96</v>
      </c>
      <c r="AP28">
        <v>26</v>
      </c>
      <c r="AS28">
        <v>700</v>
      </c>
      <c r="AT28">
        <v>700</v>
      </c>
      <c r="BQ28">
        <v>32</v>
      </c>
      <c r="BR28" t="s">
        <v>1453</v>
      </c>
      <c r="BT28" t="s">
        <v>1738</v>
      </c>
      <c r="BU28" s="1">
        <v>45527</v>
      </c>
      <c r="BV28">
        <v>35485</v>
      </c>
      <c r="BW28" s="154"/>
      <c r="BX28" t="s">
        <v>170</v>
      </c>
      <c r="BY28" t="s">
        <v>170</v>
      </c>
      <c r="CB28" t="s">
        <v>170</v>
      </c>
      <c r="CC28" t="s">
        <v>170</v>
      </c>
      <c r="CK28" t="s">
        <v>233</v>
      </c>
      <c r="CM28">
        <v>12</v>
      </c>
      <c r="CN28" t="s">
        <v>234</v>
      </c>
      <c r="CP28">
        <v>350</v>
      </c>
      <c r="CQ28">
        <v>233</v>
      </c>
      <c r="CR28">
        <v>166</v>
      </c>
      <c r="CS28" t="s">
        <v>1739</v>
      </c>
      <c r="CV28" t="s">
        <v>341</v>
      </c>
      <c r="CX28" t="s">
        <v>1012</v>
      </c>
      <c r="CY28" t="s">
        <v>169</v>
      </c>
      <c r="DD28">
        <v>1</v>
      </c>
      <c r="DE28" t="s">
        <v>404</v>
      </c>
      <c r="DF28" t="s">
        <v>1740</v>
      </c>
      <c r="DG28">
        <v>210</v>
      </c>
      <c r="DL28" t="s">
        <v>170</v>
      </c>
      <c r="DM28" t="s">
        <v>169</v>
      </c>
      <c r="DP28" t="s">
        <v>170</v>
      </c>
      <c r="DQ28" t="s">
        <v>187</v>
      </c>
      <c r="EA28" s="112"/>
      <c r="EB28">
        <v>9</v>
      </c>
      <c r="EC28">
        <v>10</v>
      </c>
      <c r="EE28" t="s">
        <v>1741</v>
      </c>
      <c r="EF28">
        <v>10</v>
      </c>
      <c r="EU28">
        <v>6000</v>
      </c>
      <c r="EW28">
        <v>0</v>
      </c>
      <c r="EX28">
        <v>0</v>
      </c>
      <c r="EY28">
        <v>0</v>
      </c>
      <c r="FA28">
        <v>12</v>
      </c>
      <c r="FG28">
        <v>265</v>
      </c>
      <c r="FH28">
        <v>317</v>
      </c>
      <c r="FI28">
        <v>288</v>
      </c>
    </row>
    <row r="29" spans="1:165" x14ac:dyDescent="0.35">
      <c r="A29" s="25"/>
      <c r="B29" s="25"/>
      <c r="C29" s="25"/>
      <c r="D29" s="25"/>
      <c r="E29" s="25"/>
      <c r="F29" s="25" t="str">
        <f>_xlfn.CONCAT($A30," ",$B30," ",$D30)</f>
        <v>2025 Volkswagen Group of Q4 55 e-tron quattro</v>
      </c>
      <c r="G29" s="25"/>
      <c r="H29" s="25"/>
      <c r="I29" s="25"/>
      <c r="J29" s="25"/>
      <c r="K29" s="25"/>
      <c r="L29" s="25"/>
      <c r="M29" s="25"/>
      <c r="N29" s="25"/>
      <c r="O29" s="25"/>
      <c r="P29" s="25"/>
      <c r="Q29" s="25"/>
      <c r="R29" s="25"/>
      <c r="S29" s="25"/>
      <c r="T29" s="25"/>
      <c r="U29" s="25"/>
      <c r="V29" s="25"/>
      <c r="W29" s="25"/>
      <c r="X29" s="25"/>
      <c r="Y29" s="25"/>
      <c r="Z29" s="25"/>
      <c r="AA29" s="25"/>
      <c r="AB29" s="25"/>
      <c r="AC29" s="25"/>
      <c r="AD29" s="25" t="str">
        <f>_xlfn.CONCAT($A30," ",$B30," ",$D30)</f>
        <v>2025 Volkswagen Group of Q4 55 e-tron quattro</v>
      </c>
      <c r="AE29" s="25"/>
      <c r="AF29" s="25"/>
      <c r="AG29" s="25"/>
      <c r="AH29" s="25"/>
      <c r="AI29" s="25"/>
      <c r="AJ29" s="25"/>
      <c r="AK29" s="25"/>
      <c r="AL29" s="25"/>
      <c r="AM29" s="25"/>
      <c r="AN29" s="25"/>
      <c r="AO29" s="25"/>
      <c r="AP29" s="25"/>
      <c r="AQ29" s="25"/>
      <c r="AR29" s="25"/>
      <c r="AS29" s="25"/>
      <c r="AT29" s="25"/>
      <c r="AU29" s="25"/>
      <c r="AV29" s="25"/>
      <c r="AW29" s="25"/>
      <c r="AX29" s="25" t="str">
        <f>_xlfn.CONCAT($A30," ",$B30," ",$D30)</f>
        <v>2025 Volkswagen Group of Q4 55 e-tron quattro</v>
      </c>
      <c r="AY29" s="25"/>
      <c r="AZ29" s="25"/>
      <c r="BA29" s="25"/>
      <c r="BB29" s="25"/>
      <c r="BC29" s="25"/>
      <c r="BD29" s="25"/>
      <c r="BE29" s="25"/>
      <c r="BF29" s="25"/>
      <c r="BG29" s="25"/>
      <c r="BH29" s="25"/>
      <c r="BI29" s="25"/>
      <c r="BJ29" s="25"/>
      <c r="BK29" s="25"/>
      <c r="BL29" s="25"/>
      <c r="BM29" s="25"/>
      <c r="BN29" s="25"/>
      <c r="BO29" s="25"/>
      <c r="BP29" s="25"/>
      <c r="BQ29" s="25"/>
      <c r="BR29" s="25" t="str">
        <f>_xlfn.CONCAT($A30," ",$B30," ",$D30)</f>
        <v>2025 Volkswagen Group of Q4 55 e-tron quattro</v>
      </c>
      <c r="BS29" s="25"/>
      <c r="BT29" s="25"/>
      <c r="BU29" s="25"/>
      <c r="BV29" s="25"/>
      <c r="BW29" s="153"/>
      <c r="BX29" s="25"/>
      <c r="BY29" s="25"/>
      <c r="BZ29" s="25"/>
      <c r="CA29" s="25"/>
      <c r="CB29" s="25"/>
      <c r="CC29" s="25"/>
      <c r="CD29" s="25"/>
      <c r="CE29" s="25"/>
      <c r="CF29" s="25"/>
      <c r="CG29" s="25"/>
      <c r="CH29" s="25"/>
      <c r="CI29" s="25"/>
      <c r="CJ29" s="25"/>
      <c r="CK29" s="25"/>
      <c r="CL29" s="25"/>
      <c r="CM29" s="25"/>
      <c r="CN29" s="25"/>
      <c r="CO29" s="25"/>
      <c r="CP29" s="25" t="str">
        <f>_xlfn.CONCAT($A30," ",$B30," ",$D30)</f>
        <v>2025 Volkswagen Group of Q4 55 e-tron quattro</v>
      </c>
      <c r="CQ29" s="25"/>
      <c r="CR29" s="25"/>
      <c r="CS29" s="25"/>
      <c r="CT29" s="25"/>
      <c r="CU29" s="25"/>
      <c r="CV29" s="25"/>
      <c r="CW29" s="25"/>
      <c r="CX29" s="25"/>
      <c r="CY29" s="25"/>
      <c r="CZ29" s="25"/>
      <c r="DA29" s="25"/>
      <c r="DB29" s="25"/>
      <c r="DC29" s="25"/>
      <c r="DD29" s="25"/>
      <c r="DE29" s="25"/>
      <c r="DF29" s="25"/>
      <c r="DG29" s="25"/>
      <c r="DH29" s="25"/>
      <c r="DI29" s="25" t="str">
        <f>_xlfn.CONCAT($A30," ",$B30," ",$D30)</f>
        <v>2025 Volkswagen Group of Q4 55 e-tron quattro</v>
      </c>
      <c r="DJ29" s="25"/>
      <c r="DK29" s="25"/>
      <c r="DL29" s="25"/>
      <c r="DM29" s="25"/>
      <c r="DN29" s="25"/>
      <c r="DO29" s="25"/>
      <c r="DP29" s="25"/>
      <c r="DQ29" s="25"/>
      <c r="DR29" s="25"/>
      <c r="DS29" s="25"/>
      <c r="DT29" s="25"/>
      <c r="DU29" s="25"/>
      <c r="DV29" s="25"/>
      <c r="DW29" s="25"/>
      <c r="DX29" s="25"/>
      <c r="DY29" s="25"/>
      <c r="DZ29" s="25" t="str">
        <f>_xlfn.CONCAT($A30," ",$B30," ",$D30)</f>
        <v>2025 Volkswagen Group of Q4 55 e-tron quattro</v>
      </c>
      <c r="EA29" s="89"/>
      <c r="EB29" s="25"/>
      <c r="EC29" s="25"/>
      <c r="ED29" s="25"/>
      <c r="EE29" s="25"/>
      <c r="EF29" s="25"/>
      <c r="EG29" s="25"/>
      <c r="EH29" s="25"/>
      <c r="EI29" s="25"/>
      <c r="EJ29" s="25"/>
      <c r="EK29" s="25"/>
      <c r="EL29" s="25"/>
      <c r="EM29" s="25"/>
      <c r="EN29" s="25"/>
      <c r="EO29" s="25"/>
      <c r="EP29" s="25"/>
      <c r="EQ29" s="25"/>
      <c r="ER29" s="25"/>
      <c r="ES29" s="25"/>
      <c r="ET29" s="25"/>
      <c r="EU29" s="25"/>
      <c r="EV29" s="25" t="str">
        <f>_xlfn.CONCAT($A30," ",$B30," ",$D30)</f>
        <v>2025 Volkswagen Group of Q4 55 e-tron quattro</v>
      </c>
      <c r="EW29" s="25"/>
      <c r="EX29" s="25"/>
      <c r="EY29" s="25"/>
      <c r="EZ29" s="25"/>
      <c r="FA29" s="25"/>
      <c r="FB29" s="25"/>
      <c r="FC29" s="25"/>
      <c r="FD29" s="25"/>
      <c r="FE29" s="25"/>
      <c r="FF29" s="25"/>
      <c r="FG29" s="25"/>
    </row>
    <row r="30" spans="1:165" x14ac:dyDescent="0.35">
      <c r="A30">
        <v>2025</v>
      </c>
      <c r="B30" t="s">
        <v>205</v>
      </c>
      <c r="C30" t="s">
        <v>385</v>
      </c>
      <c r="D30" t="s">
        <v>1744</v>
      </c>
      <c r="E30" t="s">
        <v>208</v>
      </c>
      <c r="F30">
        <v>362</v>
      </c>
      <c r="G30">
        <v>0</v>
      </c>
      <c r="I30" t="s">
        <v>1734</v>
      </c>
      <c r="J30">
        <v>107</v>
      </c>
      <c r="K30">
        <v>92</v>
      </c>
      <c r="L30">
        <v>100</v>
      </c>
      <c r="M30">
        <v>153.04689999999999</v>
      </c>
      <c r="N30">
        <v>131.88050000000001</v>
      </c>
      <c r="O30">
        <v>142.7379</v>
      </c>
      <c r="P30">
        <v>107.13290000000001</v>
      </c>
      <c r="Q30">
        <v>92.316400000000002</v>
      </c>
      <c r="R30">
        <v>99.916600000000003</v>
      </c>
      <c r="V30" t="s">
        <v>167</v>
      </c>
      <c r="W30" t="s">
        <v>168</v>
      </c>
      <c r="X30" t="s">
        <v>1745</v>
      </c>
      <c r="Y30">
        <v>1</v>
      </c>
      <c r="Z30" t="s">
        <v>170</v>
      </c>
      <c r="AA30" t="s">
        <v>170</v>
      </c>
      <c r="AB30" t="s">
        <v>167</v>
      </c>
      <c r="AC30" t="s">
        <v>213</v>
      </c>
      <c r="AF30">
        <v>258</v>
      </c>
      <c r="AG30" t="s">
        <v>1735</v>
      </c>
      <c r="AH30" t="s">
        <v>1736</v>
      </c>
      <c r="AI30" t="s">
        <v>175</v>
      </c>
      <c r="AJ30" t="s">
        <v>176</v>
      </c>
      <c r="AK30">
        <v>4</v>
      </c>
      <c r="AL30" t="s">
        <v>1737</v>
      </c>
      <c r="AO30">
        <v>96</v>
      </c>
      <c r="AP30">
        <v>26</v>
      </c>
      <c r="AS30">
        <v>800</v>
      </c>
      <c r="AT30">
        <v>800</v>
      </c>
      <c r="BQ30">
        <v>33</v>
      </c>
      <c r="BR30" t="s">
        <v>1497</v>
      </c>
      <c r="BT30" t="s">
        <v>1738</v>
      </c>
      <c r="BU30" s="1">
        <v>45527</v>
      </c>
      <c r="BV30">
        <v>35395</v>
      </c>
      <c r="BW30" s="154"/>
      <c r="BX30" t="s">
        <v>170</v>
      </c>
      <c r="BY30" t="s">
        <v>170</v>
      </c>
      <c r="CB30" t="s">
        <v>170</v>
      </c>
      <c r="CC30" t="s">
        <v>170</v>
      </c>
      <c r="CK30" t="s">
        <v>233</v>
      </c>
      <c r="CM30">
        <v>12</v>
      </c>
      <c r="CN30" t="s">
        <v>234</v>
      </c>
      <c r="CP30">
        <v>350</v>
      </c>
      <c r="CQ30">
        <v>233</v>
      </c>
      <c r="CR30">
        <v>163</v>
      </c>
      <c r="CS30" t="s">
        <v>1739</v>
      </c>
      <c r="CV30" t="s">
        <v>341</v>
      </c>
      <c r="CX30" t="s">
        <v>342</v>
      </c>
      <c r="CY30" t="s">
        <v>169</v>
      </c>
      <c r="DC30" t="s">
        <v>1746</v>
      </c>
      <c r="DD30">
        <v>2</v>
      </c>
      <c r="DE30" t="s">
        <v>404</v>
      </c>
      <c r="DF30" t="s">
        <v>1747</v>
      </c>
      <c r="DG30" t="s">
        <v>1748</v>
      </c>
      <c r="DL30" t="s">
        <v>170</v>
      </c>
      <c r="DM30" t="s">
        <v>169</v>
      </c>
      <c r="DP30" t="s">
        <v>170</v>
      </c>
      <c r="DQ30" t="s">
        <v>187</v>
      </c>
      <c r="EA30" s="112"/>
      <c r="EB30">
        <v>9</v>
      </c>
      <c r="EC30">
        <v>10</v>
      </c>
      <c r="EE30" t="s">
        <v>1749</v>
      </c>
      <c r="EF30">
        <v>10</v>
      </c>
      <c r="EU30">
        <v>5500</v>
      </c>
      <c r="EW30">
        <v>0</v>
      </c>
      <c r="EX30">
        <v>0</v>
      </c>
      <c r="EY30">
        <v>0</v>
      </c>
      <c r="FA30">
        <v>12</v>
      </c>
      <c r="FG30">
        <v>275</v>
      </c>
      <c r="FH30">
        <v>237</v>
      </c>
      <c r="FI30">
        <v>258</v>
      </c>
    </row>
    <row r="31" spans="1:165" x14ac:dyDescent="0.35">
      <c r="A31">
        <v>2025</v>
      </c>
      <c r="B31" t="s">
        <v>205</v>
      </c>
      <c r="C31" t="s">
        <v>385</v>
      </c>
      <c r="D31" t="s">
        <v>1744</v>
      </c>
      <c r="E31" t="s">
        <v>208</v>
      </c>
      <c r="F31">
        <v>362</v>
      </c>
      <c r="G31">
        <v>0</v>
      </c>
      <c r="I31" t="s">
        <v>1734</v>
      </c>
      <c r="J31">
        <v>31</v>
      </c>
      <c r="K31">
        <v>37</v>
      </c>
      <c r="L31">
        <v>34</v>
      </c>
      <c r="M31">
        <v>22.0245</v>
      </c>
      <c r="N31">
        <v>25.551400000000001</v>
      </c>
      <c r="O31">
        <v>23.611599999999999</v>
      </c>
      <c r="P31">
        <v>31.460899999999999</v>
      </c>
      <c r="Q31">
        <v>36.510300000000001</v>
      </c>
      <c r="R31">
        <v>33.7331</v>
      </c>
      <c r="V31" t="s">
        <v>167</v>
      </c>
      <c r="W31" t="s">
        <v>168</v>
      </c>
      <c r="X31" t="s">
        <v>1745</v>
      </c>
      <c r="Y31">
        <v>1</v>
      </c>
      <c r="Z31" t="s">
        <v>170</v>
      </c>
      <c r="AA31" t="s">
        <v>170</v>
      </c>
      <c r="AB31" t="s">
        <v>167</v>
      </c>
      <c r="AC31" t="s">
        <v>213</v>
      </c>
      <c r="AF31">
        <v>258</v>
      </c>
      <c r="AG31" t="s">
        <v>1735</v>
      </c>
      <c r="AH31" t="s">
        <v>1736</v>
      </c>
      <c r="AI31" t="s">
        <v>1742</v>
      </c>
      <c r="AJ31" t="s">
        <v>1743</v>
      </c>
      <c r="AK31">
        <v>4</v>
      </c>
      <c r="AL31" t="s">
        <v>1737</v>
      </c>
      <c r="AO31">
        <v>96</v>
      </c>
      <c r="AP31">
        <v>26</v>
      </c>
      <c r="AS31">
        <v>800</v>
      </c>
      <c r="AT31">
        <v>800</v>
      </c>
      <c r="BQ31">
        <v>33</v>
      </c>
      <c r="BR31" t="s">
        <v>1497</v>
      </c>
      <c r="BT31" t="s">
        <v>1738</v>
      </c>
      <c r="BU31" s="1">
        <v>45527</v>
      </c>
      <c r="BV31">
        <v>35395</v>
      </c>
      <c r="BW31" s="154"/>
      <c r="BX31" t="s">
        <v>170</v>
      </c>
      <c r="BY31" t="s">
        <v>170</v>
      </c>
      <c r="CB31" t="s">
        <v>170</v>
      </c>
      <c r="CC31" t="s">
        <v>170</v>
      </c>
      <c r="CK31" t="s">
        <v>233</v>
      </c>
      <c r="CM31">
        <v>12</v>
      </c>
      <c r="CN31" t="s">
        <v>234</v>
      </c>
      <c r="CP31">
        <v>350</v>
      </c>
      <c r="CQ31">
        <v>233</v>
      </c>
      <c r="CR31">
        <v>163</v>
      </c>
      <c r="CS31" t="s">
        <v>1739</v>
      </c>
      <c r="CV31" t="s">
        <v>341</v>
      </c>
      <c r="CX31" t="s">
        <v>342</v>
      </c>
      <c r="CY31" t="s">
        <v>169</v>
      </c>
      <c r="DC31" t="s">
        <v>1746</v>
      </c>
      <c r="DD31">
        <v>2</v>
      </c>
      <c r="DE31" t="s">
        <v>404</v>
      </c>
      <c r="DF31" t="s">
        <v>1747</v>
      </c>
      <c r="DG31" t="s">
        <v>1748</v>
      </c>
      <c r="DL31" t="s">
        <v>170</v>
      </c>
      <c r="DM31" t="s">
        <v>169</v>
      </c>
      <c r="DP31" t="s">
        <v>170</v>
      </c>
      <c r="DQ31" t="s">
        <v>187</v>
      </c>
      <c r="EA31" s="112"/>
      <c r="EB31">
        <v>9</v>
      </c>
      <c r="EC31">
        <v>10</v>
      </c>
      <c r="EE31" t="s">
        <v>1749</v>
      </c>
      <c r="EF31">
        <v>10</v>
      </c>
      <c r="EU31">
        <v>5500</v>
      </c>
      <c r="EW31">
        <v>0</v>
      </c>
      <c r="EX31">
        <v>0</v>
      </c>
      <c r="EY31">
        <v>0</v>
      </c>
      <c r="FA31">
        <v>12</v>
      </c>
      <c r="FG31">
        <v>275</v>
      </c>
      <c r="FH31">
        <v>237</v>
      </c>
      <c r="FI31">
        <v>258</v>
      </c>
    </row>
    <row r="32" spans="1:165" x14ac:dyDescent="0.35">
      <c r="A32" s="25"/>
      <c r="B32" s="25"/>
      <c r="C32" s="25"/>
      <c r="D32" s="25"/>
      <c r="E32" s="25"/>
      <c r="F32" s="25" t="str">
        <f>_xlfn.CONCAT($A33," ",$B33," ",$D33)</f>
        <v>2025 Volkswagen Group of Q4 Sportback 55 e-tron quattro</v>
      </c>
      <c r="G32" s="25"/>
      <c r="H32" s="25"/>
      <c r="I32" s="25"/>
      <c r="J32" s="25"/>
      <c r="K32" s="25"/>
      <c r="L32" s="25"/>
      <c r="M32" s="25"/>
      <c r="N32" s="25"/>
      <c r="O32" s="25"/>
      <c r="P32" s="25"/>
      <c r="Q32" s="25"/>
      <c r="R32" s="25"/>
      <c r="S32" s="25"/>
      <c r="T32" s="25"/>
      <c r="U32" s="25"/>
      <c r="V32" s="25"/>
      <c r="W32" s="25"/>
      <c r="X32" s="25"/>
      <c r="Y32" s="25"/>
      <c r="Z32" s="25"/>
      <c r="AA32" s="25"/>
      <c r="AB32" s="25"/>
      <c r="AC32" s="25"/>
      <c r="AD32" s="25" t="str">
        <f>_xlfn.CONCAT($A33," ",$B33," ",$D33)</f>
        <v>2025 Volkswagen Group of Q4 Sportback 55 e-tron quattro</v>
      </c>
      <c r="AE32" s="25"/>
      <c r="AF32" s="25"/>
      <c r="AG32" s="25"/>
      <c r="AH32" s="25"/>
      <c r="AI32" s="25"/>
      <c r="AJ32" s="25"/>
      <c r="AK32" s="25"/>
      <c r="AL32" s="25"/>
      <c r="AM32" s="25"/>
      <c r="AN32" s="25"/>
      <c r="AO32" s="25"/>
      <c r="AP32" s="25"/>
      <c r="AQ32" s="25"/>
      <c r="AR32" s="25"/>
      <c r="AS32" s="25"/>
      <c r="AT32" s="25"/>
      <c r="AU32" s="25"/>
      <c r="AV32" s="25"/>
      <c r="AW32" s="25"/>
      <c r="AX32" s="25" t="str">
        <f>_xlfn.CONCAT($A33," ",$B33," ",$D33)</f>
        <v>2025 Volkswagen Group of Q4 Sportback 55 e-tron quattro</v>
      </c>
      <c r="AY32" s="25"/>
      <c r="AZ32" s="25"/>
      <c r="BA32" s="25"/>
      <c r="BB32" s="25"/>
      <c r="BC32" s="25"/>
      <c r="BD32" s="25"/>
      <c r="BE32" s="25"/>
      <c r="BF32" s="25"/>
      <c r="BG32" s="25"/>
      <c r="BH32" s="25"/>
      <c r="BI32" s="25"/>
      <c r="BJ32" s="25"/>
      <c r="BK32" s="25"/>
      <c r="BL32" s="25"/>
      <c r="BM32" s="25"/>
      <c r="BN32" s="25"/>
      <c r="BO32" s="25"/>
      <c r="BP32" s="25"/>
      <c r="BQ32" s="25"/>
      <c r="BR32" s="25" t="str">
        <f>_xlfn.CONCAT($A33," ",$B33," ",$D33)</f>
        <v>2025 Volkswagen Group of Q4 Sportback 55 e-tron quattro</v>
      </c>
      <c r="BS32" s="25"/>
      <c r="BT32" s="25"/>
      <c r="BU32" s="25"/>
      <c r="BV32" s="25"/>
      <c r="BW32" s="153"/>
      <c r="BX32" s="25"/>
      <c r="BY32" s="25"/>
      <c r="BZ32" s="25"/>
      <c r="CA32" s="25"/>
      <c r="CB32" s="25"/>
      <c r="CC32" s="25"/>
      <c r="CD32" s="25"/>
      <c r="CE32" s="25"/>
      <c r="CF32" s="25"/>
      <c r="CG32" s="25"/>
      <c r="CH32" s="25"/>
      <c r="CI32" s="25"/>
      <c r="CJ32" s="25"/>
      <c r="CK32" s="25"/>
      <c r="CL32" s="25"/>
      <c r="CM32" s="25"/>
      <c r="CN32" s="25"/>
      <c r="CO32" s="25"/>
      <c r="CP32" s="25" t="str">
        <f>_xlfn.CONCAT($A33," ",$B33," ",$D33)</f>
        <v>2025 Volkswagen Group of Q4 Sportback 55 e-tron quattro</v>
      </c>
      <c r="CQ32" s="25"/>
      <c r="CR32" s="25"/>
      <c r="CS32" s="25"/>
      <c r="CT32" s="25"/>
      <c r="CU32" s="25"/>
      <c r="CV32" s="25"/>
      <c r="CW32" s="25"/>
      <c r="CX32" s="25"/>
      <c r="CY32" s="25"/>
      <c r="CZ32" s="25"/>
      <c r="DA32" s="25"/>
      <c r="DB32" s="25"/>
      <c r="DC32" s="25"/>
      <c r="DD32" s="25"/>
      <c r="DE32" s="25"/>
      <c r="DF32" s="25"/>
      <c r="DG32" s="25"/>
      <c r="DH32" s="25"/>
      <c r="DI32" s="25" t="str">
        <f>_xlfn.CONCAT($A33," ",$B33," ",$D33)</f>
        <v>2025 Volkswagen Group of Q4 Sportback 55 e-tron quattro</v>
      </c>
      <c r="DJ32" s="25"/>
      <c r="DK32" s="25"/>
      <c r="DL32" s="25"/>
      <c r="DM32" s="25"/>
      <c r="DN32" s="25"/>
      <c r="DO32" s="25"/>
      <c r="DP32" s="25"/>
      <c r="DQ32" s="25"/>
      <c r="DR32" s="25"/>
      <c r="DS32" s="25"/>
      <c r="DT32" s="25"/>
      <c r="DU32" s="25"/>
      <c r="DV32" s="25"/>
      <c r="DW32" s="25"/>
      <c r="DX32" s="25"/>
      <c r="DY32" s="25"/>
      <c r="DZ32" s="25" t="str">
        <f>_xlfn.CONCAT($A33," ",$B33," ",$D33)</f>
        <v>2025 Volkswagen Group of Q4 Sportback 55 e-tron quattro</v>
      </c>
      <c r="EA32" s="89"/>
      <c r="EB32" s="25"/>
      <c r="EC32" s="25"/>
      <c r="ED32" s="25"/>
      <c r="EE32" s="25"/>
      <c r="EF32" s="25"/>
      <c r="EG32" s="25"/>
      <c r="EH32" s="25"/>
      <c r="EI32" s="25"/>
      <c r="EJ32" s="25"/>
      <c r="EK32" s="25"/>
      <c r="EL32" s="25"/>
      <c r="EM32" s="25"/>
      <c r="EN32" s="25"/>
      <c r="EO32" s="25"/>
      <c r="EP32" s="25"/>
      <c r="EQ32" s="25"/>
      <c r="ER32" s="25"/>
      <c r="ES32" s="25"/>
      <c r="ET32" s="25"/>
      <c r="EU32" s="25"/>
      <c r="EV32" s="25" t="str">
        <f>_xlfn.CONCAT($A33," ",$B33," ",$D33)</f>
        <v>2025 Volkswagen Group of Q4 Sportback 55 e-tron quattro</v>
      </c>
      <c r="EW32" s="25"/>
      <c r="EX32" s="25"/>
      <c r="EY32" s="25"/>
      <c r="EZ32" s="25"/>
      <c r="FA32" s="25"/>
      <c r="FB32" s="25"/>
      <c r="FC32" s="25"/>
      <c r="FD32" s="25"/>
      <c r="FE32" s="25"/>
      <c r="FF32" s="25"/>
      <c r="FG32" s="25"/>
    </row>
    <row r="33" spans="1:165" x14ac:dyDescent="0.35">
      <c r="A33">
        <v>2025</v>
      </c>
      <c r="B33" t="s">
        <v>205</v>
      </c>
      <c r="C33" t="s">
        <v>385</v>
      </c>
      <c r="D33" t="s">
        <v>1750</v>
      </c>
      <c r="E33" t="s">
        <v>208</v>
      </c>
      <c r="F33">
        <v>363</v>
      </c>
      <c r="G33">
        <v>0</v>
      </c>
      <c r="I33" t="s">
        <v>1734</v>
      </c>
      <c r="J33">
        <v>107</v>
      </c>
      <c r="K33">
        <v>92</v>
      </c>
      <c r="L33">
        <v>100</v>
      </c>
      <c r="M33">
        <v>153.04689999999999</v>
      </c>
      <c r="N33">
        <v>131.88050000000001</v>
      </c>
      <c r="O33">
        <v>142.7379</v>
      </c>
      <c r="P33">
        <v>107.13290000000001</v>
      </c>
      <c r="Q33">
        <v>92.316400000000002</v>
      </c>
      <c r="R33">
        <v>99.916600000000003</v>
      </c>
      <c r="V33" t="s">
        <v>167</v>
      </c>
      <c r="W33" t="s">
        <v>168</v>
      </c>
      <c r="X33" t="s">
        <v>1745</v>
      </c>
      <c r="Y33">
        <v>1</v>
      </c>
      <c r="Z33" t="s">
        <v>170</v>
      </c>
      <c r="AA33" t="s">
        <v>170</v>
      </c>
      <c r="AB33" t="s">
        <v>167</v>
      </c>
      <c r="AC33" t="s">
        <v>213</v>
      </c>
      <c r="AF33">
        <v>258</v>
      </c>
      <c r="AG33" t="s">
        <v>1735</v>
      </c>
      <c r="AH33" t="s">
        <v>1736</v>
      </c>
      <c r="AI33" t="s">
        <v>175</v>
      </c>
      <c r="AJ33" t="s">
        <v>176</v>
      </c>
      <c r="AK33">
        <v>4</v>
      </c>
      <c r="AL33" t="s">
        <v>1737</v>
      </c>
      <c r="AO33">
        <v>96</v>
      </c>
      <c r="AP33">
        <v>26</v>
      </c>
      <c r="AS33">
        <v>800</v>
      </c>
      <c r="AT33">
        <v>800</v>
      </c>
      <c r="BQ33">
        <v>33</v>
      </c>
      <c r="BR33" t="s">
        <v>1497</v>
      </c>
      <c r="BT33" t="s">
        <v>1738</v>
      </c>
      <c r="BU33" s="1">
        <v>45527</v>
      </c>
      <c r="BV33">
        <v>35396</v>
      </c>
      <c r="BW33" s="154"/>
      <c r="BX33" t="s">
        <v>170</v>
      </c>
      <c r="BY33" t="s">
        <v>170</v>
      </c>
      <c r="CB33" t="s">
        <v>170</v>
      </c>
      <c r="CC33" t="s">
        <v>170</v>
      </c>
      <c r="CK33" t="s">
        <v>233</v>
      </c>
      <c r="CM33">
        <v>12</v>
      </c>
      <c r="CN33" t="s">
        <v>234</v>
      </c>
      <c r="CP33">
        <v>350</v>
      </c>
      <c r="CQ33">
        <v>233</v>
      </c>
      <c r="CR33">
        <v>163</v>
      </c>
      <c r="CS33" t="s">
        <v>1739</v>
      </c>
      <c r="CV33" t="s">
        <v>341</v>
      </c>
      <c r="CX33" t="s">
        <v>342</v>
      </c>
      <c r="CY33" t="s">
        <v>169</v>
      </c>
      <c r="DC33" t="s">
        <v>1746</v>
      </c>
      <c r="DD33">
        <v>2</v>
      </c>
      <c r="DE33" t="s">
        <v>404</v>
      </c>
      <c r="DF33" t="s">
        <v>1747</v>
      </c>
      <c r="DG33" t="s">
        <v>1748</v>
      </c>
      <c r="DL33" t="s">
        <v>170</v>
      </c>
      <c r="DM33" t="s">
        <v>169</v>
      </c>
      <c r="DP33" t="s">
        <v>170</v>
      </c>
      <c r="DQ33" t="s">
        <v>187</v>
      </c>
      <c r="EA33" s="112"/>
      <c r="EB33">
        <v>9</v>
      </c>
      <c r="EC33">
        <v>10</v>
      </c>
      <c r="EE33" t="s">
        <v>1749</v>
      </c>
      <c r="EF33">
        <v>10</v>
      </c>
      <c r="EU33">
        <v>5500</v>
      </c>
      <c r="EW33">
        <v>0</v>
      </c>
      <c r="EX33">
        <v>0</v>
      </c>
      <c r="EY33">
        <v>0</v>
      </c>
      <c r="FA33">
        <v>12</v>
      </c>
      <c r="FG33">
        <v>275</v>
      </c>
      <c r="FH33">
        <v>237</v>
      </c>
      <c r="FI33">
        <v>258</v>
      </c>
    </row>
    <row r="34" spans="1:165" x14ac:dyDescent="0.35">
      <c r="A34">
        <v>2025</v>
      </c>
      <c r="B34" t="s">
        <v>205</v>
      </c>
      <c r="C34" t="s">
        <v>385</v>
      </c>
      <c r="D34" t="s">
        <v>1750</v>
      </c>
      <c r="E34" t="s">
        <v>208</v>
      </c>
      <c r="F34">
        <v>363</v>
      </c>
      <c r="G34">
        <v>0</v>
      </c>
      <c r="I34" t="s">
        <v>1734</v>
      </c>
      <c r="J34">
        <v>31</v>
      </c>
      <c r="K34">
        <v>37</v>
      </c>
      <c r="L34">
        <v>34</v>
      </c>
      <c r="M34">
        <v>22.0245</v>
      </c>
      <c r="N34">
        <v>25.551400000000001</v>
      </c>
      <c r="O34">
        <v>23.611599999999999</v>
      </c>
      <c r="P34">
        <v>31.460899999999999</v>
      </c>
      <c r="Q34">
        <v>36.510300000000001</v>
      </c>
      <c r="R34">
        <v>33.7331</v>
      </c>
      <c r="V34" t="s">
        <v>167</v>
      </c>
      <c r="W34" t="s">
        <v>168</v>
      </c>
      <c r="X34" t="s">
        <v>1745</v>
      </c>
      <c r="Y34">
        <v>1</v>
      </c>
      <c r="Z34" t="s">
        <v>170</v>
      </c>
      <c r="AA34" t="s">
        <v>170</v>
      </c>
      <c r="AB34" t="s">
        <v>167</v>
      </c>
      <c r="AC34" t="s">
        <v>213</v>
      </c>
      <c r="AF34">
        <v>258</v>
      </c>
      <c r="AG34" t="s">
        <v>1735</v>
      </c>
      <c r="AH34" t="s">
        <v>1736</v>
      </c>
      <c r="AI34" t="s">
        <v>1742</v>
      </c>
      <c r="AJ34" t="s">
        <v>1743</v>
      </c>
      <c r="AK34">
        <v>4</v>
      </c>
      <c r="AL34" t="s">
        <v>1737</v>
      </c>
      <c r="AO34">
        <v>96</v>
      </c>
      <c r="AP34">
        <v>26</v>
      </c>
      <c r="AS34">
        <v>800</v>
      </c>
      <c r="AT34">
        <v>800</v>
      </c>
      <c r="BQ34">
        <v>33</v>
      </c>
      <c r="BR34" t="s">
        <v>1497</v>
      </c>
      <c r="BT34" t="s">
        <v>1738</v>
      </c>
      <c r="BU34" s="1">
        <v>45527</v>
      </c>
      <c r="BV34">
        <v>35396</v>
      </c>
      <c r="BW34" s="154"/>
      <c r="BX34" t="s">
        <v>170</v>
      </c>
      <c r="BY34" t="s">
        <v>170</v>
      </c>
      <c r="CB34" t="s">
        <v>170</v>
      </c>
      <c r="CC34" t="s">
        <v>170</v>
      </c>
      <c r="CK34" t="s">
        <v>233</v>
      </c>
      <c r="CM34">
        <v>12</v>
      </c>
      <c r="CN34" t="s">
        <v>234</v>
      </c>
      <c r="CP34">
        <v>350</v>
      </c>
      <c r="CQ34">
        <v>233</v>
      </c>
      <c r="CR34">
        <v>163</v>
      </c>
      <c r="CS34" t="s">
        <v>1739</v>
      </c>
      <c r="CV34" t="s">
        <v>341</v>
      </c>
      <c r="CX34" t="s">
        <v>342</v>
      </c>
      <c r="CY34" t="s">
        <v>169</v>
      </c>
      <c r="DC34" t="s">
        <v>1746</v>
      </c>
      <c r="DD34">
        <v>2</v>
      </c>
      <c r="DE34" t="s">
        <v>404</v>
      </c>
      <c r="DF34" t="s">
        <v>1747</v>
      </c>
      <c r="DG34" t="s">
        <v>1748</v>
      </c>
      <c r="DL34" t="s">
        <v>170</v>
      </c>
      <c r="DM34" t="s">
        <v>169</v>
      </c>
      <c r="DP34" t="s">
        <v>170</v>
      </c>
      <c r="DQ34" t="s">
        <v>187</v>
      </c>
      <c r="EA34" s="112"/>
      <c r="EB34">
        <v>9</v>
      </c>
      <c r="EC34">
        <v>10</v>
      </c>
      <c r="EE34" t="s">
        <v>1749</v>
      </c>
      <c r="EF34">
        <v>10</v>
      </c>
      <c r="EU34">
        <v>5500</v>
      </c>
      <c r="EW34">
        <v>0</v>
      </c>
      <c r="EX34">
        <v>0</v>
      </c>
      <c r="EY34">
        <v>0</v>
      </c>
      <c r="FA34">
        <v>12</v>
      </c>
      <c r="FG34">
        <v>275</v>
      </c>
      <c r="FH34">
        <v>237</v>
      </c>
      <c r="FI34">
        <v>258</v>
      </c>
    </row>
    <row r="35" spans="1:165" x14ac:dyDescent="0.35">
      <c r="A35" s="25"/>
      <c r="B35" s="25"/>
      <c r="C35" s="25"/>
      <c r="D35" s="25"/>
      <c r="E35" s="25"/>
      <c r="F35" s="25" t="str">
        <f>_xlfn.CONCAT($A36," ",$B36," ",$D36)</f>
        <v>2025 Volkswagen Group of Q8 e-tron quattro</v>
      </c>
      <c r="G35" s="25"/>
      <c r="H35" s="25"/>
      <c r="I35" s="25"/>
      <c r="J35" s="25"/>
      <c r="K35" s="25"/>
      <c r="L35" s="25"/>
      <c r="M35" s="25"/>
      <c r="N35" s="25"/>
      <c r="O35" s="25"/>
      <c r="P35" s="25"/>
      <c r="Q35" s="25"/>
      <c r="R35" s="25"/>
      <c r="S35" s="25"/>
      <c r="T35" s="25"/>
      <c r="U35" s="25"/>
      <c r="V35" s="25"/>
      <c r="W35" s="25"/>
      <c r="X35" s="25"/>
      <c r="Y35" s="25"/>
      <c r="Z35" s="25"/>
      <c r="AA35" s="25"/>
      <c r="AB35" s="25"/>
      <c r="AC35" s="25"/>
      <c r="AD35" s="25" t="str">
        <f>_xlfn.CONCAT($A36," ",$B36," ",$D36)</f>
        <v>2025 Volkswagen Group of Q8 e-tron quattro</v>
      </c>
      <c r="AE35" s="25"/>
      <c r="AF35" s="25"/>
      <c r="AG35" s="25"/>
      <c r="AH35" s="25"/>
      <c r="AI35" s="25"/>
      <c r="AJ35" s="25"/>
      <c r="AK35" s="25"/>
      <c r="AL35" s="25"/>
      <c r="AM35" s="25"/>
      <c r="AN35" s="25"/>
      <c r="AO35" s="25"/>
      <c r="AP35" s="25"/>
      <c r="AQ35" s="25"/>
      <c r="AR35" s="25"/>
      <c r="AS35" s="25"/>
      <c r="AT35" s="25"/>
      <c r="AU35" s="25"/>
      <c r="AV35" s="25"/>
      <c r="AW35" s="25"/>
      <c r="AX35" s="25" t="str">
        <f>_xlfn.CONCAT($A36," ",$B36," ",$D36)</f>
        <v>2025 Volkswagen Group of Q8 e-tron quattro</v>
      </c>
      <c r="AY35" s="25"/>
      <c r="AZ35" s="25"/>
      <c r="BA35" s="25"/>
      <c r="BB35" s="25"/>
      <c r="BC35" s="25"/>
      <c r="BD35" s="25"/>
      <c r="BE35" s="25"/>
      <c r="BF35" s="25"/>
      <c r="BG35" s="25"/>
      <c r="BH35" s="25"/>
      <c r="BI35" s="25"/>
      <c r="BJ35" s="25"/>
      <c r="BK35" s="25"/>
      <c r="BL35" s="25"/>
      <c r="BM35" s="25"/>
      <c r="BN35" s="25"/>
      <c r="BO35" s="25"/>
      <c r="BP35" s="25"/>
      <c r="BQ35" s="25"/>
      <c r="BR35" s="25" t="str">
        <f>_xlfn.CONCAT($A36," ",$B36," ",$D36)</f>
        <v>2025 Volkswagen Group of Q8 e-tron quattro</v>
      </c>
      <c r="BS35" s="25"/>
      <c r="BT35" s="25"/>
      <c r="BU35" s="25"/>
      <c r="BV35" s="25"/>
      <c r="BW35" s="153"/>
      <c r="BX35" s="25"/>
      <c r="BY35" s="25"/>
      <c r="BZ35" s="25"/>
      <c r="CA35" s="25"/>
      <c r="CB35" s="25"/>
      <c r="CC35" s="25"/>
      <c r="CD35" s="25"/>
      <c r="CE35" s="25"/>
      <c r="CF35" s="25"/>
      <c r="CG35" s="25"/>
      <c r="CH35" s="25"/>
      <c r="CI35" s="25"/>
      <c r="CJ35" s="25"/>
      <c r="CK35" s="25"/>
      <c r="CL35" s="25"/>
      <c r="CM35" s="25"/>
      <c r="CN35" s="25"/>
      <c r="CO35" s="25"/>
      <c r="CP35" s="25" t="str">
        <f>_xlfn.CONCAT($A36," ",$B36," ",$D36)</f>
        <v>2025 Volkswagen Group of Q8 e-tron quattro</v>
      </c>
      <c r="CQ35" s="25"/>
      <c r="CR35" s="25"/>
      <c r="CS35" s="25"/>
      <c r="CT35" s="25"/>
      <c r="CU35" s="25"/>
      <c r="CV35" s="25"/>
      <c r="CW35" s="25"/>
      <c r="CX35" s="25"/>
      <c r="CY35" s="25"/>
      <c r="CZ35" s="25"/>
      <c r="DA35" s="25"/>
      <c r="DB35" s="25"/>
      <c r="DC35" s="25"/>
      <c r="DD35" s="25"/>
      <c r="DE35" s="25"/>
      <c r="DF35" s="25"/>
      <c r="DG35" s="25"/>
      <c r="DH35" s="25"/>
      <c r="DI35" s="25" t="str">
        <f>_xlfn.CONCAT($A36," ",$B36," ",$D36)</f>
        <v>2025 Volkswagen Group of Q8 e-tron quattro</v>
      </c>
      <c r="DJ35" s="25"/>
      <c r="DK35" s="25"/>
      <c r="DL35" s="25"/>
      <c r="DM35" s="25"/>
      <c r="DN35" s="25"/>
      <c r="DO35" s="25"/>
      <c r="DP35" s="25"/>
      <c r="DQ35" s="25"/>
      <c r="DR35" s="25"/>
      <c r="DS35" s="25"/>
      <c r="DT35" s="25"/>
      <c r="DU35" s="25"/>
      <c r="DV35" s="25"/>
      <c r="DW35" s="25"/>
      <c r="DX35" s="25"/>
      <c r="DY35" s="25"/>
      <c r="DZ35" s="25" t="str">
        <f>_xlfn.CONCAT($A36," ",$B36," ",$D36)</f>
        <v>2025 Volkswagen Group of Q8 e-tron quattro</v>
      </c>
      <c r="EA35" s="89"/>
      <c r="EB35" s="25"/>
      <c r="EC35" s="25"/>
      <c r="ED35" s="25"/>
      <c r="EE35" s="25"/>
      <c r="EF35" s="25"/>
      <c r="EG35" s="25"/>
      <c r="EH35" s="25"/>
      <c r="EI35" s="25"/>
      <c r="EJ35" s="25"/>
      <c r="EK35" s="25"/>
      <c r="EL35" s="25"/>
      <c r="EM35" s="25"/>
      <c r="EN35" s="25"/>
      <c r="EO35" s="25"/>
      <c r="EP35" s="25"/>
      <c r="EQ35" s="25"/>
      <c r="ER35" s="25"/>
      <c r="ES35" s="25"/>
      <c r="ET35" s="25"/>
      <c r="EU35" s="25"/>
      <c r="EV35" s="25" t="str">
        <f>_xlfn.CONCAT($A36," ",$B36," ",$D36)</f>
        <v>2025 Volkswagen Group of Q8 e-tron quattro</v>
      </c>
      <c r="EW35" s="25"/>
      <c r="EX35" s="25"/>
      <c r="EY35" s="25"/>
      <c r="EZ35" s="25"/>
      <c r="FA35" s="25"/>
      <c r="FB35" s="25"/>
      <c r="FC35" s="25"/>
      <c r="FD35" s="25"/>
      <c r="FE35" s="25"/>
      <c r="FF35" s="25"/>
      <c r="FG35" s="25"/>
    </row>
    <row r="36" spans="1:165" x14ac:dyDescent="0.35">
      <c r="A36">
        <v>2025</v>
      </c>
      <c r="B36" t="s">
        <v>205</v>
      </c>
      <c r="C36" t="s">
        <v>385</v>
      </c>
      <c r="D36" t="s">
        <v>1768</v>
      </c>
      <c r="E36" t="s">
        <v>208</v>
      </c>
      <c r="F36">
        <v>370</v>
      </c>
      <c r="G36">
        <v>0</v>
      </c>
      <c r="I36" t="s">
        <v>1734</v>
      </c>
      <c r="J36">
        <v>73</v>
      </c>
      <c r="K36">
        <v>75</v>
      </c>
      <c r="L36">
        <v>74</v>
      </c>
      <c r="M36">
        <v>101.99169999999999</v>
      </c>
      <c r="N36">
        <v>104.4051</v>
      </c>
      <c r="O36">
        <v>103.0638</v>
      </c>
      <c r="P36">
        <v>73.249399999999994</v>
      </c>
      <c r="Q36">
        <v>74.982699999999994</v>
      </c>
      <c r="R36">
        <v>74.019400000000005</v>
      </c>
      <c r="V36" t="s">
        <v>167</v>
      </c>
      <c r="W36" t="s">
        <v>168</v>
      </c>
      <c r="X36" t="s">
        <v>1745</v>
      </c>
      <c r="Y36">
        <v>1</v>
      </c>
      <c r="Z36" t="s">
        <v>169</v>
      </c>
      <c r="AA36" t="s">
        <v>170</v>
      </c>
      <c r="AB36" t="s">
        <v>167</v>
      </c>
      <c r="AC36" t="s">
        <v>213</v>
      </c>
      <c r="AF36">
        <v>254</v>
      </c>
      <c r="AG36" t="s">
        <v>1735</v>
      </c>
      <c r="AH36" t="s">
        <v>1736</v>
      </c>
      <c r="AI36" t="s">
        <v>175</v>
      </c>
      <c r="AJ36" t="s">
        <v>176</v>
      </c>
      <c r="AK36" t="s">
        <v>940</v>
      </c>
      <c r="AL36" t="s">
        <v>941</v>
      </c>
      <c r="AO36">
        <v>103</v>
      </c>
      <c r="AP36">
        <v>28</v>
      </c>
      <c r="AS36">
        <v>1100</v>
      </c>
      <c r="AT36">
        <v>50</v>
      </c>
      <c r="BQ36">
        <v>33</v>
      </c>
      <c r="BR36" t="s">
        <v>1497</v>
      </c>
      <c r="BT36" t="s">
        <v>1769</v>
      </c>
      <c r="BU36" s="1">
        <v>45499</v>
      </c>
      <c r="BV36">
        <v>35211</v>
      </c>
      <c r="BW36" s="154"/>
      <c r="BX36" t="s">
        <v>170</v>
      </c>
      <c r="BY36" t="s">
        <v>170</v>
      </c>
      <c r="CB36" t="s">
        <v>170</v>
      </c>
      <c r="CC36" t="s">
        <v>170</v>
      </c>
      <c r="CK36" t="s">
        <v>233</v>
      </c>
      <c r="CM36">
        <v>36</v>
      </c>
      <c r="CN36" t="s">
        <v>234</v>
      </c>
      <c r="CP36">
        <v>397</v>
      </c>
      <c r="CQ36">
        <v>288</v>
      </c>
      <c r="CR36">
        <v>156.6</v>
      </c>
      <c r="CS36" t="s">
        <v>1752</v>
      </c>
      <c r="CV36" t="s">
        <v>341</v>
      </c>
      <c r="CX36" t="s">
        <v>342</v>
      </c>
      <c r="CY36" t="s">
        <v>169</v>
      </c>
      <c r="DC36" t="s">
        <v>1770</v>
      </c>
      <c r="DD36">
        <v>2</v>
      </c>
      <c r="DE36" t="s">
        <v>404</v>
      </c>
      <c r="DF36" t="s">
        <v>1747</v>
      </c>
      <c r="DG36" t="s">
        <v>1771</v>
      </c>
      <c r="DL36" t="s">
        <v>170</v>
      </c>
      <c r="DM36" t="s">
        <v>169</v>
      </c>
      <c r="DP36" t="s">
        <v>170</v>
      </c>
      <c r="DQ36" t="s">
        <v>187</v>
      </c>
      <c r="DR36" t="s">
        <v>1773</v>
      </c>
      <c r="EA36" s="112"/>
      <c r="EB36">
        <v>9</v>
      </c>
      <c r="EC36">
        <v>10</v>
      </c>
      <c r="EE36" t="s">
        <v>1772</v>
      </c>
      <c r="EF36">
        <v>10</v>
      </c>
      <c r="EU36">
        <v>4000</v>
      </c>
      <c r="EW36">
        <v>0</v>
      </c>
      <c r="EX36">
        <v>0</v>
      </c>
      <c r="EY36">
        <v>0</v>
      </c>
      <c r="FA36">
        <v>16</v>
      </c>
      <c r="FG36">
        <v>251</v>
      </c>
      <c r="FH36">
        <v>257</v>
      </c>
      <c r="FI36">
        <v>254</v>
      </c>
    </row>
    <row r="37" spans="1:165" x14ac:dyDescent="0.35">
      <c r="A37">
        <v>2025</v>
      </c>
      <c r="B37" t="s">
        <v>205</v>
      </c>
      <c r="C37" t="s">
        <v>385</v>
      </c>
      <c r="D37" t="s">
        <v>1768</v>
      </c>
      <c r="E37" t="s">
        <v>208</v>
      </c>
      <c r="F37">
        <v>370</v>
      </c>
      <c r="G37">
        <v>0</v>
      </c>
      <c r="I37" t="s">
        <v>1734</v>
      </c>
      <c r="J37">
        <v>46</v>
      </c>
      <c r="K37">
        <v>45</v>
      </c>
      <c r="L37">
        <v>46</v>
      </c>
      <c r="M37">
        <v>33.052999999999997</v>
      </c>
      <c r="N37">
        <v>32.285499999999999</v>
      </c>
      <c r="O37">
        <v>32.707599999999999</v>
      </c>
      <c r="P37">
        <v>46.014000000000003</v>
      </c>
      <c r="Q37">
        <v>44.950299999999999</v>
      </c>
      <c r="R37">
        <v>45.535299999999999</v>
      </c>
      <c r="V37" t="s">
        <v>167</v>
      </c>
      <c r="W37" t="s">
        <v>168</v>
      </c>
      <c r="X37" t="s">
        <v>1745</v>
      </c>
      <c r="Y37">
        <v>1</v>
      </c>
      <c r="Z37" t="s">
        <v>169</v>
      </c>
      <c r="AA37" t="s">
        <v>170</v>
      </c>
      <c r="AB37" t="s">
        <v>167</v>
      </c>
      <c r="AC37" t="s">
        <v>213</v>
      </c>
      <c r="AF37">
        <v>254</v>
      </c>
      <c r="AG37" t="s">
        <v>1735</v>
      </c>
      <c r="AH37" t="s">
        <v>1736</v>
      </c>
      <c r="AI37" t="s">
        <v>1742</v>
      </c>
      <c r="AJ37" t="s">
        <v>1743</v>
      </c>
      <c r="AK37" t="s">
        <v>940</v>
      </c>
      <c r="AL37" t="s">
        <v>941</v>
      </c>
      <c r="AO37">
        <v>103</v>
      </c>
      <c r="AP37">
        <v>28</v>
      </c>
      <c r="AS37">
        <v>1100</v>
      </c>
      <c r="AT37">
        <v>1100</v>
      </c>
      <c r="BQ37">
        <v>33</v>
      </c>
      <c r="BR37" t="s">
        <v>1497</v>
      </c>
      <c r="BT37" t="s">
        <v>1769</v>
      </c>
      <c r="BU37" s="1">
        <v>45499</v>
      </c>
      <c r="BV37">
        <v>35211</v>
      </c>
      <c r="BW37" s="154"/>
      <c r="BX37" t="s">
        <v>170</v>
      </c>
      <c r="BY37" t="s">
        <v>170</v>
      </c>
      <c r="CB37" t="s">
        <v>170</v>
      </c>
      <c r="CC37" t="s">
        <v>170</v>
      </c>
      <c r="CK37" t="s">
        <v>233</v>
      </c>
      <c r="CM37">
        <v>36</v>
      </c>
      <c r="CN37" t="s">
        <v>234</v>
      </c>
      <c r="CP37">
        <v>397</v>
      </c>
      <c r="CQ37">
        <v>288</v>
      </c>
      <c r="CR37">
        <v>156.6</v>
      </c>
      <c r="CS37" t="s">
        <v>1752</v>
      </c>
      <c r="CV37" t="s">
        <v>341</v>
      </c>
      <c r="CX37" t="s">
        <v>342</v>
      </c>
      <c r="CY37" t="s">
        <v>169</v>
      </c>
      <c r="DC37" t="s">
        <v>1770</v>
      </c>
      <c r="DD37">
        <v>2</v>
      </c>
      <c r="DE37" t="s">
        <v>404</v>
      </c>
      <c r="DF37" t="s">
        <v>1747</v>
      </c>
      <c r="DG37" t="s">
        <v>1771</v>
      </c>
      <c r="DL37" t="s">
        <v>170</v>
      </c>
      <c r="DM37" t="s">
        <v>169</v>
      </c>
      <c r="DP37" t="s">
        <v>170</v>
      </c>
      <c r="DQ37" t="s">
        <v>187</v>
      </c>
      <c r="DR37" t="s">
        <v>1773</v>
      </c>
      <c r="EA37" s="112"/>
      <c r="EB37">
        <v>9</v>
      </c>
      <c r="EC37">
        <v>10</v>
      </c>
      <c r="EE37" t="s">
        <v>1772</v>
      </c>
      <c r="EF37">
        <v>10</v>
      </c>
      <c r="EU37">
        <v>4000</v>
      </c>
      <c r="EW37">
        <v>0</v>
      </c>
      <c r="EX37">
        <v>0</v>
      </c>
      <c r="EY37">
        <v>0</v>
      </c>
      <c r="FA37">
        <v>16</v>
      </c>
      <c r="FG37">
        <v>251</v>
      </c>
      <c r="FH37">
        <v>257</v>
      </c>
      <c r="FI37">
        <v>254</v>
      </c>
    </row>
    <row r="38" spans="1:165" x14ac:dyDescent="0.35">
      <c r="A38" s="25"/>
      <c r="B38" s="25"/>
      <c r="C38" s="25"/>
      <c r="D38" s="25"/>
      <c r="E38" s="25"/>
      <c r="F38" s="25" t="str">
        <f>_xlfn.CONCAT($A39," ",$B39," ",$D39)</f>
        <v>2025 Volkswagen Group of Q8 Sportback e-tron quattro</v>
      </c>
      <c r="G38" s="25"/>
      <c r="H38" s="25"/>
      <c r="I38" s="25"/>
      <c r="J38" s="25"/>
      <c r="K38" s="25"/>
      <c r="L38" s="25"/>
      <c r="M38" s="25"/>
      <c r="N38" s="25"/>
      <c r="O38" s="25"/>
      <c r="P38" s="25"/>
      <c r="Q38" s="25"/>
      <c r="R38" s="25"/>
      <c r="S38" s="25"/>
      <c r="T38" s="25"/>
      <c r="U38" s="25"/>
      <c r="V38" s="25"/>
      <c r="W38" s="25"/>
      <c r="X38" s="25"/>
      <c r="Y38" s="25"/>
      <c r="Z38" s="25"/>
      <c r="AA38" s="25"/>
      <c r="AB38" s="25"/>
      <c r="AC38" s="25"/>
      <c r="AD38" s="25" t="str">
        <f>_xlfn.CONCAT($A39," ",$B39," ",$D39)</f>
        <v>2025 Volkswagen Group of Q8 Sportback e-tron quattro</v>
      </c>
      <c r="AE38" s="25"/>
      <c r="AF38" s="25"/>
      <c r="AG38" s="25"/>
      <c r="AH38" s="25"/>
      <c r="AI38" s="25"/>
      <c r="AJ38" s="25"/>
      <c r="AK38" s="25"/>
      <c r="AL38" s="25"/>
      <c r="AM38" s="25"/>
      <c r="AN38" s="25"/>
      <c r="AO38" s="25"/>
      <c r="AP38" s="25"/>
      <c r="AQ38" s="25"/>
      <c r="AR38" s="25"/>
      <c r="AS38" s="25"/>
      <c r="AT38" s="25"/>
      <c r="AU38" s="25"/>
      <c r="AV38" s="25"/>
      <c r="AW38" s="25"/>
      <c r="AX38" s="25" t="str">
        <f>_xlfn.CONCAT($A39," ",$B39," ",$D39)</f>
        <v>2025 Volkswagen Group of Q8 Sportback e-tron quattro</v>
      </c>
      <c r="AY38" s="25"/>
      <c r="AZ38" s="25"/>
      <c r="BA38" s="25"/>
      <c r="BB38" s="25"/>
      <c r="BC38" s="25"/>
      <c r="BD38" s="25"/>
      <c r="BE38" s="25"/>
      <c r="BF38" s="25"/>
      <c r="BG38" s="25"/>
      <c r="BH38" s="25"/>
      <c r="BI38" s="25"/>
      <c r="BJ38" s="25"/>
      <c r="BK38" s="25"/>
      <c r="BL38" s="25"/>
      <c r="BM38" s="25"/>
      <c r="BN38" s="25"/>
      <c r="BO38" s="25"/>
      <c r="BP38" s="25"/>
      <c r="BQ38" s="25"/>
      <c r="BR38" s="25" t="str">
        <f>_xlfn.CONCAT($A39," ",$B39," ",$D39)</f>
        <v>2025 Volkswagen Group of Q8 Sportback e-tron quattro</v>
      </c>
      <c r="BS38" s="25"/>
      <c r="BT38" s="25"/>
      <c r="BU38" s="25"/>
      <c r="BV38" s="25"/>
      <c r="BW38" s="153"/>
      <c r="BX38" s="25"/>
      <c r="BY38" s="25"/>
      <c r="BZ38" s="25"/>
      <c r="CA38" s="25"/>
      <c r="CB38" s="25"/>
      <c r="CC38" s="25"/>
      <c r="CD38" s="25"/>
      <c r="CE38" s="25"/>
      <c r="CF38" s="25"/>
      <c r="CG38" s="25"/>
      <c r="CH38" s="25"/>
      <c r="CI38" s="25"/>
      <c r="CJ38" s="25"/>
      <c r="CK38" s="25"/>
      <c r="CL38" s="25"/>
      <c r="CM38" s="25"/>
      <c r="CN38" s="25"/>
      <c r="CO38" s="25"/>
      <c r="CP38" s="25" t="str">
        <f>_xlfn.CONCAT($A39," ",$B39," ",$D39)</f>
        <v>2025 Volkswagen Group of Q8 Sportback e-tron quattro</v>
      </c>
      <c r="CQ38" s="25"/>
      <c r="CR38" s="25"/>
      <c r="CS38" s="25"/>
      <c r="CT38" s="25"/>
      <c r="CU38" s="25"/>
      <c r="CV38" s="25"/>
      <c r="CW38" s="25"/>
      <c r="CX38" s="25"/>
      <c r="CY38" s="25"/>
      <c r="CZ38" s="25"/>
      <c r="DA38" s="25"/>
      <c r="DB38" s="25"/>
      <c r="DC38" s="25"/>
      <c r="DD38" s="25"/>
      <c r="DE38" s="25"/>
      <c r="DF38" s="25"/>
      <c r="DG38" s="25"/>
      <c r="DH38" s="25"/>
      <c r="DI38" s="25" t="str">
        <f>_xlfn.CONCAT($A39," ",$B39," ",$D39)</f>
        <v>2025 Volkswagen Group of Q8 Sportback e-tron quattro</v>
      </c>
      <c r="DJ38" s="25"/>
      <c r="DK38" s="25"/>
      <c r="DL38" s="25"/>
      <c r="DM38" s="25"/>
      <c r="DN38" s="25"/>
      <c r="DO38" s="25"/>
      <c r="DP38" s="25"/>
      <c r="DQ38" s="25"/>
      <c r="DR38" s="25"/>
      <c r="DS38" s="25"/>
      <c r="DT38" s="25"/>
      <c r="DU38" s="25"/>
      <c r="DV38" s="25"/>
      <c r="DW38" s="25"/>
      <c r="DX38" s="25"/>
      <c r="DY38" s="25"/>
      <c r="DZ38" s="25" t="str">
        <f>_xlfn.CONCAT($A39," ",$B39," ",$D39)</f>
        <v>2025 Volkswagen Group of Q8 Sportback e-tron quattro</v>
      </c>
      <c r="EA38" s="89"/>
      <c r="EB38" s="25"/>
      <c r="EC38" s="25"/>
      <c r="ED38" s="25"/>
      <c r="EE38" s="25"/>
      <c r="EF38" s="25"/>
      <c r="EG38" s="25"/>
      <c r="EH38" s="25"/>
      <c r="EI38" s="25"/>
      <c r="EJ38" s="25"/>
      <c r="EK38" s="25"/>
      <c r="EL38" s="25"/>
      <c r="EM38" s="25"/>
      <c r="EN38" s="25"/>
      <c r="EO38" s="25"/>
      <c r="EP38" s="25"/>
      <c r="EQ38" s="25"/>
      <c r="ER38" s="25"/>
      <c r="ES38" s="25"/>
      <c r="ET38" s="25"/>
      <c r="EU38" s="25"/>
      <c r="EV38" s="25" t="str">
        <f>_xlfn.CONCAT($A39," ",$B39," ",$D39)</f>
        <v>2025 Volkswagen Group of Q8 Sportback e-tron quattro</v>
      </c>
      <c r="EW38" s="25"/>
      <c r="EX38" s="25"/>
      <c r="EY38" s="25"/>
      <c r="EZ38" s="25"/>
      <c r="FA38" s="25"/>
      <c r="FB38" s="25"/>
      <c r="FC38" s="25"/>
      <c r="FD38" s="25"/>
      <c r="FE38" s="25"/>
      <c r="FF38" s="25"/>
      <c r="FG38" s="25"/>
    </row>
    <row r="39" spans="1:165" x14ac:dyDescent="0.35">
      <c r="A39">
        <v>2025</v>
      </c>
      <c r="B39" t="s">
        <v>205</v>
      </c>
      <c r="C39" t="s">
        <v>385</v>
      </c>
      <c r="D39" t="s">
        <v>1774</v>
      </c>
      <c r="E39" t="s">
        <v>208</v>
      </c>
      <c r="F39">
        <v>371</v>
      </c>
      <c r="G39">
        <v>0</v>
      </c>
      <c r="I39" t="s">
        <v>1734</v>
      </c>
      <c r="J39">
        <v>73</v>
      </c>
      <c r="K39">
        <v>75</v>
      </c>
      <c r="L39">
        <v>74</v>
      </c>
      <c r="M39">
        <v>101.99169999999999</v>
      </c>
      <c r="N39">
        <v>104.4051</v>
      </c>
      <c r="O39">
        <v>103.0638</v>
      </c>
      <c r="P39">
        <v>73.249399999999994</v>
      </c>
      <c r="Q39">
        <v>74.982699999999994</v>
      </c>
      <c r="R39">
        <v>74.019400000000005</v>
      </c>
      <c r="V39" t="s">
        <v>167</v>
      </c>
      <c r="W39" t="s">
        <v>168</v>
      </c>
      <c r="X39" t="s">
        <v>1745</v>
      </c>
      <c r="Y39">
        <v>1</v>
      </c>
      <c r="Z39" t="s">
        <v>169</v>
      </c>
      <c r="AA39" t="s">
        <v>170</v>
      </c>
      <c r="AB39" t="s">
        <v>167</v>
      </c>
      <c r="AC39" t="s">
        <v>213</v>
      </c>
      <c r="AF39">
        <v>254</v>
      </c>
      <c r="AG39" t="s">
        <v>1735</v>
      </c>
      <c r="AH39" t="s">
        <v>1736</v>
      </c>
      <c r="AI39" t="s">
        <v>175</v>
      </c>
      <c r="AJ39" t="s">
        <v>176</v>
      </c>
      <c r="AK39" t="s">
        <v>940</v>
      </c>
      <c r="AL39" t="s">
        <v>941</v>
      </c>
      <c r="AO39">
        <v>102</v>
      </c>
      <c r="AP39">
        <v>27</v>
      </c>
      <c r="AS39">
        <v>1100</v>
      </c>
      <c r="AT39">
        <v>50</v>
      </c>
      <c r="BQ39">
        <v>33</v>
      </c>
      <c r="BR39" t="s">
        <v>1497</v>
      </c>
      <c r="BT39" t="s">
        <v>1769</v>
      </c>
      <c r="BU39" s="1">
        <v>45499</v>
      </c>
      <c r="BV39">
        <v>35213</v>
      </c>
      <c r="BW39" s="154"/>
      <c r="BX39" t="s">
        <v>170</v>
      </c>
      <c r="BY39" t="s">
        <v>170</v>
      </c>
      <c r="CB39" t="s">
        <v>170</v>
      </c>
      <c r="CC39" t="s">
        <v>170</v>
      </c>
      <c r="CK39" t="s">
        <v>233</v>
      </c>
      <c r="CM39">
        <v>36</v>
      </c>
      <c r="CN39" t="s">
        <v>234</v>
      </c>
      <c r="CP39">
        <v>397</v>
      </c>
      <c r="CQ39">
        <v>288</v>
      </c>
      <c r="CR39">
        <v>156.6</v>
      </c>
      <c r="CS39" t="s">
        <v>1752</v>
      </c>
      <c r="CV39" t="s">
        <v>341</v>
      </c>
      <c r="CX39" t="s">
        <v>342</v>
      </c>
      <c r="CY39" t="s">
        <v>169</v>
      </c>
      <c r="DC39" t="s">
        <v>1770</v>
      </c>
      <c r="DD39">
        <v>2</v>
      </c>
      <c r="DE39" t="s">
        <v>404</v>
      </c>
      <c r="DF39" t="s">
        <v>1747</v>
      </c>
      <c r="DG39" t="s">
        <v>1771</v>
      </c>
      <c r="DL39" t="s">
        <v>170</v>
      </c>
      <c r="DM39" t="s">
        <v>169</v>
      </c>
      <c r="DP39" t="s">
        <v>170</v>
      </c>
      <c r="DQ39" t="s">
        <v>187</v>
      </c>
      <c r="DR39" t="s">
        <v>1775</v>
      </c>
      <c r="EA39" s="101"/>
      <c r="EB39">
        <v>9</v>
      </c>
      <c r="EC39">
        <v>10</v>
      </c>
      <c r="EE39" t="s">
        <v>1772</v>
      </c>
      <c r="EF39">
        <v>10</v>
      </c>
      <c r="EU39">
        <v>4000</v>
      </c>
      <c r="EW39">
        <v>0</v>
      </c>
      <c r="EX39">
        <v>0</v>
      </c>
      <c r="EY39">
        <v>0</v>
      </c>
      <c r="FA39">
        <v>16</v>
      </c>
      <c r="FG39">
        <v>251</v>
      </c>
      <c r="FH39">
        <v>257</v>
      </c>
      <c r="FI39">
        <v>254</v>
      </c>
    </row>
    <row r="40" spans="1:165" x14ac:dyDescent="0.35">
      <c r="A40">
        <v>2025</v>
      </c>
      <c r="B40" t="s">
        <v>205</v>
      </c>
      <c r="C40" t="s">
        <v>385</v>
      </c>
      <c r="D40" t="s">
        <v>1774</v>
      </c>
      <c r="E40" t="s">
        <v>208</v>
      </c>
      <c r="F40">
        <v>371</v>
      </c>
      <c r="G40">
        <v>0</v>
      </c>
      <c r="I40" t="s">
        <v>1734</v>
      </c>
      <c r="J40">
        <v>46</v>
      </c>
      <c r="K40">
        <v>45</v>
      </c>
      <c r="L40">
        <v>46</v>
      </c>
      <c r="M40">
        <v>33.052999999999997</v>
      </c>
      <c r="N40">
        <v>32.285499999999999</v>
      </c>
      <c r="O40">
        <v>32.707599999999999</v>
      </c>
      <c r="P40">
        <v>46.014000000000003</v>
      </c>
      <c r="Q40">
        <v>44.950299999999999</v>
      </c>
      <c r="R40">
        <v>45.535299999999999</v>
      </c>
      <c r="V40" t="s">
        <v>167</v>
      </c>
      <c r="W40" t="s">
        <v>168</v>
      </c>
      <c r="X40" t="s">
        <v>1745</v>
      </c>
      <c r="Y40">
        <v>1</v>
      </c>
      <c r="Z40" t="s">
        <v>169</v>
      </c>
      <c r="AA40" t="s">
        <v>170</v>
      </c>
      <c r="AB40" t="s">
        <v>167</v>
      </c>
      <c r="AC40" t="s">
        <v>213</v>
      </c>
      <c r="AF40">
        <v>254</v>
      </c>
      <c r="AG40" t="s">
        <v>1735</v>
      </c>
      <c r="AH40" t="s">
        <v>1736</v>
      </c>
      <c r="AI40" t="s">
        <v>1742</v>
      </c>
      <c r="AJ40" t="s">
        <v>1743</v>
      </c>
      <c r="AK40" t="s">
        <v>940</v>
      </c>
      <c r="AL40" t="s">
        <v>941</v>
      </c>
      <c r="AO40">
        <v>102</v>
      </c>
      <c r="AP40">
        <v>27</v>
      </c>
      <c r="AS40">
        <v>1100</v>
      </c>
      <c r="AT40">
        <v>1100</v>
      </c>
      <c r="BQ40">
        <v>33</v>
      </c>
      <c r="BR40" t="s">
        <v>1497</v>
      </c>
      <c r="BT40" t="s">
        <v>1769</v>
      </c>
      <c r="BU40" s="1">
        <v>45499</v>
      </c>
      <c r="BV40">
        <v>35213</v>
      </c>
      <c r="BW40" s="154"/>
      <c r="BX40" t="s">
        <v>170</v>
      </c>
      <c r="BY40" t="s">
        <v>170</v>
      </c>
      <c r="CB40" t="s">
        <v>170</v>
      </c>
      <c r="CC40" t="s">
        <v>170</v>
      </c>
      <c r="CK40" t="s">
        <v>233</v>
      </c>
      <c r="CM40">
        <v>36</v>
      </c>
      <c r="CN40" t="s">
        <v>234</v>
      </c>
      <c r="CP40">
        <v>397</v>
      </c>
      <c r="CQ40">
        <v>288</v>
      </c>
      <c r="CR40">
        <v>156.6</v>
      </c>
      <c r="CS40" t="s">
        <v>1752</v>
      </c>
      <c r="CV40" t="s">
        <v>341</v>
      </c>
      <c r="CX40" t="s">
        <v>342</v>
      </c>
      <c r="CY40" t="s">
        <v>169</v>
      </c>
      <c r="DC40" t="s">
        <v>1770</v>
      </c>
      <c r="DD40">
        <v>2</v>
      </c>
      <c r="DE40" t="s">
        <v>404</v>
      </c>
      <c r="DF40" t="s">
        <v>1747</v>
      </c>
      <c r="DG40" t="s">
        <v>1771</v>
      </c>
      <c r="DL40" t="s">
        <v>170</v>
      </c>
      <c r="DM40" t="s">
        <v>169</v>
      </c>
      <c r="DP40" t="s">
        <v>170</v>
      </c>
      <c r="DQ40" t="s">
        <v>187</v>
      </c>
      <c r="DR40" t="s">
        <v>1775</v>
      </c>
      <c r="EA40" s="101"/>
      <c r="EB40">
        <v>9</v>
      </c>
      <c r="EC40">
        <v>10</v>
      </c>
      <c r="EE40" t="s">
        <v>1772</v>
      </c>
      <c r="EF40">
        <v>10</v>
      </c>
      <c r="EU40">
        <v>4000</v>
      </c>
      <c r="EW40">
        <v>0</v>
      </c>
      <c r="EX40">
        <v>0</v>
      </c>
      <c r="EY40">
        <v>0</v>
      </c>
      <c r="FA40">
        <v>16</v>
      </c>
      <c r="FG40">
        <v>251</v>
      </c>
      <c r="FH40">
        <v>257</v>
      </c>
      <c r="FI40">
        <v>254</v>
      </c>
    </row>
    <row r="41" spans="1:165" x14ac:dyDescent="0.35">
      <c r="A41" s="25"/>
      <c r="B41" s="25"/>
      <c r="C41" s="25"/>
      <c r="D41" s="25"/>
      <c r="E41" s="25"/>
      <c r="F41" s="25" t="str">
        <f>_xlfn.CONCAT($A42," ",$B42," ",$D42)</f>
        <v>2025 Volkswagen Group of S e-tron GT (21in. Wheels)</v>
      </c>
      <c r="G41" s="25"/>
      <c r="H41" s="25"/>
      <c r="I41" s="25"/>
      <c r="J41" s="25"/>
      <c r="K41" s="25"/>
      <c r="L41" s="25"/>
      <c r="M41" s="25"/>
      <c r="N41" s="25"/>
      <c r="O41" s="25"/>
      <c r="P41" s="25"/>
      <c r="Q41" s="25"/>
      <c r="R41" s="25"/>
      <c r="S41" s="25"/>
      <c r="T41" s="25"/>
      <c r="U41" s="25"/>
      <c r="V41" s="25"/>
      <c r="W41" s="25"/>
      <c r="X41" s="25"/>
      <c r="Y41" s="25"/>
      <c r="Z41" s="25"/>
      <c r="AA41" s="25"/>
      <c r="AB41" s="25"/>
      <c r="AC41" s="25"/>
      <c r="AD41" s="25" t="str">
        <f>_xlfn.CONCAT($A42," ",$B42," ",$D42)</f>
        <v>2025 Volkswagen Group of S e-tron GT (21in. Wheels)</v>
      </c>
      <c r="AE41" s="25"/>
      <c r="AF41" s="25"/>
      <c r="AG41" s="25"/>
      <c r="AH41" s="25"/>
      <c r="AI41" s="25"/>
      <c r="AJ41" s="25"/>
      <c r="AK41" s="25"/>
      <c r="AL41" s="25"/>
      <c r="AM41" s="25"/>
      <c r="AN41" s="25"/>
      <c r="AO41" s="25"/>
      <c r="AP41" s="25"/>
      <c r="AQ41" s="25"/>
      <c r="AR41" s="25"/>
      <c r="AS41" s="25"/>
      <c r="AT41" s="25"/>
      <c r="AU41" s="25"/>
      <c r="AV41" s="25"/>
      <c r="AW41" s="25"/>
      <c r="AX41" s="25" t="str">
        <f>_xlfn.CONCAT($A42," ",$B42," ",$D42)</f>
        <v>2025 Volkswagen Group of S e-tron GT (21in. Wheels)</v>
      </c>
      <c r="AY41" s="25"/>
      <c r="AZ41" s="25"/>
      <c r="BA41" s="25"/>
      <c r="BB41" s="25"/>
      <c r="BC41" s="25"/>
      <c r="BD41" s="25"/>
      <c r="BE41" s="25"/>
      <c r="BF41" s="25"/>
      <c r="BG41" s="25"/>
      <c r="BH41" s="25"/>
      <c r="BI41" s="25"/>
      <c r="BJ41" s="25"/>
      <c r="BK41" s="25"/>
      <c r="BL41" s="25"/>
      <c r="BM41" s="25"/>
      <c r="BN41" s="25"/>
      <c r="BO41" s="25"/>
      <c r="BP41" s="25"/>
      <c r="BQ41" s="25"/>
      <c r="BR41" s="25" t="str">
        <f>_xlfn.CONCAT($A42," ",$B42," ",$D42)</f>
        <v>2025 Volkswagen Group of S e-tron GT (21in. Wheels)</v>
      </c>
      <c r="BS41" s="25"/>
      <c r="BT41" s="25"/>
      <c r="BU41" s="25"/>
      <c r="BV41" s="25"/>
      <c r="BW41" s="153"/>
      <c r="BX41" s="25"/>
      <c r="BY41" s="25"/>
      <c r="BZ41" s="25"/>
      <c r="CA41" s="25"/>
      <c r="CB41" s="25"/>
      <c r="CC41" s="25"/>
      <c r="CD41" s="25"/>
      <c r="CE41" s="25"/>
      <c r="CF41" s="25"/>
      <c r="CG41" s="25"/>
      <c r="CH41" s="25"/>
      <c r="CI41" s="25"/>
      <c r="CJ41" s="25"/>
      <c r="CK41" s="25"/>
      <c r="CL41" s="25"/>
      <c r="CM41" s="25"/>
      <c r="CN41" s="25"/>
      <c r="CO41" s="25"/>
      <c r="CP41" s="25" t="str">
        <f>_xlfn.CONCAT($A42," ",$B42," ",$D42)</f>
        <v>2025 Volkswagen Group of S e-tron GT (21in. Wheels)</v>
      </c>
      <c r="CQ41" s="25"/>
      <c r="CR41" s="25"/>
      <c r="CS41" s="25"/>
      <c r="CT41" s="25"/>
      <c r="CU41" s="25"/>
      <c r="CV41" s="25"/>
      <c r="CW41" s="25"/>
      <c r="CX41" s="25"/>
      <c r="CY41" s="25"/>
      <c r="CZ41" s="25"/>
      <c r="DA41" s="25"/>
      <c r="DB41" s="25"/>
      <c r="DC41" s="25"/>
      <c r="DD41" s="25"/>
      <c r="DE41" s="25"/>
      <c r="DF41" s="25"/>
      <c r="DG41" s="25"/>
      <c r="DH41" s="25"/>
      <c r="DI41" s="25" t="str">
        <f>_xlfn.CONCAT($A42," ",$B42," ",$D42)</f>
        <v>2025 Volkswagen Group of S e-tron GT (21in. Wheels)</v>
      </c>
      <c r="DJ41" s="25"/>
      <c r="DK41" s="25"/>
      <c r="DL41" s="25"/>
      <c r="DM41" s="25"/>
      <c r="DN41" s="25"/>
      <c r="DO41" s="25"/>
      <c r="DP41" s="25"/>
      <c r="DQ41" s="25"/>
      <c r="DR41" s="25"/>
      <c r="DS41" s="25"/>
      <c r="DT41" s="25"/>
      <c r="DU41" s="25"/>
      <c r="DV41" s="25"/>
      <c r="DW41" s="25"/>
      <c r="DX41" s="25"/>
      <c r="DY41" s="25"/>
      <c r="DZ41" s="25" t="str">
        <f>_xlfn.CONCAT($A42," ",$B42," ",$D42)</f>
        <v>2025 Volkswagen Group of S e-tron GT (21in. Wheels)</v>
      </c>
      <c r="EA41" s="89"/>
      <c r="EB41" s="25"/>
      <c r="EC41" s="25"/>
      <c r="ED41" s="25"/>
      <c r="EE41" s="25"/>
      <c r="EF41" s="25"/>
      <c r="EG41" s="25"/>
      <c r="EH41" s="25"/>
      <c r="EI41" s="25"/>
      <c r="EJ41" s="25"/>
      <c r="EK41" s="25"/>
      <c r="EL41" s="25"/>
      <c r="EM41" s="25"/>
      <c r="EN41" s="25"/>
      <c r="EO41" s="25"/>
      <c r="EP41" s="25"/>
      <c r="EQ41" s="25"/>
      <c r="ER41" s="25"/>
      <c r="ES41" s="25"/>
      <c r="ET41" s="25"/>
      <c r="EU41" s="25"/>
      <c r="EV41" s="25" t="str">
        <f>_xlfn.CONCAT($A42," ",$B42," ",$D42)</f>
        <v>2025 Volkswagen Group of S e-tron GT (21in. Wheels)</v>
      </c>
      <c r="EW41" s="25"/>
      <c r="EX41" s="25"/>
      <c r="EY41" s="25"/>
      <c r="EZ41" s="25"/>
      <c r="FA41" s="25"/>
      <c r="FB41" s="25"/>
      <c r="FC41" s="25"/>
      <c r="FD41" s="25"/>
      <c r="FE41" s="25"/>
      <c r="FF41" s="25"/>
      <c r="FG41" s="25"/>
    </row>
    <row r="42" spans="1:165" x14ac:dyDescent="0.35">
      <c r="A42">
        <v>2025</v>
      </c>
      <c r="B42" t="s">
        <v>205</v>
      </c>
      <c r="C42" t="s">
        <v>385</v>
      </c>
      <c r="D42" t="s">
        <v>1784</v>
      </c>
      <c r="E42" t="s">
        <v>208</v>
      </c>
      <c r="F42">
        <v>452</v>
      </c>
      <c r="G42">
        <v>0</v>
      </c>
      <c r="I42" t="s">
        <v>1734</v>
      </c>
      <c r="J42">
        <v>89</v>
      </c>
      <c r="K42">
        <v>85</v>
      </c>
      <c r="L42">
        <v>88</v>
      </c>
      <c r="M42">
        <v>127.6</v>
      </c>
      <c r="N42">
        <v>122.1</v>
      </c>
      <c r="O42">
        <v>125.06489999999999</v>
      </c>
      <c r="P42">
        <v>89.32</v>
      </c>
      <c r="Q42">
        <v>85.47</v>
      </c>
      <c r="R42">
        <v>87.545400000000001</v>
      </c>
      <c r="V42" t="s">
        <v>167</v>
      </c>
      <c r="W42" t="s">
        <v>168</v>
      </c>
      <c r="X42" t="s">
        <v>1745</v>
      </c>
      <c r="Y42">
        <v>1</v>
      </c>
      <c r="Z42" t="s">
        <v>170</v>
      </c>
      <c r="AA42" t="s">
        <v>170</v>
      </c>
      <c r="AB42" t="s">
        <v>167</v>
      </c>
      <c r="AC42" t="s">
        <v>213</v>
      </c>
      <c r="AF42">
        <v>294</v>
      </c>
      <c r="AG42" t="s">
        <v>1735</v>
      </c>
      <c r="AH42" t="s">
        <v>1736</v>
      </c>
      <c r="AI42" t="s">
        <v>175</v>
      </c>
      <c r="AJ42" t="s">
        <v>176</v>
      </c>
      <c r="AK42" t="s">
        <v>170</v>
      </c>
      <c r="AL42" t="s">
        <v>177</v>
      </c>
      <c r="AO42">
        <v>89</v>
      </c>
      <c r="AP42">
        <v>11</v>
      </c>
      <c r="AS42">
        <v>900</v>
      </c>
      <c r="AT42">
        <v>900</v>
      </c>
      <c r="BQ42">
        <v>3</v>
      </c>
      <c r="BR42" t="s">
        <v>387</v>
      </c>
      <c r="BS42" t="s">
        <v>180</v>
      </c>
      <c r="BT42" t="s">
        <v>1738</v>
      </c>
      <c r="BU42" s="1">
        <v>45534</v>
      </c>
      <c r="BV42">
        <v>35401</v>
      </c>
      <c r="BW42" s="154"/>
      <c r="BX42" t="s">
        <v>170</v>
      </c>
      <c r="BY42" t="s">
        <v>170</v>
      </c>
      <c r="CB42" t="s">
        <v>170</v>
      </c>
      <c r="CC42" t="s">
        <v>170</v>
      </c>
      <c r="CK42" t="s">
        <v>233</v>
      </c>
      <c r="CM42">
        <v>33</v>
      </c>
      <c r="CN42" t="s">
        <v>234</v>
      </c>
      <c r="CP42">
        <v>727</v>
      </c>
      <c r="CQ42">
        <v>144.4</v>
      </c>
      <c r="CR42">
        <v>168</v>
      </c>
      <c r="CS42" t="s">
        <v>1752</v>
      </c>
      <c r="CV42" t="s">
        <v>341</v>
      </c>
      <c r="CX42" t="s">
        <v>342</v>
      </c>
      <c r="CY42" t="s">
        <v>169</v>
      </c>
      <c r="DC42" t="s">
        <v>1777</v>
      </c>
      <c r="DD42">
        <v>3</v>
      </c>
      <c r="DE42" t="s">
        <v>404</v>
      </c>
      <c r="DF42" t="s">
        <v>1740</v>
      </c>
      <c r="DG42" t="s">
        <v>1785</v>
      </c>
      <c r="DL42" t="s">
        <v>170</v>
      </c>
      <c r="DM42" t="s">
        <v>169</v>
      </c>
      <c r="DP42" t="s">
        <v>170</v>
      </c>
      <c r="DQ42" t="s">
        <v>187</v>
      </c>
      <c r="DR42" t="s">
        <v>1780</v>
      </c>
      <c r="EA42" s="101"/>
      <c r="EB42">
        <v>9</v>
      </c>
      <c r="EC42">
        <v>10</v>
      </c>
      <c r="EE42" t="s">
        <v>1779</v>
      </c>
      <c r="EF42">
        <v>10</v>
      </c>
      <c r="EU42">
        <v>5000</v>
      </c>
      <c r="EW42">
        <v>0</v>
      </c>
      <c r="EX42">
        <v>0</v>
      </c>
      <c r="EY42">
        <v>0</v>
      </c>
      <c r="FA42">
        <v>15.5</v>
      </c>
      <c r="FG42">
        <v>300</v>
      </c>
      <c r="FH42">
        <v>287</v>
      </c>
      <c r="FI42">
        <v>294</v>
      </c>
    </row>
    <row r="43" spans="1:165" x14ac:dyDescent="0.35">
      <c r="A43">
        <v>2025</v>
      </c>
      <c r="B43" t="s">
        <v>205</v>
      </c>
      <c r="C43" t="s">
        <v>385</v>
      </c>
      <c r="D43" t="s">
        <v>1784</v>
      </c>
      <c r="E43" t="s">
        <v>208</v>
      </c>
      <c r="F43">
        <v>452</v>
      </c>
      <c r="G43">
        <v>0</v>
      </c>
      <c r="I43" t="s">
        <v>1734</v>
      </c>
      <c r="J43">
        <v>38</v>
      </c>
      <c r="K43">
        <v>39</v>
      </c>
      <c r="L43">
        <v>38</v>
      </c>
      <c r="M43">
        <v>26.4132</v>
      </c>
      <c r="N43">
        <v>27.597999999999999</v>
      </c>
      <c r="O43">
        <v>26.946400000000001</v>
      </c>
      <c r="P43">
        <v>37.735100000000003</v>
      </c>
      <c r="Q43">
        <v>39.434899999999999</v>
      </c>
      <c r="R43">
        <v>38.5</v>
      </c>
      <c r="V43" t="s">
        <v>167</v>
      </c>
      <c r="W43" t="s">
        <v>168</v>
      </c>
      <c r="X43" t="s">
        <v>1745</v>
      </c>
      <c r="Y43">
        <v>1</v>
      </c>
      <c r="Z43" t="s">
        <v>170</v>
      </c>
      <c r="AA43" t="s">
        <v>170</v>
      </c>
      <c r="AB43" t="s">
        <v>167</v>
      </c>
      <c r="AC43" t="s">
        <v>213</v>
      </c>
      <c r="AF43">
        <v>294</v>
      </c>
      <c r="AG43" t="s">
        <v>1735</v>
      </c>
      <c r="AH43" t="s">
        <v>1736</v>
      </c>
      <c r="AI43" t="s">
        <v>1742</v>
      </c>
      <c r="AJ43" t="s">
        <v>1743</v>
      </c>
      <c r="AK43" t="s">
        <v>170</v>
      </c>
      <c r="AL43" t="s">
        <v>177</v>
      </c>
      <c r="AO43">
        <v>89</v>
      </c>
      <c r="AP43">
        <v>11</v>
      </c>
      <c r="AS43">
        <v>900</v>
      </c>
      <c r="AT43">
        <v>900</v>
      </c>
      <c r="BQ43">
        <v>3</v>
      </c>
      <c r="BR43" t="s">
        <v>387</v>
      </c>
      <c r="BS43" t="s">
        <v>180</v>
      </c>
      <c r="BT43" t="s">
        <v>1738</v>
      </c>
      <c r="BU43" s="1">
        <v>45534</v>
      </c>
      <c r="BV43">
        <v>35401</v>
      </c>
      <c r="BW43" s="154"/>
      <c r="BX43" t="s">
        <v>170</v>
      </c>
      <c r="BY43" t="s">
        <v>170</v>
      </c>
      <c r="CB43" t="s">
        <v>170</v>
      </c>
      <c r="CC43" t="s">
        <v>170</v>
      </c>
      <c r="CK43" t="s">
        <v>233</v>
      </c>
      <c r="CM43">
        <v>33</v>
      </c>
      <c r="CN43" t="s">
        <v>234</v>
      </c>
      <c r="CP43">
        <v>727</v>
      </c>
      <c r="CQ43">
        <v>144.4</v>
      </c>
      <c r="CR43">
        <v>168</v>
      </c>
      <c r="CS43" t="s">
        <v>1752</v>
      </c>
      <c r="CV43" t="s">
        <v>341</v>
      </c>
      <c r="CX43" t="s">
        <v>342</v>
      </c>
      <c r="CY43" t="s">
        <v>169</v>
      </c>
      <c r="DC43" t="s">
        <v>1777</v>
      </c>
      <c r="DD43">
        <v>3</v>
      </c>
      <c r="DE43" t="s">
        <v>404</v>
      </c>
      <c r="DF43" t="s">
        <v>1740</v>
      </c>
      <c r="DG43" t="s">
        <v>1785</v>
      </c>
      <c r="DL43" t="s">
        <v>170</v>
      </c>
      <c r="DM43" t="s">
        <v>169</v>
      </c>
      <c r="DP43" t="s">
        <v>170</v>
      </c>
      <c r="DQ43" t="s">
        <v>187</v>
      </c>
      <c r="DR43" t="s">
        <v>1780</v>
      </c>
      <c r="EA43" s="101"/>
      <c r="EB43">
        <v>9</v>
      </c>
      <c r="EC43">
        <v>10</v>
      </c>
      <c r="EE43" t="s">
        <v>1779</v>
      </c>
      <c r="EF43">
        <v>10</v>
      </c>
      <c r="EU43">
        <v>5000</v>
      </c>
      <c r="EW43">
        <v>0</v>
      </c>
      <c r="EX43">
        <v>0</v>
      </c>
      <c r="EY43">
        <v>0</v>
      </c>
      <c r="FA43">
        <v>15.5</v>
      </c>
      <c r="FG43">
        <v>300</v>
      </c>
      <c r="FH43">
        <v>287</v>
      </c>
      <c r="FI43">
        <v>294</v>
      </c>
    </row>
    <row r="44" spans="1:165" x14ac:dyDescent="0.35">
      <c r="A44" s="25"/>
      <c r="B44" s="25"/>
      <c r="C44" s="25"/>
      <c r="D44" s="25"/>
      <c r="E44" s="25"/>
      <c r="F44" s="25" t="str">
        <f>_xlfn.CONCAT($A45," ",$B45," ",$D45)</f>
        <v>2025 Volkswagen Group of Q6 e-tron</v>
      </c>
      <c r="G44" s="25"/>
      <c r="H44" s="25"/>
      <c r="I44" s="25"/>
      <c r="J44" s="25"/>
      <c r="K44" s="25"/>
      <c r="L44" s="25"/>
      <c r="M44" s="25"/>
      <c r="N44" s="25"/>
      <c r="O44" s="25"/>
      <c r="P44" s="25"/>
      <c r="Q44" s="25"/>
      <c r="R44" s="25"/>
      <c r="S44" s="25"/>
      <c r="T44" s="25"/>
      <c r="U44" s="25"/>
      <c r="V44" s="25"/>
      <c r="W44" s="25"/>
      <c r="X44" s="25"/>
      <c r="Y44" s="25"/>
      <c r="Z44" s="25"/>
      <c r="AA44" s="25"/>
      <c r="AB44" s="25"/>
      <c r="AC44" s="25"/>
      <c r="AD44" s="25" t="str">
        <f>_xlfn.CONCAT($A45," ",$B45," ",$D45)</f>
        <v>2025 Volkswagen Group of Q6 e-tron</v>
      </c>
      <c r="AE44" s="25"/>
      <c r="AF44" s="25"/>
      <c r="AG44" s="25"/>
      <c r="AH44" s="25"/>
      <c r="AI44" s="25"/>
      <c r="AJ44" s="25"/>
      <c r="AK44" s="25"/>
      <c r="AL44" s="25"/>
      <c r="AM44" s="25"/>
      <c r="AN44" s="25"/>
      <c r="AO44" s="25"/>
      <c r="AP44" s="25"/>
      <c r="AQ44" s="25"/>
      <c r="AR44" s="25"/>
      <c r="AS44" s="25"/>
      <c r="AT44" s="25"/>
      <c r="AU44" s="25"/>
      <c r="AV44" s="25"/>
      <c r="AW44" s="25"/>
      <c r="AX44" s="25" t="str">
        <f>_xlfn.CONCAT($A45," ",$B45," ",$D45)</f>
        <v>2025 Volkswagen Group of Q6 e-tron</v>
      </c>
      <c r="AY44" s="25"/>
      <c r="AZ44" s="25"/>
      <c r="BA44" s="25"/>
      <c r="BB44" s="25"/>
      <c r="BC44" s="25"/>
      <c r="BD44" s="25"/>
      <c r="BE44" s="25"/>
      <c r="BF44" s="25"/>
      <c r="BG44" s="25"/>
      <c r="BH44" s="25"/>
      <c r="BI44" s="25"/>
      <c r="BJ44" s="25"/>
      <c r="BK44" s="25"/>
      <c r="BL44" s="25"/>
      <c r="BM44" s="25"/>
      <c r="BN44" s="25"/>
      <c r="BO44" s="25"/>
      <c r="BP44" s="25"/>
      <c r="BQ44" s="25"/>
      <c r="BR44" s="25" t="str">
        <f>_xlfn.CONCAT($A45," ",$B45," ",$D45)</f>
        <v>2025 Volkswagen Group of Q6 e-tron</v>
      </c>
      <c r="BS44" s="25"/>
      <c r="BT44" s="25"/>
      <c r="BU44" s="25"/>
      <c r="BV44" s="25"/>
      <c r="BW44" s="153"/>
      <c r="BX44" s="25"/>
      <c r="BY44" s="25"/>
      <c r="BZ44" s="25"/>
      <c r="CA44" s="25"/>
      <c r="CB44" s="25"/>
      <c r="CC44" s="25"/>
      <c r="CD44" s="25"/>
      <c r="CE44" s="25"/>
      <c r="CF44" s="25"/>
      <c r="CG44" s="25"/>
      <c r="CH44" s="25"/>
      <c r="CI44" s="25"/>
      <c r="CJ44" s="25"/>
      <c r="CK44" s="25"/>
      <c r="CL44" s="25"/>
      <c r="CM44" s="25"/>
      <c r="CN44" s="25"/>
      <c r="CO44" s="25"/>
      <c r="CP44" s="25" t="str">
        <f>_xlfn.CONCAT($A45," ",$B45," ",$D45)</f>
        <v>2025 Volkswagen Group of Q6 e-tron</v>
      </c>
      <c r="CQ44" s="25"/>
      <c r="CR44" s="25"/>
      <c r="CS44" s="25"/>
      <c r="CT44" s="25"/>
      <c r="CU44" s="25"/>
      <c r="CV44" s="25"/>
      <c r="CW44" s="25"/>
      <c r="CX44" s="25"/>
      <c r="CY44" s="25"/>
      <c r="CZ44" s="25"/>
      <c r="DA44" s="25"/>
      <c r="DB44" s="25"/>
      <c r="DC44" s="25"/>
      <c r="DD44" s="25"/>
      <c r="DE44" s="25"/>
      <c r="DF44" s="25"/>
      <c r="DG44" s="25"/>
      <c r="DH44" s="25"/>
      <c r="DI44" s="25" t="str">
        <f>_xlfn.CONCAT($A45," ",$B45," ",$D45)</f>
        <v>2025 Volkswagen Group of Q6 e-tron</v>
      </c>
      <c r="DJ44" s="25"/>
      <c r="DK44" s="25"/>
      <c r="DL44" s="25"/>
      <c r="DM44" s="25"/>
      <c r="DN44" s="25"/>
      <c r="DO44" s="25"/>
      <c r="DP44" s="25"/>
      <c r="DQ44" s="25"/>
      <c r="DR44" s="25"/>
      <c r="DS44" s="25"/>
      <c r="DT44" s="25"/>
      <c r="DU44" s="25"/>
      <c r="DV44" s="25"/>
      <c r="DW44" s="25"/>
      <c r="DX44" s="25"/>
      <c r="DY44" s="25"/>
      <c r="DZ44" s="25" t="str">
        <f>_xlfn.CONCAT($A45," ",$B45," ",$D45)</f>
        <v>2025 Volkswagen Group of Q6 e-tron</v>
      </c>
      <c r="EA44" s="89"/>
      <c r="EB44" s="25"/>
      <c r="EC44" s="25"/>
      <c r="ED44" s="25"/>
      <c r="EE44" s="25"/>
      <c r="EF44" s="25"/>
      <c r="EG44" s="25"/>
      <c r="EH44" s="25"/>
      <c r="EI44" s="25"/>
      <c r="EJ44" s="25"/>
      <c r="EK44" s="25"/>
      <c r="EL44" s="25"/>
      <c r="EM44" s="25"/>
      <c r="EN44" s="25"/>
      <c r="EO44" s="25"/>
      <c r="EP44" s="25"/>
      <c r="EQ44" s="25"/>
      <c r="ER44" s="25"/>
      <c r="ES44" s="25"/>
      <c r="ET44" s="25"/>
      <c r="EU44" s="25"/>
      <c r="EV44" s="25" t="str">
        <f>_xlfn.CONCAT($A45," ",$B45," ",$D45)</f>
        <v>2025 Volkswagen Group of Q6 e-tron</v>
      </c>
      <c r="EW44" s="25"/>
      <c r="EX44" s="25"/>
      <c r="EY44" s="25"/>
      <c r="EZ44" s="25"/>
      <c r="FA44" s="25"/>
      <c r="FB44" s="25"/>
      <c r="FC44" s="25"/>
      <c r="FD44" s="25"/>
      <c r="FE44" s="25"/>
      <c r="FF44" s="25"/>
      <c r="FG44" s="25"/>
    </row>
    <row r="45" spans="1:165" x14ac:dyDescent="0.35">
      <c r="A45">
        <v>2025</v>
      </c>
      <c r="B45" t="s">
        <v>205</v>
      </c>
      <c r="C45" t="s">
        <v>385</v>
      </c>
      <c r="D45" t="s">
        <v>1751</v>
      </c>
      <c r="E45" t="s">
        <v>208</v>
      </c>
      <c r="F45">
        <v>610</v>
      </c>
      <c r="G45">
        <v>0</v>
      </c>
      <c r="I45" t="s">
        <v>1734</v>
      </c>
      <c r="J45">
        <v>106</v>
      </c>
      <c r="K45">
        <v>93</v>
      </c>
      <c r="L45">
        <v>100</v>
      </c>
      <c r="M45">
        <v>151.9</v>
      </c>
      <c r="N45">
        <v>132.80000000000001</v>
      </c>
      <c r="O45">
        <v>142.66640000000001</v>
      </c>
      <c r="P45">
        <v>106.33</v>
      </c>
      <c r="Q45">
        <v>92.96</v>
      </c>
      <c r="R45">
        <v>99.866500000000002</v>
      </c>
      <c r="V45" t="s">
        <v>167</v>
      </c>
      <c r="W45" t="s">
        <v>168</v>
      </c>
      <c r="Y45">
        <v>1</v>
      </c>
      <c r="Z45" t="s">
        <v>169</v>
      </c>
      <c r="AA45" t="s">
        <v>170</v>
      </c>
      <c r="AB45" t="s">
        <v>171</v>
      </c>
      <c r="AC45" t="s">
        <v>172</v>
      </c>
      <c r="AF45">
        <v>310</v>
      </c>
      <c r="AG45" t="s">
        <v>1735</v>
      </c>
      <c r="AH45" t="s">
        <v>1736</v>
      </c>
      <c r="AI45" t="s">
        <v>175</v>
      </c>
      <c r="AJ45" t="s">
        <v>176</v>
      </c>
      <c r="AK45">
        <v>4</v>
      </c>
      <c r="AL45" t="s">
        <v>1737</v>
      </c>
      <c r="AS45">
        <v>800</v>
      </c>
      <c r="AT45">
        <v>0</v>
      </c>
      <c r="BQ45">
        <v>32</v>
      </c>
      <c r="BR45" t="s">
        <v>1453</v>
      </c>
      <c r="BT45" t="s">
        <v>1738</v>
      </c>
      <c r="BU45" s="1">
        <v>47022</v>
      </c>
      <c r="BV45">
        <v>35543</v>
      </c>
      <c r="BW45" s="154"/>
      <c r="BX45" t="s">
        <v>169</v>
      </c>
      <c r="BY45" t="s">
        <v>170</v>
      </c>
      <c r="CB45" t="s">
        <v>170</v>
      </c>
      <c r="CC45" t="s">
        <v>170</v>
      </c>
      <c r="CK45" t="s">
        <v>233</v>
      </c>
      <c r="CM45">
        <v>12</v>
      </c>
      <c r="CN45" t="s">
        <v>234</v>
      </c>
      <c r="CP45">
        <v>661</v>
      </c>
      <c r="CQ45">
        <v>151.6</v>
      </c>
      <c r="CR45">
        <v>173</v>
      </c>
      <c r="CS45" t="s">
        <v>1752</v>
      </c>
      <c r="CV45" t="s">
        <v>341</v>
      </c>
      <c r="CX45" t="s">
        <v>1012</v>
      </c>
      <c r="CY45" t="s">
        <v>169</v>
      </c>
      <c r="DC45" t="s">
        <v>1753</v>
      </c>
      <c r="DD45">
        <v>1</v>
      </c>
      <c r="DE45" t="s">
        <v>404</v>
      </c>
      <c r="DF45" t="s">
        <v>1754</v>
      </c>
      <c r="DG45">
        <v>225</v>
      </c>
      <c r="DL45" t="s">
        <v>170</v>
      </c>
      <c r="DM45" t="s">
        <v>169</v>
      </c>
      <c r="DP45" t="s">
        <v>170</v>
      </c>
      <c r="DQ45" t="s">
        <v>187</v>
      </c>
      <c r="DR45" t="s">
        <v>2440</v>
      </c>
      <c r="EA45" s="101"/>
      <c r="EB45">
        <v>9</v>
      </c>
      <c r="EC45">
        <v>10</v>
      </c>
      <c r="EE45" t="s">
        <v>1756</v>
      </c>
      <c r="EF45">
        <v>10</v>
      </c>
      <c r="EU45">
        <v>5500</v>
      </c>
      <c r="EW45">
        <v>0</v>
      </c>
      <c r="EX45">
        <v>0</v>
      </c>
      <c r="EY45">
        <v>0</v>
      </c>
      <c r="FA45">
        <v>14</v>
      </c>
      <c r="FG45">
        <v>329</v>
      </c>
      <c r="FH45">
        <v>287</v>
      </c>
      <c r="FI45">
        <v>310</v>
      </c>
    </row>
    <row r="46" spans="1:165" x14ac:dyDescent="0.35">
      <c r="A46">
        <v>2025</v>
      </c>
      <c r="B46" t="s">
        <v>205</v>
      </c>
      <c r="C46" t="s">
        <v>385</v>
      </c>
      <c r="D46" t="s">
        <v>1751</v>
      </c>
      <c r="E46" t="s">
        <v>208</v>
      </c>
      <c r="F46">
        <v>610</v>
      </c>
      <c r="G46">
        <v>0</v>
      </c>
      <c r="I46" t="s">
        <v>1734</v>
      </c>
      <c r="J46">
        <v>32</v>
      </c>
      <c r="K46">
        <v>36</v>
      </c>
      <c r="L46">
        <v>34</v>
      </c>
      <c r="M46">
        <v>22.192699999999999</v>
      </c>
      <c r="N46">
        <v>25.386700000000001</v>
      </c>
      <c r="O46">
        <v>23.63</v>
      </c>
      <c r="P46">
        <v>31.698499999999999</v>
      </c>
      <c r="Q46">
        <v>36.2575</v>
      </c>
      <c r="R46">
        <v>33.750100000000003</v>
      </c>
      <c r="V46" t="s">
        <v>167</v>
      </c>
      <c r="W46" t="s">
        <v>168</v>
      </c>
      <c r="Y46">
        <v>1</v>
      </c>
      <c r="Z46" t="s">
        <v>169</v>
      </c>
      <c r="AA46" t="s">
        <v>170</v>
      </c>
      <c r="AB46" t="s">
        <v>171</v>
      </c>
      <c r="AC46" t="s">
        <v>172</v>
      </c>
      <c r="AF46">
        <v>310</v>
      </c>
      <c r="AG46" t="s">
        <v>1735</v>
      </c>
      <c r="AH46" t="s">
        <v>1736</v>
      </c>
      <c r="AI46" t="s">
        <v>1742</v>
      </c>
      <c r="AJ46" t="s">
        <v>1743</v>
      </c>
      <c r="AK46">
        <v>4</v>
      </c>
      <c r="AL46" t="s">
        <v>1737</v>
      </c>
      <c r="AS46">
        <v>800</v>
      </c>
      <c r="AT46">
        <v>800</v>
      </c>
      <c r="BQ46">
        <v>32</v>
      </c>
      <c r="BR46" t="s">
        <v>1453</v>
      </c>
      <c r="BT46" t="s">
        <v>1738</v>
      </c>
      <c r="BU46" s="1">
        <v>47022</v>
      </c>
      <c r="BV46">
        <v>35543</v>
      </c>
      <c r="BW46" s="154"/>
      <c r="BX46" t="s">
        <v>169</v>
      </c>
      <c r="BY46" t="s">
        <v>170</v>
      </c>
      <c r="CB46" t="s">
        <v>170</v>
      </c>
      <c r="CC46" t="s">
        <v>170</v>
      </c>
      <c r="CK46" t="s">
        <v>233</v>
      </c>
      <c r="CM46">
        <v>12</v>
      </c>
      <c r="CN46" t="s">
        <v>234</v>
      </c>
      <c r="CP46">
        <v>661</v>
      </c>
      <c r="CQ46">
        <v>151.6</v>
      </c>
      <c r="CR46">
        <v>173</v>
      </c>
      <c r="CS46" t="s">
        <v>1752</v>
      </c>
      <c r="CV46" t="s">
        <v>341</v>
      </c>
      <c r="CX46" t="s">
        <v>1012</v>
      </c>
      <c r="CY46" t="s">
        <v>169</v>
      </c>
      <c r="DC46" t="s">
        <v>1753</v>
      </c>
      <c r="DD46">
        <v>1</v>
      </c>
      <c r="DE46" t="s">
        <v>404</v>
      </c>
      <c r="DF46" t="s">
        <v>1754</v>
      </c>
      <c r="DG46">
        <v>225</v>
      </c>
      <c r="DL46" t="s">
        <v>170</v>
      </c>
      <c r="DM46" t="s">
        <v>169</v>
      </c>
      <c r="DP46" t="s">
        <v>170</v>
      </c>
      <c r="DQ46" t="s">
        <v>187</v>
      </c>
      <c r="DR46" t="s">
        <v>2440</v>
      </c>
      <c r="EA46" s="101"/>
      <c r="EB46">
        <v>9</v>
      </c>
      <c r="EC46">
        <v>10</v>
      </c>
      <c r="EE46" t="s">
        <v>1756</v>
      </c>
      <c r="EF46">
        <v>10</v>
      </c>
      <c r="EU46">
        <v>5500</v>
      </c>
      <c r="EW46">
        <v>0</v>
      </c>
      <c r="EX46">
        <v>0</v>
      </c>
      <c r="EY46">
        <v>0</v>
      </c>
      <c r="FA46">
        <v>14</v>
      </c>
      <c r="FG46">
        <v>329</v>
      </c>
      <c r="FH46">
        <v>287</v>
      </c>
      <c r="FI46">
        <v>310</v>
      </c>
    </row>
    <row r="47" spans="1:165" x14ac:dyDescent="0.35">
      <c r="A47" s="25"/>
      <c r="B47" s="25"/>
      <c r="C47" s="25"/>
      <c r="D47" s="25"/>
      <c r="E47" s="25"/>
      <c r="F47" s="25" t="str">
        <f>_xlfn.CONCAT($A48," ",$B48," ",$D48)</f>
        <v>2025 Volkswagen Group of Q6 e-tron ultra</v>
      </c>
      <c r="G47" s="25"/>
      <c r="H47" s="25"/>
      <c r="I47" s="25"/>
      <c r="J47" s="25"/>
      <c r="K47" s="25"/>
      <c r="L47" s="25"/>
      <c r="M47" s="25"/>
      <c r="N47" s="25"/>
      <c r="O47" s="25"/>
      <c r="P47" s="25"/>
      <c r="Q47" s="25"/>
      <c r="R47" s="25"/>
      <c r="S47" s="25"/>
      <c r="T47" s="25"/>
      <c r="U47" s="25"/>
      <c r="V47" s="25"/>
      <c r="W47" s="25"/>
      <c r="X47" s="25"/>
      <c r="Y47" s="25"/>
      <c r="Z47" s="25"/>
      <c r="AA47" s="25"/>
      <c r="AB47" s="25"/>
      <c r="AC47" s="25"/>
      <c r="AD47" s="25" t="str">
        <f>_xlfn.CONCAT($A48," ",$B48," ",$D48)</f>
        <v>2025 Volkswagen Group of Q6 e-tron ultra</v>
      </c>
      <c r="AE47" s="25"/>
      <c r="AF47" s="25"/>
      <c r="AG47" s="25"/>
      <c r="AH47" s="25"/>
      <c r="AI47" s="25"/>
      <c r="AJ47" s="25"/>
      <c r="AK47" s="25"/>
      <c r="AL47" s="25"/>
      <c r="AM47" s="25"/>
      <c r="AN47" s="25"/>
      <c r="AO47" s="25"/>
      <c r="AP47" s="25"/>
      <c r="AQ47" s="25"/>
      <c r="AR47" s="25"/>
      <c r="AS47" s="25"/>
      <c r="AT47" s="25"/>
      <c r="AU47" s="25"/>
      <c r="AV47" s="25"/>
      <c r="AW47" s="25"/>
      <c r="AX47" s="25" t="str">
        <f>_xlfn.CONCAT($A48," ",$B48," ",$D48)</f>
        <v>2025 Volkswagen Group of Q6 e-tron ultra</v>
      </c>
      <c r="AY47" s="25"/>
      <c r="AZ47" s="25"/>
      <c r="BA47" s="25"/>
      <c r="BB47" s="25"/>
      <c r="BC47" s="25"/>
      <c r="BD47" s="25"/>
      <c r="BE47" s="25"/>
      <c r="BF47" s="25"/>
      <c r="BG47" s="25"/>
      <c r="BH47" s="25"/>
      <c r="BI47" s="25"/>
      <c r="BJ47" s="25"/>
      <c r="BK47" s="25"/>
      <c r="BL47" s="25"/>
      <c r="BM47" s="25"/>
      <c r="BN47" s="25"/>
      <c r="BO47" s="25"/>
      <c r="BP47" s="25"/>
      <c r="BQ47" s="25"/>
      <c r="BR47" s="25" t="str">
        <f>_xlfn.CONCAT($A48," ",$B48," ",$D48)</f>
        <v>2025 Volkswagen Group of Q6 e-tron ultra</v>
      </c>
      <c r="BS47" s="25"/>
      <c r="BT47" s="25"/>
      <c r="BU47" s="25"/>
      <c r="BV47" s="25"/>
      <c r="BW47" s="153"/>
      <c r="BX47" s="25"/>
      <c r="BY47" s="25"/>
      <c r="BZ47" s="25"/>
      <c r="CA47" s="25"/>
      <c r="CB47" s="25"/>
      <c r="CC47" s="25"/>
      <c r="CD47" s="25"/>
      <c r="CE47" s="25"/>
      <c r="CF47" s="25"/>
      <c r="CG47" s="25"/>
      <c r="CH47" s="25"/>
      <c r="CI47" s="25"/>
      <c r="CJ47" s="25"/>
      <c r="CK47" s="25"/>
      <c r="CL47" s="25"/>
      <c r="CM47" s="25"/>
      <c r="CN47" s="25"/>
      <c r="CO47" s="25"/>
      <c r="CP47" s="25" t="str">
        <f>_xlfn.CONCAT($A48," ",$B48," ",$D48)</f>
        <v>2025 Volkswagen Group of Q6 e-tron ultra</v>
      </c>
      <c r="CQ47" s="25"/>
      <c r="CR47" s="25"/>
      <c r="CS47" s="25"/>
      <c r="CT47" s="25"/>
      <c r="CU47" s="25"/>
      <c r="CV47" s="25"/>
      <c r="CW47" s="25"/>
      <c r="CX47" s="25"/>
      <c r="CY47" s="25"/>
      <c r="CZ47" s="25"/>
      <c r="DA47" s="25"/>
      <c r="DB47" s="25"/>
      <c r="DC47" s="25"/>
      <c r="DD47" s="25"/>
      <c r="DE47" s="25"/>
      <c r="DF47" s="25"/>
      <c r="DG47" s="25"/>
      <c r="DH47" s="25"/>
      <c r="DI47" s="25" t="str">
        <f>_xlfn.CONCAT($A48," ",$B48," ",$D48)</f>
        <v>2025 Volkswagen Group of Q6 e-tron ultra</v>
      </c>
      <c r="DJ47" s="25"/>
      <c r="DK47" s="25"/>
      <c r="DL47" s="25"/>
      <c r="DM47" s="25"/>
      <c r="DN47" s="25"/>
      <c r="DO47" s="25"/>
      <c r="DP47" s="25"/>
      <c r="DQ47" s="25"/>
      <c r="DR47" s="25"/>
      <c r="DS47" s="25"/>
      <c r="DT47" s="25"/>
      <c r="DU47" s="25"/>
      <c r="DV47" s="25"/>
      <c r="DW47" s="25"/>
      <c r="DX47" s="25"/>
      <c r="DY47" s="25"/>
      <c r="DZ47" s="25" t="str">
        <f>_xlfn.CONCAT($A48," ",$B48," ",$D48)</f>
        <v>2025 Volkswagen Group of Q6 e-tron ultra</v>
      </c>
      <c r="EA47" s="89"/>
      <c r="EB47" s="25"/>
      <c r="EC47" s="25"/>
      <c r="ED47" s="25"/>
      <c r="EE47" s="25"/>
      <c r="EF47" s="25"/>
      <c r="EG47" s="25"/>
      <c r="EH47" s="25"/>
      <c r="EI47" s="25"/>
      <c r="EJ47" s="25"/>
      <c r="EK47" s="25"/>
      <c r="EL47" s="25"/>
      <c r="EM47" s="25"/>
      <c r="EN47" s="25"/>
      <c r="EO47" s="25"/>
      <c r="EP47" s="25"/>
      <c r="EQ47" s="25"/>
      <c r="ER47" s="25"/>
      <c r="ES47" s="25"/>
      <c r="ET47" s="25"/>
      <c r="EU47" s="25"/>
      <c r="EV47" s="25" t="str">
        <f>_xlfn.CONCAT($A48," ",$B48," ",$D48)</f>
        <v>2025 Volkswagen Group of Q6 e-tron ultra</v>
      </c>
      <c r="EW47" s="25"/>
      <c r="EX47" s="25"/>
      <c r="EY47" s="25"/>
      <c r="EZ47" s="25"/>
      <c r="FA47" s="25"/>
      <c r="FB47" s="25"/>
      <c r="FC47" s="25"/>
      <c r="FD47" s="25"/>
      <c r="FE47" s="25"/>
      <c r="FF47" s="25"/>
      <c r="FG47" s="25"/>
    </row>
    <row r="48" spans="1:165" x14ac:dyDescent="0.35">
      <c r="A48">
        <v>2025</v>
      </c>
      <c r="B48" t="s">
        <v>205</v>
      </c>
      <c r="C48" t="s">
        <v>385</v>
      </c>
      <c r="D48" t="s">
        <v>1764</v>
      </c>
      <c r="E48" t="s">
        <v>208</v>
      </c>
      <c r="F48">
        <v>611</v>
      </c>
      <c r="G48">
        <v>0</v>
      </c>
      <c r="I48" t="s">
        <v>1734</v>
      </c>
      <c r="J48">
        <v>112</v>
      </c>
      <c r="K48">
        <v>96</v>
      </c>
      <c r="L48">
        <v>104</v>
      </c>
      <c r="M48">
        <v>159.30000000000001</v>
      </c>
      <c r="N48">
        <v>136.6</v>
      </c>
      <c r="O48">
        <v>148.21629999999999</v>
      </c>
      <c r="P48">
        <v>111.51</v>
      </c>
      <c r="Q48">
        <v>95.62</v>
      </c>
      <c r="R48">
        <v>103.7514</v>
      </c>
      <c r="V48" t="s">
        <v>167</v>
      </c>
      <c r="W48" t="s">
        <v>168</v>
      </c>
      <c r="Y48">
        <v>1</v>
      </c>
      <c r="Z48" t="s">
        <v>169</v>
      </c>
      <c r="AA48" t="s">
        <v>170</v>
      </c>
      <c r="AB48" t="s">
        <v>171</v>
      </c>
      <c r="AC48" t="s">
        <v>172</v>
      </c>
      <c r="AF48">
        <v>321</v>
      </c>
      <c r="AG48" t="s">
        <v>1735</v>
      </c>
      <c r="AH48" t="s">
        <v>1736</v>
      </c>
      <c r="AI48" t="s">
        <v>175</v>
      </c>
      <c r="AJ48" t="s">
        <v>176</v>
      </c>
      <c r="AK48">
        <v>4</v>
      </c>
      <c r="AL48" t="s">
        <v>1737</v>
      </c>
      <c r="AS48">
        <v>800</v>
      </c>
      <c r="AT48">
        <v>0</v>
      </c>
      <c r="BQ48">
        <v>32</v>
      </c>
      <c r="BR48" t="s">
        <v>1453</v>
      </c>
      <c r="BT48" t="s">
        <v>1738</v>
      </c>
      <c r="BU48" s="1">
        <v>45560</v>
      </c>
      <c r="BV48">
        <v>35542</v>
      </c>
      <c r="BW48" s="155"/>
      <c r="BX48" t="s">
        <v>169</v>
      </c>
      <c r="BY48" t="s">
        <v>170</v>
      </c>
      <c r="CB48" t="s">
        <v>170</v>
      </c>
      <c r="CC48" t="s">
        <v>170</v>
      </c>
      <c r="CK48" t="s">
        <v>233</v>
      </c>
      <c r="CM48">
        <v>12</v>
      </c>
      <c r="CN48" t="s">
        <v>234</v>
      </c>
      <c r="CP48">
        <v>661</v>
      </c>
      <c r="CQ48">
        <v>151.6</v>
      </c>
      <c r="CR48">
        <v>173</v>
      </c>
      <c r="CS48" t="s">
        <v>1752</v>
      </c>
      <c r="CV48" t="s">
        <v>341</v>
      </c>
      <c r="CX48" t="s">
        <v>1012</v>
      </c>
      <c r="CY48" t="s">
        <v>169</v>
      </c>
      <c r="DC48" t="s">
        <v>1753</v>
      </c>
      <c r="DD48">
        <v>1</v>
      </c>
      <c r="DE48" t="s">
        <v>404</v>
      </c>
      <c r="DF48" t="s">
        <v>1754</v>
      </c>
      <c r="DG48">
        <v>225</v>
      </c>
      <c r="DL48" t="s">
        <v>170</v>
      </c>
      <c r="DM48" t="s">
        <v>169</v>
      </c>
      <c r="DP48" t="s">
        <v>170</v>
      </c>
      <c r="DQ48" t="s">
        <v>187</v>
      </c>
      <c r="EA48" s="101"/>
      <c r="EB48">
        <v>9</v>
      </c>
      <c r="EC48">
        <v>10</v>
      </c>
      <c r="EE48" t="s">
        <v>1756</v>
      </c>
      <c r="EF48">
        <v>10</v>
      </c>
      <c r="EU48">
        <v>5750</v>
      </c>
      <c r="EW48">
        <v>0</v>
      </c>
      <c r="EX48">
        <v>0</v>
      </c>
      <c r="EY48">
        <v>0</v>
      </c>
      <c r="FA48">
        <v>14</v>
      </c>
      <c r="FG48">
        <v>343</v>
      </c>
      <c r="FH48">
        <v>294</v>
      </c>
      <c r="FI48">
        <v>321</v>
      </c>
    </row>
    <row r="49" spans="1:165" x14ac:dyDescent="0.35">
      <c r="A49">
        <v>2025</v>
      </c>
      <c r="B49" t="s">
        <v>205</v>
      </c>
      <c r="C49" t="s">
        <v>385</v>
      </c>
      <c r="D49" t="s">
        <v>1764</v>
      </c>
      <c r="E49" t="s">
        <v>208</v>
      </c>
      <c r="F49">
        <v>611</v>
      </c>
      <c r="G49">
        <v>0</v>
      </c>
      <c r="I49" t="s">
        <v>1734</v>
      </c>
      <c r="J49">
        <v>30</v>
      </c>
      <c r="K49">
        <v>35</v>
      </c>
      <c r="L49">
        <v>32</v>
      </c>
      <c r="M49">
        <v>21.162199999999999</v>
      </c>
      <c r="N49">
        <v>24.665800000000001</v>
      </c>
      <c r="O49">
        <v>22.738800000000001</v>
      </c>
      <c r="P49">
        <v>30.225999999999999</v>
      </c>
      <c r="Q49">
        <v>35.248899999999999</v>
      </c>
      <c r="R49">
        <v>32.4863</v>
      </c>
      <c r="V49" t="s">
        <v>167</v>
      </c>
      <c r="W49" t="s">
        <v>168</v>
      </c>
      <c r="Y49">
        <v>1</v>
      </c>
      <c r="Z49" t="s">
        <v>169</v>
      </c>
      <c r="AA49" t="s">
        <v>170</v>
      </c>
      <c r="AB49" t="s">
        <v>171</v>
      </c>
      <c r="AC49" t="s">
        <v>172</v>
      </c>
      <c r="AF49">
        <v>321</v>
      </c>
      <c r="AG49" t="s">
        <v>1735</v>
      </c>
      <c r="AH49" t="s">
        <v>1736</v>
      </c>
      <c r="AI49" t="s">
        <v>1742</v>
      </c>
      <c r="AJ49" t="s">
        <v>1743</v>
      </c>
      <c r="AK49">
        <v>4</v>
      </c>
      <c r="AL49" t="s">
        <v>1737</v>
      </c>
      <c r="AS49">
        <v>750</v>
      </c>
      <c r="AT49">
        <v>750</v>
      </c>
      <c r="BQ49">
        <v>32</v>
      </c>
      <c r="BR49" t="s">
        <v>1453</v>
      </c>
      <c r="BT49" t="s">
        <v>1738</v>
      </c>
      <c r="BU49" s="1">
        <v>45560</v>
      </c>
      <c r="BV49">
        <v>35542</v>
      </c>
      <c r="BW49" s="155"/>
      <c r="BX49" t="s">
        <v>169</v>
      </c>
      <c r="BY49" t="s">
        <v>170</v>
      </c>
      <c r="CB49" t="s">
        <v>170</v>
      </c>
      <c r="CC49" t="s">
        <v>170</v>
      </c>
      <c r="CK49" t="s">
        <v>233</v>
      </c>
      <c r="CM49">
        <v>12</v>
      </c>
      <c r="CN49" t="s">
        <v>234</v>
      </c>
      <c r="CP49">
        <v>661</v>
      </c>
      <c r="CQ49">
        <v>151.6</v>
      </c>
      <c r="CR49">
        <v>173</v>
      </c>
      <c r="CS49" t="s">
        <v>1752</v>
      </c>
      <c r="CV49" t="s">
        <v>341</v>
      </c>
      <c r="CX49" t="s">
        <v>1012</v>
      </c>
      <c r="CY49" t="s">
        <v>169</v>
      </c>
      <c r="DC49" t="s">
        <v>1753</v>
      </c>
      <c r="DD49">
        <v>1</v>
      </c>
      <c r="DE49" t="s">
        <v>404</v>
      </c>
      <c r="DF49" t="s">
        <v>1754</v>
      </c>
      <c r="DG49">
        <v>225</v>
      </c>
      <c r="DL49" t="s">
        <v>170</v>
      </c>
      <c r="DM49" t="s">
        <v>169</v>
      </c>
      <c r="DP49" t="s">
        <v>170</v>
      </c>
      <c r="DQ49" t="s">
        <v>187</v>
      </c>
      <c r="EA49" s="101"/>
      <c r="EB49">
        <v>9</v>
      </c>
      <c r="EC49">
        <v>10</v>
      </c>
      <c r="EE49" t="s">
        <v>1756</v>
      </c>
      <c r="EF49">
        <v>10</v>
      </c>
      <c r="EU49">
        <v>5750</v>
      </c>
      <c r="EW49">
        <v>0</v>
      </c>
      <c r="EX49">
        <v>0</v>
      </c>
      <c r="EY49">
        <v>0</v>
      </c>
      <c r="FA49">
        <v>14</v>
      </c>
      <c r="FG49">
        <v>343</v>
      </c>
      <c r="FH49">
        <v>294</v>
      </c>
      <c r="FI49">
        <v>321</v>
      </c>
    </row>
    <row r="50" spans="1:165" x14ac:dyDescent="0.35">
      <c r="A50" s="25"/>
      <c r="B50" s="25"/>
      <c r="C50" s="25"/>
      <c r="D50" s="25"/>
      <c r="E50" s="25"/>
      <c r="F50" s="25" t="str">
        <f>_xlfn.CONCAT($A51," ",$B51," ",$D51)</f>
        <v>2025 Volkswagen Group of Q6 e-tron quattro</v>
      </c>
      <c r="G50" s="25"/>
      <c r="H50" s="25"/>
      <c r="I50" s="25"/>
      <c r="J50" s="25"/>
      <c r="K50" s="25"/>
      <c r="L50" s="25"/>
      <c r="M50" s="25"/>
      <c r="N50" s="25"/>
      <c r="O50" s="25"/>
      <c r="P50" s="25"/>
      <c r="Q50" s="25"/>
      <c r="R50" s="25"/>
      <c r="S50" s="25"/>
      <c r="T50" s="25"/>
      <c r="U50" s="25"/>
      <c r="V50" s="25"/>
      <c r="W50" s="25"/>
      <c r="X50" s="25"/>
      <c r="Y50" s="25"/>
      <c r="Z50" s="25"/>
      <c r="AA50" s="25"/>
      <c r="AB50" s="25"/>
      <c r="AC50" s="25"/>
      <c r="AD50" s="25" t="str">
        <f>_xlfn.CONCAT($A51," ",$B51," ",$D51)</f>
        <v>2025 Volkswagen Group of Q6 e-tron quattro</v>
      </c>
      <c r="AE50" s="25"/>
      <c r="AF50" s="25"/>
      <c r="AG50" s="25"/>
      <c r="AH50" s="25"/>
      <c r="AI50" s="25"/>
      <c r="AJ50" s="25"/>
      <c r="AK50" s="25"/>
      <c r="AL50" s="25"/>
      <c r="AM50" s="25"/>
      <c r="AN50" s="25"/>
      <c r="AO50" s="25"/>
      <c r="AP50" s="25"/>
      <c r="AQ50" s="25"/>
      <c r="AR50" s="25"/>
      <c r="AS50" s="25"/>
      <c r="AT50" s="25"/>
      <c r="AU50" s="25"/>
      <c r="AV50" s="25"/>
      <c r="AW50" s="25"/>
      <c r="AX50" s="25" t="str">
        <f>_xlfn.CONCAT($A51," ",$B51," ",$D51)</f>
        <v>2025 Volkswagen Group of Q6 e-tron quattro</v>
      </c>
      <c r="AY50" s="25"/>
      <c r="AZ50" s="25"/>
      <c r="BA50" s="25"/>
      <c r="BB50" s="25"/>
      <c r="BC50" s="25"/>
      <c r="BD50" s="25"/>
      <c r="BE50" s="25"/>
      <c r="BF50" s="25"/>
      <c r="BG50" s="25"/>
      <c r="BH50" s="25"/>
      <c r="BI50" s="25"/>
      <c r="BJ50" s="25"/>
      <c r="BK50" s="25"/>
      <c r="BL50" s="25"/>
      <c r="BM50" s="25"/>
      <c r="BN50" s="25"/>
      <c r="BO50" s="25"/>
      <c r="BP50" s="25"/>
      <c r="BQ50" s="25"/>
      <c r="BR50" s="25" t="str">
        <f>_xlfn.CONCAT($A51," ",$B51," ",$D51)</f>
        <v>2025 Volkswagen Group of Q6 e-tron quattro</v>
      </c>
      <c r="BS50" s="25"/>
      <c r="BT50" s="25"/>
      <c r="BU50" s="25"/>
      <c r="BV50" s="25"/>
      <c r="BW50" s="156"/>
      <c r="BX50" s="25"/>
      <c r="BY50" s="25"/>
      <c r="BZ50" s="25"/>
      <c r="CA50" s="25"/>
      <c r="CB50" s="25"/>
      <c r="CC50" s="25"/>
      <c r="CD50" s="25"/>
      <c r="CE50" s="25"/>
      <c r="CF50" s="25"/>
      <c r="CG50" s="25"/>
      <c r="CH50" s="25"/>
      <c r="CI50" s="25"/>
      <c r="CJ50" s="25"/>
      <c r="CK50" s="25"/>
      <c r="CL50" s="25"/>
      <c r="CM50" s="25"/>
      <c r="CN50" s="25"/>
      <c r="CO50" s="25"/>
      <c r="CP50" s="25" t="str">
        <f>_xlfn.CONCAT($A51," ",$B51," ",$D51)</f>
        <v>2025 Volkswagen Group of Q6 e-tron quattro</v>
      </c>
      <c r="CQ50" s="25"/>
      <c r="CR50" s="25"/>
      <c r="CS50" s="25"/>
      <c r="CT50" s="25"/>
      <c r="CU50" s="25"/>
      <c r="CV50" s="25"/>
      <c r="CW50" s="25"/>
      <c r="CX50" s="25"/>
      <c r="CY50" s="25"/>
      <c r="CZ50" s="25"/>
      <c r="DA50" s="25"/>
      <c r="DB50" s="25"/>
      <c r="DC50" s="25"/>
      <c r="DD50" s="25"/>
      <c r="DE50" s="25"/>
      <c r="DF50" s="25"/>
      <c r="DG50" s="25"/>
      <c r="DH50" s="25"/>
      <c r="DI50" s="25" t="str">
        <f>_xlfn.CONCAT($A51," ",$B51," ",$D51)</f>
        <v>2025 Volkswagen Group of Q6 e-tron quattro</v>
      </c>
      <c r="DJ50" s="25"/>
      <c r="DK50" s="25"/>
      <c r="DL50" s="25"/>
      <c r="DM50" s="25"/>
      <c r="DN50" s="25"/>
      <c r="DO50" s="25"/>
      <c r="DP50" s="25"/>
      <c r="DQ50" s="25"/>
      <c r="DR50" s="25"/>
      <c r="DS50" s="25"/>
      <c r="DT50" s="25"/>
      <c r="DU50" s="25"/>
      <c r="DV50" s="25"/>
      <c r="DW50" s="25"/>
      <c r="DX50" s="25"/>
      <c r="DY50" s="25"/>
      <c r="DZ50" s="25" t="str">
        <f>_xlfn.CONCAT($A51," ",$B51," ",$D51)</f>
        <v>2025 Volkswagen Group of Q6 e-tron quattro</v>
      </c>
      <c r="EA50" s="89"/>
      <c r="EB50" s="25"/>
      <c r="EC50" s="25"/>
      <c r="ED50" s="25"/>
      <c r="EE50" s="25"/>
      <c r="EF50" s="25"/>
      <c r="EG50" s="25"/>
      <c r="EH50" s="25"/>
      <c r="EI50" s="25"/>
      <c r="EJ50" s="25"/>
      <c r="EK50" s="25"/>
      <c r="EL50" s="25"/>
      <c r="EM50" s="25"/>
      <c r="EN50" s="25"/>
      <c r="EO50" s="25"/>
      <c r="EP50" s="25"/>
      <c r="EQ50" s="25"/>
      <c r="ER50" s="25"/>
      <c r="ES50" s="25"/>
      <c r="ET50" s="25"/>
      <c r="EU50" s="25"/>
      <c r="EV50" s="25" t="str">
        <f>_xlfn.CONCAT($A51," ",$B51," ",$D51)</f>
        <v>2025 Volkswagen Group of Q6 e-tron quattro</v>
      </c>
      <c r="EW50" s="25"/>
      <c r="EX50" s="25"/>
      <c r="EY50" s="25"/>
      <c r="EZ50" s="25"/>
      <c r="FA50" s="25"/>
      <c r="FB50" s="25"/>
      <c r="FC50" s="25"/>
      <c r="FD50" s="25"/>
      <c r="FE50" s="25"/>
      <c r="FF50" s="25"/>
      <c r="FG50" s="25"/>
    </row>
    <row r="51" spans="1:165" x14ac:dyDescent="0.35">
      <c r="A51">
        <v>2025</v>
      </c>
      <c r="B51" t="s">
        <v>205</v>
      </c>
      <c r="C51" t="s">
        <v>385</v>
      </c>
      <c r="D51" t="s">
        <v>1757</v>
      </c>
      <c r="E51" t="s">
        <v>208</v>
      </c>
      <c r="F51">
        <v>612</v>
      </c>
      <c r="G51">
        <v>0</v>
      </c>
      <c r="I51" t="s">
        <v>1734</v>
      </c>
      <c r="J51">
        <v>105</v>
      </c>
      <c r="K51">
        <v>93</v>
      </c>
      <c r="L51">
        <v>99</v>
      </c>
      <c r="M51">
        <v>149.30000000000001</v>
      </c>
      <c r="N51">
        <v>132.9</v>
      </c>
      <c r="O51">
        <v>141.44550000000001</v>
      </c>
      <c r="P51">
        <v>104.51</v>
      </c>
      <c r="Q51">
        <v>93.03</v>
      </c>
      <c r="R51">
        <v>99.011899999999997</v>
      </c>
      <c r="V51" t="s">
        <v>167</v>
      </c>
      <c r="W51" t="s">
        <v>168</v>
      </c>
      <c r="Y51">
        <v>1</v>
      </c>
      <c r="Z51" t="s">
        <v>170</v>
      </c>
      <c r="AA51" t="s">
        <v>170</v>
      </c>
      <c r="AB51" t="s">
        <v>167</v>
      </c>
      <c r="AC51" t="s">
        <v>213</v>
      </c>
      <c r="AF51">
        <v>307</v>
      </c>
      <c r="AG51" t="s">
        <v>1735</v>
      </c>
      <c r="AH51" t="s">
        <v>1736</v>
      </c>
      <c r="AI51" t="s">
        <v>175</v>
      </c>
      <c r="AJ51" t="s">
        <v>176</v>
      </c>
      <c r="AK51">
        <v>4</v>
      </c>
      <c r="AL51" t="s">
        <v>1737</v>
      </c>
      <c r="AS51">
        <v>800</v>
      </c>
      <c r="AT51">
        <v>800</v>
      </c>
      <c r="BQ51">
        <v>33</v>
      </c>
      <c r="BR51" t="s">
        <v>1497</v>
      </c>
      <c r="BT51" t="s">
        <v>1738</v>
      </c>
      <c r="BU51" s="1">
        <v>45474</v>
      </c>
      <c r="BV51">
        <v>34953</v>
      </c>
      <c r="BW51" s="155"/>
      <c r="BX51" t="s">
        <v>169</v>
      </c>
      <c r="BY51" t="s">
        <v>170</v>
      </c>
      <c r="CB51" t="s">
        <v>170</v>
      </c>
      <c r="CC51" t="s">
        <v>170</v>
      </c>
      <c r="CK51" t="s">
        <v>233</v>
      </c>
      <c r="CM51">
        <v>12</v>
      </c>
      <c r="CN51" t="s">
        <v>234</v>
      </c>
      <c r="CP51">
        <v>662</v>
      </c>
      <c r="CQ51">
        <v>151.1</v>
      </c>
      <c r="CR51">
        <v>169.5</v>
      </c>
      <c r="CS51" t="s">
        <v>1739</v>
      </c>
      <c r="CV51" t="s">
        <v>341</v>
      </c>
      <c r="CX51" t="s">
        <v>342</v>
      </c>
      <c r="CY51" t="s">
        <v>169</v>
      </c>
      <c r="DC51" t="s">
        <v>1758</v>
      </c>
      <c r="DD51">
        <v>2</v>
      </c>
      <c r="DE51" t="s">
        <v>404</v>
      </c>
      <c r="DF51" t="s">
        <v>1759</v>
      </c>
      <c r="DG51" t="s">
        <v>1760</v>
      </c>
      <c r="DL51" t="s">
        <v>170</v>
      </c>
      <c r="DM51" t="s">
        <v>169</v>
      </c>
      <c r="DP51" t="s">
        <v>170</v>
      </c>
      <c r="DQ51" t="s">
        <v>187</v>
      </c>
      <c r="EA51" s="101"/>
      <c r="EB51">
        <v>9</v>
      </c>
      <c r="EC51">
        <v>10</v>
      </c>
      <c r="EE51" t="s">
        <v>1761</v>
      </c>
      <c r="EF51">
        <v>10</v>
      </c>
      <c r="EU51">
        <v>5500</v>
      </c>
      <c r="EW51">
        <v>0</v>
      </c>
      <c r="EX51">
        <v>0</v>
      </c>
      <c r="EY51">
        <v>0</v>
      </c>
      <c r="FA51">
        <v>14</v>
      </c>
      <c r="FG51">
        <v>323</v>
      </c>
      <c r="FH51">
        <v>287</v>
      </c>
      <c r="FI51">
        <v>307</v>
      </c>
    </row>
    <row r="52" spans="1:165" x14ac:dyDescent="0.35">
      <c r="A52">
        <v>2025</v>
      </c>
      <c r="B52" t="s">
        <v>205</v>
      </c>
      <c r="C52" t="s">
        <v>385</v>
      </c>
      <c r="D52" t="s">
        <v>1757</v>
      </c>
      <c r="E52" t="s">
        <v>208</v>
      </c>
      <c r="F52">
        <v>612</v>
      </c>
      <c r="G52">
        <v>0</v>
      </c>
      <c r="I52" t="s">
        <v>1734</v>
      </c>
      <c r="J52">
        <v>32</v>
      </c>
      <c r="K52">
        <v>36</v>
      </c>
      <c r="L52">
        <v>34</v>
      </c>
      <c r="M52">
        <v>22.577300000000001</v>
      </c>
      <c r="N52">
        <v>25.355699999999999</v>
      </c>
      <c r="O52">
        <v>23.8276</v>
      </c>
      <c r="P52">
        <v>32.250500000000002</v>
      </c>
      <c r="Q52">
        <v>36.230200000000004</v>
      </c>
      <c r="R52">
        <v>34.041400000000003</v>
      </c>
      <c r="V52" t="s">
        <v>167</v>
      </c>
      <c r="W52" t="s">
        <v>168</v>
      </c>
      <c r="Y52">
        <v>1</v>
      </c>
      <c r="Z52" t="s">
        <v>170</v>
      </c>
      <c r="AA52" t="s">
        <v>170</v>
      </c>
      <c r="AB52" t="s">
        <v>167</v>
      </c>
      <c r="AC52" t="s">
        <v>213</v>
      </c>
      <c r="AF52">
        <v>307</v>
      </c>
      <c r="AG52" t="s">
        <v>1735</v>
      </c>
      <c r="AH52" t="s">
        <v>1736</v>
      </c>
      <c r="AI52" t="s">
        <v>1742</v>
      </c>
      <c r="AJ52" t="s">
        <v>1743</v>
      </c>
      <c r="AK52">
        <v>4</v>
      </c>
      <c r="AL52" t="s">
        <v>1737</v>
      </c>
      <c r="AS52">
        <v>800</v>
      </c>
      <c r="AT52">
        <v>800</v>
      </c>
      <c r="BQ52">
        <v>33</v>
      </c>
      <c r="BR52" t="s">
        <v>1497</v>
      </c>
      <c r="BT52" t="s">
        <v>1738</v>
      </c>
      <c r="BU52" s="1">
        <v>45474</v>
      </c>
      <c r="BV52">
        <v>34953</v>
      </c>
      <c r="BW52" s="155"/>
      <c r="BX52" t="s">
        <v>169</v>
      </c>
      <c r="BY52" t="s">
        <v>170</v>
      </c>
      <c r="CB52" t="s">
        <v>170</v>
      </c>
      <c r="CC52" t="s">
        <v>170</v>
      </c>
      <c r="CK52" t="s">
        <v>233</v>
      </c>
      <c r="CM52">
        <v>12</v>
      </c>
      <c r="CN52" t="s">
        <v>234</v>
      </c>
      <c r="CP52">
        <v>662</v>
      </c>
      <c r="CQ52">
        <v>151.1</v>
      </c>
      <c r="CR52">
        <v>169.5</v>
      </c>
      <c r="CS52" t="s">
        <v>1739</v>
      </c>
      <c r="CV52" t="s">
        <v>341</v>
      </c>
      <c r="CX52" t="s">
        <v>342</v>
      </c>
      <c r="CY52" t="s">
        <v>169</v>
      </c>
      <c r="DC52" t="s">
        <v>1758</v>
      </c>
      <c r="DD52">
        <v>2</v>
      </c>
      <c r="DE52" t="s">
        <v>404</v>
      </c>
      <c r="DF52" t="s">
        <v>1759</v>
      </c>
      <c r="DG52" t="s">
        <v>1760</v>
      </c>
      <c r="DL52" t="s">
        <v>170</v>
      </c>
      <c r="DM52" t="s">
        <v>169</v>
      </c>
      <c r="DP52" t="s">
        <v>170</v>
      </c>
      <c r="DQ52" t="s">
        <v>187</v>
      </c>
      <c r="EA52" s="101"/>
      <c r="EB52">
        <v>9</v>
      </c>
      <c r="EC52">
        <v>10</v>
      </c>
      <c r="EE52" t="s">
        <v>1761</v>
      </c>
      <c r="EF52">
        <v>10</v>
      </c>
      <c r="EU52">
        <v>5500</v>
      </c>
      <c r="EW52">
        <v>0</v>
      </c>
      <c r="EX52">
        <v>0</v>
      </c>
      <c r="EY52">
        <v>0</v>
      </c>
      <c r="FA52">
        <v>14</v>
      </c>
      <c r="FG52">
        <v>323</v>
      </c>
      <c r="FH52">
        <v>287</v>
      </c>
      <c r="FI52">
        <v>307</v>
      </c>
    </row>
    <row r="53" spans="1:165" x14ac:dyDescent="0.35">
      <c r="A53" s="25"/>
      <c r="B53" s="25"/>
      <c r="C53" s="25"/>
      <c r="D53" s="25"/>
      <c r="E53" s="25"/>
      <c r="F53" s="25" t="str">
        <f>_xlfn.CONCAT($A54," ",$B54," ",$D54)</f>
        <v>2025 Volkswagen Group of SQ6 e-tron</v>
      </c>
      <c r="G53" s="25"/>
      <c r="H53" s="25"/>
      <c r="I53" s="25"/>
      <c r="J53" s="25"/>
      <c r="K53" s="25"/>
      <c r="L53" s="25"/>
      <c r="M53" s="25"/>
      <c r="N53" s="25"/>
      <c r="O53" s="25"/>
      <c r="P53" s="25"/>
      <c r="Q53" s="25"/>
      <c r="R53" s="25"/>
      <c r="S53" s="25"/>
      <c r="T53" s="25"/>
      <c r="U53" s="25"/>
      <c r="V53" s="25"/>
      <c r="W53" s="25"/>
      <c r="X53" s="25"/>
      <c r="Y53" s="25"/>
      <c r="Z53" s="25"/>
      <c r="AA53" s="25"/>
      <c r="AB53" s="25"/>
      <c r="AC53" s="25"/>
      <c r="AD53" s="25" t="str">
        <f>_xlfn.CONCAT($A54," ",$B54," ",$D54)</f>
        <v>2025 Volkswagen Group of SQ6 e-tron</v>
      </c>
      <c r="AE53" s="25"/>
      <c r="AF53" s="25"/>
      <c r="AG53" s="25"/>
      <c r="AH53" s="25"/>
      <c r="AI53" s="25"/>
      <c r="AJ53" s="25"/>
      <c r="AK53" s="25"/>
      <c r="AL53" s="25"/>
      <c r="AM53" s="25"/>
      <c r="AN53" s="25"/>
      <c r="AO53" s="25"/>
      <c r="AP53" s="25"/>
      <c r="AQ53" s="25"/>
      <c r="AR53" s="25"/>
      <c r="AS53" s="25"/>
      <c r="AT53" s="25"/>
      <c r="AU53" s="25"/>
      <c r="AV53" s="25"/>
      <c r="AW53" s="25"/>
      <c r="AX53" s="25" t="str">
        <f>_xlfn.CONCAT($A54," ",$B54," ",$D54)</f>
        <v>2025 Volkswagen Group of SQ6 e-tron</v>
      </c>
      <c r="AY53" s="25"/>
      <c r="AZ53" s="25"/>
      <c r="BA53" s="25"/>
      <c r="BB53" s="25"/>
      <c r="BC53" s="25"/>
      <c r="BD53" s="25"/>
      <c r="BE53" s="25"/>
      <c r="BF53" s="25"/>
      <c r="BG53" s="25"/>
      <c r="BH53" s="25"/>
      <c r="BI53" s="25"/>
      <c r="BJ53" s="25"/>
      <c r="BK53" s="25"/>
      <c r="BL53" s="25"/>
      <c r="BM53" s="25"/>
      <c r="BN53" s="25"/>
      <c r="BO53" s="25"/>
      <c r="BP53" s="25"/>
      <c r="BQ53" s="25"/>
      <c r="BR53" s="25" t="str">
        <f>_xlfn.CONCAT($A54," ",$B54," ",$D54)</f>
        <v>2025 Volkswagen Group of SQ6 e-tron</v>
      </c>
      <c r="BS53" s="25"/>
      <c r="BT53" s="25"/>
      <c r="BU53" s="25"/>
      <c r="BV53" s="25"/>
      <c r="BW53" s="156"/>
      <c r="BX53" s="25"/>
      <c r="BY53" s="25"/>
      <c r="BZ53" s="25"/>
      <c r="CA53" s="25"/>
      <c r="CB53" s="25"/>
      <c r="CC53" s="25"/>
      <c r="CD53" s="25"/>
      <c r="CE53" s="25"/>
      <c r="CF53" s="25"/>
      <c r="CG53" s="25"/>
      <c r="CH53" s="25"/>
      <c r="CI53" s="25"/>
      <c r="CJ53" s="25"/>
      <c r="CK53" s="25"/>
      <c r="CL53" s="25"/>
      <c r="CM53" s="25"/>
      <c r="CN53" s="25"/>
      <c r="CO53" s="25"/>
      <c r="CP53" s="25" t="str">
        <f>_xlfn.CONCAT($A54," ",$B54," ",$D54)</f>
        <v>2025 Volkswagen Group of SQ6 e-tron</v>
      </c>
      <c r="CQ53" s="25"/>
      <c r="CR53" s="25"/>
      <c r="CS53" s="25"/>
      <c r="CT53" s="25"/>
      <c r="CU53" s="25"/>
      <c r="CV53" s="25"/>
      <c r="CW53" s="25"/>
      <c r="CX53" s="25"/>
      <c r="CY53" s="25"/>
      <c r="CZ53" s="25"/>
      <c r="DA53" s="25"/>
      <c r="DB53" s="25"/>
      <c r="DC53" s="25"/>
      <c r="DD53" s="25"/>
      <c r="DE53" s="25"/>
      <c r="DF53" s="25"/>
      <c r="DG53" s="25"/>
      <c r="DH53" s="25"/>
      <c r="DI53" s="25" t="str">
        <f>_xlfn.CONCAT($A54," ",$B54," ",$D54)</f>
        <v>2025 Volkswagen Group of SQ6 e-tron</v>
      </c>
      <c r="DJ53" s="25"/>
      <c r="DK53" s="25"/>
      <c r="DL53" s="25"/>
      <c r="DM53" s="25"/>
      <c r="DN53" s="25"/>
      <c r="DO53" s="25"/>
      <c r="DP53" s="25"/>
      <c r="DQ53" s="25"/>
      <c r="DR53" s="25"/>
      <c r="DS53" s="25"/>
      <c r="DT53" s="25"/>
      <c r="DU53" s="25"/>
      <c r="DV53" s="25"/>
      <c r="DW53" s="25"/>
      <c r="DX53" s="25"/>
      <c r="DY53" s="25"/>
      <c r="DZ53" s="25" t="str">
        <f>_xlfn.CONCAT($A54," ",$B54," ",$D54)</f>
        <v>2025 Volkswagen Group of SQ6 e-tron</v>
      </c>
      <c r="EA53" s="89"/>
      <c r="EB53" s="25"/>
      <c r="EC53" s="25"/>
      <c r="ED53" s="25"/>
      <c r="EE53" s="25"/>
      <c r="EF53" s="25"/>
      <c r="EG53" s="25"/>
      <c r="EH53" s="25"/>
      <c r="EI53" s="25"/>
      <c r="EJ53" s="25"/>
      <c r="EK53" s="25"/>
      <c r="EL53" s="25"/>
      <c r="EM53" s="25"/>
      <c r="EN53" s="25"/>
      <c r="EO53" s="25"/>
      <c r="EP53" s="25"/>
      <c r="EQ53" s="25"/>
      <c r="ER53" s="25"/>
      <c r="ES53" s="25"/>
      <c r="ET53" s="25"/>
      <c r="EU53" s="25"/>
      <c r="EV53" s="25" t="str">
        <f>_xlfn.CONCAT($A54," ",$B54," ",$D54)</f>
        <v>2025 Volkswagen Group of SQ6 e-tron</v>
      </c>
      <c r="EW53" s="25"/>
      <c r="EX53" s="25"/>
      <c r="EY53" s="25"/>
      <c r="EZ53" s="25"/>
      <c r="FA53" s="25"/>
      <c r="FB53" s="25"/>
      <c r="FC53" s="25"/>
      <c r="FD53" s="25"/>
      <c r="FE53" s="25"/>
      <c r="FF53" s="25"/>
      <c r="FG53" s="25"/>
    </row>
    <row r="54" spans="1:165" x14ac:dyDescent="0.35">
      <c r="A54">
        <v>2025</v>
      </c>
      <c r="B54" t="s">
        <v>205</v>
      </c>
      <c r="C54" t="s">
        <v>385</v>
      </c>
      <c r="D54" t="s">
        <v>1786</v>
      </c>
      <c r="E54" t="s">
        <v>208</v>
      </c>
      <c r="F54">
        <v>613</v>
      </c>
      <c r="G54">
        <v>0</v>
      </c>
      <c r="I54" t="s">
        <v>1734</v>
      </c>
      <c r="J54">
        <v>96</v>
      </c>
      <c r="K54">
        <v>82</v>
      </c>
      <c r="L54">
        <v>89</v>
      </c>
      <c r="M54">
        <v>137.19999999999999</v>
      </c>
      <c r="N54">
        <v>117.1</v>
      </c>
      <c r="O54">
        <v>127.3623</v>
      </c>
      <c r="P54">
        <v>96.04</v>
      </c>
      <c r="Q54">
        <v>81.97</v>
      </c>
      <c r="R54">
        <v>89.153599999999997</v>
      </c>
      <c r="V54" t="s">
        <v>167</v>
      </c>
      <c r="W54" t="s">
        <v>168</v>
      </c>
      <c r="Y54">
        <v>1</v>
      </c>
      <c r="Z54" t="s">
        <v>170</v>
      </c>
      <c r="AA54" t="s">
        <v>170</v>
      </c>
      <c r="AB54" t="s">
        <v>167</v>
      </c>
      <c r="AC54" t="s">
        <v>213</v>
      </c>
      <c r="AF54">
        <v>275</v>
      </c>
      <c r="AG54" t="s">
        <v>1735</v>
      </c>
      <c r="AH54" t="s">
        <v>1736</v>
      </c>
      <c r="AI54" t="s">
        <v>175</v>
      </c>
      <c r="AJ54" t="s">
        <v>176</v>
      </c>
      <c r="AK54">
        <v>4</v>
      </c>
      <c r="AL54" t="s">
        <v>1737</v>
      </c>
      <c r="AS54">
        <v>900</v>
      </c>
      <c r="AT54">
        <v>900</v>
      </c>
      <c r="BQ54">
        <v>33</v>
      </c>
      <c r="BR54" t="s">
        <v>1497</v>
      </c>
      <c r="BT54" t="s">
        <v>1738</v>
      </c>
      <c r="BU54" s="1">
        <v>45474</v>
      </c>
      <c r="BV54">
        <v>35066</v>
      </c>
      <c r="BW54" s="155"/>
      <c r="BX54" t="s">
        <v>169</v>
      </c>
      <c r="BY54" t="s">
        <v>170</v>
      </c>
      <c r="CB54" t="s">
        <v>170</v>
      </c>
      <c r="CC54" t="s">
        <v>170</v>
      </c>
      <c r="CK54" t="s">
        <v>233</v>
      </c>
      <c r="CM54">
        <v>12</v>
      </c>
      <c r="CN54" t="s">
        <v>234</v>
      </c>
      <c r="CP54">
        <v>662</v>
      </c>
      <c r="CQ54">
        <v>151.1</v>
      </c>
      <c r="CR54">
        <v>169.5</v>
      </c>
      <c r="CS54" t="s">
        <v>1739</v>
      </c>
      <c r="CV54" t="s">
        <v>341</v>
      </c>
      <c r="CX54" t="s">
        <v>342</v>
      </c>
      <c r="CY54" t="s">
        <v>169</v>
      </c>
      <c r="DC54" t="s">
        <v>1758</v>
      </c>
      <c r="DD54">
        <v>2</v>
      </c>
      <c r="DE54" t="s">
        <v>404</v>
      </c>
      <c r="DF54" t="s">
        <v>1762</v>
      </c>
      <c r="DG54" t="s">
        <v>1787</v>
      </c>
      <c r="DL54" t="s">
        <v>170</v>
      </c>
      <c r="DM54" t="s">
        <v>169</v>
      </c>
      <c r="DP54" t="s">
        <v>170</v>
      </c>
      <c r="DQ54" t="s">
        <v>187</v>
      </c>
      <c r="EA54" s="101"/>
      <c r="EB54">
        <v>9</v>
      </c>
      <c r="EC54">
        <v>10</v>
      </c>
      <c r="EE54" t="s">
        <v>1761</v>
      </c>
      <c r="EF54">
        <v>10</v>
      </c>
      <c r="EU54">
        <v>5000</v>
      </c>
      <c r="EW54">
        <v>0</v>
      </c>
      <c r="EX54">
        <v>0</v>
      </c>
      <c r="EY54">
        <v>0</v>
      </c>
      <c r="FA54">
        <v>14</v>
      </c>
      <c r="FG54">
        <v>294</v>
      </c>
      <c r="FH54">
        <v>251</v>
      </c>
      <c r="FI54">
        <v>275</v>
      </c>
    </row>
    <row r="55" spans="1:165" x14ac:dyDescent="0.35">
      <c r="A55">
        <v>2025</v>
      </c>
      <c r="B55" t="s">
        <v>205</v>
      </c>
      <c r="C55" t="s">
        <v>385</v>
      </c>
      <c r="D55" t="s">
        <v>1786</v>
      </c>
      <c r="E55" t="s">
        <v>208</v>
      </c>
      <c r="F55">
        <v>613</v>
      </c>
      <c r="G55">
        <v>0</v>
      </c>
      <c r="I55" t="s">
        <v>1734</v>
      </c>
      <c r="J55">
        <v>35</v>
      </c>
      <c r="K55">
        <v>41</v>
      </c>
      <c r="L55">
        <v>38</v>
      </c>
      <c r="M55">
        <v>24.564699999999998</v>
      </c>
      <c r="N55">
        <v>28.784099999999999</v>
      </c>
      <c r="O55">
        <v>26.4634</v>
      </c>
      <c r="P55">
        <v>35.094799999999999</v>
      </c>
      <c r="Q55">
        <v>41.118699999999997</v>
      </c>
      <c r="R55">
        <v>37.805500000000002</v>
      </c>
      <c r="V55" t="s">
        <v>167</v>
      </c>
      <c r="W55" t="s">
        <v>168</v>
      </c>
      <c r="Y55">
        <v>1</v>
      </c>
      <c r="Z55" t="s">
        <v>170</v>
      </c>
      <c r="AA55" t="s">
        <v>170</v>
      </c>
      <c r="AB55" t="s">
        <v>167</v>
      </c>
      <c r="AC55" t="s">
        <v>213</v>
      </c>
      <c r="AF55">
        <v>275</v>
      </c>
      <c r="AG55" t="s">
        <v>1735</v>
      </c>
      <c r="AH55" t="s">
        <v>1736</v>
      </c>
      <c r="AI55" t="s">
        <v>1742</v>
      </c>
      <c r="AJ55" t="s">
        <v>1743</v>
      </c>
      <c r="AK55">
        <v>4</v>
      </c>
      <c r="AL55" t="s">
        <v>1737</v>
      </c>
      <c r="AS55">
        <v>900</v>
      </c>
      <c r="AT55">
        <v>900</v>
      </c>
      <c r="BQ55">
        <v>33</v>
      </c>
      <c r="BR55" t="s">
        <v>1497</v>
      </c>
      <c r="BT55" t="s">
        <v>1738</v>
      </c>
      <c r="BU55" s="1">
        <v>45474</v>
      </c>
      <c r="BV55">
        <v>35066</v>
      </c>
      <c r="BW55" s="155"/>
      <c r="BX55" t="s">
        <v>169</v>
      </c>
      <c r="BY55" t="s">
        <v>170</v>
      </c>
      <c r="CB55" t="s">
        <v>170</v>
      </c>
      <c r="CC55" t="s">
        <v>170</v>
      </c>
      <c r="CK55" t="s">
        <v>233</v>
      </c>
      <c r="CM55">
        <v>12</v>
      </c>
      <c r="CN55" t="s">
        <v>234</v>
      </c>
      <c r="CP55">
        <v>662</v>
      </c>
      <c r="CQ55">
        <v>151.1</v>
      </c>
      <c r="CR55">
        <v>169.5</v>
      </c>
      <c r="CS55" t="s">
        <v>1739</v>
      </c>
      <c r="CV55" t="s">
        <v>341</v>
      </c>
      <c r="CX55" t="s">
        <v>342</v>
      </c>
      <c r="CY55" t="s">
        <v>169</v>
      </c>
      <c r="DC55" t="s">
        <v>1758</v>
      </c>
      <c r="DD55">
        <v>2</v>
      </c>
      <c r="DE55" t="s">
        <v>404</v>
      </c>
      <c r="DF55" t="s">
        <v>1762</v>
      </c>
      <c r="DG55" t="s">
        <v>1787</v>
      </c>
      <c r="DL55" t="s">
        <v>170</v>
      </c>
      <c r="DM55" t="s">
        <v>169</v>
      </c>
      <c r="DP55" t="s">
        <v>170</v>
      </c>
      <c r="DQ55" t="s">
        <v>187</v>
      </c>
      <c r="EA55" s="101"/>
      <c r="EB55">
        <v>9</v>
      </c>
      <c r="EC55">
        <v>10</v>
      </c>
      <c r="EE55" t="s">
        <v>1761</v>
      </c>
      <c r="EF55">
        <v>10</v>
      </c>
      <c r="EU55">
        <v>5000</v>
      </c>
      <c r="EW55">
        <v>0</v>
      </c>
      <c r="EX55">
        <v>0</v>
      </c>
      <c r="EY55">
        <v>0</v>
      </c>
      <c r="FA55">
        <v>14</v>
      </c>
      <c r="FG55">
        <v>294</v>
      </c>
      <c r="FH55">
        <v>251</v>
      </c>
      <c r="FI55">
        <v>275</v>
      </c>
    </row>
    <row r="56" spans="1:165" x14ac:dyDescent="0.35">
      <c r="A56" s="25"/>
      <c r="B56" s="25"/>
      <c r="C56" s="25"/>
      <c r="D56" s="25"/>
      <c r="E56" s="25"/>
      <c r="F56" s="25" t="str">
        <f>_xlfn.CONCAT($A57," ",$B57," ",$D57)</f>
        <v>2025 Volkswagen Group of SQ6 Sportback e-tron</v>
      </c>
      <c r="G56" s="25"/>
      <c r="H56" s="25"/>
      <c r="I56" s="25"/>
      <c r="J56" s="25"/>
      <c r="K56" s="25"/>
      <c r="L56" s="25"/>
      <c r="M56" s="25"/>
      <c r="N56" s="25"/>
      <c r="O56" s="25"/>
      <c r="P56" s="25"/>
      <c r="Q56" s="25"/>
      <c r="R56" s="25"/>
      <c r="S56" s="25"/>
      <c r="T56" s="25"/>
      <c r="U56" s="25"/>
      <c r="V56" s="25"/>
      <c r="W56" s="25"/>
      <c r="X56" s="25"/>
      <c r="Y56" s="25"/>
      <c r="Z56" s="25"/>
      <c r="AA56" s="25"/>
      <c r="AB56" s="25"/>
      <c r="AC56" s="25"/>
      <c r="AD56" s="25" t="str">
        <f>_xlfn.CONCAT($A57," ",$B57," ",$D57)</f>
        <v>2025 Volkswagen Group of SQ6 Sportback e-tron</v>
      </c>
      <c r="AE56" s="25"/>
      <c r="AF56" s="25"/>
      <c r="AG56" s="25"/>
      <c r="AH56" s="25"/>
      <c r="AI56" s="25"/>
      <c r="AJ56" s="25"/>
      <c r="AK56" s="25"/>
      <c r="AL56" s="25"/>
      <c r="AM56" s="25"/>
      <c r="AN56" s="25"/>
      <c r="AO56" s="25"/>
      <c r="AP56" s="25"/>
      <c r="AQ56" s="25"/>
      <c r="AR56" s="25"/>
      <c r="AS56" s="25"/>
      <c r="AT56" s="25"/>
      <c r="AU56" s="25"/>
      <c r="AV56" s="25"/>
      <c r="AW56" s="25"/>
      <c r="AX56" s="25" t="str">
        <f>_xlfn.CONCAT($A57," ",$B57," ",$D57)</f>
        <v>2025 Volkswagen Group of SQ6 Sportback e-tron</v>
      </c>
      <c r="AY56" s="25"/>
      <c r="AZ56" s="25"/>
      <c r="BA56" s="25"/>
      <c r="BB56" s="25"/>
      <c r="BC56" s="25"/>
      <c r="BD56" s="25"/>
      <c r="BE56" s="25"/>
      <c r="BF56" s="25"/>
      <c r="BG56" s="25"/>
      <c r="BH56" s="25"/>
      <c r="BI56" s="25"/>
      <c r="BJ56" s="25"/>
      <c r="BK56" s="25"/>
      <c r="BL56" s="25"/>
      <c r="BM56" s="25"/>
      <c r="BN56" s="25"/>
      <c r="BO56" s="25"/>
      <c r="BP56" s="25"/>
      <c r="BQ56" s="25"/>
      <c r="BR56" s="25" t="str">
        <f>_xlfn.CONCAT($A57," ",$B57," ",$D57)</f>
        <v>2025 Volkswagen Group of SQ6 Sportback e-tron</v>
      </c>
      <c r="BS56" s="25"/>
      <c r="BT56" s="25"/>
      <c r="BU56" s="25"/>
      <c r="BV56" s="25"/>
      <c r="BW56" s="156"/>
      <c r="BX56" s="25"/>
      <c r="BY56" s="25"/>
      <c r="BZ56" s="25"/>
      <c r="CA56" s="25"/>
      <c r="CB56" s="25"/>
      <c r="CC56" s="25"/>
      <c r="CD56" s="25"/>
      <c r="CE56" s="25"/>
      <c r="CF56" s="25"/>
      <c r="CG56" s="25"/>
      <c r="CH56" s="25"/>
      <c r="CI56" s="25"/>
      <c r="CJ56" s="25"/>
      <c r="CK56" s="25"/>
      <c r="CL56" s="25"/>
      <c r="CM56" s="25"/>
      <c r="CN56" s="25"/>
      <c r="CO56" s="25"/>
      <c r="CP56" s="25" t="str">
        <f>_xlfn.CONCAT($A57," ",$B57," ",$D57)</f>
        <v>2025 Volkswagen Group of SQ6 Sportback e-tron</v>
      </c>
      <c r="CQ56" s="25"/>
      <c r="CR56" s="25"/>
      <c r="CS56" s="25"/>
      <c r="CT56" s="25"/>
      <c r="CU56" s="25"/>
      <c r="CV56" s="25"/>
      <c r="CW56" s="25"/>
      <c r="CX56" s="25"/>
      <c r="CY56" s="25"/>
      <c r="CZ56" s="25"/>
      <c r="DA56" s="25"/>
      <c r="DB56" s="25"/>
      <c r="DC56" s="25"/>
      <c r="DD56" s="25"/>
      <c r="DE56" s="25"/>
      <c r="DF56" s="25"/>
      <c r="DG56" s="25"/>
      <c r="DH56" s="25"/>
      <c r="DI56" s="25" t="str">
        <f>_xlfn.CONCAT($A57," ",$B57," ",$D57)</f>
        <v>2025 Volkswagen Group of SQ6 Sportback e-tron</v>
      </c>
      <c r="DJ56" s="25"/>
      <c r="DK56" s="25"/>
      <c r="DL56" s="25"/>
      <c r="DM56" s="25"/>
      <c r="DN56" s="25"/>
      <c r="DO56" s="25"/>
      <c r="DP56" s="25"/>
      <c r="DQ56" s="25"/>
      <c r="DR56" s="25"/>
      <c r="DS56" s="25"/>
      <c r="DT56" s="25"/>
      <c r="DU56" s="25"/>
      <c r="DV56" s="25"/>
      <c r="DW56" s="25"/>
      <c r="DX56" s="25"/>
      <c r="DY56" s="25"/>
      <c r="DZ56" s="25" t="str">
        <f>_xlfn.CONCAT($A57," ",$B57," ",$D57)</f>
        <v>2025 Volkswagen Group of SQ6 Sportback e-tron</v>
      </c>
      <c r="EA56" s="89"/>
      <c r="EB56" s="25"/>
      <c r="EC56" s="25"/>
      <c r="ED56" s="25"/>
      <c r="EE56" s="25"/>
      <c r="EF56" s="25"/>
      <c r="EG56" s="25"/>
      <c r="EH56" s="25"/>
      <c r="EI56" s="25"/>
      <c r="EJ56" s="25"/>
      <c r="EK56" s="25"/>
      <c r="EL56" s="25"/>
      <c r="EM56" s="25"/>
      <c r="EN56" s="25"/>
      <c r="EO56" s="25"/>
      <c r="EP56" s="25"/>
      <c r="EQ56" s="25"/>
      <c r="ER56" s="25"/>
      <c r="ES56" s="25"/>
      <c r="ET56" s="25"/>
      <c r="EU56" s="25"/>
      <c r="EV56" s="25" t="str">
        <f>_xlfn.CONCAT($A57," ",$B57," ",$D57)</f>
        <v>2025 Volkswagen Group of SQ6 Sportback e-tron</v>
      </c>
      <c r="EW56" s="25"/>
      <c r="EX56" s="25"/>
      <c r="EY56" s="25"/>
      <c r="EZ56" s="25"/>
      <c r="FA56" s="25"/>
      <c r="FB56" s="25"/>
      <c r="FC56" s="25"/>
      <c r="FD56" s="25"/>
      <c r="FE56" s="25"/>
      <c r="FF56" s="25"/>
      <c r="FG56" s="25"/>
    </row>
    <row r="57" spans="1:165" x14ac:dyDescent="0.35">
      <c r="A57">
        <v>2025</v>
      </c>
      <c r="B57" t="s">
        <v>205</v>
      </c>
      <c r="C57" t="s">
        <v>385</v>
      </c>
      <c r="D57" t="s">
        <v>1788</v>
      </c>
      <c r="E57" t="s">
        <v>208</v>
      </c>
      <c r="F57">
        <v>614</v>
      </c>
      <c r="G57">
        <v>0</v>
      </c>
      <c r="I57" t="s">
        <v>1734</v>
      </c>
      <c r="J57">
        <v>97</v>
      </c>
      <c r="K57">
        <v>85</v>
      </c>
      <c r="L57">
        <v>91</v>
      </c>
      <c r="M57">
        <v>139</v>
      </c>
      <c r="N57">
        <v>121.6</v>
      </c>
      <c r="O57">
        <v>130.59110000000001</v>
      </c>
      <c r="P57">
        <v>97.3</v>
      </c>
      <c r="Q57">
        <v>85.12</v>
      </c>
      <c r="R57">
        <v>91.413799999999995</v>
      </c>
      <c r="V57" t="s">
        <v>167</v>
      </c>
      <c r="W57" t="s">
        <v>168</v>
      </c>
      <c r="Y57">
        <v>1</v>
      </c>
      <c r="Z57" t="s">
        <v>170</v>
      </c>
      <c r="AA57" t="s">
        <v>170</v>
      </c>
      <c r="AB57" t="s">
        <v>167</v>
      </c>
      <c r="AC57" t="s">
        <v>213</v>
      </c>
      <c r="AF57">
        <v>283</v>
      </c>
      <c r="AG57" t="s">
        <v>1735</v>
      </c>
      <c r="AH57" t="s">
        <v>1736</v>
      </c>
      <c r="AI57" t="s">
        <v>175</v>
      </c>
      <c r="AJ57" t="s">
        <v>176</v>
      </c>
      <c r="AK57">
        <v>4</v>
      </c>
      <c r="AL57" t="s">
        <v>1737</v>
      </c>
      <c r="AS57">
        <v>900</v>
      </c>
      <c r="AT57">
        <v>50</v>
      </c>
      <c r="BQ57">
        <v>33</v>
      </c>
      <c r="BR57" t="s">
        <v>1497</v>
      </c>
      <c r="BT57" t="s">
        <v>1738</v>
      </c>
      <c r="BU57" s="1">
        <v>45717</v>
      </c>
      <c r="BV57">
        <v>35964</v>
      </c>
      <c r="BW57" s="155"/>
      <c r="BX57" t="s">
        <v>169</v>
      </c>
      <c r="BY57" t="s">
        <v>170</v>
      </c>
      <c r="CB57" t="s">
        <v>170</v>
      </c>
      <c r="CC57" t="s">
        <v>170</v>
      </c>
      <c r="CK57" t="s">
        <v>233</v>
      </c>
      <c r="CM57">
        <v>12</v>
      </c>
      <c r="CN57" t="s">
        <v>234</v>
      </c>
      <c r="CP57">
        <v>662</v>
      </c>
      <c r="CQ57">
        <v>151.1</v>
      </c>
      <c r="CR57">
        <v>169.5</v>
      </c>
      <c r="CS57" t="s">
        <v>1739</v>
      </c>
      <c r="CV57" t="s">
        <v>341</v>
      </c>
      <c r="CX57" t="s">
        <v>342</v>
      </c>
      <c r="CY57" t="s">
        <v>169</v>
      </c>
      <c r="DC57" t="s">
        <v>1758</v>
      </c>
      <c r="DD57">
        <v>2</v>
      </c>
      <c r="DE57" t="s">
        <v>404</v>
      </c>
      <c r="DF57" t="s">
        <v>1759</v>
      </c>
      <c r="DG57" t="s">
        <v>1760</v>
      </c>
      <c r="DL57" t="s">
        <v>170</v>
      </c>
      <c r="DM57" t="s">
        <v>169</v>
      </c>
      <c r="DP57" t="s">
        <v>170</v>
      </c>
      <c r="DQ57" t="s">
        <v>187</v>
      </c>
      <c r="EA57" s="101"/>
      <c r="EB57">
        <v>9</v>
      </c>
      <c r="EC57">
        <v>10</v>
      </c>
      <c r="EE57" t="s">
        <v>1761</v>
      </c>
      <c r="EF57">
        <v>10</v>
      </c>
      <c r="EU57">
        <v>5000</v>
      </c>
      <c r="EW57">
        <v>0</v>
      </c>
      <c r="EX57">
        <v>0</v>
      </c>
      <c r="EY57">
        <v>0</v>
      </c>
      <c r="FA57">
        <v>14</v>
      </c>
      <c r="FG57">
        <v>300</v>
      </c>
      <c r="FH57">
        <v>262</v>
      </c>
      <c r="FI57">
        <v>283</v>
      </c>
    </row>
    <row r="58" spans="1:165" x14ac:dyDescent="0.35">
      <c r="A58">
        <v>2025</v>
      </c>
      <c r="B58" t="s">
        <v>205</v>
      </c>
      <c r="C58" t="s">
        <v>385</v>
      </c>
      <c r="D58" t="s">
        <v>1788</v>
      </c>
      <c r="E58" t="s">
        <v>208</v>
      </c>
      <c r="F58">
        <v>614</v>
      </c>
      <c r="G58">
        <v>0</v>
      </c>
      <c r="I58" t="s">
        <v>1734</v>
      </c>
      <c r="J58">
        <v>35</v>
      </c>
      <c r="K58">
        <v>40</v>
      </c>
      <c r="L58">
        <v>37</v>
      </c>
      <c r="M58">
        <v>24.240500000000001</v>
      </c>
      <c r="N58">
        <v>27.715699999999998</v>
      </c>
      <c r="O58">
        <v>25.804300000000001</v>
      </c>
      <c r="P58">
        <v>34.640300000000003</v>
      </c>
      <c r="Q58">
        <v>39.597000000000001</v>
      </c>
      <c r="R58">
        <v>36.870800000000003</v>
      </c>
      <c r="V58" t="s">
        <v>167</v>
      </c>
      <c r="W58" t="s">
        <v>168</v>
      </c>
      <c r="Y58">
        <v>1</v>
      </c>
      <c r="Z58" t="s">
        <v>170</v>
      </c>
      <c r="AA58" t="s">
        <v>170</v>
      </c>
      <c r="AB58" t="s">
        <v>167</v>
      </c>
      <c r="AC58" t="s">
        <v>213</v>
      </c>
      <c r="AF58">
        <v>283</v>
      </c>
      <c r="AG58" t="s">
        <v>1735</v>
      </c>
      <c r="AH58" t="s">
        <v>1736</v>
      </c>
      <c r="AI58" t="s">
        <v>1742</v>
      </c>
      <c r="AJ58" t="s">
        <v>1743</v>
      </c>
      <c r="AK58">
        <v>4</v>
      </c>
      <c r="AL58" t="s">
        <v>1737</v>
      </c>
      <c r="AS58">
        <v>900</v>
      </c>
      <c r="AT58">
        <v>900</v>
      </c>
      <c r="BQ58">
        <v>33</v>
      </c>
      <c r="BR58" t="s">
        <v>1497</v>
      </c>
      <c r="BT58" t="s">
        <v>1738</v>
      </c>
      <c r="BU58" s="1">
        <v>45717</v>
      </c>
      <c r="BV58">
        <v>35964</v>
      </c>
      <c r="BW58" s="155"/>
      <c r="BX58" t="s">
        <v>169</v>
      </c>
      <c r="BY58" t="s">
        <v>170</v>
      </c>
      <c r="CB58" t="s">
        <v>170</v>
      </c>
      <c r="CC58" t="s">
        <v>170</v>
      </c>
      <c r="CK58" t="s">
        <v>233</v>
      </c>
      <c r="CM58">
        <v>12</v>
      </c>
      <c r="CN58" t="s">
        <v>234</v>
      </c>
      <c r="CP58">
        <v>662</v>
      </c>
      <c r="CQ58">
        <v>151.1</v>
      </c>
      <c r="CR58">
        <v>169.5</v>
      </c>
      <c r="CS58" t="s">
        <v>1739</v>
      </c>
      <c r="CV58" t="s">
        <v>341</v>
      </c>
      <c r="CX58" t="s">
        <v>342</v>
      </c>
      <c r="CY58" t="s">
        <v>169</v>
      </c>
      <c r="DC58" t="s">
        <v>1758</v>
      </c>
      <c r="DD58">
        <v>2</v>
      </c>
      <c r="DE58" t="s">
        <v>404</v>
      </c>
      <c r="DF58" t="s">
        <v>1759</v>
      </c>
      <c r="DG58" t="s">
        <v>1760</v>
      </c>
      <c r="DL58" t="s">
        <v>170</v>
      </c>
      <c r="DM58" t="s">
        <v>169</v>
      </c>
      <c r="DP58" t="s">
        <v>170</v>
      </c>
      <c r="DQ58" t="s">
        <v>187</v>
      </c>
      <c r="EA58" s="101"/>
      <c r="EB58">
        <v>9</v>
      </c>
      <c r="EC58">
        <v>10</v>
      </c>
      <c r="EE58" t="s">
        <v>1761</v>
      </c>
      <c r="EF58">
        <v>10</v>
      </c>
      <c r="EU58">
        <v>5000</v>
      </c>
      <c r="EW58">
        <v>0</v>
      </c>
      <c r="EX58">
        <v>0</v>
      </c>
      <c r="EY58">
        <v>0</v>
      </c>
      <c r="FA58">
        <v>14</v>
      </c>
      <c r="FG58">
        <v>300</v>
      </c>
      <c r="FH58">
        <v>262</v>
      </c>
      <c r="FI58">
        <v>283</v>
      </c>
    </row>
    <row r="59" spans="1:165" x14ac:dyDescent="0.35">
      <c r="A59" s="25"/>
      <c r="B59" s="25"/>
      <c r="C59" s="25"/>
      <c r="D59" s="25"/>
      <c r="E59" s="25"/>
      <c r="F59" s="25" t="str">
        <f>_xlfn.CONCAT($A60," ",$B60," ",$D60)</f>
        <v>2025 Volkswagen Group of Q6 Sportback e-tron quattro</v>
      </c>
      <c r="G59" s="25"/>
      <c r="H59" s="25"/>
      <c r="I59" s="25"/>
      <c r="J59" s="25"/>
      <c r="K59" s="25"/>
      <c r="L59" s="25"/>
      <c r="M59" s="25"/>
      <c r="N59" s="25"/>
      <c r="O59" s="25"/>
      <c r="P59" s="25"/>
      <c r="Q59" s="25"/>
      <c r="R59" s="25"/>
      <c r="S59" s="25"/>
      <c r="T59" s="25"/>
      <c r="U59" s="25"/>
      <c r="V59" s="25"/>
      <c r="W59" s="25"/>
      <c r="X59" s="25"/>
      <c r="Y59" s="25"/>
      <c r="Z59" s="25"/>
      <c r="AA59" s="25"/>
      <c r="AB59" s="25"/>
      <c r="AC59" s="25"/>
      <c r="AD59" s="25" t="str">
        <f>_xlfn.CONCAT($A60," ",$B60," ",$D60)</f>
        <v>2025 Volkswagen Group of Q6 Sportback e-tron quattro</v>
      </c>
      <c r="AE59" s="25"/>
      <c r="AF59" s="25"/>
      <c r="AG59" s="25"/>
      <c r="AH59" s="25"/>
      <c r="AI59" s="25"/>
      <c r="AJ59" s="25"/>
      <c r="AK59" s="25"/>
      <c r="AL59" s="25"/>
      <c r="AM59" s="25"/>
      <c r="AN59" s="25"/>
      <c r="AO59" s="25"/>
      <c r="AP59" s="25"/>
      <c r="AQ59" s="25"/>
      <c r="AR59" s="25"/>
      <c r="AS59" s="25"/>
      <c r="AT59" s="25"/>
      <c r="AU59" s="25"/>
      <c r="AV59" s="25"/>
      <c r="AW59" s="25"/>
      <c r="AX59" s="25" t="str">
        <f>_xlfn.CONCAT($A60," ",$B60," ",$D60)</f>
        <v>2025 Volkswagen Group of Q6 Sportback e-tron quattro</v>
      </c>
      <c r="AY59" s="25"/>
      <c r="AZ59" s="25"/>
      <c r="BA59" s="25"/>
      <c r="BB59" s="25"/>
      <c r="BC59" s="25"/>
      <c r="BD59" s="25"/>
      <c r="BE59" s="25"/>
      <c r="BF59" s="25"/>
      <c r="BG59" s="25"/>
      <c r="BH59" s="25"/>
      <c r="BI59" s="25"/>
      <c r="BJ59" s="25"/>
      <c r="BK59" s="25"/>
      <c r="BL59" s="25"/>
      <c r="BM59" s="25"/>
      <c r="BN59" s="25"/>
      <c r="BO59" s="25"/>
      <c r="BP59" s="25"/>
      <c r="BQ59" s="25"/>
      <c r="BR59" s="25" t="str">
        <f>_xlfn.CONCAT($A60," ",$B60," ",$D60)</f>
        <v>2025 Volkswagen Group of Q6 Sportback e-tron quattro</v>
      </c>
      <c r="BS59" s="25"/>
      <c r="BT59" s="25"/>
      <c r="BU59" s="25"/>
      <c r="BV59" s="25"/>
      <c r="BW59" s="156"/>
      <c r="BX59" s="25"/>
      <c r="BY59" s="25"/>
      <c r="BZ59" s="25"/>
      <c r="CA59" s="25"/>
      <c r="CB59" s="25"/>
      <c r="CC59" s="25"/>
      <c r="CD59" s="25"/>
      <c r="CE59" s="25"/>
      <c r="CF59" s="25"/>
      <c r="CG59" s="25"/>
      <c r="CH59" s="25"/>
      <c r="CI59" s="25"/>
      <c r="CJ59" s="25"/>
      <c r="CK59" s="25"/>
      <c r="CL59" s="25"/>
      <c r="CM59" s="25"/>
      <c r="CN59" s="25"/>
      <c r="CO59" s="25"/>
      <c r="CP59" s="25" t="str">
        <f>_xlfn.CONCAT($A60," ",$B60," ",$D60)</f>
        <v>2025 Volkswagen Group of Q6 Sportback e-tron quattro</v>
      </c>
      <c r="CQ59" s="25"/>
      <c r="CR59" s="25"/>
      <c r="CS59" s="25"/>
      <c r="CT59" s="25"/>
      <c r="CU59" s="25"/>
      <c r="CV59" s="25"/>
      <c r="CW59" s="25"/>
      <c r="CX59" s="25"/>
      <c r="CY59" s="25"/>
      <c r="CZ59" s="25"/>
      <c r="DA59" s="25"/>
      <c r="DB59" s="25"/>
      <c r="DC59" s="25"/>
      <c r="DD59" s="25"/>
      <c r="DE59" s="25"/>
      <c r="DF59" s="25"/>
      <c r="DG59" s="25"/>
      <c r="DH59" s="25"/>
      <c r="DI59" s="25" t="str">
        <f>_xlfn.CONCAT($A60," ",$B60," ",$D60)</f>
        <v>2025 Volkswagen Group of Q6 Sportback e-tron quattro</v>
      </c>
      <c r="DJ59" s="25"/>
      <c r="DK59" s="25"/>
      <c r="DL59" s="25"/>
      <c r="DM59" s="25"/>
      <c r="DN59" s="25"/>
      <c r="DO59" s="25"/>
      <c r="DP59" s="25"/>
      <c r="DQ59" s="25"/>
      <c r="DR59" s="25"/>
      <c r="DS59" s="25"/>
      <c r="DT59" s="25"/>
      <c r="DU59" s="25"/>
      <c r="DV59" s="25"/>
      <c r="DW59" s="25"/>
      <c r="DX59" s="25"/>
      <c r="DY59" s="25"/>
      <c r="DZ59" s="25" t="str">
        <f>_xlfn.CONCAT($A60," ",$B60," ",$D60)</f>
        <v>2025 Volkswagen Group of Q6 Sportback e-tron quattro</v>
      </c>
      <c r="EA59" s="89"/>
      <c r="EB59" s="25"/>
      <c r="EC59" s="25"/>
      <c r="ED59" s="25"/>
      <c r="EE59" s="25"/>
      <c r="EF59" s="25"/>
      <c r="EG59" s="25"/>
      <c r="EH59" s="25"/>
      <c r="EI59" s="25"/>
      <c r="EJ59" s="25"/>
      <c r="EK59" s="25"/>
      <c r="EL59" s="25"/>
      <c r="EM59" s="25"/>
      <c r="EN59" s="25"/>
      <c r="EO59" s="25"/>
      <c r="EP59" s="25"/>
      <c r="EQ59" s="25"/>
      <c r="ER59" s="25"/>
      <c r="ES59" s="25"/>
      <c r="ET59" s="25"/>
      <c r="EU59" s="25"/>
      <c r="EV59" s="25" t="str">
        <f>_xlfn.CONCAT($A60," ",$B60," ",$D60)</f>
        <v>2025 Volkswagen Group of Q6 Sportback e-tron quattro</v>
      </c>
      <c r="EW59" s="25"/>
      <c r="EX59" s="25"/>
      <c r="EY59" s="25"/>
      <c r="EZ59" s="25"/>
      <c r="FA59" s="25"/>
      <c r="FB59" s="25"/>
      <c r="FC59" s="25"/>
      <c r="FD59" s="25"/>
      <c r="FE59" s="25"/>
      <c r="FF59" s="25"/>
      <c r="FG59" s="25"/>
    </row>
    <row r="60" spans="1:165" x14ac:dyDescent="0.35">
      <c r="A60">
        <v>2025</v>
      </c>
      <c r="B60" t="s">
        <v>205</v>
      </c>
      <c r="C60" t="s">
        <v>385</v>
      </c>
      <c r="D60" t="s">
        <v>1765</v>
      </c>
      <c r="E60" t="s">
        <v>208</v>
      </c>
      <c r="F60">
        <v>615</v>
      </c>
      <c r="G60">
        <v>0</v>
      </c>
      <c r="I60" t="s">
        <v>1734</v>
      </c>
      <c r="J60">
        <v>109</v>
      </c>
      <c r="K60">
        <v>97</v>
      </c>
      <c r="L60">
        <v>103</v>
      </c>
      <c r="M60">
        <v>155.5</v>
      </c>
      <c r="N60">
        <v>138.30000000000001</v>
      </c>
      <c r="O60">
        <v>147.2586</v>
      </c>
      <c r="P60">
        <v>108.85</v>
      </c>
      <c r="Q60">
        <v>96.81</v>
      </c>
      <c r="R60">
        <v>103.081</v>
      </c>
      <c r="V60" t="s">
        <v>167</v>
      </c>
      <c r="W60" t="s">
        <v>168</v>
      </c>
      <c r="Y60">
        <v>1</v>
      </c>
      <c r="Z60" t="s">
        <v>170</v>
      </c>
      <c r="AA60" t="s">
        <v>170</v>
      </c>
      <c r="AB60" t="s">
        <v>167</v>
      </c>
      <c r="AC60" t="s">
        <v>213</v>
      </c>
      <c r="AF60">
        <v>319</v>
      </c>
      <c r="AG60" t="s">
        <v>1735</v>
      </c>
      <c r="AH60" t="s">
        <v>1736</v>
      </c>
      <c r="AI60" t="s">
        <v>175</v>
      </c>
      <c r="AJ60" t="s">
        <v>176</v>
      </c>
      <c r="AK60">
        <v>4</v>
      </c>
      <c r="AL60" t="s">
        <v>1737</v>
      </c>
      <c r="AS60">
        <v>800</v>
      </c>
      <c r="AT60">
        <v>0</v>
      </c>
      <c r="BQ60">
        <v>33</v>
      </c>
      <c r="BR60" t="s">
        <v>1497</v>
      </c>
      <c r="BT60" t="s">
        <v>1738</v>
      </c>
      <c r="BU60" s="1">
        <v>45717</v>
      </c>
      <c r="BV60">
        <v>35965</v>
      </c>
      <c r="BW60" s="155"/>
      <c r="BX60" t="s">
        <v>169</v>
      </c>
      <c r="BY60" t="s">
        <v>170</v>
      </c>
      <c r="CB60" t="s">
        <v>170</v>
      </c>
      <c r="CC60" t="s">
        <v>170</v>
      </c>
      <c r="CK60" t="s">
        <v>233</v>
      </c>
      <c r="CM60">
        <v>12</v>
      </c>
      <c r="CN60" t="s">
        <v>234</v>
      </c>
      <c r="CP60">
        <v>662</v>
      </c>
      <c r="CQ60">
        <v>151.1</v>
      </c>
      <c r="CR60">
        <v>169.5</v>
      </c>
      <c r="CS60" t="s">
        <v>1739</v>
      </c>
      <c r="CV60" t="s">
        <v>341</v>
      </c>
      <c r="CX60" t="s">
        <v>342</v>
      </c>
      <c r="CY60" t="s">
        <v>169</v>
      </c>
      <c r="DC60" t="s">
        <v>1758</v>
      </c>
      <c r="DD60">
        <v>2</v>
      </c>
      <c r="DE60" t="s">
        <v>404</v>
      </c>
      <c r="DF60" t="s">
        <v>1762</v>
      </c>
      <c r="DG60" t="s">
        <v>1760</v>
      </c>
      <c r="DL60" t="s">
        <v>170</v>
      </c>
      <c r="DM60" t="s">
        <v>169</v>
      </c>
      <c r="DP60" t="s">
        <v>170</v>
      </c>
      <c r="DQ60" t="s">
        <v>187</v>
      </c>
      <c r="DR60" t="s">
        <v>1766</v>
      </c>
      <c r="EA60" s="101"/>
      <c r="EB60">
        <v>9</v>
      </c>
      <c r="EC60">
        <v>10</v>
      </c>
      <c r="EE60" t="s">
        <v>1761</v>
      </c>
      <c r="EF60">
        <v>10</v>
      </c>
      <c r="EU60">
        <v>5500</v>
      </c>
      <c r="EW60">
        <v>0</v>
      </c>
      <c r="EX60">
        <v>0</v>
      </c>
      <c r="EY60">
        <v>0</v>
      </c>
      <c r="FA60">
        <v>14</v>
      </c>
      <c r="FG60">
        <v>336</v>
      </c>
      <c r="FH60">
        <v>299</v>
      </c>
      <c r="FI60">
        <v>319</v>
      </c>
    </row>
    <row r="61" spans="1:165" x14ac:dyDescent="0.35">
      <c r="A61">
        <v>2025</v>
      </c>
      <c r="B61" t="s">
        <v>205</v>
      </c>
      <c r="C61" t="s">
        <v>385</v>
      </c>
      <c r="D61" t="s">
        <v>1765</v>
      </c>
      <c r="E61" t="s">
        <v>208</v>
      </c>
      <c r="F61">
        <v>615</v>
      </c>
      <c r="G61">
        <v>0</v>
      </c>
      <c r="I61" t="s">
        <v>1734</v>
      </c>
      <c r="J61">
        <v>31</v>
      </c>
      <c r="K61">
        <v>35</v>
      </c>
      <c r="L61">
        <v>33</v>
      </c>
      <c r="M61">
        <v>21.675799999999999</v>
      </c>
      <c r="N61">
        <v>24.3689</v>
      </c>
      <c r="O61">
        <v>22.887699999999999</v>
      </c>
      <c r="P61">
        <v>30.964600000000001</v>
      </c>
      <c r="Q61">
        <v>34.815600000000003</v>
      </c>
      <c r="R61">
        <v>32.697600000000001</v>
      </c>
      <c r="V61" t="s">
        <v>167</v>
      </c>
      <c r="W61" t="s">
        <v>168</v>
      </c>
      <c r="Y61">
        <v>1</v>
      </c>
      <c r="Z61" t="s">
        <v>170</v>
      </c>
      <c r="AA61" t="s">
        <v>170</v>
      </c>
      <c r="AB61" t="s">
        <v>167</v>
      </c>
      <c r="AC61" t="s">
        <v>213</v>
      </c>
      <c r="AF61">
        <v>319</v>
      </c>
      <c r="AG61" t="s">
        <v>1735</v>
      </c>
      <c r="AH61" t="s">
        <v>1736</v>
      </c>
      <c r="AI61" t="s">
        <v>1742</v>
      </c>
      <c r="AJ61" t="s">
        <v>1743</v>
      </c>
      <c r="AK61">
        <v>4</v>
      </c>
      <c r="AL61" t="s">
        <v>1737</v>
      </c>
      <c r="AS61">
        <v>800</v>
      </c>
      <c r="AT61">
        <v>800</v>
      </c>
      <c r="BQ61">
        <v>33</v>
      </c>
      <c r="BR61" t="s">
        <v>1497</v>
      </c>
      <c r="BT61" t="s">
        <v>1738</v>
      </c>
      <c r="BU61" s="1">
        <v>45717</v>
      </c>
      <c r="BV61">
        <v>35965</v>
      </c>
      <c r="BW61" s="155"/>
      <c r="BX61" t="s">
        <v>169</v>
      </c>
      <c r="BY61" t="s">
        <v>170</v>
      </c>
      <c r="CB61" t="s">
        <v>170</v>
      </c>
      <c r="CC61" t="s">
        <v>170</v>
      </c>
      <c r="CK61" t="s">
        <v>233</v>
      </c>
      <c r="CM61">
        <v>12</v>
      </c>
      <c r="CN61" t="s">
        <v>234</v>
      </c>
      <c r="CP61">
        <v>662</v>
      </c>
      <c r="CQ61">
        <v>151.1</v>
      </c>
      <c r="CR61">
        <v>169.5</v>
      </c>
      <c r="CS61" t="s">
        <v>1739</v>
      </c>
      <c r="CV61" t="s">
        <v>341</v>
      </c>
      <c r="CX61" t="s">
        <v>342</v>
      </c>
      <c r="CY61" t="s">
        <v>169</v>
      </c>
      <c r="DC61" t="s">
        <v>1758</v>
      </c>
      <c r="DD61">
        <v>2</v>
      </c>
      <c r="DE61" t="s">
        <v>404</v>
      </c>
      <c r="DF61" t="s">
        <v>1762</v>
      </c>
      <c r="DG61" t="s">
        <v>1760</v>
      </c>
      <c r="DL61" t="s">
        <v>170</v>
      </c>
      <c r="DM61" t="s">
        <v>169</v>
      </c>
      <c r="DP61" t="s">
        <v>170</v>
      </c>
      <c r="DQ61" t="s">
        <v>187</v>
      </c>
      <c r="DR61" t="s">
        <v>1766</v>
      </c>
      <c r="EA61" s="101"/>
      <c r="EB61">
        <v>9</v>
      </c>
      <c r="EC61">
        <v>10</v>
      </c>
      <c r="EE61" t="s">
        <v>1761</v>
      </c>
      <c r="EF61">
        <v>10</v>
      </c>
      <c r="EU61">
        <v>5500</v>
      </c>
      <c r="EW61">
        <v>0</v>
      </c>
      <c r="EX61">
        <v>0</v>
      </c>
      <c r="EY61">
        <v>0</v>
      </c>
      <c r="FA61">
        <v>14</v>
      </c>
      <c r="FG61">
        <v>336</v>
      </c>
      <c r="FH61">
        <v>299</v>
      </c>
      <c r="FI61">
        <v>319</v>
      </c>
    </row>
    <row r="62" spans="1:165" x14ac:dyDescent="0.35">
      <c r="A62" s="25"/>
      <c r="B62" s="25"/>
      <c r="C62" s="25"/>
      <c r="D62" s="25"/>
      <c r="E62" s="25"/>
      <c r="F62" s="25" t="str">
        <f>_xlfn.CONCAT($A63," ",$B63," ",$D63)</f>
        <v>2025 Volkswagen Group of Q6 e-tron</v>
      </c>
      <c r="G62" s="25"/>
      <c r="H62" s="25"/>
      <c r="I62" s="25"/>
      <c r="J62" s="25"/>
      <c r="K62" s="25"/>
      <c r="L62" s="25"/>
      <c r="M62" s="25"/>
      <c r="N62" s="25"/>
      <c r="O62" s="25"/>
      <c r="P62" s="25"/>
      <c r="Q62" s="25"/>
      <c r="R62" s="25"/>
      <c r="S62" s="25"/>
      <c r="T62" s="25"/>
      <c r="U62" s="25"/>
      <c r="V62" s="25"/>
      <c r="W62" s="25"/>
      <c r="X62" s="25"/>
      <c r="Y62" s="25"/>
      <c r="Z62" s="25"/>
      <c r="AA62" s="25"/>
      <c r="AB62" s="25"/>
      <c r="AC62" s="25"/>
      <c r="AD62" s="25" t="str">
        <f>_xlfn.CONCAT($A63," ",$B63," ",$D63)</f>
        <v>2025 Volkswagen Group of Q6 e-tron</v>
      </c>
      <c r="AE62" s="25"/>
      <c r="AF62" s="25"/>
      <c r="AG62" s="25"/>
      <c r="AH62" s="25"/>
      <c r="AI62" s="25"/>
      <c r="AJ62" s="25"/>
      <c r="AK62" s="25"/>
      <c r="AL62" s="25"/>
      <c r="AM62" s="25"/>
      <c r="AN62" s="25"/>
      <c r="AO62" s="25"/>
      <c r="AP62" s="25"/>
      <c r="AQ62" s="25"/>
      <c r="AR62" s="25"/>
      <c r="AS62" s="25"/>
      <c r="AT62" s="25"/>
      <c r="AU62" s="25"/>
      <c r="AV62" s="25"/>
      <c r="AW62" s="25"/>
      <c r="AX62" s="25" t="str">
        <f>_xlfn.CONCAT($A63," ",$B63," ",$D63)</f>
        <v>2025 Volkswagen Group of Q6 e-tron</v>
      </c>
      <c r="AY62" s="25"/>
      <c r="AZ62" s="25"/>
      <c r="BA62" s="25"/>
      <c r="BB62" s="25"/>
      <c r="BC62" s="25"/>
      <c r="BD62" s="25"/>
      <c r="BE62" s="25"/>
      <c r="BF62" s="25"/>
      <c r="BG62" s="25"/>
      <c r="BH62" s="25"/>
      <c r="BI62" s="25"/>
      <c r="BJ62" s="25"/>
      <c r="BK62" s="25"/>
      <c r="BL62" s="25"/>
      <c r="BM62" s="25"/>
      <c r="BN62" s="25"/>
      <c r="BO62" s="25"/>
      <c r="BP62" s="25"/>
      <c r="BQ62" s="25"/>
      <c r="BR62" s="25" t="str">
        <f>_xlfn.CONCAT($A63," ",$B63," ",$D63)</f>
        <v>2025 Volkswagen Group of Q6 e-tron</v>
      </c>
      <c r="BS62" s="25"/>
      <c r="BT62" s="25"/>
      <c r="BU62" s="25"/>
      <c r="BV62" s="25"/>
      <c r="BW62" s="156"/>
      <c r="BX62" s="25"/>
      <c r="BY62" s="25"/>
      <c r="BZ62" s="25"/>
      <c r="CA62" s="25"/>
      <c r="CB62" s="25"/>
      <c r="CC62" s="25"/>
      <c r="CD62" s="25"/>
      <c r="CE62" s="25"/>
      <c r="CF62" s="25"/>
      <c r="CG62" s="25"/>
      <c r="CH62" s="25"/>
      <c r="CI62" s="25"/>
      <c r="CJ62" s="25"/>
      <c r="CK62" s="25"/>
      <c r="CL62" s="25"/>
      <c r="CM62" s="25"/>
      <c r="CN62" s="25"/>
      <c r="CO62" s="25"/>
      <c r="CP62" s="25" t="str">
        <f>_xlfn.CONCAT($A63," ",$B63," ",$D63)</f>
        <v>2025 Volkswagen Group of Q6 e-tron</v>
      </c>
      <c r="CQ62" s="25"/>
      <c r="CR62" s="25"/>
      <c r="CS62" s="25"/>
      <c r="CT62" s="25"/>
      <c r="CU62" s="25"/>
      <c r="CV62" s="25"/>
      <c r="CW62" s="25"/>
      <c r="CX62" s="25"/>
      <c r="CY62" s="25"/>
      <c r="CZ62" s="25"/>
      <c r="DA62" s="25"/>
      <c r="DB62" s="25"/>
      <c r="DC62" s="25"/>
      <c r="DD62" s="25"/>
      <c r="DE62" s="25"/>
      <c r="DF62" s="25"/>
      <c r="DG62" s="25"/>
      <c r="DH62" s="25"/>
      <c r="DI62" s="25" t="str">
        <f>_xlfn.CONCAT($A63," ",$B63," ",$D63)</f>
        <v>2025 Volkswagen Group of Q6 e-tron</v>
      </c>
      <c r="DJ62" s="25"/>
      <c r="DK62" s="25"/>
      <c r="DL62" s="25"/>
      <c r="DM62" s="25"/>
      <c r="DN62" s="25"/>
      <c r="DO62" s="25"/>
      <c r="DP62" s="25"/>
      <c r="DQ62" s="25"/>
      <c r="DR62" s="25"/>
      <c r="DS62" s="25"/>
      <c r="DT62" s="25"/>
      <c r="DU62" s="25"/>
      <c r="DV62" s="25"/>
      <c r="DW62" s="25"/>
      <c r="DX62" s="25"/>
      <c r="DY62" s="25"/>
      <c r="DZ62" s="25" t="str">
        <f>_xlfn.CONCAT($A63," ",$B63," ",$D63)</f>
        <v>2025 Volkswagen Group of Q6 e-tron</v>
      </c>
      <c r="EA62" s="89"/>
      <c r="EB62" s="25"/>
      <c r="EC62" s="25"/>
      <c r="ED62" s="25"/>
      <c r="EE62" s="25"/>
      <c r="EF62" s="25"/>
      <c r="EG62" s="25"/>
      <c r="EH62" s="25"/>
      <c r="EI62" s="25"/>
      <c r="EJ62" s="25"/>
      <c r="EK62" s="25"/>
      <c r="EL62" s="25"/>
      <c r="EM62" s="25"/>
      <c r="EN62" s="25"/>
      <c r="EO62" s="25"/>
      <c r="EP62" s="25"/>
      <c r="EQ62" s="25"/>
      <c r="ER62" s="25"/>
      <c r="ES62" s="25"/>
      <c r="ET62" s="25"/>
      <c r="EU62" s="25"/>
      <c r="EV62" s="25" t="str">
        <f>_xlfn.CONCAT($A63," ",$B63," ",$D63)</f>
        <v>2025 Volkswagen Group of Q6 e-tron</v>
      </c>
      <c r="EW62" s="25"/>
      <c r="EX62" s="25"/>
      <c r="EY62" s="25"/>
      <c r="EZ62" s="25"/>
      <c r="FA62" s="25"/>
      <c r="FB62" s="25"/>
      <c r="FC62" s="25"/>
      <c r="FD62" s="25"/>
      <c r="FE62" s="25"/>
      <c r="FF62" s="25"/>
      <c r="FG62" s="25"/>
    </row>
    <row r="63" spans="1:165" x14ac:dyDescent="0.35">
      <c r="A63">
        <v>2025</v>
      </c>
      <c r="B63" t="s">
        <v>205</v>
      </c>
      <c r="C63" t="s">
        <v>385</v>
      </c>
      <c r="D63" t="s">
        <v>1751</v>
      </c>
      <c r="E63" t="s">
        <v>208</v>
      </c>
      <c r="F63">
        <v>620</v>
      </c>
      <c r="G63">
        <v>0</v>
      </c>
      <c r="I63" t="s">
        <v>1734</v>
      </c>
      <c r="J63">
        <v>103</v>
      </c>
      <c r="K63">
        <v>88</v>
      </c>
      <c r="L63">
        <v>96</v>
      </c>
      <c r="M63">
        <v>147.1</v>
      </c>
      <c r="N63">
        <v>125.9</v>
      </c>
      <c r="O63">
        <v>136.73869999999999</v>
      </c>
      <c r="P63">
        <v>102.97</v>
      </c>
      <c r="Q63">
        <v>88.13</v>
      </c>
      <c r="R63">
        <v>95.717100000000002</v>
      </c>
      <c r="V63" t="s">
        <v>167</v>
      </c>
      <c r="W63" t="s">
        <v>168</v>
      </c>
      <c r="Y63">
        <v>1</v>
      </c>
      <c r="Z63" t="s">
        <v>169</v>
      </c>
      <c r="AA63" t="s">
        <v>170</v>
      </c>
      <c r="AB63" t="s">
        <v>171</v>
      </c>
      <c r="AC63" t="s">
        <v>172</v>
      </c>
      <c r="AF63">
        <v>298</v>
      </c>
      <c r="AG63" t="s">
        <v>1735</v>
      </c>
      <c r="AH63" t="s">
        <v>1736</v>
      </c>
      <c r="AI63" t="s">
        <v>175</v>
      </c>
      <c r="AJ63" t="s">
        <v>176</v>
      </c>
      <c r="AK63">
        <v>4</v>
      </c>
      <c r="AL63" t="s">
        <v>1737</v>
      </c>
      <c r="AS63">
        <v>850</v>
      </c>
      <c r="AT63">
        <v>0</v>
      </c>
      <c r="BQ63">
        <v>32</v>
      </c>
      <c r="BR63" t="s">
        <v>1453</v>
      </c>
      <c r="BT63" t="s">
        <v>1738</v>
      </c>
      <c r="BU63" s="1">
        <v>45560</v>
      </c>
      <c r="BV63">
        <v>35544</v>
      </c>
      <c r="BW63" s="155"/>
      <c r="BX63" t="s">
        <v>169</v>
      </c>
      <c r="BY63" t="s">
        <v>170</v>
      </c>
      <c r="CB63" t="s">
        <v>170</v>
      </c>
      <c r="CC63" t="s">
        <v>170</v>
      </c>
      <c r="CK63" t="s">
        <v>233</v>
      </c>
      <c r="CM63">
        <v>12</v>
      </c>
      <c r="CN63" t="s">
        <v>234</v>
      </c>
      <c r="CP63">
        <v>661</v>
      </c>
      <c r="CQ63">
        <v>151.6</v>
      </c>
      <c r="CR63">
        <v>173</v>
      </c>
      <c r="CS63" t="s">
        <v>1752</v>
      </c>
      <c r="CV63" t="s">
        <v>341</v>
      </c>
      <c r="CX63" t="s">
        <v>1012</v>
      </c>
      <c r="CY63" t="s">
        <v>169</v>
      </c>
      <c r="DC63" t="s">
        <v>1753</v>
      </c>
      <c r="DD63">
        <v>1</v>
      </c>
      <c r="DE63" t="s">
        <v>404</v>
      </c>
      <c r="DF63" t="s">
        <v>1754</v>
      </c>
      <c r="DG63">
        <v>225</v>
      </c>
      <c r="DL63" t="s">
        <v>170</v>
      </c>
      <c r="DM63" t="s">
        <v>169</v>
      </c>
      <c r="DP63" t="s">
        <v>170</v>
      </c>
      <c r="DQ63" t="s">
        <v>187</v>
      </c>
      <c r="DR63" t="s">
        <v>1755</v>
      </c>
      <c r="EA63" s="101"/>
      <c r="EB63">
        <v>9</v>
      </c>
      <c r="EC63">
        <v>10</v>
      </c>
      <c r="EE63" t="s">
        <v>1756</v>
      </c>
      <c r="EF63">
        <v>10</v>
      </c>
      <c r="EU63">
        <v>5250</v>
      </c>
      <c r="EW63">
        <v>0</v>
      </c>
      <c r="EX63">
        <v>0</v>
      </c>
      <c r="EY63">
        <v>0</v>
      </c>
      <c r="FA63">
        <v>14</v>
      </c>
      <c r="FG63">
        <v>319</v>
      </c>
      <c r="FH63">
        <v>273</v>
      </c>
      <c r="FI63">
        <v>298</v>
      </c>
    </row>
    <row r="64" spans="1:165" x14ac:dyDescent="0.35">
      <c r="A64">
        <v>2025</v>
      </c>
      <c r="B64" t="s">
        <v>205</v>
      </c>
      <c r="C64" t="s">
        <v>385</v>
      </c>
      <c r="D64" t="s">
        <v>1751</v>
      </c>
      <c r="E64" t="s">
        <v>208</v>
      </c>
      <c r="F64">
        <v>620</v>
      </c>
      <c r="G64">
        <v>0</v>
      </c>
      <c r="I64" t="s">
        <v>1734</v>
      </c>
      <c r="J64">
        <v>33</v>
      </c>
      <c r="K64">
        <v>38</v>
      </c>
      <c r="L64">
        <v>35</v>
      </c>
      <c r="M64">
        <v>22.907900000000001</v>
      </c>
      <c r="N64">
        <v>26.773199999999999</v>
      </c>
      <c r="O64">
        <v>24.647300000000001</v>
      </c>
      <c r="P64">
        <v>32.732799999999997</v>
      </c>
      <c r="Q64">
        <v>38.244599999999998</v>
      </c>
      <c r="R64">
        <v>35.213099999999997</v>
      </c>
      <c r="V64" t="s">
        <v>167</v>
      </c>
      <c r="W64" t="s">
        <v>168</v>
      </c>
      <c r="Y64">
        <v>1</v>
      </c>
      <c r="Z64" t="s">
        <v>169</v>
      </c>
      <c r="AA64" t="s">
        <v>170</v>
      </c>
      <c r="AB64" t="s">
        <v>171</v>
      </c>
      <c r="AC64" t="s">
        <v>172</v>
      </c>
      <c r="AF64">
        <v>298</v>
      </c>
      <c r="AG64" t="s">
        <v>1735</v>
      </c>
      <c r="AH64" t="s">
        <v>1736</v>
      </c>
      <c r="AI64" t="s">
        <v>1742</v>
      </c>
      <c r="AJ64" t="s">
        <v>1743</v>
      </c>
      <c r="AK64">
        <v>4</v>
      </c>
      <c r="AL64" t="s">
        <v>1737</v>
      </c>
      <c r="AS64">
        <v>850</v>
      </c>
      <c r="AT64">
        <v>850</v>
      </c>
      <c r="BQ64">
        <v>32</v>
      </c>
      <c r="BR64" t="s">
        <v>1453</v>
      </c>
      <c r="BT64" t="s">
        <v>1738</v>
      </c>
      <c r="BU64" s="1">
        <v>45560</v>
      </c>
      <c r="BV64">
        <v>35544</v>
      </c>
      <c r="BW64" s="155"/>
      <c r="BX64" t="s">
        <v>169</v>
      </c>
      <c r="BY64" t="s">
        <v>170</v>
      </c>
      <c r="CB64" t="s">
        <v>170</v>
      </c>
      <c r="CC64" t="s">
        <v>170</v>
      </c>
      <c r="CK64" t="s">
        <v>233</v>
      </c>
      <c r="CM64">
        <v>12</v>
      </c>
      <c r="CN64" t="s">
        <v>234</v>
      </c>
      <c r="CP64">
        <v>661</v>
      </c>
      <c r="CQ64">
        <v>151.6</v>
      </c>
      <c r="CR64">
        <v>173</v>
      </c>
      <c r="CS64" t="s">
        <v>1752</v>
      </c>
      <c r="CV64" t="s">
        <v>341</v>
      </c>
      <c r="CX64" t="s">
        <v>1012</v>
      </c>
      <c r="CY64" t="s">
        <v>169</v>
      </c>
      <c r="DC64" t="s">
        <v>1753</v>
      </c>
      <c r="DD64">
        <v>1</v>
      </c>
      <c r="DE64" t="s">
        <v>404</v>
      </c>
      <c r="DF64" t="s">
        <v>1754</v>
      </c>
      <c r="DG64">
        <v>225</v>
      </c>
      <c r="DL64" t="s">
        <v>170</v>
      </c>
      <c r="DM64" t="s">
        <v>169</v>
      </c>
      <c r="DP64" t="s">
        <v>170</v>
      </c>
      <c r="DQ64" t="s">
        <v>187</v>
      </c>
      <c r="DR64" t="s">
        <v>1755</v>
      </c>
      <c r="EA64" s="101"/>
      <c r="EB64">
        <v>9</v>
      </c>
      <c r="EC64">
        <v>10</v>
      </c>
      <c r="EE64" t="s">
        <v>1756</v>
      </c>
      <c r="EF64">
        <v>10</v>
      </c>
      <c r="EU64">
        <v>5250</v>
      </c>
      <c r="EW64">
        <v>0</v>
      </c>
      <c r="EX64">
        <v>0</v>
      </c>
      <c r="EY64">
        <v>0</v>
      </c>
      <c r="FA64">
        <v>14</v>
      </c>
      <c r="FG64">
        <v>319</v>
      </c>
      <c r="FH64">
        <v>273</v>
      </c>
      <c r="FI64">
        <v>298</v>
      </c>
    </row>
    <row r="65" spans="1:165" x14ac:dyDescent="0.35">
      <c r="A65" s="25"/>
      <c r="B65" s="25"/>
      <c r="C65" s="25"/>
      <c r="D65" s="25"/>
      <c r="E65" s="25"/>
      <c r="F65" s="25" t="str">
        <f>_xlfn.CONCAT($A66," ",$B66," ",$D66)</f>
        <v>2025 Volkswagen Group of Q6 e-tron quattro</v>
      </c>
      <c r="G65" s="25"/>
      <c r="H65" s="25"/>
      <c r="I65" s="25"/>
      <c r="J65" s="25"/>
      <c r="K65" s="25"/>
      <c r="L65" s="25"/>
      <c r="M65" s="25"/>
      <c r="N65" s="25"/>
      <c r="O65" s="25"/>
      <c r="P65" s="25"/>
      <c r="Q65" s="25"/>
      <c r="R65" s="25"/>
      <c r="S65" s="25"/>
      <c r="T65" s="25"/>
      <c r="U65" s="25"/>
      <c r="V65" s="25"/>
      <c r="W65" s="25"/>
      <c r="X65" s="25"/>
      <c r="Y65" s="25"/>
      <c r="Z65" s="25"/>
      <c r="AA65" s="25"/>
      <c r="AB65" s="25"/>
      <c r="AC65" s="25"/>
      <c r="AD65" s="25" t="str">
        <f>_xlfn.CONCAT($A66," ",$B66," ",$D66)</f>
        <v>2025 Volkswagen Group of Q6 e-tron quattro</v>
      </c>
      <c r="AE65" s="25"/>
      <c r="AF65" s="25"/>
      <c r="AG65" s="25"/>
      <c r="AH65" s="25"/>
      <c r="AI65" s="25"/>
      <c r="AJ65" s="25"/>
      <c r="AK65" s="25"/>
      <c r="AL65" s="25"/>
      <c r="AM65" s="25"/>
      <c r="AN65" s="25"/>
      <c r="AO65" s="25"/>
      <c r="AP65" s="25"/>
      <c r="AQ65" s="25"/>
      <c r="AR65" s="25"/>
      <c r="AS65" s="25"/>
      <c r="AT65" s="25"/>
      <c r="AU65" s="25"/>
      <c r="AV65" s="25"/>
      <c r="AW65" s="25"/>
      <c r="AX65" s="25" t="str">
        <f>_xlfn.CONCAT($A66," ",$B66," ",$D66)</f>
        <v>2025 Volkswagen Group of Q6 e-tron quattro</v>
      </c>
      <c r="AY65" s="25"/>
      <c r="AZ65" s="25"/>
      <c r="BA65" s="25"/>
      <c r="BB65" s="25"/>
      <c r="BC65" s="25"/>
      <c r="BD65" s="25"/>
      <c r="BE65" s="25"/>
      <c r="BF65" s="25"/>
      <c r="BG65" s="25"/>
      <c r="BH65" s="25"/>
      <c r="BI65" s="25"/>
      <c r="BJ65" s="25"/>
      <c r="BK65" s="25"/>
      <c r="BL65" s="25"/>
      <c r="BM65" s="25"/>
      <c r="BN65" s="25"/>
      <c r="BO65" s="25"/>
      <c r="BP65" s="25"/>
      <c r="BQ65" s="25"/>
      <c r="BR65" s="25" t="str">
        <f>_xlfn.CONCAT($A66," ",$B66," ",$D66)</f>
        <v>2025 Volkswagen Group of Q6 e-tron quattro</v>
      </c>
      <c r="BS65" s="25"/>
      <c r="BT65" s="25"/>
      <c r="BU65" s="25"/>
      <c r="BV65" s="25"/>
      <c r="BW65" s="156"/>
      <c r="BX65" s="25"/>
      <c r="BY65" s="25"/>
      <c r="BZ65" s="25"/>
      <c r="CA65" s="25"/>
      <c r="CB65" s="25"/>
      <c r="CC65" s="25"/>
      <c r="CD65" s="25"/>
      <c r="CE65" s="25"/>
      <c r="CF65" s="25"/>
      <c r="CG65" s="25"/>
      <c r="CH65" s="25"/>
      <c r="CI65" s="25"/>
      <c r="CJ65" s="25"/>
      <c r="CK65" s="25"/>
      <c r="CL65" s="25"/>
      <c r="CM65" s="25"/>
      <c r="CN65" s="25"/>
      <c r="CO65" s="25"/>
      <c r="CP65" s="25" t="str">
        <f>_xlfn.CONCAT($A66," ",$B66," ",$D66)</f>
        <v>2025 Volkswagen Group of Q6 e-tron quattro</v>
      </c>
      <c r="CQ65" s="25"/>
      <c r="CR65" s="25"/>
      <c r="CS65" s="25"/>
      <c r="CT65" s="25"/>
      <c r="CU65" s="25"/>
      <c r="CV65" s="25"/>
      <c r="CW65" s="25"/>
      <c r="CX65" s="25"/>
      <c r="CY65" s="25"/>
      <c r="CZ65" s="25"/>
      <c r="DA65" s="25"/>
      <c r="DB65" s="25"/>
      <c r="DC65" s="25"/>
      <c r="DD65" s="25"/>
      <c r="DE65" s="25"/>
      <c r="DF65" s="25"/>
      <c r="DG65" s="25"/>
      <c r="DH65" s="25"/>
      <c r="DI65" s="25" t="str">
        <f>_xlfn.CONCAT($A66," ",$B66," ",$D66)</f>
        <v>2025 Volkswagen Group of Q6 e-tron quattro</v>
      </c>
      <c r="DJ65" s="25"/>
      <c r="DK65" s="25"/>
      <c r="DL65" s="25"/>
      <c r="DM65" s="25"/>
      <c r="DN65" s="25"/>
      <c r="DO65" s="25"/>
      <c r="DP65" s="25"/>
      <c r="DQ65" s="25"/>
      <c r="DR65" s="25"/>
      <c r="DS65" s="25"/>
      <c r="DT65" s="25"/>
      <c r="DU65" s="25"/>
      <c r="DV65" s="25"/>
      <c r="DW65" s="25"/>
      <c r="DX65" s="25"/>
      <c r="DY65" s="25"/>
      <c r="DZ65" s="25" t="str">
        <f>_xlfn.CONCAT($A66," ",$B66," ",$D66)</f>
        <v>2025 Volkswagen Group of Q6 e-tron quattro</v>
      </c>
      <c r="EA65" s="89"/>
      <c r="EB65" s="25"/>
      <c r="EC65" s="25"/>
      <c r="ED65" s="25"/>
      <c r="EE65" s="25"/>
      <c r="EF65" s="25"/>
      <c r="EG65" s="25"/>
      <c r="EH65" s="25"/>
      <c r="EI65" s="25"/>
      <c r="EJ65" s="25"/>
      <c r="EK65" s="25"/>
      <c r="EL65" s="25"/>
      <c r="EM65" s="25"/>
      <c r="EN65" s="25"/>
      <c r="EO65" s="25"/>
      <c r="EP65" s="25"/>
      <c r="EQ65" s="25"/>
      <c r="ER65" s="25"/>
      <c r="ES65" s="25"/>
      <c r="ET65" s="25"/>
      <c r="EU65" s="25"/>
      <c r="EV65" s="25" t="str">
        <f>_xlfn.CONCAT($A66," ",$B66," ",$D66)</f>
        <v>2025 Volkswagen Group of Q6 e-tron quattro</v>
      </c>
      <c r="EW65" s="25"/>
      <c r="EX65" s="25"/>
      <c r="EY65" s="25"/>
      <c r="EZ65" s="25"/>
      <c r="FA65" s="25"/>
      <c r="FB65" s="25"/>
      <c r="FC65" s="25"/>
      <c r="FD65" s="25"/>
      <c r="FE65" s="25"/>
      <c r="FF65" s="25"/>
      <c r="FG65" s="25"/>
    </row>
    <row r="66" spans="1:165" x14ac:dyDescent="0.35">
      <c r="A66">
        <v>2025</v>
      </c>
      <c r="B66" t="s">
        <v>205</v>
      </c>
      <c r="C66" t="s">
        <v>385</v>
      </c>
      <c r="D66" t="s">
        <v>1757</v>
      </c>
      <c r="E66" t="s">
        <v>208</v>
      </c>
      <c r="F66">
        <v>622</v>
      </c>
      <c r="G66">
        <v>0</v>
      </c>
      <c r="I66" t="s">
        <v>1734</v>
      </c>
      <c r="J66">
        <v>102</v>
      </c>
      <c r="K66">
        <v>89</v>
      </c>
      <c r="L66">
        <v>95</v>
      </c>
      <c r="M66">
        <v>145.5</v>
      </c>
      <c r="N66">
        <v>126.7</v>
      </c>
      <c r="O66">
        <v>136.39279999999999</v>
      </c>
      <c r="P66">
        <v>101.85</v>
      </c>
      <c r="Q66">
        <v>88.69</v>
      </c>
      <c r="R66">
        <v>95.474999999999994</v>
      </c>
      <c r="V66" t="s">
        <v>167</v>
      </c>
      <c r="W66" t="s">
        <v>168</v>
      </c>
      <c r="Y66">
        <v>1</v>
      </c>
      <c r="Z66" t="s">
        <v>170</v>
      </c>
      <c r="AA66" t="s">
        <v>170</v>
      </c>
      <c r="AB66" t="s">
        <v>167</v>
      </c>
      <c r="AC66" t="s">
        <v>213</v>
      </c>
      <c r="AF66">
        <v>295</v>
      </c>
      <c r="AG66" t="s">
        <v>1735</v>
      </c>
      <c r="AH66" t="s">
        <v>1736</v>
      </c>
      <c r="AI66" t="s">
        <v>175</v>
      </c>
      <c r="AJ66" t="s">
        <v>176</v>
      </c>
      <c r="AK66">
        <v>4</v>
      </c>
      <c r="AL66" t="s">
        <v>1737</v>
      </c>
      <c r="AS66">
        <v>850</v>
      </c>
      <c r="AT66">
        <v>850</v>
      </c>
      <c r="BQ66">
        <v>33</v>
      </c>
      <c r="BR66" t="s">
        <v>1497</v>
      </c>
      <c r="BT66" t="s">
        <v>1738</v>
      </c>
      <c r="BU66" s="1">
        <v>45474</v>
      </c>
      <c r="BV66">
        <v>34954</v>
      </c>
      <c r="BW66" s="155"/>
      <c r="BX66" t="s">
        <v>169</v>
      </c>
      <c r="BY66" t="s">
        <v>170</v>
      </c>
      <c r="CB66" t="s">
        <v>170</v>
      </c>
      <c r="CC66" t="s">
        <v>170</v>
      </c>
      <c r="CK66" t="s">
        <v>233</v>
      </c>
      <c r="CM66">
        <v>12</v>
      </c>
      <c r="CN66" t="s">
        <v>234</v>
      </c>
      <c r="CP66">
        <v>662</v>
      </c>
      <c r="CQ66">
        <v>151.1</v>
      </c>
      <c r="CR66">
        <v>169.5</v>
      </c>
      <c r="CS66" t="s">
        <v>1739</v>
      </c>
      <c r="CV66" t="s">
        <v>341</v>
      </c>
      <c r="CX66" t="s">
        <v>342</v>
      </c>
      <c r="CY66" t="s">
        <v>169</v>
      </c>
      <c r="DC66" t="s">
        <v>1758</v>
      </c>
      <c r="DD66">
        <v>2</v>
      </c>
      <c r="DE66" t="s">
        <v>404</v>
      </c>
      <c r="DF66" t="s">
        <v>1762</v>
      </c>
      <c r="DG66" t="s">
        <v>1760</v>
      </c>
      <c r="DL66" t="s">
        <v>170</v>
      </c>
      <c r="DM66" t="s">
        <v>169</v>
      </c>
      <c r="DP66" t="s">
        <v>170</v>
      </c>
      <c r="DQ66" t="s">
        <v>187</v>
      </c>
      <c r="DR66" t="s">
        <v>1763</v>
      </c>
      <c r="EA66" s="101"/>
      <c r="EB66">
        <v>9</v>
      </c>
      <c r="EC66">
        <v>10</v>
      </c>
      <c r="EE66" t="s">
        <v>1761</v>
      </c>
      <c r="EF66">
        <v>10</v>
      </c>
      <c r="EU66">
        <v>5250</v>
      </c>
      <c r="EW66">
        <v>0</v>
      </c>
      <c r="EX66">
        <v>0</v>
      </c>
      <c r="EY66">
        <v>0</v>
      </c>
      <c r="FA66">
        <v>14</v>
      </c>
      <c r="FG66">
        <v>313</v>
      </c>
      <c r="FH66">
        <v>273</v>
      </c>
      <c r="FI66">
        <v>295</v>
      </c>
    </row>
    <row r="67" spans="1:165" x14ac:dyDescent="0.35">
      <c r="A67">
        <v>2025</v>
      </c>
      <c r="B67" t="s">
        <v>205</v>
      </c>
      <c r="C67" t="s">
        <v>385</v>
      </c>
      <c r="D67" t="s">
        <v>1757</v>
      </c>
      <c r="E67" t="s">
        <v>208</v>
      </c>
      <c r="F67">
        <v>622</v>
      </c>
      <c r="G67">
        <v>0</v>
      </c>
      <c r="I67" t="s">
        <v>1734</v>
      </c>
      <c r="J67">
        <v>33</v>
      </c>
      <c r="K67">
        <v>38</v>
      </c>
      <c r="L67">
        <v>35</v>
      </c>
      <c r="M67">
        <v>23.1616</v>
      </c>
      <c r="N67">
        <v>26.610499999999998</v>
      </c>
      <c r="O67">
        <v>24.7136</v>
      </c>
      <c r="P67">
        <v>33.092799999999997</v>
      </c>
      <c r="Q67">
        <v>38.0032</v>
      </c>
      <c r="R67">
        <v>35.302399999999999</v>
      </c>
      <c r="V67" t="s">
        <v>167</v>
      </c>
      <c r="W67" t="s">
        <v>168</v>
      </c>
      <c r="Y67">
        <v>1</v>
      </c>
      <c r="Z67" t="s">
        <v>170</v>
      </c>
      <c r="AA67" t="s">
        <v>170</v>
      </c>
      <c r="AB67" t="s">
        <v>167</v>
      </c>
      <c r="AC67" t="s">
        <v>213</v>
      </c>
      <c r="AF67">
        <v>295</v>
      </c>
      <c r="AG67" t="s">
        <v>1735</v>
      </c>
      <c r="AH67" t="s">
        <v>1736</v>
      </c>
      <c r="AI67" t="s">
        <v>1742</v>
      </c>
      <c r="AJ67" t="s">
        <v>1743</v>
      </c>
      <c r="AK67">
        <v>4</v>
      </c>
      <c r="AL67" t="s">
        <v>1737</v>
      </c>
      <c r="AS67">
        <v>850</v>
      </c>
      <c r="AT67">
        <v>850</v>
      </c>
      <c r="BQ67">
        <v>33</v>
      </c>
      <c r="BR67" t="s">
        <v>1497</v>
      </c>
      <c r="BT67" t="s">
        <v>1738</v>
      </c>
      <c r="BU67" s="1">
        <v>45474</v>
      </c>
      <c r="BV67">
        <v>34954</v>
      </c>
      <c r="BW67" s="155"/>
      <c r="BX67" t="s">
        <v>169</v>
      </c>
      <c r="BY67" t="s">
        <v>170</v>
      </c>
      <c r="CB67" t="s">
        <v>170</v>
      </c>
      <c r="CC67" t="s">
        <v>170</v>
      </c>
      <c r="CK67" t="s">
        <v>233</v>
      </c>
      <c r="CM67">
        <v>12</v>
      </c>
      <c r="CN67" t="s">
        <v>234</v>
      </c>
      <c r="CP67">
        <v>662</v>
      </c>
      <c r="CQ67">
        <v>151.1</v>
      </c>
      <c r="CR67">
        <v>169.5</v>
      </c>
      <c r="CS67" t="s">
        <v>1739</v>
      </c>
      <c r="CV67" t="s">
        <v>341</v>
      </c>
      <c r="CX67" t="s">
        <v>342</v>
      </c>
      <c r="CY67" t="s">
        <v>169</v>
      </c>
      <c r="DC67" t="s">
        <v>1758</v>
      </c>
      <c r="DD67">
        <v>2</v>
      </c>
      <c r="DE67" t="s">
        <v>404</v>
      </c>
      <c r="DF67" t="s">
        <v>1759</v>
      </c>
      <c r="DG67" t="s">
        <v>1760</v>
      </c>
      <c r="DL67" t="s">
        <v>170</v>
      </c>
      <c r="DM67" t="s">
        <v>169</v>
      </c>
      <c r="DP67" t="s">
        <v>170</v>
      </c>
      <c r="DQ67" t="s">
        <v>187</v>
      </c>
      <c r="DR67" t="s">
        <v>1763</v>
      </c>
      <c r="EA67" s="101"/>
      <c r="EB67">
        <v>9</v>
      </c>
      <c r="EC67">
        <v>10</v>
      </c>
      <c r="EE67" t="s">
        <v>1761</v>
      </c>
      <c r="EF67">
        <v>10</v>
      </c>
      <c r="EU67">
        <v>5250</v>
      </c>
      <c r="EW67">
        <v>0</v>
      </c>
      <c r="EX67">
        <v>0</v>
      </c>
      <c r="EY67">
        <v>0</v>
      </c>
      <c r="FA67">
        <v>14</v>
      </c>
      <c r="FG67">
        <v>313</v>
      </c>
      <c r="FH67">
        <v>273</v>
      </c>
      <c r="FI67">
        <v>295</v>
      </c>
    </row>
    <row r="68" spans="1:165" x14ac:dyDescent="0.35">
      <c r="A68" s="25"/>
      <c r="B68" s="25"/>
      <c r="C68" s="25"/>
      <c r="D68" s="25"/>
      <c r="E68" s="25"/>
      <c r="F68" s="25" t="str">
        <f>_xlfn.CONCAT($A69," ",$B69," ",$D69)</f>
        <v>2025 Volkswagen Group of Q6 Sportback e-tron quattro</v>
      </c>
      <c r="G68" s="25"/>
      <c r="H68" s="25"/>
      <c r="I68" s="25"/>
      <c r="J68" s="25"/>
      <c r="K68" s="25"/>
      <c r="L68" s="25"/>
      <c r="M68" s="25"/>
      <c r="N68" s="25"/>
      <c r="O68" s="25"/>
      <c r="P68" s="25"/>
      <c r="Q68" s="25"/>
      <c r="R68" s="25"/>
      <c r="S68" s="25"/>
      <c r="T68" s="25"/>
      <c r="U68" s="25"/>
      <c r="V68" s="25"/>
      <c r="W68" s="25"/>
      <c r="X68" s="25"/>
      <c r="Y68" s="25"/>
      <c r="Z68" s="25"/>
      <c r="AA68" s="25"/>
      <c r="AB68" s="25"/>
      <c r="AC68" s="25"/>
      <c r="AD68" s="25" t="str">
        <f>_xlfn.CONCAT($A69," ",$B69," ",$D69)</f>
        <v>2025 Volkswagen Group of Q6 Sportback e-tron quattro</v>
      </c>
      <c r="AE68" s="25"/>
      <c r="AF68" s="25"/>
      <c r="AG68" s="25"/>
      <c r="AH68" s="25"/>
      <c r="AI68" s="25"/>
      <c r="AJ68" s="25"/>
      <c r="AK68" s="25"/>
      <c r="AL68" s="25"/>
      <c r="AM68" s="25"/>
      <c r="AN68" s="25"/>
      <c r="AO68" s="25"/>
      <c r="AP68" s="25"/>
      <c r="AQ68" s="25"/>
      <c r="AR68" s="25"/>
      <c r="AS68" s="25"/>
      <c r="AT68" s="25"/>
      <c r="AU68" s="25"/>
      <c r="AV68" s="25"/>
      <c r="AW68" s="25"/>
      <c r="AX68" s="25" t="str">
        <f>_xlfn.CONCAT($A69," ",$B69," ",$D69)</f>
        <v>2025 Volkswagen Group of Q6 Sportback e-tron quattro</v>
      </c>
      <c r="AY68" s="25"/>
      <c r="AZ68" s="25"/>
      <c r="BA68" s="25"/>
      <c r="BB68" s="25"/>
      <c r="BC68" s="25"/>
      <c r="BD68" s="25"/>
      <c r="BE68" s="25"/>
      <c r="BF68" s="25"/>
      <c r="BG68" s="25"/>
      <c r="BH68" s="25"/>
      <c r="BI68" s="25"/>
      <c r="BJ68" s="25"/>
      <c r="BK68" s="25"/>
      <c r="BL68" s="25"/>
      <c r="BM68" s="25"/>
      <c r="BN68" s="25"/>
      <c r="BO68" s="25"/>
      <c r="BP68" s="25"/>
      <c r="BQ68" s="25"/>
      <c r="BR68" s="25" t="str">
        <f>_xlfn.CONCAT($A69," ",$B69," ",$D69)</f>
        <v>2025 Volkswagen Group of Q6 Sportback e-tron quattro</v>
      </c>
      <c r="BS68" s="25"/>
      <c r="BT68" s="25"/>
      <c r="BU68" s="25"/>
      <c r="BV68" s="25"/>
      <c r="BW68" s="156"/>
      <c r="BX68" s="25"/>
      <c r="BY68" s="25"/>
      <c r="BZ68" s="25"/>
      <c r="CA68" s="25"/>
      <c r="CB68" s="25"/>
      <c r="CC68" s="25"/>
      <c r="CD68" s="25"/>
      <c r="CE68" s="25"/>
      <c r="CF68" s="25"/>
      <c r="CG68" s="25"/>
      <c r="CH68" s="25"/>
      <c r="CI68" s="25"/>
      <c r="CJ68" s="25"/>
      <c r="CK68" s="25"/>
      <c r="CL68" s="25"/>
      <c r="CM68" s="25"/>
      <c r="CN68" s="25"/>
      <c r="CO68" s="25"/>
      <c r="CP68" s="25" t="str">
        <f>_xlfn.CONCAT($A69," ",$B69," ",$D69)</f>
        <v>2025 Volkswagen Group of Q6 Sportback e-tron quattro</v>
      </c>
      <c r="CQ68" s="25"/>
      <c r="CR68" s="25"/>
      <c r="CS68" s="25"/>
      <c r="CT68" s="25"/>
      <c r="CU68" s="25"/>
      <c r="CV68" s="25"/>
      <c r="CW68" s="25"/>
      <c r="CX68" s="25"/>
      <c r="CY68" s="25"/>
      <c r="CZ68" s="25"/>
      <c r="DA68" s="25"/>
      <c r="DB68" s="25"/>
      <c r="DC68" s="25"/>
      <c r="DD68" s="25"/>
      <c r="DE68" s="25"/>
      <c r="DF68" s="25"/>
      <c r="DG68" s="25"/>
      <c r="DH68" s="25"/>
      <c r="DI68" s="25" t="str">
        <f>_xlfn.CONCAT($A69," ",$B69," ",$D69)</f>
        <v>2025 Volkswagen Group of Q6 Sportback e-tron quattro</v>
      </c>
      <c r="DJ68" s="25"/>
      <c r="DK68" s="25"/>
      <c r="DL68" s="25"/>
      <c r="DM68" s="25"/>
      <c r="DN68" s="25"/>
      <c r="DO68" s="25"/>
      <c r="DP68" s="25"/>
      <c r="DQ68" s="25"/>
      <c r="DR68" s="25"/>
      <c r="DS68" s="25"/>
      <c r="DT68" s="25"/>
      <c r="DU68" s="25"/>
      <c r="DV68" s="25"/>
      <c r="DW68" s="25"/>
      <c r="DX68" s="25"/>
      <c r="DY68" s="25"/>
      <c r="DZ68" s="25" t="str">
        <f>_xlfn.CONCAT($A69," ",$B69," ",$D69)</f>
        <v>2025 Volkswagen Group of Q6 Sportback e-tron quattro</v>
      </c>
      <c r="EA68" s="89"/>
      <c r="EB68" s="25"/>
      <c r="EC68" s="25"/>
      <c r="ED68" s="25"/>
      <c r="EE68" s="25"/>
      <c r="EF68" s="25"/>
      <c r="EG68" s="25"/>
      <c r="EH68" s="25"/>
      <c r="EI68" s="25"/>
      <c r="EJ68" s="25"/>
      <c r="EK68" s="25"/>
      <c r="EL68" s="25"/>
      <c r="EM68" s="25"/>
      <c r="EN68" s="25"/>
      <c r="EO68" s="25"/>
      <c r="EP68" s="25"/>
      <c r="EQ68" s="25"/>
      <c r="ER68" s="25"/>
      <c r="ES68" s="25"/>
      <c r="ET68" s="25"/>
      <c r="EU68" s="25"/>
      <c r="EV68" s="25" t="str">
        <f>_xlfn.CONCAT($A69," ",$B69," ",$D69)</f>
        <v>2025 Volkswagen Group of Q6 Sportback e-tron quattro</v>
      </c>
      <c r="EW68" s="25"/>
      <c r="EX68" s="25"/>
      <c r="EY68" s="25"/>
      <c r="EZ68" s="25"/>
      <c r="FA68" s="25"/>
      <c r="FB68" s="25"/>
      <c r="FC68" s="25"/>
      <c r="FD68" s="25"/>
      <c r="FE68" s="25"/>
      <c r="FF68" s="25"/>
      <c r="FG68" s="25"/>
    </row>
    <row r="69" spans="1:165" x14ac:dyDescent="0.35">
      <c r="A69">
        <v>2025</v>
      </c>
      <c r="B69" t="s">
        <v>205</v>
      </c>
      <c r="C69" t="s">
        <v>385</v>
      </c>
      <c r="D69" t="s">
        <v>1765</v>
      </c>
      <c r="E69" t="s">
        <v>208</v>
      </c>
      <c r="F69">
        <v>625</v>
      </c>
      <c r="G69">
        <v>0</v>
      </c>
      <c r="I69" t="s">
        <v>1734</v>
      </c>
      <c r="J69">
        <v>104</v>
      </c>
      <c r="K69">
        <v>92</v>
      </c>
      <c r="L69">
        <v>98</v>
      </c>
      <c r="M69">
        <v>149.1</v>
      </c>
      <c r="N69">
        <v>131.19999999999999</v>
      </c>
      <c r="O69">
        <v>140.47550000000001</v>
      </c>
      <c r="P69">
        <v>104.37</v>
      </c>
      <c r="Q69">
        <v>91.84</v>
      </c>
      <c r="R69">
        <v>98.332899999999995</v>
      </c>
      <c r="V69" t="s">
        <v>167</v>
      </c>
      <c r="W69" t="s">
        <v>168</v>
      </c>
      <c r="Y69">
        <v>1</v>
      </c>
      <c r="Z69" t="s">
        <v>170</v>
      </c>
      <c r="AA69" t="s">
        <v>170</v>
      </c>
      <c r="AB69" t="s">
        <v>167</v>
      </c>
      <c r="AC69" t="s">
        <v>213</v>
      </c>
      <c r="AF69">
        <v>305</v>
      </c>
      <c r="AG69" t="s">
        <v>1735</v>
      </c>
      <c r="AH69" t="s">
        <v>1736</v>
      </c>
      <c r="AI69" t="s">
        <v>175</v>
      </c>
      <c r="AJ69" t="s">
        <v>176</v>
      </c>
      <c r="AK69">
        <v>4</v>
      </c>
      <c r="AL69" t="s">
        <v>1737</v>
      </c>
      <c r="AS69">
        <v>800</v>
      </c>
      <c r="AT69">
        <v>0</v>
      </c>
      <c r="BQ69">
        <v>33</v>
      </c>
      <c r="BR69" t="s">
        <v>1497</v>
      </c>
      <c r="BT69" t="s">
        <v>1738</v>
      </c>
      <c r="BU69" s="1">
        <v>45717</v>
      </c>
      <c r="BV69">
        <v>35963</v>
      </c>
      <c r="BW69" s="155"/>
      <c r="BX69" t="s">
        <v>169</v>
      </c>
      <c r="BY69" t="s">
        <v>170</v>
      </c>
      <c r="CB69" t="s">
        <v>170</v>
      </c>
      <c r="CC69" t="s">
        <v>170</v>
      </c>
      <c r="CK69" t="s">
        <v>233</v>
      </c>
      <c r="CM69">
        <v>12</v>
      </c>
      <c r="CN69" t="s">
        <v>234</v>
      </c>
      <c r="CP69">
        <v>662</v>
      </c>
      <c r="CQ69">
        <v>151.1</v>
      </c>
      <c r="CR69">
        <v>169.5</v>
      </c>
      <c r="CS69" t="s">
        <v>1739</v>
      </c>
      <c r="CV69" t="s">
        <v>341</v>
      </c>
      <c r="CX69" t="s">
        <v>342</v>
      </c>
      <c r="CY69" t="s">
        <v>169</v>
      </c>
      <c r="DC69" t="s">
        <v>1758</v>
      </c>
      <c r="DD69">
        <v>2</v>
      </c>
      <c r="DE69" t="s">
        <v>404</v>
      </c>
      <c r="DF69" t="s">
        <v>1762</v>
      </c>
      <c r="DG69" t="s">
        <v>1760</v>
      </c>
      <c r="DL69" t="s">
        <v>170</v>
      </c>
      <c r="DM69" t="s">
        <v>169</v>
      </c>
      <c r="DP69" t="s">
        <v>170</v>
      </c>
      <c r="DQ69" t="s">
        <v>187</v>
      </c>
      <c r="DR69" t="s">
        <v>1767</v>
      </c>
      <c r="EA69" s="101"/>
      <c r="EB69">
        <v>9</v>
      </c>
      <c r="EC69">
        <v>10</v>
      </c>
      <c r="EE69" t="s">
        <v>1761</v>
      </c>
      <c r="EF69">
        <v>10</v>
      </c>
      <c r="EU69">
        <v>5500</v>
      </c>
      <c r="EW69">
        <v>0</v>
      </c>
      <c r="EX69">
        <v>0</v>
      </c>
      <c r="EY69">
        <v>0</v>
      </c>
      <c r="FA69">
        <v>14</v>
      </c>
      <c r="FG69">
        <v>322</v>
      </c>
      <c r="FH69">
        <v>284</v>
      </c>
      <c r="FI69">
        <v>305</v>
      </c>
    </row>
    <row r="70" spans="1:165" x14ac:dyDescent="0.35">
      <c r="A70">
        <v>2025</v>
      </c>
      <c r="B70" t="s">
        <v>205</v>
      </c>
      <c r="C70" t="s">
        <v>385</v>
      </c>
      <c r="D70" t="s">
        <v>1765</v>
      </c>
      <c r="E70" t="s">
        <v>208</v>
      </c>
      <c r="F70">
        <v>625</v>
      </c>
      <c r="G70">
        <v>0</v>
      </c>
      <c r="I70" t="s">
        <v>1734</v>
      </c>
      <c r="J70">
        <v>32</v>
      </c>
      <c r="K70">
        <v>37</v>
      </c>
      <c r="L70">
        <v>34</v>
      </c>
      <c r="M70">
        <v>22.6112</v>
      </c>
      <c r="N70">
        <v>25.687999999999999</v>
      </c>
      <c r="O70">
        <v>23.995699999999999</v>
      </c>
      <c r="P70">
        <v>32.293799999999997</v>
      </c>
      <c r="Q70">
        <v>36.6997</v>
      </c>
      <c r="R70">
        <v>34.276400000000002</v>
      </c>
      <c r="V70" t="s">
        <v>167</v>
      </c>
      <c r="W70" t="s">
        <v>168</v>
      </c>
      <c r="Y70">
        <v>1</v>
      </c>
      <c r="Z70" t="s">
        <v>170</v>
      </c>
      <c r="AA70" t="s">
        <v>170</v>
      </c>
      <c r="AB70" t="s">
        <v>167</v>
      </c>
      <c r="AC70" t="s">
        <v>213</v>
      </c>
      <c r="AF70">
        <v>305</v>
      </c>
      <c r="AG70" t="s">
        <v>1735</v>
      </c>
      <c r="AH70" t="s">
        <v>1736</v>
      </c>
      <c r="AI70" t="s">
        <v>1742</v>
      </c>
      <c r="AJ70" t="s">
        <v>1743</v>
      </c>
      <c r="AK70">
        <v>4</v>
      </c>
      <c r="AL70" t="s">
        <v>1737</v>
      </c>
      <c r="AS70">
        <v>800</v>
      </c>
      <c r="AT70">
        <v>800</v>
      </c>
      <c r="BQ70">
        <v>33</v>
      </c>
      <c r="BR70" t="s">
        <v>1497</v>
      </c>
      <c r="BT70" t="s">
        <v>1738</v>
      </c>
      <c r="BU70" s="1">
        <v>45717</v>
      </c>
      <c r="BV70">
        <v>35963</v>
      </c>
      <c r="BW70" s="155"/>
      <c r="BX70" t="s">
        <v>169</v>
      </c>
      <c r="BY70" t="s">
        <v>170</v>
      </c>
      <c r="CB70" t="s">
        <v>170</v>
      </c>
      <c r="CC70" t="s">
        <v>170</v>
      </c>
      <c r="CK70" t="s">
        <v>233</v>
      </c>
      <c r="CM70">
        <v>12</v>
      </c>
      <c r="CN70" t="s">
        <v>234</v>
      </c>
      <c r="CP70">
        <v>662</v>
      </c>
      <c r="CQ70">
        <v>151.1</v>
      </c>
      <c r="CR70">
        <v>169.5</v>
      </c>
      <c r="CS70" t="s">
        <v>1739</v>
      </c>
      <c r="CV70" t="s">
        <v>341</v>
      </c>
      <c r="CX70" t="s">
        <v>342</v>
      </c>
      <c r="CY70" t="s">
        <v>169</v>
      </c>
      <c r="DC70" t="s">
        <v>1758</v>
      </c>
      <c r="DD70">
        <v>2</v>
      </c>
      <c r="DE70" t="s">
        <v>404</v>
      </c>
      <c r="DF70" t="s">
        <v>1762</v>
      </c>
      <c r="DG70" t="s">
        <v>1760</v>
      </c>
      <c r="DL70" t="s">
        <v>170</v>
      </c>
      <c r="DM70" t="s">
        <v>169</v>
      </c>
      <c r="DP70" t="s">
        <v>170</v>
      </c>
      <c r="DQ70" t="s">
        <v>187</v>
      </c>
      <c r="DR70" t="s">
        <v>1767</v>
      </c>
      <c r="EA70" s="101"/>
      <c r="EB70">
        <v>9</v>
      </c>
      <c r="EC70">
        <v>10</v>
      </c>
      <c r="EE70" t="s">
        <v>1761</v>
      </c>
      <c r="EF70">
        <v>10</v>
      </c>
      <c r="EU70">
        <v>5500</v>
      </c>
      <c r="EW70">
        <v>0</v>
      </c>
      <c r="EX70">
        <v>0</v>
      </c>
      <c r="EY70">
        <v>0</v>
      </c>
      <c r="FA70">
        <v>14</v>
      </c>
      <c r="FG70">
        <v>322</v>
      </c>
      <c r="FH70">
        <v>284</v>
      </c>
      <c r="FI70">
        <v>305</v>
      </c>
    </row>
    <row r="71" spans="1:165" x14ac:dyDescent="0.35">
      <c r="A71" s="25"/>
      <c r="B71" s="25"/>
      <c r="C71" s="25"/>
      <c r="D71" s="25"/>
      <c r="E71" s="25"/>
      <c r="F71" s="25" t="str">
        <f>_xlfn.CONCAT($A72," ",$B72," ",$D72)</f>
        <v>2025 BMW iX xDrive40 (20'' Wheels)</v>
      </c>
      <c r="G71" s="25"/>
      <c r="H71" s="25"/>
      <c r="I71" s="25"/>
      <c r="J71" s="25"/>
      <c r="K71" s="25"/>
      <c r="L71" s="25"/>
      <c r="M71" s="25"/>
      <c r="N71" s="25"/>
      <c r="O71" s="25"/>
      <c r="P71" s="25"/>
      <c r="Q71" s="25"/>
      <c r="R71" s="25"/>
      <c r="S71" s="25"/>
      <c r="T71" s="25"/>
      <c r="U71" s="25"/>
      <c r="V71" s="25"/>
      <c r="W71" s="25"/>
      <c r="X71" s="25"/>
      <c r="Y71" s="25"/>
      <c r="Z71" s="25"/>
      <c r="AA71" s="25"/>
      <c r="AB71" s="25"/>
      <c r="AC71" s="25"/>
      <c r="AD71" s="25" t="str">
        <f>_xlfn.CONCAT($A72," ",$B72," ",$D72)</f>
        <v>2025 BMW iX xDrive40 (20'' Wheels)</v>
      </c>
      <c r="AE71" s="25"/>
      <c r="AF71" s="25"/>
      <c r="AG71" s="25"/>
      <c r="AH71" s="25"/>
      <c r="AI71" s="25"/>
      <c r="AJ71" s="25"/>
      <c r="AK71" s="25"/>
      <c r="AL71" s="25"/>
      <c r="AM71" s="25"/>
      <c r="AN71" s="25"/>
      <c r="AO71" s="25"/>
      <c r="AP71" s="25"/>
      <c r="AQ71" s="25"/>
      <c r="AR71" s="25"/>
      <c r="AS71" s="25"/>
      <c r="AT71" s="25"/>
      <c r="AU71" s="25"/>
      <c r="AV71" s="25"/>
      <c r="AW71" s="25"/>
      <c r="AX71" s="25" t="str">
        <f>_xlfn.CONCAT($A72," ",$B72," ",$D72)</f>
        <v>2025 BMW iX xDrive40 (20'' Wheels)</v>
      </c>
      <c r="AY71" s="25"/>
      <c r="AZ71" s="25"/>
      <c r="BA71" s="25"/>
      <c r="BB71" s="25"/>
      <c r="BC71" s="25"/>
      <c r="BD71" s="25"/>
      <c r="BE71" s="25"/>
      <c r="BF71" s="25"/>
      <c r="BG71" s="25"/>
      <c r="BH71" s="25"/>
      <c r="BI71" s="25"/>
      <c r="BJ71" s="25"/>
      <c r="BK71" s="25"/>
      <c r="BL71" s="25"/>
      <c r="BM71" s="25"/>
      <c r="BN71" s="25"/>
      <c r="BO71" s="25"/>
      <c r="BP71" s="25"/>
      <c r="BQ71" s="25"/>
      <c r="BR71" s="25" t="str">
        <f>_xlfn.CONCAT($A72," ",$B72," ",$D72)</f>
        <v>2025 BMW iX xDrive40 (20'' Wheels)</v>
      </c>
      <c r="BS71" s="25"/>
      <c r="BT71" s="25"/>
      <c r="BU71" s="25"/>
      <c r="BV71" s="25"/>
      <c r="BW71" s="156"/>
      <c r="BX71" s="25"/>
      <c r="BY71" s="25"/>
      <c r="BZ71" s="25"/>
      <c r="CA71" s="25"/>
      <c r="CB71" s="25"/>
      <c r="CC71" s="25"/>
      <c r="CD71" s="25"/>
      <c r="CE71" s="25"/>
      <c r="CF71" s="25"/>
      <c r="CG71" s="25"/>
      <c r="CH71" s="25"/>
      <c r="CI71" s="25"/>
      <c r="CJ71" s="25"/>
      <c r="CK71" s="25"/>
      <c r="CL71" s="25"/>
      <c r="CM71" s="25"/>
      <c r="CN71" s="25"/>
      <c r="CO71" s="25"/>
      <c r="CP71" s="25" t="str">
        <f>_xlfn.CONCAT($A72," ",$B72," ",$D72)</f>
        <v>2025 BMW iX xDrive40 (20'' Wheels)</v>
      </c>
      <c r="CQ71" s="25"/>
      <c r="CR71" s="25"/>
      <c r="CS71" s="25"/>
      <c r="CT71" s="25"/>
      <c r="CU71" s="25"/>
      <c r="CV71" s="25"/>
      <c r="CW71" s="25"/>
      <c r="CX71" s="25"/>
      <c r="CY71" s="25"/>
      <c r="CZ71" s="25"/>
      <c r="DA71" s="25"/>
      <c r="DB71" s="25"/>
      <c r="DC71" s="25"/>
      <c r="DD71" s="25"/>
      <c r="DE71" s="25"/>
      <c r="DF71" s="25"/>
      <c r="DG71" s="25"/>
      <c r="DH71" s="25"/>
      <c r="DI71" s="25" t="str">
        <f>_xlfn.CONCAT($A72," ",$B72," ",$D72)</f>
        <v>2025 BMW iX xDrive40 (20'' Wheels)</v>
      </c>
      <c r="DJ71" s="25"/>
      <c r="DK71" s="25"/>
      <c r="DL71" s="25"/>
      <c r="DM71" s="25"/>
      <c r="DN71" s="25"/>
      <c r="DO71" s="25"/>
      <c r="DP71" s="25"/>
      <c r="DQ71" s="25"/>
      <c r="DR71" s="25"/>
      <c r="DS71" s="25"/>
      <c r="DT71" s="25"/>
      <c r="DU71" s="25"/>
      <c r="DV71" s="25"/>
      <c r="DW71" s="25"/>
      <c r="DX71" s="25"/>
      <c r="DY71" s="25"/>
      <c r="DZ71" s="25" t="str">
        <f>_xlfn.CONCAT($A72," ",$B72," ",$D72)</f>
        <v>2025 BMW iX xDrive40 (20'' Wheels)</v>
      </c>
      <c r="EA71" s="89"/>
      <c r="EB71" s="25"/>
      <c r="EC71" s="25"/>
      <c r="ED71" s="25"/>
      <c r="EE71" s="25"/>
      <c r="EF71" s="25"/>
      <c r="EG71" s="25"/>
      <c r="EH71" s="25"/>
      <c r="EI71" s="25"/>
      <c r="EJ71" s="25"/>
      <c r="EK71" s="25"/>
      <c r="EL71" s="25"/>
      <c r="EM71" s="25"/>
      <c r="EN71" s="25"/>
      <c r="EO71" s="25"/>
      <c r="EP71" s="25"/>
      <c r="EQ71" s="25"/>
      <c r="ER71" s="25"/>
      <c r="ES71" s="25"/>
      <c r="ET71" s="25"/>
      <c r="EU71" s="25"/>
      <c r="EV71" s="25" t="str">
        <f>_xlfn.CONCAT($A72," ",$B72," ",$D72)</f>
        <v>2025 BMW iX xDrive40 (20'' Wheels)</v>
      </c>
      <c r="EW71" s="25"/>
      <c r="EX71" s="25"/>
      <c r="EY71" s="25"/>
      <c r="EZ71" s="25"/>
      <c r="FA71" s="25"/>
      <c r="FB71" s="25"/>
      <c r="FC71" s="25"/>
      <c r="FD71" s="25"/>
      <c r="FE71" s="25"/>
      <c r="FF71" s="25"/>
      <c r="FG71" s="25"/>
    </row>
    <row r="72" spans="1:165" x14ac:dyDescent="0.35">
      <c r="A72">
        <v>2025</v>
      </c>
      <c r="B72" t="s">
        <v>189</v>
      </c>
      <c r="C72" t="s">
        <v>189</v>
      </c>
      <c r="D72" t="s">
        <v>1834</v>
      </c>
      <c r="E72" t="s">
        <v>191</v>
      </c>
      <c r="F72">
        <v>110</v>
      </c>
      <c r="G72">
        <v>0</v>
      </c>
      <c r="I72" t="s">
        <v>1734</v>
      </c>
      <c r="J72">
        <v>87</v>
      </c>
      <c r="K72">
        <v>85</v>
      </c>
      <c r="L72">
        <v>86</v>
      </c>
      <c r="M72">
        <v>123.8</v>
      </c>
      <c r="N72">
        <v>121.3</v>
      </c>
      <c r="O72">
        <v>122.66240000000001</v>
      </c>
      <c r="P72">
        <v>86.66</v>
      </c>
      <c r="Q72">
        <v>84.91</v>
      </c>
      <c r="R72">
        <v>85.863699999999994</v>
      </c>
      <c r="V72" t="s">
        <v>167</v>
      </c>
      <c r="W72" t="s">
        <v>168</v>
      </c>
      <c r="Y72">
        <v>1</v>
      </c>
      <c r="Z72" t="s">
        <v>170</v>
      </c>
      <c r="AA72" t="s">
        <v>170</v>
      </c>
      <c r="AB72" t="s">
        <v>167</v>
      </c>
      <c r="AC72" t="s">
        <v>213</v>
      </c>
      <c r="AF72">
        <v>217</v>
      </c>
      <c r="AG72" t="s">
        <v>1735</v>
      </c>
      <c r="AH72" t="s">
        <v>1736</v>
      </c>
      <c r="AI72" t="s">
        <v>175</v>
      </c>
      <c r="AJ72" t="s">
        <v>176</v>
      </c>
      <c r="AK72" t="s">
        <v>940</v>
      </c>
      <c r="AL72" t="s">
        <v>941</v>
      </c>
      <c r="AS72">
        <v>950</v>
      </c>
      <c r="AT72">
        <v>950</v>
      </c>
      <c r="BQ72">
        <v>33</v>
      </c>
      <c r="BR72" t="s">
        <v>1497</v>
      </c>
      <c r="BT72" t="s">
        <v>1769</v>
      </c>
      <c r="BU72" s="1">
        <v>45373</v>
      </c>
      <c r="BV72">
        <v>34501</v>
      </c>
      <c r="BW72" s="155"/>
      <c r="BX72" t="s">
        <v>170</v>
      </c>
      <c r="BY72" t="s">
        <v>170</v>
      </c>
      <c r="CB72" t="s">
        <v>170</v>
      </c>
      <c r="CC72" t="s">
        <v>170</v>
      </c>
      <c r="CK72" t="s">
        <v>233</v>
      </c>
      <c r="CM72">
        <v>11</v>
      </c>
      <c r="CN72" t="s">
        <v>234</v>
      </c>
      <c r="CP72">
        <v>369</v>
      </c>
      <c r="CQ72">
        <v>303</v>
      </c>
      <c r="CR72">
        <v>174</v>
      </c>
      <c r="CS72" t="s">
        <v>235</v>
      </c>
      <c r="CV72" t="s">
        <v>341</v>
      </c>
      <c r="CX72" t="s">
        <v>342</v>
      </c>
      <c r="CY72" t="s">
        <v>169</v>
      </c>
      <c r="DC72" t="s">
        <v>1835</v>
      </c>
      <c r="DD72">
        <v>2</v>
      </c>
      <c r="DE72" t="s">
        <v>404</v>
      </c>
      <c r="DF72" t="s">
        <v>405</v>
      </c>
      <c r="DG72" t="s">
        <v>1804</v>
      </c>
      <c r="DL72" t="s">
        <v>170</v>
      </c>
      <c r="DM72" t="s">
        <v>169</v>
      </c>
      <c r="DP72" t="s">
        <v>170</v>
      </c>
      <c r="DQ72" t="s">
        <v>187</v>
      </c>
      <c r="EA72" s="101"/>
      <c r="EB72">
        <v>9</v>
      </c>
      <c r="EC72">
        <v>10</v>
      </c>
      <c r="EE72" t="s">
        <v>1836</v>
      </c>
      <c r="EF72">
        <v>10</v>
      </c>
      <c r="EU72">
        <v>4750</v>
      </c>
      <c r="EW72">
        <v>0</v>
      </c>
      <c r="EX72">
        <v>0</v>
      </c>
      <c r="EY72">
        <v>0</v>
      </c>
      <c r="FA72">
        <v>9</v>
      </c>
      <c r="FG72">
        <v>219</v>
      </c>
      <c r="FH72">
        <v>215</v>
      </c>
      <c r="FI72">
        <v>217</v>
      </c>
    </row>
    <row r="73" spans="1:165" x14ac:dyDescent="0.35">
      <c r="A73">
        <v>2025</v>
      </c>
      <c r="B73" t="s">
        <v>189</v>
      </c>
      <c r="C73" t="s">
        <v>189</v>
      </c>
      <c r="D73" t="s">
        <v>1834</v>
      </c>
      <c r="E73" t="s">
        <v>191</v>
      </c>
      <c r="F73">
        <v>110</v>
      </c>
      <c r="G73">
        <v>0</v>
      </c>
      <c r="I73" t="s">
        <v>1734</v>
      </c>
      <c r="J73">
        <v>39</v>
      </c>
      <c r="K73">
        <v>40</v>
      </c>
      <c r="L73">
        <v>39</v>
      </c>
      <c r="M73">
        <v>27.231000000000002</v>
      </c>
      <c r="N73">
        <v>27.778199999999998</v>
      </c>
      <c r="O73">
        <v>27.4773</v>
      </c>
      <c r="P73">
        <v>38.8934</v>
      </c>
      <c r="Q73">
        <v>39.695</v>
      </c>
      <c r="R73">
        <v>39.254100000000001</v>
      </c>
      <c r="V73" t="s">
        <v>167</v>
      </c>
      <c r="W73" t="s">
        <v>168</v>
      </c>
      <c r="Y73">
        <v>1</v>
      </c>
      <c r="Z73" t="s">
        <v>170</v>
      </c>
      <c r="AA73" t="s">
        <v>170</v>
      </c>
      <c r="AB73" t="s">
        <v>167</v>
      </c>
      <c r="AC73" t="s">
        <v>213</v>
      </c>
      <c r="AF73">
        <v>217</v>
      </c>
      <c r="AG73" t="s">
        <v>1735</v>
      </c>
      <c r="AH73" t="s">
        <v>1736</v>
      </c>
      <c r="AI73" t="s">
        <v>1742</v>
      </c>
      <c r="AJ73" t="s">
        <v>1743</v>
      </c>
      <c r="AK73" t="s">
        <v>940</v>
      </c>
      <c r="AL73" t="s">
        <v>941</v>
      </c>
      <c r="AS73">
        <v>950</v>
      </c>
      <c r="AT73">
        <v>950</v>
      </c>
      <c r="BQ73">
        <v>33</v>
      </c>
      <c r="BR73" t="s">
        <v>1497</v>
      </c>
      <c r="BT73" t="s">
        <v>1769</v>
      </c>
      <c r="BU73" s="1">
        <v>45373</v>
      </c>
      <c r="BV73">
        <v>34501</v>
      </c>
      <c r="BW73" s="155"/>
      <c r="BX73" t="s">
        <v>170</v>
      </c>
      <c r="BY73" t="s">
        <v>170</v>
      </c>
      <c r="CB73" t="s">
        <v>170</v>
      </c>
      <c r="CC73" t="s">
        <v>170</v>
      </c>
      <c r="CK73" t="s">
        <v>233</v>
      </c>
      <c r="CM73">
        <v>11</v>
      </c>
      <c r="CN73" t="s">
        <v>234</v>
      </c>
      <c r="CP73">
        <v>369</v>
      </c>
      <c r="CQ73">
        <v>303</v>
      </c>
      <c r="CR73">
        <v>174</v>
      </c>
      <c r="CS73" t="s">
        <v>235</v>
      </c>
      <c r="CV73" t="s">
        <v>341</v>
      </c>
      <c r="CX73" t="s">
        <v>342</v>
      </c>
      <c r="CY73" t="s">
        <v>169</v>
      </c>
      <c r="DC73" t="s">
        <v>1835</v>
      </c>
      <c r="DD73">
        <v>2</v>
      </c>
      <c r="DE73" t="s">
        <v>404</v>
      </c>
      <c r="DF73" t="s">
        <v>405</v>
      </c>
      <c r="DG73" t="s">
        <v>1804</v>
      </c>
      <c r="DL73" t="s">
        <v>170</v>
      </c>
      <c r="DM73" t="s">
        <v>169</v>
      </c>
      <c r="DP73" t="s">
        <v>170</v>
      </c>
      <c r="DQ73" t="s">
        <v>187</v>
      </c>
      <c r="EA73" s="101"/>
      <c r="EB73">
        <v>9</v>
      </c>
      <c r="EC73">
        <v>10</v>
      </c>
      <c r="EE73" t="s">
        <v>1836</v>
      </c>
      <c r="EF73">
        <v>10</v>
      </c>
      <c r="EU73">
        <v>4750</v>
      </c>
      <c r="EW73">
        <v>0</v>
      </c>
      <c r="EX73">
        <v>0</v>
      </c>
      <c r="EY73">
        <v>0</v>
      </c>
      <c r="FA73">
        <v>9</v>
      </c>
      <c r="FG73">
        <v>219</v>
      </c>
      <c r="FH73">
        <v>215</v>
      </c>
      <c r="FI73">
        <v>217</v>
      </c>
    </row>
    <row r="74" spans="1:165" x14ac:dyDescent="0.35">
      <c r="A74" s="25"/>
      <c r="B74" s="25"/>
      <c r="C74" s="25"/>
      <c r="D74" s="25"/>
      <c r="E74" s="25"/>
      <c r="F74" s="25" t="str">
        <f>_xlfn.CONCAT($A75," ",$B75," ",$D75)</f>
        <v>2025 BMW iX xDrive40 (21'' Wheels)</v>
      </c>
      <c r="G74" s="25"/>
      <c r="H74" s="25"/>
      <c r="I74" s="25"/>
      <c r="J74" s="25"/>
      <c r="K74" s="25"/>
      <c r="L74" s="25"/>
      <c r="M74" s="25"/>
      <c r="N74" s="25"/>
      <c r="O74" s="25"/>
      <c r="P74" s="25"/>
      <c r="Q74" s="25"/>
      <c r="R74" s="25"/>
      <c r="S74" s="25"/>
      <c r="T74" s="25"/>
      <c r="U74" s="25"/>
      <c r="V74" s="25"/>
      <c r="W74" s="25"/>
      <c r="X74" s="25"/>
      <c r="Y74" s="25"/>
      <c r="Z74" s="25"/>
      <c r="AA74" s="25"/>
      <c r="AB74" s="25"/>
      <c r="AC74" s="25"/>
      <c r="AD74" s="25" t="str">
        <f>_xlfn.CONCAT($A75," ",$B75," ",$D75)</f>
        <v>2025 BMW iX xDrive40 (21'' Wheels)</v>
      </c>
      <c r="AE74" s="25"/>
      <c r="AF74" s="25"/>
      <c r="AG74" s="25"/>
      <c r="AH74" s="25"/>
      <c r="AI74" s="25"/>
      <c r="AJ74" s="25"/>
      <c r="AK74" s="25"/>
      <c r="AL74" s="25"/>
      <c r="AM74" s="25"/>
      <c r="AN74" s="25"/>
      <c r="AO74" s="25"/>
      <c r="AP74" s="25"/>
      <c r="AQ74" s="25"/>
      <c r="AR74" s="25"/>
      <c r="AS74" s="25"/>
      <c r="AT74" s="25"/>
      <c r="AU74" s="25"/>
      <c r="AV74" s="25"/>
      <c r="AW74" s="25"/>
      <c r="AX74" s="25" t="str">
        <f>_xlfn.CONCAT($A75," ",$B75," ",$D75)</f>
        <v>2025 BMW iX xDrive40 (21'' Wheels)</v>
      </c>
      <c r="AY74" s="25"/>
      <c r="AZ74" s="25"/>
      <c r="BA74" s="25"/>
      <c r="BB74" s="25"/>
      <c r="BC74" s="25"/>
      <c r="BD74" s="25"/>
      <c r="BE74" s="25"/>
      <c r="BF74" s="25"/>
      <c r="BG74" s="25"/>
      <c r="BH74" s="25"/>
      <c r="BI74" s="25"/>
      <c r="BJ74" s="25"/>
      <c r="BK74" s="25"/>
      <c r="BL74" s="25"/>
      <c r="BM74" s="25"/>
      <c r="BN74" s="25"/>
      <c r="BO74" s="25"/>
      <c r="BP74" s="25"/>
      <c r="BQ74" s="25"/>
      <c r="BR74" s="25" t="str">
        <f>_xlfn.CONCAT($A75," ",$B75," ",$D75)</f>
        <v>2025 BMW iX xDrive40 (21'' Wheels)</v>
      </c>
      <c r="BS74" s="25"/>
      <c r="BT74" s="25"/>
      <c r="BU74" s="25"/>
      <c r="BV74" s="25"/>
      <c r="BW74" s="156"/>
      <c r="BX74" s="25"/>
      <c r="BY74" s="25"/>
      <c r="BZ74" s="25"/>
      <c r="CA74" s="25"/>
      <c r="CB74" s="25"/>
      <c r="CC74" s="25"/>
      <c r="CD74" s="25"/>
      <c r="CE74" s="25"/>
      <c r="CF74" s="25"/>
      <c r="CG74" s="25"/>
      <c r="CH74" s="25"/>
      <c r="CI74" s="25"/>
      <c r="CJ74" s="25"/>
      <c r="CK74" s="25"/>
      <c r="CL74" s="25"/>
      <c r="CM74" s="25"/>
      <c r="CN74" s="25"/>
      <c r="CO74" s="25"/>
      <c r="CP74" s="25" t="str">
        <f>_xlfn.CONCAT($A75," ",$B75," ",$D75)</f>
        <v>2025 BMW iX xDrive40 (21'' Wheels)</v>
      </c>
      <c r="CQ74" s="25"/>
      <c r="CR74" s="25"/>
      <c r="CS74" s="25"/>
      <c r="CT74" s="25"/>
      <c r="CU74" s="25"/>
      <c r="CV74" s="25"/>
      <c r="CW74" s="25"/>
      <c r="CX74" s="25"/>
      <c r="CY74" s="25"/>
      <c r="CZ74" s="25"/>
      <c r="DA74" s="25"/>
      <c r="DB74" s="25"/>
      <c r="DC74" s="25"/>
      <c r="DD74" s="25"/>
      <c r="DE74" s="25"/>
      <c r="DF74" s="25"/>
      <c r="DG74" s="25"/>
      <c r="DH74" s="25"/>
      <c r="DI74" s="25" t="str">
        <f>_xlfn.CONCAT($A75," ",$B75," ",$D75)</f>
        <v>2025 BMW iX xDrive40 (21'' Wheels)</v>
      </c>
      <c r="DJ74" s="25"/>
      <c r="DK74" s="25"/>
      <c r="DL74" s="25"/>
      <c r="DM74" s="25"/>
      <c r="DN74" s="25"/>
      <c r="DO74" s="25"/>
      <c r="DP74" s="25"/>
      <c r="DQ74" s="25"/>
      <c r="DR74" s="25"/>
      <c r="DS74" s="25"/>
      <c r="DT74" s="25"/>
      <c r="DU74" s="25"/>
      <c r="DV74" s="25"/>
      <c r="DW74" s="25"/>
      <c r="DX74" s="25"/>
      <c r="DY74" s="25"/>
      <c r="DZ74" s="25" t="str">
        <f>_xlfn.CONCAT($A75," ",$B75," ",$D75)</f>
        <v>2025 BMW iX xDrive40 (21'' Wheels)</v>
      </c>
      <c r="EA74" s="89"/>
      <c r="EB74" s="25"/>
      <c r="EC74" s="25"/>
      <c r="ED74" s="25"/>
      <c r="EE74" s="25"/>
      <c r="EF74" s="25"/>
      <c r="EG74" s="25"/>
      <c r="EH74" s="25"/>
      <c r="EI74" s="25"/>
      <c r="EJ74" s="25"/>
      <c r="EK74" s="25"/>
      <c r="EL74" s="25"/>
      <c r="EM74" s="25"/>
      <c r="EN74" s="25"/>
      <c r="EO74" s="25"/>
      <c r="EP74" s="25"/>
      <c r="EQ74" s="25"/>
      <c r="ER74" s="25"/>
      <c r="ES74" s="25"/>
      <c r="ET74" s="25"/>
      <c r="EU74" s="25"/>
      <c r="EV74" s="25" t="str">
        <f>_xlfn.CONCAT($A75," ",$B75," ",$D75)</f>
        <v>2025 BMW iX xDrive40 (21'' Wheels)</v>
      </c>
      <c r="EW74" s="25"/>
      <c r="EX74" s="25"/>
      <c r="EY74" s="25"/>
      <c r="EZ74" s="25"/>
      <c r="FA74" s="25"/>
      <c r="FB74" s="25"/>
      <c r="FC74" s="25"/>
      <c r="FD74" s="25"/>
      <c r="FE74" s="25"/>
      <c r="FF74" s="25"/>
      <c r="FG74" s="25"/>
    </row>
    <row r="75" spans="1:165" x14ac:dyDescent="0.35">
      <c r="A75">
        <v>2025</v>
      </c>
      <c r="B75" t="s">
        <v>189</v>
      </c>
      <c r="C75" t="s">
        <v>189</v>
      </c>
      <c r="D75" t="s">
        <v>1837</v>
      </c>
      <c r="E75" t="s">
        <v>191</v>
      </c>
      <c r="F75">
        <v>111</v>
      </c>
      <c r="G75">
        <v>0</v>
      </c>
      <c r="I75" t="s">
        <v>1734</v>
      </c>
      <c r="J75">
        <v>84</v>
      </c>
      <c r="K75">
        <v>81</v>
      </c>
      <c r="L75">
        <v>83</v>
      </c>
      <c r="M75">
        <v>120.4</v>
      </c>
      <c r="N75">
        <v>116.2</v>
      </c>
      <c r="O75">
        <v>118.473</v>
      </c>
      <c r="P75">
        <v>84.28</v>
      </c>
      <c r="Q75">
        <v>81.34</v>
      </c>
      <c r="R75">
        <v>82.931100000000001</v>
      </c>
      <c r="V75" t="s">
        <v>167</v>
      </c>
      <c r="W75" t="s">
        <v>168</v>
      </c>
      <c r="Y75">
        <v>1</v>
      </c>
      <c r="Z75" t="s">
        <v>170</v>
      </c>
      <c r="AA75" t="s">
        <v>170</v>
      </c>
      <c r="AB75" t="s">
        <v>167</v>
      </c>
      <c r="AC75" t="s">
        <v>213</v>
      </c>
      <c r="AF75">
        <v>211</v>
      </c>
      <c r="AG75" t="s">
        <v>1735</v>
      </c>
      <c r="AH75" t="s">
        <v>1736</v>
      </c>
      <c r="AI75" t="s">
        <v>175</v>
      </c>
      <c r="AJ75" t="s">
        <v>176</v>
      </c>
      <c r="AK75" t="s">
        <v>940</v>
      </c>
      <c r="AL75" t="s">
        <v>941</v>
      </c>
      <c r="AS75">
        <v>1000</v>
      </c>
      <c r="AT75">
        <v>1000</v>
      </c>
      <c r="BQ75">
        <v>33</v>
      </c>
      <c r="BR75" t="s">
        <v>1497</v>
      </c>
      <c r="BT75" t="s">
        <v>1769</v>
      </c>
      <c r="BU75" s="1">
        <v>45373</v>
      </c>
      <c r="BV75">
        <v>34502</v>
      </c>
      <c r="BW75" s="155"/>
      <c r="BX75" t="s">
        <v>169</v>
      </c>
      <c r="BY75" t="s">
        <v>170</v>
      </c>
      <c r="CB75" t="s">
        <v>170</v>
      </c>
      <c r="CC75" t="s">
        <v>170</v>
      </c>
      <c r="CK75" t="s">
        <v>233</v>
      </c>
      <c r="CM75">
        <v>11</v>
      </c>
      <c r="CN75" t="s">
        <v>234</v>
      </c>
      <c r="CP75">
        <v>369</v>
      </c>
      <c r="CQ75">
        <v>303</v>
      </c>
      <c r="CR75">
        <v>174</v>
      </c>
      <c r="CS75" t="s">
        <v>235</v>
      </c>
      <c r="CV75" t="s">
        <v>341</v>
      </c>
      <c r="CX75" t="s">
        <v>342</v>
      </c>
      <c r="CY75" t="s">
        <v>169</v>
      </c>
      <c r="DC75" t="s">
        <v>1835</v>
      </c>
      <c r="DD75">
        <v>2</v>
      </c>
      <c r="DE75" t="s">
        <v>404</v>
      </c>
      <c r="DF75" t="s">
        <v>405</v>
      </c>
      <c r="DG75" t="s">
        <v>1804</v>
      </c>
      <c r="DL75" t="s">
        <v>170</v>
      </c>
      <c r="DM75" t="s">
        <v>169</v>
      </c>
      <c r="DP75" t="s">
        <v>170</v>
      </c>
      <c r="DQ75" t="s">
        <v>187</v>
      </c>
      <c r="EA75" s="101"/>
      <c r="EB75">
        <v>9</v>
      </c>
      <c r="EC75">
        <v>10</v>
      </c>
      <c r="EE75" t="s">
        <v>1836</v>
      </c>
      <c r="EF75">
        <v>10</v>
      </c>
      <c r="EU75">
        <v>4500</v>
      </c>
      <c r="EW75">
        <v>0</v>
      </c>
      <c r="EX75">
        <v>0</v>
      </c>
      <c r="EY75">
        <v>0</v>
      </c>
      <c r="FA75">
        <v>9</v>
      </c>
      <c r="FG75">
        <v>214</v>
      </c>
      <c r="FH75">
        <v>207</v>
      </c>
      <c r="FI75">
        <v>211</v>
      </c>
    </row>
    <row r="76" spans="1:165" x14ac:dyDescent="0.35">
      <c r="A76">
        <v>2025</v>
      </c>
      <c r="B76" t="s">
        <v>189</v>
      </c>
      <c r="C76" t="s">
        <v>189</v>
      </c>
      <c r="D76" t="s">
        <v>1837</v>
      </c>
      <c r="E76" t="s">
        <v>191</v>
      </c>
      <c r="F76">
        <v>111</v>
      </c>
      <c r="G76">
        <v>0</v>
      </c>
      <c r="I76" t="s">
        <v>1734</v>
      </c>
      <c r="J76">
        <v>40</v>
      </c>
      <c r="K76">
        <v>41</v>
      </c>
      <c r="L76">
        <v>41</v>
      </c>
      <c r="M76">
        <v>27.9878</v>
      </c>
      <c r="N76">
        <v>29.0153</v>
      </c>
      <c r="O76">
        <v>28.450199999999999</v>
      </c>
      <c r="P76">
        <v>39.991700000000002</v>
      </c>
      <c r="Q76">
        <v>41.437199999999997</v>
      </c>
      <c r="R76">
        <v>40.642200000000003</v>
      </c>
      <c r="V76" t="s">
        <v>167</v>
      </c>
      <c r="W76" t="s">
        <v>168</v>
      </c>
      <c r="Y76">
        <v>1</v>
      </c>
      <c r="Z76" t="s">
        <v>170</v>
      </c>
      <c r="AA76" t="s">
        <v>170</v>
      </c>
      <c r="AB76" t="s">
        <v>167</v>
      </c>
      <c r="AC76" t="s">
        <v>213</v>
      </c>
      <c r="AF76">
        <v>211</v>
      </c>
      <c r="AG76" t="s">
        <v>1735</v>
      </c>
      <c r="AH76" t="s">
        <v>1736</v>
      </c>
      <c r="AI76" t="s">
        <v>1742</v>
      </c>
      <c r="AJ76" t="s">
        <v>1743</v>
      </c>
      <c r="AK76" t="s">
        <v>940</v>
      </c>
      <c r="AL76" t="s">
        <v>941</v>
      </c>
      <c r="AS76">
        <v>1000</v>
      </c>
      <c r="AT76">
        <v>1000</v>
      </c>
      <c r="BQ76">
        <v>33</v>
      </c>
      <c r="BR76" t="s">
        <v>1497</v>
      </c>
      <c r="BT76" t="s">
        <v>1769</v>
      </c>
      <c r="BU76" s="1">
        <v>45373</v>
      </c>
      <c r="BV76">
        <v>34502</v>
      </c>
      <c r="BW76" s="155"/>
      <c r="BX76" t="s">
        <v>169</v>
      </c>
      <c r="BY76" t="s">
        <v>170</v>
      </c>
      <c r="CB76" t="s">
        <v>170</v>
      </c>
      <c r="CC76" t="s">
        <v>170</v>
      </c>
      <c r="CK76" t="s">
        <v>233</v>
      </c>
      <c r="CM76">
        <v>11</v>
      </c>
      <c r="CN76" t="s">
        <v>234</v>
      </c>
      <c r="CP76">
        <v>369</v>
      </c>
      <c r="CQ76">
        <v>303</v>
      </c>
      <c r="CR76">
        <v>174</v>
      </c>
      <c r="CS76" t="s">
        <v>235</v>
      </c>
      <c r="CV76" t="s">
        <v>341</v>
      </c>
      <c r="CX76" t="s">
        <v>342</v>
      </c>
      <c r="CY76" t="s">
        <v>169</v>
      </c>
      <c r="DC76" t="s">
        <v>1835</v>
      </c>
      <c r="DD76">
        <v>2</v>
      </c>
      <c r="DE76" t="s">
        <v>404</v>
      </c>
      <c r="DF76" t="s">
        <v>405</v>
      </c>
      <c r="DG76" t="s">
        <v>1804</v>
      </c>
      <c r="DL76" t="s">
        <v>170</v>
      </c>
      <c r="DM76" t="s">
        <v>169</v>
      </c>
      <c r="DP76" t="s">
        <v>170</v>
      </c>
      <c r="DQ76" t="s">
        <v>187</v>
      </c>
      <c r="EA76" s="101"/>
      <c r="EB76">
        <v>9</v>
      </c>
      <c r="EC76">
        <v>10</v>
      </c>
      <c r="EE76" t="s">
        <v>1836</v>
      </c>
      <c r="EF76">
        <v>10</v>
      </c>
      <c r="EU76">
        <v>4500</v>
      </c>
      <c r="EW76">
        <v>0</v>
      </c>
      <c r="EX76">
        <v>0</v>
      </c>
      <c r="EY76">
        <v>0</v>
      </c>
      <c r="FA76">
        <v>9</v>
      </c>
      <c r="FG76">
        <v>214</v>
      </c>
      <c r="FH76">
        <v>207</v>
      </c>
      <c r="FI76">
        <v>211</v>
      </c>
    </row>
    <row r="77" spans="1:165" x14ac:dyDescent="0.35">
      <c r="A77" s="25"/>
      <c r="B77" s="25"/>
      <c r="C77" s="25"/>
      <c r="D77" s="25"/>
      <c r="E77" s="25"/>
      <c r="F77" s="25" t="str">
        <f>_xlfn.CONCAT($A78," ",$B78," ",$D78)</f>
        <v>2025 BMW iX xDrive40 (22'' Wheels)</v>
      </c>
      <c r="G77" s="25"/>
      <c r="H77" s="25"/>
      <c r="I77" s="25"/>
      <c r="J77" s="25"/>
      <c r="K77" s="25"/>
      <c r="L77" s="25"/>
      <c r="M77" s="25"/>
      <c r="N77" s="25"/>
      <c r="O77" s="25"/>
      <c r="P77" s="25"/>
      <c r="Q77" s="25"/>
      <c r="R77" s="25"/>
      <c r="S77" s="25"/>
      <c r="T77" s="25"/>
      <c r="U77" s="25"/>
      <c r="V77" s="25"/>
      <c r="W77" s="25"/>
      <c r="X77" s="25"/>
      <c r="Y77" s="25"/>
      <c r="Z77" s="25"/>
      <c r="AA77" s="25"/>
      <c r="AB77" s="25"/>
      <c r="AC77" s="25"/>
      <c r="AD77" s="25" t="str">
        <f>_xlfn.CONCAT($A78," ",$B78," ",$D78)</f>
        <v>2025 BMW iX xDrive40 (22'' Wheels)</v>
      </c>
      <c r="AE77" s="25"/>
      <c r="AF77" s="25"/>
      <c r="AG77" s="25"/>
      <c r="AH77" s="25"/>
      <c r="AI77" s="25"/>
      <c r="AJ77" s="25"/>
      <c r="AK77" s="25"/>
      <c r="AL77" s="25"/>
      <c r="AM77" s="25"/>
      <c r="AN77" s="25"/>
      <c r="AO77" s="25"/>
      <c r="AP77" s="25"/>
      <c r="AQ77" s="25"/>
      <c r="AR77" s="25"/>
      <c r="AS77" s="25"/>
      <c r="AT77" s="25"/>
      <c r="AU77" s="25"/>
      <c r="AV77" s="25"/>
      <c r="AW77" s="25"/>
      <c r="AX77" s="25" t="str">
        <f>_xlfn.CONCAT($A78," ",$B78," ",$D78)</f>
        <v>2025 BMW iX xDrive40 (22'' Wheels)</v>
      </c>
      <c r="AY77" s="25"/>
      <c r="AZ77" s="25"/>
      <c r="BA77" s="25"/>
      <c r="BB77" s="25"/>
      <c r="BC77" s="25"/>
      <c r="BD77" s="25"/>
      <c r="BE77" s="25"/>
      <c r="BF77" s="25"/>
      <c r="BG77" s="25"/>
      <c r="BH77" s="25"/>
      <c r="BI77" s="25"/>
      <c r="BJ77" s="25"/>
      <c r="BK77" s="25"/>
      <c r="BL77" s="25"/>
      <c r="BM77" s="25"/>
      <c r="BN77" s="25"/>
      <c r="BO77" s="25"/>
      <c r="BP77" s="25"/>
      <c r="BQ77" s="25"/>
      <c r="BR77" s="25" t="str">
        <f>_xlfn.CONCAT($A78," ",$B78," ",$D78)</f>
        <v>2025 BMW iX xDrive40 (22'' Wheels)</v>
      </c>
      <c r="BS77" s="25"/>
      <c r="BT77" s="25"/>
      <c r="BU77" s="25"/>
      <c r="BV77" s="25"/>
      <c r="BW77" s="156"/>
      <c r="BX77" s="25"/>
      <c r="BY77" s="25"/>
      <c r="BZ77" s="25"/>
      <c r="CA77" s="25"/>
      <c r="CB77" s="25"/>
      <c r="CC77" s="25"/>
      <c r="CD77" s="25"/>
      <c r="CE77" s="25"/>
      <c r="CF77" s="25"/>
      <c r="CG77" s="25"/>
      <c r="CH77" s="25"/>
      <c r="CI77" s="25"/>
      <c r="CJ77" s="25"/>
      <c r="CK77" s="25"/>
      <c r="CL77" s="25"/>
      <c r="CM77" s="25"/>
      <c r="CN77" s="25"/>
      <c r="CO77" s="25"/>
      <c r="CP77" s="25" t="str">
        <f>_xlfn.CONCAT($A78," ",$B78," ",$D78)</f>
        <v>2025 BMW iX xDrive40 (22'' Wheels)</v>
      </c>
      <c r="CQ77" s="25"/>
      <c r="CR77" s="25"/>
      <c r="CS77" s="25"/>
      <c r="CT77" s="25"/>
      <c r="CU77" s="25"/>
      <c r="CV77" s="25"/>
      <c r="CW77" s="25"/>
      <c r="CX77" s="25"/>
      <c r="CY77" s="25"/>
      <c r="CZ77" s="25"/>
      <c r="DA77" s="25"/>
      <c r="DB77" s="25"/>
      <c r="DC77" s="25"/>
      <c r="DD77" s="25"/>
      <c r="DE77" s="25"/>
      <c r="DF77" s="25"/>
      <c r="DG77" s="25"/>
      <c r="DH77" s="25"/>
      <c r="DI77" s="25" t="str">
        <f>_xlfn.CONCAT($A78," ",$B78," ",$D78)</f>
        <v>2025 BMW iX xDrive40 (22'' Wheels)</v>
      </c>
      <c r="DJ77" s="25"/>
      <c r="DK77" s="25"/>
      <c r="DL77" s="25"/>
      <c r="DM77" s="25"/>
      <c r="DN77" s="25"/>
      <c r="DO77" s="25"/>
      <c r="DP77" s="25"/>
      <c r="DQ77" s="25"/>
      <c r="DR77" s="25"/>
      <c r="DS77" s="25"/>
      <c r="DT77" s="25"/>
      <c r="DU77" s="25"/>
      <c r="DV77" s="25"/>
      <c r="DW77" s="25"/>
      <c r="DX77" s="25"/>
      <c r="DY77" s="25"/>
      <c r="DZ77" s="25" t="str">
        <f>_xlfn.CONCAT($A78," ",$B78," ",$D78)</f>
        <v>2025 BMW iX xDrive40 (22'' Wheels)</v>
      </c>
      <c r="EA77" s="89"/>
      <c r="EB77" s="25"/>
      <c r="EC77" s="25"/>
      <c r="ED77" s="25"/>
      <c r="EE77" s="25"/>
      <c r="EF77" s="25"/>
      <c r="EG77" s="25"/>
      <c r="EH77" s="25"/>
      <c r="EI77" s="25"/>
      <c r="EJ77" s="25"/>
      <c r="EK77" s="25"/>
      <c r="EL77" s="25"/>
      <c r="EM77" s="25"/>
      <c r="EN77" s="25"/>
      <c r="EO77" s="25"/>
      <c r="EP77" s="25"/>
      <c r="EQ77" s="25"/>
      <c r="ER77" s="25"/>
      <c r="ES77" s="25"/>
      <c r="ET77" s="25"/>
      <c r="EU77" s="25"/>
      <c r="EV77" s="25" t="str">
        <f>_xlfn.CONCAT($A78," ",$B78," ",$D78)</f>
        <v>2025 BMW iX xDrive40 (22'' Wheels)</v>
      </c>
      <c r="EW77" s="25"/>
      <c r="EX77" s="25"/>
      <c r="EY77" s="25"/>
      <c r="EZ77" s="25"/>
      <c r="FA77" s="25"/>
      <c r="FB77" s="25"/>
      <c r="FC77" s="25"/>
      <c r="FD77" s="25"/>
      <c r="FE77" s="25"/>
      <c r="FF77" s="25"/>
      <c r="FG77" s="25"/>
    </row>
    <row r="78" spans="1:165" x14ac:dyDescent="0.35">
      <c r="A78">
        <v>2025</v>
      </c>
      <c r="B78" t="s">
        <v>189</v>
      </c>
      <c r="C78" t="s">
        <v>189</v>
      </c>
      <c r="D78" t="s">
        <v>1838</v>
      </c>
      <c r="E78" t="s">
        <v>191</v>
      </c>
      <c r="F78">
        <v>112</v>
      </c>
      <c r="G78">
        <v>0</v>
      </c>
      <c r="I78" t="s">
        <v>1734</v>
      </c>
      <c r="J78">
        <v>89</v>
      </c>
      <c r="K78">
        <v>85</v>
      </c>
      <c r="L78">
        <v>87</v>
      </c>
      <c r="M78">
        <v>127.3</v>
      </c>
      <c r="N78">
        <v>121.9</v>
      </c>
      <c r="O78">
        <v>124.812</v>
      </c>
      <c r="P78">
        <v>89.11</v>
      </c>
      <c r="Q78">
        <v>85.33</v>
      </c>
      <c r="R78">
        <v>87.368399999999994</v>
      </c>
      <c r="V78" t="s">
        <v>167</v>
      </c>
      <c r="W78" t="s">
        <v>168</v>
      </c>
      <c r="Y78">
        <v>1</v>
      </c>
      <c r="Z78" t="s">
        <v>170</v>
      </c>
      <c r="AA78" t="s">
        <v>170</v>
      </c>
      <c r="AB78" t="s">
        <v>167</v>
      </c>
      <c r="AC78" t="s">
        <v>213</v>
      </c>
      <c r="AF78">
        <v>219</v>
      </c>
      <c r="AG78" t="s">
        <v>1735</v>
      </c>
      <c r="AH78" t="s">
        <v>1736</v>
      </c>
      <c r="AI78" t="s">
        <v>175</v>
      </c>
      <c r="AJ78" t="s">
        <v>176</v>
      </c>
      <c r="AK78" t="s">
        <v>940</v>
      </c>
      <c r="AL78" t="s">
        <v>941</v>
      </c>
      <c r="AS78">
        <v>950</v>
      </c>
      <c r="AT78">
        <v>950</v>
      </c>
      <c r="BQ78">
        <v>33</v>
      </c>
      <c r="BR78" t="s">
        <v>1497</v>
      </c>
      <c r="BT78" t="s">
        <v>1769</v>
      </c>
      <c r="BU78" s="1">
        <v>45373</v>
      </c>
      <c r="BV78">
        <v>34503</v>
      </c>
      <c r="BW78" s="155"/>
      <c r="BX78" t="s">
        <v>169</v>
      </c>
      <c r="BY78" t="s">
        <v>170</v>
      </c>
      <c r="CB78" t="s">
        <v>170</v>
      </c>
      <c r="CC78" t="s">
        <v>170</v>
      </c>
      <c r="CK78" t="s">
        <v>233</v>
      </c>
      <c r="CM78">
        <v>11</v>
      </c>
      <c r="CN78" t="s">
        <v>234</v>
      </c>
      <c r="CP78">
        <v>369</v>
      </c>
      <c r="CQ78">
        <v>303</v>
      </c>
      <c r="CR78">
        <v>174</v>
      </c>
      <c r="CS78" t="s">
        <v>235</v>
      </c>
      <c r="CV78" t="s">
        <v>341</v>
      </c>
      <c r="CX78" t="s">
        <v>342</v>
      </c>
      <c r="CY78" t="s">
        <v>169</v>
      </c>
      <c r="DC78" t="s">
        <v>1835</v>
      </c>
      <c r="DD78">
        <v>2</v>
      </c>
      <c r="DE78" t="s">
        <v>404</v>
      </c>
      <c r="DF78" t="s">
        <v>405</v>
      </c>
      <c r="DG78" t="s">
        <v>1804</v>
      </c>
      <c r="DL78" t="s">
        <v>170</v>
      </c>
      <c r="DM78" t="s">
        <v>169</v>
      </c>
      <c r="DP78" t="s">
        <v>170</v>
      </c>
      <c r="DQ78" t="s">
        <v>187</v>
      </c>
      <c r="EA78" s="101"/>
      <c r="EB78">
        <v>9</v>
      </c>
      <c r="EC78">
        <v>10</v>
      </c>
      <c r="EE78" t="s">
        <v>1836</v>
      </c>
      <c r="EF78">
        <v>10</v>
      </c>
      <c r="EU78">
        <v>4750</v>
      </c>
      <c r="EW78">
        <v>0</v>
      </c>
      <c r="EX78">
        <v>0</v>
      </c>
      <c r="EY78">
        <v>0</v>
      </c>
      <c r="FA78">
        <v>9</v>
      </c>
      <c r="FG78">
        <v>223</v>
      </c>
      <c r="FH78">
        <v>214</v>
      </c>
      <c r="FI78">
        <v>219</v>
      </c>
    </row>
    <row r="79" spans="1:165" x14ac:dyDescent="0.35">
      <c r="A79">
        <v>2025</v>
      </c>
      <c r="B79" t="s">
        <v>189</v>
      </c>
      <c r="C79" t="s">
        <v>189</v>
      </c>
      <c r="D79" t="s">
        <v>1838</v>
      </c>
      <c r="E79" t="s">
        <v>191</v>
      </c>
      <c r="F79">
        <v>112</v>
      </c>
      <c r="G79">
        <v>0</v>
      </c>
      <c r="I79" t="s">
        <v>1734</v>
      </c>
      <c r="J79">
        <v>38</v>
      </c>
      <c r="K79">
        <v>39</v>
      </c>
      <c r="L79">
        <v>39</v>
      </c>
      <c r="M79">
        <v>26.483000000000001</v>
      </c>
      <c r="N79">
        <v>27.660699999999999</v>
      </c>
      <c r="O79">
        <v>27.012899999999998</v>
      </c>
      <c r="P79">
        <v>37.823999999999998</v>
      </c>
      <c r="Q79">
        <v>39.499600000000001</v>
      </c>
      <c r="R79">
        <v>38.578000000000003</v>
      </c>
      <c r="V79" t="s">
        <v>167</v>
      </c>
      <c r="W79" t="s">
        <v>168</v>
      </c>
      <c r="Y79">
        <v>1</v>
      </c>
      <c r="Z79" t="s">
        <v>170</v>
      </c>
      <c r="AA79" t="s">
        <v>170</v>
      </c>
      <c r="AB79" t="s">
        <v>167</v>
      </c>
      <c r="AC79" t="s">
        <v>213</v>
      </c>
      <c r="AF79">
        <v>219</v>
      </c>
      <c r="AG79" t="s">
        <v>1735</v>
      </c>
      <c r="AH79" t="s">
        <v>1736</v>
      </c>
      <c r="AI79" t="s">
        <v>1742</v>
      </c>
      <c r="AJ79" t="s">
        <v>1743</v>
      </c>
      <c r="AK79" t="s">
        <v>940</v>
      </c>
      <c r="AL79" t="s">
        <v>941</v>
      </c>
      <c r="AS79">
        <v>950</v>
      </c>
      <c r="AT79">
        <v>950</v>
      </c>
      <c r="BQ79">
        <v>33</v>
      </c>
      <c r="BR79" t="s">
        <v>1497</v>
      </c>
      <c r="BT79" t="s">
        <v>1769</v>
      </c>
      <c r="BU79" s="1">
        <v>45373</v>
      </c>
      <c r="BV79">
        <v>34503</v>
      </c>
      <c r="BW79" s="155"/>
      <c r="BX79" t="s">
        <v>169</v>
      </c>
      <c r="BY79" t="s">
        <v>170</v>
      </c>
      <c r="CB79" t="s">
        <v>170</v>
      </c>
      <c r="CC79" t="s">
        <v>170</v>
      </c>
      <c r="CK79" t="s">
        <v>233</v>
      </c>
      <c r="CM79">
        <v>11</v>
      </c>
      <c r="CN79" t="s">
        <v>234</v>
      </c>
      <c r="CP79">
        <v>369</v>
      </c>
      <c r="CQ79">
        <v>303</v>
      </c>
      <c r="CR79">
        <v>174</v>
      </c>
      <c r="CS79" t="s">
        <v>235</v>
      </c>
      <c r="CV79" t="s">
        <v>341</v>
      </c>
      <c r="CX79" t="s">
        <v>342</v>
      </c>
      <c r="CY79" t="s">
        <v>169</v>
      </c>
      <c r="DC79" t="s">
        <v>1835</v>
      </c>
      <c r="DD79">
        <v>2</v>
      </c>
      <c r="DE79" t="s">
        <v>404</v>
      </c>
      <c r="DF79" t="s">
        <v>405</v>
      </c>
      <c r="DG79" t="s">
        <v>1804</v>
      </c>
      <c r="DL79" t="s">
        <v>170</v>
      </c>
      <c r="DM79" t="s">
        <v>169</v>
      </c>
      <c r="DP79" t="s">
        <v>170</v>
      </c>
      <c r="DQ79" t="s">
        <v>187</v>
      </c>
      <c r="EA79" s="101"/>
      <c r="EB79">
        <v>9</v>
      </c>
      <c r="EC79">
        <v>10</v>
      </c>
      <c r="EE79" t="s">
        <v>1836</v>
      </c>
      <c r="EF79">
        <v>10</v>
      </c>
      <c r="EU79">
        <v>4750</v>
      </c>
      <c r="EW79">
        <v>0</v>
      </c>
      <c r="EX79">
        <v>0</v>
      </c>
      <c r="EY79">
        <v>0</v>
      </c>
      <c r="FA79">
        <v>9</v>
      </c>
      <c r="FG79">
        <v>223</v>
      </c>
      <c r="FH79">
        <v>214</v>
      </c>
      <c r="FI79">
        <v>219</v>
      </c>
    </row>
    <row r="80" spans="1:165" x14ac:dyDescent="0.35">
      <c r="A80" s="25"/>
      <c r="B80" s="25"/>
      <c r="C80" s="25"/>
      <c r="D80" s="25"/>
      <c r="E80" s="25"/>
      <c r="F80" s="25" t="str">
        <f>_xlfn.CONCAT($A81," ",$B81," ",$D81)</f>
        <v>2025 BMW iX xDrive50 (20'' Wheels)</v>
      </c>
      <c r="G80" s="25"/>
      <c r="H80" s="25"/>
      <c r="I80" s="25"/>
      <c r="J80" s="25"/>
      <c r="K80" s="25"/>
      <c r="L80" s="25"/>
      <c r="M80" s="25"/>
      <c r="N80" s="25"/>
      <c r="O80" s="25"/>
      <c r="P80" s="25"/>
      <c r="Q80" s="25"/>
      <c r="R80" s="25"/>
      <c r="S80" s="25"/>
      <c r="T80" s="25"/>
      <c r="U80" s="25"/>
      <c r="V80" s="25"/>
      <c r="W80" s="25"/>
      <c r="X80" s="25"/>
      <c r="Y80" s="25"/>
      <c r="Z80" s="25"/>
      <c r="AA80" s="25"/>
      <c r="AB80" s="25"/>
      <c r="AC80" s="25"/>
      <c r="AD80" s="25" t="str">
        <f>_xlfn.CONCAT($A81," ",$B81," ",$D81)</f>
        <v>2025 BMW iX xDrive50 (20'' Wheels)</v>
      </c>
      <c r="AE80" s="25"/>
      <c r="AF80" s="25"/>
      <c r="AG80" s="25"/>
      <c r="AH80" s="25"/>
      <c r="AI80" s="25"/>
      <c r="AJ80" s="25"/>
      <c r="AK80" s="25"/>
      <c r="AL80" s="25"/>
      <c r="AM80" s="25"/>
      <c r="AN80" s="25"/>
      <c r="AO80" s="25"/>
      <c r="AP80" s="25"/>
      <c r="AQ80" s="25"/>
      <c r="AR80" s="25"/>
      <c r="AS80" s="25"/>
      <c r="AT80" s="25"/>
      <c r="AU80" s="25"/>
      <c r="AV80" s="25"/>
      <c r="AW80" s="25"/>
      <c r="AX80" s="25" t="str">
        <f>_xlfn.CONCAT($A81," ",$B81," ",$D81)</f>
        <v>2025 BMW iX xDrive50 (20'' Wheels)</v>
      </c>
      <c r="AY80" s="25"/>
      <c r="AZ80" s="25"/>
      <c r="BA80" s="25"/>
      <c r="BB80" s="25"/>
      <c r="BC80" s="25"/>
      <c r="BD80" s="25"/>
      <c r="BE80" s="25"/>
      <c r="BF80" s="25"/>
      <c r="BG80" s="25"/>
      <c r="BH80" s="25"/>
      <c r="BI80" s="25"/>
      <c r="BJ80" s="25"/>
      <c r="BK80" s="25"/>
      <c r="BL80" s="25"/>
      <c r="BM80" s="25"/>
      <c r="BN80" s="25"/>
      <c r="BO80" s="25"/>
      <c r="BP80" s="25"/>
      <c r="BQ80" s="25"/>
      <c r="BR80" s="25" t="str">
        <f>_xlfn.CONCAT($A81," ",$B81," ",$D81)</f>
        <v>2025 BMW iX xDrive50 (20'' Wheels)</v>
      </c>
      <c r="BS80" s="25"/>
      <c r="BT80" s="25"/>
      <c r="BU80" s="25"/>
      <c r="BV80" s="25"/>
      <c r="BW80" s="156"/>
      <c r="BX80" s="25"/>
      <c r="BY80" s="25"/>
      <c r="BZ80" s="25"/>
      <c r="CA80" s="25"/>
      <c r="CB80" s="25"/>
      <c r="CC80" s="25"/>
      <c r="CD80" s="25"/>
      <c r="CE80" s="25"/>
      <c r="CF80" s="25"/>
      <c r="CG80" s="25"/>
      <c r="CH80" s="25"/>
      <c r="CI80" s="25"/>
      <c r="CJ80" s="25"/>
      <c r="CK80" s="25"/>
      <c r="CL80" s="25"/>
      <c r="CM80" s="25"/>
      <c r="CN80" s="25"/>
      <c r="CO80" s="25"/>
      <c r="CP80" s="25" t="str">
        <f>_xlfn.CONCAT($A81," ",$B81," ",$D81)</f>
        <v>2025 BMW iX xDrive50 (20'' Wheels)</v>
      </c>
      <c r="CQ80" s="25"/>
      <c r="CR80" s="25"/>
      <c r="CS80" s="25"/>
      <c r="CT80" s="25"/>
      <c r="CU80" s="25"/>
      <c r="CV80" s="25"/>
      <c r="CW80" s="25"/>
      <c r="CX80" s="25"/>
      <c r="CY80" s="25"/>
      <c r="CZ80" s="25"/>
      <c r="DA80" s="25"/>
      <c r="DB80" s="25"/>
      <c r="DC80" s="25"/>
      <c r="DD80" s="25"/>
      <c r="DE80" s="25"/>
      <c r="DF80" s="25"/>
      <c r="DG80" s="25"/>
      <c r="DH80" s="25"/>
      <c r="DI80" s="25" t="str">
        <f>_xlfn.CONCAT($A81," ",$B81," ",$D81)</f>
        <v>2025 BMW iX xDrive50 (20'' Wheels)</v>
      </c>
      <c r="DJ80" s="25"/>
      <c r="DK80" s="25"/>
      <c r="DL80" s="25"/>
      <c r="DM80" s="25"/>
      <c r="DN80" s="25"/>
      <c r="DO80" s="25"/>
      <c r="DP80" s="25"/>
      <c r="DQ80" s="25"/>
      <c r="DR80" s="25"/>
      <c r="DS80" s="25"/>
      <c r="DT80" s="25"/>
      <c r="DU80" s="25"/>
      <c r="DV80" s="25"/>
      <c r="DW80" s="25"/>
      <c r="DX80" s="25"/>
      <c r="DY80" s="25"/>
      <c r="DZ80" s="25" t="str">
        <f>_xlfn.CONCAT($A81," ",$B81," ",$D81)</f>
        <v>2025 BMW iX xDrive50 (20'' Wheels)</v>
      </c>
      <c r="EA80" s="89"/>
      <c r="EB80" s="25"/>
      <c r="EC80" s="25"/>
      <c r="ED80" s="25"/>
      <c r="EE80" s="25"/>
      <c r="EF80" s="25"/>
      <c r="EG80" s="25"/>
      <c r="EH80" s="25"/>
      <c r="EI80" s="25"/>
      <c r="EJ80" s="25"/>
      <c r="EK80" s="25"/>
      <c r="EL80" s="25"/>
      <c r="EM80" s="25"/>
      <c r="EN80" s="25"/>
      <c r="EO80" s="25"/>
      <c r="EP80" s="25"/>
      <c r="EQ80" s="25"/>
      <c r="ER80" s="25"/>
      <c r="ES80" s="25"/>
      <c r="ET80" s="25"/>
      <c r="EU80" s="25"/>
      <c r="EV80" s="25" t="str">
        <f>_xlfn.CONCAT($A81," ",$B81," ",$D81)</f>
        <v>2025 BMW iX xDrive50 (20'' Wheels)</v>
      </c>
      <c r="EW80" s="25"/>
      <c r="EX80" s="25"/>
      <c r="EY80" s="25"/>
      <c r="EZ80" s="25"/>
      <c r="FA80" s="25"/>
      <c r="FB80" s="25"/>
      <c r="FC80" s="25"/>
      <c r="FD80" s="25"/>
      <c r="FE80" s="25"/>
      <c r="FF80" s="25"/>
      <c r="FG80" s="25"/>
    </row>
    <row r="81" spans="1:165" x14ac:dyDescent="0.35">
      <c r="A81">
        <v>2025</v>
      </c>
      <c r="B81" t="s">
        <v>189</v>
      </c>
      <c r="C81" t="s">
        <v>189</v>
      </c>
      <c r="D81" t="s">
        <v>1839</v>
      </c>
      <c r="E81" t="s">
        <v>191</v>
      </c>
      <c r="F81">
        <v>120</v>
      </c>
      <c r="G81">
        <v>0</v>
      </c>
      <c r="I81" t="s">
        <v>1734</v>
      </c>
      <c r="J81">
        <v>82</v>
      </c>
      <c r="K81">
        <v>84</v>
      </c>
      <c r="L81">
        <v>83</v>
      </c>
      <c r="M81">
        <v>117.5</v>
      </c>
      <c r="N81">
        <v>120</v>
      </c>
      <c r="O81">
        <v>118.61199999999999</v>
      </c>
      <c r="P81">
        <v>82.25</v>
      </c>
      <c r="Q81">
        <v>84</v>
      </c>
      <c r="R81">
        <v>83.028400000000005</v>
      </c>
      <c r="V81" t="s">
        <v>167</v>
      </c>
      <c r="W81" t="s">
        <v>168</v>
      </c>
      <c r="Y81">
        <v>1</v>
      </c>
      <c r="Z81" t="s">
        <v>170</v>
      </c>
      <c r="AA81" t="s">
        <v>170</v>
      </c>
      <c r="AB81" t="s">
        <v>167</v>
      </c>
      <c r="AC81" t="s">
        <v>213</v>
      </c>
      <c r="AF81">
        <v>309</v>
      </c>
      <c r="AG81" t="s">
        <v>1735</v>
      </c>
      <c r="AH81" t="s">
        <v>1736</v>
      </c>
      <c r="AI81" t="s">
        <v>175</v>
      </c>
      <c r="AJ81" t="s">
        <v>176</v>
      </c>
      <c r="AK81" t="s">
        <v>940</v>
      </c>
      <c r="AL81" t="s">
        <v>941</v>
      </c>
      <c r="AS81">
        <v>950</v>
      </c>
      <c r="AT81">
        <v>950</v>
      </c>
      <c r="BQ81">
        <v>33</v>
      </c>
      <c r="BR81" t="s">
        <v>1497</v>
      </c>
      <c r="BT81" t="s">
        <v>1769</v>
      </c>
      <c r="BU81" s="1">
        <v>45373</v>
      </c>
      <c r="BV81">
        <v>34496</v>
      </c>
      <c r="BW81" s="155"/>
      <c r="BX81" t="s">
        <v>170</v>
      </c>
      <c r="BY81" t="s">
        <v>170</v>
      </c>
      <c r="CB81" t="s">
        <v>170</v>
      </c>
      <c r="CC81" t="s">
        <v>170</v>
      </c>
      <c r="CK81" t="s">
        <v>233</v>
      </c>
      <c r="CM81">
        <v>11</v>
      </c>
      <c r="CN81" t="s">
        <v>234</v>
      </c>
      <c r="CP81">
        <v>369</v>
      </c>
      <c r="CQ81">
        <v>303</v>
      </c>
      <c r="CR81">
        <v>174</v>
      </c>
      <c r="CS81" t="s">
        <v>235</v>
      </c>
      <c r="CV81" t="s">
        <v>341</v>
      </c>
      <c r="CX81" t="s">
        <v>342</v>
      </c>
      <c r="CY81" t="s">
        <v>169</v>
      </c>
      <c r="DC81" t="s">
        <v>1835</v>
      </c>
      <c r="DD81">
        <v>2</v>
      </c>
      <c r="DE81" t="s">
        <v>404</v>
      </c>
      <c r="DF81" t="s">
        <v>405</v>
      </c>
      <c r="DG81" t="s">
        <v>1804</v>
      </c>
      <c r="DL81" t="s">
        <v>170</v>
      </c>
      <c r="DM81" t="s">
        <v>169</v>
      </c>
      <c r="DP81" t="s">
        <v>170</v>
      </c>
      <c r="DQ81" t="s">
        <v>187</v>
      </c>
      <c r="EA81" s="101"/>
      <c r="EB81">
        <v>9</v>
      </c>
      <c r="EC81">
        <v>10</v>
      </c>
      <c r="EE81" t="s">
        <v>1836</v>
      </c>
      <c r="EF81">
        <v>10</v>
      </c>
      <c r="EU81">
        <v>4750</v>
      </c>
      <c r="EW81">
        <v>0</v>
      </c>
      <c r="EX81">
        <v>0</v>
      </c>
      <c r="EY81">
        <v>0</v>
      </c>
      <c r="FA81">
        <v>13</v>
      </c>
      <c r="FG81">
        <v>306</v>
      </c>
      <c r="FH81">
        <v>313</v>
      </c>
      <c r="FI81">
        <v>309</v>
      </c>
    </row>
    <row r="82" spans="1:165" x14ac:dyDescent="0.35">
      <c r="A82">
        <v>2025</v>
      </c>
      <c r="B82" t="s">
        <v>189</v>
      </c>
      <c r="C82" t="s">
        <v>189</v>
      </c>
      <c r="D82" t="s">
        <v>1839</v>
      </c>
      <c r="E82" t="s">
        <v>191</v>
      </c>
      <c r="F82">
        <v>120</v>
      </c>
      <c r="G82">
        <v>0</v>
      </c>
      <c r="I82" t="s">
        <v>1734</v>
      </c>
      <c r="J82">
        <v>41</v>
      </c>
      <c r="K82">
        <v>40</v>
      </c>
      <c r="L82">
        <v>41</v>
      </c>
      <c r="M82">
        <v>28.6752</v>
      </c>
      <c r="N82">
        <v>28.090399999999999</v>
      </c>
      <c r="O82">
        <v>28.411999999999999</v>
      </c>
      <c r="P82">
        <v>40.978700000000003</v>
      </c>
      <c r="Q82">
        <v>40.125</v>
      </c>
      <c r="R82">
        <v>40.594499999999996</v>
      </c>
      <c r="V82" t="s">
        <v>167</v>
      </c>
      <c r="W82" t="s">
        <v>168</v>
      </c>
      <c r="Y82">
        <v>1</v>
      </c>
      <c r="Z82" t="s">
        <v>170</v>
      </c>
      <c r="AA82" t="s">
        <v>170</v>
      </c>
      <c r="AB82" t="s">
        <v>167</v>
      </c>
      <c r="AC82" t="s">
        <v>213</v>
      </c>
      <c r="AF82">
        <v>309</v>
      </c>
      <c r="AG82" t="s">
        <v>1735</v>
      </c>
      <c r="AH82" t="s">
        <v>1736</v>
      </c>
      <c r="AI82" t="s">
        <v>1742</v>
      </c>
      <c r="AJ82" t="s">
        <v>1743</v>
      </c>
      <c r="AK82" t="s">
        <v>940</v>
      </c>
      <c r="AL82" t="s">
        <v>941</v>
      </c>
      <c r="AS82">
        <v>950</v>
      </c>
      <c r="AT82">
        <v>950</v>
      </c>
      <c r="BQ82">
        <v>33</v>
      </c>
      <c r="BR82" t="s">
        <v>1497</v>
      </c>
      <c r="BT82" t="s">
        <v>1769</v>
      </c>
      <c r="BU82" s="1">
        <v>45373</v>
      </c>
      <c r="BV82">
        <v>34496</v>
      </c>
      <c r="BW82" s="155"/>
      <c r="BX82" t="s">
        <v>170</v>
      </c>
      <c r="BY82" t="s">
        <v>170</v>
      </c>
      <c r="CB82" t="s">
        <v>170</v>
      </c>
      <c r="CC82" t="s">
        <v>170</v>
      </c>
      <c r="CK82" t="s">
        <v>233</v>
      </c>
      <c r="CM82">
        <v>11</v>
      </c>
      <c r="CN82" t="s">
        <v>234</v>
      </c>
      <c r="CP82">
        <v>369</v>
      </c>
      <c r="CQ82">
        <v>303</v>
      </c>
      <c r="CR82">
        <v>174</v>
      </c>
      <c r="CS82" t="s">
        <v>235</v>
      </c>
      <c r="CV82" t="s">
        <v>341</v>
      </c>
      <c r="CX82" t="s">
        <v>342</v>
      </c>
      <c r="CY82" t="s">
        <v>169</v>
      </c>
      <c r="DC82" t="s">
        <v>1835</v>
      </c>
      <c r="DD82">
        <v>2</v>
      </c>
      <c r="DE82" t="s">
        <v>404</v>
      </c>
      <c r="DF82" t="s">
        <v>405</v>
      </c>
      <c r="DG82" t="s">
        <v>1804</v>
      </c>
      <c r="DL82" t="s">
        <v>170</v>
      </c>
      <c r="DM82" t="s">
        <v>169</v>
      </c>
      <c r="DP82" t="s">
        <v>170</v>
      </c>
      <c r="DQ82" t="s">
        <v>187</v>
      </c>
      <c r="EA82" s="101"/>
      <c r="EB82">
        <v>9</v>
      </c>
      <c r="EC82">
        <v>10</v>
      </c>
      <c r="EE82" t="s">
        <v>1836</v>
      </c>
      <c r="EF82">
        <v>10</v>
      </c>
      <c r="EU82">
        <v>4750</v>
      </c>
      <c r="EW82">
        <v>0</v>
      </c>
      <c r="EX82">
        <v>0</v>
      </c>
      <c r="EY82">
        <v>0</v>
      </c>
      <c r="FA82">
        <v>13</v>
      </c>
      <c r="FG82">
        <v>306</v>
      </c>
      <c r="FH82">
        <v>313</v>
      </c>
      <c r="FI82">
        <v>309</v>
      </c>
    </row>
    <row r="83" spans="1:165" x14ac:dyDescent="0.35">
      <c r="A83" s="25"/>
      <c r="B83" s="25"/>
      <c r="C83" s="25"/>
      <c r="D83" s="25"/>
      <c r="E83" s="25"/>
      <c r="F83" s="25" t="str">
        <f>_xlfn.CONCAT($A84," ",$B84," ",$D84)</f>
        <v>2025 BMW iX xDrive50 (21'' Wheels)</v>
      </c>
      <c r="G83" s="25"/>
      <c r="H83" s="25"/>
      <c r="I83" s="25"/>
      <c r="J83" s="25"/>
      <c r="K83" s="25"/>
      <c r="L83" s="25"/>
      <c r="M83" s="25"/>
      <c r="N83" s="25"/>
      <c r="O83" s="25"/>
      <c r="P83" s="25"/>
      <c r="Q83" s="25"/>
      <c r="R83" s="25"/>
      <c r="S83" s="25"/>
      <c r="T83" s="25"/>
      <c r="U83" s="25"/>
      <c r="V83" s="25"/>
      <c r="W83" s="25"/>
      <c r="X83" s="25"/>
      <c r="Y83" s="25"/>
      <c r="Z83" s="25"/>
      <c r="AA83" s="25"/>
      <c r="AB83" s="25"/>
      <c r="AC83" s="25"/>
      <c r="AD83" s="25" t="str">
        <f>_xlfn.CONCAT($A84," ",$B84," ",$D84)</f>
        <v>2025 BMW iX xDrive50 (21'' Wheels)</v>
      </c>
      <c r="AE83" s="25"/>
      <c r="AF83" s="25"/>
      <c r="AG83" s="25"/>
      <c r="AH83" s="25"/>
      <c r="AI83" s="25"/>
      <c r="AJ83" s="25"/>
      <c r="AK83" s="25"/>
      <c r="AL83" s="25"/>
      <c r="AM83" s="25"/>
      <c r="AN83" s="25"/>
      <c r="AO83" s="25"/>
      <c r="AP83" s="25"/>
      <c r="AQ83" s="25"/>
      <c r="AR83" s="25"/>
      <c r="AS83" s="25"/>
      <c r="AT83" s="25"/>
      <c r="AU83" s="25"/>
      <c r="AV83" s="25"/>
      <c r="AW83" s="25"/>
      <c r="AX83" s="25" t="str">
        <f>_xlfn.CONCAT($A84," ",$B84," ",$D84)</f>
        <v>2025 BMW iX xDrive50 (21'' Wheels)</v>
      </c>
      <c r="AY83" s="25"/>
      <c r="AZ83" s="25"/>
      <c r="BA83" s="25"/>
      <c r="BB83" s="25"/>
      <c r="BC83" s="25"/>
      <c r="BD83" s="25"/>
      <c r="BE83" s="25"/>
      <c r="BF83" s="25"/>
      <c r="BG83" s="25"/>
      <c r="BH83" s="25"/>
      <c r="BI83" s="25"/>
      <c r="BJ83" s="25"/>
      <c r="BK83" s="25"/>
      <c r="BL83" s="25"/>
      <c r="BM83" s="25"/>
      <c r="BN83" s="25"/>
      <c r="BO83" s="25"/>
      <c r="BP83" s="25"/>
      <c r="BQ83" s="25"/>
      <c r="BR83" s="25" t="str">
        <f>_xlfn.CONCAT($A84," ",$B84," ",$D84)</f>
        <v>2025 BMW iX xDrive50 (21'' Wheels)</v>
      </c>
      <c r="BS83" s="25"/>
      <c r="BT83" s="25"/>
      <c r="BU83" s="25"/>
      <c r="BV83" s="25"/>
      <c r="BW83" s="156"/>
      <c r="BX83" s="25"/>
      <c r="BY83" s="25"/>
      <c r="BZ83" s="25"/>
      <c r="CA83" s="25"/>
      <c r="CB83" s="25"/>
      <c r="CC83" s="25"/>
      <c r="CD83" s="25"/>
      <c r="CE83" s="25"/>
      <c r="CF83" s="25"/>
      <c r="CG83" s="25"/>
      <c r="CH83" s="25"/>
      <c r="CI83" s="25"/>
      <c r="CJ83" s="25"/>
      <c r="CK83" s="25"/>
      <c r="CL83" s="25"/>
      <c r="CM83" s="25"/>
      <c r="CN83" s="25"/>
      <c r="CO83" s="25"/>
      <c r="CP83" s="25" t="str">
        <f>_xlfn.CONCAT($A84," ",$B84," ",$D84)</f>
        <v>2025 BMW iX xDrive50 (21'' Wheels)</v>
      </c>
      <c r="CQ83" s="25"/>
      <c r="CR83" s="25"/>
      <c r="CS83" s="25"/>
      <c r="CT83" s="25"/>
      <c r="CU83" s="25"/>
      <c r="CV83" s="25"/>
      <c r="CW83" s="25"/>
      <c r="CX83" s="25"/>
      <c r="CY83" s="25"/>
      <c r="CZ83" s="25"/>
      <c r="DA83" s="25"/>
      <c r="DB83" s="25"/>
      <c r="DC83" s="25"/>
      <c r="DD83" s="25"/>
      <c r="DE83" s="25"/>
      <c r="DF83" s="25"/>
      <c r="DG83" s="25"/>
      <c r="DH83" s="25"/>
      <c r="DI83" s="25" t="str">
        <f>_xlfn.CONCAT($A84," ",$B84," ",$D84)</f>
        <v>2025 BMW iX xDrive50 (21'' Wheels)</v>
      </c>
      <c r="DJ83" s="25"/>
      <c r="DK83" s="25"/>
      <c r="DL83" s="25"/>
      <c r="DM83" s="25"/>
      <c r="DN83" s="25"/>
      <c r="DO83" s="25"/>
      <c r="DP83" s="25"/>
      <c r="DQ83" s="25"/>
      <c r="DR83" s="25"/>
      <c r="DS83" s="25"/>
      <c r="DT83" s="25"/>
      <c r="DU83" s="25"/>
      <c r="DV83" s="25"/>
      <c r="DW83" s="25"/>
      <c r="DX83" s="25"/>
      <c r="DY83" s="25"/>
      <c r="DZ83" s="25" t="str">
        <f>_xlfn.CONCAT($A84," ",$B84," ",$D84)</f>
        <v>2025 BMW iX xDrive50 (21'' Wheels)</v>
      </c>
      <c r="EA83" s="89"/>
      <c r="EB83" s="25"/>
      <c r="EC83" s="25"/>
      <c r="ED83" s="25"/>
      <c r="EE83" s="25"/>
      <c r="EF83" s="25"/>
      <c r="EG83" s="25"/>
      <c r="EH83" s="25"/>
      <c r="EI83" s="25"/>
      <c r="EJ83" s="25"/>
      <c r="EK83" s="25"/>
      <c r="EL83" s="25"/>
      <c r="EM83" s="25"/>
      <c r="EN83" s="25"/>
      <c r="EO83" s="25"/>
      <c r="EP83" s="25"/>
      <c r="EQ83" s="25"/>
      <c r="ER83" s="25"/>
      <c r="ES83" s="25"/>
      <c r="ET83" s="25"/>
      <c r="EU83" s="25"/>
      <c r="EV83" s="25" t="str">
        <f>_xlfn.CONCAT($A84," ",$B84," ",$D84)</f>
        <v>2025 BMW iX xDrive50 (21'' Wheels)</v>
      </c>
      <c r="EW83" s="25"/>
      <c r="EX83" s="25"/>
      <c r="EY83" s="25"/>
      <c r="EZ83" s="25"/>
      <c r="FA83" s="25"/>
      <c r="FB83" s="25"/>
      <c r="FC83" s="25"/>
      <c r="FD83" s="25"/>
      <c r="FE83" s="25"/>
      <c r="FF83" s="25"/>
      <c r="FG83" s="25"/>
    </row>
    <row r="84" spans="1:165" x14ac:dyDescent="0.35">
      <c r="A84">
        <v>2025</v>
      </c>
      <c r="B84" t="s">
        <v>189</v>
      </c>
      <c r="C84" t="s">
        <v>189</v>
      </c>
      <c r="D84" t="s">
        <v>1840</v>
      </c>
      <c r="E84" t="s">
        <v>191</v>
      </c>
      <c r="F84">
        <v>121</v>
      </c>
      <c r="G84">
        <v>0</v>
      </c>
      <c r="I84" t="s">
        <v>1734</v>
      </c>
      <c r="J84">
        <v>82</v>
      </c>
      <c r="K84">
        <v>81</v>
      </c>
      <c r="L84">
        <v>81</v>
      </c>
      <c r="M84">
        <v>116.6</v>
      </c>
      <c r="N84">
        <v>115.7</v>
      </c>
      <c r="O84">
        <v>116.19329999999999</v>
      </c>
      <c r="P84">
        <v>81.62</v>
      </c>
      <c r="Q84">
        <v>80.989999999999995</v>
      </c>
      <c r="R84">
        <v>81.335300000000004</v>
      </c>
      <c r="V84" t="s">
        <v>167</v>
      </c>
      <c r="W84" t="s">
        <v>168</v>
      </c>
      <c r="Y84">
        <v>1</v>
      </c>
      <c r="Z84" t="s">
        <v>170</v>
      </c>
      <c r="AA84" t="s">
        <v>170</v>
      </c>
      <c r="AB84" t="s">
        <v>167</v>
      </c>
      <c r="AC84" t="s">
        <v>213</v>
      </c>
      <c r="AF84">
        <v>303</v>
      </c>
      <c r="AG84" t="s">
        <v>1735</v>
      </c>
      <c r="AH84" t="s">
        <v>1736</v>
      </c>
      <c r="AI84" t="s">
        <v>175</v>
      </c>
      <c r="AJ84" t="s">
        <v>176</v>
      </c>
      <c r="AK84" t="s">
        <v>940</v>
      </c>
      <c r="AL84" t="s">
        <v>941</v>
      </c>
      <c r="AS84">
        <v>1000</v>
      </c>
      <c r="AT84">
        <v>1000</v>
      </c>
      <c r="BQ84">
        <v>33</v>
      </c>
      <c r="BR84" t="s">
        <v>1497</v>
      </c>
      <c r="BT84" t="s">
        <v>1769</v>
      </c>
      <c r="BU84" s="1">
        <v>45373</v>
      </c>
      <c r="BV84">
        <v>34497</v>
      </c>
      <c r="BW84" s="155"/>
      <c r="BX84" t="s">
        <v>169</v>
      </c>
      <c r="BY84" t="s">
        <v>170</v>
      </c>
      <c r="CB84" t="s">
        <v>170</v>
      </c>
      <c r="CC84" t="s">
        <v>170</v>
      </c>
      <c r="CK84" t="s">
        <v>233</v>
      </c>
      <c r="CM84">
        <v>11</v>
      </c>
      <c r="CN84" t="s">
        <v>234</v>
      </c>
      <c r="CP84">
        <v>369</v>
      </c>
      <c r="CQ84">
        <v>303</v>
      </c>
      <c r="CR84">
        <v>174</v>
      </c>
      <c r="CS84" t="s">
        <v>235</v>
      </c>
      <c r="CV84" t="s">
        <v>341</v>
      </c>
      <c r="CX84" t="s">
        <v>342</v>
      </c>
      <c r="CY84" t="s">
        <v>169</v>
      </c>
      <c r="DC84" t="s">
        <v>1835</v>
      </c>
      <c r="DD84">
        <v>2</v>
      </c>
      <c r="DE84" t="s">
        <v>404</v>
      </c>
      <c r="DF84" t="s">
        <v>405</v>
      </c>
      <c r="DG84" t="s">
        <v>1804</v>
      </c>
      <c r="DL84" t="s">
        <v>170</v>
      </c>
      <c r="DM84" t="s">
        <v>169</v>
      </c>
      <c r="DP84" t="s">
        <v>170</v>
      </c>
      <c r="DQ84" t="s">
        <v>187</v>
      </c>
      <c r="EA84" s="101"/>
      <c r="EB84">
        <v>9</v>
      </c>
      <c r="EC84">
        <v>10</v>
      </c>
      <c r="EE84" t="s">
        <v>1836</v>
      </c>
      <c r="EF84">
        <v>10</v>
      </c>
      <c r="EU84">
        <v>4500</v>
      </c>
      <c r="EW84">
        <v>0</v>
      </c>
      <c r="EX84">
        <v>0</v>
      </c>
      <c r="EY84">
        <v>0</v>
      </c>
      <c r="FA84">
        <v>13</v>
      </c>
      <c r="FG84">
        <v>304</v>
      </c>
      <c r="FH84">
        <v>302</v>
      </c>
      <c r="FI84">
        <v>303</v>
      </c>
    </row>
    <row r="85" spans="1:165" x14ac:dyDescent="0.35">
      <c r="A85">
        <v>2025</v>
      </c>
      <c r="B85" t="s">
        <v>189</v>
      </c>
      <c r="C85" t="s">
        <v>189</v>
      </c>
      <c r="D85" t="s">
        <v>1840</v>
      </c>
      <c r="E85" t="s">
        <v>191</v>
      </c>
      <c r="F85">
        <v>121</v>
      </c>
      <c r="G85">
        <v>0</v>
      </c>
      <c r="I85" t="s">
        <v>1734</v>
      </c>
      <c r="J85">
        <v>41</v>
      </c>
      <c r="K85">
        <v>42</v>
      </c>
      <c r="L85">
        <v>41</v>
      </c>
      <c r="M85">
        <v>28.907399999999999</v>
      </c>
      <c r="N85">
        <v>29.138300000000001</v>
      </c>
      <c r="O85">
        <v>29.011299999999999</v>
      </c>
      <c r="P85">
        <v>41.295000000000002</v>
      </c>
      <c r="Q85">
        <v>41.616199999999999</v>
      </c>
      <c r="R85">
        <v>41.439599999999999</v>
      </c>
      <c r="V85" t="s">
        <v>167</v>
      </c>
      <c r="W85" t="s">
        <v>168</v>
      </c>
      <c r="Y85">
        <v>1</v>
      </c>
      <c r="Z85" t="s">
        <v>170</v>
      </c>
      <c r="AA85" t="s">
        <v>170</v>
      </c>
      <c r="AB85" t="s">
        <v>167</v>
      </c>
      <c r="AC85" t="s">
        <v>213</v>
      </c>
      <c r="AF85">
        <v>303</v>
      </c>
      <c r="AG85" t="s">
        <v>1735</v>
      </c>
      <c r="AH85" t="s">
        <v>1736</v>
      </c>
      <c r="AI85" t="s">
        <v>1742</v>
      </c>
      <c r="AJ85" t="s">
        <v>1743</v>
      </c>
      <c r="AK85" t="s">
        <v>940</v>
      </c>
      <c r="AL85" t="s">
        <v>941</v>
      </c>
      <c r="AS85">
        <v>1000</v>
      </c>
      <c r="AT85">
        <v>1000</v>
      </c>
      <c r="BQ85">
        <v>33</v>
      </c>
      <c r="BR85" t="s">
        <v>1497</v>
      </c>
      <c r="BT85" t="s">
        <v>1769</v>
      </c>
      <c r="BU85" s="1">
        <v>45373</v>
      </c>
      <c r="BV85">
        <v>34497</v>
      </c>
      <c r="BW85" s="155"/>
      <c r="BX85" t="s">
        <v>169</v>
      </c>
      <c r="BY85" t="s">
        <v>170</v>
      </c>
      <c r="CB85" t="s">
        <v>170</v>
      </c>
      <c r="CC85" t="s">
        <v>170</v>
      </c>
      <c r="CK85" t="s">
        <v>233</v>
      </c>
      <c r="CM85">
        <v>11</v>
      </c>
      <c r="CN85" t="s">
        <v>234</v>
      </c>
      <c r="CP85">
        <v>369</v>
      </c>
      <c r="CQ85">
        <v>303</v>
      </c>
      <c r="CR85">
        <v>174</v>
      </c>
      <c r="CS85" t="s">
        <v>235</v>
      </c>
      <c r="CV85" t="s">
        <v>341</v>
      </c>
      <c r="CX85" t="s">
        <v>342</v>
      </c>
      <c r="CY85" t="s">
        <v>169</v>
      </c>
      <c r="DC85" t="s">
        <v>1835</v>
      </c>
      <c r="DD85">
        <v>2</v>
      </c>
      <c r="DE85" t="s">
        <v>404</v>
      </c>
      <c r="DF85" t="s">
        <v>405</v>
      </c>
      <c r="DG85" t="s">
        <v>1804</v>
      </c>
      <c r="DL85" t="s">
        <v>170</v>
      </c>
      <c r="DM85" t="s">
        <v>169</v>
      </c>
      <c r="DP85" t="s">
        <v>170</v>
      </c>
      <c r="DQ85" t="s">
        <v>187</v>
      </c>
      <c r="EA85" s="101"/>
      <c r="EB85">
        <v>9</v>
      </c>
      <c r="EC85">
        <v>10</v>
      </c>
      <c r="EE85" t="s">
        <v>1836</v>
      </c>
      <c r="EF85">
        <v>10</v>
      </c>
      <c r="EU85">
        <v>4500</v>
      </c>
      <c r="EW85">
        <v>0</v>
      </c>
      <c r="EX85">
        <v>0</v>
      </c>
      <c r="EY85">
        <v>0</v>
      </c>
      <c r="FA85">
        <v>13</v>
      </c>
      <c r="FG85">
        <v>304</v>
      </c>
      <c r="FH85">
        <v>302</v>
      </c>
      <c r="FI85">
        <v>303</v>
      </c>
    </row>
    <row r="86" spans="1:165" x14ac:dyDescent="0.35">
      <c r="A86" s="25"/>
      <c r="B86" s="25"/>
      <c r="C86" s="25"/>
      <c r="D86" s="25"/>
      <c r="E86" s="25"/>
      <c r="F86" s="25" t="str">
        <f>_xlfn.CONCAT($A87," ",$B87," ",$D87)</f>
        <v>2025 BMW iX xDrive50 (22'' Wheels)</v>
      </c>
      <c r="G86" s="25"/>
      <c r="H86" s="25"/>
      <c r="I86" s="25"/>
      <c r="J86" s="25"/>
      <c r="K86" s="25"/>
      <c r="L86" s="25"/>
      <c r="M86" s="25"/>
      <c r="N86" s="25"/>
      <c r="O86" s="25"/>
      <c r="P86" s="25"/>
      <c r="Q86" s="25"/>
      <c r="R86" s="25"/>
      <c r="S86" s="25"/>
      <c r="T86" s="25"/>
      <c r="U86" s="25"/>
      <c r="V86" s="25"/>
      <c r="W86" s="25"/>
      <c r="X86" s="25"/>
      <c r="Y86" s="25"/>
      <c r="Z86" s="25"/>
      <c r="AA86" s="25"/>
      <c r="AB86" s="25"/>
      <c r="AC86" s="25"/>
      <c r="AD86" s="25" t="str">
        <f>_xlfn.CONCAT($A87," ",$B87," ",$D87)</f>
        <v>2025 BMW iX xDrive50 (22'' Wheels)</v>
      </c>
      <c r="AE86" s="25"/>
      <c r="AF86" s="25"/>
      <c r="AG86" s="25"/>
      <c r="AH86" s="25"/>
      <c r="AI86" s="25"/>
      <c r="AJ86" s="25"/>
      <c r="AK86" s="25"/>
      <c r="AL86" s="25"/>
      <c r="AM86" s="25"/>
      <c r="AN86" s="25"/>
      <c r="AO86" s="25"/>
      <c r="AP86" s="25"/>
      <c r="AQ86" s="25"/>
      <c r="AR86" s="25"/>
      <c r="AS86" s="25"/>
      <c r="AT86" s="25"/>
      <c r="AU86" s="25"/>
      <c r="AV86" s="25"/>
      <c r="AW86" s="25"/>
      <c r="AX86" s="25" t="str">
        <f>_xlfn.CONCAT($A87," ",$B87," ",$D87)</f>
        <v>2025 BMW iX xDrive50 (22'' Wheels)</v>
      </c>
      <c r="AY86" s="25"/>
      <c r="AZ86" s="25"/>
      <c r="BA86" s="25"/>
      <c r="BB86" s="25"/>
      <c r="BC86" s="25"/>
      <c r="BD86" s="25"/>
      <c r="BE86" s="25"/>
      <c r="BF86" s="25"/>
      <c r="BG86" s="25"/>
      <c r="BH86" s="25"/>
      <c r="BI86" s="25"/>
      <c r="BJ86" s="25"/>
      <c r="BK86" s="25"/>
      <c r="BL86" s="25"/>
      <c r="BM86" s="25"/>
      <c r="BN86" s="25"/>
      <c r="BO86" s="25"/>
      <c r="BP86" s="25"/>
      <c r="BQ86" s="25"/>
      <c r="BR86" s="25" t="str">
        <f>_xlfn.CONCAT($A87," ",$B87," ",$D87)</f>
        <v>2025 BMW iX xDrive50 (22'' Wheels)</v>
      </c>
      <c r="BS86" s="25"/>
      <c r="BT86" s="25"/>
      <c r="BU86" s="25"/>
      <c r="BV86" s="25"/>
      <c r="BW86" s="156"/>
      <c r="BX86" s="25"/>
      <c r="BY86" s="25"/>
      <c r="BZ86" s="25"/>
      <c r="CA86" s="25"/>
      <c r="CB86" s="25"/>
      <c r="CC86" s="25"/>
      <c r="CD86" s="25"/>
      <c r="CE86" s="25"/>
      <c r="CF86" s="25"/>
      <c r="CG86" s="25"/>
      <c r="CH86" s="25"/>
      <c r="CI86" s="25"/>
      <c r="CJ86" s="25"/>
      <c r="CK86" s="25"/>
      <c r="CL86" s="25"/>
      <c r="CM86" s="25"/>
      <c r="CN86" s="25"/>
      <c r="CO86" s="25"/>
      <c r="CP86" s="25" t="str">
        <f>_xlfn.CONCAT($A87," ",$B87," ",$D87)</f>
        <v>2025 BMW iX xDrive50 (22'' Wheels)</v>
      </c>
      <c r="CQ86" s="25"/>
      <c r="CR86" s="25"/>
      <c r="CS86" s="25"/>
      <c r="CT86" s="25"/>
      <c r="CU86" s="25"/>
      <c r="CV86" s="25"/>
      <c r="CW86" s="25"/>
      <c r="CX86" s="25"/>
      <c r="CY86" s="25"/>
      <c r="CZ86" s="25"/>
      <c r="DA86" s="25"/>
      <c r="DB86" s="25"/>
      <c r="DC86" s="25"/>
      <c r="DD86" s="25"/>
      <c r="DE86" s="25"/>
      <c r="DF86" s="25"/>
      <c r="DG86" s="25"/>
      <c r="DH86" s="25"/>
      <c r="DI86" s="25" t="str">
        <f>_xlfn.CONCAT($A87," ",$B87," ",$D87)</f>
        <v>2025 BMW iX xDrive50 (22'' Wheels)</v>
      </c>
      <c r="DJ86" s="25"/>
      <c r="DK86" s="25"/>
      <c r="DL86" s="25"/>
      <c r="DM86" s="25"/>
      <c r="DN86" s="25"/>
      <c r="DO86" s="25"/>
      <c r="DP86" s="25"/>
      <c r="DQ86" s="25"/>
      <c r="DR86" s="25"/>
      <c r="DS86" s="25"/>
      <c r="DT86" s="25"/>
      <c r="DU86" s="25"/>
      <c r="DV86" s="25"/>
      <c r="DW86" s="25"/>
      <c r="DX86" s="25"/>
      <c r="DY86" s="25"/>
      <c r="DZ86" s="25" t="str">
        <f>_xlfn.CONCAT($A87," ",$B87," ",$D87)</f>
        <v>2025 BMW iX xDrive50 (22'' Wheels)</v>
      </c>
      <c r="EA86" s="89"/>
      <c r="EB86" s="25"/>
      <c r="EC86" s="25"/>
      <c r="ED86" s="25"/>
      <c r="EE86" s="25"/>
      <c r="EF86" s="25"/>
      <c r="EG86" s="25"/>
      <c r="EH86" s="25"/>
      <c r="EI86" s="25"/>
      <c r="EJ86" s="25"/>
      <c r="EK86" s="25"/>
      <c r="EL86" s="25"/>
      <c r="EM86" s="25"/>
      <c r="EN86" s="25"/>
      <c r="EO86" s="25"/>
      <c r="EP86" s="25"/>
      <c r="EQ86" s="25"/>
      <c r="ER86" s="25"/>
      <c r="ES86" s="25"/>
      <c r="ET86" s="25"/>
      <c r="EU86" s="25"/>
      <c r="EV86" s="25" t="str">
        <f>_xlfn.CONCAT($A87," ",$B87," ",$D87)</f>
        <v>2025 BMW iX xDrive50 (22'' Wheels)</v>
      </c>
      <c r="EW86" s="25"/>
      <c r="EX86" s="25"/>
      <c r="EY86" s="25"/>
      <c r="EZ86" s="25"/>
      <c r="FA86" s="25"/>
      <c r="FB86" s="25"/>
      <c r="FC86" s="25"/>
      <c r="FD86" s="25"/>
      <c r="FE86" s="25"/>
      <c r="FF86" s="25"/>
      <c r="FG86" s="25"/>
    </row>
    <row r="87" spans="1:165" x14ac:dyDescent="0.35">
      <c r="A87">
        <v>2025</v>
      </c>
      <c r="B87" t="s">
        <v>189</v>
      </c>
      <c r="C87" t="s">
        <v>189</v>
      </c>
      <c r="D87" t="s">
        <v>1841</v>
      </c>
      <c r="E87" t="s">
        <v>191</v>
      </c>
      <c r="F87">
        <v>122</v>
      </c>
      <c r="G87">
        <v>0</v>
      </c>
      <c r="I87" t="s">
        <v>1734</v>
      </c>
      <c r="J87">
        <v>82</v>
      </c>
      <c r="K87">
        <v>81</v>
      </c>
      <c r="L87">
        <v>81</v>
      </c>
      <c r="M87">
        <v>116.5</v>
      </c>
      <c r="N87">
        <v>115.5</v>
      </c>
      <c r="O87">
        <v>116.0479</v>
      </c>
      <c r="P87">
        <v>81.55</v>
      </c>
      <c r="Q87">
        <v>80.849999999999994</v>
      </c>
      <c r="R87">
        <v>81.233500000000006</v>
      </c>
      <c r="V87" t="s">
        <v>167</v>
      </c>
      <c r="W87" t="s">
        <v>168</v>
      </c>
      <c r="Y87">
        <v>1</v>
      </c>
      <c r="Z87" t="s">
        <v>170</v>
      </c>
      <c r="AA87" t="s">
        <v>170</v>
      </c>
      <c r="AB87" t="s">
        <v>167</v>
      </c>
      <c r="AC87" t="s">
        <v>213</v>
      </c>
      <c r="AF87">
        <v>302</v>
      </c>
      <c r="AG87" t="s">
        <v>1735</v>
      </c>
      <c r="AH87" t="s">
        <v>1736</v>
      </c>
      <c r="AI87" t="s">
        <v>175</v>
      </c>
      <c r="AJ87" t="s">
        <v>176</v>
      </c>
      <c r="AK87" t="s">
        <v>940</v>
      </c>
      <c r="AL87" t="s">
        <v>941</v>
      </c>
      <c r="AS87">
        <v>1000</v>
      </c>
      <c r="AT87">
        <v>1000</v>
      </c>
      <c r="BQ87">
        <v>33</v>
      </c>
      <c r="BR87" t="s">
        <v>1497</v>
      </c>
      <c r="BT87" t="s">
        <v>1769</v>
      </c>
      <c r="BU87" s="1">
        <v>45373</v>
      </c>
      <c r="BV87">
        <v>34498</v>
      </c>
      <c r="BW87" s="155"/>
      <c r="BX87" t="s">
        <v>169</v>
      </c>
      <c r="BY87" t="s">
        <v>170</v>
      </c>
      <c r="CB87" t="s">
        <v>170</v>
      </c>
      <c r="CC87" t="s">
        <v>170</v>
      </c>
      <c r="CK87" t="s">
        <v>233</v>
      </c>
      <c r="CM87">
        <v>11</v>
      </c>
      <c r="CN87" t="s">
        <v>234</v>
      </c>
      <c r="CP87">
        <v>369</v>
      </c>
      <c r="CQ87">
        <v>303</v>
      </c>
      <c r="CR87">
        <v>174</v>
      </c>
      <c r="CS87" t="s">
        <v>235</v>
      </c>
      <c r="CV87" t="s">
        <v>341</v>
      </c>
      <c r="CX87" t="s">
        <v>342</v>
      </c>
      <c r="CY87" t="s">
        <v>169</v>
      </c>
      <c r="DC87" t="s">
        <v>1835</v>
      </c>
      <c r="DD87">
        <v>2</v>
      </c>
      <c r="DE87" t="s">
        <v>404</v>
      </c>
      <c r="DF87" t="s">
        <v>405</v>
      </c>
      <c r="DG87" t="s">
        <v>1804</v>
      </c>
      <c r="DL87" t="s">
        <v>170</v>
      </c>
      <c r="DM87" t="s">
        <v>169</v>
      </c>
      <c r="DP87" t="s">
        <v>170</v>
      </c>
      <c r="DQ87" t="s">
        <v>187</v>
      </c>
      <c r="EA87" s="101"/>
      <c r="EB87">
        <v>9</v>
      </c>
      <c r="EC87">
        <v>10</v>
      </c>
      <c r="EE87" t="s">
        <v>1836</v>
      </c>
      <c r="EF87">
        <v>10</v>
      </c>
      <c r="EU87">
        <v>4500</v>
      </c>
      <c r="EW87">
        <v>0</v>
      </c>
      <c r="EX87">
        <v>0</v>
      </c>
      <c r="EY87">
        <v>0</v>
      </c>
      <c r="FA87">
        <v>13</v>
      </c>
      <c r="FG87">
        <v>303</v>
      </c>
      <c r="FH87">
        <v>301</v>
      </c>
      <c r="FI87">
        <v>302</v>
      </c>
    </row>
    <row r="88" spans="1:165" x14ac:dyDescent="0.35">
      <c r="A88">
        <v>2025</v>
      </c>
      <c r="B88" t="s">
        <v>189</v>
      </c>
      <c r="C88" t="s">
        <v>189</v>
      </c>
      <c r="D88" t="s">
        <v>1841</v>
      </c>
      <c r="E88" t="s">
        <v>191</v>
      </c>
      <c r="F88">
        <v>122</v>
      </c>
      <c r="G88">
        <v>0</v>
      </c>
      <c r="I88" t="s">
        <v>1734</v>
      </c>
      <c r="J88">
        <v>41</v>
      </c>
      <c r="K88">
        <v>42</v>
      </c>
      <c r="L88">
        <v>41</v>
      </c>
      <c r="M88">
        <v>28.934999999999999</v>
      </c>
      <c r="N88">
        <v>29.178799999999999</v>
      </c>
      <c r="O88">
        <v>29.044699999999999</v>
      </c>
      <c r="P88">
        <v>41.330500000000001</v>
      </c>
      <c r="Q88">
        <v>41.688299999999998</v>
      </c>
      <c r="R88">
        <v>41.491500000000002</v>
      </c>
      <c r="V88" t="s">
        <v>167</v>
      </c>
      <c r="W88" t="s">
        <v>168</v>
      </c>
      <c r="Y88">
        <v>1</v>
      </c>
      <c r="Z88" t="s">
        <v>170</v>
      </c>
      <c r="AA88" t="s">
        <v>170</v>
      </c>
      <c r="AB88" t="s">
        <v>167</v>
      </c>
      <c r="AC88" t="s">
        <v>213</v>
      </c>
      <c r="AF88">
        <v>302</v>
      </c>
      <c r="AG88" t="s">
        <v>1735</v>
      </c>
      <c r="AH88" t="s">
        <v>1736</v>
      </c>
      <c r="AI88" t="s">
        <v>1742</v>
      </c>
      <c r="AJ88" t="s">
        <v>1743</v>
      </c>
      <c r="AK88" t="s">
        <v>940</v>
      </c>
      <c r="AL88" t="s">
        <v>941</v>
      </c>
      <c r="AS88">
        <v>1000</v>
      </c>
      <c r="AT88">
        <v>1000</v>
      </c>
      <c r="BQ88">
        <v>33</v>
      </c>
      <c r="BR88" t="s">
        <v>1497</v>
      </c>
      <c r="BT88" t="s">
        <v>1769</v>
      </c>
      <c r="BU88" s="1">
        <v>45373</v>
      </c>
      <c r="BV88">
        <v>34498</v>
      </c>
      <c r="BW88" s="155"/>
      <c r="BX88" t="s">
        <v>169</v>
      </c>
      <c r="BY88" t="s">
        <v>170</v>
      </c>
      <c r="CB88" t="s">
        <v>170</v>
      </c>
      <c r="CC88" t="s">
        <v>170</v>
      </c>
      <c r="CK88" t="s">
        <v>233</v>
      </c>
      <c r="CM88">
        <v>11</v>
      </c>
      <c r="CN88" t="s">
        <v>234</v>
      </c>
      <c r="CP88">
        <v>369</v>
      </c>
      <c r="CQ88">
        <v>303</v>
      </c>
      <c r="CR88">
        <v>174</v>
      </c>
      <c r="CS88" t="s">
        <v>235</v>
      </c>
      <c r="CV88" t="s">
        <v>341</v>
      </c>
      <c r="CX88" t="s">
        <v>342</v>
      </c>
      <c r="CY88" t="s">
        <v>169</v>
      </c>
      <c r="DC88" t="s">
        <v>1835</v>
      </c>
      <c r="DD88">
        <v>2</v>
      </c>
      <c r="DE88" t="s">
        <v>404</v>
      </c>
      <c r="DF88" t="s">
        <v>405</v>
      </c>
      <c r="DG88" t="s">
        <v>1804</v>
      </c>
      <c r="DL88" t="s">
        <v>170</v>
      </c>
      <c r="DM88" t="s">
        <v>169</v>
      </c>
      <c r="DP88" t="s">
        <v>170</v>
      </c>
      <c r="DQ88" t="s">
        <v>187</v>
      </c>
      <c r="EA88" s="101"/>
      <c r="EB88">
        <v>9</v>
      </c>
      <c r="EC88">
        <v>10</v>
      </c>
      <c r="EE88" t="s">
        <v>1836</v>
      </c>
      <c r="EF88">
        <v>10</v>
      </c>
      <c r="EU88">
        <v>4500</v>
      </c>
      <c r="EW88">
        <v>0</v>
      </c>
      <c r="EX88">
        <v>0</v>
      </c>
      <c r="EY88">
        <v>0</v>
      </c>
      <c r="FA88">
        <v>13</v>
      </c>
      <c r="FG88">
        <v>303</v>
      </c>
      <c r="FH88">
        <v>301</v>
      </c>
      <c r="FI88">
        <v>302</v>
      </c>
    </row>
    <row r="89" spans="1:165" x14ac:dyDescent="0.35">
      <c r="A89" s="25"/>
      <c r="B89" s="25"/>
      <c r="C89" s="25"/>
      <c r="D89" s="25"/>
      <c r="E89" s="25"/>
      <c r="F89" s="25" t="str">
        <f>_xlfn.CONCAT($A90," ",$B90," ",$D90)</f>
        <v>2025 BMW iX M60 (21'' Wheels)</v>
      </c>
      <c r="G89" s="25"/>
      <c r="H89" s="25"/>
      <c r="I89" s="25"/>
      <c r="J89" s="25"/>
      <c r="K89" s="25"/>
      <c r="L89" s="25"/>
      <c r="M89" s="25"/>
      <c r="N89" s="25"/>
      <c r="O89" s="25"/>
      <c r="P89" s="25"/>
      <c r="Q89" s="25"/>
      <c r="R89" s="25"/>
      <c r="S89" s="25"/>
      <c r="T89" s="25"/>
      <c r="U89" s="25"/>
      <c r="V89" s="25"/>
      <c r="W89" s="25"/>
      <c r="X89" s="25"/>
      <c r="Y89" s="25"/>
      <c r="Z89" s="25"/>
      <c r="AA89" s="25"/>
      <c r="AB89" s="25"/>
      <c r="AC89" s="25"/>
      <c r="AD89" s="25" t="str">
        <f>_xlfn.CONCAT($A90," ",$B90," ",$D90)</f>
        <v>2025 BMW iX M60 (21'' Wheels)</v>
      </c>
      <c r="AE89" s="25"/>
      <c r="AF89" s="25"/>
      <c r="AG89" s="25"/>
      <c r="AH89" s="25"/>
      <c r="AI89" s="25"/>
      <c r="AJ89" s="25"/>
      <c r="AK89" s="25"/>
      <c r="AL89" s="25"/>
      <c r="AM89" s="25"/>
      <c r="AN89" s="25"/>
      <c r="AO89" s="25"/>
      <c r="AP89" s="25"/>
      <c r="AQ89" s="25"/>
      <c r="AR89" s="25"/>
      <c r="AS89" s="25"/>
      <c r="AT89" s="25"/>
      <c r="AU89" s="25"/>
      <c r="AV89" s="25"/>
      <c r="AW89" s="25"/>
      <c r="AX89" s="25" t="str">
        <f>_xlfn.CONCAT($A90," ",$B90," ",$D90)</f>
        <v>2025 BMW iX M60 (21'' Wheels)</v>
      </c>
      <c r="AY89" s="25"/>
      <c r="AZ89" s="25"/>
      <c r="BA89" s="25"/>
      <c r="BB89" s="25"/>
      <c r="BC89" s="25"/>
      <c r="BD89" s="25"/>
      <c r="BE89" s="25"/>
      <c r="BF89" s="25"/>
      <c r="BG89" s="25"/>
      <c r="BH89" s="25"/>
      <c r="BI89" s="25"/>
      <c r="BJ89" s="25"/>
      <c r="BK89" s="25"/>
      <c r="BL89" s="25"/>
      <c r="BM89" s="25"/>
      <c r="BN89" s="25"/>
      <c r="BO89" s="25"/>
      <c r="BP89" s="25"/>
      <c r="BQ89" s="25"/>
      <c r="BR89" s="25" t="str">
        <f>_xlfn.CONCAT($A90," ",$B90," ",$D90)</f>
        <v>2025 BMW iX M60 (21'' Wheels)</v>
      </c>
      <c r="BS89" s="25"/>
      <c r="BT89" s="25"/>
      <c r="BU89" s="25"/>
      <c r="BV89" s="25"/>
      <c r="BW89" s="156"/>
      <c r="BX89" s="25"/>
      <c r="BY89" s="25"/>
      <c r="BZ89" s="25"/>
      <c r="CA89" s="25"/>
      <c r="CB89" s="25"/>
      <c r="CC89" s="25"/>
      <c r="CD89" s="25"/>
      <c r="CE89" s="25"/>
      <c r="CF89" s="25"/>
      <c r="CG89" s="25"/>
      <c r="CH89" s="25"/>
      <c r="CI89" s="25"/>
      <c r="CJ89" s="25"/>
      <c r="CK89" s="25"/>
      <c r="CL89" s="25"/>
      <c r="CM89" s="25"/>
      <c r="CN89" s="25"/>
      <c r="CO89" s="25"/>
      <c r="CP89" s="25" t="str">
        <f>_xlfn.CONCAT($A90," ",$B90," ",$D90)</f>
        <v>2025 BMW iX M60 (21'' Wheels)</v>
      </c>
      <c r="CQ89" s="25"/>
      <c r="CR89" s="25"/>
      <c r="CS89" s="25"/>
      <c r="CT89" s="25"/>
      <c r="CU89" s="25"/>
      <c r="CV89" s="25"/>
      <c r="CW89" s="25"/>
      <c r="CX89" s="25"/>
      <c r="CY89" s="25"/>
      <c r="CZ89" s="25"/>
      <c r="DA89" s="25"/>
      <c r="DB89" s="25"/>
      <c r="DC89" s="25"/>
      <c r="DD89" s="25"/>
      <c r="DE89" s="25"/>
      <c r="DF89" s="25"/>
      <c r="DG89" s="25"/>
      <c r="DH89" s="25"/>
      <c r="DI89" s="25" t="str">
        <f>_xlfn.CONCAT($A90," ",$B90," ",$D90)</f>
        <v>2025 BMW iX M60 (21'' Wheels)</v>
      </c>
      <c r="DJ89" s="25"/>
      <c r="DK89" s="25"/>
      <c r="DL89" s="25"/>
      <c r="DM89" s="25"/>
      <c r="DN89" s="25"/>
      <c r="DO89" s="25"/>
      <c r="DP89" s="25"/>
      <c r="DQ89" s="25"/>
      <c r="DR89" s="25"/>
      <c r="DS89" s="25"/>
      <c r="DT89" s="25"/>
      <c r="DU89" s="25"/>
      <c r="DV89" s="25"/>
      <c r="DW89" s="25"/>
      <c r="DX89" s="25"/>
      <c r="DY89" s="25"/>
      <c r="DZ89" s="25" t="str">
        <f>_xlfn.CONCAT($A90," ",$B90," ",$D90)</f>
        <v>2025 BMW iX M60 (21'' Wheels)</v>
      </c>
      <c r="EA89" s="89"/>
      <c r="EB89" s="25"/>
      <c r="EC89" s="25"/>
      <c r="ED89" s="25"/>
      <c r="EE89" s="25"/>
      <c r="EF89" s="25"/>
      <c r="EG89" s="25"/>
      <c r="EH89" s="25"/>
      <c r="EI89" s="25"/>
      <c r="EJ89" s="25"/>
      <c r="EK89" s="25"/>
      <c r="EL89" s="25"/>
      <c r="EM89" s="25"/>
      <c r="EN89" s="25"/>
      <c r="EO89" s="25"/>
      <c r="EP89" s="25"/>
      <c r="EQ89" s="25"/>
      <c r="ER89" s="25"/>
      <c r="ES89" s="25"/>
      <c r="ET89" s="25"/>
      <c r="EU89" s="25"/>
      <c r="EV89" s="25" t="str">
        <f>_xlfn.CONCAT($A90," ",$B90," ",$D90)</f>
        <v>2025 BMW iX M60 (21'' Wheels)</v>
      </c>
      <c r="EW89" s="25"/>
      <c r="EX89" s="25"/>
      <c r="EY89" s="25"/>
      <c r="EZ89" s="25"/>
      <c r="FA89" s="25"/>
      <c r="FB89" s="25"/>
      <c r="FC89" s="25"/>
      <c r="FD89" s="25"/>
      <c r="FE89" s="25"/>
      <c r="FF89" s="25"/>
      <c r="FG89" s="25"/>
    </row>
    <row r="90" spans="1:165" x14ac:dyDescent="0.35">
      <c r="A90">
        <v>2025</v>
      </c>
      <c r="B90" t="s">
        <v>189</v>
      </c>
      <c r="C90" t="s">
        <v>189</v>
      </c>
      <c r="D90" t="s">
        <v>1832</v>
      </c>
      <c r="E90" t="s">
        <v>191</v>
      </c>
      <c r="F90">
        <v>131</v>
      </c>
      <c r="G90">
        <v>0</v>
      </c>
      <c r="I90" t="s">
        <v>1734</v>
      </c>
      <c r="J90">
        <v>75</v>
      </c>
      <c r="K90">
        <v>77</v>
      </c>
      <c r="L90">
        <v>76</v>
      </c>
      <c r="M90">
        <v>106.9</v>
      </c>
      <c r="N90">
        <v>110.4</v>
      </c>
      <c r="O90">
        <v>108.44710000000001</v>
      </c>
      <c r="P90">
        <v>74.83</v>
      </c>
      <c r="Q90">
        <v>77.28</v>
      </c>
      <c r="R90">
        <v>75.912999999999997</v>
      </c>
      <c r="V90" t="s">
        <v>167</v>
      </c>
      <c r="W90" t="s">
        <v>168</v>
      </c>
      <c r="Y90">
        <v>1</v>
      </c>
      <c r="Z90" t="s">
        <v>170</v>
      </c>
      <c r="AA90" t="s">
        <v>170</v>
      </c>
      <c r="AB90" t="s">
        <v>167</v>
      </c>
      <c r="AC90" t="s">
        <v>213</v>
      </c>
      <c r="AF90">
        <v>284</v>
      </c>
      <c r="AG90" t="s">
        <v>1735</v>
      </c>
      <c r="AH90" t="s">
        <v>1736</v>
      </c>
      <c r="AI90" t="s">
        <v>175</v>
      </c>
      <c r="AJ90" t="s">
        <v>176</v>
      </c>
      <c r="AK90" t="s">
        <v>940</v>
      </c>
      <c r="AL90" t="s">
        <v>941</v>
      </c>
      <c r="AS90">
        <v>1050</v>
      </c>
      <c r="AT90">
        <v>1050</v>
      </c>
      <c r="BQ90">
        <v>33</v>
      </c>
      <c r="BR90" t="s">
        <v>1497</v>
      </c>
      <c r="BT90" t="s">
        <v>1769</v>
      </c>
      <c r="BU90" s="1">
        <v>45373</v>
      </c>
      <c r="BV90">
        <v>34499</v>
      </c>
      <c r="BW90" s="155"/>
      <c r="BX90" t="s">
        <v>170</v>
      </c>
      <c r="BY90" t="s">
        <v>170</v>
      </c>
      <c r="CB90" t="s">
        <v>170</v>
      </c>
      <c r="CC90" t="s">
        <v>170</v>
      </c>
      <c r="CK90" t="s">
        <v>233</v>
      </c>
      <c r="CM90">
        <v>11</v>
      </c>
      <c r="CN90" t="s">
        <v>234</v>
      </c>
      <c r="CP90">
        <v>369</v>
      </c>
      <c r="CQ90">
        <v>303</v>
      </c>
      <c r="CR90">
        <v>174</v>
      </c>
      <c r="CS90" t="s">
        <v>235</v>
      </c>
      <c r="CV90" t="s">
        <v>341</v>
      </c>
      <c r="CX90" t="s">
        <v>342</v>
      </c>
      <c r="CY90" t="s">
        <v>169</v>
      </c>
      <c r="DC90" t="s">
        <v>1825</v>
      </c>
      <c r="DD90">
        <v>2</v>
      </c>
      <c r="DE90" t="s">
        <v>404</v>
      </c>
      <c r="DF90" t="s">
        <v>405</v>
      </c>
      <c r="DG90" t="s">
        <v>1826</v>
      </c>
      <c r="DL90" t="s">
        <v>170</v>
      </c>
      <c r="DM90" t="s">
        <v>169</v>
      </c>
      <c r="DP90" t="s">
        <v>170</v>
      </c>
      <c r="DQ90" t="s">
        <v>187</v>
      </c>
      <c r="EA90" s="101"/>
      <c r="EB90">
        <v>9</v>
      </c>
      <c r="EC90">
        <v>10</v>
      </c>
      <c r="EE90" t="s">
        <v>1827</v>
      </c>
      <c r="EF90">
        <v>10</v>
      </c>
      <c r="EU90">
        <v>4250</v>
      </c>
      <c r="EW90">
        <v>0</v>
      </c>
      <c r="EX90">
        <v>0</v>
      </c>
      <c r="EY90">
        <v>0</v>
      </c>
      <c r="FA90">
        <v>13</v>
      </c>
      <c r="FG90">
        <v>280</v>
      </c>
      <c r="FH90">
        <v>289</v>
      </c>
      <c r="FI90">
        <v>284</v>
      </c>
    </row>
    <row r="91" spans="1:165" x14ac:dyDescent="0.35">
      <c r="A91">
        <v>2025</v>
      </c>
      <c r="B91" t="s">
        <v>189</v>
      </c>
      <c r="C91" t="s">
        <v>189</v>
      </c>
      <c r="D91" t="s">
        <v>1832</v>
      </c>
      <c r="E91" t="s">
        <v>191</v>
      </c>
      <c r="F91">
        <v>131</v>
      </c>
      <c r="G91">
        <v>0</v>
      </c>
      <c r="I91" t="s">
        <v>1734</v>
      </c>
      <c r="J91">
        <v>45</v>
      </c>
      <c r="K91">
        <v>44</v>
      </c>
      <c r="L91">
        <v>44</v>
      </c>
      <c r="M91">
        <v>31.525600000000001</v>
      </c>
      <c r="N91">
        <v>30.5366</v>
      </c>
      <c r="O91">
        <v>31.0806</v>
      </c>
      <c r="P91">
        <v>45.042099999999998</v>
      </c>
      <c r="Q91">
        <v>43.614100000000001</v>
      </c>
      <c r="R91">
        <v>44.399500000000003</v>
      </c>
      <c r="V91" t="s">
        <v>167</v>
      </c>
      <c r="W91" t="s">
        <v>168</v>
      </c>
      <c r="Y91">
        <v>1</v>
      </c>
      <c r="Z91" t="s">
        <v>170</v>
      </c>
      <c r="AA91" t="s">
        <v>170</v>
      </c>
      <c r="AB91" t="s">
        <v>167</v>
      </c>
      <c r="AC91" t="s">
        <v>213</v>
      </c>
      <c r="AF91">
        <v>284</v>
      </c>
      <c r="AG91" t="s">
        <v>1735</v>
      </c>
      <c r="AH91" t="s">
        <v>1736</v>
      </c>
      <c r="AI91" t="s">
        <v>1742</v>
      </c>
      <c r="AJ91" t="s">
        <v>1743</v>
      </c>
      <c r="AK91" t="s">
        <v>940</v>
      </c>
      <c r="AL91" t="s">
        <v>941</v>
      </c>
      <c r="AS91">
        <v>1050</v>
      </c>
      <c r="AT91">
        <v>1050</v>
      </c>
      <c r="BQ91">
        <v>33</v>
      </c>
      <c r="BR91" t="s">
        <v>1497</v>
      </c>
      <c r="BT91" t="s">
        <v>1769</v>
      </c>
      <c r="BU91" s="1">
        <v>45373</v>
      </c>
      <c r="BV91">
        <v>34499</v>
      </c>
      <c r="BW91" s="155"/>
      <c r="BX91" t="s">
        <v>170</v>
      </c>
      <c r="BY91" t="s">
        <v>170</v>
      </c>
      <c r="CB91" t="s">
        <v>170</v>
      </c>
      <c r="CC91" t="s">
        <v>170</v>
      </c>
      <c r="CK91" t="s">
        <v>233</v>
      </c>
      <c r="CM91">
        <v>11</v>
      </c>
      <c r="CN91" t="s">
        <v>234</v>
      </c>
      <c r="CP91">
        <v>369</v>
      </c>
      <c r="CQ91">
        <v>303</v>
      </c>
      <c r="CR91">
        <v>174</v>
      </c>
      <c r="CS91" t="s">
        <v>235</v>
      </c>
      <c r="CV91" t="s">
        <v>341</v>
      </c>
      <c r="CX91" t="s">
        <v>342</v>
      </c>
      <c r="CY91" t="s">
        <v>169</v>
      </c>
      <c r="DC91" t="s">
        <v>1825</v>
      </c>
      <c r="DD91">
        <v>2</v>
      </c>
      <c r="DE91" t="s">
        <v>404</v>
      </c>
      <c r="DF91" t="s">
        <v>405</v>
      </c>
      <c r="DG91" t="s">
        <v>1826</v>
      </c>
      <c r="DL91" t="s">
        <v>170</v>
      </c>
      <c r="DM91" t="s">
        <v>169</v>
      </c>
      <c r="DP91" t="s">
        <v>170</v>
      </c>
      <c r="DQ91" t="s">
        <v>187</v>
      </c>
      <c r="EA91" s="101"/>
      <c r="EB91">
        <v>9</v>
      </c>
      <c r="EC91">
        <v>10</v>
      </c>
      <c r="EE91" t="s">
        <v>1827</v>
      </c>
      <c r="EF91">
        <v>10</v>
      </c>
      <c r="EU91">
        <v>4250</v>
      </c>
      <c r="EW91">
        <v>0</v>
      </c>
      <c r="EX91">
        <v>0</v>
      </c>
      <c r="EY91">
        <v>0</v>
      </c>
      <c r="FA91">
        <v>13</v>
      </c>
      <c r="FG91">
        <v>280</v>
      </c>
      <c r="FH91">
        <v>289</v>
      </c>
      <c r="FI91">
        <v>284</v>
      </c>
    </row>
    <row r="92" spans="1:165" x14ac:dyDescent="0.35">
      <c r="A92" s="25"/>
      <c r="B92" s="25"/>
      <c r="C92" s="25"/>
      <c r="D92" s="25"/>
      <c r="E92" s="25"/>
      <c r="F92" s="25" t="str">
        <f>_xlfn.CONCAT($A93," ",$B93," ",$D93)</f>
        <v>2025 BMW iX M60 (22'' Wheels)</v>
      </c>
      <c r="G92" s="25"/>
      <c r="H92" s="25"/>
      <c r="I92" s="25"/>
      <c r="J92" s="25"/>
      <c r="K92" s="25"/>
      <c r="L92" s="25"/>
      <c r="M92" s="25"/>
      <c r="N92" s="25"/>
      <c r="O92" s="25"/>
      <c r="P92" s="25"/>
      <c r="Q92" s="25"/>
      <c r="R92" s="25"/>
      <c r="S92" s="25"/>
      <c r="T92" s="25"/>
      <c r="U92" s="25"/>
      <c r="V92" s="25"/>
      <c r="W92" s="25"/>
      <c r="X92" s="25"/>
      <c r="Y92" s="25"/>
      <c r="Z92" s="25"/>
      <c r="AA92" s="25"/>
      <c r="AB92" s="25"/>
      <c r="AC92" s="25"/>
      <c r="AD92" s="25" t="str">
        <f>_xlfn.CONCAT($A93," ",$B93," ",$D93)</f>
        <v>2025 BMW iX M60 (22'' Wheels)</v>
      </c>
      <c r="AE92" s="25"/>
      <c r="AF92" s="25"/>
      <c r="AG92" s="25"/>
      <c r="AH92" s="25"/>
      <c r="AI92" s="25"/>
      <c r="AJ92" s="25"/>
      <c r="AK92" s="25"/>
      <c r="AL92" s="25"/>
      <c r="AM92" s="25"/>
      <c r="AN92" s="25"/>
      <c r="AO92" s="25"/>
      <c r="AP92" s="25"/>
      <c r="AQ92" s="25"/>
      <c r="AR92" s="25"/>
      <c r="AS92" s="25"/>
      <c r="AT92" s="25"/>
      <c r="AU92" s="25"/>
      <c r="AV92" s="25"/>
      <c r="AW92" s="25"/>
      <c r="AX92" s="25" t="str">
        <f>_xlfn.CONCAT($A93," ",$B93," ",$D93)</f>
        <v>2025 BMW iX M60 (22'' Wheels)</v>
      </c>
      <c r="AY92" s="25"/>
      <c r="AZ92" s="25"/>
      <c r="BA92" s="25"/>
      <c r="BB92" s="25"/>
      <c r="BC92" s="25"/>
      <c r="BD92" s="25"/>
      <c r="BE92" s="25"/>
      <c r="BF92" s="25"/>
      <c r="BG92" s="25"/>
      <c r="BH92" s="25"/>
      <c r="BI92" s="25"/>
      <c r="BJ92" s="25"/>
      <c r="BK92" s="25"/>
      <c r="BL92" s="25"/>
      <c r="BM92" s="25"/>
      <c r="BN92" s="25"/>
      <c r="BO92" s="25"/>
      <c r="BP92" s="25"/>
      <c r="BQ92" s="25"/>
      <c r="BR92" s="25" t="str">
        <f>_xlfn.CONCAT($A93," ",$B93," ",$D93)</f>
        <v>2025 BMW iX M60 (22'' Wheels)</v>
      </c>
      <c r="BS92" s="25"/>
      <c r="BT92" s="25"/>
      <c r="BU92" s="25"/>
      <c r="BV92" s="25"/>
      <c r="BW92" s="156"/>
      <c r="BX92" s="25"/>
      <c r="BY92" s="25"/>
      <c r="BZ92" s="25"/>
      <c r="CA92" s="25"/>
      <c r="CB92" s="25"/>
      <c r="CC92" s="25"/>
      <c r="CD92" s="25"/>
      <c r="CE92" s="25"/>
      <c r="CF92" s="25"/>
      <c r="CG92" s="25"/>
      <c r="CH92" s="25"/>
      <c r="CI92" s="25"/>
      <c r="CJ92" s="25"/>
      <c r="CK92" s="25"/>
      <c r="CL92" s="25"/>
      <c r="CM92" s="25"/>
      <c r="CN92" s="25"/>
      <c r="CO92" s="25"/>
      <c r="CP92" s="25" t="str">
        <f>_xlfn.CONCAT($A93," ",$B93," ",$D93)</f>
        <v>2025 BMW iX M60 (22'' Wheels)</v>
      </c>
      <c r="CQ92" s="25"/>
      <c r="CR92" s="25"/>
      <c r="CS92" s="25"/>
      <c r="CT92" s="25"/>
      <c r="CU92" s="25"/>
      <c r="CV92" s="25"/>
      <c r="CW92" s="25"/>
      <c r="CX92" s="25"/>
      <c r="CY92" s="25"/>
      <c r="CZ92" s="25"/>
      <c r="DA92" s="25"/>
      <c r="DB92" s="25"/>
      <c r="DC92" s="25"/>
      <c r="DD92" s="25"/>
      <c r="DE92" s="25"/>
      <c r="DF92" s="25"/>
      <c r="DG92" s="25"/>
      <c r="DH92" s="25"/>
      <c r="DI92" s="25" t="str">
        <f>_xlfn.CONCAT($A93," ",$B93," ",$D93)</f>
        <v>2025 BMW iX M60 (22'' Wheels)</v>
      </c>
      <c r="DJ92" s="25"/>
      <c r="DK92" s="25"/>
      <c r="DL92" s="25"/>
      <c r="DM92" s="25"/>
      <c r="DN92" s="25"/>
      <c r="DO92" s="25"/>
      <c r="DP92" s="25"/>
      <c r="DQ92" s="25"/>
      <c r="DR92" s="25"/>
      <c r="DS92" s="25"/>
      <c r="DT92" s="25"/>
      <c r="DU92" s="25"/>
      <c r="DV92" s="25"/>
      <c r="DW92" s="25"/>
      <c r="DX92" s="25"/>
      <c r="DY92" s="25"/>
      <c r="DZ92" s="25" t="str">
        <f>_xlfn.CONCAT($A93," ",$B93," ",$D93)</f>
        <v>2025 BMW iX M60 (22'' Wheels)</v>
      </c>
      <c r="EA92" s="89"/>
      <c r="EB92" s="25"/>
      <c r="EC92" s="25"/>
      <c r="ED92" s="25"/>
      <c r="EE92" s="25"/>
      <c r="EF92" s="25"/>
      <c r="EG92" s="25"/>
      <c r="EH92" s="25"/>
      <c r="EI92" s="25"/>
      <c r="EJ92" s="25"/>
      <c r="EK92" s="25"/>
      <c r="EL92" s="25"/>
      <c r="EM92" s="25"/>
      <c r="EN92" s="25"/>
      <c r="EO92" s="25"/>
      <c r="EP92" s="25"/>
      <c r="EQ92" s="25"/>
      <c r="ER92" s="25"/>
      <c r="ES92" s="25"/>
      <c r="ET92" s="25"/>
      <c r="EU92" s="25"/>
      <c r="EV92" s="25" t="str">
        <f>_xlfn.CONCAT($A93," ",$B93," ",$D93)</f>
        <v>2025 BMW iX M60 (22'' Wheels)</v>
      </c>
      <c r="EW92" s="25"/>
      <c r="EX92" s="25"/>
      <c r="EY92" s="25"/>
      <c r="EZ92" s="25"/>
      <c r="FA92" s="25"/>
      <c r="FB92" s="25"/>
      <c r="FC92" s="25"/>
      <c r="FD92" s="25"/>
      <c r="FE92" s="25"/>
      <c r="FF92" s="25"/>
      <c r="FG92" s="25"/>
    </row>
    <row r="93" spans="1:165" x14ac:dyDescent="0.35">
      <c r="A93">
        <v>2025</v>
      </c>
      <c r="B93" t="s">
        <v>189</v>
      </c>
      <c r="C93" t="s">
        <v>189</v>
      </c>
      <c r="D93" t="s">
        <v>1833</v>
      </c>
      <c r="E93" t="s">
        <v>191</v>
      </c>
      <c r="F93">
        <v>132</v>
      </c>
      <c r="G93">
        <v>0</v>
      </c>
      <c r="I93" t="s">
        <v>1734</v>
      </c>
      <c r="J93">
        <v>75</v>
      </c>
      <c r="K93">
        <v>79</v>
      </c>
      <c r="L93">
        <v>77</v>
      </c>
      <c r="M93">
        <v>107.5</v>
      </c>
      <c r="N93">
        <v>113.4</v>
      </c>
      <c r="O93">
        <v>110.0772</v>
      </c>
      <c r="P93">
        <v>75.25</v>
      </c>
      <c r="Q93">
        <v>79.38</v>
      </c>
      <c r="R93">
        <v>77.054000000000002</v>
      </c>
      <c r="V93" t="s">
        <v>167</v>
      </c>
      <c r="W93" t="s">
        <v>168</v>
      </c>
      <c r="Y93">
        <v>1</v>
      </c>
      <c r="Z93" t="s">
        <v>170</v>
      </c>
      <c r="AA93" t="s">
        <v>170</v>
      </c>
      <c r="AB93" t="s">
        <v>167</v>
      </c>
      <c r="AC93" t="s">
        <v>213</v>
      </c>
      <c r="AF93">
        <v>285</v>
      </c>
      <c r="AG93" t="s">
        <v>1735</v>
      </c>
      <c r="AH93" t="s">
        <v>1736</v>
      </c>
      <c r="AI93" t="s">
        <v>175</v>
      </c>
      <c r="AJ93" t="s">
        <v>176</v>
      </c>
      <c r="AK93" t="s">
        <v>940</v>
      </c>
      <c r="AL93" t="s">
        <v>941</v>
      </c>
      <c r="AS93">
        <v>1050</v>
      </c>
      <c r="AT93">
        <v>1050</v>
      </c>
      <c r="BQ93">
        <v>33</v>
      </c>
      <c r="BR93" t="s">
        <v>1497</v>
      </c>
      <c r="BT93" t="s">
        <v>1769</v>
      </c>
      <c r="BU93" s="1">
        <v>45373</v>
      </c>
      <c r="BV93">
        <v>34500</v>
      </c>
      <c r="BW93" s="155"/>
      <c r="BX93" t="s">
        <v>169</v>
      </c>
      <c r="BY93" t="s">
        <v>170</v>
      </c>
      <c r="CB93" t="s">
        <v>170</v>
      </c>
      <c r="CC93" t="s">
        <v>170</v>
      </c>
      <c r="CK93" t="s">
        <v>233</v>
      </c>
      <c r="CM93">
        <v>11</v>
      </c>
      <c r="CN93" t="s">
        <v>234</v>
      </c>
      <c r="CP93">
        <v>369</v>
      </c>
      <c r="CQ93">
        <v>303</v>
      </c>
      <c r="CR93">
        <v>174</v>
      </c>
      <c r="CS93" t="s">
        <v>235</v>
      </c>
      <c r="CV93" t="s">
        <v>341</v>
      </c>
      <c r="CX93" t="s">
        <v>342</v>
      </c>
      <c r="CY93" t="s">
        <v>169</v>
      </c>
      <c r="DC93" t="s">
        <v>1825</v>
      </c>
      <c r="DD93">
        <v>2</v>
      </c>
      <c r="DE93" t="s">
        <v>404</v>
      </c>
      <c r="DF93" t="s">
        <v>405</v>
      </c>
      <c r="DG93" t="s">
        <v>1826</v>
      </c>
      <c r="DL93" t="s">
        <v>170</v>
      </c>
      <c r="DM93" t="s">
        <v>169</v>
      </c>
      <c r="DP93" t="s">
        <v>170</v>
      </c>
      <c r="DQ93" t="s">
        <v>187</v>
      </c>
      <c r="EA93" s="101"/>
      <c r="EB93">
        <v>9</v>
      </c>
      <c r="EC93">
        <v>10</v>
      </c>
      <c r="EE93" t="s">
        <v>1827</v>
      </c>
      <c r="EF93">
        <v>10</v>
      </c>
      <c r="EU93">
        <v>4250</v>
      </c>
      <c r="EW93">
        <v>0</v>
      </c>
      <c r="EX93">
        <v>0</v>
      </c>
      <c r="EY93">
        <v>0</v>
      </c>
      <c r="FA93">
        <v>13</v>
      </c>
      <c r="FG93">
        <v>278</v>
      </c>
      <c r="FH93">
        <v>293</v>
      </c>
      <c r="FI93">
        <v>285</v>
      </c>
    </row>
    <row r="94" spans="1:165" x14ac:dyDescent="0.35">
      <c r="A94">
        <v>2025</v>
      </c>
      <c r="B94" t="s">
        <v>189</v>
      </c>
      <c r="C94" t="s">
        <v>189</v>
      </c>
      <c r="D94" t="s">
        <v>1833</v>
      </c>
      <c r="E94" t="s">
        <v>191</v>
      </c>
      <c r="F94">
        <v>132</v>
      </c>
      <c r="G94">
        <v>0</v>
      </c>
      <c r="I94" t="s">
        <v>1734</v>
      </c>
      <c r="J94">
        <v>45</v>
      </c>
      <c r="K94">
        <v>42</v>
      </c>
      <c r="L94">
        <v>44</v>
      </c>
      <c r="M94">
        <v>31.3536</v>
      </c>
      <c r="N94">
        <v>29.717300000000002</v>
      </c>
      <c r="O94">
        <v>30.6172</v>
      </c>
      <c r="P94">
        <v>44.790700000000001</v>
      </c>
      <c r="Q94">
        <v>42.460299999999997</v>
      </c>
      <c r="R94">
        <v>43.741999999999997</v>
      </c>
      <c r="V94" t="s">
        <v>167</v>
      </c>
      <c r="W94" t="s">
        <v>168</v>
      </c>
      <c r="Y94">
        <v>1</v>
      </c>
      <c r="Z94" t="s">
        <v>170</v>
      </c>
      <c r="AA94" t="s">
        <v>170</v>
      </c>
      <c r="AB94" t="s">
        <v>167</v>
      </c>
      <c r="AC94" t="s">
        <v>213</v>
      </c>
      <c r="AF94">
        <v>285</v>
      </c>
      <c r="AG94" t="s">
        <v>1735</v>
      </c>
      <c r="AH94" t="s">
        <v>1736</v>
      </c>
      <c r="AI94" t="s">
        <v>1742</v>
      </c>
      <c r="AJ94" t="s">
        <v>1743</v>
      </c>
      <c r="AK94" t="s">
        <v>940</v>
      </c>
      <c r="AL94" t="s">
        <v>941</v>
      </c>
      <c r="AS94">
        <v>1050</v>
      </c>
      <c r="AT94">
        <v>1050</v>
      </c>
      <c r="BQ94">
        <v>33</v>
      </c>
      <c r="BR94" t="s">
        <v>1497</v>
      </c>
      <c r="BT94" t="s">
        <v>1769</v>
      </c>
      <c r="BU94" s="1">
        <v>45373</v>
      </c>
      <c r="BV94">
        <v>34500</v>
      </c>
      <c r="BW94" s="155"/>
      <c r="BX94" t="s">
        <v>169</v>
      </c>
      <c r="BY94" t="s">
        <v>170</v>
      </c>
      <c r="CB94" t="s">
        <v>170</v>
      </c>
      <c r="CC94" t="s">
        <v>170</v>
      </c>
      <c r="CK94" t="s">
        <v>233</v>
      </c>
      <c r="CM94">
        <v>11</v>
      </c>
      <c r="CN94" t="s">
        <v>234</v>
      </c>
      <c r="CP94">
        <v>369</v>
      </c>
      <c r="CQ94">
        <v>303</v>
      </c>
      <c r="CR94">
        <v>174</v>
      </c>
      <c r="CS94" t="s">
        <v>235</v>
      </c>
      <c r="CV94" t="s">
        <v>341</v>
      </c>
      <c r="CX94" t="s">
        <v>342</v>
      </c>
      <c r="CY94" t="s">
        <v>169</v>
      </c>
      <c r="DC94" t="s">
        <v>1825</v>
      </c>
      <c r="DD94">
        <v>2</v>
      </c>
      <c r="DE94" t="s">
        <v>404</v>
      </c>
      <c r="DF94" t="s">
        <v>405</v>
      </c>
      <c r="DG94" t="s">
        <v>1826</v>
      </c>
      <c r="DL94" t="s">
        <v>170</v>
      </c>
      <c r="DM94" t="s">
        <v>169</v>
      </c>
      <c r="DP94" t="s">
        <v>170</v>
      </c>
      <c r="DQ94" t="s">
        <v>187</v>
      </c>
      <c r="EA94" s="101"/>
      <c r="EB94">
        <v>9</v>
      </c>
      <c r="EC94">
        <v>10</v>
      </c>
      <c r="EE94" t="s">
        <v>1827</v>
      </c>
      <c r="EF94">
        <v>10</v>
      </c>
      <c r="EU94">
        <v>4250</v>
      </c>
      <c r="EW94">
        <v>0</v>
      </c>
      <c r="EX94">
        <v>0</v>
      </c>
      <c r="EY94">
        <v>0</v>
      </c>
      <c r="FA94">
        <v>13</v>
      </c>
      <c r="FG94">
        <v>278</v>
      </c>
      <c r="FH94">
        <v>293</v>
      </c>
      <c r="FI94">
        <v>285</v>
      </c>
    </row>
    <row r="95" spans="1:165" x14ac:dyDescent="0.35">
      <c r="A95" s="25"/>
      <c r="B95" s="25"/>
      <c r="C95" s="25"/>
      <c r="D95" s="25"/>
      <c r="E95" s="25"/>
      <c r="F95" s="25" t="str">
        <f>_xlfn.CONCAT($A96," ",$B96," ",$D96)</f>
        <v>2025 BMW i4 eDrive35 Gran Coupe (18'' Wheels)</v>
      </c>
      <c r="G95" s="25"/>
      <c r="H95" s="25"/>
      <c r="I95" s="25"/>
      <c r="J95" s="25"/>
      <c r="K95" s="25"/>
      <c r="L95" s="25"/>
      <c r="M95" s="25"/>
      <c r="N95" s="25"/>
      <c r="O95" s="25"/>
      <c r="P95" s="25"/>
      <c r="Q95" s="25"/>
      <c r="R95" s="25"/>
      <c r="S95" s="25"/>
      <c r="T95" s="25"/>
      <c r="U95" s="25"/>
      <c r="V95" s="25"/>
      <c r="W95" s="25"/>
      <c r="X95" s="25"/>
      <c r="Y95" s="25"/>
      <c r="Z95" s="25"/>
      <c r="AA95" s="25"/>
      <c r="AB95" s="25"/>
      <c r="AC95" s="25"/>
      <c r="AD95" s="25" t="str">
        <f>_xlfn.CONCAT($A96," ",$B96," ",$D96)</f>
        <v>2025 BMW i4 eDrive35 Gran Coupe (18'' Wheels)</v>
      </c>
      <c r="AE95" s="25"/>
      <c r="AF95" s="25"/>
      <c r="AG95" s="25"/>
      <c r="AH95" s="25"/>
      <c r="AI95" s="25"/>
      <c r="AJ95" s="25"/>
      <c r="AK95" s="25"/>
      <c r="AL95" s="25"/>
      <c r="AM95" s="25"/>
      <c r="AN95" s="25"/>
      <c r="AO95" s="25"/>
      <c r="AP95" s="25"/>
      <c r="AQ95" s="25"/>
      <c r="AR95" s="25"/>
      <c r="AS95" s="25"/>
      <c r="AT95" s="25"/>
      <c r="AU95" s="25"/>
      <c r="AV95" s="25"/>
      <c r="AW95" s="25"/>
      <c r="AX95" s="25" t="str">
        <f>_xlfn.CONCAT($A96," ",$B96," ",$D96)</f>
        <v>2025 BMW i4 eDrive35 Gran Coupe (18'' Wheels)</v>
      </c>
      <c r="AY95" s="25"/>
      <c r="AZ95" s="25"/>
      <c r="BA95" s="25"/>
      <c r="BB95" s="25"/>
      <c r="BC95" s="25"/>
      <c r="BD95" s="25"/>
      <c r="BE95" s="25"/>
      <c r="BF95" s="25"/>
      <c r="BG95" s="25"/>
      <c r="BH95" s="25"/>
      <c r="BI95" s="25"/>
      <c r="BJ95" s="25"/>
      <c r="BK95" s="25"/>
      <c r="BL95" s="25"/>
      <c r="BM95" s="25"/>
      <c r="BN95" s="25"/>
      <c r="BO95" s="25"/>
      <c r="BP95" s="25"/>
      <c r="BQ95" s="25"/>
      <c r="BR95" s="25" t="str">
        <f>_xlfn.CONCAT($A96," ",$B96," ",$D96)</f>
        <v>2025 BMW i4 eDrive35 Gran Coupe (18'' Wheels)</v>
      </c>
      <c r="BS95" s="25"/>
      <c r="BT95" s="25"/>
      <c r="BU95" s="25"/>
      <c r="BV95" s="25"/>
      <c r="BW95" s="156"/>
      <c r="BX95" s="25"/>
      <c r="BY95" s="25"/>
      <c r="BZ95" s="25"/>
      <c r="CA95" s="25"/>
      <c r="CB95" s="25"/>
      <c r="CC95" s="25"/>
      <c r="CD95" s="25"/>
      <c r="CE95" s="25"/>
      <c r="CF95" s="25"/>
      <c r="CG95" s="25"/>
      <c r="CH95" s="25"/>
      <c r="CI95" s="25"/>
      <c r="CJ95" s="25"/>
      <c r="CK95" s="25"/>
      <c r="CL95" s="25"/>
      <c r="CM95" s="25"/>
      <c r="CN95" s="25"/>
      <c r="CO95" s="25"/>
      <c r="CP95" s="25" t="str">
        <f>_xlfn.CONCAT($A96," ",$B96," ",$D96)</f>
        <v>2025 BMW i4 eDrive35 Gran Coupe (18'' Wheels)</v>
      </c>
      <c r="CQ95" s="25"/>
      <c r="CR95" s="25"/>
      <c r="CS95" s="25"/>
      <c r="CT95" s="25"/>
      <c r="CU95" s="25"/>
      <c r="CV95" s="25"/>
      <c r="CW95" s="25"/>
      <c r="CX95" s="25"/>
      <c r="CY95" s="25"/>
      <c r="CZ95" s="25"/>
      <c r="DA95" s="25"/>
      <c r="DB95" s="25"/>
      <c r="DC95" s="25"/>
      <c r="DD95" s="25"/>
      <c r="DE95" s="25"/>
      <c r="DF95" s="25"/>
      <c r="DG95" s="25"/>
      <c r="DH95" s="25"/>
      <c r="DI95" s="25" t="str">
        <f>_xlfn.CONCAT($A96," ",$B96," ",$D96)</f>
        <v>2025 BMW i4 eDrive35 Gran Coupe (18'' Wheels)</v>
      </c>
      <c r="DJ95" s="25"/>
      <c r="DK95" s="25"/>
      <c r="DL95" s="25"/>
      <c r="DM95" s="25"/>
      <c r="DN95" s="25"/>
      <c r="DO95" s="25"/>
      <c r="DP95" s="25"/>
      <c r="DQ95" s="25"/>
      <c r="DR95" s="25"/>
      <c r="DS95" s="25"/>
      <c r="DT95" s="25"/>
      <c r="DU95" s="25"/>
      <c r="DV95" s="25"/>
      <c r="DW95" s="25"/>
      <c r="DX95" s="25"/>
      <c r="DY95" s="25"/>
      <c r="DZ95" s="25" t="str">
        <f>_xlfn.CONCAT($A96," ",$B96," ",$D96)</f>
        <v>2025 BMW i4 eDrive35 Gran Coupe (18'' Wheels)</v>
      </c>
      <c r="EA95" s="89"/>
      <c r="EB95" s="25"/>
      <c r="EC95" s="25"/>
      <c r="ED95" s="25"/>
      <c r="EE95" s="25"/>
      <c r="EF95" s="25"/>
      <c r="EG95" s="25"/>
      <c r="EH95" s="25"/>
      <c r="EI95" s="25"/>
      <c r="EJ95" s="25"/>
      <c r="EK95" s="25"/>
      <c r="EL95" s="25"/>
      <c r="EM95" s="25"/>
      <c r="EN95" s="25"/>
      <c r="EO95" s="25"/>
      <c r="EP95" s="25"/>
      <c r="EQ95" s="25"/>
      <c r="ER95" s="25"/>
      <c r="ES95" s="25"/>
      <c r="ET95" s="25"/>
      <c r="EU95" s="25"/>
      <c r="EV95" s="25" t="str">
        <f>_xlfn.CONCAT($A96," ",$B96," ",$D96)</f>
        <v>2025 BMW i4 eDrive35 Gran Coupe (18'' Wheels)</v>
      </c>
      <c r="EW95" s="25"/>
      <c r="EX95" s="25"/>
      <c r="EY95" s="25"/>
      <c r="EZ95" s="25"/>
      <c r="FA95" s="25"/>
      <c r="FB95" s="25"/>
      <c r="FC95" s="25"/>
      <c r="FD95" s="25"/>
      <c r="FE95" s="25"/>
      <c r="FF95" s="25"/>
      <c r="FG95" s="25"/>
    </row>
    <row r="96" spans="1:165" x14ac:dyDescent="0.35">
      <c r="A96">
        <v>2025</v>
      </c>
      <c r="B96" t="s">
        <v>189</v>
      </c>
      <c r="C96" t="s">
        <v>189</v>
      </c>
      <c r="D96" t="s">
        <v>1796</v>
      </c>
      <c r="E96" t="s">
        <v>191</v>
      </c>
      <c r="F96">
        <v>430</v>
      </c>
      <c r="G96">
        <v>0</v>
      </c>
      <c r="I96" t="s">
        <v>1734</v>
      </c>
      <c r="J96">
        <v>117</v>
      </c>
      <c r="K96">
        <v>114</v>
      </c>
      <c r="L96">
        <v>116</v>
      </c>
      <c r="M96">
        <v>167</v>
      </c>
      <c r="N96">
        <v>162.80000000000001</v>
      </c>
      <c r="O96">
        <v>165.08349999999999</v>
      </c>
      <c r="P96">
        <v>116.9</v>
      </c>
      <c r="Q96">
        <v>113.96</v>
      </c>
      <c r="R96">
        <v>115.5585</v>
      </c>
      <c r="V96" t="s">
        <v>167</v>
      </c>
      <c r="W96" t="s">
        <v>168</v>
      </c>
      <c r="Y96">
        <v>1</v>
      </c>
      <c r="Z96" t="s">
        <v>170</v>
      </c>
      <c r="AA96" t="s">
        <v>170</v>
      </c>
      <c r="AB96" t="s">
        <v>171</v>
      </c>
      <c r="AC96" t="s">
        <v>172</v>
      </c>
      <c r="AF96">
        <v>266</v>
      </c>
      <c r="AG96" t="s">
        <v>1735</v>
      </c>
      <c r="AH96" t="s">
        <v>1736</v>
      </c>
      <c r="AI96" t="s">
        <v>175</v>
      </c>
      <c r="AJ96" t="s">
        <v>176</v>
      </c>
      <c r="AK96" t="s">
        <v>170</v>
      </c>
      <c r="AL96" t="s">
        <v>177</v>
      </c>
      <c r="AO96">
        <v>90</v>
      </c>
      <c r="AP96">
        <v>10</v>
      </c>
      <c r="AS96">
        <v>700</v>
      </c>
      <c r="AT96">
        <v>700</v>
      </c>
      <c r="BQ96">
        <v>4</v>
      </c>
      <c r="BR96" t="s">
        <v>521</v>
      </c>
      <c r="BS96" t="s">
        <v>180</v>
      </c>
      <c r="BT96" t="s">
        <v>1769</v>
      </c>
      <c r="BU96" s="1">
        <v>45450</v>
      </c>
      <c r="BV96">
        <v>34812</v>
      </c>
      <c r="BW96" s="155"/>
      <c r="BX96" t="s">
        <v>170</v>
      </c>
      <c r="BY96" t="s">
        <v>170</v>
      </c>
      <c r="CB96" t="s">
        <v>170</v>
      </c>
      <c r="CC96" t="s">
        <v>170</v>
      </c>
      <c r="CK96" t="s">
        <v>233</v>
      </c>
      <c r="CM96">
        <v>7</v>
      </c>
      <c r="CN96" t="s">
        <v>234</v>
      </c>
      <c r="CP96">
        <v>399</v>
      </c>
      <c r="CQ96">
        <v>210.6</v>
      </c>
      <c r="CR96">
        <v>149</v>
      </c>
      <c r="CS96" t="s">
        <v>235</v>
      </c>
      <c r="CV96" t="s">
        <v>341</v>
      </c>
      <c r="CX96" t="s">
        <v>1012</v>
      </c>
      <c r="CY96" t="s">
        <v>169</v>
      </c>
      <c r="DC96" t="s">
        <v>1797</v>
      </c>
      <c r="DD96">
        <v>1</v>
      </c>
      <c r="DE96" t="s">
        <v>404</v>
      </c>
      <c r="DF96" t="s">
        <v>405</v>
      </c>
      <c r="DG96">
        <v>250</v>
      </c>
      <c r="DL96" t="s">
        <v>170</v>
      </c>
      <c r="DM96" t="s">
        <v>169</v>
      </c>
      <c r="DP96" t="s">
        <v>170</v>
      </c>
      <c r="DQ96" t="s">
        <v>187</v>
      </c>
      <c r="EA96" s="101"/>
      <c r="EB96">
        <v>9</v>
      </c>
      <c r="EC96">
        <v>10</v>
      </c>
      <c r="EE96" t="s">
        <v>1798</v>
      </c>
      <c r="EF96">
        <v>10</v>
      </c>
      <c r="EU96">
        <v>6000</v>
      </c>
      <c r="EW96">
        <v>0</v>
      </c>
      <c r="EX96">
        <v>0</v>
      </c>
      <c r="EY96">
        <v>0</v>
      </c>
      <c r="FA96">
        <v>8</v>
      </c>
      <c r="FG96">
        <v>269</v>
      </c>
      <c r="FH96">
        <v>262</v>
      </c>
      <c r="FI96">
        <v>266</v>
      </c>
    </row>
    <row r="97" spans="1:165" x14ac:dyDescent="0.35">
      <c r="A97">
        <v>2025</v>
      </c>
      <c r="B97" t="s">
        <v>189</v>
      </c>
      <c r="C97" t="s">
        <v>189</v>
      </c>
      <c r="D97" t="s">
        <v>1796</v>
      </c>
      <c r="E97" t="s">
        <v>191</v>
      </c>
      <c r="F97">
        <v>430</v>
      </c>
      <c r="G97">
        <v>0</v>
      </c>
      <c r="I97" t="s">
        <v>1734</v>
      </c>
      <c r="J97">
        <v>29</v>
      </c>
      <c r="K97">
        <v>30</v>
      </c>
      <c r="L97">
        <v>29</v>
      </c>
      <c r="M97">
        <v>20.182099999999998</v>
      </c>
      <c r="N97">
        <v>20.698399999999999</v>
      </c>
      <c r="O97">
        <v>20.4145</v>
      </c>
      <c r="P97">
        <v>28.8323</v>
      </c>
      <c r="Q97">
        <v>29.5762</v>
      </c>
      <c r="R97">
        <v>29.167100000000001</v>
      </c>
      <c r="V97" t="s">
        <v>167</v>
      </c>
      <c r="W97" t="s">
        <v>168</v>
      </c>
      <c r="Y97">
        <v>1</v>
      </c>
      <c r="Z97" t="s">
        <v>170</v>
      </c>
      <c r="AA97" t="s">
        <v>170</v>
      </c>
      <c r="AB97" t="s">
        <v>171</v>
      </c>
      <c r="AC97" t="s">
        <v>172</v>
      </c>
      <c r="AF97">
        <v>266</v>
      </c>
      <c r="AG97" t="s">
        <v>1735</v>
      </c>
      <c r="AH97" t="s">
        <v>1736</v>
      </c>
      <c r="AI97" t="s">
        <v>1742</v>
      </c>
      <c r="AJ97" t="s">
        <v>1743</v>
      </c>
      <c r="AK97" t="s">
        <v>170</v>
      </c>
      <c r="AL97" t="s">
        <v>177</v>
      </c>
      <c r="AO97">
        <v>90</v>
      </c>
      <c r="AP97">
        <v>10</v>
      </c>
      <c r="AS97">
        <v>700</v>
      </c>
      <c r="AT97">
        <v>700</v>
      </c>
      <c r="BQ97">
        <v>4</v>
      </c>
      <c r="BR97" t="s">
        <v>521</v>
      </c>
      <c r="BS97" t="s">
        <v>180</v>
      </c>
      <c r="BT97" t="s">
        <v>1769</v>
      </c>
      <c r="BU97" s="1">
        <v>45450</v>
      </c>
      <c r="BV97">
        <v>34812</v>
      </c>
      <c r="BW97" s="155"/>
      <c r="BX97" t="s">
        <v>170</v>
      </c>
      <c r="BY97" t="s">
        <v>170</v>
      </c>
      <c r="CB97" t="s">
        <v>170</v>
      </c>
      <c r="CC97" t="s">
        <v>170</v>
      </c>
      <c r="CK97" t="s">
        <v>233</v>
      </c>
      <c r="CM97">
        <v>7</v>
      </c>
      <c r="CN97" t="s">
        <v>234</v>
      </c>
      <c r="CP97">
        <v>399</v>
      </c>
      <c r="CQ97">
        <v>210.6</v>
      </c>
      <c r="CR97">
        <v>149</v>
      </c>
      <c r="CS97" t="s">
        <v>235</v>
      </c>
      <c r="CV97" t="s">
        <v>341</v>
      </c>
      <c r="CX97" t="s">
        <v>1012</v>
      </c>
      <c r="CY97" t="s">
        <v>169</v>
      </c>
      <c r="DC97" t="s">
        <v>1797</v>
      </c>
      <c r="DD97">
        <v>1</v>
      </c>
      <c r="DE97" t="s">
        <v>404</v>
      </c>
      <c r="DF97" t="s">
        <v>405</v>
      </c>
      <c r="DG97">
        <v>250</v>
      </c>
      <c r="DL97" t="s">
        <v>170</v>
      </c>
      <c r="DM97" t="s">
        <v>169</v>
      </c>
      <c r="DP97" t="s">
        <v>170</v>
      </c>
      <c r="DQ97" t="s">
        <v>187</v>
      </c>
      <c r="EA97" s="101"/>
      <c r="EB97">
        <v>9</v>
      </c>
      <c r="EC97">
        <v>10</v>
      </c>
      <c r="EE97" t="s">
        <v>1798</v>
      </c>
      <c r="EF97">
        <v>10</v>
      </c>
      <c r="EU97">
        <v>6000</v>
      </c>
      <c r="EW97">
        <v>0</v>
      </c>
      <c r="EX97">
        <v>0</v>
      </c>
      <c r="EY97">
        <v>0</v>
      </c>
      <c r="FA97">
        <v>8</v>
      </c>
      <c r="FG97">
        <v>269</v>
      </c>
      <c r="FH97">
        <v>262</v>
      </c>
      <c r="FI97">
        <v>266</v>
      </c>
    </row>
    <row r="98" spans="1:165" x14ac:dyDescent="0.35">
      <c r="A98" s="25"/>
      <c r="B98" s="25"/>
      <c r="C98" s="25"/>
      <c r="D98" s="25"/>
      <c r="E98" s="25"/>
      <c r="F98" s="25" t="str">
        <f>_xlfn.CONCAT($A99," ",$B99," ",$D99)</f>
        <v>2025 BMW i4 eDrive35 Gran Coupe (19'' Wheels)</v>
      </c>
      <c r="G98" s="25"/>
      <c r="H98" s="25"/>
      <c r="I98" s="25"/>
      <c r="J98" s="25"/>
      <c r="K98" s="25"/>
      <c r="L98" s="25"/>
      <c r="M98" s="25"/>
      <c r="N98" s="25"/>
      <c r="O98" s="25"/>
      <c r="P98" s="25"/>
      <c r="Q98" s="25"/>
      <c r="R98" s="25"/>
      <c r="S98" s="25"/>
      <c r="T98" s="25"/>
      <c r="U98" s="25"/>
      <c r="V98" s="25"/>
      <c r="W98" s="25"/>
      <c r="X98" s="25"/>
      <c r="Y98" s="25"/>
      <c r="Z98" s="25"/>
      <c r="AA98" s="25"/>
      <c r="AB98" s="25"/>
      <c r="AC98" s="25"/>
      <c r="AD98" s="25" t="str">
        <f>_xlfn.CONCAT($A99," ",$B99," ",$D99)</f>
        <v>2025 BMW i4 eDrive35 Gran Coupe (19'' Wheels)</v>
      </c>
      <c r="AE98" s="25"/>
      <c r="AF98" s="25"/>
      <c r="AG98" s="25"/>
      <c r="AH98" s="25"/>
      <c r="AI98" s="25"/>
      <c r="AJ98" s="25"/>
      <c r="AK98" s="25"/>
      <c r="AL98" s="25"/>
      <c r="AM98" s="25"/>
      <c r="AN98" s="25"/>
      <c r="AO98" s="25"/>
      <c r="AP98" s="25"/>
      <c r="AQ98" s="25"/>
      <c r="AR98" s="25"/>
      <c r="AS98" s="25"/>
      <c r="AT98" s="25"/>
      <c r="AU98" s="25"/>
      <c r="AV98" s="25"/>
      <c r="AW98" s="25"/>
      <c r="AX98" s="25" t="str">
        <f>_xlfn.CONCAT($A99," ",$B99," ",$D99)</f>
        <v>2025 BMW i4 eDrive35 Gran Coupe (19'' Wheels)</v>
      </c>
      <c r="AY98" s="25"/>
      <c r="AZ98" s="25"/>
      <c r="BA98" s="25"/>
      <c r="BB98" s="25"/>
      <c r="BC98" s="25"/>
      <c r="BD98" s="25"/>
      <c r="BE98" s="25"/>
      <c r="BF98" s="25"/>
      <c r="BG98" s="25"/>
      <c r="BH98" s="25"/>
      <c r="BI98" s="25"/>
      <c r="BJ98" s="25"/>
      <c r="BK98" s="25"/>
      <c r="BL98" s="25"/>
      <c r="BM98" s="25"/>
      <c r="BN98" s="25"/>
      <c r="BO98" s="25"/>
      <c r="BP98" s="25"/>
      <c r="BQ98" s="25"/>
      <c r="BR98" s="25" t="str">
        <f>_xlfn.CONCAT($A99," ",$B99," ",$D99)</f>
        <v>2025 BMW i4 eDrive35 Gran Coupe (19'' Wheels)</v>
      </c>
      <c r="BS98" s="25"/>
      <c r="BT98" s="25"/>
      <c r="BU98" s="25"/>
      <c r="BV98" s="25"/>
      <c r="BW98" s="156"/>
      <c r="BX98" s="25"/>
      <c r="BY98" s="25"/>
      <c r="BZ98" s="25"/>
      <c r="CA98" s="25"/>
      <c r="CB98" s="25"/>
      <c r="CC98" s="25"/>
      <c r="CD98" s="25"/>
      <c r="CE98" s="25"/>
      <c r="CF98" s="25"/>
      <c r="CG98" s="25"/>
      <c r="CH98" s="25"/>
      <c r="CI98" s="25"/>
      <c r="CJ98" s="25"/>
      <c r="CK98" s="25"/>
      <c r="CL98" s="25"/>
      <c r="CM98" s="25"/>
      <c r="CN98" s="25"/>
      <c r="CO98" s="25"/>
      <c r="CP98" s="25" t="str">
        <f>_xlfn.CONCAT($A99," ",$B99," ",$D99)</f>
        <v>2025 BMW i4 eDrive35 Gran Coupe (19'' Wheels)</v>
      </c>
      <c r="CQ98" s="25"/>
      <c r="CR98" s="25"/>
      <c r="CS98" s="25"/>
      <c r="CT98" s="25"/>
      <c r="CU98" s="25"/>
      <c r="CV98" s="25"/>
      <c r="CW98" s="25"/>
      <c r="CX98" s="25"/>
      <c r="CY98" s="25"/>
      <c r="CZ98" s="25"/>
      <c r="DA98" s="25"/>
      <c r="DB98" s="25"/>
      <c r="DC98" s="25"/>
      <c r="DD98" s="25"/>
      <c r="DE98" s="25"/>
      <c r="DF98" s="25"/>
      <c r="DG98" s="25"/>
      <c r="DH98" s="25"/>
      <c r="DI98" s="25" t="str">
        <f>_xlfn.CONCAT($A99," ",$B99," ",$D99)</f>
        <v>2025 BMW i4 eDrive35 Gran Coupe (19'' Wheels)</v>
      </c>
      <c r="DJ98" s="25"/>
      <c r="DK98" s="25"/>
      <c r="DL98" s="25"/>
      <c r="DM98" s="25"/>
      <c r="DN98" s="25"/>
      <c r="DO98" s="25"/>
      <c r="DP98" s="25"/>
      <c r="DQ98" s="25"/>
      <c r="DR98" s="25"/>
      <c r="DS98" s="25"/>
      <c r="DT98" s="25"/>
      <c r="DU98" s="25"/>
      <c r="DV98" s="25"/>
      <c r="DW98" s="25"/>
      <c r="DX98" s="25"/>
      <c r="DY98" s="25"/>
      <c r="DZ98" s="25" t="str">
        <f>_xlfn.CONCAT($A99," ",$B99," ",$D99)</f>
        <v>2025 BMW i4 eDrive35 Gran Coupe (19'' Wheels)</v>
      </c>
      <c r="EA98" s="89"/>
      <c r="EB98" s="25"/>
      <c r="EC98" s="25"/>
      <c r="ED98" s="25"/>
      <c r="EE98" s="25"/>
      <c r="EF98" s="25"/>
      <c r="EG98" s="25"/>
      <c r="EH98" s="25"/>
      <c r="EI98" s="25"/>
      <c r="EJ98" s="25"/>
      <c r="EK98" s="25"/>
      <c r="EL98" s="25"/>
      <c r="EM98" s="25"/>
      <c r="EN98" s="25"/>
      <c r="EO98" s="25"/>
      <c r="EP98" s="25"/>
      <c r="EQ98" s="25"/>
      <c r="ER98" s="25"/>
      <c r="ES98" s="25"/>
      <c r="ET98" s="25"/>
      <c r="EU98" s="25"/>
      <c r="EV98" s="25" t="str">
        <f>_xlfn.CONCAT($A99," ",$B99," ",$D99)</f>
        <v>2025 BMW i4 eDrive35 Gran Coupe (19'' Wheels)</v>
      </c>
      <c r="EW98" s="25"/>
      <c r="EX98" s="25"/>
      <c r="EY98" s="25"/>
      <c r="EZ98" s="25"/>
      <c r="FA98" s="25"/>
      <c r="FB98" s="25"/>
      <c r="FC98" s="25"/>
      <c r="FD98" s="25"/>
      <c r="FE98" s="25"/>
      <c r="FF98" s="25"/>
      <c r="FG98" s="25"/>
    </row>
    <row r="99" spans="1:165" x14ac:dyDescent="0.35">
      <c r="A99">
        <v>2025</v>
      </c>
      <c r="B99" t="s">
        <v>189</v>
      </c>
      <c r="C99" t="s">
        <v>189</v>
      </c>
      <c r="D99" t="s">
        <v>1799</v>
      </c>
      <c r="E99" t="s">
        <v>191</v>
      </c>
      <c r="F99">
        <v>431</v>
      </c>
      <c r="G99">
        <v>0</v>
      </c>
      <c r="I99" t="s">
        <v>1734</v>
      </c>
      <c r="J99">
        <v>108</v>
      </c>
      <c r="K99">
        <v>104</v>
      </c>
      <c r="L99">
        <v>106</v>
      </c>
      <c r="M99">
        <v>154.6</v>
      </c>
      <c r="N99">
        <v>148.4</v>
      </c>
      <c r="O99">
        <v>151.74709999999999</v>
      </c>
      <c r="P99">
        <v>108.22</v>
      </c>
      <c r="Q99">
        <v>103.88</v>
      </c>
      <c r="R99">
        <v>106.223</v>
      </c>
      <c r="V99" t="s">
        <v>167</v>
      </c>
      <c r="W99" t="s">
        <v>168</v>
      </c>
      <c r="Y99">
        <v>1</v>
      </c>
      <c r="Z99" t="s">
        <v>170</v>
      </c>
      <c r="AA99" t="s">
        <v>170</v>
      </c>
      <c r="AB99" t="s">
        <v>171</v>
      </c>
      <c r="AC99" t="s">
        <v>172</v>
      </c>
      <c r="AF99">
        <v>244</v>
      </c>
      <c r="AG99" t="s">
        <v>1735</v>
      </c>
      <c r="AH99" t="s">
        <v>1736</v>
      </c>
      <c r="AI99" t="s">
        <v>175</v>
      </c>
      <c r="AJ99" t="s">
        <v>176</v>
      </c>
      <c r="AK99" t="s">
        <v>170</v>
      </c>
      <c r="AL99" t="s">
        <v>177</v>
      </c>
      <c r="AO99">
        <v>90</v>
      </c>
      <c r="AP99">
        <v>10</v>
      </c>
      <c r="AS99">
        <v>750</v>
      </c>
      <c r="AT99">
        <v>750</v>
      </c>
      <c r="BQ99">
        <v>4</v>
      </c>
      <c r="BR99" t="s">
        <v>521</v>
      </c>
      <c r="BS99" t="s">
        <v>180</v>
      </c>
      <c r="BT99" t="s">
        <v>1769</v>
      </c>
      <c r="BU99" s="1">
        <v>45450</v>
      </c>
      <c r="BV99">
        <v>34814</v>
      </c>
      <c r="BW99" s="155"/>
      <c r="BX99" t="s">
        <v>169</v>
      </c>
      <c r="BY99" t="s">
        <v>170</v>
      </c>
      <c r="CB99" t="s">
        <v>170</v>
      </c>
      <c r="CC99" t="s">
        <v>170</v>
      </c>
      <c r="CK99" t="s">
        <v>233</v>
      </c>
      <c r="CM99">
        <v>7</v>
      </c>
      <c r="CN99" t="s">
        <v>234</v>
      </c>
      <c r="CP99">
        <v>399</v>
      </c>
      <c r="CQ99">
        <v>210.6</v>
      </c>
      <c r="CR99">
        <v>149</v>
      </c>
      <c r="CS99" t="s">
        <v>235</v>
      </c>
      <c r="CV99" t="s">
        <v>341</v>
      </c>
      <c r="CX99" t="s">
        <v>1012</v>
      </c>
      <c r="CY99" t="s">
        <v>169</v>
      </c>
      <c r="DC99" t="s">
        <v>1797</v>
      </c>
      <c r="DD99">
        <v>1</v>
      </c>
      <c r="DE99" t="s">
        <v>404</v>
      </c>
      <c r="DF99" t="s">
        <v>405</v>
      </c>
      <c r="DG99">
        <v>250</v>
      </c>
      <c r="DL99" t="s">
        <v>170</v>
      </c>
      <c r="DM99" t="s">
        <v>169</v>
      </c>
      <c r="DP99" t="s">
        <v>170</v>
      </c>
      <c r="DQ99" t="s">
        <v>187</v>
      </c>
      <c r="EA99" s="101"/>
      <c r="EB99">
        <v>9</v>
      </c>
      <c r="EC99">
        <v>10</v>
      </c>
      <c r="EE99" t="s">
        <v>1798</v>
      </c>
      <c r="EF99">
        <v>10</v>
      </c>
      <c r="EU99">
        <v>5750</v>
      </c>
      <c r="EW99">
        <v>0</v>
      </c>
      <c r="EX99">
        <v>0</v>
      </c>
      <c r="EY99">
        <v>0</v>
      </c>
      <c r="FA99">
        <v>8</v>
      </c>
      <c r="FG99">
        <v>248</v>
      </c>
      <c r="FH99">
        <v>239</v>
      </c>
      <c r="FI99">
        <v>244</v>
      </c>
    </row>
    <row r="100" spans="1:165" x14ac:dyDescent="0.35">
      <c r="A100">
        <v>2025</v>
      </c>
      <c r="B100" t="s">
        <v>189</v>
      </c>
      <c r="C100" t="s">
        <v>189</v>
      </c>
      <c r="D100" t="s">
        <v>1799</v>
      </c>
      <c r="E100" t="s">
        <v>191</v>
      </c>
      <c r="F100">
        <v>431</v>
      </c>
      <c r="G100">
        <v>0</v>
      </c>
      <c r="I100" t="s">
        <v>1734</v>
      </c>
      <c r="J100">
        <v>31</v>
      </c>
      <c r="K100">
        <v>32</v>
      </c>
      <c r="L100">
        <v>32</v>
      </c>
      <c r="M100">
        <v>21.796399999999998</v>
      </c>
      <c r="N100">
        <v>22.7194</v>
      </c>
      <c r="O100">
        <v>22.2118</v>
      </c>
      <c r="P100">
        <v>31.1449</v>
      </c>
      <c r="Q100">
        <v>32.446100000000001</v>
      </c>
      <c r="R100">
        <v>31.730399999999999</v>
      </c>
      <c r="V100" t="s">
        <v>167</v>
      </c>
      <c r="W100" t="s">
        <v>168</v>
      </c>
      <c r="Y100">
        <v>1</v>
      </c>
      <c r="Z100" t="s">
        <v>170</v>
      </c>
      <c r="AA100" t="s">
        <v>170</v>
      </c>
      <c r="AB100" t="s">
        <v>171</v>
      </c>
      <c r="AC100" t="s">
        <v>172</v>
      </c>
      <c r="AF100">
        <v>244</v>
      </c>
      <c r="AG100" t="s">
        <v>1735</v>
      </c>
      <c r="AH100" t="s">
        <v>1736</v>
      </c>
      <c r="AI100" t="s">
        <v>1742</v>
      </c>
      <c r="AJ100" t="s">
        <v>1743</v>
      </c>
      <c r="AK100" t="s">
        <v>170</v>
      </c>
      <c r="AL100" t="s">
        <v>177</v>
      </c>
      <c r="AO100">
        <v>90</v>
      </c>
      <c r="AP100">
        <v>10</v>
      </c>
      <c r="AS100">
        <v>750</v>
      </c>
      <c r="AT100">
        <v>750</v>
      </c>
      <c r="BQ100">
        <v>4</v>
      </c>
      <c r="BR100" t="s">
        <v>521</v>
      </c>
      <c r="BS100" t="s">
        <v>180</v>
      </c>
      <c r="BT100" t="s">
        <v>1769</v>
      </c>
      <c r="BU100" s="1">
        <v>45450</v>
      </c>
      <c r="BV100">
        <v>34814</v>
      </c>
      <c r="BW100" s="155"/>
      <c r="BX100" t="s">
        <v>169</v>
      </c>
      <c r="BY100" t="s">
        <v>170</v>
      </c>
      <c r="CB100" t="s">
        <v>170</v>
      </c>
      <c r="CC100" t="s">
        <v>170</v>
      </c>
      <c r="CK100" t="s">
        <v>233</v>
      </c>
      <c r="CM100">
        <v>7</v>
      </c>
      <c r="CN100" t="s">
        <v>234</v>
      </c>
      <c r="CP100">
        <v>399</v>
      </c>
      <c r="CQ100">
        <v>210.6</v>
      </c>
      <c r="CR100">
        <v>149</v>
      </c>
      <c r="CS100" t="s">
        <v>235</v>
      </c>
      <c r="CV100" t="s">
        <v>341</v>
      </c>
      <c r="CX100" t="s">
        <v>1012</v>
      </c>
      <c r="CY100" t="s">
        <v>169</v>
      </c>
      <c r="DC100" t="s">
        <v>1797</v>
      </c>
      <c r="DD100">
        <v>1</v>
      </c>
      <c r="DE100" t="s">
        <v>404</v>
      </c>
      <c r="DF100" t="s">
        <v>405</v>
      </c>
      <c r="DG100">
        <v>250</v>
      </c>
      <c r="DL100" t="s">
        <v>170</v>
      </c>
      <c r="DM100" t="s">
        <v>169</v>
      </c>
      <c r="DP100" t="s">
        <v>170</v>
      </c>
      <c r="DQ100" t="s">
        <v>187</v>
      </c>
      <c r="EA100" s="101"/>
      <c r="EB100">
        <v>9</v>
      </c>
      <c r="EC100">
        <v>10</v>
      </c>
      <c r="EE100" t="s">
        <v>1798</v>
      </c>
      <c r="EF100">
        <v>10</v>
      </c>
      <c r="EU100">
        <v>5750</v>
      </c>
      <c r="EW100">
        <v>0</v>
      </c>
      <c r="EX100">
        <v>0</v>
      </c>
      <c r="EY100">
        <v>0</v>
      </c>
      <c r="FA100">
        <v>8</v>
      </c>
      <c r="FG100">
        <v>248</v>
      </c>
      <c r="FH100">
        <v>239</v>
      </c>
      <c r="FI100">
        <v>244</v>
      </c>
    </row>
    <row r="101" spans="1:165" x14ac:dyDescent="0.35">
      <c r="A101" s="25"/>
      <c r="B101" s="25"/>
      <c r="C101" s="25"/>
      <c r="D101" s="25"/>
      <c r="E101" s="25"/>
      <c r="F101" s="25" t="str">
        <f>_xlfn.CONCAT($A102," ",$B102," ",$D102)</f>
        <v>2025 BMW i4 eDrive40 Gran Coupe (18'' Wheels)</v>
      </c>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t="str">
        <f>_xlfn.CONCAT($A102," ",$B102," ",$D102)</f>
        <v>2025 BMW i4 eDrive40 Gran Coupe (18'' Wheels)</v>
      </c>
      <c r="AE101" s="25"/>
      <c r="AF101" s="25"/>
      <c r="AG101" s="25"/>
      <c r="AH101" s="25"/>
      <c r="AI101" s="25"/>
      <c r="AJ101" s="25"/>
      <c r="AK101" s="25"/>
      <c r="AL101" s="25"/>
      <c r="AM101" s="25"/>
      <c r="AN101" s="25"/>
      <c r="AO101" s="25"/>
      <c r="AP101" s="25"/>
      <c r="AQ101" s="25"/>
      <c r="AR101" s="25"/>
      <c r="AS101" s="25"/>
      <c r="AT101" s="25"/>
      <c r="AU101" s="25"/>
      <c r="AV101" s="25"/>
      <c r="AW101" s="25"/>
      <c r="AX101" s="25" t="str">
        <f>_xlfn.CONCAT($A102," ",$B102," ",$D102)</f>
        <v>2025 BMW i4 eDrive40 Gran Coupe (18'' Wheels)</v>
      </c>
      <c r="AY101" s="25"/>
      <c r="AZ101" s="25"/>
      <c r="BA101" s="25"/>
      <c r="BB101" s="25"/>
      <c r="BC101" s="25"/>
      <c r="BD101" s="25"/>
      <c r="BE101" s="25"/>
      <c r="BF101" s="25"/>
      <c r="BG101" s="25"/>
      <c r="BH101" s="25"/>
      <c r="BI101" s="25"/>
      <c r="BJ101" s="25"/>
      <c r="BK101" s="25"/>
      <c r="BL101" s="25"/>
      <c r="BM101" s="25"/>
      <c r="BN101" s="25"/>
      <c r="BO101" s="25"/>
      <c r="BP101" s="25"/>
      <c r="BQ101" s="25"/>
      <c r="BR101" s="25" t="str">
        <f>_xlfn.CONCAT($A102," ",$B102," ",$D102)</f>
        <v>2025 BMW i4 eDrive40 Gran Coupe (18'' Wheels)</v>
      </c>
      <c r="BS101" s="25"/>
      <c r="BT101" s="25"/>
      <c r="BU101" s="25"/>
      <c r="BV101" s="25"/>
      <c r="BW101" s="156"/>
      <c r="BX101" s="25"/>
      <c r="BY101" s="25"/>
      <c r="BZ101" s="25"/>
      <c r="CA101" s="25"/>
      <c r="CB101" s="25"/>
      <c r="CC101" s="25"/>
      <c r="CD101" s="25"/>
      <c r="CE101" s="25"/>
      <c r="CF101" s="25"/>
      <c r="CG101" s="25"/>
      <c r="CH101" s="25"/>
      <c r="CI101" s="25"/>
      <c r="CJ101" s="25"/>
      <c r="CK101" s="25"/>
      <c r="CL101" s="25"/>
      <c r="CM101" s="25"/>
      <c r="CN101" s="25"/>
      <c r="CO101" s="25"/>
      <c r="CP101" s="25" t="str">
        <f>_xlfn.CONCAT($A102," ",$B102," ",$D102)</f>
        <v>2025 BMW i4 eDrive40 Gran Coupe (18'' Wheels)</v>
      </c>
      <c r="CQ101" s="25"/>
      <c r="CR101" s="25"/>
      <c r="CS101" s="25"/>
      <c r="CT101" s="25"/>
      <c r="CU101" s="25"/>
      <c r="CV101" s="25"/>
      <c r="CW101" s="25"/>
      <c r="CX101" s="25"/>
      <c r="CY101" s="25"/>
      <c r="CZ101" s="25"/>
      <c r="DA101" s="25"/>
      <c r="DB101" s="25"/>
      <c r="DC101" s="25"/>
      <c r="DD101" s="25"/>
      <c r="DE101" s="25"/>
      <c r="DF101" s="25"/>
      <c r="DG101" s="25"/>
      <c r="DH101" s="25"/>
      <c r="DI101" s="25" t="str">
        <f>_xlfn.CONCAT($A102," ",$B102," ",$D102)</f>
        <v>2025 BMW i4 eDrive40 Gran Coupe (18'' Wheels)</v>
      </c>
      <c r="DJ101" s="25"/>
      <c r="DK101" s="25"/>
      <c r="DL101" s="25"/>
      <c r="DM101" s="25"/>
      <c r="DN101" s="25"/>
      <c r="DO101" s="25"/>
      <c r="DP101" s="25"/>
      <c r="DQ101" s="25"/>
      <c r="DR101" s="25"/>
      <c r="DS101" s="25"/>
      <c r="DT101" s="25"/>
      <c r="DU101" s="25"/>
      <c r="DV101" s="25"/>
      <c r="DW101" s="25"/>
      <c r="DX101" s="25"/>
      <c r="DY101" s="25"/>
      <c r="DZ101" s="25" t="str">
        <f>_xlfn.CONCAT($A102," ",$B102," ",$D102)</f>
        <v>2025 BMW i4 eDrive40 Gran Coupe (18'' Wheels)</v>
      </c>
      <c r="EA101" s="89"/>
      <c r="EB101" s="25"/>
      <c r="EC101" s="25"/>
      <c r="ED101" s="25"/>
      <c r="EE101" s="25"/>
      <c r="EF101" s="25"/>
      <c r="EG101" s="25"/>
      <c r="EH101" s="25"/>
      <c r="EI101" s="25"/>
      <c r="EJ101" s="25"/>
      <c r="EK101" s="25"/>
      <c r="EL101" s="25"/>
      <c r="EM101" s="25"/>
      <c r="EN101" s="25"/>
      <c r="EO101" s="25"/>
      <c r="EP101" s="25"/>
      <c r="EQ101" s="25"/>
      <c r="ER101" s="25"/>
      <c r="ES101" s="25"/>
      <c r="ET101" s="25"/>
      <c r="EU101" s="25"/>
      <c r="EV101" s="25" t="str">
        <f>_xlfn.CONCAT($A102," ",$B102," ",$D102)</f>
        <v>2025 BMW i4 eDrive40 Gran Coupe (18'' Wheels)</v>
      </c>
      <c r="EW101" s="25"/>
      <c r="EX101" s="25"/>
      <c r="EY101" s="25"/>
      <c r="EZ101" s="25"/>
      <c r="FA101" s="25"/>
      <c r="FB101" s="25"/>
      <c r="FC101" s="25"/>
      <c r="FD101" s="25"/>
      <c r="FE101" s="25"/>
      <c r="FF101" s="25"/>
      <c r="FG101" s="25"/>
    </row>
    <row r="102" spans="1:165" x14ac:dyDescent="0.35">
      <c r="A102">
        <v>2025</v>
      </c>
      <c r="B102" t="s">
        <v>189</v>
      </c>
      <c r="C102" t="s">
        <v>189</v>
      </c>
      <c r="D102" t="s">
        <v>1800</v>
      </c>
      <c r="E102" t="s">
        <v>191</v>
      </c>
      <c r="F102">
        <v>440</v>
      </c>
      <c r="G102">
        <v>0</v>
      </c>
      <c r="I102" t="s">
        <v>1734</v>
      </c>
      <c r="J102">
        <v>113</v>
      </c>
      <c r="K102">
        <v>111</v>
      </c>
      <c r="L102">
        <v>112</v>
      </c>
      <c r="M102">
        <v>160.9</v>
      </c>
      <c r="N102">
        <v>158.19999999999999</v>
      </c>
      <c r="O102">
        <v>159.6737</v>
      </c>
      <c r="P102">
        <v>112.63</v>
      </c>
      <c r="Q102">
        <v>110.74</v>
      </c>
      <c r="R102">
        <v>111.77160000000001</v>
      </c>
      <c r="V102" t="s">
        <v>167</v>
      </c>
      <c r="W102" t="s">
        <v>168</v>
      </c>
      <c r="Y102">
        <v>1</v>
      </c>
      <c r="Z102" t="s">
        <v>170</v>
      </c>
      <c r="AA102" t="s">
        <v>170</v>
      </c>
      <c r="AB102" t="s">
        <v>171</v>
      </c>
      <c r="AC102" t="s">
        <v>172</v>
      </c>
      <c r="AF102">
        <v>318</v>
      </c>
      <c r="AG102" t="s">
        <v>1735</v>
      </c>
      <c r="AH102" t="s">
        <v>1736</v>
      </c>
      <c r="AI102" t="s">
        <v>175</v>
      </c>
      <c r="AJ102" t="s">
        <v>176</v>
      </c>
      <c r="AK102" t="s">
        <v>170</v>
      </c>
      <c r="AL102" t="s">
        <v>177</v>
      </c>
      <c r="AO102">
        <v>90</v>
      </c>
      <c r="AP102">
        <v>10</v>
      </c>
      <c r="AS102">
        <v>700</v>
      </c>
      <c r="AT102">
        <v>700</v>
      </c>
      <c r="BQ102">
        <v>4</v>
      </c>
      <c r="BR102" t="s">
        <v>521</v>
      </c>
      <c r="BS102" t="s">
        <v>180</v>
      </c>
      <c r="BT102" t="s">
        <v>1769</v>
      </c>
      <c r="BU102" s="1">
        <v>45450</v>
      </c>
      <c r="BV102">
        <v>34815</v>
      </c>
      <c r="BW102" s="155"/>
      <c r="BX102" t="s">
        <v>170</v>
      </c>
      <c r="BY102" t="s">
        <v>170</v>
      </c>
      <c r="CB102" t="s">
        <v>170</v>
      </c>
      <c r="CC102" t="s">
        <v>170</v>
      </c>
      <c r="CK102" t="s">
        <v>233</v>
      </c>
      <c r="CM102">
        <v>7</v>
      </c>
      <c r="CN102" t="s">
        <v>234</v>
      </c>
      <c r="CP102">
        <v>399</v>
      </c>
      <c r="CQ102">
        <v>210.6</v>
      </c>
      <c r="CR102">
        <v>149</v>
      </c>
      <c r="CS102" t="s">
        <v>235</v>
      </c>
      <c r="CV102" t="s">
        <v>341</v>
      </c>
      <c r="CX102" t="s">
        <v>1012</v>
      </c>
      <c r="CY102" t="s">
        <v>169</v>
      </c>
      <c r="DC102" t="s">
        <v>1797</v>
      </c>
      <c r="DD102">
        <v>1</v>
      </c>
      <c r="DE102" t="s">
        <v>404</v>
      </c>
      <c r="DF102" t="s">
        <v>405</v>
      </c>
      <c r="DG102">
        <v>250</v>
      </c>
      <c r="DL102" t="s">
        <v>170</v>
      </c>
      <c r="DM102" t="s">
        <v>169</v>
      </c>
      <c r="DP102" t="s">
        <v>170</v>
      </c>
      <c r="DQ102" t="s">
        <v>187</v>
      </c>
      <c r="EA102" s="101"/>
      <c r="EB102">
        <v>9</v>
      </c>
      <c r="EC102">
        <v>10</v>
      </c>
      <c r="EE102" t="s">
        <v>1798</v>
      </c>
      <c r="EF102">
        <v>10</v>
      </c>
      <c r="EU102">
        <v>6000</v>
      </c>
      <c r="EW102">
        <v>0</v>
      </c>
      <c r="EX102">
        <v>0</v>
      </c>
      <c r="EY102">
        <v>0</v>
      </c>
      <c r="FA102">
        <v>10</v>
      </c>
      <c r="FG102">
        <v>320</v>
      </c>
      <c r="FH102">
        <v>315</v>
      </c>
      <c r="FI102">
        <v>318</v>
      </c>
    </row>
    <row r="103" spans="1:165" x14ac:dyDescent="0.35">
      <c r="A103">
        <v>2025</v>
      </c>
      <c r="B103" t="s">
        <v>189</v>
      </c>
      <c r="C103" t="s">
        <v>189</v>
      </c>
      <c r="D103" t="s">
        <v>1800</v>
      </c>
      <c r="E103" t="s">
        <v>191</v>
      </c>
      <c r="F103">
        <v>440</v>
      </c>
      <c r="G103">
        <v>0</v>
      </c>
      <c r="I103" t="s">
        <v>1734</v>
      </c>
      <c r="J103">
        <v>30</v>
      </c>
      <c r="K103">
        <v>30</v>
      </c>
      <c r="L103">
        <v>30</v>
      </c>
      <c r="M103">
        <v>20.949400000000001</v>
      </c>
      <c r="N103">
        <v>21.302199999999999</v>
      </c>
      <c r="O103">
        <v>21.1082</v>
      </c>
      <c r="P103">
        <v>29.9254</v>
      </c>
      <c r="Q103">
        <v>30.436199999999999</v>
      </c>
      <c r="R103">
        <v>30.155200000000001</v>
      </c>
      <c r="V103" t="s">
        <v>167</v>
      </c>
      <c r="W103" t="s">
        <v>168</v>
      </c>
      <c r="Y103">
        <v>1</v>
      </c>
      <c r="Z103" t="s">
        <v>170</v>
      </c>
      <c r="AA103" t="s">
        <v>170</v>
      </c>
      <c r="AB103" t="s">
        <v>171</v>
      </c>
      <c r="AC103" t="s">
        <v>172</v>
      </c>
      <c r="AF103">
        <v>318</v>
      </c>
      <c r="AG103" t="s">
        <v>1735</v>
      </c>
      <c r="AH103" t="s">
        <v>1736</v>
      </c>
      <c r="AI103" t="s">
        <v>1742</v>
      </c>
      <c r="AJ103" t="s">
        <v>1743</v>
      </c>
      <c r="AK103" t="s">
        <v>170</v>
      </c>
      <c r="AL103" t="s">
        <v>177</v>
      </c>
      <c r="AO103">
        <v>90</v>
      </c>
      <c r="AP103">
        <v>10</v>
      </c>
      <c r="AS103">
        <v>700</v>
      </c>
      <c r="AT103">
        <v>700</v>
      </c>
      <c r="BQ103">
        <v>4</v>
      </c>
      <c r="BR103" t="s">
        <v>521</v>
      </c>
      <c r="BS103" t="s">
        <v>180</v>
      </c>
      <c r="BT103" t="s">
        <v>1769</v>
      </c>
      <c r="BU103" s="1">
        <v>45450</v>
      </c>
      <c r="BV103">
        <v>34815</v>
      </c>
      <c r="BW103" s="155"/>
      <c r="BX103" t="s">
        <v>170</v>
      </c>
      <c r="BY103" t="s">
        <v>170</v>
      </c>
      <c r="CB103" t="s">
        <v>170</v>
      </c>
      <c r="CC103" t="s">
        <v>170</v>
      </c>
      <c r="CK103" t="s">
        <v>233</v>
      </c>
      <c r="CM103">
        <v>7</v>
      </c>
      <c r="CN103" t="s">
        <v>234</v>
      </c>
      <c r="CP103">
        <v>399</v>
      </c>
      <c r="CQ103">
        <v>210.6</v>
      </c>
      <c r="CR103">
        <v>149</v>
      </c>
      <c r="CS103" t="s">
        <v>235</v>
      </c>
      <c r="CV103" t="s">
        <v>341</v>
      </c>
      <c r="CX103" t="s">
        <v>1012</v>
      </c>
      <c r="CY103" t="s">
        <v>169</v>
      </c>
      <c r="DC103" t="s">
        <v>1797</v>
      </c>
      <c r="DD103">
        <v>1</v>
      </c>
      <c r="DE103" t="s">
        <v>404</v>
      </c>
      <c r="DF103" t="s">
        <v>405</v>
      </c>
      <c r="DG103">
        <v>250</v>
      </c>
      <c r="DL103" t="s">
        <v>170</v>
      </c>
      <c r="DM103" t="s">
        <v>169</v>
      </c>
      <c r="DP103" t="s">
        <v>170</v>
      </c>
      <c r="DQ103" t="s">
        <v>187</v>
      </c>
      <c r="EA103" s="101"/>
      <c r="EB103">
        <v>9</v>
      </c>
      <c r="EC103">
        <v>10</v>
      </c>
      <c r="EE103" t="s">
        <v>1798</v>
      </c>
      <c r="EF103">
        <v>10</v>
      </c>
      <c r="EU103">
        <v>6000</v>
      </c>
      <c r="EW103">
        <v>0</v>
      </c>
      <c r="EX103">
        <v>0</v>
      </c>
      <c r="EY103">
        <v>0</v>
      </c>
      <c r="FA103">
        <v>10</v>
      </c>
      <c r="FG103">
        <v>320</v>
      </c>
      <c r="FH103">
        <v>315</v>
      </c>
      <c r="FI103">
        <v>318</v>
      </c>
    </row>
    <row r="104" spans="1:165" x14ac:dyDescent="0.35">
      <c r="A104" s="25"/>
      <c r="B104" s="25"/>
      <c r="C104" s="25"/>
      <c r="D104" s="25"/>
      <c r="E104" s="25"/>
      <c r="F104" s="25" t="str">
        <f>_xlfn.CONCAT($A105," ",$B105," ",$D105)</f>
        <v>2025 BMW i4 eDrive40 Gran Coupe (19'' Wheels)</v>
      </c>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t="str">
        <f>_xlfn.CONCAT($A105," ",$B105," ",$D105)</f>
        <v>2025 BMW i4 eDrive40 Gran Coupe (19'' Wheels)</v>
      </c>
      <c r="AE104" s="25"/>
      <c r="AF104" s="25"/>
      <c r="AG104" s="25"/>
      <c r="AH104" s="25"/>
      <c r="AI104" s="25"/>
      <c r="AJ104" s="25"/>
      <c r="AK104" s="25"/>
      <c r="AL104" s="25"/>
      <c r="AM104" s="25"/>
      <c r="AN104" s="25"/>
      <c r="AO104" s="25"/>
      <c r="AP104" s="25"/>
      <c r="AQ104" s="25"/>
      <c r="AR104" s="25"/>
      <c r="AS104" s="25"/>
      <c r="AT104" s="25"/>
      <c r="AU104" s="25"/>
      <c r="AV104" s="25"/>
      <c r="AW104" s="25"/>
      <c r="AX104" s="25" t="str">
        <f>_xlfn.CONCAT($A105," ",$B105," ",$D105)</f>
        <v>2025 BMW i4 eDrive40 Gran Coupe (19'' Wheels)</v>
      </c>
      <c r="AY104" s="25"/>
      <c r="AZ104" s="25"/>
      <c r="BA104" s="25"/>
      <c r="BB104" s="25"/>
      <c r="BC104" s="25"/>
      <c r="BD104" s="25"/>
      <c r="BE104" s="25"/>
      <c r="BF104" s="25"/>
      <c r="BG104" s="25"/>
      <c r="BH104" s="25"/>
      <c r="BI104" s="25"/>
      <c r="BJ104" s="25"/>
      <c r="BK104" s="25"/>
      <c r="BL104" s="25"/>
      <c r="BM104" s="25"/>
      <c r="BN104" s="25"/>
      <c r="BO104" s="25"/>
      <c r="BP104" s="25"/>
      <c r="BQ104" s="25"/>
      <c r="BR104" s="25" t="str">
        <f>_xlfn.CONCAT($A105," ",$B105," ",$D105)</f>
        <v>2025 BMW i4 eDrive40 Gran Coupe (19'' Wheels)</v>
      </c>
      <c r="BS104" s="25"/>
      <c r="BT104" s="25"/>
      <c r="BU104" s="25"/>
      <c r="BV104" s="25"/>
      <c r="BW104" s="156"/>
      <c r="BX104" s="25"/>
      <c r="BY104" s="25"/>
      <c r="BZ104" s="25"/>
      <c r="CA104" s="25"/>
      <c r="CB104" s="25"/>
      <c r="CC104" s="25"/>
      <c r="CD104" s="25"/>
      <c r="CE104" s="25"/>
      <c r="CF104" s="25"/>
      <c r="CG104" s="25"/>
      <c r="CH104" s="25"/>
      <c r="CI104" s="25"/>
      <c r="CJ104" s="25"/>
      <c r="CK104" s="25"/>
      <c r="CL104" s="25"/>
      <c r="CM104" s="25"/>
      <c r="CN104" s="25"/>
      <c r="CO104" s="25"/>
      <c r="CP104" s="25" t="str">
        <f>_xlfn.CONCAT($A105," ",$B105," ",$D105)</f>
        <v>2025 BMW i4 eDrive40 Gran Coupe (19'' Wheels)</v>
      </c>
      <c r="CQ104" s="25"/>
      <c r="CR104" s="25"/>
      <c r="CS104" s="25"/>
      <c r="CT104" s="25"/>
      <c r="CU104" s="25"/>
      <c r="CV104" s="25"/>
      <c r="CW104" s="25"/>
      <c r="CX104" s="25"/>
      <c r="CY104" s="25"/>
      <c r="CZ104" s="25"/>
      <c r="DA104" s="25"/>
      <c r="DB104" s="25"/>
      <c r="DC104" s="25"/>
      <c r="DD104" s="25"/>
      <c r="DE104" s="25"/>
      <c r="DF104" s="25"/>
      <c r="DG104" s="25"/>
      <c r="DH104" s="25"/>
      <c r="DI104" s="25" t="str">
        <f>_xlfn.CONCAT($A105," ",$B105," ",$D105)</f>
        <v>2025 BMW i4 eDrive40 Gran Coupe (19'' Wheels)</v>
      </c>
      <c r="DJ104" s="25"/>
      <c r="DK104" s="25"/>
      <c r="DL104" s="25"/>
      <c r="DM104" s="25"/>
      <c r="DN104" s="25"/>
      <c r="DO104" s="25"/>
      <c r="DP104" s="25"/>
      <c r="DQ104" s="25"/>
      <c r="DR104" s="25"/>
      <c r="DS104" s="25"/>
      <c r="DT104" s="25"/>
      <c r="DU104" s="25"/>
      <c r="DV104" s="25"/>
      <c r="DW104" s="25"/>
      <c r="DX104" s="25"/>
      <c r="DY104" s="25"/>
      <c r="DZ104" s="25" t="str">
        <f>_xlfn.CONCAT($A105," ",$B105," ",$D105)</f>
        <v>2025 BMW i4 eDrive40 Gran Coupe (19'' Wheels)</v>
      </c>
      <c r="EA104" s="89"/>
      <c r="EB104" s="25"/>
      <c r="EC104" s="25"/>
      <c r="ED104" s="25"/>
      <c r="EE104" s="25"/>
      <c r="EF104" s="25"/>
      <c r="EG104" s="25"/>
      <c r="EH104" s="25"/>
      <c r="EI104" s="25"/>
      <c r="EJ104" s="25"/>
      <c r="EK104" s="25"/>
      <c r="EL104" s="25"/>
      <c r="EM104" s="25"/>
      <c r="EN104" s="25"/>
      <c r="EO104" s="25"/>
      <c r="EP104" s="25"/>
      <c r="EQ104" s="25"/>
      <c r="ER104" s="25"/>
      <c r="ES104" s="25"/>
      <c r="ET104" s="25"/>
      <c r="EU104" s="25"/>
      <c r="EV104" s="25" t="str">
        <f>_xlfn.CONCAT($A105," ",$B105," ",$D105)</f>
        <v>2025 BMW i4 eDrive40 Gran Coupe (19'' Wheels)</v>
      </c>
      <c r="EW104" s="25"/>
      <c r="EX104" s="25"/>
      <c r="EY104" s="25"/>
      <c r="EZ104" s="25"/>
      <c r="FA104" s="25"/>
      <c r="FB104" s="25"/>
      <c r="FC104" s="25"/>
      <c r="FD104" s="25"/>
      <c r="FE104" s="25"/>
      <c r="FF104" s="25"/>
      <c r="FG104" s="25"/>
    </row>
    <row r="105" spans="1:165" x14ac:dyDescent="0.35">
      <c r="A105">
        <v>2025</v>
      </c>
      <c r="B105" t="s">
        <v>189</v>
      </c>
      <c r="C105" t="s">
        <v>189</v>
      </c>
      <c r="D105" t="s">
        <v>1801</v>
      </c>
      <c r="E105" t="s">
        <v>191</v>
      </c>
      <c r="F105">
        <v>441</v>
      </c>
      <c r="G105">
        <v>0</v>
      </c>
      <c r="I105" t="s">
        <v>1734</v>
      </c>
      <c r="J105">
        <v>106</v>
      </c>
      <c r="K105">
        <v>103</v>
      </c>
      <c r="L105">
        <v>104</v>
      </c>
      <c r="M105">
        <v>150.80000000000001</v>
      </c>
      <c r="N105">
        <v>146.9</v>
      </c>
      <c r="O105">
        <v>149.0197</v>
      </c>
      <c r="P105">
        <v>105.56</v>
      </c>
      <c r="Q105">
        <v>102.83</v>
      </c>
      <c r="R105">
        <v>104.3138</v>
      </c>
      <c r="V105" t="s">
        <v>167</v>
      </c>
      <c r="W105" t="s">
        <v>168</v>
      </c>
      <c r="Y105">
        <v>1</v>
      </c>
      <c r="Z105" t="s">
        <v>170</v>
      </c>
      <c r="AA105" t="s">
        <v>170</v>
      </c>
      <c r="AB105" t="s">
        <v>171</v>
      </c>
      <c r="AC105" t="s">
        <v>172</v>
      </c>
      <c r="AF105">
        <v>295</v>
      </c>
      <c r="AG105" t="s">
        <v>1735</v>
      </c>
      <c r="AH105" t="s">
        <v>1736</v>
      </c>
      <c r="AI105" t="s">
        <v>175</v>
      </c>
      <c r="AJ105" t="s">
        <v>176</v>
      </c>
      <c r="AK105" t="s">
        <v>170</v>
      </c>
      <c r="AL105" t="s">
        <v>177</v>
      </c>
      <c r="AO105">
        <v>90</v>
      </c>
      <c r="AP105">
        <v>10</v>
      </c>
      <c r="AS105">
        <v>800</v>
      </c>
      <c r="AT105">
        <v>800</v>
      </c>
      <c r="BQ105">
        <v>4</v>
      </c>
      <c r="BR105" t="s">
        <v>521</v>
      </c>
      <c r="BS105" t="s">
        <v>180</v>
      </c>
      <c r="BT105" t="s">
        <v>1769</v>
      </c>
      <c r="BU105" s="1">
        <v>45450</v>
      </c>
      <c r="BV105">
        <v>34816</v>
      </c>
      <c r="BW105" s="155"/>
      <c r="BX105" t="s">
        <v>169</v>
      </c>
      <c r="BY105" t="s">
        <v>170</v>
      </c>
      <c r="CB105" t="s">
        <v>170</v>
      </c>
      <c r="CC105" t="s">
        <v>170</v>
      </c>
      <c r="CK105" t="s">
        <v>233</v>
      </c>
      <c r="CM105">
        <v>7</v>
      </c>
      <c r="CN105" t="s">
        <v>234</v>
      </c>
      <c r="CP105">
        <v>399</v>
      </c>
      <c r="CQ105">
        <v>210.6</v>
      </c>
      <c r="CR105">
        <v>149</v>
      </c>
      <c r="CS105" t="s">
        <v>235</v>
      </c>
      <c r="CV105" t="s">
        <v>341</v>
      </c>
      <c r="CX105" t="s">
        <v>1012</v>
      </c>
      <c r="CY105" t="s">
        <v>169</v>
      </c>
      <c r="DC105" t="s">
        <v>1797</v>
      </c>
      <c r="DD105">
        <v>1</v>
      </c>
      <c r="DE105" t="s">
        <v>404</v>
      </c>
      <c r="DF105" t="s">
        <v>405</v>
      </c>
      <c r="DG105">
        <v>250</v>
      </c>
      <c r="DL105" t="s">
        <v>170</v>
      </c>
      <c r="DM105" t="s">
        <v>169</v>
      </c>
      <c r="DP105" t="s">
        <v>170</v>
      </c>
      <c r="DQ105" t="s">
        <v>187</v>
      </c>
      <c r="EA105" s="101"/>
      <c r="EB105">
        <v>9</v>
      </c>
      <c r="EC105">
        <v>10</v>
      </c>
      <c r="EE105" t="s">
        <v>1798</v>
      </c>
      <c r="EF105">
        <v>10</v>
      </c>
      <c r="EU105">
        <v>5500</v>
      </c>
      <c r="EW105">
        <v>0</v>
      </c>
      <c r="EX105">
        <v>0</v>
      </c>
      <c r="EY105">
        <v>0</v>
      </c>
      <c r="FA105">
        <v>10</v>
      </c>
      <c r="FG105">
        <v>298</v>
      </c>
      <c r="FH105">
        <v>291</v>
      </c>
      <c r="FI105">
        <v>295</v>
      </c>
    </row>
    <row r="106" spans="1:165" x14ac:dyDescent="0.35">
      <c r="A106">
        <v>2025</v>
      </c>
      <c r="B106" t="s">
        <v>189</v>
      </c>
      <c r="C106" t="s">
        <v>189</v>
      </c>
      <c r="D106" t="s">
        <v>1801</v>
      </c>
      <c r="E106" t="s">
        <v>191</v>
      </c>
      <c r="F106">
        <v>441</v>
      </c>
      <c r="G106">
        <v>0</v>
      </c>
      <c r="I106" t="s">
        <v>1734</v>
      </c>
      <c r="J106">
        <v>32</v>
      </c>
      <c r="K106">
        <v>33</v>
      </c>
      <c r="L106">
        <v>32</v>
      </c>
      <c r="M106">
        <v>22.355499999999999</v>
      </c>
      <c r="N106">
        <v>22.940999999999999</v>
      </c>
      <c r="O106">
        <v>22.619</v>
      </c>
      <c r="P106">
        <v>31.9297</v>
      </c>
      <c r="Q106">
        <v>32.7774</v>
      </c>
      <c r="R106">
        <v>32.311199999999999</v>
      </c>
      <c r="V106" t="s">
        <v>167</v>
      </c>
      <c r="W106" t="s">
        <v>168</v>
      </c>
      <c r="Y106">
        <v>1</v>
      </c>
      <c r="Z106" t="s">
        <v>170</v>
      </c>
      <c r="AA106" t="s">
        <v>170</v>
      </c>
      <c r="AB106" t="s">
        <v>171</v>
      </c>
      <c r="AC106" t="s">
        <v>172</v>
      </c>
      <c r="AF106">
        <v>295</v>
      </c>
      <c r="AG106" t="s">
        <v>1735</v>
      </c>
      <c r="AH106" t="s">
        <v>1736</v>
      </c>
      <c r="AI106" t="s">
        <v>1742</v>
      </c>
      <c r="AJ106" t="s">
        <v>1743</v>
      </c>
      <c r="AK106" t="s">
        <v>170</v>
      </c>
      <c r="AL106" t="s">
        <v>177</v>
      </c>
      <c r="AO106">
        <v>90</v>
      </c>
      <c r="AP106">
        <v>10</v>
      </c>
      <c r="AS106">
        <v>800</v>
      </c>
      <c r="AT106">
        <v>800</v>
      </c>
      <c r="BQ106">
        <v>4</v>
      </c>
      <c r="BR106" t="s">
        <v>521</v>
      </c>
      <c r="BS106" t="s">
        <v>180</v>
      </c>
      <c r="BT106" t="s">
        <v>1769</v>
      </c>
      <c r="BU106" s="1">
        <v>45450</v>
      </c>
      <c r="BV106">
        <v>34816</v>
      </c>
      <c r="BW106" s="155"/>
      <c r="BX106" t="s">
        <v>169</v>
      </c>
      <c r="BY106" t="s">
        <v>170</v>
      </c>
      <c r="CB106" t="s">
        <v>170</v>
      </c>
      <c r="CC106" t="s">
        <v>170</v>
      </c>
      <c r="CK106" t="s">
        <v>233</v>
      </c>
      <c r="CM106">
        <v>7</v>
      </c>
      <c r="CN106" t="s">
        <v>234</v>
      </c>
      <c r="CP106">
        <v>399</v>
      </c>
      <c r="CQ106">
        <v>210.6</v>
      </c>
      <c r="CR106">
        <v>149</v>
      </c>
      <c r="CS106" t="s">
        <v>235</v>
      </c>
      <c r="CV106" t="s">
        <v>341</v>
      </c>
      <c r="CX106" t="s">
        <v>1012</v>
      </c>
      <c r="CY106" t="s">
        <v>169</v>
      </c>
      <c r="DC106" t="s">
        <v>1797</v>
      </c>
      <c r="DD106">
        <v>1</v>
      </c>
      <c r="DE106" t="s">
        <v>404</v>
      </c>
      <c r="DF106" t="s">
        <v>405</v>
      </c>
      <c r="DG106">
        <v>250</v>
      </c>
      <c r="DL106" t="s">
        <v>170</v>
      </c>
      <c r="DM106" t="s">
        <v>169</v>
      </c>
      <c r="DP106" t="s">
        <v>170</v>
      </c>
      <c r="DQ106" t="s">
        <v>187</v>
      </c>
      <c r="EA106" s="101"/>
      <c r="EB106">
        <v>9</v>
      </c>
      <c r="EC106">
        <v>10</v>
      </c>
      <c r="EE106" t="s">
        <v>1798</v>
      </c>
      <c r="EF106">
        <v>10</v>
      </c>
      <c r="EU106">
        <v>5500</v>
      </c>
      <c r="EW106">
        <v>0</v>
      </c>
      <c r="EX106">
        <v>0</v>
      </c>
      <c r="EY106">
        <v>0</v>
      </c>
      <c r="FA106">
        <v>10</v>
      </c>
      <c r="FG106">
        <v>298</v>
      </c>
      <c r="FH106">
        <v>291</v>
      </c>
      <c r="FI106">
        <v>295</v>
      </c>
    </row>
    <row r="107" spans="1:165" x14ac:dyDescent="0.35">
      <c r="A107" s="25"/>
      <c r="B107" s="25"/>
      <c r="C107" s="25"/>
      <c r="D107" s="25"/>
      <c r="E107" s="25"/>
      <c r="F107" s="25" t="str">
        <f>_xlfn.CONCAT($A108," ",$B108," ",$D108)</f>
        <v>2025 BMW i4 xDrive40 Gran Coupe (18'' Wheels)</v>
      </c>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t="str">
        <f>_xlfn.CONCAT($A108," ",$B108," ",$D108)</f>
        <v>2025 BMW i4 xDrive40 Gran Coupe (18'' Wheels)</v>
      </c>
      <c r="AE107" s="25"/>
      <c r="AF107" s="25"/>
      <c r="AG107" s="25"/>
      <c r="AH107" s="25"/>
      <c r="AI107" s="25"/>
      <c r="AJ107" s="25"/>
      <c r="AK107" s="25"/>
      <c r="AL107" s="25"/>
      <c r="AM107" s="25"/>
      <c r="AN107" s="25"/>
      <c r="AO107" s="25"/>
      <c r="AP107" s="25"/>
      <c r="AQ107" s="25"/>
      <c r="AR107" s="25"/>
      <c r="AS107" s="25"/>
      <c r="AT107" s="25"/>
      <c r="AU107" s="25"/>
      <c r="AV107" s="25"/>
      <c r="AW107" s="25"/>
      <c r="AX107" s="25" t="str">
        <f>_xlfn.CONCAT($A108," ",$B108," ",$D108)</f>
        <v>2025 BMW i4 xDrive40 Gran Coupe (18'' Wheels)</v>
      </c>
      <c r="AY107" s="25"/>
      <c r="AZ107" s="25"/>
      <c r="BA107" s="25"/>
      <c r="BB107" s="25"/>
      <c r="BC107" s="25"/>
      <c r="BD107" s="25"/>
      <c r="BE107" s="25"/>
      <c r="BF107" s="25"/>
      <c r="BG107" s="25"/>
      <c r="BH107" s="25"/>
      <c r="BI107" s="25"/>
      <c r="BJ107" s="25"/>
      <c r="BK107" s="25"/>
      <c r="BL107" s="25"/>
      <c r="BM107" s="25"/>
      <c r="BN107" s="25"/>
      <c r="BO107" s="25"/>
      <c r="BP107" s="25"/>
      <c r="BQ107" s="25"/>
      <c r="BR107" s="25" t="str">
        <f>_xlfn.CONCAT($A108," ",$B108," ",$D108)</f>
        <v>2025 BMW i4 xDrive40 Gran Coupe (18'' Wheels)</v>
      </c>
      <c r="BS107" s="25"/>
      <c r="BT107" s="25"/>
      <c r="BU107" s="25"/>
      <c r="BV107" s="25"/>
      <c r="BW107" s="156"/>
      <c r="BX107" s="25"/>
      <c r="BY107" s="25"/>
      <c r="BZ107" s="25"/>
      <c r="CA107" s="25"/>
      <c r="CB107" s="25"/>
      <c r="CC107" s="25"/>
      <c r="CD107" s="25"/>
      <c r="CE107" s="25"/>
      <c r="CF107" s="25"/>
      <c r="CG107" s="25"/>
      <c r="CH107" s="25"/>
      <c r="CI107" s="25"/>
      <c r="CJ107" s="25"/>
      <c r="CK107" s="25"/>
      <c r="CL107" s="25"/>
      <c r="CM107" s="25"/>
      <c r="CN107" s="25"/>
      <c r="CO107" s="25"/>
      <c r="CP107" s="25" t="str">
        <f>_xlfn.CONCAT($A108," ",$B108," ",$D108)</f>
        <v>2025 BMW i4 xDrive40 Gran Coupe (18'' Wheels)</v>
      </c>
      <c r="CQ107" s="25"/>
      <c r="CR107" s="25"/>
      <c r="CS107" s="25"/>
      <c r="CT107" s="25"/>
      <c r="CU107" s="25"/>
      <c r="CV107" s="25"/>
      <c r="CW107" s="25"/>
      <c r="CX107" s="25"/>
      <c r="CY107" s="25"/>
      <c r="CZ107" s="25"/>
      <c r="DA107" s="25"/>
      <c r="DB107" s="25"/>
      <c r="DC107" s="25"/>
      <c r="DD107" s="25"/>
      <c r="DE107" s="25"/>
      <c r="DF107" s="25"/>
      <c r="DG107" s="25"/>
      <c r="DH107" s="25"/>
      <c r="DI107" s="25" t="str">
        <f>_xlfn.CONCAT($A108," ",$B108," ",$D108)</f>
        <v>2025 BMW i4 xDrive40 Gran Coupe (18'' Wheels)</v>
      </c>
      <c r="DJ107" s="25"/>
      <c r="DK107" s="25"/>
      <c r="DL107" s="25"/>
      <c r="DM107" s="25"/>
      <c r="DN107" s="25"/>
      <c r="DO107" s="25"/>
      <c r="DP107" s="25"/>
      <c r="DQ107" s="25"/>
      <c r="DR107" s="25"/>
      <c r="DS107" s="25"/>
      <c r="DT107" s="25"/>
      <c r="DU107" s="25"/>
      <c r="DV107" s="25"/>
      <c r="DW107" s="25"/>
      <c r="DX107" s="25"/>
      <c r="DY107" s="25"/>
      <c r="DZ107" s="25" t="str">
        <f>_xlfn.CONCAT($A108," ",$B108," ",$D108)</f>
        <v>2025 BMW i4 xDrive40 Gran Coupe (18'' Wheels)</v>
      </c>
      <c r="EA107" s="89"/>
      <c r="EB107" s="25"/>
      <c r="EC107" s="25"/>
      <c r="ED107" s="25"/>
      <c r="EE107" s="25"/>
      <c r="EF107" s="25"/>
      <c r="EG107" s="25"/>
      <c r="EH107" s="25"/>
      <c r="EI107" s="25"/>
      <c r="EJ107" s="25"/>
      <c r="EK107" s="25"/>
      <c r="EL107" s="25"/>
      <c r="EM107" s="25"/>
      <c r="EN107" s="25"/>
      <c r="EO107" s="25"/>
      <c r="EP107" s="25"/>
      <c r="EQ107" s="25"/>
      <c r="ER107" s="25"/>
      <c r="ES107" s="25"/>
      <c r="ET107" s="25"/>
      <c r="EU107" s="25"/>
      <c r="EV107" s="25" t="str">
        <f>_xlfn.CONCAT($A108," ",$B108," ",$D108)</f>
        <v>2025 BMW i4 xDrive40 Gran Coupe (18'' Wheels)</v>
      </c>
      <c r="EW107" s="25"/>
      <c r="EX107" s="25"/>
      <c r="EY107" s="25"/>
      <c r="EZ107" s="25"/>
      <c r="FA107" s="25"/>
      <c r="FB107" s="25"/>
      <c r="FC107" s="25"/>
      <c r="FD107" s="25"/>
      <c r="FE107" s="25"/>
      <c r="FF107" s="25"/>
      <c r="FG107" s="25"/>
    </row>
    <row r="108" spans="1:165" x14ac:dyDescent="0.35">
      <c r="A108">
        <v>2025</v>
      </c>
      <c r="B108" t="s">
        <v>189</v>
      </c>
      <c r="C108" t="s">
        <v>189</v>
      </c>
      <c r="D108" t="s">
        <v>1807</v>
      </c>
      <c r="E108" t="s">
        <v>191</v>
      </c>
      <c r="F108">
        <v>445</v>
      </c>
      <c r="G108">
        <v>0</v>
      </c>
      <c r="I108" t="s">
        <v>1734</v>
      </c>
      <c r="J108">
        <v>99</v>
      </c>
      <c r="K108">
        <v>103</v>
      </c>
      <c r="L108">
        <v>101</v>
      </c>
      <c r="M108">
        <v>141.69999999999999</v>
      </c>
      <c r="N108">
        <v>147.19999999999999</v>
      </c>
      <c r="O108">
        <v>144.1233</v>
      </c>
      <c r="P108">
        <v>99.19</v>
      </c>
      <c r="Q108">
        <v>103.04</v>
      </c>
      <c r="R108">
        <v>100.88630000000001</v>
      </c>
      <c r="V108" t="s">
        <v>167</v>
      </c>
      <c r="W108" t="s">
        <v>168</v>
      </c>
      <c r="Y108">
        <v>1</v>
      </c>
      <c r="Z108" t="s">
        <v>170</v>
      </c>
      <c r="AA108" t="s">
        <v>170</v>
      </c>
      <c r="AB108" t="s">
        <v>167</v>
      </c>
      <c r="AC108" t="s">
        <v>213</v>
      </c>
      <c r="AF108">
        <v>287</v>
      </c>
      <c r="AG108" t="s">
        <v>1735</v>
      </c>
      <c r="AH108" t="s">
        <v>1736</v>
      </c>
      <c r="AI108" t="s">
        <v>175</v>
      </c>
      <c r="AJ108" t="s">
        <v>176</v>
      </c>
      <c r="AK108" t="s">
        <v>170</v>
      </c>
      <c r="AL108" t="s">
        <v>177</v>
      </c>
      <c r="AO108">
        <v>90</v>
      </c>
      <c r="AP108">
        <v>10</v>
      </c>
      <c r="AS108">
        <v>800</v>
      </c>
      <c r="AT108">
        <v>800</v>
      </c>
      <c r="BQ108">
        <v>4</v>
      </c>
      <c r="BR108" t="s">
        <v>521</v>
      </c>
      <c r="BS108" t="s">
        <v>180</v>
      </c>
      <c r="BT108" t="s">
        <v>1769</v>
      </c>
      <c r="BU108" s="1">
        <v>45450</v>
      </c>
      <c r="BV108">
        <v>34819</v>
      </c>
      <c r="BW108" s="155"/>
      <c r="BX108" t="s">
        <v>170</v>
      </c>
      <c r="BY108" t="s">
        <v>170</v>
      </c>
      <c r="CB108" t="s">
        <v>170</v>
      </c>
      <c r="CC108" t="s">
        <v>170</v>
      </c>
      <c r="CK108" t="s">
        <v>233</v>
      </c>
      <c r="CM108">
        <v>9</v>
      </c>
      <c r="CN108" t="s">
        <v>234</v>
      </c>
      <c r="CP108">
        <v>376</v>
      </c>
      <c r="CQ108">
        <v>280.8</v>
      </c>
      <c r="CR108">
        <v>154</v>
      </c>
      <c r="CS108" t="s">
        <v>235</v>
      </c>
      <c r="CV108" t="s">
        <v>341</v>
      </c>
      <c r="CX108" t="s">
        <v>342</v>
      </c>
      <c r="CY108" t="s">
        <v>169</v>
      </c>
      <c r="DC108" t="s">
        <v>1803</v>
      </c>
      <c r="DD108">
        <v>2</v>
      </c>
      <c r="DE108" t="s">
        <v>404</v>
      </c>
      <c r="DF108" t="s">
        <v>405</v>
      </c>
      <c r="DG108" t="s">
        <v>1804</v>
      </c>
      <c r="DL108" t="s">
        <v>170</v>
      </c>
      <c r="DM108" t="s">
        <v>169</v>
      </c>
      <c r="DP108" t="s">
        <v>170</v>
      </c>
      <c r="DQ108" t="s">
        <v>187</v>
      </c>
      <c r="EA108" s="101"/>
      <c r="EB108">
        <v>9</v>
      </c>
      <c r="EC108">
        <v>10</v>
      </c>
      <c r="EE108" t="s">
        <v>1805</v>
      </c>
      <c r="EF108">
        <v>10</v>
      </c>
      <c r="EU108">
        <v>5500</v>
      </c>
      <c r="EW108">
        <v>0</v>
      </c>
      <c r="EX108">
        <v>0</v>
      </c>
      <c r="EY108">
        <v>0</v>
      </c>
      <c r="FA108">
        <v>10</v>
      </c>
      <c r="FG108">
        <v>282</v>
      </c>
      <c r="FH108">
        <v>293</v>
      </c>
      <c r="FI108">
        <v>287</v>
      </c>
    </row>
    <row r="109" spans="1:165" x14ac:dyDescent="0.35">
      <c r="A109">
        <v>2025</v>
      </c>
      <c r="B109" t="s">
        <v>189</v>
      </c>
      <c r="C109" t="s">
        <v>189</v>
      </c>
      <c r="D109" t="s">
        <v>1807</v>
      </c>
      <c r="E109" t="s">
        <v>191</v>
      </c>
      <c r="F109">
        <v>445</v>
      </c>
      <c r="G109">
        <v>0</v>
      </c>
      <c r="I109" t="s">
        <v>1734</v>
      </c>
      <c r="J109">
        <v>34</v>
      </c>
      <c r="K109">
        <v>33</v>
      </c>
      <c r="L109">
        <v>33</v>
      </c>
      <c r="M109">
        <v>23.7836</v>
      </c>
      <c r="N109">
        <v>22.905200000000001</v>
      </c>
      <c r="O109">
        <v>23.388300000000001</v>
      </c>
      <c r="P109">
        <v>33.980200000000004</v>
      </c>
      <c r="Q109">
        <v>32.710599999999999</v>
      </c>
      <c r="R109">
        <v>33.408900000000003</v>
      </c>
      <c r="V109" t="s">
        <v>167</v>
      </c>
      <c r="W109" t="s">
        <v>168</v>
      </c>
      <c r="Y109">
        <v>1</v>
      </c>
      <c r="Z109" t="s">
        <v>170</v>
      </c>
      <c r="AA109" t="s">
        <v>170</v>
      </c>
      <c r="AB109" t="s">
        <v>167</v>
      </c>
      <c r="AC109" t="s">
        <v>213</v>
      </c>
      <c r="AF109">
        <v>287</v>
      </c>
      <c r="AG109" t="s">
        <v>1735</v>
      </c>
      <c r="AH109" t="s">
        <v>1736</v>
      </c>
      <c r="AI109" t="s">
        <v>1742</v>
      </c>
      <c r="AJ109" t="s">
        <v>1743</v>
      </c>
      <c r="AK109" t="s">
        <v>170</v>
      </c>
      <c r="AL109" t="s">
        <v>177</v>
      </c>
      <c r="AO109">
        <v>90</v>
      </c>
      <c r="AP109">
        <v>10</v>
      </c>
      <c r="AS109">
        <v>800</v>
      </c>
      <c r="AT109">
        <v>800</v>
      </c>
      <c r="BQ109">
        <v>4</v>
      </c>
      <c r="BR109" t="s">
        <v>521</v>
      </c>
      <c r="BS109" t="s">
        <v>180</v>
      </c>
      <c r="BT109" t="s">
        <v>1769</v>
      </c>
      <c r="BU109" s="1">
        <v>45450</v>
      </c>
      <c r="BV109">
        <v>34819</v>
      </c>
      <c r="BW109" s="155"/>
      <c r="BX109" t="s">
        <v>170</v>
      </c>
      <c r="BY109" t="s">
        <v>170</v>
      </c>
      <c r="CB109" t="s">
        <v>170</v>
      </c>
      <c r="CC109" t="s">
        <v>170</v>
      </c>
      <c r="CK109" t="s">
        <v>233</v>
      </c>
      <c r="CM109">
        <v>9</v>
      </c>
      <c r="CN109" t="s">
        <v>234</v>
      </c>
      <c r="CP109">
        <v>376</v>
      </c>
      <c r="CQ109">
        <v>280.8</v>
      </c>
      <c r="CR109">
        <v>154</v>
      </c>
      <c r="CS109" t="s">
        <v>235</v>
      </c>
      <c r="CV109" t="s">
        <v>341</v>
      </c>
      <c r="CX109" t="s">
        <v>342</v>
      </c>
      <c r="CY109" t="s">
        <v>169</v>
      </c>
      <c r="DC109" t="s">
        <v>1803</v>
      </c>
      <c r="DD109">
        <v>2</v>
      </c>
      <c r="DE109" t="s">
        <v>404</v>
      </c>
      <c r="DF109" t="s">
        <v>405</v>
      </c>
      <c r="DG109" t="s">
        <v>1804</v>
      </c>
      <c r="DL109" t="s">
        <v>170</v>
      </c>
      <c r="DM109" t="s">
        <v>169</v>
      </c>
      <c r="DP109" t="s">
        <v>170</v>
      </c>
      <c r="DQ109" t="s">
        <v>187</v>
      </c>
      <c r="EA109" s="101"/>
      <c r="EB109">
        <v>9</v>
      </c>
      <c r="EC109">
        <v>10</v>
      </c>
      <c r="EE109" t="s">
        <v>1805</v>
      </c>
      <c r="EF109">
        <v>10</v>
      </c>
      <c r="EU109">
        <v>5500</v>
      </c>
      <c r="EW109">
        <v>0</v>
      </c>
      <c r="EX109">
        <v>0</v>
      </c>
      <c r="EY109">
        <v>0</v>
      </c>
      <c r="FA109">
        <v>10</v>
      </c>
      <c r="FG109">
        <v>282</v>
      </c>
      <c r="FH109">
        <v>293</v>
      </c>
      <c r="FI109">
        <v>287</v>
      </c>
    </row>
    <row r="110" spans="1:165" x14ac:dyDescent="0.35">
      <c r="A110" s="25"/>
      <c r="B110" s="25"/>
      <c r="C110" s="25"/>
      <c r="D110" s="25"/>
      <c r="E110" s="25"/>
      <c r="F110" s="25" t="str">
        <f>_xlfn.CONCAT($A111," ",$B111," ",$D111)</f>
        <v>2025 BMW i4 xDrive40 Gran Coupe (19'' Wheels)</v>
      </c>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5" t="str">
        <f>_xlfn.CONCAT($A111," ",$B111," ",$D111)</f>
        <v>2025 BMW i4 xDrive40 Gran Coupe (19'' Wheels)</v>
      </c>
      <c r="AE110" s="25"/>
      <c r="AF110" s="25"/>
      <c r="AG110" s="25"/>
      <c r="AH110" s="25"/>
      <c r="AI110" s="25"/>
      <c r="AJ110" s="25"/>
      <c r="AK110" s="25"/>
      <c r="AL110" s="25"/>
      <c r="AM110" s="25"/>
      <c r="AN110" s="25"/>
      <c r="AO110" s="25"/>
      <c r="AP110" s="25"/>
      <c r="AQ110" s="25"/>
      <c r="AR110" s="25"/>
      <c r="AS110" s="25"/>
      <c r="AT110" s="25"/>
      <c r="AU110" s="25"/>
      <c r="AV110" s="25"/>
      <c r="AW110" s="25"/>
      <c r="AX110" s="25" t="str">
        <f>_xlfn.CONCAT($A111," ",$B111," ",$D111)</f>
        <v>2025 BMW i4 xDrive40 Gran Coupe (19'' Wheels)</v>
      </c>
      <c r="AY110" s="25"/>
      <c r="AZ110" s="25"/>
      <c r="BA110" s="25"/>
      <c r="BB110" s="25"/>
      <c r="BC110" s="25"/>
      <c r="BD110" s="25"/>
      <c r="BE110" s="25"/>
      <c r="BF110" s="25"/>
      <c r="BG110" s="25"/>
      <c r="BH110" s="25"/>
      <c r="BI110" s="25"/>
      <c r="BJ110" s="25"/>
      <c r="BK110" s="25"/>
      <c r="BL110" s="25"/>
      <c r="BM110" s="25"/>
      <c r="BN110" s="25"/>
      <c r="BO110" s="25"/>
      <c r="BP110" s="25"/>
      <c r="BQ110" s="25"/>
      <c r="BR110" s="25" t="str">
        <f>_xlfn.CONCAT($A111," ",$B111," ",$D111)</f>
        <v>2025 BMW i4 xDrive40 Gran Coupe (19'' Wheels)</v>
      </c>
      <c r="BS110" s="25"/>
      <c r="BT110" s="25"/>
      <c r="BU110" s="25"/>
      <c r="BV110" s="25"/>
      <c r="BW110" s="156"/>
      <c r="BX110" s="25"/>
      <c r="BY110" s="25"/>
      <c r="BZ110" s="25"/>
      <c r="CA110" s="25"/>
      <c r="CB110" s="25"/>
      <c r="CC110" s="25"/>
      <c r="CD110" s="25"/>
      <c r="CE110" s="25"/>
      <c r="CF110" s="25"/>
      <c r="CG110" s="25"/>
      <c r="CH110" s="25"/>
      <c r="CI110" s="25"/>
      <c r="CJ110" s="25"/>
      <c r="CK110" s="25"/>
      <c r="CL110" s="25"/>
      <c r="CM110" s="25"/>
      <c r="CN110" s="25"/>
      <c r="CO110" s="25"/>
      <c r="CP110" s="25" t="str">
        <f>_xlfn.CONCAT($A111," ",$B111," ",$D111)</f>
        <v>2025 BMW i4 xDrive40 Gran Coupe (19'' Wheels)</v>
      </c>
      <c r="CQ110" s="25"/>
      <c r="CR110" s="25"/>
      <c r="CS110" s="25"/>
      <c r="CT110" s="25"/>
      <c r="CU110" s="25"/>
      <c r="CV110" s="25"/>
      <c r="CW110" s="25"/>
      <c r="CX110" s="25"/>
      <c r="CY110" s="25"/>
      <c r="CZ110" s="25"/>
      <c r="DA110" s="25"/>
      <c r="DB110" s="25"/>
      <c r="DC110" s="25"/>
      <c r="DD110" s="25"/>
      <c r="DE110" s="25"/>
      <c r="DF110" s="25"/>
      <c r="DG110" s="25"/>
      <c r="DH110" s="25"/>
      <c r="DI110" s="25" t="str">
        <f>_xlfn.CONCAT($A111," ",$B111," ",$D111)</f>
        <v>2025 BMW i4 xDrive40 Gran Coupe (19'' Wheels)</v>
      </c>
      <c r="DJ110" s="25"/>
      <c r="DK110" s="25"/>
      <c r="DL110" s="25"/>
      <c r="DM110" s="25"/>
      <c r="DN110" s="25"/>
      <c r="DO110" s="25"/>
      <c r="DP110" s="25"/>
      <c r="DQ110" s="25"/>
      <c r="DR110" s="25"/>
      <c r="DS110" s="25"/>
      <c r="DT110" s="25"/>
      <c r="DU110" s="25"/>
      <c r="DV110" s="25"/>
      <c r="DW110" s="25"/>
      <c r="DX110" s="25"/>
      <c r="DY110" s="25"/>
      <c r="DZ110" s="25" t="str">
        <f>_xlfn.CONCAT($A111," ",$B111," ",$D111)</f>
        <v>2025 BMW i4 xDrive40 Gran Coupe (19'' Wheels)</v>
      </c>
      <c r="EA110" s="89"/>
      <c r="EB110" s="25"/>
      <c r="EC110" s="25"/>
      <c r="ED110" s="25"/>
      <c r="EE110" s="25"/>
      <c r="EF110" s="25"/>
      <c r="EG110" s="25"/>
      <c r="EH110" s="25"/>
      <c r="EI110" s="25"/>
      <c r="EJ110" s="25"/>
      <c r="EK110" s="25"/>
      <c r="EL110" s="25"/>
      <c r="EM110" s="25"/>
      <c r="EN110" s="25"/>
      <c r="EO110" s="25"/>
      <c r="EP110" s="25"/>
      <c r="EQ110" s="25"/>
      <c r="ER110" s="25"/>
      <c r="ES110" s="25"/>
      <c r="ET110" s="25"/>
      <c r="EU110" s="25"/>
      <c r="EV110" s="25" t="str">
        <f>_xlfn.CONCAT($A111," ",$B111," ",$D111)</f>
        <v>2025 BMW i4 xDrive40 Gran Coupe (19'' Wheels)</v>
      </c>
      <c r="EW110" s="25"/>
      <c r="EX110" s="25"/>
      <c r="EY110" s="25"/>
      <c r="EZ110" s="25"/>
      <c r="FA110" s="25"/>
      <c r="FB110" s="25"/>
      <c r="FC110" s="25"/>
      <c r="FD110" s="25"/>
      <c r="FE110" s="25"/>
      <c r="FF110" s="25"/>
      <c r="FG110" s="25"/>
    </row>
    <row r="111" spans="1:165" x14ac:dyDescent="0.35">
      <c r="A111">
        <v>2025</v>
      </c>
      <c r="B111" t="s">
        <v>189</v>
      </c>
      <c r="C111" t="s">
        <v>189</v>
      </c>
      <c r="D111" t="s">
        <v>1808</v>
      </c>
      <c r="E111" t="s">
        <v>191</v>
      </c>
      <c r="F111">
        <v>446</v>
      </c>
      <c r="G111">
        <v>0</v>
      </c>
      <c r="I111" t="s">
        <v>1734</v>
      </c>
      <c r="J111">
        <v>93</v>
      </c>
      <c r="K111">
        <v>95</v>
      </c>
      <c r="L111">
        <v>94</v>
      </c>
      <c r="M111">
        <v>132.6</v>
      </c>
      <c r="N111">
        <v>135.30000000000001</v>
      </c>
      <c r="O111">
        <v>133.8015</v>
      </c>
      <c r="P111">
        <v>92.82</v>
      </c>
      <c r="Q111">
        <v>94.71</v>
      </c>
      <c r="R111">
        <v>93.661100000000005</v>
      </c>
      <c r="V111" t="s">
        <v>167</v>
      </c>
      <c r="W111" t="s">
        <v>168</v>
      </c>
      <c r="Y111">
        <v>1</v>
      </c>
      <c r="Z111" t="s">
        <v>170</v>
      </c>
      <c r="AA111" t="s">
        <v>170</v>
      </c>
      <c r="AB111" t="s">
        <v>167</v>
      </c>
      <c r="AC111" t="s">
        <v>213</v>
      </c>
      <c r="AF111">
        <v>268</v>
      </c>
      <c r="AG111" t="s">
        <v>1735</v>
      </c>
      <c r="AH111" t="s">
        <v>1736</v>
      </c>
      <c r="AI111" t="s">
        <v>175</v>
      </c>
      <c r="AJ111" t="s">
        <v>176</v>
      </c>
      <c r="AK111" t="s">
        <v>170</v>
      </c>
      <c r="AL111" t="s">
        <v>177</v>
      </c>
      <c r="AO111">
        <v>90</v>
      </c>
      <c r="AP111">
        <v>10</v>
      </c>
      <c r="AS111">
        <v>850</v>
      </c>
      <c r="AT111">
        <v>850</v>
      </c>
      <c r="BQ111">
        <v>4</v>
      </c>
      <c r="BR111" t="s">
        <v>521</v>
      </c>
      <c r="BS111" t="s">
        <v>180</v>
      </c>
      <c r="BT111" t="s">
        <v>1769</v>
      </c>
      <c r="BU111" s="1">
        <v>45450</v>
      </c>
      <c r="BV111">
        <v>34820</v>
      </c>
      <c r="BW111" s="155"/>
      <c r="BX111" t="s">
        <v>169</v>
      </c>
      <c r="BY111" t="s">
        <v>170</v>
      </c>
      <c r="CB111" t="s">
        <v>170</v>
      </c>
      <c r="CC111" t="s">
        <v>170</v>
      </c>
      <c r="CK111" t="s">
        <v>233</v>
      </c>
      <c r="CM111">
        <v>9</v>
      </c>
      <c r="CN111" t="s">
        <v>234</v>
      </c>
      <c r="CP111">
        <v>376</v>
      </c>
      <c r="CQ111">
        <v>280.8</v>
      </c>
      <c r="CR111">
        <v>154</v>
      </c>
      <c r="CS111" t="s">
        <v>235</v>
      </c>
      <c r="CV111" t="s">
        <v>341</v>
      </c>
      <c r="CX111" t="s">
        <v>342</v>
      </c>
      <c r="CY111" t="s">
        <v>169</v>
      </c>
      <c r="DC111" t="s">
        <v>1803</v>
      </c>
      <c r="DD111">
        <v>2</v>
      </c>
      <c r="DE111" t="s">
        <v>404</v>
      </c>
      <c r="DF111" t="s">
        <v>405</v>
      </c>
      <c r="DG111" t="s">
        <v>1804</v>
      </c>
      <c r="DL111" t="s">
        <v>170</v>
      </c>
      <c r="DM111" t="s">
        <v>169</v>
      </c>
      <c r="DP111" t="s">
        <v>170</v>
      </c>
      <c r="DQ111" t="s">
        <v>187</v>
      </c>
      <c r="EA111" s="89"/>
      <c r="EB111">
        <v>9</v>
      </c>
      <c r="EC111">
        <v>10</v>
      </c>
      <c r="EE111" t="s">
        <v>1805</v>
      </c>
      <c r="EF111">
        <v>10</v>
      </c>
      <c r="EU111">
        <v>5250</v>
      </c>
      <c r="EW111">
        <v>0</v>
      </c>
      <c r="EX111">
        <v>0</v>
      </c>
      <c r="EY111">
        <v>0</v>
      </c>
      <c r="FA111">
        <v>10</v>
      </c>
      <c r="FG111">
        <v>266</v>
      </c>
      <c r="FH111">
        <v>271</v>
      </c>
      <c r="FI111">
        <v>268</v>
      </c>
    </row>
    <row r="112" spans="1:165" x14ac:dyDescent="0.35">
      <c r="A112">
        <v>2025</v>
      </c>
      <c r="B112" t="s">
        <v>189</v>
      </c>
      <c r="C112" t="s">
        <v>189</v>
      </c>
      <c r="D112" t="s">
        <v>1808</v>
      </c>
      <c r="E112" t="s">
        <v>191</v>
      </c>
      <c r="F112">
        <v>446</v>
      </c>
      <c r="G112">
        <v>0</v>
      </c>
      <c r="I112" t="s">
        <v>1734</v>
      </c>
      <c r="J112">
        <v>36</v>
      </c>
      <c r="K112">
        <v>36</v>
      </c>
      <c r="L112">
        <v>36</v>
      </c>
      <c r="M112">
        <v>25.4147</v>
      </c>
      <c r="N112">
        <v>24.910900000000002</v>
      </c>
      <c r="O112">
        <v>25.187999999999999</v>
      </c>
      <c r="P112">
        <v>36.312199999999997</v>
      </c>
      <c r="Q112">
        <v>35.587600000000002</v>
      </c>
      <c r="R112">
        <v>35.9861</v>
      </c>
      <c r="V112" t="s">
        <v>167</v>
      </c>
      <c r="W112" t="s">
        <v>168</v>
      </c>
      <c r="Y112">
        <v>1</v>
      </c>
      <c r="Z112" t="s">
        <v>170</v>
      </c>
      <c r="AA112" t="s">
        <v>170</v>
      </c>
      <c r="AB112" t="s">
        <v>167</v>
      </c>
      <c r="AC112" t="s">
        <v>213</v>
      </c>
      <c r="AF112">
        <v>268</v>
      </c>
      <c r="AG112" t="s">
        <v>1735</v>
      </c>
      <c r="AH112" t="s">
        <v>1736</v>
      </c>
      <c r="AI112" t="s">
        <v>1742</v>
      </c>
      <c r="AJ112" t="s">
        <v>1743</v>
      </c>
      <c r="AK112" t="s">
        <v>170</v>
      </c>
      <c r="AL112" t="s">
        <v>177</v>
      </c>
      <c r="AO112">
        <v>90</v>
      </c>
      <c r="AP112">
        <v>10</v>
      </c>
      <c r="AS112">
        <v>850</v>
      </c>
      <c r="AT112">
        <v>850</v>
      </c>
      <c r="BQ112">
        <v>4</v>
      </c>
      <c r="BR112" t="s">
        <v>521</v>
      </c>
      <c r="BS112" t="s">
        <v>180</v>
      </c>
      <c r="BT112" t="s">
        <v>1769</v>
      </c>
      <c r="BU112" s="1">
        <v>45450</v>
      </c>
      <c r="BV112">
        <v>34820</v>
      </c>
      <c r="BW112" s="155"/>
      <c r="BX112" t="s">
        <v>169</v>
      </c>
      <c r="BY112" t="s">
        <v>170</v>
      </c>
      <c r="CB112" t="s">
        <v>170</v>
      </c>
      <c r="CC112" t="s">
        <v>170</v>
      </c>
      <c r="CK112" t="s">
        <v>233</v>
      </c>
      <c r="CM112">
        <v>9</v>
      </c>
      <c r="CN112" t="s">
        <v>234</v>
      </c>
      <c r="CP112">
        <v>376</v>
      </c>
      <c r="CQ112">
        <v>280.8</v>
      </c>
      <c r="CR112">
        <v>154</v>
      </c>
      <c r="CS112" t="s">
        <v>235</v>
      </c>
      <c r="CV112" t="s">
        <v>341</v>
      </c>
      <c r="CX112" t="s">
        <v>342</v>
      </c>
      <c r="CY112" t="s">
        <v>169</v>
      </c>
      <c r="DC112" t="s">
        <v>1803</v>
      </c>
      <c r="DD112">
        <v>2</v>
      </c>
      <c r="DE112" t="s">
        <v>404</v>
      </c>
      <c r="DF112" t="s">
        <v>405</v>
      </c>
      <c r="DG112" t="s">
        <v>1804</v>
      </c>
      <c r="DL112" t="s">
        <v>170</v>
      </c>
      <c r="DM112" t="s">
        <v>169</v>
      </c>
      <c r="DP112" t="s">
        <v>170</v>
      </c>
      <c r="DQ112" t="s">
        <v>187</v>
      </c>
      <c r="EA112" s="89"/>
      <c r="EB112">
        <v>9</v>
      </c>
      <c r="EC112">
        <v>10</v>
      </c>
      <c r="EE112" t="s">
        <v>1805</v>
      </c>
      <c r="EF112">
        <v>10</v>
      </c>
      <c r="EU112">
        <v>5250</v>
      </c>
      <c r="EW112">
        <v>0</v>
      </c>
      <c r="EX112">
        <v>0</v>
      </c>
      <c r="EY112">
        <v>0</v>
      </c>
      <c r="FA112">
        <v>10</v>
      </c>
      <c r="FG112">
        <v>266</v>
      </c>
      <c r="FH112">
        <v>271</v>
      </c>
      <c r="FI112">
        <v>268</v>
      </c>
    </row>
    <row r="113" spans="1:165" x14ac:dyDescent="0.35">
      <c r="A113" s="25"/>
      <c r="B113" s="25"/>
      <c r="C113" s="25"/>
      <c r="D113" s="25"/>
      <c r="E113" s="25"/>
      <c r="F113" s="25" t="str">
        <f>_xlfn.CONCAT($A114," ",$B114," ",$D114)</f>
        <v>2025 BMW i4 M50 Gran Coupe (19'' Wheels)</v>
      </c>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t="str">
        <f>_xlfn.CONCAT($A114," ",$B114," ",$D114)</f>
        <v>2025 BMW i4 M50 Gran Coupe (19'' Wheels)</v>
      </c>
      <c r="AE113" s="25"/>
      <c r="AF113" s="25"/>
      <c r="AG113" s="25"/>
      <c r="AH113" s="25"/>
      <c r="AI113" s="25"/>
      <c r="AJ113" s="25"/>
      <c r="AK113" s="25"/>
      <c r="AL113" s="25"/>
      <c r="AM113" s="25"/>
      <c r="AN113" s="25"/>
      <c r="AO113" s="25"/>
      <c r="AP113" s="25"/>
      <c r="AQ113" s="25"/>
      <c r="AR113" s="25"/>
      <c r="AS113" s="25"/>
      <c r="AT113" s="25"/>
      <c r="AU113" s="25"/>
      <c r="AV113" s="25"/>
      <c r="AW113" s="25"/>
      <c r="AX113" s="25" t="str">
        <f>_xlfn.CONCAT($A114," ",$B114," ",$D114)</f>
        <v>2025 BMW i4 M50 Gran Coupe (19'' Wheels)</v>
      </c>
      <c r="AY113" s="25"/>
      <c r="AZ113" s="25"/>
      <c r="BA113" s="25"/>
      <c r="BB113" s="25"/>
      <c r="BC113" s="25"/>
      <c r="BD113" s="25"/>
      <c r="BE113" s="25"/>
      <c r="BF113" s="25"/>
      <c r="BG113" s="25"/>
      <c r="BH113" s="25"/>
      <c r="BI113" s="25"/>
      <c r="BJ113" s="25"/>
      <c r="BK113" s="25"/>
      <c r="BL113" s="25"/>
      <c r="BM113" s="25"/>
      <c r="BN113" s="25"/>
      <c r="BO113" s="25"/>
      <c r="BP113" s="25"/>
      <c r="BQ113" s="25"/>
      <c r="BR113" s="25" t="str">
        <f>_xlfn.CONCAT($A114," ",$B114," ",$D114)</f>
        <v>2025 BMW i4 M50 Gran Coupe (19'' Wheels)</v>
      </c>
      <c r="BS113" s="25"/>
      <c r="BT113" s="25"/>
      <c r="BU113" s="25"/>
      <c r="BV113" s="25"/>
      <c r="BW113" s="156"/>
      <c r="BX113" s="25"/>
      <c r="BY113" s="25"/>
      <c r="BZ113" s="25"/>
      <c r="CA113" s="25"/>
      <c r="CB113" s="25"/>
      <c r="CC113" s="25"/>
      <c r="CD113" s="25"/>
      <c r="CE113" s="25"/>
      <c r="CF113" s="25"/>
      <c r="CG113" s="25"/>
      <c r="CH113" s="25"/>
      <c r="CI113" s="25"/>
      <c r="CJ113" s="25"/>
      <c r="CK113" s="25"/>
      <c r="CL113" s="25"/>
      <c r="CM113" s="25"/>
      <c r="CN113" s="25"/>
      <c r="CO113" s="25"/>
      <c r="CP113" s="25" t="str">
        <f>_xlfn.CONCAT($A114," ",$B114," ",$D114)</f>
        <v>2025 BMW i4 M50 Gran Coupe (19'' Wheels)</v>
      </c>
      <c r="CQ113" s="25"/>
      <c r="CR113" s="25"/>
      <c r="CS113" s="25"/>
      <c r="CT113" s="25"/>
      <c r="CU113" s="25"/>
      <c r="CV113" s="25"/>
      <c r="CW113" s="25"/>
      <c r="CX113" s="25"/>
      <c r="CY113" s="25"/>
      <c r="CZ113" s="25"/>
      <c r="DA113" s="25"/>
      <c r="DB113" s="25"/>
      <c r="DC113" s="25"/>
      <c r="DD113" s="25"/>
      <c r="DE113" s="25"/>
      <c r="DF113" s="25"/>
      <c r="DG113" s="25"/>
      <c r="DH113" s="25"/>
      <c r="DI113" s="25" t="str">
        <f>_xlfn.CONCAT($A114," ",$B114," ",$D114)</f>
        <v>2025 BMW i4 M50 Gran Coupe (19'' Wheels)</v>
      </c>
      <c r="DJ113" s="25"/>
      <c r="DK113" s="25"/>
      <c r="DL113" s="25"/>
      <c r="DM113" s="25"/>
      <c r="DN113" s="25"/>
      <c r="DO113" s="25"/>
      <c r="DP113" s="25"/>
      <c r="DQ113" s="25"/>
      <c r="DR113" s="25"/>
      <c r="DS113" s="25"/>
      <c r="DT113" s="25"/>
      <c r="DU113" s="25"/>
      <c r="DV113" s="25"/>
      <c r="DW113" s="25"/>
      <c r="DX113" s="25"/>
      <c r="DY113" s="25"/>
      <c r="DZ113" s="25" t="str">
        <f>_xlfn.CONCAT($A114," ",$B114," ",$D114)</f>
        <v>2025 BMW i4 M50 Gran Coupe (19'' Wheels)</v>
      </c>
      <c r="EA113" s="89"/>
      <c r="EB113" s="25"/>
      <c r="EC113" s="25"/>
      <c r="ED113" s="25"/>
      <c r="EE113" s="25"/>
      <c r="EF113" s="25"/>
      <c r="EG113" s="25"/>
      <c r="EH113" s="25"/>
      <c r="EI113" s="25"/>
      <c r="EJ113" s="25"/>
      <c r="EK113" s="25"/>
      <c r="EL113" s="25"/>
      <c r="EM113" s="25"/>
      <c r="EN113" s="25"/>
      <c r="EO113" s="25"/>
      <c r="EP113" s="25"/>
      <c r="EQ113" s="25"/>
      <c r="ER113" s="25"/>
      <c r="ES113" s="25"/>
      <c r="ET113" s="25"/>
      <c r="EU113" s="25"/>
      <c r="EV113" s="25" t="str">
        <f>_xlfn.CONCAT($A114," ",$B114," ",$D114)</f>
        <v>2025 BMW i4 M50 Gran Coupe (19'' Wheels)</v>
      </c>
      <c r="EW113" s="25"/>
      <c r="EX113" s="25"/>
      <c r="EY113" s="25"/>
      <c r="EZ113" s="25"/>
      <c r="FA113" s="25"/>
      <c r="FB113" s="25"/>
      <c r="FC113" s="25"/>
      <c r="FD113" s="25"/>
      <c r="FE113" s="25"/>
      <c r="FF113" s="25"/>
      <c r="FG113" s="25"/>
    </row>
    <row r="114" spans="1:165" x14ac:dyDescent="0.35">
      <c r="A114">
        <v>2025</v>
      </c>
      <c r="B114" t="s">
        <v>189</v>
      </c>
      <c r="C114" t="s">
        <v>189</v>
      </c>
      <c r="D114" t="s">
        <v>1802</v>
      </c>
      <c r="E114" t="s">
        <v>191</v>
      </c>
      <c r="F114">
        <v>450</v>
      </c>
      <c r="G114">
        <v>0</v>
      </c>
      <c r="I114" t="s">
        <v>1734</v>
      </c>
      <c r="J114">
        <v>93</v>
      </c>
      <c r="K114">
        <v>96</v>
      </c>
      <c r="L114">
        <v>94</v>
      </c>
      <c r="M114">
        <v>130.4</v>
      </c>
      <c r="N114">
        <v>134.6</v>
      </c>
      <c r="O114">
        <v>132.25710000000001</v>
      </c>
      <c r="P114">
        <v>92.638800000000003</v>
      </c>
      <c r="Q114">
        <v>95.622500000000002</v>
      </c>
      <c r="R114">
        <v>93.958100000000002</v>
      </c>
      <c r="V114" t="s">
        <v>167</v>
      </c>
      <c r="W114" t="s">
        <v>168</v>
      </c>
      <c r="Y114">
        <v>1</v>
      </c>
      <c r="Z114" t="s">
        <v>170</v>
      </c>
      <c r="AA114" t="s">
        <v>170</v>
      </c>
      <c r="AB114" t="s">
        <v>167</v>
      </c>
      <c r="AC114" t="s">
        <v>213</v>
      </c>
      <c r="AF114">
        <v>267</v>
      </c>
      <c r="AG114" t="s">
        <v>1735</v>
      </c>
      <c r="AH114" t="s">
        <v>1736</v>
      </c>
      <c r="AI114" t="s">
        <v>175</v>
      </c>
      <c r="AJ114" t="s">
        <v>176</v>
      </c>
      <c r="AK114" t="s">
        <v>170</v>
      </c>
      <c r="AL114" t="s">
        <v>177</v>
      </c>
      <c r="AO114">
        <v>90</v>
      </c>
      <c r="AP114">
        <v>10</v>
      </c>
      <c r="AS114">
        <v>850</v>
      </c>
      <c r="AT114">
        <v>850</v>
      </c>
      <c r="BQ114">
        <v>4</v>
      </c>
      <c r="BR114" t="s">
        <v>521</v>
      </c>
      <c r="BS114" t="s">
        <v>180</v>
      </c>
      <c r="BT114" t="s">
        <v>1769</v>
      </c>
      <c r="BU114" s="1">
        <v>45450</v>
      </c>
      <c r="BV114">
        <v>34821</v>
      </c>
      <c r="BW114" s="154"/>
      <c r="BX114" t="s">
        <v>169</v>
      </c>
      <c r="BY114" t="s">
        <v>170</v>
      </c>
      <c r="CB114" t="s">
        <v>170</v>
      </c>
      <c r="CC114" t="s">
        <v>170</v>
      </c>
      <c r="CK114" t="s">
        <v>233</v>
      </c>
      <c r="CM114">
        <v>9</v>
      </c>
      <c r="CN114" t="s">
        <v>234</v>
      </c>
      <c r="CP114">
        <v>376</v>
      </c>
      <c r="CQ114">
        <v>280.8</v>
      </c>
      <c r="CR114">
        <v>154</v>
      </c>
      <c r="CS114" t="s">
        <v>235</v>
      </c>
      <c r="CV114" t="s">
        <v>341</v>
      </c>
      <c r="CX114" t="s">
        <v>342</v>
      </c>
      <c r="CY114" t="s">
        <v>169</v>
      </c>
      <c r="DC114" t="s">
        <v>1803</v>
      </c>
      <c r="DD114">
        <v>2</v>
      </c>
      <c r="DE114" t="s">
        <v>404</v>
      </c>
      <c r="DF114" t="s">
        <v>405</v>
      </c>
      <c r="DG114" t="s">
        <v>1804</v>
      </c>
      <c r="DL114" t="s">
        <v>170</v>
      </c>
      <c r="DM114" t="s">
        <v>169</v>
      </c>
      <c r="DP114" t="s">
        <v>170</v>
      </c>
      <c r="DQ114" t="s">
        <v>187</v>
      </c>
      <c r="EA114" s="101"/>
      <c r="EB114">
        <v>9</v>
      </c>
      <c r="EC114">
        <v>10</v>
      </c>
      <c r="EE114" t="s">
        <v>1805</v>
      </c>
      <c r="EF114">
        <v>10</v>
      </c>
      <c r="EU114">
        <v>5250</v>
      </c>
      <c r="EW114">
        <v>0</v>
      </c>
      <c r="EX114">
        <v>0</v>
      </c>
      <c r="EY114">
        <v>0</v>
      </c>
      <c r="FA114">
        <v>10</v>
      </c>
      <c r="FG114">
        <v>263</v>
      </c>
      <c r="FH114">
        <v>272</v>
      </c>
      <c r="FI114">
        <v>267</v>
      </c>
    </row>
    <row r="115" spans="1:165" x14ac:dyDescent="0.35">
      <c r="A115">
        <v>2025</v>
      </c>
      <c r="B115" t="s">
        <v>189</v>
      </c>
      <c r="C115" t="s">
        <v>189</v>
      </c>
      <c r="D115" t="s">
        <v>1802</v>
      </c>
      <c r="E115" t="s">
        <v>191</v>
      </c>
      <c r="F115">
        <v>450</v>
      </c>
      <c r="G115">
        <v>0</v>
      </c>
      <c r="I115" t="s">
        <v>1734</v>
      </c>
      <c r="J115">
        <v>36</v>
      </c>
      <c r="K115">
        <v>35</v>
      </c>
      <c r="L115">
        <v>36</v>
      </c>
      <c r="M115">
        <v>25.839600000000001</v>
      </c>
      <c r="N115">
        <v>25.036799999999999</v>
      </c>
      <c r="O115">
        <v>25.478300000000001</v>
      </c>
      <c r="P115">
        <v>36.383299999999998</v>
      </c>
      <c r="Q115">
        <v>35.247999999999998</v>
      </c>
      <c r="R115">
        <v>35.872399999999999</v>
      </c>
      <c r="V115" t="s">
        <v>167</v>
      </c>
      <c r="W115" t="s">
        <v>168</v>
      </c>
      <c r="Y115">
        <v>1</v>
      </c>
      <c r="Z115" t="s">
        <v>170</v>
      </c>
      <c r="AA115" t="s">
        <v>170</v>
      </c>
      <c r="AB115" t="s">
        <v>167</v>
      </c>
      <c r="AC115" t="s">
        <v>213</v>
      </c>
      <c r="AF115">
        <v>267</v>
      </c>
      <c r="AG115" t="s">
        <v>1735</v>
      </c>
      <c r="AH115" t="s">
        <v>1736</v>
      </c>
      <c r="AI115" t="s">
        <v>1742</v>
      </c>
      <c r="AJ115" t="s">
        <v>1743</v>
      </c>
      <c r="AK115" t="s">
        <v>170</v>
      </c>
      <c r="AL115" t="s">
        <v>177</v>
      </c>
      <c r="AO115">
        <v>90</v>
      </c>
      <c r="AP115">
        <v>10</v>
      </c>
      <c r="AS115">
        <v>850</v>
      </c>
      <c r="AT115">
        <v>850</v>
      </c>
      <c r="BQ115">
        <v>4</v>
      </c>
      <c r="BR115" t="s">
        <v>521</v>
      </c>
      <c r="BS115" t="s">
        <v>180</v>
      </c>
      <c r="BT115" t="s">
        <v>1769</v>
      </c>
      <c r="BU115" s="1">
        <v>45450</v>
      </c>
      <c r="BV115">
        <v>34821</v>
      </c>
      <c r="BW115" s="154"/>
      <c r="BX115" t="s">
        <v>169</v>
      </c>
      <c r="BY115" t="s">
        <v>170</v>
      </c>
      <c r="CB115" t="s">
        <v>170</v>
      </c>
      <c r="CC115" t="s">
        <v>170</v>
      </c>
      <c r="CK115" t="s">
        <v>233</v>
      </c>
      <c r="CM115">
        <v>9</v>
      </c>
      <c r="CN115" t="s">
        <v>234</v>
      </c>
      <c r="CP115">
        <v>376</v>
      </c>
      <c r="CQ115">
        <v>280.8</v>
      </c>
      <c r="CR115">
        <v>154</v>
      </c>
      <c r="CS115" t="s">
        <v>235</v>
      </c>
      <c r="CV115" t="s">
        <v>341</v>
      </c>
      <c r="CX115" t="s">
        <v>342</v>
      </c>
      <c r="CY115" t="s">
        <v>169</v>
      </c>
      <c r="DC115" t="s">
        <v>1803</v>
      </c>
      <c r="DD115">
        <v>2</v>
      </c>
      <c r="DE115" t="s">
        <v>404</v>
      </c>
      <c r="DF115" t="s">
        <v>405</v>
      </c>
      <c r="DG115" t="s">
        <v>1804</v>
      </c>
      <c r="DL115" t="s">
        <v>170</v>
      </c>
      <c r="DM115" t="s">
        <v>169</v>
      </c>
      <c r="DP115" t="s">
        <v>170</v>
      </c>
      <c r="DQ115" t="s">
        <v>187</v>
      </c>
      <c r="EA115" s="101"/>
      <c r="EB115">
        <v>9</v>
      </c>
      <c r="EC115">
        <v>10</v>
      </c>
      <c r="EE115" t="s">
        <v>1805</v>
      </c>
      <c r="EF115">
        <v>10</v>
      </c>
      <c r="EU115">
        <v>5250</v>
      </c>
      <c r="EW115">
        <v>0</v>
      </c>
      <c r="EX115">
        <v>0</v>
      </c>
      <c r="EY115">
        <v>0</v>
      </c>
      <c r="FA115">
        <v>10</v>
      </c>
      <c r="FG115">
        <v>263</v>
      </c>
      <c r="FH115">
        <v>272</v>
      </c>
      <c r="FI115">
        <v>267</v>
      </c>
    </row>
    <row r="116" spans="1:165" x14ac:dyDescent="0.35">
      <c r="A116" s="25"/>
      <c r="B116" s="25"/>
      <c r="C116" s="25"/>
      <c r="D116" s="25"/>
      <c r="E116" s="25"/>
      <c r="F116" s="25" t="str">
        <f>_xlfn.CONCAT($A117," ",$B117," ",$D117)</f>
        <v>2025 BMW i4 M50 Gran Coupe (20'' Wheels)</v>
      </c>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t="str">
        <f>_xlfn.CONCAT($A117," ",$B117," ",$D117)</f>
        <v>2025 BMW i4 M50 Gran Coupe (20'' Wheels)</v>
      </c>
      <c r="AE116" s="25"/>
      <c r="AF116" s="25"/>
      <c r="AG116" s="25"/>
      <c r="AH116" s="25"/>
      <c r="AI116" s="25"/>
      <c r="AJ116" s="25"/>
      <c r="AK116" s="25"/>
      <c r="AL116" s="25"/>
      <c r="AM116" s="25"/>
      <c r="AN116" s="25"/>
      <c r="AO116" s="25"/>
      <c r="AP116" s="25"/>
      <c r="AQ116" s="25"/>
      <c r="AR116" s="25"/>
      <c r="AS116" s="25"/>
      <c r="AT116" s="25"/>
      <c r="AU116" s="25"/>
      <c r="AV116" s="25"/>
      <c r="AW116" s="25"/>
      <c r="AX116" s="25" t="str">
        <f>_xlfn.CONCAT($A117," ",$B117," ",$D117)</f>
        <v>2025 BMW i4 M50 Gran Coupe (20'' Wheels)</v>
      </c>
      <c r="AY116" s="25"/>
      <c r="AZ116" s="25"/>
      <c r="BA116" s="25"/>
      <c r="BB116" s="25"/>
      <c r="BC116" s="25"/>
      <c r="BD116" s="25"/>
      <c r="BE116" s="25"/>
      <c r="BF116" s="25"/>
      <c r="BG116" s="25"/>
      <c r="BH116" s="25"/>
      <c r="BI116" s="25"/>
      <c r="BJ116" s="25"/>
      <c r="BK116" s="25"/>
      <c r="BL116" s="25"/>
      <c r="BM116" s="25"/>
      <c r="BN116" s="25"/>
      <c r="BO116" s="25"/>
      <c r="BP116" s="25"/>
      <c r="BQ116" s="25"/>
      <c r="BR116" s="25" t="str">
        <f>_xlfn.CONCAT($A117," ",$B117," ",$D117)</f>
        <v>2025 BMW i4 M50 Gran Coupe (20'' Wheels)</v>
      </c>
      <c r="BS116" s="25"/>
      <c r="BT116" s="25"/>
      <c r="BU116" s="25"/>
      <c r="BV116" s="25"/>
      <c r="BW116" s="153"/>
      <c r="BX116" s="25"/>
      <c r="BY116" s="25"/>
      <c r="BZ116" s="25"/>
      <c r="CA116" s="25"/>
      <c r="CB116" s="25"/>
      <c r="CC116" s="25"/>
      <c r="CD116" s="25"/>
      <c r="CE116" s="25"/>
      <c r="CF116" s="25"/>
      <c r="CG116" s="25"/>
      <c r="CH116" s="25"/>
      <c r="CI116" s="25"/>
      <c r="CJ116" s="25"/>
      <c r="CK116" s="25"/>
      <c r="CL116" s="25"/>
      <c r="CM116" s="25"/>
      <c r="CN116" s="25"/>
      <c r="CO116" s="25"/>
      <c r="CP116" s="25" t="str">
        <f>_xlfn.CONCAT($A117," ",$B117," ",$D117)</f>
        <v>2025 BMW i4 M50 Gran Coupe (20'' Wheels)</v>
      </c>
      <c r="CQ116" s="25"/>
      <c r="CR116" s="25"/>
      <c r="CS116" s="25"/>
      <c r="CT116" s="25"/>
      <c r="CU116" s="25"/>
      <c r="CV116" s="25"/>
      <c r="CW116" s="25"/>
      <c r="CX116" s="25"/>
      <c r="CY116" s="25"/>
      <c r="CZ116" s="25"/>
      <c r="DA116" s="25"/>
      <c r="DB116" s="25"/>
      <c r="DC116" s="25"/>
      <c r="DD116" s="25"/>
      <c r="DE116" s="25"/>
      <c r="DF116" s="25"/>
      <c r="DG116" s="25"/>
      <c r="DH116" s="25"/>
      <c r="DI116" s="25" t="str">
        <f>_xlfn.CONCAT($A117," ",$B117," ",$D117)</f>
        <v>2025 BMW i4 M50 Gran Coupe (20'' Wheels)</v>
      </c>
      <c r="DJ116" s="25"/>
      <c r="DK116" s="25"/>
      <c r="DL116" s="25"/>
      <c r="DM116" s="25"/>
      <c r="DN116" s="25"/>
      <c r="DO116" s="25"/>
      <c r="DP116" s="25"/>
      <c r="DQ116" s="25"/>
      <c r="DR116" s="25"/>
      <c r="DS116" s="25"/>
      <c r="DT116" s="25"/>
      <c r="DU116" s="25"/>
      <c r="DV116" s="25"/>
      <c r="DW116" s="25"/>
      <c r="DX116" s="25"/>
      <c r="DY116" s="25"/>
      <c r="DZ116" s="25" t="str">
        <f>_xlfn.CONCAT($A117," ",$B117," ",$D117)</f>
        <v>2025 BMW i4 M50 Gran Coupe (20'' Wheels)</v>
      </c>
      <c r="EA116" s="89"/>
      <c r="EB116" s="25"/>
      <c r="EC116" s="25"/>
      <c r="ED116" s="25"/>
      <c r="EE116" s="25"/>
      <c r="EF116" s="25"/>
      <c r="EG116" s="25"/>
      <c r="EH116" s="25"/>
      <c r="EI116" s="25"/>
      <c r="EJ116" s="25"/>
      <c r="EK116" s="25"/>
      <c r="EL116" s="25"/>
      <c r="EM116" s="25"/>
      <c r="EN116" s="25"/>
      <c r="EO116" s="25"/>
      <c r="EP116" s="25"/>
      <c r="EQ116" s="25"/>
      <c r="ER116" s="25"/>
      <c r="ES116" s="25"/>
      <c r="ET116" s="25"/>
      <c r="EU116" s="25"/>
      <c r="EV116" s="25" t="str">
        <f>_xlfn.CONCAT($A117," ",$B117," ",$D117)</f>
        <v>2025 BMW i4 M50 Gran Coupe (20'' Wheels)</v>
      </c>
      <c r="EW116" s="25"/>
      <c r="EX116" s="25"/>
      <c r="EY116" s="25"/>
      <c r="EZ116" s="25"/>
      <c r="FA116" s="25"/>
      <c r="FB116" s="25"/>
      <c r="FC116" s="25"/>
      <c r="FD116" s="25"/>
      <c r="FE116" s="25"/>
      <c r="FF116" s="25"/>
      <c r="FG116" s="25"/>
    </row>
    <row r="117" spans="1:165" x14ac:dyDescent="0.35">
      <c r="A117">
        <v>2025</v>
      </c>
      <c r="B117" t="s">
        <v>189</v>
      </c>
      <c r="C117" t="s">
        <v>189</v>
      </c>
      <c r="D117" t="s">
        <v>1806</v>
      </c>
      <c r="E117" t="s">
        <v>191</v>
      </c>
      <c r="F117">
        <v>451</v>
      </c>
      <c r="G117">
        <v>0</v>
      </c>
      <c r="I117" t="s">
        <v>1734</v>
      </c>
      <c r="J117">
        <v>80</v>
      </c>
      <c r="K117">
        <v>80</v>
      </c>
      <c r="L117">
        <v>80</v>
      </c>
      <c r="M117">
        <v>112.3</v>
      </c>
      <c r="N117">
        <v>112.8</v>
      </c>
      <c r="O117">
        <v>112.5245</v>
      </c>
      <c r="P117">
        <v>79.780199999999994</v>
      </c>
      <c r="Q117">
        <v>80.135400000000004</v>
      </c>
      <c r="R117">
        <v>79.939700000000002</v>
      </c>
      <c r="V117" t="s">
        <v>167</v>
      </c>
      <c r="W117" t="s">
        <v>168</v>
      </c>
      <c r="Y117">
        <v>1</v>
      </c>
      <c r="Z117" t="s">
        <v>170</v>
      </c>
      <c r="AA117" t="s">
        <v>170</v>
      </c>
      <c r="AB117" t="s">
        <v>167</v>
      </c>
      <c r="AC117" t="s">
        <v>213</v>
      </c>
      <c r="AF117">
        <v>227</v>
      </c>
      <c r="AG117" t="s">
        <v>1735</v>
      </c>
      <c r="AH117" t="s">
        <v>1736</v>
      </c>
      <c r="AI117" t="s">
        <v>175</v>
      </c>
      <c r="AJ117" t="s">
        <v>176</v>
      </c>
      <c r="AK117" t="s">
        <v>170</v>
      </c>
      <c r="AL117" t="s">
        <v>177</v>
      </c>
      <c r="AO117">
        <v>90</v>
      </c>
      <c r="AP117">
        <v>10</v>
      </c>
      <c r="AS117">
        <v>1000</v>
      </c>
      <c r="AT117">
        <v>1000</v>
      </c>
      <c r="BQ117">
        <v>4</v>
      </c>
      <c r="BR117" t="s">
        <v>521</v>
      </c>
      <c r="BS117" t="s">
        <v>180</v>
      </c>
      <c r="BT117" t="s">
        <v>1769</v>
      </c>
      <c r="BU117" s="1">
        <v>45450</v>
      </c>
      <c r="BV117">
        <v>34822</v>
      </c>
      <c r="BW117" s="154"/>
      <c r="BX117" t="s">
        <v>169</v>
      </c>
      <c r="BY117" t="s">
        <v>170</v>
      </c>
      <c r="CB117" t="s">
        <v>170</v>
      </c>
      <c r="CC117" t="s">
        <v>170</v>
      </c>
      <c r="CK117" t="s">
        <v>233</v>
      </c>
      <c r="CM117">
        <v>9</v>
      </c>
      <c r="CN117" t="s">
        <v>234</v>
      </c>
      <c r="CP117">
        <v>376</v>
      </c>
      <c r="CQ117">
        <v>280.8</v>
      </c>
      <c r="CR117">
        <v>154</v>
      </c>
      <c r="CS117" t="s">
        <v>235</v>
      </c>
      <c r="CV117" t="s">
        <v>341</v>
      </c>
      <c r="CX117" t="s">
        <v>342</v>
      </c>
      <c r="CY117" t="s">
        <v>169</v>
      </c>
      <c r="DC117" t="s">
        <v>1803</v>
      </c>
      <c r="DD117">
        <v>2</v>
      </c>
      <c r="DE117" t="s">
        <v>404</v>
      </c>
      <c r="DF117" t="s">
        <v>405</v>
      </c>
      <c r="DG117" t="s">
        <v>1804</v>
      </c>
      <c r="DL117" t="s">
        <v>170</v>
      </c>
      <c r="DM117" t="s">
        <v>169</v>
      </c>
      <c r="DP117" t="s">
        <v>170</v>
      </c>
      <c r="DQ117" t="s">
        <v>187</v>
      </c>
      <c r="EA117" s="101"/>
      <c r="EB117">
        <v>9</v>
      </c>
      <c r="EC117">
        <v>10</v>
      </c>
      <c r="EE117" t="s">
        <v>1805</v>
      </c>
      <c r="EF117">
        <v>10</v>
      </c>
      <c r="EU117">
        <v>4500</v>
      </c>
      <c r="EW117">
        <v>0</v>
      </c>
      <c r="EX117">
        <v>0</v>
      </c>
      <c r="EY117">
        <v>0</v>
      </c>
      <c r="FA117">
        <v>10</v>
      </c>
      <c r="FG117">
        <v>227</v>
      </c>
      <c r="FH117">
        <v>228</v>
      </c>
      <c r="FI117">
        <v>227</v>
      </c>
    </row>
    <row r="118" spans="1:165" x14ac:dyDescent="0.35">
      <c r="A118">
        <v>2025</v>
      </c>
      <c r="B118" t="s">
        <v>189</v>
      </c>
      <c r="C118" t="s">
        <v>189</v>
      </c>
      <c r="D118" t="s">
        <v>1806</v>
      </c>
      <c r="E118" t="s">
        <v>191</v>
      </c>
      <c r="F118">
        <v>451</v>
      </c>
      <c r="G118">
        <v>0</v>
      </c>
      <c r="I118" t="s">
        <v>1734</v>
      </c>
      <c r="J118">
        <v>42</v>
      </c>
      <c r="K118">
        <v>42</v>
      </c>
      <c r="L118">
        <v>42</v>
      </c>
      <c r="M118">
        <v>30.0078</v>
      </c>
      <c r="N118">
        <v>29.880600000000001</v>
      </c>
      <c r="O118">
        <v>29.950600000000001</v>
      </c>
      <c r="P118">
        <v>42.247300000000003</v>
      </c>
      <c r="Q118">
        <v>42.060099999999998</v>
      </c>
      <c r="R118">
        <v>42.1631</v>
      </c>
      <c r="V118" t="s">
        <v>167</v>
      </c>
      <c r="W118" t="s">
        <v>168</v>
      </c>
      <c r="Y118">
        <v>1</v>
      </c>
      <c r="Z118" t="s">
        <v>170</v>
      </c>
      <c r="AA118" t="s">
        <v>170</v>
      </c>
      <c r="AB118" t="s">
        <v>167</v>
      </c>
      <c r="AC118" t="s">
        <v>213</v>
      </c>
      <c r="AF118">
        <v>227</v>
      </c>
      <c r="AG118" t="s">
        <v>1735</v>
      </c>
      <c r="AH118" t="s">
        <v>1736</v>
      </c>
      <c r="AI118" t="s">
        <v>1742</v>
      </c>
      <c r="AJ118" t="s">
        <v>1743</v>
      </c>
      <c r="AK118" t="s">
        <v>170</v>
      </c>
      <c r="AL118" t="s">
        <v>177</v>
      </c>
      <c r="AO118">
        <v>90</v>
      </c>
      <c r="AP118">
        <v>10</v>
      </c>
      <c r="AS118">
        <v>1000</v>
      </c>
      <c r="AT118">
        <v>1000</v>
      </c>
      <c r="BQ118">
        <v>4</v>
      </c>
      <c r="BR118" t="s">
        <v>521</v>
      </c>
      <c r="BS118" t="s">
        <v>180</v>
      </c>
      <c r="BT118" t="s">
        <v>1769</v>
      </c>
      <c r="BU118" s="1">
        <v>45450</v>
      </c>
      <c r="BV118">
        <v>34822</v>
      </c>
      <c r="BW118" s="154"/>
      <c r="BX118" t="s">
        <v>169</v>
      </c>
      <c r="BY118" t="s">
        <v>170</v>
      </c>
      <c r="CB118" t="s">
        <v>170</v>
      </c>
      <c r="CC118" t="s">
        <v>170</v>
      </c>
      <c r="CK118" t="s">
        <v>233</v>
      </c>
      <c r="CM118">
        <v>9</v>
      </c>
      <c r="CN118" t="s">
        <v>234</v>
      </c>
      <c r="CP118">
        <v>376</v>
      </c>
      <c r="CQ118">
        <v>280.8</v>
      </c>
      <c r="CR118">
        <v>154</v>
      </c>
      <c r="CS118" t="s">
        <v>235</v>
      </c>
      <c r="CV118" t="s">
        <v>341</v>
      </c>
      <c r="CX118" t="s">
        <v>342</v>
      </c>
      <c r="CY118" t="s">
        <v>169</v>
      </c>
      <c r="DC118" t="s">
        <v>1803</v>
      </c>
      <c r="DD118">
        <v>2</v>
      </c>
      <c r="DE118" t="s">
        <v>404</v>
      </c>
      <c r="DF118" t="s">
        <v>405</v>
      </c>
      <c r="DG118" t="s">
        <v>1804</v>
      </c>
      <c r="DL118" t="s">
        <v>170</v>
      </c>
      <c r="DM118" t="s">
        <v>169</v>
      </c>
      <c r="DP118" t="s">
        <v>170</v>
      </c>
      <c r="DQ118" t="s">
        <v>187</v>
      </c>
      <c r="EA118" s="101"/>
      <c r="EB118">
        <v>9</v>
      </c>
      <c r="EC118">
        <v>10</v>
      </c>
      <c r="EE118" t="s">
        <v>1805</v>
      </c>
      <c r="EF118">
        <v>10</v>
      </c>
      <c r="EU118">
        <v>4500</v>
      </c>
      <c r="EW118">
        <v>0</v>
      </c>
      <c r="EX118">
        <v>0</v>
      </c>
      <c r="EY118">
        <v>0</v>
      </c>
      <c r="FA118">
        <v>10</v>
      </c>
      <c r="FG118">
        <v>227</v>
      </c>
      <c r="FH118">
        <v>228</v>
      </c>
      <c r="FI118">
        <v>227</v>
      </c>
    </row>
    <row r="119" spans="1:165" x14ac:dyDescent="0.35">
      <c r="A119" s="25"/>
      <c r="B119" s="25"/>
      <c r="C119" s="25"/>
      <c r="D119" s="25"/>
      <c r="E119" s="25"/>
      <c r="F119" s="25" t="str">
        <f>_xlfn.CONCAT($A120," ",$B120," ",$D120)</f>
        <v>2025 BMW i5 eDrive40 Sedan (19'' Wheels)</v>
      </c>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t="str">
        <f>_xlfn.CONCAT($A120," ",$B120," ",$D120)</f>
        <v>2025 BMW i5 eDrive40 Sedan (19'' Wheels)</v>
      </c>
      <c r="AE119" s="25"/>
      <c r="AF119" s="25"/>
      <c r="AG119" s="25"/>
      <c r="AH119" s="25"/>
      <c r="AI119" s="25"/>
      <c r="AJ119" s="25"/>
      <c r="AK119" s="25"/>
      <c r="AL119" s="25"/>
      <c r="AM119" s="25"/>
      <c r="AN119" s="25"/>
      <c r="AO119" s="25"/>
      <c r="AP119" s="25"/>
      <c r="AQ119" s="25"/>
      <c r="AR119" s="25"/>
      <c r="AS119" s="25"/>
      <c r="AT119" s="25"/>
      <c r="AU119" s="25"/>
      <c r="AV119" s="25"/>
      <c r="AW119" s="25"/>
      <c r="AX119" s="25" t="str">
        <f>_xlfn.CONCAT($A120," ",$B120," ",$D120)</f>
        <v>2025 BMW i5 eDrive40 Sedan (19'' Wheels)</v>
      </c>
      <c r="AY119" s="25"/>
      <c r="AZ119" s="25"/>
      <c r="BA119" s="25"/>
      <c r="BB119" s="25"/>
      <c r="BC119" s="25"/>
      <c r="BD119" s="25"/>
      <c r="BE119" s="25"/>
      <c r="BF119" s="25"/>
      <c r="BG119" s="25"/>
      <c r="BH119" s="25"/>
      <c r="BI119" s="25"/>
      <c r="BJ119" s="25"/>
      <c r="BK119" s="25"/>
      <c r="BL119" s="25"/>
      <c r="BM119" s="25"/>
      <c r="BN119" s="25"/>
      <c r="BO119" s="25"/>
      <c r="BP119" s="25"/>
      <c r="BQ119" s="25"/>
      <c r="BR119" s="25" t="str">
        <f>_xlfn.CONCAT($A120," ",$B120," ",$D120)</f>
        <v>2025 BMW i5 eDrive40 Sedan (19'' Wheels)</v>
      </c>
      <c r="BS119" s="25"/>
      <c r="BT119" s="25"/>
      <c r="BU119" s="25"/>
      <c r="BV119" s="25"/>
      <c r="BW119" s="153"/>
      <c r="BX119" s="25"/>
      <c r="BY119" s="25"/>
      <c r="BZ119" s="25"/>
      <c r="CA119" s="25"/>
      <c r="CB119" s="25"/>
      <c r="CC119" s="25"/>
      <c r="CD119" s="25"/>
      <c r="CE119" s="25"/>
      <c r="CF119" s="25"/>
      <c r="CG119" s="25"/>
      <c r="CH119" s="25"/>
      <c r="CI119" s="25"/>
      <c r="CJ119" s="25"/>
      <c r="CK119" s="25"/>
      <c r="CL119" s="25"/>
      <c r="CM119" s="25"/>
      <c r="CN119" s="25"/>
      <c r="CO119" s="25"/>
      <c r="CP119" s="25" t="str">
        <f>_xlfn.CONCAT($A120," ",$B120," ",$D120)</f>
        <v>2025 BMW i5 eDrive40 Sedan (19'' Wheels)</v>
      </c>
      <c r="CQ119" s="25"/>
      <c r="CR119" s="25"/>
      <c r="CS119" s="25"/>
      <c r="CT119" s="25"/>
      <c r="CU119" s="25"/>
      <c r="CV119" s="25"/>
      <c r="CW119" s="25"/>
      <c r="CX119" s="25"/>
      <c r="CY119" s="25"/>
      <c r="CZ119" s="25"/>
      <c r="DA119" s="25"/>
      <c r="DB119" s="25"/>
      <c r="DC119" s="25"/>
      <c r="DD119" s="25"/>
      <c r="DE119" s="25"/>
      <c r="DF119" s="25"/>
      <c r="DG119" s="25"/>
      <c r="DH119" s="25"/>
      <c r="DI119" s="25" t="str">
        <f>_xlfn.CONCAT($A120," ",$B120," ",$D120)</f>
        <v>2025 BMW i5 eDrive40 Sedan (19'' Wheels)</v>
      </c>
      <c r="DJ119" s="25"/>
      <c r="DK119" s="25"/>
      <c r="DL119" s="25"/>
      <c r="DM119" s="25"/>
      <c r="DN119" s="25"/>
      <c r="DO119" s="25"/>
      <c r="DP119" s="25"/>
      <c r="DQ119" s="25"/>
      <c r="DR119" s="25"/>
      <c r="DS119" s="25"/>
      <c r="DT119" s="25"/>
      <c r="DU119" s="25"/>
      <c r="DV119" s="25"/>
      <c r="DW119" s="25"/>
      <c r="DX119" s="25"/>
      <c r="DY119" s="25"/>
      <c r="DZ119" s="25" t="str">
        <f>_xlfn.CONCAT($A120," ",$B120," ",$D120)</f>
        <v>2025 BMW i5 eDrive40 Sedan (19'' Wheels)</v>
      </c>
      <c r="EA119" s="89"/>
      <c r="EB119" s="25"/>
      <c r="EC119" s="25"/>
      <c r="ED119" s="25"/>
      <c r="EE119" s="25"/>
      <c r="EF119" s="25"/>
      <c r="EG119" s="25"/>
      <c r="EH119" s="25"/>
      <c r="EI119" s="25"/>
      <c r="EJ119" s="25"/>
      <c r="EK119" s="25"/>
      <c r="EL119" s="25"/>
      <c r="EM119" s="25"/>
      <c r="EN119" s="25"/>
      <c r="EO119" s="25"/>
      <c r="EP119" s="25"/>
      <c r="EQ119" s="25"/>
      <c r="ER119" s="25"/>
      <c r="ES119" s="25"/>
      <c r="ET119" s="25"/>
      <c r="EU119" s="25"/>
      <c r="EV119" s="25" t="str">
        <f>_xlfn.CONCAT($A120," ",$B120," ",$D120)</f>
        <v>2025 BMW i5 eDrive40 Sedan (19'' Wheels)</v>
      </c>
      <c r="EW119" s="25"/>
      <c r="EX119" s="25"/>
      <c r="EY119" s="25"/>
      <c r="EZ119" s="25"/>
      <c r="FA119" s="25"/>
      <c r="FB119" s="25"/>
      <c r="FC119" s="25"/>
      <c r="FD119" s="25"/>
      <c r="FE119" s="25"/>
      <c r="FF119" s="25"/>
      <c r="FG119" s="25"/>
    </row>
    <row r="120" spans="1:165" x14ac:dyDescent="0.35">
      <c r="A120">
        <v>2025</v>
      </c>
      <c r="B120" t="s">
        <v>189</v>
      </c>
      <c r="C120" t="s">
        <v>189</v>
      </c>
      <c r="D120" t="s">
        <v>1809</v>
      </c>
      <c r="E120" t="s">
        <v>191</v>
      </c>
      <c r="F120">
        <v>509</v>
      </c>
      <c r="G120">
        <v>0</v>
      </c>
      <c r="I120" t="s">
        <v>1734</v>
      </c>
      <c r="J120">
        <v>104</v>
      </c>
      <c r="K120">
        <v>105</v>
      </c>
      <c r="L120">
        <v>105</v>
      </c>
      <c r="M120">
        <v>149</v>
      </c>
      <c r="N120">
        <v>150.1</v>
      </c>
      <c r="O120">
        <v>149.49299999999999</v>
      </c>
      <c r="P120">
        <v>104.3</v>
      </c>
      <c r="Q120">
        <v>105.07</v>
      </c>
      <c r="R120">
        <v>104.6451</v>
      </c>
      <c r="V120" t="s">
        <v>167</v>
      </c>
      <c r="W120" t="s">
        <v>168</v>
      </c>
      <c r="Y120">
        <v>1</v>
      </c>
      <c r="Z120" t="s">
        <v>170</v>
      </c>
      <c r="AA120" t="s">
        <v>170</v>
      </c>
      <c r="AB120" t="s">
        <v>171</v>
      </c>
      <c r="AC120" t="s">
        <v>172</v>
      </c>
      <c r="AF120">
        <v>295</v>
      </c>
      <c r="AG120" t="s">
        <v>1735</v>
      </c>
      <c r="AH120" t="s">
        <v>1736</v>
      </c>
      <c r="AI120" t="s">
        <v>175</v>
      </c>
      <c r="AJ120" t="s">
        <v>176</v>
      </c>
      <c r="AK120" t="s">
        <v>170</v>
      </c>
      <c r="AL120" t="s">
        <v>177</v>
      </c>
      <c r="AO120">
        <v>98</v>
      </c>
      <c r="AP120">
        <v>11</v>
      </c>
      <c r="AS120">
        <v>750</v>
      </c>
      <c r="AT120">
        <v>750</v>
      </c>
      <c r="BQ120">
        <v>4</v>
      </c>
      <c r="BR120" t="s">
        <v>521</v>
      </c>
      <c r="BS120" t="s">
        <v>180</v>
      </c>
      <c r="BT120" t="s">
        <v>1769</v>
      </c>
      <c r="BU120" s="1">
        <v>45457</v>
      </c>
      <c r="BV120">
        <v>34885</v>
      </c>
      <c r="BW120" s="155"/>
      <c r="BX120" t="s">
        <v>169</v>
      </c>
      <c r="BY120" t="s">
        <v>170</v>
      </c>
      <c r="CB120" t="s">
        <v>170</v>
      </c>
      <c r="CC120" t="s">
        <v>170</v>
      </c>
      <c r="CK120" t="s">
        <v>233</v>
      </c>
      <c r="CM120">
        <v>7</v>
      </c>
      <c r="CN120" t="s">
        <v>234</v>
      </c>
      <c r="CP120">
        <v>399</v>
      </c>
      <c r="CQ120">
        <v>210.6</v>
      </c>
      <c r="CR120">
        <v>149</v>
      </c>
      <c r="CS120" t="s">
        <v>235</v>
      </c>
      <c r="CV120" t="s">
        <v>341</v>
      </c>
      <c r="CX120" t="s">
        <v>1012</v>
      </c>
      <c r="CY120" t="s">
        <v>169</v>
      </c>
      <c r="DC120" t="s">
        <v>1797</v>
      </c>
      <c r="DD120">
        <v>1</v>
      </c>
      <c r="DE120" t="s">
        <v>404</v>
      </c>
      <c r="DF120" t="s">
        <v>405</v>
      </c>
      <c r="DG120">
        <v>250</v>
      </c>
      <c r="DL120" t="s">
        <v>170</v>
      </c>
      <c r="DM120" t="s">
        <v>169</v>
      </c>
      <c r="DP120" t="s">
        <v>170</v>
      </c>
      <c r="DQ120" t="s">
        <v>187</v>
      </c>
      <c r="EA120" s="101"/>
      <c r="EB120">
        <v>9</v>
      </c>
      <c r="EC120">
        <v>10</v>
      </c>
      <c r="EE120" t="s">
        <v>1798</v>
      </c>
      <c r="EF120">
        <v>10</v>
      </c>
      <c r="EU120">
        <v>5750</v>
      </c>
      <c r="EW120">
        <v>0</v>
      </c>
      <c r="EX120">
        <v>0</v>
      </c>
      <c r="EY120">
        <v>0</v>
      </c>
      <c r="FA120">
        <v>10</v>
      </c>
      <c r="FG120">
        <v>294</v>
      </c>
      <c r="FH120">
        <v>296</v>
      </c>
      <c r="FI120">
        <v>295</v>
      </c>
    </row>
    <row r="121" spans="1:165" x14ac:dyDescent="0.35">
      <c r="A121">
        <v>2025</v>
      </c>
      <c r="B121" t="s">
        <v>189</v>
      </c>
      <c r="C121" t="s">
        <v>189</v>
      </c>
      <c r="D121" t="s">
        <v>1809</v>
      </c>
      <c r="E121" t="s">
        <v>191</v>
      </c>
      <c r="F121">
        <v>509</v>
      </c>
      <c r="G121">
        <v>0</v>
      </c>
      <c r="I121" t="s">
        <v>1734</v>
      </c>
      <c r="J121">
        <v>32</v>
      </c>
      <c r="K121">
        <v>32</v>
      </c>
      <c r="L121">
        <v>32</v>
      </c>
      <c r="M121">
        <v>22.622</v>
      </c>
      <c r="N121">
        <v>22.4605</v>
      </c>
      <c r="O121">
        <v>22.549399999999999</v>
      </c>
      <c r="P121">
        <v>32.315399999999997</v>
      </c>
      <c r="Q121">
        <v>32.078600000000002</v>
      </c>
      <c r="R121">
        <v>32.2089</v>
      </c>
      <c r="V121" t="s">
        <v>167</v>
      </c>
      <c r="W121" t="s">
        <v>168</v>
      </c>
      <c r="Y121">
        <v>1</v>
      </c>
      <c r="Z121" t="s">
        <v>170</v>
      </c>
      <c r="AA121" t="s">
        <v>170</v>
      </c>
      <c r="AB121" t="s">
        <v>171</v>
      </c>
      <c r="AC121" t="s">
        <v>172</v>
      </c>
      <c r="AF121">
        <v>295</v>
      </c>
      <c r="AG121" t="s">
        <v>1735</v>
      </c>
      <c r="AH121" t="s">
        <v>1736</v>
      </c>
      <c r="AI121" t="s">
        <v>1742</v>
      </c>
      <c r="AJ121" t="s">
        <v>1743</v>
      </c>
      <c r="AK121" t="s">
        <v>170</v>
      </c>
      <c r="AL121" t="s">
        <v>177</v>
      </c>
      <c r="AO121">
        <v>98</v>
      </c>
      <c r="AP121">
        <v>11</v>
      </c>
      <c r="AS121">
        <v>750</v>
      </c>
      <c r="AT121">
        <v>750</v>
      </c>
      <c r="BQ121">
        <v>4</v>
      </c>
      <c r="BR121" t="s">
        <v>521</v>
      </c>
      <c r="BS121" t="s">
        <v>180</v>
      </c>
      <c r="BT121" t="s">
        <v>1769</v>
      </c>
      <c r="BU121" s="1">
        <v>45457</v>
      </c>
      <c r="BV121">
        <v>34885</v>
      </c>
      <c r="BW121" s="155"/>
      <c r="BX121" t="s">
        <v>169</v>
      </c>
      <c r="BY121" t="s">
        <v>170</v>
      </c>
      <c r="CB121" t="s">
        <v>170</v>
      </c>
      <c r="CC121" t="s">
        <v>170</v>
      </c>
      <c r="CK121" t="s">
        <v>233</v>
      </c>
      <c r="CM121">
        <v>7</v>
      </c>
      <c r="CN121" t="s">
        <v>234</v>
      </c>
      <c r="CP121">
        <v>399</v>
      </c>
      <c r="CQ121">
        <v>210.6</v>
      </c>
      <c r="CR121">
        <v>149</v>
      </c>
      <c r="CS121" t="s">
        <v>235</v>
      </c>
      <c r="CV121" t="s">
        <v>341</v>
      </c>
      <c r="CX121" t="s">
        <v>1012</v>
      </c>
      <c r="CY121" t="s">
        <v>169</v>
      </c>
      <c r="DC121" t="s">
        <v>1797</v>
      </c>
      <c r="DD121">
        <v>1</v>
      </c>
      <c r="DE121" t="s">
        <v>404</v>
      </c>
      <c r="DF121" t="s">
        <v>405</v>
      </c>
      <c r="DG121">
        <v>250</v>
      </c>
      <c r="DL121" t="s">
        <v>170</v>
      </c>
      <c r="DM121" t="s">
        <v>169</v>
      </c>
      <c r="DP121" t="s">
        <v>170</v>
      </c>
      <c r="DQ121" t="s">
        <v>187</v>
      </c>
      <c r="EA121" s="101"/>
      <c r="EB121">
        <v>9</v>
      </c>
      <c r="EC121">
        <v>10</v>
      </c>
      <c r="EE121" t="s">
        <v>1798</v>
      </c>
      <c r="EF121">
        <v>10</v>
      </c>
      <c r="EU121">
        <v>5750</v>
      </c>
      <c r="EW121">
        <v>0</v>
      </c>
      <c r="EX121">
        <v>0</v>
      </c>
      <c r="EY121">
        <v>0</v>
      </c>
      <c r="FA121">
        <v>10</v>
      </c>
      <c r="FG121">
        <v>294</v>
      </c>
      <c r="FH121">
        <v>296</v>
      </c>
      <c r="FI121">
        <v>295</v>
      </c>
    </row>
    <row r="122" spans="1:165" x14ac:dyDescent="0.35">
      <c r="A122" s="25"/>
      <c r="B122" s="25"/>
      <c r="C122" s="25"/>
      <c r="D122" s="25"/>
      <c r="E122" s="25"/>
      <c r="F122" s="25" t="str">
        <f>_xlfn.CONCAT($A123," ",$B123," ",$D123)</f>
        <v>2025 BMW i5 eDrive40 Sedan (20'' Wheels)</v>
      </c>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t="str">
        <f>_xlfn.CONCAT($A123," ",$B123," ",$D123)</f>
        <v>2025 BMW i5 eDrive40 Sedan (20'' Wheels)</v>
      </c>
      <c r="AE122" s="25"/>
      <c r="AF122" s="25"/>
      <c r="AG122" s="25"/>
      <c r="AH122" s="25"/>
      <c r="AI122" s="25"/>
      <c r="AJ122" s="25"/>
      <c r="AK122" s="25"/>
      <c r="AL122" s="25"/>
      <c r="AM122" s="25"/>
      <c r="AN122" s="25"/>
      <c r="AO122" s="25"/>
      <c r="AP122" s="25"/>
      <c r="AQ122" s="25"/>
      <c r="AR122" s="25"/>
      <c r="AS122" s="25"/>
      <c r="AT122" s="25"/>
      <c r="AU122" s="25"/>
      <c r="AV122" s="25"/>
      <c r="AW122" s="25"/>
      <c r="AX122" s="25" t="str">
        <f>_xlfn.CONCAT($A123," ",$B123," ",$D123)</f>
        <v>2025 BMW i5 eDrive40 Sedan (20'' Wheels)</v>
      </c>
      <c r="AY122" s="25"/>
      <c r="AZ122" s="25"/>
      <c r="BA122" s="25"/>
      <c r="BB122" s="25"/>
      <c r="BC122" s="25"/>
      <c r="BD122" s="25"/>
      <c r="BE122" s="25"/>
      <c r="BF122" s="25"/>
      <c r="BG122" s="25"/>
      <c r="BH122" s="25"/>
      <c r="BI122" s="25"/>
      <c r="BJ122" s="25"/>
      <c r="BK122" s="25"/>
      <c r="BL122" s="25"/>
      <c r="BM122" s="25"/>
      <c r="BN122" s="25"/>
      <c r="BO122" s="25"/>
      <c r="BP122" s="25"/>
      <c r="BQ122" s="25"/>
      <c r="BR122" s="25" t="str">
        <f>_xlfn.CONCAT($A123," ",$B123," ",$D123)</f>
        <v>2025 BMW i5 eDrive40 Sedan (20'' Wheels)</v>
      </c>
      <c r="BS122" s="25"/>
      <c r="BT122" s="25"/>
      <c r="BU122" s="25"/>
      <c r="BV122" s="25"/>
      <c r="BW122" s="156"/>
      <c r="BX122" s="25"/>
      <c r="BY122" s="25"/>
      <c r="BZ122" s="25"/>
      <c r="CA122" s="25"/>
      <c r="CB122" s="25"/>
      <c r="CC122" s="25"/>
      <c r="CD122" s="25"/>
      <c r="CE122" s="25"/>
      <c r="CF122" s="25"/>
      <c r="CG122" s="25"/>
      <c r="CH122" s="25"/>
      <c r="CI122" s="25"/>
      <c r="CJ122" s="25"/>
      <c r="CK122" s="25"/>
      <c r="CL122" s="25"/>
      <c r="CM122" s="25"/>
      <c r="CN122" s="25"/>
      <c r="CO122" s="25"/>
      <c r="CP122" s="25" t="str">
        <f>_xlfn.CONCAT($A123," ",$B123," ",$D123)</f>
        <v>2025 BMW i5 eDrive40 Sedan (20'' Wheels)</v>
      </c>
      <c r="CQ122" s="25"/>
      <c r="CR122" s="25"/>
      <c r="CS122" s="25"/>
      <c r="CT122" s="25"/>
      <c r="CU122" s="25"/>
      <c r="CV122" s="25"/>
      <c r="CW122" s="25"/>
      <c r="CX122" s="25"/>
      <c r="CY122" s="25"/>
      <c r="CZ122" s="25"/>
      <c r="DA122" s="25"/>
      <c r="DB122" s="25"/>
      <c r="DC122" s="25"/>
      <c r="DD122" s="25"/>
      <c r="DE122" s="25"/>
      <c r="DF122" s="25"/>
      <c r="DG122" s="25"/>
      <c r="DH122" s="25"/>
      <c r="DI122" s="25" t="str">
        <f>_xlfn.CONCAT($A123," ",$B123," ",$D123)</f>
        <v>2025 BMW i5 eDrive40 Sedan (20'' Wheels)</v>
      </c>
      <c r="DJ122" s="25"/>
      <c r="DK122" s="25"/>
      <c r="DL122" s="25"/>
      <c r="DM122" s="25"/>
      <c r="DN122" s="25"/>
      <c r="DO122" s="25"/>
      <c r="DP122" s="25"/>
      <c r="DQ122" s="25"/>
      <c r="DR122" s="25"/>
      <c r="DS122" s="25"/>
      <c r="DT122" s="25"/>
      <c r="DU122" s="25"/>
      <c r="DV122" s="25"/>
      <c r="DW122" s="25"/>
      <c r="DX122" s="25"/>
      <c r="DY122" s="25"/>
      <c r="DZ122" s="25" t="str">
        <f>_xlfn.CONCAT($A123," ",$B123," ",$D123)</f>
        <v>2025 BMW i5 eDrive40 Sedan (20'' Wheels)</v>
      </c>
      <c r="EA122" s="89"/>
      <c r="EB122" s="25"/>
      <c r="EC122" s="25"/>
      <c r="ED122" s="25"/>
      <c r="EE122" s="25"/>
      <c r="EF122" s="25"/>
      <c r="EG122" s="25"/>
      <c r="EH122" s="25"/>
      <c r="EI122" s="25"/>
      <c r="EJ122" s="25"/>
      <c r="EK122" s="25"/>
      <c r="EL122" s="25"/>
      <c r="EM122" s="25"/>
      <c r="EN122" s="25"/>
      <c r="EO122" s="25"/>
      <c r="EP122" s="25"/>
      <c r="EQ122" s="25"/>
      <c r="ER122" s="25"/>
      <c r="ES122" s="25"/>
      <c r="ET122" s="25"/>
      <c r="EU122" s="25"/>
      <c r="EV122" s="25" t="str">
        <f>_xlfn.CONCAT($A123," ",$B123," ",$D123)</f>
        <v>2025 BMW i5 eDrive40 Sedan (20'' Wheels)</v>
      </c>
      <c r="EW122" s="25"/>
      <c r="EX122" s="25"/>
      <c r="EY122" s="25"/>
      <c r="EZ122" s="25"/>
      <c r="FA122" s="25"/>
      <c r="FB122" s="25"/>
      <c r="FC122" s="25"/>
      <c r="FD122" s="25"/>
      <c r="FE122" s="25"/>
      <c r="FF122" s="25"/>
      <c r="FG122" s="25"/>
    </row>
    <row r="123" spans="1:165" x14ac:dyDescent="0.35">
      <c r="A123">
        <v>2025</v>
      </c>
      <c r="B123" t="s">
        <v>189</v>
      </c>
      <c r="C123" t="s">
        <v>189</v>
      </c>
      <c r="D123" t="s">
        <v>1810</v>
      </c>
      <c r="E123" t="s">
        <v>191</v>
      </c>
      <c r="F123">
        <v>510</v>
      </c>
      <c r="G123">
        <v>0</v>
      </c>
      <c r="I123" t="s">
        <v>1734</v>
      </c>
      <c r="J123">
        <v>99</v>
      </c>
      <c r="K123">
        <v>98</v>
      </c>
      <c r="L123">
        <v>99</v>
      </c>
      <c r="M123">
        <v>141.80000000000001</v>
      </c>
      <c r="N123">
        <v>139.5</v>
      </c>
      <c r="O123">
        <v>140.75569999999999</v>
      </c>
      <c r="P123">
        <v>99.26</v>
      </c>
      <c r="Q123">
        <v>97.65</v>
      </c>
      <c r="R123">
        <v>98.528999999999996</v>
      </c>
      <c r="V123" t="s">
        <v>167</v>
      </c>
      <c r="W123" t="s">
        <v>168</v>
      </c>
      <c r="Y123">
        <v>1</v>
      </c>
      <c r="Z123" t="s">
        <v>170</v>
      </c>
      <c r="AA123" t="s">
        <v>170</v>
      </c>
      <c r="AB123" t="s">
        <v>171</v>
      </c>
      <c r="AC123" t="s">
        <v>172</v>
      </c>
      <c r="AF123">
        <v>278</v>
      </c>
      <c r="AG123" t="s">
        <v>1735</v>
      </c>
      <c r="AH123" t="s">
        <v>1736</v>
      </c>
      <c r="AI123" t="s">
        <v>175</v>
      </c>
      <c r="AJ123" t="s">
        <v>176</v>
      </c>
      <c r="AK123" t="s">
        <v>170</v>
      </c>
      <c r="AL123" t="s">
        <v>177</v>
      </c>
      <c r="AO123">
        <v>98</v>
      </c>
      <c r="AP123">
        <v>11</v>
      </c>
      <c r="AS123">
        <v>800</v>
      </c>
      <c r="AT123">
        <v>800</v>
      </c>
      <c r="BQ123">
        <v>4</v>
      </c>
      <c r="BR123" t="s">
        <v>521</v>
      </c>
      <c r="BS123" t="s">
        <v>180</v>
      </c>
      <c r="BT123" t="s">
        <v>1769</v>
      </c>
      <c r="BU123" s="1">
        <v>45457</v>
      </c>
      <c r="BV123">
        <v>34886</v>
      </c>
      <c r="BW123" s="155"/>
      <c r="BX123" t="s">
        <v>169</v>
      </c>
      <c r="BY123" t="s">
        <v>170</v>
      </c>
      <c r="CB123" t="s">
        <v>170</v>
      </c>
      <c r="CC123" t="s">
        <v>170</v>
      </c>
      <c r="CK123" t="s">
        <v>233</v>
      </c>
      <c r="CM123">
        <v>7</v>
      </c>
      <c r="CN123" t="s">
        <v>234</v>
      </c>
      <c r="CP123">
        <v>399</v>
      </c>
      <c r="CQ123">
        <v>210.6</v>
      </c>
      <c r="CR123">
        <v>149</v>
      </c>
      <c r="CS123" t="s">
        <v>235</v>
      </c>
      <c r="CV123" t="s">
        <v>341</v>
      </c>
      <c r="CX123" t="s">
        <v>1012</v>
      </c>
      <c r="CY123" t="s">
        <v>169</v>
      </c>
      <c r="DC123" t="s">
        <v>1797</v>
      </c>
      <c r="DD123">
        <v>1</v>
      </c>
      <c r="DE123" t="s">
        <v>404</v>
      </c>
      <c r="DF123" t="s">
        <v>405</v>
      </c>
      <c r="DG123">
        <v>250</v>
      </c>
      <c r="DL123" t="s">
        <v>170</v>
      </c>
      <c r="DM123" t="s">
        <v>169</v>
      </c>
      <c r="DP123" t="s">
        <v>170</v>
      </c>
      <c r="DQ123" t="s">
        <v>187</v>
      </c>
      <c r="EA123" s="101"/>
      <c r="EB123">
        <v>9</v>
      </c>
      <c r="EC123">
        <v>10</v>
      </c>
      <c r="EE123" t="s">
        <v>1798</v>
      </c>
      <c r="EF123">
        <v>10</v>
      </c>
      <c r="EU123">
        <v>5500</v>
      </c>
      <c r="EW123">
        <v>0</v>
      </c>
      <c r="EX123">
        <v>0</v>
      </c>
      <c r="EY123">
        <v>0</v>
      </c>
      <c r="FA123">
        <v>10</v>
      </c>
      <c r="FG123">
        <v>280</v>
      </c>
      <c r="FH123">
        <v>276</v>
      </c>
      <c r="FI123">
        <v>278</v>
      </c>
    </row>
    <row r="124" spans="1:165" x14ac:dyDescent="0.35">
      <c r="A124">
        <v>2025</v>
      </c>
      <c r="B124" t="s">
        <v>189</v>
      </c>
      <c r="C124" t="s">
        <v>189</v>
      </c>
      <c r="D124" t="s">
        <v>1810</v>
      </c>
      <c r="E124" t="s">
        <v>191</v>
      </c>
      <c r="F124">
        <v>510</v>
      </c>
      <c r="G124">
        <v>0</v>
      </c>
      <c r="I124" t="s">
        <v>1734</v>
      </c>
      <c r="J124">
        <v>34</v>
      </c>
      <c r="K124">
        <v>35</v>
      </c>
      <c r="L124">
        <v>34</v>
      </c>
      <c r="M124">
        <v>23.769200000000001</v>
      </c>
      <c r="N124">
        <v>24.165700000000001</v>
      </c>
      <c r="O124">
        <v>23.947600000000001</v>
      </c>
      <c r="P124">
        <v>33.956299999999999</v>
      </c>
      <c r="Q124">
        <v>34.516100000000002</v>
      </c>
      <c r="R124">
        <v>34.208199999999998</v>
      </c>
      <c r="V124" t="s">
        <v>167</v>
      </c>
      <c r="W124" t="s">
        <v>168</v>
      </c>
      <c r="Y124">
        <v>1</v>
      </c>
      <c r="Z124" t="s">
        <v>170</v>
      </c>
      <c r="AA124" t="s">
        <v>170</v>
      </c>
      <c r="AB124" t="s">
        <v>171</v>
      </c>
      <c r="AC124" t="s">
        <v>172</v>
      </c>
      <c r="AF124">
        <v>278</v>
      </c>
      <c r="AG124" t="s">
        <v>1735</v>
      </c>
      <c r="AH124" t="s">
        <v>1736</v>
      </c>
      <c r="AI124" t="s">
        <v>1742</v>
      </c>
      <c r="AJ124" t="s">
        <v>1743</v>
      </c>
      <c r="AK124" t="s">
        <v>170</v>
      </c>
      <c r="AL124" t="s">
        <v>177</v>
      </c>
      <c r="AO124">
        <v>98</v>
      </c>
      <c r="AP124">
        <v>11</v>
      </c>
      <c r="AS124">
        <v>800</v>
      </c>
      <c r="AT124">
        <v>800</v>
      </c>
      <c r="BQ124">
        <v>4</v>
      </c>
      <c r="BR124" t="s">
        <v>521</v>
      </c>
      <c r="BS124" t="s">
        <v>180</v>
      </c>
      <c r="BT124" t="s">
        <v>1769</v>
      </c>
      <c r="BU124" s="1">
        <v>45457</v>
      </c>
      <c r="BV124">
        <v>34886</v>
      </c>
      <c r="BW124" s="155"/>
      <c r="BX124" t="s">
        <v>169</v>
      </c>
      <c r="BY124" t="s">
        <v>170</v>
      </c>
      <c r="CB124" t="s">
        <v>170</v>
      </c>
      <c r="CC124" t="s">
        <v>170</v>
      </c>
      <c r="CK124" t="s">
        <v>233</v>
      </c>
      <c r="CM124">
        <v>7</v>
      </c>
      <c r="CN124" t="s">
        <v>234</v>
      </c>
      <c r="CP124">
        <v>399</v>
      </c>
      <c r="CQ124">
        <v>210.6</v>
      </c>
      <c r="CR124">
        <v>149</v>
      </c>
      <c r="CS124" t="s">
        <v>235</v>
      </c>
      <c r="CV124" t="s">
        <v>341</v>
      </c>
      <c r="CX124" t="s">
        <v>1012</v>
      </c>
      <c r="CY124" t="s">
        <v>169</v>
      </c>
      <c r="DC124" t="s">
        <v>1797</v>
      </c>
      <c r="DD124">
        <v>1</v>
      </c>
      <c r="DE124" t="s">
        <v>404</v>
      </c>
      <c r="DF124" t="s">
        <v>405</v>
      </c>
      <c r="DG124">
        <v>250</v>
      </c>
      <c r="DL124" t="s">
        <v>170</v>
      </c>
      <c r="DM124" t="s">
        <v>169</v>
      </c>
      <c r="DP124" t="s">
        <v>170</v>
      </c>
      <c r="DQ124" t="s">
        <v>187</v>
      </c>
      <c r="EA124" s="101"/>
      <c r="EB124">
        <v>9</v>
      </c>
      <c r="EC124">
        <v>10</v>
      </c>
      <c r="EE124" t="s">
        <v>1798</v>
      </c>
      <c r="EF124">
        <v>10</v>
      </c>
      <c r="EU124">
        <v>5500</v>
      </c>
      <c r="EW124">
        <v>0</v>
      </c>
      <c r="EX124">
        <v>0</v>
      </c>
      <c r="EY124">
        <v>0</v>
      </c>
      <c r="FA124">
        <v>10</v>
      </c>
      <c r="FG124">
        <v>280</v>
      </c>
      <c r="FH124">
        <v>276</v>
      </c>
      <c r="FI124">
        <v>278</v>
      </c>
    </row>
    <row r="125" spans="1:165" x14ac:dyDescent="0.35">
      <c r="A125" s="25"/>
      <c r="B125" s="25"/>
      <c r="C125" s="25"/>
      <c r="D125" s="25"/>
      <c r="E125" s="25"/>
      <c r="F125" s="25" t="str">
        <f>_xlfn.CONCAT($A126," ",$B126," ",$D126)</f>
        <v>2025 BMW i5 eDrive40 Sedan (21'' Wheels)</v>
      </c>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t="str">
        <f>_xlfn.CONCAT($A126," ",$B126," ",$D126)</f>
        <v>2025 BMW i5 eDrive40 Sedan (21'' Wheels)</v>
      </c>
      <c r="AE125" s="25"/>
      <c r="AF125" s="25"/>
      <c r="AG125" s="25"/>
      <c r="AH125" s="25"/>
      <c r="AI125" s="25"/>
      <c r="AJ125" s="25"/>
      <c r="AK125" s="25"/>
      <c r="AL125" s="25"/>
      <c r="AM125" s="25"/>
      <c r="AN125" s="25"/>
      <c r="AO125" s="25"/>
      <c r="AP125" s="25"/>
      <c r="AQ125" s="25"/>
      <c r="AR125" s="25"/>
      <c r="AS125" s="25"/>
      <c r="AT125" s="25"/>
      <c r="AU125" s="25"/>
      <c r="AV125" s="25"/>
      <c r="AW125" s="25"/>
      <c r="AX125" s="25" t="str">
        <f>_xlfn.CONCAT($A126," ",$B126," ",$D126)</f>
        <v>2025 BMW i5 eDrive40 Sedan (21'' Wheels)</v>
      </c>
      <c r="AY125" s="25"/>
      <c r="AZ125" s="25"/>
      <c r="BA125" s="25"/>
      <c r="BB125" s="25"/>
      <c r="BC125" s="25"/>
      <c r="BD125" s="25"/>
      <c r="BE125" s="25"/>
      <c r="BF125" s="25"/>
      <c r="BG125" s="25"/>
      <c r="BH125" s="25"/>
      <c r="BI125" s="25"/>
      <c r="BJ125" s="25"/>
      <c r="BK125" s="25"/>
      <c r="BL125" s="25"/>
      <c r="BM125" s="25"/>
      <c r="BN125" s="25"/>
      <c r="BO125" s="25"/>
      <c r="BP125" s="25"/>
      <c r="BQ125" s="25"/>
      <c r="BR125" s="25" t="str">
        <f>_xlfn.CONCAT($A126," ",$B126," ",$D126)</f>
        <v>2025 BMW i5 eDrive40 Sedan (21'' Wheels)</v>
      </c>
      <c r="BS125" s="25"/>
      <c r="BT125" s="25"/>
      <c r="BU125" s="25"/>
      <c r="BV125" s="25"/>
      <c r="BW125" s="156"/>
      <c r="BX125" s="25"/>
      <c r="BY125" s="25"/>
      <c r="BZ125" s="25"/>
      <c r="CA125" s="25"/>
      <c r="CB125" s="25"/>
      <c r="CC125" s="25"/>
      <c r="CD125" s="25"/>
      <c r="CE125" s="25"/>
      <c r="CF125" s="25"/>
      <c r="CG125" s="25"/>
      <c r="CH125" s="25"/>
      <c r="CI125" s="25"/>
      <c r="CJ125" s="25"/>
      <c r="CK125" s="25"/>
      <c r="CL125" s="25"/>
      <c r="CM125" s="25"/>
      <c r="CN125" s="25"/>
      <c r="CO125" s="25"/>
      <c r="CP125" s="25" t="str">
        <f>_xlfn.CONCAT($A126," ",$B126," ",$D126)</f>
        <v>2025 BMW i5 eDrive40 Sedan (21'' Wheels)</v>
      </c>
      <c r="CQ125" s="25"/>
      <c r="CR125" s="25"/>
      <c r="CS125" s="25"/>
      <c r="CT125" s="25"/>
      <c r="CU125" s="25"/>
      <c r="CV125" s="25"/>
      <c r="CW125" s="25"/>
      <c r="CX125" s="25"/>
      <c r="CY125" s="25"/>
      <c r="CZ125" s="25"/>
      <c r="DA125" s="25"/>
      <c r="DB125" s="25"/>
      <c r="DC125" s="25"/>
      <c r="DD125" s="25"/>
      <c r="DE125" s="25"/>
      <c r="DF125" s="25"/>
      <c r="DG125" s="25"/>
      <c r="DH125" s="25"/>
      <c r="DI125" s="25" t="str">
        <f>_xlfn.CONCAT($A126," ",$B126," ",$D126)</f>
        <v>2025 BMW i5 eDrive40 Sedan (21'' Wheels)</v>
      </c>
      <c r="DJ125" s="25"/>
      <c r="DK125" s="25"/>
      <c r="DL125" s="25"/>
      <c r="DM125" s="25"/>
      <c r="DN125" s="25"/>
      <c r="DO125" s="25"/>
      <c r="DP125" s="25"/>
      <c r="DQ125" s="25"/>
      <c r="DR125" s="25"/>
      <c r="DS125" s="25"/>
      <c r="DT125" s="25"/>
      <c r="DU125" s="25"/>
      <c r="DV125" s="25"/>
      <c r="DW125" s="25"/>
      <c r="DX125" s="25"/>
      <c r="DY125" s="25"/>
      <c r="DZ125" s="25" t="str">
        <f>_xlfn.CONCAT($A126," ",$B126," ",$D126)</f>
        <v>2025 BMW i5 eDrive40 Sedan (21'' Wheels)</v>
      </c>
      <c r="EA125" s="89"/>
      <c r="EB125" s="25"/>
      <c r="EC125" s="25"/>
      <c r="ED125" s="25"/>
      <c r="EE125" s="25"/>
      <c r="EF125" s="25"/>
      <c r="EG125" s="25"/>
      <c r="EH125" s="25"/>
      <c r="EI125" s="25"/>
      <c r="EJ125" s="25"/>
      <c r="EK125" s="25"/>
      <c r="EL125" s="25"/>
      <c r="EM125" s="25"/>
      <c r="EN125" s="25"/>
      <c r="EO125" s="25"/>
      <c r="EP125" s="25"/>
      <c r="EQ125" s="25"/>
      <c r="ER125" s="25"/>
      <c r="ES125" s="25"/>
      <c r="ET125" s="25"/>
      <c r="EU125" s="25"/>
      <c r="EV125" s="25" t="str">
        <f>_xlfn.CONCAT($A126," ",$B126," ",$D126)</f>
        <v>2025 BMW i5 eDrive40 Sedan (21'' Wheels)</v>
      </c>
      <c r="EW125" s="25"/>
      <c r="EX125" s="25"/>
      <c r="EY125" s="25"/>
      <c r="EZ125" s="25"/>
      <c r="FA125" s="25"/>
      <c r="FB125" s="25"/>
      <c r="FC125" s="25"/>
      <c r="FD125" s="25"/>
      <c r="FE125" s="25"/>
      <c r="FF125" s="25"/>
      <c r="FG125" s="25"/>
    </row>
    <row r="126" spans="1:165" x14ac:dyDescent="0.35">
      <c r="A126">
        <v>2025</v>
      </c>
      <c r="B126" t="s">
        <v>189</v>
      </c>
      <c r="C126" t="s">
        <v>189</v>
      </c>
      <c r="D126" t="s">
        <v>1811</v>
      </c>
      <c r="E126" t="s">
        <v>191</v>
      </c>
      <c r="F126">
        <v>511</v>
      </c>
      <c r="G126">
        <v>0</v>
      </c>
      <c r="I126" t="s">
        <v>1734</v>
      </c>
      <c r="J126">
        <v>97</v>
      </c>
      <c r="K126">
        <v>94</v>
      </c>
      <c r="L126">
        <v>96</v>
      </c>
      <c r="M126">
        <v>138.80000000000001</v>
      </c>
      <c r="N126">
        <v>133.80000000000001</v>
      </c>
      <c r="O126">
        <v>136.50450000000001</v>
      </c>
      <c r="P126">
        <v>97.16</v>
      </c>
      <c r="Q126">
        <v>93.66</v>
      </c>
      <c r="R126">
        <v>95.553200000000004</v>
      </c>
      <c r="V126" t="s">
        <v>167</v>
      </c>
      <c r="W126" t="s">
        <v>168</v>
      </c>
      <c r="Y126">
        <v>1</v>
      </c>
      <c r="Z126" t="s">
        <v>170</v>
      </c>
      <c r="AA126" t="s">
        <v>170</v>
      </c>
      <c r="AB126" t="s">
        <v>171</v>
      </c>
      <c r="AC126" t="s">
        <v>172</v>
      </c>
      <c r="AF126">
        <v>271</v>
      </c>
      <c r="AG126" t="s">
        <v>1735</v>
      </c>
      <c r="AH126" t="s">
        <v>1736</v>
      </c>
      <c r="AI126" t="s">
        <v>175</v>
      </c>
      <c r="AJ126" t="s">
        <v>176</v>
      </c>
      <c r="AK126" t="s">
        <v>170</v>
      </c>
      <c r="AL126" t="s">
        <v>177</v>
      </c>
      <c r="AO126">
        <v>98</v>
      </c>
      <c r="AP126">
        <v>11</v>
      </c>
      <c r="AS126">
        <v>850</v>
      </c>
      <c r="AT126">
        <v>850</v>
      </c>
      <c r="BQ126">
        <v>4</v>
      </c>
      <c r="BR126" t="s">
        <v>521</v>
      </c>
      <c r="BS126" t="s">
        <v>180</v>
      </c>
      <c r="BT126" t="s">
        <v>1769</v>
      </c>
      <c r="BU126" s="1">
        <v>45457</v>
      </c>
      <c r="BV126">
        <v>34887</v>
      </c>
      <c r="BW126" s="154"/>
      <c r="BX126" t="s">
        <v>169</v>
      </c>
      <c r="BY126" t="s">
        <v>170</v>
      </c>
      <c r="CB126" t="s">
        <v>170</v>
      </c>
      <c r="CC126" t="s">
        <v>170</v>
      </c>
      <c r="CK126" t="s">
        <v>233</v>
      </c>
      <c r="CM126">
        <v>7</v>
      </c>
      <c r="CN126" t="s">
        <v>234</v>
      </c>
      <c r="CP126">
        <v>399</v>
      </c>
      <c r="CQ126">
        <v>210.6</v>
      </c>
      <c r="CR126">
        <v>149</v>
      </c>
      <c r="CS126" t="s">
        <v>235</v>
      </c>
      <c r="CV126" t="s">
        <v>341</v>
      </c>
      <c r="CX126" t="s">
        <v>1012</v>
      </c>
      <c r="CY126" t="s">
        <v>169</v>
      </c>
      <c r="DC126" t="s">
        <v>1797</v>
      </c>
      <c r="DD126">
        <v>1</v>
      </c>
      <c r="DE126" t="s">
        <v>404</v>
      </c>
      <c r="DF126" t="s">
        <v>405</v>
      </c>
      <c r="DG126">
        <v>250</v>
      </c>
      <c r="DL126" t="s">
        <v>170</v>
      </c>
      <c r="DM126" t="s">
        <v>169</v>
      </c>
      <c r="DP126" t="s">
        <v>170</v>
      </c>
      <c r="DQ126" t="s">
        <v>187</v>
      </c>
      <c r="EA126" s="129"/>
      <c r="EB126">
        <v>9</v>
      </c>
      <c r="EC126">
        <v>10</v>
      </c>
      <c r="EE126" t="s">
        <v>1798</v>
      </c>
      <c r="EF126">
        <v>10</v>
      </c>
      <c r="EU126">
        <v>5250</v>
      </c>
      <c r="EW126">
        <v>0</v>
      </c>
      <c r="EX126">
        <v>0</v>
      </c>
      <c r="EY126">
        <v>0</v>
      </c>
      <c r="FA126">
        <v>10</v>
      </c>
      <c r="FG126">
        <v>275</v>
      </c>
      <c r="FH126">
        <v>266</v>
      </c>
      <c r="FI126">
        <v>271</v>
      </c>
    </row>
    <row r="127" spans="1:165" x14ac:dyDescent="0.35">
      <c r="A127">
        <v>2025</v>
      </c>
      <c r="B127" t="s">
        <v>189</v>
      </c>
      <c r="C127" t="s">
        <v>189</v>
      </c>
      <c r="D127" t="s">
        <v>1811</v>
      </c>
      <c r="E127" t="s">
        <v>191</v>
      </c>
      <c r="F127">
        <v>511</v>
      </c>
      <c r="G127">
        <v>0</v>
      </c>
      <c r="I127" t="s">
        <v>1734</v>
      </c>
      <c r="J127">
        <v>35</v>
      </c>
      <c r="K127">
        <v>36</v>
      </c>
      <c r="L127">
        <v>35</v>
      </c>
      <c r="M127">
        <v>24.279</v>
      </c>
      <c r="N127">
        <v>25.184999999999999</v>
      </c>
      <c r="O127">
        <v>24.686699999999998</v>
      </c>
      <c r="P127">
        <v>34.690199999999997</v>
      </c>
      <c r="Q127">
        <v>35.986499999999999</v>
      </c>
      <c r="R127">
        <v>35.273600000000002</v>
      </c>
      <c r="V127" t="s">
        <v>167</v>
      </c>
      <c r="W127" t="s">
        <v>168</v>
      </c>
      <c r="Y127">
        <v>1</v>
      </c>
      <c r="Z127" t="s">
        <v>170</v>
      </c>
      <c r="AA127" t="s">
        <v>170</v>
      </c>
      <c r="AB127" t="s">
        <v>171</v>
      </c>
      <c r="AC127" t="s">
        <v>172</v>
      </c>
      <c r="AF127">
        <v>271</v>
      </c>
      <c r="AG127" t="s">
        <v>1735</v>
      </c>
      <c r="AH127" t="s">
        <v>1736</v>
      </c>
      <c r="AI127" t="s">
        <v>1742</v>
      </c>
      <c r="AJ127" t="s">
        <v>1743</v>
      </c>
      <c r="AK127" t="s">
        <v>170</v>
      </c>
      <c r="AL127" t="s">
        <v>177</v>
      </c>
      <c r="AO127">
        <v>98</v>
      </c>
      <c r="AP127">
        <v>11</v>
      </c>
      <c r="AS127">
        <v>850</v>
      </c>
      <c r="AT127">
        <v>850</v>
      </c>
      <c r="BQ127">
        <v>4</v>
      </c>
      <c r="BR127" t="s">
        <v>521</v>
      </c>
      <c r="BS127" t="s">
        <v>180</v>
      </c>
      <c r="BT127" t="s">
        <v>1769</v>
      </c>
      <c r="BU127" s="1">
        <v>45457</v>
      </c>
      <c r="BV127">
        <v>34887</v>
      </c>
      <c r="BW127" s="154"/>
      <c r="BX127" t="s">
        <v>169</v>
      </c>
      <c r="BY127" t="s">
        <v>170</v>
      </c>
      <c r="CB127" t="s">
        <v>170</v>
      </c>
      <c r="CC127" t="s">
        <v>170</v>
      </c>
      <c r="CK127" t="s">
        <v>233</v>
      </c>
      <c r="CM127">
        <v>7</v>
      </c>
      <c r="CN127" t="s">
        <v>234</v>
      </c>
      <c r="CP127">
        <v>399</v>
      </c>
      <c r="CQ127">
        <v>210.6</v>
      </c>
      <c r="CR127">
        <v>149</v>
      </c>
      <c r="CS127" t="s">
        <v>235</v>
      </c>
      <c r="CV127" t="s">
        <v>341</v>
      </c>
      <c r="CX127" t="s">
        <v>1012</v>
      </c>
      <c r="CY127" t="s">
        <v>169</v>
      </c>
      <c r="DC127" t="s">
        <v>1797</v>
      </c>
      <c r="DD127">
        <v>1</v>
      </c>
      <c r="DE127" t="s">
        <v>404</v>
      </c>
      <c r="DF127" t="s">
        <v>405</v>
      </c>
      <c r="DG127">
        <v>250</v>
      </c>
      <c r="DL127" t="s">
        <v>170</v>
      </c>
      <c r="DM127" t="s">
        <v>169</v>
      </c>
      <c r="DP127" t="s">
        <v>170</v>
      </c>
      <c r="DQ127" t="s">
        <v>187</v>
      </c>
      <c r="EA127" s="129"/>
      <c r="EB127">
        <v>9</v>
      </c>
      <c r="EC127">
        <v>10</v>
      </c>
      <c r="EE127" t="s">
        <v>1798</v>
      </c>
      <c r="EF127">
        <v>10</v>
      </c>
      <c r="EU127">
        <v>5250</v>
      </c>
      <c r="EW127">
        <v>0</v>
      </c>
      <c r="EX127">
        <v>0</v>
      </c>
      <c r="EY127">
        <v>0</v>
      </c>
      <c r="FA127">
        <v>10</v>
      </c>
      <c r="FG127">
        <v>275</v>
      </c>
      <c r="FH127">
        <v>266</v>
      </c>
      <c r="FI127">
        <v>271</v>
      </c>
    </row>
    <row r="128" spans="1:165" x14ac:dyDescent="0.35">
      <c r="A128" s="25"/>
      <c r="B128" s="25"/>
      <c r="C128" s="25"/>
      <c r="D128" s="25"/>
      <c r="E128" s="25"/>
      <c r="F128" s="25" t="str">
        <f>_xlfn.CONCAT($A129," ",$B129," ",$D129)</f>
        <v>2025 BMW i5 xDrive40 Sedan (19'' Wheels)</v>
      </c>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t="str">
        <f>_xlfn.CONCAT($A129," ",$B129," ",$D129)</f>
        <v>2025 BMW i5 xDrive40 Sedan (19'' Wheels)</v>
      </c>
      <c r="AE128" s="25"/>
      <c r="AF128" s="25"/>
      <c r="AG128" s="25"/>
      <c r="AH128" s="25"/>
      <c r="AI128" s="25"/>
      <c r="AJ128" s="25"/>
      <c r="AK128" s="25"/>
      <c r="AL128" s="25"/>
      <c r="AM128" s="25"/>
      <c r="AN128" s="25"/>
      <c r="AO128" s="25"/>
      <c r="AP128" s="25"/>
      <c r="AQ128" s="25"/>
      <c r="AR128" s="25"/>
      <c r="AS128" s="25"/>
      <c r="AT128" s="25"/>
      <c r="AU128" s="25"/>
      <c r="AV128" s="25"/>
      <c r="AW128" s="25"/>
      <c r="AX128" s="25" t="str">
        <f>_xlfn.CONCAT($A129," ",$B129," ",$D129)</f>
        <v>2025 BMW i5 xDrive40 Sedan (19'' Wheels)</v>
      </c>
      <c r="AY128" s="25"/>
      <c r="AZ128" s="25"/>
      <c r="BA128" s="25"/>
      <c r="BB128" s="25"/>
      <c r="BC128" s="25"/>
      <c r="BD128" s="25"/>
      <c r="BE128" s="25"/>
      <c r="BF128" s="25"/>
      <c r="BG128" s="25"/>
      <c r="BH128" s="25"/>
      <c r="BI128" s="25"/>
      <c r="BJ128" s="25"/>
      <c r="BK128" s="25"/>
      <c r="BL128" s="25"/>
      <c r="BM128" s="25"/>
      <c r="BN128" s="25"/>
      <c r="BO128" s="25"/>
      <c r="BP128" s="25"/>
      <c r="BQ128" s="25"/>
      <c r="BR128" s="25" t="str">
        <f>_xlfn.CONCAT($A129," ",$B129," ",$D129)</f>
        <v>2025 BMW i5 xDrive40 Sedan (19'' Wheels)</v>
      </c>
      <c r="BS128" s="25"/>
      <c r="BT128" s="25"/>
      <c r="BU128" s="25"/>
      <c r="BV128" s="25"/>
      <c r="BW128" s="153"/>
      <c r="BX128" s="25"/>
      <c r="BY128" s="25"/>
      <c r="BZ128" s="25"/>
      <c r="CA128" s="25"/>
      <c r="CB128" s="25"/>
      <c r="CC128" s="25"/>
      <c r="CD128" s="25"/>
      <c r="CE128" s="25"/>
      <c r="CF128" s="25"/>
      <c r="CG128" s="25"/>
      <c r="CH128" s="25"/>
      <c r="CI128" s="25"/>
      <c r="CJ128" s="25"/>
      <c r="CK128" s="25"/>
      <c r="CL128" s="25"/>
      <c r="CM128" s="25"/>
      <c r="CN128" s="25"/>
      <c r="CO128" s="25"/>
      <c r="CP128" s="25" t="str">
        <f>_xlfn.CONCAT($A129," ",$B129," ",$D129)</f>
        <v>2025 BMW i5 xDrive40 Sedan (19'' Wheels)</v>
      </c>
      <c r="CQ128" s="25"/>
      <c r="CR128" s="25"/>
      <c r="CS128" s="25"/>
      <c r="CT128" s="25"/>
      <c r="CU128" s="25"/>
      <c r="CV128" s="25"/>
      <c r="CW128" s="25"/>
      <c r="CX128" s="25"/>
      <c r="CY128" s="25"/>
      <c r="CZ128" s="25"/>
      <c r="DA128" s="25"/>
      <c r="DB128" s="25"/>
      <c r="DC128" s="25"/>
      <c r="DD128" s="25"/>
      <c r="DE128" s="25"/>
      <c r="DF128" s="25"/>
      <c r="DG128" s="25"/>
      <c r="DH128" s="25"/>
      <c r="DI128" s="25" t="str">
        <f>_xlfn.CONCAT($A129," ",$B129," ",$D129)</f>
        <v>2025 BMW i5 xDrive40 Sedan (19'' Wheels)</v>
      </c>
      <c r="DJ128" s="25"/>
      <c r="DK128" s="25"/>
      <c r="DL128" s="25"/>
      <c r="DM128" s="25"/>
      <c r="DN128" s="25"/>
      <c r="DO128" s="25"/>
      <c r="DP128" s="25"/>
      <c r="DQ128" s="25"/>
      <c r="DR128" s="25"/>
      <c r="DS128" s="25"/>
      <c r="DT128" s="25"/>
      <c r="DU128" s="25"/>
      <c r="DV128" s="25"/>
      <c r="DW128" s="25"/>
      <c r="DX128" s="25"/>
      <c r="DY128" s="25"/>
      <c r="DZ128" s="25" t="str">
        <f>_xlfn.CONCAT($A129," ",$B129," ",$D129)</f>
        <v>2025 BMW i5 xDrive40 Sedan (19'' Wheels)</v>
      </c>
      <c r="EA128" s="130"/>
      <c r="EB128" s="25"/>
      <c r="EC128" s="25"/>
      <c r="ED128" s="25"/>
      <c r="EE128" s="25"/>
      <c r="EF128" s="25"/>
      <c r="EG128" s="25"/>
      <c r="EH128" s="25"/>
      <c r="EI128" s="25"/>
      <c r="EJ128" s="25"/>
      <c r="EK128" s="25"/>
      <c r="EL128" s="25"/>
      <c r="EM128" s="25"/>
      <c r="EN128" s="25"/>
      <c r="EO128" s="25"/>
      <c r="EP128" s="25"/>
      <c r="EQ128" s="25"/>
      <c r="ER128" s="25"/>
      <c r="ES128" s="25"/>
      <c r="ET128" s="25"/>
      <c r="EU128" s="25"/>
      <c r="EV128" s="25" t="str">
        <f>_xlfn.CONCAT($A129," ",$B129," ",$D129)</f>
        <v>2025 BMW i5 xDrive40 Sedan (19'' Wheels)</v>
      </c>
      <c r="EW128" s="25"/>
      <c r="EX128" s="25"/>
      <c r="EY128" s="25"/>
      <c r="EZ128" s="25"/>
      <c r="FA128" s="25"/>
      <c r="FB128" s="25"/>
      <c r="FC128" s="25"/>
      <c r="FD128" s="25"/>
      <c r="FE128" s="25"/>
      <c r="FF128" s="25"/>
      <c r="FG128" s="25"/>
    </row>
    <row r="129" spans="1:165" x14ac:dyDescent="0.35">
      <c r="A129">
        <v>2025</v>
      </c>
      <c r="B129" t="s">
        <v>189</v>
      </c>
      <c r="C129" t="s">
        <v>189</v>
      </c>
      <c r="D129" t="s">
        <v>1815</v>
      </c>
      <c r="E129" t="s">
        <v>191</v>
      </c>
      <c r="F129">
        <v>515</v>
      </c>
      <c r="G129">
        <v>0</v>
      </c>
      <c r="I129" t="s">
        <v>1734</v>
      </c>
      <c r="J129">
        <v>92</v>
      </c>
      <c r="K129">
        <v>95</v>
      </c>
      <c r="L129">
        <v>93</v>
      </c>
      <c r="M129">
        <v>130.30000000000001</v>
      </c>
      <c r="N129">
        <v>134.1</v>
      </c>
      <c r="O129">
        <v>131.983</v>
      </c>
      <c r="P129">
        <v>92.062200000000004</v>
      </c>
      <c r="Q129">
        <v>94.747</v>
      </c>
      <c r="R129">
        <v>93.251300000000001</v>
      </c>
      <c r="V129" t="s">
        <v>167</v>
      </c>
      <c r="W129" t="s">
        <v>168</v>
      </c>
      <c r="Y129">
        <v>1</v>
      </c>
      <c r="Z129" t="s">
        <v>170</v>
      </c>
      <c r="AA129" t="s">
        <v>170</v>
      </c>
      <c r="AB129" t="s">
        <v>167</v>
      </c>
      <c r="AC129" t="s">
        <v>213</v>
      </c>
      <c r="AF129">
        <v>266</v>
      </c>
      <c r="AG129" t="s">
        <v>1735</v>
      </c>
      <c r="AH129" t="s">
        <v>1736</v>
      </c>
      <c r="AI129" t="s">
        <v>175</v>
      </c>
      <c r="AJ129" t="s">
        <v>176</v>
      </c>
      <c r="AK129" t="s">
        <v>170</v>
      </c>
      <c r="AL129" t="s">
        <v>177</v>
      </c>
      <c r="AO129">
        <v>98</v>
      </c>
      <c r="AP129">
        <v>11</v>
      </c>
      <c r="AS129">
        <v>850</v>
      </c>
      <c r="AT129">
        <v>850</v>
      </c>
      <c r="BQ129">
        <v>4</v>
      </c>
      <c r="BR129" t="s">
        <v>521</v>
      </c>
      <c r="BS129" t="s">
        <v>180</v>
      </c>
      <c r="BT129" t="s">
        <v>1769</v>
      </c>
      <c r="BU129" s="1">
        <v>45387</v>
      </c>
      <c r="BV129">
        <v>34645</v>
      </c>
      <c r="BW129" s="155"/>
      <c r="BX129" t="s">
        <v>170</v>
      </c>
      <c r="BY129" t="s">
        <v>170</v>
      </c>
      <c r="CB129" t="s">
        <v>170</v>
      </c>
      <c r="CC129" t="s">
        <v>170</v>
      </c>
      <c r="CK129" t="s">
        <v>233</v>
      </c>
      <c r="CM129">
        <v>9</v>
      </c>
      <c r="CN129" t="s">
        <v>234</v>
      </c>
      <c r="CP129">
        <v>376</v>
      </c>
      <c r="CQ129">
        <v>280.8</v>
      </c>
      <c r="CR129">
        <v>154</v>
      </c>
      <c r="CS129" t="s">
        <v>235</v>
      </c>
      <c r="CV129" t="s">
        <v>341</v>
      </c>
      <c r="CX129" t="s">
        <v>342</v>
      </c>
      <c r="CY129" t="s">
        <v>169</v>
      </c>
      <c r="DC129" t="s">
        <v>1803</v>
      </c>
      <c r="DD129">
        <v>2</v>
      </c>
      <c r="DE129" t="s">
        <v>404</v>
      </c>
      <c r="DF129" t="s">
        <v>405</v>
      </c>
      <c r="DG129" t="s">
        <v>1804</v>
      </c>
      <c r="DL129" t="s">
        <v>170</v>
      </c>
      <c r="DM129" t="s">
        <v>169</v>
      </c>
      <c r="DP129" t="s">
        <v>170</v>
      </c>
      <c r="DQ129" t="s">
        <v>187</v>
      </c>
      <c r="EA129" s="101"/>
      <c r="EB129">
        <v>9</v>
      </c>
      <c r="EC129">
        <v>10</v>
      </c>
      <c r="EE129" t="s">
        <v>1805</v>
      </c>
      <c r="EF129">
        <v>10</v>
      </c>
      <c r="EU129">
        <v>5250</v>
      </c>
      <c r="EW129">
        <v>0</v>
      </c>
      <c r="EX129">
        <v>0</v>
      </c>
      <c r="EY129">
        <v>0</v>
      </c>
      <c r="FA129">
        <v>10</v>
      </c>
      <c r="FG129">
        <v>263</v>
      </c>
      <c r="FH129">
        <v>270</v>
      </c>
      <c r="FI129">
        <v>266</v>
      </c>
    </row>
    <row r="130" spans="1:165" x14ac:dyDescent="0.35">
      <c r="A130">
        <v>2025</v>
      </c>
      <c r="B130" t="s">
        <v>189</v>
      </c>
      <c r="C130" t="s">
        <v>189</v>
      </c>
      <c r="D130" t="s">
        <v>1815</v>
      </c>
      <c r="E130" t="s">
        <v>191</v>
      </c>
      <c r="F130">
        <v>515</v>
      </c>
      <c r="G130">
        <v>0</v>
      </c>
      <c r="I130" t="s">
        <v>1734</v>
      </c>
      <c r="J130">
        <v>37</v>
      </c>
      <c r="K130">
        <v>36</v>
      </c>
      <c r="L130">
        <v>36</v>
      </c>
      <c r="M130">
        <v>25.8721</v>
      </c>
      <c r="N130">
        <v>25.1266</v>
      </c>
      <c r="O130">
        <v>25.5366</v>
      </c>
      <c r="P130">
        <v>36.6111</v>
      </c>
      <c r="Q130">
        <v>35.573700000000002</v>
      </c>
      <c r="R130">
        <v>36.144300000000001</v>
      </c>
      <c r="V130" t="s">
        <v>167</v>
      </c>
      <c r="W130" t="s">
        <v>168</v>
      </c>
      <c r="Y130">
        <v>1</v>
      </c>
      <c r="Z130" t="s">
        <v>170</v>
      </c>
      <c r="AA130" t="s">
        <v>170</v>
      </c>
      <c r="AB130" t="s">
        <v>167</v>
      </c>
      <c r="AC130" t="s">
        <v>213</v>
      </c>
      <c r="AF130">
        <v>266</v>
      </c>
      <c r="AG130" t="s">
        <v>1735</v>
      </c>
      <c r="AH130" t="s">
        <v>1736</v>
      </c>
      <c r="AI130" t="s">
        <v>1742</v>
      </c>
      <c r="AJ130" t="s">
        <v>1743</v>
      </c>
      <c r="AK130" t="s">
        <v>170</v>
      </c>
      <c r="AL130" t="s">
        <v>177</v>
      </c>
      <c r="AO130">
        <v>98</v>
      </c>
      <c r="AP130">
        <v>11</v>
      </c>
      <c r="AS130">
        <v>850</v>
      </c>
      <c r="AT130">
        <v>850</v>
      </c>
      <c r="BQ130">
        <v>4</v>
      </c>
      <c r="BR130" t="s">
        <v>521</v>
      </c>
      <c r="BS130" t="s">
        <v>180</v>
      </c>
      <c r="BT130" t="s">
        <v>1769</v>
      </c>
      <c r="BU130" s="1">
        <v>45387</v>
      </c>
      <c r="BV130">
        <v>34645</v>
      </c>
      <c r="BW130" s="155"/>
      <c r="BX130" t="s">
        <v>170</v>
      </c>
      <c r="BY130" t="s">
        <v>170</v>
      </c>
      <c r="CB130" t="s">
        <v>170</v>
      </c>
      <c r="CC130" t="s">
        <v>170</v>
      </c>
      <c r="CK130" t="s">
        <v>233</v>
      </c>
      <c r="CM130">
        <v>9</v>
      </c>
      <c r="CN130" t="s">
        <v>234</v>
      </c>
      <c r="CP130">
        <v>376</v>
      </c>
      <c r="CQ130">
        <v>280.8</v>
      </c>
      <c r="CR130">
        <v>154</v>
      </c>
      <c r="CS130" t="s">
        <v>235</v>
      </c>
      <c r="CV130" t="s">
        <v>341</v>
      </c>
      <c r="CX130" t="s">
        <v>342</v>
      </c>
      <c r="CY130" t="s">
        <v>169</v>
      </c>
      <c r="DC130" t="s">
        <v>1803</v>
      </c>
      <c r="DD130">
        <v>2</v>
      </c>
      <c r="DE130" t="s">
        <v>404</v>
      </c>
      <c r="DF130" t="s">
        <v>405</v>
      </c>
      <c r="DG130" t="s">
        <v>1804</v>
      </c>
      <c r="DL130" t="s">
        <v>170</v>
      </c>
      <c r="DM130" t="s">
        <v>169</v>
      </c>
      <c r="DP130" t="s">
        <v>170</v>
      </c>
      <c r="DQ130" t="s">
        <v>187</v>
      </c>
      <c r="EA130" s="101"/>
      <c r="EB130">
        <v>9</v>
      </c>
      <c r="EC130">
        <v>10</v>
      </c>
      <c r="EE130" t="s">
        <v>1805</v>
      </c>
      <c r="EF130">
        <v>10</v>
      </c>
      <c r="EU130">
        <v>5250</v>
      </c>
      <c r="EW130">
        <v>0</v>
      </c>
      <c r="EX130">
        <v>0</v>
      </c>
      <c r="EY130">
        <v>0</v>
      </c>
      <c r="FA130">
        <v>10</v>
      </c>
      <c r="FG130">
        <v>263</v>
      </c>
      <c r="FH130">
        <v>270</v>
      </c>
      <c r="FI130">
        <v>266</v>
      </c>
    </row>
    <row r="131" spans="1:165" x14ac:dyDescent="0.35">
      <c r="A131" s="25"/>
      <c r="B131" s="25"/>
      <c r="C131" s="25"/>
      <c r="D131" s="25"/>
      <c r="E131" s="25"/>
      <c r="F131" s="25" t="str">
        <f>_xlfn.CONCAT($A132," ",$B132," ",$D132)</f>
        <v>2025 BMW i5 xDrive40 Sedan (20'' Wheels)</v>
      </c>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t="str">
        <f>_xlfn.CONCAT($A132," ",$B132," ",$D132)</f>
        <v>2025 BMW i5 xDrive40 Sedan (20'' Wheels)</v>
      </c>
      <c r="AE131" s="25"/>
      <c r="AF131" s="25"/>
      <c r="AG131" s="25"/>
      <c r="AH131" s="25"/>
      <c r="AI131" s="25"/>
      <c r="AJ131" s="25"/>
      <c r="AK131" s="25"/>
      <c r="AL131" s="25"/>
      <c r="AM131" s="25"/>
      <c r="AN131" s="25"/>
      <c r="AO131" s="25"/>
      <c r="AP131" s="25"/>
      <c r="AQ131" s="25"/>
      <c r="AR131" s="25"/>
      <c r="AS131" s="25"/>
      <c r="AT131" s="25"/>
      <c r="AU131" s="25"/>
      <c r="AV131" s="25"/>
      <c r="AW131" s="25"/>
      <c r="AX131" s="25" t="str">
        <f>_xlfn.CONCAT($A132," ",$B132," ",$D132)</f>
        <v>2025 BMW i5 xDrive40 Sedan (20'' Wheels)</v>
      </c>
      <c r="AY131" s="25"/>
      <c r="AZ131" s="25"/>
      <c r="BA131" s="25"/>
      <c r="BB131" s="25"/>
      <c r="BC131" s="25"/>
      <c r="BD131" s="25"/>
      <c r="BE131" s="25"/>
      <c r="BF131" s="25"/>
      <c r="BG131" s="25"/>
      <c r="BH131" s="25"/>
      <c r="BI131" s="25"/>
      <c r="BJ131" s="25"/>
      <c r="BK131" s="25"/>
      <c r="BL131" s="25"/>
      <c r="BM131" s="25"/>
      <c r="BN131" s="25"/>
      <c r="BO131" s="25"/>
      <c r="BP131" s="25"/>
      <c r="BQ131" s="25"/>
      <c r="BR131" s="25" t="str">
        <f>_xlfn.CONCAT($A132," ",$B132," ",$D132)</f>
        <v>2025 BMW i5 xDrive40 Sedan (20'' Wheels)</v>
      </c>
      <c r="BS131" s="25"/>
      <c r="BT131" s="25"/>
      <c r="BU131" s="25"/>
      <c r="BV131" s="25"/>
      <c r="BW131" s="156"/>
      <c r="BX131" s="25"/>
      <c r="BY131" s="25"/>
      <c r="BZ131" s="25"/>
      <c r="CA131" s="25"/>
      <c r="CB131" s="25"/>
      <c r="CC131" s="25"/>
      <c r="CD131" s="25"/>
      <c r="CE131" s="25"/>
      <c r="CF131" s="25"/>
      <c r="CG131" s="25"/>
      <c r="CH131" s="25"/>
      <c r="CI131" s="25"/>
      <c r="CJ131" s="25"/>
      <c r="CK131" s="25"/>
      <c r="CL131" s="25"/>
      <c r="CM131" s="25"/>
      <c r="CN131" s="25"/>
      <c r="CO131" s="25"/>
      <c r="CP131" s="25" t="str">
        <f>_xlfn.CONCAT($A132," ",$B132," ",$D132)</f>
        <v>2025 BMW i5 xDrive40 Sedan (20'' Wheels)</v>
      </c>
      <c r="CQ131" s="25"/>
      <c r="CR131" s="25"/>
      <c r="CS131" s="25"/>
      <c r="CT131" s="25"/>
      <c r="CU131" s="25"/>
      <c r="CV131" s="25"/>
      <c r="CW131" s="25"/>
      <c r="CX131" s="25"/>
      <c r="CY131" s="25"/>
      <c r="CZ131" s="25"/>
      <c r="DA131" s="25"/>
      <c r="DB131" s="25"/>
      <c r="DC131" s="25"/>
      <c r="DD131" s="25"/>
      <c r="DE131" s="25"/>
      <c r="DF131" s="25"/>
      <c r="DG131" s="25"/>
      <c r="DH131" s="25"/>
      <c r="DI131" s="25" t="str">
        <f>_xlfn.CONCAT($A132," ",$B132," ",$D132)</f>
        <v>2025 BMW i5 xDrive40 Sedan (20'' Wheels)</v>
      </c>
      <c r="DJ131" s="25"/>
      <c r="DK131" s="25"/>
      <c r="DL131" s="25"/>
      <c r="DM131" s="25"/>
      <c r="DN131" s="25"/>
      <c r="DO131" s="25"/>
      <c r="DP131" s="25"/>
      <c r="DQ131" s="25"/>
      <c r="DR131" s="25"/>
      <c r="DS131" s="25"/>
      <c r="DT131" s="25"/>
      <c r="DU131" s="25"/>
      <c r="DV131" s="25"/>
      <c r="DW131" s="25"/>
      <c r="DX131" s="25"/>
      <c r="DY131" s="25"/>
      <c r="DZ131" s="25" t="str">
        <f>_xlfn.CONCAT($A132," ",$B132," ",$D132)</f>
        <v>2025 BMW i5 xDrive40 Sedan (20'' Wheels)</v>
      </c>
      <c r="EA131" s="89"/>
      <c r="EB131" s="25"/>
      <c r="EC131" s="25"/>
      <c r="ED131" s="25"/>
      <c r="EE131" s="25"/>
      <c r="EF131" s="25"/>
      <c r="EG131" s="25"/>
      <c r="EH131" s="25"/>
      <c r="EI131" s="25"/>
      <c r="EJ131" s="25"/>
      <c r="EK131" s="25"/>
      <c r="EL131" s="25"/>
      <c r="EM131" s="25"/>
      <c r="EN131" s="25"/>
      <c r="EO131" s="25"/>
      <c r="EP131" s="25"/>
      <c r="EQ131" s="25"/>
      <c r="ER131" s="25"/>
      <c r="ES131" s="25"/>
      <c r="ET131" s="25"/>
      <c r="EU131" s="25"/>
      <c r="EV131" s="25" t="str">
        <f>_xlfn.CONCAT($A132," ",$B132," ",$D132)</f>
        <v>2025 BMW i5 xDrive40 Sedan (20'' Wheels)</v>
      </c>
      <c r="EW131" s="25"/>
      <c r="EX131" s="25"/>
      <c r="EY131" s="25"/>
      <c r="EZ131" s="25"/>
      <c r="FA131" s="25"/>
      <c r="FB131" s="25"/>
      <c r="FC131" s="25"/>
      <c r="FD131" s="25"/>
      <c r="FE131" s="25"/>
      <c r="FF131" s="25"/>
      <c r="FG131" s="25"/>
    </row>
    <row r="132" spans="1:165" x14ac:dyDescent="0.35">
      <c r="A132">
        <v>2025</v>
      </c>
      <c r="B132" t="s">
        <v>189</v>
      </c>
      <c r="C132" t="s">
        <v>189</v>
      </c>
      <c r="D132" t="s">
        <v>1816</v>
      </c>
      <c r="E132" t="s">
        <v>191</v>
      </c>
      <c r="F132">
        <v>516</v>
      </c>
      <c r="G132">
        <v>0</v>
      </c>
      <c r="I132" t="s">
        <v>1734</v>
      </c>
      <c r="J132">
        <v>92</v>
      </c>
      <c r="K132">
        <v>94</v>
      </c>
      <c r="L132">
        <v>93</v>
      </c>
      <c r="M132">
        <v>130.1</v>
      </c>
      <c r="N132">
        <v>133.1</v>
      </c>
      <c r="O132">
        <v>131.4331</v>
      </c>
      <c r="P132">
        <v>91.920900000000003</v>
      </c>
      <c r="Q132">
        <v>94.040499999999994</v>
      </c>
      <c r="R132">
        <v>92.862700000000004</v>
      </c>
      <c r="V132" t="s">
        <v>167</v>
      </c>
      <c r="W132" t="s">
        <v>168</v>
      </c>
      <c r="Y132">
        <v>1</v>
      </c>
      <c r="Z132" t="s">
        <v>170</v>
      </c>
      <c r="AA132" t="s">
        <v>170</v>
      </c>
      <c r="AB132" t="s">
        <v>167</v>
      </c>
      <c r="AC132" t="s">
        <v>213</v>
      </c>
      <c r="AF132">
        <v>262</v>
      </c>
      <c r="AG132" t="s">
        <v>1735</v>
      </c>
      <c r="AH132" t="s">
        <v>1736</v>
      </c>
      <c r="AI132" t="s">
        <v>175</v>
      </c>
      <c r="AJ132" t="s">
        <v>176</v>
      </c>
      <c r="AK132" t="s">
        <v>170</v>
      </c>
      <c r="AL132" t="s">
        <v>177</v>
      </c>
      <c r="AO132">
        <v>98</v>
      </c>
      <c r="AP132">
        <v>11</v>
      </c>
      <c r="AS132">
        <v>850</v>
      </c>
      <c r="AT132">
        <v>850</v>
      </c>
      <c r="BQ132">
        <v>4</v>
      </c>
      <c r="BR132" t="s">
        <v>521</v>
      </c>
      <c r="BS132" t="s">
        <v>180</v>
      </c>
      <c r="BT132" t="s">
        <v>1769</v>
      </c>
      <c r="BU132" s="1">
        <v>45387</v>
      </c>
      <c r="BV132">
        <v>34647</v>
      </c>
      <c r="BW132" s="155"/>
      <c r="BX132" t="s">
        <v>169</v>
      </c>
      <c r="BY132" t="s">
        <v>170</v>
      </c>
      <c r="CB132" t="s">
        <v>170</v>
      </c>
      <c r="CC132" t="s">
        <v>170</v>
      </c>
      <c r="CK132" t="s">
        <v>233</v>
      </c>
      <c r="CM132">
        <v>9</v>
      </c>
      <c r="CN132" t="s">
        <v>234</v>
      </c>
      <c r="CP132">
        <v>376</v>
      </c>
      <c r="CQ132">
        <v>280.8</v>
      </c>
      <c r="CR132">
        <v>154</v>
      </c>
      <c r="CS132" t="s">
        <v>235</v>
      </c>
      <c r="CV132" t="s">
        <v>341</v>
      </c>
      <c r="CX132" t="s">
        <v>342</v>
      </c>
      <c r="CY132" t="s">
        <v>169</v>
      </c>
      <c r="DC132" t="s">
        <v>1803</v>
      </c>
      <c r="DD132">
        <v>2</v>
      </c>
      <c r="DE132" t="s">
        <v>404</v>
      </c>
      <c r="DF132" t="s">
        <v>405</v>
      </c>
      <c r="DG132" t="s">
        <v>1817</v>
      </c>
      <c r="DL132" t="s">
        <v>170</v>
      </c>
      <c r="DM132" t="s">
        <v>169</v>
      </c>
      <c r="DP132" t="s">
        <v>170</v>
      </c>
      <c r="DQ132" t="s">
        <v>187</v>
      </c>
      <c r="EA132" s="101"/>
      <c r="EB132">
        <v>9</v>
      </c>
      <c r="EC132">
        <v>10</v>
      </c>
      <c r="EE132" t="s">
        <v>1805</v>
      </c>
      <c r="EF132">
        <v>10</v>
      </c>
      <c r="EU132">
        <v>5250</v>
      </c>
      <c r="EW132">
        <v>0</v>
      </c>
      <c r="EX132">
        <v>0</v>
      </c>
      <c r="EY132">
        <v>0</v>
      </c>
      <c r="FA132">
        <v>10</v>
      </c>
      <c r="FG132">
        <v>259</v>
      </c>
      <c r="FH132">
        <v>265</v>
      </c>
      <c r="FI132">
        <v>262</v>
      </c>
    </row>
    <row r="133" spans="1:165" x14ac:dyDescent="0.35">
      <c r="A133">
        <v>2025</v>
      </c>
      <c r="B133" t="s">
        <v>189</v>
      </c>
      <c r="C133" t="s">
        <v>189</v>
      </c>
      <c r="D133" t="s">
        <v>1816</v>
      </c>
      <c r="E133" t="s">
        <v>191</v>
      </c>
      <c r="F133">
        <v>516</v>
      </c>
      <c r="G133">
        <v>0</v>
      </c>
      <c r="I133" t="s">
        <v>1734</v>
      </c>
      <c r="J133">
        <v>37</v>
      </c>
      <c r="K133">
        <v>36</v>
      </c>
      <c r="L133">
        <v>36</v>
      </c>
      <c r="M133">
        <v>25.904800000000002</v>
      </c>
      <c r="N133">
        <v>25.3156</v>
      </c>
      <c r="O133">
        <v>25.639700000000001</v>
      </c>
      <c r="P133">
        <v>36.667400000000001</v>
      </c>
      <c r="Q133">
        <v>35.841000000000001</v>
      </c>
      <c r="R133">
        <v>36.295499999999997</v>
      </c>
      <c r="V133" t="s">
        <v>167</v>
      </c>
      <c r="W133" t="s">
        <v>168</v>
      </c>
      <c r="Y133">
        <v>1</v>
      </c>
      <c r="Z133" t="s">
        <v>170</v>
      </c>
      <c r="AA133" t="s">
        <v>170</v>
      </c>
      <c r="AB133" t="s">
        <v>167</v>
      </c>
      <c r="AC133" t="s">
        <v>213</v>
      </c>
      <c r="AF133">
        <v>262</v>
      </c>
      <c r="AG133" t="s">
        <v>1735</v>
      </c>
      <c r="AH133" t="s">
        <v>1736</v>
      </c>
      <c r="AI133" t="s">
        <v>1742</v>
      </c>
      <c r="AJ133" t="s">
        <v>1743</v>
      </c>
      <c r="AK133" t="s">
        <v>170</v>
      </c>
      <c r="AL133" t="s">
        <v>177</v>
      </c>
      <c r="AO133">
        <v>98</v>
      </c>
      <c r="AP133">
        <v>11</v>
      </c>
      <c r="AS133">
        <v>850</v>
      </c>
      <c r="AT133">
        <v>850</v>
      </c>
      <c r="BQ133">
        <v>4</v>
      </c>
      <c r="BR133" t="s">
        <v>521</v>
      </c>
      <c r="BS133" t="s">
        <v>180</v>
      </c>
      <c r="BT133" t="s">
        <v>1769</v>
      </c>
      <c r="BU133" s="1">
        <v>45387</v>
      </c>
      <c r="BV133">
        <v>34647</v>
      </c>
      <c r="BW133" s="155"/>
      <c r="BX133" t="s">
        <v>169</v>
      </c>
      <c r="BY133" t="s">
        <v>170</v>
      </c>
      <c r="CB133" t="s">
        <v>170</v>
      </c>
      <c r="CC133" t="s">
        <v>170</v>
      </c>
      <c r="CK133" t="s">
        <v>233</v>
      </c>
      <c r="CM133">
        <v>9</v>
      </c>
      <c r="CN133" t="s">
        <v>234</v>
      </c>
      <c r="CP133">
        <v>376</v>
      </c>
      <c r="CQ133">
        <v>280.8</v>
      </c>
      <c r="CR133">
        <v>154</v>
      </c>
      <c r="CS133" t="s">
        <v>235</v>
      </c>
      <c r="CV133" t="s">
        <v>341</v>
      </c>
      <c r="CX133" t="s">
        <v>342</v>
      </c>
      <c r="CY133" t="s">
        <v>169</v>
      </c>
      <c r="DC133" t="s">
        <v>1803</v>
      </c>
      <c r="DD133">
        <v>2</v>
      </c>
      <c r="DE133" t="s">
        <v>404</v>
      </c>
      <c r="DF133" t="s">
        <v>405</v>
      </c>
      <c r="DG133" t="s">
        <v>1817</v>
      </c>
      <c r="DL133" t="s">
        <v>170</v>
      </c>
      <c r="DM133" t="s">
        <v>169</v>
      </c>
      <c r="DP133" t="s">
        <v>170</v>
      </c>
      <c r="DQ133" t="s">
        <v>187</v>
      </c>
      <c r="EA133" s="101"/>
      <c r="EB133">
        <v>9</v>
      </c>
      <c r="EC133">
        <v>10</v>
      </c>
      <c r="EE133" t="s">
        <v>1805</v>
      </c>
      <c r="EF133">
        <v>10</v>
      </c>
      <c r="EU133">
        <v>5250</v>
      </c>
      <c r="EW133">
        <v>0</v>
      </c>
      <c r="EX133">
        <v>0</v>
      </c>
      <c r="EY133">
        <v>0</v>
      </c>
      <c r="FA133">
        <v>10</v>
      </c>
      <c r="FG133">
        <v>259</v>
      </c>
      <c r="FH133">
        <v>265</v>
      </c>
      <c r="FI133">
        <v>262</v>
      </c>
    </row>
    <row r="134" spans="1:165" x14ac:dyDescent="0.35">
      <c r="A134" s="25"/>
      <c r="B134" s="25"/>
      <c r="C134" s="25"/>
      <c r="D134" s="25"/>
      <c r="E134" s="25"/>
      <c r="F134" s="25" t="str">
        <f>_xlfn.CONCAT($A135," ",$B135," ",$D135)</f>
        <v>2025 BMW i5 xDrive40 Sedan (21'' Wheels)</v>
      </c>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c r="AD134" s="25" t="str">
        <f>_xlfn.CONCAT($A135," ",$B135," ",$D135)</f>
        <v>2025 BMW i5 xDrive40 Sedan (21'' Wheels)</v>
      </c>
      <c r="AE134" s="25"/>
      <c r="AF134" s="25"/>
      <c r="AG134" s="25"/>
      <c r="AH134" s="25"/>
      <c r="AI134" s="25"/>
      <c r="AJ134" s="25"/>
      <c r="AK134" s="25"/>
      <c r="AL134" s="25"/>
      <c r="AM134" s="25"/>
      <c r="AN134" s="25"/>
      <c r="AO134" s="25"/>
      <c r="AP134" s="25"/>
      <c r="AQ134" s="25"/>
      <c r="AR134" s="25"/>
      <c r="AS134" s="25"/>
      <c r="AT134" s="25"/>
      <c r="AU134" s="25"/>
      <c r="AV134" s="25"/>
      <c r="AW134" s="25"/>
      <c r="AX134" s="25" t="str">
        <f>_xlfn.CONCAT($A135," ",$B135," ",$D135)</f>
        <v>2025 BMW i5 xDrive40 Sedan (21'' Wheels)</v>
      </c>
      <c r="AY134" s="25"/>
      <c r="AZ134" s="25"/>
      <c r="BA134" s="25"/>
      <c r="BB134" s="25"/>
      <c r="BC134" s="25"/>
      <c r="BD134" s="25"/>
      <c r="BE134" s="25"/>
      <c r="BF134" s="25"/>
      <c r="BG134" s="25"/>
      <c r="BH134" s="25"/>
      <c r="BI134" s="25"/>
      <c r="BJ134" s="25"/>
      <c r="BK134" s="25"/>
      <c r="BL134" s="25"/>
      <c r="BM134" s="25"/>
      <c r="BN134" s="25"/>
      <c r="BO134" s="25"/>
      <c r="BP134" s="25"/>
      <c r="BQ134" s="25"/>
      <c r="BR134" s="25" t="str">
        <f>_xlfn.CONCAT($A135," ",$B135," ",$D135)</f>
        <v>2025 BMW i5 xDrive40 Sedan (21'' Wheels)</v>
      </c>
      <c r="BS134" s="25"/>
      <c r="BT134" s="25"/>
      <c r="BU134" s="25"/>
      <c r="BV134" s="25"/>
      <c r="BW134" s="156"/>
      <c r="BX134" s="25"/>
      <c r="BY134" s="25"/>
      <c r="BZ134" s="25"/>
      <c r="CA134" s="25"/>
      <c r="CB134" s="25"/>
      <c r="CC134" s="25"/>
      <c r="CD134" s="25"/>
      <c r="CE134" s="25"/>
      <c r="CF134" s="25"/>
      <c r="CG134" s="25"/>
      <c r="CH134" s="25"/>
      <c r="CI134" s="25"/>
      <c r="CJ134" s="25"/>
      <c r="CK134" s="25"/>
      <c r="CL134" s="25"/>
      <c r="CM134" s="25"/>
      <c r="CN134" s="25"/>
      <c r="CO134" s="25"/>
      <c r="CP134" s="25" t="str">
        <f>_xlfn.CONCAT($A135," ",$B135," ",$D135)</f>
        <v>2025 BMW i5 xDrive40 Sedan (21'' Wheels)</v>
      </c>
      <c r="CQ134" s="25"/>
      <c r="CR134" s="25"/>
      <c r="CS134" s="25"/>
      <c r="CT134" s="25"/>
      <c r="CU134" s="25"/>
      <c r="CV134" s="25"/>
      <c r="CW134" s="25"/>
      <c r="CX134" s="25"/>
      <c r="CY134" s="25"/>
      <c r="CZ134" s="25"/>
      <c r="DA134" s="25"/>
      <c r="DB134" s="25"/>
      <c r="DC134" s="25"/>
      <c r="DD134" s="25"/>
      <c r="DE134" s="25"/>
      <c r="DF134" s="25"/>
      <c r="DG134" s="25"/>
      <c r="DH134" s="25"/>
      <c r="DI134" s="25" t="str">
        <f>_xlfn.CONCAT($A135," ",$B135," ",$D135)</f>
        <v>2025 BMW i5 xDrive40 Sedan (21'' Wheels)</v>
      </c>
      <c r="DJ134" s="25"/>
      <c r="DK134" s="25"/>
      <c r="DL134" s="25"/>
      <c r="DM134" s="25"/>
      <c r="DN134" s="25"/>
      <c r="DO134" s="25"/>
      <c r="DP134" s="25"/>
      <c r="DQ134" s="25"/>
      <c r="DR134" s="25"/>
      <c r="DS134" s="25"/>
      <c r="DT134" s="25"/>
      <c r="DU134" s="25"/>
      <c r="DV134" s="25"/>
      <c r="DW134" s="25"/>
      <c r="DX134" s="25"/>
      <c r="DY134" s="25"/>
      <c r="DZ134" s="25" t="str">
        <f>_xlfn.CONCAT($A135," ",$B135," ",$D135)</f>
        <v>2025 BMW i5 xDrive40 Sedan (21'' Wheels)</v>
      </c>
      <c r="EA134" s="89"/>
      <c r="EB134" s="25"/>
      <c r="EC134" s="25"/>
      <c r="ED134" s="25"/>
      <c r="EE134" s="25"/>
      <c r="EF134" s="25"/>
      <c r="EG134" s="25"/>
      <c r="EH134" s="25"/>
      <c r="EI134" s="25"/>
      <c r="EJ134" s="25"/>
      <c r="EK134" s="25"/>
      <c r="EL134" s="25"/>
      <c r="EM134" s="25"/>
      <c r="EN134" s="25"/>
      <c r="EO134" s="25"/>
      <c r="EP134" s="25"/>
      <c r="EQ134" s="25"/>
      <c r="ER134" s="25"/>
      <c r="ES134" s="25"/>
      <c r="ET134" s="25"/>
      <c r="EU134" s="25"/>
      <c r="EV134" s="25" t="str">
        <f>_xlfn.CONCAT($A135," ",$B135," ",$D135)</f>
        <v>2025 BMW i5 xDrive40 Sedan (21'' Wheels)</v>
      </c>
      <c r="EW134" s="25"/>
      <c r="EX134" s="25"/>
      <c r="EY134" s="25"/>
      <c r="EZ134" s="25"/>
      <c r="FA134" s="25"/>
      <c r="FB134" s="25"/>
      <c r="FC134" s="25"/>
      <c r="FD134" s="25"/>
      <c r="FE134" s="25"/>
      <c r="FF134" s="25"/>
      <c r="FG134" s="25"/>
    </row>
    <row r="135" spans="1:165" x14ac:dyDescent="0.35">
      <c r="A135">
        <v>2025</v>
      </c>
      <c r="B135" t="s">
        <v>189</v>
      </c>
      <c r="C135" t="s">
        <v>189</v>
      </c>
      <c r="D135" t="s">
        <v>1818</v>
      </c>
      <c r="E135" t="s">
        <v>191</v>
      </c>
      <c r="F135">
        <v>517</v>
      </c>
      <c r="G135">
        <v>0</v>
      </c>
      <c r="I135" t="s">
        <v>1734</v>
      </c>
      <c r="J135">
        <v>86</v>
      </c>
      <c r="K135">
        <v>87</v>
      </c>
      <c r="L135">
        <v>87</v>
      </c>
      <c r="M135">
        <v>122.4</v>
      </c>
      <c r="N135">
        <v>123.5</v>
      </c>
      <c r="O135">
        <v>122.8926</v>
      </c>
      <c r="P135">
        <v>86.480500000000006</v>
      </c>
      <c r="Q135">
        <v>87.2577</v>
      </c>
      <c r="R135">
        <v>86.828500000000005</v>
      </c>
      <c r="V135" t="s">
        <v>167</v>
      </c>
      <c r="W135" t="s">
        <v>168</v>
      </c>
      <c r="Y135">
        <v>1</v>
      </c>
      <c r="Z135" t="s">
        <v>170</v>
      </c>
      <c r="AA135" t="s">
        <v>170</v>
      </c>
      <c r="AB135" t="s">
        <v>167</v>
      </c>
      <c r="AC135" t="s">
        <v>213</v>
      </c>
      <c r="AF135">
        <v>248</v>
      </c>
      <c r="AG135" t="s">
        <v>1735</v>
      </c>
      <c r="AH135" t="s">
        <v>1736</v>
      </c>
      <c r="AI135" t="s">
        <v>175</v>
      </c>
      <c r="AJ135" t="s">
        <v>176</v>
      </c>
      <c r="AK135" t="s">
        <v>170</v>
      </c>
      <c r="AL135" t="s">
        <v>177</v>
      </c>
      <c r="AO135">
        <v>98</v>
      </c>
      <c r="AP135">
        <v>11</v>
      </c>
      <c r="AS135">
        <v>950</v>
      </c>
      <c r="AT135">
        <v>950</v>
      </c>
      <c r="BQ135">
        <v>4</v>
      </c>
      <c r="BR135" t="s">
        <v>521</v>
      </c>
      <c r="BS135" t="s">
        <v>180</v>
      </c>
      <c r="BT135" t="s">
        <v>1769</v>
      </c>
      <c r="BU135" s="1">
        <v>45387</v>
      </c>
      <c r="BV135">
        <v>34646</v>
      </c>
      <c r="BW135" s="155"/>
      <c r="BX135" t="s">
        <v>169</v>
      </c>
      <c r="BY135" t="s">
        <v>170</v>
      </c>
      <c r="CB135" t="s">
        <v>170</v>
      </c>
      <c r="CC135" t="s">
        <v>170</v>
      </c>
      <c r="CK135" t="s">
        <v>233</v>
      </c>
      <c r="CM135">
        <v>9</v>
      </c>
      <c r="CN135" t="s">
        <v>234</v>
      </c>
      <c r="CP135">
        <v>376</v>
      </c>
      <c r="CQ135">
        <v>280.8</v>
      </c>
      <c r="CR135">
        <v>154</v>
      </c>
      <c r="CS135" t="s">
        <v>235</v>
      </c>
      <c r="CV135" t="s">
        <v>341</v>
      </c>
      <c r="CX135" t="s">
        <v>342</v>
      </c>
      <c r="CY135" t="s">
        <v>169</v>
      </c>
      <c r="DC135" t="s">
        <v>1803</v>
      </c>
      <c r="DD135">
        <v>2</v>
      </c>
      <c r="DE135" t="s">
        <v>404</v>
      </c>
      <c r="DF135" t="s">
        <v>405</v>
      </c>
      <c r="DG135" t="s">
        <v>1817</v>
      </c>
      <c r="DL135" t="s">
        <v>170</v>
      </c>
      <c r="DM135" t="s">
        <v>169</v>
      </c>
      <c r="DP135" t="s">
        <v>170</v>
      </c>
      <c r="DQ135" t="s">
        <v>187</v>
      </c>
      <c r="EA135" s="101"/>
      <c r="EB135">
        <v>9</v>
      </c>
      <c r="EC135">
        <v>10</v>
      </c>
      <c r="EE135" t="s">
        <v>1805</v>
      </c>
      <c r="EF135">
        <v>10</v>
      </c>
      <c r="EU135">
        <v>4750</v>
      </c>
      <c r="EW135">
        <v>0</v>
      </c>
      <c r="EX135">
        <v>0</v>
      </c>
      <c r="EY135">
        <v>0</v>
      </c>
      <c r="FA135">
        <v>10</v>
      </c>
      <c r="FG135">
        <v>247</v>
      </c>
      <c r="FH135">
        <v>249</v>
      </c>
      <c r="FI135">
        <v>248</v>
      </c>
    </row>
    <row r="136" spans="1:165" x14ac:dyDescent="0.35">
      <c r="A136">
        <v>2025</v>
      </c>
      <c r="B136" t="s">
        <v>189</v>
      </c>
      <c r="C136" t="s">
        <v>189</v>
      </c>
      <c r="D136" t="s">
        <v>1818</v>
      </c>
      <c r="E136" t="s">
        <v>191</v>
      </c>
      <c r="F136">
        <v>517</v>
      </c>
      <c r="G136">
        <v>0</v>
      </c>
      <c r="I136" t="s">
        <v>1734</v>
      </c>
      <c r="J136">
        <v>39</v>
      </c>
      <c r="K136">
        <v>39</v>
      </c>
      <c r="L136">
        <v>39</v>
      </c>
      <c r="M136">
        <v>27.536999999999999</v>
      </c>
      <c r="N136">
        <v>27.284099999999999</v>
      </c>
      <c r="O136">
        <v>27.423200000000001</v>
      </c>
      <c r="P136">
        <v>38.9741</v>
      </c>
      <c r="Q136">
        <v>38.627000000000002</v>
      </c>
      <c r="R136">
        <v>38.817900000000002</v>
      </c>
      <c r="V136" t="s">
        <v>167</v>
      </c>
      <c r="W136" t="s">
        <v>168</v>
      </c>
      <c r="Y136">
        <v>1</v>
      </c>
      <c r="Z136" t="s">
        <v>170</v>
      </c>
      <c r="AA136" t="s">
        <v>170</v>
      </c>
      <c r="AB136" t="s">
        <v>167</v>
      </c>
      <c r="AC136" t="s">
        <v>213</v>
      </c>
      <c r="AF136">
        <v>248</v>
      </c>
      <c r="AG136" t="s">
        <v>1735</v>
      </c>
      <c r="AH136" t="s">
        <v>1736</v>
      </c>
      <c r="AI136" t="s">
        <v>1742</v>
      </c>
      <c r="AJ136" t="s">
        <v>1743</v>
      </c>
      <c r="AK136" t="s">
        <v>170</v>
      </c>
      <c r="AL136" t="s">
        <v>177</v>
      </c>
      <c r="AO136">
        <v>98</v>
      </c>
      <c r="AP136">
        <v>11</v>
      </c>
      <c r="AS136">
        <v>950</v>
      </c>
      <c r="AT136">
        <v>950</v>
      </c>
      <c r="BQ136">
        <v>4</v>
      </c>
      <c r="BR136" t="s">
        <v>521</v>
      </c>
      <c r="BS136" t="s">
        <v>180</v>
      </c>
      <c r="BT136" t="s">
        <v>1769</v>
      </c>
      <c r="BU136" s="1">
        <v>45387</v>
      </c>
      <c r="BV136">
        <v>34646</v>
      </c>
      <c r="BW136" s="155"/>
      <c r="BX136" t="s">
        <v>169</v>
      </c>
      <c r="BY136" t="s">
        <v>170</v>
      </c>
      <c r="CB136" t="s">
        <v>170</v>
      </c>
      <c r="CC136" t="s">
        <v>170</v>
      </c>
      <c r="CK136" t="s">
        <v>233</v>
      </c>
      <c r="CM136">
        <v>9</v>
      </c>
      <c r="CN136" t="s">
        <v>234</v>
      </c>
      <c r="CP136">
        <v>376</v>
      </c>
      <c r="CQ136">
        <v>280.8</v>
      </c>
      <c r="CR136">
        <v>154</v>
      </c>
      <c r="CS136" t="s">
        <v>235</v>
      </c>
      <c r="CV136" t="s">
        <v>341</v>
      </c>
      <c r="CX136" t="s">
        <v>342</v>
      </c>
      <c r="CY136" t="s">
        <v>169</v>
      </c>
      <c r="DC136" t="s">
        <v>1803</v>
      </c>
      <c r="DD136">
        <v>2</v>
      </c>
      <c r="DE136" t="s">
        <v>404</v>
      </c>
      <c r="DF136" t="s">
        <v>405</v>
      </c>
      <c r="DG136" t="s">
        <v>1817</v>
      </c>
      <c r="DL136" t="s">
        <v>170</v>
      </c>
      <c r="DM136" t="s">
        <v>169</v>
      </c>
      <c r="DP136" t="s">
        <v>170</v>
      </c>
      <c r="DQ136" t="s">
        <v>187</v>
      </c>
      <c r="EA136" s="101"/>
      <c r="EB136">
        <v>9</v>
      </c>
      <c r="EC136">
        <v>10</v>
      </c>
      <c r="EE136" t="s">
        <v>1805</v>
      </c>
      <c r="EF136">
        <v>10</v>
      </c>
      <c r="EU136">
        <v>4750</v>
      </c>
      <c r="EW136">
        <v>0</v>
      </c>
      <c r="EX136">
        <v>0</v>
      </c>
      <c r="EY136">
        <v>0</v>
      </c>
      <c r="FA136">
        <v>10</v>
      </c>
      <c r="FG136">
        <v>247</v>
      </c>
      <c r="FH136">
        <v>249</v>
      </c>
      <c r="FI136">
        <v>248</v>
      </c>
    </row>
    <row r="137" spans="1:165" x14ac:dyDescent="0.35">
      <c r="A137" s="25"/>
      <c r="B137" s="25"/>
      <c r="C137" s="25"/>
      <c r="D137" s="25"/>
      <c r="E137" s="25"/>
      <c r="F137" s="25" t="str">
        <f>_xlfn.CONCAT($A138," ",$B138," ",$D138)</f>
        <v>2025 BMW i5 M60 xDrive Sedan (19'' Wheels)</v>
      </c>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t="str">
        <f>_xlfn.CONCAT($A138," ",$B138," ",$D138)</f>
        <v>2025 BMW i5 M60 xDrive Sedan (19'' Wheels)</v>
      </c>
      <c r="AE137" s="25"/>
      <c r="AF137" s="25"/>
      <c r="AG137" s="25"/>
      <c r="AH137" s="25"/>
      <c r="AI137" s="25"/>
      <c r="AJ137" s="25"/>
      <c r="AK137" s="25"/>
      <c r="AL137" s="25"/>
      <c r="AM137" s="25"/>
      <c r="AN137" s="25"/>
      <c r="AO137" s="25"/>
      <c r="AP137" s="25"/>
      <c r="AQ137" s="25"/>
      <c r="AR137" s="25"/>
      <c r="AS137" s="25"/>
      <c r="AT137" s="25"/>
      <c r="AU137" s="25"/>
      <c r="AV137" s="25"/>
      <c r="AW137" s="25"/>
      <c r="AX137" s="25" t="str">
        <f>_xlfn.CONCAT($A138," ",$B138," ",$D138)</f>
        <v>2025 BMW i5 M60 xDrive Sedan (19'' Wheels)</v>
      </c>
      <c r="AY137" s="25"/>
      <c r="AZ137" s="25"/>
      <c r="BA137" s="25"/>
      <c r="BB137" s="25"/>
      <c r="BC137" s="25"/>
      <c r="BD137" s="25"/>
      <c r="BE137" s="25"/>
      <c r="BF137" s="25"/>
      <c r="BG137" s="25"/>
      <c r="BH137" s="25"/>
      <c r="BI137" s="25"/>
      <c r="BJ137" s="25"/>
      <c r="BK137" s="25"/>
      <c r="BL137" s="25"/>
      <c r="BM137" s="25"/>
      <c r="BN137" s="25"/>
      <c r="BO137" s="25"/>
      <c r="BP137" s="25"/>
      <c r="BQ137" s="25"/>
      <c r="BR137" s="25" t="str">
        <f>_xlfn.CONCAT($A138," ",$B138," ",$D138)</f>
        <v>2025 BMW i5 M60 xDrive Sedan (19'' Wheels)</v>
      </c>
      <c r="BS137" s="25"/>
      <c r="BT137" s="25"/>
      <c r="BU137" s="25"/>
      <c r="BV137" s="25"/>
      <c r="BW137" s="156"/>
      <c r="BX137" s="25"/>
      <c r="BY137" s="25"/>
      <c r="BZ137" s="25"/>
      <c r="CA137" s="25"/>
      <c r="CB137" s="25"/>
      <c r="CC137" s="25"/>
      <c r="CD137" s="25"/>
      <c r="CE137" s="25"/>
      <c r="CF137" s="25"/>
      <c r="CG137" s="25"/>
      <c r="CH137" s="25"/>
      <c r="CI137" s="25"/>
      <c r="CJ137" s="25"/>
      <c r="CK137" s="25"/>
      <c r="CL137" s="25"/>
      <c r="CM137" s="25"/>
      <c r="CN137" s="25"/>
      <c r="CO137" s="25"/>
      <c r="CP137" s="25" t="str">
        <f>_xlfn.CONCAT($A138," ",$B138," ",$D138)</f>
        <v>2025 BMW i5 M60 xDrive Sedan (19'' Wheels)</v>
      </c>
      <c r="CQ137" s="25"/>
      <c r="CR137" s="25"/>
      <c r="CS137" s="25"/>
      <c r="CT137" s="25"/>
      <c r="CU137" s="25"/>
      <c r="CV137" s="25"/>
      <c r="CW137" s="25"/>
      <c r="CX137" s="25"/>
      <c r="CY137" s="25"/>
      <c r="CZ137" s="25"/>
      <c r="DA137" s="25"/>
      <c r="DB137" s="25"/>
      <c r="DC137" s="25"/>
      <c r="DD137" s="25"/>
      <c r="DE137" s="25"/>
      <c r="DF137" s="25"/>
      <c r="DG137" s="25"/>
      <c r="DH137" s="25"/>
      <c r="DI137" s="25" t="str">
        <f>_xlfn.CONCAT($A138," ",$B138," ",$D138)</f>
        <v>2025 BMW i5 M60 xDrive Sedan (19'' Wheels)</v>
      </c>
      <c r="DJ137" s="25"/>
      <c r="DK137" s="25"/>
      <c r="DL137" s="25"/>
      <c r="DM137" s="25"/>
      <c r="DN137" s="25"/>
      <c r="DO137" s="25"/>
      <c r="DP137" s="25"/>
      <c r="DQ137" s="25"/>
      <c r="DR137" s="25"/>
      <c r="DS137" s="25"/>
      <c r="DT137" s="25"/>
      <c r="DU137" s="25"/>
      <c r="DV137" s="25"/>
      <c r="DW137" s="25"/>
      <c r="DX137" s="25"/>
      <c r="DY137" s="25"/>
      <c r="DZ137" s="25" t="str">
        <f>_xlfn.CONCAT($A138," ",$B138," ",$D138)</f>
        <v>2025 BMW i5 M60 xDrive Sedan (19'' Wheels)</v>
      </c>
      <c r="EA137" s="89"/>
      <c r="EB137" s="25"/>
      <c r="EC137" s="25"/>
      <c r="ED137" s="25"/>
      <c r="EE137" s="25"/>
      <c r="EF137" s="25"/>
      <c r="EG137" s="25"/>
      <c r="EH137" s="25"/>
      <c r="EI137" s="25"/>
      <c r="EJ137" s="25"/>
      <c r="EK137" s="25"/>
      <c r="EL137" s="25"/>
      <c r="EM137" s="25"/>
      <c r="EN137" s="25"/>
      <c r="EO137" s="25"/>
      <c r="EP137" s="25"/>
      <c r="EQ137" s="25"/>
      <c r="ER137" s="25"/>
      <c r="ES137" s="25"/>
      <c r="ET137" s="25"/>
      <c r="EU137" s="25"/>
      <c r="EV137" s="25" t="str">
        <f>_xlfn.CONCAT($A138," ",$B138," ",$D138)</f>
        <v>2025 BMW i5 M60 xDrive Sedan (19'' Wheels)</v>
      </c>
      <c r="EW137" s="25"/>
      <c r="EX137" s="25"/>
      <c r="EY137" s="25"/>
      <c r="EZ137" s="25"/>
      <c r="FA137" s="25"/>
      <c r="FB137" s="25"/>
      <c r="FC137" s="25"/>
      <c r="FD137" s="25"/>
      <c r="FE137" s="25"/>
      <c r="FF137" s="25"/>
      <c r="FG137" s="25"/>
    </row>
    <row r="138" spans="1:165" x14ac:dyDescent="0.35">
      <c r="A138">
        <v>2025</v>
      </c>
      <c r="B138" t="s">
        <v>189</v>
      </c>
      <c r="C138" t="s">
        <v>189</v>
      </c>
      <c r="D138" t="s">
        <v>1812</v>
      </c>
      <c r="E138" t="s">
        <v>191</v>
      </c>
      <c r="F138">
        <v>525</v>
      </c>
      <c r="G138">
        <v>0</v>
      </c>
      <c r="I138" t="s">
        <v>1734</v>
      </c>
      <c r="J138">
        <v>89</v>
      </c>
      <c r="K138">
        <v>91</v>
      </c>
      <c r="L138">
        <v>90</v>
      </c>
      <c r="M138">
        <v>126.5</v>
      </c>
      <c r="N138">
        <v>130.6</v>
      </c>
      <c r="O138">
        <v>128.31270000000001</v>
      </c>
      <c r="P138">
        <v>88.55</v>
      </c>
      <c r="Q138">
        <v>91.42</v>
      </c>
      <c r="R138">
        <v>89.818899999999999</v>
      </c>
      <c r="V138" t="s">
        <v>167</v>
      </c>
      <c r="W138" t="s">
        <v>168</v>
      </c>
      <c r="Y138">
        <v>1</v>
      </c>
      <c r="Z138" t="s">
        <v>170</v>
      </c>
      <c r="AA138" t="s">
        <v>170</v>
      </c>
      <c r="AB138" t="s">
        <v>167</v>
      </c>
      <c r="AC138" t="s">
        <v>213</v>
      </c>
      <c r="AF138">
        <v>253</v>
      </c>
      <c r="AG138" t="s">
        <v>1735</v>
      </c>
      <c r="AH138" t="s">
        <v>1736</v>
      </c>
      <c r="AI138" t="s">
        <v>175</v>
      </c>
      <c r="AJ138" t="s">
        <v>176</v>
      </c>
      <c r="AK138" t="s">
        <v>170</v>
      </c>
      <c r="AL138" t="s">
        <v>177</v>
      </c>
      <c r="AO138">
        <v>98</v>
      </c>
      <c r="AP138">
        <v>11</v>
      </c>
      <c r="AS138">
        <v>900</v>
      </c>
      <c r="AT138">
        <v>900</v>
      </c>
      <c r="BQ138">
        <v>4</v>
      </c>
      <c r="BR138" t="s">
        <v>521</v>
      </c>
      <c r="BS138" t="s">
        <v>180</v>
      </c>
      <c r="BT138" t="s">
        <v>1769</v>
      </c>
      <c r="BU138" s="1">
        <v>45457</v>
      </c>
      <c r="BV138">
        <v>34888</v>
      </c>
      <c r="BW138" s="155"/>
      <c r="BX138" t="s">
        <v>169</v>
      </c>
      <c r="BY138" t="s">
        <v>170</v>
      </c>
      <c r="CB138" t="s">
        <v>170</v>
      </c>
      <c r="CC138" t="s">
        <v>170</v>
      </c>
      <c r="CK138" t="s">
        <v>233</v>
      </c>
      <c r="CM138">
        <v>9</v>
      </c>
      <c r="CN138" t="s">
        <v>234</v>
      </c>
      <c r="CP138">
        <v>376</v>
      </c>
      <c r="CQ138">
        <v>280.8</v>
      </c>
      <c r="CR138">
        <v>154</v>
      </c>
      <c r="CS138" t="s">
        <v>235</v>
      </c>
      <c r="CV138" t="s">
        <v>341</v>
      </c>
      <c r="CX138" t="s">
        <v>342</v>
      </c>
      <c r="CY138" t="s">
        <v>169</v>
      </c>
      <c r="DC138" t="s">
        <v>1803</v>
      </c>
      <c r="DD138">
        <v>2</v>
      </c>
      <c r="DE138" t="s">
        <v>404</v>
      </c>
      <c r="DF138" t="s">
        <v>405</v>
      </c>
      <c r="DG138" t="s">
        <v>1804</v>
      </c>
      <c r="DL138" t="s">
        <v>170</v>
      </c>
      <c r="DM138" t="s">
        <v>169</v>
      </c>
      <c r="DP138" t="s">
        <v>170</v>
      </c>
      <c r="DQ138" t="s">
        <v>187</v>
      </c>
      <c r="EA138" s="101"/>
      <c r="EB138">
        <v>9</v>
      </c>
      <c r="EC138">
        <v>10</v>
      </c>
      <c r="EE138" t="s">
        <v>1805</v>
      </c>
      <c r="EF138">
        <v>10</v>
      </c>
      <c r="EU138">
        <v>5000</v>
      </c>
      <c r="EW138">
        <v>0</v>
      </c>
      <c r="EX138">
        <v>0</v>
      </c>
      <c r="EY138">
        <v>0</v>
      </c>
      <c r="FA138">
        <v>10</v>
      </c>
      <c r="FG138">
        <v>249</v>
      </c>
      <c r="FH138">
        <v>257</v>
      </c>
      <c r="FI138">
        <v>253</v>
      </c>
    </row>
    <row r="139" spans="1:165" x14ac:dyDescent="0.35">
      <c r="A139">
        <v>2025</v>
      </c>
      <c r="B139" t="s">
        <v>189</v>
      </c>
      <c r="C139" t="s">
        <v>189</v>
      </c>
      <c r="D139" t="s">
        <v>1812</v>
      </c>
      <c r="E139" t="s">
        <v>191</v>
      </c>
      <c r="F139">
        <v>525</v>
      </c>
      <c r="G139">
        <v>0</v>
      </c>
      <c r="I139" t="s">
        <v>1734</v>
      </c>
      <c r="J139">
        <v>38</v>
      </c>
      <c r="K139">
        <v>37</v>
      </c>
      <c r="L139">
        <v>38</v>
      </c>
      <c r="M139">
        <v>26.637499999999999</v>
      </c>
      <c r="N139">
        <v>25.817499999999999</v>
      </c>
      <c r="O139">
        <v>26.2685</v>
      </c>
      <c r="P139">
        <v>38.063200000000002</v>
      </c>
      <c r="Q139">
        <v>36.868299999999998</v>
      </c>
      <c r="R139">
        <v>37.525500000000001</v>
      </c>
      <c r="V139" t="s">
        <v>167</v>
      </c>
      <c r="W139" t="s">
        <v>168</v>
      </c>
      <c r="Y139">
        <v>1</v>
      </c>
      <c r="Z139" t="s">
        <v>170</v>
      </c>
      <c r="AA139" t="s">
        <v>170</v>
      </c>
      <c r="AB139" t="s">
        <v>167</v>
      </c>
      <c r="AC139" t="s">
        <v>213</v>
      </c>
      <c r="AF139">
        <v>253</v>
      </c>
      <c r="AG139" t="s">
        <v>1735</v>
      </c>
      <c r="AH139" t="s">
        <v>1736</v>
      </c>
      <c r="AI139" t="s">
        <v>1742</v>
      </c>
      <c r="AJ139" t="s">
        <v>1743</v>
      </c>
      <c r="AK139" t="s">
        <v>170</v>
      </c>
      <c r="AL139" t="s">
        <v>177</v>
      </c>
      <c r="AO139">
        <v>98</v>
      </c>
      <c r="AP139">
        <v>11</v>
      </c>
      <c r="AS139">
        <v>900</v>
      </c>
      <c r="AT139">
        <v>900</v>
      </c>
      <c r="BQ139">
        <v>4</v>
      </c>
      <c r="BR139" t="s">
        <v>521</v>
      </c>
      <c r="BS139" t="s">
        <v>180</v>
      </c>
      <c r="BT139" t="s">
        <v>1769</v>
      </c>
      <c r="BU139" s="1">
        <v>45457</v>
      </c>
      <c r="BV139">
        <v>34888</v>
      </c>
      <c r="BW139" s="155"/>
      <c r="BX139" t="s">
        <v>169</v>
      </c>
      <c r="BY139" t="s">
        <v>170</v>
      </c>
      <c r="CB139" t="s">
        <v>170</v>
      </c>
      <c r="CC139" t="s">
        <v>170</v>
      </c>
      <c r="CK139" t="s">
        <v>233</v>
      </c>
      <c r="CM139">
        <v>9</v>
      </c>
      <c r="CN139" t="s">
        <v>234</v>
      </c>
      <c r="CP139">
        <v>376</v>
      </c>
      <c r="CQ139">
        <v>280.8</v>
      </c>
      <c r="CR139">
        <v>154</v>
      </c>
      <c r="CS139" t="s">
        <v>235</v>
      </c>
      <c r="CV139" t="s">
        <v>341</v>
      </c>
      <c r="CX139" t="s">
        <v>342</v>
      </c>
      <c r="CY139" t="s">
        <v>169</v>
      </c>
      <c r="DC139" t="s">
        <v>1803</v>
      </c>
      <c r="DD139">
        <v>2</v>
      </c>
      <c r="DE139" t="s">
        <v>404</v>
      </c>
      <c r="DF139" t="s">
        <v>405</v>
      </c>
      <c r="DG139" t="s">
        <v>1804</v>
      </c>
      <c r="DL139" t="s">
        <v>170</v>
      </c>
      <c r="DM139" t="s">
        <v>169</v>
      </c>
      <c r="DP139" t="s">
        <v>170</v>
      </c>
      <c r="DQ139" t="s">
        <v>187</v>
      </c>
      <c r="EA139" s="101"/>
      <c r="EB139">
        <v>9</v>
      </c>
      <c r="EC139">
        <v>10</v>
      </c>
      <c r="EE139" t="s">
        <v>1805</v>
      </c>
      <c r="EF139">
        <v>10</v>
      </c>
      <c r="EU139">
        <v>5000</v>
      </c>
      <c r="EW139">
        <v>0</v>
      </c>
      <c r="EX139">
        <v>0</v>
      </c>
      <c r="EY139">
        <v>0</v>
      </c>
      <c r="FA139">
        <v>10</v>
      </c>
      <c r="FG139">
        <v>249</v>
      </c>
      <c r="FH139">
        <v>257</v>
      </c>
      <c r="FI139">
        <v>253</v>
      </c>
    </row>
    <row r="140" spans="1:165" x14ac:dyDescent="0.35">
      <c r="A140" s="25"/>
      <c r="B140" s="25"/>
      <c r="C140" s="25"/>
      <c r="D140" s="25"/>
      <c r="E140" s="25"/>
      <c r="F140" s="25" t="str">
        <f>_xlfn.CONCAT($A141," ",$B141," ",$D141)</f>
        <v>2025 BMW i5 M60 xDrive Sedan (20'' Wheels)</v>
      </c>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t="str">
        <f>_xlfn.CONCAT($A141," ",$B141," ",$D141)</f>
        <v>2025 BMW i5 M60 xDrive Sedan (20'' Wheels)</v>
      </c>
      <c r="AE140" s="25"/>
      <c r="AF140" s="25"/>
      <c r="AG140" s="25"/>
      <c r="AH140" s="25"/>
      <c r="AI140" s="25"/>
      <c r="AJ140" s="25"/>
      <c r="AK140" s="25"/>
      <c r="AL140" s="25"/>
      <c r="AM140" s="25"/>
      <c r="AN140" s="25"/>
      <c r="AO140" s="25"/>
      <c r="AP140" s="25"/>
      <c r="AQ140" s="25"/>
      <c r="AR140" s="25"/>
      <c r="AS140" s="25"/>
      <c r="AT140" s="25"/>
      <c r="AU140" s="25"/>
      <c r="AV140" s="25"/>
      <c r="AW140" s="25"/>
      <c r="AX140" s="25" t="str">
        <f>_xlfn.CONCAT($A141," ",$B141," ",$D141)</f>
        <v>2025 BMW i5 M60 xDrive Sedan (20'' Wheels)</v>
      </c>
      <c r="AY140" s="25"/>
      <c r="AZ140" s="25"/>
      <c r="BA140" s="25"/>
      <c r="BB140" s="25"/>
      <c r="BC140" s="25"/>
      <c r="BD140" s="25"/>
      <c r="BE140" s="25"/>
      <c r="BF140" s="25"/>
      <c r="BG140" s="25"/>
      <c r="BH140" s="25"/>
      <c r="BI140" s="25"/>
      <c r="BJ140" s="25"/>
      <c r="BK140" s="25"/>
      <c r="BL140" s="25"/>
      <c r="BM140" s="25"/>
      <c r="BN140" s="25"/>
      <c r="BO140" s="25"/>
      <c r="BP140" s="25"/>
      <c r="BQ140" s="25"/>
      <c r="BR140" s="25" t="str">
        <f>_xlfn.CONCAT($A141," ",$B141," ",$D141)</f>
        <v>2025 BMW i5 M60 xDrive Sedan (20'' Wheels)</v>
      </c>
      <c r="BS140" s="25"/>
      <c r="BT140" s="25"/>
      <c r="BU140" s="25"/>
      <c r="BV140" s="25"/>
      <c r="BW140" s="156"/>
      <c r="BX140" s="25"/>
      <c r="BY140" s="25"/>
      <c r="BZ140" s="25"/>
      <c r="CA140" s="25"/>
      <c r="CB140" s="25"/>
      <c r="CC140" s="25"/>
      <c r="CD140" s="25"/>
      <c r="CE140" s="25"/>
      <c r="CF140" s="25"/>
      <c r="CG140" s="25"/>
      <c r="CH140" s="25"/>
      <c r="CI140" s="25"/>
      <c r="CJ140" s="25"/>
      <c r="CK140" s="25"/>
      <c r="CL140" s="25"/>
      <c r="CM140" s="25"/>
      <c r="CN140" s="25"/>
      <c r="CO140" s="25"/>
      <c r="CP140" s="25" t="str">
        <f>_xlfn.CONCAT($A141," ",$B141," ",$D141)</f>
        <v>2025 BMW i5 M60 xDrive Sedan (20'' Wheels)</v>
      </c>
      <c r="CQ140" s="25"/>
      <c r="CR140" s="25"/>
      <c r="CS140" s="25"/>
      <c r="CT140" s="25"/>
      <c r="CU140" s="25"/>
      <c r="CV140" s="25"/>
      <c r="CW140" s="25"/>
      <c r="CX140" s="25"/>
      <c r="CY140" s="25"/>
      <c r="CZ140" s="25"/>
      <c r="DA140" s="25"/>
      <c r="DB140" s="25"/>
      <c r="DC140" s="25"/>
      <c r="DD140" s="25"/>
      <c r="DE140" s="25"/>
      <c r="DF140" s="25"/>
      <c r="DG140" s="25"/>
      <c r="DH140" s="25"/>
      <c r="DI140" s="25" t="str">
        <f>_xlfn.CONCAT($A141," ",$B141," ",$D141)</f>
        <v>2025 BMW i5 M60 xDrive Sedan (20'' Wheels)</v>
      </c>
      <c r="DJ140" s="25"/>
      <c r="DK140" s="25"/>
      <c r="DL140" s="25"/>
      <c r="DM140" s="25"/>
      <c r="DN140" s="25"/>
      <c r="DO140" s="25"/>
      <c r="DP140" s="25"/>
      <c r="DQ140" s="25"/>
      <c r="DR140" s="25"/>
      <c r="DS140" s="25"/>
      <c r="DT140" s="25"/>
      <c r="DU140" s="25"/>
      <c r="DV140" s="25"/>
      <c r="DW140" s="25"/>
      <c r="DX140" s="25"/>
      <c r="DY140" s="25"/>
      <c r="DZ140" s="25" t="str">
        <f>_xlfn.CONCAT($A141," ",$B141," ",$D141)</f>
        <v>2025 BMW i5 M60 xDrive Sedan (20'' Wheels)</v>
      </c>
      <c r="EA140" s="89"/>
      <c r="EB140" s="25"/>
      <c r="EC140" s="25"/>
      <c r="ED140" s="25"/>
      <c r="EE140" s="25"/>
      <c r="EF140" s="25"/>
      <c r="EG140" s="25"/>
      <c r="EH140" s="25"/>
      <c r="EI140" s="25"/>
      <c r="EJ140" s="25"/>
      <c r="EK140" s="25"/>
      <c r="EL140" s="25"/>
      <c r="EM140" s="25"/>
      <c r="EN140" s="25"/>
      <c r="EO140" s="25"/>
      <c r="EP140" s="25"/>
      <c r="EQ140" s="25"/>
      <c r="ER140" s="25"/>
      <c r="ES140" s="25"/>
      <c r="ET140" s="25"/>
      <c r="EU140" s="25"/>
      <c r="EV140" s="25" t="str">
        <f>_xlfn.CONCAT($A141," ",$B141," ",$D141)</f>
        <v>2025 BMW i5 M60 xDrive Sedan (20'' Wheels)</v>
      </c>
      <c r="EW140" s="25"/>
      <c r="EX140" s="25"/>
      <c r="EY140" s="25"/>
      <c r="EZ140" s="25"/>
      <c r="FA140" s="25"/>
      <c r="FB140" s="25"/>
      <c r="FC140" s="25"/>
      <c r="FD140" s="25"/>
      <c r="FE140" s="25"/>
      <c r="FF140" s="25"/>
      <c r="FG140" s="25"/>
    </row>
    <row r="141" spans="1:165" x14ac:dyDescent="0.35">
      <c r="A141">
        <v>2025</v>
      </c>
      <c r="B141" t="s">
        <v>189</v>
      </c>
      <c r="C141" t="s">
        <v>189</v>
      </c>
      <c r="D141" t="s">
        <v>1813</v>
      </c>
      <c r="E141" t="s">
        <v>191</v>
      </c>
      <c r="F141">
        <v>526</v>
      </c>
      <c r="G141">
        <v>0</v>
      </c>
      <c r="I141" t="s">
        <v>1734</v>
      </c>
      <c r="J141">
        <v>88</v>
      </c>
      <c r="K141">
        <v>88</v>
      </c>
      <c r="L141">
        <v>88</v>
      </c>
      <c r="M141">
        <v>125.5</v>
      </c>
      <c r="N141">
        <v>126.4</v>
      </c>
      <c r="O141">
        <v>125.9034</v>
      </c>
      <c r="P141">
        <v>87.85</v>
      </c>
      <c r="Q141">
        <v>88.48</v>
      </c>
      <c r="R141">
        <v>88.132400000000004</v>
      </c>
      <c r="V141" t="s">
        <v>167</v>
      </c>
      <c r="W141" t="s">
        <v>168</v>
      </c>
      <c r="Y141">
        <v>1</v>
      </c>
      <c r="Z141" t="s">
        <v>170</v>
      </c>
      <c r="AA141" t="s">
        <v>170</v>
      </c>
      <c r="AB141" t="s">
        <v>167</v>
      </c>
      <c r="AC141" t="s">
        <v>213</v>
      </c>
      <c r="AF141">
        <v>250</v>
      </c>
      <c r="AG141" t="s">
        <v>1735</v>
      </c>
      <c r="AH141" t="s">
        <v>1736</v>
      </c>
      <c r="AI141" t="s">
        <v>175</v>
      </c>
      <c r="AJ141" t="s">
        <v>176</v>
      </c>
      <c r="AK141" t="s">
        <v>170</v>
      </c>
      <c r="AL141" t="s">
        <v>177</v>
      </c>
      <c r="AO141">
        <v>98</v>
      </c>
      <c r="AP141">
        <v>11</v>
      </c>
      <c r="AS141">
        <v>900</v>
      </c>
      <c r="AT141">
        <v>900</v>
      </c>
      <c r="BQ141">
        <v>4</v>
      </c>
      <c r="BR141" t="s">
        <v>521</v>
      </c>
      <c r="BS141" t="s">
        <v>180</v>
      </c>
      <c r="BT141" t="s">
        <v>1769</v>
      </c>
      <c r="BU141" s="1">
        <v>45457</v>
      </c>
      <c r="BV141">
        <v>34889</v>
      </c>
      <c r="BW141" s="155"/>
      <c r="BX141" t="s">
        <v>169</v>
      </c>
      <c r="BY141" t="s">
        <v>170</v>
      </c>
      <c r="CB141" t="s">
        <v>170</v>
      </c>
      <c r="CC141" t="s">
        <v>170</v>
      </c>
      <c r="CK141" t="s">
        <v>233</v>
      </c>
      <c r="CM141">
        <v>9</v>
      </c>
      <c r="CN141" t="s">
        <v>234</v>
      </c>
      <c r="CP141">
        <v>376</v>
      </c>
      <c r="CQ141">
        <v>280.8</v>
      </c>
      <c r="CR141">
        <v>154</v>
      </c>
      <c r="CS141" t="s">
        <v>235</v>
      </c>
      <c r="CV141" t="s">
        <v>341</v>
      </c>
      <c r="CX141" t="s">
        <v>342</v>
      </c>
      <c r="CY141" t="s">
        <v>169</v>
      </c>
      <c r="DC141" t="s">
        <v>1803</v>
      </c>
      <c r="DD141">
        <v>2</v>
      </c>
      <c r="DE141" t="s">
        <v>404</v>
      </c>
      <c r="DF141" t="s">
        <v>405</v>
      </c>
      <c r="DG141" t="s">
        <v>1804</v>
      </c>
      <c r="DL141" t="s">
        <v>170</v>
      </c>
      <c r="DM141" t="s">
        <v>169</v>
      </c>
      <c r="DP141" t="s">
        <v>170</v>
      </c>
      <c r="DQ141" t="s">
        <v>187</v>
      </c>
      <c r="EA141" s="101"/>
      <c r="EB141">
        <v>9</v>
      </c>
      <c r="EC141">
        <v>10</v>
      </c>
      <c r="EE141" t="s">
        <v>1805</v>
      </c>
      <c r="EF141">
        <v>10</v>
      </c>
      <c r="EU141">
        <v>5000</v>
      </c>
      <c r="EW141">
        <v>0</v>
      </c>
      <c r="EX141">
        <v>0</v>
      </c>
      <c r="EY141">
        <v>0</v>
      </c>
      <c r="FA141">
        <v>10</v>
      </c>
      <c r="FG141">
        <v>249</v>
      </c>
      <c r="FH141">
        <v>251</v>
      </c>
      <c r="FI141">
        <v>250</v>
      </c>
    </row>
    <row r="142" spans="1:165" x14ac:dyDescent="0.35">
      <c r="A142">
        <v>2025</v>
      </c>
      <c r="B142" t="s">
        <v>189</v>
      </c>
      <c r="C142" t="s">
        <v>189</v>
      </c>
      <c r="D142" t="s">
        <v>1813</v>
      </c>
      <c r="E142" t="s">
        <v>191</v>
      </c>
      <c r="F142">
        <v>526</v>
      </c>
      <c r="G142">
        <v>0</v>
      </c>
      <c r="I142" t="s">
        <v>1734</v>
      </c>
      <c r="J142">
        <v>38</v>
      </c>
      <c r="K142">
        <v>38</v>
      </c>
      <c r="L142">
        <v>38</v>
      </c>
      <c r="M142">
        <v>26.85</v>
      </c>
      <c r="N142">
        <v>26.669</v>
      </c>
      <c r="O142">
        <v>26.7685</v>
      </c>
      <c r="P142">
        <v>38.366500000000002</v>
      </c>
      <c r="Q142">
        <v>38.093400000000003</v>
      </c>
      <c r="R142">
        <v>38.243600000000001</v>
      </c>
      <c r="V142" t="s">
        <v>167</v>
      </c>
      <c r="W142" t="s">
        <v>168</v>
      </c>
      <c r="Y142">
        <v>1</v>
      </c>
      <c r="Z142" t="s">
        <v>170</v>
      </c>
      <c r="AA142" t="s">
        <v>170</v>
      </c>
      <c r="AB142" t="s">
        <v>167</v>
      </c>
      <c r="AC142" t="s">
        <v>213</v>
      </c>
      <c r="AF142">
        <v>250</v>
      </c>
      <c r="AG142" t="s">
        <v>1735</v>
      </c>
      <c r="AH142" t="s">
        <v>1736</v>
      </c>
      <c r="AI142" t="s">
        <v>1742</v>
      </c>
      <c r="AJ142" t="s">
        <v>1743</v>
      </c>
      <c r="AK142" t="s">
        <v>170</v>
      </c>
      <c r="AL142" t="s">
        <v>177</v>
      </c>
      <c r="AO142">
        <v>98</v>
      </c>
      <c r="AP142">
        <v>11</v>
      </c>
      <c r="AS142">
        <v>900</v>
      </c>
      <c r="AT142">
        <v>900</v>
      </c>
      <c r="BQ142">
        <v>4</v>
      </c>
      <c r="BR142" t="s">
        <v>521</v>
      </c>
      <c r="BS142" t="s">
        <v>180</v>
      </c>
      <c r="BT142" t="s">
        <v>1769</v>
      </c>
      <c r="BU142" s="1">
        <v>45457</v>
      </c>
      <c r="BV142">
        <v>34889</v>
      </c>
      <c r="BW142" s="155"/>
      <c r="BX142" t="s">
        <v>169</v>
      </c>
      <c r="BY142" t="s">
        <v>170</v>
      </c>
      <c r="CB142" t="s">
        <v>170</v>
      </c>
      <c r="CC142" t="s">
        <v>170</v>
      </c>
      <c r="CK142" t="s">
        <v>233</v>
      </c>
      <c r="CM142">
        <v>9</v>
      </c>
      <c r="CN142" t="s">
        <v>234</v>
      </c>
      <c r="CP142">
        <v>376</v>
      </c>
      <c r="CQ142">
        <v>280.8</v>
      </c>
      <c r="CR142">
        <v>154</v>
      </c>
      <c r="CS142" t="s">
        <v>235</v>
      </c>
      <c r="CV142" t="s">
        <v>341</v>
      </c>
      <c r="CX142" t="s">
        <v>342</v>
      </c>
      <c r="CY142" t="s">
        <v>169</v>
      </c>
      <c r="DC142" t="s">
        <v>1803</v>
      </c>
      <c r="DD142">
        <v>2</v>
      </c>
      <c r="DE142" t="s">
        <v>404</v>
      </c>
      <c r="DF142" t="s">
        <v>405</v>
      </c>
      <c r="DG142" t="s">
        <v>1804</v>
      </c>
      <c r="DL142" t="s">
        <v>170</v>
      </c>
      <c r="DM142" t="s">
        <v>169</v>
      </c>
      <c r="DP142" t="s">
        <v>170</v>
      </c>
      <c r="DQ142" t="s">
        <v>187</v>
      </c>
      <c r="EA142" s="101"/>
      <c r="EB142">
        <v>9</v>
      </c>
      <c r="EC142">
        <v>10</v>
      </c>
      <c r="EE142" t="s">
        <v>1805</v>
      </c>
      <c r="EF142">
        <v>10</v>
      </c>
      <c r="EU142">
        <v>5000</v>
      </c>
      <c r="EW142">
        <v>0</v>
      </c>
      <c r="EX142">
        <v>0</v>
      </c>
      <c r="EY142">
        <v>0</v>
      </c>
      <c r="FA142">
        <v>10</v>
      </c>
      <c r="FG142">
        <v>249</v>
      </c>
      <c r="FH142">
        <v>251</v>
      </c>
      <c r="FI142">
        <v>250</v>
      </c>
    </row>
    <row r="143" spans="1:165" x14ac:dyDescent="0.35">
      <c r="A143" s="25"/>
      <c r="B143" s="25"/>
      <c r="C143" s="25"/>
      <c r="D143" s="25"/>
      <c r="E143" s="25"/>
      <c r="F143" s="25" t="str">
        <f>_xlfn.CONCAT($A144," ",$B144," ",$D144)</f>
        <v>2025 BMW i5 M60 xDrive Sedan (21'' Wheels)</v>
      </c>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c r="AD143" s="25" t="str">
        <f>_xlfn.CONCAT($A144," ",$B144," ",$D144)</f>
        <v>2025 BMW i5 M60 xDrive Sedan (21'' Wheels)</v>
      </c>
      <c r="AE143" s="25"/>
      <c r="AF143" s="25"/>
      <c r="AG143" s="25"/>
      <c r="AH143" s="25"/>
      <c r="AI143" s="25"/>
      <c r="AJ143" s="25"/>
      <c r="AK143" s="25"/>
      <c r="AL143" s="25"/>
      <c r="AM143" s="25"/>
      <c r="AN143" s="25"/>
      <c r="AO143" s="25"/>
      <c r="AP143" s="25"/>
      <c r="AQ143" s="25"/>
      <c r="AR143" s="25"/>
      <c r="AS143" s="25"/>
      <c r="AT143" s="25"/>
      <c r="AU143" s="25"/>
      <c r="AV143" s="25"/>
      <c r="AW143" s="25"/>
      <c r="AX143" s="25" t="str">
        <f>_xlfn.CONCAT($A144," ",$B144," ",$D144)</f>
        <v>2025 BMW i5 M60 xDrive Sedan (21'' Wheels)</v>
      </c>
      <c r="AY143" s="25"/>
      <c r="AZ143" s="25"/>
      <c r="BA143" s="25"/>
      <c r="BB143" s="25"/>
      <c r="BC143" s="25"/>
      <c r="BD143" s="25"/>
      <c r="BE143" s="25"/>
      <c r="BF143" s="25"/>
      <c r="BG143" s="25"/>
      <c r="BH143" s="25"/>
      <c r="BI143" s="25"/>
      <c r="BJ143" s="25"/>
      <c r="BK143" s="25"/>
      <c r="BL143" s="25"/>
      <c r="BM143" s="25"/>
      <c r="BN143" s="25"/>
      <c r="BO143" s="25"/>
      <c r="BP143" s="25"/>
      <c r="BQ143" s="25"/>
      <c r="BR143" s="25" t="str">
        <f>_xlfn.CONCAT($A144," ",$B144," ",$D144)</f>
        <v>2025 BMW i5 M60 xDrive Sedan (21'' Wheels)</v>
      </c>
      <c r="BS143" s="25"/>
      <c r="BT143" s="25"/>
      <c r="BU143" s="25"/>
      <c r="BV143" s="25"/>
      <c r="BW143" s="156"/>
      <c r="BX143" s="25"/>
      <c r="BY143" s="25"/>
      <c r="BZ143" s="25"/>
      <c r="CA143" s="25"/>
      <c r="CB143" s="25"/>
      <c r="CC143" s="25"/>
      <c r="CD143" s="25"/>
      <c r="CE143" s="25"/>
      <c r="CF143" s="25"/>
      <c r="CG143" s="25"/>
      <c r="CH143" s="25"/>
      <c r="CI143" s="25"/>
      <c r="CJ143" s="25"/>
      <c r="CK143" s="25"/>
      <c r="CL143" s="25"/>
      <c r="CM143" s="25"/>
      <c r="CN143" s="25"/>
      <c r="CO143" s="25"/>
      <c r="CP143" s="25" t="str">
        <f>_xlfn.CONCAT($A144," ",$B144," ",$D144)</f>
        <v>2025 BMW i5 M60 xDrive Sedan (21'' Wheels)</v>
      </c>
      <c r="CQ143" s="25"/>
      <c r="CR143" s="25"/>
      <c r="CS143" s="25"/>
      <c r="CT143" s="25"/>
      <c r="CU143" s="25"/>
      <c r="CV143" s="25"/>
      <c r="CW143" s="25"/>
      <c r="CX143" s="25"/>
      <c r="CY143" s="25"/>
      <c r="CZ143" s="25"/>
      <c r="DA143" s="25"/>
      <c r="DB143" s="25"/>
      <c r="DC143" s="25"/>
      <c r="DD143" s="25"/>
      <c r="DE143" s="25"/>
      <c r="DF143" s="25"/>
      <c r="DG143" s="25"/>
      <c r="DH143" s="25"/>
      <c r="DI143" s="25" t="str">
        <f>_xlfn.CONCAT($A144," ",$B144," ",$D144)</f>
        <v>2025 BMW i5 M60 xDrive Sedan (21'' Wheels)</v>
      </c>
      <c r="DJ143" s="25"/>
      <c r="DK143" s="25"/>
      <c r="DL143" s="25"/>
      <c r="DM143" s="25"/>
      <c r="DN143" s="25"/>
      <c r="DO143" s="25"/>
      <c r="DP143" s="25"/>
      <c r="DQ143" s="25"/>
      <c r="DR143" s="25"/>
      <c r="DS143" s="25"/>
      <c r="DT143" s="25"/>
      <c r="DU143" s="25"/>
      <c r="DV143" s="25"/>
      <c r="DW143" s="25"/>
      <c r="DX143" s="25"/>
      <c r="DY143" s="25"/>
      <c r="DZ143" s="25" t="str">
        <f>_xlfn.CONCAT($A144," ",$B144," ",$D144)</f>
        <v>2025 BMW i5 M60 xDrive Sedan (21'' Wheels)</v>
      </c>
      <c r="EA143" s="89"/>
      <c r="EB143" s="25"/>
      <c r="EC143" s="25"/>
      <c r="ED143" s="25"/>
      <c r="EE143" s="25"/>
      <c r="EF143" s="25"/>
      <c r="EG143" s="25"/>
      <c r="EH143" s="25"/>
      <c r="EI143" s="25"/>
      <c r="EJ143" s="25"/>
      <c r="EK143" s="25"/>
      <c r="EL143" s="25"/>
      <c r="EM143" s="25"/>
      <c r="EN143" s="25"/>
      <c r="EO143" s="25"/>
      <c r="EP143" s="25"/>
      <c r="EQ143" s="25"/>
      <c r="ER143" s="25"/>
      <c r="ES143" s="25"/>
      <c r="ET143" s="25"/>
      <c r="EU143" s="25"/>
      <c r="EV143" s="25" t="str">
        <f>_xlfn.CONCAT($A144," ",$B144," ",$D144)</f>
        <v>2025 BMW i5 M60 xDrive Sedan (21'' Wheels)</v>
      </c>
      <c r="EW143" s="25"/>
      <c r="EX143" s="25"/>
      <c r="EY143" s="25"/>
      <c r="EZ143" s="25"/>
      <c r="FA143" s="25"/>
      <c r="FB143" s="25"/>
      <c r="FC143" s="25"/>
      <c r="FD143" s="25"/>
      <c r="FE143" s="25"/>
      <c r="FF143" s="25"/>
      <c r="FG143" s="25"/>
    </row>
    <row r="144" spans="1:165" x14ac:dyDescent="0.35">
      <c r="A144">
        <v>2025</v>
      </c>
      <c r="B144" t="s">
        <v>189</v>
      </c>
      <c r="C144" t="s">
        <v>189</v>
      </c>
      <c r="D144" t="s">
        <v>1814</v>
      </c>
      <c r="E144" t="s">
        <v>191</v>
      </c>
      <c r="F144">
        <v>527</v>
      </c>
      <c r="G144">
        <v>0</v>
      </c>
      <c r="I144" t="s">
        <v>1734</v>
      </c>
      <c r="J144">
        <v>83</v>
      </c>
      <c r="K144">
        <v>85</v>
      </c>
      <c r="L144">
        <v>84</v>
      </c>
      <c r="M144">
        <v>119.2</v>
      </c>
      <c r="N144">
        <v>121</v>
      </c>
      <c r="O144">
        <v>120.0033</v>
      </c>
      <c r="P144">
        <v>83.44</v>
      </c>
      <c r="Q144">
        <v>84.7</v>
      </c>
      <c r="R144">
        <v>84.002300000000005</v>
      </c>
      <c r="V144" t="s">
        <v>167</v>
      </c>
      <c r="W144" t="s">
        <v>168</v>
      </c>
      <c r="Y144">
        <v>1</v>
      </c>
      <c r="Z144" t="s">
        <v>170</v>
      </c>
      <c r="AA144" t="s">
        <v>170</v>
      </c>
      <c r="AB144" t="s">
        <v>167</v>
      </c>
      <c r="AC144" t="s">
        <v>213</v>
      </c>
      <c r="AF144">
        <v>239</v>
      </c>
      <c r="AG144" t="s">
        <v>1735</v>
      </c>
      <c r="AH144" t="s">
        <v>1736</v>
      </c>
      <c r="AI144" t="s">
        <v>175</v>
      </c>
      <c r="AJ144" t="s">
        <v>176</v>
      </c>
      <c r="AK144" t="s">
        <v>170</v>
      </c>
      <c r="AL144" t="s">
        <v>177</v>
      </c>
      <c r="AO144">
        <v>98</v>
      </c>
      <c r="AP144">
        <v>11</v>
      </c>
      <c r="AS144">
        <v>950</v>
      </c>
      <c r="AT144">
        <v>950</v>
      </c>
      <c r="BQ144">
        <v>4</v>
      </c>
      <c r="BR144" t="s">
        <v>521</v>
      </c>
      <c r="BS144" t="s">
        <v>180</v>
      </c>
      <c r="BT144" t="s">
        <v>1769</v>
      </c>
      <c r="BU144" s="1">
        <v>45457</v>
      </c>
      <c r="BV144">
        <v>34890</v>
      </c>
      <c r="BW144" s="155"/>
      <c r="BX144" t="s">
        <v>169</v>
      </c>
      <c r="BY144" t="s">
        <v>170</v>
      </c>
      <c r="CB144" t="s">
        <v>170</v>
      </c>
      <c r="CC144" t="s">
        <v>170</v>
      </c>
      <c r="CK144" t="s">
        <v>233</v>
      </c>
      <c r="CM144">
        <v>9</v>
      </c>
      <c r="CN144" t="s">
        <v>234</v>
      </c>
      <c r="CP144">
        <v>376</v>
      </c>
      <c r="CQ144">
        <v>280.8</v>
      </c>
      <c r="CR144">
        <v>154</v>
      </c>
      <c r="CS144" t="s">
        <v>235</v>
      </c>
      <c r="CV144" t="s">
        <v>341</v>
      </c>
      <c r="CX144" t="s">
        <v>342</v>
      </c>
      <c r="CY144" t="s">
        <v>169</v>
      </c>
      <c r="DC144" t="s">
        <v>1803</v>
      </c>
      <c r="DD144">
        <v>2</v>
      </c>
      <c r="DE144" t="s">
        <v>404</v>
      </c>
      <c r="DF144" t="s">
        <v>405</v>
      </c>
      <c r="DG144" t="s">
        <v>1804</v>
      </c>
      <c r="DL144" t="s">
        <v>170</v>
      </c>
      <c r="DM144" t="s">
        <v>169</v>
      </c>
      <c r="DP144" t="s">
        <v>170</v>
      </c>
      <c r="DQ144" t="s">
        <v>187</v>
      </c>
      <c r="EA144" s="101"/>
      <c r="EB144">
        <v>9</v>
      </c>
      <c r="EC144">
        <v>10</v>
      </c>
      <c r="EE144" t="s">
        <v>1805</v>
      </c>
      <c r="EF144">
        <v>10</v>
      </c>
      <c r="EU144">
        <v>4750</v>
      </c>
      <c r="EW144">
        <v>0</v>
      </c>
      <c r="EX144">
        <v>0</v>
      </c>
      <c r="EY144">
        <v>0</v>
      </c>
      <c r="FA144">
        <v>10</v>
      </c>
      <c r="FG144">
        <v>237</v>
      </c>
      <c r="FH144">
        <v>241</v>
      </c>
      <c r="FI144">
        <v>239</v>
      </c>
    </row>
    <row r="145" spans="1:165" x14ac:dyDescent="0.35">
      <c r="A145">
        <v>2025</v>
      </c>
      <c r="B145" t="s">
        <v>189</v>
      </c>
      <c r="C145" t="s">
        <v>189</v>
      </c>
      <c r="D145" t="s">
        <v>1814</v>
      </c>
      <c r="E145" t="s">
        <v>191</v>
      </c>
      <c r="F145">
        <v>527</v>
      </c>
      <c r="G145">
        <v>0</v>
      </c>
      <c r="I145" t="s">
        <v>1734</v>
      </c>
      <c r="J145">
        <v>40</v>
      </c>
      <c r="K145">
        <v>40</v>
      </c>
      <c r="L145">
        <v>40</v>
      </c>
      <c r="M145">
        <v>28.282299999999999</v>
      </c>
      <c r="N145">
        <v>27.8626</v>
      </c>
      <c r="O145">
        <v>28.093399999999999</v>
      </c>
      <c r="P145">
        <v>40.394300000000001</v>
      </c>
      <c r="Q145">
        <v>39.793399999999998</v>
      </c>
      <c r="R145">
        <v>40.123899999999999</v>
      </c>
      <c r="V145" t="s">
        <v>167</v>
      </c>
      <c r="W145" t="s">
        <v>168</v>
      </c>
      <c r="Y145">
        <v>1</v>
      </c>
      <c r="Z145" t="s">
        <v>170</v>
      </c>
      <c r="AA145" t="s">
        <v>170</v>
      </c>
      <c r="AB145" t="s">
        <v>167</v>
      </c>
      <c r="AC145" t="s">
        <v>213</v>
      </c>
      <c r="AF145">
        <v>239</v>
      </c>
      <c r="AG145" t="s">
        <v>1735</v>
      </c>
      <c r="AH145" t="s">
        <v>1736</v>
      </c>
      <c r="AI145" t="s">
        <v>1742</v>
      </c>
      <c r="AJ145" t="s">
        <v>1743</v>
      </c>
      <c r="AK145" t="s">
        <v>170</v>
      </c>
      <c r="AL145" t="s">
        <v>177</v>
      </c>
      <c r="AO145">
        <v>98</v>
      </c>
      <c r="AP145">
        <v>11</v>
      </c>
      <c r="AS145">
        <v>950</v>
      </c>
      <c r="AT145">
        <v>950</v>
      </c>
      <c r="BQ145">
        <v>4</v>
      </c>
      <c r="BR145" t="s">
        <v>521</v>
      </c>
      <c r="BS145" t="s">
        <v>180</v>
      </c>
      <c r="BT145" t="s">
        <v>1769</v>
      </c>
      <c r="BU145" s="1">
        <v>45457</v>
      </c>
      <c r="BV145">
        <v>34890</v>
      </c>
      <c r="BW145" s="155"/>
      <c r="BX145" t="s">
        <v>169</v>
      </c>
      <c r="BY145" t="s">
        <v>170</v>
      </c>
      <c r="CB145" t="s">
        <v>170</v>
      </c>
      <c r="CC145" t="s">
        <v>170</v>
      </c>
      <c r="CK145" t="s">
        <v>233</v>
      </c>
      <c r="CM145">
        <v>9</v>
      </c>
      <c r="CN145" t="s">
        <v>234</v>
      </c>
      <c r="CP145">
        <v>376</v>
      </c>
      <c r="CQ145">
        <v>280.8</v>
      </c>
      <c r="CR145">
        <v>154</v>
      </c>
      <c r="CS145" t="s">
        <v>235</v>
      </c>
      <c r="CV145" t="s">
        <v>341</v>
      </c>
      <c r="CX145" t="s">
        <v>342</v>
      </c>
      <c r="CY145" t="s">
        <v>169</v>
      </c>
      <c r="DC145" t="s">
        <v>1803</v>
      </c>
      <c r="DD145">
        <v>2</v>
      </c>
      <c r="DE145" t="s">
        <v>404</v>
      </c>
      <c r="DF145" t="s">
        <v>405</v>
      </c>
      <c r="DG145" t="s">
        <v>1804</v>
      </c>
      <c r="DL145" t="s">
        <v>170</v>
      </c>
      <c r="DM145" t="s">
        <v>169</v>
      </c>
      <c r="DP145" t="s">
        <v>170</v>
      </c>
      <c r="DQ145" t="s">
        <v>187</v>
      </c>
      <c r="EA145" s="101"/>
      <c r="EB145">
        <v>9</v>
      </c>
      <c r="EC145">
        <v>10</v>
      </c>
      <c r="EE145" t="s">
        <v>1805</v>
      </c>
      <c r="EF145">
        <v>10</v>
      </c>
      <c r="EU145">
        <v>4750</v>
      </c>
      <c r="EW145">
        <v>0</v>
      </c>
      <c r="EX145">
        <v>0</v>
      </c>
      <c r="EY145">
        <v>0</v>
      </c>
      <c r="FA145">
        <v>10</v>
      </c>
      <c r="FG145">
        <v>237</v>
      </c>
      <c r="FH145">
        <v>241</v>
      </c>
      <c r="FI145">
        <v>239</v>
      </c>
    </row>
    <row r="146" spans="1:165" x14ac:dyDescent="0.35">
      <c r="A146" s="25"/>
      <c r="B146" s="25"/>
      <c r="C146" s="25"/>
      <c r="D146" s="25"/>
      <c r="E146" s="25"/>
      <c r="F146" s="25" t="str">
        <f>_xlfn.CONCAT($A147," ",$B147," ",$D147)</f>
        <v>2025 BMW i7 eDrive50 Sedan (19'' Wheels)</v>
      </c>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t="str">
        <f>_xlfn.CONCAT($A147," ",$B147," ",$D147)</f>
        <v>2025 BMW i7 eDrive50 Sedan (19'' Wheels)</v>
      </c>
      <c r="AE146" s="25"/>
      <c r="AF146" s="25"/>
      <c r="AG146" s="25"/>
      <c r="AH146" s="25"/>
      <c r="AI146" s="25"/>
      <c r="AJ146" s="25"/>
      <c r="AK146" s="25"/>
      <c r="AL146" s="25"/>
      <c r="AM146" s="25"/>
      <c r="AN146" s="25"/>
      <c r="AO146" s="25"/>
      <c r="AP146" s="25"/>
      <c r="AQ146" s="25"/>
      <c r="AR146" s="25"/>
      <c r="AS146" s="25"/>
      <c r="AT146" s="25"/>
      <c r="AU146" s="25"/>
      <c r="AV146" s="25"/>
      <c r="AW146" s="25"/>
      <c r="AX146" s="25" t="str">
        <f>_xlfn.CONCAT($A147," ",$B147," ",$D147)</f>
        <v>2025 BMW i7 eDrive50 Sedan (19'' Wheels)</v>
      </c>
      <c r="AY146" s="25"/>
      <c r="AZ146" s="25"/>
      <c r="BA146" s="25"/>
      <c r="BB146" s="25"/>
      <c r="BC146" s="25"/>
      <c r="BD146" s="25"/>
      <c r="BE146" s="25"/>
      <c r="BF146" s="25"/>
      <c r="BG146" s="25"/>
      <c r="BH146" s="25"/>
      <c r="BI146" s="25"/>
      <c r="BJ146" s="25"/>
      <c r="BK146" s="25"/>
      <c r="BL146" s="25"/>
      <c r="BM146" s="25"/>
      <c r="BN146" s="25"/>
      <c r="BO146" s="25"/>
      <c r="BP146" s="25"/>
      <c r="BQ146" s="25"/>
      <c r="BR146" s="25" t="str">
        <f>_xlfn.CONCAT($A147," ",$B147," ",$D147)</f>
        <v>2025 BMW i7 eDrive50 Sedan (19'' Wheels)</v>
      </c>
      <c r="BS146" s="25"/>
      <c r="BT146" s="25"/>
      <c r="BU146" s="25"/>
      <c r="BV146" s="25"/>
      <c r="BW146" s="156"/>
      <c r="BX146" s="25"/>
      <c r="BY146" s="25"/>
      <c r="BZ146" s="25"/>
      <c r="CA146" s="25"/>
      <c r="CB146" s="25"/>
      <c r="CC146" s="25"/>
      <c r="CD146" s="25"/>
      <c r="CE146" s="25"/>
      <c r="CF146" s="25"/>
      <c r="CG146" s="25"/>
      <c r="CH146" s="25"/>
      <c r="CI146" s="25"/>
      <c r="CJ146" s="25"/>
      <c r="CK146" s="25"/>
      <c r="CL146" s="25"/>
      <c r="CM146" s="25"/>
      <c r="CN146" s="25"/>
      <c r="CO146" s="25"/>
      <c r="CP146" s="25" t="str">
        <f>_xlfn.CONCAT($A147," ",$B147," ",$D147)</f>
        <v>2025 BMW i7 eDrive50 Sedan (19'' Wheels)</v>
      </c>
      <c r="CQ146" s="25"/>
      <c r="CR146" s="25"/>
      <c r="CS146" s="25"/>
      <c r="CT146" s="25"/>
      <c r="CU146" s="25"/>
      <c r="CV146" s="25"/>
      <c r="CW146" s="25"/>
      <c r="CX146" s="25"/>
      <c r="CY146" s="25"/>
      <c r="CZ146" s="25"/>
      <c r="DA146" s="25"/>
      <c r="DB146" s="25"/>
      <c r="DC146" s="25"/>
      <c r="DD146" s="25"/>
      <c r="DE146" s="25"/>
      <c r="DF146" s="25"/>
      <c r="DG146" s="25"/>
      <c r="DH146" s="25"/>
      <c r="DI146" s="25" t="str">
        <f>_xlfn.CONCAT($A147," ",$B147," ",$D147)</f>
        <v>2025 BMW i7 eDrive50 Sedan (19'' Wheels)</v>
      </c>
      <c r="DJ146" s="25"/>
      <c r="DK146" s="25"/>
      <c r="DL146" s="25"/>
      <c r="DM146" s="25"/>
      <c r="DN146" s="25"/>
      <c r="DO146" s="25"/>
      <c r="DP146" s="25"/>
      <c r="DQ146" s="25"/>
      <c r="DR146" s="25"/>
      <c r="DS146" s="25"/>
      <c r="DT146" s="25"/>
      <c r="DU146" s="25"/>
      <c r="DV146" s="25"/>
      <c r="DW146" s="25"/>
      <c r="DX146" s="25"/>
      <c r="DY146" s="25"/>
      <c r="DZ146" s="25" t="str">
        <f>_xlfn.CONCAT($A147," ",$B147," ",$D147)</f>
        <v>2025 BMW i7 eDrive50 Sedan (19'' Wheels)</v>
      </c>
      <c r="EA146" s="89"/>
      <c r="EB146" s="25"/>
      <c r="EC146" s="25"/>
      <c r="ED146" s="25"/>
      <c r="EE146" s="25"/>
      <c r="EF146" s="25"/>
      <c r="EG146" s="25"/>
      <c r="EH146" s="25"/>
      <c r="EI146" s="25"/>
      <c r="EJ146" s="25"/>
      <c r="EK146" s="25"/>
      <c r="EL146" s="25"/>
      <c r="EM146" s="25"/>
      <c r="EN146" s="25"/>
      <c r="EO146" s="25"/>
      <c r="EP146" s="25"/>
      <c r="EQ146" s="25"/>
      <c r="ER146" s="25"/>
      <c r="ES146" s="25"/>
      <c r="ET146" s="25"/>
      <c r="EU146" s="25"/>
      <c r="EV146" s="25" t="str">
        <f>_xlfn.CONCAT($A147," ",$B147," ",$D147)</f>
        <v>2025 BMW i7 eDrive50 Sedan (19'' Wheels)</v>
      </c>
      <c r="EW146" s="25"/>
      <c r="EX146" s="25"/>
      <c r="EY146" s="25"/>
      <c r="EZ146" s="25"/>
      <c r="FA146" s="25"/>
      <c r="FB146" s="25"/>
      <c r="FC146" s="25"/>
      <c r="FD146" s="25"/>
      <c r="FE146" s="25"/>
      <c r="FF146" s="25"/>
      <c r="FG146" s="25"/>
    </row>
    <row r="147" spans="1:165" x14ac:dyDescent="0.35">
      <c r="A147">
        <v>2025</v>
      </c>
      <c r="B147" t="s">
        <v>189</v>
      </c>
      <c r="C147" t="s">
        <v>189</v>
      </c>
      <c r="D147" t="s">
        <v>1819</v>
      </c>
      <c r="E147" t="s">
        <v>191</v>
      </c>
      <c r="F147">
        <v>709</v>
      </c>
      <c r="G147">
        <v>0</v>
      </c>
      <c r="I147" t="s">
        <v>1734</v>
      </c>
      <c r="J147">
        <v>85</v>
      </c>
      <c r="K147">
        <v>93</v>
      </c>
      <c r="L147">
        <v>88</v>
      </c>
      <c r="M147">
        <v>120.9</v>
      </c>
      <c r="N147">
        <v>133</v>
      </c>
      <c r="O147">
        <v>126.0609</v>
      </c>
      <c r="P147">
        <v>84.63</v>
      </c>
      <c r="Q147">
        <v>93.1</v>
      </c>
      <c r="R147">
        <v>88.242599999999996</v>
      </c>
      <c r="V147" t="s">
        <v>167</v>
      </c>
      <c r="W147" t="s">
        <v>168</v>
      </c>
      <c r="Y147">
        <v>1</v>
      </c>
      <c r="Z147" t="s">
        <v>170</v>
      </c>
      <c r="AA147" t="s">
        <v>170</v>
      </c>
      <c r="AB147" t="s">
        <v>171</v>
      </c>
      <c r="AC147" t="s">
        <v>172</v>
      </c>
      <c r="AF147">
        <v>314</v>
      </c>
      <c r="AG147" t="s">
        <v>1735</v>
      </c>
      <c r="AH147" t="s">
        <v>1736</v>
      </c>
      <c r="AI147" t="s">
        <v>175</v>
      </c>
      <c r="AJ147" t="s">
        <v>176</v>
      </c>
      <c r="AK147" t="s">
        <v>170</v>
      </c>
      <c r="AL147" t="s">
        <v>177</v>
      </c>
      <c r="AO147">
        <v>109</v>
      </c>
      <c r="AP147">
        <v>11</v>
      </c>
      <c r="AS147">
        <v>900</v>
      </c>
      <c r="AT147">
        <v>900</v>
      </c>
      <c r="BQ147">
        <v>6</v>
      </c>
      <c r="BR147" t="s">
        <v>825</v>
      </c>
      <c r="BS147" t="s">
        <v>180</v>
      </c>
      <c r="BT147" t="s">
        <v>1769</v>
      </c>
      <c r="BU147" s="1">
        <v>45464</v>
      </c>
      <c r="BV147">
        <v>34910</v>
      </c>
      <c r="BW147" s="155"/>
      <c r="BX147" t="s">
        <v>170</v>
      </c>
      <c r="BY147" t="s">
        <v>170</v>
      </c>
      <c r="CB147" t="s">
        <v>170</v>
      </c>
      <c r="CC147" t="s">
        <v>170</v>
      </c>
      <c r="CK147" t="s">
        <v>233</v>
      </c>
      <c r="CM147">
        <v>9</v>
      </c>
      <c r="CN147" t="s">
        <v>234</v>
      </c>
      <c r="CP147">
        <v>376</v>
      </c>
      <c r="CQ147">
        <v>280.8</v>
      </c>
      <c r="CR147">
        <v>154</v>
      </c>
      <c r="CS147" t="s">
        <v>235</v>
      </c>
      <c r="CV147" t="s">
        <v>341</v>
      </c>
      <c r="CX147" t="s">
        <v>1012</v>
      </c>
      <c r="CY147" t="s">
        <v>169</v>
      </c>
      <c r="DC147" t="s">
        <v>1820</v>
      </c>
      <c r="DD147">
        <v>1</v>
      </c>
      <c r="DE147" t="s">
        <v>404</v>
      </c>
      <c r="DF147" t="s">
        <v>405</v>
      </c>
      <c r="DG147">
        <v>335</v>
      </c>
      <c r="DL147" t="s">
        <v>170</v>
      </c>
      <c r="DM147" t="s">
        <v>169</v>
      </c>
      <c r="DP147" t="s">
        <v>170</v>
      </c>
      <c r="DQ147" t="s">
        <v>187</v>
      </c>
      <c r="EA147" s="101"/>
      <c r="EB147">
        <v>9</v>
      </c>
      <c r="EC147">
        <v>10</v>
      </c>
      <c r="EE147" t="s">
        <v>1821</v>
      </c>
      <c r="EF147">
        <v>10</v>
      </c>
      <c r="EU147">
        <v>5000</v>
      </c>
      <c r="EW147">
        <v>0</v>
      </c>
      <c r="EX147">
        <v>0</v>
      </c>
      <c r="EY147">
        <v>0</v>
      </c>
      <c r="FA147">
        <v>12</v>
      </c>
      <c r="FG147">
        <v>300</v>
      </c>
      <c r="FH147">
        <v>331</v>
      </c>
      <c r="FI147">
        <v>314</v>
      </c>
    </row>
    <row r="148" spans="1:165" x14ac:dyDescent="0.35">
      <c r="A148">
        <v>2025</v>
      </c>
      <c r="B148" t="s">
        <v>189</v>
      </c>
      <c r="C148" t="s">
        <v>189</v>
      </c>
      <c r="D148" t="s">
        <v>1819</v>
      </c>
      <c r="E148" t="s">
        <v>191</v>
      </c>
      <c r="F148">
        <v>709</v>
      </c>
      <c r="G148">
        <v>0</v>
      </c>
      <c r="I148" t="s">
        <v>1734</v>
      </c>
      <c r="J148">
        <v>40</v>
      </c>
      <c r="K148">
        <v>36</v>
      </c>
      <c r="L148">
        <v>38</v>
      </c>
      <c r="M148">
        <v>27.8874</v>
      </c>
      <c r="N148">
        <v>25.334</v>
      </c>
      <c r="O148">
        <v>26.738299999999999</v>
      </c>
      <c r="P148">
        <v>39.826300000000003</v>
      </c>
      <c r="Q148">
        <v>36.203000000000003</v>
      </c>
      <c r="R148">
        <v>38.195799999999998</v>
      </c>
      <c r="V148" t="s">
        <v>167</v>
      </c>
      <c r="W148" t="s">
        <v>168</v>
      </c>
      <c r="Y148">
        <v>1</v>
      </c>
      <c r="Z148" t="s">
        <v>170</v>
      </c>
      <c r="AA148" t="s">
        <v>170</v>
      </c>
      <c r="AB148" t="s">
        <v>171</v>
      </c>
      <c r="AC148" t="s">
        <v>172</v>
      </c>
      <c r="AF148">
        <v>314</v>
      </c>
      <c r="AG148" t="s">
        <v>1735</v>
      </c>
      <c r="AH148" t="s">
        <v>1736</v>
      </c>
      <c r="AI148" t="s">
        <v>1742</v>
      </c>
      <c r="AJ148" t="s">
        <v>1743</v>
      </c>
      <c r="AK148" t="s">
        <v>170</v>
      </c>
      <c r="AL148" t="s">
        <v>177</v>
      </c>
      <c r="AO148">
        <v>109</v>
      </c>
      <c r="AP148">
        <v>11</v>
      </c>
      <c r="AS148">
        <v>900</v>
      </c>
      <c r="AT148">
        <v>900</v>
      </c>
      <c r="BQ148">
        <v>6</v>
      </c>
      <c r="BR148" t="s">
        <v>825</v>
      </c>
      <c r="BS148" t="s">
        <v>180</v>
      </c>
      <c r="BT148" t="s">
        <v>1769</v>
      </c>
      <c r="BU148" s="1">
        <v>45464</v>
      </c>
      <c r="BV148">
        <v>34910</v>
      </c>
      <c r="BW148" s="155"/>
      <c r="BX148" t="s">
        <v>170</v>
      </c>
      <c r="BY148" t="s">
        <v>170</v>
      </c>
      <c r="CB148" t="s">
        <v>170</v>
      </c>
      <c r="CC148" t="s">
        <v>170</v>
      </c>
      <c r="CK148" t="s">
        <v>233</v>
      </c>
      <c r="CM148">
        <v>9</v>
      </c>
      <c r="CN148" t="s">
        <v>234</v>
      </c>
      <c r="CP148">
        <v>376</v>
      </c>
      <c r="CQ148">
        <v>280.8</v>
      </c>
      <c r="CR148">
        <v>154</v>
      </c>
      <c r="CS148" t="s">
        <v>235</v>
      </c>
      <c r="CV148" t="s">
        <v>341</v>
      </c>
      <c r="CX148" t="s">
        <v>1012</v>
      </c>
      <c r="CY148" t="s">
        <v>169</v>
      </c>
      <c r="DC148" t="s">
        <v>1820</v>
      </c>
      <c r="DD148">
        <v>1</v>
      </c>
      <c r="DE148" t="s">
        <v>404</v>
      </c>
      <c r="DF148" t="s">
        <v>405</v>
      </c>
      <c r="DG148">
        <v>335</v>
      </c>
      <c r="DL148" t="s">
        <v>170</v>
      </c>
      <c r="DM148" t="s">
        <v>169</v>
      </c>
      <c r="DP148" t="s">
        <v>170</v>
      </c>
      <c r="DQ148" t="s">
        <v>187</v>
      </c>
      <c r="EA148" s="101"/>
      <c r="EB148">
        <v>9</v>
      </c>
      <c r="EC148">
        <v>10</v>
      </c>
      <c r="EE148" t="s">
        <v>1821</v>
      </c>
      <c r="EF148">
        <v>10</v>
      </c>
      <c r="EU148">
        <v>5000</v>
      </c>
      <c r="EW148">
        <v>0</v>
      </c>
      <c r="EX148">
        <v>0</v>
      </c>
      <c r="EY148">
        <v>0</v>
      </c>
      <c r="FA148">
        <v>12</v>
      </c>
      <c r="FG148">
        <v>300</v>
      </c>
      <c r="FH148">
        <v>331</v>
      </c>
      <c r="FI148">
        <v>314</v>
      </c>
    </row>
    <row r="149" spans="1:165" x14ac:dyDescent="0.35">
      <c r="A149" s="25"/>
      <c r="B149" s="25"/>
      <c r="C149" s="25"/>
      <c r="D149" s="25"/>
      <c r="E149" s="25"/>
      <c r="F149" s="25" t="str">
        <f>_xlfn.CONCAT($A150," ",$B150," ",$D150)</f>
        <v>2025 BMW i7 eDrive50 Sedan (20'' Wheels)</v>
      </c>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t="str">
        <f>_xlfn.CONCAT($A150," ",$B150," ",$D150)</f>
        <v>2025 BMW i7 eDrive50 Sedan (20'' Wheels)</v>
      </c>
      <c r="AE149" s="25"/>
      <c r="AF149" s="25"/>
      <c r="AG149" s="25"/>
      <c r="AH149" s="25"/>
      <c r="AI149" s="25"/>
      <c r="AJ149" s="25"/>
      <c r="AK149" s="25"/>
      <c r="AL149" s="25"/>
      <c r="AM149" s="25"/>
      <c r="AN149" s="25"/>
      <c r="AO149" s="25"/>
      <c r="AP149" s="25"/>
      <c r="AQ149" s="25"/>
      <c r="AR149" s="25"/>
      <c r="AS149" s="25"/>
      <c r="AT149" s="25"/>
      <c r="AU149" s="25"/>
      <c r="AV149" s="25"/>
      <c r="AW149" s="25"/>
      <c r="AX149" s="25" t="str">
        <f>_xlfn.CONCAT($A150," ",$B150," ",$D150)</f>
        <v>2025 BMW i7 eDrive50 Sedan (20'' Wheels)</v>
      </c>
      <c r="AY149" s="25"/>
      <c r="AZ149" s="25"/>
      <c r="BA149" s="25"/>
      <c r="BB149" s="25"/>
      <c r="BC149" s="25"/>
      <c r="BD149" s="25"/>
      <c r="BE149" s="25"/>
      <c r="BF149" s="25"/>
      <c r="BG149" s="25"/>
      <c r="BH149" s="25"/>
      <c r="BI149" s="25"/>
      <c r="BJ149" s="25"/>
      <c r="BK149" s="25"/>
      <c r="BL149" s="25"/>
      <c r="BM149" s="25"/>
      <c r="BN149" s="25"/>
      <c r="BO149" s="25"/>
      <c r="BP149" s="25"/>
      <c r="BQ149" s="25"/>
      <c r="BR149" s="25" t="str">
        <f>_xlfn.CONCAT($A150," ",$B150," ",$D150)</f>
        <v>2025 BMW i7 eDrive50 Sedan (20'' Wheels)</v>
      </c>
      <c r="BS149" s="25"/>
      <c r="BT149" s="25"/>
      <c r="BU149" s="25"/>
      <c r="BV149" s="25"/>
      <c r="BW149" s="156"/>
      <c r="BX149" s="25"/>
      <c r="BY149" s="25"/>
      <c r="BZ149" s="25"/>
      <c r="CA149" s="25"/>
      <c r="CB149" s="25"/>
      <c r="CC149" s="25"/>
      <c r="CD149" s="25"/>
      <c r="CE149" s="25"/>
      <c r="CF149" s="25"/>
      <c r="CG149" s="25"/>
      <c r="CH149" s="25"/>
      <c r="CI149" s="25"/>
      <c r="CJ149" s="25"/>
      <c r="CK149" s="25"/>
      <c r="CL149" s="25"/>
      <c r="CM149" s="25"/>
      <c r="CN149" s="25"/>
      <c r="CO149" s="25"/>
      <c r="CP149" s="25" t="str">
        <f>_xlfn.CONCAT($A150," ",$B150," ",$D150)</f>
        <v>2025 BMW i7 eDrive50 Sedan (20'' Wheels)</v>
      </c>
      <c r="CQ149" s="25"/>
      <c r="CR149" s="25"/>
      <c r="CS149" s="25"/>
      <c r="CT149" s="25"/>
      <c r="CU149" s="25"/>
      <c r="CV149" s="25"/>
      <c r="CW149" s="25"/>
      <c r="CX149" s="25"/>
      <c r="CY149" s="25"/>
      <c r="CZ149" s="25"/>
      <c r="DA149" s="25"/>
      <c r="DB149" s="25"/>
      <c r="DC149" s="25"/>
      <c r="DD149" s="25"/>
      <c r="DE149" s="25"/>
      <c r="DF149" s="25"/>
      <c r="DG149" s="25"/>
      <c r="DH149" s="25"/>
      <c r="DI149" s="25" t="str">
        <f>_xlfn.CONCAT($A150," ",$B150," ",$D150)</f>
        <v>2025 BMW i7 eDrive50 Sedan (20'' Wheels)</v>
      </c>
      <c r="DJ149" s="25"/>
      <c r="DK149" s="25"/>
      <c r="DL149" s="25"/>
      <c r="DM149" s="25"/>
      <c r="DN149" s="25"/>
      <c r="DO149" s="25"/>
      <c r="DP149" s="25"/>
      <c r="DQ149" s="25"/>
      <c r="DR149" s="25"/>
      <c r="DS149" s="25"/>
      <c r="DT149" s="25"/>
      <c r="DU149" s="25"/>
      <c r="DV149" s="25"/>
      <c r="DW149" s="25"/>
      <c r="DX149" s="25"/>
      <c r="DY149" s="25"/>
      <c r="DZ149" s="25" t="str">
        <f>_xlfn.CONCAT($A150," ",$B150," ",$D150)</f>
        <v>2025 BMW i7 eDrive50 Sedan (20'' Wheels)</v>
      </c>
      <c r="EA149" s="89"/>
      <c r="EB149" s="25"/>
      <c r="EC149" s="25"/>
      <c r="ED149" s="25"/>
      <c r="EE149" s="25"/>
      <c r="EF149" s="25"/>
      <c r="EG149" s="25"/>
      <c r="EH149" s="25"/>
      <c r="EI149" s="25"/>
      <c r="EJ149" s="25"/>
      <c r="EK149" s="25"/>
      <c r="EL149" s="25"/>
      <c r="EM149" s="25"/>
      <c r="EN149" s="25"/>
      <c r="EO149" s="25"/>
      <c r="EP149" s="25"/>
      <c r="EQ149" s="25"/>
      <c r="ER149" s="25"/>
      <c r="ES149" s="25"/>
      <c r="ET149" s="25"/>
      <c r="EU149" s="25"/>
      <c r="EV149" s="25" t="str">
        <f>_xlfn.CONCAT($A150," ",$B150," ",$D150)</f>
        <v>2025 BMW i7 eDrive50 Sedan (20'' Wheels)</v>
      </c>
      <c r="EW149" s="25"/>
      <c r="EX149" s="25"/>
      <c r="EY149" s="25"/>
      <c r="EZ149" s="25"/>
      <c r="FA149" s="25"/>
      <c r="FB149" s="25"/>
      <c r="FC149" s="25"/>
      <c r="FD149" s="25"/>
      <c r="FE149" s="25"/>
      <c r="FF149" s="25"/>
      <c r="FG149" s="25"/>
    </row>
    <row r="150" spans="1:165" x14ac:dyDescent="0.35">
      <c r="A150">
        <v>2025</v>
      </c>
      <c r="B150" t="s">
        <v>189</v>
      </c>
      <c r="C150" t="s">
        <v>189</v>
      </c>
      <c r="D150" t="s">
        <v>1822</v>
      </c>
      <c r="E150" t="s">
        <v>191</v>
      </c>
      <c r="F150">
        <v>710</v>
      </c>
      <c r="G150">
        <v>0</v>
      </c>
      <c r="I150" t="s">
        <v>1734</v>
      </c>
      <c r="J150">
        <v>82</v>
      </c>
      <c r="K150">
        <v>88</v>
      </c>
      <c r="L150">
        <v>85</v>
      </c>
      <c r="M150">
        <v>116.5</v>
      </c>
      <c r="N150">
        <v>126.4</v>
      </c>
      <c r="O150">
        <v>120.7561</v>
      </c>
      <c r="P150">
        <v>81.55</v>
      </c>
      <c r="Q150">
        <v>88.48</v>
      </c>
      <c r="R150">
        <v>84.529300000000006</v>
      </c>
      <c r="V150" t="s">
        <v>167</v>
      </c>
      <c r="W150" t="s">
        <v>168</v>
      </c>
      <c r="Y150">
        <v>1</v>
      </c>
      <c r="Z150" t="s">
        <v>170</v>
      </c>
      <c r="AA150" t="s">
        <v>170</v>
      </c>
      <c r="AB150" t="s">
        <v>171</v>
      </c>
      <c r="AC150" t="s">
        <v>172</v>
      </c>
      <c r="AF150">
        <v>301</v>
      </c>
      <c r="AG150" t="s">
        <v>1735</v>
      </c>
      <c r="AH150" t="s">
        <v>1736</v>
      </c>
      <c r="AI150" t="s">
        <v>175</v>
      </c>
      <c r="AJ150" t="s">
        <v>176</v>
      </c>
      <c r="AK150" t="s">
        <v>170</v>
      </c>
      <c r="AL150" t="s">
        <v>177</v>
      </c>
      <c r="AO150">
        <v>109</v>
      </c>
      <c r="AP150">
        <v>11</v>
      </c>
      <c r="AS150">
        <v>950</v>
      </c>
      <c r="AT150">
        <v>950</v>
      </c>
      <c r="BQ150">
        <v>6</v>
      </c>
      <c r="BR150" t="s">
        <v>825</v>
      </c>
      <c r="BS150" t="s">
        <v>180</v>
      </c>
      <c r="BT150" t="s">
        <v>1769</v>
      </c>
      <c r="BU150" s="1">
        <v>45464</v>
      </c>
      <c r="BV150">
        <v>34911</v>
      </c>
      <c r="BW150" s="155"/>
      <c r="BX150" t="s">
        <v>169</v>
      </c>
      <c r="BY150" t="s">
        <v>170</v>
      </c>
      <c r="CB150" t="s">
        <v>170</v>
      </c>
      <c r="CC150" t="s">
        <v>170</v>
      </c>
      <c r="CK150" t="s">
        <v>233</v>
      </c>
      <c r="CM150">
        <v>9</v>
      </c>
      <c r="CN150" t="s">
        <v>234</v>
      </c>
      <c r="CP150">
        <v>376</v>
      </c>
      <c r="CQ150">
        <v>280.8</v>
      </c>
      <c r="CR150">
        <v>154</v>
      </c>
      <c r="CS150" t="s">
        <v>235</v>
      </c>
      <c r="CV150" t="s">
        <v>341</v>
      </c>
      <c r="CX150" t="s">
        <v>1012</v>
      </c>
      <c r="CY150" t="s">
        <v>169</v>
      </c>
      <c r="DC150" t="s">
        <v>1820</v>
      </c>
      <c r="DD150">
        <v>1</v>
      </c>
      <c r="DE150" t="s">
        <v>404</v>
      </c>
      <c r="DF150" t="s">
        <v>405</v>
      </c>
      <c r="DG150">
        <v>335</v>
      </c>
      <c r="DL150" t="s">
        <v>170</v>
      </c>
      <c r="DM150" t="s">
        <v>169</v>
      </c>
      <c r="DP150" t="s">
        <v>170</v>
      </c>
      <c r="DQ150" t="s">
        <v>187</v>
      </c>
      <c r="EA150" s="101"/>
      <c r="EB150">
        <v>9</v>
      </c>
      <c r="EC150">
        <v>10</v>
      </c>
      <c r="EE150" t="s">
        <v>1821</v>
      </c>
      <c r="EF150">
        <v>10</v>
      </c>
      <c r="EU150">
        <v>4750</v>
      </c>
      <c r="EW150">
        <v>0</v>
      </c>
      <c r="EX150">
        <v>0</v>
      </c>
      <c r="EY150">
        <v>0</v>
      </c>
      <c r="FA150">
        <v>12</v>
      </c>
      <c r="FG150">
        <v>290</v>
      </c>
      <c r="FH150">
        <v>315</v>
      </c>
      <c r="FI150">
        <v>301</v>
      </c>
    </row>
    <row r="151" spans="1:165" x14ac:dyDescent="0.35">
      <c r="A151">
        <v>2025</v>
      </c>
      <c r="B151" t="s">
        <v>189</v>
      </c>
      <c r="C151" t="s">
        <v>189</v>
      </c>
      <c r="D151" t="s">
        <v>1822</v>
      </c>
      <c r="E151" t="s">
        <v>191</v>
      </c>
      <c r="F151">
        <v>710</v>
      </c>
      <c r="G151">
        <v>0</v>
      </c>
      <c r="I151" t="s">
        <v>1734</v>
      </c>
      <c r="J151">
        <v>41</v>
      </c>
      <c r="K151">
        <v>38</v>
      </c>
      <c r="L151">
        <v>40</v>
      </c>
      <c r="M151">
        <v>28.930099999999999</v>
      </c>
      <c r="N151">
        <v>26.659199999999998</v>
      </c>
      <c r="O151">
        <v>27.908200000000001</v>
      </c>
      <c r="P151">
        <v>41.330500000000001</v>
      </c>
      <c r="Q151">
        <v>38.093400000000003</v>
      </c>
      <c r="R151">
        <v>39.873800000000003</v>
      </c>
      <c r="V151" t="s">
        <v>167</v>
      </c>
      <c r="W151" t="s">
        <v>168</v>
      </c>
      <c r="Y151">
        <v>1</v>
      </c>
      <c r="Z151" t="s">
        <v>170</v>
      </c>
      <c r="AA151" t="s">
        <v>170</v>
      </c>
      <c r="AB151" t="s">
        <v>171</v>
      </c>
      <c r="AC151" t="s">
        <v>172</v>
      </c>
      <c r="AF151">
        <v>301</v>
      </c>
      <c r="AG151" t="s">
        <v>1735</v>
      </c>
      <c r="AH151" t="s">
        <v>1736</v>
      </c>
      <c r="AI151" t="s">
        <v>1742</v>
      </c>
      <c r="AJ151" t="s">
        <v>1743</v>
      </c>
      <c r="AK151" t="s">
        <v>170</v>
      </c>
      <c r="AL151" t="s">
        <v>177</v>
      </c>
      <c r="AO151">
        <v>109</v>
      </c>
      <c r="AP151">
        <v>11</v>
      </c>
      <c r="AS151">
        <v>950</v>
      </c>
      <c r="AT151">
        <v>950</v>
      </c>
      <c r="BQ151">
        <v>6</v>
      </c>
      <c r="BR151" t="s">
        <v>825</v>
      </c>
      <c r="BS151" t="s">
        <v>180</v>
      </c>
      <c r="BT151" t="s">
        <v>1769</v>
      </c>
      <c r="BU151" s="1">
        <v>45464</v>
      </c>
      <c r="BV151">
        <v>34911</v>
      </c>
      <c r="BW151" s="155"/>
      <c r="BX151" t="s">
        <v>169</v>
      </c>
      <c r="BY151" t="s">
        <v>170</v>
      </c>
      <c r="CB151" t="s">
        <v>170</v>
      </c>
      <c r="CC151" t="s">
        <v>170</v>
      </c>
      <c r="CK151" t="s">
        <v>233</v>
      </c>
      <c r="CM151">
        <v>9</v>
      </c>
      <c r="CN151" t="s">
        <v>234</v>
      </c>
      <c r="CP151">
        <v>376</v>
      </c>
      <c r="CQ151">
        <v>280.8</v>
      </c>
      <c r="CR151">
        <v>154</v>
      </c>
      <c r="CS151" t="s">
        <v>235</v>
      </c>
      <c r="CV151" t="s">
        <v>341</v>
      </c>
      <c r="CX151" t="s">
        <v>1012</v>
      </c>
      <c r="CY151" t="s">
        <v>169</v>
      </c>
      <c r="DC151" t="s">
        <v>1820</v>
      </c>
      <c r="DD151">
        <v>1</v>
      </c>
      <c r="DE151" t="s">
        <v>404</v>
      </c>
      <c r="DF151" t="s">
        <v>405</v>
      </c>
      <c r="DG151">
        <v>335</v>
      </c>
      <c r="DL151" t="s">
        <v>170</v>
      </c>
      <c r="DM151" t="s">
        <v>169</v>
      </c>
      <c r="DP151" t="s">
        <v>170</v>
      </c>
      <c r="DQ151" t="s">
        <v>187</v>
      </c>
      <c r="EA151" s="101"/>
      <c r="EB151">
        <v>9</v>
      </c>
      <c r="EC151">
        <v>10</v>
      </c>
      <c r="EE151" t="s">
        <v>1821</v>
      </c>
      <c r="EF151">
        <v>10</v>
      </c>
      <c r="EU151">
        <v>4750</v>
      </c>
      <c r="EW151">
        <v>0</v>
      </c>
      <c r="EX151">
        <v>0</v>
      </c>
      <c r="EY151">
        <v>0</v>
      </c>
      <c r="FA151">
        <v>12</v>
      </c>
      <c r="FG151">
        <v>290</v>
      </c>
      <c r="FH151">
        <v>315</v>
      </c>
      <c r="FI151">
        <v>301</v>
      </c>
    </row>
    <row r="152" spans="1:165" x14ac:dyDescent="0.35">
      <c r="A152" s="25"/>
      <c r="B152" s="25"/>
      <c r="C152" s="25"/>
      <c r="D152" s="25"/>
      <c r="E152" s="25"/>
      <c r="F152" s="25" t="str">
        <f>_xlfn.CONCAT($A153," ",$B153," ",$D153)</f>
        <v>2025 BMW i7 eDrive50 Sedan (21'' Wheels)</v>
      </c>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c r="AD152" s="25" t="str">
        <f>_xlfn.CONCAT($A153," ",$B153," ",$D153)</f>
        <v>2025 BMW i7 eDrive50 Sedan (21'' Wheels)</v>
      </c>
      <c r="AE152" s="25"/>
      <c r="AF152" s="25"/>
      <c r="AG152" s="25"/>
      <c r="AH152" s="25"/>
      <c r="AI152" s="25"/>
      <c r="AJ152" s="25"/>
      <c r="AK152" s="25"/>
      <c r="AL152" s="25"/>
      <c r="AM152" s="25"/>
      <c r="AN152" s="25"/>
      <c r="AO152" s="25"/>
      <c r="AP152" s="25"/>
      <c r="AQ152" s="25"/>
      <c r="AR152" s="25"/>
      <c r="AS152" s="25"/>
      <c r="AT152" s="25"/>
      <c r="AU152" s="25"/>
      <c r="AV152" s="25"/>
      <c r="AW152" s="25"/>
      <c r="AX152" s="25" t="str">
        <f>_xlfn.CONCAT($A153," ",$B153," ",$D153)</f>
        <v>2025 BMW i7 eDrive50 Sedan (21'' Wheels)</v>
      </c>
      <c r="AY152" s="25"/>
      <c r="AZ152" s="25"/>
      <c r="BA152" s="25"/>
      <c r="BB152" s="25"/>
      <c r="BC152" s="25"/>
      <c r="BD152" s="25"/>
      <c r="BE152" s="25"/>
      <c r="BF152" s="25"/>
      <c r="BG152" s="25"/>
      <c r="BH152" s="25"/>
      <c r="BI152" s="25"/>
      <c r="BJ152" s="25"/>
      <c r="BK152" s="25"/>
      <c r="BL152" s="25"/>
      <c r="BM152" s="25"/>
      <c r="BN152" s="25"/>
      <c r="BO152" s="25"/>
      <c r="BP152" s="25"/>
      <c r="BQ152" s="25"/>
      <c r="BR152" s="25" t="str">
        <f>_xlfn.CONCAT($A153," ",$B153," ",$D153)</f>
        <v>2025 BMW i7 eDrive50 Sedan (21'' Wheels)</v>
      </c>
      <c r="BS152" s="25"/>
      <c r="BT152" s="25"/>
      <c r="BU152" s="25"/>
      <c r="BV152" s="25"/>
      <c r="BW152" s="156"/>
      <c r="BX152" s="25"/>
      <c r="BY152" s="25"/>
      <c r="BZ152" s="25"/>
      <c r="CA152" s="25"/>
      <c r="CB152" s="25"/>
      <c r="CC152" s="25"/>
      <c r="CD152" s="25"/>
      <c r="CE152" s="25"/>
      <c r="CF152" s="25"/>
      <c r="CG152" s="25"/>
      <c r="CH152" s="25"/>
      <c r="CI152" s="25"/>
      <c r="CJ152" s="25"/>
      <c r="CK152" s="25"/>
      <c r="CL152" s="25"/>
      <c r="CM152" s="25"/>
      <c r="CN152" s="25"/>
      <c r="CO152" s="25"/>
      <c r="CP152" s="25" t="str">
        <f>_xlfn.CONCAT($A153," ",$B153," ",$D153)</f>
        <v>2025 BMW i7 eDrive50 Sedan (21'' Wheels)</v>
      </c>
      <c r="CQ152" s="25"/>
      <c r="CR152" s="25"/>
      <c r="CS152" s="25"/>
      <c r="CT152" s="25"/>
      <c r="CU152" s="25"/>
      <c r="CV152" s="25"/>
      <c r="CW152" s="25"/>
      <c r="CX152" s="25"/>
      <c r="CY152" s="25"/>
      <c r="CZ152" s="25"/>
      <c r="DA152" s="25"/>
      <c r="DB152" s="25"/>
      <c r="DC152" s="25"/>
      <c r="DD152" s="25"/>
      <c r="DE152" s="25"/>
      <c r="DF152" s="25"/>
      <c r="DG152" s="25"/>
      <c r="DH152" s="25"/>
      <c r="DI152" s="25" t="str">
        <f>_xlfn.CONCAT($A153," ",$B153," ",$D153)</f>
        <v>2025 BMW i7 eDrive50 Sedan (21'' Wheels)</v>
      </c>
      <c r="DJ152" s="25"/>
      <c r="DK152" s="25"/>
      <c r="DL152" s="25"/>
      <c r="DM152" s="25"/>
      <c r="DN152" s="25"/>
      <c r="DO152" s="25"/>
      <c r="DP152" s="25"/>
      <c r="DQ152" s="25"/>
      <c r="DR152" s="25"/>
      <c r="DS152" s="25"/>
      <c r="DT152" s="25"/>
      <c r="DU152" s="25"/>
      <c r="DV152" s="25"/>
      <c r="DW152" s="25"/>
      <c r="DX152" s="25"/>
      <c r="DY152" s="25"/>
      <c r="DZ152" s="25" t="str">
        <f>_xlfn.CONCAT($A153," ",$B153," ",$D153)</f>
        <v>2025 BMW i7 eDrive50 Sedan (21'' Wheels)</v>
      </c>
      <c r="EA152" s="89"/>
      <c r="EB152" s="25"/>
      <c r="EC152" s="25"/>
      <c r="ED152" s="25"/>
      <c r="EE152" s="25"/>
      <c r="EF152" s="25"/>
      <c r="EG152" s="25"/>
      <c r="EH152" s="25"/>
      <c r="EI152" s="25"/>
      <c r="EJ152" s="25"/>
      <c r="EK152" s="25"/>
      <c r="EL152" s="25"/>
      <c r="EM152" s="25"/>
      <c r="EN152" s="25"/>
      <c r="EO152" s="25"/>
      <c r="EP152" s="25"/>
      <c r="EQ152" s="25"/>
      <c r="ER152" s="25"/>
      <c r="ES152" s="25"/>
      <c r="ET152" s="25"/>
      <c r="EU152" s="25"/>
      <c r="EV152" s="25" t="str">
        <f>_xlfn.CONCAT($A153," ",$B153," ",$D153)</f>
        <v>2025 BMW i7 eDrive50 Sedan (21'' Wheels)</v>
      </c>
      <c r="EW152" s="25"/>
      <c r="EX152" s="25"/>
      <c r="EY152" s="25"/>
      <c r="EZ152" s="25"/>
      <c r="FA152" s="25"/>
      <c r="FB152" s="25"/>
      <c r="FC152" s="25"/>
      <c r="FD152" s="25"/>
      <c r="FE152" s="25"/>
      <c r="FF152" s="25"/>
      <c r="FG152" s="25"/>
    </row>
    <row r="153" spans="1:165" x14ac:dyDescent="0.35">
      <c r="A153">
        <v>2025</v>
      </c>
      <c r="B153" t="s">
        <v>189</v>
      </c>
      <c r="C153" t="s">
        <v>189</v>
      </c>
      <c r="D153" t="s">
        <v>1823</v>
      </c>
      <c r="E153" t="s">
        <v>191</v>
      </c>
      <c r="F153">
        <v>711</v>
      </c>
      <c r="G153">
        <v>0</v>
      </c>
      <c r="I153" t="s">
        <v>1734</v>
      </c>
      <c r="J153">
        <v>84</v>
      </c>
      <c r="K153">
        <v>90</v>
      </c>
      <c r="L153">
        <v>87</v>
      </c>
      <c r="M153">
        <v>119.9</v>
      </c>
      <c r="N153">
        <v>128.5</v>
      </c>
      <c r="O153">
        <v>123.62309999999999</v>
      </c>
      <c r="P153">
        <v>83.93</v>
      </c>
      <c r="Q153">
        <v>89.95</v>
      </c>
      <c r="R153">
        <v>86.536199999999994</v>
      </c>
      <c r="V153" t="s">
        <v>167</v>
      </c>
      <c r="W153" t="s">
        <v>168</v>
      </c>
      <c r="Y153">
        <v>1</v>
      </c>
      <c r="Z153" t="s">
        <v>170</v>
      </c>
      <c r="AA153" t="s">
        <v>170</v>
      </c>
      <c r="AB153" t="s">
        <v>171</v>
      </c>
      <c r="AC153" t="s">
        <v>172</v>
      </c>
      <c r="AF153">
        <v>307</v>
      </c>
      <c r="AG153" t="s">
        <v>1735</v>
      </c>
      <c r="AH153" t="s">
        <v>1736</v>
      </c>
      <c r="AI153" t="s">
        <v>175</v>
      </c>
      <c r="AJ153" t="s">
        <v>176</v>
      </c>
      <c r="AK153" t="s">
        <v>170</v>
      </c>
      <c r="AL153" t="s">
        <v>177</v>
      </c>
      <c r="AO153">
        <v>109</v>
      </c>
      <c r="AP153">
        <v>11</v>
      </c>
      <c r="AS153">
        <v>950</v>
      </c>
      <c r="AT153">
        <v>950</v>
      </c>
      <c r="BQ153">
        <v>6</v>
      </c>
      <c r="BR153" t="s">
        <v>825</v>
      </c>
      <c r="BS153" t="s">
        <v>180</v>
      </c>
      <c r="BT153" t="s">
        <v>1769</v>
      </c>
      <c r="BU153" s="1">
        <v>45464</v>
      </c>
      <c r="BV153">
        <v>34912</v>
      </c>
      <c r="BW153" s="155"/>
      <c r="BX153" t="s">
        <v>169</v>
      </c>
      <c r="BY153" t="s">
        <v>170</v>
      </c>
      <c r="CB153" t="s">
        <v>170</v>
      </c>
      <c r="CC153" t="s">
        <v>170</v>
      </c>
      <c r="CK153" t="s">
        <v>233</v>
      </c>
      <c r="CM153">
        <v>9</v>
      </c>
      <c r="CN153" t="s">
        <v>234</v>
      </c>
      <c r="CP153">
        <v>376</v>
      </c>
      <c r="CQ153">
        <v>280.8</v>
      </c>
      <c r="CR153">
        <v>154</v>
      </c>
      <c r="CS153" t="s">
        <v>235</v>
      </c>
      <c r="CV153" t="s">
        <v>341</v>
      </c>
      <c r="CX153" t="s">
        <v>1012</v>
      </c>
      <c r="CY153" t="s">
        <v>169</v>
      </c>
      <c r="DC153" t="s">
        <v>1820</v>
      </c>
      <c r="DD153">
        <v>1</v>
      </c>
      <c r="DE153" t="s">
        <v>404</v>
      </c>
      <c r="DF153" t="s">
        <v>405</v>
      </c>
      <c r="DG153">
        <v>335</v>
      </c>
      <c r="DL153" t="s">
        <v>170</v>
      </c>
      <c r="DM153" t="s">
        <v>169</v>
      </c>
      <c r="DP153" t="s">
        <v>170</v>
      </c>
      <c r="DQ153" t="s">
        <v>187</v>
      </c>
      <c r="EA153" s="101"/>
      <c r="EB153">
        <v>9</v>
      </c>
      <c r="EC153">
        <v>10</v>
      </c>
      <c r="EE153" t="s">
        <v>1821</v>
      </c>
      <c r="EF153">
        <v>10</v>
      </c>
      <c r="EU153">
        <v>4750</v>
      </c>
      <c r="EW153">
        <v>0</v>
      </c>
      <c r="EX153">
        <v>0</v>
      </c>
      <c r="EY153">
        <v>0</v>
      </c>
      <c r="FA153">
        <v>12</v>
      </c>
      <c r="FG153">
        <v>297</v>
      </c>
      <c r="FH153">
        <v>319</v>
      </c>
      <c r="FI153">
        <v>307</v>
      </c>
    </row>
    <row r="154" spans="1:165" x14ac:dyDescent="0.35">
      <c r="A154">
        <v>2025</v>
      </c>
      <c r="B154" t="s">
        <v>189</v>
      </c>
      <c r="C154" t="s">
        <v>189</v>
      </c>
      <c r="D154" t="s">
        <v>1823</v>
      </c>
      <c r="E154" t="s">
        <v>191</v>
      </c>
      <c r="F154">
        <v>711</v>
      </c>
      <c r="G154">
        <v>0</v>
      </c>
      <c r="I154" t="s">
        <v>1734</v>
      </c>
      <c r="J154">
        <v>40</v>
      </c>
      <c r="K154">
        <v>37</v>
      </c>
      <c r="L154">
        <v>39</v>
      </c>
      <c r="M154">
        <v>28.116299999999999</v>
      </c>
      <c r="N154">
        <v>26.233499999999999</v>
      </c>
      <c r="O154">
        <v>27.268999999999998</v>
      </c>
      <c r="P154">
        <v>40.158499999999997</v>
      </c>
      <c r="Q154">
        <v>37.470799999999997</v>
      </c>
      <c r="R154">
        <v>38.948999999999998</v>
      </c>
      <c r="V154" t="s">
        <v>167</v>
      </c>
      <c r="W154" t="s">
        <v>168</v>
      </c>
      <c r="Y154">
        <v>1</v>
      </c>
      <c r="Z154" t="s">
        <v>170</v>
      </c>
      <c r="AA154" t="s">
        <v>170</v>
      </c>
      <c r="AB154" t="s">
        <v>171</v>
      </c>
      <c r="AC154" t="s">
        <v>172</v>
      </c>
      <c r="AF154">
        <v>307</v>
      </c>
      <c r="AG154" t="s">
        <v>1735</v>
      </c>
      <c r="AH154" t="s">
        <v>1736</v>
      </c>
      <c r="AI154" t="s">
        <v>1742</v>
      </c>
      <c r="AJ154" t="s">
        <v>1743</v>
      </c>
      <c r="AK154" t="s">
        <v>170</v>
      </c>
      <c r="AL154" t="s">
        <v>177</v>
      </c>
      <c r="AO154">
        <v>109</v>
      </c>
      <c r="AP154">
        <v>11</v>
      </c>
      <c r="AS154">
        <v>950</v>
      </c>
      <c r="AT154">
        <v>950</v>
      </c>
      <c r="BQ154">
        <v>6</v>
      </c>
      <c r="BR154" t="s">
        <v>825</v>
      </c>
      <c r="BS154" t="s">
        <v>180</v>
      </c>
      <c r="BT154" t="s">
        <v>1769</v>
      </c>
      <c r="BU154" s="1">
        <v>45464</v>
      </c>
      <c r="BV154">
        <v>34912</v>
      </c>
      <c r="BW154" s="155"/>
      <c r="BX154" t="s">
        <v>169</v>
      </c>
      <c r="BY154" t="s">
        <v>170</v>
      </c>
      <c r="CB154" t="s">
        <v>170</v>
      </c>
      <c r="CC154" t="s">
        <v>170</v>
      </c>
      <c r="CK154" t="s">
        <v>233</v>
      </c>
      <c r="CM154">
        <v>9</v>
      </c>
      <c r="CN154" t="s">
        <v>234</v>
      </c>
      <c r="CP154">
        <v>376</v>
      </c>
      <c r="CQ154">
        <v>280.8</v>
      </c>
      <c r="CR154">
        <v>154</v>
      </c>
      <c r="CS154" t="s">
        <v>235</v>
      </c>
      <c r="CV154" t="s">
        <v>341</v>
      </c>
      <c r="CX154" t="s">
        <v>1012</v>
      </c>
      <c r="CY154" t="s">
        <v>169</v>
      </c>
      <c r="DC154" t="s">
        <v>1820</v>
      </c>
      <c r="DD154">
        <v>1</v>
      </c>
      <c r="DE154" t="s">
        <v>404</v>
      </c>
      <c r="DF154" t="s">
        <v>405</v>
      </c>
      <c r="DG154">
        <v>335</v>
      </c>
      <c r="DL154" t="s">
        <v>170</v>
      </c>
      <c r="DM154" t="s">
        <v>169</v>
      </c>
      <c r="DP154" t="s">
        <v>170</v>
      </c>
      <c r="DQ154" t="s">
        <v>187</v>
      </c>
      <c r="EA154" s="101"/>
      <c r="EB154">
        <v>9</v>
      </c>
      <c r="EC154">
        <v>10</v>
      </c>
      <c r="EE154" t="s">
        <v>1821</v>
      </c>
      <c r="EF154">
        <v>10</v>
      </c>
      <c r="EU154">
        <v>4750</v>
      </c>
      <c r="EW154">
        <v>0</v>
      </c>
      <c r="EX154">
        <v>0</v>
      </c>
      <c r="EY154">
        <v>0</v>
      </c>
      <c r="FA154">
        <v>12</v>
      </c>
      <c r="FG154">
        <v>297</v>
      </c>
      <c r="FH154">
        <v>319</v>
      </c>
      <c r="FI154">
        <v>307</v>
      </c>
    </row>
    <row r="155" spans="1:165" x14ac:dyDescent="0.35">
      <c r="A155" s="25"/>
      <c r="B155" s="25"/>
      <c r="C155" s="25"/>
      <c r="D155" s="25"/>
      <c r="E155" s="25"/>
      <c r="F155" s="25" t="str">
        <f>_xlfn.CONCAT($A156," ",$B156," ",$D156)</f>
        <v>2025 BMW i7 xDrive60 Sedan (19'' Wheels)</v>
      </c>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t="str">
        <f>_xlfn.CONCAT($A156," ",$B156," ",$D156)</f>
        <v>2025 BMW i7 xDrive60 Sedan (19'' Wheels)</v>
      </c>
      <c r="AE155" s="25"/>
      <c r="AF155" s="25"/>
      <c r="AG155" s="25"/>
      <c r="AH155" s="25"/>
      <c r="AI155" s="25"/>
      <c r="AJ155" s="25"/>
      <c r="AK155" s="25"/>
      <c r="AL155" s="25"/>
      <c r="AM155" s="25"/>
      <c r="AN155" s="25"/>
      <c r="AO155" s="25"/>
      <c r="AP155" s="25"/>
      <c r="AQ155" s="25"/>
      <c r="AR155" s="25"/>
      <c r="AS155" s="25"/>
      <c r="AT155" s="25"/>
      <c r="AU155" s="25"/>
      <c r="AV155" s="25"/>
      <c r="AW155" s="25"/>
      <c r="AX155" s="25" t="str">
        <f>_xlfn.CONCAT($A156," ",$B156," ",$D156)</f>
        <v>2025 BMW i7 xDrive60 Sedan (19'' Wheels)</v>
      </c>
      <c r="AY155" s="25"/>
      <c r="AZ155" s="25"/>
      <c r="BA155" s="25"/>
      <c r="BB155" s="25"/>
      <c r="BC155" s="25"/>
      <c r="BD155" s="25"/>
      <c r="BE155" s="25"/>
      <c r="BF155" s="25"/>
      <c r="BG155" s="25"/>
      <c r="BH155" s="25"/>
      <c r="BI155" s="25"/>
      <c r="BJ155" s="25"/>
      <c r="BK155" s="25"/>
      <c r="BL155" s="25"/>
      <c r="BM155" s="25"/>
      <c r="BN155" s="25"/>
      <c r="BO155" s="25"/>
      <c r="BP155" s="25"/>
      <c r="BQ155" s="25"/>
      <c r="BR155" s="25" t="str">
        <f>_xlfn.CONCAT($A156," ",$B156," ",$D156)</f>
        <v>2025 BMW i7 xDrive60 Sedan (19'' Wheels)</v>
      </c>
      <c r="BS155" s="25"/>
      <c r="BT155" s="25"/>
      <c r="BU155" s="25"/>
      <c r="BV155" s="25"/>
      <c r="BW155" s="156"/>
      <c r="BX155" s="25"/>
      <c r="BY155" s="25"/>
      <c r="BZ155" s="25"/>
      <c r="CA155" s="25"/>
      <c r="CB155" s="25"/>
      <c r="CC155" s="25"/>
      <c r="CD155" s="25"/>
      <c r="CE155" s="25"/>
      <c r="CF155" s="25"/>
      <c r="CG155" s="25"/>
      <c r="CH155" s="25"/>
      <c r="CI155" s="25"/>
      <c r="CJ155" s="25"/>
      <c r="CK155" s="25"/>
      <c r="CL155" s="25"/>
      <c r="CM155" s="25"/>
      <c r="CN155" s="25"/>
      <c r="CO155" s="25"/>
      <c r="CP155" s="25" t="str">
        <f>_xlfn.CONCAT($A156," ",$B156," ",$D156)</f>
        <v>2025 BMW i7 xDrive60 Sedan (19'' Wheels)</v>
      </c>
      <c r="CQ155" s="25"/>
      <c r="CR155" s="25"/>
      <c r="CS155" s="25"/>
      <c r="CT155" s="25"/>
      <c r="CU155" s="25"/>
      <c r="CV155" s="25"/>
      <c r="CW155" s="25"/>
      <c r="CX155" s="25"/>
      <c r="CY155" s="25"/>
      <c r="CZ155" s="25"/>
      <c r="DA155" s="25"/>
      <c r="DB155" s="25"/>
      <c r="DC155" s="25"/>
      <c r="DD155" s="25"/>
      <c r="DE155" s="25"/>
      <c r="DF155" s="25"/>
      <c r="DG155" s="25"/>
      <c r="DH155" s="25"/>
      <c r="DI155" s="25" t="str">
        <f>_xlfn.CONCAT($A156," ",$B156," ",$D156)</f>
        <v>2025 BMW i7 xDrive60 Sedan (19'' Wheels)</v>
      </c>
      <c r="DJ155" s="25"/>
      <c r="DK155" s="25"/>
      <c r="DL155" s="25"/>
      <c r="DM155" s="25"/>
      <c r="DN155" s="25"/>
      <c r="DO155" s="25"/>
      <c r="DP155" s="25"/>
      <c r="DQ155" s="25"/>
      <c r="DR155" s="25"/>
      <c r="DS155" s="25"/>
      <c r="DT155" s="25"/>
      <c r="DU155" s="25"/>
      <c r="DV155" s="25"/>
      <c r="DW155" s="25"/>
      <c r="DX155" s="25"/>
      <c r="DY155" s="25"/>
      <c r="DZ155" s="25" t="str">
        <f>_xlfn.CONCAT($A156," ",$B156," ",$D156)</f>
        <v>2025 BMW i7 xDrive60 Sedan (19'' Wheels)</v>
      </c>
      <c r="EA155" s="89"/>
      <c r="EB155" s="25"/>
      <c r="EC155" s="25"/>
      <c r="ED155" s="25"/>
      <c r="EE155" s="25"/>
      <c r="EF155" s="25"/>
      <c r="EG155" s="25"/>
      <c r="EH155" s="25"/>
      <c r="EI155" s="25"/>
      <c r="EJ155" s="25"/>
      <c r="EK155" s="25"/>
      <c r="EL155" s="25"/>
      <c r="EM155" s="25"/>
      <c r="EN155" s="25"/>
      <c r="EO155" s="25"/>
      <c r="EP155" s="25"/>
      <c r="EQ155" s="25"/>
      <c r="ER155" s="25"/>
      <c r="ES155" s="25"/>
      <c r="ET155" s="25"/>
      <c r="EU155" s="25"/>
      <c r="EV155" s="25" t="str">
        <f>_xlfn.CONCAT($A156," ",$B156," ",$D156)</f>
        <v>2025 BMW i7 xDrive60 Sedan (19'' Wheels)</v>
      </c>
      <c r="EW155" s="25"/>
      <c r="EX155" s="25"/>
      <c r="EY155" s="25"/>
      <c r="EZ155" s="25"/>
      <c r="FA155" s="25"/>
      <c r="FB155" s="25"/>
      <c r="FC155" s="25"/>
      <c r="FD155" s="25"/>
      <c r="FE155" s="25"/>
      <c r="FF155" s="25"/>
      <c r="FG155" s="25"/>
    </row>
    <row r="156" spans="1:165" x14ac:dyDescent="0.35">
      <c r="A156">
        <v>2025</v>
      </c>
      <c r="B156" t="s">
        <v>189</v>
      </c>
      <c r="C156" t="s">
        <v>189</v>
      </c>
      <c r="D156" t="s">
        <v>1829</v>
      </c>
      <c r="E156" t="s">
        <v>191</v>
      </c>
      <c r="F156">
        <v>719</v>
      </c>
      <c r="G156">
        <v>0</v>
      </c>
      <c r="I156" t="s">
        <v>1734</v>
      </c>
      <c r="J156">
        <v>85</v>
      </c>
      <c r="K156">
        <v>91</v>
      </c>
      <c r="L156">
        <v>88</v>
      </c>
      <c r="M156">
        <v>122</v>
      </c>
      <c r="N156">
        <v>129.69999999999999</v>
      </c>
      <c r="O156">
        <v>125.3488</v>
      </c>
      <c r="P156">
        <v>85.4</v>
      </c>
      <c r="Q156">
        <v>90.79</v>
      </c>
      <c r="R156">
        <v>87.744200000000006</v>
      </c>
      <c r="V156" t="s">
        <v>167</v>
      </c>
      <c r="W156" t="s">
        <v>168</v>
      </c>
      <c r="Y156">
        <v>1</v>
      </c>
      <c r="Z156" t="s">
        <v>170</v>
      </c>
      <c r="AA156" t="s">
        <v>170</v>
      </c>
      <c r="AB156" t="s">
        <v>167</v>
      </c>
      <c r="AC156" t="s">
        <v>213</v>
      </c>
      <c r="AF156">
        <v>311</v>
      </c>
      <c r="AG156" t="s">
        <v>1735</v>
      </c>
      <c r="AH156" t="s">
        <v>1736</v>
      </c>
      <c r="AI156" t="s">
        <v>175</v>
      </c>
      <c r="AJ156" t="s">
        <v>176</v>
      </c>
      <c r="AK156" t="s">
        <v>170</v>
      </c>
      <c r="AL156" t="s">
        <v>177</v>
      </c>
      <c r="AO156">
        <v>109</v>
      </c>
      <c r="AP156">
        <v>14</v>
      </c>
      <c r="AS156">
        <v>900</v>
      </c>
      <c r="AT156">
        <v>900</v>
      </c>
      <c r="BQ156">
        <v>6</v>
      </c>
      <c r="BR156" t="s">
        <v>825</v>
      </c>
      <c r="BS156" t="s">
        <v>180</v>
      </c>
      <c r="BT156" t="s">
        <v>1769</v>
      </c>
      <c r="BU156" s="1">
        <v>45464</v>
      </c>
      <c r="BV156">
        <v>34913</v>
      </c>
      <c r="BW156" s="155"/>
      <c r="BX156" t="s">
        <v>170</v>
      </c>
      <c r="BY156" t="s">
        <v>170</v>
      </c>
      <c r="CB156" t="s">
        <v>170</v>
      </c>
      <c r="CC156" t="s">
        <v>170</v>
      </c>
      <c r="CK156" t="s">
        <v>233</v>
      </c>
      <c r="CM156">
        <v>9</v>
      </c>
      <c r="CN156" t="s">
        <v>234</v>
      </c>
      <c r="CP156">
        <v>376</v>
      </c>
      <c r="CQ156">
        <v>280.8</v>
      </c>
      <c r="CR156">
        <v>154</v>
      </c>
      <c r="CS156" t="s">
        <v>235</v>
      </c>
      <c r="CV156" t="s">
        <v>341</v>
      </c>
      <c r="CX156" t="s">
        <v>342</v>
      </c>
      <c r="CY156" t="s">
        <v>169</v>
      </c>
      <c r="DC156" t="s">
        <v>1803</v>
      </c>
      <c r="DD156">
        <v>2</v>
      </c>
      <c r="DE156" t="s">
        <v>404</v>
      </c>
      <c r="DF156" t="s">
        <v>405</v>
      </c>
      <c r="DG156" t="s">
        <v>1804</v>
      </c>
      <c r="DL156" t="s">
        <v>170</v>
      </c>
      <c r="DM156" t="s">
        <v>169</v>
      </c>
      <c r="DP156" t="s">
        <v>170</v>
      </c>
      <c r="DQ156" t="s">
        <v>187</v>
      </c>
      <c r="EA156" s="101"/>
      <c r="EB156">
        <v>9</v>
      </c>
      <c r="EC156">
        <v>10</v>
      </c>
      <c r="EE156" t="s">
        <v>1805</v>
      </c>
      <c r="EF156">
        <v>10</v>
      </c>
      <c r="EU156">
        <v>5000</v>
      </c>
      <c r="EW156">
        <v>0</v>
      </c>
      <c r="EX156">
        <v>0</v>
      </c>
      <c r="EY156">
        <v>0</v>
      </c>
      <c r="FA156">
        <v>12</v>
      </c>
      <c r="FG156">
        <v>302</v>
      </c>
      <c r="FH156">
        <v>321</v>
      </c>
      <c r="FI156">
        <v>311</v>
      </c>
    </row>
    <row r="157" spans="1:165" x14ac:dyDescent="0.35">
      <c r="A157">
        <v>2025</v>
      </c>
      <c r="B157" t="s">
        <v>189</v>
      </c>
      <c r="C157" t="s">
        <v>189</v>
      </c>
      <c r="D157" t="s">
        <v>1829</v>
      </c>
      <c r="E157" t="s">
        <v>191</v>
      </c>
      <c r="F157">
        <v>719</v>
      </c>
      <c r="G157">
        <v>0</v>
      </c>
      <c r="I157" t="s">
        <v>1734</v>
      </c>
      <c r="J157">
        <v>39</v>
      </c>
      <c r="K157">
        <v>37</v>
      </c>
      <c r="L157">
        <v>38</v>
      </c>
      <c r="M157">
        <v>27.6234</v>
      </c>
      <c r="N157">
        <v>25.9969</v>
      </c>
      <c r="O157">
        <v>26.891500000000001</v>
      </c>
      <c r="P157">
        <v>39.467199999999998</v>
      </c>
      <c r="Q157">
        <v>37.124099999999999</v>
      </c>
      <c r="R157">
        <v>38.412799999999997</v>
      </c>
      <c r="V157" t="s">
        <v>167</v>
      </c>
      <c r="W157" t="s">
        <v>168</v>
      </c>
      <c r="Y157">
        <v>1</v>
      </c>
      <c r="Z157" t="s">
        <v>170</v>
      </c>
      <c r="AA157" t="s">
        <v>170</v>
      </c>
      <c r="AB157" t="s">
        <v>167</v>
      </c>
      <c r="AC157" t="s">
        <v>213</v>
      </c>
      <c r="AF157">
        <v>311</v>
      </c>
      <c r="AG157" t="s">
        <v>1735</v>
      </c>
      <c r="AH157" t="s">
        <v>1736</v>
      </c>
      <c r="AI157" t="s">
        <v>1742</v>
      </c>
      <c r="AJ157" t="s">
        <v>1743</v>
      </c>
      <c r="AK157" t="s">
        <v>170</v>
      </c>
      <c r="AL157" t="s">
        <v>177</v>
      </c>
      <c r="AO157">
        <v>109</v>
      </c>
      <c r="AP157">
        <v>14</v>
      </c>
      <c r="AS157">
        <v>900</v>
      </c>
      <c r="AT157">
        <v>900</v>
      </c>
      <c r="BQ157">
        <v>6</v>
      </c>
      <c r="BR157" t="s">
        <v>825</v>
      </c>
      <c r="BS157" t="s">
        <v>180</v>
      </c>
      <c r="BT157" t="s">
        <v>1769</v>
      </c>
      <c r="BU157" s="1">
        <v>45464</v>
      </c>
      <c r="BV157">
        <v>34913</v>
      </c>
      <c r="BW157" s="155"/>
      <c r="BX157" t="s">
        <v>170</v>
      </c>
      <c r="BY157" t="s">
        <v>170</v>
      </c>
      <c r="CB157" t="s">
        <v>170</v>
      </c>
      <c r="CC157" t="s">
        <v>170</v>
      </c>
      <c r="CK157" t="s">
        <v>233</v>
      </c>
      <c r="CM157">
        <v>9</v>
      </c>
      <c r="CN157" t="s">
        <v>234</v>
      </c>
      <c r="CP157">
        <v>376</v>
      </c>
      <c r="CQ157">
        <v>280.8</v>
      </c>
      <c r="CR157">
        <v>154</v>
      </c>
      <c r="CS157" t="s">
        <v>235</v>
      </c>
      <c r="CV157" t="s">
        <v>341</v>
      </c>
      <c r="CX157" t="s">
        <v>342</v>
      </c>
      <c r="CY157" t="s">
        <v>169</v>
      </c>
      <c r="DC157" t="s">
        <v>1803</v>
      </c>
      <c r="DD157">
        <v>2</v>
      </c>
      <c r="DE157" t="s">
        <v>404</v>
      </c>
      <c r="DF157" t="s">
        <v>405</v>
      </c>
      <c r="DG157" t="s">
        <v>1804</v>
      </c>
      <c r="DL157" t="s">
        <v>170</v>
      </c>
      <c r="DM157" t="s">
        <v>169</v>
      </c>
      <c r="DP157" t="s">
        <v>170</v>
      </c>
      <c r="DQ157" t="s">
        <v>187</v>
      </c>
      <c r="EA157" s="101"/>
      <c r="EB157">
        <v>9</v>
      </c>
      <c r="EC157">
        <v>10</v>
      </c>
      <c r="EE157" t="s">
        <v>1805</v>
      </c>
      <c r="EF157">
        <v>10</v>
      </c>
      <c r="EU157">
        <v>5000</v>
      </c>
      <c r="EW157">
        <v>0</v>
      </c>
      <c r="EX157">
        <v>0</v>
      </c>
      <c r="EY157">
        <v>0</v>
      </c>
      <c r="FA157">
        <v>12</v>
      </c>
      <c r="FG157">
        <v>302</v>
      </c>
      <c r="FH157">
        <v>321</v>
      </c>
      <c r="FI157">
        <v>311</v>
      </c>
    </row>
    <row r="158" spans="1:165" x14ac:dyDescent="0.35">
      <c r="A158" s="25"/>
      <c r="B158" s="25"/>
      <c r="C158" s="25"/>
      <c r="D158" s="25"/>
      <c r="E158" s="25"/>
      <c r="F158" s="25" t="str">
        <f>_xlfn.CONCAT($A159," ",$B159," ",$D159)</f>
        <v>2025 BMW i7 xDrive60 Sedan (20'' Wheels)</v>
      </c>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c r="AD158" s="25" t="str">
        <f>_xlfn.CONCAT($A159," ",$B159," ",$D159)</f>
        <v>2025 BMW i7 xDrive60 Sedan (20'' Wheels)</v>
      </c>
      <c r="AE158" s="25"/>
      <c r="AF158" s="25"/>
      <c r="AG158" s="25"/>
      <c r="AH158" s="25"/>
      <c r="AI158" s="25"/>
      <c r="AJ158" s="25"/>
      <c r="AK158" s="25"/>
      <c r="AL158" s="25"/>
      <c r="AM158" s="25"/>
      <c r="AN158" s="25"/>
      <c r="AO158" s="25"/>
      <c r="AP158" s="25"/>
      <c r="AQ158" s="25"/>
      <c r="AR158" s="25"/>
      <c r="AS158" s="25"/>
      <c r="AT158" s="25"/>
      <c r="AU158" s="25"/>
      <c r="AV158" s="25"/>
      <c r="AW158" s="25"/>
      <c r="AX158" s="25" t="str">
        <f>_xlfn.CONCAT($A159," ",$B159," ",$D159)</f>
        <v>2025 BMW i7 xDrive60 Sedan (20'' Wheels)</v>
      </c>
      <c r="AY158" s="25"/>
      <c r="AZ158" s="25"/>
      <c r="BA158" s="25"/>
      <c r="BB158" s="25"/>
      <c r="BC158" s="25"/>
      <c r="BD158" s="25"/>
      <c r="BE158" s="25"/>
      <c r="BF158" s="25"/>
      <c r="BG158" s="25"/>
      <c r="BH158" s="25"/>
      <c r="BI158" s="25"/>
      <c r="BJ158" s="25"/>
      <c r="BK158" s="25"/>
      <c r="BL158" s="25"/>
      <c r="BM158" s="25"/>
      <c r="BN158" s="25"/>
      <c r="BO158" s="25"/>
      <c r="BP158" s="25"/>
      <c r="BQ158" s="25"/>
      <c r="BR158" s="25" t="str">
        <f>_xlfn.CONCAT($A159," ",$B159," ",$D159)</f>
        <v>2025 BMW i7 xDrive60 Sedan (20'' Wheels)</v>
      </c>
      <c r="BS158" s="25"/>
      <c r="BT158" s="25"/>
      <c r="BU158" s="25"/>
      <c r="BV158" s="25"/>
      <c r="BW158" s="156"/>
      <c r="BX158" s="25"/>
      <c r="BY158" s="25"/>
      <c r="BZ158" s="25"/>
      <c r="CA158" s="25"/>
      <c r="CB158" s="25"/>
      <c r="CC158" s="25"/>
      <c r="CD158" s="25"/>
      <c r="CE158" s="25"/>
      <c r="CF158" s="25"/>
      <c r="CG158" s="25"/>
      <c r="CH158" s="25"/>
      <c r="CI158" s="25"/>
      <c r="CJ158" s="25"/>
      <c r="CK158" s="25"/>
      <c r="CL158" s="25"/>
      <c r="CM158" s="25"/>
      <c r="CN158" s="25"/>
      <c r="CO158" s="25"/>
      <c r="CP158" s="25" t="str">
        <f>_xlfn.CONCAT($A159," ",$B159," ",$D159)</f>
        <v>2025 BMW i7 xDrive60 Sedan (20'' Wheels)</v>
      </c>
      <c r="CQ158" s="25"/>
      <c r="CR158" s="25"/>
      <c r="CS158" s="25"/>
      <c r="CT158" s="25"/>
      <c r="CU158" s="25"/>
      <c r="CV158" s="25"/>
      <c r="CW158" s="25"/>
      <c r="CX158" s="25"/>
      <c r="CY158" s="25"/>
      <c r="CZ158" s="25"/>
      <c r="DA158" s="25"/>
      <c r="DB158" s="25"/>
      <c r="DC158" s="25"/>
      <c r="DD158" s="25"/>
      <c r="DE158" s="25"/>
      <c r="DF158" s="25"/>
      <c r="DG158" s="25"/>
      <c r="DH158" s="25"/>
      <c r="DI158" s="25" t="str">
        <f>_xlfn.CONCAT($A159," ",$B159," ",$D159)</f>
        <v>2025 BMW i7 xDrive60 Sedan (20'' Wheels)</v>
      </c>
      <c r="DJ158" s="25"/>
      <c r="DK158" s="25"/>
      <c r="DL158" s="25"/>
      <c r="DM158" s="25"/>
      <c r="DN158" s="25"/>
      <c r="DO158" s="25"/>
      <c r="DP158" s="25"/>
      <c r="DQ158" s="25"/>
      <c r="DR158" s="25"/>
      <c r="DS158" s="25"/>
      <c r="DT158" s="25"/>
      <c r="DU158" s="25"/>
      <c r="DV158" s="25"/>
      <c r="DW158" s="25"/>
      <c r="DX158" s="25"/>
      <c r="DY158" s="25"/>
      <c r="DZ158" s="25" t="str">
        <f>_xlfn.CONCAT($A159," ",$B159," ",$D159)</f>
        <v>2025 BMW i7 xDrive60 Sedan (20'' Wheels)</v>
      </c>
      <c r="EA158" s="89"/>
      <c r="EB158" s="25"/>
      <c r="EC158" s="25"/>
      <c r="ED158" s="25"/>
      <c r="EE158" s="25"/>
      <c r="EF158" s="25"/>
      <c r="EG158" s="25"/>
      <c r="EH158" s="25"/>
      <c r="EI158" s="25"/>
      <c r="EJ158" s="25"/>
      <c r="EK158" s="25"/>
      <c r="EL158" s="25"/>
      <c r="EM158" s="25"/>
      <c r="EN158" s="25"/>
      <c r="EO158" s="25"/>
      <c r="EP158" s="25"/>
      <c r="EQ158" s="25"/>
      <c r="ER158" s="25"/>
      <c r="ES158" s="25"/>
      <c r="ET158" s="25"/>
      <c r="EU158" s="25"/>
      <c r="EV158" s="25" t="str">
        <f>_xlfn.CONCAT($A159," ",$B159," ",$D159)</f>
        <v>2025 BMW i7 xDrive60 Sedan (20'' Wheels)</v>
      </c>
      <c r="EW158" s="25"/>
      <c r="EX158" s="25"/>
      <c r="EY158" s="25"/>
      <c r="EZ158" s="25"/>
      <c r="FA158" s="25"/>
      <c r="FB158" s="25"/>
      <c r="FC158" s="25"/>
      <c r="FD158" s="25"/>
      <c r="FE158" s="25"/>
      <c r="FF158" s="25"/>
      <c r="FG158" s="25"/>
    </row>
    <row r="159" spans="1:165" x14ac:dyDescent="0.35">
      <c r="A159">
        <v>2025</v>
      </c>
      <c r="B159" t="s">
        <v>189</v>
      </c>
      <c r="C159" t="s">
        <v>189</v>
      </c>
      <c r="D159" t="s">
        <v>1830</v>
      </c>
      <c r="E159" t="s">
        <v>191</v>
      </c>
      <c r="F159">
        <v>720</v>
      </c>
      <c r="G159">
        <v>0</v>
      </c>
      <c r="I159" t="s">
        <v>1734</v>
      </c>
      <c r="J159">
        <v>81</v>
      </c>
      <c r="K159">
        <v>85</v>
      </c>
      <c r="L159">
        <v>83</v>
      </c>
      <c r="M159">
        <v>115.1</v>
      </c>
      <c r="N159">
        <v>122.1</v>
      </c>
      <c r="O159">
        <v>118.148</v>
      </c>
      <c r="P159">
        <v>80.569999999999993</v>
      </c>
      <c r="Q159">
        <v>85.47</v>
      </c>
      <c r="R159">
        <v>82.703599999999994</v>
      </c>
      <c r="V159" t="s">
        <v>167</v>
      </c>
      <c r="W159" t="s">
        <v>168</v>
      </c>
      <c r="Y159">
        <v>1</v>
      </c>
      <c r="Z159" t="s">
        <v>170</v>
      </c>
      <c r="AA159" t="s">
        <v>170</v>
      </c>
      <c r="AB159" t="s">
        <v>167</v>
      </c>
      <c r="AC159" t="s">
        <v>213</v>
      </c>
      <c r="AF159">
        <v>296</v>
      </c>
      <c r="AG159" t="s">
        <v>1735</v>
      </c>
      <c r="AH159" t="s">
        <v>1736</v>
      </c>
      <c r="AI159" t="s">
        <v>175</v>
      </c>
      <c r="AJ159" t="s">
        <v>176</v>
      </c>
      <c r="AK159" t="s">
        <v>170</v>
      </c>
      <c r="AL159" t="s">
        <v>177</v>
      </c>
      <c r="AO159">
        <v>109</v>
      </c>
      <c r="AP159">
        <v>14</v>
      </c>
      <c r="AS159">
        <v>1000</v>
      </c>
      <c r="AT159">
        <v>1000</v>
      </c>
      <c r="BQ159">
        <v>6</v>
      </c>
      <c r="BR159" t="s">
        <v>825</v>
      </c>
      <c r="BS159" t="s">
        <v>180</v>
      </c>
      <c r="BT159" t="s">
        <v>1769</v>
      </c>
      <c r="BU159" s="1">
        <v>45464</v>
      </c>
      <c r="BV159">
        <v>34914</v>
      </c>
      <c r="BW159" s="155"/>
      <c r="BX159" t="s">
        <v>169</v>
      </c>
      <c r="BY159" t="s">
        <v>170</v>
      </c>
      <c r="CB159" t="s">
        <v>170</v>
      </c>
      <c r="CC159" t="s">
        <v>170</v>
      </c>
      <c r="CK159" t="s">
        <v>233</v>
      </c>
      <c r="CM159">
        <v>9</v>
      </c>
      <c r="CN159" t="s">
        <v>234</v>
      </c>
      <c r="CP159">
        <v>376</v>
      </c>
      <c r="CQ159">
        <v>280.8</v>
      </c>
      <c r="CR159">
        <v>154</v>
      </c>
      <c r="CS159" t="s">
        <v>235</v>
      </c>
      <c r="CV159" t="s">
        <v>341</v>
      </c>
      <c r="CX159" t="s">
        <v>342</v>
      </c>
      <c r="CY159" t="s">
        <v>169</v>
      </c>
      <c r="DC159" t="s">
        <v>1803</v>
      </c>
      <c r="DD159">
        <v>2</v>
      </c>
      <c r="DE159" t="s">
        <v>404</v>
      </c>
      <c r="DF159" t="s">
        <v>405</v>
      </c>
      <c r="DG159" t="s">
        <v>1804</v>
      </c>
      <c r="DL159" t="s">
        <v>170</v>
      </c>
      <c r="DM159" t="s">
        <v>169</v>
      </c>
      <c r="DP159" t="s">
        <v>170</v>
      </c>
      <c r="DQ159" t="s">
        <v>187</v>
      </c>
      <c r="EA159" s="101"/>
      <c r="EB159">
        <v>9</v>
      </c>
      <c r="EC159">
        <v>10</v>
      </c>
      <c r="EE159" t="s">
        <v>1805</v>
      </c>
      <c r="EF159">
        <v>10</v>
      </c>
      <c r="EU159">
        <v>4500</v>
      </c>
      <c r="EW159">
        <v>0</v>
      </c>
      <c r="EX159">
        <v>0</v>
      </c>
      <c r="EY159">
        <v>0</v>
      </c>
      <c r="FA159">
        <v>12</v>
      </c>
      <c r="FG159">
        <v>288</v>
      </c>
      <c r="FH159">
        <v>306</v>
      </c>
      <c r="FI159">
        <v>296</v>
      </c>
    </row>
    <row r="160" spans="1:165" x14ac:dyDescent="0.35">
      <c r="A160">
        <v>2025</v>
      </c>
      <c r="B160" t="s">
        <v>189</v>
      </c>
      <c r="C160" t="s">
        <v>189</v>
      </c>
      <c r="D160" t="s">
        <v>1830</v>
      </c>
      <c r="E160" t="s">
        <v>191</v>
      </c>
      <c r="F160">
        <v>720</v>
      </c>
      <c r="G160">
        <v>0</v>
      </c>
      <c r="I160" t="s">
        <v>1734</v>
      </c>
      <c r="J160">
        <v>42</v>
      </c>
      <c r="K160">
        <v>39</v>
      </c>
      <c r="L160">
        <v>41</v>
      </c>
      <c r="M160">
        <v>29.272099999999998</v>
      </c>
      <c r="N160">
        <v>27.606100000000001</v>
      </c>
      <c r="O160">
        <v>28.522400000000001</v>
      </c>
      <c r="P160">
        <v>41.833199999999998</v>
      </c>
      <c r="Q160">
        <v>39.434899999999999</v>
      </c>
      <c r="R160">
        <v>40.753999999999998</v>
      </c>
      <c r="V160" t="s">
        <v>167</v>
      </c>
      <c r="W160" t="s">
        <v>168</v>
      </c>
      <c r="Y160">
        <v>1</v>
      </c>
      <c r="Z160" t="s">
        <v>170</v>
      </c>
      <c r="AA160" t="s">
        <v>170</v>
      </c>
      <c r="AB160" t="s">
        <v>167</v>
      </c>
      <c r="AC160" t="s">
        <v>213</v>
      </c>
      <c r="AF160">
        <v>296</v>
      </c>
      <c r="AG160" t="s">
        <v>1735</v>
      </c>
      <c r="AH160" t="s">
        <v>1736</v>
      </c>
      <c r="AI160" t="s">
        <v>1742</v>
      </c>
      <c r="AJ160" t="s">
        <v>1743</v>
      </c>
      <c r="AK160" t="s">
        <v>170</v>
      </c>
      <c r="AL160" t="s">
        <v>177</v>
      </c>
      <c r="AO160">
        <v>109</v>
      </c>
      <c r="AP160">
        <v>14</v>
      </c>
      <c r="AS160">
        <v>1000</v>
      </c>
      <c r="AT160">
        <v>1000</v>
      </c>
      <c r="BQ160">
        <v>6</v>
      </c>
      <c r="BR160" t="s">
        <v>825</v>
      </c>
      <c r="BS160" t="s">
        <v>180</v>
      </c>
      <c r="BT160" t="s">
        <v>1769</v>
      </c>
      <c r="BU160" s="1">
        <v>45464</v>
      </c>
      <c r="BV160">
        <v>34914</v>
      </c>
      <c r="BW160" s="155"/>
      <c r="BX160" t="s">
        <v>169</v>
      </c>
      <c r="BY160" t="s">
        <v>170</v>
      </c>
      <c r="CB160" t="s">
        <v>170</v>
      </c>
      <c r="CC160" t="s">
        <v>170</v>
      </c>
      <c r="CK160" t="s">
        <v>233</v>
      </c>
      <c r="CM160">
        <v>9</v>
      </c>
      <c r="CN160" t="s">
        <v>234</v>
      </c>
      <c r="CP160">
        <v>376</v>
      </c>
      <c r="CQ160">
        <v>280.8</v>
      </c>
      <c r="CR160">
        <v>154</v>
      </c>
      <c r="CS160" t="s">
        <v>235</v>
      </c>
      <c r="CV160" t="s">
        <v>341</v>
      </c>
      <c r="CX160" t="s">
        <v>342</v>
      </c>
      <c r="CY160" t="s">
        <v>169</v>
      </c>
      <c r="DC160" t="s">
        <v>1803</v>
      </c>
      <c r="DD160">
        <v>2</v>
      </c>
      <c r="DE160" t="s">
        <v>404</v>
      </c>
      <c r="DF160" t="s">
        <v>405</v>
      </c>
      <c r="DG160" t="s">
        <v>1804</v>
      </c>
      <c r="DL160" t="s">
        <v>170</v>
      </c>
      <c r="DM160" t="s">
        <v>169</v>
      </c>
      <c r="DP160" t="s">
        <v>170</v>
      </c>
      <c r="DQ160" t="s">
        <v>187</v>
      </c>
      <c r="EA160" s="101"/>
      <c r="EB160">
        <v>9</v>
      </c>
      <c r="EC160">
        <v>10</v>
      </c>
      <c r="EE160" t="s">
        <v>1805</v>
      </c>
      <c r="EF160">
        <v>10</v>
      </c>
      <c r="EU160">
        <v>4500</v>
      </c>
      <c r="EW160">
        <v>0</v>
      </c>
      <c r="EX160">
        <v>0</v>
      </c>
      <c r="EY160">
        <v>0</v>
      </c>
      <c r="FA160">
        <v>12</v>
      </c>
      <c r="FG160">
        <v>288</v>
      </c>
      <c r="FH160">
        <v>306</v>
      </c>
      <c r="FI160">
        <v>296</v>
      </c>
    </row>
    <row r="161" spans="1:165" x14ac:dyDescent="0.35">
      <c r="A161" s="25"/>
      <c r="B161" s="25"/>
      <c r="C161" s="25"/>
      <c r="D161" s="25"/>
      <c r="E161" s="25"/>
      <c r="F161" s="25" t="str">
        <f>_xlfn.CONCAT($A162," ",$B162," ",$D162)</f>
        <v>2025 BMW i7 xDrive60 Sedan (21'' Wheels)</v>
      </c>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t="str">
        <f>_xlfn.CONCAT($A162," ",$B162," ",$D162)</f>
        <v>2025 BMW i7 xDrive60 Sedan (21'' Wheels)</v>
      </c>
      <c r="AE161" s="25"/>
      <c r="AF161" s="25"/>
      <c r="AG161" s="25"/>
      <c r="AH161" s="25"/>
      <c r="AI161" s="25"/>
      <c r="AJ161" s="25"/>
      <c r="AK161" s="25"/>
      <c r="AL161" s="25"/>
      <c r="AM161" s="25"/>
      <c r="AN161" s="25"/>
      <c r="AO161" s="25"/>
      <c r="AP161" s="25"/>
      <c r="AQ161" s="25"/>
      <c r="AR161" s="25"/>
      <c r="AS161" s="25"/>
      <c r="AT161" s="25"/>
      <c r="AU161" s="25"/>
      <c r="AV161" s="25"/>
      <c r="AW161" s="25"/>
      <c r="AX161" s="25" t="str">
        <f>_xlfn.CONCAT($A162," ",$B162," ",$D162)</f>
        <v>2025 BMW i7 xDrive60 Sedan (21'' Wheels)</v>
      </c>
      <c r="AY161" s="25"/>
      <c r="AZ161" s="25"/>
      <c r="BA161" s="25"/>
      <c r="BB161" s="25"/>
      <c r="BC161" s="25"/>
      <c r="BD161" s="25"/>
      <c r="BE161" s="25"/>
      <c r="BF161" s="25"/>
      <c r="BG161" s="25"/>
      <c r="BH161" s="25"/>
      <c r="BI161" s="25"/>
      <c r="BJ161" s="25"/>
      <c r="BK161" s="25"/>
      <c r="BL161" s="25"/>
      <c r="BM161" s="25"/>
      <c r="BN161" s="25"/>
      <c r="BO161" s="25"/>
      <c r="BP161" s="25"/>
      <c r="BQ161" s="25"/>
      <c r="BR161" s="25" t="str">
        <f>_xlfn.CONCAT($A162," ",$B162," ",$D162)</f>
        <v>2025 BMW i7 xDrive60 Sedan (21'' Wheels)</v>
      </c>
      <c r="BS161" s="25"/>
      <c r="BT161" s="25"/>
      <c r="BU161" s="25"/>
      <c r="BV161" s="25"/>
      <c r="BW161" s="156"/>
      <c r="BX161" s="25"/>
      <c r="BY161" s="25"/>
      <c r="BZ161" s="25"/>
      <c r="CA161" s="25"/>
      <c r="CB161" s="25"/>
      <c r="CC161" s="25"/>
      <c r="CD161" s="25"/>
      <c r="CE161" s="25"/>
      <c r="CF161" s="25"/>
      <c r="CG161" s="25"/>
      <c r="CH161" s="25"/>
      <c r="CI161" s="25"/>
      <c r="CJ161" s="25"/>
      <c r="CK161" s="25"/>
      <c r="CL161" s="25"/>
      <c r="CM161" s="25"/>
      <c r="CN161" s="25"/>
      <c r="CO161" s="25"/>
      <c r="CP161" s="25" t="str">
        <f>_xlfn.CONCAT($A162," ",$B162," ",$D162)</f>
        <v>2025 BMW i7 xDrive60 Sedan (21'' Wheels)</v>
      </c>
      <c r="CQ161" s="25"/>
      <c r="CR161" s="25"/>
      <c r="CS161" s="25"/>
      <c r="CT161" s="25"/>
      <c r="CU161" s="25"/>
      <c r="CV161" s="25"/>
      <c r="CW161" s="25"/>
      <c r="CX161" s="25"/>
      <c r="CY161" s="25"/>
      <c r="CZ161" s="25"/>
      <c r="DA161" s="25"/>
      <c r="DB161" s="25"/>
      <c r="DC161" s="25"/>
      <c r="DD161" s="25"/>
      <c r="DE161" s="25"/>
      <c r="DF161" s="25"/>
      <c r="DG161" s="25"/>
      <c r="DH161" s="25"/>
      <c r="DI161" s="25" t="str">
        <f>_xlfn.CONCAT($A162," ",$B162," ",$D162)</f>
        <v>2025 BMW i7 xDrive60 Sedan (21'' Wheels)</v>
      </c>
      <c r="DJ161" s="25"/>
      <c r="DK161" s="25"/>
      <c r="DL161" s="25"/>
      <c r="DM161" s="25"/>
      <c r="DN161" s="25"/>
      <c r="DO161" s="25"/>
      <c r="DP161" s="25"/>
      <c r="DQ161" s="25"/>
      <c r="DR161" s="25"/>
      <c r="DS161" s="25"/>
      <c r="DT161" s="25"/>
      <c r="DU161" s="25"/>
      <c r="DV161" s="25"/>
      <c r="DW161" s="25"/>
      <c r="DX161" s="25"/>
      <c r="DY161" s="25"/>
      <c r="DZ161" s="25" t="str">
        <f>_xlfn.CONCAT($A162," ",$B162," ",$D162)</f>
        <v>2025 BMW i7 xDrive60 Sedan (21'' Wheels)</v>
      </c>
      <c r="EA161" s="89"/>
      <c r="EB161" s="25"/>
      <c r="EC161" s="25"/>
      <c r="ED161" s="25"/>
      <c r="EE161" s="25"/>
      <c r="EF161" s="25"/>
      <c r="EG161" s="25"/>
      <c r="EH161" s="25"/>
      <c r="EI161" s="25"/>
      <c r="EJ161" s="25"/>
      <c r="EK161" s="25"/>
      <c r="EL161" s="25"/>
      <c r="EM161" s="25"/>
      <c r="EN161" s="25"/>
      <c r="EO161" s="25"/>
      <c r="EP161" s="25"/>
      <c r="EQ161" s="25"/>
      <c r="ER161" s="25"/>
      <c r="ES161" s="25"/>
      <c r="ET161" s="25"/>
      <c r="EU161" s="25"/>
      <c r="EV161" s="25" t="str">
        <f>_xlfn.CONCAT($A162," ",$B162," ",$D162)</f>
        <v>2025 BMW i7 xDrive60 Sedan (21'' Wheels)</v>
      </c>
      <c r="EW161" s="25"/>
      <c r="EX161" s="25"/>
      <c r="EY161" s="25"/>
      <c r="EZ161" s="25"/>
      <c r="FA161" s="25"/>
      <c r="FB161" s="25"/>
      <c r="FC161" s="25"/>
      <c r="FD161" s="25"/>
      <c r="FE161" s="25"/>
      <c r="FF161" s="25"/>
      <c r="FG161" s="25"/>
    </row>
    <row r="162" spans="1:165" x14ac:dyDescent="0.35">
      <c r="A162">
        <v>2025</v>
      </c>
      <c r="B162" t="s">
        <v>189</v>
      </c>
      <c r="C162" t="s">
        <v>189</v>
      </c>
      <c r="D162" t="s">
        <v>1831</v>
      </c>
      <c r="E162" t="s">
        <v>191</v>
      </c>
      <c r="F162">
        <v>721</v>
      </c>
      <c r="G162">
        <v>0</v>
      </c>
      <c r="I162" t="s">
        <v>1734</v>
      </c>
      <c r="J162">
        <v>85</v>
      </c>
      <c r="K162">
        <v>89</v>
      </c>
      <c r="L162">
        <v>87</v>
      </c>
      <c r="M162">
        <v>121.4</v>
      </c>
      <c r="N162">
        <v>127.8</v>
      </c>
      <c r="O162">
        <v>124.19880000000001</v>
      </c>
      <c r="P162">
        <v>84.98</v>
      </c>
      <c r="Q162">
        <v>89.46</v>
      </c>
      <c r="R162">
        <v>86.9392</v>
      </c>
      <c r="V162" t="s">
        <v>167</v>
      </c>
      <c r="W162" t="s">
        <v>168</v>
      </c>
      <c r="Y162">
        <v>1</v>
      </c>
      <c r="Z162" t="s">
        <v>170</v>
      </c>
      <c r="AA162" t="s">
        <v>170</v>
      </c>
      <c r="AB162" t="s">
        <v>167</v>
      </c>
      <c r="AC162" t="s">
        <v>213</v>
      </c>
      <c r="AF162">
        <v>308</v>
      </c>
      <c r="AG162" t="s">
        <v>1735</v>
      </c>
      <c r="AH162" t="s">
        <v>1736</v>
      </c>
      <c r="AI162" t="s">
        <v>175</v>
      </c>
      <c r="AJ162" t="s">
        <v>176</v>
      </c>
      <c r="AK162" t="s">
        <v>170</v>
      </c>
      <c r="AL162" t="s">
        <v>177</v>
      </c>
      <c r="AO162">
        <v>109</v>
      </c>
      <c r="AP162">
        <v>14</v>
      </c>
      <c r="AS162">
        <v>950</v>
      </c>
      <c r="AT162">
        <v>950</v>
      </c>
      <c r="BQ162">
        <v>6</v>
      </c>
      <c r="BR162" t="s">
        <v>825</v>
      </c>
      <c r="BS162" t="s">
        <v>180</v>
      </c>
      <c r="BT162" t="s">
        <v>1769</v>
      </c>
      <c r="BU162" s="1">
        <v>45464</v>
      </c>
      <c r="BV162">
        <v>34915</v>
      </c>
      <c r="BW162" s="155"/>
      <c r="BX162" t="s">
        <v>169</v>
      </c>
      <c r="BY162" t="s">
        <v>170</v>
      </c>
      <c r="CB162" t="s">
        <v>170</v>
      </c>
      <c r="CC162" t="s">
        <v>170</v>
      </c>
      <c r="CK162" t="s">
        <v>233</v>
      </c>
      <c r="CM162">
        <v>9</v>
      </c>
      <c r="CN162" t="s">
        <v>234</v>
      </c>
      <c r="CP162">
        <v>376</v>
      </c>
      <c r="CQ162">
        <v>280.8</v>
      </c>
      <c r="CR162">
        <v>154</v>
      </c>
      <c r="CS162" t="s">
        <v>235</v>
      </c>
      <c r="CV162" t="s">
        <v>341</v>
      </c>
      <c r="CX162" t="s">
        <v>342</v>
      </c>
      <c r="CY162" t="s">
        <v>169</v>
      </c>
      <c r="DC162" t="s">
        <v>1803</v>
      </c>
      <c r="DD162">
        <v>2</v>
      </c>
      <c r="DE162" t="s">
        <v>404</v>
      </c>
      <c r="DF162" t="s">
        <v>405</v>
      </c>
      <c r="DG162" t="s">
        <v>1804</v>
      </c>
      <c r="DL162" t="s">
        <v>170</v>
      </c>
      <c r="DM162" t="s">
        <v>169</v>
      </c>
      <c r="DP162" t="s">
        <v>170</v>
      </c>
      <c r="DQ162" t="s">
        <v>187</v>
      </c>
      <c r="EA162" s="101"/>
      <c r="EB162">
        <v>9</v>
      </c>
      <c r="EC162">
        <v>10</v>
      </c>
      <c r="EE162" t="s">
        <v>1805</v>
      </c>
      <c r="EF162">
        <v>10</v>
      </c>
      <c r="EU162">
        <v>4750</v>
      </c>
      <c r="EW162">
        <v>0</v>
      </c>
      <c r="EX162">
        <v>0</v>
      </c>
      <c r="EY162">
        <v>0</v>
      </c>
      <c r="FA162">
        <v>12</v>
      </c>
      <c r="FG162">
        <v>301</v>
      </c>
      <c r="FH162">
        <v>317</v>
      </c>
      <c r="FI162">
        <v>308</v>
      </c>
    </row>
    <row r="163" spans="1:165" x14ac:dyDescent="0.35">
      <c r="A163">
        <v>2025</v>
      </c>
      <c r="B163" t="s">
        <v>189</v>
      </c>
      <c r="C163" t="s">
        <v>189</v>
      </c>
      <c r="D163" t="s">
        <v>1831</v>
      </c>
      <c r="E163" t="s">
        <v>191</v>
      </c>
      <c r="F163">
        <v>721</v>
      </c>
      <c r="G163">
        <v>0</v>
      </c>
      <c r="I163" t="s">
        <v>1734</v>
      </c>
      <c r="J163">
        <v>40</v>
      </c>
      <c r="K163">
        <v>38</v>
      </c>
      <c r="L163">
        <v>39</v>
      </c>
      <c r="M163">
        <v>27.771100000000001</v>
      </c>
      <c r="N163">
        <v>26.370999999999999</v>
      </c>
      <c r="O163">
        <v>27.141100000000002</v>
      </c>
      <c r="P163">
        <v>39.662300000000002</v>
      </c>
      <c r="Q163">
        <v>37.676099999999998</v>
      </c>
      <c r="R163">
        <v>38.768500000000003</v>
      </c>
      <c r="V163" t="s">
        <v>167</v>
      </c>
      <c r="W163" t="s">
        <v>168</v>
      </c>
      <c r="Y163">
        <v>1</v>
      </c>
      <c r="Z163" t="s">
        <v>170</v>
      </c>
      <c r="AA163" t="s">
        <v>170</v>
      </c>
      <c r="AB163" t="s">
        <v>167</v>
      </c>
      <c r="AC163" t="s">
        <v>213</v>
      </c>
      <c r="AF163">
        <v>308</v>
      </c>
      <c r="AG163" t="s">
        <v>1735</v>
      </c>
      <c r="AH163" t="s">
        <v>1736</v>
      </c>
      <c r="AI163" t="s">
        <v>1742</v>
      </c>
      <c r="AJ163" t="s">
        <v>1743</v>
      </c>
      <c r="AK163" t="s">
        <v>170</v>
      </c>
      <c r="AL163" t="s">
        <v>177</v>
      </c>
      <c r="AO163">
        <v>109</v>
      </c>
      <c r="AP163">
        <v>14</v>
      </c>
      <c r="AS163">
        <v>950</v>
      </c>
      <c r="AT163">
        <v>950</v>
      </c>
      <c r="BQ163">
        <v>6</v>
      </c>
      <c r="BR163" t="s">
        <v>825</v>
      </c>
      <c r="BS163" t="s">
        <v>180</v>
      </c>
      <c r="BT163" t="s">
        <v>1769</v>
      </c>
      <c r="BU163" s="1">
        <v>45464</v>
      </c>
      <c r="BV163">
        <v>34915</v>
      </c>
      <c r="BW163" s="155"/>
      <c r="BX163" t="s">
        <v>169</v>
      </c>
      <c r="BY163" t="s">
        <v>170</v>
      </c>
      <c r="CB163" t="s">
        <v>170</v>
      </c>
      <c r="CC163" t="s">
        <v>170</v>
      </c>
      <c r="CK163" t="s">
        <v>233</v>
      </c>
      <c r="CM163">
        <v>9</v>
      </c>
      <c r="CN163" t="s">
        <v>234</v>
      </c>
      <c r="CP163">
        <v>376</v>
      </c>
      <c r="CQ163">
        <v>280.8</v>
      </c>
      <c r="CR163">
        <v>154</v>
      </c>
      <c r="CS163" t="s">
        <v>235</v>
      </c>
      <c r="CV163" t="s">
        <v>341</v>
      </c>
      <c r="CX163" t="s">
        <v>342</v>
      </c>
      <c r="CY163" t="s">
        <v>169</v>
      </c>
      <c r="DC163" t="s">
        <v>1803</v>
      </c>
      <c r="DD163">
        <v>2</v>
      </c>
      <c r="DE163" t="s">
        <v>404</v>
      </c>
      <c r="DF163" t="s">
        <v>405</v>
      </c>
      <c r="DG163" t="s">
        <v>1804</v>
      </c>
      <c r="DL163" t="s">
        <v>170</v>
      </c>
      <c r="DM163" t="s">
        <v>169</v>
      </c>
      <c r="DP163" t="s">
        <v>170</v>
      </c>
      <c r="DQ163" t="s">
        <v>187</v>
      </c>
      <c r="EA163" s="101"/>
      <c r="EB163">
        <v>9</v>
      </c>
      <c r="EC163">
        <v>10</v>
      </c>
      <c r="EE163" t="s">
        <v>1805</v>
      </c>
      <c r="EF163">
        <v>10</v>
      </c>
      <c r="EU163">
        <v>4750</v>
      </c>
      <c r="EW163">
        <v>0</v>
      </c>
      <c r="EX163">
        <v>0</v>
      </c>
      <c r="EY163">
        <v>0</v>
      </c>
      <c r="FA163">
        <v>12</v>
      </c>
      <c r="FG163">
        <v>301</v>
      </c>
      <c r="FH163">
        <v>317</v>
      </c>
      <c r="FI163">
        <v>308</v>
      </c>
    </row>
    <row r="164" spans="1:165" x14ac:dyDescent="0.35">
      <c r="A164" s="25"/>
      <c r="B164" s="25"/>
      <c r="C164" s="25"/>
      <c r="D164" s="25"/>
      <c r="E164" s="25"/>
      <c r="F164" s="25" t="str">
        <f>_xlfn.CONCAT($A165," ",$B165," ",$D165)</f>
        <v>2025 BMW i7 M70 xDrive Sedan (20'' Wheels)</v>
      </c>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c r="AD164" s="25" t="str">
        <f>_xlfn.CONCAT($A165," ",$B165," ",$D165)</f>
        <v>2025 BMW i7 M70 xDrive Sedan (20'' Wheels)</v>
      </c>
      <c r="AE164" s="25"/>
      <c r="AF164" s="25"/>
      <c r="AG164" s="25"/>
      <c r="AH164" s="25"/>
      <c r="AI164" s="25"/>
      <c r="AJ164" s="25"/>
      <c r="AK164" s="25"/>
      <c r="AL164" s="25"/>
      <c r="AM164" s="25"/>
      <c r="AN164" s="25"/>
      <c r="AO164" s="25"/>
      <c r="AP164" s="25"/>
      <c r="AQ164" s="25"/>
      <c r="AR164" s="25"/>
      <c r="AS164" s="25"/>
      <c r="AT164" s="25"/>
      <c r="AU164" s="25"/>
      <c r="AV164" s="25"/>
      <c r="AW164" s="25"/>
      <c r="AX164" s="25" t="str">
        <f>_xlfn.CONCAT($A165," ",$B165," ",$D165)</f>
        <v>2025 BMW i7 M70 xDrive Sedan (20'' Wheels)</v>
      </c>
      <c r="AY164" s="25"/>
      <c r="AZ164" s="25"/>
      <c r="BA164" s="25"/>
      <c r="BB164" s="25"/>
      <c r="BC164" s="25"/>
      <c r="BD164" s="25"/>
      <c r="BE164" s="25"/>
      <c r="BF164" s="25"/>
      <c r="BG164" s="25"/>
      <c r="BH164" s="25"/>
      <c r="BI164" s="25"/>
      <c r="BJ164" s="25"/>
      <c r="BK164" s="25"/>
      <c r="BL164" s="25"/>
      <c r="BM164" s="25"/>
      <c r="BN164" s="25"/>
      <c r="BO164" s="25"/>
      <c r="BP164" s="25"/>
      <c r="BQ164" s="25"/>
      <c r="BR164" s="25" t="str">
        <f>_xlfn.CONCAT($A165," ",$B165," ",$D165)</f>
        <v>2025 BMW i7 M70 xDrive Sedan (20'' Wheels)</v>
      </c>
      <c r="BS164" s="25"/>
      <c r="BT164" s="25"/>
      <c r="BU164" s="25"/>
      <c r="BV164" s="25"/>
      <c r="BW164" s="156"/>
      <c r="BX164" s="25"/>
      <c r="BY164" s="25"/>
      <c r="BZ164" s="25"/>
      <c r="CA164" s="25"/>
      <c r="CB164" s="25"/>
      <c r="CC164" s="25"/>
      <c r="CD164" s="25"/>
      <c r="CE164" s="25"/>
      <c r="CF164" s="25"/>
      <c r="CG164" s="25"/>
      <c r="CH164" s="25"/>
      <c r="CI164" s="25"/>
      <c r="CJ164" s="25"/>
      <c r="CK164" s="25"/>
      <c r="CL164" s="25"/>
      <c r="CM164" s="25"/>
      <c r="CN164" s="25"/>
      <c r="CO164" s="25"/>
      <c r="CP164" s="25" t="str">
        <f>_xlfn.CONCAT($A165," ",$B165," ",$D165)</f>
        <v>2025 BMW i7 M70 xDrive Sedan (20'' Wheels)</v>
      </c>
      <c r="CQ164" s="25"/>
      <c r="CR164" s="25"/>
      <c r="CS164" s="25"/>
      <c r="CT164" s="25"/>
      <c r="CU164" s="25"/>
      <c r="CV164" s="25"/>
      <c r="CW164" s="25"/>
      <c r="CX164" s="25"/>
      <c r="CY164" s="25"/>
      <c r="CZ164" s="25"/>
      <c r="DA164" s="25"/>
      <c r="DB164" s="25"/>
      <c r="DC164" s="25"/>
      <c r="DD164" s="25"/>
      <c r="DE164" s="25"/>
      <c r="DF164" s="25"/>
      <c r="DG164" s="25"/>
      <c r="DH164" s="25"/>
      <c r="DI164" s="25" t="str">
        <f>_xlfn.CONCAT($A165," ",$B165," ",$D165)</f>
        <v>2025 BMW i7 M70 xDrive Sedan (20'' Wheels)</v>
      </c>
      <c r="DJ164" s="25"/>
      <c r="DK164" s="25"/>
      <c r="DL164" s="25"/>
      <c r="DM164" s="25"/>
      <c r="DN164" s="25"/>
      <c r="DO164" s="25"/>
      <c r="DP164" s="25"/>
      <c r="DQ164" s="25"/>
      <c r="DR164" s="25"/>
      <c r="DS164" s="25"/>
      <c r="DT164" s="25"/>
      <c r="DU164" s="25"/>
      <c r="DV164" s="25"/>
      <c r="DW164" s="25"/>
      <c r="DX164" s="25"/>
      <c r="DY164" s="25"/>
      <c r="DZ164" s="25" t="str">
        <f>_xlfn.CONCAT($A165," ",$B165," ",$D165)</f>
        <v>2025 BMW i7 M70 xDrive Sedan (20'' Wheels)</v>
      </c>
      <c r="EA164" s="89"/>
      <c r="EB164" s="25"/>
      <c r="EC164" s="25"/>
      <c r="ED164" s="25"/>
      <c r="EE164" s="25"/>
      <c r="EF164" s="25"/>
      <c r="EG164" s="25"/>
      <c r="EH164" s="25"/>
      <c r="EI164" s="25"/>
      <c r="EJ164" s="25"/>
      <c r="EK164" s="25"/>
      <c r="EL164" s="25"/>
      <c r="EM164" s="25"/>
      <c r="EN164" s="25"/>
      <c r="EO164" s="25"/>
      <c r="EP164" s="25"/>
      <c r="EQ164" s="25"/>
      <c r="ER164" s="25"/>
      <c r="ES164" s="25"/>
      <c r="ET164" s="25"/>
      <c r="EU164" s="25"/>
      <c r="EV164" s="25" t="str">
        <f>_xlfn.CONCAT($A165," ",$B165," ",$D165)</f>
        <v>2025 BMW i7 M70 xDrive Sedan (20'' Wheels)</v>
      </c>
      <c r="EW164" s="25"/>
      <c r="EX164" s="25"/>
      <c r="EY164" s="25"/>
      <c r="EZ164" s="25"/>
      <c r="FA164" s="25"/>
      <c r="FB164" s="25"/>
      <c r="FC164" s="25"/>
      <c r="FD164" s="25"/>
      <c r="FE164" s="25"/>
      <c r="FF164" s="25"/>
      <c r="FG164" s="25"/>
    </row>
    <row r="165" spans="1:165" x14ac:dyDescent="0.35">
      <c r="A165">
        <v>2025</v>
      </c>
      <c r="B165" t="s">
        <v>189</v>
      </c>
      <c r="C165" t="s">
        <v>189</v>
      </c>
      <c r="D165" t="s">
        <v>1824</v>
      </c>
      <c r="E165" t="s">
        <v>191</v>
      </c>
      <c r="F165">
        <v>730</v>
      </c>
      <c r="G165">
        <v>0</v>
      </c>
      <c r="I165" t="s">
        <v>1734</v>
      </c>
      <c r="J165">
        <v>72</v>
      </c>
      <c r="K165">
        <v>79</v>
      </c>
      <c r="L165">
        <v>75</v>
      </c>
      <c r="M165">
        <v>103.2</v>
      </c>
      <c r="N165">
        <v>112.3</v>
      </c>
      <c r="O165">
        <v>107.1056</v>
      </c>
      <c r="P165">
        <v>72.239999999999995</v>
      </c>
      <c r="Q165">
        <v>78.61</v>
      </c>
      <c r="R165">
        <v>74.9739</v>
      </c>
      <c r="V165" t="s">
        <v>167</v>
      </c>
      <c r="W165" t="s">
        <v>168</v>
      </c>
      <c r="Y165">
        <v>1</v>
      </c>
      <c r="Z165" t="s">
        <v>170</v>
      </c>
      <c r="AA165" t="s">
        <v>170</v>
      </c>
      <c r="AB165" t="s">
        <v>167</v>
      </c>
      <c r="AC165" t="s">
        <v>213</v>
      </c>
      <c r="AF165">
        <v>268</v>
      </c>
      <c r="AG165" t="s">
        <v>1735</v>
      </c>
      <c r="AH165" t="s">
        <v>1736</v>
      </c>
      <c r="AI165" t="s">
        <v>175</v>
      </c>
      <c r="AJ165" t="s">
        <v>176</v>
      </c>
      <c r="AK165" t="s">
        <v>170</v>
      </c>
      <c r="AL165" t="s">
        <v>177</v>
      </c>
      <c r="AO165">
        <v>109</v>
      </c>
      <c r="AP165">
        <v>11</v>
      </c>
      <c r="AS165">
        <v>1100</v>
      </c>
      <c r="AT165">
        <v>1100</v>
      </c>
      <c r="BQ165">
        <v>6</v>
      </c>
      <c r="BR165" t="s">
        <v>825</v>
      </c>
      <c r="BS165" t="s">
        <v>180</v>
      </c>
      <c r="BT165" t="s">
        <v>1769</v>
      </c>
      <c r="BU165" s="1">
        <v>45464</v>
      </c>
      <c r="BV165">
        <v>34916</v>
      </c>
      <c r="BW165" s="155"/>
      <c r="BX165" t="s">
        <v>170</v>
      </c>
      <c r="BY165" t="s">
        <v>170</v>
      </c>
      <c r="CB165" t="s">
        <v>170</v>
      </c>
      <c r="CC165" t="s">
        <v>170</v>
      </c>
      <c r="CK165" t="s">
        <v>233</v>
      </c>
      <c r="CM165">
        <v>11</v>
      </c>
      <c r="CN165" t="s">
        <v>234</v>
      </c>
      <c r="CP165">
        <v>369</v>
      </c>
      <c r="CQ165">
        <v>303</v>
      </c>
      <c r="CR165">
        <v>174</v>
      </c>
      <c r="CS165" t="s">
        <v>235</v>
      </c>
      <c r="CV165" t="s">
        <v>341</v>
      </c>
      <c r="CX165" t="s">
        <v>342</v>
      </c>
      <c r="CY165" t="s">
        <v>169</v>
      </c>
      <c r="DC165" t="s">
        <v>1825</v>
      </c>
      <c r="DD165">
        <v>2</v>
      </c>
      <c r="DE165" t="s">
        <v>404</v>
      </c>
      <c r="DF165" t="s">
        <v>405</v>
      </c>
      <c r="DG165" t="s">
        <v>1826</v>
      </c>
      <c r="DL165" t="s">
        <v>170</v>
      </c>
      <c r="DM165" t="s">
        <v>169</v>
      </c>
      <c r="DP165" t="s">
        <v>170</v>
      </c>
      <c r="DQ165" t="s">
        <v>187</v>
      </c>
      <c r="EA165" s="101"/>
      <c r="EB165">
        <v>9</v>
      </c>
      <c r="EC165">
        <v>10</v>
      </c>
      <c r="EE165" t="s">
        <v>1827</v>
      </c>
      <c r="EF165">
        <v>10</v>
      </c>
      <c r="EU165">
        <v>4000</v>
      </c>
      <c r="EW165">
        <v>0</v>
      </c>
      <c r="EX165">
        <v>0</v>
      </c>
      <c r="EY165">
        <v>0</v>
      </c>
      <c r="FA165">
        <v>12</v>
      </c>
      <c r="FG165">
        <v>258</v>
      </c>
      <c r="FH165">
        <v>281</v>
      </c>
      <c r="FI165">
        <v>268</v>
      </c>
    </row>
    <row r="166" spans="1:165" x14ac:dyDescent="0.35">
      <c r="A166">
        <v>2025</v>
      </c>
      <c r="B166" t="s">
        <v>189</v>
      </c>
      <c r="C166" t="s">
        <v>189</v>
      </c>
      <c r="D166" t="s">
        <v>1824</v>
      </c>
      <c r="E166" t="s">
        <v>191</v>
      </c>
      <c r="F166">
        <v>730</v>
      </c>
      <c r="G166">
        <v>0</v>
      </c>
      <c r="I166" t="s">
        <v>1734</v>
      </c>
      <c r="J166">
        <v>47</v>
      </c>
      <c r="K166">
        <v>43</v>
      </c>
      <c r="L166">
        <v>45</v>
      </c>
      <c r="M166">
        <v>32.673900000000003</v>
      </c>
      <c r="N166">
        <v>30.026599999999998</v>
      </c>
      <c r="O166">
        <v>31.482600000000001</v>
      </c>
      <c r="P166">
        <v>46.656999999999996</v>
      </c>
      <c r="Q166">
        <v>42.876199999999997</v>
      </c>
      <c r="R166">
        <v>44.955599999999997</v>
      </c>
      <c r="V166" t="s">
        <v>167</v>
      </c>
      <c r="W166" t="s">
        <v>168</v>
      </c>
      <c r="Y166">
        <v>1</v>
      </c>
      <c r="Z166" t="s">
        <v>170</v>
      </c>
      <c r="AA166" t="s">
        <v>170</v>
      </c>
      <c r="AB166" t="s">
        <v>167</v>
      </c>
      <c r="AC166" t="s">
        <v>213</v>
      </c>
      <c r="AF166">
        <v>268</v>
      </c>
      <c r="AG166" t="s">
        <v>1735</v>
      </c>
      <c r="AH166" t="s">
        <v>1736</v>
      </c>
      <c r="AI166" t="s">
        <v>1742</v>
      </c>
      <c r="AJ166" t="s">
        <v>1743</v>
      </c>
      <c r="AK166" t="s">
        <v>170</v>
      </c>
      <c r="AL166" t="s">
        <v>177</v>
      </c>
      <c r="AO166">
        <v>109</v>
      </c>
      <c r="AP166">
        <v>11</v>
      </c>
      <c r="AS166">
        <v>1100</v>
      </c>
      <c r="AT166">
        <v>1100</v>
      </c>
      <c r="BQ166">
        <v>6</v>
      </c>
      <c r="BR166" t="s">
        <v>825</v>
      </c>
      <c r="BS166" t="s">
        <v>180</v>
      </c>
      <c r="BT166" t="s">
        <v>1769</v>
      </c>
      <c r="BU166" s="1">
        <v>45464</v>
      </c>
      <c r="BV166">
        <v>34916</v>
      </c>
      <c r="BW166" s="155"/>
      <c r="BX166" t="s">
        <v>170</v>
      </c>
      <c r="BY166" t="s">
        <v>170</v>
      </c>
      <c r="CB166" t="s">
        <v>170</v>
      </c>
      <c r="CC166" t="s">
        <v>170</v>
      </c>
      <c r="CK166" t="s">
        <v>233</v>
      </c>
      <c r="CM166">
        <v>11</v>
      </c>
      <c r="CN166" t="s">
        <v>234</v>
      </c>
      <c r="CP166">
        <v>369</v>
      </c>
      <c r="CQ166">
        <v>303</v>
      </c>
      <c r="CR166">
        <v>174</v>
      </c>
      <c r="CS166" t="s">
        <v>235</v>
      </c>
      <c r="CV166" t="s">
        <v>341</v>
      </c>
      <c r="CX166" t="s">
        <v>342</v>
      </c>
      <c r="CY166" t="s">
        <v>169</v>
      </c>
      <c r="DC166" t="s">
        <v>1825</v>
      </c>
      <c r="DD166">
        <v>2</v>
      </c>
      <c r="DE166" t="s">
        <v>404</v>
      </c>
      <c r="DF166" t="s">
        <v>405</v>
      </c>
      <c r="DG166" t="s">
        <v>1826</v>
      </c>
      <c r="DL166" t="s">
        <v>170</v>
      </c>
      <c r="DM166" t="s">
        <v>169</v>
      </c>
      <c r="DP166" t="s">
        <v>170</v>
      </c>
      <c r="DQ166" t="s">
        <v>187</v>
      </c>
      <c r="EA166" s="101"/>
      <c r="EB166">
        <v>9</v>
      </c>
      <c r="EC166">
        <v>10</v>
      </c>
      <c r="EE166" t="s">
        <v>1827</v>
      </c>
      <c r="EF166">
        <v>10</v>
      </c>
      <c r="EU166">
        <v>4000</v>
      </c>
      <c r="EW166">
        <v>0</v>
      </c>
      <c r="EX166">
        <v>0</v>
      </c>
      <c r="EY166">
        <v>0</v>
      </c>
      <c r="FA166">
        <v>12</v>
      </c>
      <c r="FG166">
        <v>258</v>
      </c>
      <c r="FH166">
        <v>281</v>
      </c>
      <c r="FI166">
        <v>268</v>
      </c>
    </row>
    <row r="167" spans="1:165" x14ac:dyDescent="0.35">
      <c r="A167" s="25"/>
      <c r="B167" s="25"/>
      <c r="C167" s="25"/>
      <c r="D167" s="25"/>
      <c r="E167" s="25"/>
      <c r="F167" s="25" t="str">
        <f>_xlfn.CONCAT($A168," ",$B168," ",$D168)</f>
        <v>2025 BMW i7 M70 xDrive Sedan (21'' Wheels)</v>
      </c>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t="str">
        <f>_xlfn.CONCAT($A168," ",$B168," ",$D168)</f>
        <v>2025 BMW i7 M70 xDrive Sedan (21'' Wheels)</v>
      </c>
      <c r="AE167" s="25"/>
      <c r="AF167" s="25"/>
      <c r="AG167" s="25"/>
      <c r="AH167" s="25"/>
      <c r="AI167" s="25"/>
      <c r="AJ167" s="25"/>
      <c r="AK167" s="25"/>
      <c r="AL167" s="25"/>
      <c r="AM167" s="25"/>
      <c r="AN167" s="25"/>
      <c r="AO167" s="25"/>
      <c r="AP167" s="25"/>
      <c r="AQ167" s="25"/>
      <c r="AR167" s="25"/>
      <c r="AS167" s="25"/>
      <c r="AT167" s="25"/>
      <c r="AU167" s="25"/>
      <c r="AV167" s="25"/>
      <c r="AW167" s="25"/>
      <c r="AX167" s="25" t="str">
        <f>_xlfn.CONCAT($A168," ",$B168," ",$D168)</f>
        <v>2025 BMW i7 M70 xDrive Sedan (21'' Wheels)</v>
      </c>
      <c r="AY167" s="25"/>
      <c r="AZ167" s="25"/>
      <c r="BA167" s="25"/>
      <c r="BB167" s="25"/>
      <c r="BC167" s="25"/>
      <c r="BD167" s="25"/>
      <c r="BE167" s="25"/>
      <c r="BF167" s="25"/>
      <c r="BG167" s="25"/>
      <c r="BH167" s="25"/>
      <c r="BI167" s="25"/>
      <c r="BJ167" s="25"/>
      <c r="BK167" s="25"/>
      <c r="BL167" s="25"/>
      <c r="BM167" s="25"/>
      <c r="BN167" s="25"/>
      <c r="BO167" s="25"/>
      <c r="BP167" s="25"/>
      <c r="BQ167" s="25"/>
      <c r="BR167" s="25" t="str">
        <f>_xlfn.CONCAT($A168," ",$B168," ",$D168)</f>
        <v>2025 BMW i7 M70 xDrive Sedan (21'' Wheels)</v>
      </c>
      <c r="BS167" s="25"/>
      <c r="BT167" s="25"/>
      <c r="BU167" s="25"/>
      <c r="BV167" s="25"/>
      <c r="BW167" s="156"/>
      <c r="BX167" s="25"/>
      <c r="BY167" s="25"/>
      <c r="BZ167" s="25"/>
      <c r="CA167" s="25"/>
      <c r="CB167" s="25"/>
      <c r="CC167" s="25"/>
      <c r="CD167" s="25"/>
      <c r="CE167" s="25"/>
      <c r="CF167" s="25"/>
      <c r="CG167" s="25"/>
      <c r="CH167" s="25"/>
      <c r="CI167" s="25"/>
      <c r="CJ167" s="25"/>
      <c r="CK167" s="25"/>
      <c r="CL167" s="25"/>
      <c r="CM167" s="25"/>
      <c r="CN167" s="25"/>
      <c r="CO167" s="25"/>
      <c r="CP167" s="25" t="str">
        <f>_xlfn.CONCAT($A168," ",$B168," ",$D168)</f>
        <v>2025 BMW i7 M70 xDrive Sedan (21'' Wheels)</v>
      </c>
      <c r="CQ167" s="25"/>
      <c r="CR167" s="25"/>
      <c r="CS167" s="25"/>
      <c r="CT167" s="25"/>
      <c r="CU167" s="25"/>
      <c r="CV167" s="25"/>
      <c r="CW167" s="25"/>
      <c r="CX167" s="25"/>
      <c r="CY167" s="25"/>
      <c r="CZ167" s="25"/>
      <c r="DA167" s="25"/>
      <c r="DB167" s="25"/>
      <c r="DC167" s="25"/>
      <c r="DD167" s="25"/>
      <c r="DE167" s="25"/>
      <c r="DF167" s="25"/>
      <c r="DG167" s="25"/>
      <c r="DH167" s="25"/>
      <c r="DI167" s="25" t="str">
        <f>_xlfn.CONCAT($A168," ",$B168," ",$D168)</f>
        <v>2025 BMW i7 M70 xDrive Sedan (21'' Wheels)</v>
      </c>
      <c r="DJ167" s="25"/>
      <c r="DK167" s="25"/>
      <c r="DL167" s="25"/>
      <c r="DM167" s="25"/>
      <c r="DN167" s="25"/>
      <c r="DO167" s="25"/>
      <c r="DP167" s="25"/>
      <c r="DQ167" s="25"/>
      <c r="DR167" s="25"/>
      <c r="DS167" s="25"/>
      <c r="DT167" s="25"/>
      <c r="DU167" s="25"/>
      <c r="DV167" s="25"/>
      <c r="DW167" s="25"/>
      <c r="DX167" s="25"/>
      <c r="DY167" s="25"/>
      <c r="DZ167" s="25" t="str">
        <f>_xlfn.CONCAT($A168," ",$B168," ",$D168)</f>
        <v>2025 BMW i7 M70 xDrive Sedan (21'' Wheels)</v>
      </c>
      <c r="EA167" s="89"/>
      <c r="EB167" s="25"/>
      <c r="EC167" s="25"/>
      <c r="ED167" s="25"/>
      <c r="EE167" s="25"/>
      <c r="EF167" s="25"/>
      <c r="EG167" s="25"/>
      <c r="EH167" s="25"/>
      <c r="EI167" s="25"/>
      <c r="EJ167" s="25"/>
      <c r="EK167" s="25"/>
      <c r="EL167" s="25"/>
      <c r="EM167" s="25"/>
      <c r="EN167" s="25"/>
      <c r="EO167" s="25"/>
      <c r="EP167" s="25"/>
      <c r="EQ167" s="25"/>
      <c r="ER167" s="25"/>
      <c r="ES167" s="25"/>
      <c r="ET167" s="25"/>
      <c r="EU167" s="25"/>
      <c r="EV167" s="25" t="str">
        <f>_xlfn.CONCAT($A168," ",$B168," ",$D168)</f>
        <v>2025 BMW i7 M70 xDrive Sedan (21'' Wheels)</v>
      </c>
      <c r="EW167" s="25"/>
      <c r="EX167" s="25"/>
      <c r="EY167" s="25"/>
      <c r="EZ167" s="25"/>
      <c r="FA167" s="25"/>
      <c r="FB167" s="25"/>
      <c r="FC167" s="25"/>
      <c r="FD167" s="25"/>
      <c r="FE167" s="25"/>
      <c r="FF167" s="25"/>
      <c r="FG167" s="25"/>
    </row>
    <row r="168" spans="1:165" x14ac:dyDescent="0.35">
      <c r="A168">
        <v>2025</v>
      </c>
      <c r="B168" t="s">
        <v>189</v>
      </c>
      <c r="C168" t="s">
        <v>189</v>
      </c>
      <c r="D168" t="s">
        <v>1828</v>
      </c>
      <c r="E168" t="s">
        <v>191</v>
      </c>
      <c r="F168">
        <v>731</v>
      </c>
      <c r="G168">
        <v>0</v>
      </c>
      <c r="I168" t="s">
        <v>1734</v>
      </c>
      <c r="J168">
        <v>77</v>
      </c>
      <c r="K168">
        <v>83</v>
      </c>
      <c r="L168">
        <v>79</v>
      </c>
      <c r="M168">
        <v>109.8</v>
      </c>
      <c r="N168">
        <v>118.2</v>
      </c>
      <c r="O168">
        <v>113.42740000000001</v>
      </c>
      <c r="P168">
        <v>76.86</v>
      </c>
      <c r="Q168">
        <v>82.74</v>
      </c>
      <c r="R168">
        <v>79.399199999999993</v>
      </c>
      <c r="V168" t="s">
        <v>167</v>
      </c>
      <c r="W168" t="s">
        <v>168</v>
      </c>
      <c r="Y168">
        <v>1</v>
      </c>
      <c r="Z168" t="s">
        <v>170</v>
      </c>
      <c r="AA168" t="s">
        <v>170</v>
      </c>
      <c r="AB168" t="s">
        <v>167</v>
      </c>
      <c r="AC168" t="s">
        <v>213</v>
      </c>
      <c r="AF168">
        <v>285</v>
      </c>
      <c r="AG168" t="s">
        <v>1735</v>
      </c>
      <c r="AH168" t="s">
        <v>1736</v>
      </c>
      <c r="AI168" t="s">
        <v>175</v>
      </c>
      <c r="AJ168" t="s">
        <v>176</v>
      </c>
      <c r="AK168" t="s">
        <v>170</v>
      </c>
      <c r="AL168" t="s">
        <v>177</v>
      </c>
      <c r="AO168">
        <v>109</v>
      </c>
      <c r="AP168">
        <v>11</v>
      </c>
      <c r="AS168">
        <v>1000</v>
      </c>
      <c r="AT168">
        <v>1000</v>
      </c>
      <c r="BQ168">
        <v>6</v>
      </c>
      <c r="BR168" t="s">
        <v>825</v>
      </c>
      <c r="BS168" t="s">
        <v>180</v>
      </c>
      <c r="BT168" t="s">
        <v>1769</v>
      </c>
      <c r="BU168" s="1">
        <v>45464</v>
      </c>
      <c r="BV168">
        <v>34917</v>
      </c>
      <c r="BW168" s="155"/>
      <c r="BX168" t="s">
        <v>169</v>
      </c>
      <c r="BY168" t="s">
        <v>170</v>
      </c>
      <c r="CB168" t="s">
        <v>170</v>
      </c>
      <c r="CC168" t="s">
        <v>170</v>
      </c>
      <c r="CK168" t="s">
        <v>233</v>
      </c>
      <c r="CM168">
        <v>11</v>
      </c>
      <c r="CN168" t="s">
        <v>234</v>
      </c>
      <c r="CP168">
        <v>369</v>
      </c>
      <c r="CQ168">
        <v>303</v>
      </c>
      <c r="CR168">
        <v>174</v>
      </c>
      <c r="CS168" t="s">
        <v>235</v>
      </c>
      <c r="CV168" t="s">
        <v>341</v>
      </c>
      <c r="CX168" t="s">
        <v>342</v>
      </c>
      <c r="CY168" t="s">
        <v>169</v>
      </c>
      <c r="DC168" t="s">
        <v>1825</v>
      </c>
      <c r="DD168">
        <v>2</v>
      </c>
      <c r="DE168" t="s">
        <v>404</v>
      </c>
      <c r="DF168" t="s">
        <v>405</v>
      </c>
      <c r="DG168" t="s">
        <v>1826</v>
      </c>
      <c r="DL168" t="s">
        <v>170</v>
      </c>
      <c r="DM168" t="s">
        <v>169</v>
      </c>
      <c r="DP168" t="s">
        <v>170</v>
      </c>
      <c r="DQ168" t="s">
        <v>187</v>
      </c>
      <c r="EA168" s="101"/>
      <c r="EB168">
        <v>9</v>
      </c>
      <c r="EC168">
        <v>10</v>
      </c>
      <c r="EE168" t="s">
        <v>1827</v>
      </c>
      <c r="EF168">
        <v>10</v>
      </c>
      <c r="EU168">
        <v>4500</v>
      </c>
      <c r="EW168">
        <v>0</v>
      </c>
      <c r="EX168">
        <v>0</v>
      </c>
      <c r="EY168">
        <v>0</v>
      </c>
      <c r="FA168">
        <v>12</v>
      </c>
      <c r="FG168">
        <v>276</v>
      </c>
      <c r="FH168">
        <v>297</v>
      </c>
      <c r="FI168">
        <v>285</v>
      </c>
    </row>
    <row r="169" spans="1:165" x14ac:dyDescent="0.35">
      <c r="A169">
        <v>2025</v>
      </c>
      <c r="B169" t="s">
        <v>189</v>
      </c>
      <c r="C169" t="s">
        <v>189</v>
      </c>
      <c r="D169" t="s">
        <v>1828</v>
      </c>
      <c r="E169" t="s">
        <v>191</v>
      </c>
      <c r="F169">
        <v>731</v>
      </c>
      <c r="G169">
        <v>0</v>
      </c>
      <c r="I169" t="s">
        <v>1734</v>
      </c>
      <c r="J169">
        <v>44</v>
      </c>
      <c r="K169">
        <v>41</v>
      </c>
      <c r="L169">
        <v>42</v>
      </c>
      <c r="M169">
        <v>30.698799999999999</v>
      </c>
      <c r="N169">
        <v>28.5139</v>
      </c>
      <c r="O169">
        <v>29.715599999999998</v>
      </c>
      <c r="P169">
        <v>43.852499999999999</v>
      </c>
      <c r="Q169">
        <v>40.735999999999997</v>
      </c>
      <c r="R169">
        <v>42.450099999999999</v>
      </c>
      <c r="V169" t="s">
        <v>167</v>
      </c>
      <c r="W169" t="s">
        <v>168</v>
      </c>
      <c r="Y169">
        <v>1</v>
      </c>
      <c r="Z169" t="s">
        <v>170</v>
      </c>
      <c r="AA169" t="s">
        <v>170</v>
      </c>
      <c r="AB169" t="s">
        <v>167</v>
      </c>
      <c r="AC169" t="s">
        <v>213</v>
      </c>
      <c r="AF169">
        <v>285</v>
      </c>
      <c r="AG169" t="s">
        <v>1735</v>
      </c>
      <c r="AH169" t="s">
        <v>1736</v>
      </c>
      <c r="AI169" t="s">
        <v>1742</v>
      </c>
      <c r="AJ169" t="s">
        <v>1743</v>
      </c>
      <c r="AK169" t="s">
        <v>170</v>
      </c>
      <c r="AL169" t="s">
        <v>177</v>
      </c>
      <c r="AO169">
        <v>109</v>
      </c>
      <c r="AP169">
        <v>11</v>
      </c>
      <c r="AS169">
        <v>1000</v>
      </c>
      <c r="AT169">
        <v>1000</v>
      </c>
      <c r="BQ169">
        <v>6</v>
      </c>
      <c r="BR169" t="s">
        <v>825</v>
      </c>
      <c r="BS169" t="s">
        <v>180</v>
      </c>
      <c r="BT169" t="s">
        <v>1769</v>
      </c>
      <c r="BU169" s="1">
        <v>45464</v>
      </c>
      <c r="BV169">
        <v>34917</v>
      </c>
      <c r="BW169" s="155"/>
      <c r="BX169" t="s">
        <v>169</v>
      </c>
      <c r="BY169" t="s">
        <v>170</v>
      </c>
      <c r="CB169" t="s">
        <v>170</v>
      </c>
      <c r="CC169" t="s">
        <v>170</v>
      </c>
      <c r="CK169" t="s">
        <v>233</v>
      </c>
      <c r="CM169">
        <v>11</v>
      </c>
      <c r="CN169" t="s">
        <v>234</v>
      </c>
      <c r="CP169">
        <v>369</v>
      </c>
      <c r="CQ169">
        <v>303</v>
      </c>
      <c r="CR169">
        <v>174</v>
      </c>
      <c r="CS169" t="s">
        <v>235</v>
      </c>
      <c r="CV169" t="s">
        <v>341</v>
      </c>
      <c r="CX169" t="s">
        <v>342</v>
      </c>
      <c r="CY169" t="s">
        <v>169</v>
      </c>
      <c r="DC169" t="s">
        <v>1825</v>
      </c>
      <c r="DD169">
        <v>2</v>
      </c>
      <c r="DE169" t="s">
        <v>404</v>
      </c>
      <c r="DF169" t="s">
        <v>405</v>
      </c>
      <c r="DG169" t="s">
        <v>1826</v>
      </c>
      <c r="DL169" t="s">
        <v>170</v>
      </c>
      <c r="DM169" t="s">
        <v>169</v>
      </c>
      <c r="DP169" t="s">
        <v>170</v>
      </c>
      <c r="DQ169" t="s">
        <v>187</v>
      </c>
      <c r="EA169" s="101"/>
      <c r="EB169">
        <v>9</v>
      </c>
      <c r="EC169">
        <v>10</v>
      </c>
      <c r="EE169" t="s">
        <v>1827</v>
      </c>
      <c r="EF169">
        <v>10</v>
      </c>
      <c r="EU169">
        <v>4500</v>
      </c>
      <c r="EW169">
        <v>0</v>
      </c>
      <c r="EX169">
        <v>0</v>
      </c>
      <c r="EY169">
        <v>0</v>
      </c>
      <c r="FA169">
        <v>12</v>
      </c>
      <c r="FG169">
        <v>276</v>
      </c>
      <c r="FH169">
        <v>297</v>
      </c>
      <c r="FI169">
        <v>285</v>
      </c>
    </row>
    <row r="170" spans="1:165" x14ac:dyDescent="0.35">
      <c r="A170" s="25"/>
      <c r="B170" s="25"/>
      <c r="C170" s="25"/>
      <c r="D170" s="25"/>
      <c r="E170" s="25"/>
      <c r="F170" s="25" t="str">
        <f>_xlfn.CONCAT($A171," ",$B171," ",$D171)</f>
        <v>2025 Bugatti Rimac LLC Nevera R</v>
      </c>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t="str">
        <f>_xlfn.CONCAT($A171," ",$B171," ",$D171)</f>
        <v>2025 Bugatti Rimac LLC Nevera R</v>
      </c>
      <c r="AE170" s="25"/>
      <c r="AF170" s="25"/>
      <c r="AG170" s="25"/>
      <c r="AH170" s="25"/>
      <c r="AI170" s="25"/>
      <c r="AJ170" s="25"/>
      <c r="AK170" s="25"/>
      <c r="AL170" s="25"/>
      <c r="AM170" s="25"/>
      <c r="AN170" s="25"/>
      <c r="AO170" s="25"/>
      <c r="AP170" s="25"/>
      <c r="AQ170" s="25"/>
      <c r="AR170" s="25"/>
      <c r="AS170" s="25"/>
      <c r="AT170" s="25"/>
      <c r="AU170" s="25"/>
      <c r="AV170" s="25"/>
      <c r="AW170" s="25"/>
      <c r="AX170" s="25" t="str">
        <f>_xlfn.CONCAT($A171," ",$B171," ",$D171)</f>
        <v>2025 Bugatti Rimac LLC Nevera R</v>
      </c>
      <c r="AY170" s="25"/>
      <c r="AZ170" s="25"/>
      <c r="BA170" s="25"/>
      <c r="BB170" s="25"/>
      <c r="BC170" s="25"/>
      <c r="BD170" s="25"/>
      <c r="BE170" s="25"/>
      <c r="BF170" s="25"/>
      <c r="BG170" s="25"/>
      <c r="BH170" s="25"/>
      <c r="BI170" s="25"/>
      <c r="BJ170" s="25"/>
      <c r="BK170" s="25"/>
      <c r="BL170" s="25"/>
      <c r="BM170" s="25"/>
      <c r="BN170" s="25"/>
      <c r="BO170" s="25"/>
      <c r="BP170" s="25"/>
      <c r="BQ170" s="25"/>
      <c r="BR170" s="25" t="str">
        <f>_xlfn.CONCAT($A171," ",$B171," ",$D171)</f>
        <v>2025 Bugatti Rimac LLC Nevera R</v>
      </c>
      <c r="BS170" s="25"/>
      <c r="BT170" s="25"/>
      <c r="BU170" s="25"/>
      <c r="BV170" s="25"/>
      <c r="BW170" s="156"/>
      <c r="BX170" s="25"/>
      <c r="BY170" s="25"/>
      <c r="BZ170" s="25"/>
      <c r="CA170" s="25"/>
      <c r="CB170" s="25"/>
      <c r="CC170" s="25"/>
      <c r="CD170" s="25"/>
      <c r="CE170" s="25"/>
      <c r="CF170" s="25"/>
      <c r="CG170" s="25"/>
      <c r="CH170" s="25"/>
      <c r="CI170" s="25"/>
      <c r="CJ170" s="25"/>
      <c r="CK170" s="25"/>
      <c r="CL170" s="25"/>
      <c r="CM170" s="25"/>
      <c r="CN170" s="25"/>
      <c r="CO170" s="25"/>
      <c r="CP170" s="25" t="str">
        <f>_xlfn.CONCAT($A171," ",$B171," ",$D171)</f>
        <v>2025 Bugatti Rimac LLC Nevera R</v>
      </c>
      <c r="CQ170" s="25"/>
      <c r="CR170" s="25"/>
      <c r="CS170" s="25"/>
      <c r="CT170" s="25"/>
      <c r="CU170" s="25"/>
      <c r="CV170" s="25"/>
      <c r="CW170" s="25"/>
      <c r="CX170" s="25"/>
      <c r="CY170" s="25"/>
      <c r="CZ170" s="25"/>
      <c r="DA170" s="25"/>
      <c r="DB170" s="25"/>
      <c r="DC170" s="25"/>
      <c r="DD170" s="25"/>
      <c r="DE170" s="25"/>
      <c r="DF170" s="25"/>
      <c r="DG170" s="25"/>
      <c r="DH170" s="25"/>
      <c r="DI170" s="25" t="str">
        <f>_xlfn.CONCAT($A171," ",$B171," ",$D171)</f>
        <v>2025 Bugatti Rimac LLC Nevera R</v>
      </c>
      <c r="DJ170" s="25"/>
      <c r="DK170" s="25"/>
      <c r="DL170" s="25"/>
      <c r="DM170" s="25"/>
      <c r="DN170" s="25"/>
      <c r="DO170" s="25"/>
      <c r="DP170" s="25"/>
      <c r="DQ170" s="25"/>
      <c r="DR170" s="25"/>
      <c r="DS170" s="25"/>
      <c r="DT170" s="25"/>
      <c r="DU170" s="25"/>
      <c r="DV170" s="25"/>
      <c r="DW170" s="25"/>
      <c r="DX170" s="25"/>
      <c r="DY170" s="25"/>
      <c r="DZ170" s="25" t="str">
        <f>_xlfn.CONCAT($A171," ",$B171," ",$D171)</f>
        <v>2025 Bugatti Rimac LLC Nevera R</v>
      </c>
      <c r="EA170" s="89"/>
      <c r="EB170" s="25"/>
      <c r="EC170" s="25"/>
      <c r="ED170" s="25"/>
      <c r="EE170" s="25"/>
      <c r="EF170" s="25"/>
      <c r="EG170" s="25"/>
      <c r="EH170" s="25"/>
      <c r="EI170" s="25"/>
      <c r="EJ170" s="25"/>
      <c r="EK170" s="25"/>
      <c r="EL170" s="25"/>
      <c r="EM170" s="25"/>
      <c r="EN170" s="25"/>
      <c r="EO170" s="25"/>
      <c r="EP170" s="25"/>
      <c r="EQ170" s="25"/>
      <c r="ER170" s="25"/>
      <c r="ES170" s="25"/>
      <c r="ET170" s="25"/>
      <c r="EU170" s="25"/>
      <c r="EV170" s="25" t="str">
        <f>_xlfn.CONCAT($A171," ",$B171," ",$D171)</f>
        <v>2025 Bugatti Rimac LLC Nevera R</v>
      </c>
      <c r="EW170" s="25"/>
      <c r="EX170" s="25"/>
      <c r="EY170" s="25"/>
      <c r="EZ170" s="25"/>
      <c r="FA170" s="25"/>
      <c r="FB170" s="25"/>
      <c r="FC170" s="25"/>
      <c r="FD170" s="25"/>
      <c r="FE170" s="25"/>
      <c r="FF170" s="25"/>
      <c r="FG170" s="25"/>
    </row>
    <row r="171" spans="1:165" x14ac:dyDescent="0.35">
      <c r="A171">
        <v>2025</v>
      </c>
      <c r="B171" t="s">
        <v>1842</v>
      </c>
      <c r="C171" t="s">
        <v>1843</v>
      </c>
      <c r="D171" t="s">
        <v>2387</v>
      </c>
      <c r="E171" t="s">
        <v>1845</v>
      </c>
      <c r="F171">
        <v>666</v>
      </c>
      <c r="G171">
        <v>0</v>
      </c>
      <c r="I171" t="s">
        <v>1734</v>
      </c>
      <c r="J171">
        <v>50</v>
      </c>
      <c r="K171">
        <v>51</v>
      </c>
      <c r="L171">
        <v>51</v>
      </c>
      <c r="M171">
        <v>71.7</v>
      </c>
      <c r="N171">
        <v>73.400000000000006</v>
      </c>
      <c r="O171">
        <v>72.455200000000005</v>
      </c>
      <c r="P171">
        <v>50.19</v>
      </c>
      <c r="Q171">
        <v>51.38</v>
      </c>
      <c r="R171">
        <v>50.718600000000002</v>
      </c>
      <c r="V171" t="s">
        <v>167</v>
      </c>
      <c r="W171" t="s">
        <v>168</v>
      </c>
      <c r="Y171">
        <v>1</v>
      </c>
      <c r="Z171" t="s">
        <v>170</v>
      </c>
      <c r="AA171" t="s">
        <v>170</v>
      </c>
      <c r="AB171">
        <v>4</v>
      </c>
      <c r="AC171" t="s">
        <v>601</v>
      </c>
      <c r="AF171">
        <v>174</v>
      </c>
      <c r="AG171" t="s">
        <v>1735</v>
      </c>
      <c r="AH171" t="s">
        <v>1736</v>
      </c>
      <c r="AI171" t="s">
        <v>175</v>
      </c>
      <c r="AJ171" t="s">
        <v>176</v>
      </c>
      <c r="AK171">
        <v>4</v>
      </c>
      <c r="AL171" t="s">
        <v>1737</v>
      </c>
      <c r="AM171">
        <v>45</v>
      </c>
      <c r="AN171">
        <v>4</v>
      </c>
      <c r="AS171">
        <v>1600</v>
      </c>
      <c r="AT171">
        <v>50</v>
      </c>
      <c r="BQ171">
        <v>1</v>
      </c>
      <c r="BR171" t="s">
        <v>179</v>
      </c>
      <c r="BS171" t="s">
        <v>180</v>
      </c>
      <c r="BT171" t="s">
        <v>1769</v>
      </c>
      <c r="BU171" s="1">
        <v>47241</v>
      </c>
      <c r="BV171">
        <v>36463</v>
      </c>
      <c r="BW171" s="155"/>
      <c r="BX171" t="s">
        <v>170</v>
      </c>
      <c r="BY171" t="s">
        <v>170</v>
      </c>
      <c r="CB171" t="s">
        <v>170</v>
      </c>
      <c r="CC171" t="s">
        <v>170</v>
      </c>
      <c r="CK171" t="s">
        <v>233</v>
      </c>
      <c r="CM171">
        <v>1</v>
      </c>
      <c r="CN171" t="s">
        <v>234</v>
      </c>
      <c r="CP171">
        <v>800</v>
      </c>
      <c r="CQ171">
        <v>180</v>
      </c>
      <c r="CR171">
        <v>158</v>
      </c>
      <c r="CS171" t="s">
        <v>235</v>
      </c>
      <c r="CV171" t="s">
        <v>341</v>
      </c>
      <c r="CX171" t="s">
        <v>342</v>
      </c>
      <c r="CY171" t="s">
        <v>169</v>
      </c>
      <c r="DC171" t="s">
        <v>2388</v>
      </c>
      <c r="DD171">
        <v>4</v>
      </c>
      <c r="DE171" t="s">
        <v>237</v>
      </c>
      <c r="DG171" t="s">
        <v>2389</v>
      </c>
      <c r="DL171" t="s">
        <v>170</v>
      </c>
      <c r="DM171" t="s">
        <v>169</v>
      </c>
      <c r="DP171" t="s">
        <v>170</v>
      </c>
      <c r="DQ171" t="s">
        <v>187</v>
      </c>
      <c r="DR171" t="s">
        <v>2390</v>
      </c>
      <c r="EA171" s="101"/>
      <c r="EB171">
        <v>8</v>
      </c>
      <c r="EC171">
        <v>10</v>
      </c>
      <c r="EE171" t="s">
        <v>1848</v>
      </c>
      <c r="EF171">
        <v>10</v>
      </c>
      <c r="EU171">
        <v>1500</v>
      </c>
      <c r="EW171">
        <v>0</v>
      </c>
      <c r="EX171">
        <v>0</v>
      </c>
      <c r="EY171">
        <v>0</v>
      </c>
      <c r="FA171">
        <v>17.600000000000001</v>
      </c>
      <c r="FG171">
        <v>172</v>
      </c>
      <c r="FH171">
        <v>176</v>
      </c>
      <c r="FI171">
        <v>174</v>
      </c>
    </row>
    <row r="172" spans="1:165" x14ac:dyDescent="0.35">
      <c r="A172">
        <v>2025</v>
      </c>
      <c r="B172" t="s">
        <v>1842</v>
      </c>
      <c r="C172" t="s">
        <v>1843</v>
      </c>
      <c r="D172" t="s">
        <v>2387</v>
      </c>
      <c r="E172" t="s">
        <v>1845</v>
      </c>
      <c r="F172">
        <v>666</v>
      </c>
      <c r="G172">
        <v>0</v>
      </c>
      <c r="I172" t="s">
        <v>1734</v>
      </c>
      <c r="J172">
        <v>67</v>
      </c>
      <c r="K172">
        <v>66</v>
      </c>
      <c r="L172">
        <v>66</v>
      </c>
      <c r="M172">
        <v>46.9878</v>
      </c>
      <c r="N172">
        <v>45.937899999999999</v>
      </c>
      <c r="O172">
        <v>46.515300000000003</v>
      </c>
      <c r="P172">
        <v>67.154799999999994</v>
      </c>
      <c r="Q172">
        <v>65.599500000000006</v>
      </c>
      <c r="R172">
        <v>66.454899999999995</v>
      </c>
      <c r="V172" t="s">
        <v>167</v>
      </c>
      <c r="W172" t="s">
        <v>168</v>
      </c>
      <c r="Y172">
        <v>1</v>
      </c>
      <c r="Z172" t="s">
        <v>170</v>
      </c>
      <c r="AA172" t="s">
        <v>170</v>
      </c>
      <c r="AB172">
        <v>4</v>
      </c>
      <c r="AC172" t="s">
        <v>601</v>
      </c>
      <c r="AF172">
        <v>174</v>
      </c>
      <c r="AG172" t="s">
        <v>1735</v>
      </c>
      <c r="AH172" t="s">
        <v>1736</v>
      </c>
      <c r="AI172" t="s">
        <v>1742</v>
      </c>
      <c r="AJ172" t="s">
        <v>1743</v>
      </c>
      <c r="AK172">
        <v>4</v>
      </c>
      <c r="AL172" t="s">
        <v>1737</v>
      </c>
      <c r="AM172">
        <v>45</v>
      </c>
      <c r="AN172">
        <v>4</v>
      </c>
      <c r="AS172">
        <v>1600</v>
      </c>
      <c r="AT172">
        <v>1600</v>
      </c>
      <c r="BQ172">
        <v>1</v>
      </c>
      <c r="BR172" t="s">
        <v>179</v>
      </c>
      <c r="BS172" t="s">
        <v>180</v>
      </c>
      <c r="BT172" t="s">
        <v>1769</v>
      </c>
      <c r="BU172" s="1">
        <v>47241</v>
      </c>
      <c r="BV172">
        <v>36463</v>
      </c>
      <c r="BW172" s="155"/>
      <c r="BX172" t="s">
        <v>170</v>
      </c>
      <c r="BY172" t="s">
        <v>170</v>
      </c>
      <c r="CB172" t="s">
        <v>170</v>
      </c>
      <c r="CC172" t="s">
        <v>170</v>
      </c>
      <c r="CK172" t="s">
        <v>233</v>
      </c>
      <c r="CM172">
        <v>1</v>
      </c>
      <c r="CN172" t="s">
        <v>234</v>
      </c>
      <c r="CP172">
        <v>800</v>
      </c>
      <c r="CQ172">
        <v>180</v>
      </c>
      <c r="CR172">
        <v>158</v>
      </c>
      <c r="CS172" t="s">
        <v>235</v>
      </c>
      <c r="CV172" t="s">
        <v>341</v>
      </c>
      <c r="CX172" t="s">
        <v>342</v>
      </c>
      <c r="CY172" t="s">
        <v>169</v>
      </c>
      <c r="DC172" t="s">
        <v>2388</v>
      </c>
      <c r="DD172">
        <v>4</v>
      </c>
      <c r="DE172" t="s">
        <v>237</v>
      </c>
      <c r="DG172" t="s">
        <v>2389</v>
      </c>
      <c r="DL172" t="s">
        <v>170</v>
      </c>
      <c r="DM172" t="s">
        <v>169</v>
      </c>
      <c r="DP172" t="s">
        <v>170</v>
      </c>
      <c r="DQ172" t="s">
        <v>187</v>
      </c>
      <c r="DR172" t="s">
        <v>2390</v>
      </c>
      <c r="EA172" s="101"/>
      <c r="EB172">
        <v>8</v>
      </c>
      <c r="EC172">
        <v>10</v>
      </c>
      <c r="EE172" t="s">
        <v>1848</v>
      </c>
      <c r="EF172">
        <v>10</v>
      </c>
      <c r="EU172">
        <v>1500</v>
      </c>
      <c r="EW172">
        <v>0</v>
      </c>
      <c r="EX172">
        <v>0</v>
      </c>
      <c r="EY172">
        <v>0</v>
      </c>
      <c r="FA172">
        <v>17.600000000000001</v>
      </c>
      <c r="FG172">
        <v>172</v>
      </c>
      <c r="FH172">
        <v>176</v>
      </c>
      <c r="FI172">
        <v>174</v>
      </c>
    </row>
    <row r="173" spans="1:165" x14ac:dyDescent="0.35">
      <c r="A173" s="25"/>
      <c r="B173" s="25"/>
      <c r="C173" s="25"/>
      <c r="D173" s="25"/>
      <c r="E173" s="25"/>
      <c r="F173" s="25" t="str">
        <f>_xlfn.CONCAT($A174," ",$B174," ",$D174)</f>
        <v>2025 Bugatti Rimac LLC Nevera</v>
      </c>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t="str">
        <f>_xlfn.CONCAT($A174," ",$B174," ",$D174)</f>
        <v>2025 Bugatti Rimac LLC Nevera</v>
      </c>
      <c r="AE173" s="25"/>
      <c r="AF173" s="25"/>
      <c r="AG173" s="25"/>
      <c r="AH173" s="25"/>
      <c r="AI173" s="25"/>
      <c r="AJ173" s="25"/>
      <c r="AK173" s="25"/>
      <c r="AL173" s="25"/>
      <c r="AM173" s="25"/>
      <c r="AN173" s="25"/>
      <c r="AO173" s="25"/>
      <c r="AP173" s="25"/>
      <c r="AQ173" s="25"/>
      <c r="AR173" s="25"/>
      <c r="AS173" s="25"/>
      <c r="AT173" s="25"/>
      <c r="AU173" s="25"/>
      <c r="AV173" s="25"/>
      <c r="AW173" s="25"/>
      <c r="AX173" s="25" t="str">
        <f>_xlfn.CONCAT($A174," ",$B174," ",$D174)</f>
        <v>2025 Bugatti Rimac LLC Nevera</v>
      </c>
      <c r="AY173" s="25"/>
      <c r="AZ173" s="25"/>
      <c r="BA173" s="25"/>
      <c r="BB173" s="25"/>
      <c r="BC173" s="25"/>
      <c r="BD173" s="25"/>
      <c r="BE173" s="25"/>
      <c r="BF173" s="25"/>
      <c r="BG173" s="25"/>
      <c r="BH173" s="25"/>
      <c r="BI173" s="25"/>
      <c r="BJ173" s="25"/>
      <c r="BK173" s="25"/>
      <c r="BL173" s="25"/>
      <c r="BM173" s="25"/>
      <c r="BN173" s="25"/>
      <c r="BO173" s="25"/>
      <c r="BP173" s="25"/>
      <c r="BQ173" s="25"/>
      <c r="BR173" s="25" t="str">
        <f>_xlfn.CONCAT($A174," ",$B174," ",$D174)</f>
        <v>2025 Bugatti Rimac LLC Nevera</v>
      </c>
      <c r="BS173" s="25"/>
      <c r="BT173" s="25"/>
      <c r="BU173" s="25"/>
      <c r="BV173" s="25"/>
      <c r="BW173" s="156"/>
      <c r="BX173" s="25"/>
      <c r="BY173" s="25"/>
      <c r="BZ173" s="25"/>
      <c r="CA173" s="25"/>
      <c r="CB173" s="25"/>
      <c r="CC173" s="25"/>
      <c r="CD173" s="25"/>
      <c r="CE173" s="25"/>
      <c r="CF173" s="25"/>
      <c r="CG173" s="25"/>
      <c r="CH173" s="25"/>
      <c r="CI173" s="25"/>
      <c r="CJ173" s="25"/>
      <c r="CK173" s="25"/>
      <c r="CL173" s="25"/>
      <c r="CM173" s="25"/>
      <c r="CN173" s="25"/>
      <c r="CO173" s="25"/>
      <c r="CP173" s="25" t="str">
        <f>_xlfn.CONCAT($A174," ",$B174," ",$D174)</f>
        <v>2025 Bugatti Rimac LLC Nevera</v>
      </c>
      <c r="CQ173" s="25"/>
      <c r="CR173" s="25"/>
      <c r="CS173" s="25"/>
      <c r="CT173" s="25"/>
      <c r="CU173" s="25"/>
      <c r="CV173" s="25"/>
      <c r="CW173" s="25"/>
      <c r="CX173" s="25"/>
      <c r="CY173" s="25"/>
      <c r="CZ173" s="25"/>
      <c r="DA173" s="25"/>
      <c r="DB173" s="25"/>
      <c r="DC173" s="25"/>
      <c r="DD173" s="25"/>
      <c r="DE173" s="25"/>
      <c r="DF173" s="25"/>
      <c r="DG173" s="25"/>
      <c r="DH173" s="25"/>
      <c r="DI173" s="25" t="str">
        <f>_xlfn.CONCAT($A174," ",$B174," ",$D174)</f>
        <v>2025 Bugatti Rimac LLC Nevera</v>
      </c>
      <c r="DJ173" s="25"/>
      <c r="DK173" s="25"/>
      <c r="DL173" s="25"/>
      <c r="DM173" s="25"/>
      <c r="DN173" s="25"/>
      <c r="DO173" s="25"/>
      <c r="DP173" s="25"/>
      <c r="DQ173" s="25"/>
      <c r="DR173" s="25"/>
      <c r="DS173" s="25"/>
      <c r="DT173" s="25"/>
      <c r="DU173" s="25"/>
      <c r="DV173" s="25"/>
      <c r="DW173" s="25"/>
      <c r="DX173" s="25"/>
      <c r="DY173" s="25"/>
      <c r="DZ173" s="25" t="str">
        <f>_xlfn.CONCAT($A174," ",$B174," ",$D174)</f>
        <v>2025 Bugatti Rimac LLC Nevera</v>
      </c>
      <c r="EA173" s="89"/>
      <c r="EB173" s="25"/>
      <c r="EC173" s="25"/>
      <c r="ED173" s="25"/>
      <c r="EE173" s="25"/>
      <c r="EF173" s="25"/>
      <c r="EG173" s="25"/>
      <c r="EH173" s="25"/>
      <c r="EI173" s="25"/>
      <c r="EJ173" s="25"/>
      <c r="EK173" s="25"/>
      <c r="EL173" s="25"/>
      <c r="EM173" s="25"/>
      <c r="EN173" s="25"/>
      <c r="EO173" s="25"/>
      <c r="EP173" s="25"/>
      <c r="EQ173" s="25"/>
      <c r="ER173" s="25"/>
      <c r="ES173" s="25"/>
      <c r="ET173" s="25"/>
      <c r="EU173" s="25"/>
      <c r="EV173" s="25" t="str">
        <f>_xlfn.CONCAT($A174," ",$B174," ",$D174)</f>
        <v>2025 Bugatti Rimac LLC Nevera</v>
      </c>
      <c r="EW173" s="25"/>
      <c r="EX173" s="25"/>
      <c r="EY173" s="25"/>
      <c r="EZ173" s="25"/>
      <c r="FA173" s="25"/>
      <c r="FB173" s="25"/>
      <c r="FC173" s="25"/>
      <c r="FD173" s="25"/>
      <c r="FE173" s="25"/>
      <c r="FF173" s="25"/>
      <c r="FG173" s="25"/>
    </row>
    <row r="174" spans="1:165" x14ac:dyDescent="0.35">
      <c r="A174">
        <v>2025</v>
      </c>
      <c r="B174" t="s">
        <v>1842</v>
      </c>
      <c r="C174" t="s">
        <v>1843</v>
      </c>
      <c r="D174" t="s">
        <v>1844</v>
      </c>
      <c r="E174" t="s">
        <v>1845</v>
      </c>
      <c r="F174">
        <v>777</v>
      </c>
      <c r="G174">
        <v>0</v>
      </c>
      <c r="I174" t="s">
        <v>1734</v>
      </c>
      <c r="J174">
        <v>52</v>
      </c>
      <c r="K174">
        <v>54</v>
      </c>
      <c r="L174">
        <v>53</v>
      </c>
      <c r="M174">
        <v>75</v>
      </c>
      <c r="N174">
        <v>77.5</v>
      </c>
      <c r="O174">
        <v>76.104699999999994</v>
      </c>
      <c r="P174">
        <v>52.5</v>
      </c>
      <c r="Q174">
        <v>54.25</v>
      </c>
      <c r="R174">
        <v>53.273299999999999</v>
      </c>
      <c r="V174" t="s">
        <v>167</v>
      </c>
      <c r="W174" t="s">
        <v>168</v>
      </c>
      <c r="Y174">
        <v>1</v>
      </c>
      <c r="Z174" t="s">
        <v>170</v>
      </c>
      <c r="AA174" t="s">
        <v>170</v>
      </c>
      <c r="AB174">
        <v>4</v>
      </c>
      <c r="AC174" t="s">
        <v>601</v>
      </c>
      <c r="AF174">
        <v>204</v>
      </c>
      <c r="AG174" t="s">
        <v>1735</v>
      </c>
      <c r="AH174" t="s">
        <v>1736</v>
      </c>
      <c r="AI174" t="s">
        <v>175</v>
      </c>
      <c r="AJ174" t="s">
        <v>176</v>
      </c>
      <c r="AK174">
        <v>4</v>
      </c>
      <c r="AL174" t="s">
        <v>1737</v>
      </c>
      <c r="AM174">
        <v>45</v>
      </c>
      <c r="AN174">
        <v>4</v>
      </c>
      <c r="AS174">
        <v>1500</v>
      </c>
      <c r="AT174">
        <v>1500</v>
      </c>
      <c r="BQ174">
        <v>1</v>
      </c>
      <c r="BR174" t="s">
        <v>179</v>
      </c>
      <c r="BS174" t="s">
        <v>180</v>
      </c>
      <c r="BT174" t="s">
        <v>1769</v>
      </c>
      <c r="BU174" s="1">
        <v>45495</v>
      </c>
      <c r="BV174">
        <v>35254</v>
      </c>
      <c r="BW174" s="155"/>
      <c r="BX174" t="s">
        <v>170</v>
      </c>
      <c r="BY174" t="s">
        <v>170</v>
      </c>
      <c r="CB174" t="s">
        <v>170</v>
      </c>
      <c r="CC174" t="s">
        <v>170</v>
      </c>
      <c r="CK174" t="s">
        <v>233</v>
      </c>
      <c r="CM174">
        <v>1</v>
      </c>
      <c r="CN174" t="s">
        <v>234</v>
      </c>
      <c r="CP174">
        <v>800</v>
      </c>
      <c r="CQ174">
        <v>192</v>
      </c>
      <c r="CR174">
        <v>168</v>
      </c>
      <c r="CS174" t="s">
        <v>235</v>
      </c>
      <c r="CV174" t="s">
        <v>341</v>
      </c>
      <c r="CX174" t="s">
        <v>342</v>
      </c>
      <c r="CY174" t="s">
        <v>169</v>
      </c>
      <c r="DD174">
        <v>4</v>
      </c>
      <c r="DE174" t="s">
        <v>237</v>
      </c>
      <c r="DG174" t="s">
        <v>1846</v>
      </c>
      <c r="DL174" t="s">
        <v>170</v>
      </c>
      <c r="DM174" t="s">
        <v>169</v>
      </c>
      <c r="DP174" t="s">
        <v>170</v>
      </c>
      <c r="DQ174" t="s">
        <v>187</v>
      </c>
      <c r="DR174" t="s">
        <v>1847</v>
      </c>
      <c r="EA174" s="101"/>
      <c r="EB174">
        <v>8</v>
      </c>
      <c r="EC174">
        <v>10</v>
      </c>
      <c r="EE174" t="s">
        <v>1848</v>
      </c>
      <c r="EF174">
        <v>10</v>
      </c>
      <c r="EU174">
        <v>2000</v>
      </c>
      <c r="EW174">
        <v>0</v>
      </c>
      <c r="EX174">
        <v>0</v>
      </c>
      <c r="EY174">
        <v>0</v>
      </c>
      <c r="FA174">
        <v>17.600000000000001</v>
      </c>
      <c r="FG174">
        <v>201</v>
      </c>
      <c r="FH174">
        <v>208</v>
      </c>
      <c r="FI174">
        <v>204</v>
      </c>
    </row>
    <row r="175" spans="1:165" x14ac:dyDescent="0.35">
      <c r="A175">
        <v>2025</v>
      </c>
      <c r="B175" t="s">
        <v>1842</v>
      </c>
      <c r="C175" t="s">
        <v>1843</v>
      </c>
      <c r="D175" t="s">
        <v>1844</v>
      </c>
      <c r="E175" t="s">
        <v>1845</v>
      </c>
      <c r="F175">
        <v>777</v>
      </c>
      <c r="G175">
        <v>0</v>
      </c>
      <c r="I175" t="s">
        <v>1734</v>
      </c>
      <c r="J175">
        <v>64</v>
      </c>
      <c r="K175">
        <v>62</v>
      </c>
      <c r="L175">
        <v>63</v>
      </c>
      <c r="M175">
        <v>44.931399999999996</v>
      </c>
      <c r="N175">
        <v>43.511699999999998</v>
      </c>
      <c r="O175">
        <v>44.292499999999997</v>
      </c>
      <c r="P175">
        <v>64.2</v>
      </c>
      <c r="Q175">
        <v>62.128999999999998</v>
      </c>
      <c r="R175">
        <v>63.268099999999997</v>
      </c>
      <c r="V175" t="s">
        <v>167</v>
      </c>
      <c r="W175" t="s">
        <v>168</v>
      </c>
      <c r="Y175">
        <v>1</v>
      </c>
      <c r="Z175" t="s">
        <v>170</v>
      </c>
      <c r="AA175" t="s">
        <v>170</v>
      </c>
      <c r="AB175">
        <v>4</v>
      </c>
      <c r="AC175" t="s">
        <v>601</v>
      </c>
      <c r="AF175">
        <v>204</v>
      </c>
      <c r="AG175" t="s">
        <v>1735</v>
      </c>
      <c r="AH175" t="s">
        <v>1736</v>
      </c>
      <c r="AI175" t="s">
        <v>1742</v>
      </c>
      <c r="AJ175" t="s">
        <v>1743</v>
      </c>
      <c r="AK175">
        <v>4</v>
      </c>
      <c r="AL175" t="s">
        <v>1737</v>
      </c>
      <c r="AM175">
        <v>45</v>
      </c>
      <c r="AN175">
        <v>4</v>
      </c>
      <c r="AS175">
        <v>1500</v>
      </c>
      <c r="AT175">
        <v>1500</v>
      </c>
      <c r="BQ175">
        <v>1</v>
      </c>
      <c r="BR175" t="s">
        <v>179</v>
      </c>
      <c r="BS175" t="s">
        <v>180</v>
      </c>
      <c r="BT175" t="s">
        <v>1769</v>
      </c>
      <c r="BU175" s="1">
        <v>45495</v>
      </c>
      <c r="BV175">
        <v>35254</v>
      </c>
      <c r="BW175" s="155"/>
      <c r="BX175" t="s">
        <v>170</v>
      </c>
      <c r="BY175" t="s">
        <v>170</v>
      </c>
      <c r="CB175" t="s">
        <v>170</v>
      </c>
      <c r="CC175" t="s">
        <v>170</v>
      </c>
      <c r="CK175" t="s">
        <v>233</v>
      </c>
      <c r="CM175">
        <v>1</v>
      </c>
      <c r="CN175" t="s">
        <v>234</v>
      </c>
      <c r="CP175">
        <v>800</v>
      </c>
      <c r="CQ175">
        <v>192</v>
      </c>
      <c r="CR175">
        <v>168</v>
      </c>
      <c r="CS175" t="s">
        <v>235</v>
      </c>
      <c r="CV175" t="s">
        <v>341</v>
      </c>
      <c r="CX175" t="s">
        <v>342</v>
      </c>
      <c r="CY175" t="s">
        <v>169</v>
      </c>
      <c r="DD175">
        <v>4</v>
      </c>
      <c r="DE175" t="s">
        <v>237</v>
      </c>
      <c r="DG175" t="s">
        <v>1846</v>
      </c>
      <c r="DL175" t="s">
        <v>170</v>
      </c>
      <c r="DM175" t="s">
        <v>169</v>
      </c>
      <c r="DP175" t="s">
        <v>170</v>
      </c>
      <c r="DQ175" t="s">
        <v>187</v>
      </c>
      <c r="DR175" t="s">
        <v>1847</v>
      </c>
      <c r="EA175" s="101"/>
      <c r="EB175">
        <v>8</v>
      </c>
      <c r="EC175">
        <v>10</v>
      </c>
      <c r="EE175" t="s">
        <v>1848</v>
      </c>
      <c r="EF175">
        <v>10</v>
      </c>
      <c r="EU175">
        <v>2000</v>
      </c>
      <c r="EW175">
        <v>0</v>
      </c>
      <c r="EX175">
        <v>0</v>
      </c>
      <c r="EY175">
        <v>0</v>
      </c>
      <c r="FA175">
        <v>17.600000000000001</v>
      </c>
      <c r="FG175">
        <v>201</v>
      </c>
      <c r="FH175">
        <v>208</v>
      </c>
      <c r="FI175">
        <v>204</v>
      </c>
    </row>
    <row r="176" spans="1:165" x14ac:dyDescent="0.35">
      <c r="A176" s="25"/>
      <c r="B176" s="25"/>
      <c r="C176" s="25"/>
      <c r="D176" s="25"/>
      <c r="E176" s="25"/>
      <c r="F176" s="25" t="str">
        <f>_xlfn.CONCAT($A177," ",$B177," ",$D177)</f>
        <v>2025 General Motors Lyriq RWD</v>
      </c>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t="str">
        <f>_xlfn.CONCAT($A177," ",$B177," ",$D177)</f>
        <v>2025 General Motors Lyriq RWD</v>
      </c>
      <c r="AE176" s="25"/>
      <c r="AF176" s="25"/>
      <c r="AG176" s="25"/>
      <c r="AH176" s="25"/>
      <c r="AI176" s="25"/>
      <c r="AJ176" s="25"/>
      <c r="AK176" s="25"/>
      <c r="AL176" s="25"/>
      <c r="AM176" s="25"/>
      <c r="AN176" s="25"/>
      <c r="AO176" s="25"/>
      <c r="AP176" s="25"/>
      <c r="AQ176" s="25"/>
      <c r="AR176" s="25"/>
      <c r="AS176" s="25"/>
      <c r="AT176" s="25"/>
      <c r="AU176" s="25"/>
      <c r="AV176" s="25"/>
      <c r="AW176" s="25"/>
      <c r="AX176" s="25" t="str">
        <f>_xlfn.CONCAT($A177," ",$B177," ",$D177)</f>
        <v>2025 General Motors Lyriq RWD</v>
      </c>
      <c r="AY176" s="25"/>
      <c r="AZ176" s="25"/>
      <c r="BA176" s="25"/>
      <c r="BB176" s="25"/>
      <c r="BC176" s="25"/>
      <c r="BD176" s="25"/>
      <c r="BE176" s="25"/>
      <c r="BF176" s="25"/>
      <c r="BG176" s="25"/>
      <c r="BH176" s="25"/>
      <c r="BI176" s="25"/>
      <c r="BJ176" s="25"/>
      <c r="BK176" s="25"/>
      <c r="BL176" s="25"/>
      <c r="BM176" s="25"/>
      <c r="BN176" s="25"/>
      <c r="BO176" s="25"/>
      <c r="BP176" s="25"/>
      <c r="BQ176" s="25"/>
      <c r="BR176" s="25" t="str">
        <f>_xlfn.CONCAT($A177," ",$B177," ",$D177)</f>
        <v>2025 General Motors Lyriq RWD</v>
      </c>
      <c r="BS176" s="25"/>
      <c r="BT176" s="25"/>
      <c r="BU176" s="25"/>
      <c r="BV176" s="25"/>
      <c r="BW176" s="156"/>
      <c r="BX176" s="25"/>
      <c r="BY176" s="25"/>
      <c r="BZ176" s="25"/>
      <c r="CA176" s="25"/>
      <c r="CB176" s="25"/>
      <c r="CC176" s="25"/>
      <c r="CD176" s="25"/>
      <c r="CE176" s="25"/>
      <c r="CF176" s="25"/>
      <c r="CG176" s="25"/>
      <c r="CH176" s="25"/>
      <c r="CI176" s="25"/>
      <c r="CJ176" s="25"/>
      <c r="CK176" s="25"/>
      <c r="CL176" s="25"/>
      <c r="CM176" s="25"/>
      <c r="CN176" s="25"/>
      <c r="CO176" s="25"/>
      <c r="CP176" s="25" t="str">
        <f>_xlfn.CONCAT($A177," ",$B177," ",$D177)</f>
        <v>2025 General Motors Lyriq RWD</v>
      </c>
      <c r="CQ176" s="25"/>
      <c r="CR176" s="25"/>
      <c r="CS176" s="25"/>
      <c r="CT176" s="25"/>
      <c r="CU176" s="25"/>
      <c r="CV176" s="25"/>
      <c r="CW176" s="25"/>
      <c r="CX176" s="25"/>
      <c r="CY176" s="25"/>
      <c r="CZ176" s="25"/>
      <c r="DA176" s="25"/>
      <c r="DB176" s="25"/>
      <c r="DC176" s="25"/>
      <c r="DD176" s="25"/>
      <c r="DE176" s="25"/>
      <c r="DF176" s="25"/>
      <c r="DG176" s="25"/>
      <c r="DH176" s="25"/>
      <c r="DI176" s="25" t="str">
        <f>_xlfn.CONCAT($A177," ",$B177," ",$D177)</f>
        <v>2025 General Motors Lyriq RWD</v>
      </c>
      <c r="DJ176" s="25"/>
      <c r="DK176" s="25"/>
      <c r="DL176" s="25"/>
      <c r="DM176" s="25"/>
      <c r="DN176" s="25"/>
      <c r="DO176" s="25"/>
      <c r="DP176" s="25"/>
      <c r="DQ176" s="25"/>
      <c r="DR176" s="25"/>
      <c r="DS176" s="25"/>
      <c r="DT176" s="25"/>
      <c r="DU176" s="25"/>
      <c r="DV176" s="25"/>
      <c r="DW176" s="25"/>
      <c r="DX176" s="25"/>
      <c r="DY176" s="25"/>
      <c r="DZ176" s="25" t="str">
        <f>_xlfn.CONCAT($A177," ",$B177," ",$D177)</f>
        <v>2025 General Motors Lyriq RWD</v>
      </c>
      <c r="EA176" s="89"/>
      <c r="EB176" s="25"/>
      <c r="EC176" s="25"/>
      <c r="ED176" s="25"/>
      <c r="EE176" s="25"/>
      <c r="EF176" s="25"/>
      <c r="EG176" s="25"/>
      <c r="EH176" s="25"/>
      <c r="EI176" s="25"/>
      <c r="EJ176" s="25"/>
      <c r="EK176" s="25"/>
      <c r="EL176" s="25"/>
      <c r="EM176" s="25"/>
      <c r="EN176" s="25"/>
      <c r="EO176" s="25"/>
      <c r="EP176" s="25"/>
      <c r="EQ176" s="25"/>
      <c r="ER176" s="25"/>
      <c r="ES176" s="25"/>
      <c r="ET176" s="25"/>
      <c r="EU176" s="25"/>
      <c r="EV176" s="25" t="str">
        <f>_xlfn.CONCAT($A177," ",$B177," ",$D177)</f>
        <v>2025 General Motors Lyriq RWD</v>
      </c>
      <c r="EW176" s="25"/>
      <c r="EX176" s="25"/>
      <c r="EY176" s="25"/>
      <c r="EZ176" s="25"/>
      <c r="FA176" s="25"/>
      <c r="FB176" s="25"/>
      <c r="FC176" s="25"/>
      <c r="FD176" s="25"/>
      <c r="FE176" s="25"/>
      <c r="FF176" s="25"/>
      <c r="FG176" s="25"/>
    </row>
    <row r="177" spans="1:165" x14ac:dyDescent="0.35">
      <c r="A177">
        <v>2025</v>
      </c>
      <c r="B177" t="s">
        <v>220</v>
      </c>
      <c r="C177" t="s">
        <v>558</v>
      </c>
      <c r="D177" t="s">
        <v>1854</v>
      </c>
      <c r="E177" t="s">
        <v>223</v>
      </c>
      <c r="F177">
        <v>420</v>
      </c>
      <c r="G177">
        <v>0</v>
      </c>
      <c r="I177" t="s">
        <v>1734</v>
      </c>
      <c r="J177">
        <v>100</v>
      </c>
      <c r="K177">
        <v>83</v>
      </c>
      <c r="L177">
        <v>92</v>
      </c>
      <c r="M177">
        <v>142.92420000000001</v>
      </c>
      <c r="N177">
        <v>118.4357</v>
      </c>
      <c r="O177">
        <v>131.75</v>
      </c>
      <c r="P177">
        <v>99.953000000000003</v>
      </c>
      <c r="Q177">
        <v>82.952699999999993</v>
      </c>
      <c r="R177">
        <v>92.302899999999994</v>
      </c>
      <c r="V177" t="s">
        <v>167</v>
      </c>
      <c r="W177" t="s">
        <v>168</v>
      </c>
      <c r="X177" t="s">
        <v>1850</v>
      </c>
      <c r="Y177">
        <v>1</v>
      </c>
      <c r="Z177" t="s">
        <v>170</v>
      </c>
      <c r="AA177" t="s">
        <v>170</v>
      </c>
      <c r="AB177" t="s">
        <v>171</v>
      </c>
      <c r="AC177" t="s">
        <v>172</v>
      </c>
      <c r="AF177">
        <v>326</v>
      </c>
      <c r="AG177" t="s">
        <v>1735</v>
      </c>
      <c r="AH177" t="s">
        <v>1736</v>
      </c>
      <c r="AI177" t="s">
        <v>175</v>
      </c>
      <c r="AJ177" t="s">
        <v>176</v>
      </c>
      <c r="AK177">
        <v>4</v>
      </c>
      <c r="AL177" t="s">
        <v>1737</v>
      </c>
      <c r="AO177">
        <v>105</v>
      </c>
      <c r="AP177">
        <v>24</v>
      </c>
      <c r="AS177">
        <v>850</v>
      </c>
      <c r="AT177">
        <v>50</v>
      </c>
      <c r="BQ177">
        <v>30</v>
      </c>
      <c r="BR177" t="s">
        <v>1099</v>
      </c>
      <c r="BT177" t="s">
        <v>1738</v>
      </c>
      <c r="BU177" s="1">
        <v>47020</v>
      </c>
      <c r="BV177">
        <v>35492</v>
      </c>
      <c r="BW177" s="155"/>
      <c r="BX177" t="s">
        <v>170</v>
      </c>
      <c r="BY177" t="s">
        <v>170</v>
      </c>
      <c r="CB177" t="s">
        <v>170</v>
      </c>
      <c r="CC177" t="s">
        <v>170</v>
      </c>
      <c r="CK177" t="s">
        <v>233</v>
      </c>
      <c r="CM177">
        <v>1</v>
      </c>
      <c r="CN177" t="s">
        <v>234</v>
      </c>
      <c r="CP177">
        <v>400</v>
      </c>
      <c r="CQ177">
        <v>290</v>
      </c>
      <c r="CR177">
        <v>157</v>
      </c>
      <c r="CS177" t="s">
        <v>1752</v>
      </c>
      <c r="CV177" t="s">
        <v>341</v>
      </c>
      <c r="CX177" t="s">
        <v>1012</v>
      </c>
      <c r="CY177" t="s">
        <v>169</v>
      </c>
      <c r="DD177">
        <v>1</v>
      </c>
      <c r="DE177" t="s">
        <v>404</v>
      </c>
      <c r="DF177" t="s">
        <v>1855</v>
      </c>
      <c r="DG177">
        <v>255</v>
      </c>
      <c r="DL177" t="s">
        <v>170</v>
      </c>
      <c r="DM177" t="s">
        <v>169</v>
      </c>
      <c r="DP177" t="s">
        <v>170</v>
      </c>
      <c r="DQ177" t="s">
        <v>187</v>
      </c>
      <c r="DR177" t="s">
        <v>1854</v>
      </c>
      <c r="EA177" s="101"/>
      <c r="EB177">
        <v>9</v>
      </c>
      <c r="EC177">
        <v>10</v>
      </c>
      <c r="EE177" t="s">
        <v>1856</v>
      </c>
      <c r="EF177">
        <v>10</v>
      </c>
      <c r="EU177">
        <v>5250</v>
      </c>
      <c r="EW177">
        <v>0</v>
      </c>
      <c r="EX177">
        <v>0</v>
      </c>
      <c r="EY177">
        <v>0</v>
      </c>
      <c r="FA177">
        <v>11.2</v>
      </c>
      <c r="FG177">
        <v>350</v>
      </c>
      <c r="FH177">
        <v>297</v>
      </c>
      <c r="FI177">
        <v>326</v>
      </c>
    </row>
    <row r="178" spans="1:165" x14ac:dyDescent="0.35">
      <c r="A178">
        <v>2025</v>
      </c>
      <c r="B178" t="s">
        <v>220</v>
      </c>
      <c r="C178" t="s">
        <v>558</v>
      </c>
      <c r="D178" t="s">
        <v>1854</v>
      </c>
      <c r="E178" t="s">
        <v>223</v>
      </c>
      <c r="F178">
        <v>420</v>
      </c>
      <c r="G178">
        <v>0</v>
      </c>
      <c r="I178" t="s">
        <v>1734</v>
      </c>
      <c r="J178">
        <v>33</v>
      </c>
      <c r="K178">
        <v>39</v>
      </c>
      <c r="L178">
        <v>36</v>
      </c>
      <c r="M178">
        <v>23.588100000000001</v>
      </c>
      <c r="N178">
        <v>28.4664</v>
      </c>
      <c r="O178">
        <v>25.783300000000001</v>
      </c>
      <c r="P178">
        <v>33.338500000000003</v>
      </c>
      <c r="Q178">
        <v>39.270800000000001</v>
      </c>
      <c r="R178">
        <v>36.008000000000003</v>
      </c>
      <c r="V178" t="s">
        <v>167</v>
      </c>
      <c r="W178" t="s">
        <v>168</v>
      </c>
      <c r="X178" t="s">
        <v>1850</v>
      </c>
      <c r="Y178">
        <v>1</v>
      </c>
      <c r="Z178" t="s">
        <v>170</v>
      </c>
      <c r="AA178" t="s">
        <v>170</v>
      </c>
      <c r="AB178" t="s">
        <v>171</v>
      </c>
      <c r="AC178" t="s">
        <v>172</v>
      </c>
      <c r="AF178">
        <v>326</v>
      </c>
      <c r="AG178" t="s">
        <v>1735</v>
      </c>
      <c r="AH178" t="s">
        <v>1736</v>
      </c>
      <c r="AI178" t="s">
        <v>1742</v>
      </c>
      <c r="AJ178" t="s">
        <v>1743</v>
      </c>
      <c r="AK178">
        <v>4</v>
      </c>
      <c r="AL178" t="s">
        <v>1737</v>
      </c>
      <c r="AO178">
        <v>105</v>
      </c>
      <c r="AP178">
        <v>24</v>
      </c>
      <c r="AS178">
        <v>850</v>
      </c>
      <c r="AT178">
        <v>850</v>
      </c>
      <c r="BQ178">
        <v>30</v>
      </c>
      <c r="BR178" t="s">
        <v>1099</v>
      </c>
      <c r="BT178" t="s">
        <v>1738</v>
      </c>
      <c r="BU178" s="1">
        <v>47020</v>
      </c>
      <c r="BV178">
        <v>35492</v>
      </c>
      <c r="BW178" s="155"/>
      <c r="BX178" t="s">
        <v>170</v>
      </c>
      <c r="BY178" t="s">
        <v>170</v>
      </c>
      <c r="CB178" t="s">
        <v>170</v>
      </c>
      <c r="CC178" t="s">
        <v>170</v>
      </c>
      <c r="CK178" t="s">
        <v>233</v>
      </c>
      <c r="CM178">
        <v>1</v>
      </c>
      <c r="CN178" t="s">
        <v>234</v>
      </c>
      <c r="CP178">
        <v>400</v>
      </c>
      <c r="CQ178">
        <v>290</v>
      </c>
      <c r="CR178">
        <v>157</v>
      </c>
      <c r="CS178" t="s">
        <v>1752</v>
      </c>
      <c r="CV178" t="s">
        <v>341</v>
      </c>
      <c r="CX178" t="s">
        <v>1012</v>
      </c>
      <c r="CY178" t="s">
        <v>169</v>
      </c>
      <c r="DD178">
        <v>1</v>
      </c>
      <c r="DE178" t="s">
        <v>404</v>
      </c>
      <c r="DF178" t="s">
        <v>1855</v>
      </c>
      <c r="DG178">
        <v>255</v>
      </c>
      <c r="DL178" t="s">
        <v>170</v>
      </c>
      <c r="DM178" t="s">
        <v>169</v>
      </c>
      <c r="DP178" t="s">
        <v>170</v>
      </c>
      <c r="DQ178" t="s">
        <v>187</v>
      </c>
      <c r="DR178" t="s">
        <v>1854</v>
      </c>
      <c r="EA178" s="101"/>
      <c r="EB178">
        <v>9</v>
      </c>
      <c r="EC178">
        <v>10</v>
      </c>
      <c r="EE178" t="s">
        <v>1856</v>
      </c>
      <c r="EF178">
        <v>10</v>
      </c>
      <c r="EU178">
        <v>5250</v>
      </c>
      <c r="EW178">
        <v>0</v>
      </c>
      <c r="EX178">
        <v>0</v>
      </c>
      <c r="EY178">
        <v>0</v>
      </c>
      <c r="FA178">
        <v>11.2</v>
      </c>
      <c r="FG178">
        <v>350</v>
      </c>
      <c r="FH178">
        <v>297</v>
      </c>
      <c r="FI178">
        <v>326</v>
      </c>
    </row>
    <row r="179" spans="1:165" x14ac:dyDescent="0.35">
      <c r="A179" s="25"/>
      <c r="B179" s="25"/>
      <c r="C179" s="25"/>
      <c r="D179" s="25"/>
      <c r="E179" s="25"/>
      <c r="F179" s="25" t="str">
        <f>_xlfn.CONCAT($A180," ",$B180," ",$D180)</f>
        <v>2025 General Motors Lyriq AWD 11kW Charger</v>
      </c>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c r="AD179" s="25" t="str">
        <f>_xlfn.CONCAT($A180," ",$B180," ",$D180)</f>
        <v>2025 General Motors Lyriq AWD 11kW Charger</v>
      </c>
      <c r="AE179" s="25"/>
      <c r="AF179" s="25"/>
      <c r="AG179" s="25"/>
      <c r="AH179" s="25"/>
      <c r="AI179" s="25"/>
      <c r="AJ179" s="25"/>
      <c r="AK179" s="25"/>
      <c r="AL179" s="25"/>
      <c r="AM179" s="25"/>
      <c r="AN179" s="25"/>
      <c r="AO179" s="25"/>
      <c r="AP179" s="25"/>
      <c r="AQ179" s="25"/>
      <c r="AR179" s="25"/>
      <c r="AS179" s="25"/>
      <c r="AT179" s="25"/>
      <c r="AU179" s="25"/>
      <c r="AV179" s="25"/>
      <c r="AW179" s="25"/>
      <c r="AX179" s="25" t="str">
        <f>_xlfn.CONCAT($A180," ",$B180," ",$D180)</f>
        <v>2025 General Motors Lyriq AWD 11kW Charger</v>
      </c>
      <c r="AY179" s="25"/>
      <c r="AZ179" s="25"/>
      <c r="BA179" s="25"/>
      <c r="BB179" s="25"/>
      <c r="BC179" s="25"/>
      <c r="BD179" s="25"/>
      <c r="BE179" s="25"/>
      <c r="BF179" s="25"/>
      <c r="BG179" s="25"/>
      <c r="BH179" s="25"/>
      <c r="BI179" s="25"/>
      <c r="BJ179" s="25"/>
      <c r="BK179" s="25"/>
      <c r="BL179" s="25"/>
      <c r="BM179" s="25"/>
      <c r="BN179" s="25"/>
      <c r="BO179" s="25"/>
      <c r="BP179" s="25"/>
      <c r="BQ179" s="25"/>
      <c r="BR179" s="25" t="str">
        <f>_xlfn.CONCAT($A180," ",$B180," ",$D180)</f>
        <v>2025 General Motors Lyriq AWD 11kW Charger</v>
      </c>
      <c r="BS179" s="25"/>
      <c r="BT179" s="25"/>
      <c r="BU179" s="25"/>
      <c r="BV179" s="25"/>
      <c r="BW179" s="156"/>
      <c r="BX179" s="25"/>
      <c r="BY179" s="25"/>
      <c r="BZ179" s="25"/>
      <c r="CA179" s="25"/>
      <c r="CB179" s="25"/>
      <c r="CC179" s="25"/>
      <c r="CD179" s="25"/>
      <c r="CE179" s="25"/>
      <c r="CF179" s="25"/>
      <c r="CG179" s="25"/>
      <c r="CH179" s="25"/>
      <c r="CI179" s="25"/>
      <c r="CJ179" s="25"/>
      <c r="CK179" s="25"/>
      <c r="CL179" s="25"/>
      <c r="CM179" s="25"/>
      <c r="CN179" s="25"/>
      <c r="CO179" s="25"/>
      <c r="CP179" s="25" t="str">
        <f>_xlfn.CONCAT($A180," ",$B180," ",$D180)</f>
        <v>2025 General Motors Lyriq AWD 11kW Charger</v>
      </c>
      <c r="CQ179" s="25"/>
      <c r="CR179" s="25"/>
      <c r="CS179" s="25"/>
      <c r="CT179" s="25"/>
      <c r="CU179" s="25"/>
      <c r="CV179" s="25"/>
      <c r="CW179" s="25"/>
      <c r="CX179" s="25"/>
      <c r="CY179" s="25"/>
      <c r="CZ179" s="25"/>
      <c r="DA179" s="25"/>
      <c r="DB179" s="25"/>
      <c r="DC179" s="25"/>
      <c r="DD179" s="25"/>
      <c r="DE179" s="25"/>
      <c r="DF179" s="25"/>
      <c r="DG179" s="25"/>
      <c r="DH179" s="25"/>
      <c r="DI179" s="25" t="str">
        <f>_xlfn.CONCAT($A180," ",$B180," ",$D180)</f>
        <v>2025 General Motors Lyriq AWD 11kW Charger</v>
      </c>
      <c r="DJ179" s="25"/>
      <c r="DK179" s="25"/>
      <c r="DL179" s="25"/>
      <c r="DM179" s="25"/>
      <c r="DN179" s="25"/>
      <c r="DO179" s="25"/>
      <c r="DP179" s="25"/>
      <c r="DQ179" s="25"/>
      <c r="DR179" s="25"/>
      <c r="DS179" s="25"/>
      <c r="DT179" s="25"/>
      <c r="DU179" s="25"/>
      <c r="DV179" s="25"/>
      <c r="DW179" s="25"/>
      <c r="DX179" s="25"/>
      <c r="DY179" s="25"/>
      <c r="DZ179" s="25" t="str">
        <f>_xlfn.CONCAT($A180," ",$B180," ",$D180)</f>
        <v>2025 General Motors Lyriq AWD 11kW Charger</v>
      </c>
      <c r="EA179" s="89"/>
      <c r="EB179" s="25"/>
      <c r="EC179" s="25"/>
      <c r="ED179" s="25"/>
      <c r="EE179" s="25"/>
      <c r="EF179" s="25"/>
      <c r="EG179" s="25"/>
      <c r="EH179" s="25"/>
      <c r="EI179" s="25"/>
      <c r="EJ179" s="25"/>
      <c r="EK179" s="25"/>
      <c r="EL179" s="25"/>
      <c r="EM179" s="25"/>
      <c r="EN179" s="25"/>
      <c r="EO179" s="25"/>
      <c r="EP179" s="25"/>
      <c r="EQ179" s="25"/>
      <c r="ER179" s="25"/>
      <c r="ES179" s="25"/>
      <c r="ET179" s="25"/>
      <c r="EU179" s="25"/>
      <c r="EV179" s="25" t="str">
        <f>_xlfn.CONCAT($A180," ",$B180," ",$D180)</f>
        <v>2025 General Motors Lyriq AWD 11kW Charger</v>
      </c>
      <c r="EW179" s="25"/>
      <c r="EX179" s="25"/>
      <c r="EY179" s="25"/>
      <c r="EZ179" s="25"/>
      <c r="FA179" s="25"/>
      <c r="FB179" s="25"/>
      <c r="FC179" s="25"/>
      <c r="FD179" s="25"/>
      <c r="FE179" s="25"/>
      <c r="FF179" s="25"/>
      <c r="FG179" s="25"/>
    </row>
    <row r="180" spans="1:165" x14ac:dyDescent="0.35">
      <c r="A180">
        <v>2025</v>
      </c>
      <c r="B180" t="s">
        <v>220</v>
      </c>
      <c r="C180" t="s">
        <v>558</v>
      </c>
      <c r="D180" t="s">
        <v>1858</v>
      </c>
      <c r="E180" t="s">
        <v>223</v>
      </c>
      <c r="F180">
        <v>421</v>
      </c>
      <c r="G180">
        <v>0</v>
      </c>
      <c r="I180" t="s">
        <v>1734</v>
      </c>
      <c r="J180">
        <v>98</v>
      </c>
      <c r="K180">
        <v>80</v>
      </c>
      <c r="L180">
        <v>89</v>
      </c>
      <c r="M180">
        <v>139.6</v>
      </c>
      <c r="N180">
        <v>113.9</v>
      </c>
      <c r="O180">
        <v>126.7321</v>
      </c>
      <c r="P180">
        <v>97.72</v>
      </c>
      <c r="Q180">
        <v>79.73</v>
      </c>
      <c r="R180">
        <v>88.712500000000006</v>
      </c>
      <c r="V180" t="s">
        <v>167</v>
      </c>
      <c r="W180" t="s">
        <v>168</v>
      </c>
      <c r="X180" t="s">
        <v>1850</v>
      </c>
      <c r="Y180">
        <v>1</v>
      </c>
      <c r="Z180" t="s">
        <v>170</v>
      </c>
      <c r="AA180" t="s">
        <v>170</v>
      </c>
      <c r="AB180" t="s">
        <v>167</v>
      </c>
      <c r="AC180" t="s">
        <v>213</v>
      </c>
      <c r="AF180">
        <v>319</v>
      </c>
      <c r="AG180" t="s">
        <v>1735</v>
      </c>
      <c r="AH180" t="s">
        <v>1736</v>
      </c>
      <c r="AI180" t="s">
        <v>175</v>
      </c>
      <c r="AJ180" t="s">
        <v>176</v>
      </c>
      <c r="AK180">
        <v>4</v>
      </c>
      <c r="AL180" t="s">
        <v>1737</v>
      </c>
      <c r="AO180">
        <v>105</v>
      </c>
      <c r="AP180">
        <v>24</v>
      </c>
      <c r="AS180">
        <v>900</v>
      </c>
      <c r="AT180">
        <v>50</v>
      </c>
      <c r="BQ180">
        <v>31</v>
      </c>
      <c r="BR180" t="s">
        <v>1219</v>
      </c>
      <c r="BT180" t="s">
        <v>1738</v>
      </c>
      <c r="BU180" s="1">
        <v>47020</v>
      </c>
      <c r="BV180">
        <v>35487</v>
      </c>
      <c r="BW180" s="155"/>
      <c r="BX180" t="s">
        <v>170</v>
      </c>
      <c r="BY180" t="s">
        <v>170</v>
      </c>
      <c r="CB180" t="s">
        <v>170</v>
      </c>
      <c r="CC180" t="s">
        <v>170</v>
      </c>
      <c r="CK180" t="s">
        <v>233</v>
      </c>
      <c r="CM180">
        <v>1</v>
      </c>
      <c r="CN180" t="s">
        <v>234</v>
      </c>
      <c r="CP180">
        <v>403</v>
      </c>
      <c r="CQ180">
        <v>290</v>
      </c>
      <c r="CR180">
        <v>288</v>
      </c>
      <c r="CS180" t="s">
        <v>1752</v>
      </c>
      <c r="CV180" t="s">
        <v>341</v>
      </c>
      <c r="CX180" t="s">
        <v>342</v>
      </c>
      <c r="CY180" t="s">
        <v>169</v>
      </c>
      <c r="DD180">
        <v>2</v>
      </c>
      <c r="DE180" t="s">
        <v>404</v>
      </c>
      <c r="DF180" t="s">
        <v>1860</v>
      </c>
      <c r="DG180" t="s">
        <v>1852</v>
      </c>
      <c r="DL180" t="s">
        <v>170</v>
      </c>
      <c r="DM180" t="s">
        <v>170</v>
      </c>
      <c r="DP180" t="s">
        <v>170</v>
      </c>
      <c r="DQ180" t="s">
        <v>187</v>
      </c>
      <c r="DR180" t="s">
        <v>1861</v>
      </c>
      <c r="EA180" s="101"/>
      <c r="EB180">
        <v>9</v>
      </c>
      <c r="EC180">
        <v>10</v>
      </c>
      <c r="EE180" t="s">
        <v>1862</v>
      </c>
      <c r="EF180">
        <v>10</v>
      </c>
      <c r="EU180">
        <v>5000</v>
      </c>
      <c r="EW180">
        <v>0</v>
      </c>
      <c r="EX180">
        <v>0</v>
      </c>
      <c r="EY180">
        <v>0</v>
      </c>
      <c r="FA180">
        <v>11.2</v>
      </c>
      <c r="FG180">
        <v>348</v>
      </c>
      <c r="FH180">
        <v>284</v>
      </c>
      <c r="FI180">
        <v>319</v>
      </c>
    </row>
    <row r="181" spans="1:165" x14ac:dyDescent="0.35">
      <c r="A181">
        <v>2025</v>
      </c>
      <c r="B181" t="s">
        <v>220</v>
      </c>
      <c r="C181" t="s">
        <v>558</v>
      </c>
      <c r="D181" t="s">
        <v>1858</v>
      </c>
      <c r="E181" t="s">
        <v>223</v>
      </c>
      <c r="F181">
        <v>421</v>
      </c>
      <c r="G181">
        <v>0</v>
      </c>
      <c r="I181" t="s">
        <v>1734</v>
      </c>
      <c r="J181">
        <v>34</v>
      </c>
      <c r="K181">
        <v>42</v>
      </c>
      <c r="L181">
        <v>38</v>
      </c>
      <c r="M181">
        <v>24.1098</v>
      </c>
      <c r="N181">
        <v>29.572500000000002</v>
      </c>
      <c r="O181">
        <v>26.569299999999998</v>
      </c>
      <c r="P181">
        <v>34.127099999999999</v>
      </c>
      <c r="Q181">
        <v>41.856499999999997</v>
      </c>
      <c r="R181">
        <v>37.6053</v>
      </c>
      <c r="V181" t="s">
        <v>167</v>
      </c>
      <c r="W181" t="s">
        <v>168</v>
      </c>
      <c r="X181" t="s">
        <v>1850</v>
      </c>
      <c r="Y181">
        <v>1</v>
      </c>
      <c r="Z181" t="s">
        <v>170</v>
      </c>
      <c r="AA181" t="s">
        <v>170</v>
      </c>
      <c r="AB181" t="s">
        <v>167</v>
      </c>
      <c r="AC181" t="s">
        <v>213</v>
      </c>
      <c r="AF181">
        <v>319</v>
      </c>
      <c r="AG181" t="s">
        <v>1735</v>
      </c>
      <c r="AH181" t="s">
        <v>1736</v>
      </c>
      <c r="AI181" t="s">
        <v>1742</v>
      </c>
      <c r="AJ181" t="s">
        <v>1743</v>
      </c>
      <c r="AK181">
        <v>4</v>
      </c>
      <c r="AL181" t="s">
        <v>1737</v>
      </c>
      <c r="AO181">
        <v>105</v>
      </c>
      <c r="AP181">
        <v>24</v>
      </c>
      <c r="AS181">
        <v>900</v>
      </c>
      <c r="AT181">
        <v>900</v>
      </c>
      <c r="BQ181">
        <v>31</v>
      </c>
      <c r="BR181" t="s">
        <v>1219</v>
      </c>
      <c r="BT181" t="s">
        <v>1738</v>
      </c>
      <c r="BU181" s="1">
        <v>47020</v>
      </c>
      <c r="BV181">
        <v>35487</v>
      </c>
      <c r="BW181" s="155"/>
      <c r="BX181" t="s">
        <v>170</v>
      </c>
      <c r="BY181" t="s">
        <v>170</v>
      </c>
      <c r="CB181" t="s">
        <v>170</v>
      </c>
      <c r="CC181" t="s">
        <v>170</v>
      </c>
      <c r="CK181" t="s">
        <v>233</v>
      </c>
      <c r="CM181">
        <v>1</v>
      </c>
      <c r="CN181" t="s">
        <v>234</v>
      </c>
      <c r="CP181">
        <v>403</v>
      </c>
      <c r="CQ181">
        <v>290</v>
      </c>
      <c r="CR181">
        <v>288</v>
      </c>
      <c r="CS181" t="s">
        <v>1752</v>
      </c>
      <c r="CV181" t="s">
        <v>341</v>
      </c>
      <c r="CX181" t="s">
        <v>342</v>
      </c>
      <c r="CY181" t="s">
        <v>169</v>
      </c>
      <c r="DD181">
        <v>2</v>
      </c>
      <c r="DE181" t="s">
        <v>404</v>
      </c>
      <c r="DF181" t="s">
        <v>1860</v>
      </c>
      <c r="DG181" t="s">
        <v>1852</v>
      </c>
      <c r="DL181" t="s">
        <v>170</v>
      </c>
      <c r="DM181" t="s">
        <v>170</v>
      </c>
      <c r="DP181" t="s">
        <v>170</v>
      </c>
      <c r="DQ181" t="s">
        <v>187</v>
      </c>
      <c r="DR181" t="s">
        <v>1861</v>
      </c>
      <c r="EA181" s="101"/>
      <c r="EB181">
        <v>9</v>
      </c>
      <c r="EC181">
        <v>10</v>
      </c>
      <c r="EE181" t="s">
        <v>1862</v>
      </c>
      <c r="EF181">
        <v>10</v>
      </c>
      <c r="EU181">
        <v>5000</v>
      </c>
      <c r="EW181">
        <v>0</v>
      </c>
      <c r="EX181">
        <v>0</v>
      </c>
      <c r="EY181">
        <v>0</v>
      </c>
      <c r="FA181">
        <v>11.2</v>
      </c>
      <c r="FG181">
        <v>348</v>
      </c>
      <c r="FH181">
        <v>284</v>
      </c>
      <c r="FI181">
        <v>319</v>
      </c>
    </row>
    <row r="182" spans="1:165" x14ac:dyDescent="0.35">
      <c r="A182" s="25"/>
      <c r="B182" s="25"/>
      <c r="C182" s="25"/>
      <c r="D182" s="25"/>
      <c r="E182" s="25"/>
      <c r="F182" s="25" t="str">
        <f>_xlfn.CONCAT($A183," ",$B183," ",$D183)</f>
        <v>2025 General Motors LYRIQ AWD</v>
      </c>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t="str">
        <f>_xlfn.CONCAT($A183," ",$B183," ",$D183)</f>
        <v>2025 General Motors LYRIQ AWD</v>
      </c>
      <c r="AE182" s="25"/>
      <c r="AF182" s="25"/>
      <c r="AG182" s="25"/>
      <c r="AH182" s="25"/>
      <c r="AI182" s="25"/>
      <c r="AJ182" s="25"/>
      <c r="AK182" s="25"/>
      <c r="AL182" s="25"/>
      <c r="AM182" s="25"/>
      <c r="AN182" s="25"/>
      <c r="AO182" s="25"/>
      <c r="AP182" s="25"/>
      <c r="AQ182" s="25"/>
      <c r="AR182" s="25"/>
      <c r="AS182" s="25"/>
      <c r="AT182" s="25"/>
      <c r="AU182" s="25"/>
      <c r="AV182" s="25"/>
      <c r="AW182" s="25"/>
      <c r="AX182" s="25" t="str">
        <f>_xlfn.CONCAT($A183," ",$B183," ",$D183)</f>
        <v>2025 General Motors LYRIQ AWD</v>
      </c>
      <c r="AY182" s="25"/>
      <c r="AZ182" s="25"/>
      <c r="BA182" s="25"/>
      <c r="BB182" s="25"/>
      <c r="BC182" s="25"/>
      <c r="BD182" s="25"/>
      <c r="BE182" s="25"/>
      <c r="BF182" s="25"/>
      <c r="BG182" s="25"/>
      <c r="BH182" s="25"/>
      <c r="BI182" s="25"/>
      <c r="BJ182" s="25"/>
      <c r="BK182" s="25"/>
      <c r="BL182" s="25"/>
      <c r="BM182" s="25"/>
      <c r="BN182" s="25"/>
      <c r="BO182" s="25"/>
      <c r="BP182" s="25"/>
      <c r="BQ182" s="25"/>
      <c r="BR182" s="25" t="str">
        <f>_xlfn.CONCAT($A183," ",$B183," ",$D183)</f>
        <v>2025 General Motors LYRIQ AWD</v>
      </c>
      <c r="BS182" s="25"/>
      <c r="BT182" s="25"/>
      <c r="BU182" s="25"/>
      <c r="BV182" s="25"/>
      <c r="BW182" s="156"/>
      <c r="BX182" s="25"/>
      <c r="BY182" s="25"/>
      <c r="BZ182" s="25"/>
      <c r="CA182" s="25"/>
      <c r="CB182" s="25"/>
      <c r="CC182" s="25"/>
      <c r="CD182" s="25"/>
      <c r="CE182" s="25"/>
      <c r="CF182" s="25"/>
      <c r="CG182" s="25"/>
      <c r="CH182" s="25"/>
      <c r="CI182" s="25"/>
      <c r="CJ182" s="25"/>
      <c r="CK182" s="25"/>
      <c r="CL182" s="25"/>
      <c r="CM182" s="25"/>
      <c r="CN182" s="25"/>
      <c r="CO182" s="25"/>
      <c r="CP182" s="25" t="str">
        <f>_xlfn.CONCAT($A183," ",$B183," ",$D183)</f>
        <v>2025 General Motors LYRIQ AWD</v>
      </c>
      <c r="CQ182" s="25"/>
      <c r="CR182" s="25"/>
      <c r="CS182" s="25"/>
      <c r="CT182" s="25"/>
      <c r="CU182" s="25"/>
      <c r="CV182" s="25"/>
      <c r="CW182" s="25"/>
      <c r="CX182" s="25"/>
      <c r="CY182" s="25"/>
      <c r="CZ182" s="25"/>
      <c r="DA182" s="25"/>
      <c r="DB182" s="25"/>
      <c r="DC182" s="25"/>
      <c r="DD182" s="25"/>
      <c r="DE182" s="25"/>
      <c r="DF182" s="25"/>
      <c r="DG182" s="25"/>
      <c r="DH182" s="25"/>
      <c r="DI182" s="25" t="str">
        <f>_xlfn.CONCAT($A183," ",$B183," ",$D183)</f>
        <v>2025 General Motors LYRIQ AWD</v>
      </c>
      <c r="DJ182" s="25"/>
      <c r="DK182" s="25"/>
      <c r="DL182" s="25"/>
      <c r="DM182" s="25"/>
      <c r="DN182" s="25"/>
      <c r="DO182" s="25"/>
      <c r="DP182" s="25"/>
      <c r="DQ182" s="25"/>
      <c r="DR182" s="25"/>
      <c r="DS182" s="25"/>
      <c r="DT182" s="25"/>
      <c r="DU182" s="25"/>
      <c r="DV182" s="25"/>
      <c r="DW182" s="25"/>
      <c r="DX182" s="25"/>
      <c r="DY182" s="25"/>
      <c r="DZ182" s="25" t="str">
        <f>_xlfn.CONCAT($A183," ",$B183," ",$D183)</f>
        <v>2025 General Motors LYRIQ AWD</v>
      </c>
      <c r="EA182" s="89"/>
      <c r="EB182" s="25"/>
      <c r="EC182" s="25"/>
      <c r="ED182" s="25"/>
      <c r="EE182" s="25"/>
      <c r="EF182" s="25"/>
      <c r="EG182" s="25"/>
      <c r="EH182" s="25"/>
      <c r="EI182" s="25"/>
      <c r="EJ182" s="25"/>
      <c r="EK182" s="25"/>
      <c r="EL182" s="25"/>
      <c r="EM182" s="25"/>
      <c r="EN182" s="25"/>
      <c r="EO182" s="25"/>
      <c r="EP182" s="25"/>
      <c r="EQ182" s="25"/>
      <c r="ER182" s="25"/>
      <c r="ES182" s="25"/>
      <c r="ET182" s="25"/>
      <c r="EU182" s="25"/>
      <c r="EV182" s="25" t="str">
        <f>_xlfn.CONCAT($A183," ",$B183," ",$D183)</f>
        <v>2025 General Motors LYRIQ AWD</v>
      </c>
      <c r="EW182" s="25"/>
      <c r="EX182" s="25"/>
      <c r="EY182" s="25"/>
      <c r="EZ182" s="25"/>
      <c r="FA182" s="25"/>
      <c r="FB182" s="25"/>
      <c r="FC182" s="25"/>
      <c r="FD182" s="25"/>
      <c r="FE182" s="25"/>
      <c r="FF182" s="25"/>
      <c r="FG182" s="25"/>
    </row>
    <row r="183" spans="1:165" x14ac:dyDescent="0.35">
      <c r="A183">
        <v>2025</v>
      </c>
      <c r="B183" t="s">
        <v>220</v>
      </c>
      <c r="C183" t="s">
        <v>558</v>
      </c>
      <c r="D183" t="s">
        <v>1857</v>
      </c>
      <c r="E183" t="s">
        <v>223</v>
      </c>
      <c r="F183">
        <v>422</v>
      </c>
      <c r="G183">
        <v>0</v>
      </c>
      <c r="I183" t="s">
        <v>1734</v>
      </c>
      <c r="J183">
        <v>93</v>
      </c>
      <c r="K183">
        <v>77</v>
      </c>
      <c r="L183">
        <v>86</v>
      </c>
      <c r="M183">
        <v>132.1378</v>
      </c>
      <c r="N183">
        <v>109.86069999999999</v>
      </c>
      <c r="O183">
        <v>122.1296</v>
      </c>
      <c r="P183">
        <v>92.881399999999999</v>
      </c>
      <c r="Q183">
        <v>76.9114</v>
      </c>
      <c r="R183">
        <v>85.694900000000004</v>
      </c>
      <c r="V183" t="s">
        <v>167</v>
      </c>
      <c r="W183" t="s">
        <v>168</v>
      </c>
      <c r="X183" t="s">
        <v>1850</v>
      </c>
      <c r="Y183">
        <v>1</v>
      </c>
      <c r="Z183" t="s">
        <v>170</v>
      </c>
      <c r="AA183" t="s">
        <v>170</v>
      </c>
      <c r="AB183" t="s">
        <v>167</v>
      </c>
      <c r="AC183" t="s">
        <v>213</v>
      </c>
      <c r="AF183">
        <v>303</v>
      </c>
      <c r="AG183" t="s">
        <v>1735</v>
      </c>
      <c r="AH183" t="s">
        <v>1736</v>
      </c>
      <c r="AI183" t="s">
        <v>175</v>
      </c>
      <c r="AJ183" t="s">
        <v>176</v>
      </c>
      <c r="AK183">
        <v>4</v>
      </c>
      <c r="AL183" t="s">
        <v>1737</v>
      </c>
      <c r="AO183">
        <v>105</v>
      </c>
      <c r="AP183">
        <v>24</v>
      </c>
      <c r="AS183">
        <v>950</v>
      </c>
      <c r="AT183">
        <v>950</v>
      </c>
      <c r="BN183" t="s">
        <v>1863</v>
      </c>
      <c r="BQ183">
        <v>31</v>
      </c>
      <c r="BR183" t="s">
        <v>1219</v>
      </c>
      <c r="BT183" t="s">
        <v>1738</v>
      </c>
      <c r="BU183" s="1">
        <v>45558</v>
      </c>
      <c r="BV183">
        <v>35491</v>
      </c>
      <c r="BW183" s="155"/>
      <c r="BX183" t="s">
        <v>170</v>
      </c>
      <c r="BY183" t="s">
        <v>170</v>
      </c>
      <c r="CB183" t="s">
        <v>170</v>
      </c>
      <c r="CC183" t="s">
        <v>170</v>
      </c>
      <c r="CK183" t="s">
        <v>233</v>
      </c>
      <c r="CM183">
        <v>1</v>
      </c>
      <c r="CN183" t="s">
        <v>234</v>
      </c>
      <c r="CP183">
        <v>403</v>
      </c>
      <c r="CQ183">
        <v>290</v>
      </c>
      <c r="CR183">
        <v>288</v>
      </c>
      <c r="CS183" t="s">
        <v>1752</v>
      </c>
      <c r="CV183" t="s">
        <v>341</v>
      </c>
      <c r="CX183" t="s">
        <v>342</v>
      </c>
      <c r="CY183" t="s">
        <v>169</v>
      </c>
      <c r="DD183">
        <v>2</v>
      </c>
      <c r="DE183" t="s">
        <v>404</v>
      </c>
      <c r="DF183" t="s">
        <v>1860</v>
      </c>
      <c r="DG183" t="s">
        <v>1852</v>
      </c>
      <c r="DL183" t="s">
        <v>170</v>
      </c>
      <c r="DM183" t="s">
        <v>170</v>
      </c>
      <c r="DP183" t="s">
        <v>170</v>
      </c>
      <c r="DQ183" t="s">
        <v>187</v>
      </c>
      <c r="DR183" t="s">
        <v>1861</v>
      </c>
      <c r="EA183" s="101"/>
      <c r="EB183">
        <v>9</v>
      </c>
      <c r="EC183">
        <v>10</v>
      </c>
      <c r="EE183" t="s">
        <v>1862</v>
      </c>
      <c r="EF183">
        <v>10</v>
      </c>
      <c r="EU183">
        <v>4750</v>
      </c>
      <c r="EW183">
        <v>0</v>
      </c>
      <c r="EX183">
        <v>0</v>
      </c>
      <c r="EY183">
        <v>0</v>
      </c>
      <c r="FA183">
        <v>7</v>
      </c>
      <c r="FG183">
        <v>530</v>
      </c>
      <c r="FH183">
        <v>26</v>
      </c>
      <c r="FI183">
        <v>303</v>
      </c>
    </row>
    <row r="184" spans="1:165" x14ac:dyDescent="0.35">
      <c r="A184">
        <v>2025</v>
      </c>
      <c r="B184" t="s">
        <v>220</v>
      </c>
      <c r="C184" t="s">
        <v>558</v>
      </c>
      <c r="D184" t="s">
        <v>1857</v>
      </c>
      <c r="E184" t="s">
        <v>223</v>
      </c>
      <c r="F184">
        <v>422</v>
      </c>
      <c r="G184">
        <v>0</v>
      </c>
      <c r="I184" t="s">
        <v>1734</v>
      </c>
      <c r="J184">
        <v>36</v>
      </c>
      <c r="K184">
        <v>44</v>
      </c>
      <c r="L184">
        <v>40</v>
      </c>
      <c r="M184">
        <v>25.5015</v>
      </c>
      <c r="N184">
        <v>30.668399999999998</v>
      </c>
      <c r="O184">
        <v>27.826599999999999</v>
      </c>
      <c r="P184">
        <v>36.432699999999997</v>
      </c>
      <c r="Q184">
        <v>743.81849999999997</v>
      </c>
      <c r="R184">
        <v>39.756300000000003</v>
      </c>
      <c r="V184" t="s">
        <v>167</v>
      </c>
      <c r="W184" t="s">
        <v>168</v>
      </c>
      <c r="X184" t="s">
        <v>1850</v>
      </c>
      <c r="Y184">
        <v>1</v>
      </c>
      <c r="Z184" t="s">
        <v>170</v>
      </c>
      <c r="AA184" t="s">
        <v>170</v>
      </c>
      <c r="AB184" t="s">
        <v>167</v>
      </c>
      <c r="AC184" t="s">
        <v>213</v>
      </c>
      <c r="AF184">
        <v>303</v>
      </c>
      <c r="AG184" t="s">
        <v>1735</v>
      </c>
      <c r="AH184" t="s">
        <v>1736</v>
      </c>
      <c r="AI184" t="s">
        <v>1742</v>
      </c>
      <c r="AJ184" t="s">
        <v>1743</v>
      </c>
      <c r="AK184">
        <v>4</v>
      </c>
      <c r="AL184" t="s">
        <v>1737</v>
      </c>
      <c r="AO184">
        <v>105</v>
      </c>
      <c r="AP184">
        <v>24</v>
      </c>
      <c r="AS184">
        <v>950</v>
      </c>
      <c r="AT184">
        <v>950</v>
      </c>
      <c r="BN184" t="s">
        <v>1863</v>
      </c>
      <c r="BQ184">
        <v>31</v>
      </c>
      <c r="BR184" t="s">
        <v>1219</v>
      </c>
      <c r="BT184" t="s">
        <v>1738</v>
      </c>
      <c r="BU184" s="1">
        <v>45558</v>
      </c>
      <c r="BV184">
        <v>35491</v>
      </c>
      <c r="BW184" s="155"/>
      <c r="BX184" t="s">
        <v>170</v>
      </c>
      <c r="BY184" t="s">
        <v>170</v>
      </c>
      <c r="CB184" t="s">
        <v>170</v>
      </c>
      <c r="CC184" t="s">
        <v>170</v>
      </c>
      <c r="CK184" t="s">
        <v>233</v>
      </c>
      <c r="CM184">
        <v>1</v>
      </c>
      <c r="CN184" t="s">
        <v>234</v>
      </c>
      <c r="CP184">
        <v>403</v>
      </c>
      <c r="CQ184">
        <v>290</v>
      </c>
      <c r="CR184">
        <v>288</v>
      </c>
      <c r="CS184" t="s">
        <v>1752</v>
      </c>
      <c r="CV184" t="s">
        <v>341</v>
      </c>
      <c r="CX184" t="s">
        <v>342</v>
      </c>
      <c r="CY184" t="s">
        <v>169</v>
      </c>
      <c r="DD184">
        <v>2</v>
      </c>
      <c r="DE184" t="s">
        <v>404</v>
      </c>
      <c r="DF184" t="s">
        <v>1860</v>
      </c>
      <c r="DG184" t="s">
        <v>1852</v>
      </c>
      <c r="DL184" t="s">
        <v>170</v>
      </c>
      <c r="DM184" t="s">
        <v>170</v>
      </c>
      <c r="DP184" t="s">
        <v>170</v>
      </c>
      <c r="DQ184" t="s">
        <v>187</v>
      </c>
      <c r="DR184" t="s">
        <v>1861</v>
      </c>
      <c r="EA184" s="101"/>
      <c r="EB184">
        <v>9</v>
      </c>
      <c r="EC184">
        <v>10</v>
      </c>
      <c r="EE184" t="s">
        <v>1862</v>
      </c>
      <c r="EF184">
        <v>10</v>
      </c>
      <c r="EU184">
        <v>4750</v>
      </c>
      <c r="EW184">
        <v>0</v>
      </c>
      <c r="EX184">
        <v>0</v>
      </c>
      <c r="EY184">
        <v>0</v>
      </c>
      <c r="FA184">
        <v>7</v>
      </c>
      <c r="FG184">
        <v>530</v>
      </c>
      <c r="FH184">
        <v>26</v>
      </c>
      <c r="FI184">
        <v>303</v>
      </c>
    </row>
    <row r="185" spans="1:165" x14ac:dyDescent="0.35">
      <c r="A185" s="25"/>
      <c r="B185" s="25"/>
      <c r="C185" s="25"/>
      <c r="D185" s="25"/>
      <c r="E185" s="25"/>
      <c r="F185" s="25" t="str">
        <f>_xlfn.CONCAT($A186," ",$B186," ",$D186)</f>
        <v>2025 General Motors CELESTIQ</v>
      </c>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t="str">
        <f>_xlfn.CONCAT($A186," ",$B186," ",$D186)</f>
        <v>2025 General Motors CELESTIQ</v>
      </c>
      <c r="AE185" s="25"/>
      <c r="AF185" s="25"/>
      <c r="AG185" s="25"/>
      <c r="AH185" s="25"/>
      <c r="AI185" s="25"/>
      <c r="AJ185" s="25"/>
      <c r="AK185" s="25"/>
      <c r="AL185" s="25"/>
      <c r="AM185" s="25"/>
      <c r="AN185" s="25"/>
      <c r="AO185" s="25"/>
      <c r="AP185" s="25"/>
      <c r="AQ185" s="25"/>
      <c r="AR185" s="25"/>
      <c r="AS185" s="25"/>
      <c r="AT185" s="25"/>
      <c r="AU185" s="25"/>
      <c r="AV185" s="25"/>
      <c r="AW185" s="25"/>
      <c r="AX185" s="25" t="str">
        <f>_xlfn.CONCAT($A186," ",$B186," ",$D186)</f>
        <v>2025 General Motors CELESTIQ</v>
      </c>
      <c r="AY185" s="25"/>
      <c r="AZ185" s="25"/>
      <c r="BA185" s="25"/>
      <c r="BB185" s="25"/>
      <c r="BC185" s="25"/>
      <c r="BD185" s="25"/>
      <c r="BE185" s="25"/>
      <c r="BF185" s="25"/>
      <c r="BG185" s="25"/>
      <c r="BH185" s="25"/>
      <c r="BI185" s="25"/>
      <c r="BJ185" s="25"/>
      <c r="BK185" s="25"/>
      <c r="BL185" s="25"/>
      <c r="BM185" s="25"/>
      <c r="BN185" s="25"/>
      <c r="BO185" s="25"/>
      <c r="BP185" s="25"/>
      <c r="BQ185" s="25"/>
      <c r="BR185" s="25" t="str">
        <f>_xlfn.CONCAT($A186," ",$B186," ",$D186)</f>
        <v>2025 General Motors CELESTIQ</v>
      </c>
      <c r="BS185" s="25"/>
      <c r="BT185" s="25"/>
      <c r="BU185" s="25"/>
      <c r="BV185" s="25"/>
      <c r="BW185" s="156"/>
      <c r="BX185" s="25"/>
      <c r="BY185" s="25"/>
      <c r="BZ185" s="25"/>
      <c r="CA185" s="25"/>
      <c r="CB185" s="25"/>
      <c r="CC185" s="25"/>
      <c r="CD185" s="25"/>
      <c r="CE185" s="25"/>
      <c r="CF185" s="25"/>
      <c r="CG185" s="25"/>
      <c r="CH185" s="25"/>
      <c r="CI185" s="25"/>
      <c r="CJ185" s="25"/>
      <c r="CK185" s="25"/>
      <c r="CL185" s="25"/>
      <c r="CM185" s="25"/>
      <c r="CN185" s="25"/>
      <c r="CO185" s="25"/>
      <c r="CP185" s="25" t="str">
        <f>_xlfn.CONCAT($A186," ",$B186," ",$D186)</f>
        <v>2025 General Motors CELESTIQ</v>
      </c>
      <c r="CQ185" s="25"/>
      <c r="CR185" s="25"/>
      <c r="CS185" s="25"/>
      <c r="CT185" s="25"/>
      <c r="CU185" s="25"/>
      <c r="CV185" s="25"/>
      <c r="CW185" s="25"/>
      <c r="CX185" s="25"/>
      <c r="CY185" s="25"/>
      <c r="CZ185" s="25"/>
      <c r="DA185" s="25"/>
      <c r="DB185" s="25"/>
      <c r="DC185" s="25"/>
      <c r="DD185" s="25"/>
      <c r="DE185" s="25"/>
      <c r="DF185" s="25"/>
      <c r="DG185" s="25"/>
      <c r="DH185" s="25"/>
      <c r="DI185" s="25" t="str">
        <f>_xlfn.CONCAT($A186," ",$B186," ",$D186)</f>
        <v>2025 General Motors CELESTIQ</v>
      </c>
      <c r="DJ185" s="25"/>
      <c r="DK185" s="25"/>
      <c r="DL185" s="25"/>
      <c r="DM185" s="25"/>
      <c r="DN185" s="25"/>
      <c r="DO185" s="25"/>
      <c r="DP185" s="25"/>
      <c r="DQ185" s="25"/>
      <c r="DR185" s="25"/>
      <c r="DS185" s="25"/>
      <c r="DT185" s="25"/>
      <c r="DU185" s="25"/>
      <c r="DV185" s="25"/>
      <c r="DW185" s="25"/>
      <c r="DX185" s="25"/>
      <c r="DY185" s="25"/>
      <c r="DZ185" s="25" t="str">
        <f>_xlfn.CONCAT($A186," ",$B186," ",$D186)</f>
        <v>2025 General Motors CELESTIQ</v>
      </c>
      <c r="EA185" s="89"/>
      <c r="EB185" s="25"/>
      <c r="EC185" s="25"/>
      <c r="ED185" s="25"/>
      <c r="EE185" s="25"/>
      <c r="EF185" s="25"/>
      <c r="EG185" s="25"/>
      <c r="EH185" s="25"/>
      <c r="EI185" s="25"/>
      <c r="EJ185" s="25"/>
      <c r="EK185" s="25"/>
      <c r="EL185" s="25"/>
      <c r="EM185" s="25"/>
      <c r="EN185" s="25"/>
      <c r="EO185" s="25"/>
      <c r="EP185" s="25"/>
      <c r="EQ185" s="25"/>
      <c r="ER185" s="25"/>
      <c r="ES185" s="25"/>
      <c r="ET185" s="25"/>
      <c r="EU185" s="25"/>
      <c r="EV185" s="25" t="str">
        <f>_xlfn.CONCAT($A186," ",$B186," ",$D186)</f>
        <v>2025 General Motors CELESTIQ</v>
      </c>
      <c r="EW185" s="25"/>
      <c r="EX185" s="25"/>
      <c r="EY185" s="25"/>
      <c r="EZ185" s="25"/>
      <c r="FA185" s="25"/>
      <c r="FB185" s="25"/>
      <c r="FC185" s="25"/>
      <c r="FD185" s="25"/>
      <c r="FE185" s="25"/>
      <c r="FF185" s="25"/>
      <c r="FG185" s="25"/>
    </row>
    <row r="186" spans="1:165" x14ac:dyDescent="0.35">
      <c r="A186">
        <v>2025</v>
      </c>
      <c r="B186" t="s">
        <v>220</v>
      </c>
      <c r="C186" t="s">
        <v>558</v>
      </c>
      <c r="D186" t="s">
        <v>1849</v>
      </c>
      <c r="E186" t="s">
        <v>223</v>
      </c>
      <c r="F186">
        <v>425</v>
      </c>
      <c r="G186">
        <v>0</v>
      </c>
      <c r="I186" t="s">
        <v>1734</v>
      </c>
      <c r="J186">
        <v>84</v>
      </c>
      <c r="K186">
        <v>77</v>
      </c>
      <c r="L186">
        <v>81</v>
      </c>
      <c r="M186">
        <v>115.8343</v>
      </c>
      <c r="N186">
        <v>105.3999</v>
      </c>
      <c r="O186">
        <v>110.89409999999999</v>
      </c>
      <c r="P186">
        <v>84.430400000000006</v>
      </c>
      <c r="Q186">
        <v>76.8249</v>
      </c>
      <c r="R186">
        <v>80.829499999999996</v>
      </c>
      <c r="V186" t="s">
        <v>167</v>
      </c>
      <c r="W186" t="s">
        <v>168</v>
      </c>
      <c r="X186" t="s">
        <v>1850</v>
      </c>
      <c r="Y186">
        <v>1</v>
      </c>
      <c r="Z186" t="s">
        <v>170</v>
      </c>
      <c r="AA186" t="s">
        <v>170</v>
      </c>
      <c r="AB186" t="s">
        <v>167</v>
      </c>
      <c r="AC186" t="s">
        <v>213</v>
      </c>
      <c r="AF186">
        <v>303</v>
      </c>
      <c r="AG186" t="s">
        <v>1735</v>
      </c>
      <c r="AH186" t="s">
        <v>1736</v>
      </c>
      <c r="AI186" t="s">
        <v>175</v>
      </c>
      <c r="AJ186" t="s">
        <v>176</v>
      </c>
      <c r="AK186">
        <v>4</v>
      </c>
      <c r="AL186" t="s">
        <v>1737</v>
      </c>
      <c r="AO186">
        <v>107</v>
      </c>
      <c r="AP186">
        <v>14</v>
      </c>
      <c r="AS186">
        <v>1000</v>
      </c>
      <c r="AT186">
        <v>50</v>
      </c>
      <c r="BQ186">
        <v>7</v>
      </c>
      <c r="BR186" t="s">
        <v>897</v>
      </c>
      <c r="BS186" t="s">
        <v>180</v>
      </c>
      <c r="BT186" t="s">
        <v>1769</v>
      </c>
      <c r="BU186" s="1">
        <v>45748</v>
      </c>
      <c r="BV186">
        <v>36279</v>
      </c>
      <c r="BW186" s="155"/>
      <c r="BX186" t="s">
        <v>170</v>
      </c>
      <c r="BY186" t="s">
        <v>170</v>
      </c>
      <c r="CB186" t="s">
        <v>170</v>
      </c>
      <c r="CC186" t="s">
        <v>170</v>
      </c>
      <c r="CK186" t="s">
        <v>233</v>
      </c>
      <c r="CM186">
        <v>1</v>
      </c>
      <c r="CN186" t="s">
        <v>234</v>
      </c>
      <c r="CP186">
        <v>370</v>
      </c>
      <c r="CQ186">
        <v>290</v>
      </c>
      <c r="CR186">
        <v>141</v>
      </c>
      <c r="CS186" t="s">
        <v>1752</v>
      </c>
      <c r="CV186" t="s">
        <v>341</v>
      </c>
      <c r="CX186" t="s">
        <v>342</v>
      </c>
      <c r="CY186" t="s">
        <v>169</v>
      </c>
      <c r="DD186">
        <v>2</v>
      </c>
      <c r="DE186" t="s">
        <v>404</v>
      </c>
      <c r="DF186" t="s">
        <v>1851</v>
      </c>
      <c r="DG186" t="s">
        <v>1852</v>
      </c>
      <c r="DL186" t="s">
        <v>170</v>
      </c>
      <c r="DM186" t="s">
        <v>170</v>
      </c>
      <c r="DP186" t="s">
        <v>170</v>
      </c>
      <c r="DQ186" t="s">
        <v>187</v>
      </c>
      <c r="DR186" t="s">
        <v>1849</v>
      </c>
      <c r="EA186" s="101"/>
      <c r="EB186">
        <v>9</v>
      </c>
      <c r="EC186">
        <v>10</v>
      </c>
      <c r="EE186" t="s">
        <v>1853</v>
      </c>
      <c r="EF186">
        <v>10</v>
      </c>
      <c r="EU186">
        <v>4500</v>
      </c>
      <c r="EW186">
        <v>0</v>
      </c>
      <c r="EX186">
        <v>0</v>
      </c>
      <c r="EY186">
        <v>0</v>
      </c>
      <c r="FA186">
        <v>8</v>
      </c>
      <c r="FG186">
        <v>316</v>
      </c>
      <c r="FH186">
        <v>287</v>
      </c>
      <c r="FI186">
        <v>303</v>
      </c>
    </row>
    <row r="187" spans="1:165" x14ac:dyDescent="0.35">
      <c r="A187">
        <v>2025</v>
      </c>
      <c r="B187" t="s">
        <v>220</v>
      </c>
      <c r="C187" t="s">
        <v>558</v>
      </c>
      <c r="D187" t="s">
        <v>1849</v>
      </c>
      <c r="E187" t="s">
        <v>223</v>
      </c>
      <c r="F187">
        <v>425</v>
      </c>
      <c r="G187">
        <v>0</v>
      </c>
      <c r="I187" t="s">
        <v>1734</v>
      </c>
      <c r="J187">
        <v>40</v>
      </c>
      <c r="K187">
        <v>44</v>
      </c>
      <c r="L187">
        <v>42</v>
      </c>
      <c r="M187">
        <v>29.103100000000001</v>
      </c>
      <c r="N187">
        <v>31.9712</v>
      </c>
      <c r="O187">
        <v>30.393699999999999</v>
      </c>
      <c r="P187">
        <v>39.920400000000001</v>
      </c>
      <c r="Q187">
        <v>43.872399999999999</v>
      </c>
      <c r="R187">
        <v>41.698799999999999</v>
      </c>
      <c r="V187" t="s">
        <v>167</v>
      </c>
      <c r="W187" t="s">
        <v>168</v>
      </c>
      <c r="X187" t="s">
        <v>1850</v>
      </c>
      <c r="Y187">
        <v>1</v>
      </c>
      <c r="Z187" t="s">
        <v>170</v>
      </c>
      <c r="AA187" t="s">
        <v>170</v>
      </c>
      <c r="AB187" t="s">
        <v>167</v>
      </c>
      <c r="AC187" t="s">
        <v>213</v>
      </c>
      <c r="AF187">
        <v>303</v>
      </c>
      <c r="AG187" t="s">
        <v>1735</v>
      </c>
      <c r="AH187" t="s">
        <v>1736</v>
      </c>
      <c r="AI187" t="s">
        <v>1742</v>
      </c>
      <c r="AJ187" t="s">
        <v>1743</v>
      </c>
      <c r="AK187">
        <v>4</v>
      </c>
      <c r="AL187" t="s">
        <v>1737</v>
      </c>
      <c r="AO187">
        <v>107</v>
      </c>
      <c r="AP187">
        <v>14</v>
      </c>
      <c r="AS187">
        <v>1000</v>
      </c>
      <c r="AT187">
        <v>1000</v>
      </c>
      <c r="BQ187">
        <v>7</v>
      </c>
      <c r="BR187" t="s">
        <v>897</v>
      </c>
      <c r="BS187" t="s">
        <v>180</v>
      </c>
      <c r="BT187" t="s">
        <v>1769</v>
      </c>
      <c r="BU187" s="1">
        <v>45748</v>
      </c>
      <c r="BV187">
        <v>36279</v>
      </c>
      <c r="BW187" s="155"/>
      <c r="BX187" t="s">
        <v>170</v>
      </c>
      <c r="BY187" t="s">
        <v>170</v>
      </c>
      <c r="CB187" t="s">
        <v>170</v>
      </c>
      <c r="CC187" t="s">
        <v>170</v>
      </c>
      <c r="CK187" t="s">
        <v>233</v>
      </c>
      <c r="CM187">
        <v>1</v>
      </c>
      <c r="CN187" t="s">
        <v>234</v>
      </c>
      <c r="CP187">
        <v>370</v>
      </c>
      <c r="CQ187">
        <v>290</v>
      </c>
      <c r="CR187">
        <v>141</v>
      </c>
      <c r="CS187" t="s">
        <v>1752</v>
      </c>
      <c r="CV187" t="s">
        <v>341</v>
      </c>
      <c r="CX187" t="s">
        <v>342</v>
      </c>
      <c r="CY187" t="s">
        <v>169</v>
      </c>
      <c r="DD187">
        <v>2</v>
      </c>
      <c r="DE187" t="s">
        <v>404</v>
      </c>
      <c r="DF187" t="s">
        <v>1851</v>
      </c>
      <c r="DG187" t="s">
        <v>1852</v>
      </c>
      <c r="DL187" t="s">
        <v>170</v>
      </c>
      <c r="DM187" t="s">
        <v>170</v>
      </c>
      <c r="DP187" t="s">
        <v>170</v>
      </c>
      <c r="DQ187" t="s">
        <v>187</v>
      </c>
      <c r="DR187" t="s">
        <v>1849</v>
      </c>
      <c r="EA187" s="101"/>
      <c r="EB187">
        <v>9</v>
      </c>
      <c r="EC187">
        <v>10</v>
      </c>
      <c r="EE187" t="s">
        <v>1853</v>
      </c>
      <c r="EF187">
        <v>10</v>
      </c>
      <c r="EU187">
        <v>4500</v>
      </c>
      <c r="EW187">
        <v>0</v>
      </c>
      <c r="EX187">
        <v>0</v>
      </c>
      <c r="EY187">
        <v>0</v>
      </c>
      <c r="FA187">
        <v>8</v>
      </c>
      <c r="FG187">
        <v>316</v>
      </c>
      <c r="FH187">
        <v>287</v>
      </c>
      <c r="FI187">
        <v>303</v>
      </c>
    </row>
    <row r="188" spans="1:165" x14ac:dyDescent="0.35">
      <c r="A188" s="25"/>
      <c r="B188" s="25"/>
      <c r="C188" s="25"/>
      <c r="D188" s="25"/>
      <c r="E188" s="25"/>
      <c r="F188" s="25" t="str">
        <f>_xlfn.CONCAT($A189," ",$B189," ",$D189)</f>
        <v>2025 General Motors BLAZER EV RWD</v>
      </c>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t="str">
        <f>_xlfn.CONCAT($A189," ",$B189," ",$D189)</f>
        <v>2025 General Motors BLAZER EV RWD</v>
      </c>
      <c r="AE188" s="25"/>
      <c r="AF188" s="25"/>
      <c r="AG188" s="25"/>
      <c r="AH188" s="25"/>
      <c r="AI188" s="25"/>
      <c r="AJ188" s="25"/>
      <c r="AK188" s="25"/>
      <c r="AL188" s="25"/>
      <c r="AM188" s="25"/>
      <c r="AN188" s="25"/>
      <c r="AO188" s="25"/>
      <c r="AP188" s="25"/>
      <c r="AQ188" s="25"/>
      <c r="AR188" s="25"/>
      <c r="AS188" s="25"/>
      <c r="AT188" s="25"/>
      <c r="AU188" s="25"/>
      <c r="AV188" s="25"/>
      <c r="AW188" s="25"/>
      <c r="AX188" s="25" t="str">
        <f>_xlfn.CONCAT($A189," ",$B189," ",$D189)</f>
        <v>2025 General Motors BLAZER EV RWD</v>
      </c>
      <c r="AY188" s="25"/>
      <c r="AZ188" s="25"/>
      <c r="BA188" s="25"/>
      <c r="BB188" s="25"/>
      <c r="BC188" s="25"/>
      <c r="BD188" s="25"/>
      <c r="BE188" s="25"/>
      <c r="BF188" s="25"/>
      <c r="BG188" s="25"/>
      <c r="BH188" s="25"/>
      <c r="BI188" s="25"/>
      <c r="BJ188" s="25"/>
      <c r="BK188" s="25"/>
      <c r="BL188" s="25"/>
      <c r="BM188" s="25"/>
      <c r="BN188" s="25"/>
      <c r="BO188" s="25"/>
      <c r="BP188" s="25"/>
      <c r="BQ188" s="25"/>
      <c r="BR188" s="25" t="str">
        <f>_xlfn.CONCAT($A189," ",$B189," ",$D189)</f>
        <v>2025 General Motors BLAZER EV RWD</v>
      </c>
      <c r="BS188" s="25"/>
      <c r="BT188" s="25"/>
      <c r="BU188" s="25"/>
      <c r="BV188" s="25"/>
      <c r="BW188" s="156"/>
      <c r="BX188" s="25"/>
      <c r="BY188" s="25"/>
      <c r="BZ188" s="25"/>
      <c r="CA188" s="25"/>
      <c r="CB188" s="25"/>
      <c r="CC188" s="25"/>
      <c r="CD188" s="25"/>
      <c r="CE188" s="25"/>
      <c r="CF188" s="25"/>
      <c r="CG188" s="25"/>
      <c r="CH188" s="25"/>
      <c r="CI188" s="25"/>
      <c r="CJ188" s="25"/>
      <c r="CK188" s="25"/>
      <c r="CL188" s="25"/>
      <c r="CM188" s="25"/>
      <c r="CN188" s="25"/>
      <c r="CO188" s="25"/>
      <c r="CP188" s="25" t="str">
        <f>_xlfn.CONCAT($A189," ",$B189," ",$D189)</f>
        <v>2025 General Motors BLAZER EV RWD</v>
      </c>
      <c r="CQ188" s="25"/>
      <c r="CR188" s="25"/>
      <c r="CS188" s="25"/>
      <c r="CT188" s="25"/>
      <c r="CU188" s="25"/>
      <c r="CV188" s="25"/>
      <c r="CW188" s="25"/>
      <c r="CX188" s="25"/>
      <c r="CY188" s="25"/>
      <c r="CZ188" s="25"/>
      <c r="DA188" s="25"/>
      <c r="DB188" s="25"/>
      <c r="DC188" s="25"/>
      <c r="DD188" s="25"/>
      <c r="DE188" s="25"/>
      <c r="DF188" s="25"/>
      <c r="DG188" s="25"/>
      <c r="DH188" s="25"/>
      <c r="DI188" s="25" t="str">
        <f>_xlfn.CONCAT($A189," ",$B189," ",$D189)</f>
        <v>2025 General Motors BLAZER EV RWD</v>
      </c>
      <c r="DJ188" s="25"/>
      <c r="DK188" s="25"/>
      <c r="DL188" s="25"/>
      <c r="DM188" s="25"/>
      <c r="DN188" s="25"/>
      <c r="DO188" s="25"/>
      <c r="DP188" s="25"/>
      <c r="DQ188" s="25"/>
      <c r="DR188" s="25"/>
      <c r="DS188" s="25"/>
      <c r="DT188" s="25"/>
      <c r="DU188" s="25"/>
      <c r="DV188" s="25"/>
      <c r="DW188" s="25"/>
      <c r="DX188" s="25"/>
      <c r="DY188" s="25"/>
      <c r="DZ188" s="25" t="str">
        <f>_xlfn.CONCAT($A189," ",$B189," ",$D189)</f>
        <v>2025 General Motors BLAZER EV RWD</v>
      </c>
      <c r="EA188" s="89"/>
      <c r="EB188" s="25"/>
      <c r="EC188" s="25"/>
      <c r="ED188" s="25"/>
      <c r="EE188" s="25"/>
      <c r="EF188" s="25"/>
      <c r="EG188" s="25"/>
      <c r="EH188" s="25"/>
      <c r="EI188" s="25"/>
      <c r="EJ188" s="25"/>
      <c r="EK188" s="25"/>
      <c r="EL188" s="25"/>
      <c r="EM188" s="25"/>
      <c r="EN188" s="25"/>
      <c r="EO188" s="25"/>
      <c r="EP188" s="25"/>
      <c r="EQ188" s="25"/>
      <c r="ER188" s="25"/>
      <c r="ES188" s="25"/>
      <c r="ET188" s="25"/>
      <c r="EU188" s="25"/>
      <c r="EV188" s="25" t="str">
        <f>_xlfn.CONCAT($A189," ",$B189," ",$D189)</f>
        <v>2025 General Motors BLAZER EV RWD</v>
      </c>
      <c r="EW188" s="25"/>
      <c r="EX188" s="25"/>
      <c r="EY188" s="25"/>
      <c r="EZ188" s="25"/>
      <c r="FA188" s="25"/>
      <c r="FB188" s="25"/>
      <c r="FC188" s="25"/>
      <c r="FD188" s="25"/>
      <c r="FE188" s="25"/>
      <c r="FF188" s="25"/>
      <c r="FG188" s="25"/>
    </row>
    <row r="189" spans="1:165" x14ac:dyDescent="0.35">
      <c r="A189">
        <v>2025</v>
      </c>
      <c r="B189" t="s">
        <v>220</v>
      </c>
      <c r="C189" t="s">
        <v>221</v>
      </c>
      <c r="D189" t="s">
        <v>1874</v>
      </c>
      <c r="E189" t="s">
        <v>223</v>
      </c>
      <c r="F189">
        <v>400</v>
      </c>
      <c r="G189">
        <v>0</v>
      </c>
      <c r="I189" t="s">
        <v>1734</v>
      </c>
      <c r="J189">
        <v>106</v>
      </c>
      <c r="K189">
        <v>85</v>
      </c>
      <c r="L189">
        <v>95</v>
      </c>
      <c r="M189">
        <v>150.9</v>
      </c>
      <c r="N189">
        <v>121.8</v>
      </c>
      <c r="O189">
        <v>136.25129999999999</v>
      </c>
      <c r="P189">
        <v>105.63</v>
      </c>
      <c r="Q189">
        <v>85.26</v>
      </c>
      <c r="R189">
        <v>95.375900000000001</v>
      </c>
      <c r="V189" t="s">
        <v>167</v>
      </c>
      <c r="W189" t="s">
        <v>168</v>
      </c>
      <c r="X189" t="s">
        <v>1850</v>
      </c>
      <c r="Y189">
        <v>1</v>
      </c>
      <c r="Z189" t="s">
        <v>170</v>
      </c>
      <c r="AA189" t="s">
        <v>170</v>
      </c>
      <c r="AB189" t="s">
        <v>171</v>
      </c>
      <c r="AC189" t="s">
        <v>172</v>
      </c>
      <c r="AF189">
        <v>334</v>
      </c>
      <c r="AG189" t="s">
        <v>1735</v>
      </c>
      <c r="AH189" t="s">
        <v>1736</v>
      </c>
      <c r="AI189" t="s">
        <v>175</v>
      </c>
      <c r="AJ189" t="s">
        <v>176</v>
      </c>
      <c r="AK189">
        <v>4</v>
      </c>
      <c r="AL189" t="s">
        <v>1737</v>
      </c>
      <c r="AO189">
        <v>105</v>
      </c>
      <c r="AP189">
        <v>26</v>
      </c>
      <c r="AS189">
        <v>850</v>
      </c>
      <c r="AT189">
        <v>850</v>
      </c>
      <c r="BQ189">
        <v>30</v>
      </c>
      <c r="BR189" t="s">
        <v>1099</v>
      </c>
      <c r="BT189" t="s">
        <v>1738</v>
      </c>
      <c r="BU189" s="1">
        <v>45579</v>
      </c>
      <c r="BV189">
        <v>35688</v>
      </c>
      <c r="BW189" s="155"/>
      <c r="BX189" t="s">
        <v>170</v>
      </c>
      <c r="BY189" t="s">
        <v>170</v>
      </c>
      <c r="CB189" t="s">
        <v>170</v>
      </c>
      <c r="CC189" t="s">
        <v>170</v>
      </c>
      <c r="CK189" t="s">
        <v>233</v>
      </c>
      <c r="CM189">
        <v>1</v>
      </c>
      <c r="CN189" t="s">
        <v>234</v>
      </c>
      <c r="CP189">
        <v>400</v>
      </c>
      <c r="CQ189">
        <v>290</v>
      </c>
      <c r="CR189">
        <v>157</v>
      </c>
      <c r="CS189" t="s">
        <v>1752</v>
      </c>
      <c r="CV189" t="s">
        <v>341</v>
      </c>
      <c r="CX189" t="s">
        <v>1012</v>
      </c>
      <c r="CY189" t="s">
        <v>169</v>
      </c>
      <c r="DD189">
        <v>1</v>
      </c>
      <c r="DE189" t="s">
        <v>404</v>
      </c>
      <c r="DF189" t="s">
        <v>1855</v>
      </c>
      <c r="DG189">
        <v>255</v>
      </c>
      <c r="DL189" t="s">
        <v>170</v>
      </c>
      <c r="DM189" t="s">
        <v>169</v>
      </c>
      <c r="DP189" t="s">
        <v>170</v>
      </c>
      <c r="DQ189" t="s">
        <v>187</v>
      </c>
      <c r="DR189" t="s">
        <v>1874</v>
      </c>
      <c r="EA189" s="101"/>
      <c r="EB189">
        <v>9</v>
      </c>
      <c r="EC189">
        <v>10</v>
      </c>
      <c r="EE189" t="s">
        <v>1856</v>
      </c>
      <c r="EF189">
        <v>10</v>
      </c>
      <c r="EU189">
        <v>5250</v>
      </c>
      <c r="EW189">
        <v>0</v>
      </c>
      <c r="EX189">
        <v>0</v>
      </c>
      <c r="EY189">
        <v>0</v>
      </c>
      <c r="FA189">
        <v>11.2</v>
      </c>
      <c r="FG189">
        <v>366</v>
      </c>
      <c r="FH189">
        <v>295</v>
      </c>
      <c r="FI189">
        <v>334</v>
      </c>
    </row>
    <row r="190" spans="1:165" x14ac:dyDescent="0.35">
      <c r="A190">
        <v>2025</v>
      </c>
      <c r="B190" t="s">
        <v>220</v>
      </c>
      <c r="C190" t="s">
        <v>221</v>
      </c>
      <c r="D190" t="s">
        <v>1874</v>
      </c>
      <c r="E190" t="s">
        <v>223</v>
      </c>
      <c r="F190">
        <v>400</v>
      </c>
      <c r="G190">
        <v>0</v>
      </c>
      <c r="I190" t="s">
        <v>1734</v>
      </c>
      <c r="J190">
        <v>32</v>
      </c>
      <c r="K190">
        <v>40</v>
      </c>
      <c r="L190">
        <v>35</v>
      </c>
      <c r="M190">
        <v>22.332899999999999</v>
      </c>
      <c r="N190">
        <v>27.669599999999999</v>
      </c>
      <c r="O190">
        <v>24.734400000000001</v>
      </c>
      <c r="P190">
        <v>31.9085</v>
      </c>
      <c r="Q190">
        <v>39.531999999999996</v>
      </c>
      <c r="R190">
        <v>35.339100000000002</v>
      </c>
      <c r="V190" t="s">
        <v>167</v>
      </c>
      <c r="W190" t="s">
        <v>168</v>
      </c>
      <c r="X190" t="s">
        <v>1850</v>
      </c>
      <c r="Y190">
        <v>1</v>
      </c>
      <c r="Z190" t="s">
        <v>170</v>
      </c>
      <c r="AA190" t="s">
        <v>170</v>
      </c>
      <c r="AB190" t="s">
        <v>171</v>
      </c>
      <c r="AC190" t="s">
        <v>172</v>
      </c>
      <c r="AF190">
        <v>334</v>
      </c>
      <c r="AG190" t="s">
        <v>1735</v>
      </c>
      <c r="AH190" t="s">
        <v>1736</v>
      </c>
      <c r="AI190" t="s">
        <v>1742</v>
      </c>
      <c r="AJ190" t="s">
        <v>1743</v>
      </c>
      <c r="AK190">
        <v>4</v>
      </c>
      <c r="AL190" t="s">
        <v>1737</v>
      </c>
      <c r="AO190">
        <v>105</v>
      </c>
      <c r="AP190">
        <v>26</v>
      </c>
      <c r="AS190">
        <v>850</v>
      </c>
      <c r="AT190">
        <v>850</v>
      </c>
      <c r="BQ190">
        <v>30</v>
      </c>
      <c r="BR190" t="s">
        <v>1099</v>
      </c>
      <c r="BT190" t="s">
        <v>1738</v>
      </c>
      <c r="BU190" s="1">
        <v>45579</v>
      </c>
      <c r="BV190">
        <v>35688</v>
      </c>
      <c r="BW190" s="155"/>
      <c r="BX190" t="s">
        <v>170</v>
      </c>
      <c r="BY190" t="s">
        <v>170</v>
      </c>
      <c r="CB190" t="s">
        <v>170</v>
      </c>
      <c r="CC190" t="s">
        <v>170</v>
      </c>
      <c r="CK190" t="s">
        <v>233</v>
      </c>
      <c r="CM190">
        <v>1</v>
      </c>
      <c r="CN190" t="s">
        <v>234</v>
      </c>
      <c r="CP190">
        <v>400</v>
      </c>
      <c r="CQ190">
        <v>290</v>
      </c>
      <c r="CR190">
        <v>157</v>
      </c>
      <c r="CS190" t="s">
        <v>1752</v>
      </c>
      <c r="CV190" t="s">
        <v>341</v>
      </c>
      <c r="CX190" t="s">
        <v>1012</v>
      </c>
      <c r="CY190" t="s">
        <v>169</v>
      </c>
      <c r="DD190">
        <v>1</v>
      </c>
      <c r="DE190" t="s">
        <v>404</v>
      </c>
      <c r="DF190" t="s">
        <v>1855</v>
      </c>
      <c r="DG190">
        <v>255</v>
      </c>
      <c r="DL190" t="s">
        <v>170</v>
      </c>
      <c r="DM190" t="s">
        <v>169</v>
      </c>
      <c r="DP190" t="s">
        <v>170</v>
      </c>
      <c r="DQ190" t="s">
        <v>187</v>
      </c>
      <c r="DR190" t="s">
        <v>1874</v>
      </c>
      <c r="EA190" s="101"/>
      <c r="EB190">
        <v>9</v>
      </c>
      <c r="EC190">
        <v>10</v>
      </c>
      <c r="EE190" t="s">
        <v>1856</v>
      </c>
      <c r="EF190">
        <v>10</v>
      </c>
      <c r="EU190">
        <v>5250</v>
      </c>
      <c r="EW190">
        <v>0</v>
      </c>
      <c r="EX190">
        <v>0</v>
      </c>
      <c r="EY190">
        <v>0</v>
      </c>
      <c r="FA190">
        <v>11.2</v>
      </c>
      <c r="FG190">
        <v>366</v>
      </c>
      <c r="FH190">
        <v>295</v>
      </c>
      <c r="FI190">
        <v>334</v>
      </c>
    </row>
    <row r="191" spans="1:165" x14ac:dyDescent="0.35">
      <c r="A191" s="25"/>
      <c r="B191" s="25"/>
      <c r="C191" s="25"/>
      <c r="D191" s="25"/>
      <c r="E191" s="25"/>
      <c r="F191" s="25" t="str">
        <f>_xlfn.CONCAT($A192," ",$B192," ",$D192)</f>
        <v>2025 General Motors BLAZER EV AWD</v>
      </c>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t="str">
        <f>_xlfn.CONCAT($A192," ",$B192," ",$D192)</f>
        <v>2025 General Motors BLAZER EV AWD</v>
      </c>
      <c r="AE191" s="25"/>
      <c r="AF191" s="25"/>
      <c r="AG191" s="25"/>
      <c r="AH191" s="25"/>
      <c r="AI191" s="25"/>
      <c r="AJ191" s="25"/>
      <c r="AK191" s="25"/>
      <c r="AL191" s="25"/>
      <c r="AM191" s="25"/>
      <c r="AN191" s="25"/>
      <c r="AO191" s="25"/>
      <c r="AP191" s="25"/>
      <c r="AQ191" s="25"/>
      <c r="AR191" s="25"/>
      <c r="AS191" s="25"/>
      <c r="AT191" s="25"/>
      <c r="AU191" s="25"/>
      <c r="AV191" s="25"/>
      <c r="AW191" s="25"/>
      <c r="AX191" s="25" t="str">
        <f>_xlfn.CONCAT($A192," ",$B192," ",$D192)</f>
        <v>2025 General Motors BLAZER EV AWD</v>
      </c>
      <c r="AY191" s="25"/>
      <c r="AZ191" s="25"/>
      <c r="BA191" s="25"/>
      <c r="BB191" s="25"/>
      <c r="BC191" s="25"/>
      <c r="BD191" s="25"/>
      <c r="BE191" s="25"/>
      <c r="BF191" s="25"/>
      <c r="BG191" s="25"/>
      <c r="BH191" s="25"/>
      <c r="BI191" s="25"/>
      <c r="BJ191" s="25"/>
      <c r="BK191" s="25"/>
      <c r="BL191" s="25"/>
      <c r="BM191" s="25"/>
      <c r="BN191" s="25"/>
      <c r="BO191" s="25"/>
      <c r="BP191" s="25"/>
      <c r="BQ191" s="25"/>
      <c r="BR191" s="25" t="str">
        <f>_xlfn.CONCAT($A192," ",$B192," ",$D192)</f>
        <v>2025 General Motors BLAZER EV AWD</v>
      </c>
      <c r="BS191" s="25"/>
      <c r="BT191" s="25"/>
      <c r="BU191" s="25"/>
      <c r="BV191" s="25"/>
      <c r="BW191" s="156"/>
      <c r="BX191" s="25"/>
      <c r="BY191" s="25"/>
      <c r="BZ191" s="25"/>
      <c r="CA191" s="25"/>
      <c r="CB191" s="25"/>
      <c r="CC191" s="25"/>
      <c r="CD191" s="25"/>
      <c r="CE191" s="25"/>
      <c r="CF191" s="25"/>
      <c r="CG191" s="25"/>
      <c r="CH191" s="25"/>
      <c r="CI191" s="25"/>
      <c r="CJ191" s="25"/>
      <c r="CK191" s="25"/>
      <c r="CL191" s="25"/>
      <c r="CM191" s="25"/>
      <c r="CN191" s="25"/>
      <c r="CO191" s="25"/>
      <c r="CP191" s="25" t="str">
        <f>_xlfn.CONCAT($A192," ",$B192," ",$D192)</f>
        <v>2025 General Motors BLAZER EV AWD</v>
      </c>
      <c r="CQ191" s="25"/>
      <c r="CR191" s="25"/>
      <c r="CS191" s="25"/>
      <c r="CT191" s="25"/>
      <c r="CU191" s="25"/>
      <c r="CV191" s="25"/>
      <c r="CW191" s="25"/>
      <c r="CX191" s="25"/>
      <c r="CY191" s="25"/>
      <c r="CZ191" s="25"/>
      <c r="DA191" s="25"/>
      <c r="DB191" s="25"/>
      <c r="DC191" s="25"/>
      <c r="DD191" s="25"/>
      <c r="DE191" s="25"/>
      <c r="DF191" s="25"/>
      <c r="DG191" s="25"/>
      <c r="DH191" s="25"/>
      <c r="DI191" s="25" t="str">
        <f>_xlfn.CONCAT($A192," ",$B192," ",$D192)</f>
        <v>2025 General Motors BLAZER EV AWD</v>
      </c>
      <c r="DJ191" s="25"/>
      <c r="DK191" s="25"/>
      <c r="DL191" s="25"/>
      <c r="DM191" s="25"/>
      <c r="DN191" s="25"/>
      <c r="DO191" s="25"/>
      <c r="DP191" s="25"/>
      <c r="DQ191" s="25"/>
      <c r="DR191" s="25"/>
      <c r="DS191" s="25"/>
      <c r="DT191" s="25"/>
      <c r="DU191" s="25"/>
      <c r="DV191" s="25"/>
      <c r="DW191" s="25"/>
      <c r="DX191" s="25"/>
      <c r="DY191" s="25"/>
      <c r="DZ191" s="25" t="str">
        <f>_xlfn.CONCAT($A192," ",$B192," ",$D192)</f>
        <v>2025 General Motors BLAZER EV AWD</v>
      </c>
      <c r="EA191" s="89"/>
      <c r="EB191" s="25"/>
      <c r="EC191" s="25"/>
      <c r="ED191" s="25"/>
      <c r="EE191" s="25"/>
      <c r="EF191" s="25"/>
      <c r="EG191" s="25"/>
      <c r="EH191" s="25"/>
      <c r="EI191" s="25"/>
      <c r="EJ191" s="25"/>
      <c r="EK191" s="25"/>
      <c r="EL191" s="25"/>
      <c r="EM191" s="25"/>
      <c r="EN191" s="25"/>
      <c r="EO191" s="25"/>
      <c r="EP191" s="25"/>
      <c r="EQ191" s="25"/>
      <c r="ER191" s="25"/>
      <c r="ES191" s="25"/>
      <c r="ET191" s="25"/>
      <c r="EU191" s="25"/>
      <c r="EV191" s="25" t="str">
        <f>_xlfn.CONCAT($A192," ",$B192," ",$D192)</f>
        <v>2025 General Motors BLAZER EV AWD</v>
      </c>
      <c r="EW191" s="25"/>
      <c r="EX191" s="25"/>
      <c r="EY191" s="25"/>
      <c r="EZ191" s="25"/>
      <c r="FA191" s="25"/>
      <c r="FB191" s="25"/>
      <c r="FC191" s="25"/>
      <c r="FD191" s="25"/>
      <c r="FE191" s="25"/>
      <c r="FF191" s="25"/>
      <c r="FG191" s="25"/>
    </row>
    <row r="192" spans="1:165" x14ac:dyDescent="0.35">
      <c r="A192">
        <v>2025</v>
      </c>
      <c r="B192" t="s">
        <v>220</v>
      </c>
      <c r="C192" t="s">
        <v>221</v>
      </c>
      <c r="D192" t="s">
        <v>1864</v>
      </c>
      <c r="E192" t="s">
        <v>223</v>
      </c>
      <c r="F192">
        <v>401</v>
      </c>
      <c r="G192">
        <v>0</v>
      </c>
      <c r="I192" t="s">
        <v>1734</v>
      </c>
      <c r="J192">
        <v>102</v>
      </c>
      <c r="K192">
        <v>87</v>
      </c>
      <c r="L192">
        <v>95</v>
      </c>
      <c r="M192">
        <v>145.9</v>
      </c>
      <c r="N192">
        <v>123.9</v>
      </c>
      <c r="O192">
        <v>135.10470000000001</v>
      </c>
      <c r="P192">
        <v>102.12</v>
      </c>
      <c r="Q192">
        <v>86.73</v>
      </c>
      <c r="R192">
        <v>94.573300000000003</v>
      </c>
      <c r="V192" t="s">
        <v>167</v>
      </c>
      <c r="W192" t="s">
        <v>168</v>
      </c>
      <c r="X192" t="s">
        <v>1850</v>
      </c>
      <c r="Y192">
        <v>1</v>
      </c>
      <c r="Z192" t="s">
        <v>170</v>
      </c>
      <c r="AA192" t="s">
        <v>170</v>
      </c>
      <c r="AB192" t="s">
        <v>167</v>
      </c>
      <c r="AC192" t="s">
        <v>213</v>
      </c>
      <c r="AF192">
        <v>283</v>
      </c>
      <c r="AG192" t="s">
        <v>1735</v>
      </c>
      <c r="AH192" t="s">
        <v>1736</v>
      </c>
      <c r="AI192" t="s">
        <v>175</v>
      </c>
      <c r="AJ192" t="s">
        <v>176</v>
      </c>
      <c r="AK192">
        <v>4</v>
      </c>
      <c r="AL192" t="s">
        <v>1737</v>
      </c>
      <c r="AO192">
        <v>104</v>
      </c>
      <c r="AP192">
        <v>26</v>
      </c>
      <c r="AS192">
        <v>850</v>
      </c>
      <c r="AT192">
        <v>850</v>
      </c>
      <c r="BQ192">
        <v>31</v>
      </c>
      <c r="BR192" t="s">
        <v>1219</v>
      </c>
      <c r="BT192" t="s">
        <v>1738</v>
      </c>
      <c r="BU192" s="1">
        <v>45538</v>
      </c>
      <c r="BV192">
        <v>35342</v>
      </c>
      <c r="BW192" s="155"/>
      <c r="BX192" t="s">
        <v>170</v>
      </c>
      <c r="BY192" t="s">
        <v>170</v>
      </c>
      <c r="CB192" t="s">
        <v>170</v>
      </c>
      <c r="CC192" t="s">
        <v>170</v>
      </c>
      <c r="CK192" t="s">
        <v>233</v>
      </c>
      <c r="CM192">
        <v>1</v>
      </c>
      <c r="CN192" t="s">
        <v>234</v>
      </c>
      <c r="CP192">
        <v>336</v>
      </c>
      <c r="CQ192">
        <v>290</v>
      </c>
      <c r="CR192">
        <v>156</v>
      </c>
      <c r="CS192" t="s">
        <v>1752</v>
      </c>
      <c r="CV192" t="s">
        <v>341</v>
      </c>
      <c r="CX192" t="s">
        <v>342</v>
      </c>
      <c r="CY192" t="s">
        <v>169</v>
      </c>
      <c r="DD192">
        <v>2</v>
      </c>
      <c r="DE192" t="s">
        <v>237</v>
      </c>
      <c r="DG192" t="s">
        <v>1865</v>
      </c>
      <c r="DL192" t="s">
        <v>170</v>
      </c>
      <c r="DM192" t="s">
        <v>169</v>
      </c>
      <c r="DP192" t="s">
        <v>170</v>
      </c>
      <c r="DQ192" t="s">
        <v>187</v>
      </c>
      <c r="DR192" t="s">
        <v>1866</v>
      </c>
      <c r="EA192" s="101"/>
      <c r="EB192">
        <v>9</v>
      </c>
      <c r="EC192">
        <v>10</v>
      </c>
      <c r="EE192" t="s">
        <v>1867</v>
      </c>
      <c r="EF192">
        <v>10</v>
      </c>
      <c r="EU192">
        <v>5250</v>
      </c>
      <c r="EW192">
        <v>0</v>
      </c>
      <c r="EX192">
        <v>0</v>
      </c>
      <c r="EY192">
        <v>0</v>
      </c>
      <c r="FA192">
        <v>9.5</v>
      </c>
      <c r="FG192">
        <v>304</v>
      </c>
      <c r="FH192">
        <v>258</v>
      </c>
      <c r="FI192">
        <v>283</v>
      </c>
    </row>
    <row r="193" spans="1:165" x14ac:dyDescent="0.35">
      <c r="A193">
        <v>2025</v>
      </c>
      <c r="B193" t="s">
        <v>220</v>
      </c>
      <c r="C193" t="s">
        <v>221</v>
      </c>
      <c r="D193" t="s">
        <v>1864</v>
      </c>
      <c r="E193" t="s">
        <v>223</v>
      </c>
      <c r="F193">
        <v>401</v>
      </c>
      <c r="G193">
        <v>0</v>
      </c>
      <c r="I193" t="s">
        <v>1734</v>
      </c>
      <c r="J193">
        <v>33</v>
      </c>
      <c r="K193">
        <v>39</v>
      </c>
      <c r="L193">
        <v>36</v>
      </c>
      <c r="M193">
        <v>23.107800000000001</v>
      </c>
      <c r="N193">
        <v>27.213200000000001</v>
      </c>
      <c r="O193">
        <v>24.955300000000001</v>
      </c>
      <c r="P193">
        <v>33.002099999999999</v>
      </c>
      <c r="Q193">
        <v>38.862000000000002</v>
      </c>
      <c r="R193">
        <v>35.639000000000003</v>
      </c>
      <c r="V193" t="s">
        <v>167</v>
      </c>
      <c r="W193" t="s">
        <v>168</v>
      </c>
      <c r="X193" t="s">
        <v>1850</v>
      </c>
      <c r="Y193">
        <v>1</v>
      </c>
      <c r="Z193" t="s">
        <v>170</v>
      </c>
      <c r="AA193" t="s">
        <v>170</v>
      </c>
      <c r="AB193" t="s">
        <v>167</v>
      </c>
      <c r="AC193" t="s">
        <v>213</v>
      </c>
      <c r="AF193">
        <v>283</v>
      </c>
      <c r="AG193" t="s">
        <v>1735</v>
      </c>
      <c r="AH193" t="s">
        <v>1736</v>
      </c>
      <c r="AI193" t="s">
        <v>1742</v>
      </c>
      <c r="AJ193" t="s">
        <v>1743</v>
      </c>
      <c r="AK193">
        <v>4</v>
      </c>
      <c r="AL193" t="s">
        <v>1737</v>
      </c>
      <c r="AO193">
        <v>104</v>
      </c>
      <c r="AP193">
        <v>26</v>
      </c>
      <c r="AS193">
        <v>850</v>
      </c>
      <c r="AT193">
        <v>850</v>
      </c>
      <c r="BQ193">
        <v>31</v>
      </c>
      <c r="BR193" t="s">
        <v>1219</v>
      </c>
      <c r="BT193" t="s">
        <v>1738</v>
      </c>
      <c r="BU193" s="1">
        <v>45538</v>
      </c>
      <c r="BV193">
        <v>35342</v>
      </c>
      <c r="BW193" s="155"/>
      <c r="BX193" t="s">
        <v>170</v>
      </c>
      <c r="BY193" t="s">
        <v>170</v>
      </c>
      <c r="CB193" t="s">
        <v>170</v>
      </c>
      <c r="CC193" t="s">
        <v>170</v>
      </c>
      <c r="CK193" t="s">
        <v>233</v>
      </c>
      <c r="CM193">
        <v>1</v>
      </c>
      <c r="CN193" t="s">
        <v>234</v>
      </c>
      <c r="CP193">
        <v>336</v>
      </c>
      <c r="CQ193">
        <v>290</v>
      </c>
      <c r="CR193">
        <v>156</v>
      </c>
      <c r="CS193" t="s">
        <v>1752</v>
      </c>
      <c r="CV193" t="s">
        <v>341</v>
      </c>
      <c r="CX193" t="s">
        <v>342</v>
      </c>
      <c r="CY193" t="s">
        <v>169</v>
      </c>
      <c r="DD193">
        <v>2</v>
      </c>
      <c r="DE193" t="s">
        <v>404</v>
      </c>
      <c r="DF193" t="s">
        <v>1855</v>
      </c>
      <c r="DG193" t="s">
        <v>1865</v>
      </c>
      <c r="DL193" t="s">
        <v>170</v>
      </c>
      <c r="DM193" t="s">
        <v>169</v>
      </c>
      <c r="DP193" t="s">
        <v>170</v>
      </c>
      <c r="DQ193" t="s">
        <v>187</v>
      </c>
      <c r="DR193" t="s">
        <v>1866</v>
      </c>
      <c r="EA193" s="101"/>
      <c r="EB193">
        <v>9</v>
      </c>
      <c r="EC193">
        <v>10</v>
      </c>
      <c r="EE193" t="s">
        <v>1867</v>
      </c>
      <c r="EF193">
        <v>10</v>
      </c>
      <c r="EU193">
        <v>5250</v>
      </c>
      <c r="EW193">
        <v>0</v>
      </c>
      <c r="EX193">
        <v>0</v>
      </c>
      <c r="EY193">
        <v>0</v>
      </c>
      <c r="FA193">
        <v>9.5</v>
      </c>
      <c r="FG193">
        <v>304</v>
      </c>
      <c r="FH193">
        <v>258</v>
      </c>
      <c r="FI193">
        <v>283</v>
      </c>
    </row>
    <row r="194" spans="1:165" x14ac:dyDescent="0.35">
      <c r="A194" s="25"/>
      <c r="B194" s="25"/>
      <c r="C194" s="25"/>
      <c r="D194" s="25"/>
      <c r="E194" s="25"/>
      <c r="F194" s="25" t="str">
        <f>_xlfn.CONCAT($A195," ",$B195," ",$D195)</f>
        <v>2025 General Motors BLAZER EV FWD</v>
      </c>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t="str">
        <f>_xlfn.CONCAT($A195," ",$B195," ",$D195)</f>
        <v>2025 General Motors BLAZER EV FWD</v>
      </c>
      <c r="AE194" s="25"/>
      <c r="AF194" s="25"/>
      <c r="AG194" s="25"/>
      <c r="AH194" s="25"/>
      <c r="AI194" s="25"/>
      <c r="AJ194" s="25"/>
      <c r="AK194" s="25"/>
      <c r="AL194" s="25"/>
      <c r="AM194" s="25"/>
      <c r="AN194" s="25"/>
      <c r="AO194" s="25"/>
      <c r="AP194" s="25"/>
      <c r="AQ194" s="25"/>
      <c r="AR194" s="25"/>
      <c r="AS194" s="25"/>
      <c r="AT194" s="25"/>
      <c r="AU194" s="25"/>
      <c r="AV194" s="25"/>
      <c r="AW194" s="25"/>
      <c r="AX194" s="25" t="str">
        <f>_xlfn.CONCAT($A195," ",$B195," ",$D195)</f>
        <v>2025 General Motors BLAZER EV FWD</v>
      </c>
      <c r="AY194" s="25"/>
      <c r="AZ194" s="25"/>
      <c r="BA194" s="25"/>
      <c r="BB194" s="25"/>
      <c r="BC194" s="25"/>
      <c r="BD194" s="25"/>
      <c r="BE194" s="25"/>
      <c r="BF194" s="25"/>
      <c r="BG194" s="25"/>
      <c r="BH194" s="25"/>
      <c r="BI194" s="25"/>
      <c r="BJ194" s="25"/>
      <c r="BK194" s="25"/>
      <c r="BL194" s="25"/>
      <c r="BM194" s="25"/>
      <c r="BN194" s="25"/>
      <c r="BO194" s="25"/>
      <c r="BP194" s="25"/>
      <c r="BQ194" s="25"/>
      <c r="BR194" s="25" t="str">
        <f>_xlfn.CONCAT($A195," ",$B195," ",$D195)</f>
        <v>2025 General Motors BLAZER EV FWD</v>
      </c>
      <c r="BS194" s="25"/>
      <c r="BT194" s="25"/>
      <c r="BU194" s="25"/>
      <c r="BV194" s="25"/>
      <c r="BW194" s="156"/>
      <c r="BX194" s="25"/>
      <c r="BY194" s="25"/>
      <c r="BZ194" s="25"/>
      <c r="CA194" s="25"/>
      <c r="CB194" s="25"/>
      <c r="CC194" s="25"/>
      <c r="CD194" s="25"/>
      <c r="CE194" s="25"/>
      <c r="CF194" s="25"/>
      <c r="CG194" s="25"/>
      <c r="CH194" s="25"/>
      <c r="CI194" s="25"/>
      <c r="CJ194" s="25"/>
      <c r="CK194" s="25"/>
      <c r="CL194" s="25"/>
      <c r="CM194" s="25"/>
      <c r="CN194" s="25"/>
      <c r="CO194" s="25"/>
      <c r="CP194" s="25" t="str">
        <f>_xlfn.CONCAT($A195," ",$B195," ",$D195)</f>
        <v>2025 General Motors BLAZER EV FWD</v>
      </c>
      <c r="CQ194" s="25"/>
      <c r="CR194" s="25"/>
      <c r="CS194" s="25"/>
      <c r="CT194" s="25"/>
      <c r="CU194" s="25"/>
      <c r="CV194" s="25"/>
      <c r="CW194" s="25"/>
      <c r="CX194" s="25"/>
      <c r="CY194" s="25"/>
      <c r="CZ194" s="25"/>
      <c r="DA194" s="25"/>
      <c r="DB194" s="25"/>
      <c r="DC194" s="25"/>
      <c r="DD194" s="25"/>
      <c r="DE194" s="25"/>
      <c r="DF194" s="25"/>
      <c r="DG194" s="25"/>
      <c r="DH194" s="25"/>
      <c r="DI194" s="25" t="str">
        <f>_xlfn.CONCAT($A195," ",$B195," ",$D195)</f>
        <v>2025 General Motors BLAZER EV FWD</v>
      </c>
      <c r="DJ194" s="25"/>
      <c r="DK194" s="25"/>
      <c r="DL194" s="25"/>
      <c r="DM194" s="25"/>
      <c r="DN194" s="25"/>
      <c r="DO194" s="25"/>
      <c r="DP194" s="25"/>
      <c r="DQ194" s="25"/>
      <c r="DR194" s="25"/>
      <c r="DS194" s="25"/>
      <c r="DT194" s="25"/>
      <c r="DU194" s="25"/>
      <c r="DV194" s="25"/>
      <c r="DW194" s="25"/>
      <c r="DX194" s="25"/>
      <c r="DY194" s="25"/>
      <c r="DZ194" s="25" t="str">
        <f>_xlfn.CONCAT($A195," ",$B195," ",$D195)</f>
        <v>2025 General Motors BLAZER EV FWD</v>
      </c>
      <c r="EA194" s="89"/>
      <c r="EB194" s="25"/>
      <c r="EC194" s="25"/>
      <c r="ED194" s="25"/>
      <c r="EE194" s="25"/>
      <c r="EF194" s="25"/>
      <c r="EG194" s="25"/>
      <c r="EH194" s="25"/>
      <c r="EI194" s="25"/>
      <c r="EJ194" s="25"/>
      <c r="EK194" s="25"/>
      <c r="EL194" s="25"/>
      <c r="EM194" s="25"/>
      <c r="EN194" s="25"/>
      <c r="EO194" s="25"/>
      <c r="EP194" s="25"/>
      <c r="EQ194" s="25"/>
      <c r="ER194" s="25"/>
      <c r="ES194" s="25"/>
      <c r="ET194" s="25"/>
      <c r="EU194" s="25"/>
      <c r="EV194" s="25" t="str">
        <f>_xlfn.CONCAT($A195," ",$B195," ",$D195)</f>
        <v>2025 General Motors BLAZER EV FWD</v>
      </c>
      <c r="EW194" s="25"/>
      <c r="EX194" s="25"/>
      <c r="EY194" s="25"/>
      <c r="EZ194" s="25"/>
      <c r="FA194" s="25"/>
      <c r="FB194" s="25"/>
      <c r="FC194" s="25"/>
      <c r="FD194" s="25"/>
      <c r="FE194" s="25"/>
      <c r="FF194" s="25"/>
      <c r="FG194" s="25"/>
    </row>
    <row r="195" spans="1:165" x14ac:dyDescent="0.35">
      <c r="A195">
        <v>2025</v>
      </c>
      <c r="B195" t="s">
        <v>220</v>
      </c>
      <c r="C195" t="s">
        <v>221</v>
      </c>
      <c r="D195" t="s">
        <v>1869</v>
      </c>
      <c r="E195" t="s">
        <v>223</v>
      </c>
      <c r="F195">
        <v>402</v>
      </c>
      <c r="G195">
        <v>0</v>
      </c>
      <c r="I195" t="s">
        <v>1734</v>
      </c>
      <c r="J195">
        <v>114</v>
      </c>
      <c r="K195">
        <v>95</v>
      </c>
      <c r="L195">
        <v>104</v>
      </c>
      <c r="M195">
        <v>162.4</v>
      </c>
      <c r="N195">
        <v>135.6</v>
      </c>
      <c r="O195">
        <v>149.1361</v>
      </c>
      <c r="P195">
        <v>113.68</v>
      </c>
      <c r="Q195">
        <v>94.897300000000001</v>
      </c>
      <c r="R195">
        <v>104.38290000000001</v>
      </c>
      <c r="V195" t="s">
        <v>167</v>
      </c>
      <c r="W195" t="s">
        <v>168</v>
      </c>
      <c r="X195" t="s">
        <v>1850</v>
      </c>
      <c r="Y195">
        <v>1</v>
      </c>
      <c r="Z195" t="s">
        <v>170</v>
      </c>
      <c r="AA195" t="s">
        <v>170</v>
      </c>
      <c r="AB195" t="s">
        <v>351</v>
      </c>
      <c r="AC195" t="s">
        <v>352</v>
      </c>
      <c r="AF195">
        <v>312</v>
      </c>
      <c r="AG195" t="s">
        <v>1735</v>
      </c>
      <c r="AH195" t="s">
        <v>1736</v>
      </c>
      <c r="AI195" t="s">
        <v>175</v>
      </c>
      <c r="AJ195" t="s">
        <v>176</v>
      </c>
      <c r="AK195">
        <v>4</v>
      </c>
      <c r="AL195" t="s">
        <v>1737</v>
      </c>
      <c r="AO195">
        <v>106</v>
      </c>
      <c r="AP195">
        <v>26</v>
      </c>
      <c r="AS195">
        <v>750</v>
      </c>
      <c r="AT195">
        <v>0</v>
      </c>
      <c r="BQ195">
        <v>30</v>
      </c>
      <c r="BR195" t="s">
        <v>1099</v>
      </c>
      <c r="BT195" t="s">
        <v>1738</v>
      </c>
      <c r="BU195" s="1">
        <v>45639</v>
      </c>
      <c r="BV195">
        <v>35997</v>
      </c>
      <c r="BW195" s="155"/>
      <c r="BX195" t="s">
        <v>170</v>
      </c>
      <c r="BY195" t="s">
        <v>170</v>
      </c>
      <c r="CB195" t="s">
        <v>170</v>
      </c>
      <c r="CC195" t="s">
        <v>170</v>
      </c>
      <c r="CK195" t="s">
        <v>233</v>
      </c>
      <c r="CM195">
        <v>1</v>
      </c>
      <c r="CN195" t="s">
        <v>234</v>
      </c>
      <c r="CP195">
        <v>336</v>
      </c>
      <c r="CQ195">
        <v>290</v>
      </c>
      <c r="CR195">
        <v>155</v>
      </c>
      <c r="CS195" t="s">
        <v>1752</v>
      </c>
      <c r="CV195" t="s">
        <v>341</v>
      </c>
      <c r="CX195" t="s">
        <v>729</v>
      </c>
      <c r="CY195" t="s">
        <v>170</v>
      </c>
      <c r="DD195">
        <v>1</v>
      </c>
      <c r="DE195" t="s">
        <v>404</v>
      </c>
      <c r="DF195" t="s">
        <v>1860</v>
      </c>
      <c r="DG195">
        <v>180</v>
      </c>
      <c r="DL195" t="s">
        <v>170</v>
      </c>
      <c r="DM195" t="s">
        <v>169</v>
      </c>
      <c r="DP195" t="s">
        <v>170</v>
      </c>
      <c r="DQ195" t="s">
        <v>187</v>
      </c>
      <c r="DR195" t="s">
        <v>1870</v>
      </c>
      <c r="EA195" s="101"/>
      <c r="EB195">
        <v>9</v>
      </c>
      <c r="EC195">
        <v>10</v>
      </c>
      <c r="EE195" t="s">
        <v>1871</v>
      </c>
      <c r="EF195">
        <v>10</v>
      </c>
      <c r="EU195">
        <v>5750</v>
      </c>
      <c r="EW195">
        <v>0</v>
      </c>
      <c r="EX195">
        <v>0</v>
      </c>
      <c r="EY195">
        <v>0</v>
      </c>
      <c r="FA195">
        <v>9.5</v>
      </c>
      <c r="FG195">
        <v>337</v>
      </c>
      <c r="FH195">
        <v>281</v>
      </c>
      <c r="FI195">
        <v>312</v>
      </c>
    </row>
    <row r="196" spans="1:165" x14ac:dyDescent="0.35">
      <c r="A196">
        <v>2025</v>
      </c>
      <c r="B196" t="s">
        <v>220</v>
      </c>
      <c r="C196" t="s">
        <v>221</v>
      </c>
      <c r="D196" t="s">
        <v>1869</v>
      </c>
      <c r="E196" t="s">
        <v>223</v>
      </c>
      <c r="F196">
        <v>402</v>
      </c>
      <c r="G196">
        <v>0</v>
      </c>
      <c r="I196" t="s">
        <v>1734</v>
      </c>
      <c r="J196">
        <v>30</v>
      </c>
      <c r="K196">
        <v>36</v>
      </c>
      <c r="L196">
        <v>32</v>
      </c>
      <c r="M196">
        <v>20.746200000000002</v>
      </c>
      <c r="N196">
        <v>24.8611</v>
      </c>
      <c r="O196">
        <v>22.597899999999999</v>
      </c>
      <c r="P196">
        <v>29.649000000000001</v>
      </c>
      <c r="Q196">
        <v>35.517400000000002</v>
      </c>
      <c r="R196">
        <v>32.2898</v>
      </c>
      <c r="V196" t="s">
        <v>167</v>
      </c>
      <c r="W196" t="s">
        <v>168</v>
      </c>
      <c r="X196" t="s">
        <v>1850</v>
      </c>
      <c r="Y196">
        <v>1</v>
      </c>
      <c r="Z196" t="s">
        <v>170</v>
      </c>
      <c r="AA196" t="s">
        <v>170</v>
      </c>
      <c r="AB196" t="s">
        <v>351</v>
      </c>
      <c r="AC196" t="s">
        <v>352</v>
      </c>
      <c r="AF196">
        <v>312</v>
      </c>
      <c r="AG196" t="s">
        <v>1735</v>
      </c>
      <c r="AH196" t="s">
        <v>1736</v>
      </c>
      <c r="AI196" t="s">
        <v>1742</v>
      </c>
      <c r="AJ196" t="s">
        <v>1743</v>
      </c>
      <c r="AK196">
        <v>4</v>
      </c>
      <c r="AL196" t="s">
        <v>1737</v>
      </c>
      <c r="AO196">
        <v>106</v>
      </c>
      <c r="AP196">
        <v>26</v>
      </c>
      <c r="AS196">
        <v>750</v>
      </c>
      <c r="AT196">
        <v>750</v>
      </c>
      <c r="BQ196">
        <v>30</v>
      </c>
      <c r="BR196" t="s">
        <v>1099</v>
      </c>
      <c r="BT196" t="s">
        <v>1738</v>
      </c>
      <c r="BU196" s="1">
        <v>45639</v>
      </c>
      <c r="BV196">
        <v>35997</v>
      </c>
      <c r="BW196" s="155"/>
      <c r="BX196" t="s">
        <v>170</v>
      </c>
      <c r="BY196" t="s">
        <v>170</v>
      </c>
      <c r="CB196" t="s">
        <v>170</v>
      </c>
      <c r="CC196" t="s">
        <v>170</v>
      </c>
      <c r="CK196" t="s">
        <v>233</v>
      </c>
      <c r="CM196">
        <v>1</v>
      </c>
      <c r="CN196" t="s">
        <v>234</v>
      </c>
      <c r="CP196">
        <v>336</v>
      </c>
      <c r="CQ196">
        <v>290</v>
      </c>
      <c r="CR196">
        <v>155</v>
      </c>
      <c r="CS196" t="s">
        <v>1752</v>
      </c>
      <c r="CV196" t="s">
        <v>341</v>
      </c>
      <c r="CX196" t="s">
        <v>729</v>
      </c>
      <c r="CY196" t="s">
        <v>170</v>
      </c>
      <c r="DD196">
        <v>1</v>
      </c>
      <c r="DE196" t="s">
        <v>404</v>
      </c>
      <c r="DF196" t="s">
        <v>1860</v>
      </c>
      <c r="DG196">
        <v>180</v>
      </c>
      <c r="DL196" t="s">
        <v>170</v>
      </c>
      <c r="DM196" t="s">
        <v>169</v>
      </c>
      <c r="DP196" t="s">
        <v>170</v>
      </c>
      <c r="DQ196" t="s">
        <v>187</v>
      </c>
      <c r="DR196" t="s">
        <v>1870</v>
      </c>
      <c r="EA196" s="101"/>
      <c r="EB196">
        <v>9</v>
      </c>
      <c r="EC196">
        <v>10</v>
      </c>
      <c r="EE196" t="s">
        <v>1871</v>
      </c>
      <c r="EF196">
        <v>10</v>
      </c>
      <c r="EU196">
        <v>5750</v>
      </c>
      <c r="EW196">
        <v>0</v>
      </c>
      <c r="EX196">
        <v>0</v>
      </c>
      <c r="EY196">
        <v>0</v>
      </c>
      <c r="FA196">
        <v>9.5</v>
      </c>
      <c r="FG196">
        <v>337</v>
      </c>
      <c r="FH196">
        <v>281</v>
      </c>
      <c r="FI196">
        <v>312</v>
      </c>
    </row>
    <row r="197" spans="1:165" x14ac:dyDescent="0.35">
      <c r="A197" s="25"/>
      <c r="B197" s="25"/>
      <c r="C197" s="25"/>
      <c r="D197" s="25"/>
      <c r="E197" s="25"/>
      <c r="F197" s="25" t="str">
        <f>_xlfn.CONCAT($A198," ",$B198," ",$D198)</f>
        <v>2025 General Motors BLAZER EV FWD, 22 inch tire</v>
      </c>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t="str">
        <f>_xlfn.CONCAT($A198," ",$B198," ",$D198)</f>
        <v>2025 General Motors BLAZER EV FWD, 22 inch tire</v>
      </c>
      <c r="AE197" s="25"/>
      <c r="AF197" s="25"/>
      <c r="AG197" s="25"/>
      <c r="AH197" s="25"/>
      <c r="AI197" s="25"/>
      <c r="AJ197" s="25"/>
      <c r="AK197" s="25"/>
      <c r="AL197" s="25"/>
      <c r="AM197" s="25"/>
      <c r="AN197" s="25"/>
      <c r="AO197" s="25"/>
      <c r="AP197" s="25"/>
      <c r="AQ197" s="25"/>
      <c r="AR197" s="25"/>
      <c r="AS197" s="25"/>
      <c r="AT197" s="25"/>
      <c r="AU197" s="25"/>
      <c r="AV197" s="25"/>
      <c r="AW197" s="25"/>
      <c r="AX197" s="25" t="str">
        <f>_xlfn.CONCAT($A198," ",$B198," ",$D198)</f>
        <v>2025 General Motors BLAZER EV FWD, 22 inch tire</v>
      </c>
      <c r="AY197" s="25"/>
      <c r="AZ197" s="25"/>
      <c r="BA197" s="25"/>
      <c r="BB197" s="25"/>
      <c r="BC197" s="25"/>
      <c r="BD197" s="25"/>
      <c r="BE197" s="25"/>
      <c r="BF197" s="25"/>
      <c r="BG197" s="25"/>
      <c r="BH197" s="25"/>
      <c r="BI197" s="25"/>
      <c r="BJ197" s="25"/>
      <c r="BK197" s="25"/>
      <c r="BL197" s="25"/>
      <c r="BM197" s="25"/>
      <c r="BN197" s="25"/>
      <c r="BO197" s="25"/>
      <c r="BP197" s="25"/>
      <c r="BQ197" s="25"/>
      <c r="BR197" s="25" t="str">
        <f>_xlfn.CONCAT($A198," ",$B198," ",$D198)</f>
        <v>2025 General Motors BLAZER EV FWD, 22 inch tire</v>
      </c>
      <c r="BS197" s="25"/>
      <c r="BT197" s="25"/>
      <c r="BU197" s="25"/>
      <c r="BV197" s="25"/>
      <c r="BW197" s="156"/>
      <c r="BX197" s="25"/>
      <c r="BY197" s="25"/>
      <c r="BZ197" s="25"/>
      <c r="CA197" s="25"/>
      <c r="CB197" s="25"/>
      <c r="CC197" s="25"/>
      <c r="CD197" s="25"/>
      <c r="CE197" s="25"/>
      <c r="CF197" s="25"/>
      <c r="CG197" s="25"/>
      <c r="CH197" s="25"/>
      <c r="CI197" s="25"/>
      <c r="CJ197" s="25"/>
      <c r="CK197" s="25"/>
      <c r="CL197" s="25"/>
      <c r="CM197" s="25"/>
      <c r="CN197" s="25"/>
      <c r="CO197" s="25"/>
      <c r="CP197" s="25" t="str">
        <f>_xlfn.CONCAT($A198," ",$B198," ",$D198)</f>
        <v>2025 General Motors BLAZER EV FWD, 22 inch tire</v>
      </c>
      <c r="CQ197" s="25"/>
      <c r="CR197" s="25"/>
      <c r="CS197" s="25"/>
      <c r="CT197" s="25"/>
      <c r="CU197" s="25"/>
      <c r="CV197" s="25"/>
      <c r="CW197" s="25"/>
      <c r="CX197" s="25"/>
      <c r="CY197" s="25"/>
      <c r="CZ197" s="25"/>
      <c r="DA197" s="25"/>
      <c r="DB197" s="25"/>
      <c r="DC197" s="25"/>
      <c r="DD197" s="25"/>
      <c r="DE197" s="25"/>
      <c r="DF197" s="25"/>
      <c r="DG197" s="25"/>
      <c r="DH197" s="25"/>
      <c r="DI197" s="25" t="str">
        <f>_xlfn.CONCAT($A198," ",$B198," ",$D198)</f>
        <v>2025 General Motors BLAZER EV FWD, 22 inch tire</v>
      </c>
      <c r="DJ197" s="25"/>
      <c r="DK197" s="25"/>
      <c r="DL197" s="25"/>
      <c r="DM197" s="25"/>
      <c r="DN197" s="25"/>
      <c r="DO197" s="25"/>
      <c r="DP197" s="25"/>
      <c r="DQ197" s="25"/>
      <c r="DR197" s="25"/>
      <c r="DS197" s="25"/>
      <c r="DT197" s="25"/>
      <c r="DU197" s="25"/>
      <c r="DV197" s="25"/>
      <c r="DW197" s="25"/>
      <c r="DX197" s="25"/>
      <c r="DY197" s="25"/>
      <c r="DZ197" s="25" t="str">
        <f>_xlfn.CONCAT($A198," ",$B198," ",$D198)</f>
        <v>2025 General Motors BLAZER EV FWD, 22 inch tire</v>
      </c>
      <c r="EA197" s="89"/>
      <c r="EB197" s="25"/>
      <c r="EC197" s="25"/>
      <c r="ED197" s="25"/>
      <c r="EE197" s="25"/>
      <c r="EF197" s="25"/>
      <c r="EG197" s="25"/>
      <c r="EH197" s="25"/>
      <c r="EI197" s="25"/>
      <c r="EJ197" s="25"/>
      <c r="EK197" s="25"/>
      <c r="EL197" s="25"/>
      <c r="EM197" s="25"/>
      <c r="EN197" s="25"/>
      <c r="EO197" s="25"/>
      <c r="EP197" s="25"/>
      <c r="EQ197" s="25"/>
      <c r="ER197" s="25"/>
      <c r="ES197" s="25"/>
      <c r="ET197" s="25"/>
      <c r="EU197" s="25"/>
      <c r="EV197" s="25" t="str">
        <f>_xlfn.CONCAT($A198," ",$B198," ",$D198)</f>
        <v>2025 General Motors BLAZER EV FWD, 22 inch tire</v>
      </c>
      <c r="EW197" s="25"/>
      <c r="EX197" s="25"/>
      <c r="EY197" s="25"/>
      <c r="EZ197" s="25"/>
      <c r="FA197" s="25"/>
      <c r="FB197" s="25"/>
      <c r="FC197" s="25"/>
      <c r="FD197" s="25"/>
      <c r="FE197" s="25"/>
      <c r="FF197" s="25"/>
      <c r="FG197" s="25"/>
    </row>
    <row r="198" spans="1:165" x14ac:dyDescent="0.35">
      <c r="A198">
        <v>2025</v>
      </c>
      <c r="B198" t="s">
        <v>220</v>
      </c>
      <c r="C198" t="s">
        <v>221</v>
      </c>
      <c r="D198" t="s">
        <v>1872</v>
      </c>
      <c r="E198" t="s">
        <v>223</v>
      </c>
      <c r="F198">
        <v>403</v>
      </c>
      <c r="G198">
        <v>0</v>
      </c>
      <c r="I198" t="s">
        <v>1734</v>
      </c>
      <c r="J198">
        <v>103</v>
      </c>
      <c r="K198">
        <v>86</v>
      </c>
      <c r="L198">
        <v>95</v>
      </c>
      <c r="M198">
        <v>147.6</v>
      </c>
      <c r="N198">
        <v>122.4</v>
      </c>
      <c r="O198">
        <v>135.0848</v>
      </c>
      <c r="P198">
        <v>103.32</v>
      </c>
      <c r="Q198">
        <v>85.68</v>
      </c>
      <c r="R198">
        <v>94.559399999999997</v>
      </c>
      <c r="V198" t="s">
        <v>167</v>
      </c>
      <c r="W198" t="s">
        <v>168</v>
      </c>
      <c r="X198" t="s">
        <v>1850</v>
      </c>
      <c r="Y198">
        <v>1</v>
      </c>
      <c r="Z198" t="s">
        <v>170</v>
      </c>
      <c r="AA198" t="s">
        <v>170</v>
      </c>
      <c r="AB198" t="s">
        <v>351</v>
      </c>
      <c r="AC198" t="s">
        <v>352</v>
      </c>
      <c r="AF198">
        <v>283</v>
      </c>
      <c r="AG198" t="s">
        <v>1735</v>
      </c>
      <c r="AH198" t="s">
        <v>1736</v>
      </c>
      <c r="AI198" t="s">
        <v>175</v>
      </c>
      <c r="AJ198" t="s">
        <v>176</v>
      </c>
      <c r="AK198">
        <v>4</v>
      </c>
      <c r="AL198" t="s">
        <v>1737</v>
      </c>
      <c r="AO198">
        <v>106</v>
      </c>
      <c r="AP198">
        <v>26</v>
      </c>
      <c r="AS198">
        <v>850</v>
      </c>
      <c r="AT198">
        <v>50</v>
      </c>
      <c r="BQ198">
        <v>30</v>
      </c>
      <c r="BR198" t="s">
        <v>1099</v>
      </c>
      <c r="BT198" t="s">
        <v>1738</v>
      </c>
      <c r="BU198" s="1">
        <v>45639</v>
      </c>
      <c r="BV198">
        <v>35998</v>
      </c>
      <c r="BW198" s="155"/>
      <c r="BX198" t="s">
        <v>169</v>
      </c>
      <c r="BY198" t="s">
        <v>170</v>
      </c>
      <c r="CB198" t="s">
        <v>170</v>
      </c>
      <c r="CC198" t="s">
        <v>170</v>
      </c>
      <c r="CK198" t="s">
        <v>233</v>
      </c>
      <c r="CM198">
        <v>1</v>
      </c>
      <c r="CN198" t="s">
        <v>234</v>
      </c>
      <c r="CP198">
        <v>336</v>
      </c>
      <c r="CQ198">
        <v>290</v>
      </c>
      <c r="CR198">
        <v>155</v>
      </c>
      <c r="CS198" t="s">
        <v>1752</v>
      </c>
      <c r="CV198" t="s">
        <v>341</v>
      </c>
      <c r="CX198" t="s">
        <v>729</v>
      </c>
      <c r="CY198" t="s">
        <v>170</v>
      </c>
      <c r="DD198">
        <v>1</v>
      </c>
      <c r="DE198" t="s">
        <v>404</v>
      </c>
      <c r="DF198" t="s">
        <v>1860</v>
      </c>
      <c r="DG198">
        <v>180</v>
      </c>
      <c r="DL198" t="s">
        <v>170</v>
      </c>
      <c r="DM198" t="s">
        <v>169</v>
      </c>
      <c r="DP198" t="s">
        <v>170</v>
      </c>
      <c r="DQ198" t="s">
        <v>187</v>
      </c>
      <c r="DR198" t="s">
        <v>1873</v>
      </c>
      <c r="EA198" s="101"/>
      <c r="EB198">
        <v>9</v>
      </c>
      <c r="EC198">
        <v>10</v>
      </c>
      <c r="EE198" t="s">
        <v>1871</v>
      </c>
      <c r="EF198">
        <v>10</v>
      </c>
      <c r="EU198">
        <v>5250</v>
      </c>
      <c r="EW198">
        <v>0</v>
      </c>
      <c r="EX198">
        <v>0</v>
      </c>
      <c r="EY198">
        <v>0</v>
      </c>
      <c r="FA198">
        <v>9.5</v>
      </c>
      <c r="FG198">
        <v>307</v>
      </c>
      <c r="FH198">
        <v>254</v>
      </c>
      <c r="FI198">
        <v>283</v>
      </c>
    </row>
    <row r="199" spans="1:165" x14ac:dyDescent="0.35">
      <c r="A199">
        <v>2025</v>
      </c>
      <c r="B199" t="s">
        <v>220</v>
      </c>
      <c r="C199" t="s">
        <v>221</v>
      </c>
      <c r="D199" t="s">
        <v>1872</v>
      </c>
      <c r="E199" t="s">
        <v>223</v>
      </c>
      <c r="F199">
        <v>403</v>
      </c>
      <c r="G199">
        <v>0</v>
      </c>
      <c r="I199" t="s">
        <v>1734</v>
      </c>
      <c r="J199">
        <v>33</v>
      </c>
      <c r="K199">
        <v>39</v>
      </c>
      <c r="L199">
        <v>36</v>
      </c>
      <c r="M199">
        <v>22.8291</v>
      </c>
      <c r="N199">
        <v>27.525600000000001</v>
      </c>
      <c r="O199">
        <v>24.942499999999999</v>
      </c>
      <c r="P199">
        <v>32.622</v>
      </c>
      <c r="Q199">
        <v>39.338200000000001</v>
      </c>
      <c r="R199">
        <v>35.644300000000001</v>
      </c>
      <c r="V199" t="s">
        <v>167</v>
      </c>
      <c r="W199" t="s">
        <v>168</v>
      </c>
      <c r="X199" t="s">
        <v>1850</v>
      </c>
      <c r="Y199">
        <v>1</v>
      </c>
      <c r="Z199" t="s">
        <v>170</v>
      </c>
      <c r="AA199" t="s">
        <v>170</v>
      </c>
      <c r="AB199" t="s">
        <v>351</v>
      </c>
      <c r="AC199" t="s">
        <v>352</v>
      </c>
      <c r="AF199">
        <v>283</v>
      </c>
      <c r="AG199" t="s">
        <v>1735</v>
      </c>
      <c r="AH199" t="s">
        <v>1736</v>
      </c>
      <c r="AI199" t="s">
        <v>1742</v>
      </c>
      <c r="AJ199" t="s">
        <v>1743</v>
      </c>
      <c r="AK199">
        <v>4</v>
      </c>
      <c r="AL199" t="s">
        <v>1737</v>
      </c>
      <c r="AO199">
        <v>106</v>
      </c>
      <c r="AP199">
        <v>26</v>
      </c>
      <c r="AS199">
        <v>850</v>
      </c>
      <c r="AT199">
        <v>850</v>
      </c>
      <c r="BQ199">
        <v>30</v>
      </c>
      <c r="BR199" t="s">
        <v>1099</v>
      </c>
      <c r="BT199" t="s">
        <v>1738</v>
      </c>
      <c r="BU199" s="1">
        <v>45639</v>
      </c>
      <c r="BV199">
        <v>35998</v>
      </c>
      <c r="BW199" s="155"/>
      <c r="BX199" t="s">
        <v>169</v>
      </c>
      <c r="BY199" t="s">
        <v>170</v>
      </c>
      <c r="CB199" t="s">
        <v>170</v>
      </c>
      <c r="CC199" t="s">
        <v>170</v>
      </c>
      <c r="CK199" t="s">
        <v>233</v>
      </c>
      <c r="CM199">
        <v>1</v>
      </c>
      <c r="CN199" t="s">
        <v>234</v>
      </c>
      <c r="CP199">
        <v>336</v>
      </c>
      <c r="CQ199">
        <v>290</v>
      </c>
      <c r="CR199">
        <v>155</v>
      </c>
      <c r="CS199" t="s">
        <v>1752</v>
      </c>
      <c r="CV199" t="s">
        <v>341</v>
      </c>
      <c r="CX199" t="s">
        <v>729</v>
      </c>
      <c r="CY199" t="s">
        <v>170</v>
      </c>
      <c r="DD199">
        <v>1</v>
      </c>
      <c r="DE199" t="s">
        <v>404</v>
      </c>
      <c r="DF199" t="s">
        <v>1860</v>
      </c>
      <c r="DG199">
        <v>180</v>
      </c>
      <c r="DL199" t="s">
        <v>170</v>
      </c>
      <c r="DM199" t="s">
        <v>169</v>
      </c>
      <c r="DP199" t="s">
        <v>170</v>
      </c>
      <c r="DQ199" t="s">
        <v>187</v>
      </c>
      <c r="DR199" t="s">
        <v>1873</v>
      </c>
      <c r="EA199" s="101"/>
      <c r="EB199">
        <v>9</v>
      </c>
      <c r="EC199">
        <v>10</v>
      </c>
      <c r="EE199" t="s">
        <v>1871</v>
      </c>
      <c r="EF199">
        <v>10</v>
      </c>
      <c r="EU199">
        <v>5250</v>
      </c>
      <c r="EW199">
        <v>0</v>
      </c>
      <c r="EX199">
        <v>0</v>
      </c>
      <c r="EY199">
        <v>0</v>
      </c>
      <c r="FA199">
        <v>9.5</v>
      </c>
      <c r="FG199">
        <v>307</v>
      </c>
      <c r="FH199">
        <v>254</v>
      </c>
      <c r="FI199">
        <v>283</v>
      </c>
    </row>
    <row r="200" spans="1:165" x14ac:dyDescent="0.35">
      <c r="A200" s="25"/>
      <c r="B200" s="25"/>
      <c r="C200" s="25"/>
      <c r="D200" s="25"/>
      <c r="E200" s="25"/>
      <c r="F200" s="25" t="str">
        <f>_xlfn.CONCAT($A201," ",$B201," ",$D201)</f>
        <v>2025 General Motors BLAZER EV AWD SS</v>
      </c>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t="str">
        <f>_xlfn.CONCAT($A201," ",$B201," ",$D201)</f>
        <v>2025 General Motors BLAZER EV AWD SS</v>
      </c>
      <c r="AE200" s="25"/>
      <c r="AF200" s="25"/>
      <c r="AG200" s="25"/>
      <c r="AH200" s="25"/>
      <c r="AI200" s="25"/>
      <c r="AJ200" s="25"/>
      <c r="AK200" s="25"/>
      <c r="AL200" s="25"/>
      <c r="AM200" s="25"/>
      <c r="AN200" s="25"/>
      <c r="AO200" s="25"/>
      <c r="AP200" s="25"/>
      <c r="AQ200" s="25"/>
      <c r="AR200" s="25"/>
      <c r="AS200" s="25"/>
      <c r="AT200" s="25"/>
      <c r="AU200" s="25"/>
      <c r="AV200" s="25"/>
      <c r="AW200" s="25"/>
      <c r="AX200" s="25" t="str">
        <f>_xlfn.CONCAT($A201," ",$B201," ",$D201)</f>
        <v>2025 General Motors BLAZER EV AWD SS</v>
      </c>
      <c r="AY200" s="25"/>
      <c r="AZ200" s="25"/>
      <c r="BA200" s="25"/>
      <c r="BB200" s="25"/>
      <c r="BC200" s="25"/>
      <c r="BD200" s="25"/>
      <c r="BE200" s="25"/>
      <c r="BF200" s="25"/>
      <c r="BG200" s="25"/>
      <c r="BH200" s="25"/>
      <c r="BI200" s="25"/>
      <c r="BJ200" s="25"/>
      <c r="BK200" s="25"/>
      <c r="BL200" s="25"/>
      <c r="BM200" s="25"/>
      <c r="BN200" s="25"/>
      <c r="BO200" s="25"/>
      <c r="BP200" s="25"/>
      <c r="BQ200" s="25"/>
      <c r="BR200" s="25" t="str">
        <f>_xlfn.CONCAT($A201," ",$B201," ",$D201)</f>
        <v>2025 General Motors BLAZER EV AWD SS</v>
      </c>
      <c r="BS200" s="25"/>
      <c r="BT200" s="25"/>
      <c r="BU200" s="25"/>
      <c r="BV200" s="25"/>
      <c r="BW200" s="156"/>
      <c r="BX200" s="25"/>
      <c r="BY200" s="25"/>
      <c r="BZ200" s="25"/>
      <c r="CA200" s="25"/>
      <c r="CB200" s="25"/>
      <c r="CC200" s="25"/>
      <c r="CD200" s="25"/>
      <c r="CE200" s="25"/>
      <c r="CF200" s="25"/>
      <c r="CG200" s="25"/>
      <c r="CH200" s="25"/>
      <c r="CI200" s="25"/>
      <c r="CJ200" s="25"/>
      <c r="CK200" s="25"/>
      <c r="CL200" s="25"/>
      <c r="CM200" s="25"/>
      <c r="CN200" s="25"/>
      <c r="CO200" s="25"/>
      <c r="CP200" s="25" t="str">
        <f>_xlfn.CONCAT($A201," ",$B201," ",$D201)</f>
        <v>2025 General Motors BLAZER EV AWD SS</v>
      </c>
      <c r="CQ200" s="25"/>
      <c r="CR200" s="25"/>
      <c r="CS200" s="25"/>
      <c r="CT200" s="25"/>
      <c r="CU200" s="25"/>
      <c r="CV200" s="25"/>
      <c r="CW200" s="25"/>
      <c r="CX200" s="25"/>
      <c r="CY200" s="25"/>
      <c r="CZ200" s="25"/>
      <c r="DA200" s="25"/>
      <c r="DB200" s="25"/>
      <c r="DC200" s="25"/>
      <c r="DD200" s="25"/>
      <c r="DE200" s="25"/>
      <c r="DF200" s="25"/>
      <c r="DG200" s="25"/>
      <c r="DH200" s="25"/>
      <c r="DI200" s="25" t="str">
        <f>_xlfn.CONCAT($A201," ",$B201," ",$D201)</f>
        <v>2025 General Motors BLAZER EV AWD SS</v>
      </c>
      <c r="DJ200" s="25"/>
      <c r="DK200" s="25"/>
      <c r="DL200" s="25"/>
      <c r="DM200" s="25"/>
      <c r="DN200" s="25"/>
      <c r="DO200" s="25"/>
      <c r="DP200" s="25"/>
      <c r="DQ200" s="25"/>
      <c r="DR200" s="25"/>
      <c r="DS200" s="25"/>
      <c r="DT200" s="25"/>
      <c r="DU200" s="25"/>
      <c r="DV200" s="25"/>
      <c r="DW200" s="25"/>
      <c r="DX200" s="25"/>
      <c r="DY200" s="25"/>
      <c r="DZ200" s="25" t="str">
        <f>_xlfn.CONCAT($A201," ",$B201," ",$D201)</f>
        <v>2025 General Motors BLAZER EV AWD SS</v>
      </c>
      <c r="EA200" s="89"/>
      <c r="EB200" s="25"/>
      <c r="EC200" s="25"/>
      <c r="ED200" s="25"/>
      <c r="EE200" s="25"/>
      <c r="EF200" s="25"/>
      <c r="EG200" s="25"/>
      <c r="EH200" s="25"/>
      <c r="EI200" s="25"/>
      <c r="EJ200" s="25"/>
      <c r="EK200" s="25"/>
      <c r="EL200" s="25"/>
      <c r="EM200" s="25"/>
      <c r="EN200" s="25"/>
      <c r="EO200" s="25"/>
      <c r="EP200" s="25"/>
      <c r="EQ200" s="25"/>
      <c r="ER200" s="25"/>
      <c r="ES200" s="25"/>
      <c r="ET200" s="25"/>
      <c r="EU200" s="25"/>
      <c r="EV200" s="25" t="str">
        <f>_xlfn.CONCAT($A201," ",$B201," ",$D201)</f>
        <v>2025 General Motors BLAZER EV AWD SS</v>
      </c>
      <c r="EW200" s="25"/>
      <c r="EX200" s="25"/>
      <c r="EY200" s="25"/>
      <c r="EZ200" s="25"/>
      <c r="FA200" s="25"/>
      <c r="FB200" s="25"/>
      <c r="FC200" s="25"/>
      <c r="FD200" s="25"/>
      <c r="FE200" s="25"/>
      <c r="FF200" s="25"/>
      <c r="FG200" s="25"/>
    </row>
    <row r="201" spans="1:165" x14ac:dyDescent="0.35">
      <c r="A201">
        <v>2025</v>
      </c>
      <c r="B201" t="s">
        <v>220</v>
      </c>
      <c r="C201" t="s">
        <v>221</v>
      </c>
      <c r="D201" t="s">
        <v>1868</v>
      </c>
      <c r="E201" t="s">
        <v>223</v>
      </c>
      <c r="F201">
        <v>405</v>
      </c>
      <c r="G201">
        <v>0</v>
      </c>
      <c r="I201" t="s">
        <v>1734</v>
      </c>
      <c r="J201">
        <v>92</v>
      </c>
      <c r="K201">
        <v>77</v>
      </c>
      <c r="L201">
        <v>85</v>
      </c>
      <c r="M201">
        <v>132</v>
      </c>
      <c r="N201">
        <v>110.5</v>
      </c>
      <c r="O201">
        <v>121.373</v>
      </c>
      <c r="P201">
        <v>92.4</v>
      </c>
      <c r="Q201">
        <v>77.349999999999994</v>
      </c>
      <c r="R201">
        <v>84.961100000000002</v>
      </c>
      <c r="V201" t="s">
        <v>167</v>
      </c>
      <c r="W201" t="s">
        <v>168</v>
      </c>
      <c r="X201" t="s">
        <v>1850</v>
      </c>
      <c r="Y201">
        <v>1</v>
      </c>
      <c r="Z201" t="s">
        <v>170</v>
      </c>
      <c r="AA201" t="s">
        <v>170</v>
      </c>
      <c r="AB201" t="s">
        <v>167</v>
      </c>
      <c r="AC201" t="s">
        <v>213</v>
      </c>
      <c r="AF201">
        <v>303</v>
      </c>
      <c r="AG201" t="s">
        <v>1735</v>
      </c>
      <c r="AH201" t="s">
        <v>1736</v>
      </c>
      <c r="AI201" t="s">
        <v>175</v>
      </c>
      <c r="AJ201" t="s">
        <v>176</v>
      </c>
      <c r="AK201">
        <v>4</v>
      </c>
      <c r="AL201" t="s">
        <v>1737</v>
      </c>
      <c r="AO201">
        <v>104</v>
      </c>
      <c r="AP201">
        <v>26</v>
      </c>
      <c r="AS201">
        <v>950</v>
      </c>
      <c r="AT201">
        <v>50</v>
      </c>
      <c r="BQ201">
        <v>31</v>
      </c>
      <c r="BR201" t="s">
        <v>1219</v>
      </c>
      <c r="BT201" t="s">
        <v>1738</v>
      </c>
      <c r="BU201" s="1">
        <v>45691</v>
      </c>
      <c r="BV201">
        <v>36070</v>
      </c>
      <c r="BW201" s="155"/>
      <c r="BX201" t="s">
        <v>170</v>
      </c>
      <c r="BY201" t="s">
        <v>170</v>
      </c>
      <c r="CB201" t="s">
        <v>170</v>
      </c>
      <c r="CC201" t="s">
        <v>170</v>
      </c>
      <c r="CK201" t="s">
        <v>233</v>
      </c>
      <c r="CM201">
        <v>1</v>
      </c>
      <c r="CN201" t="s">
        <v>234</v>
      </c>
      <c r="CP201">
        <v>403</v>
      </c>
      <c r="CQ201">
        <v>290</v>
      </c>
      <c r="CR201">
        <v>288</v>
      </c>
      <c r="CS201" t="s">
        <v>1752</v>
      </c>
      <c r="CV201" t="s">
        <v>341</v>
      </c>
      <c r="CX201" t="s">
        <v>342</v>
      </c>
      <c r="CY201" t="s">
        <v>169</v>
      </c>
      <c r="DD201">
        <v>2</v>
      </c>
      <c r="DE201" t="s">
        <v>404</v>
      </c>
      <c r="DF201" t="s">
        <v>1860</v>
      </c>
      <c r="DG201" t="s">
        <v>1852</v>
      </c>
      <c r="DL201" t="s">
        <v>170</v>
      </c>
      <c r="DM201" t="s">
        <v>170</v>
      </c>
      <c r="DP201" t="s">
        <v>170</v>
      </c>
      <c r="DQ201" t="s">
        <v>187</v>
      </c>
      <c r="DR201" t="s">
        <v>1866</v>
      </c>
      <c r="EA201" s="101"/>
      <c r="EB201">
        <v>9</v>
      </c>
      <c r="EC201">
        <v>10</v>
      </c>
      <c r="EE201" t="s">
        <v>1862</v>
      </c>
      <c r="EF201">
        <v>10</v>
      </c>
      <c r="EU201">
        <v>4750</v>
      </c>
      <c r="EW201">
        <v>0</v>
      </c>
      <c r="EX201">
        <v>0</v>
      </c>
      <c r="EY201">
        <v>0</v>
      </c>
      <c r="FA201">
        <v>11.2</v>
      </c>
      <c r="FG201">
        <v>327</v>
      </c>
      <c r="FH201">
        <v>274</v>
      </c>
      <c r="FI201">
        <v>303</v>
      </c>
    </row>
    <row r="202" spans="1:165" x14ac:dyDescent="0.35">
      <c r="A202">
        <v>2025</v>
      </c>
      <c r="B202" t="s">
        <v>220</v>
      </c>
      <c r="C202" t="s">
        <v>221</v>
      </c>
      <c r="D202" t="s">
        <v>1868</v>
      </c>
      <c r="E202" t="s">
        <v>223</v>
      </c>
      <c r="F202">
        <v>405</v>
      </c>
      <c r="G202">
        <v>0</v>
      </c>
      <c r="I202" t="s">
        <v>1734</v>
      </c>
      <c r="J202">
        <v>36</v>
      </c>
      <c r="K202">
        <v>44</v>
      </c>
      <c r="L202">
        <v>40</v>
      </c>
      <c r="M202">
        <v>25.536799999999999</v>
      </c>
      <c r="N202">
        <v>30.496300000000002</v>
      </c>
      <c r="O202">
        <v>27.768599999999999</v>
      </c>
      <c r="P202">
        <v>36.4773</v>
      </c>
      <c r="Q202">
        <v>43.5747</v>
      </c>
      <c r="R202">
        <v>39.671100000000003</v>
      </c>
      <c r="V202" t="s">
        <v>167</v>
      </c>
      <c r="W202" t="s">
        <v>168</v>
      </c>
      <c r="X202" t="s">
        <v>1850</v>
      </c>
      <c r="Y202">
        <v>1</v>
      </c>
      <c r="Z202" t="s">
        <v>170</v>
      </c>
      <c r="AA202" t="s">
        <v>170</v>
      </c>
      <c r="AB202" t="s">
        <v>167</v>
      </c>
      <c r="AC202" t="s">
        <v>213</v>
      </c>
      <c r="AF202">
        <v>303</v>
      </c>
      <c r="AG202" t="s">
        <v>1735</v>
      </c>
      <c r="AH202" t="s">
        <v>1736</v>
      </c>
      <c r="AI202" t="s">
        <v>1742</v>
      </c>
      <c r="AJ202" t="s">
        <v>1743</v>
      </c>
      <c r="AK202">
        <v>4</v>
      </c>
      <c r="AL202" t="s">
        <v>1737</v>
      </c>
      <c r="AO202">
        <v>104</v>
      </c>
      <c r="AP202">
        <v>26</v>
      </c>
      <c r="AS202">
        <v>950</v>
      </c>
      <c r="AT202">
        <v>950</v>
      </c>
      <c r="BQ202">
        <v>31</v>
      </c>
      <c r="BR202" t="s">
        <v>1219</v>
      </c>
      <c r="BT202" t="s">
        <v>1738</v>
      </c>
      <c r="BU202" s="1">
        <v>45691</v>
      </c>
      <c r="BV202">
        <v>36070</v>
      </c>
      <c r="BW202" s="155"/>
      <c r="BX202" t="s">
        <v>170</v>
      </c>
      <c r="BY202" t="s">
        <v>170</v>
      </c>
      <c r="CB202" t="s">
        <v>170</v>
      </c>
      <c r="CC202" t="s">
        <v>170</v>
      </c>
      <c r="CK202" t="s">
        <v>233</v>
      </c>
      <c r="CM202">
        <v>1</v>
      </c>
      <c r="CN202" t="s">
        <v>234</v>
      </c>
      <c r="CP202">
        <v>403</v>
      </c>
      <c r="CQ202">
        <v>290</v>
      </c>
      <c r="CR202">
        <v>288</v>
      </c>
      <c r="CS202" t="s">
        <v>1752</v>
      </c>
      <c r="CV202" t="s">
        <v>341</v>
      </c>
      <c r="CX202" t="s">
        <v>342</v>
      </c>
      <c r="CY202" t="s">
        <v>169</v>
      </c>
      <c r="DD202">
        <v>2</v>
      </c>
      <c r="DE202" t="s">
        <v>404</v>
      </c>
      <c r="DF202" t="s">
        <v>1860</v>
      </c>
      <c r="DG202" t="s">
        <v>1852</v>
      </c>
      <c r="DL202" t="s">
        <v>170</v>
      </c>
      <c r="DM202" t="s">
        <v>170</v>
      </c>
      <c r="DP202" t="s">
        <v>170</v>
      </c>
      <c r="DQ202" t="s">
        <v>187</v>
      </c>
      <c r="DR202" t="s">
        <v>1866</v>
      </c>
      <c r="EA202" s="101"/>
      <c r="EB202">
        <v>9</v>
      </c>
      <c r="EC202">
        <v>10</v>
      </c>
      <c r="EE202" t="s">
        <v>1862</v>
      </c>
      <c r="EF202">
        <v>10</v>
      </c>
      <c r="EU202">
        <v>4750</v>
      </c>
      <c r="EW202">
        <v>0</v>
      </c>
      <c r="EX202">
        <v>0</v>
      </c>
      <c r="EY202">
        <v>0</v>
      </c>
      <c r="FA202">
        <v>11.2</v>
      </c>
      <c r="FG202">
        <v>327</v>
      </c>
      <c r="FH202">
        <v>274</v>
      </c>
      <c r="FI202">
        <v>303</v>
      </c>
    </row>
    <row r="203" spans="1:165" x14ac:dyDescent="0.35">
      <c r="A203" s="25"/>
      <c r="B203" s="25"/>
      <c r="C203" s="25"/>
      <c r="D203" s="25"/>
      <c r="E203" s="25"/>
      <c r="F203" s="25" t="str">
        <f>_xlfn.CONCAT($A204," ",$B204," ",$D204)</f>
        <v>2025 General Motors EQUINOX EV FWD</v>
      </c>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t="str">
        <f>_xlfn.CONCAT($A204," ",$B204," ",$D204)</f>
        <v>2025 General Motors EQUINOX EV FWD</v>
      </c>
      <c r="AE203" s="25"/>
      <c r="AF203" s="25"/>
      <c r="AG203" s="25"/>
      <c r="AH203" s="25"/>
      <c r="AI203" s="25"/>
      <c r="AJ203" s="25"/>
      <c r="AK203" s="25"/>
      <c r="AL203" s="25"/>
      <c r="AM203" s="25"/>
      <c r="AN203" s="25"/>
      <c r="AO203" s="25"/>
      <c r="AP203" s="25"/>
      <c r="AQ203" s="25"/>
      <c r="AR203" s="25"/>
      <c r="AS203" s="25"/>
      <c r="AT203" s="25"/>
      <c r="AU203" s="25"/>
      <c r="AV203" s="25"/>
      <c r="AW203" s="25"/>
      <c r="AX203" s="25" t="str">
        <f>_xlfn.CONCAT($A204," ",$B204," ",$D204)</f>
        <v>2025 General Motors EQUINOX EV FWD</v>
      </c>
      <c r="AY203" s="25"/>
      <c r="AZ203" s="25"/>
      <c r="BA203" s="25"/>
      <c r="BB203" s="25"/>
      <c r="BC203" s="25"/>
      <c r="BD203" s="25"/>
      <c r="BE203" s="25"/>
      <c r="BF203" s="25"/>
      <c r="BG203" s="25"/>
      <c r="BH203" s="25"/>
      <c r="BI203" s="25"/>
      <c r="BJ203" s="25"/>
      <c r="BK203" s="25"/>
      <c r="BL203" s="25"/>
      <c r="BM203" s="25"/>
      <c r="BN203" s="25"/>
      <c r="BO203" s="25"/>
      <c r="BP203" s="25"/>
      <c r="BQ203" s="25"/>
      <c r="BR203" s="25" t="str">
        <f>_xlfn.CONCAT($A204," ",$B204," ",$D204)</f>
        <v>2025 General Motors EQUINOX EV FWD</v>
      </c>
      <c r="BS203" s="25"/>
      <c r="BT203" s="25"/>
      <c r="BU203" s="25"/>
      <c r="BV203" s="25"/>
      <c r="BW203" s="156"/>
      <c r="BX203" s="25"/>
      <c r="BY203" s="25"/>
      <c r="BZ203" s="25"/>
      <c r="CA203" s="25"/>
      <c r="CB203" s="25"/>
      <c r="CC203" s="25"/>
      <c r="CD203" s="25"/>
      <c r="CE203" s="25"/>
      <c r="CF203" s="25"/>
      <c r="CG203" s="25"/>
      <c r="CH203" s="25"/>
      <c r="CI203" s="25"/>
      <c r="CJ203" s="25"/>
      <c r="CK203" s="25"/>
      <c r="CL203" s="25"/>
      <c r="CM203" s="25"/>
      <c r="CN203" s="25"/>
      <c r="CO203" s="25"/>
      <c r="CP203" s="25" t="str">
        <f>_xlfn.CONCAT($A204," ",$B204," ",$D204)</f>
        <v>2025 General Motors EQUINOX EV FWD</v>
      </c>
      <c r="CQ203" s="25"/>
      <c r="CR203" s="25"/>
      <c r="CS203" s="25"/>
      <c r="CT203" s="25"/>
      <c r="CU203" s="25"/>
      <c r="CV203" s="25"/>
      <c r="CW203" s="25"/>
      <c r="CX203" s="25"/>
      <c r="CY203" s="25"/>
      <c r="CZ203" s="25"/>
      <c r="DA203" s="25"/>
      <c r="DB203" s="25"/>
      <c r="DC203" s="25"/>
      <c r="DD203" s="25"/>
      <c r="DE203" s="25"/>
      <c r="DF203" s="25"/>
      <c r="DG203" s="25"/>
      <c r="DH203" s="25"/>
      <c r="DI203" s="25" t="str">
        <f>_xlfn.CONCAT($A204," ",$B204," ",$D204)</f>
        <v>2025 General Motors EQUINOX EV FWD</v>
      </c>
      <c r="DJ203" s="25"/>
      <c r="DK203" s="25"/>
      <c r="DL203" s="25"/>
      <c r="DM203" s="25"/>
      <c r="DN203" s="25"/>
      <c r="DO203" s="25"/>
      <c r="DP203" s="25"/>
      <c r="DQ203" s="25"/>
      <c r="DR203" s="25"/>
      <c r="DS203" s="25"/>
      <c r="DT203" s="25"/>
      <c r="DU203" s="25"/>
      <c r="DV203" s="25"/>
      <c r="DW203" s="25"/>
      <c r="DX203" s="25"/>
      <c r="DY203" s="25"/>
      <c r="DZ203" s="25" t="str">
        <f>_xlfn.CONCAT($A204," ",$B204," ",$D204)</f>
        <v>2025 General Motors EQUINOX EV FWD</v>
      </c>
      <c r="EA203" s="89"/>
      <c r="EB203" s="25"/>
      <c r="EC203" s="25"/>
      <c r="ED203" s="25"/>
      <c r="EE203" s="25"/>
      <c r="EF203" s="25"/>
      <c r="EG203" s="25"/>
      <c r="EH203" s="25"/>
      <c r="EI203" s="25"/>
      <c r="EJ203" s="25"/>
      <c r="EK203" s="25"/>
      <c r="EL203" s="25"/>
      <c r="EM203" s="25"/>
      <c r="EN203" s="25"/>
      <c r="EO203" s="25"/>
      <c r="EP203" s="25"/>
      <c r="EQ203" s="25"/>
      <c r="ER203" s="25"/>
      <c r="ES203" s="25"/>
      <c r="ET203" s="25"/>
      <c r="EU203" s="25"/>
      <c r="EV203" s="25" t="str">
        <f>_xlfn.CONCAT($A204," ",$B204," ",$D204)</f>
        <v>2025 General Motors EQUINOX EV FWD</v>
      </c>
      <c r="EW203" s="25"/>
      <c r="EX203" s="25"/>
      <c r="EY203" s="25"/>
      <c r="EZ203" s="25"/>
      <c r="FA203" s="25"/>
      <c r="FB203" s="25"/>
      <c r="FC203" s="25"/>
      <c r="FD203" s="25"/>
      <c r="FE203" s="25"/>
      <c r="FF203" s="25"/>
      <c r="FG203" s="25"/>
    </row>
    <row r="204" spans="1:165" x14ac:dyDescent="0.35">
      <c r="A204">
        <v>2025</v>
      </c>
      <c r="B204" t="s">
        <v>220</v>
      </c>
      <c r="C204" t="s">
        <v>221</v>
      </c>
      <c r="D204" t="s">
        <v>1877</v>
      </c>
      <c r="E204" t="s">
        <v>223</v>
      </c>
      <c r="F204">
        <v>410</v>
      </c>
      <c r="G204">
        <v>0</v>
      </c>
      <c r="I204" t="s">
        <v>1734</v>
      </c>
      <c r="J204">
        <v>117</v>
      </c>
      <c r="K204">
        <v>100</v>
      </c>
      <c r="L204">
        <v>109</v>
      </c>
      <c r="M204">
        <v>167.2</v>
      </c>
      <c r="N204">
        <v>142.19999999999999</v>
      </c>
      <c r="O204">
        <v>154.86359999999999</v>
      </c>
      <c r="P204">
        <v>117.0042</v>
      </c>
      <c r="Q204">
        <v>99.511700000000005</v>
      </c>
      <c r="R204">
        <v>109.1326</v>
      </c>
      <c r="V204" t="s">
        <v>167</v>
      </c>
      <c r="W204" t="s">
        <v>168</v>
      </c>
      <c r="X204" t="s">
        <v>1850</v>
      </c>
      <c r="Y204">
        <v>1</v>
      </c>
      <c r="Z204" t="s">
        <v>170</v>
      </c>
      <c r="AA204" t="s">
        <v>170</v>
      </c>
      <c r="AB204" t="s">
        <v>351</v>
      </c>
      <c r="AC204" t="s">
        <v>352</v>
      </c>
      <c r="AF204">
        <v>319</v>
      </c>
      <c r="AG204" t="s">
        <v>1735</v>
      </c>
      <c r="AH204" t="s">
        <v>1736</v>
      </c>
      <c r="AI204" t="s">
        <v>175</v>
      </c>
      <c r="AJ204" t="s">
        <v>176</v>
      </c>
      <c r="AK204">
        <v>4</v>
      </c>
      <c r="AL204" t="s">
        <v>1737</v>
      </c>
      <c r="AS204">
        <v>650</v>
      </c>
      <c r="AT204">
        <v>650</v>
      </c>
      <c r="BQ204">
        <v>30</v>
      </c>
      <c r="BR204" t="s">
        <v>1099</v>
      </c>
      <c r="BT204" t="s">
        <v>1738</v>
      </c>
      <c r="BU204" s="1">
        <v>45538</v>
      </c>
      <c r="BV204">
        <v>35429</v>
      </c>
      <c r="BW204" s="155"/>
      <c r="BX204" t="s">
        <v>170</v>
      </c>
      <c r="BY204" t="s">
        <v>170</v>
      </c>
      <c r="CB204" t="s">
        <v>170</v>
      </c>
      <c r="CC204" t="s">
        <v>170</v>
      </c>
      <c r="CK204" t="s">
        <v>233</v>
      </c>
      <c r="CM204">
        <v>1</v>
      </c>
      <c r="CN204" t="s">
        <v>234</v>
      </c>
      <c r="CP204">
        <v>336</v>
      </c>
      <c r="CQ204">
        <v>290</v>
      </c>
      <c r="CR204">
        <v>155</v>
      </c>
      <c r="CS204" t="s">
        <v>1752</v>
      </c>
      <c r="CV204" t="s">
        <v>341</v>
      </c>
      <c r="CX204" t="s">
        <v>729</v>
      </c>
      <c r="CY204" t="s">
        <v>170</v>
      </c>
      <c r="DD204">
        <v>1</v>
      </c>
      <c r="DE204" t="s">
        <v>404</v>
      </c>
      <c r="DF204" t="s">
        <v>1860</v>
      </c>
      <c r="DG204" t="s">
        <v>1865</v>
      </c>
      <c r="DL204" t="s">
        <v>170</v>
      </c>
      <c r="DM204" t="s">
        <v>169</v>
      </c>
      <c r="DP204" t="s">
        <v>170</v>
      </c>
      <c r="DQ204" t="s">
        <v>187</v>
      </c>
      <c r="DR204" t="s">
        <v>1878</v>
      </c>
      <c r="EA204" s="101"/>
      <c r="EB204">
        <v>10</v>
      </c>
      <c r="EC204">
        <v>10</v>
      </c>
      <c r="EE204" t="s">
        <v>1871</v>
      </c>
      <c r="EF204">
        <v>10</v>
      </c>
      <c r="EU204">
        <v>3750</v>
      </c>
      <c r="EW204">
        <v>0</v>
      </c>
      <c r="EX204">
        <v>0</v>
      </c>
      <c r="EY204">
        <v>0</v>
      </c>
      <c r="FA204">
        <v>9.5</v>
      </c>
      <c r="FG204">
        <v>342</v>
      </c>
      <c r="FH204">
        <v>291</v>
      </c>
      <c r="FI204">
        <v>319</v>
      </c>
    </row>
    <row r="205" spans="1:165" x14ac:dyDescent="0.35">
      <c r="A205">
        <v>2025</v>
      </c>
      <c r="B205" t="s">
        <v>220</v>
      </c>
      <c r="C205" t="s">
        <v>221</v>
      </c>
      <c r="D205" t="s">
        <v>1877</v>
      </c>
      <c r="E205" t="s">
        <v>223</v>
      </c>
      <c r="F205">
        <v>410</v>
      </c>
      <c r="G205">
        <v>0</v>
      </c>
      <c r="I205" t="s">
        <v>1734</v>
      </c>
      <c r="J205">
        <v>29</v>
      </c>
      <c r="K205">
        <v>34</v>
      </c>
      <c r="L205">
        <v>31</v>
      </c>
      <c r="M205">
        <v>20.1647</v>
      </c>
      <c r="N205">
        <v>23.7135</v>
      </c>
      <c r="O205">
        <v>21.761600000000001</v>
      </c>
      <c r="P205">
        <v>28.944299999999998</v>
      </c>
      <c r="Q205">
        <v>34.045699999999997</v>
      </c>
      <c r="R205">
        <v>31.239899999999999</v>
      </c>
      <c r="V205" t="s">
        <v>167</v>
      </c>
      <c r="W205" t="s">
        <v>168</v>
      </c>
      <c r="X205" t="s">
        <v>1850</v>
      </c>
      <c r="Y205">
        <v>1</v>
      </c>
      <c r="Z205" t="s">
        <v>170</v>
      </c>
      <c r="AA205" t="s">
        <v>170</v>
      </c>
      <c r="AB205" t="s">
        <v>351</v>
      </c>
      <c r="AC205" t="s">
        <v>352</v>
      </c>
      <c r="AF205">
        <v>319</v>
      </c>
      <c r="AG205" t="s">
        <v>1735</v>
      </c>
      <c r="AH205" t="s">
        <v>1736</v>
      </c>
      <c r="AI205" t="s">
        <v>1742</v>
      </c>
      <c r="AJ205" t="s">
        <v>1743</v>
      </c>
      <c r="AK205">
        <v>4</v>
      </c>
      <c r="AL205" t="s">
        <v>1737</v>
      </c>
      <c r="AS205">
        <v>650</v>
      </c>
      <c r="AT205">
        <v>650</v>
      </c>
      <c r="BQ205">
        <v>30</v>
      </c>
      <c r="BR205" t="s">
        <v>1099</v>
      </c>
      <c r="BT205" t="s">
        <v>1738</v>
      </c>
      <c r="BU205" s="1">
        <v>45538</v>
      </c>
      <c r="BV205">
        <v>35429</v>
      </c>
      <c r="BW205" s="155"/>
      <c r="BX205" t="s">
        <v>170</v>
      </c>
      <c r="BY205" t="s">
        <v>170</v>
      </c>
      <c r="CB205" t="s">
        <v>170</v>
      </c>
      <c r="CC205" t="s">
        <v>170</v>
      </c>
      <c r="CK205" t="s">
        <v>233</v>
      </c>
      <c r="CM205">
        <v>1</v>
      </c>
      <c r="CN205" t="s">
        <v>234</v>
      </c>
      <c r="CP205">
        <v>336</v>
      </c>
      <c r="CQ205">
        <v>290</v>
      </c>
      <c r="CR205">
        <v>155</v>
      </c>
      <c r="CS205" t="s">
        <v>1752</v>
      </c>
      <c r="CV205" t="s">
        <v>341</v>
      </c>
      <c r="CX205" t="s">
        <v>729</v>
      </c>
      <c r="CY205" t="s">
        <v>170</v>
      </c>
      <c r="DD205">
        <v>1</v>
      </c>
      <c r="DE205" t="s">
        <v>404</v>
      </c>
      <c r="DF205" t="s">
        <v>1860</v>
      </c>
      <c r="DG205" t="s">
        <v>1865</v>
      </c>
      <c r="DL205" t="s">
        <v>170</v>
      </c>
      <c r="DM205" t="s">
        <v>169</v>
      </c>
      <c r="DP205" t="s">
        <v>170</v>
      </c>
      <c r="DQ205" t="s">
        <v>187</v>
      </c>
      <c r="DR205" t="s">
        <v>1878</v>
      </c>
      <c r="EA205" s="101"/>
      <c r="EB205">
        <v>10</v>
      </c>
      <c r="EC205">
        <v>10</v>
      </c>
      <c r="EE205" t="s">
        <v>1871</v>
      </c>
      <c r="EF205">
        <v>10</v>
      </c>
      <c r="EU205">
        <v>3750</v>
      </c>
      <c r="EW205">
        <v>0</v>
      </c>
      <c r="EX205">
        <v>0</v>
      </c>
      <c r="EY205">
        <v>0</v>
      </c>
      <c r="FA205">
        <v>9.5</v>
      </c>
      <c r="FG205">
        <v>342</v>
      </c>
      <c r="FH205">
        <v>291</v>
      </c>
      <c r="FI205">
        <v>319</v>
      </c>
    </row>
    <row r="206" spans="1:165" x14ac:dyDescent="0.35">
      <c r="A206" s="25"/>
      <c r="B206" s="25"/>
      <c r="C206" s="25"/>
      <c r="D206" s="25"/>
      <c r="E206" s="25"/>
      <c r="F206" s="25" t="str">
        <f>_xlfn.CONCAT($A207," ",$B207," ",$D207)</f>
        <v>2025 General Motors EQUINOX EV AWD</v>
      </c>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t="str">
        <f>_xlfn.CONCAT($A207," ",$B207," ",$D207)</f>
        <v>2025 General Motors EQUINOX EV AWD</v>
      </c>
      <c r="AE206" s="25"/>
      <c r="AF206" s="25"/>
      <c r="AG206" s="25"/>
      <c r="AH206" s="25"/>
      <c r="AI206" s="25"/>
      <c r="AJ206" s="25"/>
      <c r="AK206" s="25"/>
      <c r="AL206" s="25"/>
      <c r="AM206" s="25"/>
      <c r="AN206" s="25"/>
      <c r="AO206" s="25"/>
      <c r="AP206" s="25"/>
      <c r="AQ206" s="25"/>
      <c r="AR206" s="25"/>
      <c r="AS206" s="25"/>
      <c r="AT206" s="25"/>
      <c r="AU206" s="25"/>
      <c r="AV206" s="25"/>
      <c r="AW206" s="25"/>
      <c r="AX206" s="25" t="str">
        <f>_xlfn.CONCAT($A207," ",$B207," ",$D207)</f>
        <v>2025 General Motors EQUINOX EV AWD</v>
      </c>
      <c r="AY206" s="25"/>
      <c r="AZ206" s="25"/>
      <c r="BA206" s="25"/>
      <c r="BB206" s="25"/>
      <c r="BC206" s="25"/>
      <c r="BD206" s="25"/>
      <c r="BE206" s="25"/>
      <c r="BF206" s="25"/>
      <c r="BG206" s="25"/>
      <c r="BH206" s="25"/>
      <c r="BI206" s="25"/>
      <c r="BJ206" s="25"/>
      <c r="BK206" s="25"/>
      <c r="BL206" s="25"/>
      <c r="BM206" s="25"/>
      <c r="BN206" s="25"/>
      <c r="BO206" s="25"/>
      <c r="BP206" s="25"/>
      <c r="BQ206" s="25"/>
      <c r="BR206" s="25" t="str">
        <f>_xlfn.CONCAT($A207," ",$B207," ",$D207)</f>
        <v>2025 General Motors EQUINOX EV AWD</v>
      </c>
      <c r="BS206" s="25"/>
      <c r="BT206" s="25"/>
      <c r="BU206" s="25"/>
      <c r="BV206" s="25"/>
      <c r="BW206" s="156"/>
      <c r="BX206" s="25"/>
      <c r="BY206" s="25"/>
      <c r="BZ206" s="25"/>
      <c r="CA206" s="25"/>
      <c r="CB206" s="25"/>
      <c r="CC206" s="25"/>
      <c r="CD206" s="25"/>
      <c r="CE206" s="25"/>
      <c r="CF206" s="25"/>
      <c r="CG206" s="25"/>
      <c r="CH206" s="25"/>
      <c r="CI206" s="25"/>
      <c r="CJ206" s="25"/>
      <c r="CK206" s="25"/>
      <c r="CL206" s="25"/>
      <c r="CM206" s="25"/>
      <c r="CN206" s="25"/>
      <c r="CO206" s="25"/>
      <c r="CP206" s="25" t="str">
        <f>_xlfn.CONCAT($A207," ",$B207," ",$D207)</f>
        <v>2025 General Motors EQUINOX EV AWD</v>
      </c>
      <c r="CQ206" s="25"/>
      <c r="CR206" s="25"/>
      <c r="CS206" s="25"/>
      <c r="CT206" s="25"/>
      <c r="CU206" s="25"/>
      <c r="CV206" s="25"/>
      <c r="CW206" s="25"/>
      <c r="CX206" s="25"/>
      <c r="CY206" s="25"/>
      <c r="CZ206" s="25"/>
      <c r="DA206" s="25"/>
      <c r="DB206" s="25"/>
      <c r="DC206" s="25"/>
      <c r="DD206" s="25"/>
      <c r="DE206" s="25"/>
      <c r="DF206" s="25"/>
      <c r="DG206" s="25"/>
      <c r="DH206" s="25"/>
      <c r="DI206" s="25" t="str">
        <f>_xlfn.CONCAT($A207," ",$B207," ",$D207)</f>
        <v>2025 General Motors EQUINOX EV AWD</v>
      </c>
      <c r="DJ206" s="25"/>
      <c r="DK206" s="25"/>
      <c r="DL206" s="25"/>
      <c r="DM206" s="25"/>
      <c r="DN206" s="25"/>
      <c r="DO206" s="25"/>
      <c r="DP206" s="25"/>
      <c r="DQ206" s="25"/>
      <c r="DR206" s="25"/>
      <c r="DS206" s="25"/>
      <c r="DT206" s="25"/>
      <c r="DU206" s="25"/>
      <c r="DV206" s="25"/>
      <c r="DW206" s="25"/>
      <c r="DX206" s="25"/>
      <c r="DY206" s="25"/>
      <c r="DZ206" s="25" t="str">
        <f>_xlfn.CONCAT($A207," ",$B207," ",$D207)</f>
        <v>2025 General Motors EQUINOX EV AWD</v>
      </c>
      <c r="EA206" s="89"/>
      <c r="EB206" s="25"/>
      <c r="EC206" s="25"/>
      <c r="ED206" s="25"/>
      <c r="EE206" s="25"/>
      <c r="EF206" s="25"/>
      <c r="EG206" s="25"/>
      <c r="EH206" s="25"/>
      <c r="EI206" s="25"/>
      <c r="EJ206" s="25"/>
      <c r="EK206" s="25"/>
      <c r="EL206" s="25"/>
      <c r="EM206" s="25"/>
      <c r="EN206" s="25"/>
      <c r="EO206" s="25"/>
      <c r="EP206" s="25"/>
      <c r="EQ206" s="25"/>
      <c r="ER206" s="25"/>
      <c r="ES206" s="25"/>
      <c r="ET206" s="25"/>
      <c r="EU206" s="25"/>
      <c r="EV206" s="25" t="str">
        <f>_xlfn.CONCAT($A207," ",$B207," ",$D207)</f>
        <v>2025 General Motors EQUINOX EV AWD</v>
      </c>
      <c r="EW206" s="25"/>
      <c r="EX206" s="25"/>
      <c r="EY206" s="25"/>
      <c r="EZ206" s="25"/>
      <c r="FA206" s="25"/>
      <c r="FB206" s="25"/>
      <c r="FC206" s="25"/>
      <c r="FD206" s="25"/>
      <c r="FE206" s="25"/>
      <c r="FF206" s="25"/>
      <c r="FG206" s="25"/>
    </row>
    <row r="207" spans="1:165" x14ac:dyDescent="0.35">
      <c r="A207">
        <v>2025</v>
      </c>
      <c r="B207" t="s">
        <v>220</v>
      </c>
      <c r="C207" t="s">
        <v>221</v>
      </c>
      <c r="D207" t="s">
        <v>1875</v>
      </c>
      <c r="E207" t="s">
        <v>223</v>
      </c>
      <c r="F207">
        <v>411</v>
      </c>
      <c r="G207">
        <v>0</v>
      </c>
      <c r="I207" t="s">
        <v>1734</v>
      </c>
      <c r="J207">
        <v>112</v>
      </c>
      <c r="K207">
        <v>95</v>
      </c>
      <c r="L207">
        <v>103</v>
      </c>
      <c r="M207">
        <v>159.5</v>
      </c>
      <c r="N207">
        <v>135.30000000000001</v>
      </c>
      <c r="O207">
        <v>147.61850000000001</v>
      </c>
      <c r="P207">
        <v>111.65</v>
      </c>
      <c r="Q207">
        <v>94.71</v>
      </c>
      <c r="R207">
        <v>103.333</v>
      </c>
      <c r="V207" t="s">
        <v>167</v>
      </c>
      <c r="W207" t="s">
        <v>168</v>
      </c>
      <c r="X207" t="s">
        <v>1850</v>
      </c>
      <c r="Y207">
        <v>1</v>
      </c>
      <c r="Z207" t="s">
        <v>170</v>
      </c>
      <c r="AA207" t="s">
        <v>170</v>
      </c>
      <c r="AB207" t="s">
        <v>167</v>
      </c>
      <c r="AC207" t="s">
        <v>213</v>
      </c>
      <c r="AF207">
        <v>307</v>
      </c>
      <c r="AG207" t="s">
        <v>1735</v>
      </c>
      <c r="AH207" t="s">
        <v>1736</v>
      </c>
      <c r="AI207" t="s">
        <v>175</v>
      </c>
      <c r="AJ207" t="s">
        <v>176</v>
      </c>
      <c r="AK207">
        <v>4</v>
      </c>
      <c r="AL207" t="s">
        <v>1737</v>
      </c>
      <c r="AS207">
        <v>800</v>
      </c>
      <c r="AT207">
        <v>800</v>
      </c>
      <c r="BN207" t="s">
        <v>1859</v>
      </c>
      <c r="BQ207">
        <v>31</v>
      </c>
      <c r="BR207" t="s">
        <v>1219</v>
      </c>
      <c r="BT207" t="s">
        <v>1738</v>
      </c>
      <c r="BU207" s="1">
        <v>45566</v>
      </c>
      <c r="BV207">
        <v>35524</v>
      </c>
      <c r="BW207" s="155"/>
      <c r="BX207" t="s">
        <v>170</v>
      </c>
      <c r="BY207" t="s">
        <v>170</v>
      </c>
      <c r="CB207" t="s">
        <v>170</v>
      </c>
      <c r="CC207" t="s">
        <v>170</v>
      </c>
      <c r="CK207" t="s">
        <v>233</v>
      </c>
      <c r="CM207">
        <v>1</v>
      </c>
      <c r="CN207" t="s">
        <v>234</v>
      </c>
      <c r="CP207">
        <v>336</v>
      </c>
      <c r="CQ207">
        <v>290</v>
      </c>
      <c r="CR207">
        <v>156</v>
      </c>
      <c r="CS207" t="s">
        <v>1752</v>
      </c>
      <c r="CV207" t="s">
        <v>341</v>
      </c>
      <c r="CX207" t="s">
        <v>342</v>
      </c>
      <c r="CY207" t="s">
        <v>169</v>
      </c>
      <c r="DD207">
        <v>2</v>
      </c>
      <c r="DE207" t="s">
        <v>404</v>
      </c>
      <c r="DF207" t="s">
        <v>1855</v>
      </c>
      <c r="DG207">
        <v>180</v>
      </c>
      <c r="DL207" t="s">
        <v>170</v>
      </c>
      <c r="DM207" t="s">
        <v>169</v>
      </c>
      <c r="DP207" t="s">
        <v>170</v>
      </c>
      <c r="DQ207" t="s">
        <v>187</v>
      </c>
      <c r="DR207" t="s">
        <v>1876</v>
      </c>
      <c r="EA207" s="101"/>
      <c r="EB207">
        <v>9</v>
      </c>
      <c r="EC207">
        <v>10</v>
      </c>
      <c r="EE207" t="s">
        <v>1867</v>
      </c>
      <c r="EF207">
        <v>10</v>
      </c>
      <c r="EU207">
        <v>5500</v>
      </c>
      <c r="EW207">
        <v>0</v>
      </c>
      <c r="EX207">
        <v>0</v>
      </c>
      <c r="EY207">
        <v>0</v>
      </c>
      <c r="FA207">
        <v>9.5</v>
      </c>
      <c r="FG207">
        <v>329</v>
      </c>
      <c r="FH207">
        <v>280</v>
      </c>
      <c r="FI207">
        <v>307</v>
      </c>
    </row>
    <row r="208" spans="1:165" x14ac:dyDescent="0.35">
      <c r="A208">
        <v>2025</v>
      </c>
      <c r="B208" t="s">
        <v>220</v>
      </c>
      <c r="C208" t="s">
        <v>221</v>
      </c>
      <c r="D208" t="s">
        <v>1875</v>
      </c>
      <c r="E208" t="s">
        <v>223</v>
      </c>
      <c r="F208">
        <v>411</v>
      </c>
      <c r="G208">
        <v>0</v>
      </c>
      <c r="I208" t="s">
        <v>1734</v>
      </c>
      <c r="J208">
        <v>30</v>
      </c>
      <c r="K208">
        <v>36</v>
      </c>
      <c r="L208">
        <v>33</v>
      </c>
      <c r="M208">
        <v>21.134</v>
      </c>
      <c r="N208">
        <v>24.909700000000001</v>
      </c>
      <c r="O208">
        <v>22.833100000000002</v>
      </c>
      <c r="P208">
        <v>30.188099999999999</v>
      </c>
      <c r="Q208">
        <v>35.587600000000002</v>
      </c>
      <c r="R208">
        <v>32.617899999999999</v>
      </c>
      <c r="V208" t="s">
        <v>167</v>
      </c>
      <c r="W208" t="s">
        <v>168</v>
      </c>
      <c r="X208" t="s">
        <v>1850</v>
      </c>
      <c r="Y208">
        <v>1</v>
      </c>
      <c r="Z208" t="s">
        <v>170</v>
      </c>
      <c r="AA208" t="s">
        <v>170</v>
      </c>
      <c r="AB208" t="s">
        <v>167</v>
      </c>
      <c r="AC208" t="s">
        <v>213</v>
      </c>
      <c r="AF208">
        <v>307</v>
      </c>
      <c r="AG208" t="s">
        <v>1735</v>
      </c>
      <c r="AH208" t="s">
        <v>1736</v>
      </c>
      <c r="AI208" t="s">
        <v>1742</v>
      </c>
      <c r="AJ208" t="s">
        <v>1743</v>
      </c>
      <c r="AK208">
        <v>4</v>
      </c>
      <c r="AL208" t="s">
        <v>1737</v>
      </c>
      <c r="AS208">
        <v>800</v>
      </c>
      <c r="AT208">
        <v>800</v>
      </c>
      <c r="BN208" t="s">
        <v>1859</v>
      </c>
      <c r="BQ208">
        <v>31</v>
      </c>
      <c r="BR208" t="s">
        <v>1219</v>
      </c>
      <c r="BT208" t="s">
        <v>1738</v>
      </c>
      <c r="BU208" s="1">
        <v>45566</v>
      </c>
      <c r="BV208">
        <v>35524</v>
      </c>
      <c r="BW208" s="155"/>
      <c r="BX208" t="s">
        <v>170</v>
      </c>
      <c r="BY208" t="s">
        <v>170</v>
      </c>
      <c r="CB208" t="s">
        <v>170</v>
      </c>
      <c r="CC208" t="s">
        <v>170</v>
      </c>
      <c r="CK208" t="s">
        <v>233</v>
      </c>
      <c r="CM208">
        <v>1</v>
      </c>
      <c r="CN208" t="s">
        <v>234</v>
      </c>
      <c r="CP208">
        <v>336</v>
      </c>
      <c r="CQ208">
        <v>290</v>
      </c>
      <c r="CR208">
        <v>156</v>
      </c>
      <c r="CS208" t="s">
        <v>1752</v>
      </c>
      <c r="CV208" t="s">
        <v>341</v>
      </c>
      <c r="CX208" t="s">
        <v>342</v>
      </c>
      <c r="CY208" t="s">
        <v>169</v>
      </c>
      <c r="DD208">
        <v>2</v>
      </c>
      <c r="DE208" t="s">
        <v>404</v>
      </c>
      <c r="DF208" t="s">
        <v>1855</v>
      </c>
      <c r="DG208">
        <v>180</v>
      </c>
      <c r="DL208" t="s">
        <v>170</v>
      </c>
      <c r="DM208" t="s">
        <v>169</v>
      </c>
      <c r="DP208" t="s">
        <v>170</v>
      </c>
      <c r="DQ208" t="s">
        <v>187</v>
      </c>
      <c r="DR208" t="s">
        <v>1876</v>
      </c>
      <c r="EA208" s="101"/>
      <c r="EB208">
        <v>9</v>
      </c>
      <c r="EC208">
        <v>10</v>
      </c>
      <c r="EE208" t="s">
        <v>1867</v>
      </c>
      <c r="EF208">
        <v>10</v>
      </c>
      <c r="EU208">
        <v>5500</v>
      </c>
      <c r="EW208">
        <v>0</v>
      </c>
      <c r="EX208">
        <v>0</v>
      </c>
      <c r="EY208">
        <v>0</v>
      </c>
      <c r="FA208">
        <v>9.5</v>
      </c>
      <c r="FG208">
        <v>329</v>
      </c>
      <c r="FH208">
        <v>280</v>
      </c>
      <c r="FI208">
        <v>307</v>
      </c>
    </row>
    <row r="209" spans="1:165" x14ac:dyDescent="0.35">
      <c r="A209" s="25"/>
      <c r="B209" s="25"/>
      <c r="C209" s="25"/>
      <c r="D209" s="25"/>
      <c r="E209" s="25"/>
      <c r="F209" s="25" t="str">
        <f>_xlfn.CONCAT($A210," ",$B210," ",$D210)</f>
        <v>2025 General Motors EQUINOX EV AWD</v>
      </c>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t="str">
        <f>_xlfn.CONCAT($A210," ",$B210," ",$D210)</f>
        <v>2025 General Motors EQUINOX EV AWD</v>
      </c>
      <c r="AE209" s="25"/>
      <c r="AF209" s="25"/>
      <c r="AG209" s="25"/>
      <c r="AH209" s="25"/>
      <c r="AI209" s="25"/>
      <c r="AJ209" s="25"/>
      <c r="AK209" s="25"/>
      <c r="AL209" s="25"/>
      <c r="AM209" s="25"/>
      <c r="AN209" s="25"/>
      <c r="AO209" s="25"/>
      <c r="AP209" s="25"/>
      <c r="AQ209" s="25"/>
      <c r="AR209" s="25"/>
      <c r="AS209" s="25"/>
      <c r="AT209" s="25"/>
      <c r="AU209" s="25"/>
      <c r="AV209" s="25"/>
      <c r="AW209" s="25"/>
      <c r="AX209" s="25" t="str">
        <f>_xlfn.CONCAT($A210," ",$B210," ",$D210)</f>
        <v>2025 General Motors EQUINOX EV AWD</v>
      </c>
      <c r="AY209" s="25"/>
      <c r="AZ209" s="25"/>
      <c r="BA209" s="25"/>
      <c r="BB209" s="25"/>
      <c r="BC209" s="25"/>
      <c r="BD209" s="25"/>
      <c r="BE209" s="25"/>
      <c r="BF209" s="25"/>
      <c r="BG209" s="25"/>
      <c r="BH209" s="25"/>
      <c r="BI209" s="25"/>
      <c r="BJ209" s="25"/>
      <c r="BK209" s="25"/>
      <c r="BL209" s="25"/>
      <c r="BM209" s="25"/>
      <c r="BN209" s="25"/>
      <c r="BO209" s="25"/>
      <c r="BP209" s="25"/>
      <c r="BQ209" s="25"/>
      <c r="BR209" s="25" t="str">
        <f>_xlfn.CONCAT($A210," ",$B210," ",$D210)</f>
        <v>2025 General Motors EQUINOX EV AWD</v>
      </c>
      <c r="BS209" s="25"/>
      <c r="BT209" s="25"/>
      <c r="BU209" s="25"/>
      <c r="BV209" s="25"/>
      <c r="BW209" s="156"/>
      <c r="BX209" s="25"/>
      <c r="BY209" s="25"/>
      <c r="BZ209" s="25"/>
      <c r="CA209" s="25"/>
      <c r="CB209" s="25"/>
      <c r="CC209" s="25"/>
      <c r="CD209" s="25"/>
      <c r="CE209" s="25"/>
      <c r="CF209" s="25"/>
      <c r="CG209" s="25"/>
      <c r="CH209" s="25"/>
      <c r="CI209" s="25"/>
      <c r="CJ209" s="25"/>
      <c r="CK209" s="25"/>
      <c r="CL209" s="25"/>
      <c r="CM209" s="25"/>
      <c r="CN209" s="25"/>
      <c r="CO209" s="25"/>
      <c r="CP209" s="25" t="str">
        <f>_xlfn.CONCAT($A210," ",$B210," ",$D210)</f>
        <v>2025 General Motors EQUINOX EV AWD</v>
      </c>
      <c r="CQ209" s="25"/>
      <c r="CR209" s="25"/>
      <c r="CS209" s="25"/>
      <c r="CT209" s="25"/>
      <c r="CU209" s="25"/>
      <c r="CV209" s="25"/>
      <c r="CW209" s="25"/>
      <c r="CX209" s="25"/>
      <c r="CY209" s="25"/>
      <c r="CZ209" s="25"/>
      <c r="DA209" s="25"/>
      <c r="DB209" s="25"/>
      <c r="DC209" s="25"/>
      <c r="DD209" s="25"/>
      <c r="DE209" s="25"/>
      <c r="DF209" s="25"/>
      <c r="DG209" s="25"/>
      <c r="DH209" s="25"/>
      <c r="DI209" s="25" t="str">
        <f>_xlfn.CONCAT($A210," ",$B210," ",$D210)</f>
        <v>2025 General Motors EQUINOX EV AWD</v>
      </c>
      <c r="DJ209" s="25"/>
      <c r="DK209" s="25"/>
      <c r="DL209" s="25"/>
      <c r="DM209" s="25"/>
      <c r="DN209" s="25"/>
      <c r="DO209" s="25"/>
      <c r="DP209" s="25"/>
      <c r="DQ209" s="25"/>
      <c r="DR209" s="25"/>
      <c r="DS209" s="25"/>
      <c r="DT209" s="25"/>
      <c r="DU209" s="25"/>
      <c r="DV209" s="25"/>
      <c r="DW209" s="25"/>
      <c r="DX209" s="25"/>
      <c r="DY209" s="25"/>
      <c r="DZ209" s="25" t="str">
        <f>_xlfn.CONCAT($A210," ",$B210," ",$D210)</f>
        <v>2025 General Motors EQUINOX EV AWD</v>
      </c>
      <c r="EA209" s="89"/>
      <c r="EB209" s="25"/>
      <c r="EC209" s="25"/>
      <c r="ED209" s="25"/>
      <c r="EE209" s="25"/>
      <c r="EF209" s="25"/>
      <c r="EG209" s="25"/>
      <c r="EH209" s="25"/>
      <c r="EI209" s="25"/>
      <c r="EJ209" s="25"/>
      <c r="EK209" s="25"/>
      <c r="EL209" s="25"/>
      <c r="EM209" s="25"/>
      <c r="EN209" s="25"/>
      <c r="EO209" s="25"/>
      <c r="EP209" s="25"/>
      <c r="EQ209" s="25"/>
      <c r="ER209" s="25"/>
      <c r="ES209" s="25"/>
      <c r="ET209" s="25"/>
      <c r="EU209" s="25"/>
      <c r="EV209" s="25" t="str">
        <f>_xlfn.CONCAT($A210," ",$B210," ",$D210)</f>
        <v>2025 General Motors EQUINOX EV AWD</v>
      </c>
      <c r="EW209" s="25"/>
      <c r="EX209" s="25"/>
      <c r="EY209" s="25"/>
      <c r="EZ209" s="25"/>
      <c r="FA209" s="25"/>
      <c r="FB209" s="25"/>
      <c r="FC209" s="25"/>
      <c r="FD209" s="25"/>
      <c r="FE209" s="25"/>
      <c r="FF209" s="25"/>
      <c r="FG209" s="25"/>
    </row>
    <row r="210" spans="1:165" x14ac:dyDescent="0.35">
      <c r="A210">
        <v>2025</v>
      </c>
      <c r="B210" t="s">
        <v>220</v>
      </c>
      <c r="C210" t="s">
        <v>221</v>
      </c>
      <c r="D210" t="s">
        <v>1875</v>
      </c>
      <c r="E210" t="s">
        <v>223</v>
      </c>
      <c r="F210">
        <v>412</v>
      </c>
      <c r="G210">
        <v>0</v>
      </c>
      <c r="I210" t="s">
        <v>1734</v>
      </c>
      <c r="J210">
        <v>103</v>
      </c>
      <c r="K210">
        <v>88</v>
      </c>
      <c r="L210">
        <v>96</v>
      </c>
      <c r="M210">
        <v>147.6046</v>
      </c>
      <c r="N210">
        <v>125.7696</v>
      </c>
      <c r="O210">
        <v>137.77879999999999</v>
      </c>
      <c r="P210">
        <v>103</v>
      </c>
      <c r="Q210">
        <v>87.806399999999996</v>
      </c>
      <c r="R210">
        <v>96.162899999999993</v>
      </c>
      <c r="V210" t="s">
        <v>167</v>
      </c>
      <c r="W210" t="s">
        <v>168</v>
      </c>
      <c r="X210" t="s">
        <v>1850</v>
      </c>
      <c r="Y210">
        <v>1</v>
      </c>
      <c r="Z210" t="s">
        <v>170</v>
      </c>
      <c r="AA210" t="s">
        <v>170</v>
      </c>
      <c r="AB210" t="s">
        <v>167</v>
      </c>
      <c r="AC210" t="s">
        <v>213</v>
      </c>
      <c r="AF210">
        <v>307</v>
      </c>
      <c r="AG210" t="s">
        <v>1735</v>
      </c>
      <c r="AH210" t="s">
        <v>1736</v>
      </c>
      <c r="AI210" t="s">
        <v>175</v>
      </c>
      <c r="AJ210" t="s">
        <v>176</v>
      </c>
      <c r="AK210">
        <v>4</v>
      </c>
      <c r="AL210" t="s">
        <v>1737</v>
      </c>
      <c r="AS210">
        <v>800</v>
      </c>
      <c r="AT210">
        <v>800</v>
      </c>
      <c r="BN210" t="s">
        <v>1863</v>
      </c>
      <c r="BQ210">
        <v>31</v>
      </c>
      <c r="BR210" t="s">
        <v>1219</v>
      </c>
      <c r="BT210" t="s">
        <v>1738</v>
      </c>
      <c r="BU210" s="1">
        <v>45566</v>
      </c>
      <c r="BV210">
        <v>35638</v>
      </c>
      <c r="BW210" s="155"/>
      <c r="BX210" t="s">
        <v>170</v>
      </c>
      <c r="BY210" t="s">
        <v>170</v>
      </c>
      <c r="CB210" t="s">
        <v>170</v>
      </c>
      <c r="CC210" t="s">
        <v>170</v>
      </c>
      <c r="CK210" t="s">
        <v>233</v>
      </c>
      <c r="CM210">
        <v>1</v>
      </c>
      <c r="CN210" t="s">
        <v>234</v>
      </c>
      <c r="CP210">
        <v>336</v>
      </c>
      <c r="CQ210">
        <v>290</v>
      </c>
      <c r="CR210">
        <v>156</v>
      </c>
      <c r="CS210" t="s">
        <v>1752</v>
      </c>
      <c r="CV210" t="s">
        <v>341</v>
      </c>
      <c r="CX210" t="s">
        <v>342</v>
      </c>
      <c r="CY210" t="s">
        <v>169</v>
      </c>
      <c r="DD210">
        <v>2</v>
      </c>
      <c r="DE210" t="s">
        <v>237</v>
      </c>
      <c r="DG210" t="s">
        <v>1865</v>
      </c>
      <c r="DL210" t="s">
        <v>170</v>
      </c>
      <c r="DM210" t="s">
        <v>169</v>
      </c>
      <c r="DP210" t="s">
        <v>170</v>
      </c>
      <c r="DQ210" t="s">
        <v>187</v>
      </c>
      <c r="DR210" t="s">
        <v>1876</v>
      </c>
      <c r="EA210" s="101"/>
      <c r="EB210">
        <v>9</v>
      </c>
      <c r="EC210">
        <v>10</v>
      </c>
      <c r="EE210" t="s">
        <v>1867</v>
      </c>
      <c r="EF210">
        <v>10</v>
      </c>
      <c r="EU210">
        <v>5500</v>
      </c>
      <c r="EW210">
        <v>0</v>
      </c>
      <c r="EX210">
        <v>0</v>
      </c>
      <c r="EY210">
        <v>0</v>
      </c>
      <c r="FA210">
        <v>9.5</v>
      </c>
      <c r="FG210">
        <v>329</v>
      </c>
      <c r="FH210">
        <v>280</v>
      </c>
      <c r="FI210">
        <v>307</v>
      </c>
    </row>
    <row r="211" spans="1:165" x14ac:dyDescent="0.35">
      <c r="A211">
        <v>2025</v>
      </c>
      <c r="B211" t="s">
        <v>220</v>
      </c>
      <c r="C211" t="s">
        <v>221</v>
      </c>
      <c r="D211" t="s">
        <v>1875</v>
      </c>
      <c r="E211" t="s">
        <v>223</v>
      </c>
      <c r="F211">
        <v>412</v>
      </c>
      <c r="G211">
        <v>0</v>
      </c>
      <c r="I211" t="s">
        <v>1734</v>
      </c>
      <c r="J211">
        <v>33</v>
      </c>
      <c r="K211">
        <v>38</v>
      </c>
      <c r="L211">
        <v>35</v>
      </c>
      <c r="M211">
        <v>22.838100000000001</v>
      </c>
      <c r="N211">
        <v>26.797499999999999</v>
      </c>
      <c r="O211">
        <v>24.619900000000001</v>
      </c>
      <c r="P211">
        <v>32.621600000000001</v>
      </c>
      <c r="Q211">
        <v>38.2849</v>
      </c>
      <c r="R211">
        <v>35.170099999999998</v>
      </c>
      <c r="V211" t="s">
        <v>167</v>
      </c>
      <c r="W211" t="s">
        <v>168</v>
      </c>
      <c r="X211" t="s">
        <v>1850</v>
      </c>
      <c r="Y211">
        <v>1</v>
      </c>
      <c r="Z211" t="s">
        <v>170</v>
      </c>
      <c r="AA211" t="s">
        <v>170</v>
      </c>
      <c r="AB211" t="s">
        <v>167</v>
      </c>
      <c r="AC211" t="s">
        <v>213</v>
      </c>
      <c r="AF211">
        <v>307</v>
      </c>
      <c r="AG211" t="s">
        <v>1735</v>
      </c>
      <c r="AH211" t="s">
        <v>1736</v>
      </c>
      <c r="AI211" t="s">
        <v>1742</v>
      </c>
      <c r="AJ211" t="s">
        <v>1743</v>
      </c>
      <c r="AK211">
        <v>4</v>
      </c>
      <c r="AL211" t="s">
        <v>1737</v>
      </c>
      <c r="AS211">
        <v>800</v>
      </c>
      <c r="AT211">
        <v>800</v>
      </c>
      <c r="BN211" t="s">
        <v>1863</v>
      </c>
      <c r="BQ211">
        <v>31</v>
      </c>
      <c r="BR211" t="s">
        <v>1219</v>
      </c>
      <c r="BT211" t="s">
        <v>1738</v>
      </c>
      <c r="BU211" s="1">
        <v>45566</v>
      </c>
      <c r="BV211">
        <v>35638</v>
      </c>
      <c r="BW211" s="155"/>
      <c r="BX211" t="s">
        <v>170</v>
      </c>
      <c r="BY211" t="s">
        <v>170</v>
      </c>
      <c r="CB211" t="s">
        <v>170</v>
      </c>
      <c r="CC211" t="s">
        <v>170</v>
      </c>
      <c r="CK211" t="s">
        <v>233</v>
      </c>
      <c r="CM211">
        <v>1</v>
      </c>
      <c r="CN211" t="s">
        <v>234</v>
      </c>
      <c r="CP211">
        <v>336</v>
      </c>
      <c r="CQ211">
        <v>290</v>
      </c>
      <c r="CR211">
        <v>156</v>
      </c>
      <c r="CS211" t="s">
        <v>1752</v>
      </c>
      <c r="CV211" t="s">
        <v>341</v>
      </c>
      <c r="CX211" t="s">
        <v>342</v>
      </c>
      <c r="CY211" t="s">
        <v>169</v>
      </c>
      <c r="DD211">
        <v>2</v>
      </c>
      <c r="DE211" t="s">
        <v>237</v>
      </c>
      <c r="DG211" t="s">
        <v>1865</v>
      </c>
      <c r="DL211" t="s">
        <v>170</v>
      </c>
      <c r="DM211" t="s">
        <v>169</v>
      </c>
      <c r="DP211" t="s">
        <v>170</v>
      </c>
      <c r="DQ211" t="s">
        <v>187</v>
      </c>
      <c r="DR211" t="s">
        <v>1876</v>
      </c>
      <c r="EA211" s="101"/>
      <c r="EB211">
        <v>9</v>
      </c>
      <c r="EC211">
        <v>10</v>
      </c>
      <c r="EE211" t="s">
        <v>1867</v>
      </c>
      <c r="EF211">
        <v>10</v>
      </c>
      <c r="EU211">
        <v>5500</v>
      </c>
      <c r="EW211">
        <v>0</v>
      </c>
      <c r="EX211">
        <v>0</v>
      </c>
      <c r="EY211">
        <v>0</v>
      </c>
      <c r="FA211">
        <v>9.5</v>
      </c>
      <c r="FG211">
        <v>329</v>
      </c>
      <c r="FH211">
        <v>280</v>
      </c>
      <c r="FI211">
        <v>307</v>
      </c>
    </row>
    <row r="212" spans="1:165" x14ac:dyDescent="0.35">
      <c r="A212" s="25"/>
      <c r="B212" s="25"/>
      <c r="C212" s="25"/>
      <c r="D212" s="25"/>
      <c r="E212" s="25"/>
      <c r="F212" s="25" t="str">
        <f>_xlfn.CONCAT($A213," ",$B213," ",$D213)</f>
        <v>2025 General Motors SILVERADO EV 8WT</v>
      </c>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t="str">
        <f>_xlfn.CONCAT($A213," ",$B213," ",$D213)</f>
        <v>2025 General Motors SILVERADO EV 8WT</v>
      </c>
      <c r="AE212" s="25"/>
      <c r="AF212" s="25"/>
      <c r="AG212" s="25"/>
      <c r="AH212" s="25"/>
      <c r="AI212" s="25"/>
      <c r="AJ212" s="25"/>
      <c r="AK212" s="25"/>
      <c r="AL212" s="25"/>
      <c r="AM212" s="25"/>
      <c r="AN212" s="25"/>
      <c r="AO212" s="25"/>
      <c r="AP212" s="25"/>
      <c r="AQ212" s="25"/>
      <c r="AR212" s="25"/>
      <c r="AS212" s="25"/>
      <c r="AT212" s="25"/>
      <c r="AU212" s="25"/>
      <c r="AV212" s="25"/>
      <c r="AW212" s="25"/>
      <c r="AX212" s="25" t="str">
        <f>_xlfn.CONCAT($A213," ",$B213," ",$D213)</f>
        <v>2025 General Motors SILVERADO EV 8WT</v>
      </c>
      <c r="AY212" s="25"/>
      <c r="AZ212" s="25"/>
      <c r="BA212" s="25"/>
      <c r="BB212" s="25"/>
      <c r="BC212" s="25"/>
      <c r="BD212" s="25"/>
      <c r="BE212" s="25"/>
      <c r="BF212" s="25"/>
      <c r="BG212" s="25"/>
      <c r="BH212" s="25"/>
      <c r="BI212" s="25"/>
      <c r="BJ212" s="25"/>
      <c r="BK212" s="25"/>
      <c r="BL212" s="25"/>
      <c r="BM212" s="25"/>
      <c r="BN212" s="25"/>
      <c r="BO212" s="25"/>
      <c r="BP212" s="25"/>
      <c r="BQ212" s="25"/>
      <c r="BR212" s="25" t="str">
        <f>_xlfn.CONCAT($A213," ",$B213," ",$D213)</f>
        <v>2025 General Motors SILVERADO EV 8WT</v>
      </c>
      <c r="BS212" s="25"/>
      <c r="BT212" s="25"/>
      <c r="BU212" s="25"/>
      <c r="BV212" s="25"/>
      <c r="BW212" s="156"/>
      <c r="BX212" s="25"/>
      <c r="BY212" s="25"/>
      <c r="BZ212" s="25"/>
      <c r="CA212" s="25"/>
      <c r="CB212" s="25"/>
      <c r="CC212" s="25"/>
      <c r="CD212" s="25"/>
      <c r="CE212" s="25"/>
      <c r="CF212" s="25"/>
      <c r="CG212" s="25"/>
      <c r="CH212" s="25"/>
      <c r="CI212" s="25"/>
      <c r="CJ212" s="25"/>
      <c r="CK212" s="25"/>
      <c r="CL212" s="25"/>
      <c r="CM212" s="25"/>
      <c r="CN212" s="25"/>
      <c r="CO212" s="25"/>
      <c r="CP212" s="25" t="str">
        <f>_xlfn.CONCAT($A213," ",$B213," ",$D213)</f>
        <v>2025 General Motors SILVERADO EV 8WT</v>
      </c>
      <c r="CQ212" s="25"/>
      <c r="CR212" s="25"/>
      <c r="CS212" s="25"/>
      <c r="CT212" s="25"/>
      <c r="CU212" s="25"/>
      <c r="CV212" s="25"/>
      <c r="CW212" s="25"/>
      <c r="CX212" s="25"/>
      <c r="CY212" s="25"/>
      <c r="CZ212" s="25"/>
      <c r="DA212" s="25"/>
      <c r="DB212" s="25"/>
      <c r="DC212" s="25"/>
      <c r="DD212" s="25"/>
      <c r="DE212" s="25"/>
      <c r="DF212" s="25"/>
      <c r="DG212" s="25"/>
      <c r="DH212" s="25"/>
      <c r="DI212" s="25" t="str">
        <f>_xlfn.CONCAT($A213," ",$B213," ",$D213)</f>
        <v>2025 General Motors SILVERADO EV 8WT</v>
      </c>
      <c r="DJ212" s="25"/>
      <c r="DK212" s="25"/>
      <c r="DL212" s="25"/>
      <c r="DM212" s="25"/>
      <c r="DN212" s="25"/>
      <c r="DO212" s="25"/>
      <c r="DP212" s="25"/>
      <c r="DQ212" s="25"/>
      <c r="DR212" s="25"/>
      <c r="DS212" s="25"/>
      <c r="DT212" s="25"/>
      <c r="DU212" s="25"/>
      <c r="DV212" s="25"/>
      <c r="DW212" s="25"/>
      <c r="DX212" s="25"/>
      <c r="DY212" s="25"/>
      <c r="DZ212" s="25" t="str">
        <f>_xlfn.CONCAT($A213," ",$B213," ",$D213)</f>
        <v>2025 General Motors SILVERADO EV 8WT</v>
      </c>
      <c r="EA212" s="89"/>
      <c r="EB212" s="25"/>
      <c r="EC212" s="25"/>
      <c r="ED212" s="25"/>
      <c r="EE212" s="25"/>
      <c r="EF212" s="25"/>
      <c r="EG212" s="25"/>
      <c r="EH212" s="25"/>
      <c r="EI212" s="25"/>
      <c r="EJ212" s="25"/>
      <c r="EK212" s="25"/>
      <c r="EL212" s="25"/>
      <c r="EM212" s="25"/>
      <c r="EN212" s="25"/>
      <c r="EO212" s="25"/>
      <c r="EP212" s="25"/>
      <c r="EQ212" s="25"/>
      <c r="ER212" s="25"/>
      <c r="ES212" s="25"/>
      <c r="ET212" s="25"/>
      <c r="EU212" s="25"/>
      <c r="EV212" s="25" t="str">
        <f>_xlfn.CONCAT($A213," ",$B213," ",$D213)</f>
        <v>2025 General Motors SILVERADO EV 8WT</v>
      </c>
      <c r="EW212" s="25"/>
      <c r="EX212" s="25"/>
      <c r="EY212" s="25"/>
      <c r="EZ212" s="25"/>
      <c r="FA212" s="25"/>
      <c r="FB212" s="25"/>
      <c r="FC212" s="25"/>
      <c r="FD212" s="25"/>
      <c r="FE212" s="25"/>
      <c r="FF212" s="25"/>
      <c r="FG212" s="25"/>
    </row>
    <row r="213" spans="1:165" x14ac:dyDescent="0.35">
      <c r="A213">
        <v>2025</v>
      </c>
      <c r="B213" t="s">
        <v>220</v>
      </c>
      <c r="C213" t="s">
        <v>221</v>
      </c>
      <c r="D213" t="s">
        <v>1879</v>
      </c>
      <c r="E213" t="s">
        <v>223</v>
      </c>
      <c r="F213">
        <v>470</v>
      </c>
      <c r="G213">
        <v>0</v>
      </c>
      <c r="I213" t="s">
        <v>1734</v>
      </c>
      <c r="J213">
        <v>74</v>
      </c>
      <c r="K213">
        <v>61</v>
      </c>
      <c r="L213">
        <v>68</v>
      </c>
      <c r="M213">
        <v>104.6</v>
      </c>
      <c r="N213">
        <v>87.4</v>
      </c>
      <c r="O213">
        <v>96.090400000000002</v>
      </c>
      <c r="P213">
        <v>73.554699999999997</v>
      </c>
      <c r="Q213">
        <v>61.459699999999998</v>
      </c>
      <c r="R213">
        <v>67.570800000000006</v>
      </c>
      <c r="V213" t="s">
        <v>167</v>
      </c>
      <c r="W213" t="s">
        <v>168</v>
      </c>
      <c r="X213" t="s">
        <v>1850</v>
      </c>
      <c r="Y213">
        <v>1</v>
      </c>
      <c r="Z213" t="s">
        <v>170</v>
      </c>
      <c r="AA213" t="s">
        <v>170</v>
      </c>
      <c r="AB213">
        <v>4</v>
      </c>
      <c r="AC213" t="s">
        <v>601</v>
      </c>
      <c r="AF213">
        <v>492</v>
      </c>
      <c r="AG213" t="s">
        <v>1735</v>
      </c>
      <c r="AH213" t="s">
        <v>1736</v>
      </c>
      <c r="AI213" t="s">
        <v>175</v>
      </c>
      <c r="AJ213" t="s">
        <v>176</v>
      </c>
      <c r="AK213">
        <v>4</v>
      </c>
      <c r="AL213" t="s">
        <v>1737</v>
      </c>
      <c r="AS213">
        <v>1200</v>
      </c>
      <c r="AT213">
        <v>50</v>
      </c>
      <c r="BQ213">
        <v>13</v>
      </c>
      <c r="BR213" t="s">
        <v>1016</v>
      </c>
      <c r="BT213" t="s">
        <v>1769</v>
      </c>
      <c r="BU213" s="1">
        <v>47038</v>
      </c>
      <c r="BV213">
        <v>35664</v>
      </c>
      <c r="BW213" s="155"/>
      <c r="BX213" t="s">
        <v>170</v>
      </c>
      <c r="BY213" t="s">
        <v>170</v>
      </c>
      <c r="CB213" t="s">
        <v>170</v>
      </c>
      <c r="CC213" t="s">
        <v>170</v>
      </c>
      <c r="CK213" t="s">
        <v>233</v>
      </c>
      <c r="CM213">
        <v>1</v>
      </c>
      <c r="CN213" t="s">
        <v>234</v>
      </c>
      <c r="CP213">
        <v>470</v>
      </c>
      <c r="CQ213">
        <v>290</v>
      </c>
      <c r="CR213">
        <v>143</v>
      </c>
      <c r="CS213" t="s">
        <v>1752</v>
      </c>
      <c r="CV213" t="s">
        <v>341</v>
      </c>
      <c r="CX213" t="s">
        <v>342</v>
      </c>
      <c r="CY213" t="s">
        <v>170</v>
      </c>
      <c r="DD213">
        <v>2</v>
      </c>
      <c r="DE213" t="s">
        <v>404</v>
      </c>
      <c r="DF213" t="s">
        <v>1860</v>
      </c>
      <c r="DG213">
        <v>189</v>
      </c>
      <c r="DL213" t="s">
        <v>170</v>
      </c>
      <c r="DM213" t="s">
        <v>169</v>
      </c>
      <c r="DP213" t="s">
        <v>170</v>
      </c>
      <c r="DQ213" t="s">
        <v>187</v>
      </c>
      <c r="DR213" t="s">
        <v>1881</v>
      </c>
      <c r="EA213" s="101"/>
      <c r="EB213">
        <v>9</v>
      </c>
      <c r="EC213">
        <v>10</v>
      </c>
      <c r="EE213" t="s">
        <v>1882</v>
      </c>
      <c r="EF213">
        <v>10</v>
      </c>
      <c r="EU213">
        <v>3500</v>
      </c>
      <c r="EW213">
        <v>0</v>
      </c>
      <c r="EX213">
        <v>0</v>
      </c>
      <c r="EY213">
        <v>0</v>
      </c>
      <c r="FA213">
        <v>13.3</v>
      </c>
      <c r="FG213">
        <v>531</v>
      </c>
      <c r="FH213">
        <v>444</v>
      </c>
      <c r="FI213">
        <v>492</v>
      </c>
    </row>
    <row r="214" spans="1:165" ht="15" thickBot="1" x14ac:dyDescent="0.4">
      <c r="A214">
        <v>2025</v>
      </c>
      <c r="B214" t="s">
        <v>220</v>
      </c>
      <c r="C214" t="s">
        <v>221</v>
      </c>
      <c r="D214" t="s">
        <v>1879</v>
      </c>
      <c r="E214" t="s">
        <v>223</v>
      </c>
      <c r="F214">
        <v>470</v>
      </c>
      <c r="G214">
        <v>0</v>
      </c>
      <c r="I214" t="s">
        <v>1734</v>
      </c>
      <c r="J214">
        <v>46</v>
      </c>
      <c r="K214">
        <v>55</v>
      </c>
      <c r="L214">
        <v>50</v>
      </c>
      <c r="M214">
        <v>32.231299999999997</v>
      </c>
      <c r="N214">
        <v>38.576000000000001</v>
      </c>
      <c r="O214">
        <v>35.086399999999998</v>
      </c>
      <c r="P214">
        <v>45.823</v>
      </c>
      <c r="Q214">
        <v>54.840800000000002</v>
      </c>
      <c r="R214">
        <v>49.881</v>
      </c>
      <c r="V214" t="s">
        <v>167</v>
      </c>
      <c r="W214" t="s">
        <v>168</v>
      </c>
      <c r="X214" t="s">
        <v>1850</v>
      </c>
      <c r="Y214">
        <v>1</v>
      </c>
      <c r="Z214" t="s">
        <v>170</v>
      </c>
      <c r="AA214" t="s">
        <v>170</v>
      </c>
      <c r="AB214">
        <v>4</v>
      </c>
      <c r="AC214" t="s">
        <v>601</v>
      </c>
      <c r="AF214">
        <v>492</v>
      </c>
      <c r="AG214" t="s">
        <v>1735</v>
      </c>
      <c r="AH214" t="s">
        <v>1736</v>
      </c>
      <c r="AI214" t="s">
        <v>1742</v>
      </c>
      <c r="AJ214" t="s">
        <v>1743</v>
      </c>
      <c r="AK214">
        <v>4</v>
      </c>
      <c r="AL214" t="s">
        <v>1737</v>
      </c>
      <c r="AS214">
        <v>1200</v>
      </c>
      <c r="AT214">
        <v>1200</v>
      </c>
      <c r="BQ214">
        <v>13</v>
      </c>
      <c r="BR214" t="s">
        <v>1016</v>
      </c>
      <c r="BT214" t="s">
        <v>1769</v>
      </c>
      <c r="BU214" s="1">
        <v>47038</v>
      </c>
      <c r="BV214">
        <v>35664</v>
      </c>
      <c r="BW214" s="157"/>
      <c r="BX214" t="s">
        <v>170</v>
      </c>
      <c r="BY214" t="s">
        <v>170</v>
      </c>
      <c r="CB214" t="s">
        <v>170</v>
      </c>
      <c r="CC214" t="s">
        <v>170</v>
      </c>
      <c r="CK214" t="s">
        <v>233</v>
      </c>
      <c r="CM214">
        <v>1</v>
      </c>
      <c r="CN214" t="s">
        <v>234</v>
      </c>
      <c r="CP214">
        <v>470</v>
      </c>
      <c r="CQ214">
        <v>290</v>
      </c>
      <c r="CR214">
        <v>143</v>
      </c>
      <c r="CS214" t="s">
        <v>1752</v>
      </c>
      <c r="CV214" t="s">
        <v>341</v>
      </c>
      <c r="CX214" t="s">
        <v>342</v>
      </c>
      <c r="CY214" t="s">
        <v>170</v>
      </c>
      <c r="DD214">
        <v>2</v>
      </c>
      <c r="DE214" t="s">
        <v>404</v>
      </c>
      <c r="DF214" t="s">
        <v>1860</v>
      </c>
      <c r="DG214">
        <v>189</v>
      </c>
      <c r="DL214" t="s">
        <v>170</v>
      </c>
      <c r="DM214" t="s">
        <v>169</v>
      </c>
      <c r="DP214" t="s">
        <v>170</v>
      </c>
      <c r="DQ214" t="s">
        <v>187</v>
      </c>
      <c r="DR214" t="s">
        <v>1881</v>
      </c>
      <c r="EA214" s="142"/>
      <c r="EB214">
        <v>9</v>
      </c>
      <c r="EC214">
        <v>10</v>
      </c>
      <c r="EE214" t="s">
        <v>1882</v>
      </c>
      <c r="EF214">
        <v>10</v>
      </c>
      <c r="EU214">
        <v>3500</v>
      </c>
      <c r="EW214">
        <v>0</v>
      </c>
      <c r="EX214">
        <v>0</v>
      </c>
      <c r="EY214">
        <v>0</v>
      </c>
      <c r="FA214">
        <v>13.3</v>
      </c>
      <c r="FG214">
        <v>531</v>
      </c>
      <c r="FH214">
        <v>444</v>
      </c>
      <c r="FI214">
        <v>492</v>
      </c>
    </row>
    <row r="215" spans="1:165" x14ac:dyDescent="0.35">
      <c r="A215" s="25"/>
      <c r="B215" s="25"/>
      <c r="C215" s="25"/>
      <c r="D215" s="25"/>
      <c r="E215" s="25"/>
      <c r="F215" s="25" t="str">
        <f>_xlfn.CONCAT($A216," ",$B216," ",$D216)</f>
        <v>2025 General Motors SILVERADO EV 5WT</v>
      </c>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t="str">
        <f>_xlfn.CONCAT($A216," ",$B216," ",$D216)</f>
        <v>2025 General Motors SILVERADO EV 5WT</v>
      </c>
      <c r="AE215" s="25"/>
      <c r="AF215" s="25"/>
      <c r="AG215" s="25"/>
      <c r="AH215" s="25"/>
      <c r="AI215" s="25"/>
      <c r="AJ215" s="25"/>
      <c r="AK215" s="25"/>
      <c r="AL215" s="25"/>
      <c r="AM215" s="25"/>
      <c r="AN215" s="25"/>
      <c r="AO215" s="25"/>
      <c r="AP215" s="25"/>
      <c r="AQ215" s="25"/>
      <c r="AR215" s="25"/>
      <c r="AS215" s="25"/>
      <c r="AT215" s="25"/>
      <c r="AU215" s="25"/>
      <c r="AV215" s="25"/>
      <c r="AW215" s="25"/>
      <c r="AX215" s="25" t="str">
        <f>_xlfn.CONCAT($A216," ",$B216," ",$D216)</f>
        <v>2025 General Motors SILVERADO EV 5WT</v>
      </c>
      <c r="AY215" s="25"/>
      <c r="AZ215" s="25"/>
      <c r="BA215" s="25"/>
      <c r="BB215" s="25"/>
      <c r="BC215" s="25"/>
      <c r="BD215" s="25"/>
      <c r="BE215" s="25"/>
      <c r="BF215" s="25"/>
      <c r="BG215" s="25"/>
      <c r="BH215" s="25"/>
      <c r="BI215" s="25"/>
      <c r="BJ215" s="25"/>
      <c r="BK215" s="25"/>
      <c r="BL215" s="25"/>
      <c r="BM215" s="25"/>
      <c r="BN215" s="25"/>
      <c r="BO215" s="25"/>
      <c r="BP215" s="25"/>
      <c r="BQ215" s="25"/>
      <c r="BR215" s="25" t="str">
        <f>_xlfn.CONCAT($A216," ",$B216," ",$D216)</f>
        <v>2025 General Motors SILVERADO EV 5WT</v>
      </c>
      <c r="BS215" s="25"/>
      <c r="BT215" s="25"/>
      <c r="BU215" s="25"/>
      <c r="BV215" s="25"/>
      <c r="BX215" s="25"/>
      <c r="BY215" s="25"/>
      <c r="BZ215" s="25"/>
      <c r="CA215" s="25"/>
      <c r="CB215" s="25"/>
      <c r="CC215" s="25"/>
      <c r="CD215" s="25"/>
      <c r="CE215" s="25"/>
      <c r="CF215" s="25"/>
      <c r="CG215" s="25"/>
      <c r="CH215" s="25"/>
      <c r="CI215" s="25"/>
      <c r="CJ215" s="25"/>
      <c r="CK215" s="25"/>
      <c r="CL215" s="25"/>
      <c r="CM215" s="25"/>
      <c r="CN215" s="25"/>
      <c r="CO215" s="25"/>
      <c r="CP215" s="25" t="str">
        <f>_xlfn.CONCAT($A216," ",$B216," ",$D216)</f>
        <v>2025 General Motors SILVERADO EV 5WT</v>
      </c>
      <c r="CQ215" s="25"/>
      <c r="CR215" s="25"/>
      <c r="CS215" s="25"/>
      <c r="CT215" s="25"/>
      <c r="CU215" s="25"/>
      <c r="CV215" s="25"/>
      <c r="CW215" s="25"/>
      <c r="CX215" s="25"/>
      <c r="CY215" s="25"/>
      <c r="CZ215" s="25"/>
      <c r="DA215" s="25"/>
      <c r="DB215" s="25"/>
      <c r="DC215" s="25"/>
      <c r="DD215" s="25"/>
      <c r="DE215" s="25"/>
      <c r="DF215" s="25"/>
      <c r="DG215" s="25"/>
      <c r="DH215" s="25"/>
      <c r="DI215" s="25" t="str">
        <f>_xlfn.CONCAT($A216," ",$B216," ",$D216)</f>
        <v>2025 General Motors SILVERADO EV 5WT</v>
      </c>
      <c r="DJ215" s="25"/>
      <c r="DK215" s="25"/>
      <c r="DL215" s="25"/>
      <c r="DM215" s="25"/>
      <c r="DN215" s="25"/>
      <c r="DO215" s="25"/>
      <c r="DP215" s="25"/>
      <c r="DQ215" s="25"/>
      <c r="DR215" s="25"/>
      <c r="DS215" s="25"/>
      <c r="DT215" s="25"/>
      <c r="DU215" s="25"/>
      <c r="DV215" s="25"/>
      <c r="DW215" s="25"/>
      <c r="DX215" s="25"/>
      <c r="DY215" s="25"/>
      <c r="DZ215" s="25" t="str">
        <f>_xlfn.CONCAT($A216," ",$B216," ",$D216)</f>
        <v>2025 General Motors SILVERADO EV 5WT</v>
      </c>
      <c r="EB215" s="25"/>
      <c r="EC215" s="25"/>
      <c r="ED215" s="25"/>
      <c r="EE215" s="25"/>
      <c r="EF215" s="25"/>
      <c r="EG215" s="25"/>
      <c r="EH215" s="25"/>
      <c r="EI215" s="25"/>
      <c r="EJ215" s="25"/>
      <c r="EK215" s="25"/>
      <c r="EL215" s="25"/>
      <c r="EM215" s="25"/>
      <c r="EN215" s="25"/>
      <c r="EO215" s="25"/>
      <c r="EP215" s="25"/>
      <c r="EQ215" s="25"/>
      <c r="ER215" s="25"/>
      <c r="ES215" s="25"/>
      <c r="ET215" s="25"/>
      <c r="EU215" s="25"/>
      <c r="EV215" s="25" t="str">
        <f>_xlfn.CONCAT($A216," ",$B216," ",$D216)</f>
        <v>2025 General Motors SILVERADO EV 5WT</v>
      </c>
      <c r="EW215" s="25"/>
      <c r="EX215" s="25"/>
      <c r="EY215" s="25"/>
      <c r="EZ215" s="25"/>
      <c r="FA215" s="25"/>
      <c r="FB215" s="25"/>
      <c r="FC215" s="25"/>
      <c r="FD215" s="25"/>
      <c r="FE215" s="25"/>
      <c r="FF215" s="25"/>
      <c r="FG215" s="25"/>
    </row>
    <row r="216" spans="1:165" x14ac:dyDescent="0.35">
      <c r="A216">
        <v>2025</v>
      </c>
      <c r="B216" t="s">
        <v>220</v>
      </c>
      <c r="C216" t="s">
        <v>221</v>
      </c>
      <c r="D216" t="s">
        <v>1883</v>
      </c>
      <c r="E216" t="s">
        <v>223</v>
      </c>
      <c r="F216">
        <v>471</v>
      </c>
      <c r="G216">
        <v>0</v>
      </c>
      <c r="I216" t="s">
        <v>1734</v>
      </c>
      <c r="J216">
        <v>77</v>
      </c>
      <c r="K216">
        <v>63</v>
      </c>
      <c r="L216">
        <v>70</v>
      </c>
      <c r="M216">
        <v>109.8</v>
      </c>
      <c r="N216">
        <v>89.5</v>
      </c>
      <c r="O216">
        <v>99.631</v>
      </c>
      <c r="P216">
        <v>76.86</v>
      </c>
      <c r="Q216">
        <v>62.65</v>
      </c>
      <c r="R216">
        <v>69.741699999999994</v>
      </c>
      <c r="V216" t="s">
        <v>167</v>
      </c>
      <c r="W216" t="s">
        <v>168</v>
      </c>
      <c r="X216" t="s">
        <v>1850</v>
      </c>
      <c r="Y216">
        <v>1</v>
      </c>
      <c r="Z216" t="s">
        <v>170</v>
      </c>
      <c r="AA216" t="s">
        <v>170</v>
      </c>
      <c r="AB216">
        <v>4</v>
      </c>
      <c r="AC216" t="s">
        <v>601</v>
      </c>
      <c r="AF216">
        <v>422</v>
      </c>
      <c r="AG216" t="s">
        <v>1735</v>
      </c>
      <c r="AH216" t="s">
        <v>1736</v>
      </c>
      <c r="AI216" t="s">
        <v>175</v>
      </c>
      <c r="AJ216" t="s">
        <v>176</v>
      </c>
      <c r="AK216">
        <v>4</v>
      </c>
      <c r="AL216" t="s">
        <v>1737</v>
      </c>
      <c r="AS216">
        <v>1150</v>
      </c>
      <c r="AT216">
        <v>50</v>
      </c>
      <c r="BQ216">
        <v>13</v>
      </c>
      <c r="BR216" t="s">
        <v>1016</v>
      </c>
      <c r="BT216" t="s">
        <v>1738</v>
      </c>
      <c r="BU216" s="1">
        <v>47038</v>
      </c>
      <c r="BV216">
        <v>35665</v>
      </c>
      <c r="BX216" t="s">
        <v>170</v>
      </c>
      <c r="BY216" t="s">
        <v>170</v>
      </c>
      <c r="CB216" t="s">
        <v>170</v>
      </c>
      <c r="CC216" t="s">
        <v>170</v>
      </c>
      <c r="CK216" t="s">
        <v>233</v>
      </c>
      <c r="CM216">
        <v>1</v>
      </c>
      <c r="CN216" t="s">
        <v>234</v>
      </c>
      <c r="CP216">
        <v>470</v>
      </c>
      <c r="CQ216">
        <v>290</v>
      </c>
      <c r="CR216">
        <v>143</v>
      </c>
      <c r="CS216" t="s">
        <v>1752</v>
      </c>
      <c r="CV216" t="s">
        <v>341</v>
      </c>
      <c r="CX216" t="s">
        <v>342</v>
      </c>
      <c r="CY216" t="s">
        <v>170</v>
      </c>
      <c r="DD216">
        <v>2</v>
      </c>
      <c r="DE216" t="s">
        <v>404</v>
      </c>
      <c r="DF216" t="s">
        <v>1860</v>
      </c>
      <c r="DG216">
        <v>189</v>
      </c>
      <c r="DL216" t="s">
        <v>170</v>
      </c>
      <c r="DM216" t="s">
        <v>169</v>
      </c>
      <c r="DP216" t="s">
        <v>170</v>
      </c>
      <c r="DQ216" t="s">
        <v>187</v>
      </c>
      <c r="DR216" t="s">
        <v>1884</v>
      </c>
      <c r="EB216">
        <v>9</v>
      </c>
      <c r="EC216">
        <v>10</v>
      </c>
      <c r="EE216" t="s">
        <v>1882</v>
      </c>
      <c r="EF216">
        <v>10</v>
      </c>
      <c r="EU216">
        <v>3750</v>
      </c>
      <c r="EW216">
        <v>0</v>
      </c>
      <c r="EX216">
        <v>0</v>
      </c>
      <c r="EY216">
        <v>0</v>
      </c>
      <c r="FA216">
        <v>18.600000000000001</v>
      </c>
      <c r="FG216">
        <v>460</v>
      </c>
      <c r="FH216">
        <v>375</v>
      </c>
      <c r="FI216">
        <v>422</v>
      </c>
    </row>
    <row r="217" spans="1:165" x14ac:dyDescent="0.35">
      <c r="A217">
        <v>2025</v>
      </c>
      <c r="B217" t="s">
        <v>220</v>
      </c>
      <c r="C217" t="s">
        <v>221</v>
      </c>
      <c r="D217" t="s">
        <v>1883</v>
      </c>
      <c r="E217" t="s">
        <v>223</v>
      </c>
      <c r="F217">
        <v>471</v>
      </c>
      <c r="G217">
        <v>0</v>
      </c>
      <c r="I217" t="s">
        <v>1734</v>
      </c>
      <c r="J217">
        <v>44</v>
      </c>
      <c r="K217">
        <v>54</v>
      </c>
      <c r="L217">
        <v>48</v>
      </c>
      <c r="M217">
        <v>30.698799999999999</v>
      </c>
      <c r="N217">
        <v>37.659599999999998</v>
      </c>
      <c r="O217">
        <v>33.831200000000003</v>
      </c>
      <c r="P217">
        <v>43.852499999999999</v>
      </c>
      <c r="Q217">
        <v>53.798900000000003</v>
      </c>
      <c r="R217">
        <v>48.328400000000002</v>
      </c>
      <c r="V217" t="s">
        <v>167</v>
      </c>
      <c r="W217" t="s">
        <v>168</v>
      </c>
      <c r="X217" t="s">
        <v>1850</v>
      </c>
      <c r="Y217">
        <v>1</v>
      </c>
      <c r="Z217" t="s">
        <v>170</v>
      </c>
      <c r="AA217" t="s">
        <v>170</v>
      </c>
      <c r="AB217">
        <v>4</v>
      </c>
      <c r="AC217" t="s">
        <v>601</v>
      </c>
      <c r="AF217">
        <v>422</v>
      </c>
      <c r="AG217" t="s">
        <v>1735</v>
      </c>
      <c r="AH217" t="s">
        <v>1736</v>
      </c>
      <c r="AI217" t="s">
        <v>1742</v>
      </c>
      <c r="AJ217" t="s">
        <v>1743</v>
      </c>
      <c r="AK217">
        <v>4</v>
      </c>
      <c r="AL217" t="s">
        <v>1737</v>
      </c>
      <c r="AS217">
        <v>1150</v>
      </c>
      <c r="AT217">
        <v>1150</v>
      </c>
      <c r="BQ217">
        <v>13</v>
      </c>
      <c r="BR217" t="s">
        <v>1016</v>
      </c>
      <c r="BT217" t="s">
        <v>1738</v>
      </c>
      <c r="BU217" s="1">
        <v>47038</v>
      </c>
      <c r="BV217">
        <v>35665</v>
      </c>
      <c r="BX217" t="s">
        <v>170</v>
      </c>
      <c r="BY217" t="s">
        <v>170</v>
      </c>
      <c r="CB217" t="s">
        <v>170</v>
      </c>
      <c r="CC217" t="s">
        <v>170</v>
      </c>
      <c r="CK217" t="s">
        <v>233</v>
      </c>
      <c r="CM217">
        <v>1</v>
      </c>
      <c r="CN217" t="s">
        <v>234</v>
      </c>
      <c r="CP217">
        <v>470</v>
      </c>
      <c r="CQ217">
        <v>290</v>
      </c>
      <c r="CR217">
        <v>143</v>
      </c>
      <c r="CS217" t="s">
        <v>1752</v>
      </c>
      <c r="CV217" t="s">
        <v>341</v>
      </c>
      <c r="CX217" t="s">
        <v>342</v>
      </c>
      <c r="CY217" t="s">
        <v>170</v>
      </c>
      <c r="DD217">
        <v>2</v>
      </c>
      <c r="DE217" t="s">
        <v>404</v>
      </c>
      <c r="DF217" t="s">
        <v>1860</v>
      </c>
      <c r="DG217">
        <v>189</v>
      </c>
      <c r="DL217" t="s">
        <v>170</v>
      </c>
      <c r="DM217" t="s">
        <v>169</v>
      </c>
      <c r="DP217" t="s">
        <v>170</v>
      </c>
      <c r="DQ217" t="s">
        <v>187</v>
      </c>
      <c r="DR217" t="s">
        <v>1884</v>
      </c>
      <c r="EB217">
        <v>9</v>
      </c>
      <c r="EC217">
        <v>10</v>
      </c>
      <c r="EE217" t="s">
        <v>1882</v>
      </c>
      <c r="EF217">
        <v>10</v>
      </c>
      <c r="EU217">
        <v>3750</v>
      </c>
      <c r="EW217">
        <v>0</v>
      </c>
      <c r="EX217">
        <v>0</v>
      </c>
      <c r="EY217">
        <v>0</v>
      </c>
      <c r="FA217">
        <v>18.600000000000001</v>
      </c>
      <c r="FG217">
        <v>460</v>
      </c>
      <c r="FH217">
        <v>375</v>
      </c>
      <c r="FI217">
        <v>422</v>
      </c>
    </row>
    <row r="218" spans="1:165" x14ac:dyDescent="0.35">
      <c r="A218" s="25"/>
      <c r="B218" s="25"/>
      <c r="C218" s="25"/>
      <c r="D218" s="25"/>
      <c r="E218" s="25"/>
      <c r="F218" s="25" t="str">
        <f>_xlfn.CONCAT($A219," ",$B219," ",$D219)</f>
        <v>2025 General Motors SILVERADO EV 11 kW Charger</v>
      </c>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c r="AD218" s="25" t="str">
        <f>_xlfn.CONCAT($A219," ",$B219," ",$D219)</f>
        <v>2025 General Motors SILVERADO EV 11 kW Charger</v>
      </c>
      <c r="AE218" s="25"/>
      <c r="AF218" s="25"/>
      <c r="AG218" s="25"/>
      <c r="AH218" s="25"/>
      <c r="AI218" s="25"/>
      <c r="AJ218" s="25"/>
      <c r="AK218" s="25"/>
      <c r="AL218" s="25"/>
      <c r="AM218" s="25"/>
      <c r="AN218" s="25"/>
      <c r="AO218" s="25"/>
      <c r="AP218" s="25"/>
      <c r="AQ218" s="25"/>
      <c r="AR218" s="25"/>
      <c r="AS218" s="25"/>
      <c r="AT218" s="25"/>
      <c r="AU218" s="25"/>
      <c r="AV218" s="25"/>
      <c r="AW218" s="25"/>
      <c r="AX218" s="25" t="str">
        <f>_xlfn.CONCAT($A219," ",$B219," ",$D219)</f>
        <v>2025 General Motors SILVERADO EV 11 kW Charger</v>
      </c>
      <c r="AY218" s="25"/>
      <c r="AZ218" s="25"/>
      <c r="BA218" s="25"/>
      <c r="BB218" s="25"/>
      <c r="BC218" s="25"/>
      <c r="BD218" s="25"/>
      <c r="BE218" s="25"/>
      <c r="BF218" s="25"/>
      <c r="BG218" s="25"/>
      <c r="BH218" s="25"/>
      <c r="BI218" s="25"/>
      <c r="BJ218" s="25"/>
      <c r="BK218" s="25"/>
      <c r="BL218" s="25"/>
      <c r="BM218" s="25"/>
      <c r="BN218" s="25"/>
      <c r="BO218" s="25"/>
      <c r="BP218" s="25"/>
      <c r="BQ218" s="25"/>
      <c r="BR218" s="25" t="str">
        <f>_xlfn.CONCAT($A219," ",$B219," ",$D219)</f>
        <v>2025 General Motors SILVERADO EV 11 kW Charger</v>
      </c>
      <c r="BS218" s="25"/>
      <c r="BT218" s="25"/>
      <c r="BU218" s="25"/>
      <c r="BV218" s="25"/>
      <c r="BX218" s="25"/>
      <c r="BY218" s="25"/>
      <c r="BZ218" s="25"/>
      <c r="CA218" s="25"/>
      <c r="CB218" s="25"/>
      <c r="CC218" s="25"/>
      <c r="CD218" s="25"/>
      <c r="CE218" s="25"/>
      <c r="CF218" s="25"/>
      <c r="CG218" s="25"/>
      <c r="CH218" s="25"/>
      <c r="CI218" s="25"/>
      <c r="CJ218" s="25"/>
      <c r="CK218" s="25"/>
      <c r="CL218" s="25"/>
      <c r="CM218" s="25"/>
      <c r="CN218" s="25"/>
      <c r="CO218" s="25"/>
      <c r="CP218" s="25" t="str">
        <f>_xlfn.CONCAT($A219," ",$B219," ",$D219)</f>
        <v>2025 General Motors SILVERADO EV 11 kW Charger</v>
      </c>
      <c r="CQ218" s="25"/>
      <c r="CR218" s="25"/>
      <c r="CS218" s="25"/>
      <c r="CT218" s="25"/>
      <c r="CU218" s="25"/>
      <c r="CV218" s="25"/>
      <c r="CW218" s="25"/>
      <c r="CX218" s="25"/>
      <c r="CY218" s="25"/>
      <c r="CZ218" s="25"/>
      <c r="DA218" s="25"/>
      <c r="DB218" s="25"/>
      <c r="DC218" s="25"/>
      <c r="DD218" s="25"/>
      <c r="DE218" s="25"/>
      <c r="DF218" s="25"/>
      <c r="DG218" s="25"/>
      <c r="DH218" s="25"/>
      <c r="DI218" s="25" t="str">
        <f>_xlfn.CONCAT($A219," ",$B219," ",$D219)</f>
        <v>2025 General Motors SILVERADO EV 11 kW Charger</v>
      </c>
      <c r="DJ218" s="25"/>
      <c r="DK218" s="25"/>
      <c r="DL218" s="25"/>
      <c r="DM218" s="25"/>
      <c r="DN218" s="25"/>
      <c r="DO218" s="25"/>
      <c r="DP218" s="25"/>
      <c r="DQ218" s="25"/>
      <c r="DR218" s="25"/>
      <c r="DS218" s="25"/>
      <c r="DT218" s="25"/>
      <c r="DU218" s="25"/>
      <c r="DV218" s="25"/>
      <c r="DW218" s="25"/>
      <c r="DX218" s="25"/>
      <c r="DY218" s="25"/>
      <c r="DZ218" s="25" t="str">
        <f>_xlfn.CONCAT($A219," ",$B219," ",$D219)</f>
        <v>2025 General Motors SILVERADO EV 11 kW Charger</v>
      </c>
      <c r="EB218" s="25"/>
      <c r="EC218" s="25"/>
      <c r="ED218" s="25"/>
      <c r="EE218" s="25"/>
      <c r="EF218" s="25"/>
      <c r="EG218" s="25"/>
      <c r="EH218" s="25"/>
      <c r="EI218" s="25"/>
      <c r="EJ218" s="25"/>
      <c r="EK218" s="25"/>
      <c r="EL218" s="25"/>
      <c r="EM218" s="25"/>
      <c r="EN218" s="25"/>
      <c r="EO218" s="25"/>
      <c r="EP218" s="25"/>
      <c r="EQ218" s="25"/>
      <c r="ER218" s="25"/>
      <c r="ES218" s="25"/>
      <c r="ET218" s="25"/>
      <c r="EU218" s="25"/>
      <c r="EV218" s="25" t="str">
        <f>_xlfn.CONCAT($A219," ",$B219," ",$D219)</f>
        <v>2025 General Motors SILVERADO EV 11 kW Charger</v>
      </c>
      <c r="EW218" s="25"/>
      <c r="EX218" s="25"/>
      <c r="EY218" s="25"/>
      <c r="EZ218" s="25"/>
      <c r="FA218" s="25"/>
      <c r="FB218" s="25"/>
      <c r="FC218" s="25"/>
      <c r="FD218" s="25"/>
      <c r="FE218" s="25"/>
      <c r="FF218" s="25"/>
      <c r="FG218" s="25"/>
    </row>
    <row r="219" spans="1:165" x14ac:dyDescent="0.35">
      <c r="A219">
        <v>2025</v>
      </c>
      <c r="B219" t="s">
        <v>220</v>
      </c>
      <c r="C219" t="s">
        <v>221</v>
      </c>
      <c r="D219" t="s">
        <v>2447</v>
      </c>
      <c r="E219" t="s">
        <v>223</v>
      </c>
      <c r="F219">
        <v>472</v>
      </c>
      <c r="G219">
        <v>0</v>
      </c>
      <c r="I219" t="s">
        <v>1734</v>
      </c>
      <c r="J219">
        <v>74</v>
      </c>
      <c r="K219">
        <v>61</v>
      </c>
      <c r="L219">
        <v>68</v>
      </c>
      <c r="M219">
        <v>103.9</v>
      </c>
      <c r="N219">
        <v>86.3</v>
      </c>
      <c r="O219">
        <v>95.166300000000007</v>
      </c>
      <c r="P219">
        <v>73.735100000000003</v>
      </c>
      <c r="Q219">
        <v>61.244900000000001</v>
      </c>
      <c r="R219">
        <v>67.537099999999995</v>
      </c>
      <c r="V219" t="s">
        <v>167</v>
      </c>
      <c r="W219" t="s">
        <v>168</v>
      </c>
      <c r="X219" t="s">
        <v>1850</v>
      </c>
      <c r="Y219">
        <v>1</v>
      </c>
      <c r="Z219" t="s">
        <v>170</v>
      </c>
      <c r="AA219" t="s">
        <v>170</v>
      </c>
      <c r="AB219">
        <v>4</v>
      </c>
      <c r="AC219" t="s">
        <v>601</v>
      </c>
      <c r="AF219">
        <v>408</v>
      </c>
      <c r="AG219" t="s">
        <v>1735</v>
      </c>
      <c r="AH219" t="s">
        <v>1736</v>
      </c>
      <c r="AI219" t="s">
        <v>175</v>
      </c>
      <c r="AJ219" t="s">
        <v>176</v>
      </c>
      <c r="AK219">
        <v>4</v>
      </c>
      <c r="AL219" t="s">
        <v>1737</v>
      </c>
      <c r="AS219">
        <v>1200</v>
      </c>
      <c r="AT219">
        <v>1200</v>
      </c>
      <c r="BQ219">
        <v>13</v>
      </c>
      <c r="BR219" t="s">
        <v>1016</v>
      </c>
      <c r="BT219" t="s">
        <v>1769</v>
      </c>
      <c r="BU219" s="1">
        <v>45576</v>
      </c>
      <c r="BV219">
        <v>35666</v>
      </c>
      <c r="BX219" t="s">
        <v>170</v>
      </c>
      <c r="BY219" t="s">
        <v>170</v>
      </c>
      <c r="CB219" t="s">
        <v>170</v>
      </c>
      <c r="CC219" t="s">
        <v>170</v>
      </c>
      <c r="CK219" t="s">
        <v>233</v>
      </c>
      <c r="CM219">
        <v>1</v>
      </c>
      <c r="CN219" t="s">
        <v>234</v>
      </c>
      <c r="CP219">
        <v>470</v>
      </c>
      <c r="CQ219">
        <v>290</v>
      </c>
      <c r="CR219">
        <v>143</v>
      </c>
      <c r="CS219" t="s">
        <v>1752</v>
      </c>
      <c r="CV219" t="s">
        <v>341</v>
      </c>
      <c r="CX219" t="s">
        <v>342</v>
      </c>
      <c r="CY219" t="s">
        <v>170</v>
      </c>
      <c r="DD219">
        <v>2</v>
      </c>
      <c r="DE219" t="s">
        <v>404</v>
      </c>
      <c r="DF219" t="s">
        <v>1860</v>
      </c>
      <c r="DG219" t="s">
        <v>1880</v>
      </c>
      <c r="DL219" t="s">
        <v>170</v>
      </c>
      <c r="DM219" t="s">
        <v>169</v>
      </c>
      <c r="DP219" t="s">
        <v>170</v>
      </c>
      <c r="DQ219" t="s">
        <v>187</v>
      </c>
      <c r="DR219" t="s">
        <v>1885</v>
      </c>
      <c r="EB219">
        <v>9</v>
      </c>
      <c r="EC219">
        <v>10</v>
      </c>
      <c r="EE219" t="s">
        <v>1882</v>
      </c>
      <c r="EF219">
        <v>10</v>
      </c>
      <c r="EU219">
        <v>3500</v>
      </c>
      <c r="EW219">
        <v>0</v>
      </c>
      <c r="EX219">
        <v>0</v>
      </c>
      <c r="EY219">
        <v>0</v>
      </c>
      <c r="FA219">
        <v>18.600000000000001</v>
      </c>
      <c r="FG219">
        <v>442</v>
      </c>
      <c r="FH219">
        <v>367</v>
      </c>
      <c r="FI219">
        <v>408</v>
      </c>
    </row>
    <row r="220" spans="1:165" x14ac:dyDescent="0.35">
      <c r="A220">
        <v>2025</v>
      </c>
      <c r="B220" t="s">
        <v>220</v>
      </c>
      <c r="C220" t="s">
        <v>221</v>
      </c>
      <c r="D220" t="s">
        <v>2447</v>
      </c>
      <c r="E220" t="s">
        <v>223</v>
      </c>
      <c r="F220">
        <v>472</v>
      </c>
      <c r="G220">
        <v>0</v>
      </c>
      <c r="I220" t="s">
        <v>1734</v>
      </c>
      <c r="J220">
        <v>46</v>
      </c>
      <c r="K220">
        <v>55</v>
      </c>
      <c r="L220">
        <v>50</v>
      </c>
      <c r="M220">
        <v>32.4512</v>
      </c>
      <c r="N220">
        <v>39.057000000000002</v>
      </c>
      <c r="O220">
        <v>35.4238</v>
      </c>
      <c r="P220">
        <v>45.710900000000002</v>
      </c>
      <c r="Q220">
        <v>55.033200000000001</v>
      </c>
      <c r="R220">
        <v>49.905900000000003</v>
      </c>
      <c r="V220" t="s">
        <v>167</v>
      </c>
      <c r="W220" t="s">
        <v>168</v>
      </c>
      <c r="X220" t="s">
        <v>1850</v>
      </c>
      <c r="Y220">
        <v>1</v>
      </c>
      <c r="Z220" t="s">
        <v>170</v>
      </c>
      <c r="AA220" t="s">
        <v>170</v>
      </c>
      <c r="AB220">
        <v>4</v>
      </c>
      <c r="AC220" t="s">
        <v>601</v>
      </c>
      <c r="AF220">
        <v>408</v>
      </c>
      <c r="AG220" t="s">
        <v>1735</v>
      </c>
      <c r="AH220" t="s">
        <v>1736</v>
      </c>
      <c r="AI220" t="s">
        <v>1742</v>
      </c>
      <c r="AJ220" t="s">
        <v>1743</v>
      </c>
      <c r="AK220">
        <v>4</v>
      </c>
      <c r="AL220" t="s">
        <v>1737</v>
      </c>
      <c r="AS220">
        <v>1200</v>
      </c>
      <c r="AT220">
        <v>1200</v>
      </c>
      <c r="BQ220">
        <v>13</v>
      </c>
      <c r="BR220" t="s">
        <v>1016</v>
      </c>
      <c r="BT220" t="s">
        <v>1769</v>
      </c>
      <c r="BU220" s="1">
        <v>45576</v>
      </c>
      <c r="BV220">
        <v>35666</v>
      </c>
      <c r="BX220" t="s">
        <v>170</v>
      </c>
      <c r="BY220" t="s">
        <v>170</v>
      </c>
      <c r="CB220" t="s">
        <v>170</v>
      </c>
      <c r="CC220" t="s">
        <v>170</v>
      </c>
      <c r="CK220" t="s">
        <v>233</v>
      </c>
      <c r="CM220">
        <v>1</v>
      </c>
      <c r="CN220" t="s">
        <v>234</v>
      </c>
      <c r="CP220">
        <v>470</v>
      </c>
      <c r="CQ220">
        <v>290</v>
      </c>
      <c r="CR220">
        <v>143</v>
      </c>
      <c r="CS220" t="s">
        <v>1752</v>
      </c>
      <c r="CV220" t="s">
        <v>341</v>
      </c>
      <c r="CX220" t="s">
        <v>342</v>
      </c>
      <c r="CY220" t="s">
        <v>170</v>
      </c>
      <c r="DD220">
        <v>2</v>
      </c>
      <c r="DE220" t="s">
        <v>404</v>
      </c>
      <c r="DF220" t="s">
        <v>1860</v>
      </c>
      <c r="DG220" t="s">
        <v>1880</v>
      </c>
      <c r="DL220" t="s">
        <v>170</v>
      </c>
      <c r="DM220" t="s">
        <v>169</v>
      </c>
      <c r="DP220" t="s">
        <v>170</v>
      </c>
      <c r="DQ220" t="s">
        <v>187</v>
      </c>
      <c r="DR220" t="s">
        <v>1885</v>
      </c>
      <c r="EB220">
        <v>9</v>
      </c>
      <c r="EC220">
        <v>10</v>
      </c>
      <c r="EE220" t="s">
        <v>1882</v>
      </c>
      <c r="EF220">
        <v>10</v>
      </c>
      <c r="EU220">
        <v>3500</v>
      </c>
      <c r="EW220">
        <v>0</v>
      </c>
      <c r="EX220">
        <v>0</v>
      </c>
      <c r="EY220">
        <v>0</v>
      </c>
      <c r="FA220">
        <v>18.600000000000001</v>
      </c>
      <c r="FG220">
        <v>442</v>
      </c>
      <c r="FH220">
        <v>367</v>
      </c>
      <c r="FI220">
        <v>408</v>
      </c>
    </row>
    <row r="221" spans="1:165" x14ac:dyDescent="0.35">
      <c r="A221" s="25"/>
      <c r="B221" s="25"/>
      <c r="C221" s="25"/>
      <c r="D221" s="25"/>
      <c r="E221" s="25"/>
      <c r="F221" s="25" t="str">
        <f>_xlfn.CONCAT($A222," ",$B222," ",$D222)</f>
        <v>2025 General Motors SILVERADO EV 19kW Charger</v>
      </c>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t="str">
        <f>_xlfn.CONCAT($A222," ",$B222," ",$D222)</f>
        <v>2025 General Motors SILVERADO EV 19kW Charger</v>
      </c>
      <c r="AE221" s="25"/>
      <c r="AF221" s="25"/>
      <c r="AG221" s="25"/>
      <c r="AH221" s="25"/>
      <c r="AI221" s="25"/>
      <c r="AJ221" s="25"/>
      <c r="AK221" s="25"/>
      <c r="AL221" s="25"/>
      <c r="AM221" s="25"/>
      <c r="AN221" s="25"/>
      <c r="AO221" s="25"/>
      <c r="AP221" s="25"/>
      <c r="AQ221" s="25"/>
      <c r="AR221" s="25"/>
      <c r="AS221" s="25"/>
      <c r="AT221" s="25"/>
      <c r="AU221" s="25"/>
      <c r="AV221" s="25"/>
      <c r="AW221" s="25"/>
      <c r="AX221" s="25" t="str">
        <f>_xlfn.CONCAT($A222," ",$B222," ",$D222)</f>
        <v>2025 General Motors SILVERADO EV 19kW Charger</v>
      </c>
      <c r="AY221" s="25"/>
      <c r="AZ221" s="25"/>
      <c r="BA221" s="25"/>
      <c r="BB221" s="25"/>
      <c r="BC221" s="25"/>
      <c r="BD221" s="25"/>
      <c r="BE221" s="25"/>
      <c r="BF221" s="25"/>
      <c r="BG221" s="25"/>
      <c r="BH221" s="25"/>
      <c r="BI221" s="25"/>
      <c r="BJ221" s="25"/>
      <c r="BK221" s="25"/>
      <c r="BL221" s="25"/>
      <c r="BM221" s="25"/>
      <c r="BN221" s="25"/>
      <c r="BO221" s="25"/>
      <c r="BP221" s="25"/>
      <c r="BQ221" s="25"/>
      <c r="BR221" s="25" t="str">
        <f>_xlfn.CONCAT($A222," ",$B222," ",$D222)</f>
        <v>2025 General Motors SILVERADO EV 19kW Charger</v>
      </c>
      <c r="BS221" s="25"/>
      <c r="BT221" s="25"/>
      <c r="BU221" s="25"/>
      <c r="BV221" s="25"/>
      <c r="BX221" s="25"/>
      <c r="BY221" s="25"/>
      <c r="BZ221" s="25"/>
      <c r="CA221" s="25"/>
      <c r="CB221" s="25"/>
      <c r="CC221" s="25"/>
      <c r="CD221" s="25"/>
      <c r="CE221" s="25"/>
      <c r="CF221" s="25"/>
      <c r="CG221" s="25"/>
      <c r="CH221" s="25"/>
      <c r="CI221" s="25"/>
      <c r="CJ221" s="25"/>
      <c r="CK221" s="25"/>
      <c r="CL221" s="25"/>
      <c r="CM221" s="25"/>
      <c r="CN221" s="25"/>
      <c r="CO221" s="25"/>
      <c r="CP221" s="25" t="str">
        <f>_xlfn.CONCAT($A222," ",$B222," ",$D222)</f>
        <v>2025 General Motors SILVERADO EV 19kW Charger</v>
      </c>
      <c r="CQ221" s="25"/>
      <c r="CR221" s="25"/>
      <c r="CS221" s="25"/>
      <c r="CT221" s="25"/>
      <c r="CU221" s="25"/>
      <c r="CV221" s="25"/>
      <c r="CW221" s="25"/>
      <c r="CX221" s="25"/>
      <c r="CY221" s="25"/>
      <c r="CZ221" s="25"/>
      <c r="DA221" s="25"/>
      <c r="DB221" s="25"/>
      <c r="DC221" s="25"/>
      <c r="DD221" s="25"/>
      <c r="DE221" s="25"/>
      <c r="DF221" s="25"/>
      <c r="DG221" s="25"/>
      <c r="DH221" s="25"/>
      <c r="DI221" s="25" t="str">
        <f>_xlfn.CONCAT($A222," ",$B222," ",$D222)</f>
        <v>2025 General Motors SILVERADO EV 19kW Charger</v>
      </c>
      <c r="DJ221" s="25"/>
      <c r="DK221" s="25"/>
      <c r="DL221" s="25"/>
      <c r="DM221" s="25"/>
      <c r="DN221" s="25"/>
      <c r="DO221" s="25"/>
      <c r="DP221" s="25"/>
      <c r="DQ221" s="25"/>
      <c r="DR221" s="25"/>
      <c r="DS221" s="25"/>
      <c r="DT221" s="25"/>
      <c r="DU221" s="25"/>
      <c r="DV221" s="25"/>
      <c r="DW221" s="25"/>
      <c r="DX221" s="25"/>
      <c r="DY221" s="25"/>
      <c r="DZ221" s="25" t="str">
        <f>_xlfn.CONCAT($A222," ",$B222," ",$D222)</f>
        <v>2025 General Motors SILVERADO EV 19kW Charger</v>
      </c>
      <c r="EB221" s="25"/>
      <c r="EC221" s="25"/>
      <c r="ED221" s="25"/>
      <c r="EE221" s="25"/>
      <c r="EF221" s="25"/>
      <c r="EG221" s="25"/>
      <c r="EH221" s="25"/>
      <c r="EI221" s="25"/>
      <c r="EJ221" s="25"/>
      <c r="EK221" s="25"/>
      <c r="EL221" s="25"/>
      <c r="EM221" s="25"/>
      <c r="EN221" s="25"/>
      <c r="EO221" s="25"/>
      <c r="EP221" s="25"/>
      <c r="EQ221" s="25"/>
      <c r="ER221" s="25"/>
      <c r="ES221" s="25"/>
      <c r="ET221" s="25"/>
      <c r="EU221" s="25"/>
      <c r="EV221" s="25" t="str">
        <f>_xlfn.CONCAT($A222," ",$B222," ",$D222)</f>
        <v>2025 General Motors SILVERADO EV 19kW Charger</v>
      </c>
      <c r="EW221" s="25"/>
      <c r="EX221" s="25"/>
      <c r="EY221" s="25"/>
      <c r="EZ221" s="25"/>
      <c r="FA221" s="25"/>
      <c r="FB221" s="25"/>
      <c r="FC221" s="25"/>
      <c r="FD221" s="25"/>
      <c r="FE221" s="25"/>
      <c r="FF221" s="25"/>
      <c r="FG221" s="25"/>
    </row>
    <row r="222" spans="1:165" x14ac:dyDescent="0.35">
      <c r="A222">
        <v>2025</v>
      </c>
      <c r="B222" t="s">
        <v>220</v>
      </c>
      <c r="C222" t="s">
        <v>221</v>
      </c>
      <c r="D222" t="s">
        <v>2446</v>
      </c>
      <c r="E222" t="s">
        <v>223</v>
      </c>
      <c r="F222">
        <v>473</v>
      </c>
      <c r="G222">
        <v>0</v>
      </c>
      <c r="I222" t="s">
        <v>1734</v>
      </c>
      <c r="J222">
        <v>70</v>
      </c>
      <c r="K222">
        <v>59</v>
      </c>
      <c r="L222">
        <v>64</v>
      </c>
      <c r="M222">
        <v>99.574100000000001</v>
      </c>
      <c r="N222">
        <v>84.090999999999994</v>
      </c>
      <c r="O222">
        <v>91.955100000000002</v>
      </c>
      <c r="P222">
        <v>69.701899999999995</v>
      </c>
      <c r="Q222">
        <v>58.863700000000001</v>
      </c>
      <c r="R222">
        <v>64.368600000000001</v>
      </c>
      <c r="V222" t="s">
        <v>167</v>
      </c>
      <c r="W222" t="s">
        <v>168</v>
      </c>
      <c r="X222" t="s">
        <v>1850</v>
      </c>
      <c r="Y222">
        <v>1</v>
      </c>
      <c r="Z222" t="s">
        <v>170</v>
      </c>
      <c r="AA222" t="s">
        <v>170</v>
      </c>
      <c r="AB222">
        <v>4</v>
      </c>
      <c r="AC222" t="s">
        <v>601</v>
      </c>
      <c r="AF222">
        <v>390</v>
      </c>
      <c r="AG222" t="s">
        <v>1735</v>
      </c>
      <c r="AH222" t="s">
        <v>1736</v>
      </c>
      <c r="AI222" t="s">
        <v>175</v>
      </c>
      <c r="AJ222" t="s">
        <v>176</v>
      </c>
      <c r="AK222">
        <v>4</v>
      </c>
      <c r="AL222" t="s">
        <v>1737</v>
      </c>
      <c r="AS222">
        <v>1250</v>
      </c>
      <c r="AT222">
        <v>1250</v>
      </c>
      <c r="BQ222">
        <v>13</v>
      </c>
      <c r="BR222" t="s">
        <v>1016</v>
      </c>
      <c r="BT222" t="s">
        <v>1738</v>
      </c>
      <c r="BU222" s="1">
        <v>45576</v>
      </c>
      <c r="BV222">
        <v>35667</v>
      </c>
      <c r="BX222" t="s">
        <v>170</v>
      </c>
      <c r="BY222" t="s">
        <v>170</v>
      </c>
      <c r="CB222" t="s">
        <v>170</v>
      </c>
      <c r="CC222" t="s">
        <v>170</v>
      </c>
      <c r="CK222" t="s">
        <v>233</v>
      </c>
      <c r="CM222">
        <v>1</v>
      </c>
      <c r="CN222" t="s">
        <v>234</v>
      </c>
      <c r="CP222">
        <v>470</v>
      </c>
      <c r="CQ222">
        <v>290</v>
      </c>
      <c r="CR222">
        <v>143</v>
      </c>
      <c r="CS222" t="s">
        <v>1752</v>
      </c>
      <c r="CV222" t="s">
        <v>341</v>
      </c>
      <c r="CX222" t="s">
        <v>342</v>
      </c>
      <c r="CY222" t="s">
        <v>170</v>
      </c>
      <c r="DD222">
        <v>2</v>
      </c>
      <c r="DE222" t="s">
        <v>404</v>
      </c>
      <c r="DF222" t="s">
        <v>1860</v>
      </c>
      <c r="DG222" t="s">
        <v>1880</v>
      </c>
      <c r="DL222" t="s">
        <v>170</v>
      </c>
      <c r="DM222" t="s">
        <v>169</v>
      </c>
      <c r="DP222" t="s">
        <v>170</v>
      </c>
      <c r="DQ222" t="s">
        <v>187</v>
      </c>
      <c r="DR222" t="s">
        <v>1886</v>
      </c>
      <c r="EB222">
        <v>8</v>
      </c>
      <c r="EC222">
        <v>10</v>
      </c>
      <c r="EE222" t="s">
        <v>1882</v>
      </c>
      <c r="EF222">
        <v>10</v>
      </c>
      <c r="EU222">
        <v>3250</v>
      </c>
      <c r="EW222">
        <v>0</v>
      </c>
      <c r="EX222">
        <v>0</v>
      </c>
      <c r="EY222">
        <v>0</v>
      </c>
      <c r="FA222">
        <v>11.5</v>
      </c>
      <c r="FG222">
        <v>419</v>
      </c>
      <c r="FH222">
        <v>354</v>
      </c>
      <c r="FI222">
        <v>390</v>
      </c>
    </row>
    <row r="223" spans="1:165" x14ac:dyDescent="0.35">
      <c r="A223">
        <v>2025</v>
      </c>
      <c r="B223" t="s">
        <v>220</v>
      </c>
      <c r="C223" t="s">
        <v>221</v>
      </c>
      <c r="D223" t="s">
        <v>2446</v>
      </c>
      <c r="E223" t="s">
        <v>223</v>
      </c>
      <c r="F223">
        <v>473</v>
      </c>
      <c r="G223">
        <v>0</v>
      </c>
      <c r="I223" t="s">
        <v>1734</v>
      </c>
      <c r="J223">
        <v>48</v>
      </c>
      <c r="K223">
        <v>57</v>
      </c>
      <c r="L223">
        <v>52</v>
      </c>
      <c r="M223">
        <v>33.847299999999997</v>
      </c>
      <c r="N223">
        <v>40.068899999999999</v>
      </c>
      <c r="O223">
        <v>36.646999999999998</v>
      </c>
      <c r="P223">
        <v>48.355899999999998</v>
      </c>
      <c r="Q223">
        <v>57.259399999999999</v>
      </c>
      <c r="R223">
        <v>52.362499999999997</v>
      </c>
      <c r="V223" t="s">
        <v>167</v>
      </c>
      <c r="W223" t="s">
        <v>168</v>
      </c>
      <c r="X223" t="s">
        <v>1850</v>
      </c>
      <c r="Y223">
        <v>1</v>
      </c>
      <c r="Z223" t="s">
        <v>170</v>
      </c>
      <c r="AA223" t="s">
        <v>170</v>
      </c>
      <c r="AB223">
        <v>4</v>
      </c>
      <c r="AC223" t="s">
        <v>601</v>
      </c>
      <c r="AF223">
        <v>390</v>
      </c>
      <c r="AG223" t="s">
        <v>1735</v>
      </c>
      <c r="AH223" t="s">
        <v>1736</v>
      </c>
      <c r="AI223" t="s">
        <v>1742</v>
      </c>
      <c r="AJ223" t="s">
        <v>1743</v>
      </c>
      <c r="AK223">
        <v>4</v>
      </c>
      <c r="AL223" t="s">
        <v>1737</v>
      </c>
      <c r="AS223">
        <v>1250</v>
      </c>
      <c r="AT223">
        <v>1250</v>
      </c>
      <c r="BQ223">
        <v>13</v>
      </c>
      <c r="BR223" t="s">
        <v>1016</v>
      </c>
      <c r="BT223" t="s">
        <v>1738</v>
      </c>
      <c r="BU223" s="1">
        <v>45576</v>
      </c>
      <c r="BV223">
        <v>35667</v>
      </c>
      <c r="BX223" t="s">
        <v>170</v>
      </c>
      <c r="BY223" t="s">
        <v>170</v>
      </c>
      <c r="CB223" t="s">
        <v>170</v>
      </c>
      <c r="CC223" t="s">
        <v>170</v>
      </c>
      <c r="CK223" t="s">
        <v>233</v>
      </c>
      <c r="CM223">
        <v>1</v>
      </c>
      <c r="CN223" t="s">
        <v>234</v>
      </c>
      <c r="CP223">
        <v>470</v>
      </c>
      <c r="CQ223">
        <v>290</v>
      </c>
      <c r="CR223">
        <v>143</v>
      </c>
      <c r="CS223" t="s">
        <v>1752</v>
      </c>
      <c r="CV223" t="s">
        <v>341</v>
      </c>
      <c r="CX223" t="s">
        <v>342</v>
      </c>
      <c r="CY223" t="s">
        <v>170</v>
      </c>
      <c r="DD223">
        <v>2</v>
      </c>
      <c r="DE223" t="s">
        <v>404</v>
      </c>
      <c r="DF223" t="s">
        <v>1860</v>
      </c>
      <c r="DG223" t="s">
        <v>1880</v>
      </c>
      <c r="DL223" t="s">
        <v>170</v>
      </c>
      <c r="DM223" t="s">
        <v>169</v>
      </c>
      <c r="DP223" t="s">
        <v>170</v>
      </c>
      <c r="DQ223" t="s">
        <v>187</v>
      </c>
      <c r="DR223" t="s">
        <v>1886</v>
      </c>
      <c r="EB223">
        <v>8</v>
      </c>
      <c r="EC223">
        <v>10</v>
      </c>
      <c r="EE223" t="s">
        <v>1882</v>
      </c>
      <c r="EF223">
        <v>10</v>
      </c>
      <c r="EU223">
        <v>3250</v>
      </c>
      <c r="EW223">
        <v>0</v>
      </c>
      <c r="EX223">
        <v>0</v>
      </c>
      <c r="EY223">
        <v>0</v>
      </c>
      <c r="FA223">
        <v>11.5</v>
      </c>
      <c r="FG223">
        <v>419</v>
      </c>
      <c r="FH223">
        <v>354</v>
      </c>
      <c r="FI223">
        <v>390</v>
      </c>
    </row>
    <row r="224" spans="1:165" x14ac:dyDescent="0.35">
      <c r="A224" s="25"/>
      <c r="B224" s="25"/>
      <c r="C224" s="25"/>
      <c r="D224" s="25"/>
      <c r="E224" s="25"/>
      <c r="F224" s="25" t="str">
        <f>_xlfn.CONCAT($A225," ",$B225," ",$D225)</f>
        <v>2025 General Motors SILVERADO EV 5WT 11kW Charger</v>
      </c>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t="str">
        <f>_xlfn.CONCAT($A225," ",$B225," ",$D225)</f>
        <v>2025 General Motors SILVERADO EV 5WT 11kW Charger</v>
      </c>
      <c r="AE224" s="25"/>
      <c r="AF224" s="25"/>
      <c r="AG224" s="25"/>
      <c r="AH224" s="25"/>
      <c r="AI224" s="25"/>
      <c r="AJ224" s="25"/>
      <c r="AK224" s="25"/>
      <c r="AL224" s="25"/>
      <c r="AM224" s="25"/>
      <c r="AN224" s="25"/>
      <c r="AO224" s="25"/>
      <c r="AP224" s="25"/>
      <c r="AQ224" s="25"/>
      <c r="AR224" s="25"/>
      <c r="AS224" s="25"/>
      <c r="AT224" s="25"/>
      <c r="AU224" s="25"/>
      <c r="AV224" s="25"/>
      <c r="AW224" s="25"/>
      <c r="AX224" s="25" t="str">
        <f>_xlfn.CONCAT($A225," ",$B225," ",$D225)</f>
        <v>2025 General Motors SILVERADO EV 5WT 11kW Charger</v>
      </c>
      <c r="AY224" s="25"/>
      <c r="AZ224" s="25"/>
      <c r="BA224" s="25"/>
      <c r="BB224" s="25"/>
      <c r="BC224" s="25"/>
      <c r="BD224" s="25"/>
      <c r="BE224" s="25"/>
      <c r="BF224" s="25"/>
      <c r="BG224" s="25"/>
      <c r="BH224" s="25"/>
      <c r="BI224" s="25"/>
      <c r="BJ224" s="25"/>
      <c r="BK224" s="25"/>
      <c r="BL224" s="25"/>
      <c r="BM224" s="25"/>
      <c r="BN224" s="25"/>
      <c r="BO224" s="25"/>
      <c r="BP224" s="25"/>
      <c r="BQ224" s="25"/>
      <c r="BR224" s="25" t="str">
        <f>_xlfn.CONCAT($A225," ",$B225," ",$D225)</f>
        <v>2025 General Motors SILVERADO EV 5WT 11kW Charger</v>
      </c>
      <c r="BS224" s="25"/>
      <c r="BT224" s="25"/>
      <c r="BU224" s="25"/>
      <c r="BV224" s="25"/>
      <c r="BX224" s="25"/>
      <c r="BY224" s="25"/>
      <c r="BZ224" s="25"/>
      <c r="CA224" s="25"/>
      <c r="CB224" s="25"/>
      <c r="CC224" s="25"/>
      <c r="CD224" s="25"/>
      <c r="CE224" s="25"/>
      <c r="CF224" s="25"/>
      <c r="CG224" s="25"/>
      <c r="CH224" s="25"/>
      <c r="CI224" s="25"/>
      <c r="CJ224" s="25"/>
      <c r="CK224" s="25"/>
      <c r="CL224" s="25"/>
      <c r="CM224" s="25"/>
      <c r="CN224" s="25"/>
      <c r="CO224" s="25"/>
      <c r="CP224" s="25" t="str">
        <f>_xlfn.CONCAT($A225," ",$B225," ",$D225)</f>
        <v>2025 General Motors SILVERADO EV 5WT 11kW Charger</v>
      </c>
      <c r="CQ224" s="25"/>
      <c r="CR224" s="25"/>
      <c r="CS224" s="25"/>
      <c r="CT224" s="25"/>
      <c r="CU224" s="25"/>
      <c r="CV224" s="25"/>
      <c r="CW224" s="25"/>
      <c r="CX224" s="25"/>
      <c r="CY224" s="25"/>
      <c r="CZ224" s="25"/>
      <c r="DA224" s="25"/>
      <c r="DB224" s="25"/>
      <c r="DC224" s="25"/>
      <c r="DD224" s="25"/>
      <c r="DE224" s="25"/>
      <c r="DF224" s="25"/>
      <c r="DG224" s="25"/>
      <c r="DH224" s="25"/>
      <c r="DI224" s="25" t="str">
        <f>_xlfn.CONCAT($A225," ",$B225," ",$D225)</f>
        <v>2025 General Motors SILVERADO EV 5WT 11kW Charger</v>
      </c>
      <c r="DJ224" s="25"/>
      <c r="DK224" s="25"/>
      <c r="DL224" s="25"/>
      <c r="DM224" s="25"/>
      <c r="DN224" s="25"/>
      <c r="DO224" s="25"/>
      <c r="DP224" s="25"/>
      <c r="DQ224" s="25"/>
      <c r="DR224" s="25"/>
      <c r="DS224" s="25"/>
      <c r="DT224" s="25"/>
      <c r="DU224" s="25"/>
      <c r="DV224" s="25"/>
      <c r="DW224" s="25"/>
      <c r="DX224" s="25"/>
      <c r="DY224" s="25"/>
      <c r="DZ224" s="25" t="str">
        <f>_xlfn.CONCAT($A225," ",$B225," ",$D225)</f>
        <v>2025 General Motors SILVERADO EV 5WT 11kW Charger</v>
      </c>
      <c r="EB224" s="25"/>
      <c r="EC224" s="25"/>
      <c r="ED224" s="25"/>
      <c r="EE224" s="25"/>
      <c r="EF224" s="25"/>
      <c r="EG224" s="25"/>
      <c r="EH224" s="25"/>
      <c r="EI224" s="25"/>
      <c r="EJ224" s="25"/>
      <c r="EK224" s="25"/>
      <c r="EL224" s="25"/>
      <c r="EM224" s="25"/>
      <c r="EN224" s="25"/>
      <c r="EO224" s="25"/>
      <c r="EP224" s="25"/>
      <c r="EQ224" s="25"/>
      <c r="ER224" s="25"/>
      <c r="ES224" s="25"/>
      <c r="ET224" s="25"/>
      <c r="EU224" s="25"/>
      <c r="EV224" s="25" t="str">
        <f>_xlfn.CONCAT($A225," ",$B225," ",$D225)</f>
        <v>2025 General Motors SILVERADO EV 5WT 11kW Charger</v>
      </c>
      <c r="EW224" s="25"/>
      <c r="EX224" s="25"/>
      <c r="EY224" s="25"/>
      <c r="EZ224" s="25"/>
      <c r="FA224" s="25"/>
      <c r="FB224" s="25"/>
      <c r="FC224" s="25"/>
      <c r="FD224" s="25"/>
      <c r="FE224" s="25"/>
      <c r="FF224" s="25"/>
      <c r="FG224" s="25"/>
    </row>
    <row r="225" spans="1:165" x14ac:dyDescent="0.35">
      <c r="A225">
        <v>2025</v>
      </c>
      <c r="B225" t="s">
        <v>220</v>
      </c>
      <c r="C225" t="s">
        <v>221</v>
      </c>
      <c r="D225" t="s">
        <v>2449</v>
      </c>
      <c r="E225" t="s">
        <v>223</v>
      </c>
      <c r="F225">
        <v>475</v>
      </c>
      <c r="G225">
        <v>0</v>
      </c>
      <c r="I225" t="s">
        <v>1734</v>
      </c>
      <c r="J225">
        <v>77</v>
      </c>
      <c r="K225">
        <v>63</v>
      </c>
      <c r="L225">
        <v>70</v>
      </c>
      <c r="M225">
        <v>109.8</v>
      </c>
      <c r="N225">
        <v>89.5</v>
      </c>
      <c r="O225">
        <v>99.631</v>
      </c>
      <c r="P225">
        <v>76.86</v>
      </c>
      <c r="Q225">
        <v>62.65</v>
      </c>
      <c r="R225">
        <v>69.741699999999994</v>
      </c>
      <c r="V225" t="s">
        <v>167</v>
      </c>
      <c r="W225" t="s">
        <v>168</v>
      </c>
      <c r="X225" t="s">
        <v>1850</v>
      </c>
      <c r="Y225">
        <v>1</v>
      </c>
      <c r="Z225" t="s">
        <v>170</v>
      </c>
      <c r="AA225" t="s">
        <v>170</v>
      </c>
      <c r="AB225">
        <v>4</v>
      </c>
      <c r="AC225" t="s">
        <v>601</v>
      </c>
      <c r="AF225">
        <v>422</v>
      </c>
      <c r="AG225" t="s">
        <v>1735</v>
      </c>
      <c r="AH225" t="s">
        <v>1736</v>
      </c>
      <c r="AI225" t="s">
        <v>175</v>
      </c>
      <c r="AJ225" t="s">
        <v>176</v>
      </c>
      <c r="AK225">
        <v>4</v>
      </c>
      <c r="AL225" t="s">
        <v>1737</v>
      </c>
      <c r="AS225">
        <v>1150</v>
      </c>
      <c r="AT225">
        <v>50</v>
      </c>
      <c r="BQ225">
        <v>13</v>
      </c>
      <c r="BR225" t="s">
        <v>1016</v>
      </c>
      <c r="BT225" t="s">
        <v>1738</v>
      </c>
      <c r="BU225" s="1">
        <v>47038</v>
      </c>
      <c r="BV225">
        <v>35669</v>
      </c>
      <c r="BX225" t="s">
        <v>170</v>
      </c>
      <c r="BY225" t="s">
        <v>170</v>
      </c>
      <c r="CB225" t="s">
        <v>170</v>
      </c>
      <c r="CC225" t="s">
        <v>170</v>
      </c>
      <c r="CK225" t="s">
        <v>233</v>
      </c>
      <c r="CM225">
        <v>1</v>
      </c>
      <c r="CN225" t="s">
        <v>234</v>
      </c>
      <c r="CP225">
        <v>470</v>
      </c>
      <c r="CQ225">
        <v>290</v>
      </c>
      <c r="CR225">
        <v>143</v>
      </c>
      <c r="CS225" t="s">
        <v>1752</v>
      </c>
      <c r="CV225" t="s">
        <v>341</v>
      </c>
      <c r="CX225" t="s">
        <v>342</v>
      </c>
      <c r="CY225" t="s">
        <v>170</v>
      </c>
      <c r="DD225">
        <v>2</v>
      </c>
      <c r="DE225" t="s">
        <v>404</v>
      </c>
      <c r="DF225" t="s">
        <v>1860</v>
      </c>
      <c r="DG225">
        <v>189</v>
      </c>
      <c r="DL225" t="s">
        <v>170</v>
      </c>
      <c r="DM225" t="s">
        <v>169</v>
      </c>
      <c r="DP225" t="s">
        <v>170</v>
      </c>
      <c r="DQ225" t="s">
        <v>187</v>
      </c>
      <c r="DR225" t="s">
        <v>1887</v>
      </c>
      <c r="EB225">
        <v>9</v>
      </c>
      <c r="EC225">
        <v>10</v>
      </c>
      <c r="EE225" t="s">
        <v>1882</v>
      </c>
      <c r="EF225">
        <v>10</v>
      </c>
      <c r="EU225">
        <v>3750</v>
      </c>
      <c r="EW225">
        <v>0</v>
      </c>
      <c r="EX225">
        <v>0</v>
      </c>
      <c r="EY225">
        <v>0</v>
      </c>
      <c r="FA225">
        <v>11.5</v>
      </c>
      <c r="FG225">
        <v>460</v>
      </c>
      <c r="FH225">
        <v>375</v>
      </c>
      <c r="FI225">
        <v>422</v>
      </c>
    </row>
    <row r="226" spans="1:165" x14ac:dyDescent="0.35">
      <c r="A226">
        <v>2025</v>
      </c>
      <c r="B226" t="s">
        <v>220</v>
      </c>
      <c r="C226" t="s">
        <v>221</v>
      </c>
      <c r="D226" t="s">
        <v>2449</v>
      </c>
      <c r="E226" t="s">
        <v>223</v>
      </c>
      <c r="F226">
        <v>475</v>
      </c>
      <c r="G226">
        <v>0</v>
      </c>
      <c r="I226" t="s">
        <v>1734</v>
      </c>
      <c r="J226">
        <v>44</v>
      </c>
      <c r="K226">
        <v>54</v>
      </c>
      <c r="L226">
        <v>48</v>
      </c>
      <c r="M226">
        <v>30.698799999999999</v>
      </c>
      <c r="N226">
        <v>37.659599999999998</v>
      </c>
      <c r="O226">
        <v>33.831200000000003</v>
      </c>
      <c r="P226">
        <v>43.852499999999999</v>
      </c>
      <c r="Q226">
        <v>53.798900000000003</v>
      </c>
      <c r="R226">
        <v>48.328400000000002</v>
      </c>
      <c r="V226" t="s">
        <v>167</v>
      </c>
      <c r="W226" t="s">
        <v>168</v>
      </c>
      <c r="X226" t="s">
        <v>1850</v>
      </c>
      <c r="Y226">
        <v>1</v>
      </c>
      <c r="Z226" t="s">
        <v>170</v>
      </c>
      <c r="AA226" t="s">
        <v>170</v>
      </c>
      <c r="AB226">
        <v>4</v>
      </c>
      <c r="AC226" t="s">
        <v>601</v>
      </c>
      <c r="AF226">
        <v>422</v>
      </c>
      <c r="AG226" t="s">
        <v>1735</v>
      </c>
      <c r="AH226" t="s">
        <v>1736</v>
      </c>
      <c r="AI226" t="s">
        <v>1742</v>
      </c>
      <c r="AJ226" t="s">
        <v>1743</v>
      </c>
      <c r="AK226">
        <v>4</v>
      </c>
      <c r="AL226" t="s">
        <v>1737</v>
      </c>
      <c r="AS226">
        <v>1150</v>
      </c>
      <c r="AT226">
        <v>1150</v>
      </c>
      <c r="BQ226">
        <v>13</v>
      </c>
      <c r="BR226" t="s">
        <v>1016</v>
      </c>
      <c r="BT226" t="s">
        <v>1738</v>
      </c>
      <c r="BU226" s="1">
        <v>47038</v>
      </c>
      <c r="BV226">
        <v>35669</v>
      </c>
      <c r="BX226" t="s">
        <v>170</v>
      </c>
      <c r="BY226" t="s">
        <v>170</v>
      </c>
      <c r="CB226" t="s">
        <v>170</v>
      </c>
      <c r="CC226" t="s">
        <v>170</v>
      </c>
      <c r="CK226" t="s">
        <v>233</v>
      </c>
      <c r="CM226">
        <v>1</v>
      </c>
      <c r="CN226" t="s">
        <v>234</v>
      </c>
      <c r="CP226">
        <v>470</v>
      </c>
      <c r="CQ226">
        <v>290</v>
      </c>
      <c r="CR226">
        <v>143</v>
      </c>
      <c r="CS226" t="s">
        <v>1752</v>
      </c>
      <c r="CV226" t="s">
        <v>341</v>
      </c>
      <c r="CX226" t="s">
        <v>342</v>
      </c>
      <c r="CY226" t="s">
        <v>170</v>
      </c>
      <c r="DD226">
        <v>2</v>
      </c>
      <c r="DE226" t="s">
        <v>404</v>
      </c>
      <c r="DF226" t="s">
        <v>1860</v>
      </c>
      <c r="DG226">
        <v>189</v>
      </c>
      <c r="DL226" t="s">
        <v>170</v>
      </c>
      <c r="DM226" t="s">
        <v>169</v>
      </c>
      <c r="DP226" t="s">
        <v>170</v>
      </c>
      <c r="DQ226" t="s">
        <v>187</v>
      </c>
      <c r="DR226" t="s">
        <v>1887</v>
      </c>
      <c r="EB226">
        <v>9</v>
      </c>
      <c r="EC226">
        <v>10</v>
      </c>
      <c r="EE226" t="s">
        <v>1882</v>
      </c>
      <c r="EF226">
        <v>10</v>
      </c>
      <c r="EU226">
        <v>3750</v>
      </c>
      <c r="EW226">
        <v>0</v>
      </c>
      <c r="EX226">
        <v>0</v>
      </c>
      <c r="EY226">
        <v>0</v>
      </c>
      <c r="FA226">
        <v>11.5</v>
      </c>
      <c r="FG226">
        <v>460</v>
      </c>
      <c r="FH226">
        <v>375</v>
      </c>
      <c r="FI226">
        <v>422</v>
      </c>
    </row>
    <row r="227" spans="1:165" x14ac:dyDescent="0.35">
      <c r="A227" s="25"/>
      <c r="B227" s="25"/>
      <c r="C227" s="25"/>
      <c r="D227" s="25"/>
      <c r="E227" s="25"/>
      <c r="F227" s="25" t="str">
        <f>_xlfn.CONCAT($A228," ",$B228," ",$D228)</f>
        <v>2025 General Motors SILVERADO EV 2WT</v>
      </c>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t="str">
        <f>_xlfn.CONCAT($A228," ",$B228," ",$D228)</f>
        <v>2025 General Motors SILVERADO EV 2WT</v>
      </c>
      <c r="AE227" s="25"/>
      <c r="AF227" s="25"/>
      <c r="AG227" s="25"/>
      <c r="AH227" s="25"/>
      <c r="AI227" s="25"/>
      <c r="AJ227" s="25"/>
      <c r="AK227" s="25"/>
      <c r="AL227" s="25"/>
      <c r="AM227" s="25"/>
      <c r="AN227" s="25"/>
      <c r="AO227" s="25"/>
      <c r="AP227" s="25"/>
      <c r="AQ227" s="25"/>
      <c r="AR227" s="25"/>
      <c r="AS227" s="25"/>
      <c r="AT227" s="25"/>
      <c r="AU227" s="25"/>
      <c r="AV227" s="25"/>
      <c r="AW227" s="25"/>
      <c r="AX227" s="25" t="str">
        <f>_xlfn.CONCAT($A228," ",$B228," ",$D228)</f>
        <v>2025 General Motors SILVERADO EV 2WT</v>
      </c>
      <c r="AY227" s="25"/>
      <c r="AZ227" s="25"/>
      <c r="BA227" s="25"/>
      <c r="BB227" s="25"/>
      <c r="BC227" s="25"/>
      <c r="BD227" s="25"/>
      <c r="BE227" s="25"/>
      <c r="BF227" s="25"/>
      <c r="BG227" s="25"/>
      <c r="BH227" s="25"/>
      <c r="BI227" s="25"/>
      <c r="BJ227" s="25"/>
      <c r="BK227" s="25"/>
      <c r="BL227" s="25"/>
      <c r="BM227" s="25"/>
      <c r="BN227" s="25"/>
      <c r="BO227" s="25"/>
      <c r="BP227" s="25"/>
      <c r="BQ227" s="25"/>
      <c r="BR227" s="25" t="str">
        <f>_xlfn.CONCAT($A228," ",$B228," ",$D228)</f>
        <v>2025 General Motors SILVERADO EV 2WT</v>
      </c>
      <c r="BS227" s="25"/>
      <c r="BT227" s="25"/>
      <c r="BU227" s="25"/>
      <c r="BV227" s="25"/>
      <c r="BX227" s="25"/>
      <c r="BY227" s="25"/>
      <c r="BZ227" s="25"/>
      <c r="CA227" s="25"/>
      <c r="CB227" s="25"/>
      <c r="CC227" s="25"/>
      <c r="CD227" s="25"/>
      <c r="CE227" s="25"/>
      <c r="CF227" s="25"/>
      <c r="CG227" s="25"/>
      <c r="CH227" s="25"/>
      <c r="CI227" s="25"/>
      <c r="CJ227" s="25"/>
      <c r="CK227" s="25"/>
      <c r="CL227" s="25"/>
      <c r="CM227" s="25"/>
      <c r="CN227" s="25"/>
      <c r="CO227" s="25"/>
      <c r="CP227" s="25" t="str">
        <f>_xlfn.CONCAT($A228," ",$B228," ",$D228)</f>
        <v>2025 General Motors SILVERADO EV 2WT</v>
      </c>
      <c r="CQ227" s="25"/>
      <c r="CR227" s="25"/>
      <c r="CS227" s="25"/>
      <c r="CT227" s="25"/>
      <c r="CU227" s="25"/>
      <c r="CV227" s="25"/>
      <c r="CW227" s="25"/>
      <c r="CX227" s="25"/>
      <c r="CY227" s="25"/>
      <c r="CZ227" s="25"/>
      <c r="DA227" s="25"/>
      <c r="DB227" s="25"/>
      <c r="DC227" s="25"/>
      <c r="DD227" s="25"/>
      <c r="DE227" s="25"/>
      <c r="DF227" s="25"/>
      <c r="DG227" s="25"/>
      <c r="DH227" s="25"/>
      <c r="DI227" s="25" t="str">
        <f>_xlfn.CONCAT($A228," ",$B228," ",$D228)</f>
        <v>2025 General Motors SILVERADO EV 2WT</v>
      </c>
      <c r="DJ227" s="25"/>
      <c r="DK227" s="25"/>
      <c r="DL227" s="25"/>
      <c r="DM227" s="25"/>
      <c r="DN227" s="25"/>
      <c r="DO227" s="25"/>
      <c r="DP227" s="25"/>
      <c r="DQ227" s="25"/>
      <c r="DR227" s="25"/>
      <c r="DS227" s="25"/>
      <c r="DT227" s="25"/>
      <c r="DU227" s="25"/>
      <c r="DV227" s="25"/>
      <c r="DW227" s="25"/>
      <c r="DX227" s="25"/>
      <c r="DY227" s="25"/>
      <c r="DZ227" s="25" t="str">
        <f>_xlfn.CONCAT($A228," ",$B228," ",$D228)</f>
        <v>2025 General Motors SILVERADO EV 2WT</v>
      </c>
      <c r="EB227" s="25"/>
      <c r="EC227" s="25"/>
      <c r="ED227" s="25"/>
      <c r="EE227" s="25"/>
      <c r="EF227" s="25"/>
      <c r="EG227" s="25"/>
      <c r="EH227" s="25"/>
      <c r="EI227" s="25"/>
      <c r="EJ227" s="25"/>
      <c r="EK227" s="25"/>
      <c r="EL227" s="25"/>
      <c r="EM227" s="25"/>
      <c r="EN227" s="25"/>
      <c r="EO227" s="25"/>
      <c r="EP227" s="25"/>
      <c r="EQ227" s="25"/>
      <c r="ER227" s="25"/>
      <c r="ES227" s="25"/>
      <c r="ET227" s="25"/>
      <c r="EU227" s="25"/>
      <c r="EV227" s="25" t="str">
        <f>_xlfn.CONCAT($A228," ",$B228," ",$D228)</f>
        <v>2025 General Motors SILVERADO EV 2WT</v>
      </c>
      <c r="EW227" s="25"/>
      <c r="EX227" s="25"/>
      <c r="EY227" s="25"/>
      <c r="EZ227" s="25"/>
      <c r="FA227" s="25"/>
      <c r="FB227" s="25"/>
      <c r="FC227" s="25"/>
      <c r="FD227" s="25"/>
      <c r="FE227" s="25"/>
      <c r="FF227" s="25"/>
      <c r="FG227" s="25"/>
    </row>
    <row r="228" spans="1:165" x14ac:dyDescent="0.35">
      <c r="A228">
        <v>2025</v>
      </c>
      <c r="B228" t="s">
        <v>220</v>
      </c>
      <c r="C228" t="s">
        <v>221</v>
      </c>
      <c r="D228" t="s">
        <v>2448</v>
      </c>
      <c r="E228" t="s">
        <v>223</v>
      </c>
      <c r="F228">
        <v>476</v>
      </c>
      <c r="G228">
        <v>0</v>
      </c>
      <c r="I228" t="s">
        <v>1734</v>
      </c>
      <c r="J228">
        <v>73</v>
      </c>
      <c r="K228">
        <v>60</v>
      </c>
      <c r="L228">
        <v>66</v>
      </c>
      <c r="M228">
        <v>104.4372</v>
      </c>
      <c r="N228">
        <v>85.231399999999994</v>
      </c>
      <c r="O228">
        <v>94.822100000000006</v>
      </c>
      <c r="P228">
        <v>73.106099999999998</v>
      </c>
      <c r="Q228">
        <v>59.661999999999999</v>
      </c>
      <c r="R228">
        <v>66.375500000000002</v>
      </c>
      <c r="V228" t="s">
        <v>167</v>
      </c>
      <c r="W228" t="s">
        <v>168</v>
      </c>
      <c r="X228" t="s">
        <v>1850</v>
      </c>
      <c r="Y228">
        <v>1</v>
      </c>
      <c r="Z228" t="s">
        <v>170</v>
      </c>
      <c r="AA228" t="s">
        <v>170</v>
      </c>
      <c r="AB228">
        <v>4</v>
      </c>
      <c r="AC228" t="s">
        <v>601</v>
      </c>
      <c r="AF228">
        <v>282</v>
      </c>
      <c r="AG228" t="s">
        <v>1735</v>
      </c>
      <c r="AH228" t="s">
        <v>1736</v>
      </c>
      <c r="AI228" t="s">
        <v>175</v>
      </c>
      <c r="AJ228" t="s">
        <v>176</v>
      </c>
      <c r="AK228">
        <v>4</v>
      </c>
      <c r="AL228" t="s">
        <v>1737</v>
      </c>
      <c r="AS228">
        <v>1200</v>
      </c>
      <c r="AT228">
        <v>50</v>
      </c>
      <c r="BQ228">
        <v>13</v>
      </c>
      <c r="BR228" t="s">
        <v>1016</v>
      </c>
      <c r="BT228" t="s">
        <v>1738</v>
      </c>
      <c r="BU228" s="1">
        <v>45628</v>
      </c>
      <c r="BV228">
        <v>35922</v>
      </c>
      <c r="BX228" t="s">
        <v>170</v>
      </c>
      <c r="BY228" t="s">
        <v>170</v>
      </c>
      <c r="CB228" t="s">
        <v>170</v>
      </c>
      <c r="CC228" t="s">
        <v>170</v>
      </c>
      <c r="CK228" t="s">
        <v>233</v>
      </c>
      <c r="CM228">
        <v>1</v>
      </c>
      <c r="CN228" t="s">
        <v>234</v>
      </c>
      <c r="CP228">
        <v>470</v>
      </c>
      <c r="CQ228">
        <v>290</v>
      </c>
      <c r="CR228">
        <v>143</v>
      </c>
      <c r="CS228" t="s">
        <v>1752</v>
      </c>
      <c r="CV228" t="s">
        <v>341</v>
      </c>
      <c r="CX228" t="s">
        <v>342</v>
      </c>
      <c r="CY228" t="s">
        <v>170</v>
      </c>
      <c r="DD228">
        <v>2</v>
      </c>
      <c r="DE228" t="s">
        <v>404</v>
      </c>
      <c r="DF228" t="s">
        <v>1860</v>
      </c>
      <c r="DG228">
        <v>189</v>
      </c>
      <c r="DL228" t="s">
        <v>170</v>
      </c>
      <c r="DM228" t="s">
        <v>169</v>
      </c>
      <c r="DP228" t="s">
        <v>170</v>
      </c>
      <c r="DQ228" t="s">
        <v>187</v>
      </c>
      <c r="DR228" t="s">
        <v>1888</v>
      </c>
      <c r="EB228">
        <v>9</v>
      </c>
      <c r="EC228">
        <v>10</v>
      </c>
      <c r="EE228" t="s">
        <v>1882</v>
      </c>
      <c r="EF228">
        <v>10</v>
      </c>
      <c r="EU228">
        <v>3500</v>
      </c>
      <c r="EW228">
        <v>0</v>
      </c>
      <c r="EX228">
        <v>0</v>
      </c>
      <c r="EY228">
        <v>0</v>
      </c>
      <c r="FA228">
        <v>13.3</v>
      </c>
      <c r="FG228">
        <v>307</v>
      </c>
      <c r="FH228">
        <v>251</v>
      </c>
      <c r="FI228">
        <v>282</v>
      </c>
    </row>
    <row r="229" spans="1:165" x14ac:dyDescent="0.35">
      <c r="A229">
        <v>2025</v>
      </c>
      <c r="B229" t="s">
        <v>220</v>
      </c>
      <c r="C229" t="s">
        <v>221</v>
      </c>
      <c r="D229" t="s">
        <v>2448</v>
      </c>
      <c r="E229" t="s">
        <v>223</v>
      </c>
      <c r="F229">
        <v>476</v>
      </c>
      <c r="G229">
        <v>0</v>
      </c>
      <c r="I229" t="s">
        <v>1734</v>
      </c>
      <c r="J229">
        <v>46</v>
      </c>
      <c r="K229">
        <v>56</v>
      </c>
      <c r="L229">
        <v>51</v>
      </c>
      <c r="M229">
        <v>32.273600000000002</v>
      </c>
      <c r="N229">
        <v>39.555900000000001</v>
      </c>
      <c r="O229">
        <v>35.550600000000003</v>
      </c>
      <c r="P229">
        <v>46.104300000000002</v>
      </c>
      <c r="Q229">
        <v>56.493299999999998</v>
      </c>
      <c r="R229">
        <v>50.779400000000003</v>
      </c>
      <c r="V229" t="s">
        <v>167</v>
      </c>
      <c r="W229" t="s">
        <v>168</v>
      </c>
      <c r="X229" t="s">
        <v>1850</v>
      </c>
      <c r="Y229">
        <v>1</v>
      </c>
      <c r="Z229" t="s">
        <v>170</v>
      </c>
      <c r="AA229" t="s">
        <v>170</v>
      </c>
      <c r="AB229">
        <v>4</v>
      </c>
      <c r="AC229" t="s">
        <v>601</v>
      </c>
      <c r="AF229">
        <v>282</v>
      </c>
      <c r="AG229" t="s">
        <v>1735</v>
      </c>
      <c r="AH229" t="s">
        <v>1736</v>
      </c>
      <c r="AI229" t="s">
        <v>1742</v>
      </c>
      <c r="AJ229" t="s">
        <v>1743</v>
      </c>
      <c r="AK229">
        <v>4</v>
      </c>
      <c r="AL229" t="s">
        <v>1737</v>
      </c>
      <c r="AS229">
        <v>1200</v>
      </c>
      <c r="AT229">
        <v>1200</v>
      </c>
      <c r="BQ229">
        <v>13</v>
      </c>
      <c r="BR229" t="s">
        <v>1016</v>
      </c>
      <c r="BT229" t="s">
        <v>1738</v>
      </c>
      <c r="BU229" s="1">
        <v>45628</v>
      </c>
      <c r="BV229">
        <v>35922</v>
      </c>
      <c r="BX229" t="s">
        <v>170</v>
      </c>
      <c r="BY229" t="s">
        <v>170</v>
      </c>
      <c r="CB229" t="s">
        <v>170</v>
      </c>
      <c r="CC229" t="s">
        <v>170</v>
      </c>
      <c r="CK229" t="s">
        <v>233</v>
      </c>
      <c r="CM229">
        <v>1</v>
      </c>
      <c r="CN229" t="s">
        <v>234</v>
      </c>
      <c r="CP229">
        <v>470</v>
      </c>
      <c r="CQ229">
        <v>290</v>
      </c>
      <c r="CR229">
        <v>143</v>
      </c>
      <c r="CS229" t="s">
        <v>1752</v>
      </c>
      <c r="CV229" t="s">
        <v>341</v>
      </c>
      <c r="CX229" t="s">
        <v>342</v>
      </c>
      <c r="CY229" t="s">
        <v>170</v>
      </c>
      <c r="DD229">
        <v>2</v>
      </c>
      <c r="DE229" t="s">
        <v>404</v>
      </c>
      <c r="DF229" t="s">
        <v>1860</v>
      </c>
      <c r="DG229">
        <v>189</v>
      </c>
      <c r="DL229" t="s">
        <v>170</v>
      </c>
      <c r="DM229" t="s">
        <v>169</v>
      </c>
      <c r="DP229" t="s">
        <v>170</v>
      </c>
      <c r="DQ229" t="s">
        <v>187</v>
      </c>
      <c r="DR229" t="s">
        <v>1888</v>
      </c>
      <c r="EB229">
        <v>9</v>
      </c>
      <c r="EC229">
        <v>10</v>
      </c>
      <c r="EE229" t="s">
        <v>1882</v>
      </c>
      <c r="EF229">
        <v>10</v>
      </c>
      <c r="EU229">
        <v>3500</v>
      </c>
      <c r="EW229">
        <v>0</v>
      </c>
      <c r="EX229">
        <v>0</v>
      </c>
      <c r="EY229">
        <v>0</v>
      </c>
      <c r="FA229">
        <v>13.3</v>
      </c>
      <c r="FG229">
        <v>307</v>
      </c>
      <c r="FH229">
        <v>251</v>
      </c>
      <c r="FI229">
        <v>282</v>
      </c>
    </row>
    <row r="230" spans="1:165" x14ac:dyDescent="0.35">
      <c r="A230" s="25"/>
      <c r="B230" s="25"/>
      <c r="C230" s="25"/>
      <c r="D230" s="25"/>
      <c r="E230" s="25"/>
      <c r="F230" s="25" t="str">
        <f>_xlfn.CONCAT($A231," ",$B231," ",$D231)</f>
        <v>2025 FCA US LLC Charger Daytona R/T AWD 245/55ZR18</v>
      </c>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c r="AD230" s="25" t="str">
        <f>_xlfn.CONCAT($A231," ",$B231," ",$D231)</f>
        <v>2025 FCA US LLC Charger Daytona R/T AWD 245/55ZR18</v>
      </c>
      <c r="AE230" s="25"/>
      <c r="AF230" s="25"/>
      <c r="AG230" s="25"/>
      <c r="AH230" s="25"/>
      <c r="AI230" s="25"/>
      <c r="AJ230" s="25"/>
      <c r="AK230" s="25"/>
      <c r="AL230" s="25"/>
      <c r="AM230" s="25"/>
      <c r="AN230" s="25"/>
      <c r="AO230" s="25"/>
      <c r="AP230" s="25"/>
      <c r="AQ230" s="25"/>
      <c r="AR230" s="25"/>
      <c r="AS230" s="25"/>
      <c r="AT230" s="25"/>
      <c r="AU230" s="25"/>
      <c r="AV230" s="25"/>
      <c r="AW230" s="25"/>
      <c r="AX230" s="25" t="str">
        <f>_xlfn.CONCAT($A231," ",$B231," ",$D231)</f>
        <v>2025 FCA US LLC Charger Daytona R/T AWD 245/55ZR18</v>
      </c>
      <c r="AY230" s="25"/>
      <c r="AZ230" s="25"/>
      <c r="BA230" s="25"/>
      <c r="BB230" s="25"/>
      <c r="BC230" s="25"/>
      <c r="BD230" s="25"/>
      <c r="BE230" s="25"/>
      <c r="BF230" s="25"/>
      <c r="BG230" s="25"/>
      <c r="BH230" s="25"/>
      <c r="BI230" s="25"/>
      <c r="BJ230" s="25"/>
      <c r="BK230" s="25"/>
      <c r="BL230" s="25"/>
      <c r="BM230" s="25"/>
      <c r="BN230" s="25"/>
      <c r="BO230" s="25"/>
      <c r="BP230" s="25"/>
      <c r="BQ230" s="25"/>
      <c r="BR230" s="25" t="str">
        <f>_xlfn.CONCAT($A231," ",$B231," ",$D231)</f>
        <v>2025 FCA US LLC Charger Daytona R/T AWD 245/55ZR18</v>
      </c>
      <c r="BS230" s="25"/>
      <c r="BT230" s="25"/>
      <c r="BU230" s="25"/>
      <c r="BV230" s="25"/>
      <c r="BX230" s="25"/>
      <c r="BY230" s="25"/>
      <c r="BZ230" s="25"/>
      <c r="CA230" s="25"/>
      <c r="CB230" s="25"/>
      <c r="CC230" s="25"/>
      <c r="CD230" s="25"/>
      <c r="CE230" s="25"/>
      <c r="CF230" s="25"/>
      <c r="CG230" s="25"/>
      <c r="CH230" s="25"/>
      <c r="CI230" s="25"/>
      <c r="CJ230" s="25"/>
      <c r="CK230" s="25"/>
      <c r="CL230" s="25"/>
      <c r="CM230" s="25"/>
      <c r="CN230" s="25"/>
      <c r="CO230" s="25"/>
      <c r="CP230" s="25" t="str">
        <f>_xlfn.CONCAT($A231," ",$B231," ",$D231)</f>
        <v>2025 FCA US LLC Charger Daytona R/T AWD 245/55ZR18</v>
      </c>
      <c r="CQ230" s="25"/>
      <c r="CR230" s="25"/>
      <c r="CS230" s="25"/>
      <c r="CT230" s="25"/>
      <c r="CU230" s="25"/>
      <c r="CV230" s="25"/>
      <c r="CW230" s="25"/>
      <c r="CX230" s="25"/>
      <c r="CY230" s="25"/>
      <c r="CZ230" s="25"/>
      <c r="DA230" s="25"/>
      <c r="DB230" s="25"/>
      <c r="DC230" s="25"/>
      <c r="DD230" s="25"/>
      <c r="DE230" s="25"/>
      <c r="DF230" s="25"/>
      <c r="DG230" s="25"/>
      <c r="DH230" s="25"/>
      <c r="DI230" s="25" t="str">
        <f>_xlfn.CONCAT($A231," ",$B231," ",$D231)</f>
        <v>2025 FCA US LLC Charger Daytona R/T AWD 245/55ZR18</v>
      </c>
      <c r="DJ230" s="25"/>
      <c r="DK230" s="25"/>
      <c r="DL230" s="25"/>
      <c r="DM230" s="25"/>
      <c r="DN230" s="25"/>
      <c r="DO230" s="25"/>
      <c r="DP230" s="25"/>
      <c r="DQ230" s="25"/>
      <c r="DR230" s="25"/>
      <c r="DS230" s="25"/>
      <c r="DT230" s="25"/>
      <c r="DU230" s="25"/>
      <c r="DV230" s="25"/>
      <c r="DW230" s="25"/>
      <c r="DX230" s="25"/>
      <c r="DY230" s="25"/>
      <c r="DZ230" s="25" t="str">
        <f>_xlfn.CONCAT($A231," ",$B231," ",$D231)</f>
        <v>2025 FCA US LLC Charger Daytona R/T AWD 245/55ZR18</v>
      </c>
      <c r="EB230" s="25"/>
      <c r="EC230" s="25"/>
      <c r="ED230" s="25"/>
      <c r="EE230" s="25"/>
      <c r="EF230" s="25"/>
      <c r="EG230" s="25"/>
      <c r="EH230" s="25"/>
      <c r="EI230" s="25"/>
      <c r="EJ230" s="25"/>
      <c r="EK230" s="25"/>
      <c r="EL230" s="25"/>
      <c r="EM230" s="25"/>
      <c r="EN230" s="25"/>
      <c r="EO230" s="25"/>
      <c r="EP230" s="25"/>
      <c r="EQ230" s="25"/>
      <c r="ER230" s="25"/>
      <c r="ES230" s="25"/>
      <c r="ET230" s="25"/>
      <c r="EU230" s="25"/>
      <c r="EV230" s="25" t="str">
        <f>_xlfn.CONCAT($A231," ",$B231," ",$D231)</f>
        <v>2025 FCA US LLC Charger Daytona R/T AWD 245/55ZR18</v>
      </c>
      <c r="EW230" s="25"/>
      <c r="EX230" s="25"/>
      <c r="EY230" s="25"/>
      <c r="EZ230" s="25"/>
      <c r="FA230" s="25"/>
      <c r="FB230" s="25"/>
      <c r="FC230" s="25"/>
      <c r="FD230" s="25"/>
      <c r="FE230" s="25"/>
      <c r="FF230" s="25"/>
      <c r="FG230" s="25"/>
    </row>
    <row r="231" spans="1:165" x14ac:dyDescent="0.35">
      <c r="A231">
        <v>2025</v>
      </c>
      <c r="B231" t="s">
        <v>668</v>
      </c>
      <c r="C231" t="s">
        <v>1273</v>
      </c>
      <c r="D231" t="s">
        <v>1889</v>
      </c>
      <c r="E231" t="s">
        <v>671</v>
      </c>
      <c r="F231">
        <v>3</v>
      </c>
      <c r="G231">
        <v>0</v>
      </c>
      <c r="I231" t="s">
        <v>1734</v>
      </c>
      <c r="J231">
        <v>92</v>
      </c>
      <c r="K231">
        <v>81</v>
      </c>
      <c r="L231">
        <v>87</v>
      </c>
      <c r="M231">
        <v>148.19999999999999</v>
      </c>
      <c r="N231">
        <v>130.1</v>
      </c>
      <c r="O231">
        <v>139.46850000000001</v>
      </c>
      <c r="P231">
        <v>92</v>
      </c>
      <c r="Q231">
        <v>81</v>
      </c>
      <c r="R231">
        <v>87</v>
      </c>
      <c r="V231" t="s">
        <v>167</v>
      </c>
      <c r="W231" t="s">
        <v>168</v>
      </c>
      <c r="Y231">
        <v>1</v>
      </c>
      <c r="Z231" t="s">
        <v>170</v>
      </c>
      <c r="AA231" t="s">
        <v>170</v>
      </c>
      <c r="AB231" t="s">
        <v>167</v>
      </c>
      <c r="AC231" t="s">
        <v>213</v>
      </c>
      <c r="AF231">
        <v>274</v>
      </c>
      <c r="AG231" t="s">
        <v>1735</v>
      </c>
      <c r="AH231" t="s">
        <v>1736</v>
      </c>
      <c r="AI231" t="s">
        <v>175</v>
      </c>
      <c r="AJ231" t="s">
        <v>176</v>
      </c>
      <c r="AK231" t="s">
        <v>170</v>
      </c>
      <c r="AL231" t="s">
        <v>177</v>
      </c>
      <c r="AO231">
        <v>105</v>
      </c>
      <c r="AP231">
        <v>25</v>
      </c>
      <c r="AS231">
        <v>950</v>
      </c>
      <c r="AT231">
        <v>950</v>
      </c>
      <c r="BQ231">
        <v>6</v>
      </c>
      <c r="BR231" t="s">
        <v>825</v>
      </c>
      <c r="BS231" t="s">
        <v>180</v>
      </c>
      <c r="BT231" t="s">
        <v>1738</v>
      </c>
      <c r="BU231" s="1">
        <v>45629</v>
      </c>
      <c r="BV231">
        <v>35953</v>
      </c>
      <c r="BX231" t="s">
        <v>169</v>
      </c>
      <c r="BY231" t="s">
        <v>170</v>
      </c>
      <c r="CB231" t="s">
        <v>170</v>
      </c>
      <c r="CC231" t="s">
        <v>170</v>
      </c>
      <c r="CK231" t="s">
        <v>233</v>
      </c>
      <c r="CM231">
        <v>1</v>
      </c>
      <c r="CN231" t="s">
        <v>234</v>
      </c>
      <c r="CP231">
        <v>442</v>
      </c>
      <c r="CQ231">
        <v>262</v>
      </c>
      <c r="CR231">
        <v>163</v>
      </c>
      <c r="CS231" t="s">
        <v>235</v>
      </c>
      <c r="CV231" t="s">
        <v>341</v>
      </c>
      <c r="CX231" t="s">
        <v>342</v>
      </c>
      <c r="CY231" t="s">
        <v>169</v>
      </c>
      <c r="DD231">
        <v>2</v>
      </c>
      <c r="DE231" t="s">
        <v>663</v>
      </c>
      <c r="DG231" t="s">
        <v>1890</v>
      </c>
      <c r="DL231" t="s">
        <v>170</v>
      </c>
      <c r="DM231" t="s">
        <v>169</v>
      </c>
      <c r="DP231" t="s">
        <v>170</v>
      </c>
      <c r="DQ231" t="s">
        <v>187</v>
      </c>
      <c r="EB231">
        <v>9</v>
      </c>
      <c r="EC231">
        <v>10</v>
      </c>
      <c r="EE231" t="s">
        <v>1891</v>
      </c>
      <c r="EF231">
        <v>10</v>
      </c>
      <c r="EU231">
        <v>4750</v>
      </c>
      <c r="EW231">
        <v>0</v>
      </c>
      <c r="EX231">
        <v>0</v>
      </c>
      <c r="EY231">
        <v>0</v>
      </c>
      <c r="FA231">
        <v>9.9</v>
      </c>
      <c r="FG231">
        <v>293</v>
      </c>
      <c r="FH231">
        <v>251</v>
      </c>
      <c r="FI231">
        <v>274</v>
      </c>
    </row>
    <row r="232" spans="1:165" x14ac:dyDescent="0.35">
      <c r="A232">
        <v>2025</v>
      </c>
      <c r="B232" t="s">
        <v>668</v>
      </c>
      <c r="C232" t="s">
        <v>1273</v>
      </c>
      <c r="D232" t="s">
        <v>1889</v>
      </c>
      <c r="E232" t="s">
        <v>671</v>
      </c>
      <c r="F232">
        <v>3</v>
      </c>
      <c r="G232">
        <v>0</v>
      </c>
      <c r="I232" t="s">
        <v>1734</v>
      </c>
      <c r="J232">
        <v>32</v>
      </c>
      <c r="K232">
        <v>37</v>
      </c>
      <c r="L232">
        <v>35</v>
      </c>
      <c r="M232">
        <v>22.750399999999999</v>
      </c>
      <c r="N232">
        <v>25.900300000000001</v>
      </c>
      <c r="O232">
        <v>24.167899999999999</v>
      </c>
      <c r="P232">
        <v>32</v>
      </c>
      <c r="Q232">
        <v>37</v>
      </c>
      <c r="R232">
        <v>35</v>
      </c>
      <c r="V232" t="s">
        <v>167</v>
      </c>
      <c r="W232" t="s">
        <v>168</v>
      </c>
      <c r="Y232">
        <v>1</v>
      </c>
      <c r="Z232" t="s">
        <v>170</v>
      </c>
      <c r="AA232" t="s">
        <v>170</v>
      </c>
      <c r="AB232" t="s">
        <v>167</v>
      </c>
      <c r="AC232" t="s">
        <v>213</v>
      </c>
      <c r="AF232">
        <v>274</v>
      </c>
      <c r="AG232" t="s">
        <v>1735</v>
      </c>
      <c r="AH232" t="s">
        <v>1736</v>
      </c>
      <c r="AI232" t="s">
        <v>1742</v>
      </c>
      <c r="AJ232" t="s">
        <v>1743</v>
      </c>
      <c r="AK232" t="s">
        <v>170</v>
      </c>
      <c r="AL232" t="s">
        <v>177</v>
      </c>
      <c r="AO232">
        <v>105</v>
      </c>
      <c r="AP232">
        <v>25</v>
      </c>
      <c r="AS232">
        <v>950</v>
      </c>
      <c r="AT232">
        <v>950</v>
      </c>
      <c r="BQ232">
        <v>6</v>
      </c>
      <c r="BR232" t="s">
        <v>825</v>
      </c>
      <c r="BS232" t="s">
        <v>180</v>
      </c>
      <c r="BT232" t="s">
        <v>1738</v>
      </c>
      <c r="BU232" s="1">
        <v>45629</v>
      </c>
      <c r="BV232">
        <v>35953</v>
      </c>
      <c r="BX232" t="s">
        <v>169</v>
      </c>
      <c r="BY232" t="s">
        <v>170</v>
      </c>
      <c r="CB232" t="s">
        <v>170</v>
      </c>
      <c r="CC232" t="s">
        <v>170</v>
      </c>
      <c r="CK232" t="s">
        <v>233</v>
      </c>
      <c r="CM232">
        <v>1</v>
      </c>
      <c r="CN232" t="s">
        <v>234</v>
      </c>
      <c r="CP232">
        <v>442</v>
      </c>
      <c r="CQ232">
        <v>262</v>
      </c>
      <c r="CR232">
        <v>163</v>
      </c>
      <c r="CS232" t="s">
        <v>235</v>
      </c>
      <c r="CV232" t="s">
        <v>341</v>
      </c>
      <c r="CX232" t="s">
        <v>342</v>
      </c>
      <c r="CY232" t="s">
        <v>169</v>
      </c>
      <c r="DD232">
        <v>2</v>
      </c>
      <c r="DE232" t="s">
        <v>663</v>
      </c>
      <c r="DG232" t="s">
        <v>1890</v>
      </c>
      <c r="DL232" t="s">
        <v>170</v>
      </c>
      <c r="DM232" t="s">
        <v>169</v>
      </c>
      <c r="DP232" t="s">
        <v>170</v>
      </c>
      <c r="DQ232" t="s">
        <v>187</v>
      </c>
      <c r="EB232">
        <v>9</v>
      </c>
      <c r="EC232">
        <v>10</v>
      </c>
      <c r="EE232" t="s">
        <v>1891</v>
      </c>
      <c r="EF232">
        <v>10</v>
      </c>
      <c r="EU232">
        <v>4750</v>
      </c>
      <c r="EW232">
        <v>0</v>
      </c>
      <c r="EX232">
        <v>0</v>
      </c>
      <c r="EY232">
        <v>0</v>
      </c>
      <c r="FA232">
        <v>9.9</v>
      </c>
      <c r="FG232">
        <v>293</v>
      </c>
      <c r="FH232">
        <v>251</v>
      </c>
      <c r="FI232">
        <v>274</v>
      </c>
    </row>
    <row r="233" spans="1:165" x14ac:dyDescent="0.35">
      <c r="A233" s="25"/>
      <c r="B233" s="25"/>
      <c r="C233" s="25"/>
      <c r="D233" s="25"/>
      <c r="E233" s="25"/>
      <c r="F233" s="25" t="str">
        <f>_xlfn.CONCAT($A234," ",$B234," ",$D234)</f>
        <v>2025 FCA US LLC Charger Daytona R/T AWD 255/45R20</v>
      </c>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t="str">
        <f>_xlfn.CONCAT($A234," ",$B234," ",$D234)</f>
        <v>2025 FCA US LLC Charger Daytona R/T AWD 255/45R20</v>
      </c>
      <c r="AE233" s="25"/>
      <c r="AF233" s="25"/>
      <c r="AG233" s="25"/>
      <c r="AH233" s="25"/>
      <c r="AI233" s="25"/>
      <c r="AJ233" s="25"/>
      <c r="AK233" s="25"/>
      <c r="AL233" s="25"/>
      <c r="AM233" s="25"/>
      <c r="AN233" s="25"/>
      <c r="AO233" s="25"/>
      <c r="AP233" s="25"/>
      <c r="AQ233" s="25"/>
      <c r="AR233" s="25"/>
      <c r="AS233" s="25"/>
      <c r="AT233" s="25"/>
      <c r="AU233" s="25"/>
      <c r="AV233" s="25"/>
      <c r="AW233" s="25"/>
      <c r="AX233" s="25" t="str">
        <f>_xlfn.CONCAT($A234," ",$B234," ",$D234)</f>
        <v>2025 FCA US LLC Charger Daytona R/T AWD 255/45R20</v>
      </c>
      <c r="AY233" s="25"/>
      <c r="AZ233" s="25"/>
      <c r="BA233" s="25"/>
      <c r="BB233" s="25"/>
      <c r="BC233" s="25"/>
      <c r="BD233" s="25"/>
      <c r="BE233" s="25"/>
      <c r="BF233" s="25"/>
      <c r="BG233" s="25"/>
      <c r="BH233" s="25"/>
      <c r="BI233" s="25"/>
      <c r="BJ233" s="25"/>
      <c r="BK233" s="25"/>
      <c r="BL233" s="25"/>
      <c r="BM233" s="25"/>
      <c r="BN233" s="25"/>
      <c r="BO233" s="25"/>
      <c r="BP233" s="25"/>
      <c r="BQ233" s="25"/>
      <c r="BR233" s="25" t="str">
        <f>_xlfn.CONCAT($A234," ",$B234," ",$D234)</f>
        <v>2025 FCA US LLC Charger Daytona R/T AWD 255/45R20</v>
      </c>
      <c r="BS233" s="25"/>
      <c r="BT233" s="25"/>
      <c r="BU233" s="25"/>
      <c r="BV233" s="25"/>
      <c r="BX233" s="25"/>
      <c r="BY233" s="25"/>
      <c r="BZ233" s="25"/>
      <c r="CA233" s="25"/>
      <c r="CB233" s="25"/>
      <c r="CC233" s="25"/>
      <c r="CD233" s="25"/>
      <c r="CE233" s="25"/>
      <c r="CF233" s="25"/>
      <c r="CG233" s="25"/>
      <c r="CH233" s="25"/>
      <c r="CI233" s="25"/>
      <c r="CJ233" s="25"/>
      <c r="CK233" s="25"/>
      <c r="CL233" s="25"/>
      <c r="CM233" s="25"/>
      <c r="CN233" s="25"/>
      <c r="CO233" s="25"/>
      <c r="CP233" s="25" t="str">
        <f>_xlfn.CONCAT($A234," ",$B234," ",$D234)</f>
        <v>2025 FCA US LLC Charger Daytona R/T AWD 255/45R20</v>
      </c>
      <c r="CQ233" s="25"/>
      <c r="CR233" s="25"/>
      <c r="CS233" s="25"/>
      <c r="CT233" s="25"/>
      <c r="CU233" s="25"/>
      <c r="CV233" s="25"/>
      <c r="CW233" s="25"/>
      <c r="CX233" s="25"/>
      <c r="CY233" s="25"/>
      <c r="CZ233" s="25"/>
      <c r="DA233" s="25"/>
      <c r="DB233" s="25"/>
      <c r="DC233" s="25"/>
      <c r="DD233" s="25"/>
      <c r="DE233" s="25"/>
      <c r="DF233" s="25"/>
      <c r="DG233" s="25"/>
      <c r="DH233" s="25"/>
      <c r="DI233" s="25" t="str">
        <f>_xlfn.CONCAT($A234," ",$B234," ",$D234)</f>
        <v>2025 FCA US LLC Charger Daytona R/T AWD 255/45R20</v>
      </c>
      <c r="DJ233" s="25"/>
      <c r="DK233" s="25"/>
      <c r="DL233" s="25"/>
      <c r="DM233" s="25"/>
      <c r="DN233" s="25"/>
      <c r="DO233" s="25"/>
      <c r="DP233" s="25"/>
      <c r="DQ233" s="25"/>
      <c r="DR233" s="25"/>
      <c r="DS233" s="25"/>
      <c r="DT233" s="25"/>
      <c r="DU233" s="25"/>
      <c r="DV233" s="25"/>
      <c r="DW233" s="25"/>
      <c r="DX233" s="25"/>
      <c r="DY233" s="25"/>
      <c r="DZ233" s="25" t="str">
        <f>_xlfn.CONCAT($A234," ",$B234," ",$D234)</f>
        <v>2025 FCA US LLC Charger Daytona R/T AWD 255/45R20</v>
      </c>
      <c r="EB233" s="25"/>
      <c r="EC233" s="25"/>
      <c r="ED233" s="25"/>
      <c r="EE233" s="25"/>
      <c r="EF233" s="25"/>
      <c r="EG233" s="25"/>
      <c r="EH233" s="25"/>
      <c r="EI233" s="25"/>
      <c r="EJ233" s="25"/>
      <c r="EK233" s="25"/>
      <c r="EL233" s="25"/>
      <c r="EM233" s="25"/>
      <c r="EN233" s="25"/>
      <c r="EO233" s="25"/>
      <c r="EP233" s="25"/>
      <c r="EQ233" s="25"/>
      <c r="ER233" s="25"/>
      <c r="ES233" s="25"/>
      <c r="ET233" s="25"/>
      <c r="EU233" s="25"/>
      <c r="EV233" s="25" t="str">
        <f>_xlfn.CONCAT($A234," ",$B234," ",$D234)</f>
        <v>2025 FCA US LLC Charger Daytona R/T AWD 255/45R20</v>
      </c>
      <c r="EW233" s="25"/>
      <c r="EX233" s="25"/>
      <c r="EY233" s="25"/>
      <c r="EZ233" s="25"/>
      <c r="FA233" s="25"/>
      <c r="FB233" s="25"/>
      <c r="FC233" s="25"/>
      <c r="FD233" s="25"/>
      <c r="FE233" s="25"/>
      <c r="FF233" s="25"/>
      <c r="FG233" s="25"/>
    </row>
    <row r="234" spans="1:165" x14ac:dyDescent="0.35">
      <c r="A234">
        <v>2025</v>
      </c>
      <c r="B234" t="s">
        <v>668</v>
      </c>
      <c r="C234" t="s">
        <v>1273</v>
      </c>
      <c r="D234" t="s">
        <v>1892</v>
      </c>
      <c r="E234" t="s">
        <v>671</v>
      </c>
      <c r="F234">
        <v>4</v>
      </c>
      <c r="G234">
        <v>0</v>
      </c>
      <c r="I234" t="s">
        <v>1734</v>
      </c>
      <c r="J234">
        <v>104</v>
      </c>
      <c r="K234">
        <v>91</v>
      </c>
      <c r="L234">
        <v>98</v>
      </c>
      <c r="M234">
        <v>148.19999999999999</v>
      </c>
      <c r="N234">
        <v>130.1</v>
      </c>
      <c r="O234">
        <v>139.46850000000001</v>
      </c>
      <c r="P234">
        <v>103.74</v>
      </c>
      <c r="Q234">
        <v>91.07</v>
      </c>
      <c r="R234">
        <v>97.628</v>
      </c>
      <c r="V234" t="s">
        <v>167</v>
      </c>
      <c r="W234" t="s">
        <v>168</v>
      </c>
      <c r="Y234">
        <v>1</v>
      </c>
      <c r="Z234" t="s">
        <v>170</v>
      </c>
      <c r="AA234" t="s">
        <v>170</v>
      </c>
      <c r="AB234" t="s">
        <v>167</v>
      </c>
      <c r="AC234" t="s">
        <v>213</v>
      </c>
      <c r="AF234">
        <v>308</v>
      </c>
      <c r="AG234" t="s">
        <v>1735</v>
      </c>
      <c r="AH234" t="s">
        <v>1736</v>
      </c>
      <c r="AI234" t="s">
        <v>175</v>
      </c>
      <c r="AJ234" t="s">
        <v>176</v>
      </c>
      <c r="AK234" t="s">
        <v>170</v>
      </c>
      <c r="AL234" t="s">
        <v>177</v>
      </c>
      <c r="AO234">
        <v>105</v>
      </c>
      <c r="AP234">
        <v>25</v>
      </c>
      <c r="AS234">
        <v>850</v>
      </c>
      <c r="AT234">
        <v>0</v>
      </c>
      <c r="BQ234">
        <v>6</v>
      </c>
      <c r="BR234" t="s">
        <v>825</v>
      </c>
      <c r="BS234" t="s">
        <v>180</v>
      </c>
      <c r="BT234" t="s">
        <v>1738</v>
      </c>
      <c r="BU234" s="1">
        <v>45629</v>
      </c>
      <c r="BV234">
        <v>35949</v>
      </c>
      <c r="BX234" t="s">
        <v>169</v>
      </c>
      <c r="BY234" t="s">
        <v>170</v>
      </c>
      <c r="CB234" t="s">
        <v>170</v>
      </c>
      <c r="CC234" t="s">
        <v>170</v>
      </c>
      <c r="CK234" t="s">
        <v>233</v>
      </c>
      <c r="CM234">
        <v>1</v>
      </c>
      <c r="CN234" t="s">
        <v>234</v>
      </c>
      <c r="CP234">
        <v>442</v>
      </c>
      <c r="CQ234">
        <v>262</v>
      </c>
      <c r="CR234">
        <v>163</v>
      </c>
      <c r="CS234" t="s">
        <v>235</v>
      </c>
      <c r="CV234" t="s">
        <v>341</v>
      </c>
      <c r="CX234" t="s">
        <v>342</v>
      </c>
      <c r="CY234" t="s">
        <v>169</v>
      </c>
      <c r="DD234">
        <v>2</v>
      </c>
      <c r="DE234" t="s">
        <v>663</v>
      </c>
      <c r="DG234">
        <v>250</v>
      </c>
      <c r="DL234" t="s">
        <v>170</v>
      </c>
      <c r="DM234" t="s">
        <v>169</v>
      </c>
      <c r="DP234" t="s">
        <v>170</v>
      </c>
      <c r="DQ234" t="s">
        <v>187</v>
      </c>
      <c r="EB234">
        <v>9</v>
      </c>
      <c r="EC234">
        <v>10</v>
      </c>
      <c r="EE234" t="s">
        <v>1891</v>
      </c>
      <c r="EF234">
        <v>10</v>
      </c>
      <c r="EU234">
        <v>5250</v>
      </c>
      <c r="EW234">
        <v>0</v>
      </c>
      <c r="EX234">
        <v>0</v>
      </c>
      <c r="EY234">
        <v>0</v>
      </c>
      <c r="FA234">
        <v>9.9</v>
      </c>
      <c r="FG234">
        <v>326</v>
      </c>
      <c r="FH234">
        <v>286</v>
      </c>
      <c r="FI234">
        <v>308</v>
      </c>
    </row>
    <row r="235" spans="1:165" x14ac:dyDescent="0.35">
      <c r="A235">
        <v>2025</v>
      </c>
      <c r="B235" t="s">
        <v>668</v>
      </c>
      <c r="C235" t="s">
        <v>1273</v>
      </c>
      <c r="D235" t="s">
        <v>1892</v>
      </c>
      <c r="E235" t="s">
        <v>671</v>
      </c>
      <c r="F235">
        <v>4</v>
      </c>
      <c r="G235">
        <v>0</v>
      </c>
      <c r="I235" t="s">
        <v>1734</v>
      </c>
      <c r="J235">
        <v>32</v>
      </c>
      <c r="K235">
        <v>37</v>
      </c>
      <c r="L235">
        <v>35</v>
      </c>
      <c r="M235">
        <v>22.750399999999999</v>
      </c>
      <c r="N235">
        <v>25.900300000000001</v>
      </c>
      <c r="O235">
        <v>24.167899999999999</v>
      </c>
      <c r="P235">
        <v>32.489899999999999</v>
      </c>
      <c r="Q235">
        <v>37.01</v>
      </c>
      <c r="R235">
        <v>34.523899999999998</v>
      </c>
      <c r="V235" t="s">
        <v>167</v>
      </c>
      <c r="W235" t="s">
        <v>168</v>
      </c>
      <c r="Y235">
        <v>1</v>
      </c>
      <c r="Z235" t="s">
        <v>170</v>
      </c>
      <c r="AA235" t="s">
        <v>170</v>
      </c>
      <c r="AB235" t="s">
        <v>167</v>
      </c>
      <c r="AC235" t="s">
        <v>213</v>
      </c>
      <c r="AF235">
        <v>308</v>
      </c>
      <c r="AG235" t="s">
        <v>1735</v>
      </c>
      <c r="AH235" t="s">
        <v>1736</v>
      </c>
      <c r="AI235" t="s">
        <v>1742</v>
      </c>
      <c r="AJ235" t="s">
        <v>1743</v>
      </c>
      <c r="AK235" t="s">
        <v>170</v>
      </c>
      <c r="AL235" t="s">
        <v>177</v>
      </c>
      <c r="AO235">
        <v>105</v>
      </c>
      <c r="AP235">
        <v>25</v>
      </c>
      <c r="AS235">
        <v>850</v>
      </c>
      <c r="AT235">
        <v>850</v>
      </c>
      <c r="BQ235">
        <v>6</v>
      </c>
      <c r="BR235" t="s">
        <v>825</v>
      </c>
      <c r="BS235" t="s">
        <v>180</v>
      </c>
      <c r="BT235" t="s">
        <v>1738</v>
      </c>
      <c r="BU235" s="1">
        <v>45629</v>
      </c>
      <c r="BV235">
        <v>35949</v>
      </c>
      <c r="BX235" t="s">
        <v>169</v>
      </c>
      <c r="BY235" t="s">
        <v>170</v>
      </c>
      <c r="CB235" t="s">
        <v>170</v>
      </c>
      <c r="CC235" t="s">
        <v>170</v>
      </c>
      <c r="CK235" t="s">
        <v>233</v>
      </c>
      <c r="CM235">
        <v>1</v>
      </c>
      <c r="CN235" t="s">
        <v>234</v>
      </c>
      <c r="CP235">
        <v>442</v>
      </c>
      <c r="CQ235">
        <v>262</v>
      </c>
      <c r="CR235">
        <v>163</v>
      </c>
      <c r="CS235" t="s">
        <v>235</v>
      </c>
      <c r="CV235" t="s">
        <v>341</v>
      </c>
      <c r="CX235" t="s">
        <v>342</v>
      </c>
      <c r="CY235" t="s">
        <v>169</v>
      </c>
      <c r="DD235">
        <v>2</v>
      </c>
      <c r="DE235" t="s">
        <v>663</v>
      </c>
      <c r="DG235">
        <v>250</v>
      </c>
      <c r="DL235" t="s">
        <v>170</v>
      </c>
      <c r="DM235" t="s">
        <v>169</v>
      </c>
      <c r="DP235" t="s">
        <v>170</v>
      </c>
      <c r="DQ235" t="s">
        <v>187</v>
      </c>
      <c r="EB235">
        <v>9</v>
      </c>
      <c r="EC235">
        <v>10</v>
      </c>
      <c r="EE235" t="s">
        <v>1891</v>
      </c>
      <c r="EF235">
        <v>10</v>
      </c>
      <c r="EU235">
        <v>5250</v>
      </c>
      <c r="EW235">
        <v>0</v>
      </c>
      <c r="EX235">
        <v>0</v>
      </c>
      <c r="EY235">
        <v>0</v>
      </c>
      <c r="FA235">
        <v>9.9</v>
      </c>
      <c r="FG235">
        <v>326</v>
      </c>
      <c r="FH235">
        <v>286</v>
      </c>
      <c r="FI235">
        <v>308</v>
      </c>
    </row>
    <row r="236" spans="1:165" x14ac:dyDescent="0.35">
      <c r="A236" s="25"/>
      <c r="B236" s="25"/>
      <c r="C236" s="25"/>
      <c r="D236" s="25"/>
      <c r="E236" s="25"/>
      <c r="F236" s="25" t="str">
        <f>_xlfn.CONCAT($A237," ",$B237," ",$D237)</f>
        <v>2025 FCA US LLC Charger Daytona R/T AWD 275/40R20</v>
      </c>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c r="AD236" s="25" t="str">
        <f>_xlfn.CONCAT($A237," ",$B237," ",$D237)</f>
        <v>2025 FCA US LLC Charger Daytona R/T AWD 275/40R20</v>
      </c>
      <c r="AE236" s="25"/>
      <c r="AF236" s="25"/>
      <c r="AG236" s="25"/>
      <c r="AH236" s="25"/>
      <c r="AI236" s="25"/>
      <c r="AJ236" s="25"/>
      <c r="AK236" s="25"/>
      <c r="AL236" s="25"/>
      <c r="AM236" s="25"/>
      <c r="AN236" s="25"/>
      <c r="AO236" s="25"/>
      <c r="AP236" s="25"/>
      <c r="AQ236" s="25"/>
      <c r="AR236" s="25"/>
      <c r="AS236" s="25"/>
      <c r="AT236" s="25"/>
      <c r="AU236" s="25"/>
      <c r="AV236" s="25"/>
      <c r="AW236" s="25"/>
      <c r="AX236" s="25" t="str">
        <f>_xlfn.CONCAT($A237," ",$B237," ",$D237)</f>
        <v>2025 FCA US LLC Charger Daytona R/T AWD 275/40R20</v>
      </c>
      <c r="AY236" s="25"/>
      <c r="AZ236" s="25"/>
      <c r="BA236" s="25"/>
      <c r="BB236" s="25"/>
      <c r="BC236" s="25"/>
      <c r="BD236" s="25"/>
      <c r="BE236" s="25"/>
      <c r="BF236" s="25"/>
      <c r="BG236" s="25"/>
      <c r="BH236" s="25"/>
      <c r="BI236" s="25"/>
      <c r="BJ236" s="25"/>
      <c r="BK236" s="25"/>
      <c r="BL236" s="25"/>
      <c r="BM236" s="25"/>
      <c r="BN236" s="25"/>
      <c r="BO236" s="25"/>
      <c r="BP236" s="25"/>
      <c r="BQ236" s="25"/>
      <c r="BR236" s="25" t="str">
        <f>_xlfn.CONCAT($A237," ",$B237," ",$D237)</f>
        <v>2025 FCA US LLC Charger Daytona R/T AWD 275/40R20</v>
      </c>
      <c r="BS236" s="25"/>
      <c r="BT236" s="25"/>
      <c r="BU236" s="25"/>
      <c r="BV236" s="25"/>
      <c r="BX236" s="25"/>
      <c r="BY236" s="25"/>
      <c r="BZ236" s="25"/>
      <c r="CA236" s="25"/>
      <c r="CB236" s="25"/>
      <c r="CC236" s="25"/>
      <c r="CD236" s="25"/>
      <c r="CE236" s="25"/>
      <c r="CF236" s="25"/>
      <c r="CG236" s="25"/>
      <c r="CH236" s="25"/>
      <c r="CI236" s="25"/>
      <c r="CJ236" s="25"/>
      <c r="CK236" s="25"/>
      <c r="CL236" s="25"/>
      <c r="CM236" s="25"/>
      <c r="CN236" s="25"/>
      <c r="CO236" s="25"/>
      <c r="CP236" s="25" t="str">
        <f>_xlfn.CONCAT($A237," ",$B237," ",$D237)</f>
        <v>2025 FCA US LLC Charger Daytona R/T AWD 275/40R20</v>
      </c>
      <c r="CQ236" s="25"/>
      <c r="CR236" s="25"/>
      <c r="CS236" s="25"/>
      <c r="CT236" s="25"/>
      <c r="CU236" s="25"/>
      <c r="CV236" s="25"/>
      <c r="CW236" s="25"/>
      <c r="CX236" s="25"/>
      <c r="CY236" s="25"/>
      <c r="CZ236" s="25"/>
      <c r="DA236" s="25"/>
      <c r="DB236" s="25"/>
      <c r="DC236" s="25"/>
      <c r="DD236" s="25"/>
      <c r="DE236" s="25"/>
      <c r="DF236" s="25"/>
      <c r="DG236" s="25"/>
      <c r="DH236" s="25"/>
      <c r="DI236" s="25" t="str">
        <f>_xlfn.CONCAT($A237," ",$B237," ",$D237)</f>
        <v>2025 FCA US LLC Charger Daytona R/T AWD 275/40R20</v>
      </c>
      <c r="DJ236" s="25"/>
      <c r="DK236" s="25"/>
      <c r="DL236" s="25"/>
      <c r="DM236" s="25"/>
      <c r="DN236" s="25"/>
      <c r="DO236" s="25"/>
      <c r="DP236" s="25"/>
      <c r="DQ236" s="25"/>
      <c r="DR236" s="25"/>
      <c r="DS236" s="25"/>
      <c r="DT236" s="25"/>
      <c r="DU236" s="25"/>
      <c r="DV236" s="25"/>
      <c r="DW236" s="25"/>
      <c r="DX236" s="25"/>
      <c r="DY236" s="25"/>
      <c r="DZ236" s="25" t="str">
        <f>_xlfn.CONCAT($A237," ",$B237," ",$D237)</f>
        <v>2025 FCA US LLC Charger Daytona R/T AWD 275/40R20</v>
      </c>
      <c r="EB236" s="25"/>
      <c r="EC236" s="25"/>
      <c r="ED236" s="25"/>
      <c r="EE236" s="25"/>
      <c r="EF236" s="25"/>
      <c r="EG236" s="25"/>
      <c r="EH236" s="25"/>
      <c r="EI236" s="25"/>
      <c r="EJ236" s="25"/>
      <c r="EK236" s="25"/>
      <c r="EL236" s="25"/>
      <c r="EM236" s="25"/>
      <c r="EN236" s="25"/>
      <c r="EO236" s="25"/>
      <c r="EP236" s="25"/>
      <c r="EQ236" s="25"/>
      <c r="ER236" s="25"/>
      <c r="ES236" s="25"/>
      <c r="ET236" s="25"/>
      <c r="EU236" s="25"/>
      <c r="EV236" s="25" t="str">
        <f>_xlfn.CONCAT($A237," ",$B237," ",$D237)</f>
        <v>2025 FCA US LLC Charger Daytona R/T AWD 275/40R20</v>
      </c>
      <c r="EW236" s="25"/>
      <c r="EX236" s="25"/>
      <c r="EY236" s="25"/>
      <c r="EZ236" s="25"/>
      <c r="FA236" s="25"/>
      <c r="FB236" s="25"/>
      <c r="FC236" s="25"/>
      <c r="FD236" s="25"/>
      <c r="FE236" s="25"/>
      <c r="FF236" s="25"/>
      <c r="FG236" s="25"/>
    </row>
    <row r="237" spans="1:165" x14ac:dyDescent="0.35">
      <c r="A237">
        <v>2025</v>
      </c>
      <c r="B237" t="s">
        <v>668</v>
      </c>
      <c r="C237" t="s">
        <v>1273</v>
      </c>
      <c r="D237" t="s">
        <v>1893</v>
      </c>
      <c r="E237" t="s">
        <v>671</v>
      </c>
      <c r="F237">
        <v>5</v>
      </c>
      <c r="G237">
        <v>0</v>
      </c>
      <c r="I237" t="s">
        <v>1734</v>
      </c>
      <c r="J237">
        <v>90</v>
      </c>
      <c r="K237">
        <v>79</v>
      </c>
      <c r="L237">
        <v>85</v>
      </c>
      <c r="M237">
        <v>148.19999999999999</v>
      </c>
      <c r="N237">
        <v>130.1</v>
      </c>
      <c r="O237">
        <v>139.46850000000001</v>
      </c>
      <c r="P237">
        <v>90</v>
      </c>
      <c r="Q237">
        <v>79</v>
      </c>
      <c r="R237">
        <v>85</v>
      </c>
      <c r="V237" t="s">
        <v>167</v>
      </c>
      <c r="W237" t="s">
        <v>168</v>
      </c>
      <c r="Y237">
        <v>1</v>
      </c>
      <c r="Z237" t="s">
        <v>170</v>
      </c>
      <c r="AA237" t="s">
        <v>170</v>
      </c>
      <c r="AB237" t="s">
        <v>167</v>
      </c>
      <c r="AC237" t="s">
        <v>213</v>
      </c>
      <c r="AF237">
        <v>268</v>
      </c>
      <c r="AG237" t="s">
        <v>1735</v>
      </c>
      <c r="AH237" t="s">
        <v>1736</v>
      </c>
      <c r="AI237" t="s">
        <v>175</v>
      </c>
      <c r="AJ237" t="s">
        <v>176</v>
      </c>
      <c r="AK237" t="s">
        <v>170</v>
      </c>
      <c r="AL237" t="s">
        <v>177</v>
      </c>
      <c r="AO237">
        <v>105</v>
      </c>
      <c r="AP237">
        <v>25</v>
      </c>
      <c r="AS237">
        <v>950</v>
      </c>
      <c r="AT237">
        <v>950</v>
      </c>
      <c r="BQ237">
        <v>6</v>
      </c>
      <c r="BR237" t="s">
        <v>825</v>
      </c>
      <c r="BS237" t="s">
        <v>180</v>
      </c>
      <c r="BT237" t="s">
        <v>1738</v>
      </c>
      <c r="BU237" s="1">
        <v>45629</v>
      </c>
      <c r="BV237">
        <v>35952</v>
      </c>
      <c r="BX237" t="s">
        <v>169</v>
      </c>
      <c r="BY237" t="s">
        <v>170</v>
      </c>
      <c r="CB237" t="s">
        <v>170</v>
      </c>
      <c r="CC237" t="s">
        <v>170</v>
      </c>
      <c r="CK237" t="s">
        <v>233</v>
      </c>
      <c r="CM237">
        <v>1</v>
      </c>
      <c r="CN237" t="s">
        <v>234</v>
      </c>
      <c r="CP237">
        <v>442</v>
      </c>
      <c r="CQ237">
        <v>262</v>
      </c>
      <c r="CR237">
        <v>163</v>
      </c>
      <c r="CS237" t="s">
        <v>235</v>
      </c>
      <c r="CV237" t="s">
        <v>341</v>
      </c>
      <c r="CX237" t="s">
        <v>342</v>
      </c>
      <c r="CY237" t="s">
        <v>169</v>
      </c>
      <c r="DD237">
        <v>2</v>
      </c>
      <c r="DE237" t="s">
        <v>663</v>
      </c>
      <c r="DG237" t="s">
        <v>1890</v>
      </c>
      <c r="DL237" t="s">
        <v>170</v>
      </c>
      <c r="DM237" t="s">
        <v>169</v>
      </c>
      <c r="DP237" t="s">
        <v>170</v>
      </c>
      <c r="DQ237" t="s">
        <v>187</v>
      </c>
      <c r="EB237">
        <v>9</v>
      </c>
      <c r="EC237">
        <v>10</v>
      </c>
      <c r="EE237" t="s">
        <v>1891</v>
      </c>
      <c r="EF237">
        <v>10</v>
      </c>
      <c r="EU237">
        <v>4750</v>
      </c>
      <c r="EW237">
        <v>0</v>
      </c>
      <c r="EX237">
        <v>0</v>
      </c>
      <c r="EY237">
        <v>0</v>
      </c>
      <c r="FA237">
        <v>9.9</v>
      </c>
      <c r="FG237">
        <v>286</v>
      </c>
      <c r="FH237">
        <v>246</v>
      </c>
      <c r="FI237">
        <v>268</v>
      </c>
    </row>
    <row r="238" spans="1:165" x14ac:dyDescent="0.35">
      <c r="A238">
        <v>2025</v>
      </c>
      <c r="B238" t="s">
        <v>668</v>
      </c>
      <c r="C238" t="s">
        <v>1273</v>
      </c>
      <c r="D238" t="s">
        <v>1893</v>
      </c>
      <c r="E238" t="s">
        <v>671</v>
      </c>
      <c r="F238">
        <v>5</v>
      </c>
      <c r="G238">
        <v>0</v>
      </c>
      <c r="I238" t="s">
        <v>1734</v>
      </c>
      <c r="J238">
        <v>32</v>
      </c>
      <c r="K238">
        <v>37</v>
      </c>
      <c r="L238">
        <v>35</v>
      </c>
      <c r="M238">
        <v>22.750399999999999</v>
      </c>
      <c r="N238">
        <v>25.900300000000001</v>
      </c>
      <c r="O238">
        <v>24.167899999999999</v>
      </c>
      <c r="P238">
        <v>32</v>
      </c>
      <c r="Q238">
        <v>37</v>
      </c>
      <c r="R238">
        <v>35</v>
      </c>
      <c r="V238" t="s">
        <v>167</v>
      </c>
      <c r="W238" t="s">
        <v>168</v>
      </c>
      <c r="Y238">
        <v>1</v>
      </c>
      <c r="Z238" t="s">
        <v>170</v>
      </c>
      <c r="AA238" t="s">
        <v>170</v>
      </c>
      <c r="AB238" t="s">
        <v>167</v>
      </c>
      <c r="AC238" t="s">
        <v>213</v>
      </c>
      <c r="AF238">
        <v>268</v>
      </c>
      <c r="AG238" t="s">
        <v>1735</v>
      </c>
      <c r="AH238" t="s">
        <v>1736</v>
      </c>
      <c r="AI238" t="s">
        <v>1742</v>
      </c>
      <c r="AJ238" t="s">
        <v>1743</v>
      </c>
      <c r="AK238" t="s">
        <v>170</v>
      </c>
      <c r="AL238" t="s">
        <v>177</v>
      </c>
      <c r="AO238">
        <v>105</v>
      </c>
      <c r="AP238">
        <v>25</v>
      </c>
      <c r="AS238">
        <v>950</v>
      </c>
      <c r="AT238">
        <v>950</v>
      </c>
      <c r="BQ238">
        <v>6</v>
      </c>
      <c r="BR238" t="s">
        <v>825</v>
      </c>
      <c r="BS238" t="s">
        <v>180</v>
      </c>
      <c r="BT238" t="s">
        <v>1738</v>
      </c>
      <c r="BU238" s="1">
        <v>45629</v>
      </c>
      <c r="BV238">
        <v>35952</v>
      </c>
      <c r="BX238" t="s">
        <v>169</v>
      </c>
      <c r="BY238" t="s">
        <v>170</v>
      </c>
      <c r="CB238" t="s">
        <v>170</v>
      </c>
      <c r="CC238" t="s">
        <v>170</v>
      </c>
      <c r="CK238" t="s">
        <v>233</v>
      </c>
      <c r="CM238">
        <v>1</v>
      </c>
      <c r="CN238" t="s">
        <v>234</v>
      </c>
      <c r="CP238">
        <v>442</v>
      </c>
      <c r="CQ238">
        <v>262</v>
      </c>
      <c r="CR238">
        <v>163</v>
      </c>
      <c r="CS238" t="s">
        <v>235</v>
      </c>
      <c r="CV238" t="s">
        <v>341</v>
      </c>
      <c r="CX238" t="s">
        <v>342</v>
      </c>
      <c r="CY238" t="s">
        <v>169</v>
      </c>
      <c r="DD238">
        <v>2</v>
      </c>
      <c r="DE238" t="s">
        <v>663</v>
      </c>
      <c r="DG238" t="s">
        <v>1890</v>
      </c>
      <c r="DL238" t="s">
        <v>170</v>
      </c>
      <c r="DM238" t="s">
        <v>169</v>
      </c>
      <c r="DP238" t="s">
        <v>170</v>
      </c>
      <c r="DQ238" t="s">
        <v>187</v>
      </c>
      <c r="EB238">
        <v>9</v>
      </c>
      <c r="EC238">
        <v>10</v>
      </c>
      <c r="EE238" t="s">
        <v>1891</v>
      </c>
      <c r="EF238">
        <v>10</v>
      </c>
      <c r="EU238">
        <v>4750</v>
      </c>
      <c r="EW238">
        <v>0</v>
      </c>
      <c r="EX238">
        <v>0</v>
      </c>
      <c r="EY238">
        <v>0</v>
      </c>
      <c r="FA238">
        <v>9.9</v>
      </c>
      <c r="FG238">
        <v>286</v>
      </c>
      <c r="FH238">
        <v>246</v>
      </c>
      <c r="FI238">
        <v>268</v>
      </c>
    </row>
    <row r="239" spans="1:165" x14ac:dyDescent="0.35">
      <c r="A239" s="25"/>
      <c r="B239" s="25"/>
      <c r="C239" s="25"/>
      <c r="D239" s="25"/>
      <c r="E239" s="25"/>
      <c r="F239" s="25" t="str">
        <f>_xlfn.CONCAT($A240," ",$B240," ",$D240)</f>
        <v>2025 FCA US LLC Charger Daytona R/T AWD 305/35ZR20</v>
      </c>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t="str">
        <f>_xlfn.CONCAT($A240," ",$B240," ",$D240)</f>
        <v>2025 FCA US LLC Charger Daytona R/T AWD 305/35ZR20</v>
      </c>
      <c r="AE239" s="25"/>
      <c r="AF239" s="25"/>
      <c r="AG239" s="25"/>
      <c r="AH239" s="25"/>
      <c r="AI239" s="25"/>
      <c r="AJ239" s="25"/>
      <c r="AK239" s="25"/>
      <c r="AL239" s="25"/>
      <c r="AM239" s="25"/>
      <c r="AN239" s="25"/>
      <c r="AO239" s="25"/>
      <c r="AP239" s="25"/>
      <c r="AQ239" s="25"/>
      <c r="AR239" s="25"/>
      <c r="AS239" s="25"/>
      <c r="AT239" s="25"/>
      <c r="AU239" s="25"/>
      <c r="AV239" s="25"/>
      <c r="AW239" s="25"/>
      <c r="AX239" s="25" t="str">
        <f>_xlfn.CONCAT($A240," ",$B240," ",$D240)</f>
        <v>2025 FCA US LLC Charger Daytona R/T AWD 305/35ZR20</v>
      </c>
      <c r="AY239" s="25"/>
      <c r="AZ239" s="25"/>
      <c r="BA239" s="25"/>
      <c r="BB239" s="25"/>
      <c r="BC239" s="25"/>
      <c r="BD239" s="25"/>
      <c r="BE239" s="25"/>
      <c r="BF239" s="25"/>
      <c r="BG239" s="25"/>
      <c r="BH239" s="25"/>
      <c r="BI239" s="25"/>
      <c r="BJ239" s="25"/>
      <c r="BK239" s="25"/>
      <c r="BL239" s="25"/>
      <c r="BM239" s="25"/>
      <c r="BN239" s="25"/>
      <c r="BO239" s="25"/>
      <c r="BP239" s="25"/>
      <c r="BQ239" s="25"/>
      <c r="BR239" s="25" t="str">
        <f>_xlfn.CONCAT($A240," ",$B240," ",$D240)</f>
        <v>2025 FCA US LLC Charger Daytona R/T AWD 305/35ZR20</v>
      </c>
      <c r="BS239" s="25"/>
      <c r="BT239" s="25"/>
      <c r="BU239" s="25"/>
      <c r="BV239" s="25"/>
      <c r="BX239" s="25"/>
      <c r="BY239" s="25"/>
      <c r="BZ239" s="25"/>
      <c r="CA239" s="25"/>
      <c r="CB239" s="25"/>
      <c r="CC239" s="25"/>
      <c r="CD239" s="25"/>
      <c r="CE239" s="25"/>
      <c r="CF239" s="25"/>
      <c r="CG239" s="25"/>
      <c r="CH239" s="25"/>
      <c r="CI239" s="25"/>
      <c r="CJ239" s="25"/>
      <c r="CK239" s="25"/>
      <c r="CL239" s="25"/>
      <c r="CM239" s="25"/>
      <c r="CN239" s="25"/>
      <c r="CO239" s="25"/>
      <c r="CP239" s="25" t="str">
        <f>_xlfn.CONCAT($A240," ",$B240," ",$D240)</f>
        <v>2025 FCA US LLC Charger Daytona R/T AWD 305/35ZR20</v>
      </c>
      <c r="CQ239" s="25"/>
      <c r="CR239" s="25"/>
      <c r="CS239" s="25"/>
      <c r="CT239" s="25"/>
      <c r="CU239" s="25"/>
      <c r="CV239" s="25"/>
      <c r="CW239" s="25"/>
      <c r="CX239" s="25"/>
      <c r="CY239" s="25"/>
      <c r="CZ239" s="25"/>
      <c r="DA239" s="25"/>
      <c r="DB239" s="25"/>
      <c r="DC239" s="25"/>
      <c r="DD239" s="25"/>
      <c r="DE239" s="25"/>
      <c r="DF239" s="25"/>
      <c r="DG239" s="25"/>
      <c r="DH239" s="25"/>
      <c r="DI239" s="25" t="str">
        <f>_xlfn.CONCAT($A240," ",$B240," ",$D240)</f>
        <v>2025 FCA US LLC Charger Daytona R/T AWD 305/35ZR20</v>
      </c>
      <c r="DJ239" s="25"/>
      <c r="DK239" s="25"/>
      <c r="DL239" s="25"/>
      <c r="DM239" s="25"/>
      <c r="DN239" s="25"/>
      <c r="DO239" s="25"/>
      <c r="DP239" s="25"/>
      <c r="DQ239" s="25"/>
      <c r="DR239" s="25"/>
      <c r="DS239" s="25"/>
      <c r="DT239" s="25"/>
      <c r="DU239" s="25"/>
      <c r="DV239" s="25"/>
      <c r="DW239" s="25"/>
      <c r="DX239" s="25"/>
      <c r="DY239" s="25"/>
      <c r="DZ239" s="25" t="str">
        <f>_xlfn.CONCAT($A240," ",$B240," ",$D240)</f>
        <v>2025 FCA US LLC Charger Daytona R/T AWD 305/35ZR20</v>
      </c>
      <c r="EB239" s="25"/>
      <c r="EC239" s="25"/>
      <c r="ED239" s="25"/>
      <c r="EE239" s="25"/>
      <c r="EF239" s="25"/>
      <c r="EG239" s="25"/>
      <c r="EH239" s="25"/>
      <c r="EI239" s="25"/>
      <c r="EJ239" s="25"/>
      <c r="EK239" s="25"/>
      <c r="EL239" s="25"/>
      <c r="EM239" s="25"/>
      <c r="EN239" s="25"/>
      <c r="EO239" s="25"/>
      <c r="EP239" s="25"/>
      <c r="EQ239" s="25"/>
      <c r="ER239" s="25"/>
      <c r="ES239" s="25"/>
      <c r="ET239" s="25"/>
      <c r="EU239" s="25"/>
      <c r="EV239" s="25" t="str">
        <f>_xlfn.CONCAT($A240," ",$B240," ",$D240)</f>
        <v>2025 FCA US LLC Charger Daytona R/T AWD 305/35ZR20</v>
      </c>
      <c r="EW239" s="25"/>
      <c r="EX239" s="25"/>
      <c r="EY239" s="25"/>
      <c r="EZ239" s="25"/>
      <c r="FA239" s="25"/>
      <c r="FB239" s="25"/>
      <c r="FC239" s="25"/>
      <c r="FD239" s="25"/>
      <c r="FE239" s="25"/>
      <c r="FF239" s="25"/>
      <c r="FG239" s="25"/>
    </row>
    <row r="240" spans="1:165" x14ac:dyDescent="0.35">
      <c r="A240">
        <v>2025</v>
      </c>
      <c r="B240" t="s">
        <v>668</v>
      </c>
      <c r="C240" t="s">
        <v>1273</v>
      </c>
      <c r="D240" t="s">
        <v>1894</v>
      </c>
      <c r="E240" t="s">
        <v>671</v>
      </c>
      <c r="F240">
        <v>6</v>
      </c>
      <c r="G240">
        <v>0</v>
      </c>
      <c r="I240" t="s">
        <v>1734</v>
      </c>
      <c r="J240">
        <v>94</v>
      </c>
      <c r="K240">
        <v>82</v>
      </c>
      <c r="L240">
        <v>88</v>
      </c>
      <c r="M240">
        <v>148.19999999999999</v>
      </c>
      <c r="N240">
        <v>130.1</v>
      </c>
      <c r="O240">
        <v>139.46850000000001</v>
      </c>
      <c r="P240">
        <v>94</v>
      </c>
      <c r="Q240">
        <v>82</v>
      </c>
      <c r="R240">
        <v>88</v>
      </c>
      <c r="V240" t="s">
        <v>167</v>
      </c>
      <c r="W240" t="s">
        <v>168</v>
      </c>
      <c r="Y240">
        <v>1</v>
      </c>
      <c r="Z240" t="s">
        <v>170</v>
      </c>
      <c r="AA240" t="s">
        <v>170</v>
      </c>
      <c r="AB240" t="s">
        <v>167</v>
      </c>
      <c r="AC240" t="s">
        <v>213</v>
      </c>
      <c r="AF240">
        <v>279</v>
      </c>
      <c r="AG240" t="s">
        <v>1735</v>
      </c>
      <c r="AH240" t="s">
        <v>1736</v>
      </c>
      <c r="AI240" t="s">
        <v>175</v>
      </c>
      <c r="AJ240" t="s">
        <v>176</v>
      </c>
      <c r="AK240" t="s">
        <v>170</v>
      </c>
      <c r="AL240" t="s">
        <v>177</v>
      </c>
      <c r="AO240">
        <v>105</v>
      </c>
      <c r="AP240">
        <v>25</v>
      </c>
      <c r="AS240">
        <v>900</v>
      </c>
      <c r="AT240">
        <v>900</v>
      </c>
      <c r="BQ240">
        <v>6</v>
      </c>
      <c r="BR240" t="s">
        <v>825</v>
      </c>
      <c r="BS240" t="s">
        <v>180</v>
      </c>
      <c r="BT240" t="s">
        <v>1738</v>
      </c>
      <c r="BU240" s="1">
        <v>45646</v>
      </c>
      <c r="BV240">
        <v>35985</v>
      </c>
      <c r="BX240" t="s">
        <v>169</v>
      </c>
      <c r="BY240" t="s">
        <v>170</v>
      </c>
      <c r="CB240" t="s">
        <v>170</v>
      </c>
      <c r="CC240" t="s">
        <v>170</v>
      </c>
      <c r="CK240" t="s">
        <v>233</v>
      </c>
      <c r="CM240">
        <v>1</v>
      </c>
      <c r="CN240" t="s">
        <v>234</v>
      </c>
      <c r="CP240">
        <v>442</v>
      </c>
      <c r="CQ240">
        <v>262</v>
      </c>
      <c r="CR240">
        <v>163</v>
      </c>
      <c r="CS240" t="s">
        <v>235</v>
      </c>
      <c r="CV240" t="s">
        <v>341</v>
      </c>
      <c r="CX240" t="s">
        <v>342</v>
      </c>
      <c r="CY240" t="s">
        <v>169</v>
      </c>
      <c r="DD240">
        <v>2</v>
      </c>
      <c r="DE240" t="s">
        <v>663</v>
      </c>
      <c r="DG240" t="s">
        <v>1890</v>
      </c>
      <c r="DL240" t="s">
        <v>170</v>
      </c>
      <c r="DM240" t="s">
        <v>169</v>
      </c>
      <c r="DP240" t="s">
        <v>170</v>
      </c>
      <c r="DQ240" t="s">
        <v>187</v>
      </c>
      <c r="EB240">
        <v>9</v>
      </c>
      <c r="EC240">
        <v>10</v>
      </c>
      <c r="EE240" t="s">
        <v>1891</v>
      </c>
      <c r="EF240">
        <v>10</v>
      </c>
      <c r="EU240">
        <v>5000</v>
      </c>
      <c r="EW240">
        <v>0</v>
      </c>
      <c r="EX240">
        <v>0</v>
      </c>
      <c r="EY240">
        <v>0</v>
      </c>
      <c r="FA240">
        <v>9.9</v>
      </c>
      <c r="FG240">
        <v>295</v>
      </c>
      <c r="FH240">
        <v>259</v>
      </c>
      <c r="FI240">
        <v>279</v>
      </c>
    </row>
    <row r="241" spans="1:165" x14ac:dyDescent="0.35">
      <c r="A241">
        <v>2025</v>
      </c>
      <c r="B241" t="s">
        <v>668</v>
      </c>
      <c r="C241" t="s">
        <v>1273</v>
      </c>
      <c r="D241" t="s">
        <v>1894</v>
      </c>
      <c r="E241" t="s">
        <v>671</v>
      </c>
      <c r="F241">
        <v>6</v>
      </c>
      <c r="G241">
        <v>0</v>
      </c>
      <c r="I241" t="s">
        <v>1734</v>
      </c>
      <c r="J241">
        <v>32</v>
      </c>
      <c r="K241">
        <v>37</v>
      </c>
      <c r="L241">
        <v>35</v>
      </c>
      <c r="M241">
        <v>22.750399999999999</v>
      </c>
      <c r="N241">
        <v>25.900300000000001</v>
      </c>
      <c r="O241">
        <v>24.167899999999999</v>
      </c>
      <c r="P241">
        <v>32</v>
      </c>
      <c r="Q241">
        <v>37</v>
      </c>
      <c r="R241">
        <v>35</v>
      </c>
      <c r="V241" t="s">
        <v>167</v>
      </c>
      <c r="W241" t="s">
        <v>168</v>
      </c>
      <c r="Y241">
        <v>1</v>
      </c>
      <c r="Z241" t="s">
        <v>170</v>
      </c>
      <c r="AA241" t="s">
        <v>170</v>
      </c>
      <c r="AB241" t="s">
        <v>167</v>
      </c>
      <c r="AC241" t="s">
        <v>213</v>
      </c>
      <c r="AF241">
        <v>279</v>
      </c>
      <c r="AG241" t="s">
        <v>1735</v>
      </c>
      <c r="AH241" t="s">
        <v>1736</v>
      </c>
      <c r="AI241" t="s">
        <v>1742</v>
      </c>
      <c r="AJ241" t="s">
        <v>1743</v>
      </c>
      <c r="AK241" t="s">
        <v>170</v>
      </c>
      <c r="AL241" t="s">
        <v>177</v>
      </c>
      <c r="AO241">
        <v>105</v>
      </c>
      <c r="AP241">
        <v>25</v>
      </c>
      <c r="AS241">
        <v>900</v>
      </c>
      <c r="AT241">
        <v>900</v>
      </c>
      <c r="BQ241">
        <v>6</v>
      </c>
      <c r="BR241" t="s">
        <v>825</v>
      </c>
      <c r="BS241" t="s">
        <v>180</v>
      </c>
      <c r="BT241" t="s">
        <v>1738</v>
      </c>
      <c r="BU241" s="1">
        <v>45646</v>
      </c>
      <c r="BV241">
        <v>35985</v>
      </c>
      <c r="BX241" t="s">
        <v>169</v>
      </c>
      <c r="BY241" t="s">
        <v>170</v>
      </c>
      <c r="CB241" t="s">
        <v>170</v>
      </c>
      <c r="CC241" t="s">
        <v>170</v>
      </c>
      <c r="CK241" t="s">
        <v>233</v>
      </c>
      <c r="CM241">
        <v>1</v>
      </c>
      <c r="CN241" t="s">
        <v>234</v>
      </c>
      <c r="CP241">
        <v>442</v>
      </c>
      <c r="CQ241">
        <v>262</v>
      </c>
      <c r="CR241">
        <v>163</v>
      </c>
      <c r="CS241" t="s">
        <v>235</v>
      </c>
      <c r="CV241" t="s">
        <v>341</v>
      </c>
      <c r="CX241" t="s">
        <v>342</v>
      </c>
      <c r="CY241" t="s">
        <v>169</v>
      </c>
      <c r="DD241">
        <v>2</v>
      </c>
      <c r="DE241" t="s">
        <v>663</v>
      </c>
      <c r="DG241" t="s">
        <v>1890</v>
      </c>
      <c r="DL241" t="s">
        <v>170</v>
      </c>
      <c r="DM241" t="s">
        <v>169</v>
      </c>
      <c r="DP241" t="s">
        <v>170</v>
      </c>
      <c r="DQ241" t="s">
        <v>187</v>
      </c>
      <c r="EB241">
        <v>9</v>
      </c>
      <c r="EC241">
        <v>10</v>
      </c>
      <c r="EE241" t="s">
        <v>1891</v>
      </c>
      <c r="EF241">
        <v>10</v>
      </c>
      <c r="EU241">
        <v>5000</v>
      </c>
      <c r="EW241">
        <v>0</v>
      </c>
      <c r="EX241">
        <v>0</v>
      </c>
      <c r="EY241">
        <v>0</v>
      </c>
      <c r="FA241">
        <v>9.9</v>
      </c>
      <c r="FG241">
        <v>295</v>
      </c>
      <c r="FH241">
        <v>259</v>
      </c>
      <c r="FI241">
        <v>279</v>
      </c>
    </row>
    <row r="242" spans="1:165" x14ac:dyDescent="0.35">
      <c r="A242" s="25"/>
      <c r="B242" s="25"/>
      <c r="C242" s="25"/>
      <c r="D242" s="25"/>
      <c r="E242" s="25"/>
      <c r="F242" s="25" t="str">
        <f>_xlfn.CONCAT($A243," ",$B243," ",$D243)</f>
        <v>2025 FCA US LLC Charger Daytona Scat Pack AWD 305/35ZR20</v>
      </c>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c r="AD242" s="25" t="str">
        <f>_xlfn.CONCAT($A243," ",$B243," ",$D243)</f>
        <v>2025 FCA US LLC Charger Daytona Scat Pack AWD 305/35ZR20</v>
      </c>
      <c r="AE242" s="25"/>
      <c r="AF242" s="25"/>
      <c r="AG242" s="25"/>
      <c r="AH242" s="25"/>
      <c r="AI242" s="25"/>
      <c r="AJ242" s="25"/>
      <c r="AK242" s="25"/>
      <c r="AL242" s="25"/>
      <c r="AM242" s="25"/>
      <c r="AN242" s="25"/>
      <c r="AO242" s="25"/>
      <c r="AP242" s="25"/>
      <c r="AQ242" s="25"/>
      <c r="AR242" s="25"/>
      <c r="AS242" s="25"/>
      <c r="AT242" s="25"/>
      <c r="AU242" s="25"/>
      <c r="AV242" s="25"/>
      <c r="AW242" s="25"/>
      <c r="AX242" s="25" t="str">
        <f>_xlfn.CONCAT($A243," ",$B243," ",$D243)</f>
        <v>2025 FCA US LLC Charger Daytona Scat Pack AWD 305/35ZR20</v>
      </c>
      <c r="AY242" s="25"/>
      <c r="AZ242" s="25"/>
      <c r="BA242" s="25"/>
      <c r="BB242" s="25"/>
      <c r="BC242" s="25"/>
      <c r="BD242" s="25"/>
      <c r="BE242" s="25"/>
      <c r="BF242" s="25"/>
      <c r="BG242" s="25"/>
      <c r="BH242" s="25"/>
      <c r="BI242" s="25"/>
      <c r="BJ242" s="25"/>
      <c r="BK242" s="25"/>
      <c r="BL242" s="25"/>
      <c r="BM242" s="25"/>
      <c r="BN242" s="25"/>
      <c r="BO242" s="25"/>
      <c r="BP242" s="25"/>
      <c r="BQ242" s="25"/>
      <c r="BR242" s="25" t="str">
        <f>_xlfn.CONCAT($A243," ",$B243," ",$D243)</f>
        <v>2025 FCA US LLC Charger Daytona Scat Pack AWD 305/35ZR20</v>
      </c>
      <c r="BS242" s="25"/>
      <c r="BT242" s="25"/>
      <c r="BU242" s="25"/>
      <c r="BV242" s="25"/>
      <c r="BX242" s="25"/>
      <c r="BY242" s="25"/>
      <c r="BZ242" s="25"/>
      <c r="CA242" s="25"/>
      <c r="CB242" s="25"/>
      <c r="CC242" s="25"/>
      <c r="CD242" s="25"/>
      <c r="CE242" s="25"/>
      <c r="CF242" s="25"/>
      <c r="CG242" s="25"/>
      <c r="CH242" s="25"/>
      <c r="CI242" s="25"/>
      <c r="CJ242" s="25"/>
      <c r="CK242" s="25"/>
      <c r="CL242" s="25"/>
      <c r="CM242" s="25"/>
      <c r="CN242" s="25"/>
      <c r="CO242" s="25"/>
      <c r="CP242" s="25" t="str">
        <f>_xlfn.CONCAT($A243," ",$B243," ",$D243)</f>
        <v>2025 FCA US LLC Charger Daytona Scat Pack AWD 305/35ZR20</v>
      </c>
      <c r="CQ242" s="25"/>
      <c r="CR242" s="25"/>
      <c r="CS242" s="25"/>
      <c r="CT242" s="25"/>
      <c r="CU242" s="25"/>
      <c r="CV242" s="25"/>
      <c r="CW242" s="25"/>
      <c r="CX242" s="25"/>
      <c r="CY242" s="25"/>
      <c r="CZ242" s="25"/>
      <c r="DA242" s="25"/>
      <c r="DB242" s="25"/>
      <c r="DC242" s="25"/>
      <c r="DD242" s="25"/>
      <c r="DE242" s="25"/>
      <c r="DF242" s="25"/>
      <c r="DG242" s="25"/>
      <c r="DH242" s="25"/>
      <c r="DI242" s="25" t="str">
        <f>_xlfn.CONCAT($A243," ",$B243," ",$D243)</f>
        <v>2025 FCA US LLC Charger Daytona Scat Pack AWD 305/35ZR20</v>
      </c>
      <c r="DJ242" s="25"/>
      <c r="DK242" s="25"/>
      <c r="DL242" s="25"/>
      <c r="DM242" s="25"/>
      <c r="DN242" s="25"/>
      <c r="DO242" s="25"/>
      <c r="DP242" s="25"/>
      <c r="DQ242" s="25"/>
      <c r="DR242" s="25"/>
      <c r="DS242" s="25"/>
      <c r="DT242" s="25"/>
      <c r="DU242" s="25"/>
      <c r="DV242" s="25"/>
      <c r="DW242" s="25"/>
      <c r="DX242" s="25"/>
      <c r="DY242" s="25"/>
      <c r="DZ242" s="25" t="str">
        <f>_xlfn.CONCAT($A243," ",$B243," ",$D243)</f>
        <v>2025 FCA US LLC Charger Daytona Scat Pack AWD 305/35ZR20</v>
      </c>
      <c r="EB242" s="25"/>
      <c r="EC242" s="25"/>
      <c r="ED242" s="25"/>
      <c r="EE242" s="25"/>
      <c r="EF242" s="25"/>
      <c r="EG242" s="25"/>
      <c r="EH242" s="25"/>
      <c r="EI242" s="25"/>
      <c r="EJ242" s="25"/>
      <c r="EK242" s="25"/>
      <c r="EL242" s="25"/>
      <c r="EM242" s="25"/>
      <c r="EN242" s="25"/>
      <c r="EO242" s="25"/>
      <c r="EP242" s="25"/>
      <c r="EQ242" s="25"/>
      <c r="ER242" s="25"/>
      <c r="ES242" s="25"/>
      <c r="ET242" s="25"/>
      <c r="EU242" s="25"/>
      <c r="EV242" s="25" t="str">
        <f>_xlfn.CONCAT($A243," ",$B243," ",$D243)</f>
        <v>2025 FCA US LLC Charger Daytona Scat Pack AWD 305/35ZR20</v>
      </c>
      <c r="EW242" s="25"/>
      <c r="EX242" s="25"/>
      <c r="EY242" s="25"/>
      <c r="EZ242" s="25"/>
      <c r="FA242" s="25"/>
      <c r="FB242" s="25"/>
      <c r="FC242" s="25"/>
      <c r="FD242" s="25"/>
      <c r="FE242" s="25"/>
      <c r="FF242" s="25"/>
      <c r="FG242" s="25"/>
    </row>
    <row r="243" spans="1:165" x14ac:dyDescent="0.35">
      <c r="A243">
        <v>2025</v>
      </c>
      <c r="B243" t="s">
        <v>668</v>
      </c>
      <c r="C243" t="s">
        <v>1273</v>
      </c>
      <c r="D243" t="s">
        <v>1895</v>
      </c>
      <c r="E243" t="s">
        <v>671</v>
      </c>
      <c r="F243">
        <v>7</v>
      </c>
      <c r="G243">
        <v>0</v>
      </c>
      <c r="I243" t="s">
        <v>1734</v>
      </c>
      <c r="J243">
        <v>94</v>
      </c>
      <c r="K243">
        <v>82</v>
      </c>
      <c r="L243">
        <v>88</v>
      </c>
      <c r="M243">
        <v>148.19999999999999</v>
      </c>
      <c r="N243">
        <v>130.1</v>
      </c>
      <c r="O243">
        <v>139.46850000000001</v>
      </c>
      <c r="P243">
        <v>94</v>
      </c>
      <c r="Q243">
        <v>82</v>
      </c>
      <c r="R243">
        <v>88</v>
      </c>
      <c r="V243" t="s">
        <v>167</v>
      </c>
      <c r="W243" t="s">
        <v>168</v>
      </c>
      <c r="Y243">
        <v>1</v>
      </c>
      <c r="Z243" t="s">
        <v>170</v>
      </c>
      <c r="AA243" t="s">
        <v>170</v>
      </c>
      <c r="AB243" t="s">
        <v>167</v>
      </c>
      <c r="AC243" t="s">
        <v>213</v>
      </c>
      <c r="AF243">
        <v>279</v>
      </c>
      <c r="AG243" t="s">
        <v>1735</v>
      </c>
      <c r="AH243" t="s">
        <v>1736</v>
      </c>
      <c r="AI243" t="s">
        <v>175</v>
      </c>
      <c r="AJ243" t="s">
        <v>176</v>
      </c>
      <c r="AK243" t="s">
        <v>170</v>
      </c>
      <c r="AL243" t="s">
        <v>177</v>
      </c>
      <c r="AO243">
        <v>105</v>
      </c>
      <c r="AP243">
        <v>25</v>
      </c>
      <c r="AS243">
        <v>900</v>
      </c>
      <c r="AT243">
        <v>900</v>
      </c>
      <c r="BQ243">
        <v>6</v>
      </c>
      <c r="BR243" t="s">
        <v>825</v>
      </c>
      <c r="BS243" t="s">
        <v>180</v>
      </c>
      <c r="BT243" t="s">
        <v>1738</v>
      </c>
      <c r="BU243" s="1">
        <v>45646</v>
      </c>
      <c r="BV243">
        <v>35986</v>
      </c>
      <c r="BX243" t="s">
        <v>169</v>
      </c>
      <c r="BY243" t="s">
        <v>170</v>
      </c>
      <c r="CB243" t="s">
        <v>170</v>
      </c>
      <c r="CC243" t="s">
        <v>170</v>
      </c>
      <c r="CK243" t="s">
        <v>233</v>
      </c>
      <c r="CM243">
        <v>1</v>
      </c>
      <c r="CN243" t="s">
        <v>234</v>
      </c>
      <c r="CP243">
        <v>442</v>
      </c>
      <c r="CQ243">
        <v>262</v>
      </c>
      <c r="CR243">
        <v>163</v>
      </c>
      <c r="CS243" t="s">
        <v>235</v>
      </c>
      <c r="CV243" t="s">
        <v>341</v>
      </c>
      <c r="CX243" t="s">
        <v>342</v>
      </c>
      <c r="CY243" t="s">
        <v>169</v>
      </c>
      <c r="DD243">
        <v>2</v>
      </c>
      <c r="DE243" t="s">
        <v>663</v>
      </c>
      <c r="DG243" t="s">
        <v>1890</v>
      </c>
      <c r="DL243" t="s">
        <v>170</v>
      </c>
      <c r="DM243" t="s">
        <v>169</v>
      </c>
      <c r="DP243" t="s">
        <v>170</v>
      </c>
      <c r="DQ243" t="s">
        <v>187</v>
      </c>
      <c r="EB243">
        <v>9</v>
      </c>
      <c r="EC243">
        <v>10</v>
      </c>
      <c r="EE243" t="s">
        <v>1891</v>
      </c>
      <c r="EF243">
        <v>10</v>
      </c>
      <c r="EU243">
        <v>5000</v>
      </c>
      <c r="EW243">
        <v>0</v>
      </c>
      <c r="EX243">
        <v>0</v>
      </c>
      <c r="EY243">
        <v>0</v>
      </c>
      <c r="FA243">
        <v>9.9</v>
      </c>
      <c r="FG243">
        <v>295</v>
      </c>
      <c r="FH243">
        <v>259</v>
      </c>
      <c r="FI243">
        <v>279</v>
      </c>
    </row>
    <row r="244" spans="1:165" x14ac:dyDescent="0.35">
      <c r="A244">
        <v>2025</v>
      </c>
      <c r="B244" t="s">
        <v>668</v>
      </c>
      <c r="C244" t="s">
        <v>1273</v>
      </c>
      <c r="D244" t="s">
        <v>1895</v>
      </c>
      <c r="E244" t="s">
        <v>671</v>
      </c>
      <c r="F244">
        <v>7</v>
      </c>
      <c r="G244">
        <v>0</v>
      </c>
      <c r="I244" t="s">
        <v>1734</v>
      </c>
      <c r="J244">
        <v>32</v>
      </c>
      <c r="K244">
        <v>37</v>
      </c>
      <c r="L244">
        <v>35</v>
      </c>
      <c r="M244">
        <v>22.750399999999999</v>
      </c>
      <c r="N244">
        <v>25.900300000000001</v>
      </c>
      <c r="O244">
        <v>24.167899999999999</v>
      </c>
      <c r="P244">
        <v>36</v>
      </c>
      <c r="Q244">
        <v>41</v>
      </c>
      <c r="R244">
        <v>38</v>
      </c>
      <c r="V244" t="s">
        <v>167</v>
      </c>
      <c r="W244" t="s">
        <v>168</v>
      </c>
      <c r="Y244">
        <v>1</v>
      </c>
      <c r="Z244" t="s">
        <v>170</v>
      </c>
      <c r="AA244" t="s">
        <v>170</v>
      </c>
      <c r="AB244" t="s">
        <v>167</v>
      </c>
      <c r="AC244" t="s">
        <v>213</v>
      </c>
      <c r="AF244">
        <v>279</v>
      </c>
      <c r="AG244" t="s">
        <v>1735</v>
      </c>
      <c r="AH244" t="s">
        <v>1736</v>
      </c>
      <c r="AI244" t="s">
        <v>1742</v>
      </c>
      <c r="AJ244" t="s">
        <v>1743</v>
      </c>
      <c r="AK244" t="s">
        <v>170</v>
      </c>
      <c r="AL244" t="s">
        <v>177</v>
      </c>
      <c r="AO244">
        <v>105</v>
      </c>
      <c r="AP244">
        <v>25</v>
      </c>
      <c r="AS244">
        <v>900</v>
      </c>
      <c r="AT244">
        <v>900</v>
      </c>
      <c r="BQ244">
        <v>6</v>
      </c>
      <c r="BR244" t="s">
        <v>825</v>
      </c>
      <c r="BS244" t="s">
        <v>180</v>
      </c>
      <c r="BT244" t="s">
        <v>1738</v>
      </c>
      <c r="BU244" s="1">
        <v>45646</v>
      </c>
      <c r="BV244">
        <v>35986</v>
      </c>
      <c r="BX244" t="s">
        <v>169</v>
      </c>
      <c r="BY244" t="s">
        <v>170</v>
      </c>
      <c r="CB244" t="s">
        <v>170</v>
      </c>
      <c r="CC244" t="s">
        <v>170</v>
      </c>
      <c r="CK244" t="s">
        <v>233</v>
      </c>
      <c r="CM244">
        <v>1</v>
      </c>
      <c r="CN244" t="s">
        <v>234</v>
      </c>
      <c r="CP244">
        <v>442</v>
      </c>
      <c r="CQ244">
        <v>262</v>
      </c>
      <c r="CR244">
        <v>163</v>
      </c>
      <c r="CS244" t="s">
        <v>235</v>
      </c>
      <c r="CV244" t="s">
        <v>341</v>
      </c>
      <c r="CX244" t="s">
        <v>342</v>
      </c>
      <c r="CY244" t="s">
        <v>169</v>
      </c>
      <c r="DD244">
        <v>2</v>
      </c>
      <c r="DE244" t="s">
        <v>663</v>
      </c>
      <c r="DG244" t="s">
        <v>1890</v>
      </c>
      <c r="DL244" t="s">
        <v>170</v>
      </c>
      <c r="DM244" t="s">
        <v>169</v>
      </c>
      <c r="DP244" t="s">
        <v>170</v>
      </c>
      <c r="DQ244" t="s">
        <v>187</v>
      </c>
      <c r="EB244">
        <v>9</v>
      </c>
      <c r="EC244">
        <v>10</v>
      </c>
      <c r="EE244" t="s">
        <v>1891</v>
      </c>
      <c r="EF244">
        <v>10</v>
      </c>
      <c r="EU244">
        <v>5000</v>
      </c>
      <c r="EW244">
        <v>0</v>
      </c>
      <c r="EX244">
        <v>0</v>
      </c>
      <c r="EY244">
        <v>0</v>
      </c>
      <c r="FA244">
        <v>9.9</v>
      </c>
      <c r="FG244">
        <v>295</v>
      </c>
      <c r="FH244">
        <v>259</v>
      </c>
      <c r="FI244">
        <v>279</v>
      </c>
    </row>
    <row r="245" spans="1:165" x14ac:dyDescent="0.35">
      <c r="A245" s="25"/>
      <c r="B245" s="25"/>
      <c r="C245" s="25"/>
      <c r="D245" s="25"/>
      <c r="E245" s="25"/>
      <c r="F245" s="25" t="str">
        <f>_xlfn.CONCAT($A246," ",$B246," ",$D246)</f>
        <v>2025 FCA US LLC Charger Daytona Scat Pack AWD 325/35ZR20 Rear</v>
      </c>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t="str">
        <f>_xlfn.CONCAT($A246," ",$B246," ",$D246)</f>
        <v>2025 FCA US LLC Charger Daytona Scat Pack AWD 325/35ZR20 Rear</v>
      </c>
      <c r="AE245" s="25"/>
      <c r="AF245" s="25"/>
      <c r="AG245" s="25"/>
      <c r="AH245" s="25"/>
      <c r="AI245" s="25"/>
      <c r="AJ245" s="25"/>
      <c r="AK245" s="25"/>
      <c r="AL245" s="25"/>
      <c r="AM245" s="25"/>
      <c r="AN245" s="25"/>
      <c r="AO245" s="25"/>
      <c r="AP245" s="25"/>
      <c r="AQ245" s="25"/>
      <c r="AR245" s="25"/>
      <c r="AS245" s="25"/>
      <c r="AT245" s="25"/>
      <c r="AU245" s="25"/>
      <c r="AV245" s="25"/>
      <c r="AW245" s="25"/>
      <c r="AX245" s="25" t="str">
        <f>_xlfn.CONCAT($A246," ",$B246," ",$D246)</f>
        <v>2025 FCA US LLC Charger Daytona Scat Pack AWD 325/35ZR20 Rear</v>
      </c>
      <c r="AY245" s="25"/>
      <c r="AZ245" s="25"/>
      <c r="BA245" s="25"/>
      <c r="BB245" s="25"/>
      <c r="BC245" s="25"/>
      <c r="BD245" s="25"/>
      <c r="BE245" s="25"/>
      <c r="BF245" s="25"/>
      <c r="BG245" s="25"/>
      <c r="BH245" s="25"/>
      <c r="BI245" s="25"/>
      <c r="BJ245" s="25"/>
      <c r="BK245" s="25"/>
      <c r="BL245" s="25"/>
      <c r="BM245" s="25"/>
      <c r="BN245" s="25"/>
      <c r="BO245" s="25"/>
      <c r="BP245" s="25"/>
      <c r="BQ245" s="25"/>
      <c r="BR245" s="25" t="str">
        <f>_xlfn.CONCAT($A246," ",$B246," ",$D246)</f>
        <v>2025 FCA US LLC Charger Daytona Scat Pack AWD 325/35ZR20 Rear</v>
      </c>
      <c r="BS245" s="25"/>
      <c r="BT245" s="25"/>
      <c r="BU245" s="25"/>
      <c r="BV245" s="25"/>
      <c r="BX245" s="25"/>
      <c r="BY245" s="25"/>
      <c r="BZ245" s="25"/>
      <c r="CA245" s="25"/>
      <c r="CB245" s="25"/>
      <c r="CC245" s="25"/>
      <c r="CD245" s="25"/>
      <c r="CE245" s="25"/>
      <c r="CF245" s="25"/>
      <c r="CG245" s="25"/>
      <c r="CH245" s="25"/>
      <c r="CI245" s="25"/>
      <c r="CJ245" s="25"/>
      <c r="CK245" s="25"/>
      <c r="CL245" s="25"/>
      <c r="CM245" s="25"/>
      <c r="CN245" s="25"/>
      <c r="CO245" s="25"/>
      <c r="CP245" s="25" t="str">
        <f>_xlfn.CONCAT($A246," ",$B246," ",$D246)</f>
        <v>2025 FCA US LLC Charger Daytona Scat Pack AWD 325/35ZR20 Rear</v>
      </c>
      <c r="CQ245" s="25"/>
      <c r="CR245" s="25"/>
      <c r="CS245" s="25"/>
      <c r="CT245" s="25"/>
      <c r="CU245" s="25"/>
      <c r="CV245" s="25"/>
      <c r="CW245" s="25"/>
      <c r="CX245" s="25"/>
      <c r="CY245" s="25"/>
      <c r="CZ245" s="25"/>
      <c r="DA245" s="25"/>
      <c r="DB245" s="25"/>
      <c r="DC245" s="25"/>
      <c r="DD245" s="25"/>
      <c r="DE245" s="25"/>
      <c r="DF245" s="25"/>
      <c r="DG245" s="25"/>
      <c r="DH245" s="25"/>
      <c r="DI245" s="25" t="str">
        <f>_xlfn.CONCAT($A246," ",$B246," ",$D246)</f>
        <v>2025 FCA US LLC Charger Daytona Scat Pack AWD 325/35ZR20 Rear</v>
      </c>
      <c r="DJ245" s="25"/>
      <c r="DK245" s="25"/>
      <c r="DL245" s="25"/>
      <c r="DM245" s="25"/>
      <c r="DN245" s="25"/>
      <c r="DO245" s="25"/>
      <c r="DP245" s="25"/>
      <c r="DQ245" s="25"/>
      <c r="DR245" s="25"/>
      <c r="DS245" s="25"/>
      <c r="DT245" s="25"/>
      <c r="DU245" s="25"/>
      <c r="DV245" s="25"/>
      <c r="DW245" s="25"/>
      <c r="DX245" s="25"/>
      <c r="DY245" s="25"/>
      <c r="DZ245" s="25" t="str">
        <f>_xlfn.CONCAT($A246," ",$B246," ",$D246)</f>
        <v>2025 FCA US LLC Charger Daytona Scat Pack AWD 325/35ZR20 Rear</v>
      </c>
      <c r="EB245" s="25"/>
      <c r="EC245" s="25"/>
      <c r="ED245" s="25"/>
      <c r="EE245" s="25"/>
      <c r="EF245" s="25"/>
      <c r="EG245" s="25"/>
      <c r="EH245" s="25"/>
      <c r="EI245" s="25"/>
      <c r="EJ245" s="25"/>
      <c r="EK245" s="25"/>
      <c r="EL245" s="25"/>
      <c r="EM245" s="25"/>
      <c r="EN245" s="25"/>
      <c r="EO245" s="25"/>
      <c r="EP245" s="25"/>
      <c r="EQ245" s="25"/>
      <c r="ER245" s="25"/>
      <c r="ES245" s="25"/>
      <c r="ET245" s="25"/>
      <c r="EU245" s="25"/>
      <c r="EV245" s="25" t="str">
        <f>_xlfn.CONCAT($A246," ",$B246," ",$D246)</f>
        <v>2025 FCA US LLC Charger Daytona Scat Pack AWD 325/35ZR20 Rear</v>
      </c>
      <c r="EW245" s="25"/>
      <c r="EX245" s="25"/>
      <c r="EY245" s="25"/>
      <c r="EZ245" s="25"/>
      <c r="FA245" s="25"/>
      <c r="FB245" s="25"/>
      <c r="FC245" s="25"/>
      <c r="FD245" s="25"/>
      <c r="FE245" s="25"/>
      <c r="FF245" s="25"/>
      <c r="FG245" s="25"/>
    </row>
    <row r="246" spans="1:165" x14ac:dyDescent="0.35">
      <c r="A246">
        <v>2025</v>
      </c>
      <c r="B246" t="s">
        <v>668</v>
      </c>
      <c r="C246" t="s">
        <v>1273</v>
      </c>
      <c r="D246" t="s">
        <v>1896</v>
      </c>
      <c r="E246" t="s">
        <v>671</v>
      </c>
      <c r="F246">
        <v>8</v>
      </c>
      <c r="G246">
        <v>0</v>
      </c>
      <c r="I246" t="s">
        <v>1734</v>
      </c>
      <c r="J246">
        <v>74</v>
      </c>
      <c r="K246">
        <v>66</v>
      </c>
      <c r="L246">
        <v>70</v>
      </c>
      <c r="M246">
        <v>117.6</v>
      </c>
      <c r="N246">
        <v>103.9</v>
      </c>
      <c r="O246">
        <v>111.0129</v>
      </c>
      <c r="P246">
        <v>74</v>
      </c>
      <c r="Q246">
        <v>66</v>
      </c>
      <c r="R246">
        <v>70</v>
      </c>
      <c r="V246" t="s">
        <v>167</v>
      </c>
      <c r="W246" t="s">
        <v>168</v>
      </c>
      <c r="Y246">
        <v>1</v>
      </c>
      <c r="Z246" t="s">
        <v>170</v>
      </c>
      <c r="AA246" t="s">
        <v>170</v>
      </c>
      <c r="AB246" t="s">
        <v>167</v>
      </c>
      <c r="AC246" t="s">
        <v>213</v>
      </c>
      <c r="AF246">
        <v>216</v>
      </c>
      <c r="AG246" t="s">
        <v>1735</v>
      </c>
      <c r="AH246" t="s">
        <v>1736</v>
      </c>
      <c r="AI246" t="s">
        <v>175</v>
      </c>
      <c r="AJ246" t="s">
        <v>176</v>
      </c>
      <c r="AK246" t="s">
        <v>170</v>
      </c>
      <c r="AL246" t="s">
        <v>177</v>
      </c>
      <c r="AO246">
        <v>105</v>
      </c>
      <c r="AP246">
        <v>25</v>
      </c>
      <c r="AS246">
        <v>1150</v>
      </c>
      <c r="AT246">
        <v>1150</v>
      </c>
      <c r="BQ246">
        <v>6</v>
      </c>
      <c r="BR246" t="s">
        <v>825</v>
      </c>
      <c r="BS246" t="s">
        <v>180</v>
      </c>
      <c r="BT246" t="s">
        <v>1738</v>
      </c>
      <c r="BU246" s="1">
        <v>45629</v>
      </c>
      <c r="BV246">
        <v>35960</v>
      </c>
      <c r="BX246" t="s">
        <v>169</v>
      </c>
      <c r="BY246" t="s">
        <v>170</v>
      </c>
      <c r="CB246" t="s">
        <v>170</v>
      </c>
      <c r="CC246" t="s">
        <v>170</v>
      </c>
      <c r="CK246" t="s">
        <v>233</v>
      </c>
      <c r="CM246">
        <v>1</v>
      </c>
      <c r="CN246" t="s">
        <v>234</v>
      </c>
      <c r="CP246">
        <v>442</v>
      </c>
      <c r="CQ246">
        <v>262</v>
      </c>
      <c r="CR246">
        <v>163</v>
      </c>
      <c r="CS246" t="s">
        <v>235</v>
      </c>
      <c r="CV246" t="s">
        <v>341</v>
      </c>
      <c r="CX246" t="s">
        <v>342</v>
      </c>
      <c r="CY246" t="s">
        <v>169</v>
      </c>
      <c r="DD246">
        <v>2</v>
      </c>
      <c r="DE246" t="s">
        <v>663</v>
      </c>
      <c r="DG246" t="s">
        <v>1890</v>
      </c>
      <c r="DL246" t="s">
        <v>170</v>
      </c>
      <c r="DM246" t="s">
        <v>169</v>
      </c>
      <c r="DP246" t="s">
        <v>170</v>
      </c>
      <c r="DQ246" t="s">
        <v>187</v>
      </c>
      <c r="EB246">
        <v>9</v>
      </c>
      <c r="EC246">
        <v>10</v>
      </c>
      <c r="EE246" t="s">
        <v>1891</v>
      </c>
      <c r="EF246">
        <v>10</v>
      </c>
      <c r="EU246">
        <v>3750</v>
      </c>
      <c r="EW246">
        <v>0</v>
      </c>
      <c r="EX246">
        <v>0</v>
      </c>
      <c r="EY246">
        <v>0</v>
      </c>
      <c r="FA246">
        <v>9.9</v>
      </c>
      <c r="FG246">
        <v>228</v>
      </c>
      <c r="FH246">
        <v>201</v>
      </c>
      <c r="FI246">
        <v>216</v>
      </c>
    </row>
    <row r="247" spans="1:165" x14ac:dyDescent="0.35">
      <c r="A247">
        <v>2025</v>
      </c>
      <c r="B247" t="s">
        <v>668</v>
      </c>
      <c r="C247" t="s">
        <v>1273</v>
      </c>
      <c r="D247" t="s">
        <v>1896</v>
      </c>
      <c r="E247" t="s">
        <v>671</v>
      </c>
      <c r="F247">
        <v>8</v>
      </c>
      <c r="G247">
        <v>0</v>
      </c>
      <c r="I247" t="s">
        <v>1734</v>
      </c>
      <c r="J247">
        <v>41</v>
      </c>
      <c r="K247">
        <v>46</v>
      </c>
      <c r="L247">
        <v>43</v>
      </c>
      <c r="M247">
        <v>28.660299999999999</v>
      </c>
      <c r="N247">
        <v>32.440600000000003</v>
      </c>
      <c r="O247">
        <v>30.3614</v>
      </c>
      <c r="P247">
        <v>41</v>
      </c>
      <c r="Q247">
        <v>46</v>
      </c>
      <c r="R247">
        <v>43</v>
      </c>
      <c r="V247" t="s">
        <v>167</v>
      </c>
      <c r="W247" t="s">
        <v>168</v>
      </c>
      <c r="Y247">
        <v>1</v>
      </c>
      <c r="Z247" t="s">
        <v>170</v>
      </c>
      <c r="AA247" t="s">
        <v>170</v>
      </c>
      <c r="AB247" t="s">
        <v>167</v>
      </c>
      <c r="AC247" t="s">
        <v>213</v>
      </c>
      <c r="AF247">
        <v>216</v>
      </c>
      <c r="AG247" t="s">
        <v>1735</v>
      </c>
      <c r="AH247" t="s">
        <v>1736</v>
      </c>
      <c r="AI247" t="s">
        <v>1742</v>
      </c>
      <c r="AJ247" t="s">
        <v>1743</v>
      </c>
      <c r="AK247" t="s">
        <v>170</v>
      </c>
      <c r="AL247" t="s">
        <v>177</v>
      </c>
      <c r="AO247">
        <v>105</v>
      </c>
      <c r="AP247">
        <v>25</v>
      </c>
      <c r="AS247">
        <v>1150</v>
      </c>
      <c r="AT247">
        <v>1150</v>
      </c>
      <c r="BQ247">
        <v>6</v>
      </c>
      <c r="BR247" t="s">
        <v>825</v>
      </c>
      <c r="BS247" t="s">
        <v>180</v>
      </c>
      <c r="BT247" t="s">
        <v>1738</v>
      </c>
      <c r="BU247" s="1">
        <v>45629</v>
      </c>
      <c r="BV247">
        <v>35960</v>
      </c>
      <c r="BX247" t="s">
        <v>169</v>
      </c>
      <c r="BY247" t="s">
        <v>170</v>
      </c>
      <c r="CB247" t="s">
        <v>170</v>
      </c>
      <c r="CC247" t="s">
        <v>170</v>
      </c>
      <c r="CK247" t="s">
        <v>233</v>
      </c>
      <c r="CM247">
        <v>1</v>
      </c>
      <c r="CN247" t="s">
        <v>234</v>
      </c>
      <c r="CP247">
        <v>442</v>
      </c>
      <c r="CQ247">
        <v>262</v>
      </c>
      <c r="CR247">
        <v>163</v>
      </c>
      <c r="CS247" t="s">
        <v>235</v>
      </c>
      <c r="CV247" t="s">
        <v>341</v>
      </c>
      <c r="CX247" t="s">
        <v>342</v>
      </c>
      <c r="CY247" t="s">
        <v>169</v>
      </c>
      <c r="DD247">
        <v>2</v>
      </c>
      <c r="DE247" t="s">
        <v>663</v>
      </c>
      <c r="DG247" t="s">
        <v>1890</v>
      </c>
      <c r="DL247" t="s">
        <v>170</v>
      </c>
      <c r="DM247" t="s">
        <v>169</v>
      </c>
      <c r="DP247" t="s">
        <v>170</v>
      </c>
      <c r="DQ247" t="s">
        <v>187</v>
      </c>
      <c r="EB247">
        <v>9</v>
      </c>
      <c r="EC247">
        <v>10</v>
      </c>
      <c r="EE247" t="s">
        <v>1891</v>
      </c>
      <c r="EF247">
        <v>10</v>
      </c>
      <c r="EU247">
        <v>3750</v>
      </c>
      <c r="EW247">
        <v>0</v>
      </c>
      <c r="EX247">
        <v>0</v>
      </c>
      <c r="EY247">
        <v>0</v>
      </c>
      <c r="FA247">
        <v>9.9</v>
      </c>
      <c r="FG247">
        <v>228</v>
      </c>
      <c r="FH247">
        <v>201</v>
      </c>
      <c r="FI247">
        <v>216</v>
      </c>
    </row>
    <row r="248" spans="1:165" x14ac:dyDescent="0.35">
      <c r="A248" s="25"/>
      <c r="B248" s="25"/>
      <c r="C248" s="25"/>
      <c r="D248" s="25"/>
      <c r="E248" s="25"/>
      <c r="F248" s="25" t="str">
        <f>_xlfn.CONCAT($A249," ",$B249," ",$D249)</f>
        <v>2025 FCA US LLC Charger Daytona Scat Pack AWD 325/35ZR20 Rear A/S</v>
      </c>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c r="AD248" s="25" t="str">
        <f>_xlfn.CONCAT($A249," ",$B249," ",$D249)</f>
        <v>2025 FCA US LLC Charger Daytona Scat Pack AWD 325/35ZR20 Rear A/S</v>
      </c>
      <c r="AE248" s="25"/>
      <c r="AF248" s="25"/>
      <c r="AG248" s="25"/>
      <c r="AH248" s="25"/>
      <c r="AI248" s="25"/>
      <c r="AJ248" s="25"/>
      <c r="AK248" s="25"/>
      <c r="AL248" s="25"/>
      <c r="AM248" s="25"/>
      <c r="AN248" s="25"/>
      <c r="AO248" s="25"/>
      <c r="AP248" s="25"/>
      <c r="AQ248" s="25"/>
      <c r="AR248" s="25"/>
      <c r="AS248" s="25"/>
      <c r="AT248" s="25"/>
      <c r="AU248" s="25"/>
      <c r="AV248" s="25"/>
      <c r="AW248" s="25"/>
      <c r="AX248" s="25" t="str">
        <f>_xlfn.CONCAT($A249," ",$B249," ",$D249)</f>
        <v>2025 FCA US LLC Charger Daytona Scat Pack AWD 325/35ZR20 Rear A/S</v>
      </c>
      <c r="AY248" s="25"/>
      <c r="AZ248" s="25"/>
      <c r="BA248" s="25"/>
      <c r="BB248" s="25"/>
      <c r="BC248" s="25"/>
      <c r="BD248" s="25"/>
      <c r="BE248" s="25"/>
      <c r="BF248" s="25"/>
      <c r="BG248" s="25"/>
      <c r="BH248" s="25"/>
      <c r="BI248" s="25"/>
      <c r="BJ248" s="25"/>
      <c r="BK248" s="25"/>
      <c r="BL248" s="25"/>
      <c r="BM248" s="25"/>
      <c r="BN248" s="25"/>
      <c r="BO248" s="25"/>
      <c r="BP248" s="25"/>
      <c r="BQ248" s="25"/>
      <c r="BR248" s="25" t="str">
        <f>_xlfn.CONCAT($A249," ",$B249," ",$D249)</f>
        <v>2025 FCA US LLC Charger Daytona Scat Pack AWD 325/35ZR20 Rear A/S</v>
      </c>
      <c r="BS248" s="25"/>
      <c r="BT248" s="25"/>
      <c r="BU248" s="25"/>
      <c r="BV248" s="25"/>
      <c r="BX248" s="25"/>
      <c r="BY248" s="25"/>
      <c r="BZ248" s="25"/>
      <c r="CA248" s="25"/>
      <c r="CB248" s="25"/>
      <c r="CC248" s="25"/>
      <c r="CD248" s="25"/>
      <c r="CE248" s="25"/>
      <c r="CF248" s="25"/>
      <c r="CG248" s="25"/>
      <c r="CH248" s="25"/>
      <c r="CI248" s="25"/>
      <c r="CJ248" s="25"/>
      <c r="CK248" s="25"/>
      <c r="CL248" s="25"/>
      <c r="CM248" s="25"/>
      <c r="CN248" s="25"/>
      <c r="CO248" s="25"/>
      <c r="CP248" s="25" t="str">
        <f>_xlfn.CONCAT($A249," ",$B249," ",$D249)</f>
        <v>2025 FCA US LLC Charger Daytona Scat Pack AWD 325/35ZR20 Rear A/S</v>
      </c>
      <c r="CQ248" s="25"/>
      <c r="CR248" s="25"/>
      <c r="CS248" s="25"/>
      <c r="CT248" s="25"/>
      <c r="CU248" s="25"/>
      <c r="CV248" s="25"/>
      <c r="CW248" s="25"/>
      <c r="CX248" s="25"/>
      <c r="CY248" s="25"/>
      <c r="CZ248" s="25"/>
      <c r="DA248" s="25"/>
      <c r="DB248" s="25"/>
      <c r="DC248" s="25"/>
      <c r="DD248" s="25"/>
      <c r="DE248" s="25"/>
      <c r="DF248" s="25"/>
      <c r="DG248" s="25"/>
      <c r="DH248" s="25"/>
      <c r="DI248" s="25" t="str">
        <f>_xlfn.CONCAT($A249," ",$B249," ",$D249)</f>
        <v>2025 FCA US LLC Charger Daytona Scat Pack AWD 325/35ZR20 Rear A/S</v>
      </c>
      <c r="DJ248" s="25"/>
      <c r="DK248" s="25"/>
      <c r="DL248" s="25"/>
      <c r="DM248" s="25"/>
      <c r="DN248" s="25"/>
      <c r="DO248" s="25"/>
      <c r="DP248" s="25"/>
      <c r="DQ248" s="25"/>
      <c r="DR248" s="25"/>
      <c r="DS248" s="25"/>
      <c r="DT248" s="25"/>
      <c r="DU248" s="25"/>
      <c r="DV248" s="25"/>
      <c r="DW248" s="25"/>
      <c r="DX248" s="25"/>
      <c r="DY248" s="25"/>
      <c r="DZ248" s="25" t="str">
        <f>_xlfn.CONCAT($A249," ",$B249," ",$D249)</f>
        <v>2025 FCA US LLC Charger Daytona Scat Pack AWD 325/35ZR20 Rear A/S</v>
      </c>
      <c r="EB248" s="25"/>
      <c r="EC248" s="25"/>
      <c r="ED248" s="25"/>
      <c r="EE248" s="25"/>
      <c r="EF248" s="25"/>
      <c r="EG248" s="25"/>
      <c r="EH248" s="25"/>
      <c r="EI248" s="25"/>
      <c r="EJ248" s="25"/>
      <c r="EK248" s="25"/>
      <c r="EL248" s="25"/>
      <c r="EM248" s="25"/>
      <c r="EN248" s="25"/>
      <c r="EO248" s="25"/>
      <c r="EP248" s="25"/>
      <c r="EQ248" s="25"/>
      <c r="ER248" s="25"/>
      <c r="ES248" s="25"/>
      <c r="ET248" s="25"/>
      <c r="EU248" s="25"/>
      <c r="EV248" s="25" t="str">
        <f>_xlfn.CONCAT($A249," ",$B249," ",$D249)</f>
        <v>2025 FCA US LLC Charger Daytona Scat Pack AWD 325/35ZR20 Rear A/S</v>
      </c>
      <c r="EW248" s="25"/>
      <c r="EX248" s="25"/>
      <c r="EY248" s="25"/>
      <c r="EZ248" s="25"/>
      <c r="FA248" s="25"/>
      <c r="FB248" s="25"/>
      <c r="FC248" s="25"/>
      <c r="FD248" s="25"/>
      <c r="FE248" s="25"/>
      <c r="FF248" s="25"/>
      <c r="FG248" s="25"/>
    </row>
    <row r="249" spans="1:165" x14ac:dyDescent="0.35">
      <c r="A249">
        <v>2025</v>
      </c>
      <c r="B249" t="s">
        <v>668</v>
      </c>
      <c r="C249" t="s">
        <v>1273</v>
      </c>
      <c r="D249" t="s">
        <v>1897</v>
      </c>
      <c r="E249" t="s">
        <v>671</v>
      </c>
      <c r="F249">
        <v>9</v>
      </c>
      <c r="G249">
        <v>0</v>
      </c>
      <c r="I249" t="s">
        <v>1734</v>
      </c>
      <c r="J249">
        <v>82</v>
      </c>
      <c r="K249">
        <v>73</v>
      </c>
      <c r="L249">
        <v>78</v>
      </c>
      <c r="M249">
        <v>117.6</v>
      </c>
      <c r="N249">
        <v>103.9</v>
      </c>
      <c r="O249">
        <v>111.0129</v>
      </c>
      <c r="P249">
        <v>82.32</v>
      </c>
      <c r="Q249">
        <v>72.73</v>
      </c>
      <c r="R249">
        <v>77.709000000000003</v>
      </c>
      <c r="V249" t="s">
        <v>167</v>
      </c>
      <c r="W249" t="s">
        <v>168</v>
      </c>
      <c r="Y249">
        <v>1</v>
      </c>
      <c r="Z249" t="s">
        <v>170</v>
      </c>
      <c r="AA249" t="s">
        <v>170</v>
      </c>
      <c r="AB249" t="s">
        <v>167</v>
      </c>
      <c r="AC249" t="s">
        <v>213</v>
      </c>
      <c r="AF249">
        <v>241</v>
      </c>
      <c r="AG249" t="s">
        <v>1735</v>
      </c>
      <c r="AH249" t="s">
        <v>1736</v>
      </c>
      <c r="AI249" t="s">
        <v>175</v>
      </c>
      <c r="AJ249" t="s">
        <v>176</v>
      </c>
      <c r="AK249" t="s">
        <v>170</v>
      </c>
      <c r="AL249" t="s">
        <v>177</v>
      </c>
      <c r="AO249">
        <v>105</v>
      </c>
      <c r="AP249">
        <v>25</v>
      </c>
      <c r="AS249">
        <v>1050</v>
      </c>
      <c r="AT249">
        <v>1050</v>
      </c>
      <c r="BQ249">
        <v>6</v>
      </c>
      <c r="BR249" t="s">
        <v>825</v>
      </c>
      <c r="BS249" t="s">
        <v>180</v>
      </c>
      <c r="BT249" t="s">
        <v>1738</v>
      </c>
      <c r="BU249" s="1">
        <v>45629</v>
      </c>
      <c r="BV249">
        <v>35945</v>
      </c>
      <c r="BX249" t="s">
        <v>169</v>
      </c>
      <c r="BY249" t="s">
        <v>170</v>
      </c>
      <c r="CB249" t="s">
        <v>170</v>
      </c>
      <c r="CC249" t="s">
        <v>170</v>
      </c>
      <c r="CK249" t="s">
        <v>233</v>
      </c>
      <c r="CM249">
        <v>1</v>
      </c>
      <c r="CN249" t="s">
        <v>234</v>
      </c>
      <c r="CP249">
        <v>442</v>
      </c>
      <c r="CQ249">
        <v>262</v>
      </c>
      <c r="CR249">
        <v>163</v>
      </c>
      <c r="CS249" t="s">
        <v>235</v>
      </c>
      <c r="CV249" t="s">
        <v>341</v>
      </c>
      <c r="CX249" t="s">
        <v>342</v>
      </c>
      <c r="CY249" t="s">
        <v>169</v>
      </c>
      <c r="DD249">
        <v>2</v>
      </c>
      <c r="DE249" t="s">
        <v>663</v>
      </c>
      <c r="DG249" t="s">
        <v>1890</v>
      </c>
      <c r="DL249" t="s">
        <v>170</v>
      </c>
      <c r="DM249" t="s">
        <v>169</v>
      </c>
      <c r="DP249" t="s">
        <v>170</v>
      </c>
      <c r="DQ249" t="s">
        <v>187</v>
      </c>
      <c r="EB249">
        <v>9</v>
      </c>
      <c r="EC249">
        <v>10</v>
      </c>
      <c r="EE249" t="s">
        <v>1891</v>
      </c>
      <c r="EF249">
        <v>10</v>
      </c>
      <c r="EU249">
        <v>4250</v>
      </c>
      <c r="EW249">
        <v>0</v>
      </c>
      <c r="EX249">
        <v>0</v>
      </c>
      <c r="EY249">
        <v>0</v>
      </c>
      <c r="FA249">
        <v>9.9</v>
      </c>
      <c r="FG249">
        <v>254</v>
      </c>
      <c r="FH249">
        <v>225</v>
      </c>
      <c r="FI249">
        <v>241</v>
      </c>
    </row>
    <row r="250" spans="1:165" x14ac:dyDescent="0.35">
      <c r="A250">
        <v>2025</v>
      </c>
      <c r="B250" t="s">
        <v>668</v>
      </c>
      <c r="C250" t="s">
        <v>1273</v>
      </c>
      <c r="D250" t="s">
        <v>1897</v>
      </c>
      <c r="E250" t="s">
        <v>671</v>
      </c>
      <c r="F250">
        <v>9</v>
      </c>
      <c r="G250">
        <v>0</v>
      </c>
      <c r="I250" t="s">
        <v>1734</v>
      </c>
      <c r="J250">
        <v>41</v>
      </c>
      <c r="K250">
        <v>46</v>
      </c>
      <c r="L250">
        <v>43</v>
      </c>
      <c r="M250">
        <v>28.660299999999999</v>
      </c>
      <c r="N250">
        <v>32.440600000000003</v>
      </c>
      <c r="O250">
        <v>30.3614</v>
      </c>
      <c r="P250">
        <v>40.943899999999999</v>
      </c>
      <c r="Q250">
        <v>46.342599999999997</v>
      </c>
      <c r="R250">
        <v>43.3733</v>
      </c>
      <c r="V250" t="s">
        <v>167</v>
      </c>
      <c r="W250" t="s">
        <v>168</v>
      </c>
      <c r="Y250">
        <v>1</v>
      </c>
      <c r="Z250" t="s">
        <v>170</v>
      </c>
      <c r="AA250" t="s">
        <v>170</v>
      </c>
      <c r="AB250" t="s">
        <v>167</v>
      </c>
      <c r="AC250" t="s">
        <v>213</v>
      </c>
      <c r="AF250">
        <v>241</v>
      </c>
      <c r="AG250" t="s">
        <v>1735</v>
      </c>
      <c r="AH250" t="s">
        <v>1736</v>
      </c>
      <c r="AI250" t="s">
        <v>1742</v>
      </c>
      <c r="AJ250" t="s">
        <v>1743</v>
      </c>
      <c r="AK250" t="s">
        <v>170</v>
      </c>
      <c r="AL250" t="s">
        <v>177</v>
      </c>
      <c r="AO250">
        <v>105</v>
      </c>
      <c r="AP250">
        <v>25</v>
      </c>
      <c r="AS250">
        <v>1050</v>
      </c>
      <c r="AT250">
        <v>1050</v>
      </c>
      <c r="BQ250">
        <v>6</v>
      </c>
      <c r="BR250" t="s">
        <v>825</v>
      </c>
      <c r="BS250" t="s">
        <v>180</v>
      </c>
      <c r="BT250" t="s">
        <v>1738</v>
      </c>
      <c r="BU250" s="1">
        <v>45629</v>
      </c>
      <c r="BV250">
        <v>35945</v>
      </c>
      <c r="BX250" t="s">
        <v>169</v>
      </c>
      <c r="BY250" t="s">
        <v>170</v>
      </c>
      <c r="CB250" t="s">
        <v>170</v>
      </c>
      <c r="CC250" t="s">
        <v>170</v>
      </c>
      <c r="CK250" t="s">
        <v>233</v>
      </c>
      <c r="CM250">
        <v>1</v>
      </c>
      <c r="CN250" t="s">
        <v>234</v>
      </c>
      <c r="CP250">
        <v>442</v>
      </c>
      <c r="CQ250">
        <v>262</v>
      </c>
      <c r="CR250">
        <v>163</v>
      </c>
      <c r="CS250" t="s">
        <v>235</v>
      </c>
      <c r="CV250" t="s">
        <v>341</v>
      </c>
      <c r="CX250" t="s">
        <v>342</v>
      </c>
      <c r="CY250" t="s">
        <v>169</v>
      </c>
      <c r="DD250">
        <v>2</v>
      </c>
      <c r="DE250" t="s">
        <v>663</v>
      </c>
      <c r="DG250" t="s">
        <v>1890</v>
      </c>
      <c r="DL250" t="s">
        <v>170</v>
      </c>
      <c r="DM250" t="s">
        <v>169</v>
      </c>
      <c r="DP250" t="s">
        <v>170</v>
      </c>
      <c r="DQ250" t="s">
        <v>187</v>
      </c>
      <c r="EB250">
        <v>9</v>
      </c>
      <c r="EC250">
        <v>10</v>
      </c>
      <c r="EE250" t="s">
        <v>1891</v>
      </c>
      <c r="EF250">
        <v>10</v>
      </c>
      <c r="EU250">
        <v>4250</v>
      </c>
      <c r="EW250">
        <v>0</v>
      </c>
      <c r="EX250">
        <v>0</v>
      </c>
      <c r="EY250">
        <v>0</v>
      </c>
      <c r="FA250">
        <v>9.9</v>
      </c>
      <c r="FG250">
        <v>254</v>
      </c>
      <c r="FH250">
        <v>225</v>
      </c>
      <c r="FI250">
        <v>241</v>
      </c>
    </row>
    <row r="251" spans="1:165" x14ac:dyDescent="0.35">
      <c r="A251" s="25"/>
      <c r="B251" s="25"/>
      <c r="C251" s="25"/>
      <c r="D251" s="25"/>
      <c r="E251" s="25"/>
      <c r="F251" s="25" t="str">
        <f>_xlfn.CONCAT($A252," ",$B252," ",$D252)</f>
        <v>2025 FCA US LLC 500e</v>
      </c>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t="str">
        <f>_xlfn.CONCAT($A252," ",$B252," ",$D252)</f>
        <v>2025 FCA US LLC 500e</v>
      </c>
      <c r="AE251" s="25"/>
      <c r="AF251" s="25"/>
      <c r="AG251" s="25"/>
      <c r="AH251" s="25"/>
      <c r="AI251" s="25"/>
      <c r="AJ251" s="25"/>
      <c r="AK251" s="25"/>
      <c r="AL251" s="25"/>
      <c r="AM251" s="25"/>
      <c r="AN251" s="25"/>
      <c r="AO251" s="25"/>
      <c r="AP251" s="25"/>
      <c r="AQ251" s="25"/>
      <c r="AR251" s="25"/>
      <c r="AS251" s="25"/>
      <c r="AT251" s="25"/>
      <c r="AU251" s="25"/>
      <c r="AV251" s="25"/>
      <c r="AW251" s="25"/>
      <c r="AX251" s="25" t="str">
        <f>_xlfn.CONCAT($A252," ",$B252," ",$D252)</f>
        <v>2025 FCA US LLC 500e</v>
      </c>
      <c r="AY251" s="25"/>
      <c r="AZ251" s="25"/>
      <c r="BA251" s="25"/>
      <c r="BB251" s="25"/>
      <c r="BC251" s="25"/>
      <c r="BD251" s="25"/>
      <c r="BE251" s="25"/>
      <c r="BF251" s="25"/>
      <c r="BG251" s="25"/>
      <c r="BH251" s="25"/>
      <c r="BI251" s="25"/>
      <c r="BJ251" s="25"/>
      <c r="BK251" s="25"/>
      <c r="BL251" s="25"/>
      <c r="BM251" s="25"/>
      <c r="BN251" s="25"/>
      <c r="BO251" s="25"/>
      <c r="BP251" s="25"/>
      <c r="BQ251" s="25"/>
      <c r="BR251" s="25" t="str">
        <f>_xlfn.CONCAT($A252," ",$B252," ",$D252)</f>
        <v>2025 FCA US LLC 500e</v>
      </c>
      <c r="BS251" s="25"/>
      <c r="BT251" s="25"/>
      <c r="BU251" s="25"/>
      <c r="BV251" s="25"/>
      <c r="BX251" s="25"/>
      <c r="BY251" s="25"/>
      <c r="BZ251" s="25"/>
      <c r="CA251" s="25"/>
      <c r="CB251" s="25"/>
      <c r="CC251" s="25"/>
      <c r="CD251" s="25"/>
      <c r="CE251" s="25"/>
      <c r="CF251" s="25"/>
      <c r="CG251" s="25"/>
      <c r="CH251" s="25"/>
      <c r="CI251" s="25"/>
      <c r="CJ251" s="25"/>
      <c r="CK251" s="25"/>
      <c r="CL251" s="25"/>
      <c r="CM251" s="25"/>
      <c r="CN251" s="25"/>
      <c r="CO251" s="25"/>
      <c r="CP251" s="25" t="str">
        <f>_xlfn.CONCAT($A252," ",$B252," ",$D252)</f>
        <v>2025 FCA US LLC 500e</v>
      </c>
      <c r="CQ251" s="25"/>
      <c r="CR251" s="25"/>
      <c r="CS251" s="25"/>
      <c r="CT251" s="25"/>
      <c r="CU251" s="25"/>
      <c r="CV251" s="25"/>
      <c r="CW251" s="25"/>
      <c r="CX251" s="25"/>
      <c r="CY251" s="25"/>
      <c r="CZ251" s="25"/>
      <c r="DA251" s="25"/>
      <c r="DB251" s="25"/>
      <c r="DC251" s="25"/>
      <c r="DD251" s="25"/>
      <c r="DE251" s="25"/>
      <c r="DF251" s="25"/>
      <c r="DG251" s="25"/>
      <c r="DH251" s="25"/>
      <c r="DI251" s="25" t="str">
        <f>_xlfn.CONCAT($A252," ",$B252," ",$D252)</f>
        <v>2025 FCA US LLC 500e</v>
      </c>
      <c r="DJ251" s="25"/>
      <c r="DK251" s="25"/>
      <c r="DL251" s="25"/>
      <c r="DM251" s="25"/>
      <c r="DN251" s="25"/>
      <c r="DO251" s="25"/>
      <c r="DP251" s="25"/>
      <c r="DQ251" s="25"/>
      <c r="DR251" s="25"/>
      <c r="DS251" s="25"/>
      <c r="DT251" s="25"/>
      <c r="DU251" s="25"/>
      <c r="DV251" s="25"/>
      <c r="DW251" s="25"/>
      <c r="DX251" s="25"/>
      <c r="DY251" s="25"/>
      <c r="DZ251" s="25" t="str">
        <f>_xlfn.CONCAT($A252," ",$B252," ",$D252)</f>
        <v>2025 FCA US LLC 500e</v>
      </c>
      <c r="EB251" s="25"/>
      <c r="EC251" s="25"/>
      <c r="ED251" s="25"/>
      <c r="EE251" s="25"/>
      <c r="EF251" s="25"/>
      <c r="EG251" s="25"/>
      <c r="EH251" s="25"/>
      <c r="EI251" s="25"/>
      <c r="EJ251" s="25"/>
      <c r="EK251" s="25"/>
      <c r="EL251" s="25"/>
      <c r="EM251" s="25"/>
      <c r="EN251" s="25"/>
      <c r="EO251" s="25"/>
      <c r="EP251" s="25"/>
      <c r="EQ251" s="25"/>
      <c r="ER251" s="25"/>
      <c r="ES251" s="25"/>
      <c r="ET251" s="25"/>
      <c r="EU251" s="25"/>
      <c r="EV251" s="25" t="str">
        <f>_xlfn.CONCAT($A252," ",$B252," ",$D252)</f>
        <v>2025 FCA US LLC 500e</v>
      </c>
      <c r="EW251" s="25"/>
      <c r="EX251" s="25"/>
      <c r="EY251" s="25"/>
      <c r="EZ251" s="25"/>
      <c r="FA251" s="25"/>
      <c r="FB251" s="25"/>
      <c r="FC251" s="25"/>
      <c r="FD251" s="25"/>
      <c r="FE251" s="25"/>
      <c r="FF251" s="25"/>
      <c r="FG251" s="25"/>
    </row>
    <row r="252" spans="1:165" x14ac:dyDescent="0.35">
      <c r="A252">
        <v>2025</v>
      </c>
      <c r="B252" t="s">
        <v>668</v>
      </c>
      <c r="C252" t="s">
        <v>1898</v>
      </c>
      <c r="D252" t="s">
        <v>1899</v>
      </c>
      <c r="E252" t="s">
        <v>671</v>
      </c>
      <c r="F252">
        <v>404</v>
      </c>
      <c r="G252">
        <v>0</v>
      </c>
      <c r="I252" t="s">
        <v>1734</v>
      </c>
      <c r="J252">
        <v>127</v>
      </c>
      <c r="K252">
        <v>104</v>
      </c>
      <c r="L252">
        <v>116</v>
      </c>
      <c r="M252">
        <v>181.3</v>
      </c>
      <c r="N252">
        <v>148.69999999999999</v>
      </c>
      <c r="O252">
        <v>165.0059</v>
      </c>
      <c r="P252">
        <v>126.89109999999999</v>
      </c>
      <c r="Q252">
        <v>104.0878</v>
      </c>
      <c r="R252">
        <v>115.50409999999999</v>
      </c>
      <c r="V252" t="s">
        <v>167</v>
      </c>
      <c r="W252" t="s">
        <v>168</v>
      </c>
      <c r="Y252">
        <v>1</v>
      </c>
      <c r="Z252" t="s">
        <v>170</v>
      </c>
      <c r="AA252" t="s">
        <v>170</v>
      </c>
      <c r="AB252" t="s">
        <v>351</v>
      </c>
      <c r="AC252" t="s">
        <v>352</v>
      </c>
      <c r="AF252">
        <v>149</v>
      </c>
      <c r="AG252" t="s">
        <v>1735</v>
      </c>
      <c r="AH252" t="s">
        <v>1736</v>
      </c>
      <c r="AI252" t="s">
        <v>175</v>
      </c>
      <c r="AJ252" t="s">
        <v>176</v>
      </c>
      <c r="AK252" t="s">
        <v>170</v>
      </c>
      <c r="AL252" t="s">
        <v>177</v>
      </c>
      <c r="AQ252">
        <v>72</v>
      </c>
      <c r="AR252">
        <v>7</v>
      </c>
      <c r="AS252">
        <v>700</v>
      </c>
      <c r="AT252">
        <v>700</v>
      </c>
      <c r="BQ252">
        <v>2</v>
      </c>
      <c r="BR252" t="s">
        <v>321</v>
      </c>
      <c r="BS252" t="s">
        <v>180</v>
      </c>
      <c r="BT252" t="s">
        <v>1738</v>
      </c>
      <c r="BU252" s="1">
        <v>45560</v>
      </c>
      <c r="BV252">
        <v>35681</v>
      </c>
      <c r="BX252" t="s">
        <v>170</v>
      </c>
      <c r="BY252" t="s">
        <v>170</v>
      </c>
      <c r="CB252" t="s">
        <v>170</v>
      </c>
      <c r="CC252" t="s">
        <v>170</v>
      </c>
      <c r="CK252" t="s">
        <v>233</v>
      </c>
      <c r="CM252">
        <v>2</v>
      </c>
      <c r="CN252" t="s">
        <v>234</v>
      </c>
      <c r="CP252">
        <v>352</v>
      </c>
      <c r="CQ252">
        <v>120</v>
      </c>
      <c r="CR252">
        <v>143</v>
      </c>
      <c r="CS252" t="s">
        <v>235</v>
      </c>
      <c r="CV252" t="s">
        <v>341</v>
      </c>
      <c r="CX252" t="s">
        <v>729</v>
      </c>
      <c r="CY252" t="s">
        <v>170</v>
      </c>
      <c r="DD252">
        <v>1</v>
      </c>
      <c r="DE252" t="s">
        <v>663</v>
      </c>
      <c r="DG252">
        <v>87</v>
      </c>
      <c r="DL252" t="s">
        <v>170</v>
      </c>
      <c r="DM252" t="s">
        <v>169</v>
      </c>
      <c r="DP252" t="s">
        <v>170</v>
      </c>
      <c r="DQ252" t="s">
        <v>187</v>
      </c>
      <c r="EB252">
        <v>9</v>
      </c>
      <c r="EC252">
        <v>10</v>
      </c>
      <c r="EE252" t="s">
        <v>1900</v>
      </c>
      <c r="EF252">
        <v>10</v>
      </c>
      <c r="EU252">
        <v>6000</v>
      </c>
      <c r="EW252">
        <v>0</v>
      </c>
      <c r="EX252">
        <v>0</v>
      </c>
      <c r="EY252">
        <v>0</v>
      </c>
      <c r="FA252">
        <v>6.2</v>
      </c>
      <c r="FG252">
        <v>162</v>
      </c>
      <c r="FH252">
        <v>133</v>
      </c>
      <c r="FI252">
        <v>149</v>
      </c>
    </row>
    <row r="253" spans="1:165" x14ac:dyDescent="0.35">
      <c r="A253">
        <v>2025</v>
      </c>
      <c r="B253" t="s">
        <v>668</v>
      </c>
      <c r="C253" t="s">
        <v>1898</v>
      </c>
      <c r="D253" t="s">
        <v>1899</v>
      </c>
      <c r="E253" t="s">
        <v>671</v>
      </c>
      <c r="F253">
        <v>404</v>
      </c>
      <c r="G253">
        <v>0</v>
      </c>
      <c r="I253" t="s">
        <v>1734</v>
      </c>
      <c r="J253">
        <v>27</v>
      </c>
      <c r="K253">
        <v>32</v>
      </c>
      <c r="L253">
        <v>29</v>
      </c>
      <c r="M253">
        <v>18.593499999999999</v>
      </c>
      <c r="N253">
        <v>22.666899999999998</v>
      </c>
      <c r="O253">
        <v>20.426500000000001</v>
      </c>
      <c r="P253">
        <v>26.562100000000001</v>
      </c>
      <c r="Q253">
        <v>32.381300000000003</v>
      </c>
      <c r="R253">
        <v>29.180800000000001</v>
      </c>
      <c r="V253" t="s">
        <v>167</v>
      </c>
      <c r="W253" t="s">
        <v>168</v>
      </c>
      <c r="Y253">
        <v>1</v>
      </c>
      <c r="Z253" t="s">
        <v>170</v>
      </c>
      <c r="AA253" t="s">
        <v>170</v>
      </c>
      <c r="AB253" t="s">
        <v>351</v>
      </c>
      <c r="AC253" t="s">
        <v>352</v>
      </c>
      <c r="AF253">
        <v>149</v>
      </c>
      <c r="AG253" t="s">
        <v>1735</v>
      </c>
      <c r="AH253" t="s">
        <v>1736</v>
      </c>
      <c r="AI253" t="s">
        <v>1742</v>
      </c>
      <c r="AJ253" t="s">
        <v>1743</v>
      </c>
      <c r="AK253" t="s">
        <v>170</v>
      </c>
      <c r="AL253" t="s">
        <v>177</v>
      </c>
      <c r="AQ253">
        <v>72</v>
      </c>
      <c r="AR253">
        <v>7</v>
      </c>
      <c r="AS253">
        <v>700</v>
      </c>
      <c r="AT253">
        <v>700</v>
      </c>
      <c r="BQ253">
        <v>2</v>
      </c>
      <c r="BR253" t="s">
        <v>321</v>
      </c>
      <c r="BS253" t="s">
        <v>180</v>
      </c>
      <c r="BT253" t="s">
        <v>1738</v>
      </c>
      <c r="BU253" s="1">
        <v>45560</v>
      </c>
      <c r="BV253">
        <v>35681</v>
      </c>
      <c r="BX253" t="s">
        <v>170</v>
      </c>
      <c r="BY253" t="s">
        <v>170</v>
      </c>
      <c r="CB253" t="s">
        <v>170</v>
      </c>
      <c r="CC253" t="s">
        <v>170</v>
      </c>
      <c r="CK253" t="s">
        <v>233</v>
      </c>
      <c r="CM253">
        <v>2</v>
      </c>
      <c r="CN253" t="s">
        <v>234</v>
      </c>
      <c r="CP253">
        <v>352</v>
      </c>
      <c r="CQ253">
        <v>120</v>
      </c>
      <c r="CR253">
        <v>143</v>
      </c>
      <c r="CS253" t="s">
        <v>235</v>
      </c>
      <c r="CV253" t="s">
        <v>341</v>
      </c>
      <c r="CX253" t="s">
        <v>729</v>
      </c>
      <c r="CY253" t="s">
        <v>170</v>
      </c>
      <c r="DD253">
        <v>1</v>
      </c>
      <c r="DE253" t="s">
        <v>663</v>
      </c>
      <c r="DG253">
        <v>87</v>
      </c>
      <c r="DL253" t="s">
        <v>170</v>
      </c>
      <c r="DM253" t="s">
        <v>169</v>
      </c>
      <c r="DP253" t="s">
        <v>170</v>
      </c>
      <c r="DQ253" t="s">
        <v>187</v>
      </c>
      <c r="EB253">
        <v>9</v>
      </c>
      <c r="EC253">
        <v>10</v>
      </c>
      <c r="EE253" t="s">
        <v>1900</v>
      </c>
      <c r="EF253">
        <v>10</v>
      </c>
      <c r="EU253">
        <v>6000</v>
      </c>
      <c r="EW253">
        <v>0</v>
      </c>
      <c r="EX253">
        <v>0</v>
      </c>
      <c r="EY253">
        <v>0</v>
      </c>
      <c r="FA253">
        <v>6.2</v>
      </c>
      <c r="FG253">
        <v>162</v>
      </c>
      <c r="FH253">
        <v>133</v>
      </c>
      <c r="FI253">
        <v>149</v>
      </c>
    </row>
    <row r="254" spans="1:165" x14ac:dyDescent="0.35">
      <c r="A254" s="25"/>
      <c r="B254" s="25"/>
      <c r="C254" s="25"/>
      <c r="D254" s="25"/>
      <c r="E254" s="25"/>
      <c r="F254" s="25" t="str">
        <f>_xlfn.CONCAT($A255," ",$B255," ",$D255)</f>
        <v>2025 FCA US LLC 500e All Season</v>
      </c>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c r="AD254" s="25" t="str">
        <f>_xlfn.CONCAT($A255," ",$B255," ",$D255)</f>
        <v>2025 FCA US LLC 500e All Season</v>
      </c>
      <c r="AE254" s="25"/>
      <c r="AF254" s="25"/>
      <c r="AG254" s="25"/>
      <c r="AH254" s="25"/>
      <c r="AI254" s="25"/>
      <c r="AJ254" s="25"/>
      <c r="AK254" s="25"/>
      <c r="AL254" s="25"/>
      <c r="AM254" s="25"/>
      <c r="AN254" s="25"/>
      <c r="AO254" s="25"/>
      <c r="AP254" s="25"/>
      <c r="AQ254" s="25"/>
      <c r="AR254" s="25"/>
      <c r="AS254" s="25"/>
      <c r="AT254" s="25"/>
      <c r="AU254" s="25"/>
      <c r="AV254" s="25"/>
      <c r="AW254" s="25"/>
      <c r="AX254" s="25" t="str">
        <f>_xlfn.CONCAT($A255," ",$B255," ",$D255)</f>
        <v>2025 FCA US LLC 500e All Season</v>
      </c>
      <c r="AY254" s="25"/>
      <c r="AZ254" s="25"/>
      <c r="BA254" s="25"/>
      <c r="BB254" s="25"/>
      <c r="BC254" s="25"/>
      <c r="BD254" s="25"/>
      <c r="BE254" s="25"/>
      <c r="BF254" s="25"/>
      <c r="BG254" s="25"/>
      <c r="BH254" s="25"/>
      <c r="BI254" s="25"/>
      <c r="BJ254" s="25"/>
      <c r="BK254" s="25"/>
      <c r="BL254" s="25"/>
      <c r="BM254" s="25"/>
      <c r="BN254" s="25"/>
      <c r="BO254" s="25"/>
      <c r="BP254" s="25"/>
      <c r="BQ254" s="25"/>
      <c r="BR254" s="25" t="str">
        <f>_xlfn.CONCAT($A255," ",$B255," ",$D255)</f>
        <v>2025 FCA US LLC 500e All Season</v>
      </c>
      <c r="BS254" s="25"/>
      <c r="BT254" s="25"/>
      <c r="BU254" s="25"/>
      <c r="BV254" s="25"/>
      <c r="BX254" s="25"/>
      <c r="BY254" s="25"/>
      <c r="BZ254" s="25"/>
      <c r="CA254" s="25"/>
      <c r="CB254" s="25"/>
      <c r="CC254" s="25"/>
      <c r="CD254" s="25"/>
      <c r="CE254" s="25"/>
      <c r="CF254" s="25"/>
      <c r="CG254" s="25"/>
      <c r="CH254" s="25"/>
      <c r="CI254" s="25"/>
      <c r="CJ254" s="25"/>
      <c r="CK254" s="25"/>
      <c r="CL254" s="25"/>
      <c r="CM254" s="25"/>
      <c r="CN254" s="25"/>
      <c r="CO254" s="25"/>
      <c r="CP254" s="25" t="str">
        <f>_xlfn.CONCAT($A255," ",$B255," ",$D255)</f>
        <v>2025 FCA US LLC 500e All Season</v>
      </c>
      <c r="CQ254" s="25"/>
      <c r="CR254" s="25"/>
      <c r="CS254" s="25"/>
      <c r="CT254" s="25"/>
      <c r="CU254" s="25"/>
      <c r="CV254" s="25"/>
      <c r="CW254" s="25"/>
      <c r="CX254" s="25"/>
      <c r="CY254" s="25"/>
      <c r="CZ254" s="25"/>
      <c r="DA254" s="25"/>
      <c r="DB254" s="25"/>
      <c r="DC254" s="25"/>
      <c r="DD254" s="25"/>
      <c r="DE254" s="25"/>
      <c r="DF254" s="25"/>
      <c r="DG254" s="25"/>
      <c r="DH254" s="25"/>
      <c r="DI254" s="25" t="str">
        <f>_xlfn.CONCAT($A255," ",$B255," ",$D255)</f>
        <v>2025 FCA US LLC 500e All Season</v>
      </c>
      <c r="DJ254" s="25"/>
      <c r="DK254" s="25"/>
      <c r="DL254" s="25"/>
      <c r="DM254" s="25"/>
      <c r="DN254" s="25"/>
      <c r="DO254" s="25"/>
      <c r="DP254" s="25"/>
      <c r="DQ254" s="25"/>
      <c r="DR254" s="25"/>
      <c r="DS254" s="25"/>
      <c r="DT254" s="25"/>
      <c r="DU254" s="25"/>
      <c r="DV254" s="25"/>
      <c r="DW254" s="25"/>
      <c r="DX254" s="25"/>
      <c r="DY254" s="25"/>
      <c r="DZ254" s="25" t="str">
        <f>_xlfn.CONCAT($A255," ",$B255," ",$D255)</f>
        <v>2025 FCA US LLC 500e All Season</v>
      </c>
      <c r="EB254" s="25"/>
      <c r="EC254" s="25"/>
      <c r="ED254" s="25"/>
      <c r="EE254" s="25"/>
      <c r="EF254" s="25"/>
      <c r="EG254" s="25"/>
      <c r="EH254" s="25"/>
      <c r="EI254" s="25"/>
      <c r="EJ254" s="25"/>
      <c r="EK254" s="25"/>
      <c r="EL254" s="25"/>
      <c r="EM254" s="25"/>
      <c r="EN254" s="25"/>
      <c r="EO254" s="25"/>
      <c r="EP254" s="25"/>
      <c r="EQ254" s="25"/>
      <c r="ER254" s="25"/>
      <c r="ES254" s="25"/>
      <c r="ET254" s="25"/>
      <c r="EU254" s="25"/>
      <c r="EV254" s="25" t="str">
        <f>_xlfn.CONCAT($A255," ",$B255," ",$D255)</f>
        <v>2025 FCA US LLC 500e All Season</v>
      </c>
      <c r="EW254" s="25"/>
      <c r="EX254" s="25"/>
      <c r="EY254" s="25"/>
      <c r="EZ254" s="25"/>
      <c r="FA254" s="25"/>
      <c r="FB254" s="25"/>
      <c r="FC254" s="25"/>
      <c r="FD254" s="25"/>
      <c r="FE254" s="25"/>
      <c r="FF254" s="25"/>
      <c r="FG254" s="25"/>
    </row>
    <row r="255" spans="1:165" x14ac:dyDescent="0.35">
      <c r="A255">
        <v>2025</v>
      </c>
      <c r="B255" t="s">
        <v>668</v>
      </c>
      <c r="C255" t="s">
        <v>1898</v>
      </c>
      <c r="D255" t="s">
        <v>1901</v>
      </c>
      <c r="E255" t="s">
        <v>671</v>
      </c>
      <c r="F255">
        <v>405</v>
      </c>
      <c r="G255">
        <v>0</v>
      </c>
      <c r="I255" t="s">
        <v>1734</v>
      </c>
      <c r="J255">
        <v>121</v>
      </c>
      <c r="K255">
        <v>100</v>
      </c>
      <c r="L255">
        <v>110</v>
      </c>
      <c r="M255">
        <v>172.3</v>
      </c>
      <c r="N255">
        <v>142.9</v>
      </c>
      <c r="O255">
        <v>157.69980000000001</v>
      </c>
      <c r="P255">
        <v>120.61</v>
      </c>
      <c r="Q255">
        <v>100.03</v>
      </c>
      <c r="R255">
        <v>110.3899</v>
      </c>
      <c r="V255" t="s">
        <v>167</v>
      </c>
      <c r="W255" t="s">
        <v>168</v>
      </c>
      <c r="Y255">
        <v>1</v>
      </c>
      <c r="Z255" t="s">
        <v>170</v>
      </c>
      <c r="AA255" t="s">
        <v>170</v>
      </c>
      <c r="AB255" t="s">
        <v>351</v>
      </c>
      <c r="AC255" t="s">
        <v>352</v>
      </c>
      <c r="AF255">
        <v>141</v>
      </c>
      <c r="AG255" t="s">
        <v>1735</v>
      </c>
      <c r="AH255" t="s">
        <v>1736</v>
      </c>
      <c r="AI255" t="s">
        <v>175</v>
      </c>
      <c r="AJ255" t="s">
        <v>176</v>
      </c>
      <c r="AK255" t="s">
        <v>170</v>
      </c>
      <c r="AL255" t="s">
        <v>177</v>
      </c>
      <c r="AQ255">
        <v>72</v>
      </c>
      <c r="AR255">
        <v>7</v>
      </c>
      <c r="AS255">
        <v>750</v>
      </c>
      <c r="AT255">
        <v>750</v>
      </c>
      <c r="BQ255">
        <v>2</v>
      </c>
      <c r="BR255" t="s">
        <v>321</v>
      </c>
      <c r="BS255" t="s">
        <v>180</v>
      </c>
      <c r="BT255" t="s">
        <v>1738</v>
      </c>
      <c r="BU255" s="1">
        <v>45560</v>
      </c>
      <c r="BV255">
        <v>35555</v>
      </c>
      <c r="BX255" t="s">
        <v>170</v>
      </c>
      <c r="BY255" t="s">
        <v>170</v>
      </c>
      <c r="CB255" t="s">
        <v>170</v>
      </c>
      <c r="CC255" t="s">
        <v>170</v>
      </c>
      <c r="CK255" t="s">
        <v>233</v>
      </c>
      <c r="CM255">
        <v>2</v>
      </c>
      <c r="CN255" t="s">
        <v>234</v>
      </c>
      <c r="CP255">
        <v>352</v>
      </c>
      <c r="CQ255">
        <v>120</v>
      </c>
      <c r="CR255">
        <v>143</v>
      </c>
      <c r="CS255" t="s">
        <v>235</v>
      </c>
      <c r="CV255" t="s">
        <v>341</v>
      </c>
      <c r="CX255" t="s">
        <v>729</v>
      </c>
      <c r="CY255" t="s">
        <v>170</v>
      </c>
      <c r="DD255">
        <v>1</v>
      </c>
      <c r="DE255" t="s">
        <v>663</v>
      </c>
      <c r="DG255">
        <v>87</v>
      </c>
      <c r="DL255" t="s">
        <v>170</v>
      </c>
      <c r="DM255" t="s">
        <v>169</v>
      </c>
      <c r="DP255" t="s">
        <v>170</v>
      </c>
      <c r="DQ255" t="s">
        <v>187</v>
      </c>
      <c r="EB255">
        <v>9</v>
      </c>
      <c r="EC255">
        <v>10</v>
      </c>
      <c r="EE255" t="s">
        <v>1900</v>
      </c>
      <c r="EF255">
        <v>10</v>
      </c>
      <c r="EU255">
        <v>5750</v>
      </c>
      <c r="EW255">
        <v>0</v>
      </c>
      <c r="EX255">
        <v>0</v>
      </c>
      <c r="EY255">
        <v>0</v>
      </c>
      <c r="FA255">
        <v>6.2</v>
      </c>
      <c r="FG255">
        <v>153</v>
      </c>
      <c r="FH255">
        <v>127</v>
      </c>
      <c r="FI255">
        <v>141</v>
      </c>
    </row>
    <row r="256" spans="1:165" x14ac:dyDescent="0.35">
      <c r="A256">
        <v>2025</v>
      </c>
      <c r="B256" t="s">
        <v>668</v>
      </c>
      <c r="C256" t="s">
        <v>1898</v>
      </c>
      <c r="D256" t="s">
        <v>1901</v>
      </c>
      <c r="E256" t="s">
        <v>671</v>
      </c>
      <c r="F256">
        <v>405</v>
      </c>
      <c r="G256">
        <v>0</v>
      </c>
      <c r="I256" t="s">
        <v>1734</v>
      </c>
      <c r="J256">
        <v>28</v>
      </c>
      <c r="K256">
        <v>34</v>
      </c>
      <c r="L256">
        <v>31</v>
      </c>
      <c r="M256">
        <v>19.5641</v>
      </c>
      <c r="N256">
        <v>23.594100000000001</v>
      </c>
      <c r="O256">
        <v>21.377600000000001</v>
      </c>
      <c r="P256">
        <v>27.945399999999999</v>
      </c>
      <c r="Q256">
        <v>33.694899999999997</v>
      </c>
      <c r="R256">
        <v>30.532699999999998</v>
      </c>
      <c r="V256" t="s">
        <v>167</v>
      </c>
      <c r="W256" t="s">
        <v>168</v>
      </c>
      <c r="Y256">
        <v>1</v>
      </c>
      <c r="Z256" t="s">
        <v>170</v>
      </c>
      <c r="AA256" t="s">
        <v>170</v>
      </c>
      <c r="AB256" t="s">
        <v>351</v>
      </c>
      <c r="AC256" t="s">
        <v>352</v>
      </c>
      <c r="AF256">
        <v>141</v>
      </c>
      <c r="AG256" t="s">
        <v>1735</v>
      </c>
      <c r="AH256" t="s">
        <v>1736</v>
      </c>
      <c r="AI256" t="s">
        <v>1742</v>
      </c>
      <c r="AJ256" t="s">
        <v>1743</v>
      </c>
      <c r="AK256" t="s">
        <v>170</v>
      </c>
      <c r="AL256" t="s">
        <v>177</v>
      </c>
      <c r="AQ256">
        <v>72</v>
      </c>
      <c r="AR256">
        <v>7</v>
      </c>
      <c r="AS256">
        <v>750</v>
      </c>
      <c r="AT256">
        <v>750</v>
      </c>
      <c r="BQ256">
        <v>2</v>
      </c>
      <c r="BR256" t="s">
        <v>321</v>
      </c>
      <c r="BS256" t="s">
        <v>180</v>
      </c>
      <c r="BT256" t="s">
        <v>1738</v>
      </c>
      <c r="BU256" s="1">
        <v>45560</v>
      </c>
      <c r="BV256">
        <v>35555</v>
      </c>
      <c r="BX256" t="s">
        <v>170</v>
      </c>
      <c r="BY256" t="s">
        <v>170</v>
      </c>
      <c r="CB256" t="s">
        <v>170</v>
      </c>
      <c r="CC256" t="s">
        <v>170</v>
      </c>
      <c r="CK256" t="s">
        <v>233</v>
      </c>
      <c r="CM256">
        <v>2</v>
      </c>
      <c r="CN256" t="s">
        <v>234</v>
      </c>
      <c r="CP256">
        <v>352</v>
      </c>
      <c r="CQ256">
        <v>120</v>
      </c>
      <c r="CR256">
        <v>143</v>
      </c>
      <c r="CS256" t="s">
        <v>235</v>
      </c>
      <c r="CV256" t="s">
        <v>341</v>
      </c>
      <c r="CX256" t="s">
        <v>729</v>
      </c>
      <c r="CY256" t="s">
        <v>170</v>
      </c>
      <c r="DD256">
        <v>1</v>
      </c>
      <c r="DE256" t="s">
        <v>663</v>
      </c>
      <c r="DG256">
        <v>87</v>
      </c>
      <c r="DL256" t="s">
        <v>170</v>
      </c>
      <c r="DM256" t="s">
        <v>169</v>
      </c>
      <c r="DP256" t="s">
        <v>170</v>
      </c>
      <c r="DQ256" t="s">
        <v>187</v>
      </c>
      <c r="EB256">
        <v>9</v>
      </c>
      <c r="EC256">
        <v>10</v>
      </c>
      <c r="EE256" t="s">
        <v>1900</v>
      </c>
      <c r="EF256">
        <v>10</v>
      </c>
      <c r="EU256">
        <v>5750</v>
      </c>
      <c r="EW256">
        <v>0</v>
      </c>
      <c r="EX256">
        <v>0</v>
      </c>
      <c r="EY256">
        <v>0</v>
      </c>
      <c r="FA256">
        <v>6.2</v>
      </c>
      <c r="FG256">
        <v>153</v>
      </c>
      <c r="FH256">
        <v>127</v>
      </c>
      <c r="FI256">
        <v>141</v>
      </c>
    </row>
    <row r="257" spans="1:165" x14ac:dyDescent="0.35">
      <c r="A257" s="25"/>
      <c r="B257" s="25"/>
      <c r="C257" s="25"/>
      <c r="D257" s="25"/>
      <c r="E257" s="25"/>
      <c r="F257" s="25" t="str">
        <f>_xlfn.CONCAT($A258," ",$B258," ",$D258)</f>
        <v>2025 Ford Motor Company F150 LIGHTNING 4WD ER1</v>
      </c>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t="str">
        <f>_xlfn.CONCAT($A258," ",$B258," ",$D258)</f>
        <v>2025 Ford Motor Company F150 LIGHTNING 4WD ER1</v>
      </c>
      <c r="AE257" s="25"/>
      <c r="AF257" s="25"/>
      <c r="AG257" s="25"/>
      <c r="AH257" s="25"/>
      <c r="AI257" s="25"/>
      <c r="AJ257" s="25"/>
      <c r="AK257" s="25"/>
      <c r="AL257" s="25"/>
      <c r="AM257" s="25"/>
      <c r="AN257" s="25"/>
      <c r="AO257" s="25"/>
      <c r="AP257" s="25"/>
      <c r="AQ257" s="25"/>
      <c r="AR257" s="25"/>
      <c r="AS257" s="25"/>
      <c r="AT257" s="25"/>
      <c r="AU257" s="25"/>
      <c r="AV257" s="25"/>
      <c r="AW257" s="25"/>
      <c r="AX257" s="25" t="str">
        <f>_xlfn.CONCAT($A258," ",$B258," ",$D258)</f>
        <v>2025 Ford Motor Company F150 LIGHTNING 4WD ER1</v>
      </c>
      <c r="AY257" s="25"/>
      <c r="AZ257" s="25"/>
      <c r="BA257" s="25"/>
      <c r="BB257" s="25"/>
      <c r="BC257" s="25"/>
      <c r="BD257" s="25"/>
      <c r="BE257" s="25"/>
      <c r="BF257" s="25"/>
      <c r="BG257" s="25"/>
      <c r="BH257" s="25"/>
      <c r="BI257" s="25"/>
      <c r="BJ257" s="25"/>
      <c r="BK257" s="25"/>
      <c r="BL257" s="25"/>
      <c r="BM257" s="25"/>
      <c r="BN257" s="25"/>
      <c r="BO257" s="25"/>
      <c r="BP257" s="25"/>
      <c r="BQ257" s="25"/>
      <c r="BR257" s="25" t="str">
        <f>_xlfn.CONCAT($A258," ",$B258," ",$D258)</f>
        <v>2025 Ford Motor Company F150 LIGHTNING 4WD ER1</v>
      </c>
      <c r="BS257" s="25"/>
      <c r="BT257" s="25"/>
      <c r="BU257" s="25"/>
      <c r="BV257" s="25"/>
      <c r="BX257" s="25"/>
      <c r="BY257" s="25"/>
      <c r="BZ257" s="25"/>
      <c r="CA257" s="25"/>
      <c r="CB257" s="25"/>
      <c r="CC257" s="25"/>
      <c r="CD257" s="25"/>
      <c r="CE257" s="25"/>
      <c r="CF257" s="25"/>
      <c r="CG257" s="25"/>
      <c r="CH257" s="25"/>
      <c r="CI257" s="25"/>
      <c r="CJ257" s="25"/>
      <c r="CK257" s="25"/>
      <c r="CL257" s="25"/>
      <c r="CM257" s="25"/>
      <c r="CN257" s="25"/>
      <c r="CO257" s="25"/>
      <c r="CP257" s="25" t="str">
        <f>_xlfn.CONCAT($A258," ",$B258," ",$D258)</f>
        <v>2025 Ford Motor Company F150 LIGHTNING 4WD ER1</v>
      </c>
      <c r="CQ257" s="25"/>
      <c r="CR257" s="25"/>
      <c r="CS257" s="25"/>
      <c r="CT257" s="25"/>
      <c r="CU257" s="25"/>
      <c r="CV257" s="25"/>
      <c r="CW257" s="25"/>
      <c r="CX257" s="25"/>
      <c r="CY257" s="25"/>
      <c r="CZ257" s="25"/>
      <c r="DA257" s="25"/>
      <c r="DB257" s="25"/>
      <c r="DC257" s="25"/>
      <c r="DD257" s="25"/>
      <c r="DE257" s="25"/>
      <c r="DF257" s="25"/>
      <c r="DG257" s="25"/>
      <c r="DH257" s="25"/>
      <c r="DI257" s="25" t="str">
        <f>_xlfn.CONCAT($A258," ",$B258," ",$D258)</f>
        <v>2025 Ford Motor Company F150 LIGHTNING 4WD ER1</v>
      </c>
      <c r="DJ257" s="25"/>
      <c r="DK257" s="25"/>
      <c r="DL257" s="25"/>
      <c r="DM257" s="25"/>
      <c r="DN257" s="25"/>
      <c r="DO257" s="25"/>
      <c r="DP257" s="25"/>
      <c r="DQ257" s="25"/>
      <c r="DR257" s="25"/>
      <c r="DS257" s="25"/>
      <c r="DT257" s="25"/>
      <c r="DU257" s="25"/>
      <c r="DV257" s="25"/>
      <c r="DW257" s="25"/>
      <c r="DX257" s="25"/>
      <c r="DY257" s="25"/>
      <c r="DZ257" s="25" t="str">
        <f>_xlfn.CONCAT($A258," ",$B258," ",$D258)</f>
        <v>2025 Ford Motor Company F150 LIGHTNING 4WD ER1</v>
      </c>
      <c r="EB257" s="25"/>
      <c r="EC257" s="25"/>
      <c r="ED257" s="25"/>
      <c r="EE257" s="25"/>
      <c r="EF257" s="25"/>
      <c r="EG257" s="25"/>
      <c r="EH257" s="25"/>
      <c r="EI257" s="25"/>
      <c r="EJ257" s="25"/>
      <c r="EK257" s="25"/>
      <c r="EL257" s="25"/>
      <c r="EM257" s="25"/>
      <c r="EN257" s="25"/>
      <c r="EO257" s="25"/>
      <c r="EP257" s="25"/>
      <c r="EQ257" s="25"/>
      <c r="ER257" s="25"/>
      <c r="ES257" s="25"/>
      <c r="ET257" s="25"/>
      <c r="EU257" s="25"/>
      <c r="EV257" s="25" t="str">
        <f>_xlfn.CONCAT($A258," ",$B258," ",$D258)</f>
        <v>2025 Ford Motor Company F150 LIGHTNING 4WD ER1</v>
      </c>
      <c r="EW257" s="25"/>
      <c r="EX257" s="25"/>
      <c r="EY257" s="25"/>
      <c r="EZ257" s="25"/>
      <c r="FA257" s="25"/>
      <c r="FB257" s="25"/>
      <c r="FC257" s="25"/>
      <c r="FD257" s="25"/>
      <c r="FE257" s="25"/>
      <c r="FF257" s="25"/>
      <c r="FG257" s="25"/>
    </row>
    <row r="258" spans="1:165" x14ac:dyDescent="0.35">
      <c r="A258">
        <v>2025</v>
      </c>
      <c r="B258" t="s">
        <v>439</v>
      </c>
      <c r="C258" t="s">
        <v>440</v>
      </c>
      <c r="D258" t="s">
        <v>1902</v>
      </c>
      <c r="E258" t="s">
        <v>442</v>
      </c>
      <c r="F258">
        <v>59</v>
      </c>
      <c r="G258">
        <v>0</v>
      </c>
      <c r="I258" t="s">
        <v>1734</v>
      </c>
      <c r="J258">
        <v>78</v>
      </c>
      <c r="K258">
        <v>63</v>
      </c>
      <c r="L258">
        <v>70</v>
      </c>
      <c r="M258">
        <v>111.2</v>
      </c>
      <c r="N258">
        <v>89.9</v>
      </c>
      <c r="O258">
        <v>100.4863</v>
      </c>
      <c r="P258">
        <v>77.84</v>
      </c>
      <c r="Q258">
        <v>62.93</v>
      </c>
      <c r="R258">
        <v>70.340400000000002</v>
      </c>
      <c r="V258" t="s">
        <v>167</v>
      </c>
      <c r="W258" t="s">
        <v>168</v>
      </c>
      <c r="Y258">
        <v>1</v>
      </c>
      <c r="Z258" t="s">
        <v>170</v>
      </c>
      <c r="AA258" t="s">
        <v>170</v>
      </c>
      <c r="AB258" t="s">
        <v>167</v>
      </c>
      <c r="AC258" t="s">
        <v>213</v>
      </c>
      <c r="AF258">
        <v>320</v>
      </c>
      <c r="AG258" t="s">
        <v>1735</v>
      </c>
      <c r="AH258" t="s">
        <v>1736</v>
      </c>
      <c r="AI258" t="s">
        <v>175</v>
      </c>
      <c r="AJ258" t="s">
        <v>176</v>
      </c>
      <c r="AK258" t="s">
        <v>940</v>
      </c>
      <c r="AL258" t="s">
        <v>941</v>
      </c>
      <c r="AS258">
        <v>1150</v>
      </c>
      <c r="AT258">
        <v>1150</v>
      </c>
      <c r="BQ258">
        <v>13</v>
      </c>
      <c r="BR258" t="s">
        <v>1016</v>
      </c>
      <c r="BT258" t="s">
        <v>1738</v>
      </c>
      <c r="BU258" s="1">
        <v>45610</v>
      </c>
      <c r="BV258">
        <v>35785</v>
      </c>
      <c r="BX258" t="s">
        <v>170</v>
      </c>
      <c r="BY258" t="s">
        <v>170</v>
      </c>
      <c r="CB258" t="s">
        <v>170</v>
      </c>
      <c r="CC258" t="s">
        <v>170</v>
      </c>
      <c r="CK258" t="s">
        <v>233</v>
      </c>
      <c r="CM258">
        <v>1</v>
      </c>
      <c r="CN258" t="s">
        <v>234</v>
      </c>
      <c r="CP258">
        <v>403</v>
      </c>
      <c r="CQ258">
        <v>410</v>
      </c>
      <c r="CR258">
        <v>210</v>
      </c>
      <c r="CS258" t="s">
        <v>1752</v>
      </c>
      <c r="CV258" t="s">
        <v>341</v>
      </c>
      <c r="CX258" t="s">
        <v>342</v>
      </c>
      <c r="CY258" t="s">
        <v>170</v>
      </c>
      <c r="DD258">
        <v>2</v>
      </c>
      <c r="DE258" t="s">
        <v>404</v>
      </c>
      <c r="DF258" t="s">
        <v>1903</v>
      </c>
      <c r="DG258" t="s">
        <v>1904</v>
      </c>
      <c r="DL258" t="s">
        <v>170</v>
      </c>
      <c r="DM258" t="s">
        <v>169</v>
      </c>
      <c r="DP258" t="s">
        <v>170</v>
      </c>
      <c r="DQ258" t="s">
        <v>187</v>
      </c>
      <c r="EB258">
        <v>9</v>
      </c>
      <c r="EC258">
        <v>9</v>
      </c>
      <c r="EE258" t="s">
        <v>1905</v>
      </c>
      <c r="EF258">
        <v>10</v>
      </c>
      <c r="EU258">
        <v>3750</v>
      </c>
      <c r="EW258">
        <v>0</v>
      </c>
      <c r="EX258">
        <v>0</v>
      </c>
      <c r="EY258">
        <v>0</v>
      </c>
      <c r="FA258">
        <v>14.6</v>
      </c>
      <c r="FG258">
        <v>350</v>
      </c>
      <c r="FH258">
        <v>283</v>
      </c>
      <c r="FI258">
        <v>320</v>
      </c>
    </row>
    <row r="259" spans="1:165" x14ac:dyDescent="0.35">
      <c r="A259">
        <v>2025</v>
      </c>
      <c r="B259" t="s">
        <v>439</v>
      </c>
      <c r="C259" t="s">
        <v>440</v>
      </c>
      <c r="D259" t="s">
        <v>1902</v>
      </c>
      <c r="E259" t="s">
        <v>442</v>
      </c>
      <c r="F259">
        <v>59</v>
      </c>
      <c r="G259">
        <v>0</v>
      </c>
      <c r="I259" t="s">
        <v>1734</v>
      </c>
      <c r="J259">
        <v>43</v>
      </c>
      <c r="K259">
        <v>54</v>
      </c>
      <c r="L259">
        <v>48</v>
      </c>
      <c r="M259">
        <v>30.3</v>
      </c>
      <c r="N259">
        <v>37.5</v>
      </c>
      <c r="O259">
        <v>33.54</v>
      </c>
      <c r="P259">
        <v>43.285699999999999</v>
      </c>
      <c r="Q259">
        <v>53.571399999999997</v>
      </c>
      <c r="R259">
        <v>47.914299999999997</v>
      </c>
      <c r="V259" t="s">
        <v>167</v>
      </c>
      <c r="W259" t="s">
        <v>168</v>
      </c>
      <c r="Y259">
        <v>1</v>
      </c>
      <c r="Z259" t="s">
        <v>170</v>
      </c>
      <c r="AA259" t="s">
        <v>170</v>
      </c>
      <c r="AB259" t="s">
        <v>167</v>
      </c>
      <c r="AC259" t="s">
        <v>213</v>
      </c>
      <c r="AF259">
        <v>320</v>
      </c>
      <c r="AG259" t="s">
        <v>1735</v>
      </c>
      <c r="AH259" t="s">
        <v>1736</v>
      </c>
      <c r="AI259" t="s">
        <v>1742</v>
      </c>
      <c r="AJ259" t="s">
        <v>1743</v>
      </c>
      <c r="AK259" t="s">
        <v>940</v>
      </c>
      <c r="AL259" t="s">
        <v>941</v>
      </c>
      <c r="AS259">
        <v>1150</v>
      </c>
      <c r="AT259">
        <v>1150</v>
      </c>
      <c r="BQ259">
        <v>13</v>
      </c>
      <c r="BR259" t="s">
        <v>1016</v>
      </c>
      <c r="BT259" t="s">
        <v>1738</v>
      </c>
      <c r="BU259" s="1">
        <v>45610</v>
      </c>
      <c r="BV259">
        <v>35785</v>
      </c>
      <c r="BX259" t="s">
        <v>170</v>
      </c>
      <c r="BY259" t="s">
        <v>170</v>
      </c>
      <c r="CB259" t="s">
        <v>170</v>
      </c>
      <c r="CC259" t="s">
        <v>170</v>
      </c>
      <c r="CK259" t="s">
        <v>233</v>
      </c>
      <c r="CM259">
        <v>1</v>
      </c>
      <c r="CN259" t="s">
        <v>234</v>
      </c>
      <c r="CP259">
        <v>403</v>
      </c>
      <c r="CQ259">
        <v>410</v>
      </c>
      <c r="CR259">
        <v>210</v>
      </c>
      <c r="CS259" t="s">
        <v>1752</v>
      </c>
      <c r="CV259" t="s">
        <v>341</v>
      </c>
      <c r="CX259" t="s">
        <v>342</v>
      </c>
      <c r="CY259" t="s">
        <v>170</v>
      </c>
      <c r="DD259">
        <v>2</v>
      </c>
      <c r="DE259" t="s">
        <v>404</v>
      </c>
      <c r="DF259" t="s">
        <v>1903</v>
      </c>
      <c r="DG259" t="s">
        <v>1904</v>
      </c>
      <c r="DL259" t="s">
        <v>170</v>
      </c>
      <c r="DM259" t="s">
        <v>169</v>
      </c>
      <c r="DP259" t="s">
        <v>170</v>
      </c>
      <c r="DQ259" t="s">
        <v>187</v>
      </c>
      <c r="EB259">
        <v>9</v>
      </c>
      <c r="EC259">
        <v>9</v>
      </c>
      <c r="EE259" t="s">
        <v>1905</v>
      </c>
      <c r="EF259">
        <v>10</v>
      </c>
      <c r="EU259">
        <v>3750</v>
      </c>
      <c r="EW259">
        <v>0</v>
      </c>
      <c r="EX259">
        <v>0</v>
      </c>
      <c r="EY259">
        <v>0</v>
      </c>
      <c r="FA259">
        <v>14.6</v>
      </c>
      <c r="FG259">
        <v>350</v>
      </c>
      <c r="FH259">
        <v>283</v>
      </c>
      <c r="FI259">
        <v>320</v>
      </c>
    </row>
    <row r="260" spans="1:165" x14ac:dyDescent="0.35">
      <c r="A260" s="25"/>
      <c r="B260" s="25"/>
      <c r="C260" s="25"/>
      <c r="D260" s="25"/>
      <c r="E260" s="25"/>
      <c r="F260" s="25" t="str">
        <f>_xlfn.CONCAT($A261," ",$B261," ",$D261)</f>
        <v>2025 Ford Motor Company F150 LIGHTNING 4WD PRO ER1</v>
      </c>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c r="AD260" s="25" t="str">
        <f>_xlfn.CONCAT($A261," ",$B261," ",$D261)</f>
        <v>2025 Ford Motor Company F150 LIGHTNING 4WD PRO ER1</v>
      </c>
      <c r="AE260" s="25"/>
      <c r="AF260" s="25"/>
      <c r="AG260" s="25"/>
      <c r="AH260" s="25"/>
      <c r="AI260" s="25"/>
      <c r="AJ260" s="25"/>
      <c r="AK260" s="25"/>
      <c r="AL260" s="25"/>
      <c r="AM260" s="25"/>
      <c r="AN260" s="25"/>
      <c r="AO260" s="25"/>
      <c r="AP260" s="25"/>
      <c r="AQ260" s="25"/>
      <c r="AR260" s="25"/>
      <c r="AS260" s="25"/>
      <c r="AT260" s="25"/>
      <c r="AU260" s="25"/>
      <c r="AV260" s="25"/>
      <c r="AW260" s="25"/>
      <c r="AX260" s="25" t="str">
        <f>_xlfn.CONCAT($A261," ",$B261," ",$D261)</f>
        <v>2025 Ford Motor Company F150 LIGHTNING 4WD PRO ER1</v>
      </c>
      <c r="AY260" s="25"/>
      <c r="AZ260" s="25"/>
      <c r="BA260" s="25"/>
      <c r="BB260" s="25"/>
      <c r="BC260" s="25"/>
      <c r="BD260" s="25"/>
      <c r="BE260" s="25"/>
      <c r="BF260" s="25"/>
      <c r="BG260" s="25"/>
      <c r="BH260" s="25"/>
      <c r="BI260" s="25"/>
      <c r="BJ260" s="25"/>
      <c r="BK260" s="25"/>
      <c r="BL260" s="25"/>
      <c r="BM260" s="25"/>
      <c r="BN260" s="25"/>
      <c r="BO260" s="25"/>
      <c r="BP260" s="25"/>
      <c r="BQ260" s="25"/>
      <c r="BR260" s="25" t="str">
        <f>_xlfn.CONCAT($A261," ",$B261," ",$D261)</f>
        <v>2025 Ford Motor Company F150 LIGHTNING 4WD PRO ER1</v>
      </c>
      <c r="BS260" s="25"/>
      <c r="BT260" s="25"/>
      <c r="BU260" s="25"/>
      <c r="BV260" s="25"/>
      <c r="BX260" s="25"/>
      <c r="BY260" s="25"/>
      <c r="BZ260" s="25"/>
      <c r="CA260" s="25"/>
      <c r="CB260" s="25"/>
      <c r="CC260" s="25"/>
      <c r="CD260" s="25"/>
      <c r="CE260" s="25"/>
      <c r="CF260" s="25"/>
      <c r="CG260" s="25"/>
      <c r="CH260" s="25"/>
      <c r="CI260" s="25"/>
      <c r="CJ260" s="25"/>
      <c r="CK260" s="25"/>
      <c r="CL260" s="25"/>
      <c r="CM260" s="25"/>
      <c r="CN260" s="25"/>
      <c r="CO260" s="25"/>
      <c r="CP260" s="25" t="str">
        <f>_xlfn.CONCAT($A261," ",$B261," ",$D261)</f>
        <v>2025 Ford Motor Company F150 LIGHTNING 4WD PRO ER1</v>
      </c>
      <c r="CQ260" s="25"/>
      <c r="CR260" s="25"/>
      <c r="CS260" s="25"/>
      <c r="CT260" s="25"/>
      <c r="CU260" s="25"/>
      <c r="CV260" s="25"/>
      <c r="CW260" s="25"/>
      <c r="CX260" s="25"/>
      <c r="CY260" s="25"/>
      <c r="CZ260" s="25"/>
      <c r="DA260" s="25"/>
      <c r="DB260" s="25"/>
      <c r="DC260" s="25"/>
      <c r="DD260" s="25"/>
      <c r="DE260" s="25"/>
      <c r="DF260" s="25"/>
      <c r="DG260" s="25"/>
      <c r="DH260" s="25"/>
      <c r="DI260" s="25" t="str">
        <f>_xlfn.CONCAT($A261," ",$B261," ",$D261)</f>
        <v>2025 Ford Motor Company F150 LIGHTNING 4WD PRO ER1</v>
      </c>
      <c r="DJ260" s="25"/>
      <c r="DK260" s="25"/>
      <c r="DL260" s="25"/>
      <c r="DM260" s="25"/>
      <c r="DN260" s="25"/>
      <c r="DO260" s="25"/>
      <c r="DP260" s="25"/>
      <c r="DQ260" s="25"/>
      <c r="DR260" s="25"/>
      <c r="DS260" s="25"/>
      <c r="DT260" s="25"/>
      <c r="DU260" s="25"/>
      <c r="DV260" s="25"/>
      <c r="DW260" s="25"/>
      <c r="DX260" s="25"/>
      <c r="DY260" s="25"/>
      <c r="DZ260" s="25" t="str">
        <f>_xlfn.CONCAT($A261," ",$B261," ",$D261)</f>
        <v>2025 Ford Motor Company F150 LIGHTNING 4WD PRO ER1</v>
      </c>
      <c r="EB260" s="25"/>
      <c r="EC260" s="25"/>
      <c r="ED260" s="25"/>
      <c r="EE260" s="25"/>
      <c r="EF260" s="25"/>
      <c r="EG260" s="25"/>
      <c r="EH260" s="25"/>
      <c r="EI260" s="25"/>
      <c r="EJ260" s="25"/>
      <c r="EK260" s="25"/>
      <c r="EL260" s="25"/>
      <c r="EM260" s="25"/>
      <c r="EN260" s="25"/>
      <c r="EO260" s="25"/>
      <c r="EP260" s="25"/>
      <c r="EQ260" s="25"/>
      <c r="ER260" s="25"/>
      <c r="ES260" s="25"/>
      <c r="ET260" s="25"/>
      <c r="EU260" s="25"/>
      <c r="EV260" s="25" t="str">
        <f>_xlfn.CONCAT($A261," ",$B261," ",$D261)</f>
        <v>2025 Ford Motor Company F150 LIGHTNING 4WD PRO ER1</v>
      </c>
      <c r="EW260" s="25"/>
      <c r="EX260" s="25"/>
      <c r="EY260" s="25"/>
      <c r="EZ260" s="25"/>
      <c r="FA260" s="25"/>
      <c r="FB260" s="25"/>
      <c r="FC260" s="25"/>
      <c r="FD260" s="25"/>
      <c r="FE260" s="25"/>
      <c r="FF260" s="25"/>
      <c r="FG260" s="25"/>
    </row>
    <row r="261" spans="1:165" x14ac:dyDescent="0.35">
      <c r="A261">
        <v>2025</v>
      </c>
      <c r="B261" t="s">
        <v>439</v>
      </c>
      <c r="C261" t="s">
        <v>440</v>
      </c>
      <c r="D261" t="s">
        <v>1909</v>
      </c>
      <c r="E261" t="s">
        <v>442</v>
      </c>
      <c r="F261">
        <v>60</v>
      </c>
      <c r="G261">
        <v>0</v>
      </c>
      <c r="I261" t="s">
        <v>1734</v>
      </c>
      <c r="J261">
        <v>78</v>
      </c>
      <c r="K261">
        <v>63</v>
      </c>
      <c r="L261">
        <v>70</v>
      </c>
      <c r="M261">
        <v>111.2</v>
      </c>
      <c r="N261">
        <v>89.9</v>
      </c>
      <c r="O261">
        <v>100.4863</v>
      </c>
      <c r="P261">
        <v>77.84</v>
      </c>
      <c r="Q261">
        <v>62.93</v>
      </c>
      <c r="R261">
        <v>70.340400000000002</v>
      </c>
      <c r="V261" t="s">
        <v>167</v>
      </c>
      <c r="W261" t="s">
        <v>168</v>
      </c>
      <c r="Y261">
        <v>1</v>
      </c>
      <c r="Z261" t="s">
        <v>170</v>
      </c>
      <c r="AA261" t="s">
        <v>170</v>
      </c>
      <c r="AB261" t="s">
        <v>167</v>
      </c>
      <c r="AC261" t="s">
        <v>213</v>
      </c>
      <c r="AF261">
        <v>320</v>
      </c>
      <c r="AG261" t="s">
        <v>1735</v>
      </c>
      <c r="AH261" t="s">
        <v>1736</v>
      </c>
      <c r="AI261" t="s">
        <v>175</v>
      </c>
      <c r="AJ261" t="s">
        <v>176</v>
      </c>
      <c r="AK261" t="s">
        <v>940</v>
      </c>
      <c r="AL261" t="s">
        <v>941</v>
      </c>
      <c r="AS261">
        <v>1150</v>
      </c>
      <c r="AT261">
        <v>1150</v>
      </c>
      <c r="BQ261">
        <v>13</v>
      </c>
      <c r="BR261" t="s">
        <v>1016</v>
      </c>
      <c r="BT261" t="s">
        <v>1738</v>
      </c>
      <c r="BU261" s="1">
        <v>45610</v>
      </c>
      <c r="BV261">
        <v>35787</v>
      </c>
      <c r="BX261" t="s">
        <v>170</v>
      </c>
      <c r="BY261" t="s">
        <v>170</v>
      </c>
      <c r="CB261" t="s">
        <v>170</v>
      </c>
      <c r="CC261" t="s">
        <v>170</v>
      </c>
      <c r="CK261" t="s">
        <v>233</v>
      </c>
      <c r="CM261">
        <v>1</v>
      </c>
      <c r="CN261" t="s">
        <v>234</v>
      </c>
      <c r="CP261">
        <v>403</v>
      </c>
      <c r="CQ261">
        <v>410</v>
      </c>
      <c r="CR261">
        <v>210</v>
      </c>
      <c r="CS261" t="s">
        <v>1752</v>
      </c>
      <c r="CV261" t="s">
        <v>341</v>
      </c>
      <c r="CX261" t="s">
        <v>342</v>
      </c>
      <c r="CY261" t="s">
        <v>170</v>
      </c>
      <c r="DD261">
        <v>2</v>
      </c>
      <c r="DE261" t="s">
        <v>404</v>
      </c>
      <c r="DF261" t="s">
        <v>1903</v>
      </c>
      <c r="DG261" t="s">
        <v>1904</v>
      </c>
      <c r="DL261" t="s">
        <v>170</v>
      </c>
      <c r="DM261" t="s">
        <v>169</v>
      </c>
      <c r="DP261" t="s">
        <v>170</v>
      </c>
      <c r="DQ261" t="s">
        <v>187</v>
      </c>
      <c r="EB261">
        <v>9</v>
      </c>
      <c r="EC261">
        <v>9</v>
      </c>
      <c r="EE261" t="s">
        <v>1905</v>
      </c>
      <c r="EF261">
        <v>10</v>
      </c>
      <c r="EU261">
        <v>3750</v>
      </c>
      <c r="EW261">
        <v>0</v>
      </c>
      <c r="EX261">
        <v>0</v>
      </c>
      <c r="EY261">
        <v>0</v>
      </c>
      <c r="FA261">
        <v>10.1</v>
      </c>
      <c r="FG261">
        <v>350</v>
      </c>
      <c r="FH261">
        <v>283</v>
      </c>
      <c r="FI261">
        <v>320</v>
      </c>
    </row>
    <row r="262" spans="1:165" x14ac:dyDescent="0.35">
      <c r="A262">
        <v>2025</v>
      </c>
      <c r="B262" t="s">
        <v>439</v>
      </c>
      <c r="C262" t="s">
        <v>440</v>
      </c>
      <c r="D262" t="s">
        <v>1909</v>
      </c>
      <c r="E262" t="s">
        <v>442</v>
      </c>
      <c r="F262">
        <v>60</v>
      </c>
      <c r="G262">
        <v>0</v>
      </c>
      <c r="I262" t="s">
        <v>1734</v>
      </c>
      <c r="J262">
        <v>43</v>
      </c>
      <c r="K262">
        <v>54</v>
      </c>
      <c r="L262">
        <v>48</v>
      </c>
      <c r="M262">
        <v>30.3</v>
      </c>
      <c r="N262">
        <v>37.5</v>
      </c>
      <c r="O262">
        <v>33.54</v>
      </c>
      <c r="P262">
        <v>43.285699999999999</v>
      </c>
      <c r="Q262">
        <v>53.571399999999997</v>
      </c>
      <c r="R262">
        <v>47.914299999999997</v>
      </c>
      <c r="V262" t="s">
        <v>167</v>
      </c>
      <c r="W262" t="s">
        <v>168</v>
      </c>
      <c r="Y262">
        <v>1</v>
      </c>
      <c r="Z262" t="s">
        <v>170</v>
      </c>
      <c r="AA262" t="s">
        <v>170</v>
      </c>
      <c r="AB262" t="s">
        <v>167</v>
      </c>
      <c r="AC262" t="s">
        <v>213</v>
      </c>
      <c r="AF262">
        <v>320</v>
      </c>
      <c r="AG262" t="s">
        <v>1735</v>
      </c>
      <c r="AH262" t="s">
        <v>1736</v>
      </c>
      <c r="AI262" t="s">
        <v>1742</v>
      </c>
      <c r="AJ262" t="s">
        <v>1743</v>
      </c>
      <c r="AK262" t="s">
        <v>940</v>
      </c>
      <c r="AL262" t="s">
        <v>941</v>
      </c>
      <c r="AS262">
        <v>1150</v>
      </c>
      <c r="AT262">
        <v>1150</v>
      </c>
      <c r="BQ262">
        <v>13</v>
      </c>
      <c r="BR262" t="s">
        <v>1016</v>
      </c>
      <c r="BT262" t="s">
        <v>1738</v>
      </c>
      <c r="BU262" s="1">
        <v>45610</v>
      </c>
      <c r="BV262">
        <v>35787</v>
      </c>
      <c r="BX262" t="s">
        <v>170</v>
      </c>
      <c r="BY262" t="s">
        <v>170</v>
      </c>
      <c r="CB262" t="s">
        <v>170</v>
      </c>
      <c r="CC262" t="s">
        <v>170</v>
      </c>
      <c r="CK262" t="s">
        <v>233</v>
      </c>
      <c r="CM262">
        <v>1</v>
      </c>
      <c r="CN262" t="s">
        <v>234</v>
      </c>
      <c r="CP262">
        <v>403</v>
      </c>
      <c r="CQ262">
        <v>410</v>
      </c>
      <c r="CR262">
        <v>210</v>
      </c>
      <c r="CS262" t="s">
        <v>1752</v>
      </c>
      <c r="CV262" t="s">
        <v>341</v>
      </c>
      <c r="CX262" t="s">
        <v>342</v>
      </c>
      <c r="CY262" t="s">
        <v>170</v>
      </c>
      <c r="DD262">
        <v>2</v>
      </c>
      <c r="DE262" t="s">
        <v>404</v>
      </c>
      <c r="DF262" t="s">
        <v>1903</v>
      </c>
      <c r="DG262" t="s">
        <v>1904</v>
      </c>
      <c r="DL262" t="s">
        <v>170</v>
      </c>
      <c r="DM262" t="s">
        <v>169</v>
      </c>
      <c r="DP262" t="s">
        <v>170</v>
      </c>
      <c r="DQ262" t="s">
        <v>187</v>
      </c>
      <c r="EB262">
        <v>9</v>
      </c>
      <c r="EC262">
        <v>9</v>
      </c>
      <c r="EE262" t="s">
        <v>1905</v>
      </c>
      <c r="EF262">
        <v>10</v>
      </c>
      <c r="EU262">
        <v>3750</v>
      </c>
      <c r="EW262">
        <v>0</v>
      </c>
      <c r="EX262">
        <v>0</v>
      </c>
      <c r="EY262">
        <v>0</v>
      </c>
      <c r="FA262">
        <v>10.1</v>
      </c>
      <c r="FG262">
        <v>350</v>
      </c>
      <c r="FH262">
        <v>283</v>
      </c>
      <c r="FI262">
        <v>320</v>
      </c>
    </row>
    <row r="263" spans="1:165" x14ac:dyDescent="0.35">
      <c r="A263" s="25"/>
      <c r="B263" s="25"/>
      <c r="C263" s="25"/>
      <c r="D263" s="25"/>
      <c r="E263" s="25"/>
      <c r="F263" s="25" t="str">
        <f>_xlfn.CONCAT($A264," ",$B264," ",$D264)</f>
        <v>2025 Ford Motor Company F150 LIGHTNING PLATINUM 4WD</v>
      </c>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t="str">
        <f>_xlfn.CONCAT($A264," ",$B264," ",$D264)</f>
        <v>2025 Ford Motor Company F150 LIGHTNING PLATINUM 4WD</v>
      </c>
      <c r="AE263" s="25"/>
      <c r="AF263" s="25"/>
      <c r="AG263" s="25"/>
      <c r="AH263" s="25"/>
      <c r="AI263" s="25"/>
      <c r="AJ263" s="25"/>
      <c r="AK263" s="25"/>
      <c r="AL263" s="25"/>
      <c r="AM263" s="25"/>
      <c r="AN263" s="25"/>
      <c r="AO263" s="25"/>
      <c r="AP263" s="25"/>
      <c r="AQ263" s="25"/>
      <c r="AR263" s="25"/>
      <c r="AS263" s="25"/>
      <c r="AT263" s="25"/>
      <c r="AU263" s="25"/>
      <c r="AV263" s="25"/>
      <c r="AW263" s="25"/>
      <c r="AX263" s="25" t="str">
        <f>_xlfn.CONCAT($A264," ",$B264," ",$D264)</f>
        <v>2025 Ford Motor Company F150 LIGHTNING PLATINUM 4WD</v>
      </c>
      <c r="AY263" s="25"/>
      <c r="AZ263" s="25"/>
      <c r="BA263" s="25"/>
      <c r="BB263" s="25"/>
      <c r="BC263" s="25"/>
      <c r="BD263" s="25"/>
      <c r="BE263" s="25"/>
      <c r="BF263" s="25"/>
      <c r="BG263" s="25"/>
      <c r="BH263" s="25"/>
      <c r="BI263" s="25"/>
      <c r="BJ263" s="25"/>
      <c r="BK263" s="25"/>
      <c r="BL263" s="25"/>
      <c r="BM263" s="25"/>
      <c r="BN263" s="25"/>
      <c r="BO263" s="25"/>
      <c r="BP263" s="25"/>
      <c r="BQ263" s="25"/>
      <c r="BR263" s="25" t="str">
        <f>_xlfn.CONCAT($A264," ",$B264," ",$D264)</f>
        <v>2025 Ford Motor Company F150 LIGHTNING PLATINUM 4WD</v>
      </c>
      <c r="BS263" s="25"/>
      <c r="BT263" s="25"/>
      <c r="BU263" s="25"/>
      <c r="BV263" s="25"/>
      <c r="BX263" s="25"/>
      <c r="BY263" s="25"/>
      <c r="BZ263" s="25"/>
      <c r="CA263" s="25"/>
      <c r="CB263" s="25"/>
      <c r="CC263" s="25"/>
      <c r="CD263" s="25"/>
      <c r="CE263" s="25"/>
      <c r="CF263" s="25"/>
      <c r="CG263" s="25"/>
      <c r="CH263" s="25"/>
      <c r="CI263" s="25"/>
      <c r="CJ263" s="25"/>
      <c r="CK263" s="25"/>
      <c r="CL263" s="25"/>
      <c r="CM263" s="25"/>
      <c r="CN263" s="25"/>
      <c r="CO263" s="25"/>
      <c r="CP263" s="25" t="str">
        <f>_xlfn.CONCAT($A264," ",$B264," ",$D264)</f>
        <v>2025 Ford Motor Company F150 LIGHTNING PLATINUM 4WD</v>
      </c>
      <c r="CQ263" s="25"/>
      <c r="CR263" s="25"/>
      <c r="CS263" s="25"/>
      <c r="CT263" s="25"/>
      <c r="CU263" s="25"/>
      <c r="CV263" s="25"/>
      <c r="CW263" s="25"/>
      <c r="CX263" s="25"/>
      <c r="CY263" s="25"/>
      <c r="CZ263" s="25"/>
      <c r="DA263" s="25"/>
      <c r="DB263" s="25"/>
      <c r="DC263" s="25"/>
      <c r="DD263" s="25"/>
      <c r="DE263" s="25"/>
      <c r="DF263" s="25"/>
      <c r="DG263" s="25"/>
      <c r="DH263" s="25"/>
      <c r="DI263" s="25" t="str">
        <f>_xlfn.CONCAT($A264," ",$B264," ",$D264)</f>
        <v>2025 Ford Motor Company F150 LIGHTNING PLATINUM 4WD</v>
      </c>
      <c r="DJ263" s="25"/>
      <c r="DK263" s="25"/>
      <c r="DL263" s="25"/>
      <c r="DM263" s="25"/>
      <c r="DN263" s="25"/>
      <c r="DO263" s="25"/>
      <c r="DP263" s="25"/>
      <c r="DQ263" s="25"/>
      <c r="DR263" s="25"/>
      <c r="DS263" s="25"/>
      <c r="DT263" s="25"/>
      <c r="DU263" s="25"/>
      <c r="DV263" s="25"/>
      <c r="DW263" s="25"/>
      <c r="DX263" s="25"/>
      <c r="DY263" s="25"/>
      <c r="DZ263" s="25" t="str">
        <f>_xlfn.CONCAT($A264," ",$B264," ",$D264)</f>
        <v>2025 Ford Motor Company F150 LIGHTNING PLATINUM 4WD</v>
      </c>
      <c r="EB263" s="25"/>
      <c r="EC263" s="25"/>
      <c r="ED263" s="25"/>
      <c r="EE263" s="25"/>
      <c r="EF263" s="25"/>
      <c r="EG263" s="25"/>
      <c r="EH263" s="25"/>
      <c r="EI263" s="25"/>
      <c r="EJ263" s="25"/>
      <c r="EK263" s="25"/>
      <c r="EL263" s="25"/>
      <c r="EM263" s="25"/>
      <c r="EN263" s="25"/>
      <c r="EO263" s="25"/>
      <c r="EP263" s="25"/>
      <c r="EQ263" s="25"/>
      <c r="ER263" s="25"/>
      <c r="ES263" s="25"/>
      <c r="ET263" s="25"/>
      <c r="EU263" s="25"/>
      <c r="EV263" s="25" t="str">
        <f>_xlfn.CONCAT($A264," ",$B264," ",$D264)</f>
        <v>2025 Ford Motor Company F150 LIGHTNING PLATINUM 4WD</v>
      </c>
      <c r="EW263" s="25"/>
      <c r="EX263" s="25"/>
      <c r="EY263" s="25"/>
      <c r="EZ263" s="25"/>
      <c r="FA263" s="25"/>
      <c r="FB263" s="25"/>
      <c r="FC263" s="25"/>
      <c r="FD263" s="25"/>
      <c r="FE263" s="25"/>
      <c r="FF263" s="25"/>
      <c r="FG263" s="25"/>
    </row>
    <row r="264" spans="1:165" x14ac:dyDescent="0.35">
      <c r="A264">
        <v>2025</v>
      </c>
      <c r="B264" t="s">
        <v>439</v>
      </c>
      <c r="C264" t="s">
        <v>440</v>
      </c>
      <c r="D264" t="s">
        <v>1914</v>
      </c>
      <c r="E264" t="s">
        <v>442</v>
      </c>
      <c r="F264">
        <v>67</v>
      </c>
      <c r="G264">
        <v>0</v>
      </c>
      <c r="I264" t="s">
        <v>1734</v>
      </c>
      <c r="J264">
        <v>73</v>
      </c>
      <c r="K264">
        <v>60</v>
      </c>
      <c r="L264">
        <v>66</v>
      </c>
      <c r="M264">
        <v>104.3</v>
      </c>
      <c r="N264">
        <v>85.5</v>
      </c>
      <c r="O264">
        <v>94.909000000000006</v>
      </c>
      <c r="P264">
        <v>73.010000000000005</v>
      </c>
      <c r="Q264">
        <v>59.85</v>
      </c>
      <c r="R264">
        <v>66.436300000000003</v>
      </c>
      <c r="V264" t="s">
        <v>167</v>
      </c>
      <c r="W264" t="s">
        <v>168</v>
      </c>
      <c r="Y264">
        <v>1</v>
      </c>
      <c r="Z264" t="s">
        <v>170</v>
      </c>
      <c r="AA264" t="s">
        <v>170</v>
      </c>
      <c r="AB264" t="s">
        <v>167</v>
      </c>
      <c r="AC264" t="s">
        <v>213</v>
      </c>
      <c r="AF264">
        <v>300</v>
      </c>
      <c r="AG264" t="s">
        <v>1735</v>
      </c>
      <c r="AH264" t="s">
        <v>1736</v>
      </c>
      <c r="AI264" t="s">
        <v>175</v>
      </c>
      <c r="AJ264" t="s">
        <v>176</v>
      </c>
      <c r="AK264" t="s">
        <v>940</v>
      </c>
      <c r="AL264" t="s">
        <v>941</v>
      </c>
      <c r="AS264">
        <v>1200</v>
      </c>
      <c r="AT264">
        <v>1200</v>
      </c>
      <c r="BQ264">
        <v>13</v>
      </c>
      <c r="BR264" t="s">
        <v>1016</v>
      </c>
      <c r="BT264" t="s">
        <v>1738</v>
      </c>
      <c r="BU264" s="1">
        <v>45610</v>
      </c>
      <c r="BV264">
        <v>35786</v>
      </c>
      <c r="BX264" t="s">
        <v>169</v>
      </c>
      <c r="BY264" t="s">
        <v>170</v>
      </c>
      <c r="CB264" t="s">
        <v>170</v>
      </c>
      <c r="CC264" t="s">
        <v>170</v>
      </c>
      <c r="CK264" t="s">
        <v>233</v>
      </c>
      <c r="CM264">
        <v>1</v>
      </c>
      <c r="CN264" t="s">
        <v>234</v>
      </c>
      <c r="CP264">
        <v>403</v>
      </c>
      <c r="CQ264">
        <v>410</v>
      </c>
      <c r="CR264">
        <v>210</v>
      </c>
      <c r="CS264" t="s">
        <v>1752</v>
      </c>
      <c r="CV264" t="s">
        <v>341</v>
      </c>
      <c r="CX264" t="s">
        <v>342</v>
      </c>
      <c r="CY264" t="s">
        <v>170</v>
      </c>
      <c r="DD264">
        <v>2</v>
      </c>
      <c r="DE264" t="s">
        <v>404</v>
      </c>
      <c r="DF264" t="s">
        <v>1903</v>
      </c>
      <c r="DG264" t="s">
        <v>1904</v>
      </c>
      <c r="DL264" t="s">
        <v>170</v>
      </c>
      <c r="DM264" t="s">
        <v>169</v>
      </c>
      <c r="DP264" t="s">
        <v>170</v>
      </c>
      <c r="DQ264" t="s">
        <v>187</v>
      </c>
      <c r="EB264">
        <v>9</v>
      </c>
      <c r="EC264">
        <v>9</v>
      </c>
      <c r="EE264" t="s">
        <v>1905</v>
      </c>
      <c r="EF264">
        <v>10</v>
      </c>
      <c r="EU264">
        <v>3500</v>
      </c>
      <c r="EW264">
        <v>0</v>
      </c>
      <c r="EX264">
        <v>0</v>
      </c>
      <c r="EY264">
        <v>0</v>
      </c>
      <c r="FA264">
        <v>14.6</v>
      </c>
      <c r="FG264">
        <v>326</v>
      </c>
      <c r="FH264">
        <v>268</v>
      </c>
      <c r="FI264">
        <v>300</v>
      </c>
    </row>
    <row r="265" spans="1:165" x14ac:dyDescent="0.35">
      <c r="A265">
        <v>2025</v>
      </c>
      <c r="B265" t="s">
        <v>439</v>
      </c>
      <c r="C265" t="s">
        <v>440</v>
      </c>
      <c r="D265" t="s">
        <v>1914</v>
      </c>
      <c r="E265" t="s">
        <v>442</v>
      </c>
      <c r="F265">
        <v>67</v>
      </c>
      <c r="G265">
        <v>0</v>
      </c>
      <c r="I265" t="s">
        <v>1734</v>
      </c>
      <c r="J265">
        <v>46</v>
      </c>
      <c r="K265">
        <v>56</v>
      </c>
      <c r="L265">
        <v>51</v>
      </c>
      <c r="M265">
        <v>32.299999999999997</v>
      </c>
      <c r="N265">
        <v>39.4</v>
      </c>
      <c r="O265">
        <v>35.494999999999997</v>
      </c>
      <c r="P265">
        <v>46.142899999999997</v>
      </c>
      <c r="Q265">
        <v>56.285699999999999</v>
      </c>
      <c r="R265">
        <v>50.707099999999997</v>
      </c>
      <c r="V265" t="s">
        <v>167</v>
      </c>
      <c r="W265" t="s">
        <v>168</v>
      </c>
      <c r="Y265">
        <v>1</v>
      </c>
      <c r="Z265" t="s">
        <v>170</v>
      </c>
      <c r="AA265" t="s">
        <v>170</v>
      </c>
      <c r="AB265" t="s">
        <v>167</v>
      </c>
      <c r="AC265" t="s">
        <v>213</v>
      </c>
      <c r="AF265">
        <v>300</v>
      </c>
      <c r="AG265" t="s">
        <v>1735</v>
      </c>
      <c r="AH265" t="s">
        <v>1736</v>
      </c>
      <c r="AI265" t="s">
        <v>1742</v>
      </c>
      <c r="AJ265" t="s">
        <v>1743</v>
      </c>
      <c r="AK265" t="s">
        <v>940</v>
      </c>
      <c r="AL265" t="s">
        <v>941</v>
      </c>
      <c r="AS265">
        <v>1200</v>
      </c>
      <c r="AT265">
        <v>1200</v>
      </c>
      <c r="BQ265">
        <v>13</v>
      </c>
      <c r="BR265" t="s">
        <v>1016</v>
      </c>
      <c r="BT265" t="s">
        <v>1738</v>
      </c>
      <c r="BU265" s="1">
        <v>45610</v>
      </c>
      <c r="BV265">
        <v>35786</v>
      </c>
      <c r="BX265" t="s">
        <v>169</v>
      </c>
      <c r="BY265" t="s">
        <v>170</v>
      </c>
      <c r="CB265" t="s">
        <v>170</v>
      </c>
      <c r="CC265" t="s">
        <v>170</v>
      </c>
      <c r="CK265" t="s">
        <v>233</v>
      </c>
      <c r="CM265">
        <v>1</v>
      </c>
      <c r="CN265" t="s">
        <v>234</v>
      </c>
      <c r="CP265">
        <v>403</v>
      </c>
      <c r="CQ265">
        <v>410</v>
      </c>
      <c r="CR265">
        <v>210</v>
      </c>
      <c r="CS265" t="s">
        <v>1752</v>
      </c>
      <c r="CV265" t="s">
        <v>341</v>
      </c>
      <c r="CX265" t="s">
        <v>342</v>
      </c>
      <c r="CY265" t="s">
        <v>170</v>
      </c>
      <c r="DD265">
        <v>2</v>
      </c>
      <c r="DE265" t="s">
        <v>404</v>
      </c>
      <c r="DF265" t="s">
        <v>1903</v>
      </c>
      <c r="DG265" t="s">
        <v>1904</v>
      </c>
      <c r="DL265" t="s">
        <v>170</v>
      </c>
      <c r="DM265" t="s">
        <v>169</v>
      </c>
      <c r="DP265" t="s">
        <v>170</v>
      </c>
      <c r="DQ265" t="s">
        <v>187</v>
      </c>
      <c r="EB265">
        <v>9</v>
      </c>
      <c r="EC265">
        <v>9</v>
      </c>
      <c r="EE265" t="s">
        <v>1905</v>
      </c>
      <c r="EF265">
        <v>10</v>
      </c>
      <c r="EU265">
        <v>3500</v>
      </c>
      <c r="EW265">
        <v>0</v>
      </c>
      <c r="EX265">
        <v>0</v>
      </c>
      <c r="EY265">
        <v>0</v>
      </c>
      <c r="FA265">
        <v>14.6</v>
      </c>
      <c r="FG265">
        <v>326</v>
      </c>
      <c r="FH265">
        <v>268</v>
      </c>
      <c r="FI265">
        <v>300</v>
      </c>
    </row>
    <row r="266" spans="1:165" x14ac:dyDescent="0.35">
      <c r="A266" s="25"/>
      <c r="B266" s="25"/>
      <c r="C266" s="25"/>
      <c r="D266" s="25"/>
      <c r="E266" s="25"/>
      <c r="F266" s="25" t="str">
        <f>_xlfn.CONCAT($A267," ",$B267," ",$D267)</f>
        <v>2025 Ford Motor Company F150 LIGHTNING 4WD SR</v>
      </c>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c r="AD266" s="25" t="str">
        <f>_xlfn.CONCAT($A267," ",$B267," ",$D267)</f>
        <v>2025 Ford Motor Company F150 LIGHTNING 4WD SR</v>
      </c>
      <c r="AE266" s="25"/>
      <c r="AF266" s="25"/>
      <c r="AG266" s="25"/>
      <c r="AH266" s="25"/>
      <c r="AI266" s="25"/>
      <c r="AJ266" s="25"/>
      <c r="AK266" s="25"/>
      <c r="AL266" s="25"/>
      <c r="AM266" s="25"/>
      <c r="AN266" s="25"/>
      <c r="AO266" s="25"/>
      <c r="AP266" s="25"/>
      <c r="AQ266" s="25"/>
      <c r="AR266" s="25"/>
      <c r="AS266" s="25"/>
      <c r="AT266" s="25"/>
      <c r="AU266" s="25"/>
      <c r="AV266" s="25"/>
      <c r="AW266" s="25"/>
      <c r="AX266" s="25" t="str">
        <f>_xlfn.CONCAT($A267," ",$B267," ",$D267)</f>
        <v>2025 Ford Motor Company F150 LIGHTNING 4WD SR</v>
      </c>
      <c r="AY266" s="25"/>
      <c r="AZ266" s="25"/>
      <c r="BA266" s="25"/>
      <c r="BB266" s="25"/>
      <c r="BC266" s="25"/>
      <c r="BD266" s="25"/>
      <c r="BE266" s="25"/>
      <c r="BF266" s="25"/>
      <c r="BG266" s="25"/>
      <c r="BH266" s="25"/>
      <c r="BI266" s="25"/>
      <c r="BJ266" s="25"/>
      <c r="BK266" s="25"/>
      <c r="BL266" s="25"/>
      <c r="BM266" s="25"/>
      <c r="BN266" s="25"/>
      <c r="BO266" s="25"/>
      <c r="BP266" s="25"/>
      <c r="BQ266" s="25"/>
      <c r="BR266" s="25" t="str">
        <f>_xlfn.CONCAT($A267," ",$B267," ",$D267)</f>
        <v>2025 Ford Motor Company F150 LIGHTNING 4WD SR</v>
      </c>
      <c r="BS266" s="25"/>
      <c r="BT266" s="25"/>
      <c r="BU266" s="25"/>
      <c r="BV266" s="25"/>
      <c r="BX266" s="25"/>
      <c r="BY266" s="25"/>
      <c r="BZ266" s="25"/>
      <c r="CA266" s="25"/>
      <c r="CB266" s="25"/>
      <c r="CC266" s="25"/>
      <c r="CD266" s="25"/>
      <c r="CE266" s="25"/>
      <c r="CF266" s="25"/>
      <c r="CG266" s="25"/>
      <c r="CH266" s="25"/>
      <c r="CI266" s="25"/>
      <c r="CJ266" s="25"/>
      <c r="CK266" s="25"/>
      <c r="CL266" s="25"/>
      <c r="CM266" s="25"/>
      <c r="CN266" s="25"/>
      <c r="CO266" s="25"/>
      <c r="CP266" s="25" t="str">
        <f>_xlfn.CONCAT($A267," ",$B267," ",$D267)</f>
        <v>2025 Ford Motor Company F150 LIGHTNING 4WD SR</v>
      </c>
      <c r="CQ266" s="25"/>
      <c r="CR266" s="25"/>
      <c r="CS266" s="25"/>
      <c r="CT266" s="25"/>
      <c r="CU266" s="25"/>
      <c r="CV266" s="25"/>
      <c r="CW266" s="25"/>
      <c r="CX266" s="25"/>
      <c r="CY266" s="25"/>
      <c r="CZ266" s="25"/>
      <c r="DA266" s="25"/>
      <c r="DB266" s="25"/>
      <c r="DC266" s="25"/>
      <c r="DD266" s="25"/>
      <c r="DE266" s="25"/>
      <c r="DF266" s="25"/>
      <c r="DG266" s="25"/>
      <c r="DH266" s="25"/>
      <c r="DI266" s="25" t="str">
        <f>_xlfn.CONCAT($A267," ",$B267," ",$D267)</f>
        <v>2025 Ford Motor Company F150 LIGHTNING 4WD SR</v>
      </c>
      <c r="DJ266" s="25"/>
      <c r="DK266" s="25"/>
      <c r="DL266" s="25"/>
      <c r="DM266" s="25"/>
      <c r="DN266" s="25"/>
      <c r="DO266" s="25"/>
      <c r="DP266" s="25"/>
      <c r="DQ266" s="25"/>
      <c r="DR266" s="25"/>
      <c r="DS266" s="25"/>
      <c r="DT266" s="25"/>
      <c r="DU266" s="25"/>
      <c r="DV266" s="25"/>
      <c r="DW266" s="25"/>
      <c r="DX266" s="25"/>
      <c r="DY266" s="25"/>
      <c r="DZ266" s="25" t="str">
        <f>_xlfn.CONCAT($A267," ",$B267," ",$D267)</f>
        <v>2025 Ford Motor Company F150 LIGHTNING 4WD SR</v>
      </c>
      <c r="EB266" s="25"/>
      <c r="EC266" s="25"/>
      <c r="ED266" s="25"/>
      <c r="EE266" s="25"/>
      <c r="EF266" s="25"/>
      <c r="EG266" s="25"/>
      <c r="EH266" s="25"/>
      <c r="EI266" s="25"/>
      <c r="EJ266" s="25"/>
      <c r="EK266" s="25"/>
      <c r="EL266" s="25"/>
      <c r="EM266" s="25"/>
      <c r="EN266" s="25"/>
      <c r="EO266" s="25"/>
      <c r="EP266" s="25"/>
      <c r="EQ266" s="25"/>
      <c r="ER266" s="25"/>
      <c r="ES266" s="25"/>
      <c r="ET266" s="25"/>
      <c r="EU266" s="25"/>
      <c r="EV266" s="25" t="str">
        <f>_xlfn.CONCAT($A267," ",$B267," ",$D267)</f>
        <v>2025 Ford Motor Company F150 LIGHTNING 4WD SR</v>
      </c>
      <c r="EW266" s="25"/>
      <c r="EX266" s="25"/>
      <c r="EY266" s="25"/>
      <c r="EZ266" s="25"/>
      <c r="FA266" s="25"/>
      <c r="FB266" s="25"/>
      <c r="FC266" s="25"/>
      <c r="FD266" s="25"/>
      <c r="FE266" s="25"/>
      <c r="FF266" s="25"/>
      <c r="FG266" s="25"/>
    </row>
    <row r="267" spans="1:165" x14ac:dyDescent="0.35">
      <c r="A267">
        <v>2025</v>
      </c>
      <c r="B267" t="s">
        <v>439</v>
      </c>
      <c r="C267" t="s">
        <v>440</v>
      </c>
      <c r="D267" t="s">
        <v>1910</v>
      </c>
      <c r="E267" t="s">
        <v>442</v>
      </c>
      <c r="F267">
        <v>69</v>
      </c>
      <c r="G267">
        <v>0</v>
      </c>
      <c r="I267" t="s">
        <v>1734</v>
      </c>
      <c r="J267">
        <v>76</v>
      </c>
      <c r="K267">
        <v>61</v>
      </c>
      <c r="L267">
        <v>68</v>
      </c>
      <c r="M267">
        <v>108.9</v>
      </c>
      <c r="N267">
        <v>86.7</v>
      </c>
      <c r="O267">
        <v>97.648499999999999</v>
      </c>
      <c r="P267">
        <v>76.23</v>
      </c>
      <c r="Q267">
        <v>60.69</v>
      </c>
      <c r="R267">
        <v>68.353899999999996</v>
      </c>
      <c r="V267" t="s">
        <v>167</v>
      </c>
      <c r="W267" t="s">
        <v>168</v>
      </c>
      <c r="Y267">
        <v>1</v>
      </c>
      <c r="Z267" t="s">
        <v>170</v>
      </c>
      <c r="AA267" t="s">
        <v>170</v>
      </c>
      <c r="AB267" t="s">
        <v>167</v>
      </c>
      <c r="AC267" t="s">
        <v>213</v>
      </c>
      <c r="AF267">
        <v>240</v>
      </c>
      <c r="AG267" t="s">
        <v>1735</v>
      </c>
      <c r="AH267" t="s">
        <v>1736</v>
      </c>
      <c r="AI267" t="s">
        <v>175</v>
      </c>
      <c r="AJ267" t="s">
        <v>176</v>
      </c>
      <c r="AK267" t="s">
        <v>940</v>
      </c>
      <c r="AL267" t="s">
        <v>941</v>
      </c>
      <c r="AS267">
        <v>1200</v>
      </c>
      <c r="AT267">
        <v>1200</v>
      </c>
      <c r="BQ267">
        <v>13</v>
      </c>
      <c r="BR267" t="s">
        <v>1016</v>
      </c>
      <c r="BT267" t="s">
        <v>1738</v>
      </c>
      <c r="BU267" s="1">
        <v>45610</v>
      </c>
      <c r="BV267">
        <v>35774</v>
      </c>
      <c r="BX267" t="s">
        <v>170</v>
      </c>
      <c r="BY267" t="s">
        <v>170</v>
      </c>
      <c r="CB267" t="s">
        <v>170</v>
      </c>
      <c r="CC267" t="s">
        <v>170</v>
      </c>
      <c r="CK267" t="s">
        <v>233</v>
      </c>
      <c r="CM267">
        <v>1</v>
      </c>
      <c r="CN267" t="s">
        <v>234</v>
      </c>
      <c r="CP267">
        <v>378</v>
      </c>
      <c r="CQ267">
        <v>328</v>
      </c>
      <c r="CR267">
        <v>197</v>
      </c>
      <c r="CS267" t="s">
        <v>235</v>
      </c>
      <c r="CV267" t="s">
        <v>341</v>
      </c>
      <c r="CX267" t="s">
        <v>342</v>
      </c>
      <c r="CY267" t="s">
        <v>170</v>
      </c>
      <c r="DC267" t="s">
        <v>1911</v>
      </c>
      <c r="DD267">
        <v>2</v>
      </c>
      <c r="DE267" t="s">
        <v>404</v>
      </c>
      <c r="DF267" t="s">
        <v>1903</v>
      </c>
      <c r="DG267" t="s">
        <v>1912</v>
      </c>
      <c r="DL267" t="s">
        <v>170</v>
      </c>
      <c r="DM267" t="s">
        <v>169</v>
      </c>
      <c r="DP267" t="s">
        <v>170</v>
      </c>
      <c r="DQ267" t="s">
        <v>187</v>
      </c>
      <c r="EB267">
        <v>9</v>
      </c>
      <c r="EC267">
        <v>9</v>
      </c>
      <c r="EE267" t="s">
        <v>1913</v>
      </c>
      <c r="EF267">
        <v>10</v>
      </c>
      <c r="EU267">
        <v>3500</v>
      </c>
      <c r="EW267">
        <v>0</v>
      </c>
      <c r="EX267">
        <v>0</v>
      </c>
      <c r="EY267">
        <v>0</v>
      </c>
      <c r="FA267">
        <v>11.9</v>
      </c>
      <c r="FG267">
        <v>264</v>
      </c>
      <c r="FH267">
        <v>210</v>
      </c>
      <c r="FI267">
        <v>240</v>
      </c>
    </row>
    <row r="268" spans="1:165" x14ac:dyDescent="0.35">
      <c r="A268">
        <v>2025</v>
      </c>
      <c r="B268" t="s">
        <v>439</v>
      </c>
      <c r="C268" t="s">
        <v>440</v>
      </c>
      <c r="D268" t="s">
        <v>1910</v>
      </c>
      <c r="E268" t="s">
        <v>442</v>
      </c>
      <c r="F268">
        <v>69</v>
      </c>
      <c r="G268">
        <v>0</v>
      </c>
      <c r="I268" t="s">
        <v>1734</v>
      </c>
      <c r="J268">
        <v>44</v>
      </c>
      <c r="K268">
        <v>56</v>
      </c>
      <c r="L268">
        <v>49</v>
      </c>
      <c r="M268">
        <v>31</v>
      </c>
      <c r="N268">
        <v>38.9</v>
      </c>
      <c r="O268">
        <v>34.555</v>
      </c>
      <c r="P268">
        <v>44.285699999999999</v>
      </c>
      <c r="Q268">
        <v>55.571399999999997</v>
      </c>
      <c r="R268">
        <v>49.3643</v>
      </c>
      <c r="V268" t="s">
        <v>167</v>
      </c>
      <c r="W268" t="s">
        <v>168</v>
      </c>
      <c r="Y268">
        <v>1</v>
      </c>
      <c r="Z268" t="s">
        <v>170</v>
      </c>
      <c r="AA268" t="s">
        <v>170</v>
      </c>
      <c r="AB268" t="s">
        <v>167</v>
      </c>
      <c r="AC268" t="s">
        <v>213</v>
      </c>
      <c r="AF268">
        <v>240</v>
      </c>
      <c r="AG268" t="s">
        <v>1735</v>
      </c>
      <c r="AH268" t="s">
        <v>1736</v>
      </c>
      <c r="AI268" t="s">
        <v>1742</v>
      </c>
      <c r="AJ268" t="s">
        <v>1743</v>
      </c>
      <c r="AK268" t="s">
        <v>940</v>
      </c>
      <c r="AL268" t="s">
        <v>941</v>
      </c>
      <c r="AS268">
        <v>1200</v>
      </c>
      <c r="AT268">
        <v>1200</v>
      </c>
      <c r="BQ268">
        <v>13</v>
      </c>
      <c r="BR268" t="s">
        <v>1016</v>
      </c>
      <c r="BT268" t="s">
        <v>1738</v>
      </c>
      <c r="BU268" s="1">
        <v>45610</v>
      </c>
      <c r="BV268">
        <v>35774</v>
      </c>
      <c r="BX268" t="s">
        <v>170</v>
      </c>
      <c r="BY268" t="s">
        <v>170</v>
      </c>
      <c r="CB268" t="s">
        <v>170</v>
      </c>
      <c r="CC268" t="s">
        <v>170</v>
      </c>
      <c r="CK268" t="s">
        <v>233</v>
      </c>
      <c r="CM268">
        <v>1</v>
      </c>
      <c r="CN268" t="s">
        <v>234</v>
      </c>
      <c r="CP268">
        <v>378</v>
      </c>
      <c r="CQ268">
        <v>328</v>
      </c>
      <c r="CR268">
        <v>197</v>
      </c>
      <c r="CS268" t="s">
        <v>235</v>
      </c>
      <c r="CV268" t="s">
        <v>341</v>
      </c>
      <c r="CX268" t="s">
        <v>342</v>
      </c>
      <c r="CY268" t="s">
        <v>170</v>
      </c>
      <c r="DC268" t="s">
        <v>1911</v>
      </c>
      <c r="DD268">
        <v>2</v>
      </c>
      <c r="DE268" t="s">
        <v>404</v>
      </c>
      <c r="DF268" t="s">
        <v>1903</v>
      </c>
      <c r="DG268" t="s">
        <v>1912</v>
      </c>
      <c r="DL268" t="s">
        <v>170</v>
      </c>
      <c r="DM268" t="s">
        <v>169</v>
      </c>
      <c r="DP268" t="s">
        <v>170</v>
      </c>
      <c r="DQ268" t="s">
        <v>187</v>
      </c>
      <c r="EB268">
        <v>9</v>
      </c>
      <c r="EC268">
        <v>9</v>
      </c>
      <c r="EE268" t="s">
        <v>1913</v>
      </c>
      <c r="EF268">
        <v>10</v>
      </c>
      <c r="EU268">
        <v>3500</v>
      </c>
      <c r="EW268">
        <v>0</v>
      </c>
      <c r="EX268">
        <v>0</v>
      </c>
      <c r="EY268">
        <v>0</v>
      </c>
      <c r="FA268">
        <v>11.9</v>
      </c>
      <c r="FG268">
        <v>264</v>
      </c>
      <c r="FH268">
        <v>210</v>
      </c>
      <c r="FI268">
        <v>240</v>
      </c>
    </row>
    <row r="269" spans="1:165" x14ac:dyDescent="0.35">
      <c r="A269" s="25"/>
      <c r="B269" s="25"/>
      <c r="C269" s="25"/>
      <c r="D269" s="25"/>
      <c r="E269" s="25"/>
      <c r="F269" s="25" t="str">
        <f>_xlfn.CONCAT($A270," ",$B270," ",$D270)</f>
        <v>2025 Ford Motor Company MUSTANG MACH-E GT</v>
      </c>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t="str">
        <f>_xlfn.CONCAT($A270," ",$B270," ",$D270)</f>
        <v>2025 Ford Motor Company MUSTANG MACH-E GT</v>
      </c>
      <c r="AE269" s="25"/>
      <c r="AF269" s="25"/>
      <c r="AG269" s="25"/>
      <c r="AH269" s="25"/>
      <c r="AI269" s="25"/>
      <c r="AJ269" s="25"/>
      <c r="AK269" s="25"/>
      <c r="AL269" s="25"/>
      <c r="AM269" s="25"/>
      <c r="AN269" s="25"/>
      <c r="AO269" s="25"/>
      <c r="AP269" s="25"/>
      <c r="AQ269" s="25"/>
      <c r="AR269" s="25"/>
      <c r="AS269" s="25"/>
      <c r="AT269" s="25"/>
      <c r="AU269" s="25"/>
      <c r="AV269" s="25"/>
      <c r="AW269" s="25"/>
      <c r="AX269" s="25" t="str">
        <f>_xlfn.CONCAT($A270," ",$B270," ",$D270)</f>
        <v>2025 Ford Motor Company MUSTANG MACH-E GT</v>
      </c>
      <c r="AY269" s="25"/>
      <c r="AZ269" s="25"/>
      <c r="BA269" s="25"/>
      <c r="BB269" s="25"/>
      <c r="BC269" s="25"/>
      <c r="BD269" s="25"/>
      <c r="BE269" s="25"/>
      <c r="BF269" s="25"/>
      <c r="BG269" s="25"/>
      <c r="BH269" s="25"/>
      <c r="BI269" s="25"/>
      <c r="BJ269" s="25"/>
      <c r="BK269" s="25"/>
      <c r="BL269" s="25"/>
      <c r="BM269" s="25"/>
      <c r="BN269" s="25"/>
      <c r="BO269" s="25"/>
      <c r="BP269" s="25"/>
      <c r="BQ269" s="25"/>
      <c r="BR269" s="25" t="str">
        <f>_xlfn.CONCAT($A270," ",$B270," ",$D270)</f>
        <v>2025 Ford Motor Company MUSTANG MACH-E GT</v>
      </c>
      <c r="BS269" s="25"/>
      <c r="BT269" s="25"/>
      <c r="BU269" s="25"/>
      <c r="BV269" s="25"/>
      <c r="BX269" s="25"/>
      <c r="BY269" s="25"/>
      <c r="BZ269" s="25"/>
      <c r="CA269" s="25"/>
      <c r="CB269" s="25"/>
      <c r="CC269" s="25"/>
      <c r="CD269" s="25"/>
      <c r="CE269" s="25"/>
      <c r="CF269" s="25"/>
      <c r="CG269" s="25"/>
      <c r="CH269" s="25"/>
      <c r="CI269" s="25"/>
      <c r="CJ269" s="25"/>
      <c r="CK269" s="25"/>
      <c r="CL269" s="25"/>
      <c r="CM269" s="25"/>
      <c r="CN269" s="25"/>
      <c r="CO269" s="25"/>
      <c r="CP269" s="25" t="str">
        <f>_xlfn.CONCAT($A270," ",$B270," ",$D270)</f>
        <v>2025 Ford Motor Company MUSTANG MACH-E GT</v>
      </c>
      <c r="CQ269" s="25"/>
      <c r="CR269" s="25"/>
      <c r="CS269" s="25"/>
      <c r="CT269" s="25"/>
      <c r="CU269" s="25"/>
      <c r="CV269" s="25"/>
      <c r="CW269" s="25"/>
      <c r="CX269" s="25"/>
      <c r="CY269" s="25"/>
      <c r="CZ269" s="25"/>
      <c r="DA269" s="25"/>
      <c r="DB269" s="25"/>
      <c r="DC269" s="25"/>
      <c r="DD269" s="25"/>
      <c r="DE269" s="25"/>
      <c r="DF269" s="25"/>
      <c r="DG269" s="25"/>
      <c r="DH269" s="25"/>
      <c r="DI269" s="25" t="str">
        <f>_xlfn.CONCAT($A270," ",$B270," ",$D270)</f>
        <v>2025 Ford Motor Company MUSTANG MACH-E GT</v>
      </c>
      <c r="DJ269" s="25"/>
      <c r="DK269" s="25"/>
      <c r="DL269" s="25"/>
      <c r="DM269" s="25"/>
      <c r="DN269" s="25"/>
      <c r="DO269" s="25"/>
      <c r="DP269" s="25"/>
      <c r="DQ269" s="25"/>
      <c r="DR269" s="25"/>
      <c r="DS269" s="25"/>
      <c r="DT269" s="25"/>
      <c r="DU269" s="25"/>
      <c r="DV269" s="25"/>
      <c r="DW269" s="25"/>
      <c r="DX269" s="25"/>
      <c r="DY269" s="25"/>
      <c r="DZ269" s="25" t="str">
        <f>_xlfn.CONCAT($A270," ",$B270," ",$D270)</f>
        <v>2025 Ford Motor Company MUSTANG MACH-E GT</v>
      </c>
      <c r="EB269" s="25"/>
      <c r="EC269" s="25"/>
      <c r="ED269" s="25"/>
      <c r="EE269" s="25"/>
      <c r="EF269" s="25"/>
      <c r="EG269" s="25"/>
      <c r="EH269" s="25"/>
      <c r="EI269" s="25"/>
      <c r="EJ269" s="25"/>
      <c r="EK269" s="25"/>
      <c r="EL269" s="25"/>
      <c r="EM269" s="25"/>
      <c r="EN269" s="25"/>
      <c r="EO269" s="25"/>
      <c r="EP269" s="25"/>
      <c r="EQ269" s="25"/>
      <c r="ER269" s="25"/>
      <c r="ES269" s="25"/>
      <c r="ET269" s="25"/>
      <c r="EU269" s="25"/>
      <c r="EV269" s="25" t="str">
        <f>_xlfn.CONCAT($A270," ",$B270," ",$D270)</f>
        <v>2025 Ford Motor Company MUSTANG MACH-E GT</v>
      </c>
      <c r="EW269" s="25"/>
      <c r="EX269" s="25"/>
      <c r="EY269" s="25"/>
      <c r="EZ269" s="25"/>
      <c r="FA269" s="25"/>
      <c r="FB269" s="25"/>
      <c r="FC269" s="25"/>
      <c r="FD269" s="25"/>
      <c r="FE269" s="25"/>
      <c r="FF269" s="25"/>
      <c r="FG269" s="25"/>
    </row>
    <row r="270" spans="1:165" x14ac:dyDescent="0.35">
      <c r="A270">
        <v>2025</v>
      </c>
      <c r="B270" t="s">
        <v>439</v>
      </c>
      <c r="C270" t="s">
        <v>440</v>
      </c>
      <c r="D270" t="s">
        <v>1922</v>
      </c>
      <c r="E270" t="s">
        <v>442</v>
      </c>
      <c r="F270">
        <v>84</v>
      </c>
      <c r="G270">
        <v>0</v>
      </c>
      <c r="I270" t="s">
        <v>1734</v>
      </c>
      <c r="J270">
        <v>95</v>
      </c>
      <c r="K270">
        <v>85</v>
      </c>
      <c r="L270">
        <v>90</v>
      </c>
      <c r="M270">
        <v>135.69999999999999</v>
      </c>
      <c r="N270">
        <v>121.2</v>
      </c>
      <c r="O270">
        <v>128.76759999999999</v>
      </c>
      <c r="P270">
        <v>94.99</v>
      </c>
      <c r="Q270">
        <v>84.84</v>
      </c>
      <c r="R270">
        <v>90.137299999999996</v>
      </c>
      <c r="V270" t="s">
        <v>167</v>
      </c>
      <c r="W270" t="s">
        <v>168</v>
      </c>
      <c r="Y270">
        <v>1</v>
      </c>
      <c r="Z270" t="s">
        <v>170</v>
      </c>
      <c r="AA270" t="s">
        <v>170</v>
      </c>
      <c r="AB270" t="s">
        <v>167</v>
      </c>
      <c r="AC270" t="s">
        <v>213</v>
      </c>
      <c r="AF270">
        <v>280</v>
      </c>
      <c r="AG270" t="s">
        <v>1735</v>
      </c>
      <c r="AH270" t="s">
        <v>1736</v>
      </c>
      <c r="AI270" t="s">
        <v>175</v>
      </c>
      <c r="AJ270" t="s">
        <v>176</v>
      </c>
      <c r="AK270" t="s">
        <v>940</v>
      </c>
      <c r="AL270" t="s">
        <v>941</v>
      </c>
      <c r="AS270">
        <v>900</v>
      </c>
      <c r="AT270">
        <v>50</v>
      </c>
      <c r="BQ270">
        <v>31</v>
      </c>
      <c r="BR270" t="s">
        <v>1219</v>
      </c>
      <c r="BT270" t="s">
        <v>1738</v>
      </c>
      <c r="BU270" s="1">
        <v>45663</v>
      </c>
      <c r="BV270">
        <v>35957</v>
      </c>
      <c r="BX270" t="s">
        <v>170</v>
      </c>
      <c r="BY270" t="s">
        <v>170</v>
      </c>
      <c r="CB270" t="s">
        <v>170</v>
      </c>
      <c r="CC270" t="s">
        <v>170</v>
      </c>
      <c r="CK270" t="s">
        <v>233</v>
      </c>
      <c r="CM270">
        <v>1</v>
      </c>
      <c r="CN270" t="s">
        <v>234</v>
      </c>
      <c r="CP270">
        <v>404</v>
      </c>
      <c r="CQ270">
        <v>288</v>
      </c>
      <c r="CR270">
        <v>166</v>
      </c>
      <c r="CS270" t="s">
        <v>235</v>
      </c>
      <c r="CV270" t="s">
        <v>341</v>
      </c>
      <c r="CX270" t="s">
        <v>342</v>
      </c>
      <c r="CY270" t="s">
        <v>170</v>
      </c>
      <c r="DC270" t="s">
        <v>1911</v>
      </c>
      <c r="DD270">
        <v>2</v>
      </c>
      <c r="DE270" t="s">
        <v>404</v>
      </c>
      <c r="DF270" t="s">
        <v>1903</v>
      </c>
      <c r="DG270">
        <v>210</v>
      </c>
      <c r="DL270" t="s">
        <v>170</v>
      </c>
      <c r="DM270" t="s">
        <v>169</v>
      </c>
      <c r="DP270" t="s">
        <v>170</v>
      </c>
      <c r="DQ270" t="s">
        <v>187</v>
      </c>
      <c r="EB270">
        <v>9</v>
      </c>
      <c r="EC270">
        <v>10</v>
      </c>
      <c r="EE270" t="s">
        <v>1923</v>
      </c>
      <c r="EF270">
        <v>10</v>
      </c>
      <c r="EU270">
        <v>5000</v>
      </c>
      <c r="EW270">
        <v>0</v>
      </c>
      <c r="EX270">
        <v>0</v>
      </c>
      <c r="EY270">
        <v>0</v>
      </c>
      <c r="FA270">
        <v>9.9</v>
      </c>
      <c r="FG270">
        <v>294</v>
      </c>
      <c r="FH270">
        <v>263</v>
      </c>
      <c r="FI270">
        <v>280</v>
      </c>
    </row>
    <row r="271" spans="1:165" x14ac:dyDescent="0.35">
      <c r="A271">
        <v>2025</v>
      </c>
      <c r="B271" t="s">
        <v>439</v>
      </c>
      <c r="C271" t="s">
        <v>440</v>
      </c>
      <c r="D271" t="s">
        <v>1922</v>
      </c>
      <c r="E271" t="s">
        <v>442</v>
      </c>
      <c r="F271">
        <v>84</v>
      </c>
      <c r="G271">
        <v>0</v>
      </c>
      <c r="I271" t="s">
        <v>1734</v>
      </c>
      <c r="J271">
        <v>35</v>
      </c>
      <c r="K271">
        <v>40</v>
      </c>
      <c r="L271">
        <v>37</v>
      </c>
      <c r="M271">
        <v>24.8</v>
      </c>
      <c r="N271">
        <v>27.8</v>
      </c>
      <c r="O271">
        <v>26.15</v>
      </c>
      <c r="P271">
        <v>35.482700000000001</v>
      </c>
      <c r="Q271">
        <v>39.727699999999999</v>
      </c>
      <c r="R271">
        <v>37.392899999999997</v>
      </c>
      <c r="V271" t="s">
        <v>167</v>
      </c>
      <c r="W271" t="s">
        <v>168</v>
      </c>
      <c r="Y271">
        <v>1</v>
      </c>
      <c r="Z271" t="s">
        <v>170</v>
      </c>
      <c r="AA271" t="s">
        <v>170</v>
      </c>
      <c r="AB271" t="s">
        <v>167</v>
      </c>
      <c r="AC271" t="s">
        <v>213</v>
      </c>
      <c r="AF271">
        <v>280</v>
      </c>
      <c r="AG271" t="s">
        <v>1735</v>
      </c>
      <c r="AH271" t="s">
        <v>1736</v>
      </c>
      <c r="AI271" t="s">
        <v>1742</v>
      </c>
      <c r="AJ271" t="s">
        <v>1743</v>
      </c>
      <c r="AK271" t="s">
        <v>940</v>
      </c>
      <c r="AL271" t="s">
        <v>941</v>
      </c>
      <c r="AS271">
        <v>900</v>
      </c>
      <c r="AT271">
        <v>900</v>
      </c>
      <c r="BQ271">
        <v>31</v>
      </c>
      <c r="BR271" t="s">
        <v>1219</v>
      </c>
      <c r="BT271" t="s">
        <v>1738</v>
      </c>
      <c r="BU271" s="1">
        <v>45663</v>
      </c>
      <c r="BV271">
        <v>35957</v>
      </c>
      <c r="BX271" t="s">
        <v>170</v>
      </c>
      <c r="BY271" t="s">
        <v>170</v>
      </c>
      <c r="CB271" t="s">
        <v>170</v>
      </c>
      <c r="CC271" t="s">
        <v>170</v>
      </c>
      <c r="CK271" t="s">
        <v>233</v>
      </c>
      <c r="CM271">
        <v>1</v>
      </c>
      <c r="CN271" t="s">
        <v>234</v>
      </c>
      <c r="CP271">
        <v>404</v>
      </c>
      <c r="CQ271">
        <v>288</v>
      </c>
      <c r="CR271">
        <v>166</v>
      </c>
      <c r="CS271" t="s">
        <v>235</v>
      </c>
      <c r="CV271" t="s">
        <v>341</v>
      </c>
      <c r="CX271" t="s">
        <v>342</v>
      </c>
      <c r="CY271" t="s">
        <v>170</v>
      </c>
      <c r="DC271" t="s">
        <v>1911</v>
      </c>
      <c r="DD271">
        <v>2</v>
      </c>
      <c r="DE271" t="s">
        <v>404</v>
      </c>
      <c r="DF271" t="s">
        <v>1903</v>
      </c>
      <c r="DG271">
        <v>210</v>
      </c>
      <c r="DL271" t="s">
        <v>170</v>
      </c>
      <c r="DM271" t="s">
        <v>169</v>
      </c>
      <c r="DP271" t="s">
        <v>170</v>
      </c>
      <c r="DQ271" t="s">
        <v>187</v>
      </c>
      <c r="EB271">
        <v>9</v>
      </c>
      <c r="EC271">
        <v>10</v>
      </c>
      <c r="EE271" t="s">
        <v>1923</v>
      </c>
      <c r="EF271">
        <v>10</v>
      </c>
      <c r="EU271">
        <v>5000</v>
      </c>
      <c r="EW271">
        <v>0</v>
      </c>
      <c r="EX271">
        <v>0</v>
      </c>
      <c r="EY271">
        <v>0</v>
      </c>
      <c r="FA271">
        <v>9.9</v>
      </c>
      <c r="FG271">
        <v>294</v>
      </c>
      <c r="FH271">
        <v>263</v>
      </c>
      <c r="FI271">
        <v>280</v>
      </c>
    </row>
    <row r="272" spans="1:165" x14ac:dyDescent="0.35">
      <c r="A272" s="25"/>
      <c r="B272" s="25"/>
      <c r="C272" s="25"/>
      <c r="D272" s="25"/>
      <c r="E272" s="25"/>
      <c r="F272" s="25" t="str">
        <f>_xlfn.CONCAT($A273," ",$B273," ",$D273)</f>
        <v>2025 Ford Motor Company MUSTANG MACH-E AWD EXTENDED</v>
      </c>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c r="AD272" s="25" t="str">
        <f>_xlfn.CONCAT($A273," ",$B273," ",$D273)</f>
        <v>2025 Ford Motor Company MUSTANG MACH-E AWD EXTENDED</v>
      </c>
      <c r="AE272" s="25"/>
      <c r="AF272" s="25"/>
      <c r="AG272" s="25"/>
      <c r="AH272" s="25"/>
      <c r="AI272" s="25"/>
      <c r="AJ272" s="25"/>
      <c r="AK272" s="25"/>
      <c r="AL272" s="25"/>
      <c r="AM272" s="25"/>
      <c r="AN272" s="25"/>
      <c r="AO272" s="25"/>
      <c r="AP272" s="25"/>
      <c r="AQ272" s="25"/>
      <c r="AR272" s="25"/>
      <c r="AS272" s="25"/>
      <c r="AT272" s="25"/>
      <c r="AU272" s="25"/>
      <c r="AV272" s="25"/>
      <c r="AW272" s="25"/>
      <c r="AX272" s="25" t="str">
        <f>_xlfn.CONCAT($A273," ",$B273," ",$D273)</f>
        <v>2025 Ford Motor Company MUSTANG MACH-E AWD EXTENDED</v>
      </c>
      <c r="AY272" s="25"/>
      <c r="AZ272" s="25"/>
      <c r="BA272" s="25"/>
      <c r="BB272" s="25"/>
      <c r="BC272" s="25"/>
      <c r="BD272" s="25"/>
      <c r="BE272" s="25"/>
      <c r="BF272" s="25"/>
      <c r="BG272" s="25"/>
      <c r="BH272" s="25"/>
      <c r="BI272" s="25"/>
      <c r="BJ272" s="25"/>
      <c r="BK272" s="25"/>
      <c r="BL272" s="25"/>
      <c r="BM272" s="25"/>
      <c r="BN272" s="25"/>
      <c r="BO272" s="25"/>
      <c r="BP272" s="25"/>
      <c r="BQ272" s="25"/>
      <c r="BR272" s="25" t="str">
        <f>_xlfn.CONCAT($A273," ",$B273," ",$D273)</f>
        <v>2025 Ford Motor Company MUSTANG MACH-E AWD EXTENDED</v>
      </c>
      <c r="BS272" s="25"/>
      <c r="BT272" s="25"/>
      <c r="BU272" s="25"/>
      <c r="BV272" s="25"/>
      <c r="BX272" s="25"/>
      <c r="BY272" s="25"/>
      <c r="BZ272" s="25"/>
      <c r="CA272" s="25"/>
      <c r="CB272" s="25"/>
      <c r="CC272" s="25"/>
      <c r="CD272" s="25"/>
      <c r="CE272" s="25"/>
      <c r="CF272" s="25"/>
      <c r="CG272" s="25"/>
      <c r="CH272" s="25"/>
      <c r="CI272" s="25"/>
      <c r="CJ272" s="25"/>
      <c r="CK272" s="25"/>
      <c r="CL272" s="25"/>
      <c r="CM272" s="25"/>
      <c r="CN272" s="25"/>
      <c r="CO272" s="25"/>
      <c r="CP272" s="25" t="str">
        <f>_xlfn.CONCAT($A273," ",$B273," ",$D273)</f>
        <v>2025 Ford Motor Company MUSTANG MACH-E AWD EXTENDED</v>
      </c>
      <c r="CQ272" s="25"/>
      <c r="CR272" s="25"/>
      <c r="CS272" s="25"/>
      <c r="CT272" s="25"/>
      <c r="CU272" s="25"/>
      <c r="CV272" s="25"/>
      <c r="CW272" s="25"/>
      <c r="CX272" s="25"/>
      <c r="CY272" s="25"/>
      <c r="CZ272" s="25"/>
      <c r="DA272" s="25"/>
      <c r="DB272" s="25"/>
      <c r="DC272" s="25"/>
      <c r="DD272" s="25"/>
      <c r="DE272" s="25"/>
      <c r="DF272" s="25"/>
      <c r="DG272" s="25"/>
      <c r="DH272" s="25"/>
      <c r="DI272" s="25" t="str">
        <f>_xlfn.CONCAT($A273," ",$B273," ",$D273)</f>
        <v>2025 Ford Motor Company MUSTANG MACH-E AWD EXTENDED</v>
      </c>
      <c r="DJ272" s="25"/>
      <c r="DK272" s="25"/>
      <c r="DL272" s="25"/>
      <c r="DM272" s="25"/>
      <c r="DN272" s="25"/>
      <c r="DO272" s="25"/>
      <c r="DP272" s="25"/>
      <c r="DQ272" s="25"/>
      <c r="DR272" s="25"/>
      <c r="DS272" s="25"/>
      <c r="DT272" s="25"/>
      <c r="DU272" s="25"/>
      <c r="DV272" s="25"/>
      <c r="DW272" s="25"/>
      <c r="DX272" s="25"/>
      <c r="DY272" s="25"/>
      <c r="DZ272" s="25" t="str">
        <f>_xlfn.CONCAT($A273," ",$B273," ",$D273)</f>
        <v>2025 Ford Motor Company MUSTANG MACH-E AWD EXTENDED</v>
      </c>
      <c r="EB272" s="25"/>
      <c r="EC272" s="25"/>
      <c r="ED272" s="25"/>
      <c r="EE272" s="25"/>
      <c r="EF272" s="25"/>
      <c r="EG272" s="25"/>
      <c r="EH272" s="25"/>
      <c r="EI272" s="25"/>
      <c r="EJ272" s="25"/>
      <c r="EK272" s="25"/>
      <c r="EL272" s="25"/>
      <c r="EM272" s="25"/>
      <c r="EN272" s="25"/>
      <c r="EO272" s="25"/>
      <c r="EP272" s="25"/>
      <c r="EQ272" s="25"/>
      <c r="ER272" s="25"/>
      <c r="ES272" s="25"/>
      <c r="ET272" s="25"/>
      <c r="EU272" s="25"/>
      <c r="EV272" s="25" t="str">
        <f>_xlfn.CONCAT($A273," ",$B273," ",$D273)</f>
        <v>2025 Ford Motor Company MUSTANG MACH-E AWD EXTENDED</v>
      </c>
      <c r="EW272" s="25"/>
      <c r="EX272" s="25"/>
      <c r="EY272" s="25"/>
      <c r="EZ272" s="25"/>
      <c r="FA272" s="25"/>
      <c r="FB272" s="25"/>
      <c r="FC272" s="25"/>
      <c r="FD272" s="25"/>
      <c r="FE272" s="25"/>
      <c r="FF272" s="25"/>
      <c r="FG272" s="25"/>
    </row>
    <row r="273" spans="1:165" x14ac:dyDescent="0.35">
      <c r="A273">
        <v>2025</v>
      </c>
      <c r="B273" t="s">
        <v>439</v>
      </c>
      <c r="C273" t="s">
        <v>440</v>
      </c>
      <c r="D273" t="s">
        <v>1920</v>
      </c>
      <c r="E273" t="s">
        <v>442</v>
      </c>
      <c r="F273">
        <v>85</v>
      </c>
      <c r="G273">
        <v>0</v>
      </c>
      <c r="I273" t="s">
        <v>1734</v>
      </c>
      <c r="J273">
        <v>110</v>
      </c>
      <c r="K273">
        <v>98</v>
      </c>
      <c r="L273">
        <v>104</v>
      </c>
      <c r="M273">
        <v>157.4</v>
      </c>
      <c r="N273">
        <v>140.4</v>
      </c>
      <c r="O273">
        <v>149.26689999999999</v>
      </c>
      <c r="P273">
        <v>110.18</v>
      </c>
      <c r="Q273">
        <v>98.28</v>
      </c>
      <c r="R273">
        <v>104.4868</v>
      </c>
      <c r="V273" t="s">
        <v>167</v>
      </c>
      <c r="W273" t="s">
        <v>168</v>
      </c>
      <c r="Y273">
        <v>1</v>
      </c>
      <c r="Z273" t="s">
        <v>170</v>
      </c>
      <c r="AA273" t="s">
        <v>170</v>
      </c>
      <c r="AB273" t="s">
        <v>167</v>
      </c>
      <c r="AC273" t="s">
        <v>213</v>
      </c>
      <c r="AF273">
        <v>300</v>
      </c>
      <c r="AG273" t="s">
        <v>1735</v>
      </c>
      <c r="AH273" t="s">
        <v>1736</v>
      </c>
      <c r="AI273" t="s">
        <v>175</v>
      </c>
      <c r="AJ273" t="s">
        <v>176</v>
      </c>
      <c r="AK273" t="s">
        <v>940</v>
      </c>
      <c r="AL273" t="s">
        <v>941</v>
      </c>
      <c r="AS273">
        <v>750</v>
      </c>
      <c r="AT273">
        <v>0</v>
      </c>
      <c r="BQ273">
        <v>31</v>
      </c>
      <c r="BR273" t="s">
        <v>1219</v>
      </c>
      <c r="BT273" t="s">
        <v>1738</v>
      </c>
      <c r="BU273" s="1">
        <v>45679</v>
      </c>
      <c r="BV273">
        <v>35959</v>
      </c>
      <c r="BX273" t="s">
        <v>170</v>
      </c>
      <c r="BY273" t="s">
        <v>170</v>
      </c>
      <c r="CB273" t="s">
        <v>170</v>
      </c>
      <c r="CC273" t="s">
        <v>170</v>
      </c>
      <c r="CK273" t="s">
        <v>233</v>
      </c>
      <c r="CM273">
        <v>1</v>
      </c>
      <c r="CN273" t="s">
        <v>234</v>
      </c>
      <c r="CP273">
        <v>315</v>
      </c>
      <c r="CQ273">
        <v>279</v>
      </c>
      <c r="CR273">
        <v>163</v>
      </c>
      <c r="CS273" t="s">
        <v>1752</v>
      </c>
      <c r="CV273" t="s">
        <v>341</v>
      </c>
      <c r="CX273" t="s">
        <v>342</v>
      </c>
      <c r="CY273" t="s">
        <v>170</v>
      </c>
      <c r="DD273">
        <v>2</v>
      </c>
      <c r="DE273" t="s">
        <v>404</v>
      </c>
      <c r="DF273" t="s">
        <v>1860</v>
      </c>
      <c r="DG273">
        <v>258</v>
      </c>
      <c r="DL273" t="s">
        <v>170</v>
      </c>
      <c r="DM273" t="s">
        <v>169</v>
      </c>
      <c r="DP273" t="s">
        <v>170</v>
      </c>
      <c r="DQ273" t="s">
        <v>187</v>
      </c>
      <c r="EB273">
        <v>9</v>
      </c>
      <c r="EC273">
        <v>10</v>
      </c>
      <c r="EE273" t="s">
        <v>1921</v>
      </c>
      <c r="EF273">
        <v>10</v>
      </c>
      <c r="EU273">
        <v>5750</v>
      </c>
      <c r="EW273">
        <v>0</v>
      </c>
      <c r="EX273">
        <v>0</v>
      </c>
      <c r="EY273">
        <v>0</v>
      </c>
      <c r="FA273">
        <v>10.199999999999999</v>
      </c>
      <c r="FG273">
        <v>315</v>
      </c>
      <c r="FH273">
        <v>281</v>
      </c>
      <c r="FI273">
        <v>300</v>
      </c>
    </row>
    <row r="274" spans="1:165" x14ac:dyDescent="0.35">
      <c r="A274">
        <v>2025</v>
      </c>
      <c r="B274" t="s">
        <v>439</v>
      </c>
      <c r="C274" t="s">
        <v>440</v>
      </c>
      <c r="D274" t="s">
        <v>1920</v>
      </c>
      <c r="E274" t="s">
        <v>442</v>
      </c>
      <c r="F274">
        <v>85</v>
      </c>
      <c r="G274">
        <v>0</v>
      </c>
      <c r="I274" t="s">
        <v>1734</v>
      </c>
      <c r="J274">
        <v>31</v>
      </c>
      <c r="K274">
        <v>34</v>
      </c>
      <c r="L274">
        <v>32</v>
      </c>
      <c r="M274">
        <v>21.4</v>
      </c>
      <c r="N274">
        <v>24</v>
      </c>
      <c r="O274">
        <v>22.57</v>
      </c>
      <c r="P274">
        <v>30.590900000000001</v>
      </c>
      <c r="Q274">
        <v>34.294899999999998</v>
      </c>
      <c r="R274">
        <v>32.2577</v>
      </c>
      <c r="V274" t="s">
        <v>167</v>
      </c>
      <c r="W274" t="s">
        <v>168</v>
      </c>
      <c r="Y274">
        <v>1</v>
      </c>
      <c r="Z274" t="s">
        <v>170</v>
      </c>
      <c r="AA274" t="s">
        <v>170</v>
      </c>
      <c r="AB274" t="s">
        <v>167</v>
      </c>
      <c r="AC274" t="s">
        <v>213</v>
      </c>
      <c r="AF274">
        <v>300</v>
      </c>
      <c r="AG274" t="s">
        <v>1735</v>
      </c>
      <c r="AH274" t="s">
        <v>1736</v>
      </c>
      <c r="AI274" t="s">
        <v>1742</v>
      </c>
      <c r="AJ274" t="s">
        <v>1743</v>
      </c>
      <c r="AK274" t="s">
        <v>940</v>
      </c>
      <c r="AL274" t="s">
        <v>941</v>
      </c>
      <c r="AS274">
        <v>750</v>
      </c>
      <c r="AT274">
        <v>750</v>
      </c>
      <c r="BQ274">
        <v>31</v>
      </c>
      <c r="BR274" t="s">
        <v>1219</v>
      </c>
      <c r="BT274" t="s">
        <v>1738</v>
      </c>
      <c r="BU274" s="1">
        <v>45679</v>
      </c>
      <c r="BV274">
        <v>35959</v>
      </c>
      <c r="BX274" t="s">
        <v>170</v>
      </c>
      <c r="BY274" t="s">
        <v>170</v>
      </c>
      <c r="CB274" t="s">
        <v>170</v>
      </c>
      <c r="CC274" t="s">
        <v>170</v>
      </c>
      <c r="CK274" t="s">
        <v>233</v>
      </c>
      <c r="CM274">
        <v>1</v>
      </c>
      <c r="CN274" t="s">
        <v>234</v>
      </c>
      <c r="CP274">
        <v>315</v>
      </c>
      <c r="CQ274">
        <v>279</v>
      </c>
      <c r="CR274">
        <v>163</v>
      </c>
      <c r="CS274" t="s">
        <v>1752</v>
      </c>
      <c r="CV274" t="s">
        <v>341</v>
      </c>
      <c r="CX274" t="s">
        <v>342</v>
      </c>
      <c r="CY274" t="s">
        <v>170</v>
      </c>
      <c r="DD274">
        <v>2</v>
      </c>
      <c r="DE274" t="s">
        <v>404</v>
      </c>
      <c r="DF274" t="s">
        <v>1860</v>
      </c>
      <c r="DG274">
        <v>258</v>
      </c>
      <c r="DL274" t="s">
        <v>170</v>
      </c>
      <c r="DM274" t="s">
        <v>169</v>
      </c>
      <c r="DP274" t="s">
        <v>170</v>
      </c>
      <c r="DQ274" t="s">
        <v>187</v>
      </c>
      <c r="EB274">
        <v>9</v>
      </c>
      <c r="EC274">
        <v>10</v>
      </c>
      <c r="EE274" t="s">
        <v>1921</v>
      </c>
      <c r="EF274">
        <v>10</v>
      </c>
      <c r="EU274">
        <v>5750</v>
      </c>
      <c r="EW274">
        <v>0</v>
      </c>
      <c r="EX274">
        <v>0</v>
      </c>
      <c r="EY274">
        <v>0</v>
      </c>
      <c r="FA274">
        <v>10.199999999999999</v>
      </c>
      <c r="FG274">
        <v>315</v>
      </c>
      <c r="FH274">
        <v>281</v>
      </c>
      <c r="FI274">
        <v>300</v>
      </c>
    </row>
    <row r="275" spans="1:165" x14ac:dyDescent="0.35">
      <c r="A275" s="25"/>
      <c r="B275" s="25"/>
      <c r="C275" s="25"/>
      <c r="D275" s="25"/>
      <c r="E275" s="25"/>
      <c r="F275" s="25" t="str">
        <f>_xlfn.CONCAT($A276," ",$B276," ",$D276)</f>
        <v>2025 Ford Motor Company MUSTANG MACH-E AWD</v>
      </c>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t="str">
        <f>_xlfn.CONCAT($A276," ",$B276," ",$D276)</f>
        <v>2025 Ford Motor Company MUSTANG MACH-E AWD</v>
      </c>
      <c r="AE275" s="25"/>
      <c r="AF275" s="25"/>
      <c r="AG275" s="25"/>
      <c r="AH275" s="25"/>
      <c r="AI275" s="25"/>
      <c r="AJ275" s="25"/>
      <c r="AK275" s="25"/>
      <c r="AL275" s="25"/>
      <c r="AM275" s="25"/>
      <c r="AN275" s="25"/>
      <c r="AO275" s="25"/>
      <c r="AP275" s="25"/>
      <c r="AQ275" s="25"/>
      <c r="AR275" s="25"/>
      <c r="AS275" s="25"/>
      <c r="AT275" s="25"/>
      <c r="AU275" s="25"/>
      <c r="AV275" s="25"/>
      <c r="AW275" s="25"/>
      <c r="AX275" s="25" t="str">
        <f>_xlfn.CONCAT($A276," ",$B276," ",$D276)</f>
        <v>2025 Ford Motor Company MUSTANG MACH-E AWD</v>
      </c>
      <c r="AY275" s="25"/>
      <c r="AZ275" s="25"/>
      <c r="BA275" s="25"/>
      <c r="BB275" s="25"/>
      <c r="BC275" s="25"/>
      <c r="BD275" s="25"/>
      <c r="BE275" s="25"/>
      <c r="BF275" s="25"/>
      <c r="BG275" s="25"/>
      <c r="BH275" s="25"/>
      <c r="BI275" s="25"/>
      <c r="BJ275" s="25"/>
      <c r="BK275" s="25"/>
      <c r="BL275" s="25"/>
      <c r="BM275" s="25"/>
      <c r="BN275" s="25"/>
      <c r="BO275" s="25"/>
      <c r="BP275" s="25"/>
      <c r="BQ275" s="25"/>
      <c r="BR275" s="25" t="str">
        <f>_xlfn.CONCAT($A276," ",$B276," ",$D276)</f>
        <v>2025 Ford Motor Company MUSTANG MACH-E AWD</v>
      </c>
      <c r="BS275" s="25"/>
      <c r="BT275" s="25"/>
      <c r="BU275" s="25"/>
      <c r="BV275" s="25"/>
      <c r="BX275" s="25"/>
      <c r="BY275" s="25"/>
      <c r="BZ275" s="25"/>
      <c r="CA275" s="25"/>
      <c r="CB275" s="25"/>
      <c r="CC275" s="25"/>
      <c r="CD275" s="25"/>
      <c r="CE275" s="25"/>
      <c r="CF275" s="25"/>
      <c r="CG275" s="25"/>
      <c r="CH275" s="25"/>
      <c r="CI275" s="25"/>
      <c r="CJ275" s="25"/>
      <c r="CK275" s="25"/>
      <c r="CL275" s="25"/>
      <c r="CM275" s="25"/>
      <c r="CN275" s="25"/>
      <c r="CO275" s="25"/>
      <c r="CP275" s="25" t="str">
        <f>_xlfn.CONCAT($A276," ",$B276," ",$D276)</f>
        <v>2025 Ford Motor Company MUSTANG MACH-E AWD</v>
      </c>
      <c r="CQ275" s="25"/>
      <c r="CR275" s="25"/>
      <c r="CS275" s="25"/>
      <c r="CT275" s="25"/>
      <c r="CU275" s="25"/>
      <c r="CV275" s="25"/>
      <c r="CW275" s="25"/>
      <c r="CX275" s="25"/>
      <c r="CY275" s="25"/>
      <c r="CZ275" s="25"/>
      <c r="DA275" s="25"/>
      <c r="DB275" s="25"/>
      <c r="DC275" s="25"/>
      <c r="DD275" s="25"/>
      <c r="DE275" s="25"/>
      <c r="DF275" s="25"/>
      <c r="DG275" s="25"/>
      <c r="DH275" s="25"/>
      <c r="DI275" s="25" t="str">
        <f>_xlfn.CONCAT($A276," ",$B276," ",$D276)</f>
        <v>2025 Ford Motor Company MUSTANG MACH-E AWD</v>
      </c>
      <c r="DJ275" s="25"/>
      <c r="DK275" s="25"/>
      <c r="DL275" s="25"/>
      <c r="DM275" s="25"/>
      <c r="DN275" s="25"/>
      <c r="DO275" s="25"/>
      <c r="DP275" s="25"/>
      <c r="DQ275" s="25"/>
      <c r="DR275" s="25"/>
      <c r="DS275" s="25"/>
      <c r="DT275" s="25"/>
      <c r="DU275" s="25"/>
      <c r="DV275" s="25"/>
      <c r="DW275" s="25"/>
      <c r="DX275" s="25"/>
      <c r="DY275" s="25"/>
      <c r="DZ275" s="25" t="str">
        <f>_xlfn.CONCAT($A276," ",$B276," ",$D276)</f>
        <v>2025 Ford Motor Company MUSTANG MACH-E AWD</v>
      </c>
      <c r="EB275" s="25"/>
      <c r="EC275" s="25"/>
      <c r="ED275" s="25"/>
      <c r="EE275" s="25"/>
      <c r="EF275" s="25"/>
      <c r="EG275" s="25"/>
      <c r="EH275" s="25"/>
      <c r="EI275" s="25"/>
      <c r="EJ275" s="25"/>
      <c r="EK275" s="25"/>
      <c r="EL275" s="25"/>
      <c r="EM275" s="25"/>
      <c r="EN275" s="25"/>
      <c r="EO275" s="25"/>
      <c r="EP275" s="25"/>
      <c r="EQ275" s="25"/>
      <c r="ER275" s="25"/>
      <c r="ES275" s="25"/>
      <c r="ET275" s="25"/>
      <c r="EU275" s="25"/>
      <c r="EV275" s="25" t="str">
        <f>_xlfn.CONCAT($A276," ",$B276," ",$D276)</f>
        <v>2025 Ford Motor Company MUSTANG MACH-E AWD</v>
      </c>
      <c r="EW275" s="25"/>
      <c r="EX275" s="25"/>
      <c r="EY275" s="25"/>
      <c r="EZ275" s="25"/>
      <c r="FA275" s="25"/>
      <c r="FB275" s="25"/>
      <c r="FC275" s="25"/>
      <c r="FD275" s="25"/>
      <c r="FE275" s="25"/>
      <c r="FF275" s="25"/>
      <c r="FG275" s="25"/>
    </row>
    <row r="276" spans="1:165" x14ac:dyDescent="0.35">
      <c r="A276">
        <v>2025</v>
      </c>
      <c r="B276" t="s">
        <v>439</v>
      </c>
      <c r="C276" t="s">
        <v>440</v>
      </c>
      <c r="D276" t="s">
        <v>1915</v>
      </c>
      <c r="E276" t="s">
        <v>442</v>
      </c>
      <c r="F276">
        <v>86</v>
      </c>
      <c r="G276">
        <v>0</v>
      </c>
      <c r="I276" t="s">
        <v>1734</v>
      </c>
      <c r="J276">
        <v>104</v>
      </c>
      <c r="K276">
        <v>96</v>
      </c>
      <c r="L276">
        <v>100</v>
      </c>
      <c r="M276">
        <v>149.1</v>
      </c>
      <c r="N276">
        <v>136.5</v>
      </c>
      <c r="O276">
        <v>143.15360000000001</v>
      </c>
      <c r="P276">
        <v>104.37</v>
      </c>
      <c r="Q276">
        <v>95.55</v>
      </c>
      <c r="R276">
        <v>100.2075</v>
      </c>
      <c r="V276" t="s">
        <v>167</v>
      </c>
      <c r="W276" t="s">
        <v>168</v>
      </c>
      <c r="Y276">
        <v>1</v>
      </c>
      <c r="Z276" t="s">
        <v>170</v>
      </c>
      <c r="AA276" t="s">
        <v>170</v>
      </c>
      <c r="AB276" t="s">
        <v>167</v>
      </c>
      <c r="AC276" t="s">
        <v>213</v>
      </c>
      <c r="AF276">
        <v>240</v>
      </c>
      <c r="AG276" t="s">
        <v>1735</v>
      </c>
      <c r="AH276" t="s">
        <v>1736</v>
      </c>
      <c r="AI276" t="s">
        <v>175</v>
      </c>
      <c r="AJ276" t="s">
        <v>176</v>
      </c>
      <c r="AK276" t="s">
        <v>940</v>
      </c>
      <c r="AL276" t="s">
        <v>941</v>
      </c>
      <c r="AS276">
        <v>800</v>
      </c>
      <c r="AT276">
        <v>0</v>
      </c>
      <c r="BQ276">
        <v>31</v>
      </c>
      <c r="BR276" t="s">
        <v>1219</v>
      </c>
      <c r="BT276" t="s">
        <v>1738</v>
      </c>
      <c r="BU276" s="1">
        <v>45679</v>
      </c>
      <c r="BV276">
        <v>35958</v>
      </c>
      <c r="BX276" t="s">
        <v>170</v>
      </c>
      <c r="BY276" t="s">
        <v>170</v>
      </c>
      <c r="CB276" t="s">
        <v>170</v>
      </c>
      <c r="CC276" t="s">
        <v>170</v>
      </c>
      <c r="CK276" t="s">
        <v>233</v>
      </c>
      <c r="CM276">
        <v>1</v>
      </c>
      <c r="CN276" t="s">
        <v>234</v>
      </c>
      <c r="CP276">
        <v>325</v>
      </c>
      <c r="CQ276">
        <v>223</v>
      </c>
      <c r="CR276">
        <v>131</v>
      </c>
      <c r="CS276" t="s">
        <v>235</v>
      </c>
      <c r="CV276" t="s">
        <v>341</v>
      </c>
      <c r="CX276" t="s">
        <v>342</v>
      </c>
      <c r="CY276" t="s">
        <v>170</v>
      </c>
      <c r="DC276" t="s">
        <v>1916</v>
      </c>
      <c r="DD276">
        <v>2</v>
      </c>
      <c r="DE276" t="s">
        <v>404</v>
      </c>
      <c r="DF276" t="s">
        <v>1917</v>
      </c>
      <c r="DG276" t="s">
        <v>1918</v>
      </c>
      <c r="DL276" t="s">
        <v>170</v>
      </c>
      <c r="DM276" t="s">
        <v>169</v>
      </c>
      <c r="DP276" t="s">
        <v>170</v>
      </c>
      <c r="DQ276" t="s">
        <v>187</v>
      </c>
      <c r="EB276">
        <v>9</v>
      </c>
      <c r="EC276">
        <v>10</v>
      </c>
      <c r="EE276" t="s">
        <v>1919</v>
      </c>
      <c r="EF276">
        <v>10</v>
      </c>
      <c r="EU276">
        <v>5500</v>
      </c>
      <c r="EW276">
        <v>0</v>
      </c>
      <c r="EX276">
        <v>0</v>
      </c>
      <c r="EY276">
        <v>0</v>
      </c>
      <c r="FA276">
        <v>7.7</v>
      </c>
      <c r="FG276">
        <v>249</v>
      </c>
      <c r="FH276">
        <v>228</v>
      </c>
      <c r="FI276">
        <v>240</v>
      </c>
    </row>
    <row r="277" spans="1:165" x14ac:dyDescent="0.35">
      <c r="A277">
        <v>2025</v>
      </c>
      <c r="B277" t="s">
        <v>439</v>
      </c>
      <c r="C277" t="s">
        <v>440</v>
      </c>
      <c r="D277" t="s">
        <v>1915</v>
      </c>
      <c r="E277" t="s">
        <v>442</v>
      </c>
      <c r="F277">
        <v>86</v>
      </c>
      <c r="G277">
        <v>0</v>
      </c>
      <c r="I277" t="s">
        <v>1734</v>
      </c>
      <c r="J277">
        <v>32</v>
      </c>
      <c r="K277">
        <v>35</v>
      </c>
      <c r="L277">
        <v>34</v>
      </c>
      <c r="M277">
        <v>22.6</v>
      </c>
      <c r="N277">
        <v>24.7</v>
      </c>
      <c r="O277">
        <v>23.545000000000002</v>
      </c>
      <c r="P277">
        <v>32.293799999999997</v>
      </c>
      <c r="Q277">
        <v>35.274700000000003</v>
      </c>
      <c r="R277">
        <v>33.635199999999998</v>
      </c>
      <c r="V277" t="s">
        <v>167</v>
      </c>
      <c r="W277" t="s">
        <v>168</v>
      </c>
      <c r="Y277">
        <v>1</v>
      </c>
      <c r="Z277" t="s">
        <v>170</v>
      </c>
      <c r="AA277" t="s">
        <v>170</v>
      </c>
      <c r="AB277" t="s">
        <v>167</v>
      </c>
      <c r="AC277" t="s">
        <v>213</v>
      </c>
      <c r="AF277">
        <v>240</v>
      </c>
      <c r="AG277" t="s">
        <v>1735</v>
      </c>
      <c r="AH277" t="s">
        <v>1736</v>
      </c>
      <c r="AI277" t="s">
        <v>1742</v>
      </c>
      <c r="AJ277" t="s">
        <v>1743</v>
      </c>
      <c r="AK277" t="s">
        <v>940</v>
      </c>
      <c r="AL277" t="s">
        <v>941</v>
      </c>
      <c r="AS277">
        <v>800</v>
      </c>
      <c r="AT277">
        <v>800</v>
      </c>
      <c r="BQ277">
        <v>31</v>
      </c>
      <c r="BR277" t="s">
        <v>1219</v>
      </c>
      <c r="BT277" t="s">
        <v>1738</v>
      </c>
      <c r="BU277" s="1">
        <v>45679</v>
      </c>
      <c r="BV277">
        <v>35958</v>
      </c>
      <c r="BX277" t="s">
        <v>170</v>
      </c>
      <c r="BY277" t="s">
        <v>170</v>
      </c>
      <c r="CB277" t="s">
        <v>170</v>
      </c>
      <c r="CC277" t="s">
        <v>170</v>
      </c>
      <c r="CK277" t="s">
        <v>233</v>
      </c>
      <c r="CM277">
        <v>1</v>
      </c>
      <c r="CN277" t="s">
        <v>234</v>
      </c>
      <c r="CP277">
        <v>325</v>
      </c>
      <c r="CQ277">
        <v>223</v>
      </c>
      <c r="CR277">
        <v>131</v>
      </c>
      <c r="CS277" t="s">
        <v>235</v>
      </c>
      <c r="CV277" t="s">
        <v>341</v>
      </c>
      <c r="CX277" t="s">
        <v>342</v>
      </c>
      <c r="CY277" t="s">
        <v>170</v>
      </c>
      <c r="DC277" t="s">
        <v>1916</v>
      </c>
      <c r="DD277">
        <v>2</v>
      </c>
      <c r="DE277" t="s">
        <v>404</v>
      </c>
      <c r="DF277" t="s">
        <v>1917</v>
      </c>
      <c r="DG277" t="s">
        <v>1918</v>
      </c>
      <c r="DL277" t="s">
        <v>170</v>
      </c>
      <c r="DM277" t="s">
        <v>169</v>
      </c>
      <c r="DP277" t="s">
        <v>170</v>
      </c>
      <c r="DQ277" t="s">
        <v>187</v>
      </c>
      <c r="EB277">
        <v>9</v>
      </c>
      <c r="EC277">
        <v>10</v>
      </c>
      <c r="EE277" t="s">
        <v>1919</v>
      </c>
      <c r="EF277">
        <v>10</v>
      </c>
      <c r="EU277">
        <v>5500</v>
      </c>
      <c r="EW277">
        <v>0</v>
      </c>
      <c r="EX277">
        <v>0</v>
      </c>
      <c r="EY277">
        <v>0</v>
      </c>
      <c r="FA277">
        <v>7.7</v>
      </c>
      <c r="FG277">
        <v>249</v>
      </c>
      <c r="FH277">
        <v>228</v>
      </c>
      <c r="FI277">
        <v>240</v>
      </c>
    </row>
    <row r="278" spans="1:165" x14ac:dyDescent="0.35">
      <c r="A278" s="25"/>
      <c r="B278" s="25"/>
      <c r="C278" s="25"/>
      <c r="D278" s="25"/>
      <c r="E278" s="25"/>
      <c r="F278" s="25" t="str">
        <f>_xlfn.CONCAT($A279," ",$B279," ",$D279)</f>
        <v>2025 Ford Motor Company MUSTANG MACH-E RWD</v>
      </c>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c r="AD278" s="25" t="str">
        <f>_xlfn.CONCAT($A279," ",$B279," ",$D279)</f>
        <v>2025 Ford Motor Company MUSTANG MACH-E RWD</v>
      </c>
      <c r="AE278" s="25"/>
      <c r="AF278" s="25"/>
      <c r="AG278" s="25"/>
      <c r="AH278" s="25"/>
      <c r="AI278" s="25"/>
      <c r="AJ278" s="25"/>
      <c r="AK278" s="25"/>
      <c r="AL278" s="25"/>
      <c r="AM278" s="25"/>
      <c r="AN278" s="25"/>
      <c r="AO278" s="25"/>
      <c r="AP278" s="25"/>
      <c r="AQ278" s="25"/>
      <c r="AR278" s="25"/>
      <c r="AS278" s="25"/>
      <c r="AT278" s="25"/>
      <c r="AU278" s="25"/>
      <c r="AV278" s="25"/>
      <c r="AW278" s="25"/>
      <c r="AX278" s="25" t="str">
        <f>_xlfn.CONCAT($A279," ",$B279," ",$D279)</f>
        <v>2025 Ford Motor Company MUSTANG MACH-E RWD</v>
      </c>
      <c r="AY278" s="25"/>
      <c r="AZ278" s="25"/>
      <c r="BA278" s="25"/>
      <c r="BB278" s="25"/>
      <c r="BC278" s="25"/>
      <c r="BD278" s="25"/>
      <c r="BE278" s="25"/>
      <c r="BF278" s="25"/>
      <c r="BG278" s="25"/>
      <c r="BH278" s="25"/>
      <c r="BI278" s="25"/>
      <c r="BJ278" s="25"/>
      <c r="BK278" s="25"/>
      <c r="BL278" s="25"/>
      <c r="BM278" s="25"/>
      <c r="BN278" s="25"/>
      <c r="BO278" s="25"/>
      <c r="BP278" s="25"/>
      <c r="BQ278" s="25"/>
      <c r="BR278" s="25" t="str">
        <f>_xlfn.CONCAT($A279," ",$B279," ",$D279)</f>
        <v>2025 Ford Motor Company MUSTANG MACH-E RWD</v>
      </c>
      <c r="BS278" s="25"/>
      <c r="BT278" s="25"/>
      <c r="BU278" s="25"/>
      <c r="BV278" s="25"/>
      <c r="BX278" s="25"/>
      <c r="BY278" s="25"/>
      <c r="BZ278" s="25"/>
      <c r="CA278" s="25"/>
      <c r="CB278" s="25"/>
      <c r="CC278" s="25"/>
      <c r="CD278" s="25"/>
      <c r="CE278" s="25"/>
      <c r="CF278" s="25"/>
      <c r="CG278" s="25"/>
      <c r="CH278" s="25"/>
      <c r="CI278" s="25"/>
      <c r="CJ278" s="25"/>
      <c r="CK278" s="25"/>
      <c r="CL278" s="25"/>
      <c r="CM278" s="25"/>
      <c r="CN278" s="25"/>
      <c r="CO278" s="25"/>
      <c r="CP278" s="25" t="str">
        <f>_xlfn.CONCAT($A279," ",$B279," ",$D279)</f>
        <v>2025 Ford Motor Company MUSTANG MACH-E RWD</v>
      </c>
      <c r="CQ278" s="25"/>
      <c r="CR278" s="25"/>
      <c r="CS278" s="25"/>
      <c r="CT278" s="25"/>
      <c r="CU278" s="25"/>
      <c r="CV278" s="25"/>
      <c r="CW278" s="25"/>
      <c r="CX278" s="25"/>
      <c r="CY278" s="25"/>
      <c r="CZ278" s="25"/>
      <c r="DA278" s="25"/>
      <c r="DB278" s="25"/>
      <c r="DC278" s="25"/>
      <c r="DD278" s="25"/>
      <c r="DE278" s="25"/>
      <c r="DF278" s="25"/>
      <c r="DG278" s="25"/>
      <c r="DH278" s="25"/>
      <c r="DI278" s="25" t="str">
        <f>_xlfn.CONCAT($A279," ",$B279," ",$D279)</f>
        <v>2025 Ford Motor Company MUSTANG MACH-E RWD</v>
      </c>
      <c r="DJ278" s="25"/>
      <c r="DK278" s="25"/>
      <c r="DL278" s="25"/>
      <c r="DM278" s="25"/>
      <c r="DN278" s="25"/>
      <c r="DO278" s="25"/>
      <c r="DP278" s="25"/>
      <c r="DQ278" s="25"/>
      <c r="DR278" s="25"/>
      <c r="DS278" s="25"/>
      <c r="DT278" s="25"/>
      <c r="DU278" s="25"/>
      <c r="DV278" s="25"/>
      <c r="DW278" s="25"/>
      <c r="DX278" s="25"/>
      <c r="DY278" s="25"/>
      <c r="DZ278" s="25" t="str">
        <f>_xlfn.CONCAT($A279," ",$B279," ",$D279)</f>
        <v>2025 Ford Motor Company MUSTANG MACH-E RWD</v>
      </c>
      <c r="EB278" s="25"/>
      <c r="EC278" s="25"/>
      <c r="ED278" s="25"/>
      <c r="EE278" s="25"/>
      <c r="EF278" s="25"/>
      <c r="EG278" s="25"/>
      <c r="EH278" s="25"/>
      <c r="EI278" s="25"/>
      <c r="EJ278" s="25"/>
      <c r="EK278" s="25"/>
      <c r="EL278" s="25"/>
      <c r="EM278" s="25"/>
      <c r="EN278" s="25"/>
      <c r="EO278" s="25"/>
      <c r="EP278" s="25"/>
      <c r="EQ278" s="25"/>
      <c r="ER278" s="25"/>
      <c r="ES278" s="25"/>
      <c r="ET278" s="25"/>
      <c r="EU278" s="25"/>
      <c r="EV278" s="25" t="str">
        <f>_xlfn.CONCAT($A279," ",$B279," ",$D279)</f>
        <v>2025 Ford Motor Company MUSTANG MACH-E RWD</v>
      </c>
      <c r="EW278" s="25"/>
      <c r="EX278" s="25"/>
      <c r="EY278" s="25"/>
      <c r="EZ278" s="25"/>
      <c r="FA278" s="25"/>
      <c r="FB278" s="25"/>
      <c r="FC278" s="25"/>
      <c r="FD278" s="25"/>
      <c r="FE278" s="25"/>
      <c r="FF278" s="25"/>
      <c r="FG278" s="25"/>
    </row>
    <row r="279" spans="1:165" x14ac:dyDescent="0.35">
      <c r="A279">
        <v>2025</v>
      </c>
      <c r="B279" t="s">
        <v>439</v>
      </c>
      <c r="C279" t="s">
        <v>440</v>
      </c>
      <c r="D279" t="s">
        <v>1925</v>
      </c>
      <c r="E279" t="s">
        <v>442</v>
      </c>
      <c r="F279">
        <v>87</v>
      </c>
      <c r="G279">
        <v>0</v>
      </c>
      <c r="I279" t="s">
        <v>1734</v>
      </c>
      <c r="J279">
        <v>111</v>
      </c>
      <c r="K279">
        <v>103</v>
      </c>
      <c r="L279">
        <v>107</v>
      </c>
      <c r="M279">
        <v>158.6</v>
      </c>
      <c r="N279">
        <v>147</v>
      </c>
      <c r="O279">
        <v>153.16120000000001</v>
      </c>
      <c r="P279">
        <v>111.02</v>
      </c>
      <c r="Q279">
        <v>102.9</v>
      </c>
      <c r="R279">
        <v>107.2128</v>
      </c>
      <c r="V279" t="s">
        <v>167</v>
      </c>
      <c r="W279" t="s">
        <v>168</v>
      </c>
      <c r="Y279">
        <v>1</v>
      </c>
      <c r="Z279" t="s">
        <v>170</v>
      </c>
      <c r="AA279" t="s">
        <v>170</v>
      </c>
      <c r="AB279" t="s">
        <v>171</v>
      </c>
      <c r="AC279" t="s">
        <v>172</v>
      </c>
      <c r="AF279">
        <v>260</v>
      </c>
      <c r="AG279" t="s">
        <v>1735</v>
      </c>
      <c r="AH279" t="s">
        <v>1736</v>
      </c>
      <c r="AI279" t="s">
        <v>175</v>
      </c>
      <c r="AJ279" t="s">
        <v>176</v>
      </c>
      <c r="AK279" t="s">
        <v>940</v>
      </c>
      <c r="AL279" t="s">
        <v>941</v>
      </c>
      <c r="AS279">
        <v>750</v>
      </c>
      <c r="AT279">
        <v>0</v>
      </c>
      <c r="BQ279">
        <v>30</v>
      </c>
      <c r="BR279" t="s">
        <v>1099</v>
      </c>
      <c r="BT279" t="s">
        <v>1738</v>
      </c>
      <c r="BU279" s="1">
        <v>45663</v>
      </c>
      <c r="BV279">
        <v>35954</v>
      </c>
      <c r="BX279" t="s">
        <v>170</v>
      </c>
      <c r="BY279" t="s">
        <v>170</v>
      </c>
      <c r="CB279" t="s">
        <v>170</v>
      </c>
      <c r="CC279" t="s">
        <v>170</v>
      </c>
      <c r="CK279" t="s">
        <v>233</v>
      </c>
      <c r="CM279">
        <v>1</v>
      </c>
      <c r="CN279" t="s">
        <v>234</v>
      </c>
      <c r="CP279">
        <v>325</v>
      </c>
      <c r="CQ279">
        <v>223</v>
      </c>
      <c r="CR279">
        <v>131</v>
      </c>
      <c r="CS279" t="s">
        <v>235</v>
      </c>
      <c r="CV279" t="s">
        <v>341</v>
      </c>
      <c r="CX279" t="s">
        <v>342</v>
      </c>
      <c r="CY279" t="s">
        <v>170</v>
      </c>
      <c r="DC279" t="s">
        <v>1926</v>
      </c>
      <c r="DD279">
        <v>1</v>
      </c>
      <c r="DE279" t="s">
        <v>404</v>
      </c>
      <c r="DF279" t="s">
        <v>1903</v>
      </c>
      <c r="DG279">
        <v>197</v>
      </c>
      <c r="DL279" t="s">
        <v>170</v>
      </c>
      <c r="DM279" t="s">
        <v>169</v>
      </c>
      <c r="DP279" t="s">
        <v>170</v>
      </c>
      <c r="DQ279" t="s">
        <v>187</v>
      </c>
      <c r="EB279">
        <v>9</v>
      </c>
      <c r="EC279">
        <v>10</v>
      </c>
      <c r="EE279" t="s">
        <v>1927</v>
      </c>
      <c r="EF279">
        <v>10</v>
      </c>
      <c r="EU279">
        <v>5750</v>
      </c>
      <c r="EW279">
        <v>0</v>
      </c>
      <c r="EX279">
        <v>0</v>
      </c>
      <c r="EY279">
        <v>0</v>
      </c>
      <c r="FA279">
        <v>7.8</v>
      </c>
      <c r="FG279">
        <v>269</v>
      </c>
      <c r="FH279">
        <v>249</v>
      </c>
      <c r="FI279">
        <v>260</v>
      </c>
    </row>
    <row r="280" spans="1:165" x14ac:dyDescent="0.35">
      <c r="A280">
        <v>2025</v>
      </c>
      <c r="B280" t="s">
        <v>439</v>
      </c>
      <c r="C280" t="s">
        <v>440</v>
      </c>
      <c r="D280" t="s">
        <v>1925</v>
      </c>
      <c r="E280" t="s">
        <v>442</v>
      </c>
      <c r="F280">
        <v>87</v>
      </c>
      <c r="G280">
        <v>0</v>
      </c>
      <c r="I280" t="s">
        <v>1734</v>
      </c>
      <c r="J280">
        <v>30</v>
      </c>
      <c r="K280">
        <v>33</v>
      </c>
      <c r="L280">
        <v>31</v>
      </c>
      <c r="M280">
        <v>21.3</v>
      </c>
      <c r="N280">
        <v>22.9</v>
      </c>
      <c r="O280">
        <v>22.02</v>
      </c>
      <c r="P280">
        <v>30.359400000000001</v>
      </c>
      <c r="Q280">
        <v>32.755099999999999</v>
      </c>
      <c r="R280">
        <v>31.4375</v>
      </c>
      <c r="V280" t="s">
        <v>167</v>
      </c>
      <c r="W280" t="s">
        <v>168</v>
      </c>
      <c r="Y280">
        <v>1</v>
      </c>
      <c r="Z280" t="s">
        <v>170</v>
      </c>
      <c r="AA280" t="s">
        <v>170</v>
      </c>
      <c r="AB280" t="s">
        <v>171</v>
      </c>
      <c r="AC280" t="s">
        <v>172</v>
      </c>
      <c r="AF280">
        <v>260</v>
      </c>
      <c r="AG280" t="s">
        <v>1735</v>
      </c>
      <c r="AH280" t="s">
        <v>1736</v>
      </c>
      <c r="AI280" t="s">
        <v>1742</v>
      </c>
      <c r="AJ280" t="s">
        <v>1743</v>
      </c>
      <c r="AK280" t="s">
        <v>940</v>
      </c>
      <c r="AL280" t="s">
        <v>941</v>
      </c>
      <c r="AS280">
        <v>750</v>
      </c>
      <c r="AT280">
        <v>750</v>
      </c>
      <c r="BQ280">
        <v>30</v>
      </c>
      <c r="BR280" t="s">
        <v>1099</v>
      </c>
      <c r="BT280" t="s">
        <v>1738</v>
      </c>
      <c r="BU280" s="1">
        <v>45663</v>
      </c>
      <c r="BV280">
        <v>35954</v>
      </c>
      <c r="BX280" t="s">
        <v>170</v>
      </c>
      <c r="BY280" t="s">
        <v>170</v>
      </c>
      <c r="CB280" t="s">
        <v>170</v>
      </c>
      <c r="CC280" t="s">
        <v>170</v>
      </c>
      <c r="CK280" t="s">
        <v>233</v>
      </c>
      <c r="CM280">
        <v>1</v>
      </c>
      <c r="CN280" t="s">
        <v>234</v>
      </c>
      <c r="CP280">
        <v>325</v>
      </c>
      <c r="CQ280">
        <v>223</v>
      </c>
      <c r="CR280">
        <v>131</v>
      </c>
      <c r="CS280" t="s">
        <v>235</v>
      </c>
      <c r="CV280" t="s">
        <v>341</v>
      </c>
      <c r="CX280" t="s">
        <v>342</v>
      </c>
      <c r="CY280" t="s">
        <v>170</v>
      </c>
      <c r="DC280" t="s">
        <v>1926</v>
      </c>
      <c r="DD280">
        <v>1</v>
      </c>
      <c r="DE280" t="s">
        <v>404</v>
      </c>
      <c r="DF280" t="s">
        <v>1903</v>
      </c>
      <c r="DG280">
        <v>197</v>
      </c>
      <c r="DL280" t="s">
        <v>170</v>
      </c>
      <c r="DM280" t="s">
        <v>169</v>
      </c>
      <c r="DP280" t="s">
        <v>170</v>
      </c>
      <c r="DQ280" t="s">
        <v>187</v>
      </c>
      <c r="EB280">
        <v>9</v>
      </c>
      <c r="EC280">
        <v>10</v>
      </c>
      <c r="EE280" t="s">
        <v>1927</v>
      </c>
      <c r="EF280">
        <v>10</v>
      </c>
      <c r="EU280">
        <v>5750</v>
      </c>
      <c r="EW280">
        <v>0</v>
      </c>
      <c r="EX280">
        <v>0</v>
      </c>
      <c r="EY280">
        <v>0</v>
      </c>
      <c r="FA280">
        <v>7.8</v>
      </c>
      <c r="FG280">
        <v>269</v>
      </c>
      <c r="FH280">
        <v>249</v>
      </c>
      <c r="FI280">
        <v>260</v>
      </c>
    </row>
    <row r="281" spans="1:165" x14ac:dyDescent="0.35">
      <c r="A281" s="25"/>
      <c r="B281" s="25"/>
      <c r="C281" s="25"/>
      <c r="D281" s="25"/>
      <c r="E281" s="25"/>
      <c r="F281" s="25" t="str">
        <f>_xlfn.CONCAT($A282," ",$B282," ",$D282)</f>
        <v>2025 Ford Motor Company MUSTANG MACH-E RWD EXTENDED</v>
      </c>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c r="AD281" s="25" t="str">
        <f>_xlfn.CONCAT($A282," ",$B282," ",$D282)</f>
        <v>2025 Ford Motor Company MUSTANG MACH-E RWD EXTENDED</v>
      </c>
      <c r="AE281" s="25"/>
      <c r="AF281" s="25"/>
      <c r="AG281" s="25"/>
      <c r="AH281" s="25"/>
      <c r="AI281" s="25"/>
      <c r="AJ281" s="25"/>
      <c r="AK281" s="25"/>
      <c r="AL281" s="25"/>
      <c r="AM281" s="25"/>
      <c r="AN281" s="25"/>
      <c r="AO281" s="25"/>
      <c r="AP281" s="25"/>
      <c r="AQ281" s="25"/>
      <c r="AR281" s="25"/>
      <c r="AS281" s="25"/>
      <c r="AT281" s="25"/>
      <c r="AU281" s="25"/>
      <c r="AV281" s="25"/>
      <c r="AW281" s="25"/>
      <c r="AX281" s="25" t="str">
        <f>_xlfn.CONCAT($A282," ",$B282," ",$D282)</f>
        <v>2025 Ford Motor Company MUSTANG MACH-E RWD EXTENDED</v>
      </c>
      <c r="AY281" s="25"/>
      <c r="AZ281" s="25"/>
      <c r="BA281" s="25"/>
      <c r="BB281" s="25"/>
      <c r="BC281" s="25"/>
      <c r="BD281" s="25"/>
      <c r="BE281" s="25"/>
      <c r="BF281" s="25"/>
      <c r="BG281" s="25"/>
      <c r="BH281" s="25"/>
      <c r="BI281" s="25"/>
      <c r="BJ281" s="25"/>
      <c r="BK281" s="25"/>
      <c r="BL281" s="25"/>
      <c r="BM281" s="25"/>
      <c r="BN281" s="25"/>
      <c r="BO281" s="25"/>
      <c r="BP281" s="25"/>
      <c r="BQ281" s="25"/>
      <c r="BR281" s="25" t="str">
        <f>_xlfn.CONCAT($A282," ",$B282," ",$D282)</f>
        <v>2025 Ford Motor Company MUSTANG MACH-E RWD EXTENDED</v>
      </c>
      <c r="BS281" s="25"/>
      <c r="BT281" s="25"/>
      <c r="BU281" s="25"/>
      <c r="BV281" s="25"/>
      <c r="BX281" s="25"/>
      <c r="BY281" s="25"/>
      <c r="BZ281" s="25"/>
      <c r="CA281" s="25"/>
      <c r="CB281" s="25"/>
      <c r="CC281" s="25"/>
      <c r="CD281" s="25"/>
      <c r="CE281" s="25"/>
      <c r="CF281" s="25"/>
      <c r="CG281" s="25"/>
      <c r="CH281" s="25"/>
      <c r="CI281" s="25"/>
      <c r="CJ281" s="25"/>
      <c r="CK281" s="25"/>
      <c r="CL281" s="25"/>
      <c r="CM281" s="25"/>
      <c r="CN281" s="25"/>
      <c r="CO281" s="25"/>
      <c r="CP281" s="25" t="str">
        <f>_xlfn.CONCAT($A282," ",$B282," ",$D282)</f>
        <v>2025 Ford Motor Company MUSTANG MACH-E RWD EXTENDED</v>
      </c>
      <c r="CQ281" s="25"/>
      <c r="CR281" s="25"/>
      <c r="CS281" s="25"/>
      <c r="CT281" s="25"/>
      <c r="CU281" s="25"/>
      <c r="CV281" s="25"/>
      <c r="CW281" s="25"/>
      <c r="CX281" s="25"/>
      <c r="CY281" s="25"/>
      <c r="CZ281" s="25"/>
      <c r="DA281" s="25"/>
      <c r="DB281" s="25"/>
      <c r="DC281" s="25"/>
      <c r="DD281" s="25"/>
      <c r="DE281" s="25"/>
      <c r="DF281" s="25"/>
      <c r="DG281" s="25"/>
      <c r="DH281" s="25"/>
      <c r="DI281" s="25" t="str">
        <f>_xlfn.CONCAT($A282," ",$B282," ",$D282)</f>
        <v>2025 Ford Motor Company MUSTANG MACH-E RWD EXTENDED</v>
      </c>
      <c r="DJ281" s="25"/>
      <c r="DK281" s="25"/>
      <c r="DL281" s="25"/>
      <c r="DM281" s="25"/>
      <c r="DN281" s="25"/>
      <c r="DO281" s="25"/>
      <c r="DP281" s="25"/>
      <c r="DQ281" s="25"/>
      <c r="DR281" s="25"/>
      <c r="DS281" s="25"/>
      <c r="DT281" s="25"/>
      <c r="DU281" s="25"/>
      <c r="DV281" s="25"/>
      <c r="DW281" s="25"/>
      <c r="DX281" s="25"/>
      <c r="DY281" s="25"/>
      <c r="DZ281" s="25" t="str">
        <f>_xlfn.CONCAT($A282," ",$B282," ",$D282)</f>
        <v>2025 Ford Motor Company MUSTANG MACH-E RWD EXTENDED</v>
      </c>
      <c r="EB281" s="25"/>
      <c r="EC281" s="25"/>
      <c r="ED281" s="25"/>
      <c r="EE281" s="25"/>
      <c r="EF281" s="25"/>
      <c r="EG281" s="25"/>
      <c r="EH281" s="25"/>
      <c r="EI281" s="25"/>
      <c r="EJ281" s="25"/>
      <c r="EK281" s="25"/>
      <c r="EL281" s="25"/>
      <c r="EM281" s="25"/>
      <c r="EN281" s="25"/>
      <c r="EO281" s="25"/>
      <c r="EP281" s="25"/>
      <c r="EQ281" s="25"/>
      <c r="ER281" s="25"/>
      <c r="ES281" s="25"/>
      <c r="ET281" s="25"/>
      <c r="EU281" s="25"/>
      <c r="EV281" s="25" t="str">
        <f>_xlfn.CONCAT($A282," ",$B282," ",$D282)</f>
        <v>2025 Ford Motor Company MUSTANG MACH-E RWD EXTENDED</v>
      </c>
      <c r="EW281" s="25"/>
      <c r="EX281" s="25"/>
      <c r="EY281" s="25"/>
      <c r="EZ281" s="25"/>
      <c r="FA281" s="25"/>
      <c r="FB281" s="25"/>
      <c r="FC281" s="25"/>
      <c r="FD281" s="25"/>
      <c r="FE281" s="25"/>
      <c r="FF281" s="25"/>
      <c r="FG281" s="25"/>
    </row>
    <row r="282" spans="1:165" x14ac:dyDescent="0.35">
      <c r="A282">
        <v>2025</v>
      </c>
      <c r="B282" t="s">
        <v>439</v>
      </c>
      <c r="C282" t="s">
        <v>440</v>
      </c>
      <c r="D282" t="s">
        <v>1928</v>
      </c>
      <c r="E282" t="s">
        <v>442</v>
      </c>
      <c r="F282">
        <v>88</v>
      </c>
      <c r="G282">
        <v>0</v>
      </c>
      <c r="I282" t="s">
        <v>1734</v>
      </c>
      <c r="J282">
        <v>115</v>
      </c>
      <c r="K282">
        <v>104</v>
      </c>
      <c r="L282">
        <v>110</v>
      </c>
      <c r="M282">
        <v>164.7</v>
      </c>
      <c r="N282">
        <v>148.5</v>
      </c>
      <c r="O282">
        <v>156.9931</v>
      </c>
      <c r="P282">
        <v>115.29</v>
      </c>
      <c r="Q282">
        <v>103.95</v>
      </c>
      <c r="R282">
        <v>109.8951</v>
      </c>
      <c r="V282" t="s">
        <v>167</v>
      </c>
      <c r="W282" t="s">
        <v>168</v>
      </c>
      <c r="Y282">
        <v>1</v>
      </c>
      <c r="Z282" t="s">
        <v>170</v>
      </c>
      <c r="AA282" t="s">
        <v>170</v>
      </c>
      <c r="AB282" t="s">
        <v>171</v>
      </c>
      <c r="AC282" t="s">
        <v>172</v>
      </c>
      <c r="AF282">
        <v>320</v>
      </c>
      <c r="AG282" t="s">
        <v>1735</v>
      </c>
      <c r="AH282" t="s">
        <v>1736</v>
      </c>
      <c r="AI282" t="s">
        <v>175</v>
      </c>
      <c r="AJ282" t="s">
        <v>176</v>
      </c>
      <c r="AK282" t="s">
        <v>940</v>
      </c>
      <c r="AL282" t="s">
        <v>941</v>
      </c>
      <c r="AS282">
        <v>750</v>
      </c>
      <c r="AT282">
        <v>0</v>
      </c>
      <c r="BQ282">
        <v>30</v>
      </c>
      <c r="BR282" t="s">
        <v>1099</v>
      </c>
      <c r="BT282" t="s">
        <v>1738</v>
      </c>
      <c r="BU282" s="1">
        <v>45679</v>
      </c>
      <c r="BV282">
        <v>35955</v>
      </c>
      <c r="BX282" t="s">
        <v>170</v>
      </c>
      <c r="BY282" t="s">
        <v>170</v>
      </c>
      <c r="CB282" t="s">
        <v>170</v>
      </c>
      <c r="CC282" t="s">
        <v>170</v>
      </c>
      <c r="CK282" t="s">
        <v>233</v>
      </c>
      <c r="CM282">
        <v>1</v>
      </c>
      <c r="CN282" t="s">
        <v>234</v>
      </c>
      <c r="CP282">
        <v>315</v>
      </c>
      <c r="CQ282">
        <v>279</v>
      </c>
      <c r="CR282">
        <v>163</v>
      </c>
      <c r="CS282" t="s">
        <v>235</v>
      </c>
      <c r="CV282" t="s">
        <v>341</v>
      </c>
      <c r="CX282" t="s">
        <v>342</v>
      </c>
      <c r="CY282" t="s">
        <v>170</v>
      </c>
      <c r="DC282" t="s">
        <v>1926</v>
      </c>
      <c r="DD282">
        <v>1</v>
      </c>
      <c r="DE282" t="s">
        <v>404</v>
      </c>
      <c r="DF282" t="s">
        <v>1903</v>
      </c>
      <c r="DG282">
        <v>207</v>
      </c>
      <c r="DL282" t="s">
        <v>170</v>
      </c>
      <c r="DM282" t="s">
        <v>169</v>
      </c>
      <c r="DP282" t="s">
        <v>170</v>
      </c>
      <c r="DQ282" t="s">
        <v>187</v>
      </c>
      <c r="EB282">
        <v>9</v>
      </c>
      <c r="EC282">
        <v>10</v>
      </c>
      <c r="EE282" t="s">
        <v>1929</v>
      </c>
      <c r="EF282">
        <v>10</v>
      </c>
      <c r="EU282">
        <v>5750</v>
      </c>
      <c r="EW282">
        <v>0</v>
      </c>
      <c r="EX282">
        <v>0</v>
      </c>
      <c r="EY282">
        <v>0</v>
      </c>
      <c r="FA282">
        <v>9.6</v>
      </c>
      <c r="FG282">
        <v>335</v>
      </c>
      <c r="FH282">
        <v>302</v>
      </c>
      <c r="FI282">
        <v>320</v>
      </c>
    </row>
    <row r="283" spans="1:165" x14ac:dyDescent="0.35">
      <c r="A283">
        <v>2025</v>
      </c>
      <c r="B283" t="s">
        <v>439</v>
      </c>
      <c r="C283" t="s">
        <v>440</v>
      </c>
      <c r="D283" t="s">
        <v>1928</v>
      </c>
      <c r="E283" t="s">
        <v>442</v>
      </c>
      <c r="F283">
        <v>88</v>
      </c>
      <c r="G283">
        <v>0</v>
      </c>
      <c r="I283" t="s">
        <v>1734</v>
      </c>
      <c r="J283">
        <v>29</v>
      </c>
      <c r="K283">
        <v>32</v>
      </c>
      <c r="L283">
        <v>31</v>
      </c>
      <c r="M283">
        <v>20.5</v>
      </c>
      <c r="N283">
        <v>22.7</v>
      </c>
      <c r="O283">
        <v>21.49</v>
      </c>
      <c r="P283">
        <v>29.234999999999999</v>
      </c>
      <c r="Q283">
        <v>32.424199999999999</v>
      </c>
      <c r="R283">
        <v>30.670100000000001</v>
      </c>
      <c r="V283" t="s">
        <v>167</v>
      </c>
      <c r="W283" t="s">
        <v>168</v>
      </c>
      <c r="Y283">
        <v>1</v>
      </c>
      <c r="Z283" t="s">
        <v>170</v>
      </c>
      <c r="AA283" t="s">
        <v>170</v>
      </c>
      <c r="AB283" t="s">
        <v>171</v>
      </c>
      <c r="AC283" t="s">
        <v>172</v>
      </c>
      <c r="AF283">
        <v>320</v>
      </c>
      <c r="AG283" t="s">
        <v>1735</v>
      </c>
      <c r="AH283" t="s">
        <v>1736</v>
      </c>
      <c r="AI283" t="s">
        <v>1742</v>
      </c>
      <c r="AJ283" t="s">
        <v>1743</v>
      </c>
      <c r="AK283" t="s">
        <v>940</v>
      </c>
      <c r="AL283" t="s">
        <v>941</v>
      </c>
      <c r="AS283">
        <v>750</v>
      </c>
      <c r="AT283">
        <v>750</v>
      </c>
      <c r="BQ283">
        <v>30</v>
      </c>
      <c r="BR283" t="s">
        <v>1099</v>
      </c>
      <c r="BT283" t="s">
        <v>1738</v>
      </c>
      <c r="BU283" s="1">
        <v>45679</v>
      </c>
      <c r="BV283">
        <v>35955</v>
      </c>
      <c r="BX283" t="s">
        <v>170</v>
      </c>
      <c r="BY283" t="s">
        <v>170</v>
      </c>
      <c r="CB283" t="s">
        <v>170</v>
      </c>
      <c r="CC283" t="s">
        <v>170</v>
      </c>
      <c r="CK283" t="s">
        <v>233</v>
      </c>
      <c r="CM283">
        <v>1</v>
      </c>
      <c r="CN283" t="s">
        <v>234</v>
      </c>
      <c r="CP283">
        <v>315</v>
      </c>
      <c r="CQ283">
        <v>279</v>
      </c>
      <c r="CR283">
        <v>163</v>
      </c>
      <c r="CS283" t="s">
        <v>235</v>
      </c>
      <c r="CV283" t="s">
        <v>341</v>
      </c>
      <c r="CX283" t="s">
        <v>342</v>
      </c>
      <c r="CY283" t="s">
        <v>170</v>
      </c>
      <c r="DC283" t="s">
        <v>1926</v>
      </c>
      <c r="DD283">
        <v>1</v>
      </c>
      <c r="DE283" t="s">
        <v>404</v>
      </c>
      <c r="DF283" t="s">
        <v>1903</v>
      </c>
      <c r="DG283">
        <v>207</v>
      </c>
      <c r="DL283" t="s">
        <v>170</v>
      </c>
      <c r="DM283" t="s">
        <v>169</v>
      </c>
      <c r="DP283" t="s">
        <v>170</v>
      </c>
      <c r="DQ283" t="s">
        <v>187</v>
      </c>
      <c r="EB283">
        <v>9</v>
      </c>
      <c r="EC283">
        <v>10</v>
      </c>
      <c r="EE283" t="s">
        <v>1929</v>
      </c>
      <c r="EF283">
        <v>10</v>
      </c>
      <c r="EU283">
        <v>5750</v>
      </c>
      <c r="EW283">
        <v>0</v>
      </c>
      <c r="EX283">
        <v>0</v>
      </c>
      <c r="EY283">
        <v>0</v>
      </c>
      <c r="FA283">
        <v>9.6</v>
      </c>
      <c r="FG283">
        <v>335</v>
      </c>
      <c r="FH283">
        <v>302</v>
      </c>
      <c r="FI283">
        <v>320</v>
      </c>
    </row>
    <row r="284" spans="1:165" x14ac:dyDescent="0.35">
      <c r="A284" s="25"/>
      <c r="B284" s="25"/>
      <c r="C284" s="25"/>
      <c r="D284" s="25"/>
      <c r="E284" s="25"/>
      <c r="F284" s="25" t="str">
        <f>_xlfn.CONCAT($A285," ",$B285," ",$D285)</f>
        <v>2025 Ford Motor Company MUSTANG MACH-E RALLY</v>
      </c>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c r="AD284" s="25" t="str">
        <f>_xlfn.CONCAT($A285," ",$B285," ",$D285)</f>
        <v>2025 Ford Motor Company MUSTANG MACH-E RALLY</v>
      </c>
      <c r="AE284" s="25"/>
      <c r="AF284" s="25"/>
      <c r="AG284" s="25"/>
      <c r="AH284" s="25"/>
      <c r="AI284" s="25"/>
      <c r="AJ284" s="25"/>
      <c r="AK284" s="25"/>
      <c r="AL284" s="25"/>
      <c r="AM284" s="25"/>
      <c r="AN284" s="25"/>
      <c r="AO284" s="25"/>
      <c r="AP284" s="25"/>
      <c r="AQ284" s="25"/>
      <c r="AR284" s="25"/>
      <c r="AS284" s="25"/>
      <c r="AT284" s="25"/>
      <c r="AU284" s="25"/>
      <c r="AV284" s="25"/>
      <c r="AW284" s="25"/>
      <c r="AX284" s="25" t="str">
        <f>_xlfn.CONCAT($A285," ",$B285," ",$D285)</f>
        <v>2025 Ford Motor Company MUSTANG MACH-E RALLY</v>
      </c>
      <c r="AY284" s="25"/>
      <c r="AZ284" s="25"/>
      <c r="BA284" s="25"/>
      <c r="BB284" s="25"/>
      <c r="BC284" s="25"/>
      <c r="BD284" s="25"/>
      <c r="BE284" s="25"/>
      <c r="BF284" s="25"/>
      <c r="BG284" s="25"/>
      <c r="BH284" s="25"/>
      <c r="BI284" s="25"/>
      <c r="BJ284" s="25"/>
      <c r="BK284" s="25"/>
      <c r="BL284" s="25"/>
      <c r="BM284" s="25"/>
      <c r="BN284" s="25"/>
      <c r="BO284" s="25"/>
      <c r="BP284" s="25"/>
      <c r="BQ284" s="25"/>
      <c r="BR284" s="25" t="str">
        <f>_xlfn.CONCAT($A285," ",$B285," ",$D285)</f>
        <v>2025 Ford Motor Company MUSTANG MACH-E RALLY</v>
      </c>
      <c r="BS284" s="25"/>
      <c r="BT284" s="25"/>
      <c r="BU284" s="25"/>
      <c r="BV284" s="25"/>
      <c r="BX284" s="25"/>
      <c r="BY284" s="25"/>
      <c r="BZ284" s="25"/>
      <c r="CA284" s="25"/>
      <c r="CB284" s="25"/>
      <c r="CC284" s="25"/>
      <c r="CD284" s="25"/>
      <c r="CE284" s="25"/>
      <c r="CF284" s="25"/>
      <c r="CG284" s="25"/>
      <c r="CH284" s="25"/>
      <c r="CI284" s="25"/>
      <c r="CJ284" s="25"/>
      <c r="CK284" s="25"/>
      <c r="CL284" s="25"/>
      <c r="CM284" s="25"/>
      <c r="CN284" s="25"/>
      <c r="CO284" s="25"/>
      <c r="CP284" s="25" t="str">
        <f>_xlfn.CONCAT($A285," ",$B285," ",$D285)</f>
        <v>2025 Ford Motor Company MUSTANG MACH-E RALLY</v>
      </c>
      <c r="CQ284" s="25"/>
      <c r="CR284" s="25"/>
      <c r="CS284" s="25"/>
      <c r="CT284" s="25"/>
      <c r="CU284" s="25"/>
      <c r="CV284" s="25"/>
      <c r="CW284" s="25"/>
      <c r="CX284" s="25"/>
      <c r="CY284" s="25"/>
      <c r="CZ284" s="25"/>
      <c r="DA284" s="25"/>
      <c r="DB284" s="25"/>
      <c r="DC284" s="25"/>
      <c r="DD284" s="25"/>
      <c r="DE284" s="25"/>
      <c r="DF284" s="25"/>
      <c r="DG284" s="25"/>
      <c r="DH284" s="25"/>
      <c r="DI284" s="25" t="str">
        <f>_xlfn.CONCAT($A285," ",$B285," ",$D285)</f>
        <v>2025 Ford Motor Company MUSTANG MACH-E RALLY</v>
      </c>
      <c r="DJ284" s="25"/>
      <c r="DK284" s="25"/>
      <c r="DL284" s="25"/>
      <c r="DM284" s="25"/>
      <c r="DN284" s="25"/>
      <c r="DO284" s="25"/>
      <c r="DP284" s="25"/>
      <c r="DQ284" s="25"/>
      <c r="DR284" s="25"/>
      <c r="DS284" s="25"/>
      <c r="DT284" s="25"/>
      <c r="DU284" s="25"/>
      <c r="DV284" s="25"/>
      <c r="DW284" s="25"/>
      <c r="DX284" s="25"/>
      <c r="DY284" s="25"/>
      <c r="DZ284" s="25" t="str">
        <f>_xlfn.CONCAT($A285," ",$B285," ",$D285)</f>
        <v>2025 Ford Motor Company MUSTANG MACH-E RALLY</v>
      </c>
      <c r="EB284" s="25"/>
      <c r="EC284" s="25"/>
      <c r="ED284" s="25"/>
      <c r="EE284" s="25"/>
      <c r="EF284" s="25"/>
      <c r="EG284" s="25"/>
      <c r="EH284" s="25"/>
      <c r="EI284" s="25"/>
      <c r="EJ284" s="25"/>
      <c r="EK284" s="25"/>
      <c r="EL284" s="25"/>
      <c r="EM284" s="25"/>
      <c r="EN284" s="25"/>
      <c r="EO284" s="25"/>
      <c r="EP284" s="25"/>
      <c r="EQ284" s="25"/>
      <c r="ER284" s="25"/>
      <c r="ES284" s="25"/>
      <c r="ET284" s="25"/>
      <c r="EU284" s="25"/>
      <c r="EV284" s="25" t="str">
        <f>_xlfn.CONCAT($A285," ",$B285," ",$D285)</f>
        <v>2025 Ford Motor Company MUSTANG MACH-E RALLY</v>
      </c>
      <c r="EW284" s="25"/>
      <c r="EX284" s="25"/>
      <c r="EY284" s="25"/>
      <c r="EZ284" s="25"/>
      <c r="FA284" s="25"/>
      <c r="FB284" s="25"/>
      <c r="FC284" s="25"/>
      <c r="FD284" s="25"/>
      <c r="FE284" s="25"/>
      <c r="FF284" s="25"/>
      <c r="FG284" s="25"/>
    </row>
    <row r="285" spans="1:165" x14ac:dyDescent="0.35">
      <c r="A285">
        <v>2025</v>
      </c>
      <c r="B285" t="s">
        <v>439</v>
      </c>
      <c r="C285" t="s">
        <v>440</v>
      </c>
      <c r="D285" t="s">
        <v>1924</v>
      </c>
      <c r="E285" t="s">
        <v>442</v>
      </c>
      <c r="F285">
        <v>89</v>
      </c>
      <c r="G285">
        <v>0</v>
      </c>
      <c r="I285" t="s">
        <v>1734</v>
      </c>
      <c r="J285">
        <v>90</v>
      </c>
      <c r="K285">
        <v>81</v>
      </c>
      <c r="L285">
        <v>86</v>
      </c>
      <c r="M285">
        <v>128.4</v>
      </c>
      <c r="N285">
        <v>115.5</v>
      </c>
      <c r="O285">
        <v>122.2555</v>
      </c>
      <c r="P285">
        <v>89.88</v>
      </c>
      <c r="Q285">
        <v>80.849999999999994</v>
      </c>
      <c r="R285">
        <v>85.578800000000001</v>
      </c>
      <c r="V285" t="s">
        <v>167</v>
      </c>
      <c r="W285" t="s">
        <v>168</v>
      </c>
      <c r="Y285">
        <v>1</v>
      </c>
      <c r="Z285" t="s">
        <v>170</v>
      </c>
      <c r="AA285" t="s">
        <v>170</v>
      </c>
      <c r="AB285" t="s">
        <v>167</v>
      </c>
      <c r="AC285" t="s">
        <v>213</v>
      </c>
      <c r="AF285">
        <v>265</v>
      </c>
      <c r="AG285" t="s">
        <v>1735</v>
      </c>
      <c r="AH285" t="s">
        <v>1736</v>
      </c>
      <c r="AI285" t="s">
        <v>175</v>
      </c>
      <c r="AJ285" t="s">
        <v>176</v>
      </c>
      <c r="AK285" t="s">
        <v>940</v>
      </c>
      <c r="AL285" t="s">
        <v>941</v>
      </c>
      <c r="AS285">
        <v>950</v>
      </c>
      <c r="AT285">
        <v>50</v>
      </c>
      <c r="BQ285">
        <v>31</v>
      </c>
      <c r="BR285" t="s">
        <v>1219</v>
      </c>
      <c r="BT285" t="s">
        <v>1738</v>
      </c>
      <c r="BU285" s="1">
        <v>45679</v>
      </c>
      <c r="BV285">
        <v>35956</v>
      </c>
      <c r="BX285" t="s">
        <v>169</v>
      </c>
      <c r="BY285" t="s">
        <v>170</v>
      </c>
      <c r="CB285" t="s">
        <v>170</v>
      </c>
      <c r="CC285" t="s">
        <v>170</v>
      </c>
      <c r="CK285" t="s">
        <v>233</v>
      </c>
      <c r="CM285">
        <v>1</v>
      </c>
      <c r="CN285" t="s">
        <v>234</v>
      </c>
      <c r="CP285">
        <v>404</v>
      </c>
      <c r="CQ285">
        <v>288</v>
      </c>
      <c r="CR285">
        <v>166</v>
      </c>
      <c r="CS285" t="s">
        <v>235</v>
      </c>
      <c r="CV285" t="s">
        <v>341</v>
      </c>
      <c r="CX285" t="s">
        <v>342</v>
      </c>
      <c r="CY285" t="s">
        <v>170</v>
      </c>
      <c r="DC285" t="s">
        <v>1911</v>
      </c>
      <c r="DD285">
        <v>2</v>
      </c>
      <c r="DE285" t="s">
        <v>404</v>
      </c>
      <c r="DF285" t="s">
        <v>1903</v>
      </c>
      <c r="DG285">
        <v>210</v>
      </c>
      <c r="DL285" t="s">
        <v>170</v>
      </c>
      <c r="DM285" t="s">
        <v>169</v>
      </c>
      <c r="DP285" t="s">
        <v>170</v>
      </c>
      <c r="DQ285" t="s">
        <v>187</v>
      </c>
      <c r="EB285">
        <v>9</v>
      </c>
      <c r="EC285">
        <v>10</v>
      </c>
      <c r="EE285" t="s">
        <v>1923</v>
      </c>
      <c r="EF285">
        <v>10</v>
      </c>
      <c r="EU285">
        <v>4750</v>
      </c>
      <c r="EW285">
        <v>0</v>
      </c>
      <c r="EX285">
        <v>0</v>
      </c>
      <c r="EY285">
        <v>0</v>
      </c>
      <c r="FA285">
        <v>10.199999999999999</v>
      </c>
      <c r="FG285">
        <v>278</v>
      </c>
      <c r="FH285">
        <v>250</v>
      </c>
      <c r="FI285">
        <v>265</v>
      </c>
    </row>
    <row r="286" spans="1:165" x14ac:dyDescent="0.35">
      <c r="A286">
        <v>2025</v>
      </c>
      <c r="B286" t="s">
        <v>439</v>
      </c>
      <c r="C286" t="s">
        <v>440</v>
      </c>
      <c r="D286" t="s">
        <v>1924</v>
      </c>
      <c r="E286" t="s">
        <v>442</v>
      </c>
      <c r="F286">
        <v>89</v>
      </c>
      <c r="G286">
        <v>0</v>
      </c>
      <c r="I286" t="s">
        <v>1734</v>
      </c>
      <c r="J286">
        <v>38</v>
      </c>
      <c r="K286">
        <v>42</v>
      </c>
      <c r="L286">
        <v>39</v>
      </c>
      <c r="M286">
        <v>26.2</v>
      </c>
      <c r="N286">
        <v>29.2</v>
      </c>
      <c r="O286">
        <v>27.55</v>
      </c>
      <c r="P286">
        <v>37.5</v>
      </c>
      <c r="Q286">
        <v>41.688299999999998</v>
      </c>
      <c r="R286">
        <v>39.384700000000002</v>
      </c>
      <c r="V286" t="s">
        <v>167</v>
      </c>
      <c r="W286" t="s">
        <v>168</v>
      </c>
      <c r="Y286">
        <v>1</v>
      </c>
      <c r="Z286" t="s">
        <v>170</v>
      </c>
      <c r="AA286" t="s">
        <v>170</v>
      </c>
      <c r="AB286" t="s">
        <v>167</v>
      </c>
      <c r="AC286" t="s">
        <v>213</v>
      </c>
      <c r="AF286">
        <v>265</v>
      </c>
      <c r="AG286" t="s">
        <v>1735</v>
      </c>
      <c r="AH286" t="s">
        <v>1736</v>
      </c>
      <c r="AI286" t="s">
        <v>1742</v>
      </c>
      <c r="AJ286" t="s">
        <v>1743</v>
      </c>
      <c r="AK286" t="s">
        <v>940</v>
      </c>
      <c r="AL286" t="s">
        <v>941</v>
      </c>
      <c r="AS286">
        <v>950</v>
      </c>
      <c r="AT286">
        <v>950</v>
      </c>
      <c r="BQ286">
        <v>31</v>
      </c>
      <c r="BR286" t="s">
        <v>1219</v>
      </c>
      <c r="BT286" t="s">
        <v>1738</v>
      </c>
      <c r="BU286" s="1">
        <v>45679</v>
      </c>
      <c r="BV286">
        <v>35956</v>
      </c>
      <c r="BX286" t="s">
        <v>169</v>
      </c>
      <c r="BY286" t="s">
        <v>170</v>
      </c>
      <c r="CB286" t="s">
        <v>170</v>
      </c>
      <c r="CC286" t="s">
        <v>170</v>
      </c>
      <c r="CK286" t="s">
        <v>233</v>
      </c>
      <c r="CM286">
        <v>1</v>
      </c>
      <c r="CN286" t="s">
        <v>234</v>
      </c>
      <c r="CP286">
        <v>404</v>
      </c>
      <c r="CQ286">
        <v>288</v>
      </c>
      <c r="CR286">
        <v>166</v>
      </c>
      <c r="CS286" t="s">
        <v>235</v>
      </c>
      <c r="CV286" t="s">
        <v>341</v>
      </c>
      <c r="CX286" t="s">
        <v>342</v>
      </c>
      <c r="CY286" t="s">
        <v>170</v>
      </c>
      <c r="DC286" t="s">
        <v>1911</v>
      </c>
      <c r="DD286">
        <v>2</v>
      </c>
      <c r="DE286" t="s">
        <v>404</v>
      </c>
      <c r="DF286" t="s">
        <v>1903</v>
      </c>
      <c r="DG286">
        <v>210</v>
      </c>
      <c r="DL286" t="s">
        <v>170</v>
      </c>
      <c r="DM286" t="s">
        <v>169</v>
      </c>
      <c r="DP286" t="s">
        <v>170</v>
      </c>
      <c r="DQ286" t="s">
        <v>187</v>
      </c>
      <c r="EB286">
        <v>9</v>
      </c>
      <c r="EC286">
        <v>10</v>
      </c>
      <c r="EE286" t="s">
        <v>1923</v>
      </c>
      <c r="EF286">
        <v>10</v>
      </c>
      <c r="EU286">
        <v>4750</v>
      </c>
      <c r="EW286">
        <v>0</v>
      </c>
      <c r="EX286">
        <v>0</v>
      </c>
      <c r="EY286">
        <v>0</v>
      </c>
      <c r="FA286">
        <v>10.199999999999999</v>
      </c>
      <c r="FG286">
        <v>278</v>
      </c>
      <c r="FH286">
        <v>250</v>
      </c>
      <c r="FI286">
        <v>265</v>
      </c>
    </row>
    <row r="287" spans="1:165" x14ac:dyDescent="0.35">
      <c r="A287" s="25"/>
      <c r="B287" s="25"/>
      <c r="C287" s="25"/>
      <c r="D287" s="25"/>
      <c r="E287" s="25"/>
      <c r="F287" s="25" t="str">
        <f>_xlfn.CONCAT($A288," ",$B288," ",$D288)</f>
        <v>2025 Ford Motor Company F150 LIGHTNING 4WD ER2</v>
      </c>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c r="AD287" s="25" t="str">
        <f>_xlfn.CONCAT($A288," ",$B288," ",$D288)</f>
        <v>2025 Ford Motor Company F150 LIGHTNING 4WD ER2</v>
      </c>
      <c r="AE287" s="25"/>
      <c r="AF287" s="25"/>
      <c r="AG287" s="25"/>
      <c r="AH287" s="25"/>
      <c r="AI287" s="25"/>
      <c r="AJ287" s="25"/>
      <c r="AK287" s="25"/>
      <c r="AL287" s="25"/>
      <c r="AM287" s="25"/>
      <c r="AN287" s="25"/>
      <c r="AO287" s="25"/>
      <c r="AP287" s="25"/>
      <c r="AQ287" s="25"/>
      <c r="AR287" s="25"/>
      <c r="AS287" s="25"/>
      <c r="AT287" s="25"/>
      <c r="AU287" s="25"/>
      <c r="AV287" s="25"/>
      <c r="AW287" s="25"/>
      <c r="AX287" s="25" t="str">
        <f>_xlfn.CONCAT($A288," ",$B288," ",$D288)</f>
        <v>2025 Ford Motor Company F150 LIGHTNING 4WD ER2</v>
      </c>
      <c r="AY287" s="25"/>
      <c r="AZ287" s="25"/>
      <c r="BA287" s="25"/>
      <c r="BB287" s="25"/>
      <c r="BC287" s="25"/>
      <c r="BD287" s="25"/>
      <c r="BE287" s="25"/>
      <c r="BF287" s="25"/>
      <c r="BG287" s="25"/>
      <c r="BH287" s="25"/>
      <c r="BI287" s="25"/>
      <c r="BJ287" s="25"/>
      <c r="BK287" s="25"/>
      <c r="BL287" s="25"/>
      <c r="BM287" s="25"/>
      <c r="BN287" s="25"/>
      <c r="BO287" s="25"/>
      <c r="BP287" s="25"/>
      <c r="BQ287" s="25"/>
      <c r="BR287" s="25" t="str">
        <f>_xlfn.CONCAT($A288," ",$B288," ",$D288)</f>
        <v>2025 Ford Motor Company F150 LIGHTNING 4WD ER2</v>
      </c>
      <c r="BS287" s="25"/>
      <c r="BT287" s="25"/>
      <c r="BU287" s="25"/>
      <c r="BV287" s="25"/>
      <c r="BX287" s="25"/>
      <c r="BY287" s="25"/>
      <c r="BZ287" s="25"/>
      <c r="CA287" s="25"/>
      <c r="CB287" s="25"/>
      <c r="CC287" s="25"/>
      <c r="CD287" s="25"/>
      <c r="CE287" s="25"/>
      <c r="CF287" s="25"/>
      <c r="CG287" s="25"/>
      <c r="CH287" s="25"/>
      <c r="CI287" s="25"/>
      <c r="CJ287" s="25"/>
      <c r="CK287" s="25"/>
      <c r="CL287" s="25"/>
      <c r="CM287" s="25"/>
      <c r="CN287" s="25"/>
      <c r="CO287" s="25"/>
      <c r="CP287" s="25" t="str">
        <f>_xlfn.CONCAT($A288," ",$B288," ",$D288)</f>
        <v>2025 Ford Motor Company F150 LIGHTNING 4WD ER2</v>
      </c>
      <c r="CQ287" s="25"/>
      <c r="CR287" s="25"/>
      <c r="CS287" s="25"/>
      <c r="CT287" s="25"/>
      <c r="CU287" s="25"/>
      <c r="CV287" s="25"/>
      <c r="CW287" s="25"/>
      <c r="CX287" s="25"/>
      <c r="CY287" s="25"/>
      <c r="CZ287" s="25"/>
      <c r="DA287" s="25"/>
      <c r="DB287" s="25"/>
      <c r="DC287" s="25"/>
      <c r="DD287" s="25"/>
      <c r="DE287" s="25"/>
      <c r="DF287" s="25"/>
      <c r="DG287" s="25"/>
      <c r="DH287" s="25"/>
      <c r="DI287" s="25" t="str">
        <f>_xlfn.CONCAT($A288," ",$B288," ",$D288)</f>
        <v>2025 Ford Motor Company F150 LIGHTNING 4WD ER2</v>
      </c>
      <c r="DJ287" s="25"/>
      <c r="DK287" s="25"/>
      <c r="DL287" s="25"/>
      <c r="DM287" s="25"/>
      <c r="DN287" s="25"/>
      <c r="DO287" s="25"/>
      <c r="DP287" s="25"/>
      <c r="DQ287" s="25"/>
      <c r="DR287" s="25"/>
      <c r="DS287" s="25"/>
      <c r="DT287" s="25"/>
      <c r="DU287" s="25"/>
      <c r="DV287" s="25"/>
      <c r="DW287" s="25"/>
      <c r="DX287" s="25"/>
      <c r="DY287" s="25"/>
      <c r="DZ287" s="25" t="str">
        <f>_xlfn.CONCAT($A288," ",$B288," ",$D288)</f>
        <v>2025 Ford Motor Company F150 LIGHTNING 4WD ER2</v>
      </c>
      <c r="EB287" s="25"/>
      <c r="EC287" s="25"/>
      <c r="ED287" s="25"/>
      <c r="EE287" s="25"/>
      <c r="EF287" s="25"/>
      <c r="EG287" s="25"/>
      <c r="EH287" s="25"/>
      <c r="EI287" s="25"/>
      <c r="EJ287" s="25"/>
      <c r="EK287" s="25"/>
      <c r="EL287" s="25"/>
      <c r="EM287" s="25"/>
      <c r="EN287" s="25"/>
      <c r="EO287" s="25"/>
      <c r="EP287" s="25"/>
      <c r="EQ287" s="25"/>
      <c r="ER287" s="25"/>
      <c r="ES287" s="25"/>
      <c r="ET287" s="25"/>
      <c r="EU287" s="25"/>
      <c r="EV287" s="25" t="str">
        <f>_xlfn.CONCAT($A288," ",$B288," ",$D288)</f>
        <v>2025 Ford Motor Company F150 LIGHTNING 4WD ER2</v>
      </c>
      <c r="EW287" s="25"/>
      <c r="EX287" s="25"/>
      <c r="EY287" s="25"/>
      <c r="EZ287" s="25"/>
      <c r="FA287" s="25"/>
      <c r="FB287" s="25"/>
      <c r="FC287" s="25"/>
      <c r="FD287" s="25"/>
      <c r="FE287" s="25"/>
      <c r="FF287" s="25"/>
      <c r="FG287" s="25"/>
    </row>
    <row r="288" spans="1:165" x14ac:dyDescent="0.35">
      <c r="A288">
        <v>2025</v>
      </c>
      <c r="B288" t="s">
        <v>439</v>
      </c>
      <c r="C288" t="s">
        <v>440</v>
      </c>
      <c r="D288" t="s">
        <v>1906</v>
      </c>
      <c r="E288" t="s">
        <v>442</v>
      </c>
      <c r="F288">
        <v>119</v>
      </c>
      <c r="G288">
        <v>0</v>
      </c>
      <c r="I288" t="s">
        <v>1734</v>
      </c>
      <c r="J288">
        <v>79</v>
      </c>
      <c r="K288">
        <v>65</v>
      </c>
      <c r="L288">
        <v>72</v>
      </c>
      <c r="M288">
        <v>112.5</v>
      </c>
      <c r="N288">
        <v>92.5</v>
      </c>
      <c r="O288">
        <v>102.52460000000001</v>
      </c>
      <c r="P288">
        <v>78.75</v>
      </c>
      <c r="Q288">
        <v>64.75</v>
      </c>
      <c r="R288">
        <v>71.767200000000003</v>
      </c>
      <c r="V288" t="s">
        <v>167</v>
      </c>
      <c r="W288" t="s">
        <v>168</v>
      </c>
      <c r="Y288">
        <v>1</v>
      </c>
      <c r="Z288" t="s">
        <v>170</v>
      </c>
      <c r="AA288" t="s">
        <v>170</v>
      </c>
      <c r="AB288">
        <v>4</v>
      </c>
      <c r="AC288" t="s">
        <v>601</v>
      </c>
      <c r="AF288">
        <v>300</v>
      </c>
      <c r="AG288" t="s">
        <v>1735</v>
      </c>
      <c r="AH288" t="s">
        <v>1736</v>
      </c>
      <c r="AI288" t="s">
        <v>175</v>
      </c>
      <c r="AJ288" t="s">
        <v>176</v>
      </c>
      <c r="AK288" t="s">
        <v>940</v>
      </c>
      <c r="AL288" t="s">
        <v>941</v>
      </c>
      <c r="AS288">
        <v>1150</v>
      </c>
      <c r="AT288">
        <v>50</v>
      </c>
      <c r="BQ288">
        <v>13</v>
      </c>
      <c r="BR288" t="s">
        <v>1016</v>
      </c>
      <c r="BT288" t="s">
        <v>1738</v>
      </c>
      <c r="BU288" s="1">
        <v>45705</v>
      </c>
      <c r="BV288">
        <v>36143</v>
      </c>
      <c r="BX288" t="s">
        <v>170</v>
      </c>
      <c r="BY288" t="s">
        <v>170</v>
      </c>
      <c r="CB288" t="s">
        <v>170</v>
      </c>
      <c r="CC288" t="s">
        <v>170</v>
      </c>
      <c r="CK288" t="s">
        <v>233</v>
      </c>
      <c r="CM288">
        <v>1</v>
      </c>
      <c r="CN288" t="s">
        <v>234</v>
      </c>
      <c r="CP288">
        <v>378</v>
      </c>
      <c r="CQ288">
        <v>410.5</v>
      </c>
      <c r="CR288">
        <v>123</v>
      </c>
      <c r="CS288" t="s">
        <v>1739</v>
      </c>
      <c r="CV288" t="s">
        <v>341</v>
      </c>
      <c r="CX288" t="s">
        <v>342</v>
      </c>
      <c r="CY288" t="s">
        <v>170</v>
      </c>
      <c r="DD288">
        <v>2</v>
      </c>
      <c r="DE288" t="s">
        <v>404</v>
      </c>
      <c r="DF288" t="s">
        <v>1903</v>
      </c>
      <c r="DG288" t="s">
        <v>1904</v>
      </c>
      <c r="DL288" t="s">
        <v>170</v>
      </c>
      <c r="DM288" t="s">
        <v>169</v>
      </c>
      <c r="DP288" t="s">
        <v>170</v>
      </c>
      <c r="DQ288" t="s">
        <v>187</v>
      </c>
      <c r="EB288">
        <v>9</v>
      </c>
      <c r="EC288">
        <v>10</v>
      </c>
      <c r="EE288" t="s">
        <v>1907</v>
      </c>
      <c r="EF288">
        <v>10</v>
      </c>
      <c r="EU288">
        <v>3750</v>
      </c>
      <c r="EW288">
        <v>0</v>
      </c>
      <c r="EX288">
        <v>0</v>
      </c>
      <c r="EY288">
        <v>0</v>
      </c>
      <c r="FA288">
        <v>13.7</v>
      </c>
      <c r="FG288">
        <v>326</v>
      </c>
      <c r="FH288">
        <v>268</v>
      </c>
      <c r="FI288">
        <v>300</v>
      </c>
    </row>
    <row r="289" spans="1:165" x14ac:dyDescent="0.35">
      <c r="A289">
        <v>2025</v>
      </c>
      <c r="B289" t="s">
        <v>439</v>
      </c>
      <c r="C289" t="s">
        <v>440</v>
      </c>
      <c r="D289" t="s">
        <v>1906</v>
      </c>
      <c r="E289" t="s">
        <v>442</v>
      </c>
      <c r="F289">
        <v>119</v>
      </c>
      <c r="G289">
        <v>0</v>
      </c>
      <c r="I289" t="s">
        <v>1734</v>
      </c>
      <c r="J289">
        <v>43</v>
      </c>
      <c r="K289">
        <v>52</v>
      </c>
      <c r="L289">
        <v>47</v>
      </c>
      <c r="M289">
        <v>30</v>
      </c>
      <c r="N289">
        <v>36.4</v>
      </c>
      <c r="O289">
        <v>32.880000000000003</v>
      </c>
      <c r="P289">
        <v>42.857100000000003</v>
      </c>
      <c r="Q289">
        <v>52</v>
      </c>
      <c r="R289">
        <v>46.971400000000003</v>
      </c>
      <c r="V289" t="s">
        <v>167</v>
      </c>
      <c r="W289" t="s">
        <v>168</v>
      </c>
      <c r="Y289">
        <v>1</v>
      </c>
      <c r="Z289" t="s">
        <v>170</v>
      </c>
      <c r="AA289" t="s">
        <v>170</v>
      </c>
      <c r="AB289">
        <v>4</v>
      </c>
      <c r="AC289" t="s">
        <v>601</v>
      </c>
      <c r="AF289">
        <v>300</v>
      </c>
      <c r="AG289" t="s">
        <v>1735</v>
      </c>
      <c r="AH289" t="s">
        <v>1736</v>
      </c>
      <c r="AI289" t="s">
        <v>1742</v>
      </c>
      <c r="AJ289" t="s">
        <v>1743</v>
      </c>
      <c r="AK289" t="s">
        <v>940</v>
      </c>
      <c r="AL289" t="s">
        <v>941</v>
      </c>
      <c r="AS289">
        <v>1150</v>
      </c>
      <c r="AT289">
        <v>1150</v>
      </c>
      <c r="BQ289">
        <v>13</v>
      </c>
      <c r="BR289" t="s">
        <v>1016</v>
      </c>
      <c r="BT289" t="s">
        <v>1738</v>
      </c>
      <c r="BU289" s="1">
        <v>45705</v>
      </c>
      <c r="BV289">
        <v>36143</v>
      </c>
      <c r="BX289" t="s">
        <v>170</v>
      </c>
      <c r="BY289" t="s">
        <v>170</v>
      </c>
      <c r="CB289" t="s">
        <v>170</v>
      </c>
      <c r="CC289" t="s">
        <v>170</v>
      </c>
      <c r="CK289" t="s">
        <v>233</v>
      </c>
      <c r="CM289">
        <v>1</v>
      </c>
      <c r="CN289" t="s">
        <v>234</v>
      </c>
      <c r="CP289">
        <v>378</v>
      </c>
      <c r="CQ289">
        <v>410.5</v>
      </c>
      <c r="CR289">
        <v>123</v>
      </c>
      <c r="CS289" t="s">
        <v>1739</v>
      </c>
      <c r="CV289" t="s">
        <v>341</v>
      </c>
      <c r="CX289" t="s">
        <v>342</v>
      </c>
      <c r="CY289" t="s">
        <v>170</v>
      </c>
      <c r="DD289">
        <v>2</v>
      </c>
      <c r="DE289" t="s">
        <v>404</v>
      </c>
      <c r="DF289" t="s">
        <v>1908</v>
      </c>
      <c r="DG289" t="s">
        <v>1904</v>
      </c>
      <c r="DL289" t="s">
        <v>170</v>
      </c>
      <c r="DM289" t="s">
        <v>169</v>
      </c>
      <c r="DP289" t="s">
        <v>170</v>
      </c>
      <c r="DQ289" t="s">
        <v>187</v>
      </c>
      <c r="EB289">
        <v>9</v>
      </c>
      <c r="EC289">
        <v>10</v>
      </c>
      <c r="EE289" t="s">
        <v>1907</v>
      </c>
      <c r="EF289">
        <v>10</v>
      </c>
      <c r="EU289">
        <v>3750</v>
      </c>
      <c r="EW289">
        <v>0</v>
      </c>
      <c r="EX289">
        <v>0</v>
      </c>
      <c r="EY289">
        <v>0</v>
      </c>
      <c r="FA289">
        <v>13.7</v>
      </c>
      <c r="FG289">
        <v>326</v>
      </c>
      <c r="FH289">
        <v>268</v>
      </c>
      <c r="FI289">
        <v>300</v>
      </c>
    </row>
    <row r="290" spans="1:165" x14ac:dyDescent="0.35">
      <c r="A290" s="25"/>
      <c r="B290" s="25"/>
      <c r="C290" s="25"/>
      <c r="D290" s="25"/>
      <c r="E290" s="25"/>
      <c r="F290" s="25" t="str">
        <f>_xlfn.CONCAT($A291," ",$B291," ",$D291)</f>
        <v>2025 Hyundai GV60 RWD</v>
      </c>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c r="AD290" s="25" t="str">
        <f>_xlfn.CONCAT($A291," ",$B291," ",$D291)</f>
        <v>2025 Hyundai GV60 RWD</v>
      </c>
      <c r="AE290" s="25"/>
      <c r="AF290" s="25"/>
      <c r="AG290" s="25"/>
      <c r="AH290" s="25"/>
      <c r="AI290" s="25"/>
      <c r="AJ290" s="25"/>
      <c r="AK290" s="25"/>
      <c r="AL290" s="25"/>
      <c r="AM290" s="25"/>
      <c r="AN290" s="25"/>
      <c r="AO290" s="25"/>
      <c r="AP290" s="25"/>
      <c r="AQ290" s="25"/>
      <c r="AR290" s="25"/>
      <c r="AS290" s="25"/>
      <c r="AT290" s="25"/>
      <c r="AU290" s="25"/>
      <c r="AV290" s="25"/>
      <c r="AW290" s="25"/>
      <c r="AX290" s="25" t="str">
        <f>_xlfn.CONCAT($A291," ",$B291," ",$D291)</f>
        <v>2025 Hyundai GV60 RWD</v>
      </c>
      <c r="AY290" s="25"/>
      <c r="AZ290" s="25"/>
      <c r="BA290" s="25"/>
      <c r="BB290" s="25"/>
      <c r="BC290" s="25"/>
      <c r="BD290" s="25"/>
      <c r="BE290" s="25"/>
      <c r="BF290" s="25"/>
      <c r="BG290" s="25"/>
      <c r="BH290" s="25"/>
      <c r="BI290" s="25"/>
      <c r="BJ290" s="25"/>
      <c r="BK290" s="25"/>
      <c r="BL290" s="25"/>
      <c r="BM290" s="25"/>
      <c r="BN290" s="25"/>
      <c r="BO290" s="25"/>
      <c r="BP290" s="25"/>
      <c r="BQ290" s="25"/>
      <c r="BR290" s="25" t="str">
        <f>_xlfn.CONCAT($A291," ",$B291," ",$D291)</f>
        <v>2025 Hyundai GV60 RWD</v>
      </c>
      <c r="BS290" s="25"/>
      <c r="BT290" s="25"/>
      <c r="BU290" s="25"/>
      <c r="BV290" s="25"/>
      <c r="BX290" s="25"/>
      <c r="BY290" s="25"/>
      <c r="BZ290" s="25"/>
      <c r="CA290" s="25"/>
      <c r="CB290" s="25"/>
      <c r="CC290" s="25"/>
      <c r="CD290" s="25"/>
      <c r="CE290" s="25"/>
      <c r="CF290" s="25"/>
      <c r="CG290" s="25"/>
      <c r="CH290" s="25"/>
      <c r="CI290" s="25"/>
      <c r="CJ290" s="25"/>
      <c r="CK290" s="25"/>
      <c r="CL290" s="25"/>
      <c r="CM290" s="25"/>
      <c r="CN290" s="25"/>
      <c r="CO290" s="25"/>
      <c r="CP290" s="25" t="str">
        <f>_xlfn.CONCAT($A291," ",$B291," ",$D291)</f>
        <v>2025 Hyundai GV60 RWD</v>
      </c>
      <c r="CQ290" s="25"/>
      <c r="CR290" s="25"/>
      <c r="CS290" s="25"/>
      <c r="CT290" s="25"/>
      <c r="CU290" s="25"/>
      <c r="CV290" s="25"/>
      <c r="CW290" s="25"/>
      <c r="CX290" s="25"/>
      <c r="CY290" s="25"/>
      <c r="CZ290" s="25"/>
      <c r="DA290" s="25"/>
      <c r="DB290" s="25"/>
      <c r="DC290" s="25"/>
      <c r="DD290" s="25"/>
      <c r="DE290" s="25"/>
      <c r="DF290" s="25"/>
      <c r="DG290" s="25"/>
      <c r="DH290" s="25"/>
      <c r="DI290" s="25" t="str">
        <f>_xlfn.CONCAT($A291," ",$B291," ",$D291)</f>
        <v>2025 Hyundai GV60 RWD</v>
      </c>
      <c r="DJ290" s="25"/>
      <c r="DK290" s="25"/>
      <c r="DL290" s="25"/>
      <c r="DM290" s="25"/>
      <c r="DN290" s="25"/>
      <c r="DO290" s="25"/>
      <c r="DP290" s="25"/>
      <c r="DQ290" s="25"/>
      <c r="DR290" s="25"/>
      <c r="DS290" s="25"/>
      <c r="DT290" s="25"/>
      <c r="DU290" s="25"/>
      <c r="DV290" s="25"/>
      <c r="DW290" s="25"/>
      <c r="DX290" s="25"/>
      <c r="DY290" s="25"/>
      <c r="DZ290" s="25" t="str">
        <f>_xlfn.CONCAT($A291," ",$B291," ",$D291)</f>
        <v>2025 Hyundai GV60 RWD</v>
      </c>
      <c r="EB290" s="25"/>
      <c r="EC290" s="25"/>
      <c r="ED290" s="25"/>
      <c r="EE290" s="25"/>
      <c r="EF290" s="25"/>
      <c r="EG290" s="25"/>
      <c r="EH290" s="25"/>
      <c r="EI290" s="25"/>
      <c r="EJ290" s="25"/>
      <c r="EK290" s="25"/>
      <c r="EL290" s="25"/>
      <c r="EM290" s="25"/>
      <c r="EN290" s="25"/>
      <c r="EO290" s="25"/>
      <c r="EP290" s="25"/>
      <c r="EQ290" s="25"/>
      <c r="ER290" s="25"/>
      <c r="ES290" s="25"/>
      <c r="ET290" s="25"/>
      <c r="EU290" s="25"/>
      <c r="EV290" s="25" t="str">
        <f>_xlfn.CONCAT($A291," ",$B291," ",$D291)</f>
        <v>2025 Hyundai GV60 RWD</v>
      </c>
      <c r="EW290" s="25"/>
      <c r="EX290" s="25"/>
      <c r="EY290" s="25"/>
      <c r="EZ290" s="25"/>
      <c r="FA290" s="25"/>
      <c r="FB290" s="25"/>
      <c r="FC290" s="25"/>
      <c r="FD290" s="25"/>
      <c r="FE290" s="25"/>
      <c r="FF290" s="25"/>
      <c r="FG290" s="25"/>
    </row>
    <row r="291" spans="1:165" x14ac:dyDescent="0.35">
      <c r="A291">
        <v>2025</v>
      </c>
      <c r="B291" t="s">
        <v>569</v>
      </c>
      <c r="C291" t="s">
        <v>570</v>
      </c>
      <c r="D291" t="s">
        <v>1948</v>
      </c>
      <c r="E291" t="s">
        <v>572</v>
      </c>
      <c r="F291">
        <v>1</v>
      </c>
      <c r="G291">
        <v>0</v>
      </c>
      <c r="I291" t="s">
        <v>1734</v>
      </c>
      <c r="J291">
        <v>125</v>
      </c>
      <c r="K291">
        <v>99</v>
      </c>
      <c r="L291">
        <v>112</v>
      </c>
      <c r="M291">
        <v>187.1</v>
      </c>
      <c r="N291">
        <v>147.9</v>
      </c>
      <c r="O291">
        <v>167.1626</v>
      </c>
      <c r="P291">
        <v>125</v>
      </c>
      <c r="Q291">
        <v>99</v>
      </c>
      <c r="R291">
        <v>112</v>
      </c>
      <c r="V291" t="s">
        <v>167</v>
      </c>
      <c r="W291" t="s">
        <v>168</v>
      </c>
      <c r="X291" t="s">
        <v>1931</v>
      </c>
      <c r="Y291">
        <v>1</v>
      </c>
      <c r="Z291" t="s">
        <v>170</v>
      </c>
      <c r="AA291" t="s">
        <v>170</v>
      </c>
      <c r="AB291" t="s">
        <v>171</v>
      </c>
      <c r="AC291" t="s">
        <v>172</v>
      </c>
      <c r="AF291">
        <v>294</v>
      </c>
      <c r="AG291" t="s">
        <v>1735</v>
      </c>
      <c r="AH291" t="s">
        <v>1736</v>
      </c>
      <c r="AI291" t="s">
        <v>175</v>
      </c>
      <c r="AJ291" t="s">
        <v>176</v>
      </c>
      <c r="AK291">
        <v>4</v>
      </c>
      <c r="AL291" t="s">
        <v>1737</v>
      </c>
      <c r="AO291">
        <v>102</v>
      </c>
      <c r="AP291">
        <v>24</v>
      </c>
      <c r="AS291">
        <v>700</v>
      </c>
      <c r="AT291">
        <v>700</v>
      </c>
      <c r="BQ291">
        <v>30</v>
      </c>
      <c r="BR291" t="s">
        <v>1099</v>
      </c>
      <c r="BT291" t="s">
        <v>1738</v>
      </c>
      <c r="BU291" s="1">
        <v>45427</v>
      </c>
      <c r="BV291">
        <v>34700</v>
      </c>
      <c r="BX291" t="s">
        <v>170</v>
      </c>
      <c r="BY291" t="s">
        <v>170</v>
      </c>
      <c r="CB291" t="s">
        <v>170</v>
      </c>
      <c r="CC291" t="s">
        <v>170</v>
      </c>
      <c r="CK291" t="s">
        <v>233</v>
      </c>
      <c r="CM291">
        <v>1</v>
      </c>
      <c r="CN291" t="s">
        <v>234</v>
      </c>
      <c r="CP291">
        <v>697</v>
      </c>
      <c r="CQ291">
        <v>111.2</v>
      </c>
      <c r="CR291">
        <v>161</v>
      </c>
      <c r="CS291" t="s">
        <v>1752</v>
      </c>
      <c r="CV291" t="s">
        <v>341</v>
      </c>
      <c r="CX291" t="s">
        <v>1012</v>
      </c>
      <c r="CY291" t="s">
        <v>169</v>
      </c>
      <c r="DC291" t="s">
        <v>1949</v>
      </c>
      <c r="DD291">
        <v>1</v>
      </c>
      <c r="DE291" t="s">
        <v>404</v>
      </c>
      <c r="DF291" t="s">
        <v>1950</v>
      </c>
      <c r="DG291">
        <v>168</v>
      </c>
      <c r="DL291" t="s">
        <v>170</v>
      </c>
      <c r="DM291" t="s">
        <v>169</v>
      </c>
      <c r="DP291" t="s">
        <v>170</v>
      </c>
      <c r="DQ291" t="s">
        <v>187</v>
      </c>
      <c r="DR291" t="s">
        <v>1951</v>
      </c>
      <c r="EB291">
        <v>9</v>
      </c>
      <c r="EC291">
        <v>10</v>
      </c>
      <c r="EE291" t="s">
        <v>1952</v>
      </c>
      <c r="EF291">
        <v>10</v>
      </c>
      <c r="EU291">
        <v>6000</v>
      </c>
      <c r="EW291">
        <v>0</v>
      </c>
      <c r="EX291">
        <v>0</v>
      </c>
      <c r="EY291">
        <v>0</v>
      </c>
      <c r="FA291">
        <v>7.2</v>
      </c>
      <c r="FG291">
        <v>324</v>
      </c>
      <c r="FH291">
        <v>257</v>
      </c>
      <c r="FI291">
        <v>294</v>
      </c>
    </row>
    <row r="292" spans="1:165" x14ac:dyDescent="0.35">
      <c r="A292">
        <v>2025</v>
      </c>
      <c r="B292" t="s">
        <v>569</v>
      </c>
      <c r="C292" t="s">
        <v>570</v>
      </c>
      <c r="D292" t="s">
        <v>1948</v>
      </c>
      <c r="E292" t="s">
        <v>572</v>
      </c>
      <c r="F292">
        <v>1</v>
      </c>
      <c r="G292">
        <v>0</v>
      </c>
      <c r="I292" t="s">
        <v>1734</v>
      </c>
      <c r="J292">
        <v>27</v>
      </c>
      <c r="K292">
        <v>34</v>
      </c>
      <c r="L292">
        <v>30</v>
      </c>
      <c r="M292">
        <v>18.017199999999999</v>
      </c>
      <c r="N292">
        <v>22.784199999999998</v>
      </c>
      <c r="O292">
        <v>20.162299999999998</v>
      </c>
      <c r="P292">
        <v>27</v>
      </c>
      <c r="Q292">
        <v>34</v>
      </c>
      <c r="R292">
        <v>30</v>
      </c>
      <c r="V292" t="s">
        <v>167</v>
      </c>
      <c r="W292" t="s">
        <v>168</v>
      </c>
      <c r="X292" t="s">
        <v>1931</v>
      </c>
      <c r="Y292">
        <v>1</v>
      </c>
      <c r="Z292" t="s">
        <v>170</v>
      </c>
      <c r="AA292" t="s">
        <v>170</v>
      </c>
      <c r="AB292" t="s">
        <v>171</v>
      </c>
      <c r="AC292" t="s">
        <v>172</v>
      </c>
      <c r="AF292">
        <v>294</v>
      </c>
      <c r="AG292" t="s">
        <v>1735</v>
      </c>
      <c r="AH292" t="s">
        <v>1736</v>
      </c>
      <c r="AI292" t="s">
        <v>1742</v>
      </c>
      <c r="AJ292" t="s">
        <v>1743</v>
      </c>
      <c r="AK292">
        <v>4</v>
      </c>
      <c r="AL292" t="s">
        <v>1737</v>
      </c>
      <c r="AO292">
        <v>102</v>
      </c>
      <c r="AP292">
        <v>24</v>
      </c>
      <c r="AS292">
        <v>700</v>
      </c>
      <c r="AT292">
        <v>700</v>
      </c>
      <c r="BQ292">
        <v>30</v>
      </c>
      <c r="BR292" t="s">
        <v>1099</v>
      </c>
      <c r="BT292" t="s">
        <v>1738</v>
      </c>
      <c r="BU292" s="1">
        <v>45427</v>
      </c>
      <c r="BV292">
        <v>34700</v>
      </c>
      <c r="BX292" t="s">
        <v>170</v>
      </c>
      <c r="BY292" t="s">
        <v>170</v>
      </c>
      <c r="CB292" t="s">
        <v>170</v>
      </c>
      <c r="CC292" t="s">
        <v>170</v>
      </c>
      <c r="CK292" t="s">
        <v>233</v>
      </c>
      <c r="CM292">
        <v>1</v>
      </c>
      <c r="CN292" t="s">
        <v>234</v>
      </c>
      <c r="CP292">
        <v>697</v>
      </c>
      <c r="CQ292">
        <v>111.2</v>
      </c>
      <c r="CR292">
        <v>161</v>
      </c>
      <c r="CS292" t="s">
        <v>1752</v>
      </c>
      <c r="CV292" t="s">
        <v>341</v>
      </c>
      <c r="CX292" t="s">
        <v>1012</v>
      </c>
      <c r="CY292" t="s">
        <v>169</v>
      </c>
      <c r="DC292" t="s">
        <v>1949</v>
      </c>
      <c r="DD292">
        <v>1</v>
      </c>
      <c r="DE292" t="s">
        <v>404</v>
      </c>
      <c r="DF292" t="s">
        <v>1950</v>
      </c>
      <c r="DG292">
        <v>168</v>
      </c>
      <c r="DL292" t="s">
        <v>170</v>
      </c>
      <c r="DM292" t="s">
        <v>169</v>
      </c>
      <c r="DP292" t="s">
        <v>170</v>
      </c>
      <c r="DQ292" t="s">
        <v>187</v>
      </c>
      <c r="DR292" t="s">
        <v>1951</v>
      </c>
      <c r="EB292">
        <v>9</v>
      </c>
      <c r="EC292">
        <v>10</v>
      </c>
      <c r="EE292" t="s">
        <v>1952</v>
      </c>
      <c r="EF292">
        <v>10</v>
      </c>
      <c r="EU292">
        <v>6000</v>
      </c>
      <c r="EW292">
        <v>0</v>
      </c>
      <c r="EX292">
        <v>0</v>
      </c>
      <c r="EY292">
        <v>0</v>
      </c>
      <c r="FA292">
        <v>7.2</v>
      </c>
      <c r="FG292">
        <v>324</v>
      </c>
      <c r="FH292">
        <v>257</v>
      </c>
      <c r="FI292">
        <v>294</v>
      </c>
    </row>
    <row r="293" spans="1:165" x14ac:dyDescent="0.35">
      <c r="A293" s="25"/>
      <c r="B293" s="25"/>
      <c r="C293" s="25"/>
      <c r="D293" s="25"/>
      <c r="E293" s="25"/>
      <c r="F293" s="25" t="str">
        <f>_xlfn.CONCAT($A294," ",$B294," ",$D294)</f>
        <v>2025 Hyundai GV60 AWD with 19''</v>
      </c>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c r="AD293" s="25" t="str">
        <f>_xlfn.CONCAT($A294," ",$B294," ",$D294)</f>
        <v>2025 Hyundai GV60 AWD with 19''</v>
      </c>
      <c r="AE293" s="25"/>
      <c r="AF293" s="25"/>
      <c r="AG293" s="25"/>
      <c r="AH293" s="25"/>
      <c r="AI293" s="25"/>
      <c r="AJ293" s="25"/>
      <c r="AK293" s="25"/>
      <c r="AL293" s="25"/>
      <c r="AM293" s="25"/>
      <c r="AN293" s="25"/>
      <c r="AO293" s="25"/>
      <c r="AP293" s="25"/>
      <c r="AQ293" s="25"/>
      <c r="AR293" s="25"/>
      <c r="AS293" s="25"/>
      <c r="AT293" s="25"/>
      <c r="AU293" s="25"/>
      <c r="AV293" s="25"/>
      <c r="AW293" s="25"/>
      <c r="AX293" s="25" t="str">
        <f>_xlfn.CONCAT($A294," ",$B294," ",$D294)</f>
        <v>2025 Hyundai GV60 AWD with 19''</v>
      </c>
      <c r="AY293" s="25"/>
      <c r="AZ293" s="25"/>
      <c r="BA293" s="25"/>
      <c r="BB293" s="25"/>
      <c r="BC293" s="25"/>
      <c r="BD293" s="25"/>
      <c r="BE293" s="25"/>
      <c r="BF293" s="25"/>
      <c r="BG293" s="25"/>
      <c r="BH293" s="25"/>
      <c r="BI293" s="25"/>
      <c r="BJ293" s="25"/>
      <c r="BK293" s="25"/>
      <c r="BL293" s="25"/>
      <c r="BM293" s="25"/>
      <c r="BN293" s="25"/>
      <c r="BO293" s="25"/>
      <c r="BP293" s="25"/>
      <c r="BQ293" s="25"/>
      <c r="BR293" s="25" t="str">
        <f>_xlfn.CONCAT($A294," ",$B294," ",$D294)</f>
        <v>2025 Hyundai GV60 AWD with 19''</v>
      </c>
      <c r="BS293" s="25"/>
      <c r="BT293" s="25"/>
      <c r="BU293" s="25"/>
      <c r="BV293" s="25"/>
      <c r="BX293" s="25"/>
      <c r="BY293" s="25"/>
      <c r="BZ293" s="25"/>
      <c r="CA293" s="25"/>
      <c r="CB293" s="25"/>
      <c r="CC293" s="25"/>
      <c r="CD293" s="25"/>
      <c r="CE293" s="25"/>
      <c r="CF293" s="25"/>
      <c r="CG293" s="25"/>
      <c r="CH293" s="25"/>
      <c r="CI293" s="25"/>
      <c r="CJ293" s="25"/>
      <c r="CK293" s="25"/>
      <c r="CL293" s="25"/>
      <c r="CM293" s="25"/>
      <c r="CN293" s="25"/>
      <c r="CO293" s="25"/>
      <c r="CP293" s="25" t="str">
        <f>_xlfn.CONCAT($A294," ",$B294," ",$D294)</f>
        <v>2025 Hyundai GV60 AWD with 19''</v>
      </c>
      <c r="CQ293" s="25"/>
      <c r="CR293" s="25"/>
      <c r="CS293" s="25"/>
      <c r="CT293" s="25"/>
      <c r="CU293" s="25"/>
      <c r="CV293" s="25"/>
      <c r="CW293" s="25"/>
      <c r="CX293" s="25"/>
      <c r="CY293" s="25"/>
      <c r="CZ293" s="25"/>
      <c r="DA293" s="25"/>
      <c r="DB293" s="25"/>
      <c r="DC293" s="25"/>
      <c r="DD293" s="25"/>
      <c r="DE293" s="25"/>
      <c r="DF293" s="25"/>
      <c r="DG293" s="25"/>
      <c r="DH293" s="25"/>
      <c r="DI293" s="25" t="str">
        <f>_xlfn.CONCAT($A294," ",$B294," ",$D294)</f>
        <v>2025 Hyundai GV60 AWD with 19''</v>
      </c>
      <c r="DJ293" s="25"/>
      <c r="DK293" s="25"/>
      <c r="DL293" s="25"/>
      <c r="DM293" s="25"/>
      <c r="DN293" s="25"/>
      <c r="DO293" s="25"/>
      <c r="DP293" s="25"/>
      <c r="DQ293" s="25"/>
      <c r="DR293" s="25"/>
      <c r="DS293" s="25"/>
      <c r="DT293" s="25"/>
      <c r="DU293" s="25"/>
      <c r="DV293" s="25"/>
      <c r="DW293" s="25"/>
      <c r="DX293" s="25"/>
      <c r="DY293" s="25"/>
      <c r="DZ293" s="25" t="str">
        <f>_xlfn.CONCAT($A294," ",$B294," ",$D294)</f>
        <v>2025 Hyundai GV60 AWD with 19''</v>
      </c>
      <c r="EB293" s="25"/>
      <c r="EC293" s="25"/>
      <c r="ED293" s="25"/>
      <c r="EE293" s="25"/>
      <c r="EF293" s="25"/>
      <c r="EG293" s="25"/>
      <c r="EH293" s="25"/>
      <c r="EI293" s="25"/>
      <c r="EJ293" s="25"/>
      <c r="EK293" s="25"/>
      <c r="EL293" s="25"/>
      <c r="EM293" s="25"/>
      <c r="EN293" s="25"/>
      <c r="EO293" s="25"/>
      <c r="EP293" s="25"/>
      <c r="EQ293" s="25"/>
      <c r="ER293" s="25"/>
      <c r="ES293" s="25"/>
      <c r="ET293" s="25"/>
      <c r="EU293" s="25"/>
      <c r="EV293" s="25" t="str">
        <f>_xlfn.CONCAT($A294," ",$B294," ",$D294)</f>
        <v>2025 Hyundai GV60 AWD with 19''</v>
      </c>
      <c r="EW293" s="25"/>
      <c r="EX293" s="25"/>
      <c r="EY293" s="25"/>
      <c r="EZ293" s="25"/>
      <c r="FA293" s="25"/>
      <c r="FB293" s="25"/>
      <c r="FC293" s="25"/>
      <c r="FD293" s="25"/>
      <c r="FE293" s="25"/>
      <c r="FF293" s="25"/>
      <c r="FG293" s="25"/>
    </row>
    <row r="294" spans="1:165" x14ac:dyDescent="0.35">
      <c r="A294">
        <v>2025</v>
      </c>
      <c r="B294" t="s">
        <v>569</v>
      </c>
      <c r="C294" t="s">
        <v>570</v>
      </c>
      <c r="D294" t="s">
        <v>1946</v>
      </c>
      <c r="E294" t="s">
        <v>572</v>
      </c>
      <c r="F294">
        <v>2</v>
      </c>
      <c r="G294">
        <v>0</v>
      </c>
      <c r="I294" t="s">
        <v>1734</v>
      </c>
      <c r="J294">
        <v>110</v>
      </c>
      <c r="K294">
        <v>90</v>
      </c>
      <c r="L294">
        <v>100</v>
      </c>
      <c r="M294">
        <v>160.4</v>
      </c>
      <c r="N294">
        <v>130.30000000000001</v>
      </c>
      <c r="O294">
        <v>145.2961</v>
      </c>
      <c r="P294">
        <v>110</v>
      </c>
      <c r="Q294">
        <v>90</v>
      </c>
      <c r="R294">
        <v>100</v>
      </c>
      <c r="V294" t="s">
        <v>167</v>
      </c>
      <c r="W294" t="s">
        <v>168</v>
      </c>
      <c r="X294" t="s">
        <v>1931</v>
      </c>
      <c r="Y294">
        <v>1</v>
      </c>
      <c r="Z294" t="s">
        <v>170</v>
      </c>
      <c r="AA294" t="s">
        <v>170</v>
      </c>
      <c r="AB294" t="s">
        <v>167</v>
      </c>
      <c r="AC294" t="s">
        <v>213</v>
      </c>
      <c r="AF294">
        <v>264</v>
      </c>
      <c r="AG294" t="s">
        <v>1735</v>
      </c>
      <c r="AH294" t="s">
        <v>1736</v>
      </c>
      <c r="AI294" t="s">
        <v>175</v>
      </c>
      <c r="AJ294" t="s">
        <v>176</v>
      </c>
      <c r="AK294">
        <v>4</v>
      </c>
      <c r="AL294" t="s">
        <v>1737</v>
      </c>
      <c r="AO294">
        <v>102</v>
      </c>
      <c r="AP294">
        <v>24</v>
      </c>
      <c r="AS294">
        <v>800</v>
      </c>
      <c r="AT294">
        <v>800</v>
      </c>
      <c r="BQ294">
        <v>31</v>
      </c>
      <c r="BR294" t="s">
        <v>1219</v>
      </c>
      <c r="BT294" t="s">
        <v>1738</v>
      </c>
      <c r="BU294" s="1">
        <v>45427</v>
      </c>
      <c r="BV294">
        <v>34704</v>
      </c>
      <c r="BX294" t="s">
        <v>170</v>
      </c>
      <c r="BY294" t="s">
        <v>170</v>
      </c>
      <c r="CB294" t="s">
        <v>170</v>
      </c>
      <c r="CC294" t="s">
        <v>170</v>
      </c>
      <c r="CK294" t="s">
        <v>233</v>
      </c>
      <c r="CM294">
        <v>1</v>
      </c>
      <c r="CN294" t="s">
        <v>234</v>
      </c>
      <c r="CP294">
        <v>697</v>
      </c>
      <c r="CQ294">
        <v>111.2</v>
      </c>
      <c r="CR294">
        <v>161</v>
      </c>
      <c r="CS294" t="s">
        <v>1752</v>
      </c>
      <c r="CV294" t="s">
        <v>341</v>
      </c>
      <c r="CX294" t="s">
        <v>342</v>
      </c>
      <c r="CY294" t="s">
        <v>169</v>
      </c>
      <c r="DC294" t="s">
        <v>1932</v>
      </c>
      <c r="DD294">
        <v>2</v>
      </c>
      <c r="DE294" t="s">
        <v>404</v>
      </c>
      <c r="DF294" t="s">
        <v>427</v>
      </c>
      <c r="DG294" t="s">
        <v>1938</v>
      </c>
      <c r="DL294" t="s">
        <v>170</v>
      </c>
      <c r="DM294" t="s">
        <v>169</v>
      </c>
      <c r="DP294" t="s">
        <v>170</v>
      </c>
      <c r="DQ294" t="s">
        <v>187</v>
      </c>
      <c r="DR294" t="s">
        <v>1947</v>
      </c>
      <c r="EB294">
        <v>9</v>
      </c>
      <c r="EC294">
        <v>10</v>
      </c>
      <c r="EE294" t="s">
        <v>1942</v>
      </c>
      <c r="EF294">
        <v>10</v>
      </c>
      <c r="EU294">
        <v>5500</v>
      </c>
      <c r="EW294">
        <v>0</v>
      </c>
      <c r="EX294">
        <v>0</v>
      </c>
      <c r="EY294">
        <v>0</v>
      </c>
      <c r="FA294">
        <v>7.2</v>
      </c>
      <c r="FG294">
        <v>288</v>
      </c>
      <c r="FH294">
        <v>235</v>
      </c>
      <c r="FI294">
        <v>264</v>
      </c>
    </row>
    <row r="295" spans="1:165" x14ac:dyDescent="0.35">
      <c r="A295">
        <v>2025</v>
      </c>
      <c r="B295" t="s">
        <v>569</v>
      </c>
      <c r="C295" t="s">
        <v>570</v>
      </c>
      <c r="D295" t="s">
        <v>1946</v>
      </c>
      <c r="E295" t="s">
        <v>572</v>
      </c>
      <c r="F295">
        <v>2</v>
      </c>
      <c r="G295">
        <v>0</v>
      </c>
      <c r="I295" t="s">
        <v>1734</v>
      </c>
      <c r="J295">
        <v>31</v>
      </c>
      <c r="K295">
        <v>38</v>
      </c>
      <c r="L295">
        <v>34</v>
      </c>
      <c r="M295">
        <v>21.018899999999999</v>
      </c>
      <c r="N295">
        <v>25.8748</v>
      </c>
      <c r="O295">
        <v>23.204000000000001</v>
      </c>
      <c r="P295">
        <v>31</v>
      </c>
      <c r="Q295">
        <v>38</v>
      </c>
      <c r="R295">
        <v>34</v>
      </c>
      <c r="V295" t="s">
        <v>167</v>
      </c>
      <c r="W295" t="s">
        <v>168</v>
      </c>
      <c r="X295" t="s">
        <v>1931</v>
      </c>
      <c r="Y295">
        <v>1</v>
      </c>
      <c r="Z295" t="s">
        <v>170</v>
      </c>
      <c r="AA295" t="s">
        <v>170</v>
      </c>
      <c r="AB295" t="s">
        <v>167</v>
      </c>
      <c r="AC295" t="s">
        <v>213</v>
      </c>
      <c r="AF295">
        <v>264</v>
      </c>
      <c r="AG295" t="s">
        <v>1735</v>
      </c>
      <c r="AH295" t="s">
        <v>1736</v>
      </c>
      <c r="AI295" t="s">
        <v>1742</v>
      </c>
      <c r="AJ295" t="s">
        <v>1743</v>
      </c>
      <c r="AK295">
        <v>4</v>
      </c>
      <c r="AL295" t="s">
        <v>1737</v>
      </c>
      <c r="AO295">
        <v>102</v>
      </c>
      <c r="AP295">
        <v>24</v>
      </c>
      <c r="AS295">
        <v>800</v>
      </c>
      <c r="AT295">
        <v>800</v>
      </c>
      <c r="BQ295">
        <v>31</v>
      </c>
      <c r="BR295" t="s">
        <v>1219</v>
      </c>
      <c r="BT295" t="s">
        <v>1738</v>
      </c>
      <c r="BU295" s="1">
        <v>45427</v>
      </c>
      <c r="BV295">
        <v>34704</v>
      </c>
      <c r="BX295" t="s">
        <v>170</v>
      </c>
      <c r="BY295" t="s">
        <v>170</v>
      </c>
      <c r="CB295" t="s">
        <v>170</v>
      </c>
      <c r="CC295" t="s">
        <v>170</v>
      </c>
      <c r="CK295" t="s">
        <v>233</v>
      </c>
      <c r="CM295">
        <v>1</v>
      </c>
      <c r="CN295" t="s">
        <v>234</v>
      </c>
      <c r="CP295">
        <v>697</v>
      </c>
      <c r="CQ295">
        <v>111.2</v>
      </c>
      <c r="CR295">
        <v>161</v>
      </c>
      <c r="CS295" t="s">
        <v>1752</v>
      </c>
      <c r="CV295" t="s">
        <v>341</v>
      </c>
      <c r="CX295" t="s">
        <v>342</v>
      </c>
      <c r="CY295" t="s">
        <v>169</v>
      </c>
      <c r="DC295" t="s">
        <v>1932</v>
      </c>
      <c r="DD295">
        <v>2</v>
      </c>
      <c r="DE295" t="s">
        <v>404</v>
      </c>
      <c r="DF295" t="s">
        <v>427</v>
      </c>
      <c r="DG295" t="s">
        <v>1938</v>
      </c>
      <c r="DL295" t="s">
        <v>170</v>
      </c>
      <c r="DM295" t="s">
        <v>169</v>
      </c>
      <c r="DP295" t="s">
        <v>170</v>
      </c>
      <c r="DQ295" t="s">
        <v>187</v>
      </c>
      <c r="DR295" t="s">
        <v>1947</v>
      </c>
      <c r="EB295">
        <v>9</v>
      </c>
      <c r="EC295">
        <v>10</v>
      </c>
      <c r="EE295" t="s">
        <v>1942</v>
      </c>
      <c r="EF295">
        <v>10</v>
      </c>
      <c r="EU295">
        <v>5500</v>
      </c>
      <c r="EW295">
        <v>0</v>
      </c>
      <c r="EX295">
        <v>0</v>
      </c>
      <c r="EY295">
        <v>0</v>
      </c>
      <c r="FA295">
        <v>7.2</v>
      </c>
      <c r="FG295">
        <v>288</v>
      </c>
      <c r="FH295">
        <v>235</v>
      </c>
      <c r="FI295">
        <v>264</v>
      </c>
    </row>
    <row r="296" spans="1:165" x14ac:dyDescent="0.35">
      <c r="A296" s="25"/>
      <c r="B296" s="25"/>
      <c r="C296" s="25"/>
      <c r="D296" s="25"/>
      <c r="E296" s="25"/>
      <c r="F296" s="25" t="str">
        <f>_xlfn.CONCAT($A297," ",$B297," ",$D297)</f>
        <v>2025 Hyundai GV60 AWD Advanced with 20''</v>
      </c>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c r="AD296" s="25" t="str">
        <f>_xlfn.CONCAT($A297," ",$B297," ",$D297)</f>
        <v>2025 Hyundai GV60 AWD Advanced with 20''</v>
      </c>
      <c r="AE296" s="25"/>
      <c r="AF296" s="25"/>
      <c r="AG296" s="25"/>
      <c r="AH296" s="25"/>
      <c r="AI296" s="25"/>
      <c r="AJ296" s="25"/>
      <c r="AK296" s="25"/>
      <c r="AL296" s="25"/>
      <c r="AM296" s="25"/>
      <c r="AN296" s="25"/>
      <c r="AO296" s="25"/>
      <c r="AP296" s="25"/>
      <c r="AQ296" s="25"/>
      <c r="AR296" s="25"/>
      <c r="AS296" s="25"/>
      <c r="AT296" s="25"/>
      <c r="AU296" s="25"/>
      <c r="AV296" s="25"/>
      <c r="AW296" s="25"/>
      <c r="AX296" s="25" t="str">
        <f>_xlfn.CONCAT($A297," ",$B297," ",$D297)</f>
        <v>2025 Hyundai GV60 AWD Advanced with 20''</v>
      </c>
      <c r="AY296" s="25"/>
      <c r="AZ296" s="25"/>
      <c r="BA296" s="25"/>
      <c r="BB296" s="25"/>
      <c r="BC296" s="25"/>
      <c r="BD296" s="25"/>
      <c r="BE296" s="25"/>
      <c r="BF296" s="25"/>
      <c r="BG296" s="25"/>
      <c r="BH296" s="25"/>
      <c r="BI296" s="25"/>
      <c r="BJ296" s="25"/>
      <c r="BK296" s="25"/>
      <c r="BL296" s="25"/>
      <c r="BM296" s="25"/>
      <c r="BN296" s="25"/>
      <c r="BO296" s="25"/>
      <c r="BP296" s="25"/>
      <c r="BQ296" s="25"/>
      <c r="BR296" s="25" t="str">
        <f>_xlfn.CONCAT($A297," ",$B297," ",$D297)</f>
        <v>2025 Hyundai GV60 AWD Advanced with 20''</v>
      </c>
      <c r="BS296" s="25"/>
      <c r="BT296" s="25"/>
      <c r="BU296" s="25"/>
      <c r="BV296" s="25"/>
      <c r="BX296" s="25"/>
      <c r="BY296" s="25"/>
      <c r="BZ296" s="25"/>
      <c r="CA296" s="25"/>
      <c r="CB296" s="25"/>
      <c r="CC296" s="25"/>
      <c r="CD296" s="25"/>
      <c r="CE296" s="25"/>
      <c r="CF296" s="25"/>
      <c r="CG296" s="25"/>
      <c r="CH296" s="25"/>
      <c r="CI296" s="25"/>
      <c r="CJ296" s="25"/>
      <c r="CK296" s="25"/>
      <c r="CL296" s="25"/>
      <c r="CM296" s="25"/>
      <c r="CN296" s="25"/>
      <c r="CO296" s="25"/>
      <c r="CP296" s="25" t="str">
        <f>_xlfn.CONCAT($A297," ",$B297," ",$D297)</f>
        <v>2025 Hyundai GV60 AWD Advanced with 20''</v>
      </c>
      <c r="CQ296" s="25"/>
      <c r="CR296" s="25"/>
      <c r="CS296" s="25"/>
      <c r="CT296" s="25"/>
      <c r="CU296" s="25"/>
      <c r="CV296" s="25"/>
      <c r="CW296" s="25"/>
      <c r="CX296" s="25"/>
      <c r="CY296" s="25"/>
      <c r="CZ296" s="25"/>
      <c r="DA296" s="25"/>
      <c r="DB296" s="25"/>
      <c r="DC296" s="25"/>
      <c r="DD296" s="25"/>
      <c r="DE296" s="25"/>
      <c r="DF296" s="25"/>
      <c r="DG296" s="25"/>
      <c r="DH296" s="25"/>
      <c r="DI296" s="25" t="str">
        <f>_xlfn.CONCAT($A297," ",$B297," ",$D297)</f>
        <v>2025 Hyundai GV60 AWD Advanced with 20''</v>
      </c>
      <c r="DJ296" s="25"/>
      <c r="DK296" s="25"/>
      <c r="DL296" s="25"/>
      <c r="DM296" s="25"/>
      <c r="DN296" s="25"/>
      <c r="DO296" s="25"/>
      <c r="DP296" s="25"/>
      <c r="DQ296" s="25"/>
      <c r="DR296" s="25"/>
      <c r="DS296" s="25"/>
      <c r="DT296" s="25"/>
      <c r="DU296" s="25"/>
      <c r="DV296" s="25"/>
      <c r="DW296" s="25"/>
      <c r="DX296" s="25"/>
      <c r="DY296" s="25"/>
      <c r="DZ296" s="25" t="str">
        <f>_xlfn.CONCAT($A297," ",$B297," ",$D297)</f>
        <v>2025 Hyundai GV60 AWD Advanced with 20''</v>
      </c>
      <c r="EB296" s="25"/>
      <c r="EC296" s="25"/>
      <c r="ED296" s="25"/>
      <c r="EE296" s="25"/>
      <c r="EF296" s="25"/>
      <c r="EG296" s="25"/>
      <c r="EH296" s="25"/>
      <c r="EI296" s="25"/>
      <c r="EJ296" s="25"/>
      <c r="EK296" s="25"/>
      <c r="EL296" s="25"/>
      <c r="EM296" s="25"/>
      <c r="EN296" s="25"/>
      <c r="EO296" s="25"/>
      <c r="EP296" s="25"/>
      <c r="EQ296" s="25"/>
      <c r="ER296" s="25"/>
      <c r="ES296" s="25"/>
      <c r="ET296" s="25"/>
      <c r="EU296" s="25"/>
      <c r="EV296" s="25" t="str">
        <f>_xlfn.CONCAT($A297," ",$B297," ",$D297)</f>
        <v>2025 Hyundai GV60 AWD Advanced with 20''</v>
      </c>
      <c r="EW296" s="25"/>
      <c r="EX296" s="25"/>
      <c r="EY296" s="25"/>
      <c r="EZ296" s="25"/>
      <c r="FA296" s="25"/>
      <c r="FB296" s="25"/>
      <c r="FC296" s="25"/>
      <c r="FD296" s="25"/>
      <c r="FE296" s="25"/>
      <c r="FF296" s="25"/>
      <c r="FG296" s="25"/>
    </row>
    <row r="297" spans="1:165" x14ac:dyDescent="0.35">
      <c r="A297">
        <v>2025</v>
      </c>
      <c r="B297" t="s">
        <v>569</v>
      </c>
      <c r="C297" t="s">
        <v>570</v>
      </c>
      <c r="D297" t="s">
        <v>1940</v>
      </c>
      <c r="E297" t="s">
        <v>572</v>
      </c>
      <c r="F297">
        <v>3</v>
      </c>
      <c r="G297">
        <v>0</v>
      </c>
      <c r="I297" t="s">
        <v>1734</v>
      </c>
      <c r="J297">
        <v>103</v>
      </c>
      <c r="K297">
        <v>86</v>
      </c>
      <c r="L297">
        <v>95</v>
      </c>
      <c r="M297">
        <v>147.5</v>
      </c>
      <c r="N297">
        <v>123.5</v>
      </c>
      <c r="O297">
        <v>135.63849999999999</v>
      </c>
      <c r="P297">
        <v>103.25</v>
      </c>
      <c r="Q297">
        <v>86.45</v>
      </c>
      <c r="R297">
        <v>94.947000000000003</v>
      </c>
      <c r="V297" t="s">
        <v>167</v>
      </c>
      <c r="W297" t="s">
        <v>168</v>
      </c>
      <c r="X297" t="s">
        <v>1931</v>
      </c>
      <c r="Y297">
        <v>1</v>
      </c>
      <c r="Z297" t="s">
        <v>170</v>
      </c>
      <c r="AA297" t="s">
        <v>170</v>
      </c>
      <c r="AB297" t="s">
        <v>167</v>
      </c>
      <c r="AC297" t="s">
        <v>213</v>
      </c>
      <c r="AF297">
        <v>248</v>
      </c>
      <c r="AG297" t="s">
        <v>1735</v>
      </c>
      <c r="AH297" t="s">
        <v>1736</v>
      </c>
      <c r="AI297" t="s">
        <v>175</v>
      </c>
      <c r="AJ297" t="s">
        <v>176</v>
      </c>
      <c r="AK297">
        <v>4</v>
      </c>
      <c r="AL297" t="s">
        <v>1737</v>
      </c>
      <c r="AO297">
        <v>102</v>
      </c>
      <c r="AP297">
        <v>24</v>
      </c>
      <c r="AS297">
        <v>850</v>
      </c>
      <c r="AT297">
        <v>850</v>
      </c>
      <c r="BQ297">
        <v>31</v>
      </c>
      <c r="BR297" t="s">
        <v>1219</v>
      </c>
      <c r="BT297" t="s">
        <v>1738</v>
      </c>
      <c r="BU297" s="1">
        <v>45427</v>
      </c>
      <c r="BV297">
        <v>34701</v>
      </c>
      <c r="BX297" t="s">
        <v>169</v>
      </c>
      <c r="BY297" t="s">
        <v>170</v>
      </c>
      <c r="CB297" t="s">
        <v>170</v>
      </c>
      <c r="CC297" t="s">
        <v>170</v>
      </c>
      <c r="CK297" t="s">
        <v>233</v>
      </c>
      <c r="CM297">
        <v>1</v>
      </c>
      <c r="CN297" t="s">
        <v>234</v>
      </c>
      <c r="CP297">
        <v>697</v>
      </c>
      <c r="CQ297">
        <v>111.2</v>
      </c>
      <c r="CR297">
        <v>161</v>
      </c>
      <c r="CS297" t="s">
        <v>1752</v>
      </c>
      <c r="CV297" t="s">
        <v>341</v>
      </c>
      <c r="CX297" t="s">
        <v>342</v>
      </c>
      <c r="CY297" t="s">
        <v>169</v>
      </c>
      <c r="DC297" t="s">
        <v>1932</v>
      </c>
      <c r="DD297">
        <v>2</v>
      </c>
      <c r="DE297" t="s">
        <v>404</v>
      </c>
      <c r="DF297" t="s">
        <v>427</v>
      </c>
      <c r="DG297" t="s">
        <v>1938</v>
      </c>
      <c r="DL297" t="s">
        <v>170</v>
      </c>
      <c r="DM297" t="s">
        <v>169</v>
      </c>
      <c r="DP297" t="s">
        <v>170</v>
      </c>
      <c r="DQ297" t="s">
        <v>187</v>
      </c>
      <c r="DR297" t="s">
        <v>1941</v>
      </c>
      <c r="EB297">
        <v>9</v>
      </c>
      <c r="EC297">
        <v>10</v>
      </c>
      <c r="EE297" t="s">
        <v>1942</v>
      </c>
      <c r="EF297">
        <v>10</v>
      </c>
      <c r="EU297">
        <v>5250</v>
      </c>
      <c r="EW297">
        <v>0</v>
      </c>
      <c r="EX297">
        <v>0</v>
      </c>
      <c r="EY297">
        <v>0</v>
      </c>
      <c r="FA297">
        <v>7.2</v>
      </c>
      <c r="FG297">
        <v>268</v>
      </c>
      <c r="FH297">
        <v>224</v>
      </c>
      <c r="FI297">
        <v>248</v>
      </c>
    </row>
    <row r="298" spans="1:165" x14ac:dyDescent="0.35">
      <c r="A298">
        <v>2025</v>
      </c>
      <c r="B298" t="s">
        <v>569</v>
      </c>
      <c r="C298" t="s">
        <v>570</v>
      </c>
      <c r="D298" t="s">
        <v>1940</v>
      </c>
      <c r="E298" t="s">
        <v>572</v>
      </c>
      <c r="F298">
        <v>3</v>
      </c>
      <c r="G298">
        <v>0</v>
      </c>
      <c r="I298" t="s">
        <v>1734</v>
      </c>
      <c r="J298">
        <v>33</v>
      </c>
      <c r="K298">
        <v>39</v>
      </c>
      <c r="L298">
        <v>35</v>
      </c>
      <c r="M298">
        <v>22.8551</v>
      </c>
      <c r="N298">
        <v>27.281099999999999</v>
      </c>
      <c r="O298">
        <v>24.846800000000002</v>
      </c>
      <c r="P298">
        <v>32.644100000000002</v>
      </c>
      <c r="Q298">
        <v>38.987900000000003</v>
      </c>
      <c r="R298">
        <v>35.498800000000003</v>
      </c>
      <c r="V298" t="s">
        <v>167</v>
      </c>
      <c r="W298" t="s">
        <v>168</v>
      </c>
      <c r="X298" t="s">
        <v>1931</v>
      </c>
      <c r="Y298">
        <v>1</v>
      </c>
      <c r="Z298" t="s">
        <v>170</v>
      </c>
      <c r="AA298" t="s">
        <v>170</v>
      </c>
      <c r="AB298" t="s">
        <v>167</v>
      </c>
      <c r="AC298" t="s">
        <v>213</v>
      </c>
      <c r="AF298">
        <v>248</v>
      </c>
      <c r="AG298" t="s">
        <v>1735</v>
      </c>
      <c r="AH298" t="s">
        <v>1736</v>
      </c>
      <c r="AI298" t="s">
        <v>1742</v>
      </c>
      <c r="AJ298" t="s">
        <v>1743</v>
      </c>
      <c r="AK298">
        <v>4</v>
      </c>
      <c r="AL298" t="s">
        <v>1737</v>
      </c>
      <c r="AO298">
        <v>102</v>
      </c>
      <c r="AP298">
        <v>24</v>
      </c>
      <c r="AS298">
        <v>850</v>
      </c>
      <c r="AT298">
        <v>850</v>
      </c>
      <c r="BQ298">
        <v>31</v>
      </c>
      <c r="BR298" t="s">
        <v>1219</v>
      </c>
      <c r="BT298" t="s">
        <v>1738</v>
      </c>
      <c r="BU298" s="1">
        <v>45427</v>
      </c>
      <c r="BV298">
        <v>34701</v>
      </c>
      <c r="BX298" t="s">
        <v>169</v>
      </c>
      <c r="BY298" t="s">
        <v>170</v>
      </c>
      <c r="CB298" t="s">
        <v>170</v>
      </c>
      <c r="CC298" t="s">
        <v>170</v>
      </c>
      <c r="CK298" t="s">
        <v>233</v>
      </c>
      <c r="CM298">
        <v>1</v>
      </c>
      <c r="CN298" t="s">
        <v>234</v>
      </c>
      <c r="CP298">
        <v>697</v>
      </c>
      <c r="CQ298">
        <v>111.2</v>
      </c>
      <c r="CR298">
        <v>161</v>
      </c>
      <c r="CS298" t="s">
        <v>1752</v>
      </c>
      <c r="CV298" t="s">
        <v>341</v>
      </c>
      <c r="CX298" t="s">
        <v>342</v>
      </c>
      <c r="CY298" t="s">
        <v>169</v>
      </c>
      <c r="DC298" t="s">
        <v>1932</v>
      </c>
      <c r="DD298">
        <v>2</v>
      </c>
      <c r="DE298" t="s">
        <v>404</v>
      </c>
      <c r="DF298" t="s">
        <v>427</v>
      </c>
      <c r="DG298" t="s">
        <v>1938</v>
      </c>
      <c r="DL298" t="s">
        <v>170</v>
      </c>
      <c r="DM298" t="s">
        <v>169</v>
      </c>
      <c r="DP298" t="s">
        <v>170</v>
      </c>
      <c r="DQ298" t="s">
        <v>187</v>
      </c>
      <c r="DR298" t="s">
        <v>1941</v>
      </c>
      <c r="EB298">
        <v>9</v>
      </c>
      <c r="EC298">
        <v>10</v>
      </c>
      <c r="EE298" t="s">
        <v>1942</v>
      </c>
      <c r="EF298">
        <v>10</v>
      </c>
      <c r="EU298">
        <v>5250</v>
      </c>
      <c r="EW298">
        <v>0</v>
      </c>
      <c r="EX298">
        <v>0</v>
      </c>
      <c r="EY298">
        <v>0</v>
      </c>
      <c r="FA298">
        <v>7.2</v>
      </c>
      <c r="FG298">
        <v>268</v>
      </c>
      <c r="FH298">
        <v>224</v>
      </c>
      <c r="FI298">
        <v>248</v>
      </c>
    </row>
    <row r="299" spans="1:165" x14ac:dyDescent="0.35">
      <c r="A299" s="25"/>
      <c r="B299" s="25"/>
      <c r="C299" s="25"/>
      <c r="D299" s="25"/>
      <c r="E299" s="25"/>
      <c r="F299" s="25" t="str">
        <f>_xlfn.CONCAT($A300," ",$B300," ",$D300)</f>
        <v>2025 Hyundai GV60 AWD Performance</v>
      </c>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c r="AD299" s="25" t="str">
        <f>_xlfn.CONCAT($A300," ",$B300," ",$D300)</f>
        <v>2025 Hyundai GV60 AWD Performance</v>
      </c>
      <c r="AE299" s="25"/>
      <c r="AF299" s="25"/>
      <c r="AG299" s="25"/>
      <c r="AH299" s="25"/>
      <c r="AI299" s="25"/>
      <c r="AJ299" s="25"/>
      <c r="AK299" s="25"/>
      <c r="AL299" s="25"/>
      <c r="AM299" s="25"/>
      <c r="AN299" s="25"/>
      <c r="AO299" s="25"/>
      <c r="AP299" s="25"/>
      <c r="AQ299" s="25"/>
      <c r="AR299" s="25"/>
      <c r="AS299" s="25"/>
      <c r="AT299" s="25"/>
      <c r="AU299" s="25"/>
      <c r="AV299" s="25"/>
      <c r="AW299" s="25"/>
      <c r="AX299" s="25" t="str">
        <f>_xlfn.CONCAT($A300," ",$B300," ",$D300)</f>
        <v>2025 Hyundai GV60 AWD Performance</v>
      </c>
      <c r="AY299" s="25"/>
      <c r="AZ299" s="25"/>
      <c r="BA299" s="25"/>
      <c r="BB299" s="25"/>
      <c r="BC299" s="25"/>
      <c r="BD299" s="25"/>
      <c r="BE299" s="25"/>
      <c r="BF299" s="25"/>
      <c r="BG299" s="25"/>
      <c r="BH299" s="25"/>
      <c r="BI299" s="25"/>
      <c r="BJ299" s="25"/>
      <c r="BK299" s="25"/>
      <c r="BL299" s="25"/>
      <c r="BM299" s="25"/>
      <c r="BN299" s="25"/>
      <c r="BO299" s="25"/>
      <c r="BP299" s="25"/>
      <c r="BQ299" s="25"/>
      <c r="BR299" s="25" t="str">
        <f>_xlfn.CONCAT($A300," ",$B300," ",$D300)</f>
        <v>2025 Hyundai GV60 AWD Performance</v>
      </c>
      <c r="BS299" s="25"/>
      <c r="BT299" s="25"/>
      <c r="BU299" s="25"/>
      <c r="BV299" s="25"/>
      <c r="BX299" s="25"/>
      <c r="BY299" s="25"/>
      <c r="BZ299" s="25"/>
      <c r="CA299" s="25"/>
      <c r="CB299" s="25"/>
      <c r="CC299" s="25"/>
      <c r="CD299" s="25"/>
      <c r="CE299" s="25"/>
      <c r="CF299" s="25"/>
      <c r="CG299" s="25"/>
      <c r="CH299" s="25"/>
      <c r="CI299" s="25"/>
      <c r="CJ299" s="25"/>
      <c r="CK299" s="25"/>
      <c r="CL299" s="25"/>
      <c r="CM299" s="25"/>
      <c r="CN299" s="25"/>
      <c r="CO299" s="25"/>
      <c r="CP299" s="25" t="str">
        <f>_xlfn.CONCAT($A300," ",$B300," ",$D300)</f>
        <v>2025 Hyundai GV60 AWD Performance</v>
      </c>
      <c r="CQ299" s="25"/>
      <c r="CR299" s="25"/>
      <c r="CS299" s="25"/>
      <c r="CT299" s="25"/>
      <c r="CU299" s="25"/>
      <c r="CV299" s="25"/>
      <c r="CW299" s="25"/>
      <c r="CX299" s="25"/>
      <c r="CY299" s="25"/>
      <c r="CZ299" s="25"/>
      <c r="DA299" s="25"/>
      <c r="DB299" s="25"/>
      <c r="DC299" s="25"/>
      <c r="DD299" s="25"/>
      <c r="DE299" s="25"/>
      <c r="DF299" s="25"/>
      <c r="DG299" s="25"/>
      <c r="DH299" s="25"/>
      <c r="DI299" s="25" t="str">
        <f>_xlfn.CONCAT($A300," ",$B300," ",$D300)</f>
        <v>2025 Hyundai GV60 AWD Performance</v>
      </c>
      <c r="DJ299" s="25"/>
      <c r="DK299" s="25"/>
      <c r="DL299" s="25"/>
      <c r="DM299" s="25"/>
      <c r="DN299" s="25"/>
      <c r="DO299" s="25"/>
      <c r="DP299" s="25"/>
      <c r="DQ299" s="25"/>
      <c r="DR299" s="25"/>
      <c r="DS299" s="25"/>
      <c r="DT299" s="25"/>
      <c r="DU299" s="25"/>
      <c r="DV299" s="25"/>
      <c r="DW299" s="25"/>
      <c r="DX299" s="25"/>
      <c r="DY299" s="25"/>
      <c r="DZ299" s="25" t="str">
        <f>_xlfn.CONCAT($A300," ",$B300," ",$D300)</f>
        <v>2025 Hyundai GV60 AWD Performance</v>
      </c>
      <c r="EB299" s="25"/>
      <c r="EC299" s="25"/>
      <c r="ED299" s="25"/>
      <c r="EE299" s="25"/>
      <c r="EF299" s="25"/>
      <c r="EG299" s="25"/>
      <c r="EH299" s="25"/>
      <c r="EI299" s="25"/>
      <c r="EJ299" s="25"/>
      <c r="EK299" s="25"/>
      <c r="EL299" s="25"/>
      <c r="EM299" s="25"/>
      <c r="EN299" s="25"/>
      <c r="EO299" s="25"/>
      <c r="EP299" s="25"/>
      <c r="EQ299" s="25"/>
      <c r="ER299" s="25"/>
      <c r="ES299" s="25"/>
      <c r="ET299" s="25"/>
      <c r="EU299" s="25"/>
      <c r="EV299" s="25" t="str">
        <f>_xlfn.CONCAT($A300," ",$B300," ",$D300)</f>
        <v>2025 Hyundai GV60 AWD Performance</v>
      </c>
      <c r="EW299" s="25"/>
      <c r="EX299" s="25"/>
      <c r="EY299" s="25"/>
      <c r="EZ299" s="25"/>
      <c r="FA299" s="25"/>
      <c r="FB299" s="25"/>
      <c r="FC299" s="25"/>
      <c r="FD299" s="25"/>
      <c r="FE299" s="25"/>
      <c r="FF299" s="25"/>
      <c r="FG299" s="25"/>
    </row>
    <row r="300" spans="1:165" x14ac:dyDescent="0.35">
      <c r="A300">
        <v>2025</v>
      </c>
      <c r="B300" t="s">
        <v>569</v>
      </c>
      <c r="C300" t="s">
        <v>570</v>
      </c>
      <c r="D300" t="s">
        <v>1943</v>
      </c>
      <c r="E300" t="s">
        <v>572</v>
      </c>
      <c r="F300">
        <v>4</v>
      </c>
      <c r="G300">
        <v>0</v>
      </c>
      <c r="I300" t="s">
        <v>1734</v>
      </c>
      <c r="J300">
        <v>97</v>
      </c>
      <c r="K300">
        <v>82</v>
      </c>
      <c r="L300">
        <v>90</v>
      </c>
      <c r="M300">
        <v>141.6</v>
      </c>
      <c r="N300">
        <v>119.5</v>
      </c>
      <c r="O300">
        <v>130.72120000000001</v>
      </c>
      <c r="P300">
        <v>97</v>
      </c>
      <c r="Q300">
        <v>82</v>
      </c>
      <c r="R300">
        <v>90</v>
      </c>
      <c r="V300" t="s">
        <v>167</v>
      </c>
      <c r="W300" t="s">
        <v>168</v>
      </c>
      <c r="X300" t="s">
        <v>1931</v>
      </c>
      <c r="Y300">
        <v>1</v>
      </c>
      <c r="Z300" t="s">
        <v>170</v>
      </c>
      <c r="AA300" t="s">
        <v>170</v>
      </c>
      <c r="AB300" t="s">
        <v>167</v>
      </c>
      <c r="AC300" t="s">
        <v>213</v>
      </c>
      <c r="AF300">
        <v>235</v>
      </c>
      <c r="AG300" t="s">
        <v>1735</v>
      </c>
      <c r="AH300" t="s">
        <v>1736</v>
      </c>
      <c r="AI300" t="s">
        <v>175</v>
      </c>
      <c r="AJ300" t="s">
        <v>176</v>
      </c>
      <c r="AK300">
        <v>4</v>
      </c>
      <c r="AL300" t="s">
        <v>1737</v>
      </c>
      <c r="AO300">
        <v>102</v>
      </c>
      <c r="AP300">
        <v>24</v>
      </c>
      <c r="AS300">
        <v>900</v>
      </c>
      <c r="AT300">
        <v>900</v>
      </c>
      <c r="BQ300">
        <v>31</v>
      </c>
      <c r="BR300" t="s">
        <v>1219</v>
      </c>
      <c r="BT300" t="s">
        <v>1738</v>
      </c>
      <c r="BU300" s="1">
        <v>45427</v>
      </c>
      <c r="BV300">
        <v>34702</v>
      </c>
      <c r="BX300" t="s">
        <v>170</v>
      </c>
      <c r="BY300" t="s">
        <v>170</v>
      </c>
      <c r="CB300" t="s">
        <v>170</v>
      </c>
      <c r="CC300" t="s">
        <v>170</v>
      </c>
      <c r="CK300" t="s">
        <v>233</v>
      </c>
      <c r="CM300">
        <v>1</v>
      </c>
      <c r="CN300" t="s">
        <v>234</v>
      </c>
      <c r="CP300">
        <v>697</v>
      </c>
      <c r="CQ300">
        <v>111.2</v>
      </c>
      <c r="CR300">
        <v>160.4</v>
      </c>
      <c r="CS300" t="s">
        <v>1752</v>
      </c>
      <c r="CV300" t="s">
        <v>341</v>
      </c>
      <c r="CX300" t="s">
        <v>342</v>
      </c>
      <c r="CY300" t="s">
        <v>169</v>
      </c>
      <c r="DC300" t="s">
        <v>1937</v>
      </c>
      <c r="DD300">
        <v>2</v>
      </c>
      <c r="DE300" t="s">
        <v>404</v>
      </c>
      <c r="DF300" t="s">
        <v>427</v>
      </c>
      <c r="DG300" t="s">
        <v>1938</v>
      </c>
      <c r="DL300" t="s">
        <v>170</v>
      </c>
      <c r="DM300" t="s">
        <v>169</v>
      </c>
      <c r="DP300" t="s">
        <v>170</v>
      </c>
      <c r="DQ300" t="s">
        <v>187</v>
      </c>
      <c r="DR300" t="s">
        <v>1944</v>
      </c>
      <c r="EB300">
        <v>9</v>
      </c>
      <c r="EC300">
        <v>10</v>
      </c>
      <c r="EE300" t="s">
        <v>1945</v>
      </c>
      <c r="EF300">
        <v>10</v>
      </c>
      <c r="EU300">
        <v>5000</v>
      </c>
      <c r="EW300">
        <v>0</v>
      </c>
      <c r="EX300">
        <v>0</v>
      </c>
      <c r="EY300">
        <v>0</v>
      </c>
      <c r="FA300">
        <v>7.2</v>
      </c>
      <c r="FG300">
        <v>252</v>
      </c>
      <c r="FH300">
        <v>215</v>
      </c>
      <c r="FI300">
        <v>235</v>
      </c>
    </row>
    <row r="301" spans="1:165" x14ac:dyDescent="0.35">
      <c r="A301">
        <v>2025</v>
      </c>
      <c r="B301" t="s">
        <v>569</v>
      </c>
      <c r="C301" t="s">
        <v>570</v>
      </c>
      <c r="D301" t="s">
        <v>1943</v>
      </c>
      <c r="E301" t="s">
        <v>572</v>
      </c>
      <c r="F301">
        <v>4</v>
      </c>
      <c r="G301">
        <v>0</v>
      </c>
      <c r="I301" t="s">
        <v>1734</v>
      </c>
      <c r="J301">
        <v>35</v>
      </c>
      <c r="K301">
        <v>41</v>
      </c>
      <c r="L301">
        <v>37</v>
      </c>
      <c r="M301">
        <v>23.797599999999999</v>
      </c>
      <c r="N301">
        <v>28.1934</v>
      </c>
      <c r="O301">
        <v>25.775700000000001</v>
      </c>
      <c r="P301">
        <v>35</v>
      </c>
      <c r="Q301">
        <v>41</v>
      </c>
      <c r="R301">
        <v>36.834099999999999</v>
      </c>
      <c r="V301" t="s">
        <v>167</v>
      </c>
      <c r="W301" t="s">
        <v>168</v>
      </c>
      <c r="X301" t="s">
        <v>1931</v>
      </c>
      <c r="Y301">
        <v>1</v>
      </c>
      <c r="Z301" t="s">
        <v>170</v>
      </c>
      <c r="AA301" t="s">
        <v>170</v>
      </c>
      <c r="AB301" t="s">
        <v>167</v>
      </c>
      <c r="AC301" t="s">
        <v>213</v>
      </c>
      <c r="AF301">
        <v>235</v>
      </c>
      <c r="AG301" t="s">
        <v>1735</v>
      </c>
      <c r="AH301" t="s">
        <v>1736</v>
      </c>
      <c r="AI301" t="s">
        <v>1742</v>
      </c>
      <c r="AJ301" t="s">
        <v>1743</v>
      </c>
      <c r="AK301">
        <v>4</v>
      </c>
      <c r="AL301" t="s">
        <v>1737</v>
      </c>
      <c r="AO301">
        <v>102</v>
      </c>
      <c r="AP301">
        <v>24</v>
      </c>
      <c r="AS301">
        <v>900</v>
      </c>
      <c r="AT301">
        <v>900</v>
      </c>
      <c r="BQ301">
        <v>31</v>
      </c>
      <c r="BR301" t="s">
        <v>1219</v>
      </c>
      <c r="BT301" t="s">
        <v>1738</v>
      </c>
      <c r="BU301" s="1">
        <v>45427</v>
      </c>
      <c r="BV301">
        <v>34702</v>
      </c>
      <c r="BX301" t="s">
        <v>170</v>
      </c>
      <c r="BY301" t="s">
        <v>170</v>
      </c>
      <c r="CB301" t="s">
        <v>170</v>
      </c>
      <c r="CC301" t="s">
        <v>170</v>
      </c>
      <c r="CK301" t="s">
        <v>233</v>
      </c>
      <c r="CM301">
        <v>1</v>
      </c>
      <c r="CN301" t="s">
        <v>234</v>
      </c>
      <c r="CP301">
        <v>697</v>
      </c>
      <c r="CQ301">
        <v>111.2</v>
      </c>
      <c r="CR301">
        <v>160.4</v>
      </c>
      <c r="CS301" t="s">
        <v>1752</v>
      </c>
      <c r="CV301" t="s">
        <v>341</v>
      </c>
      <c r="CX301" t="s">
        <v>342</v>
      </c>
      <c r="CY301" t="s">
        <v>169</v>
      </c>
      <c r="DC301" t="s">
        <v>1937</v>
      </c>
      <c r="DD301">
        <v>2</v>
      </c>
      <c r="DE301" t="s">
        <v>404</v>
      </c>
      <c r="DF301" t="s">
        <v>427</v>
      </c>
      <c r="DG301" t="s">
        <v>1938</v>
      </c>
      <c r="DL301" t="s">
        <v>170</v>
      </c>
      <c r="DM301" t="s">
        <v>169</v>
      </c>
      <c r="DP301" t="s">
        <v>170</v>
      </c>
      <c r="DQ301" t="s">
        <v>187</v>
      </c>
      <c r="DR301" t="s">
        <v>1944</v>
      </c>
      <c r="EB301">
        <v>9</v>
      </c>
      <c r="EC301">
        <v>10</v>
      </c>
      <c r="EE301" t="s">
        <v>1945</v>
      </c>
      <c r="EF301">
        <v>10</v>
      </c>
      <c r="EU301">
        <v>5000</v>
      </c>
      <c r="EW301">
        <v>0</v>
      </c>
      <c r="EX301">
        <v>0</v>
      </c>
      <c r="EY301">
        <v>0</v>
      </c>
      <c r="FA301">
        <v>7.2</v>
      </c>
      <c r="FG301">
        <v>252</v>
      </c>
      <c r="FH301">
        <v>215</v>
      </c>
      <c r="FI301">
        <v>235</v>
      </c>
    </row>
    <row r="302" spans="1:165" x14ac:dyDescent="0.35">
      <c r="A302" s="25"/>
      <c r="B302" s="25"/>
      <c r="C302" s="25"/>
      <c r="D302" s="25"/>
      <c r="E302" s="25"/>
      <c r="F302" s="25" t="str">
        <f>_xlfn.CONCAT($A303," ",$B303," ",$D303)</f>
        <v>2025 Hyundai Electrified G80</v>
      </c>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c r="AD302" s="25" t="str">
        <f>_xlfn.CONCAT($A303," ",$B303," ",$D303)</f>
        <v>2025 Hyundai Electrified G80</v>
      </c>
      <c r="AE302" s="25"/>
      <c r="AF302" s="25"/>
      <c r="AG302" s="25"/>
      <c r="AH302" s="25"/>
      <c r="AI302" s="25"/>
      <c r="AJ302" s="25"/>
      <c r="AK302" s="25"/>
      <c r="AL302" s="25"/>
      <c r="AM302" s="25"/>
      <c r="AN302" s="25"/>
      <c r="AO302" s="25"/>
      <c r="AP302" s="25"/>
      <c r="AQ302" s="25"/>
      <c r="AR302" s="25"/>
      <c r="AS302" s="25"/>
      <c r="AT302" s="25"/>
      <c r="AU302" s="25"/>
      <c r="AV302" s="25"/>
      <c r="AW302" s="25"/>
      <c r="AX302" s="25" t="str">
        <f>_xlfn.CONCAT($A303," ",$B303," ",$D303)</f>
        <v>2025 Hyundai Electrified G80</v>
      </c>
      <c r="AY302" s="25"/>
      <c r="AZ302" s="25"/>
      <c r="BA302" s="25"/>
      <c r="BB302" s="25"/>
      <c r="BC302" s="25"/>
      <c r="BD302" s="25"/>
      <c r="BE302" s="25"/>
      <c r="BF302" s="25"/>
      <c r="BG302" s="25"/>
      <c r="BH302" s="25"/>
      <c r="BI302" s="25"/>
      <c r="BJ302" s="25"/>
      <c r="BK302" s="25"/>
      <c r="BL302" s="25"/>
      <c r="BM302" s="25"/>
      <c r="BN302" s="25"/>
      <c r="BO302" s="25"/>
      <c r="BP302" s="25"/>
      <c r="BQ302" s="25"/>
      <c r="BR302" s="25" t="str">
        <f>_xlfn.CONCAT($A303," ",$B303," ",$D303)</f>
        <v>2025 Hyundai Electrified G80</v>
      </c>
      <c r="BS302" s="25"/>
      <c r="BT302" s="25"/>
      <c r="BU302" s="25"/>
      <c r="BV302" s="25"/>
      <c r="BX302" s="25"/>
      <c r="BY302" s="25"/>
      <c r="BZ302" s="25"/>
      <c r="CA302" s="25"/>
      <c r="CB302" s="25"/>
      <c r="CC302" s="25"/>
      <c r="CD302" s="25"/>
      <c r="CE302" s="25"/>
      <c r="CF302" s="25"/>
      <c r="CG302" s="25"/>
      <c r="CH302" s="25"/>
      <c r="CI302" s="25"/>
      <c r="CJ302" s="25"/>
      <c r="CK302" s="25"/>
      <c r="CL302" s="25"/>
      <c r="CM302" s="25"/>
      <c r="CN302" s="25"/>
      <c r="CO302" s="25"/>
      <c r="CP302" s="25" t="str">
        <f>_xlfn.CONCAT($A303," ",$B303," ",$D303)</f>
        <v>2025 Hyundai Electrified G80</v>
      </c>
      <c r="CQ302" s="25"/>
      <c r="CR302" s="25"/>
      <c r="CS302" s="25"/>
      <c r="CT302" s="25"/>
      <c r="CU302" s="25"/>
      <c r="CV302" s="25"/>
      <c r="CW302" s="25"/>
      <c r="CX302" s="25"/>
      <c r="CY302" s="25"/>
      <c r="CZ302" s="25"/>
      <c r="DA302" s="25"/>
      <c r="DB302" s="25"/>
      <c r="DC302" s="25"/>
      <c r="DD302" s="25"/>
      <c r="DE302" s="25"/>
      <c r="DF302" s="25"/>
      <c r="DG302" s="25"/>
      <c r="DH302" s="25"/>
      <c r="DI302" s="25" t="str">
        <f>_xlfn.CONCAT($A303," ",$B303," ",$D303)</f>
        <v>2025 Hyundai Electrified G80</v>
      </c>
      <c r="DJ302" s="25"/>
      <c r="DK302" s="25"/>
      <c r="DL302" s="25"/>
      <c r="DM302" s="25"/>
      <c r="DN302" s="25"/>
      <c r="DO302" s="25"/>
      <c r="DP302" s="25"/>
      <c r="DQ302" s="25"/>
      <c r="DR302" s="25"/>
      <c r="DS302" s="25"/>
      <c r="DT302" s="25"/>
      <c r="DU302" s="25"/>
      <c r="DV302" s="25"/>
      <c r="DW302" s="25"/>
      <c r="DX302" s="25"/>
      <c r="DY302" s="25"/>
      <c r="DZ302" s="25" t="str">
        <f>_xlfn.CONCAT($A303," ",$B303," ",$D303)</f>
        <v>2025 Hyundai Electrified G80</v>
      </c>
      <c r="EB302" s="25"/>
      <c r="EC302" s="25"/>
      <c r="ED302" s="25"/>
      <c r="EE302" s="25"/>
      <c r="EF302" s="25"/>
      <c r="EG302" s="25"/>
      <c r="EH302" s="25"/>
      <c r="EI302" s="25"/>
      <c r="EJ302" s="25"/>
      <c r="EK302" s="25"/>
      <c r="EL302" s="25"/>
      <c r="EM302" s="25"/>
      <c r="EN302" s="25"/>
      <c r="EO302" s="25"/>
      <c r="EP302" s="25"/>
      <c r="EQ302" s="25"/>
      <c r="ER302" s="25"/>
      <c r="ES302" s="25"/>
      <c r="ET302" s="25"/>
      <c r="EU302" s="25"/>
      <c r="EV302" s="25" t="str">
        <f>_xlfn.CONCAT($A303," ",$B303," ",$D303)</f>
        <v>2025 Hyundai Electrified G80</v>
      </c>
      <c r="EW302" s="25"/>
      <c r="EX302" s="25"/>
      <c r="EY302" s="25"/>
      <c r="EZ302" s="25"/>
      <c r="FA302" s="25"/>
      <c r="FB302" s="25"/>
      <c r="FC302" s="25"/>
      <c r="FD302" s="25"/>
      <c r="FE302" s="25"/>
      <c r="FF302" s="25"/>
      <c r="FG302" s="25"/>
    </row>
    <row r="303" spans="1:165" x14ac:dyDescent="0.35">
      <c r="A303">
        <v>2025</v>
      </c>
      <c r="B303" t="s">
        <v>569</v>
      </c>
      <c r="C303" t="s">
        <v>570</v>
      </c>
      <c r="D303" t="s">
        <v>1930</v>
      </c>
      <c r="E303" t="s">
        <v>572</v>
      </c>
      <c r="F303">
        <v>5</v>
      </c>
      <c r="G303">
        <v>0</v>
      </c>
      <c r="I303" t="s">
        <v>1734</v>
      </c>
      <c r="J303">
        <v>105</v>
      </c>
      <c r="K303">
        <v>89</v>
      </c>
      <c r="L303">
        <v>97</v>
      </c>
      <c r="M303">
        <v>154.80000000000001</v>
      </c>
      <c r="N303">
        <v>132.1</v>
      </c>
      <c r="O303">
        <v>143.68889999999999</v>
      </c>
      <c r="P303">
        <v>105</v>
      </c>
      <c r="Q303">
        <v>89</v>
      </c>
      <c r="R303">
        <v>97</v>
      </c>
      <c r="V303" t="s">
        <v>167</v>
      </c>
      <c r="W303" t="s">
        <v>168</v>
      </c>
      <c r="X303" t="s">
        <v>1931</v>
      </c>
      <c r="Y303">
        <v>1</v>
      </c>
      <c r="Z303" t="s">
        <v>170</v>
      </c>
      <c r="AA303" t="s">
        <v>170</v>
      </c>
      <c r="AB303" t="s">
        <v>167</v>
      </c>
      <c r="AC303" t="s">
        <v>213</v>
      </c>
      <c r="AF303">
        <v>282</v>
      </c>
      <c r="AG303" t="s">
        <v>1735</v>
      </c>
      <c r="AH303" t="s">
        <v>1736</v>
      </c>
      <c r="AI303" t="s">
        <v>175</v>
      </c>
      <c r="AJ303" t="s">
        <v>176</v>
      </c>
      <c r="AK303">
        <v>4</v>
      </c>
      <c r="AL303" t="s">
        <v>1737</v>
      </c>
      <c r="AO303">
        <v>99</v>
      </c>
      <c r="AP303">
        <v>13</v>
      </c>
      <c r="AS303">
        <v>850</v>
      </c>
      <c r="AT303">
        <v>850</v>
      </c>
      <c r="BQ303">
        <v>5</v>
      </c>
      <c r="BR303" t="s">
        <v>672</v>
      </c>
      <c r="BS303" t="s">
        <v>180</v>
      </c>
      <c r="BT303" t="s">
        <v>1738</v>
      </c>
      <c r="BU303" s="1">
        <v>45387</v>
      </c>
      <c r="BV303">
        <v>34627</v>
      </c>
      <c r="BX303" t="s">
        <v>170</v>
      </c>
      <c r="BY303" t="s">
        <v>170</v>
      </c>
      <c r="CB303" t="s">
        <v>170</v>
      </c>
      <c r="CC303" t="s">
        <v>170</v>
      </c>
      <c r="CK303" t="s">
        <v>233</v>
      </c>
      <c r="CM303">
        <v>1</v>
      </c>
      <c r="CN303" t="s">
        <v>234</v>
      </c>
      <c r="CP303">
        <v>523</v>
      </c>
      <c r="CQ303">
        <v>166.8</v>
      </c>
      <c r="CR303">
        <v>159.6</v>
      </c>
      <c r="CS303" t="s">
        <v>1752</v>
      </c>
      <c r="CV303" t="s">
        <v>341</v>
      </c>
      <c r="CX303" t="s">
        <v>342</v>
      </c>
      <c r="CY303" t="s">
        <v>169</v>
      </c>
      <c r="DC303" t="s">
        <v>1932</v>
      </c>
      <c r="DD303">
        <v>2</v>
      </c>
      <c r="DE303" t="s">
        <v>404</v>
      </c>
      <c r="DF303" t="s">
        <v>427</v>
      </c>
      <c r="DG303" t="s">
        <v>1933</v>
      </c>
      <c r="DL303" t="s">
        <v>170</v>
      </c>
      <c r="DM303" t="s">
        <v>169</v>
      </c>
      <c r="DP303" t="s">
        <v>170</v>
      </c>
      <c r="DQ303" t="s">
        <v>187</v>
      </c>
      <c r="DR303" t="s">
        <v>1934</v>
      </c>
      <c r="EB303">
        <v>9</v>
      </c>
      <c r="EC303">
        <v>10</v>
      </c>
      <c r="EE303" t="s">
        <v>1935</v>
      </c>
      <c r="EF303">
        <v>10</v>
      </c>
      <c r="EU303">
        <v>5250</v>
      </c>
      <c r="EW303">
        <v>0</v>
      </c>
      <c r="EX303">
        <v>0</v>
      </c>
      <c r="EY303">
        <v>0</v>
      </c>
      <c r="FA303">
        <v>9</v>
      </c>
      <c r="FG303">
        <v>304</v>
      </c>
      <c r="FH303">
        <v>256</v>
      </c>
      <c r="FI303">
        <v>282</v>
      </c>
    </row>
    <row r="304" spans="1:165" x14ac:dyDescent="0.35">
      <c r="A304">
        <v>2025</v>
      </c>
      <c r="B304" t="s">
        <v>569</v>
      </c>
      <c r="C304" t="s">
        <v>570</v>
      </c>
      <c r="D304" t="s">
        <v>1930</v>
      </c>
      <c r="E304" t="s">
        <v>572</v>
      </c>
      <c r="F304">
        <v>5</v>
      </c>
      <c r="G304">
        <v>0</v>
      </c>
      <c r="I304" t="s">
        <v>1734</v>
      </c>
      <c r="J304">
        <v>32</v>
      </c>
      <c r="K304">
        <v>38</v>
      </c>
      <c r="L304">
        <v>35</v>
      </c>
      <c r="M304">
        <v>21.777699999999999</v>
      </c>
      <c r="N304">
        <v>25.508299999999998</v>
      </c>
      <c r="O304">
        <v>23.456499999999998</v>
      </c>
      <c r="P304">
        <v>32</v>
      </c>
      <c r="Q304">
        <v>38</v>
      </c>
      <c r="R304">
        <v>35</v>
      </c>
      <c r="V304" t="s">
        <v>167</v>
      </c>
      <c r="W304" t="s">
        <v>168</v>
      </c>
      <c r="X304" t="s">
        <v>1931</v>
      </c>
      <c r="Y304">
        <v>1</v>
      </c>
      <c r="Z304" t="s">
        <v>170</v>
      </c>
      <c r="AA304" t="s">
        <v>170</v>
      </c>
      <c r="AB304" t="s">
        <v>167</v>
      </c>
      <c r="AC304" t="s">
        <v>213</v>
      </c>
      <c r="AF304">
        <v>282</v>
      </c>
      <c r="AG304" t="s">
        <v>1735</v>
      </c>
      <c r="AH304" t="s">
        <v>1736</v>
      </c>
      <c r="AI304" t="s">
        <v>1742</v>
      </c>
      <c r="AJ304" t="s">
        <v>1743</v>
      </c>
      <c r="AK304">
        <v>4</v>
      </c>
      <c r="AL304" t="s">
        <v>1737</v>
      </c>
      <c r="AO304">
        <v>99</v>
      </c>
      <c r="AP304">
        <v>13</v>
      </c>
      <c r="AS304">
        <v>850</v>
      </c>
      <c r="AT304">
        <v>850</v>
      </c>
      <c r="BQ304">
        <v>5</v>
      </c>
      <c r="BR304" t="s">
        <v>672</v>
      </c>
      <c r="BS304" t="s">
        <v>180</v>
      </c>
      <c r="BT304" t="s">
        <v>1738</v>
      </c>
      <c r="BU304" s="1">
        <v>45387</v>
      </c>
      <c r="BV304">
        <v>34627</v>
      </c>
      <c r="BX304" t="s">
        <v>170</v>
      </c>
      <c r="BY304" t="s">
        <v>170</v>
      </c>
      <c r="CB304" t="s">
        <v>170</v>
      </c>
      <c r="CC304" t="s">
        <v>170</v>
      </c>
      <c r="CK304" t="s">
        <v>233</v>
      </c>
      <c r="CM304">
        <v>1</v>
      </c>
      <c r="CN304" t="s">
        <v>234</v>
      </c>
      <c r="CP304">
        <v>523</v>
      </c>
      <c r="CQ304">
        <v>166.8</v>
      </c>
      <c r="CR304">
        <v>159.6</v>
      </c>
      <c r="CS304" t="s">
        <v>1752</v>
      </c>
      <c r="CV304" t="s">
        <v>341</v>
      </c>
      <c r="CX304" t="s">
        <v>342</v>
      </c>
      <c r="CY304" t="s">
        <v>169</v>
      </c>
      <c r="DC304" t="s">
        <v>1932</v>
      </c>
      <c r="DD304">
        <v>2</v>
      </c>
      <c r="DE304" t="s">
        <v>404</v>
      </c>
      <c r="DF304" t="s">
        <v>427</v>
      </c>
      <c r="DG304" t="s">
        <v>1933</v>
      </c>
      <c r="DL304" t="s">
        <v>170</v>
      </c>
      <c r="DM304" t="s">
        <v>169</v>
      </c>
      <c r="DP304" t="s">
        <v>170</v>
      </c>
      <c r="DQ304" t="s">
        <v>187</v>
      </c>
      <c r="DR304" t="s">
        <v>1934</v>
      </c>
      <c r="EB304">
        <v>9</v>
      </c>
      <c r="EC304">
        <v>10</v>
      </c>
      <c r="EE304" t="s">
        <v>1935</v>
      </c>
      <c r="EF304">
        <v>10</v>
      </c>
      <c r="EU304">
        <v>5250</v>
      </c>
      <c r="EW304">
        <v>0</v>
      </c>
      <c r="EX304">
        <v>0</v>
      </c>
      <c r="EY304">
        <v>0</v>
      </c>
      <c r="FA304">
        <v>9</v>
      </c>
      <c r="FG304">
        <v>304</v>
      </c>
      <c r="FH304">
        <v>256</v>
      </c>
      <c r="FI304">
        <v>282</v>
      </c>
    </row>
    <row r="305" spans="1:165" x14ac:dyDescent="0.35">
      <c r="A305" s="25"/>
      <c r="B305" s="25"/>
      <c r="C305" s="25"/>
      <c r="D305" s="25"/>
      <c r="E305" s="25"/>
      <c r="F305" s="25" t="str">
        <f>_xlfn.CONCAT($A306," ",$B306," ",$D306)</f>
        <v>2025 Hyundai Electrified GV70</v>
      </c>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c r="AD305" s="25" t="str">
        <f>_xlfn.CONCAT($A306," ",$B306," ",$D306)</f>
        <v>2025 Hyundai Electrified GV70</v>
      </c>
      <c r="AE305" s="25"/>
      <c r="AF305" s="25"/>
      <c r="AG305" s="25"/>
      <c r="AH305" s="25"/>
      <c r="AI305" s="25"/>
      <c r="AJ305" s="25"/>
      <c r="AK305" s="25"/>
      <c r="AL305" s="25"/>
      <c r="AM305" s="25"/>
      <c r="AN305" s="25"/>
      <c r="AO305" s="25"/>
      <c r="AP305" s="25"/>
      <c r="AQ305" s="25"/>
      <c r="AR305" s="25"/>
      <c r="AS305" s="25"/>
      <c r="AT305" s="25"/>
      <c r="AU305" s="25"/>
      <c r="AV305" s="25"/>
      <c r="AW305" s="25"/>
      <c r="AX305" s="25" t="str">
        <f>_xlfn.CONCAT($A306," ",$B306," ",$D306)</f>
        <v>2025 Hyundai Electrified GV70</v>
      </c>
      <c r="AY305" s="25"/>
      <c r="AZ305" s="25"/>
      <c r="BA305" s="25"/>
      <c r="BB305" s="25"/>
      <c r="BC305" s="25"/>
      <c r="BD305" s="25"/>
      <c r="BE305" s="25"/>
      <c r="BF305" s="25"/>
      <c r="BG305" s="25"/>
      <c r="BH305" s="25"/>
      <c r="BI305" s="25"/>
      <c r="BJ305" s="25"/>
      <c r="BK305" s="25"/>
      <c r="BL305" s="25"/>
      <c r="BM305" s="25"/>
      <c r="BN305" s="25"/>
      <c r="BO305" s="25"/>
      <c r="BP305" s="25"/>
      <c r="BQ305" s="25"/>
      <c r="BR305" s="25" t="str">
        <f>_xlfn.CONCAT($A306," ",$B306," ",$D306)</f>
        <v>2025 Hyundai Electrified GV70</v>
      </c>
      <c r="BS305" s="25"/>
      <c r="BT305" s="25"/>
      <c r="BU305" s="25"/>
      <c r="BV305" s="25"/>
      <c r="BX305" s="25"/>
      <c r="BY305" s="25"/>
      <c r="BZ305" s="25"/>
      <c r="CA305" s="25"/>
      <c r="CB305" s="25"/>
      <c r="CC305" s="25"/>
      <c r="CD305" s="25"/>
      <c r="CE305" s="25"/>
      <c r="CF305" s="25"/>
      <c r="CG305" s="25"/>
      <c r="CH305" s="25"/>
      <c r="CI305" s="25"/>
      <c r="CJ305" s="25"/>
      <c r="CK305" s="25"/>
      <c r="CL305" s="25"/>
      <c r="CM305" s="25"/>
      <c r="CN305" s="25"/>
      <c r="CO305" s="25"/>
      <c r="CP305" s="25" t="str">
        <f>_xlfn.CONCAT($A306," ",$B306," ",$D306)</f>
        <v>2025 Hyundai Electrified GV70</v>
      </c>
      <c r="CQ305" s="25"/>
      <c r="CR305" s="25"/>
      <c r="CS305" s="25"/>
      <c r="CT305" s="25"/>
      <c r="CU305" s="25"/>
      <c r="CV305" s="25"/>
      <c r="CW305" s="25"/>
      <c r="CX305" s="25"/>
      <c r="CY305" s="25"/>
      <c r="CZ305" s="25"/>
      <c r="DA305" s="25"/>
      <c r="DB305" s="25"/>
      <c r="DC305" s="25"/>
      <c r="DD305" s="25"/>
      <c r="DE305" s="25"/>
      <c r="DF305" s="25"/>
      <c r="DG305" s="25"/>
      <c r="DH305" s="25"/>
      <c r="DI305" s="25" t="str">
        <f>_xlfn.CONCAT($A306," ",$B306," ",$D306)</f>
        <v>2025 Hyundai Electrified GV70</v>
      </c>
      <c r="DJ305" s="25"/>
      <c r="DK305" s="25"/>
      <c r="DL305" s="25"/>
      <c r="DM305" s="25"/>
      <c r="DN305" s="25"/>
      <c r="DO305" s="25"/>
      <c r="DP305" s="25"/>
      <c r="DQ305" s="25"/>
      <c r="DR305" s="25"/>
      <c r="DS305" s="25"/>
      <c r="DT305" s="25"/>
      <c r="DU305" s="25"/>
      <c r="DV305" s="25"/>
      <c r="DW305" s="25"/>
      <c r="DX305" s="25"/>
      <c r="DY305" s="25"/>
      <c r="DZ305" s="25" t="str">
        <f>_xlfn.CONCAT($A306," ",$B306," ",$D306)</f>
        <v>2025 Hyundai Electrified GV70</v>
      </c>
      <c r="EB305" s="25"/>
      <c r="EC305" s="25"/>
      <c r="ED305" s="25"/>
      <c r="EE305" s="25"/>
      <c r="EF305" s="25"/>
      <c r="EG305" s="25"/>
      <c r="EH305" s="25"/>
      <c r="EI305" s="25"/>
      <c r="EJ305" s="25"/>
      <c r="EK305" s="25"/>
      <c r="EL305" s="25"/>
      <c r="EM305" s="25"/>
      <c r="EN305" s="25"/>
      <c r="EO305" s="25"/>
      <c r="EP305" s="25"/>
      <c r="EQ305" s="25"/>
      <c r="ER305" s="25"/>
      <c r="ES305" s="25"/>
      <c r="ET305" s="25"/>
      <c r="EU305" s="25"/>
      <c r="EV305" s="25" t="str">
        <f>_xlfn.CONCAT($A306," ",$B306," ",$D306)</f>
        <v>2025 Hyundai Electrified GV70</v>
      </c>
      <c r="EW305" s="25"/>
      <c r="EX305" s="25"/>
      <c r="EY305" s="25"/>
      <c r="EZ305" s="25"/>
      <c r="FA305" s="25"/>
      <c r="FB305" s="25"/>
      <c r="FC305" s="25"/>
      <c r="FD305" s="25"/>
      <c r="FE305" s="25"/>
      <c r="FF305" s="25"/>
      <c r="FG305" s="25"/>
    </row>
    <row r="306" spans="1:165" x14ac:dyDescent="0.35">
      <c r="A306">
        <v>2025</v>
      </c>
      <c r="B306" t="s">
        <v>569</v>
      </c>
      <c r="C306" t="s">
        <v>570</v>
      </c>
      <c r="D306" t="s">
        <v>1936</v>
      </c>
      <c r="E306" t="s">
        <v>572</v>
      </c>
      <c r="F306">
        <v>68</v>
      </c>
      <c r="G306">
        <v>0</v>
      </c>
      <c r="I306" t="s">
        <v>1734</v>
      </c>
      <c r="J306">
        <v>98</v>
      </c>
      <c r="K306">
        <v>83</v>
      </c>
      <c r="L306">
        <v>91</v>
      </c>
      <c r="M306">
        <v>140.1</v>
      </c>
      <c r="N306">
        <v>118.7</v>
      </c>
      <c r="O306">
        <v>129.58680000000001</v>
      </c>
      <c r="P306">
        <v>98.07</v>
      </c>
      <c r="Q306">
        <v>83.09</v>
      </c>
      <c r="R306">
        <v>90.710800000000006</v>
      </c>
      <c r="V306" t="s">
        <v>167</v>
      </c>
      <c r="W306" t="s">
        <v>168</v>
      </c>
      <c r="X306" t="s">
        <v>1931</v>
      </c>
      <c r="Y306">
        <v>1</v>
      </c>
      <c r="Z306" t="s">
        <v>170</v>
      </c>
      <c r="AA306" t="s">
        <v>170</v>
      </c>
      <c r="AB306" t="s">
        <v>167</v>
      </c>
      <c r="AC306" t="s">
        <v>213</v>
      </c>
      <c r="AF306">
        <v>236</v>
      </c>
      <c r="AG306" t="s">
        <v>1735</v>
      </c>
      <c r="AH306" t="s">
        <v>1736</v>
      </c>
      <c r="AI306" t="s">
        <v>175</v>
      </c>
      <c r="AJ306" t="s">
        <v>176</v>
      </c>
      <c r="AK306">
        <v>4</v>
      </c>
      <c r="AL306" t="s">
        <v>1737</v>
      </c>
      <c r="AO306">
        <v>103</v>
      </c>
      <c r="AP306">
        <v>29</v>
      </c>
      <c r="AS306">
        <v>900</v>
      </c>
      <c r="AT306">
        <v>900</v>
      </c>
      <c r="BQ306">
        <v>31</v>
      </c>
      <c r="BR306" t="s">
        <v>1219</v>
      </c>
      <c r="BT306" t="s">
        <v>1738</v>
      </c>
      <c r="BU306" s="1">
        <v>45413</v>
      </c>
      <c r="BV306">
        <v>34675</v>
      </c>
      <c r="BX306" t="s">
        <v>170</v>
      </c>
      <c r="BY306" t="s">
        <v>170</v>
      </c>
      <c r="CB306" t="s">
        <v>170</v>
      </c>
      <c r="CC306" t="s">
        <v>170</v>
      </c>
      <c r="CK306" t="s">
        <v>233</v>
      </c>
      <c r="CM306">
        <v>1</v>
      </c>
      <c r="CN306" t="s">
        <v>234</v>
      </c>
      <c r="CP306">
        <v>697</v>
      </c>
      <c r="CQ306">
        <v>111.2</v>
      </c>
      <c r="CR306">
        <v>159.5</v>
      </c>
      <c r="CS306" t="s">
        <v>1752</v>
      </c>
      <c r="CV306" t="s">
        <v>341</v>
      </c>
      <c r="CX306" t="s">
        <v>342</v>
      </c>
      <c r="CY306" t="s">
        <v>169</v>
      </c>
      <c r="DC306" t="s">
        <v>1937</v>
      </c>
      <c r="DD306">
        <v>2</v>
      </c>
      <c r="DE306" t="s">
        <v>404</v>
      </c>
      <c r="DF306" t="s">
        <v>427</v>
      </c>
      <c r="DG306" t="s">
        <v>1938</v>
      </c>
      <c r="DL306" t="s">
        <v>170</v>
      </c>
      <c r="DM306" t="s">
        <v>169</v>
      </c>
      <c r="DP306" t="s">
        <v>170</v>
      </c>
      <c r="DQ306" t="s">
        <v>187</v>
      </c>
      <c r="EB306">
        <v>9</v>
      </c>
      <c r="EC306">
        <v>10</v>
      </c>
      <c r="EE306" t="s">
        <v>1939</v>
      </c>
      <c r="EF306">
        <v>10</v>
      </c>
      <c r="EU306">
        <v>5000</v>
      </c>
      <c r="EW306">
        <v>0</v>
      </c>
      <c r="EX306">
        <v>0</v>
      </c>
      <c r="EY306">
        <v>0</v>
      </c>
      <c r="FA306">
        <v>7.9</v>
      </c>
      <c r="FG306">
        <v>253</v>
      </c>
      <c r="FH306">
        <v>215</v>
      </c>
      <c r="FI306">
        <v>236</v>
      </c>
    </row>
    <row r="307" spans="1:165" x14ac:dyDescent="0.35">
      <c r="A307">
        <v>2025</v>
      </c>
      <c r="B307" t="s">
        <v>569</v>
      </c>
      <c r="C307" t="s">
        <v>570</v>
      </c>
      <c r="D307" t="s">
        <v>1936</v>
      </c>
      <c r="E307" t="s">
        <v>572</v>
      </c>
      <c r="F307">
        <v>68</v>
      </c>
      <c r="G307">
        <v>0</v>
      </c>
      <c r="I307" t="s">
        <v>1734</v>
      </c>
      <c r="J307">
        <v>34</v>
      </c>
      <c r="K307">
        <v>41</v>
      </c>
      <c r="L307">
        <v>37</v>
      </c>
      <c r="M307">
        <v>24.0596</v>
      </c>
      <c r="N307">
        <v>28.385100000000001</v>
      </c>
      <c r="O307">
        <v>26.0061</v>
      </c>
      <c r="P307">
        <v>34.368299999999998</v>
      </c>
      <c r="Q307">
        <v>40.564399999999999</v>
      </c>
      <c r="R307">
        <v>37.156599999999997</v>
      </c>
      <c r="V307" t="s">
        <v>167</v>
      </c>
      <c r="W307" t="s">
        <v>168</v>
      </c>
      <c r="X307" t="s">
        <v>1931</v>
      </c>
      <c r="Y307">
        <v>1</v>
      </c>
      <c r="Z307" t="s">
        <v>170</v>
      </c>
      <c r="AA307" t="s">
        <v>170</v>
      </c>
      <c r="AB307" t="s">
        <v>167</v>
      </c>
      <c r="AC307" t="s">
        <v>213</v>
      </c>
      <c r="AF307">
        <v>236</v>
      </c>
      <c r="AG307" t="s">
        <v>1735</v>
      </c>
      <c r="AH307" t="s">
        <v>1736</v>
      </c>
      <c r="AI307" t="s">
        <v>1742</v>
      </c>
      <c r="AJ307" t="s">
        <v>1743</v>
      </c>
      <c r="AK307">
        <v>4</v>
      </c>
      <c r="AL307" t="s">
        <v>1737</v>
      </c>
      <c r="AO307">
        <v>103</v>
      </c>
      <c r="AP307">
        <v>29</v>
      </c>
      <c r="AS307">
        <v>900</v>
      </c>
      <c r="AT307">
        <v>900</v>
      </c>
      <c r="BQ307">
        <v>31</v>
      </c>
      <c r="BR307" t="s">
        <v>1219</v>
      </c>
      <c r="BT307" t="s">
        <v>1738</v>
      </c>
      <c r="BU307" s="1">
        <v>45413</v>
      </c>
      <c r="BV307">
        <v>34675</v>
      </c>
      <c r="BX307" t="s">
        <v>170</v>
      </c>
      <c r="BY307" t="s">
        <v>170</v>
      </c>
      <c r="CB307" t="s">
        <v>170</v>
      </c>
      <c r="CC307" t="s">
        <v>170</v>
      </c>
      <c r="CK307" t="s">
        <v>233</v>
      </c>
      <c r="CM307">
        <v>1</v>
      </c>
      <c r="CN307" t="s">
        <v>234</v>
      </c>
      <c r="CP307">
        <v>697</v>
      </c>
      <c r="CQ307">
        <v>111.2</v>
      </c>
      <c r="CR307">
        <v>159.5</v>
      </c>
      <c r="CS307" t="s">
        <v>1752</v>
      </c>
      <c r="CV307" t="s">
        <v>341</v>
      </c>
      <c r="CX307" t="s">
        <v>342</v>
      </c>
      <c r="CY307" t="s">
        <v>169</v>
      </c>
      <c r="DC307" t="s">
        <v>1937</v>
      </c>
      <c r="DD307">
        <v>2</v>
      </c>
      <c r="DE307" t="s">
        <v>404</v>
      </c>
      <c r="DF307" t="s">
        <v>427</v>
      </c>
      <c r="DG307" t="s">
        <v>1938</v>
      </c>
      <c r="DL307" t="s">
        <v>170</v>
      </c>
      <c r="DM307" t="s">
        <v>169</v>
      </c>
      <c r="DP307" t="s">
        <v>170</v>
      </c>
      <c r="DQ307" t="s">
        <v>187</v>
      </c>
      <c r="EB307">
        <v>9</v>
      </c>
      <c r="EC307">
        <v>10</v>
      </c>
      <c r="EE307" t="s">
        <v>1939</v>
      </c>
      <c r="EF307">
        <v>10</v>
      </c>
      <c r="EU307">
        <v>5000</v>
      </c>
      <c r="EW307">
        <v>0</v>
      </c>
      <c r="EX307">
        <v>0</v>
      </c>
      <c r="EY307">
        <v>0</v>
      </c>
      <c r="FA307">
        <v>7.9</v>
      </c>
      <c r="FG307">
        <v>253</v>
      </c>
      <c r="FH307">
        <v>215</v>
      </c>
      <c r="FI307">
        <v>236</v>
      </c>
    </row>
    <row r="308" spans="1:165" x14ac:dyDescent="0.35">
      <c r="A308" s="25"/>
      <c r="B308" s="25"/>
      <c r="C308" s="25"/>
      <c r="D308" s="25"/>
      <c r="E308" s="25"/>
      <c r="F308" s="25" t="str">
        <f>_xlfn.CONCAT($A309," ",$B309," ",$D309)</f>
        <v>2025 General Motors SIERRA EV</v>
      </c>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c r="AD308" s="25" t="str">
        <f>_xlfn.CONCAT($A309," ",$B309," ",$D309)</f>
        <v>2025 General Motors SIERRA EV</v>
      </c>
      <c r="AE308" s="25"/>
      <c r="AF308" s="25"/>
      <c r="AG308" s="25"/>
      <c r="AH308" s="25"/>
      <c r="AI308" s="25"/>
      <c r="AJ308" s="25"/>
      <c r="AK308" s="25"/>
      <c r="AL308" s="25"/>
      <c r="AM308" s="25"/>
      <c r="AN308" s="25"/>
      <c r="AO308" s="25"/>
      <c r="AP308" s="25"/>
      <c r="AQ308" s="25"/>
      <c r="AR308" s="25"/>
      <c r="AS308" s="25"/>
      <c r="AT308" s="25"/>
      <c r="AU308" s="25"/>
      <c r="AV308" s="25"/>
      <c r="AW308" s="25"/>
      <c r="AX308" s="25" t="str">
        <f>_xlfn.CONCAT($A309," ",$B309," ",$D309)</f>
        <v>2025 General Motors SIERRA EV</v>
      </c>
      <c r="AY308" s="25"/>
      <c r="AZ308" s="25"/>
      <c r="BA308" s="25"/>
      <c r="BB308" s="25"/>
      <c r="BC308" s="25"/>
      <c r="BD308" s="25"/>
      <c r="BE308" s="25"/>
      <c r="BF308" s="25"/>
      <c r="BG308" s="25"/>
      <c r="BH308" s="25"/>
      <c r="BI308" s="25"/>
      <c r="BJ308" s="25"/>
      <c r="BK308" s="25"/>
      <c r="BL308" s="25"/>
      <c r="BM308" s="25"/>
      <c r="BN308" s="25"/>
      <c r="BO308" s="25"/>
      <c r="BP308" s="25"/>
      <c r="BQ308" s="25"/>
      <c r="BR308" s="25" t="str">
        <f>_xlfn.CONCAT($A309," ",$B309," ",$D309)</f>
        <v>2025 General Motors SIERRA EV</v>
      </c>
      <c r="BS308" s="25"/>
      <c r="BT308" s="25"/>
      <c r="BU308" s="25"/>
      <c r="BV308" s="25"/>
      <c r="BX308" s="25"/>
      <c r="BY308" s="25"/>
      <c r="BZ308" s="25"/>
      <c r="CA308" s="25"/>
      <c r="CB308" s="25"/>
      <c r="CC308" s="25"/>
      <c r="CD308" s="25"/>
      <c r="CE308" s="25"/>
      <c r="CF308" s="25"/>
      <c r="CG308" s="25"/>
      <c r="CH308" s="25"/>
      <c r="CI308" s="25"/>
      <c r="CJ308" s="25"/>
      <c r="CK308" s="25"/>
      <c r="CL308" s="25"/>
      <c r="CM308" s="25"/>
      <c r="CN308" s="25"/>
      <c r="CO308" s="25"/>
      <c r="CP308" s="25" t="str">
        <f>_xlfn.CONCAT($A309," ",$B309," ",$D309)</f>
        <v>2025 General Motors SIERRA EV</v>
      </c>
      <c r="CQ308" s="25"/>
      <c r="CR308" s="25"/>
      <c r="CS308" s="25"/>
      <c r="CT308" s="25"/>
      <c r="CU308" s="25"/>
      <c r="CV308" s="25"/>
      <c r="CW308" s="25"/>
      <c r="CX308" s="25"/>
      <c r="CY308" s="25"/>
      <c r="CZ308" s="25"/>
      <c r="DA308" s="25"/>
      <c r="DB308" s="25"/>
      <c r="DC308" s="25"/>
      <c r="DD308" s="25"/>
      <c r="DE308" s="25"/>
      <c r="DF308" s="25"/>
      <c r="DG308" s="25"/>
      <c r="DH308" s="25"/>
      <c r="DI308" s="25" t="str">
        <f>_xlfn.CONCAT($A309," ",$B309," ",$D309)</f>
        <v>2025 General Motors SIERRA EV</v>
      </c>
      <c r="DJ308" s="25"/>
      <c r="DK308" s="25"/>
      <c r="DL308" s="25"/>
      <c r="DM308" s="25"/>
      <c r="DN308" s="25"/>
      <c r="DO308" s="25"/>
      <c r="DP308" s="25"/>
      <c r="DQ308" s="25"/>
      <c r="DR308" s="25"/>
      <c r="DS308" s="25"/>
      <c r="DT308" s="25"/>
      <c r="DU308" s="25"/>
      <c r="DV308" s="25"/>
      <c r="DW308" s="25"/>
      <c r="DX308" s="25"/>
      <c r="DY308" s="25"/>
      <c r="DZ308" s="25" t="str">
        <f>_xlfn.CONCAT($A309," ",$B309," ",$D309)</f>
        <v>2025 General Motors SIERRA EV</v>
      </c>
      <c r="EB308" s="25"/>
      <c r="EC308" s="25"/>
      <c r="ED308" s="25"/>
      <c r="EE308" s="25"/>
      <c r="EF308" s="25"/>
      <c r="EG308" s="25"/>
      <c r="EH308" s="25"/>
      <c r="EI308" s="25"/>
      <c r="EJ308" s="25"/>
      <c r="EK308" s="25"/>
      <c r="EL308" s="25"/>
      <c r="EM308" s="25"/>
      <c r="EN308" s="25"/>
      <c r="EO308" s="25"/>
      <c r="EP308" s="25"/>
      <c r="EQ308" s="25"/>
      <c r="ER308" s="25"/>
      <c r="ES308" s="25"/>
      <c r="ET308" s="25"/>
      <c r="EU308" s="25"/>
      <c r="EV308" s="25" t="str">
        <f>_xlfn.CONCAT($A309," ",$B309," ",$D309)</f>
        <v>2025 General Motors SIERRA EV</v>
      </c>
      <c r="EW308" s="25"/>
      <c r="EX308" s="25"/>
      <c r="EY308" s="25"/>
      <c r="EZ308" s="25"/>
      <c r="FA308" s="25"/>
      <c r="FB308" s="25"/>
      <c r="FC308" s="25"/>
      <c r="FD308" s="25"/>
      <c r="FE308" s="25"/>
      <c r="FF308" s="25"/>
      <c r="FG308" s="25"/>
    </row>
    <row r="309" spans="1:165" x14ac:dyDescent="0.35">
      <c r="A309">
        <v>2025</v>
      </c>
      <c r="B309" t="s">
        <v>220</v>
      </c>
      <c r="C309" t="s">
        <v>994</v>
      </c>
      <c r="D309" t="s">
        <v>1967</v>
      </c>
      <c r="E309" t="s">
        <v>223</v>
      </c>
      <c r="F309">
        <v>474</v>
      </c>
      <c r="G309">
        <v>0</v>
      </c>
      <c r="I309" t="s">
        <v>1734</v>
      </c>
      <c r="J309">
        <v>70</v>
      </c>
      <c r="K309">
        <v>59</v>
      </c>
      <c r="L309">
        <v>64</v>
      </c>
      <c r="M309">
        <v>99.574100000000001</v>
      </c>
      <c r="N309">
        <v>84.090999999999994</v>
      </c>
      <c r="O309">
        <v>91.955100000000002</v>
      </c>
      <c r="P309">
        <v>69.701899999999995</v>
      </c>
      <c r="Q309">
        <v>58.863700000000001</v>
      </c>
      <c r="R309">
        <v>64.368600000000001</v>
      </c>
      <c r="V309" t="s">
        <v>167</v>
      </c>
      <c r="W309" t="s">
        <v>168</v>
      </c>
      <c r="X309" t="s">
        <v>1850</v>
      </c>
      <c r="Y309">
        <v>1</v>
      </c>
      <c r="Z309" t="s">
        <v>170</v>
      </c>
      <c r="AA309" t="s">
        <v>170</v>
      </c>
      <c r="AB309">
        <v>4</v>
      </c>
      <c r="AC309" t="s">
        <v>601</v>
      </c>
      <c r="AF309">
        <v>390</v>
      </c>
      <c r="AG309" t="s">
        <v>1735</v>
      </c>
      <c r="AH309" t="s">
        <v>1736</v>
      </c>
      <c r="AI309" t="s">
        <v>175</v>
      </c>
      <c r="AJ309" t="s">
        <v>176</v>
      </c>
      <c r="AK309">
        <v>4</v>
      </c>
      <c r="AL309" t="s">
        <v>1737</v>
      </c>
      <c r="AS309">
        <v>1250</v>
      </c>
      <c r="AT309">
        <v>1250</v>
      </c>
      <c r="BQ309">
        <v>13</v>
      </c>
      <c r="BR309" t="s">
        <v>1016</v>
      </c>
      <c r="BT309" t="s">
        <v>1738</v>
      </c>
      <c r="BU309" s="1">
        <v>45576</v>
      </c>
      <c r="BV309">
        <v>35668</v>
      </c>
      <c r="BX309" t="s">
        <v>170</v>
      </c>
      <c r="BY309" t="s">
        <v>170</v>
      </c>
      <c r="CB309" t="s">
        <v>170</v>
      </c>
      <c r="CC309" t="s">
        <v>170</v>
      </c>
      <c r="CK309" t="s">
        <v>233</v>
      </c>
      <c r="CM309">
        <v>1</v>
      </c>
      <c r="CN309" t="s">
        <v>234</v>
      </c>
      <c r="CP309">
        <v>470</v>
      </c>
      <c r="CQ309">
        <v>290</v>
      </c>
      <c r="CR309">
        <v>143</v>
      </c>
      <c r="CS309" t="s">
        <v>1752</v>
      </c>
      <c r="CV309" t="s">
        <v>341</v>
      </c>
      <c r="CX309" t="s">
        <v>342</v>
      </c>
      <c r="CY309" t="s">
        <v>170</v>
      </c>
      <c r="DD309">
        <v>2</v>
      </c>
      <c r="DE309" t="s">
        <v>404</v>
      </c>
      <c r="DF309" t="s">
        <v>1860</v>
      </c>
      <c r="DG309" t="s">
        <v>1880</v>
      </c>
      <c r="DL309" t="s">
        <v>170</v>
      </c>
      <c r="DM309" t="s">
        <v>169</v>
      </c>
      <c r="DP309" t="s">
        <v>170</v>
      </c>
      <c r="DQ309" t="s">
        <v>187</v>
      </c>
      <c r="EB309">
        <v>8</v>
      </c>
      <c r="EC309">
        <v>10</v>
      </c>
      <c r="EE309" t="s">
        <v>1882</v>
      </c>
      <c r="EF309">
        <v>10</v>
      </c>
      <c r="EU309">
        <v>3250</v>
      </c>
      <c r="EW309">
        <v>0</v>
      </c>
      <c r="EX309">
        <v>0</v>
      </c>
      <c r="EY309">
        <v>0</v>
      </c>
      <c r="FA309">
        <v>11.5</v>
      </c>
      <c r="FG309">
        <v>419</v>
      </c>
      <c r="FH309">
        <v>354</v>
      </c>
      <c r="FI309">
        <v>390</v>
      </c>
    </row>
    <row r="310" spans="1:165" x14ac:dyDescent="0.35">
      <c r="A310">
        <v>2025</v>
      </c>
      <c r="B310" t="s">
        <v>220</v>
      </c>
      <c r="C310" t="s">
        <v>994</v>
      </c>
      <c r="D310" t="s">
        <v>1967</v>
      </c>
      <c r="E310" t="s">
        <v>223</v>
      </c>
      <c r="F310">
        <v>474</v>
      </c>
      <c r="G310">
        <v>0</v>
      </c>
      <c r="I310" t="s">
        <v>1734</v>
      </c>
      <c r="J310">
        <v>48</v>
      </c>
      <c r="K310">
        <v>57</v>
      </c>
      <c r="L310">
        <v>52</v>
      </c>
      <c r="M310">
        <v>33.847299999999997</v>
      </c>
      <c r="N310">
        <v>40.068899999999999</v>
      </c>
      <c r="O310">
        <v>36.646999999999998</v>
      </c>
      <c r="P310">
        <v>48.355899999999998</v>
      </c>
      <c r="Q310">
        <v>57.259399999999999</v>
      </c>
      <c r="R310">
        <v>52.362499999999997</v>
      </c>
      <c r="V310" t="s">
        <v>167</v>
      </c>
      <c r="W310" t="s">
        <v>168</v>
      </c>
      <c r="X310" t="s">
        <v>1850</v>
      </c>
      <c r="Y310">
        <v>1</v>
      </c>
      <c r="Z310" t="s">
        <v>170</v>
      </c>
      <c r="AA310" t="s">
        <v>170</v>
      </c>
      <c r="AB310">
        <v>4</v>
      </c>
      <c r="AC310" t="s">
        <v>601</v>
      </c>
      <c r="AF310">
        <v>390</v>
      </c>
      <c r="AG310" t="s">
        <v>1735</v>
      </c>
      <c r="AH310" t="s">
        <v>1736</v>
      </c>
      <c r="AI310" t="s">
        <v>1742</v>
      </c>
      <c r="AJ310" t="s">
        <v>1743</v>
      </c>
      <c r="AK310">
        <v>4</v>
      </c>
      <c r="AL310" t="s">
        <v>1737</v>
      </c>
      <c r="AS310">
        <v>1250</v>
      </c>
      <c r="AT310">
        <v>1250</v>
      </c>
      <c r="BQ310">
        <v>13</v>
      </c>
      <c r="BR310" t="s">
        <v>1016</v>
      </c>
      <c r="BT310" t="s">
        <v>1738</v>
      </c>
      <c r="BU310" s="1">
        <v>45576</v>
      </c>
      <c r="BV310">
        <v>35668</v>
      </c>
      <c r="BX310" t="s">
        <v>170</v>
      </c>
      <c r="BY310" t="s">
        <v>170</v>
      </c>
      <c r="CB310" t="s">
        <v>170</v>
      </c>
      <c r="CC310" t="s">
        <v>170</v>
      </c>
      <c r="CK310" t="s">
        <v>233</v>
      </c>
      <c r="CM310">
        <v>1</v>
      </c>
      <c r="CN310" t="s">
        <v>234</v>
      </c>
      <c r="CP310">
        <v>470</v>
      </c>
      <c r="CQ310">
        <v>290</v>
      </c>
      <c r="CR310">
        <v>143</v>
      </c>
      <c r="CS310" t="s">
        <v>1752</v>
      </c>
      <c r="CV310" t="s">
        <v>341</v>
      </c>
      <c r="CX310" t="s">
        <v>342</v>
      </c>
      <c r="CY310" t="s">
        <v>170</v>
      </c>
      <c r="DD310">
        <v>2</v>
      </c>
      <c r="DE310" t="s">
        <v>404</v>
      </c>
      <c r="DF310" t="s">
        <v>1860</v>
      </c>
      <c r="DG310" t="s">
        <v>1880</v>
      </c>
      <c r="DL310" t="s">
        <v>170</v>
      </c>
      <c r="DM310" t="s">
        <v>169</v>
      </c>
      <c r="DP310" t="s">
        <v>170</v>
      </c>
      <c r="DQ310" t="s">
        <v>187</v>
      </c>
      <c r="EB310">
        <v>8</v>
      </c>
      <c r="EC310">
        <v>10</v>
      </c>
      <c r="EE310" t="s">
        <v>1882</v>
      </c>
      <c r="EF310">
        <v>10</v>
      </c>
      <c r="EU310">
        <v>3250</v>
      </c>
      <c r="EW310">
        <v>0</v>
      </c>
      <c r="EX310">
        <v>0</v>
      </c>
      <c r="EY310">
        <v>0</v>
      </c>
      <c r="FA310">
        <v>11.5</v>
      </c>
      <c r="FG310">
        <v>419</v>
      </c>
      <c r="FH310">
        <v>354</v>
      </c>
      <c r="FI310">
        <v>390</v>
      </c>
    </row>
    <row r="311" spans="1:165" x14ac:dyDescent="0.35">
      <c r="A311" s="25"/>
      <c r="B311" s="25"/>
      <c r="C311" s="25"/>
      <c r="D311" s="25"/>
      <c r="E311" s="25"/>
      <c r="F311" s="25" t="str">
        <f>_xlfn.CONCAT($A312," ",$B312," ",$D312)</f>
        <v>2025 General Motors HUMMER EV SUV</v>
      </c>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c r="AD311" s="25" t="str">
        <f>_xlfn.CONCAT($A312," ",$B312," ",$D312)</f>
        <v>2025 General Motors HUMMER EV SUV</v>
      </c>
      <c r="AE311" s="25"/>
      <c r="AF311" s="25"/>
      <c r="AG311" s="25"/>
      <c r="AH311" s="25"/>
      <c r="AI311" s="25"/>
      <c r="AJ311" s="25"/>
      <c r="AK311" s="25"/>
      <c r="AL311" s="25"/>
      <c r="AM311" s="25"/>
      <c r="AN311" s="25"/>
      <c r="AO311" s="25"/>
      <c r="AP311" s="25"/>
      <c r="AQ311" s="25"/>
      <c r="AR311" s="25"/>
      <c r="AS311" s="25"/>
      <c r="AT311" s="25"/>
      <c r="AU311" s="25"/>
      <c r="AV311" s="25"/>
      <c r="AW311" s="25"/>
      <c r="AX311" s="25" t="str">
        <f>_xlfn.CONCAT($A312," ",$B312," ",$D312)</f>
        <v>2025 General Motors HUMMER EV SUV</v>
      </c>
      <c r="AY311" s="25"/>
      <c r="AZ311" s="25"/>
      <c r="BA311" s="25"/>
      <c r="BB311" s="25"/>
      <c r="BC311" s="25"/>
      <c r="BD311" s="25"/>
      <c r="BE311" s="25"/>
      <c r="BF311" s="25"/>
      <c r="BG311" s="25"/>
      <c r="BH311" s="25"/>
      <c r="BI311" s="25"/>
      <c r="BJ311" s="25"/>
      <c r="BK311" s="25"/>
      <c r="BL311" s="25"/>
      <c r="BM311" s="25"/>
      <c r="BN311" s="25"/>
      <c r="BO311" s="25"/>
      <c r="BP311" s="25"/>
      <c r="BQ311" s="25"/>
      <c r="BR311" s="25" t="str">
        <f>_xlfn.CONCAT($A312," ",$B312," ",$D312)</f>
        <v>2025 General Motors HUMMER EV SUV</v>
      </c>
      <c r="BS311" s="25"/>
      <c r="BT311" s="25"/>
      <c r="BU311" s="25"/>
      <c r="BV311" s="25"/>
      <c r="BX311" s="25"/>
      <c r="BY311" s="25"/>
      <c r="BZ311" s="25"/>
      <c r="CA311" s="25"/>
      <c r="CB311" s="25"/>
      <c r="CC311" s="25"/>
      <c r="CD311" s="25"/>
      <c r="CE311" s="25"/>
      <c r="CF311" s="25"/>
      <c r="CG311" s="25"/>
      <c r="CH311" s="25"/>
      <c r="CI311" s="25"/>
      <c r="CJ311" s="25"/>
      <c r="CK311" s="25"/>
      <c r="CL311" s="25"/>
      <c r="CM311" s="25"/>
      <c r="CN311" s="25"/>
      <c r="CO311" s="25"/>
      <c r="CP311" s="25" t="str">
        <f>_xlfn.CONCAT($A312," ",$B312," ",$D312)</f>
        <v>2025 General Motors HUMMER EV SUV</v>
      </c>
      <c r="CQ311" s="25"/>
      <c r="CR311" s="25"/>
      <c r="CS311" s="25"/>
      <c r="CT311" s="25"/>
      <c r="CU311" s="25"/>
      <c r="CV311" s="25"/>
      <c r="CW311" s="25"/>
      <c r="CX311" s="25"/>
      <c r="CY311" s="25"/>
      <c r="CZ311" s="25"/>
      <c r="DA311" s="25"/>
      <c r="DB311" s="25"/>
      <c r="DC311" s="25"/>
      <c r="DD311" s="25"/>
      <c r="DE311" s="25"/>
      <c r="DF311" s="25"/>
      <c r="DG311" s="25"/>
      <c r="DH311" s="25"/>
      <c r="DI311" s="25" t="str">
        <f>_xlfn.CONCAT($A312," ",$B312," ",$D312)</f>
        <v>2025 General Motors HUMMER EV SUV</v>
      </c>
      <c r="DJ311" s="25"/>
      <c r="DK311" s="25"/>
      <c r="DL311" s="25"/>
      <c r="DM311" s="25"/>
      <c r="DN311" s="25"/>
      <c r="DO311" s="25"/>
      <c r="DP311" s="25"/>
      <c r="DQ311" s="25"/>
      <c r="DR311" s="25"/>
      <c r="DS311" s="25"/>
      <c r="DT311" s="25"/>
      <c r="DU311" s="25"/>
      <c r="DV311" s="25"/>
      <c r="DW311" s="25"/>
      <c r="DX311" s="25"/>
      <c r="DY311" s="25"/>
      <c r="DZ311" s="25" t="str">
        <f>_xlfn.CONCAT($A312," ",$B312," ",$D312)</f>
        <v>2025 General Motors HUMMER EV SUV</v>
      </c>
      <c r="EB311" s="25"/>
      <c r="EC311" s="25"/>
      <c r="ED311" s="25"/>
      <c r="EE311" s="25"/>
      <c r="EF311" s="25"/>
      <c r="EG311" s="25"/>
      <c r="EH311" s="25"/>
      <c r="EI311" s="25"/>
      <c r="EJ311" s="25"/>
      <c r="EK311" s="25"/>
      <c r="EL311" s="25"/>
      <c r="EM311" s="25"/>
      <c r="EN311" s="25"/>
      <c r="EO311" s="25"/>
      <c r="EP311" s="25"/>
      <c r="EQ311" s="25"/>
      <c r="ER311" s="25"/>
      <c r="ES311" s="25"/>
      <c r="ET311" s="25"/>
      <c r="EU311" s="25"/>
      <c r="EV311" s="25" t="str">
        <f>_xlfn.CONCAT($A312," ",$B312," ",$D312)</f>
        <v>2025 General Motors HUMMER EV SUV</v>
      </c>
      <c r="EW311" s="25"/>
      <c r="EX311" s="25"/>
      <c r="EY311" s="25"/>
      <c r="EZ311" s="25"/>
      <c r="FA311" s="25"/>
      <c r="FB311" s="25"/>
      <c r="FC311" s="25"/>
      <c r="FD311" s="25"/>
      <c r="FE311" s="25"/>
      <c r="FF311" s="25"/>
      <c r="FG311" s="25"/>
    </row>
    <row r="312" spans="1:165" x14ac:dyDescent="0.35">
      <c r="A312">
        <v>2025</v>
      </c>
      <c r="B312" t="s">
        <v>220</v>
      </c>
      <c r="C312" t="s">
        <v>994</v>
      </c>
      <c r="D312" t="s">
        <v>1962</v>
      </c>
      <c r="E312" t="s">
        <v>223</v>
      </c>
      <c r="F312">
        <v>485</v>
      </c>
      <c r="G312">
        <v>0</v>
      </c>
      <c r="I312" t="s">
        <v>1734</v>
      </c>
      <c r="J312">
        <v>59</v>
      </c>
      <c r="K312">
        <v>46</v>
      </c>
      <c r="L312">
        <v>53</v>
      </c>
      <c r="M312">
        <v>84.6</v>
      </c>
      <c r="N312">
        <v>66.400000000000006</v>
      </c>
      <c r="O312">
        <v>75.310900000000004</v>
      </c>
      <c r="P312">
        <v>59.22</v>
      </c>
      <c r="Q312">
        <v>46.48</v>
      </c>
      <c r="R312">
        <v>52.717599999999997</v>
      </c>
      <c r="V312" t="s">
        <v>167</v>
      </c>
      <c r="W312" t="s">
        <v>168</v>
      </c>
      <c r="X312" t="s">
        <v>1850</v>
      </c>
      <c r="Y312">
        <v>1</v>
      </c>
      <c r="Z312" t="s">
        <v>170</v>
      </c>
      <c r="AA312" t="s">
        <v>170</v>
      </c>
      <c r="AB312" t="s">
        <v>167</v>
      </c>
      <c r="AC312" t="s">
        <v>213</v>
      </c>
      <c r="AF312">
        <v>315</v>
      </c>
      <c r="AG312" t="s">
        <v>1735</v>
      </c>
      <c r="AH312" t="s">
        <v>1736</v>
      </c>
      <c r="AI312" t="s">
        <v>175</v>
      </c>
      <c r="AJ312" t="s">
        <v>176</v>
      </c>
      <c r="AK312">
        <v>4</v>
      </c>
      <c r="AL312" t="s">
        <v>1737</v>
      </c>
      <c r="AS312">
        <v>1550</v>
      </c>
      <c r="AT312">
        <v>1550</v>
      </c>
      <c r="BQ312">
        <v>33</v>
      </c>
      <c r="BR312" t="s">
        <v>1497</v>
      </c>
      <c r="BT312" t="s">
        <v>1738</v>
      </c>
      <c r="BU312" s="1">
        <v>45490</v>
      </c>
      <c r="BV312">
        <v>35212</v>
      </c>
      <c r="BY312" t="s">
        <v>170</v>
      </c>
      <c r="CB312" t="s">
        <v>170</v>
      </c>
      <c r="CC312" t="s">
        <v>170</v>
      </c>
      <c r="CK312" t="s">
        <v>233</v>
      </c>
      <c r="CM312">
        <v>1</v>
      </c>
      <c r="CN312" t="s">
        <v>234</v>
      </c>
      <c r="CP312">
        <v>336</v>
      </c>
      <c r="CQ312">
        <v>580</v>
      </c>
      <c r="CR312">
        <v>161</v>
      </c>
      <c r="CS312" t="s">
        <v>1752</v>
      </c>
      <c r="CV312" t="s">
        <v>341</v>
      </c>
      <c r="CX312" t="s">
        <v>342</v>
      </c>
      <c r="CY312" t="s">
        <v>170</v>
      </c>
      <c r="DD312">
        <v>2</v>
      </c>
      <c r="DE312" t="s">
        <v>404</v>
      </c>
      <c r="DF312" t="s">
        <v>1855</v>
      </c>
      <c r="DG312" t="s">
        <v>1954</v>
      </c>
      <c r="DL312" t="s">
        <v>170</v>
      </c>
      <c r="DM312" t="s">
        <v>169</v>
      </c>
      <c r="DP312" t="s">
        <v>170</v>
      </c>
      <c r="DQ312" t="s">
        <v>187</v>
      </c>
      <c r="DR312" t="s">
        <v>1963</v>
      </c>
      <c r="EB312">
        <v>8</v>
      </c>
      <c r="EC312">
        <v>10</v>
      </c>
      <c r="EE312" t="s">
        <v>1956</v>
      </c>
      <c r="EF312">
        <v>10</v>
      </c>
      <c r="EU312">
        <v>1750</v>
      </c>
      <c r="EW312">
        <v>0</v>
      </c>
      <c r="EX312">
        <v>0</v>
      </c>
      <c r="EY312">
        <v>0</v>
      </c>
      <c r="FA312">
        <v>11.2</v>
      </c>
      <c r="FG312">
        <v>349</v>
      </c>
      <c r="FH312">
        <v>274</v>
      </c>
      <c r="FI312">
        <v>315</v>
      </c>
    </row>
    <row r="313" spans="1:165" x14ac:dyDescent="0.35">
      <c r="A313">
        <v>2025</v>
      </c>
      <c r="B313" t="s">
        <v>220</v>
      </c>
      <c r="C313" t="s">
        <v>994</v>
      </c>
      <c r="D313" t="s">
        <v>1962</v>
      </c>
      <c r="E313" t="s">
        <v>223</v>
      </c>
      <c r="F313">
        <v>485</v>
      </c>
      <c r="G313">
        <v>0</v>
      </c>
      <c r="I313" t="s">
        <v>1734</v>
      </c>
      <c r="J313">
        <v>57</v>
      </c>
      <c r="K313">
        <v>73</v>
      </c>
      <c r="L313">
        <v>64</v>
      </c>
      <c r="M313">
        <v>39.8294</v>
      </c>
      <c r="N313">
        <v>50.7744</v>
      </c>
      <c r="O313">
        <v>44.7547</v>
      </c>
      <c r="P313">
        <v>56.914900000000003</v>
      </c>
      <c r="Q313">
        <v>72.515100000000004</v>
      </c>
      <c r="R313">
        <v>63.935000000000002</v>
      </c>
      <c r="V313" t="s">
        <v>167</v>
      </c>
      <c r="W313" t="s">
        <v>168</v>
      </c>
      <c r="X313" t="s">
        <v>1850</v>
      </c>
      <c r="Y313">
        <v>1</v>
      </c>
      <c r="Z313" t="s">
        <v>170</v>
      </c>
      <c r="AA313" t="s">
        <v>170</v>
      </c>
      <c r="AB313" t="s">
        <v>167</v>
      </c>
      <c r="AC313" t="s">
        <v>213</v>
      </c>
      <c r="AF313">
        <v>315</v>
      </c>
      <c r="AG313" t="s">
        <v>1735</v>
      </c>
      <c r="AH313" t="s">
        <v>1736</v>
      </c>
      <c r="AI313" t="s">
        <v>1742</v>
      </c>
      <c r="AJ313" t="s">
        <v>1743</v>
      </c>
      <c r="AK313">
        <v>4</v>
      </c>
      <c r="AL313" t="s">
        <v>1737</v>
      </c>
      <c r="AS313">
        <v>1550</v>
      </c>
      <c r="AT313">
        <v>1550</v>
      </c>
      <c r="BQ313">
        <v>33</v>
      </c>
      <c r="BR313" t="s">
        <v>1497</v>
      </c>
      <c r="BT313" t="s">
        <v>1738</v>
      </c>
      <c r="BU313" s="1">
        <v>45490</v>
      </c>
      <c r="BV313">
        <v>35212</v>
      </c>
      <c r="BY313" t="s">
        <v>170</v>
      </c>
      <c r="CB313" t="s">
        <v>170</v>
      </c>
      <c r="CC313" t="s">
        <v>170</v>
      </c>
      <c r="CK313" t="s">
        <v>233</v>
      </c>
      <c r="CM313">
        <v>1</v>
      </c>
      <c r="CN313" t="s">
        <v>234</v>
      </c>
      <c r="CP313">
        <v>336</v>
      </c>
      <c r="CQ313">
        <v>580</v>
      </c>
      <c r="CR313">
        <v>161</v>
      </c>
      <c r="CS313" t="s">
        <v>1752</v>
      </c>
      <c r="CV313" t="s">
        <v>341</v>
      </c>
      <c r="CX313" t="s">
        <v>342</v>
      </c>
      <c r="CY313" t="s">
        <v>170</v>
      </c>
      <c r="DD313">
        <v>2</v>
      </c>
      <c r="DE313" t="s">
        <v>404</v>
      </c>
      <c r="DF313" t="s">
        <v>1855</v>
      </c>
      <c r="DG313" t="s">
        <v>1954</v>
      </c>
      <c r="DL313" t="s">
        <v>170</v>
      </c>
      <c r="DM313" t="s">
        <v>169</v>
      </c>
      <c r="DP313" t="s">
        <v>170</v>
      </c>
      <c r="DQ313" t="s">
        <v>187</v>
      </c>
      <c r="DR313" t="s">
        <v>1963</v>
      </c>
      <c r="EB313">
        <v>8</v>
      </c>
      <c r="EC313">
        <v>10</v>
      </c>
      <c r="EE313" t="s">
        <v>1956</v>
      </c>
      <c r="EF313">
        <v>10</v>
      </c>
      <c r="EU313">
        <v>1750</v>
      </c>
      <c r="EW313">
        <v>0</v>
      </c>
      <c r="EX313">
        <v>0</v>
      </c>
      <c r="EY313">
        <v>0</v>
      </c>
      <c r="FA313">
        <v>11.2</v>
      </c>
      <c r="FG313">
        <v>349</v>
      </c>
      <c r="FH313">
        <v>274</v>
      </c>
      <c r="FI313">
        <v>315</v>
      </c>
    </row>
    <row r="314" spans="1:165" x14ac:dyDescent="0.35">
      <c r="A314" s="25"/>
      <c r="B314" s="25"/>
      <c r="C314" s="25"/>
      <c r="D314" s="25"/>
      <c r="E314" s="25"/>
      <c r="F314" s="25" t="str">
        <f>_xlfn.CONCAT($A315," ",$B315," ",$D315)</f>
        <v>2025 General Motors HUMMER EV PICKUP</v>
      </c>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c r="AD314" s="25" t="str">
        <f>_xlfn.CONCAT($A315," ",$B315," ",$D315)</f>
        <v>2025 General Motors HUMMER EV PICKUP</v>
      </c>
      <c r="AE314" s="25"/>
      <c r="AF314" s="25"/>
      <c r="AG314" s="25"/>
      <c r="AH314" s="25"/>
      <c r="AI314" s="25"/>
      <c r="AJ314" s="25"/>
      <c r="AK314" s="25"/>
      <c r="AL314" s="25"/>
      <c r="AM314" s="25"/>
      <c r="AN314" s="25"/>
      <c r="AO314" s="25"/>
      <c r="AP314" s="25"/>
      <c r="AQ314" s="25"/>
      <c r="AR314" s="25"/>
      <c r="AS314" s="25"/>
      <c r="AT314" s="25"/>
      <c r="AU314" s="25"/>
      <c r="AV314" s="25"/>
      <c r="AW314" s="25"/>
      <c r="AX314" s="25" t="str">
        <f>_xlfn.CONCAT($A315," ",$B315," ",$D315)</f>
        <v>2025 General Motors HUMMER EV PICKUP</v>
      </c>
      <c r="AY314" s="25"/>
      <c r="AZ314" s="25"/>
      <c r="BA314" s="25"/>
      <c r="BB314" s="25"/>
      <c r="BC314" s="25"/>
      <c r="BD314" s="25"/>
      <c r="BE314" s="25"/>
      <c r="BF314" s="25"/>
      <c r="BG314" s="25"/>
      <c r="BH314" s="25"/>
      <c r="BI314" s="25"/>
      <c r="BJ314" s="25"/>
      <c r="BK314" s="25"/>
      <c r="BL314" s="25"/>
      <c r="BM314" s="25"/>
      <c r="BN314" s="25"/>
      <c r="BO314" s="25"/>
      <c r="BP314" s="25"/>
      <c r="BQ314" s="25"/>
      <c r="BR314" s="25" t="str">
        <f>_xlfn.CONCAT($A315," ",$B315," ",$D315)</f>
        <v>2025 General Motors HUMMER EV PICKUP</v>
      </c>
      <c r="BS314" s="25"/>
      <c r="BT314" s="25"/>
      <c r="BU314" s="25"/>
      <c r="BV314" s="25"/>
      <c r="BX314" s="25"/>
      <c r="BY314" s="25"/>
      <c r="BZ314" s="25"/>
      <c r="CA314" s="25"/>
      <c r="CB314" s="25"/>
      <c r="CC314" s="25"/>
      <c r="CD314" s="25"/>
      <c r="CE314" s="25"/>
      <c r="CF314" s="25"/>
      <c r="CG314" s="25"/>
      <c r="CH314" s="25"/>
      <c r="CI314" s="25"/>
      <c r="CJ314" s="25"/>
      <c r="CK314" s="25"/>
      <c r="CL314" s="25"/>
      <c r="CM314" s="25"/>
      <c r="CN314" s="25"/>
      <c r="CO314" s="25"/>
      <c r="CP314" s="25" t="str">
        <f>_xlfn.CONCAT($A315," ",$B315," ",$D315)</f>
        <v>2025 General Motors HUMMER EV PICKUP</v>
      </c>
      <c r="CQ314" s="25"/>
      <c r="CR314" s="25"/>
      <c r="CS314" s="25"/>
      <c r="CT314" s="25"/>
      <c r="CU314" s="25"/>
      <c r="CV314" s="25"/>
      <c r="CW314" s="25"/>
      <c r="CX314" s="25"/>
      <c r="CY314" s="25"/>
      <c r="CZ314" s="25"/>
      <c r="DA314" s="25"/>
      <c r="DB314" s="25"/>
      <c r="DC314" s="25"/>
      <c r="DD314" s="25"/>
      <c r="DE314" s="25"/>
      <c r="DF314" s="25"/>
      <c r="DG314" s="25"/>
      <c r="DH314" s="25"/>
      <c r="DI314" s="25" t="str">
        <f>_xlfn.CONCAT($A315," ",$B315," ",$D315)</f>
        <v>2025 General Motors HUMMER EV PICKUP</v>
      </c>
      <c r="DJ314" s="25"/>
      <c r="DK314" s="25"/>
      <c r="DL314" s="25"/>
      <c r="DM314" s="25"/>
      <c r="DN314" s="25"/>
      <c r="DO314" s="25"/>
      <c r="DP314" s="25"/>
      <c r="DQ314" s="25"/>
      <c r="DR314" s="25"/>
      <c r="DS314" s="25"/>
      <c r="DT314" s="25"/>
      <c r="DU314" s="25"/>
      <c r="DV314" s="25"/>
      <c r="DW314" s="25"/>
      <c r="DX314" s="25"/>
      <c r="DY314" s="25"/>
      <c r="DZ314" s="25" t="str">
        <f>_xlfn.CONCAT($A315," ",$B315," ",$D315)</f>
        <v>2025 General Motors HUMMER EV PICKUP</v>
      </c>
      <c r="EB314" s="25"/>
      <c r="EC314" s="25"/>
      <c r="ED314" s="25"/>
      <c r="EE314" s="25"/>
      <c r="EF314" s="25"/>
      <c r="EG314" s="25"/>
      <c r="EH314" s="25"/>
      <c r="EI314" s="25"/>
      <c r="EJ314" s="25"/>
      <c r="EK314" s="25"/>
      <c r="EL314" s="25"/>
      <c r="EM314" s="25"/>
      <c r="EN314" s="25"/>
      <c r="EO314" s="25"/>
      <c r="EP314" s="25"/>
      <c r="EQ314" s="25"/>
      <c r="ER314" s="25"/>
      <c r="ES314" s="25"/>
      <c r="ET314" s="25"/>
      <c r="EU314" s="25"/>
      <c r="EV314" s="25" t="str">
        <f>_xlfn.CONCAT($A315," ",$B315," ",$D315)</f>
        <v>2025 General Motors HUMMER EV PICKUP</v>
      </c>
      <c r="EW314" s="25"/>
      <c r="EX314" s="25"/>
      <c r="EY314" s="25"/>
      <c r="EZ314" s="25"/>
      <c r="FA314" s="25"/>
      <c r="FB314" s="25"/>
      <c r="FC314" s="25"/>
      <c r="FD314" s="25"/>
      <c r="FE314" s="25"/>
      <c r="FF314" s="25"/>
      <c r="FG314" s="25"/>
    </row>
    <row r="315" spans="1:165" x14ac:dyDescent="0.35">
      <c r="A315">
        <v>2025</v>
      </c>
      <c r="B315" t="s">
        <v>220</v>
      </c>
      <c r="C315" t="s">
        <v>994</v>
      </c>
      <c r="D315" t="s">
        <v>1953</v>
      </c>
      <c r="E315" t="s">
        <v>223</v>
      </c>
      <c r="F315">
        <v>486</v>
      </c>
      <c r="G315">
        <v>0</v>
      </c>
      <c r="I315" t="s">
        <v>1734</v>
      </c>
      <c r="J315">
        <v>59</v>
      </c>
      <c r="K315">
        <v>47</v>
      </c>
      <c r="L315">
        <v>53</v>
      </c>
      <c r="M315">
        <v>84.3</v>
      </c>
      <c r="N315">
        <v>66.7</v>
      </c>
      <c r="O315">
        <v>75.352599999999995</v>
      </c>
      <c r="P315">
        <v>59.01</v>
      </c>
      <c r="Q315">
        <v>46.69</v>
      </c>
      <c r="R315">
        <v>52.7468</v>
      </c>
      <c r="V315" t="s">
        <v>167</v>
      </c>
      <c r="W315" t="s">
        <v>168</v>
      </c>
      <c r="X315" t="s">
        <v>1850</v>
      </c>
      <c r="Y315">
        <v>1</v>
      </c>
      <c r="Z315" t="s">
        <v>170</v>
      </c>
      <c r="AA315" t="s">
        <v>170</v>
      </c>
      <c r="AB315" t="s">
        <v>167</v>
      </c>
      <c r="AC315" t="s">
        <v>213</v>
      </c>
      <c r="AF315">
        <v>318</v>
      </c>
      <c r="AG315" t="s">
        <v>1735</v>
      </c>
      <c r="AH315" t="s">
        <v>1736</v>
      </c>
      <c r="AI315" t="s">
        <v>175</v>
      </c>
      <c r="AJ315" t="s">
        <v>176</v>
      </c>
      <c r="AK315">
        <v>4</v>
      </c>
      <c r="AL315" t="s">
        <v>1737</v>
      </c>
      <c r="AS315">
        <v>1550</v>
      </c>
      <c r="AT315">
        <v>1550</v>
      </c>
      <c r="BQ315">
        <v>13</v>
      </c>
      <c r="BR315" t="s">
        <v>1016</v>
      </c>
      <c r="BT315" t="s">
        <v>1738</v>
      </c>
      <c r="BU315" s="1">
        <v>45488</v>
      </c>
      <c r="BV315">
        <v>35177</v>
      </c>
      <c r="BY315" t="s">
        <v>170</v>
      </c>
      <c r="CB315" t="s">
        <v>170</v>
      </c>
      <c r="CC315" t="s">
        <v>170</v>
      </c>
      <c r="CK315" t="s">
        <v>233</v>
      </c>
      <c r="CM315">
        <v>1</v>
      </c>
      <c r="CN315" t="s">
        <v>234</v>
      </c>
      <c r="CP315">
        <v>336</v>
      </c>
      <c r="CQ315">
        <v>580</v>
      </c>
      <c r="CR315">
        <v>161</v>
      </c>
      <c r="CS315" t="s">
        <v>1752</v>
      </c>
      <c r="CV315" t="s">
        <v>341</v>
      </c>
      <c r="CX315" t="s">
        <v>342</v>
      </c>
      <c r="CY315" t="s">
        <v>170</v>
      </c>
      <c r="DD315">
        <v>2</v>
      </c>
      <c r="DE315" t="s">
        <v>404</v>
      </c>
      <c r="DF315" t="s">
        <v>1855</v>
      </c>
      <c r="DG315" t="s">
        <v>1954</v>
      </c>
      <c r="DL315" t="s">
        <v>170</v>
      </c>
      <c r="DM315" t="s">
        <v>169</v>
      </c>
      <c r="DP315" t="s">
        <v>170</v>
      </c>
      <c r="DQ315" t="s">
        <v>187</v>
      </c>
      <c r="DR315" t="s">
        <v>1955</v>
      </c>
      <c r="EB315">
        <v>8</v>
      </c>
      <c r="EC315">
        <v>10</v>
      </c>
      <c r="EE315" t="s">
        <v>1956</v>
      </c>
      <c r="EF315">
        <v>10</v>
      </c>
      <c r="EU315">
        <v>1750</v>
      </c>
      <c r="EW315">
        <v>0</v>
      </c>
      <c r="EX315">
        <v>0</v>
      </c>
      <c r="EY315">
        <v>0</v>
      </c>
      <c r="FA315">
        <v>11.2</v>
      </c>
      <c r="FG315">
        <v>351</v>
      </c>
      <c r="FH315">
        <v>278</v>
      </c>
      <c r="FI315">
        <v>318</v>
      </c>
    </row>
    <row r="316" spans="1:165" x14ac:dyDescent="0.35">
      <c r="A316">
        <v>2025</v>
      </c>
      <c r="B316" t="s">
        <v>220</v>
      </c>
      <c r="C316" t="s">
        <v>994</v>
      </c>
      <c r="D316" t="s">
        <v>1953</v>
      </c>
      <c r="E316" t="s">
        <v>223</v>
      </c>
      <c r="F316">
        <v>486</v>
      </c>
      <c r="G316">
        <v>0</v>
      </c>
      <c r="I316" t="s">
        <v>1734</v>
      </c>
      <c r="J316">
        <v>57</v>
      </c>
      <c r="K316">
        <v>72</v>
      </c>
      <c r="L316">
        <v>64</v>
      </c>
      <c r="M316">
        <v>39.997700000000002</v>
      </c>
      <c r="N316">
        <v>50.504100000000001</v>
      </c>
      <c r="O316">
        <v>44.7256</v>
      </c>
      <c r="P316">
        <v>57.117400000000004</v>
      </c>
      <c r="Q316">
        <v>72.188900000000004</v>
      </c>
      <c r="R316">
        <v>63.8996</v>
      </c>
      <c r="V316" t="s">
        <v>167</v>
      </c>
      <c r="W316" t="s">
        <v>168</v>
      </c>
      <c r="X316" t="s">
        <v>1850</v>
      </c>
      <c r="Y316">
        <v>1</v>
      </c>
      <c r="Z316" t="s">
        <v>170</v>
      </c>
      <c r="AA316" t="s">
        <v>170</v>
      </c>
      <c r="AB316" t="s">
        <v>167</v>
      </c>
      <c r="AC316" t="s">
        <v>213</v>
      </c>
      <c r="AF316">
        <v>318</v>
      </c>
      <c r="AG316" t="s">
        <v>1735</v>
      </c>
      <c r="AH316" t="s">
        <v>1736</v>
      </c>
      <c r="AI316" t="s">
        <v>1742</v>
      </c>
      <c r="AJ316" t="s">
        <v>1743</v>
      </c>
      <c r="AK316">
        <v>4</v>
      </c>
      <c r="AL316" t="s">
        <v>1737</v>
      </c>
      <c r="AS316">
        <v>1550</v>
      </c>
      <c r="AT316">
        <v>1550</v>
      </c>
      <c r="BQ316">
        <v>13</v>
      </c>
      <c r="BR316" t="s">
        <v>1016</v>
      </c>
      <c r="BT316" t="s">
        <v>1738</v>
      </c>
      <c r="BU316" s="1">
        <v>45488</v>
      </c>
      <c r="BV316">
        <v>35177</v>
      </c>
      <c r="BY316" t="s">
        <v>170</v>
      </c>
      <c r="CB316" t="s">
        <v>170</v>
      </c>
      <c r="CC316" t="s">
        <v>170</v>
      </c>
      <c r="CK316" t="s">
        <v>233</v>
      </c>
      <c r="CM316">
        <v>1</v>
      </c>
      <c r="CN316" t="s">
        <v>234</v>
      </c>
      <c r="CP316">
        <v>336</v>
      </c>
      <c r="CQ316">
        <v>580</v>
      </c>
      <c r="CR316">
        <v>161</v>
      </c>
      <c r="CS316" t="s">
        <v>1752</v>
      </c>
      <c r="CV316" t="s">
        <v>341</v>
      </c>
      <c r="CX316" t="s">
        <v>342</v>
      </c>
      <c r="CY316" t="s">
        <v>170</v>
      </c>
      <c r="DD316">
        <v>2</v>
      </c>
      <c r="DE316" t="s">
        <v>404</v>
      </c>
      <c r="DF316" t="s">
        <v>1855</v>
      </c>
      <c r="DG316" t="s">
        <v>1954</v>
      </c>
      <c r="DL316" t="s">
        <v>170</v>
      </c>
      <c r="DM316" t="s">
        <v>169</v>
      </c>
      <c r="DP316" t="s">
        <v>170</v>
      </c>
      <c r="DQ316" t="s">
        <v>187</v>
      </c>
      <c r="DR316" t="s">
        <v>1955</v>
      </c>
      <c r="EB316">
        <v>8</v>
      </c>
      <c r="EC316">
        <v>10</v>
      </c>
      <c r="EE316" t="s">
        <v>1956</v>
      </c>
      <c r="EF316">
        <v>10</v>
      </c>
      <c r="EU316">
        <v>1750</v>
      </c>
      <c r="EW316">
        <v>0</v>
      </c>
      <c r="EX316">
        <v>0</v>
      </c>
      <c r="EY316">
        <v>0</v>
      </c>
      <c r="FA316">
        <v>11.2</v>
      </c>
      <c r="FG316">
        <v>351</v>
      </c>
      <c r="FH316">
        <v>278</v>
      </c>
      <c r="FI316">
        <v>318</v>
      </c>
    </row>
    <row r="317" spans="1:165" x14ac:dyDescent="0.35">
      <c r="A317" s="25"/>
      <c r="B317" s="25"/>
      <c r="C317" s="25"/>
      <c r="D317" s="25"/>
      <c r="E317" s="25"/>
      <c r="F317" s="25" t="str">
        <f>_xlfn.CONCAT($A318," ",$B318," ",$D318)</f>
        <v>2025 General Motors HUMMER EV SUV MT TIRES</v>
      </c>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c r="AD317" s="25" t="str">
        <f>_xlfn.CONCAT($A318," ",$B318," ",$D318)</f>
        <v>2025 General Motors HUMMER EV SUV MT TIRES</v>
      </c>
      <c r="AE317" s="25"/>
      <c r="AF317" s="25"/>
      <c r="AG317" s="25"/>
      <c r="AH317" s="25"/>
      <c r="AI317" s="25"/>
      <c r="AJ317" s="25"/>
      <c r="AK317" s="25"/>
      <c r="AL317" s="25"/>
      <c r="AM317" s="25"/>
      <c r="AN317" s="25"/>
      <c r="AO317" s="25"/>
      <c r="AP317" s="25"/>
      <c r="AQ317" s="25"/>
      <c r="AR317" s="25"/>
      <c r="AS317" s="25"/>
      <c r="AT317" s="25"/>
      <c r="AU317" s="25"/>
      <c r="AV317" s="25"/>
      <c r="AW317" s="25"/>
      <c r="AX317" s="25" t="str">
        <f>_xlfn.CONCAT($A318," ",$B318," ",$D318)</f>
        <v>2025 General Motors HUMMER EV SUV MT TIRES</v>
      </c>
      <c r="AY317" s="25"/>
      <c r="AZ317" s="25"/>
      <c r="BA317" s="25"/>
      <c r="BB317" s="25"/>
      <c r="BC317" s="25"/>
      <c r="BD317" s="25"/>
      <c r="BE317" s="25"/>
      <c r="BF317" s="25"/>
      <c r="BG317" s="25"/>
      <c r="BH317" s="25"/>
      <c r="BI317" s="25"/>
      <c r="BJ317" s="25"/>
      <c r="BK317" s="25"/>
      <c r="BL317" s="25"/>
      <c r="BM317" s="25"/>
      <c r="BN317" s="25"/>
      <c r="BO317" s="25"/>
      <c r="BP317" s="25"/>
      <c r="BQ317" s="25"/>
      <c r="BR317" s="25" t="str">
        <f>_xlfn.CONCAT($A318," ",$B318," ",$D318)</f>
        <v>2025 General Motors HUMMER EV SUV MT TIRES</v>
      </c>
      <c r="BS317" s="25"/>
      <c r="BT317" s="25"/>
      <c r="BU317" s="25"/>
      <c r="BV317" s="25"/>
      <c r="BX317" s="25"/>
      <c r="BY317" s="25"/>
      <c r="BZ317" s="25"/>
      <c r="CA317" s="25"/>
      <c r="CB317" s="25"/>
      <c r="CC317" s="25"/>
      <c r="CD317" s="25"/>
      <c r="CE317" s="25"/>
      <c r="CF317" s="25"/>
      <c r="CG317" s="25"/>
      <c r="CH317" s="25"/>
      <c r="CI317" s="25"/>
      <c r="CJ317" s="25"/>
      <c r="CK317" s="25"/>
      <c r="CL317" s="25"/>
      <c r="CM317" s="25"/>
      <c r="CN317" s="25"/>
      <c r="CO317" s="25"/>
      <c r="CP317" s="25" t="str">
        <f>_xlfn.CONCAT($A318," ",$B318," ",$D318)</f>
        <v>2025 General Motors HUMMER EV SUV MT TIRES</v>
      </c>
      <c r="CQ317" s="25"/>
      <c r="CR317" s="25"/>
      <c r="CS317" s="25"/>
      <c r="CT317" s="25"/>
      <c r="CU317" s="25"/>
      <c r="CV317" s="25"/>
      <c r="CW317" s="25"/>
      <c r="CX317" s="25"/>
      <c r="CY317" s="25"/>
      <c r="CZ317" s="25"/>
      <c r="DA317" s="25"/>
      <c r="DB317" s="25"/>
      <c r="DC317" s="25"/>
      <c r="DD317" s="25"/>
      <c r="DE317" s="25"/>
      <c r="DF317" s="25"/>
      <c r="DG317" s="25"/>
      <c r="DH317" s="25"/>
      <c r="DI317" s="25" t="str">
        <f>_xlfn.CONCAT($A318," ",$B318," ",$D318)</f>
        <v>2025 General Motors HUMMER EV SUV MT TIRES</v>
      </c>
      <c r="DJ317" s="25"/>
      <c r="DK317" s="25"/>
      <c r="DL317" s="25"/>
      <c r="DM317" s="25"/>
      <c r="DN317" s="25"/>
      <c r="DO317" s="25"/>
      <c r="DP317" s="25"/>
      <c r="DQ317" s="25"/>
      <c r="DR317" s="25"/>
      <c r="DS317" s="25"/>
      <c r="DT317" s="25"/>
      <c r="DU317" s="25"/>
      <c r="DV317" s="25"/>
      <c r="DW317" s="25"/>
      <c r="DX317" s="25"/>
      <c r="DY317" s="25"/>
      <c r="DZ317" s="25" t="str">
        <f>_xlfn.CONCAT($A318," ",$B318," ",$D318)</f>
        <v>2025 General Motors HUMMER EV SUV MT TIRES</v>
      </c>
      <c r="EB317" s="25"/>
      <c r="EC317" s="25"/>
      <c r="ED317" s="25"/>
      <c r="EE317" s="25"/>
      <c r="EF317" s="25"/>
      <c r="EG317" s="25"/>
      <c r="EH317" s="25"/>
      <c r="EI317" s="25"/>
      <c r="EJ317" s="25"/>
      <c r="EK317" s="25"/>
      <c r="EL317" s="25"/>
      <c r="EM317" s="25"/>
      <c r="EN317" s="25"/>
      <c r="EO317" s="25"/>
      <c r="EP317" s="25"/>
      <c r="EQ317" s="25"/>
      <c r="ER317" s="25"/>
      <c r="ES317" s="25"/>
      <c r="ET317" s="25"/>
      <c r="EU317" s="25"/>
      <c r="EV317" s="25" t="str">
        <f>_xlfn.CONCAT($A318," ",$B318," ",$D318)</f>
        <v>2025 General Motors HUMMER EV SUV MT TIRES</v>
      </c>
      <c r="EW317" s="25"/>
      <c r="EX317" s="25"/>
      <c r="EY317" s="25"/>
      <c r="EZ317" s="25"/>
      <c r="FA317" s="25"/>
      <c r="FB317" s="25"/>
      <c r="FC317" s="25"/>
      <c r="FD317" s="25"/>
      <c r="FE317" s="25"/>
      <c r="FF317" s="25"/>
      <c r="FG317" s="25"/>
    </row>
    <row r="318" spans="1:165" x14ac:dyDescent="0.35">
      <c r="A318">
        <v>2025</v>
      </c>
      <c r="B318" t="s">
        <v>220</v>
      </c>
      <c r="C318" t="s">
        <v>994</v>
      </c>
      <c r="D318" t="s">
        <v>1965</v>
      </c>
      <c r="E318" t="s">
        <v>223</v>
      </c>
      <c r="F318">
        <v>487</v>
      </c>
      <c r="G318">
        <v>0</v>
      </c>
      <c r="I318" t="s">
        <v>1734</v>
      </c>
      <c r="J318">
        <v>52</v>
      </c>
      <c r="K318">
        <v>42</v>
      </c>
      <c r="L318">
        <v>47</v>
      </c>
      <c r="M318">
        <v>73.900000000000006</v>
      </c>
      <c r="N318">
        <v>60.4</v>
      </c>
      <c r="O318">
        <v>67.1464</v>
      </c>
      <c r="P318">
        <v>51.73</v>
      </c>
      <c r="Q318">
        <v>42.28</v>
      </c>
      <c r="R318">
        <v>47.002499999999998</v>
      </c>
      <c r="V318" t="s">
        <v>167</v>
      </c>
      <c r="W318" t="s">
        <v>168</v>
      </c>
      <c r="X318" t="s">
        <v>1850</v>
      </c>
      <c r="Y318">
        <v>1</v>
      </c>
      <c r="Z318" t="s">
        <v>170</v>
      </c>
      <c r="AA318" t="s">
        <v>170</v>
      </c>
      <c r="AB318" t="s">
        <v>167</v>
      </c>
      <c r="AC318" t="s">
        <v>213</v>
      </c>
      <c r="AF318">
        <v>282</v>
      </c>
      <c r="AG318" t="s">
        <v>1735</v>
      </c>
      <c r="AH318" t="s">
        <v>1736</v>
      </c>
      <c r="AI318" t="s">
        <v>175</v>
      </c>
      <c r="AJ318" t="s">
        <v>176</v>
      </c>
      <c r="AK318">
        <v>4</v>
      </c>
      <c r="AL318" t="s">
        <v>1737</v>
      </c>
      <c r="AS318">
        <v>1700</v>
      </c>
      <c r="AT318">
        <v>1700</v>
      </c>
      <c r="BQ318">
        <v>33</v>
      </c>
      <c r="BR318" t="s">
        <v>1497</v>
      </c>
      <c r="BT318" t="s">
        <v>1738</v>
      </c>
      <c r="BU318" s="1">
        <v>45488</v>
      </c>
      <c r="BV318">
        <v>35171</v>
      </c>
      <c r="BX318" t="s">
        <v>169</v>
      </c>
      <c r="BY318" t="s">
        <v>170</v>
      </c>
      <c r="CB318" t="s">
        <v>170</v>
      </c>
      <c r="CC318" t="s">
        <v>170</v>
      </c>
      <c r="CK318" t="s">
        <v>233</v>
      </c>
      <c r="CM318">
        <v>1</v>
      </c>
      <c r="CN318" t="s">
        <v>234</v>
      </c>
      <c r="CP318">
        <v>336</v>
      </c>
      <c r="CQ318">
        <v>580</v>
      </c>
      <c r="CR318">
        <v>161</v>
      </c>
      <c r="CS318" t="s">
        <v>1752</v>
      </c>
      <c r="CV318" t="s">
        <v>341</v>
      </c>
      <c r="CX318" t="s">
        <v>342</v>
      </c>
      <c r="CY318" t="s">
        <v>170</v>
      </c>
      <c r="DD318">
        <v>2</v>
      </c>
      <c r="DE318" t="s">
        <v>404</v>
      </c>
      <c r="DF318" t="s">
        <v>1855</v>
      </c>
      <c r="DG318" t="s">
        <v>1954</v>
      </c>
      <c r="DL318" t="s">
        <v>170</v>
      </c>
      <c r="DM318" t="s">
        <v>169</v>
      </c>
      <c r="DP318" t="s">
        <v>170</v>
      </c>
      <c r="DQ318" t="s">
        <v>187</v>
      </c>
      <c r="DR318" t="s">
        <v>1966</v>
      </c>
      <c r="EB318">
        <v>8</v>
      </c>
      <c r="EC318">
        <v>10</v>
      </c>
      <c r="EE318" t="s">
        <v>1956</v>
      </c>
      <c r="EF318">
        <v>10</v>
      </c>
      <c r="EU318">
        <v>1000</v>
      </c>
      <c r="EW318">
        <v>0</v>
      </c>
      <c r="EX318">
        <v>0</v>
      </c>
      <c r="EY318">
        <v>0</v>
      </c>
      <c r="FA318">
        <v>11.2</v>
      </c>
      <c r="FG318">
        <v>307</v>
      </c>
      <c r="FH318">
        <v>251</v>
      </c>
      <c r="FI318">
        <v>282</v>
      </c>
    </row>
    <row r="319" spans="1:165" x14ac:dyDescent="0.35">
      <c r="A319">
        <v>2025</v>
      </c>
      <c r="B319" t="s">
        <v>220</v>
      </c>
      <c r="C319" t="s">
        <v>994</v>
      </c>
      <c r="D319" t="s">
        <v>1965</v>
      </c>
      <c r="E319" t="s">
        <v>223</v>
      </c>
      <c r="F319">
        <v>487</v>
      </c>
      <c r="G319">
        <v>0</v>
      </c>
      <c r="I319" t="s">
        <v>1734</v>
      </c>
      <c r="J319">
        <v>65</v>
      </c>
      <c r="K319">
        <v>80</v>
      </c>
      <c r="L319">
        <v>72</v>
      </c>
      <c r="M319">
        <v>45.597999999999999</v>
      </c>
      <c r="N319">
        <v>55.7956</v>
      </c>
      <c r="O319">
        <v>50.186900000000001</v>
      </c>
      <c r="P319">
        <v>65.155600000000007</v>
      </c>
      <c r="Q319">
        <v>79.718500000000006</v>
      </c>
      <c r="R319">
        <v>71.709000000000003</v>
      </c>
      <c r="V319" t="s">
        <v>167</v>
      </c>
      <c r="W319" t="s">
        <v>168</v>
      </c>
      <c r="X319" t="s">
        <v>1850</v>
      </c>
      <c r="Y319">
        <v>1</v>
      </c>
      <c r="Z319" t="s">
        <v>170</v>
      </c>
      <c r="AA319" t="s">
        <v>170</v>
      </c>
      <c r="AB319" t="s">
        <v>167</v>
      </c>
      <c r="AC319" t="s">
        <v>213</v>
      </c>
      <c r="AF319">
        <v>282</v>
      </c>
      <c r="AG319" t="s">
        <v>1735</v>
      </c>
      <c r="AH319" t="s">
        <v>1736</v>
      </c>
      <c r="AI319" t="s">
        <v>1742</v>
      </c>
      <c r="AJ319" t="s">
        <v>1743</v>
      </c>
      <c r="AK319">
        <v>4</v>
      </c>
      <c r="AL319" t="s">
        <v>1737</v>
      </c>
      <c r="AS319">
        <v>1700</v>
      </c>
      <c r="AT319">
        <v>1700</v>
      </c>
      <c r="BQ319">
        <v>33</v>
      </c>
      <c r="BR319" t="s">
        <v>1497</v>
      </c>
      <c r="BT319" t="s">
        <v>1738</v>
      </c>
      <c r="BU319" s="1">
        <v>45488</v>
      </c>
      <c r="BV319">
        <v>35171</v>
      </c>
      <c r="BX319" t="s">
        <v>169</v>
      </c>
      <c r="BY319" t="s">
        <v>170</v>
      </c>
      <c r="CB319" t="s">
        <v>170</v>
      </c>
      <c r="CC319" t="s">
        <v>170</v>
      </c>
      <c r="CK319" t="s">
        <v>233</v>
      </c>
      <c r="CM319">
        <v>1</v>
      </c>
      <c r="CN319" t="s">
        <v>234</v>
      </c>
      <c r="CP319">
        <v>336</v>
      </c>
      <c r="CQ319">
        <v>580</v>
      </c>
      <c r="CR319">
        <v>161</v>
      </c>
      <c r="CS319" t="s">
        <v>1752</v>
      </c>
      <c r="CV319" t="s">
        <v>341</v>
      </c>
      <c r="CX319" t="s">
        <v>342</v>
      </c>
      <c r="CY319" t="s">
        <v>170</v>
      </c>
      <c r="DD319">
        <v>2</v>
      </c>
      <c r="DE319" t="s">
        <v>404</v>
      </c>
      <c r="DF319" t="s">
        <v>1855</v>
      </c>
      <c r="DG319" t="s">
        <v>1954</v>
      </c>
      <c r="DL319" t="s">
        <v>170</v>
      </c>
      <c r="DM319" t="s">
        <v>169</v>
      </c>
      <c r="DP319" t="s">
        <v>170</v>
      </c>
      <c r="DQ319" t="s">
        <v>187</v>
      </c>
      <c r="DR319" t="s">
        <v>1966</v>
      </c>
      <c r="EB319">
        <v>8</v>
      </c>
      <c r="EC319">
        <v>10</v>
      </c>
      <c r="EE319" t="s">
        <v>1956</v>
      </c>
      <c r="EF319">
        <v>10</v>
      </c>
      <c r="EU319">
        <v>1000</v>
      </c>
      <c r="EW319">
        <v>0</v>
      </c>
      <c r="EX319">
        <v>0</v>
      </c>
      <c r="EY319">
        <v>0</v>
      </c>
      <c r="FA319">
        <v>11.2</v>
      </c>
      <c r="FG319">
        <v>307</v>
      </c>
      <c r="FH319">
        <v>251</v>
      </c>
      <c r="FI319">
        <v>282</v>
      </c>
    </row>
    <row r="320" spans="1:165" x14ac:dyDescent="0.35">
      <c r="A320" s="25"/>
      <c r="B320" s="25"/>
      <c r="C320" s="25"/>
      <c r="D320" s="25"/>
      <c r="E320" s="25"/>
      <c r="F320" s="25" t="str">
        <f>_xlfn.CONCAT($A321," ",$B321," ",$D321)</f>
        <v>2025 General Motors HUMMER EV PICKUP MT TIRES</v>
      </c>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c r="AD320" s="25" t="str">
        <f>_xlfn.CONCAT($A321," ",$B321," ",$D321)</f>
        <v>2025 General Motors HUMMER EV PICKUP MT TIRES</v>
      </c>
      <c r="AE320" s="25"/>
      <c r="AF320" s="25"/>
      <c r="AG320" s="25"/>
      <c r="AH320" s="25"/>
      <c r="AI320" s="25"/>
      <c r="AJ320" s="25"/>
      <c r="AK320" s="25"/>
      <c r="AL320" s="25"/>
      <c r="AM320" s="25"/>
      <c r="AN320" s="25"/>
      <c r="AO320" s="25"/>
      <c r="AP320" s="25"/>
      <c r="AQ320" s="25"/>
      <c r="AR320" s="25"/>
      <c r="AS320" s="25"/>
      <c r="AT320" s="25"/>
      <c r="AU320" s="25"/>
      <c r="AV320" s="25"/>
      <c r="AW320" s="25"/>
      <c r="AX320" s="25" t="str">
        <f>_xlfn.CONCAT($A321," ",$B321," ",$D321)</f>
        <v>2025 General Motors HUMMER EV PICKUP MT TIRES</v>
      </c>
      <c r="AY320" s="25"/>
      <c r="AZ320" s="25"/>
      <c r="BA320" s="25"/>
      <c r="BB320" s="25"/>
      <c r="BC320" s="25"/>
      <c r="BD320" s="25"/>
      <c r="BE320" s="25"/>
      <c r="BF320" s="25"/>
      <c r="BG320" s="25"/>
      <c r="BH320" s="25"/>
      <c r="BI320" s="25"/>
      <c r="BJ320" s="25"/>
      <c r="BK320" s="25"/>
      <c r="BL320" s="25"/>
      <c r="BM320" s="25"/>
      <c r="BN320" s="25"/>
      <c r="BO320" s="25"/>
      <c r="BP320" s="25"/>
      <c r="BQ320" s="25"/>
      <c r="BR320" s="25" t="str">
        <f>_xlfn.CONCAT($A321," ",$B321," ",$D321)</f>
        <v>2025 General Motors HUMMER EV PICKUP MT TIRES</v>
      </c>
      <c r="BS320" s="25"/>
      <c r="BT320" s="25"/>
      <c r="BU320" s="25"/>
      <c r="BV320" s="25"/>
      <c r="BX320" s="25"/>
      <c r="BY320" s="25"/>
      <c r="BZ320" s="25"/>
      <c r="CA320" s="25"/>
      <c r="CB320" s="25"/>
      <c r="CC320" s="25"/>
      <c r="CD320" s="25"/>
      <c r="CE320" s="25"/>
      <c r="CF320" s="25"/>
      <c r="CG320" s="25"/>
      <c r="CH320" s="25"/>
      <c r="CI320" s="25"/>
      <c r="CJ320" s="25"/>
      <c r="CK320" s="25"/>
      <c r="CL320" s="25"/>
      <c r="CM320" s="25"/>
      <c r="CN320" s="25"/>
      <c r="CO320" s="25"/>
      <c r="CP320" s="25" t="str">
        <f>_xlfn.CONCAT($A321," ",$B321," ",$D321)</f>
        <v>2025 General Motors HUMMER EV PICKUP MT TIRES</v>
      </c>
      <c r="CQ320" s="25"/>
      <c r="CR320" s="25"/>
      <c r="CS320" s="25"/>
      <c r="CT320" s="25"/>
      <c r="CU320" s="25"/>
      <c r="CV320" s="25"/>
      <c r="CW320" s="25"/>
      <c r="CX320" s="25"/>
      <c r="CY320" s="25"/>
      <c r="CZ320" s="25"/>
      <c r="DA320" s="25"/>
      <c r="DB320" s="25"/>
      <c r="DC320" s="25"/>
      <c r="DD320" s="25"/>
      <c r="DE320" s="25"/>
      <c r="DF320" s="25"/>
      <c r="DG320" s="25"/>
      <c r="DH320" s="25"/>
      <c r="DI320" s="25" t="str">
        <f>_xlfn.CONCAT($A321," ",$B321," ",$D321)</f>
        <v>2025 General Motors HUMMER EV PICKUP MT TIRES</v>
      </c>
      <c r="DJ320" s="25"/>
      <c r="DK320" s="25"/>
      <c r="DL320" s="25"/>
      <c r="DM320" s="25"/>
      <c r="DN320" s="25"/>
      <c r="DO320" s="25"/>
      <c r="DP320" s="25"/>
      <c r="DQ320" s="25"/>
      <c r="DR320" s="25"/>
      <c r="DS320" s="25"/>
      <c r="DT320" s="25"/>
      <c r="DU320" s="25"/>
      <c r="DV320" s="25"/>
      <c r="DW320" s="25"/>
      <c r="DX320" s="25"/>
      <c r="DY320" s="25"/>
      <c r="DZ320" s="25" t="str">
        <f>_xlfn.CONCAT($A321," ",$B321," ",$D321)</f>
        <v>2025 General Motors HUMMER EV PICKUP MT TIRES</v>
      </c>
      <c r="EB320" s="25"/>
      <c r="EC320" s="25"/>
      <c r="ED320" s="25"/>
      <c r="EE320" s="25"/>
      <c r="EF320" s="25"/>
      <c r="EG320" s="25"/>
      <c r="EH320" s="25"/>
      <c r="EI320" s="25"/>
      <c r="EJ320" s="25"/>
      <c r="EK320" s="25"/>
      <c r="EL320" s="25"/>
      <c r="EM320" s="25"/>
      <c r="EN320" s="25"/>
      <c r="EO320" s="25"/>
      <c r="EP320" s="25"/>
      <c r="EQ320" s="25"/>
      <c r="ER320" s="25"/>
      <c r="ES320" s="25"/>
      <c r="ET320" s="25"/>
      <c r="EU320" s="25"/>
      <c r="EV320" s="25" t="str">
        <f>_xlfn.CONCAT($A321," ",$B321," ",$D321)</f>
        <v>2025 General Motors HUMMER EV PICKUP MT TIRES</v>
      </c>
      <c r="EW320" s="25"/>
      <c r="EX320" s="25"/>
      <c r="EY320" s="25"/>
      <c r="EZ320" s="25"/>
      <c r="FA320" s="25"/>
      <c r="FB320" s="25"/>
      <c r="FC320" s="25"/>
      <c r="FD320" s="25"/>
      <c r="FE320" s="25"/>
      <c r="FF320" s="25"/>
      <c r="FG320" s="25"/>
    </row>
    <row r="321" spans="1:165" x14ac:dyDescent="0.35">
      <c r="A321">
        <v>2025</v>
      </c>
      <c r="B321" t="s">
        <v>220</v>
      </c>
      <c r="C321" t="s">
        <v>994</v>
      </c>
      <c r="D321" t="s">
        <v>1960</v>
      </c>
      <c r="E321" t="s">
        <v>223</v>
      </c>
      <c r="F321">
        <v>488</v>
      </c>
      <c r="G321">
        <v>0</v>
      </c>
      <c r="I321" t="s">
        <v>1734</v>
      </c>
      <c r="J321">
        <v>52</v>
      </c>
      <c r="K321">
        <v>42</v>
      </c>
      <c r="L321">
        <v>47</v>
      </c>
      <c r="M321">
        <v>73.900000000000006</v>
      </c>
      <c r="N321">
        <v>60.4</v>
      </c>
      <c r="O321">
        <v>67.1464</v>
      </c>
      <c r="P321">
        <v>51.73</v>
      </c>
      <c r="Q321">
        <v>42.28</v>
      </c>
      <c r="R321">
        <v>47.002499999999998</v>
      </c>
      <c r="V321" t="s">
        <v>167</v>
      </c>
      <c r="W321" t="s">
        <v>168</v>
      </c>
      <c r="X321" t="s">
        <v>1850</v>
      </c>
      <c r="Y321">
        <v>1</v>
      </c>
      <c r="Z321" t="s">
        <v>170</v>
      </c>
      <c r="AA321" t="s">
        <v>170</v>
      </c>
      <c r="AB321" t="s">
        <v>167</v>
      </c>
      <c r="AC321" t="s">
        <v>213</v>
      </c>
      <c r="AF321">
        <v>282</v>
      </c>
      <c r="AG321" t="s">
        <v>1735</v>
      </c>
      <c r="AH321" t="s">
        <v>1736</v>
      </c>
      <c r="AI321" t="s">
        <v>175</v>
      </c>
      <c r="AJ321" t="s">
        <v>176</v>
      </c>
      <c r="AK321">
        <v>4</v>
      </c>
      <c r="AL321" t="s">
        <v>1737</v>
      </c>
      <c r="AS321">
        <v>1700</v>
      </c>
      <c r="AT321">
        <v>1700</v>
      </c>
      <c r="BQ321">
        <v>13</v>
      </c>
      <c r="BR321" t="s">
        <v>1016</v>
      </c>
      <c r="BT321" t="s">
        <v>1738</v>
      </c>
      <c r="BU321" s="1">
        <v>45488</v>
      </c>
      <c r="BV321">
        <v>35173</v>
      </c>
      <c r="BX321" t="s">
        <v>169</v>
      </c>
      <c r="BY321" t="s">
        <v>170</v>
      </c>
      <c r="CB321" t="s">
        <v>170</v>
      </c>
      <c r="CC321" t="s">
        <v>170</v>
      </c>
      <c r="CK321" t="s">
        <v>233</v>
      </c>
      <c r="CM321">
        <v>1</v>
      </c>
      <c r="CN321" t="s">
        <v>234</v>
      </c>
      <c r="CP321">
        <v>336</v>
      </c>
      <c r="CQ321">
        <v>580</v>
      </c>
      <c r="CR321">
        <v>161</v>
      </c>
      <c r="CS321" t="s">
        <v>1752</v>
      </c>
      <c r="CV321" t="s">
        <v>341</v>
      </c>
      <c r="CX321" t="s">
        <v>342</v>
      </c>
      <c r="CY321" t="s">
        <v>170</v>
      </c>
      <c r="DD321">
        <v>2</v>
      </c>
      <c r="DE321" t="s">
        <v>404</v>
      </c>
      <c r="DF321" t="s">
        <v>1855</v>
      </c>
      <c r="DG321" t="s">
        <v>1954</v>
      </c>
      <c r="DL321" t="s">
        <v>170</v>
      </c>
      <c r="DM321" t="s">
        <v>169</v>
      </c>
      <c r="DP321" t="s">
        <v>170</v>
      </c>
      <c r="DQ321" t="s">
        <v>187</v>
      </c>
      <c r="DR321" t="s">
        <v>1961</v>
      </c>
      <c r="EB321">
        <v>8</v>
      </c>
      <c r="EC321">
        <v>10</v>
      </c>
      <c r="EE321" t="s">
        <v>1956</v>
      </c>
      <c r="EF321">
        <v>10</v>
      </c>
      <c r="EU321">
        <v>1000</v>
      </c>
      <c r="EW321">
        <v>0</v>
      </c>
      <c r="EX321">
        <v>0</v>
      </c>
      <c r="EY321">
        <v>0</v>
      </c>
      <c r="FA321">
        <v>11.2</v>
      </c>
      <c r="FG321">
        <v>307</v>
      </c>
      <c r="FH321">
        <v>251</v>
      </c>
      <c r="FI321">
        <v>282</v>
      </c>
    </row>
    <row r="322" spans="1:165" x14ac:dyDescent="0.35">
      <c r="A322">
        <v>2025</v>
      </c>
      <c r="B322" t="s">
        <v>220</v>
      </c>
      <c r="C322" t="s">
        <v>994</v>
      </c>
      <c r="D322" t="s">
        <v>1960</v>
      </c>
      <c r="E322" t="s">
        <v>223</v>
      </c>
      <c r="F322">
        <v>488</v>
      </c>
      <c r="G322">
        <v>0</v>
      </c>
      <c r="I322" t="s">
        <v>1734</v>
      </c>
      <c r="J322">
        <v>65</v>
      </c>
      <c r="K322">
        <v>80</v>
      </c>
      <c r="L322">
        <v>72</v>
      </c>
      <c r="M322">
        <v>45.597999999999999</v>
      </c>
      <c r="N322">
        <v>55.7956</v>
      </c>
      <c r="O322">
        <v>50.186900000000001</v>
      </c>
      <c r="P322">
        <v>65.155600000000007</v>
      </c>
      <c r="Q322">
        <v>79.718500000000006</v>
      </c>
      <c r="R322">
        <v>71.709000000000003</v>
      </c>
      <c r="V322" t="s">
        <v>167</v>
      </c>
      <c r="W322" t="s">
        <v>168</v>
      </c>
      <c r="X322" t="s">
        <v>1850</v>
      </c>
      <c r="Y322">
        <v>1</v>
      </c>
      <c r="Z322" t="s">
        <v>170</v>
      </c>
      <c r="AA322" t="s">
        <v>170</v>
      </c>
      <c r="AB322" t="s">
        <v>167</v>
      </c>
      <c r="AC322" t="s">
        <v>213</v>
      </c>
      <c r="AF322">
        <v>282</v>
      </c>
      <c r="AG322" t="s">
        <v>1735</v>
      </c>
      <c r="AH322" t="s">
        <v>1736</v>
      </c>
      <c r="AI322" t="s">
        <v>1742</v>
      </c>
      <c r="AJ322" t="s">
        <v>1743</v>
      </c>
      <c r="AK322">
        <v>4</v>
      </c>
      <c r="AL322" t="s">
        <v>1737</v>
      </c>
      <c r="AS322">
        <v>1700</v>
      </c>
      <c r="AT322">
        <v>1700</v>
      </c>
      <c r="BQ322">
        <v>13</v>
      </c>
      <c r="BR322" t="s">
        <v>1016</v>
      </c>
      <c r="BT322" t="s">
        <v>1738</v>
      </c>
      <c r="BU322" s="1">
        <v>45488</v>
      </c>
      <c r="BV322">
        <v>35173</v>
      </c>
      <c r="BX322" t="s">
        <v>169</v>
      </c>
      <c r="BY322" t="s">
        <v>170</v>
      </c>
      <c r="CB322" t="s">
        <v>170</v>
      </c>
      <c r="CC322" t="s">
        <v>170</v>
      </c>
      <c r="CK322" t="s">
        <v>233</v>
      </c>
      <c r="CM322">
        <v>1</v>
      </c>
      <c r="CN322" t="s">
        <v>234</v>
      </c>
      <c r="CP322">
        <v>336</v>
      </c>
      <c r="CQ322">
        <v>580</v>
      </c>
      <c r="CR322">
        <v>161</v>
      </c>
      <c r="CS322" t="s">
        <v>1752</v>
      </c>
      <c r="CV322" t="s">
        <v>341</v>
      </c>
      <c r="CX322" t="s">
        <v>342</v>
      </c>
      <c r="CY322" t="s">
        <v>170</v>
      </c>
      <c r="DD322">
        <v>2</v>
      </c>
      <c r="DE322" t="s">
        <v>404</v>
      </c>
      <c r="DF322" t="s">
        <v>1855</v>
      </c>
      <c r="DG322" t="s">
        <v>1954</v>
      </c>
      <c r="DL322" t="s">
        <v>170</v>
      </c>
      <c r="DM322" t="s">
        <v>169</v>
      </c>
      <c r="DP322" t="s">
        <v>170</v>
      </c>
      <c r="DQ322" t="s">
        <v>187</v>
      </c>
      <c r="DR322" t="s">
        <v>1961</v>
      </c>
      <c r="EB322">
        <v>8</v>
      </c>
      <c r="EC322">
        <v>10</v>
      </c>
      <c r="EE322" t="s">
        <v>1956</v>
      </c>
      <c r="EF322">
        <v>10</v>
      </c>
      <c r="EU322">
        <v>1000</v>
      </c>
      <c r="EW322">
        <v>0</v>
      </c>
      <c r="EX322">
        <v>0</v>
      </c>
      <c r="EY322">
        <v>0</v>
      </c>
      <c r="FA322">
        <v>11.2</v>
      </c>
      <c r="FG322">
        <v>307</v>
      </c>
      <c r="FH322">
        <v>251</v>
      </c>
      <c r="FI322">
        <v>282</v>
      </c>
    </row>
    <row r="323" spans="1:165" x14ac:dyDescent="0.35">
      <c r="A323" s="25"/>
      <c r="B323" s="25"/>
      <c r="C323" s="25"/>
      <c r="D323" s="25"/>
      <c r="E323" s="25"/>
      <c r="F323" s="25" t="str">
        <f>_xlfn.CONCAT($A324," ",$B324," ",$D324)</f>
        <v>2025 General Motors HUMMER EV SUV</v>
      </c>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c r="AD323" s="25" t="str">
        <f>_xlfn.CONCAT($A324," ",$B324," ",$D324)</f>
        <v>2025 General Motors HUMMER EV SUV</v>
      </c>
      <c r="AE323" s="25"/>
      <c r="AF323" s="25"/>
      <c r="AG323" s="25"/>
      <c r="AH323" s="25"/>
      <c r="AI323" s="25"/>
      <c r="AJ323" s="25"/>
      <c r="AK323" s="25"/>
      <c r="AL323" s="25"/>
      <c r="AM323" s="25"/>
      <c r="AN323" s="25"/>
      <c r="AO323" s="25"/>
      <c r="AP323" s="25"/>
      <c r="AQ323" s="25"/>
      <c r="AR323" s="25"/>
      <c r="AS323" s="25"/>
      <c r="AT323" s="25"/>
      <c r="AU323" s="25"/>
      <c r="AV323" s="25"/>
      <c r="AW323" s="25"/>
      <c r="AX323" s="25" t="str">
        <f>_xlfn.CONCAT($A324," ",$B324," ",$D324)</f>
        <v>2025 General Motors HUMMER EV SUV</v>
      </c>
      <c r="AY323" s="25"/>
      <c r="AZ323" s="25"/>
      <c r="BA323" s="25"/>
      <c r="BB323" s="25"/>
      <c r="BC323" s="25"/>
      <c r="BD323" s="25"/>
      <c r="BE323" s="25"/>
      <c r="BF323" s="25"/>
      <c r="BG323" s="25"/>
      <c r="BH323" s="25"/>
      <c r="BI323" s="25"/>
      <c r="BJ323" s="25"/>
      <c r="BK323" s="25"/>
      <c r="BL323" s="25"/>
      <c r="BM323" s="25"/>
      <c r="BN323" s="25"/>
      <c r="BO323" s="25"/>
      <c r="BP323" s="25"/>
      <c r="BQ323" s="25"/>
      <c r="BR323" s="25" t="str">
        <f>_xlfn.CONCAT($A324," ",$B324," ",$D324)</f>
        <v>2025 General Motors HUMMER EV SUV</v>
      </c>
      <c r="BS323" s="25"/>
      <c r="BT323" s="25"/>
      <c r="BU323" s="25"/>
      <c r="BV323" s="25"/>
      <c r="BX323" s="25"/>
      <c r="BY323" s="25"/>
      <c r="BZ323" s="25"/>
      <c r="CA323" s="25"/>
      <c r="CB323" s="25"/>
      <c r="CC323" s="25"/>
      <c r="CD323" s="25"/>
      <c r="CE323" s="25"/>
      <c r="CF323" s="25"/>
      <c r="CG323" s="25"/>
      <c r="CH323" s="25"/>
      <c r="CI323" s="25"/>
      <c r="CJ323" s="25"/>
      <c r="CK323" s="25"/>
      <c r="CL323" s="25"/>
      <c r="CM323" s="25"/>
      <c r="CN323" s="25"/>
      <c r="CO323" s="25"/>
      <c r="CP323" s="25" t="str">
        <f>_xlfn.CONCAT($A324," ",$B324," ",$D324)</f>
        <v>2025 General Motors HUMMER EV SUV</v>
      </c>
      <c r="CQ323" s="25"/>
      <c r="CR323" s="25"/>
      <c r="CS323" s="25"/>
      <c r="CT323" s="25"/>
      <c r="CU323" s="25"/>
      <c r="CV323" s="25"/>
      <c r="CW323" s="25"/>
      <c r="CX323" s="25"/>
      <c r="CY323" s="25"/>
      <c r="CZ323" s="25"/>
      <c r="DA323" s="25"/>
      <c r="DB323" s="25"/>
      <c r="DC323" s="25"/>
      <c r="DD323" s="25"/>
      <c r="DE323" s="25"/>
      <c r="DF323" s="25"/>
      <c r="DG323" s="25"/>
      <c r="DH323" s="25"/>
      <c r="DI323" s="25" t="str">
        <f>_xlfn.CONCAT($A324," ",$B324," ",$D324)</f>
        <v>2025 General Motors HUMMER EV SUV</v>
      </c>
      <c r="DJ323" s="25"/>
      <c r="DK323" s="25"/>
      <c r="DL323" s="25"/>
      <c r="DM323" s="25"/>
      <c r="DN323" s="25"/>
      <c r="DO323" s="25"/>
      <c r="DP323" s="25"/>
      <c r="DQ323" s="25"/>
      <c r="DR323" s="25"/>
      <c r="DS323" s="25"/>
      <c r="DT323" s="25"/>
      <c r="DU323" s="25"/>
      <c r="DV323" s="25"/>
      <c r="DW323" s="25"/>
      <c r="DX323" s="25"/>
      <c r="DY323" s="25"/>
      <c r="DZ323" s="25" t="str">
        <f>_xlfn.CONCAT($A324," ",$B324," ",$D324)</f>
        <v>2025 General Motors HUMMER EV SUV</v>
      </c>
      <c r="EB323" s="25"/>
      <c r="EC323" s="25"/>
      <c r="ED323" s="25"/>
      <c r="EE323" s="25"/>
      <c r="EF323" s="25"/>
      <c r="EG323" s="25"/>
      <c r="EH323" s="25"/>
      <c r="EI323" s="25"/>
      <c r="EJ323" s="25"/>
      <c r="EK323" s="25"/>
      <c r="EL323" s="25"/>
      <c r="EM323" s="25"/>
      <c r="EN323" s="25"/>
      <c r="EO323" s="25"/>
      <c r="EP323" s="25"/>
      <c r="EQ323" s="25"/>
      <c r="ER323" s="25"/>
      <c r="ES323" s="25"/>
      <c r="ET323" s="25"/>
      <c r="EU323" s="25"/>
      <c r="EV323" s="25" t="str">
        <f>_xlfn.CONCAT($A324," ",$B324," ",$D324)</f>
        <v>2025 General Motors HUMMER EV SUV</v>
      </c>
      <c r="EW323" s="25"/>
      <c r="EX323" s="25"/>
      <c r="EY323" s="25"/>
      <c r="EZ323" s="25"/>
      <c r="FA323" s="25"/>
      <c r="FB323" s="25"/>
      <c r="FC323" s="25"/>
      <c r="FD323" s="25"/>
      <c r="FE323" s="25"/>
      <c r="FF323" s="25"/>
      <c r="FG323" s="25"/>
    </row>
    <row r="324" spans="1:165" x14ac:dyDescent="0.35">
      <c r="A324">
        <v>2025</v>
      </c>
      <c r="B324" t="s">
        <v>220</v>
      </c>
      <c r="C324" t="s">
        <v>994</v>
      </c>
      <c r="D324" t="s">
        <v>1962</v>
      </c>
      <c r="E324" t="s">
        <v>223</v>
      </c>
      <c r="F324">
        <v>489</v>
      </c>
      <c r="G324">
        <v>0</v>
      </c>
      <c r="I324" t="s">
        <v>1734</v>
      </c>
      <c r="J324">
        <v>58</v>
      </c>
      <c r="K324">
        <v>46</v>
      </c>
      <c r="L324">
        <v>52</v>
      </c>
      <c r="M324">
        <v>82.2</v>
      </c>
      <c r="N324">
        <v>65.8</v>
      </c>
      <c r="O324">
        <v>73.910399999999996</v>
      </c>
      <c r="P324">
        <v>57.54</v>
      </c>
      <c r="Q324">
        <v>46.06</v>
      </c>
      <c r="R324">
        <v>51.737299999999998</v>
      </c>
      <c r="V324" t="s">
        <v>167</v>
      </c>
      <c r="W324" t="s">
        <v>168</v>
      </c>
      <c r="X324" t="s">
        <v>1850</v>
      </c>
      <c r="Y324">
        <v>1</v>
      </c>
      <c r="Z324" t="s">
        <v>170</v>
      </c>
      <c r="AA324" t="s">
        <v>170</v>
      </c>
      <c r="AB324" t="s">
        <v>167</v>
      </c>
      <c r="AC324" t="s">
        <v>213</v>
      </c>
      <c r="AF324">
        <v>312</v>
      </c>
      <c r="AG324" t="s">
        <v>1735</v>
      </c>
      <c r="AH324" t="s">
        <v>1736</v>
      </c>
      <c r="AI324" t="s">
        <v>175</v>
      </c>
      <c r="AJ324" t="s">
        <v>176</v>
      </c>
      <c r="AK324">
        <v>4</v>
      </c>
      <c r="AL324" t="s">
        <v>1737</v>
      </c>
      <c r="AS324">
        <v>1550</v>
      </c>
      <c r="AT324">
        <v>1550</v>
      </c>
      <c r="BQ324">
        <v>33</v>
      </c>
      <c r="BR324" t="s">
        <v>1497</v>
      </c>
      <c r="BT324" t="s">
        <v>1738</v>
      </c>
      <c r="BU324" s="1">
        <v>45488</v>
      </c>
      <c r="BV324">
        <v>35166</v>
      </c>
      <c r="BY324" t="s">
        <v>170</v>
      </c>
      <c r="CB324" t="s">
        <v>170</v>
      </c>
      <c r="CC324" t="s">
        <v>170</v>
      </c>
      <c r="CK324" t="s">
        <v>233</v>
      </c>
      <c r="CM324">
        <v>1</v>
      </c>
      <c r="CN324" t="s">
        <v>234</v>
      </c>
      <c r="CP324">
        <v>336</v>
      </c>
      <c r="CQ324">
        <v>580</v>
      </c>
      <c r="CR324">
        <v>161</v>
      </c>
      <c r="CS324" t="s">
        <v>1752</v>
      </c>
      <c r="CV324" t="s">
        <v>341</v>
      </c>
      <c r="CX324" t="s">
        <v>342</v>
      </c>
      <c r="CY324" t="s">
        <v>170</v>
      </c>
      <c r="DD324">
        <v>3</v>
      </c>
      <c r="DE324" t="s">
        <v>404</v>
      </c>
      <c r="DF324" t="s">
        <v>1957</v>
      </c>
      <c r="DG324" t="s">
        <v>1964</v>
      </c>
      <c r="DL324" t="s">
        <v>170</v>
      </c>
      <c r="DM324" t="s">
        <v>169</v>
      </c>
      <c r="DP324" t="s">
        <v>170</v>
      </c>
      <c r="DQ324" t="s">
        <v>187</v>
      </c>
      <c r="DR324" t="s">
        <v>1963</v>
      </c>
      <c r="EB324">
        <v>8</v>
      </c>
      <c r="EC324">
        <v>10</v>
      </c>
      <c r="EE324" t="s">
        <v>1959</v>
      </c>
      <c r="EF324">
        <v>10</v>
      </c>
      <c r="EU324">
        <v>1750</v>
      </c>
      <c r="EW324">
        <v>0</v>
      </c>
      <c r="EX324">
        <v>0</v>
      </c>
      <c r="EY324">
        <v>0</v>
      </c>
      <c r="FA324">
        <v>11.2</v>
      </c>
      <c r="FG324">
        <v>343</v>
      </c>
      <c r="FH324">
        <v>274</v>
      </c>
      <c r="FI324">
        <v>312</v>
      </c>
    </row>
    <row r="325" spans="1:165" x14ac:dyDescent="0.35">
      <c r="A325">
        <v>2025</v>
      </c>
      <c r="B325" t="s">
        <v>220</v>
      </c>
      <c r="C325" t="s">
        <v>994</v>
      </c>
      <c r="D325" t="s">
        <v>1962</v>
      </c>
      <c r="E325" t="s">
        <v>223</v>
      </c>
      <c r="F325">
        <v>489</v>
      </c>
      <c r="G325">
        <v>0</v>
      </c>
      <c r="I325" t="s">
        <v>1734</v>
      </c>
      <c r="J325">
        <v>59</v>
      </c>
      <c r="K325">
        <v>73</v>
      </c>
      <c r="L325">
        <v>65</v>
      </c>
      <c r="M325">
        <v>40.996499999999997</v>
      </c>
      <c r="N325">
        <v>51.233899999999998</v>
      </c>
      <c r="O325">
        <v>45.603299999999997</v>
      </c>
      <c r="P325">
        <v>58.576599999999999</v>
      </c>
      <c r="Q325">
        <v>73.176299999999998</v>
      </c>
      <c r="R325">
        <v>65.1464</v>
      </c>
      <c r="V325" t="s">
        <v>167</v>
      </c>
      <c r="W325" t="s">
        <v>168</v>
      </c>
      <c r="X325" t="s">
        <v>1850</v>
      </c>
      <c r="Y325">
        <v>1</v>
      </c>
      <c r="Z325" t="s">
        <v>170</v>
      </c>
      <c r="AA325" t="s">
        <v>170</v>
      </c>
      <c r="AB325" t="s">
        <v>167</v>
      </c>
      <c r="AC325" t="s">
        <v>213</v>
      </c>
      <c r="AF325">
        <v>312</v>
      </c>
      <c r="AG325" t="s">
        <v>1735</v>
      </c>
      <c r="AH325" t="s">
        <v>1736</v>
      </c>
      <c r="AI325" t="s">
        <v>1742</v>
      </c>
      <c r="AJ325" t="s">
        <v>1743</v>
      </c>
      <c r="AK325">
        <v>4</v>
      </c>
      <c r="AL325" t="s">
        <v>1737</v>
      </c>
      <c r="AS325">
        <v>1550</v>
      </c>
      <c r="AT325">
        <v>1550</v>
      </c>
      <c r="BQ325">
        <v>33</v>
      </c>
      <c r="BR325" t="s">
        <v>1497</v>
      </c>
      <c r="BT325" t="s">
        <v>1738</v>
      </c>
      <c r="BU325" s="1">
        <v>45488</v>
      </c>
      <c r="BV325">
        <v>35166</v>
      </c>
      <c r="BY325" t="s">
        <v>170</v>
      </c>
      <c r="CB325" t="s">
        <v>170</v>
      </c>
      <c r="CC325" t="s">
        <v>170</v>
      </c>
      <c r="CK325" t="s">
        <v>233</v>
      </c>
      <c r="CM325">
        <v>1</v>
      </c>
      <c r="CN325" t="s">
        <v>234</v>
      </c>
      <c r="CP325">
        <v>336</v>
      </c>
      <c r="CQ325">
        <v>580</v>
      </c>
      <c r="CR325">
        <v>161</v>
      </c>
      <c r="CS325" t="s">
        <v>1752</v>
      </c>
      <c r="CV325" t="s">
        <v>341</v>
      </c>
      <c r="CX325" t="s">
        <v>342</v>
      </c>
      <c r="CY325" t="s">
        <v>170</v>
      </c>
      <c r="DD325">
        <v>3</v>
      </c>
      <c r="DE325" t="s">
        <v>404</v>
      </c>
      <c r="DF325" t="s">
        <v>1957</v>
      </c>
      <c r="DG325" t="s">
        <v>1964</v>
      </c>
      <c r="DL325" t="s">
        <v>170</v>
      </c>
      <c r="DM325" t="s">
        <v>169</v>
      </c>
      <c r="DP325" t="s">
        <v>170</v>
      </c>
      <c r="DQ325" t="s">
        <v>187</v>
      </c>
      <c r="DR325" t="s">
        <v>1963</v>
      </c>
      <c r="EB325">
        <v>8</v>
      </c>
      <c r="EC325">
        <v>10</v>
      </c>
      <c r="EE325" t="s">
        <v>1959</v>
      </c>
      <c r="EF325">
        <v>10</v>
      </c>
      <c r="EU325">
        <v>1750</v>
      </c>
      <c r="EW325">
        <v>0</v>
      </c>
      <c r="EX325">
        <v>0</v>
      </c>
      <c r="EY325">
        <v>0</v>
      </c>
      <c r="FA325">
        <v>11.2</v>
      </c>
      <c r="FG325">
        <v>343</v>
      </c>
      <c r="FH325">
        <v>274</v>
      </c>
      <c r="FI325">
        <v>312</v>
      </c>
    </row>
    <row r="326" spans="1:165" x14ac:dyDescent="0.35">
      <c r="A326" s="25"/>
      <c r="B326" s="25"/>
      <c r="C326" s="25"/>
      <c r="D326" s="25"/>
      <c r="E326" s="25"/>
      <c r="F326" s="25" t="str">
        <f>_xlfn.CONCAT($A327," ",$B327," ",$D327)</f>
        <v>2025 General Motors HUMMER EV PICKUP</v>
      </c>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c r="AD326" s="25" t="str">
        <f>_xlfn.CONCAT($A327," ",$B327," ",$D327)</f>
        <v>2025 General Motors HUMMER EV PICKUP</v>
      </c>
      <c r="AE326" s="25"/>
      <c r="AF326" s="25"/>
      <c r="AG326" s="25"/>
      <c r="AH326" s="25"/>
      <c r="AI326" s="25"/>
      <c r="AJ326" s="25"/>
      <c r="AK326" s="25"/>
      <c r="AL326" s="25"/>
      <c r="AM326" s="25"/>
      <c r="AN326" s="25"/>
      <c r="AO326" s="25"/>
      <c r="AP326" s="25"/>
      <c r="AQ326" s="25"/>
      <c r="AR326" s="25"/>
      <c r="AS326" s="25"/>
      <c r="AT326" s="25"/>
      <c r="AU326" s="25"/>
      <c r="AV326" s="25"/>
      <c r="AW326" s="25"/>
      <c r="AX326" s="25" t="str">
        <f>_xlfn.CONCAT($A327," ",$B327," ",$D327)</f>
        <v>2025 General Motors HUMMER EV PICKUP</v>
      </c>
      <c r="AY326" s="25"/>
      <c r="AZ326" s="25"/>
      <c r="BA326" s="25"/>
      <c r="BB326" s="25"/>
      <c r="BC326" s="25"/>
      <c r="BD326" s="25"/>
      <c r="BE326" s="25"/>
      <c r="BF326" s="25"/>
      <c r="BG326" s="25"/>
      <c r="BH326" s="25"/>
      <c r="BI326" s="25"/>
      <c r="BJ326" s="25"/>
      <c r="BK326" s="25"/>
      <c r="BL326" s="25"/>
      <c r="BM326" s="25"/>
      <c r="BN326" s="25"/>
      <c r="BO326" s="25"/>
      <c r="BP326" s="25"/>
      <c r="BQ326" s="25"/>
      <c r="BR326" s="25" t="str">
        <f>_xlfn.CONCAT($A327," ",$B327," ",$D327)</f>
        <v>2025 General Motors HUMMER EV PICKUP</v>
      </c>
      <c r="BS326" s="25"/>
      <c r="BT326" s="25"/>
      <c r="BU326" s="25"/>
      <c r="BV326" s="25"/>
      <c r="BX326" s="25"/>
      <c r="BY326" s="25"/>
      <c r="BZ326" s="25"/>
      <c r="CA326" s="25"/>
      <c r="CB326" s="25"/>
      <c r="CC326" s="25"/>
      <c r="CD326" s="25"/>
      <c r="CE326" s="25"/>
      <c r="CF326" s="25"/>
      <c r="CG326" s="25"/>
      <c r="CH326" s="25"/>
      <c r="CI326" s="25"/>
      <c r="CJ326" s="25"/>
      <c r="CK326" s="25"/>
      <c r="CL326" s="25"/>
      <c r="CM326" s="25"/>
      <c r="CN326" s="25"/>
      <c r="CO326" s="25"/>
      <c r="CP326" s="25" t="str">
        <f>_xlfn.CONCAT($A327," ",$B327," ",$D327)</f>
        <v>2025 General Motors HUMMER EV PICKUP</v>
      </c>
      <c r="CQ326" s="25"/>
      <c r="CR326" s="25"/>
      <c r="CS326" s="25"/>
      <c r="CT326" s="25"/>
      <c r="CU326" s="25"/>
      <c r="CV326" s="25"/>
      <c r="CW326" s="25"/>
      <c r="CX326" s="25"/>
      <c r="CY326" s="25"/>
      <c r="CZ326" s="25"/>
      <c r="DA326" s="25"/>
      <c r="DB326" s="25"/>
      <c r="DC326" s="25"/>
      <c r="DD326" s="25"/>
      <c r="DE326" s="25"/>
      <c r="DF326" s="25"/>
      <c r="DG326" s="25"/>
      <c r="DH326" s="25"/>
      <c r="DI326" s="25" t="str">
        <f>_xlfn.CONCAT($A327," ",$B327," ",$D327)</f>
        <v>2025 General Motors HUMMER EV PICKUP</v>
      </c>
      <c r="DJ326" s="25"/>
      <c r="DK326" s="25"/>
      <c r="DL326" s="25"/>
      <c r="DM326" s="25"/>
      <c r="DN326" s="25"/>
      <c r="DO326" s="25"/>
      <c r="DP326" s="25"/>
      <c r="DQ326" s="25"/>
      <c r="DR326" s="25"/>
      <c r="DS326" s="25"/>
      <c r="DT326" s="25"/>
      <c r="DU326" s="25"/>
      <c r="DV326" s="25"/>
      <c r="DW326" s="25"/>
      <c r="DX326" s="25"/>
      <c r="DY326" s="25"/>
      <c r="DZ326" s="25" t="str">
        <f>_xlfn.CONCAT($A327," ",$B327," ",$D327)</f>
        <v>2025 General Motors HUMMER EV PICKUP</v>
      </c>
      <c r="EB326" s="25"/>
      <c r="EC326" s="25"/>
      <c r="ED326" s="25"/>
      <c r="EE326" s="25"/>
      <c r="EF326" s="25"/>
      <c r="EG326" s="25"/>
      <c r="EH326" s="25"/>
      <c r="EI326" s="25"/>
      <c r="EJ326" s="25"/>
      <c r="EK326" s="25"/>
      <c r="EL326" s="25"/>
      <c r="EM326" s="25"/>
      <c r="EN326" s="25"/>
      <c r="EO326" s="25"/>
      <c r="EP326" s="25"/>
      <c r="EQ326" s="25"/>
      <c r="ER326" s="25"/>
      <c r="ES326" s="25"/>
      <c r="ET326" s="25"/>
      <c r="EU326" s="25"/>
      <c r="EV326" s="25" t="str">
        <f>_xlfn.CONCAT($A327," ",$B327," ",$D327)</f>
        <v>2025 General Motors HUMMER EV PICKUP</v>
      </c>
      <c r="EW326" s="25"/>
      <c r="EX326" s="25"/>
      <c r="EY326" s="25"/>
      <c r="EZ326" s="25"/>
      <c r="FA326" s="25"/>
      <c r="FB326" s="25"/>
      <c r="FC326" s="25"/>
      <c r="FD326" s="25"/>
      <c r="FE326" s="25"/>
      <c r="FF326" s="25"/>
      <c r="FG326" s="25"/>
    </row>
    <row r="327" spans="1:165" x14ac:dyDescent="0.35">
      <c r="A327">
        <v>2025</v>
      </c>
      <c r="B327" t="s">
        <v>220</v>
      </c>
      <c r="C327" t="s">
        <v>994</v>
      </c>
      <c r="D327" t="s">
        <v>1953</v>
      </c>
      <c r="E327" t="s">
        <v>223</v>
      </c>
      <c r="F327">
        <v>490</v>
      </c>
      <c r="G327">
        <v>0</v>
      </c>
      <c r="I327" t="s">
        <v>1734</v>
      </c>
      <c r="J327">
        <v>58</v>
      </c>
      <c r="K327">
        <v>46</v>
      </c>
      <c r="L327">
        <v>52</v>
      </c>
      <c r="M327">
        <v>82.2</v>
      </c>
      <c r="N327">
        <v>65.8</v>
      </c>
      <c r="O327">
        <v>73.910399999999996</v>
      </c>
      <c r="P327">
        <v>57.54</v>
      </c>
      <c r="Q327">
        <v>46.06</v>
      </c>
      <c r="R327">
        <v>51.737299999999998</v>
      </c>
      <c r="V327" t="s">
        <v>167</v>
      </c>
      <c r="W327" t="s">
        <v>168</v>
      </c>
      <c r="X327" t="s">
        <v>1850</v>
      </c>
      <c r="Y327">
        <v>1</v>
      </c>
      <c r="Z327" t="s">
        <v>170</v>
      </c>
      <c r="AA327" t="s">
        <v>170</v>
      </c>
      <c r="AB327" t="s">
        <v>167</v>
      </c>
      <c r="AC327" t="s">
        <v>213</v>
      </c>
      <c r="AF327">
        <v>312</v>
      </c>
      <c r="AG327" t="s">
        <v>1735</v>
      </c>
      <c r="AH327" t="s">
        <v>1736</v>
      </c>
      <c r="AI327" t="s">
        <v>175</v>
      </c>
      <c r="AJ327" t="s">
        <v>176</v>
      </c>
      <c r="AK327">
        <v>4</v>
      </c>
      <c r="AL327" t="s">
        <v>1737</v>
      </c>
      <c r="AS327">
        <v>1550</v>
      </c>
      <c r="AT327">
        <v>1550</v>
      </c>
      <c r="BQ327">
        <v>13</v>
      </c>
      <c r="BR327" t="s">
        <v>1016</v>
      </c>
      <c r="BT327" t="s">
        <v>1738</v>
      </c>
      <c r="BU327" s="1">
        <v>45488</v>
      </c>
      <c r="BV327">
        <v>35167</v>
      </c>
      <c r="BY327" t="s">
        <v>170</v>
      </c>
      <c r="CB327" t="s">
        <v>170</v>
      </c>
      <c r="CC327" t="s">
        <v>170</v>
      </c>
      <c r="CK327" t="s">
        <v>233</v>
      </c>
      <c r="CM327">
        <v>1</v>
      </c>
      <c r="CN327" t="s">
        <v>234</v>
      </c>
      <c r="CP327">
        <v>336</v>
      </c>
      <c r="CQ327">
        <v>580</v>
      </c>
      <c r="CR327">
        <v>161</v>
      </c>
      <c r="CS327" t="s">
        <v>1752</v>
      </c>
      <c r="CV327" t="s">
        <v>341</v>
      </c>
      <c r="CX327" t="s">
        <v>342</v>
      </c>
      <c r="CY327" t="s">
        <v>170</v>
      </c>
      <c r="DD327">
        <v>3</v>
      </c>
      <c r="DE327" t="s">
        <v>404</v>
      </c>
      <c r="DF327" t="s">
        <v>1957</v>
      </c>
      <c r="DG327" t="s">
        <v>1958</v>
      </c>
      <c r="DL327" t="s">
        <v>170</v>
      </c>
      <c r="DM327" t="s">
        <v>169</v>
      </c>
      <c r="DP327" t="s">
        <v>170</v>
      </c>
      <c r="DQ327" t="s">
        <v>187</v>
      </c>
      <c r="DR327" t="s">
        <v>1955</v>
      </c>
      <c r="EB327">
        <v>8</v>
      </c>
      <c r="EC327">
        <v>10</v>
      </c>
      <c r="EE327" t="s">
        <v>1959</v>
      </c>
      <c r="EF327">
        <v>10</v>
      </c>
      <c r="EU327">
        <v>1750</v>
      </c>
      <c r="EW327">
        <v>0</v>
      </c>
      <c r="EX327">
        <v>0</v>
      </c>
      <c r="EY327">
        <v>0</v>
      </c>
      <c r="FA327">
        <v>11.2</v>
      </c>
      <c r="FG327">
        <v>343</v>
      </c>
      <c r="FH327">
        <v>274</v>
      </c>
      <c r="FI327">
        <v>312</v>
      </c>
    </row>
    <row r="328" spans="1:165" x14ac:dyDescent="0.35">
      <c r="A328">
        <v>2025</v>
      </c>
      <c r="B328" t="s">
        <v>220</v>
      </c>
      <c r="C328" t="s">
        <v>994</v>
      </c>
      <c r="D328" t="s">
        <v>1953</v>
      </c>
      <c r="E328" t="s">
        <v>223</v>
      </c>
      <c r="F328">
        <v>490</v>
      </c>
      <c r="G328">
        <v>0</v>
      </c>
      <c r="I328" t="s">
        <v>1734</v>
      </c>
      <c r="J328">
        <v>59</v>
      </c>
      <c r="K328">
        <v>73</v>
      </c>
      <c r="L328">
        <v>65</v>
      </c>
      <c r="M328">
        <v>40.996499999999997</v>
      </c>
      <c r="N328">
        <v>51.233899999999998</v>
      </c>
      <c r="O328">
        <v>45.603299999999997</v>
      </c>
      <c r="P328">
        <v>58.576599999999999</v>
      </c>
      <c r="Q328">
        <v>73.176299999999998</v>
      </c>
      <c r="R328">
        <v>65.1464</v>
      </c>
      <c r="V328" t="s">
        <v>167</v>
      </c>
      <c r="W328" t="s">
        <v>168</v>
      </c>
      <c r="X328" t="s">
        <v>1850</v>
      </c>
      <c r="Y328">
        <v>1</v>
      </c>
      <c r="Z328" t="s">
        <v>170</v>
      </c>
      <c r="AA328" t="s">
        <v>170</v>
      </c>
      <c r="AB328" t="s">
        <v>167</v>
      </c>
      <c r="AC328" t="s">
        <v>213</v>
      </c>
      <c r="AF328">
        <v>312</v>
      </c>
      <c r="AG328" t="s">
        <v>1735</v>
      </c>
      <c r="AH328" t="s">
        <v>1736</v>
      </c>
      <c r="AI328" t="s">
        <v>1742</v>
      </c>
      <c r="AJ328" t="s">
        <v>1743</v>
      </c>
      <c r="AK328">
        <v>4</v>
      </c>
      <c r="AL328" t="s">
        <v>1737</v>
      </c>
      <c r="AS328">
        <v>1550</v>
      </c>
      <c r="AT328">
        <v>1550</v>
      </c>
      <c r="BQ328">
        <v>13</v>
      </c>
      <c r="BR328" t="s">
        <v>1016</v>
      </c>
      <c r="BT328" t="s">
        <v>1738</v>
      </c>
      <c r="BU328" s="1">
        <v>45488</v>
      </c>
      <c r="BV328">
        <v>35167</v>
      </c>
      <c r="BY328" t="s">
        <v>170</v>
      </c>
      <c r="CB328" t="s">
        <v>170</v>
      </c>
      <c r="CC328" t="s">
        <v>170</v>
      </c>
      <c r="CK328" t="s">
        <v>233</v>
      </c>
      <c r="CM328">
        <v>1</v>
      </c>
      <c r="CN328" t="s">
        <v>234</v>
      </c>
      <c r="CP328">
        <v>336</v>
      </c>
      <c r="CQ328">
        <v>580</v>
      </c>
      <c r="CR328">
        <v>161</v>
      </c>
      <c r="CS328" t="s">
        <v>1752</v>
      </c>
      <c r="CV328" t="s">
        <v>341</v>
      </c>
      <c r="CX328" t="s">
        <v>342</v>
      </c>
      <c r="CY328" t="s">
        <v>170</v>
      </c>
      <c r="DD328">
        <v>3</v>
      </c>
      <c r="DE328" t="s">
        <v>404</v>
      </c>
      <c r="DF328" t="s">
        <v>1957</v>
      </c>
      <c r="DG328" t="s">
        <v>1958</v>
      </c>
      <c r="DL328" t="s">
        <v>170</v>
      </c>
      <c r="DM328" t="s">
        <v>169</v>
      </c>
      <c r="DP328" t="s">
        <v>170</v>
      </c>
      <c r="DQ328" t="s">
        <v>187</v>
      </c>
      <c r="DR328" t="s">
        <v>1955</v>
      </c>
      <c r="EB328">
        <v>8</v>
      </c>
      <c r="EC328">
        <v>10</v>
      </c>
      <c r="EE328" t="s">
        <v>1959</v>
      </c>
      <c r="EF328">
        <v>10</v>
      </c>
      <c r="EU328">
        <v>1750</v>
      </c>
      <c r="EW328">
        <v>0</v>
      </c>
      <c r="EX328">
        <v>0</v>
      </c>
      <c r="EY328">
        <v>0</v>
      </c>
      <c r="FA328">
        <v>11.2</v>
      </c>
      <c r="FG328">
        <v>343</v>
      </c>
      <c r="FH328">
        <v>274</v>
      </c>
      <c r="FI328">
        <v>312</v>
      </c>
    </row>
    <row r="329" spans="1:165" x14ac:dyDescent="0.35">
      <c r="A329" s="25"/>
      <c r="B329" s="25"/>
      <c r="C329" s="25"/>
      <c r="D329" s="25"/>
      <c r="E329" s="25"/>
      <c r="F329" s="25" t="str">
        <f>_xlfn.CONCAT($A330," ",$B330," ",$D330)</f>
        <v>2025 General Motors HUMMER EV SUV MT TIRES</v>
      </c>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c r="AD329" s="25" t="str">
        <f>_xlfn.CONCAT($A330," ",$B330," ",$D330)</f>
        <v>2025 General Motors HUMMER EV SUV MT TIRES</v>
      </c>
      <c r="AE329" s="25"/>
      <c r="AF329" s="25"/>
      <c r="AG329" s="25"/>
      <c r="AH329" s="25"/>
      <c r="AI329" s="25"/>
      <c r="AJ329" s="25"/>
      <c r="AK329" s="25"/>
      <c r="AL329" s="25"/>
      <c r="AM329" s="25"/>
      <c r="AN329" s="25"/>
      <c r="AO329" s="25"/>
      <c r="AP329" s="25"/>
      <c r="AQ329" s="25"/>
      <c r="AR329" s="25"/>
      <c r="AS329" s="25"/>
      <c r="AT329" s="25"/>
      <c r="AU329" s="25"/>
      <c r="AV329" s="25"/>
      <c r="AW329" s="25"/>
      <c r="AX329" s="25" t="str">
        <f>_xlfn.CONCAT($A330," ",$B330," ",$D330)</f>
        <v>2025 General Motors HUMMER EV SUV MT TIRES</v>
      </c>
      <c r="AY329" s="25"/>
      <c r="AZ329" s="25"/>
      <c r="BA329" s="25"/>
      <c r="BB329" s="25"/>
      <c r="BC329" s="25"/>
      <c r="BD329" s="25"/>
      <c r="BE329" s="25"/>
      <c r="BF329" s="25"/>
      <c r="BG329" s="25"/>
      <c r="BH329" s="25"/>
      <c r="BI329" s="25"/>
      <c r="BJ329" s="25"/>
      <c r="BK329" s="25"/>
      <c r="BL329" s="25"/>
      <c r="BM329" s="25"/>
      <c r="BN329" s="25"/>
      <c r="BO329" s="25"/>
      <c r="BP329" s="25"/>
      <c r="BQ329" s="25"/>
      <c r="BR329" s="25" t="str">
        <f>_xlfn.CONCAT($A330," ",$B330," ",$D330)</f>
        <v>2025 General Motors HUMMER EV SUV MT TIRES</v>
      </c>
      <c r="BS329" s="25"/>
      <c r="BT329" s="25"/>
      <c r="BU329" s="25"/>
      <c r="BV329" s="25"/>
      <c r="BX329" s="25"/>
      <c r="BY329" s="25"/>
      <c r="BZ329" s="25"/>
      <c r="CA329" s="25"/>
      <c r="CB329" s="25"/>
      <c r="CC329" s="25"/>
      <c r="CD329" s="25"/>
      <c r="CE329" s="25"/>
      <c r="CF329" s="25"/>
      <c r="CG329" s="25"/>
      <c r="CH329" s="25"/>
      <c r="CI329" s="25"/>
      <c r="CJ329" s="25"/>
      <c r="CK329" s="25"/>
      <c r="CL329" s="25"/>
      <c r="CM329" s="25"/>
      <c r="CN329" s="25"/>
      <c r="CO329" s="25"/>
      <c r="CP329" s="25" t="str">
        <f>_xlfn.CONCAT($A330," ",$B330," ",$D330)</f>
        <v>2025 General Motors HUMMER EV SUV MT TIRES</v>
      </c>
      <c r="CQ329" s="25"/>
      <c r="CR329" s="25"/>
      <c r="CS329" s="25"/>
      <c r="CT329" s="25"/>
      <c r="CU329" s="25"/>
      <c r="CV329" s="25"/>
      <c r="CW329" s="25"/>
      <c r="CX329" s="25"/>
      <c r="CY329" s="25"/>
      <c r="CZ329" s="25"/>
      <c r="DA329" s="25"/>
      <c r="DB329" s="25"/>
      <c r="DC329" s="25"/>
      <c r="DD329" s="25"/>
      <c r="DE329" s="25"/>
      <c r="DF329" s="25"/>
      <c r="DG329" s="25"/>
      <c r="DH329" s="25"/>
      <c r="DI329" s="25" t="str">
        <f>_xlfn.CONCAT($A330," ",$B330," ",$D330)</f>
        <v>2025 General Motors HUMMER EV SUV MT TIRES</v>
      </c>
      <c r="DJ329" s="25"/>
      <c r="DK329" s="25"/>
      <c r="DL329" s="25"/>
      <c r="DM329" s="25"/>
      <c r="DN329" s="25"/>
      <c r="DO329" s="25"/>
      <c r="DP329" s="25"/>
      <c r="DQ329" s="25"/>
      <c r="DR329" s="25"/>
      <c r="DS329" s="25"/>
      <c r="DT329" s="25"/>
      <c r="DU329" s="25"/>
      <c r="DV329" s="25"/>
      <c r="DW329" s="25"/>
      <c r="DX329" s="25"/>
      <c r="DY329" s="25"/>
      <c r="DZ329" s="25" t="str">
        <f>_xlfn.CONCAT($A330," ",$B330," ",$D330)</f>
        <v>2025 General Motors HUMMER EV SUV MT TIRES</v>
      </c>
      <c r="EB329" s="25"/>
      <c r="EC329" s="25"/>
      <c r="ED329" s="25"/>
      <c r="EE329" s="25"/>
      <c r="EF329" s="25"/>
      <c r="EG329" s="25"/>
      <c r="EH329" s="25"/>
      <c r="EI329" s="25"/>
      <c r="EJ329" s="25"/>
      <c r="EK329" s="25"/>
      <c r="EL329" s="25"/>
      <c r="EM329" s="25"/>
      <c r="EN329" s="25"/>
      <c r="EO329" s="25"/>
      <c r="EP329" s="25"/>
      <c r="EQ329" s="25"/>
      <c r="ER329" s="25"/>
      <c r="ES329" s="25"/>
      <c r="ET329" s="25"/>
      <c r="EU329" s="25"/>
      <c r="EV329" s="25" t="str">
        <f>_xlfn.CONCAT($A330," ",$B330," ",$D330)</f>
        <v>2025 General Motors HUMMER EV SUV MT TIRES</v>
      </c>
      <c r="EW329" s="25"/>
      <c r="EX329" s="25"/>
      <c r="EY329" s="25"/>
      <c r="EZ329" s="25"/>
      <c r="FA329" s="25"/>
      <c r="FB329" s="25"/>
      <c r="FC329" s="25"/>
      <c r="FD329" s="25"/>
      <c r="FE329" s="25"/>
      <c r="FF329" s="25"/>
      <c r="FG329" s="25"/>
    </row>
    <row r="330" spans="1:165" x14ac:dyDescent="0.35">
      <c r="A330">
        <v>2025</v>
      </c>
      <c r="B330" t="s">
        <v>220</v>
      </c>
      <c r="C330" t="s">
        <v>994</v>
      </c>
      <c r="D330" t="s">
        <v>1965</v>
      </c>
      <c r="E330" t="s">
        <v>223</v>
      </c>
      <c r="F330">
        <v>491</v>
      </c>
      <c r="G330">
        <v>0</v>
      </c>
      <c r="I330" t="s">
        <v>1734</v>
      </c>
      <c r="J330">
        <v>53</v>
      </c>
      <c r="K330">
        <v>43</v>
      </c>
      <c r="L330">
        <v>48</v>
      </c>
      <c r="M330">
        <v>75.2</v>
      </c>
      <c r="N330">
        <v>61.8</v>
      </c>
      <c r="O330">
        <v>68.514799999999994</v>
      </c>
      <c r="P330">
        <v>52.64</v>
      </c>
      <c r="Q330">
        <v>43.26</v>
      </c>
      <c r="R330">
        <v>47.9604</v>
      </c>
      <c r="V330" t="s">
        <v>167</v>
      </c>
      <c r="W330" t="s">
        <v>168</v>
      </c>
      <c r="X330" t="s">
        <v>1850</v>
      </c>
      <c r="Y330">
        <v>1</v>
      </c>
      <c r="Z330" t="s">
        <v>170</v>
      </c>
      <c r="AA330" t="s">
        <v>170</v>
      </c>
      <c r="AB330" t="s">
        <v>167</v>
      </c>
      <c r="AC330" t="s">
        <v>213</v>
      </c>
      <c r="AF330">
        <v>289</v>
      </c>
      <c r="AG330" t="s">
        <v>1735</v>
      </c>
      <c r="AH330" t="s">
        <v>1736</v>
      </c>
      <c r="AI330" t="s">
        <v>175</v>
      </c>
      <c r="AJ330" t="s">
        <v>176</v>
      </c>
      <c r="AK330">
        <v>4</v>
      </c>
      <c r="AL330" t="s">
        <v>1737</v>
      </c>
      <c r="AS330">
        <v>1700</v>
      </c>
      <c r="AT330">
        <v>1700</v>
      </c>
      <c r="BQ330">
        <v>33</v>
      </c>
      <c r="BR330" t="s">
        <v>1497</v>
      </c>
      <c r="BT330" t="s">
        <v>1738</v>
      </c>
      <c r="BU330" s="1">
        <v>45488</v>
      </c>
      <c r="BV330">
        <v>35170</v>
      </c>
      <c r="BX330" t="s">
        <v>169</v>
      </c>
      <c r="BY330" t="s">
        <v>170</v>
      </c>
      <c r="CB330" t="s">
        <v>170</v>
      </c>
      <c r="CC330" t="s">
        <v>170</v>
      </c>
      <c r="CK330" t="s">
        <v>233</v>
      </c>
      <c r="CM330">
        <v>1</v>
      </c>
      <c r="CN330" t="s">
        <v>234</v>
      </c>
      <c r="CP330">
        <v>336</v>
      </c>
      <c r="CQ330">
        <v>580</v>
      </c>
      <c r="CR330">
        <v>161</v>
      </c>
      <c r="CS330" t="s">
        <v>1752</v>
      </c>
      <c r="CV330" t="s">
        <v>341</v>
      </c>
      <c r="CX330" t="s">
        <v>342</v>
      </c>
      <c r="CY330" t="s">
        <v>170</v>
      </c>
      <c r="DD330">
        <v>3</v>
      </c>
      <c r="DE330" t="s">
        <v>404</v>
      </c>
      <c r="DF330" t="s">
        <v>1957</v>
      </c>
      <c r="DG330" t="s">
        <v>1964</v>
      </c>
      <c r="DL330" t="s">
        <v>170</v>
      </c>
      <c r="DM330" t="s">
        <v>169</v>
      </c>
      <c r="DP330" t="s">
        <v>170</v>
      </c>
      <c r="DQ330" t="s">
        <v>187</v>
      </c>
      <c r="DR330" t="s">
        <v>1966</v>
      </c>
      <c r="EB330">
        <v>8</v>
      </c>
      <c r="EC330">
        <v>10</v>
      </c>
      <c r="EE330" t="s">
        <v>1959</v>
      </c>
      <c r="EF330">
        <v>10</v>
      </c>
      <c r="EU330">
        <v>1000</v>
      </c>
      <c r="EW330">
        <v>0</v>
      </c>
      <c r="EX330">
        <v>0</v>
      </c>
      <c r="EY330">
        <v>0</v>
      </c>
      <c r="FA330">
        <v>11.2</v>
      </c>
      <c r="FG330">
        <v>314</v>
      </c>
      <c r="FH330">
        <v>258</v>
      </c>
      <c r="FI330">
        <v>289</v>
      </c>
    </row>
    <row r="331" spans="1:165" x14ac:dyDescent="0.35">
      <c r="A331">
        <v>2025</v>
      </c>
      <c r="B331" t="s">
        <v>220</v>
      </c>
      <c r="C331" t="s">
        <v>994</v>
      </c>
      <c r="D331" t="s">
        <v>1965</v>
      </c>
      <c r="E331" t="s">
        <v>223</v>
      </c>
      <c r="F331">
        <v>491</v>
      </c>
      <c r="G331">
        <v>0</v>
      </c>
      <c r="I331" t="s">
        <v>1734</v>
      </c>
      <c r="J331">
        <v>64</v>
      </c>
      <c r="K331">
        <v>78</v>
      </c>
      <c r="L331">
        <v>70</v>
      </c>
      <c r="M331">
        <v>44.805500000000002</v>
      </c>
      <c r="N331">
        <v>54.551600000000001</v>
      </c>
      <c r="O331">
        <v>49.191200000000002</v>
      </c>
      <c r="P331">
        <v>64.029300000000006</v>
      </c>
      <c r="Q331">
        <v>77.912599999999998</v>
      </c>
      <c r="R331">
        <v>70.276799999999994</v>
      </c>
      <c r="V331" t="s">
        <v>167</v>
      </c>
      <c r="W331" t="s">
        <v>168</v>
      </c>
      <c r="X331" t="s">
        <v>1850</v>
      </c>
      <c r="Y331">
        <v>1</v>
      </c>
      <c r="Z331" t="s">
        <v>170</v>
      </c>
      <c r="AA331" t="s">
        <v>170</v>
      </c>
      <c r="AB331" t="s">
        <v>167</v>
      </c>
      <c r="AC331" t="s">
        <v>213</v>
      </c>
      <c r="AF331">
        <v>289</v>
      </c>
      <c r="AG331" t="s">
        <v>1735</v>
      </c>
      <c r="AH331" t="s">
        <v>1736</v>
      </c>
      <c r="AI331" t="s">
        <v>1742</v>
      </c>
      <c r="AJ331" t="s">
        <v>1743</v>
      </c>
      <c r="AK331">
        <v>4</v>
      </c>
      <c r="AL331" t="s">
        <v>1737</v>
      </c>
      <c r="AS331">
        <v>1700</v>
      </c>
      <c r="AT331">
        <v>1700</v>
      </c>
      <c r="BQ331">
        <v>33</v>
      </c>
      <c r="BR331" t="s">
        <v>1497</v>
      </c>
      <c r="BT331" t="s">
        <v>1738</v>
      </c>
      <c r="BU331" s="1">
        <v>45488</v>
      </c>
      <c r="BV331">
        <v>35170</v>
      </c>
      <c r="BX331" t="s">
        <v>169</v>
      </c>
      <c r="BY331" t="s">
        <v>170</v>
      </c>
      <c r="CB331" t="s">
        <v>170</v>
      </c>
      <c r="CC331" t="s">
        <v>170</v>
      </c>
      <c r="CK331" t="s">
        <v>233</v>
      </c>
      <c r="CM331">
        <v>1</v>
      </c>
      <c r="CN331" t="s">
        <v>234</v>
      </c>
      <c r="CP331">
        <v>336</v>
      </c>
      <c r="CQ331">
        <v>580</v>
      </c>
      <c r="CR331">
        <v>161</v>
      </c>
      <c r="CS331" t="s">
        <v>1752</v>
      </c>
      <c r="CV331" t="s">
        <v>341</v>
      </c>
      <c r="CX331" t="s">
        <v>342</v>
      </c>
      <c r="CY331" t="s">
        <v>170</v>
      </c>
      <c r="DD331">
        <v>3</v>
      </c>
      <c r="DE331" t="s">
        <v>404</v>
      </c>
      <c r="DF331" t="s">
        <v>1957</v>
      </c>
      <c r="DG331" t="s">
        <v>1964</v>
      </c>
      <c r="DL331" t="s">
        <v>170</v>
      </c>
      <c r="DM331" t="s">
        <v>169</v>
      </c>
      <c r="DP331" t="s">
        <v>170</v>
      </c>
      <c r="DQ331" t="s">
        <v>187</v>
      </c>
      <c r="DR331" t="s">
        <v>1966</v>
      </c>
      <c r="EB331">
        <v>8</v>
      </c>
      <c r="EC331">
        <v>10</v>
      </c>
      <c r="EE331" t="s">
        <v>1959</v>
      </c>
      <c r="EF331">
        <v>10</v>
      </c>
      <c r="EU331">
        <v>1000</v>
      </c>
      <c r="EW331">
        <v>0</v>
      </c>
      <c r="EX331">
        <v>0</v>
      </c>
      <c r="EY331">
        <v>0</v>
      </c>
      <c r="FA331">
        <v>11.2</v>
      </c>
      <c r="FG331">
        <v>314</v>
      </c>
      <c r="FH331">
        <v>258</v>
      </c>
      <c r="FI331">
        <v>289</v>
      </c>
    </row>
    <row r="332" spans="1:165" x14ac:dyDescent="0.35">
      <c r="A332" s="25"/>
      <c r="B332" s="25"/>
      <c r="C332" s="25"/>
      <c r="D332" s="25"/>
      <c r="E332" s="25"/>
      <c r="F332" s="25" t="str">
        <f>_xlfn.CONCAT($A333," ",$B333," ",$D333)</f>
        <v>2025 General Motors HUMMER EV PICKUP MT TIRES</v>
      </c>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c r="AD332" s="25" t="str">
        <f>_xlfn.CONCAT($A333," ",$B333," ",$D333)</f>
        <v>2025 General Motors HUMMER EV PICKUP MT TIRES</v>
      </c>
      <c r="AE332" s="25"/>
      <c r="AF332" s="25"/>
      <c r="AG332" s="25"/>
      <c r="AH332" s="25"/>
      <c r="AI332" s="25"/>
      <c r="AJ332" s="25"/>
      <c r="AK332" s="25"/>
      <c r="AL332" s="25"/>
      <c r="AM332" s="25"/>
      <c r="AN332" s="25"/>
      <c r="AO332" s="25"/>
      <c r="AP332" s="25"/>
      <c r="AQ332" s="25"/>
      <c r="AR332" s="25"/>
      <c r="AS332" s="25"/>
      <c r="AT332" s="25"/>
      <c r="AU332" s="25"/>
      <c r="AV332" s="25"/>
      <c r="AW332" s="25"/>
      <c r="AX332" s="25" t="str">
        <f>_xlfn.CONCAT($A333," ",$B333," ",$D333)</f>
        <v>2025 General Motors HUMMER EV PICKUP MT TIRES</v>
      </c>
      <c r="AY332" s="25"/>
      <c r="AZ332" s="25"/>
      <c r="BA332" s="25"/>
      <c r="BB332" s="25"/>
      <c r="BC332" s="25"/>
      <c r="BD332" s="25"/>
      <c r="BE332" s="25"/>
      <c r="BF332" s="25"/>
      <c r="BG332" s="25"/>
      <c r="BH332" s="25"/>
      <c r="BI332" s="25"/>
      <c r="BJ332" s="25"/>
      <c r="BK332" s="25"/>
      <c r="BL332" s="25"/>
      <c r="BM332" s="25"/>
      <c r="BN332" s="25"/>
      <c r="BO332" s="25"/>
      <c r="BP332" s="25"/>
      <c r="BQ332" s="25"/>
      <c r="BR332" s="25" t="str">
        <f>_xlfn.CONCAT($A333," ",$B333," ",$D333)</f>
        <v>2025 General Motors HUMMER EV PICKUP MT TIRES</v>
      </c>
      <c r="BS332" s="25"/>
      <c r="BT332" s="25"/>
      <c r="BU332" s="25"/>
      <c r="BV332" s="25"/>
      <c r="BX332" s="25"/>
      <c r="BY332" s="25"/>
      <c r="BZ332" s="25"/>
      <c r="CA332" s="25"/>
      <c r="CB332" s="25"/>
      <c r="CC332" s="25"/>
      <c r="CD332" s="25"/>
      <c r="CE332" s="25"/>
      <c r="CF332" s="25"/>
      <c r="CG332" s="25"/>
      <c r="CH332" s="25"/>
      <c r="CI332" s="25"/>
      <c r="CJ332" s="25"/>
      <c r="CK332" s="25"/>
      <c r="CL332" s="25"/>
      <c r="CM332" s="25"/>
      <c r="CN332" s="25"/>
      <c r="CO332" s="25"/>
      <c r="CP332" s="25" t="str">
        <f>_xlfn.CONCAT($A333," ",$B333," ",$D333)</f>
        <v>2025 General Motors HUMMER EV PICKUP MT TIRES</v>
      </c>
      <c r="CQ332" s="25"/>
      <c r="CR332" s="25"/>
      <c r="CS332" s="25"/>
      <c r="CT332" s="25"/>
      <c r="CU332" s="25"/>
      <c r="CV332" s="25"/>
      <c r="CW332" s="25"/>
      <c r="CX332" s="25"/>
      <c r="CY332" s="25"/>
      <c r="CZ332" s="25"/>
      <c r="DA332" s="25"/>
      <c r="DB332" s="25"/>
      <c r="DC332" s="25"/>
      <c r="DD332" s="25"/>
      <c r="DE332" s="25"/>
      <c r="DF332" s="25"/>
      <c r="DG332" s="25"/>
      <c r="DH332" s="25"/>
      <c r="DI332" s="25" t="str">
        <f>_xlfn.CONCAT($A333," ",$B333," ",$D333)</f>
        <v>2025 General Motors HUMMER EV PICKUP MT TIRES</v>
      </c>
      <c r="DJ332" s="25"/>
      <c r="DK332" s="25"/>
      <c r="DL332" s="25"/>
      <c r="DM332" s="25"/>
      <c r="DN332" s="25"/>
      <c r="DO332" s="25"/>
      <c r="DP332" s="25"/>
      <c r="DQ332" s="25"/>
      <c r="DR332" s="25"/>
      <c r="DS332" s="25"/>
      <c r="DT332" s="25"/>
      <c r="DU332" s="25"/>
      <c r="DV332" s="25"/>
      <c r="DW332" s="25"/>
      <c r="DX332" s="25"/>
      <c r="DY332" s="25"/>
      <c r="DZ332" s="25" t="str">
        <f>_xlfn.CONCAT($A333," ",$B333," ",$D333)</f>
        <v>2025 General Motors HUMMER EV PICKUP MT TIRES</v>
      </c>
      <c r="EB332" s="25"/>
      <c r="EC332" s="25"/>
      <c r="ED332" s="25"/>
      <c r="EE332" s="25"/>
      <c r="EF332" s="25"/>
      <c r="EG332" s="25"/>
      <c r="EH332" s="25"/>
      <c r="EI332" s="25"/>
      <c r="EJ332" s="25"/>
      <c r="EK332" s="25"/>
      <c r="EL332" s="25"/>
      <c r="EM332" s="25"/>
      <c r="EN332" s="25"/>
      <c r="EO332" s="25"/>
      <c r="EP332" s="25"/>
      <c r="EQ332" s="25"/>
      <c r="ER332" s="25"/>
      <c r="ES332" s="25"/>
      <c r="ET332" s="25"/>
      <c r="EU332" s="25"/>
      <c r="EV332" s="25" t="str">
        <f>_xlfn.CONCAT($A333," ",$B333," ",$D333)</f>
        <v>2025 General Motors HUMMER EV PICKUP MT TIRES</v>
      </c>
      <c r="EW332" s="25"/>
      <c r="EX332" s="25"/>
      <c r="EY332" s="25"/>
      <c r="EZ332" s="25"/>
      <c r="FA332" s="25"/>
      <c r="FB332" s="25"/>
      <c r="FC332" s="25"/>
      <c r="FD332" s="25"/>
      <c r="FE332" s="25"/>
      <c r="FF332" s="25"/>
      <c r="FG332" s="25"/>
    </row>
    <row r="333" spans="1:165" x14ac:dyDescent="0.35">
      <c r="A333">
        <v>2025</v>
      </c>
      <c r="B333" t="s">
        <v>220</v>
      </c>
      <c r="C333" t="s">
        <v>994</v>
      </c>
      <c r="D333" t="s">
        <v>1960</v>
      </c>
      <c r="E333" t="s">
        <v>223</v>
      </c>
      <c r="F333">
        <v>492</v>
      </c>
      <c r="G333">
        <v>0</v>
      </c>
      <c r="I333" t="s">
        <v>1734</v>
      </c>
      <c r="J333">
        <v>53</v>
      </c>
      <c r="K333">
        <v>43</v>
      </c>
      <c r="L333">
        <v>48</v>
      </c>
      <c r="M333">
        <v>75.2</v>
      </c>
      <c r="N333">
        <v>61.8</v>
      </c>
      <c r="O333">
        <v>68.514799999999994</v>
      </c>
      <c r="P333">
        <v>52.64</v>
      </c>
      <c r="Q333">
        <v>43.26</v>
      </c>
      <c r="R333">
        <v>47.9604</v>
      </c>
      <c r="V333" t="s">
        <v>167</v>
      </c>
      <c r="W333" t="s">
        <v>168</v>
      </c>
      <c r="X333" t="s">
        <v>1850</v>
      </c>
      <c r="Y333">
        <v>1</v>
      </c>
      <c r="Z333" t="s">
        <v>170</v>
      </c>
      <c r="AA333" t="s">
        <v>170</v>
      </c>
      <c r="AB333" t="s">
        <v>167</v>
      </c>
      <c r="AC333" t="s">
        <v>213</v>
      </c>
      <c r="AF333">
        <v>289</v>
      </c>
      <c r="AG333" t="s">
        <v>1735</v>
      </c>
      <c r="AH333" t="s">
        <v>1736</v>
      </c>
      <c r="AI333" t="s">
        <v>175</v>
      </c>
      <c r="AJ333" t="s">
        <v>176</v>
      </c>
      <c r="AK333">
        <v>4</v>
      </c>
      <c r="AL333" t="s">
        <v>1737</v>
      </c>
      <c r="AS333">
        <v>1700</v>
      </c>
      <c r="AT333">
        <v>1700</v>
      </c>
      <c r="BQ333">
        <v>13</v>
      </c>
      <c r="BR333" t="s">
        <v>1016</v>
      </c>
      <c r="BT333" t="s">
        <v>1738</v>
      </c>
      <c r="BU333" s="1">
        <v>45488</v>
      </c>
      <c r="BV333">
        <v>35168</v>
      </c>
      <c r="BX333" t="s">
        <v>169</v>
      </c>
      <c r="BY333" t="s">
        <v>170</v>
      </c>
      <c r="CB333" t="s">
        <v>170</v>
      </c>
      <c r="CC333" t="s">
        <v>170</v>
      </c>
      <c r="CK333" t="s">
        <v>233</v>
      </c>
      <c r="CM333">
        <v>1</v>
      </c>
      <c r="CN333" t="s">
        <v>234</v>
      </c>
      <c r="CP333">
        <v>336</v>
      </c>
      <c r="CQ333">
        <v>580</v>
      </c>
      <c r="CR333">
        <v>161</v>
      </c>
      <c r="CS333" t="s">
        <v>1752</v>
      </c>
      <c r="CV333" t="s">
        <v>341</v>
      </c>
      <c r="CX333" t="s">
        <v>342</v>
      </c>
      <c r="CY333" t="s">
        <v>170</v>
      </c>
      <c r="DD333">
        <v>3</v>
      </c>
      <c r="DE333" t="s">
        <v>404</v>
      </c>
      <c r="DF333" t="s">
        <v>1957</v>
      </c>
      <c r="DG333" t="s">
        <v>1954</v>
      </c>
      <c r="DL333" t="s">
        <v>170</v>
      </c>
      <c r="DM333" t="s">
        <v>169</v>
      </c>
      <c r="DP333" t="s">
        <v>170</v>
      </c>
      <c r="DQ333" t="s">
        <v>187</v>
      </c>
      <c r="DR333" t="s">
        <v>1961</v>
      </c>
      <c r="EB333">
        <v>8</v>
      </c>
      <c r="EC333">
        <v>10</v>
      </c>
      <c r="EE333" t="s">
        <v>1959</v>
      </c>
      <c r="EF333">
        <v>10</v>
      </c>
      <c r="EU333">
        <v>1000</v>
      </c>
      <c r="EW333">
        <v>0</v>
      </c>
      <c r="EX333">
        <v>0</v>
      </c>
      <c r="EY333">
        <v>0</v>
      </c>
      <c r="FA333">
        <v>11.2</v>
      </c>
      <c r="FG333">
        <v>314</v>
      </c>
      <c r="FH333">
        <v>258</v>
      </c>
      <c r="FI333">
        <v>289</v>
      </c>
    </row>
    <row r="334" spans="1:165" x14ac:dyDescent="0.35">
      <c r="A334">
        <v>2025</v>
      </c>
      <c r="B334" t="s">
        <v>220</v>
      </c>
      <c r="C334" t="s">
        <v>994</v>
      </c>
      <c r="D334" t="s">
        <v>1960</v>
      </c>
      <c r="E334" t="s">
        <v>223</v>
      </c>
      <c r="F334">
        <v>492</v>
      </c>
      <c r="G334">
        <v>0</v>
      </c>
      <c r="I334" t="s">
        <v>1734</v>
      </c>
      <c r="J334">
        <v>64</v>
      </c>
      <c r="K334">
        <v>78</v>
      </c>
      <c r="L334">
        <v>70</v>
      </c>
      <c r="M334">
        <v>44.805500000000002</v>
      </c>
      <c r="N334">
        <v>54.551600000000001</v>
      </c>
      <c r="O334">
        <v>49.191200000000002</v>
      </c>
      <c r="P334">
        <v>64.029300000000006</v>
      </c>
      <c r="Q334">
        <v>77.912599999999998</v>
      </c>
      <c r="R334">
        <v>70.276799999999994</v>
      </c>
      <c r="V334" t="s">
        <v>167</v>
      </c>
      <c r="W334" t="s">
        <v>168</v>
      </c>
      <c r="X334" t="s">
        <v>1850</v>
      </c>
      <c r="Y334">
        <v>1</v>
      </c>
      <c r="Z334" t="s">
        <v>170</v>
      </c>
      <c r="AA334" t="s">
        <v>170</v>
      </c>
      <c r="AB334" t="s">
        <v>167</v>
      </c>
      <c r="AC334" t="s">
        <v>213</v>
      </c>
      <c r="AF334">
        <v>289</v>
      </c>
      <c r="AG334" t="s">
        <v>1735</v>
      </c>
      <c r="AH334" t="s">
        <v>1736</v>
      </c>
      <c r="AI334" t="s">
        <v>1742</v>
      </c>
      <c r="AJ334" t="s">
        <v>1743</v>
      </c>
      <c r="AK334">
        <v>4</v>
      </c>
      <c r="AL334" t="s">
        <v>1737</v>
      </c>
      <c r="AS334">
        <v>1700</v>
      </c>
      <c r="AT334">
        <v>1700</v>
      </c>
      <c r="BQ334">
        <v>13</v>
      </c>
      <c r="BR334" t="s">
        <v>1016</v>
      </c>
      <c r="BT334" t="s">
        <v>1738</v>
      </c>
      <c r="BU334" s="1">
        <v>45488</v>
      </c>
      <c r="BV334">
        <v>35168</v>
      </c>
      <c r="BX334" t="s">
        <v>169</v>
      </c>
      <c r="BY334" t="s">
        <v>170</v>
      </c>
      <c r="CB334" t="s">
        <v>170</v>
      </c>
      <c r="CC334" t="s">
        <v>170</v>
      </c>
      <c r="CK334" t="s">
        <v>233</v>
      </c>
      <c r="CM334">
        <v>1</v>
      </c>
      <c r="CN334" t="s">
        <v>234</v>
      </c>
      <c r="CP334">
        <v>336</v>
      </c>
      <c r="CQ334">
        <v>580</v>
      </c>
      <c r="CR334">
        <v>161</v>
      </c>
      <c r="CS334" t="s">
        <v>1752</v>
      </c>
      <c r="CV334" t="s">
        <v>341</v>
      </c>
      <c r="CX334" t="s">
        <v>342</v>
      </c>
      <c r="CY334" t="s">
        <v>170</v>
      </c>
      <c r="DD334">
        <v>3</v>
      </c>
      <c r="DE334" t="s">
        <v>404</v>
      </c>
      <c r="DF334" t="s">
        <v>1957</v>
      </c>
      <c r="DG334" t="s">
        <v>1954</v>
      </c>
      <c r="DL334" t="s">
        <v>170</v>
      </c>
      <c r="DM334" t="s">
        <v>169</v>
      </c>
      <c r="DP334" t="s">
        <v>170</v>
      </c>
      <c r="DQ334" t="s">
        <v>187</v>
      </c>
      <c r="DR334" t="s">
        <v>1961</v>
      </c>
      <c r="EB334">
        <v>8</v>
      </c>
      <c r="EC334">
        <v>10</v>
      </c>
      <c r="EE334" t="s">
        <v>1959</v>
      </c>
      <c r="EF334">
        <v>10</v>
      </c>
      <c r="EU334">
        <v>1000</v>
      </c>
      <c r="EW334">
        <v>0</v>
      </c>
      <c r="EX334">
        <v>0</v>
      </c>
      <c r="EY334">
        <v>0</v>
      </c>
      <c r="FA334">
        <v>11.2</v>
      </c>
      <c r="FG334">
        <v>314</v>
      </c>
      <c r="FH334">
        <v>258</v>
      </c>
      <c r="FI334">
        <v>289</v>
      </c>
    </row>
    <row r="335" spans="1:165" x14ac:dyDescent="0.35">
      <c r="A335" s="25"/>
      <c r="B335" s="25"/>
      <c r="C335" s="25"/>
      <c r="D335" s="25"/>
      <c r="E335" s="25"/>
      <c r="F335" s="25" t="str">
        <f>_xlfn.CONCAT($A336," ",$B336," ",$D336)</f>
        <v>2025 Vinfast Trading and VF 7 Plus</v>
      </c>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c r="AD335" s="25" t="str">
        <f>_xlfn.CONCAT($A336," ",$B336," ",$D336)</f>
        <v>2025 Vinfast Trading and VF 7 Plus</v>
      </c>
      <c r="AE335" s="25"/>
      <c r="AF335" s="25"/>
      <c r="AG335" s="25"/>
      <c r="AH335" s="25"/>
      <c r="AI335" s="25"/>
      <c r="AJ335" s="25"/>
      <c r="AK335" s="25"/>
      <c r="AL335" s="25"/>
      <c r="AM335" s="25"/>
      <c r="AN335" s="25"/>
      <c r="AO335" s="25"/>
      <c r="AP335" s="25"/>
      <c r="AQ335" s="25"/>
      <c r="AR335" s="25"/>
      <c r="AS335" s="25"/>
      <c r="AT335" s="25"/>
      <c r="AU335" s="25"/>
      <c r="AV335" s="25"/>
      <c r="AW335" s="25"/>
      <c r="AX335" s="25" t="str">
        <f>_xlfn.CONCAT($A336," ",$B336," ",$D336)</f>
        <v>2025 Vinfast Trading and VF 7 Plus</v>
      </c>
      <c r="AY335" s="25"/>
      <c r="AZ335" s="25"/>
      <c r="BA335" s="25"/>
      <c r="BB335" s="25"/>
      <c r="BC335" s="25"/>
      <c r="BD335" s="25"/>
      <c r="BE335" s="25"/>
      <c r="BF335" s="25"/>
      <c r="BG335" s="25"/>
      <c r="BH335" s="25"/>
      <c r="BI335" s="25"/>
      <c r="BJ335" s="25"/>
      <c r="BK335" s="25"/>
      <c r="BL335" s="25"/>
      <c r="BM335" s="25"/>
      <c r="BN335" s="25"/>
      <c r="BO335" s="25"/>
      <c r="BP335" s="25"/>
      <c r="BQ335" s="25"/>
      <c r="BR335" s="25" t="str">
        <f>_xlfn.CONCAT($A336," ",$B336," ",$D336)</f>
        <v>2025 Vinfast Trading and VF 7 Plus</v>
      </c>
      <c r="BS335" s="25"/>
      <c r="BT335" s="25"/>
      <c r="BU335" s="25"/>
      <c r="BV335" s="25"/>
      <c r="BX335" s="25"/>
      <c r="BY335" s="25"/>
      <c r="BZ335" s="25"/>
      <c r="CA335" s="25"/>
      <c r="CB335" s="25"/>
      <c r="CC335" s="25"/>
      <c r="CD335" s="25"/>
      <c r="CE335" s="25"/>
      <c r="CF335" s="25"/>
      <c r="CG335" s="25"/>
      <c r="CH335" s="25"/>
      <c r="CI335" s="25"/>
      <c r="CJ335" s="25"/>
      <c r="CK335" s="25"/>
      <c r="CL335" s="25"/>
      <c r="CM335" s="25"/>
      <c r="CN335" s="25"/>
      <c r="CO335" s="25"/>
      <c r="CP335" s="25" t="str">
        <f>_xlfn.CONCAT($A336," ",$B336," ",$D336)</f>
        <v>2025 Vinfast Trading and VF 7 Plus</v>
      </c>
      <c r="CQ335" s="25"/>
      <c r="CR335" s="25"/>
      <c r="CS335" s="25"/>
      <c r="CT335" s="25"/>
      <c r="CU335" s="25"/>
      <c r="CV335" s="25"/>
      <c r="CW335" s="25"/>
      <c r="CX335" s="25"/>
      <c r="CY335" s="25"/>
      <c r="CZ335" s="25"/>
      <c r="DA335" s="25"/>
      <c r="DB335" s="25"/>
      <c r="DC335" s="25"/>
      <c r="DD335" s="25"/>
      <c r="DE335" s="25"/>
      <c r="DF335" s="25"/>
      <c r="DG335" s="25"/>
      <c r="DH335" s="25"/>
      <c r="DI335" s="25" t="str">
        <f>_xlfn.CONCAT($A336," ",$B336," ",$D336)</f>
        <v>2025 Vinfast Trading and VF 7 Plus</v>
      </c>
      <c r="DJ335" s="25"/>
      <c r="DK335" s="25"/>
      <c r="DL335" s="25"/>
      <c r="DM335" s="25"/>
      <c r="DN335" s="25"/>
      <c r="DO335" s="25"/>
      <c r="DP335" s="25"/>
      <c r="DQ335" s="25"/>
      <c r="DR335" s="25"/>
      <c r="DS335" s="25"/>
      <c r="DT335" s="25"/>
      <c r="DU335" s="25"/>
      <c r="DV335" s="25"/>
      <c r="DW335" s="25"/>
      <c r="DX335" s="25"/>
      <c r="DY335" s="25"/>
      <c r="DZ335" s="25" t="str">
        <f>_xlfn.CONCAT($A336," ",$B336," ",$D336)</f>
        <v>2025 Vinfast Trading and VF 7 Plus</v>
      </c>
      <c r="EB335" s="25"/>
      <c r="EC335" s="25"/>
      <c r="ED335" s="25"/>
      <c r="EE335" s="25"/>
      <c r="EF335" s="25"/>
      <c r="EG335" s="25"/>
      <c r="EH335" s="25"/>
      <c r="EI335" s="25"/>
      <c r="EJ335" s="25"/>
      <c r="EK335" s="25"/>
      <c r="EL335" s="25"/>
      <c r="EM335" s="25"/>
      <c r="EN335" s="25"/>
      <c r="EO335" s="25"/>
      <c r="EP335" s="25"/>
      <c r="EQ335" s="25"/>
      <c r="ER335" s="25"/>
      <c r="ES335" s="25"/>
      <c r="ET335" s="25"/>
      <c r="EU335" s="25"/>
      <c r="EV335" s="25" t="str">
        <f>_xlfn.CONCAT($A336," ",$B336," ",$D336)</f>
        <v>2025 Vinfast Trading and VF 7 Plus</v>
      </c>
      <c r="EW335" s="25"/>
      <c r="EX335" s="25"/>
      <c r="EY335" s="25"/>
      <c r="EZ335" s="25"/>
      <c r="FA335" s="25"/>
      <c r="FB335" s="25"/>
      <c r="FC335" s="25"/>
      <c r="FD335" s="25"/>
      <c r="FE335" s="25"/>
      <c r="FF335" s="25"/>
      <c r="FG335" s="25"/>
    </row>
    <row r="336" spans="1:165" x14ac:dyDescent="0.35">
      <c r="A336">
        <v>2025</v>
      </c>
      <c r="B336" t="s">
        <v>1968</v>
      </c>
      <c r="C336" t="s">
        <v>1969</v>
      </c>
      <c r="D336" t="s">
        <v>1975</v>
      </c>
      <c r="E336" t="s">
        <v>1971</v>
      </c>
      <c r="F336">
        <v>1</v>
      </c>
      <c r="G336">
        <v>0</v>
      </c>
      <c r="I336" t="s">
        <v>1734</v>
      </c>
      <c r="J336">
        <v>80</v>
      </c>
      <c r="K336">
        <v>71</v>
      </c>
      <c r="L336">
        <v>76</v>
      </c>
      <c r="M336">
        <v>114.8</v>
      </c>
      <c r="N336">
        <v>101.7</v>
      </c>
      <c r="O336">
        <v>108.5102</v>
      </c>
      <c r="P336">
        <v>80.36</v>
      </c>
      <c r="Q336">
        <v>71.19</v>
      </c>
      <c r="R336">
        <v>75.957099999999997</v>
      </c>
      <c r="V336" t="s">
        <v>167</v>
      </c>
      <c r="W336" t="s">
        <v>168</v>
      </c>
      <c r="Y336">
        <v>1</v>
      </c>
      <c r="Z336" t="s">
        <v>170</v>
      </c>
      <c r="AA336" t="s">
        <v>170</v>
      </c>
      <c r="AB336" t="s">
        <v>167</v>
      </c>
      <c r="AC336" t="s">
        <v>213</v>
      </c>
      <c r="AF336">
        <v>209</v>
      </c>
      <c r="AG336" t="s">
        <v>1735</v>
      </c>
      <c r="AH336" t="s">
        <v>1736</v>
      </c>
      <c r="AI336" t="s">
        <v>175</v>
      </c>
      <c r="AJ336" t="s">
        <v>176</v>
      </c>
      <c r="AK336" t="s">
        <v>170</v>
      </c>
      <c r="AL336" t="s">
        <v>177</v>
      </c>
      <c r="AS336">
        <v>1050</v>
      </c>
      <c r="AT336">
        <v>50</v>
      </c>
      <c r="BQ336">
        <v>18</v>
      </c>
      <c r="BR336" t="s">
        <v>1976</v>
      </c>
      <c r="BS336" t="s">
        <v>1070</v>
      </c>
      <c r="BT336" t="s">
        <v>1738</v>
      </c>
      <c r="BU336" s="1">
        <v>45663</v>
      </c>
      <c r="BV336">
        <v>36005</v>
      </c>
      <c r="BX336" t="s">
        <v>169</v>
      </c>
      <c r="BY336" t="s">
        <v>170</v>
      </c>
      <c r="CB336" t="s">
        <v>170</v>
      </c>
      <c r="CC336" t="s">
        <v>170</v>
      </c>
      <c r="CK336" t="s">
        <v>233</v>
      </c>
      <c r="CM336">
        <v>1</v>
      </c>
      <c r="CN336" t="s">
        <v>234</v>
      </c>
      <c r="CP336">
        <v>396</v>
      </c>
      <c r="CQ336">
        <v>202</v>
      </c>
      <c r="CR336">
        <v>168</v>
      </c>
      <c r="CS336" t="s">
        <v>235</v>
      </c>
      <c r="CV336" t="s">
        <v>341</v>
      </c>
      <c r="CX336" t="s">
        <v>342</v>
      </c>
      <c r="CY336" t="s">
        <v>170</v>
      </c>
      <c r="DD336">
        <v>1</v>
      </c>
      <c r="DE336" t="s">
        <v>404</v>
      </c>
      <c r="DF336" t="s">
        <v>1972</v>
      </c>
      <c r="DG336">
        <v>260</v>
      </c>
      <c r="DL336" t="s">
        <v>170</v>
      </c>
      <c r="DM336" t="s">
        <v>169</v>
      </c>
      <c r="DP336" t="s">
        <v>170</v>
      </c>
      <c r="DQ336" t="s">
        <v>187</v>
      </c>
      <c r="DR336" t="s">
        <v>1977</v>
      </c>
      <c r="EB336">
        <v>9</v>
      </c>
      <c r="EC336">
        <v>10</v>
      </c>
      <c r="EE336" t="s">
        <v>1978</v>
      </c>
      <c r="EF336">
        <v>10</v>
      </c>
      <c r="EU336">
        <v>4250</v>
      </c>
      <c r="EW336">
        <v>0</v>
      </c>
      <c r="EX336">
        <v>0</v>
      </c>
      <c r="EY336">
        <v>0</v>
      </c>
      <c r="FA336">
        <v>12</v>
      </c>
      <c r="FG336">
        <v>220</v>
      </c>
      <c r="FH336">
        <v>195</v>
      </c>
      <c r="FI336">
        <v>209</v>
      </c>
    </row>
    <row r="337" spans="1:165" x14ac:dyDescent="0.35">
      <c r="A337">
        <v>2025</v>
      </c>
      <c r="B337" t="s">
        <v>1968</v>
      </c>
      <c r="C337" t="s">
        <v>1969</v>
      </c>
      <c r="D337" t="s">
        <v>1975</v>
      </c>
      <c r="E337" t="s">
        <v>1971</v>
      </c>
      <c r="F337">
        <v>1</v>
      </c>
      <c r="G337">
        <v>0</v>
      </c>
      <c r="I337" t="s">
        <v>1734</v>
      </c>
      <c r="J337">
        <v>42</v>
      </c>
      <c r="K337">
        <v>47</v>
      </c>
      <c r="L337">
        <v>44</v>
      </c>
      <c r="M337">
        <v>29.37</v>
      </c>
      <c r="N337">
        <v>33.156999999999996</v>
      </c>
      <c r="O337">
        <v>31.074200000000001</v>
      </c>
      <c r="P337">
        <v>41.942500000000003</v>
      </c>
      <c r="Q337">
        <v>47.345100000000002</v>
      </c>
      <c r="R337">
        <v>44.373699999999999</v>
      </c>
      <c r="V337" t="s">
        <v>167</v>
      </c>
      <c r="W337" t="s">
        <v>168</v>
      </c>
      <c r="Y337">
        <v>1</v>
      </c>
      <c r="Z337" t="s">
        <v>170</v>
      </c>
      <c r="AA337" t="s">
        <v>170</v>
      </c>
      <c r="AB337" t="s">
        <v>167</v>
      </c>
      <c r="AC337" t="s">
        <v>213</v>
      </c>
      <c r="AF337">
        <v>209</v>
      </c>
      <c r="AG337" t="s">
        <v>1735</v>
      </c>
      <c r="AH337" t="s">
        <v>1736</v>
      </c>
      <c r="AI337" t="s">
        <v>1742</v>
      </c>
      <c r="AJ337" t="s">
        <v>1743</v>
      </c>
      <c r="AK337" t="s">
        <v>170</v>
      </c>
      <c r="AL337" t="s">
        <v>177</v>
      </c>
      <c r="AS337">
        <v>1050</v>
      </c>
      <c r="AT337">
        <v>1050</v>
      </c>
      <c r="BQ337">
        <v>18</v>
      </c>
      <c r="BR337" t="s">
        <v>1976</v>
      </c>
      <c r="BS337" t="s">
        <v>1070</v>
      </c>
      <c r="BT337" t="s">
        <v>1738</v>
      </c>
      <c r="BU337" s="1">
        <v>45663</v>
      </c>
      <c r="BV337">
        <v>36005</v>
      </c>
      <c r="BX337" t="s">
        <v>169</v>
      </c>
      <c r="BY337" t="s">
        <v>170</v>
      </c>
      <c r="CB337" t="s">
        <v>170</v>
      </c>
      <c r="CC337" t="s">
        <v>170</v>
      </c>
      <c r="CK337" t="s">
        <v>233</v>
      </c>
      <c r="CM337">
        <v>1</v>
      </c>
      <c r="CN337" t="s">
        <v>234</v>
      </c>
      <c r="CP337">
        <v>396</v>
      </c>
      <c r="CQ337">
        <v>202</v>
      </c>
      <c r="CR337">
        <v>168</v>
      </c>
      <c r="CS337" t="s">
        <v>235</v>
      </c>
      <c r="CV337" t="s">
        <v>341</v>
      </c>
      <c r="CX337" t="s">
        <v>342</v>
      </c>
      <c r="CY337" t="s">
        <v>170</v>
      </c>
      <c r="DD337">
        <v>1</v>
      </c>
      <c r="DE337" t="s">
        <v>404</v>
      </c>
      <c r="DF337" t="s">
        <v>1972</v>
      </c>
      <c r="DG337">
        <v>260</v>
      </c>
      <c r="DL337" t="s">
        <v>170</v>
      </c>
      <c r="DM337" t="s">
        <v>169</v>
      </c>
      <c r="DP337" t="s">
        <v>170</v>
      </c>
      <c r="DQ337" t="s">
        <v>187</v>
      </c>
      <c r="DR337" t="s">
        <v>1977</v>
      </c>
      <c r="EB337">
        <v>9</v>
      </c>
      <c r="EC337">
        <v>10</v>
      </c>
      <c r="EE337" t="s">
        <v>1978</v>
      </c>
      <c r="EF337">
        <v>10</v>
      </c>
      <c r="EU337">
        <v>4250</v>
      </c>
      <c r="EW337">
        <v>0</v>
      </c>
      <c r="EX337">
        <v>0</v>
      </c>
      <c r="EY337">
        <v>0</v>
      </c>
      <c r="FA337">
        <v>12</v>
      </c>
      <c r="FG337">
        <v>220</v>
      </c>
      <c r="FH337">
        <v>195</v>
      </c>
      <c r="FI337">
        <v>209</v>
      </c>
    </row>
    <row r="338" spans="1:165" x14ac:dyDescent="0.35">
      <c r="A338" s="25"/>
      <c r="B338" s="25"/>
      <c r="C338" s="25"/>
      <c r="D338" s="25"/>
      <c r="E338" s="25"/>
      <c r="F338" s="25" t="str">
        <f>_xlfn.CONCAT($A339," ",$B339," ",$D339)</f>
        <v>2025 Vinfast Trading and VF 8 Plus</v>
      </c>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c r="AD338" s="25" t="str">
        <f>_xlfn.CONCAT($A339," ",$B339," ",$D339)</f>
        <v>2025 Vinfast Trading and VF 8 Plus</v>
      </c>
      <c r="AE338" s="25"/>
      <c r="AF338" s="25"/>
      <c r="AG338" s="25"/>
      <c r="AH338" s="25"/>
      <c r="AI338" s="25"/>
      <c r="AJ338" s="25"/>
      <c r="AK338" s="25"/>
      <c r="AL338" s="25"/>
      <c r="AM338" s="25"/>
      <c r="AN338" s="25"/>
      <c r="AO338" s="25"/>
      <c r="AP338" s="25"/>
      <c r="AQ338" s="25"/>
      <c r="AR338" s="25"/>
      <c r="AS338" s="25"/>
      <c r="AT338" s="25"/>
      <c r="AU338" s="25"/>
      <c r="AV338" s="25"/>
      <c r="AW338" s="25"/>
      <c r="AX338" s="25" t="str">
        <f>_xlfn.CONCAT($A339," ",$B339," ",$D339)</f>
        <v>2025 Vinfast Trading and VF 8 Plus</v>
      </c>
      <c r="AY338" s="25"/>
      <c r="AZ338" s="25"/>
      <c r="BA338" s="25"/>
      <c r="BB338" s="25"/>
      <c r="BC338" s="25"/>
      <c r="BD338" s="25"/>
      <c r="BE338" s="25"/>
      <c r="BF338" s="25"/>
      <c r="BG338" s="25"/>
      <c r="BH338" s="25"/>
      <c r="BI338" s="25"/>
      <c r="BJ338" s="25"/>
      <c r="BK338" s="25"/>
      <c r="BL338" s="25"/>
      <c r="BM338" s="25"/>
      <c r="BN338" s="25"/>
      <c r="BO338" s="25"/>
      <c r="BP338" s="25"/>
      <c r="BQ338" s="25"/>
      <c r="BR338" s="25" t="str">
        <f>_xlfn.CONCAT($A339," ",$B339," ",$D339)</f>
        <v>2025 Vinfast Trading and VF 8 Plus</v>
      </c>
      <c r="BS338" s="25"/>
      <c r="BT338" s="25"/>
      <c r="BU338" s="25"/>
      <c r="BV338" s="25"/>
      <c r="BX338" s="25"/>
      <c r="BY338" s="25"/>
      <c r="BZ338" s="25"/>
      <c r="CA338" s="25"/>
      <c r="CB338" s="25"/>
      <c r="CC338" s="25"/>
      <c r="CD338" s="25"/>
      <c r="CE338" s="25"/>
      <c r="CF338" s="25"/>
      <c r="CG338" s="25"/>
      <c r="CH338" s="25"/>
      <c r="CI338" s="25"/>
      <c r="CJ338" s="25"/>
      <c r="CK338" s="25"/>
      <c r="CL338" s="25"/>
      <c r="CM338" s="25"/>
      <c r="CN338" s="25"/>
      <c r="CO338" s="25"/>
      <c r="CP338" s="25" t="str">
        <f>_xlfn.CONCAT($A339," ",$B339," ",$D339)</f>
        <v>2025 Vinfast Trading and VF 8 Plus</v>
      </c>
      <c r="CQ338" s="25"/>
      <c r="CR338" s="25"/>
      <c r="CS338" s="25"/>
      <c r="CT338" s="25"/>
      <c r="CU338" s="25"/>
      <c r="CV338" s="25"/>
      <c r="CW338" s="25"/>
      <c r="CX338" s="25"/>
      <c r="CY338" s="25"/>
      <c r="CZ338" s="25"/>
      <c r="DA338" s="25"/>
      <c r="DB338" s="25"/>
      <c r="DC338" s="25"/>
      <c r="DD338" s="25"/>
      <c r="DE338" s="25"/>
      <c r="DF338" s="25"/>
      <c r="DG338" s="25"/>
      <c r="DH338" s="25"/>
      <c r="DI338" s="25" t="str">
        <f>_xlfn.CONCAT($A339," ",$B339," ",$D339)</f>
        <v>2025 Vinfast Trading and VF 8 Plus</v>
      </c>
      <c r="DJ338" s="25"/>
      <c r="DK338" s="25"/>
      <c r="DL338" s="25"/>
      <c r="DM338" s="25"/>
      <c r="DN338" s="25"/>
      <c r="DO338" s="25"/>
      <c r="DP338" s="25"/>
      <c r="DQ338" s="25"/>
      <c r="DR338" s="25"/>
      <c r="DS338" s="25"/>
      <c r="DT338" s="25"/>
      <c r="DU338" s="25"/>
      <c r="DV338" s="25"/>
      <c r="DW338" s="25"/>
      <c r="DX338" s="25"/>
      <c r="DY338" s="25"/>
      <c r="DZ338" s="25" t="str">
        <f>_xlfn.CONCAT($A339," ",$B339," ",$D339)</f>
        <v>2025 Vinfast Trading and VF 8 Plus</v>
      </c>
      <c r="EB338" s="25"/>
      <c r="EC338" s="25"/>
      <c r="ED338" s="25"/>
      <c r="EE338" s="25"/>
      <c r="EF338" s="25"/>
      <c r="EG338" s="25"/>
      <c r="EH338" s="25"/>
      <c r="EI338" s="25"/>
      <c r="EJ338" s="25"/>
      <c r="EK338" s="25"/>
      <c r="EL338" s="25"/>
      <c r="EM338" s="25"/>
      <c r="EN338" s="25"/>
      <c r="EO338" s="25"/>
      <c r="EP338" s="25"/>
      <c r="EQ338" s="25"/>
      <c r="ER338" s="25"/>
      <c r="ES338" s="25"/>
      <c r="ET338" s="25"/>
      <c r="EU338" s="25"/>
      <c r="EV338" s="25" t="str">
        <f>_xlfn.CONCAT($A339," ",$B339," ",$D339)</f>
        <v>2025 Vinfast Trading and VF 8 Plus</v>
      </c>
      <c r="EW338" s="25"/>
      <c r="EX338" s="25"/>
      <c r="EY338" s="25"/>
      <c r="EZ338" s="25"/>
      <c r="FA338" s="25"/>
      <c r="FB338" s="25"/>
      <c r="FC338" s="25"/>
      <c r="FD338" s="25"/>
      <c r="FE338" s="25"/>
      <c r="FF338" s="25"/>
      <c r="FG338" s="25"/>
    </row>
    <row r="339" spans="1:165" x14ac:dyDescent="0.35">
      <c r="A339">
        <v>2025</v>
      </c>
      <c r="B339" t="s">
        <v>1968</v>
      </c>
      <c r="C339" t="s">
        <v>1969</v>
      </c>
      <c r="D339" t="s">
        <v>1983</v>
      </c>
      <c r="E339" t="s">
        <v>1971</v>
      </c>
      <c r="F339">
        <v>2</v>
      </c>
      <c r="G339">
        <v>0</v>
      </c>
      <c r="I339" t="s">
        <v>1734</v>
      </c>
      <c r="J339">
        <v>46</v>
      </c>
      <c r="K339">
        <v>42</v>
      </c>
      <c r="L339">
        <v>44</v>
      </c>
      <c r="M339">
        <v>65.2</v>
      </c>
      <c r="N339">
        <v>59.1</v>
      </c>
      <c r="O339">
        <v>62.306100000000001</v>
      </c>
      <c r="P339">
        <v>46.351300000000002</v>
      </c>
      <c r="Q339">
        <v>42.014800000000001</v>
      </c>
      <c r="R339">
        <v>44.293999999999997</v>
      </c>
      <c r="V339" t="s">
        <v>167</v>
      </c>
      <c r="W339" t="s">
        <v>168</v>
      </c>
      <c r="Y339">
        <v>1</v>
      </c>
      <c r="Z339" t="s">
        <v>170</v>
      </c>
      <c r="AA339" t="s">
        <v>170</v>
      </c>
      <c r="AB339" t="s">
        <v>167</v>
      </c>
      <c r="AC339" t="s">
        <v>213</v>
      </c>
      <c r="AF339">
        <v>235</v>
      </c>
      <c r="AG339" t="s">
        <v>1735</v>
      </c>
      <c r="AH339" t="s">
        <v>1736</v>
      </c>
      <c r="AI339" t="s">
        <v>175</v>
      </c>
      <c r="AJ339" t="s">
        <v>176</v>
      </c>
      <c r="AK339" t="s">
        <v>170</v>
      </c>
      <c r="AL339" t="s">
        <v>177</v>
      </c>
      <c r="AS339">
        <v>1850</v>
      </c>
      <c r="AT339">
        <v>50</v>
      </c>
      <c r="BQ339">
        <v>18</v>
      </c>
      <c r="BR339" t="s">
        <v>1976</v>
      </c>
      <c r="BS339" t="s">
        <v>1070</v>
      </c>
      <c r="BT339" t="s">
        <v>1769</v>
      </c>
      <c r="BU339" s="1">
        <v>45565</v>
      </c>
      <c r="BV339">
        <v>35567</v>
      </c>
      <c r="BX339" t="s">
        <v>169</v>
      </c>
      <c r="BY339" t="s">
        <v>170</v>
      </c>
      <c r="CB339" t="s">
        <v>170</v>
      </c>
      <c r="CC339" t="s">
        <v>170</v>
      </c>
      <c r="CK339" t="s">
        <v>233</v>
      </c>
      <c r="CM339">
        <v>1</v>
      </c>
      <c r="CN339" t="s">
        <v>234</v>
      </c>
      <c r="CP339">
        <v>403</v>
      </c>
      <c r="CQ339">
        <v>231.7</v>
      </c>
      <c r="CR339">
        <v>172.8</v>
      </c>
      <c r="CS339" t="s">
        <v>235</v>
      </c>
      <c r="CV339" t="s">
        <v>341</v>
      </c>
      <c r="CX339" t="s">
        <v>1012</v>
      </c>
      <c r="CY339" t="s">
        <v>170</v>
      </c>
      <c r="DD339">
        <v>2</v>
      </c>
      <c r="DE339" t="s">
        <v>404</v>
      </c>
      <c r="DF339" t="s">
        <v>1972</v>
      </c>
      <c r="DG339" t="s">
        <v>1980</v>
      </c>
      <c r="DL339" t="s">
        <v>170</v>
      </c>
      <c r="DM339" t="s">
        <v>169</v>
      </c>
      <c r="DP339" t="s">
        <v>170</v>
      </c>
      <c r="DQ339" t="s">
        <v>187</v>
      </c>
      <c r="DR339" t="s">
        <v>1984</v>
      </c>
      <c r="EB339">
        <v>7</v>
      </c>
      <c r="EC339">
        <v>10</v>
      </c>
      <c r="EE339" t="s">
        <v>1982</v>
      </c>
      <c r="EF339">
        <v>10</v>
      </c>
      <c r="EU339">
        <v>250</v>
      </c>
      <c r="EW339">
        <v>0</v>
      </c>
      <c r="EX339">
        <v>0</v>
      </c>
      <c r="EY339">
        <v>0</v>
      </c>
      <c r="FA339">
        <v>12</v>
      </c>
      <c r="FG339">
        <v>245</v>
      </c>
      <c r="FH339">
        <v>222</v>
      </c>
      <c r="FI339">
        <v>235</v>
      </c>
    </row>
    <row r="340" spans="1:165" x14ac:dyDescent="0.35">
      <c r="A340">
        <v>2025</v>
      </c>
      <c r="B340" t="s">
        <v>1968</v>
      </c>
      <c r="C340" t="s">
        <v>1969</v>
      </c>
      <c r="D340" t="s">
        <v>1983</v>
      </c>
      <c r="E340" t="s">
        <v>1971</v>
      </c>
      <c r="F340">
        <v>2</v>
      </c>
      <c r="G340">
        <v>0</v>
      </c>
      <c r="I340" t="s">
        <v>1734</v>
      </c>
      <c r="J340">
        <v>73</v>
      </c>
      <c r="K340">
        <v>80</v>
      </c>
      <c r="L340">
        <v>76</v>
      </c>
      <c r="M340">
        <v>51.730499999999999</v>
      </c>
      <c r="N340">
        <v>57.0672</v>
      </c>
      <c r="O340">
        <v>54.132100000000001</v>
      </c>
      <c r="P340">
        <v>72.716399999999993</v>
      </c>
      <c r="Q340">
        <v>80.221800000000002</v>
      </c>
      <c r="R340">
        <v>76.093800000000002</v>
      </c>
      <c r="V340" t="s">
        <v>167</v>
      </c>
      <c r="W340" t="s">
        <v>168</v>
      </c>
      <c r="Y340">
        <v>1</v>
      </c>
      <c r="Z340" t="s">
        <v>170</v>
      </c>
      <c r="AA340" t="s">
        <v>170</v>
      </c>
      <c r="AB340" t="s">
        <v>167</v>
      </c>
      <c r="AC340" t="s">
        <v>213</v>
      </c>
      <c r="AF340">
        <v>235</v>
      </c>
      <c r="AG340" t="s">
        <v>1735</v>
      </c>
      <c r="AH340" t="s">
        <v>1736</v>
      </c>
      <c r="AI340" t="s">
        <v>1742</v>
      </c>
      <c r="AJ340" t="s">
        <v>1743</v>
      </c>
      <c r="AK340" t="s">
        <v>170</v>
      </c>
      <c r="AL340" t="s">
        <v>177</v>
      </c>
      <c r="AS340">
        <v>1850</v>
      </c>
      <c r="AT340">
        <v>1800</v>
      </c>
      <c r="BQ340">
        <v>18</v>
      </c>
      <c r="BR340" t="s">
        <v>1976</v>
      </c>
      <c r="BS340" t="s">
        <v>1070</v>
      </c>
      <c r="BT340" t="s">
        <v>1769</v>
      </c>
      <c r="BU340" s="1">
        <v>45565</v>
      </c>
      <c r="BV340">
        <v>35567</v>
      </c>
      <c r="BX340" t="s">
        <v>169</v>
      </c>
      <c r="BY340" t="s">
        <v>170</v>
      </c>
      <c r="CB340" t="s">
        <v>170</v>
      </c>
      <c r="CC340" t="s">
        <v>170</v>
      </c>
      <c r="CK340" t="s">
        <v>233</v>
      </c>
      <c r="CM340">
        <v>1</v>
      </c>
      <c r="CN340" t="s">
        <v>234</v>
      </c>
      <c r="CP340">
        <v>403</v>
      </c>
      <c r="CQ340">
        <v>231.7</v>
      </c>
      <c r="CR340">
        <v>172.8</v>
      </c>
      <c r="CS340" t="s">
        <v>235</v>
      </c>
      <c r="CV340" t="s">
        <v>341</v>
      </c>
      <c r="CX340" t="s">
        <v>1012</v>
      </c>
      <c r="CY340" t="s">
        <v>170</v>
      </c>
      <c r="DD340">
        <v>2</v>
      </c>
      <c r="DE340" t="s">
        <v>404</v>
      </c>
      <c r="DF340" t="s">
        <v>1972</v>
      </c>
      <c r="DG340" t="s">
        <v>1980</v>
      </c>
      <c r="DL340" t="s">
        <v>170</v>
      </c>
      <c r="DM340" t="s">
        <v>169</v>
      </c>
      <c r="DP340" t="s">
        <v>170</v>
      </c>
      <c r="DQ340" t="s">
        <v>187</v>
      </c>
      <c r="DR340" t="s">
        <v>1984</v>
      </c>
      <c r="EB340">
        <v>7</v>
      </c>
      <c r="EC340">
        <v>10</v>
      </c>
      <c r="EE340" t="s">
        <v>1982</v>
      </c>
      <c r="EF340">
        <v>10</v>
      </c>
      <c r="EU340">
        <v>250</v>
      </c>
      <c r="EW340">
        <v>0</v>
      </c>
      <c r="EX340">
        <v>0</v>
      </c>
      <c r="EY340">
        <v>0</v>
      </c>
      <c r="FA340">
        <v>12</v>
      </c>
      <c r="FG340">
        <v>245</v>
      </c>
      <c r="FH340">
        <v>222</v>
      </c>
      <c r="FI340">
        <v>235</v>
      </c>
    </row>
    <row r="341" spans="1:165" x14ac:dyDescent="0.35">
      <c r="A341" s="25"/>
      <c r="B341" s="25"/>
      <c r="C341" s="25"/>
      <c r="D341" s="25"/>
      <c r="E341" s="25"/>
      <c r="F341" s="25" t="str">
        <f>_xlfn.CONCAT($A342," ",$B342," ",$D342)</f>
        <v>2025 Vinfast Trading and VF 8 Eco</v>
      </c>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c r="AD341" s="25" t="str">
        <f>_xlfn.CONCAT($A342," ",$B342," ",$D342)</f>
        <v>2025 Vinfast Trading and VF 8 Eco</v>
      </c>
      <c r="AE341" s="25"/>
      <c r="AF341" s="25"/>
      <c r="AG341" s="25"/>
      <c r="AH341" s="25"/>
      <c r="AI341" s="25"/>
      <c r="AJ341" s="25"/>
      <c r="AK341" s="25"/>
      <c r="AL341" s="25"/>
      <c r="AM341" s="25"/>
      <c r="AN341" s="25"/>
      <c r="AO341" s="25"/>
      <c r="AP341" s="25"/>
      <c r="AQ341" s="25"/>
      <c r="AR341" s="25"/>
      <c r="AS341" s="25"/>
      <c r="AT341" s="25"/>
      <c r="AU341" s="25"/>
      <c r="AV341" s="25"/>
      <c r="AW341" s="25"/>
      <c r="AX341" s="25" t="str">
        <f>_xlfn.CONCAT($A342," ",$B342," ",$D342)</f>
        <v>2025 Vinfast Trading and VF 8 Eco</v>
      </c>
      <c r="AY341" s="25"/>
      <c r="AZ341" s="25"/>
      <c r="BA341" s="25"/>
      <c r="BB341" s="25"/>
      <c r="BC341" s="25"/>
      <c r="BD341" s="25"/>
      <c r="BE341" s="25"/>
      <c r="BF341" s="25"/>
      <c r="BG341" s="25"/>
      <c r="BH341" s="25"/>
      <c r="BI341" s="25"/>
      <c r="BJ341" s="25"/>
      <c r="BK341" s="25"/>
      <c r="BL341" s="25"/>
      <c r="BM341" s="25"/>
      <c r="BN341" s="25"/>
      <c r="BO341" s="25"/>
      <c r="BP341" s="25"/>
      <c r="BQ341" s="25"/>
      <c r="BR341" s="25" t="str">
        <f>_xlfn.CONCAT($A342," ",$B342," ",$D342)</f>
        <v>2025 Vinfast Trading and VF 8 Eco</v>
      </c>
      <c r="BS341" s="25"/>
      <c r="BT341" s="25"/>
      <c r="BU341" s="25"/>
      <c r="BV341" s="25"/>
      <c r="BX341" s="25"/>
      <c r="BY341" s="25"/>
      <c r="BZ341" s="25"/>
      <c r="CA341" s="25"/>
      <c r="CB341" s="25"/>
      <c r="CC341" s="25"/>
      <c r="CD341" s="25"/>
      <c r="CE341" s="25"/>
      <c r="CF341" s="25"/>
      <c r="CG341" s="25"/>
      <c r="CH341" s="25"/>
      <c r="CI341" s="25"/>
      <c r="CJ341" s="25"/>
      <c r="CK341" s="25"/>
      <c r="CL341" s="25"/>
      <c r="CM341" s="25"/>
      <c r="CN341" s="25"/>
      <c r="CO341" s="25"/>
      <c r="CP341" s="25" t="str">
        <f>_xlfn.CONCAT($A342," ",$B342," ",$D342)</f>
        <v>2025 Vinfast Trading and VF 8 Eco</v>
      </c>
      <c r="CQ341" s="25"/>
      <c r="CR341" s="25"/>
      <c r="CS341" s="25"/>
      <c r="CT341" s="25"/>
      <c r="CU341" s="25"/>
      <c r="CV341" s="25"/>
      <c r="CW341" s="25"/>
      <c r="CX341" s="25"/>
      <c r="CY341" s="25"/>
      <c r="CZ341" s="25"/>
      <c r="DA341" s="25"/>
      <c r="DB341" s="25"/>
      <c r="DC341" s="25"/>
      <c r="DD341" s="25"/>
      <c r="DE341" s="25"/>
      <c r="DF341" s="25"/>
      <c r="DG341" s="25"/>
      <c r="DH341" s="25"/>
      <c r="DI341" s="25" t="str">
        <f>_xlfn.CONCAT($A342," ",$B342," ",$D342)</f>
        <v>2025 Vinfast Trading and VF 8 Eco</v>
      </c>
      <c r="DJ341" s="25"/>
      <c r="DK341" s="25"/>
      <c r="DL341" s="25"/>
      <c r="DM341" s="25"/>
      <c r="DN341" s="25"/>
      <c r="DO341" s="25"/>
      <c r="DP341" s="25"/>
      <c r="DQ341" s="25"/>
      <c r="DR341" s="25"/>
      <c r="DS341" s="25"/>
      <c r="DT341" s="25"/>
      <c r="DU341" s="25"/>
      <c r="DV341" s="25"/>
      <c r="DW341" s="25"/>
      <c r="DX341" s="25"/>
      <c r="DY341" s="25"/>
      <c r="DZ341" s="25" t="str">
        <f>_xlfn.CONCAT($A342," ",$B342," ",$D342)</f>
        <v>2025 Vinfast Trading and VF 8 Eco</v>
      </c>
      <c r="EB341" s="25"/>
      <c r="EC341" s="25"/>
      <c r="ED341" s="25"/>
      <c r="EE341" s="25"/>
      <c r="EF341" s="25"/>
      <c r="EG341" s="25"/>
      <c r="EH341" s="25"/>
      <c r="EI341" s="25"/>
      <c r="EJ341" s="25"/>
      <c r="EK341" s="25"/>
      <c r="EL341" s="25"/>
      <c r="EM341" s="25"/>
      <c r="EN341" s="25"/>
      <c r="EO341" s="25"/>
      <c r="EP341" s="25"/>
      <c r="EQ341" s="25"/>
      <c r="ER341" s="25"/>
      <c r="ES341" s="25"/>
      <c r="ET341" s="25"/>
      <c r="EU341" s="25"/>
      <c r="EV341" s="25" t="str">
        <f>_xlfn.CONCAT($A342," ",$B342," ",$D342)</f>
        <v>2025 Vinfast Trading and VF 8 Eco</v>
      </c>
      <c r="EW341" s="25"/>
      <c r="EX341" s="25"/>
      <c r="EY341" s="25"/>
      <c r="EZ341" s="25"/>
      <c r="FA341" s="25"/>
      <c r="FB341" s="25"/>
      <c r="FC341" s="25"/>
      <c r="FD341" s="25"/>
      <c r="FE341" s="25"/>
      <c r="FF341" s="25"/>
      <c r="FG341" s="25"/>
    </row>
    <row r="342" spans="1:165" x14ac:dyDescent="0.35">
      <c r="A342">
        <v>2025</v>
      </c>
      <c r="B342" t="s">
        <v>1968</v>
      </c>
      <c r="C342" t="s">
        <v>1969</v>
      </c>
      <c r="D342" t="s">
        <v>1979</v>
      </c>
      <c r="E342" t="s">
        <v>1971</v>
      </c>
      <c r="F342">
        <v>3</v>
      </c>
      <c r="G342">
        <v>0</v>
      </c>
      <c r="I342" t="s">
        <v>1734</v>
      </c>
      <c r="J342">
        <v>77</v>
      </c>
      <c r="K342">
        <v>69</v>
      </c>
      <c r="L342">
        <v>73</v>
      </c>
      <c r="M342">
        <v>107.2</v>
      </c>
      <c r="N342">
        <v>95.7</v>
      </c>
      <c r="O342">
        <v>101.70050000000001</v>
      </c>
      <c r="P342">
        <v>76.820599999999999</v>
      </c>
      <c r="Q342">
        <v>68.579599999999999</v>
      </c>
      <c r="R342">
        <v>72.879599999999996</v>
      </c>
      <c r="V342" t="s">
        <v>167</v>
      </c>
      <c r="W342" t="s">
        <v>168</v>
      </c>
      <c r="Y342">
        <v>1</v>
      </c>
      <c r="Z342" t="s">
        <v>170</v>
      </c>
      <c r="AA342" t="s">
        <v>170</v>
      </c>
      <c r="AB342" t="s">
        <v>167</v>
      </c>
      <c r="AC342" t="s">
        <v>213</v>
      </c>
      <c r="AF342">
        <v>256</v>
      </c>
      <c r="AG342" t="s">
        <v>1735</v>
      </c>
      <c r="AH342" t="s">
        <v>1736</v>
      </c>
      <c r="AI342" t="s">
        <v>175</v>
      </c>
      <c r="AJ342" t="s">
        <v>176</v>
      </c>
      <c r="AK342" t="s">
        <v>170</v>
      </c>
      <c r="AL342" t="s">
        <v>177</v>
      </c>
      <c r="AS342">
        <v>1100</v>
      </c>
      <c r="AT342">
        <v>50</v>
      </c>
      <c r="BQ342">
        <v>18</v>
      </c>
      <c r="BR342" t="s">
        <v>1976</v>
      </c>
      <c r="BS342" t="s">
        <v>1070</v>
      </c>
      <c r="BT342" t="s">
        <v>1769</v>
      </c>
      <c r="BU342" s="1">
        <v>45565</v>
      </c>
      <c r="BV342">
        <v>35579</v>
      </c>
      <c r="BX342" t="s">
        <v>169</v>
      </c>
      <c r="CB342" t="s">
        <v>170</v>
      </c>
      <c r="CC342" t="s">
        <v>170</v>
      </c>
      <c r="CK342" t="s">
        <v>233</v>
      </c>
      <c r="CM342">
        <v>1</v>
      </c>
      <c r="CN342" t="s">
        <v>234</v>
      </c>
      <c r="CP342">
        <v>403</v>
      </c>
      <c r="CQ342">
        <v>231.7</v>
      </c>
      <c r="CR342">
        <v>172.8</v>
      </c>
      <c r="CS342" t="s">
        <v>235</v>
      </c>
      <c r="CV342" t="s">
        <v>341</v>
      </c>
      <c r="CX342" t="s">
        <v>1012</v>
      </c>
      <c r="CY342" t="s">
        <v>170</v>
      </c>
      <c r="DD342">
        <v>2</v>
      </c>
      <c r="DE342" t="s">
        <v>404</v>
      </c>
      <c r="DF342" t="s">
        <v>1972</v>
      </c>
      <c r="DG342" t="s">
        <v>1980</v>
      </c>
      <c r="DL342" t="s">
        <v>170</v>
      </c>
      <c r="DM342" t="s">
        <v>169</v>
      </c>
      <c r="DP342" t="s">
        <v>170</v>
      </c>
      <c r="DQ342" t="s">
        <v>187</v>
      </c>
      <c r="DR342" t="s">
        <v>1981</v>
      </c>
      <c r="EB342">
        <v>9</v>
      </c>
      <c r="EC342">
        <v>10</v>
      </c>
      <c r="EE342" t="s">
        <v>1982</v>
      </c>
      <c r="EF342">
        <v>10</v>
      </c>
      <c r="EU342">
        <v>4000</v>
      </c>
      <c r="EW342">
        <v>0</v>
      </c>
      <c r="EX342">
        <v>0</v>
      </c>
      <c r="EY342">
        <v>0</v>
      </c>
      <c r="FA342">
        <v>12</v>
      </c>
      <c r="FG342">
        <v>269</v>
      </c>
      <c r="FH342">
        <v>240</v>
      </c>
      <c r="FI342">
        <v>256</v>
      </c>
    </row>
    <row r="343" spans="1:165" x14ac:dyDescent="0.35">
      <c r="A343">
        <v>2025</v>
      </c>
      <c r="B343" t="s">
        <v>1968</v>
      </c>
      <c r="C343" t="s">
        <v>1969</v>
      </c>
      <c r="D343" t="s">
        <v>1979</v>
      </c>
      <c r="E343" t="s">
        <v>1971</v>
      </c>
      <c r="F343">
        <v>3</v>
      </c>
      <c r="G343">
        <v>0</v>
      </c>
      <c r="I343" t="s">
        <v>1734</v>
      </c>
      <c r="J343">
        <v>44</v>
      </c>
      <c r="K343">
        <v>49</v>
      </c>
      <c r="L343">
        <v>46</v>
      </c>
      <c r="M343">
        <v>31.430299999999999</v>
      </c>
      <c r="N343">
        <v>35.206899999999997</v>
      </c>
      <c r="O343">
        <v>33.129800000000003</v>
      </c>
      <c r="P343">
        <v>43.875</v>
      </c>
      <c r="Q343">
        <v>49.147300000000001</v>
      </c>
      <c r="R343">
        <v>46.247500000000002</v>
      </c>
      <c r="V343" t="s">
        <v>167</v>
      </c>
      <c r="W343" t="s">
        <v>168</v>
      </c>
      <c r="Y343">
        <v>1</v>
      </c>
      <c r="Z343" t="s">
        <v>170</v>
      </c>
      <c r="AA343" t="s">
        <v>170</v>
      </c>
      <c r="AB343" t="s">
        <v>167</v>
      </c>
      <c r="AC343" t="s">
        <v>213</v>
      </c>
      <c r="AF343">
        <v>256</v>
      </c>
      <c r="AG343" t="s">
        <v>1735</v>
      </c>
      <c r="AH343" t="s">
        <v>1736</v>
      </c>
      <c r="AI343" t="s">
        <v>1742</v>
      </c>
      <c r="AJ343" t="s">
        <v>1743</v>
      </c>
      <c r="AK343" t="s">
        <v>170</v>
      </c>
      <c r="AL343" t="s">
        <v>177</v>
      </c>
      <c r="AS343">
        <v>1100</v>
      </c>
      <c r="AT343">
        <v>1100</v>
      </c>
      <c r="BQ343">
        <v>18</v>
      </c>
      <c r="BR343" t="s">
        <v>1976</v>
      </c>
      <c r="BS343" t="s">
        <v>1070</v>
      </c>
      <c r="BT343" t="s">
        <v>1769</v>
      </c>
      <c r="BU343" s="1">
        <v>45565</v>
      </c>
      <c r="BV343">
        <v>35579</v>
      </c>
      <c r="BX343" t="s">
        <v>169</v>
      </c>
      <c r="CB343" t="s">
        <v>170</v>
      </c>
      <c r="CC343" t="s">
        <v>170</v>
      </c>
      <c r="CK343" t="s">
        <v>233</v>
      </c>
      <c r="CM343">
        <v>1</v>
      </c>
      <c r="CN343" t="s">
        <v>234</v>
      </c>
      <c r="CP343">
        <v>403</v>
      </c>
      <c r="CQ343">
        <v>231.7</v>
      </c>
      <c r="CR343">
        <v>172.8</v>
      </c>
      <c r="CS343" t="s">
        <v>235</v>
      </c>
      <c r="CV343" t="s">
        <v>341</v>
      </c>
      <c r="CX343" t="s">
        <v>1012</v>
      </c>
      <c r="CY343" t="s">
        <v>170</v>
      </c>
      <c r="DD343">
        <v>2</v>
      </c>
      <c r="DE343" t="s">
        <v>404</v>
      </c>
      <c r="DF343" t="s">
        <v>1972</v>
      </c>
      <c r="DG343" t="s">
        <v>1980</v>
      </c>
      <c r="DL343" t="s">
        <v>170</v>
      </c>
      <c r="DM343" t="s">
        <v>169</v>
      </c>
      <c r="DP343" t="s">
        <v>170</v>
      </c>
      <c r="DQ343" t="s">
        <v>187</v>
      </c>
      <c r="DR343" t="s">
        <v>1981</v>
      </c>
      <c r="EB343">
        <v>9</v>
      </c>
      <c r="EC343">
        <v>10</v>
      </c>
      <c r="EE343" t="s">
        <v>1982</v>
      </c>
      <c r="EF343">
        <v>10</v>
      </c>
      <c r="EU343">
        <v>4000</v>
      </c>
      <c r="EW343">
        <v>0</v>
      </c>
      <c r="EX343">
        <v>0</v>
      </c>
      <c r="EY343">
        <v>0</v>
      </c>
      <c r="FA343">
        <v>12</v>
      </c>
      <c r="FG343">
        <v>269</v>
      </c>
      <c r="FH343">
        <v>240</v>
      </c>
      <c r="FI343">
        <v>256</v>
      </c>
    </row>
    <row r="344" spans="1:165" x14ac:dyDescent="0.35">
      <c r="A344" s="25"/>
      <c r="B344" s="25"/>
      <c r="C344" s="25"/>
      <c r="D344" s="25"/>
      <c r="E344" s="25"/>
      <c r="F344" s="25" t="str">
        <f>_xlfn.CONCAT($A345," ",$B345," ",$D345)</f>
        <v>2025 Vinfast Trading and VF 9 Plus</v>
      </c>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c r="AD344" s="25" t="str">
        <f>_xlfn.CONCAT($A345," ",$B345," ",$D345)</f>
        <v>2025 Vinfast Trading and VF 9 Plus</v>
      </c>
      <c r="AE344" s="25"/>
      <c r="AF344" s="25"/>
      <c r="AG344" s="25"/>
      <c r="AH344" s="25"/>
      <c r="AI344" s="25"/>
      <c r="AJ344" s="25"/>
      <c r="AK344" s="25"/>
      <c r="AL344" s="25"/>
      <c r="AM344" s="25"/>
      <c r="AN344" s="25"/>
      <c r="AO344" s="25"/>
      <c r="AP344" s="25"/>
      <c r="AQ344" s="25"/>
      <c r="AR344" s="25"/>
      <c r="AS344" s="25"/>
      <c r="AT344" s="25"/>
      <c r="AU344" s="25"/>
      <c r="AV344" s="25"/>
      <c r="AW344" s="25"/>
      <c r="AX344" s="25" t="str">
        <f>_xlfn.CONCAT($A345," ",$B345," ",$D345)</f>
        <v>2025 Vinfast Trading and VF 9 Plus</v>
      </c>
      <c r="AY344" s="25"/>
      <c r="AZ344" s="25"/>
      <c r="BA344" s="25"/>
      <c r="BB344" s="25"/>
      <c r="BC344" s="25"/>
      <c r="BD344" s="25"/>
      <c r="BE344" s="25"/>
      <c r="BF344" s="25"/>
      <c r="BG344" s="25"/>
      <c r="BH344" s="25"/>
      <c r="BI344" s="25"/>
      <c r="BJ344" s="25"/>
      <c r="BK344" s="25"/>
      <c r="BL344" s="25"/>
      <c r="BM344" s="25"/>
      <c r="BN344" s="25"/>
      <c r="BO344" s="25"/>
      <c r="BP344" s="25"/>
      <c r="BQ344" s="25"/>
      <c r="BR344" s="25" t="str">
        <f>_xlfn.CONCAT($A345," ",$B345," ",$D345)</f>
        <v>2025 Vinfast Trading and VF 9 Plus</v>
      </c>
      <c r="BS344" s="25"/>
      <c r="BT344" s="25"/>
      <c r="BU344" s="25"/>
      <c r="BV344" s="25"/>
      <c r="BX344" s="25"/>
      <c r="BY344" s="25"/>
      <c r="BZ344" s="25"/>
      <c r="CA344" s="25"/>
      <c r="CB344" s="25"/>
      <c r="CC344" s="25"/>
      <c r="CD344" s="25"/>
      <c r="CE344" s="25"/>
      <c r="CF344" s="25"/>
      <c r="CG344" s="25"/>
      <c r="CH344" s="25"/>
      <c r="CI344" s="25"/>
      <c r="CJ344" s="25"/>
      <c r="CK344" s="25"/>
      <c r="CL344" s="25"/>
      <c r="CM344" s="25"/>
      <c r="CN344" s="25"/>
      <c r="CO344" s="25"/>
      <c r="CP344" s="25" t="str">
        <f>_xlfn.CONCAT($A345," ",$B345," ",$D345)</f>
        <v>2025 Vinfast Trading and VF 9 Plus</v>
      </c>
      <c r="CQ344" s="25"/>
      <c r="CR344" s="25"/>
      <c r="CS344" s="25"/>
      <c r="CT344" s="25"/>
      <c r="CU344" s="25"/>
      <c r="CV344" s="25"/>
      <c r="CW344" s="25"/>
      <c r="CX344" s="25"/>
      <c r="CY344" s="25"/>
      <c r="CZ344" s="25"/>
      <c r="DA344" s="25"/>
      <c r="DB344" s="25"/>
      <c r="DC344" s="25"/>
      <c r="DD344" s="25"/>
      <c r="DE344" s="25"/>
      <c r="DF344" s="25"/>
      <c r="DG344" s="25"/>
      <c r="DH344" s="25"/>
      <c r="DI344" s="25" t="str">
        <f>_xlfn.CONCAT($A345," ",$B345," ",$D345)</f>
        <v>2025 Vinfast Trading and VF 9 Plus</v>
      </c>
      <c r="DJ344" s="25"/>
      <c r="DK344" s="25"/>
      <c r="DL344" s="25"/>
      <c r="DM344" s="25"/>
      <c r="DN344" s="25"/>
      <c r="DO344" s="25"/>
      <c r="DP344" s="25"/>
      <c r="DQ344" s="25"/>
      <c r="DR344" s="25"/>
      <c r="DS344" s="25"/>
      <c r="DT344" s="25"/>
      <c r="DU344" s="25"/>
      <c r="DV344" s="25"/>
      <c r="DW344" s="25"/>
      <c r="DX344" s="25"/>
      <c r="DY344" s="25"/>
      <c r="DZ344" s="25" t="str">
        <f>_xlfn.CONCAT($A345," ",$B345," ",$D345)</f>
        <v>2025 Vinfast Trading and VF 9 Plus</v>
      </c>
      <c r="EB344" s="25"/>
      <c r="EC344" s="25"/>
      <c r="ED344" s="25"/>
      <c r="EE344" s="25"/>
      <c r="EF344" s="25"/>
      <c r="EG344" s="25"/>
      <c r="EH344" s="25"/>
      <c r="EI344" s="25"/>
      <c r="EJ344" s="25"/>
      <c r="EK344" s="25"/>
      <c r="EL344" s="25"/>
      <c r="EM344" s="25"/>
      <c r="EN344" s="25"/>
      <c r="EO344" s="25"/>
      <c r="EP344" s="25"/>
      <c r="EQ344" s="25"/>
      <c r="ER344" s="25"/>
      <c r="ES344" s="25"/>
      <c r="ET344" s="25"/>
      <c r="EU344" s="25"/>
      <c r="EV344" s="25" t="str">
        <f>_xlfn.CONCAT($A345," ",$B345," ",$D345)</f>
        <v>2025 Vinfast Trading and VF 9 Plus</v>
      </c>
      <c r="EW344" s="25"/>
      <c r="EX344" s="25"/>
      <c r="EY344" s="25"/>
      <c r="EZ344" s="25"/>
      <c r="FA344" s="25"/>
      <c r="FB344" s="25"/>
      <c r="FC344" s="25"/>
      <c r="FD344" s="25"/>
      <c r="FE344" s="25"/>
      <c r="FF344" s="25"/>
      <c r="FG344" s="25"/>
    </row>
    <row r="345" spans="1:165" x14ac:dyDescent="0.35">
      <c r="A345">
        <v>2025</v>
      </c>
      <c r="B345" t="s">
        <v>1968</v>
      </c>
      <c r="C345" t="s">
        <v>1969</v>
      </c>
      <c r="D345" t="s">
        <v>1985</v>
      </c>
      <c r="E345" t="s">
        <v>1971</v>
      </c>
      <c r="F345">
        <v>4</v>
      </c>
      <c r="G345">
        <v>0</v>
      </c>
      <c r="I345" t="s">
        <v>1734</v>
      </c>
      <c r="J345">
        <v>70</v>
      </c>
      <c r="K345">
        <v>65</v>
      </c>
      <c r="L345">
        <v>68</v>
      </c>
      <c r="M345">
        <v>100.5</v>
      </c>
      <c r="N345">
        <v>92.5</v>
      </c>
      <c r="O345">
        <v>96.735200000000006</v>
      </c>
      <c r="P345">
        <v>70.349999999999994</v>
      </c>
      <c r="Q345">
        <v>64.75</v>
      </c>
      <c r="R345">
        <v>67.714600000000004</v>
      </c>
      <c r="V345" t="s">
        <v>167</v>
      </c>
      <c r="W345" t="s">
        <v>168</v>
      </c>
      <c r="Y345">
        <v>1</v>
      </c>
      <c r="Z345" t="s">
        <v>170</v>
      </c>
      <c r="AA345" t="s">
        <v>170</v>
      </c>
      <c r="AB345" t="s">
        <v>167</v>
      </c>
      <c r="AC345" t="s">
        <v>213</v>
      </c>
      <c r="AF345">
        <v>287</v>
      </c>
      <c r="AG345" t="s">
        <v>1735</v>
      </c>
      <c r="AH345" t="s">
        <v>1736</v>
      </c>
      <c r="AI345" t="s">
        <v>175</v>
      </c>
      <c r="AJ345" t="s">
        <v>176</v>
      </c>
      <c r="AK345" t="s">
        <v>170</v>
      </c>
      <c r="AL345" t="s">
        <v>177</v>
      </c>
      <c r="AS345">
        <v>1200</v>
      </c>
      <c r="AT345">
        <v>50</v>
      </c>
      <c r="BQ345">
        <v>18</v>
      </c>
      <c r="BR345" t="s">
        <v>1976</v>
      </c>
      <c r="BS345" t="s">
        <v>1070</v>
      </c>
      <c r="BT345" t="s">
        <v>1738</v>
      </c>
      <c r="BU345" s="1">
        <v>45565</v>
      </c>
      <c r="BV345">
        <v>35580</v>
      </c>
      <c r="BX345" t="s">
        <v>169</v>
      </c>
      <c r="BY345" t="s">
        <v>170</v>
      </c>
      <c r="CB345" t="s">
        <v>170</v>
      </c>
      <c r="CC345" t="s">
        <v>170</v>
      </c>
      <c r="CK345" t="s">
        <v>233</v>
      </c>
      <c r="CM345">
        <v>1</v>
      </c>
      <c r="CN345" t="s">
        <v>234</v>
      </c>
      <c r="CP345">
        <v>403</v>
      </c>
      <c r="CQ345">
        <v>231.7</v>
      </c>
      <c r="CR345">
        <v>172.8</v>
      </c>
      <c r="CS345" t="s">
        <v>235</v>
      </c>
      <c r="CV345" t="s">
        <v>341</v>
      </c>
      <c r="CX345" t="s">
        <v>1012</v>
      </c>
      <c r="CY345" t="s">
        <v>170</v>
      </c>
      <c r="DD345">
        <v>2</v>
      </c>
      <c r="DE345" t="s">
        <v>404</v>
      </c>
      <c r="DF345" t="s">
        <v>1972</v>
      </c>
      <c r="DG345" t="s">
        <v>1980</v>
      </c>
      <c r="DL345" t="s">
        <v>170</v>
      </c>
      <c r="DM345" t="s">
        <v>169</v>
      </c>
      <c r="DP345" t="s">
        <v>170</v>
      </c>
      <c r="DQ345" t="s">
        <v>187</v>
      </c>
      <c r="DR345" t="s">
        <v>1986</v>
      </c>
      <c r="EB345">
        <v>9</v>
      </c>
      <c r="EC345">
        <v>10</v>
      </c>
      <c r="EE345" t="s">
        <v>1982</v>
      </c>
      <c r="EF345">
        <v>10</v>
      </c>
      <c r="EU345">
        <v>3500</v>
      </c>
      <c r="EW345">
        <v>0</v>
      </c>
      <c r="EX345">
        <v>0</v>
      </c>
      <c r="EY345">
        <v>0</v>
      </c>
      <c r="FA345">
        <v>15</v>
      </c>
      <c r="FG345">
        <v>298</v>
      </c>
      <c r="FH345">
        <v>274</v>
      </c>
      <c r="FI345">
        <v>287</v>
      </c>
    </row>
    <row r="346" spans="1:165" x14ac:dyDescent="0.35">
      <c r="A346">
        <v>2025</v>
      </c>
      <c r="B346" t="s">
        <v>1968</v>
      </c>
      <c r="C346" t="s">
        <v>1969</v>
      </c>
      <c r="D346" t="s">
        <v>1985</v>
      </c>
      <c r="E346" t="s">
        <v>1971</v>
      </c>
      <c r="F346">
        <v>4</v>
      </c>
      <c r="G346">
        <v>0</v>
      </c>
      <c r="I346" t="s">
        <v>1734</v>
      </c>
      <c r="J346">
        <v>48</v>
      </c>
      <c r="K346">
        <v>52</v>
      </c>
      <c r="L346">
        <v>50</v>
      </c>
      <c r="M346">
        <v>33.5443</v>
      </c>
      <c r="N346">
        <v>36.426499999999997</v>
      </c>
      <c r="O346">
        <v>34.8414</v>
      </c>
      <c r="P346">
        <v>47.910400000000003</v>
      </c>
      <c r="Q346">
        <v>52.054099999999998</v>
      </c>
      <c r="R346">
        <v>49.775100000000002</v>
      </c>
      <c r="V346" t="s">
        <v>167</v>
      </c>
      <c r="W346" t="s">
        <v>168</v>
      </c>
      <c r="Y346">
        <v>1</v>
      </c>
      <c r="Z346" t="s">
        <v>170</v>
      </c>
      <c r="AA346" t="s">
        <v>170</v>
      </c>
      <c r="AB346" t="s">
        <v>167</v>
      </c>
      <c r="AC346" t="s">
        <v>213</v>
      </c>
      <c r="AF346">
        <v>287</v>
      </c>
      <c r="AG346" t="s">
        <v>1735</v>
      </c>
      <c r="AH346" t="s">
        <v>1736</v>
      </c>
      <c r="AI346" t="s">
        <v>1742</v>
      </c>
      <c r="AJ346" t="s">
        <v>1743</v>
      </c>
      <c r="AK346" t="s">
        <v>170</v>
      </c>
      <c r="AL346" t="s">
        <v>177</v>
      </c>
      <c r="AS346">
        <v>1200</v>
      </c>
      <c r="AT346">
        <v>1200</v>
      </c>
      <c r="BQ346">
        <v>18</v>
      </c>
      <c r="BR346" t="s">
        <v>1976</v>
      </c>
      <c r="BS346" t="s">
        <v>1070</v>
      </c>
      <c r="BT346" t="s">
        <v>1738</v>
      </c>
      <c r="BU346" s="1">
        <v>45565</v>
      </c>
      <c r="BV346">
        <v>35580</v>
      </c>
      <c r="BX346" t="s">
        <v>169</v>
      </c>
      <c r="BY346" t="s">
        <v>170</v>
      </c>
      <c r="CB346" t="s">
        <v>170</v>
      </c>
      <c r="CC346" t="s">
        <v>170</v>
      </c>
      <c r="CK346" t="s">
        <v>233</v>
      </c>
      <c r="CM346">
        <v>1</v>
      </c>
      <c r="CN346" t="s">
        <v>234</v>
      </c>
      <c r="CP346">
        <v>403</v>
      </c>
      <c r="CQ346">
        <v>231.7</v>
      </c>
      <c r="CR346">
        <v>172.8</v>
      </c>
      <c r="CS346" t="s">
        <v>235</v>
      </c>
      <c r="CV346" t="s">
        <v>341</v>
      </c>
      <c r="CX346" t="s">
        <v>1012</v>
      </c>
      <c r="CY346" t="s">
        <v>170</v>
      </c>
      <c r="DD346">
        <v>2</v>
      </c>
      <c r="DE346" t="s">
        <v>404</v>
      </c>
      <c r="DF346" t="s">
        <v>1972</v>
      </c>
      <c r="DG346" t="s">
        <v>1980</v>
      </c>
      <c r="DL346" t="s">
        <v>170</v>
      </c>
      <c r="DM346" t="s">
        <v>169</v>
      </c>
      <c r="DP346" t="s">
        <v>170</v>
      </c>
      <c r="DQ346" t="s">
        <v>187</v>
      </c>
      <c r="DR346" t="s">
        <v>1986</v>
      </c>
      <c r="EB346">
        <v>9</v>
      </c>
      <c r="EC346">
        <v>10</v>
      </c>
      <c r="EE346" t="s">
        <v>1982</v>
      </c>
      <c r="EF346">
        <v>10</v>
      </c>
      <c r="EU346">
        <v>3500</v>
      </c>
      <c r="EW346">
        <v>0</v>
      </c>
      <c r="EX346">
        <v>0</v>
      </c>
      <c r="EY346">
        <v>0</v>
      </c>
      <c r="FA346">
        <v>15</v>
      </c>
      <c r="FG346">
        <v>298</v>
      </c>
      <c r="FH346">
        <v>274</v>
      </c>
      <c r="FI346">
        <v>287</v>
      </c>
    </row>
    <row r="347" spans="1:165" x14ac:dyDescent="0.35">
      <c r="A347" s="25"/>
      <c r="B347" s="25"/>
      <c r="C347" s="25"/>
      <c r="D347" s="25"/>
      <c r="E347" s="25"/>
      <c r="F347" s="25" t="str">
        <f>_xlfn.CONCAT($A348," ",$B348," ",$D348)</f>
        <v>2025 Vinfast Trading and VF 6 Plus</v>
      </c>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c r="AD347" s="25" t="str">
        <f>_xlfn.CONCAT($A348," ",$B348," ",$D348)</f>
        <v>2025 Vinfast Trading and VF 6 Plus</v>
      </c>
      <c r="AE347" s="25"/>
      <c r="AF347" s="25"/>
      <c r="AG347" s="25"/>
      <c r="AH347" s="25"/>
      <c r="AI347" s="25"/>
      <c r="AJ347" s="25"/>
      <c r="AK347" s="25"/>
      <c r="AL347" s="25"/>
      <c r="AM347" s="25"/>
      <c r="AN347" s="25"/>
      <c r="AO347" s="25"/>
      <c r="AP347" s="25"/>
      <c r="AQ347" s="25"/>
      <c r="AR347" s="25"/>
      <c r="AS347" s="25"/>
      <c r="AT347" s="25"/>
      <c r="AU347" s="25"/>
      <c r="AV347" s="25"/>
      <c r="AW347" s="25"/>
      <c r="AX347" s="25" t="str">
        <f>_xlfn.CONCAT($A348," ",$B348," ",$D348)</f>
        <v>2025 Vinfast Trading and VF 6 Plus</v>
      </c>
      <c r="AY347" s="25"/>
      <c r="AZ347" s="25"/>
      <c r="BA347" s="25"/>
      <c r="BB347" s="25"/>
      <c r="BC347" s="25"/>
      <c r="BD347" s="25"/>
      <c r="BE347" s="25"/>
      <c r="BF347" s="25"/>
      <c r="BG347" s="25"/>
      <c r="BH347" s="25"/>
      <c r="BI347" s="25"/>
      <c r="BJ347" s="25"/>
      <c r="BK347" s="25"/>
      <c r="BL347" s="25"/>
      <c r="BM347" s="25"/>
      <c r="BN347" s="25"/>
      <c r="BO347" s="25"/>
      <c r="BP347" s="25"/>
      <c r="BQ347" s="25"/>
      <c r="BR347" s="25" t="str">
        <f>_xlfn.CONCAT($A348," ",$B348," ",$D348)</f>
        <v>2025 Vinfast Trading and VF 6 Plus</v>
      </c>
      <c r="BS347" s="25"/>
      <c r="BT347" s="25"/>
      <c r="BU347" s="25"/>
      <c r="BV347" s="25"/>
      <c r="BX347" s="25"/>
      <c r="BY347" s="25"/>
      <c r="BZ347" s="25"/>
      <c r="CA347" s="25"/>
      <c r="CB347" s="25"/>
      <c r="CC347" s="25"/>
      <c r="CD347" s="25"/>
      <c r="CE347" s="25"/>
      <c r="CF347" s="25"/>
      <c r="CG347" s="25"/>
      <c r="CH347" s="25"/>
      <c r="CI347" s="25"/>
      <c r="CJ347" s="25"/>
      <c r="CK347" s="25"/>
      <c r="CL347" s="25"/>
      <c r="CM347" s="25"/>
      <c r="CN347" s="25"/>
      <c r="CO347" s="25"/>
      <c r="CP347" s="25" t="str">
        <f>_xlfn.CONCAT($A348," ",$B348," ",$D348)</f>
        <v>2025 Vinfast Trading and VF 6 Plus</v>
      </c>
      <c r="CQ347" s="25"/>
      <c r="CR347" s="25"/>
      <c r="CS347" s="25"/>
      <c r="CT347" s="25"/>
      <c r="CU347" s="25"/>
      <c r="CV347" s="25"/>
      <c r="CW347" s="25"/>
      <c r="CX347" s="25"/>
      <c r="CY347" s="25"/>
      <c r="CZ347" s="25"/>
      <c r="DA347" s="25"/>
      <c r="DB347" s="25"/>
      <c r="DC347" s="25"/>
      <c r="DD347" s="25"/>
      <c r="DE347" s="25"/>
      <c r="DF347" s="25"/>
      <c r="DG347" s="25"/>
      <c r="DH347" s="25"/>
      <c r="DI347" s="25" t="str">
        <f>_xlfn.CONCAT($A348," ",$B348," ",$D348)</f>
        <v>2025 Vinfast Trading and VF 6 Plus</v>
      </c>
      <c r="DJ347" s="25"/>
      <c r="DK347" s="25"/>
      <c r="DL347" s="25"/>
      <c r="DM347" s="25"/>
      <c r="DN347" s="25"/>
      <c r="DO347" s="25"/>
      <c r="DP347" s="25"/>
      <c r="DQ347" s="25"/>
      <c r="DR347" s="25"/>
      <c r="DS347" s="25"/>
      <c r="DT347" s="25"/>
      <c r="DU347" s="25"/>
      <c r="DV347" s="25"/>
      <c r="DW347" s="25"/>
      <c r="DX347" s="25"/>
      <c r="DY347" s="25"/>
      <c r="DZ347" s="25" t="str">
        <f>_xlfn.CONCAT($A348," ",$B348," ",$D348)</f>
        <v>2025 Vinfast Trading and VF 6 Plus</v>
      </c>
      <c r="EB347" s="25"/>
      <c r="EC347" s="25"/>
      <c r="ED347" s="25"/>
      <c r="EE347" s="25"/>
      <c r="EF347" s="25"/>
      <c r="EG347" s="25"/>
      <c r="EH347" s="25"/>
      <c r="EI347" s="25"/>
      <c r="EJ347" s="25"/>
      <c r="EK347" s="25"/>
      <c r="EL347" s="25"/>
      <c r="EM347" s="25"/>
      <c r="EN347" s="25"/>
      <c r="EO347" s="25"/>
      <c r="EP347" s="25"/>
      <c r="EQ347" s="25"/>
      <c r="ER347" s="25"/>
      <c r="ES347" s="25"/>
      <c r="ET347" s="25"/>
      <c r="EU347" s="25"/>
      <c r="EV347" s="25" t="str">
        <f>_xlfn.CONCAT($A348," ",$B348," ",$D348)</f>
        <v>2025 Vinfast Trading and VF 6 Plus</v>
      </c>
      <c r="EW347" s="25"/>
      <c r="EX347" s="25"/>
      <c r="EY347" s="25"/>
      <c r="EZ347" s="25"/>
      <c r="FA347" s="25"/>
      <c r="FB347" s="25"/>
      <c r="FC347" s="25"/>
      <c r="FD347" s="25"/>
      <c r="FE347" s="25"/>
      <c r="FF347" s="25"/>
      <c r="FG347" s="25"/>
    </row>
    <row r="348" spans="1:165" x14ac:dyDescent="0.35">
      <c r="A348">
        <v>2025</v>
      </c>
      <c r="B348" t="s">
        <v>1968</v>
      </c>
      <c r="C348" t="s">
        <v>1969</v>
      </c>
      <c r="D348" t="s">
        <v>1970</v>
      </c>
      <c r="E348" t="s">
        <v>1971</v>
      </c>
      <c r="F348">
        <v>10</v>
      </c>
      <c r="G348">
        <v>0</v>
      </c>
      <c r="I348" t="s">
        <v>1734</v>
      </c>
      <c r="J348">
        <v>88</v>
      </c>
      <c r="K348">
        <v>82</v>
      </c>
      <c r="L348">
        <v>85</v>
      </c>
      <c r="M348">
        <v>126.2</v>
      </c>
      <c r="N348">
        <v>116.5</v>
      </c>
      <c r="O348">
        <v>121.64230000000001</v>
      </c>
      <c r="P348">
        <v>88.34</v>
      </c>
      <c r="Q348">
        <v>81.55</v>
      </c>
      <c r="R348">
        <v>85.149600000000007</v>
      </c>
      <c r="V348" t="s">
        <v>167</v>
      </c>
      <c r="W348" t="s">
        <v>168</v>
      </c>
      <c r="Y348">
        <v>1</v>
      </c>
      <c r="Z348" t="s">
        <v>170</v>
      </c>
      <c r="AA348" t="s">
        <v>170</v>
      </c>
      <c r="AB348" t="s">
        <v>351</v>
      </c>
      <c r="AC348" t="s">
        <v>352</v>
      </c>
      <c r="AF348">
        <v>176</v>
      </c>
      <c r="AG348" t="s">
        <v>1735</v>
      </c>
      <c r="AH348" t="s">
        <v>1736</v>
      </c>
      <c r="AI348" t="s">
        <v>175</v>
      </c>
      <c r="AJ348" t="s">
        <v>176</v>
      </c>
      <c r="AK348" t="s">
        <v>170</v>
      </c>
      <c r="AL348" t="s">
        <v>177</v>
      </c>
      <c r="AS348">
        <v>950</v>
      </c>
      <c r="AT348">
        <v>50</v>
      </c>
      <c r="BQ348">
        <v>17</v>
      </c>
      <c r="BR348" t="s">
        <v>1069</v>
      </c>
      <c r="BS348" t="s">
        <v>1070</v>
      </c>
      <c r="BT348" t="s">
        <v>1738</v>
      </c>
      <c r="BU348" s="1">
        <v>45663</v>
      </c>
      <c r="BV348">
        <v>36004</v>
      </c>
      <c r="BX348" t="s">
        <v>169</v>
      </c>
      <c r="CB348" t="s">
        <v>170</v>
      </c>
      <c r="CC348" t="s">
        <v>170</v>
      </c>
      <c r="CK348" t="s">
        <v>233</v>
      </c>
      <c r="CM348">
        <v>1</v>
      </c>
      <c r="CN348" t="s">
        <v>234</v>
      </c>
      <c r="CP348">
        <v>390</v>
      </c>
      <c r="CQ348">
        <v>156</v>
      </c>
      <c r="CR348">
        <v>122</v>
      </c>
      <c r="CS348" t="s">
        <v>235</v>
      </c>
      <c r="CV348" t="s">
        <v>341</v>
      </c>
      <c r="CX348" t="s">
        <v>729</v>
      </c>
      <c r="CY348" t="s">
        <v>170</v>
      </c>
      <c r="DD348">
        <v>1</v>
      </c>
      <c r="DE348" t="s">
        <v>404</v>
      </c>
      <c r="DF348" t="s">
        <v>1972</v>
      </c>
      <c r="DG348">
        <v>150</v>
      </c>
      <c r="DL348" t="s">
        <v>170</v>
      </c>
      <c r="DM348" t="s">
        <v>169</v>
      </c>
      <c r="DP348" t="s">
        <v>170</v>
      </c>
      <c r="DQ348" t="s">
        <v>187</v>
      </c>
      <c r="DR348" t="s">
        <v>1973</v>
      </c>
      <c r="EB348">
        <v>9</v>
      </c>
      <c r="EC348">
        <v>10</v>
      </c>
      <c r="EE348" t="s">
        <v>1974</v>
      </c>
      <c r="EF348">
        <v>10</v>
      </c>
      <c r="EU348">
        <v>4750</v>
      </c>
      <c r="EW348">
        <v>0</v>
      </c>
      <c r="EX348">
        <v>0</v>
      </c>
      <c r="EY348">
        <v>0</v>
      </c>
      <c r="FA348">
        <v>7.24</v>
      </c>
      <c r="FG348">
        <v>182</v>
      </c>
      <c r="FH348">
        <v>168</v>
      </c>
      <c r="FI348">
        <v>176</v>
      </c>
    </row>
    <row r="349" spans="1:165" x14ac:dyDescent="0.35">
      <c r="A349">
        <v>2025</v>
      </c>
      <c r="B349" t="s">
        <v>1968</v>
      </c>
      <c r="C349" t="s">
        <v>1969</v>
      </c>
      <c r="D349" t="s">
        <v>1970</v>
      </c>
      <c r="E349" t="s">
        <v>1971</v>
      </c>
      <c r="F349">
        <v>10</v>
      </c>
      <c r="G349">
        <v>0</v>
      </c>
      <c r="I349" t="s">
        <v>1734</v>
      </c>
      <c r="J349">
        <v>38</v>
      </c>
      <c r="K349">
        <v>41</v>
      </c>
      <c r="L349">
        <v>40</v>
      </c>
      <c r="M349">
        <v>26.697900000000001</v>
      </c>
      <c r="N349">
        <v>28.940999999999999</v>
      </c>
      <c r="O349">
        <v>27.7073</v>
      </c>
      <c r="P349">
        <v>38.153700000000001</v>
      </c>
      <c r="Q349">
        <v>41.330500000000001</v>
      </c>
      <c r="R349">
        <v>39.583300000000001</v>
      </c>
      <c r="V349" t="s">
        <v>167</v>
      </c>
      <c r="W349" t="s">
        <v>168</v>
      </c>
      <c r="Y349">
        <v>1</v>
      </c>
      <c r="Z349" t="s">
        <v>170</v>
      </c>
      <c r="AA349" t="s">
        <v>170</v>
      </c>
      <c r="AB349" t="s">
        <v>351</v>
      </c>
      <c r="AC349" t="s">
        <v>352</v>
      </c>
      <c r="AF349">
        <v>176</v>
      </c>
      <c r="AG349" t="s">
        <v>1735</v>
      </c>
      <c r="AH349" t="s">
        <v>1736</v>
      </c>
      <c r="AI349" t="s">
        <v>1742</v>
      </c>
      <c r="AJ349" t="s">
        <v>1743</v>
      </c>
      <c r="AK349" t="s">
        <v>170</v>
      </c>
      <c r="AL349" t="s">
        <v>177</v>
      </c>
      <c r="AS349">
        <v>950</v>
      </c>
      <c r="AT349">
        <v>950</v>
      </c>
      <c r="BQ349">
        <v>17</v>
      </c>
      <c r="BR349" t="s">
        <v>1069</v>
      </c>
      <c r="BS349" t="s">
        <v>1070</v>
      </c>
      <c r="BT349" t="s">
        <v>1738</v>
      </c>
      <c r="BU349" s="1">
        <v>45663</v>
      </c>
      <c r="BV349">
        <v>36004</v>
      </c>
      <c r="BX349" t="s">
        <v>169</v>
      </c>
      <c r="CB349" t="s">
        <v>170</v>
      </c>
      <c r="CC349" t="s">
        <v>170</v>
      </c>
      <c r="CK349" t="s">
        <v>233</v>
      </c>
      <c r="CM349">
        <v>1</v>
      </c>
      <c r="CN349" t="s">
        <v>234</v>
      </c>
      <c r="CP349">
        <v>390</v>
      </c>
      <c r="CQ349">
        <v>156</v>
      </c>
      <c r="CR349">
        <v>122</v>
      </c>
      <c r="CS349" t="s">
        <v>235</v>
      </c>
      <c r="CV349" t="s">
        <v>341</v>
      </c>
      <c r="CX349" t="s">
        <v>729</v>
      </c>
      <c r="CY349" t="s">
        <v>170</v>
      </c>
      <c r="DD349">
        <v>1</v>
      </c>
      <c r="DE349" t="s">
        <v>404</v>
      </c>
      <c r="DF349" t="s">
        <v>1972</v>
      </c>
      <c r="DG349">
        <v>150</v>
      </c>
      <c r="DL349" t="s">
        <v>170</v>
      </c>
      <c r="DM349" t="s">
        <v>169</v>
      </c>
      <c r="DP349" t="s">
        <v>170</v>
      </c>
      <c r="DQ349" t="s">
        <v>187</v>
      </c>
      <c r="DR349" t="s">
        <v>1973</v>
      </c>
      <c r="EB349">
        <v>9</v>
      </c>
      <c r="EC349">
        <v>10</v>
      </c>
      <c r="EE349" t="s">
        <v>1974</v>
      </c>
      <c r="EF349">
        <v>10</v>
      </c>
      <c r="EU349">
        <v>4750</v>
      </c>
      <c r="EW349">
        <v>0</v>
      </c>
      <c r="EX349">
        <v>0</v>
      </c>
      <c r="EY349">
        <v>0</v>
      </c>
      <c r="FA349">
        <v>7.24</v>
      </c>
      <c r="FG349">
        <v>182</v>
      </c>
      <c r="FH349">
        <v>168</v>
      </c>
      <c r="FI349">
        <v>176</v>
      </c>
    </row>
    <row r="350" spans="1:165" x14ac:dyDescent="0.35">
      <c r="A350" s="25"/>
      <c r="B350" s="25"/>
      <c r="C350" s="25"/>
      <c r="D350" s="25"/>
      <c r="E350" s="25"/>
      <c r="F350" s="25" t="str">
        <f>_xlfn.CONCAT($A351," ",$B351," ",$D351)</f>
        <v>2025 Honda Prologue FWD</v>
      </c>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c r="AD350" s="25" t="str">
        <f>_xlfn.CONCAT($A351," ",$B351," ",$D351)</f>
        <v>2025 Honda Prologue FWD</v>
      </c>
      <c r="AE350" s="25"/>
      <c r="AF350" s="25"/>
      <c r="AG350" s="25"/>
      <c r="AH350" s="25"/>
      <c r="AI350" s="25"/>
      <c r="AJ350" s="25"/>
      <c r="AK350" s="25"/>
      <c r="AL350" s="25"/>
      <c r="AM350" s="25"/>
      <c r="AN350" s="25"/>
      <c r="AO350" s="25"/>
      <c r="AP350" s="25"/>
      <c r="AQ350" s="25"/>
      <c r="AR350" s="25"/>
      <c r="AS350" s="25"/>
      <c r="AT350" s="25"/>
      <c r="AU350" s="25"/>
      <c r="AV350" s="25"/>
      <c r="AW350" s="25"/>
      <c r="AX350" s="25" t="str">
        <f>_xlfn.CONCAT($A351," ",$B351," ",$D351)</f>
        <v>2025 Honda Prologue FWD</v>
      </c>
      <c r="AY350" s="25"/>
      <c r="AZ350" s="25"/>
      <c r="BA350" s="25"/>
      <c r="BB350" s="25"/>
      <c r="BC350" s="25"/>
      <c r="BD350" s="25"/>
      <c r="BE350" s="25"/>
      <c r="BF350" s="25"/>
      <c r="BG350" s="25"/>
      <c r="BH350" s="25"/>
      <c r="BI350" s="25"/>
      <c r="BJ350" s="25"/>
      <c r="BK350" s="25"/>
      <c r="BL350" s="25"/>
      <c r="BM350" s="25"/>
      <c r="BN350" s="25"/>
      <c r="BO350" s="25"/>
      <c r="BP350" s="25"/>
      <c r="BQ350" s="25"/>
      <c r="BR350" s="25" t="str">
        <f>_xlfn.CONCAT($A351," ",$B351," ",$D351)</f>
        <v>2025 Honda Prologue FWD</v>
      </c>
      <c r="BS350" s="25"/>
      <c r="BT350" s="25"/>
      <c r="BU350" s="25"/>
      <c r="BV350" s="25"/>
      <c r="BX350" s="25"/>
      <c r="BY350" s="25"/>
      <c r="BZ350" s="25"/>
      <c r="CA350" s="25"/>
      <c r="CB350" s="25"/>
      <c r="CC350" s="25"/>
      <c r="CD350" s="25"/>
      <c r="CE350" s="25"/>
      <c r="CF350" s="25"/>
      <c r="CG350" s="25"/>
      <c r="CH350" s="25"/>
      <c r="CI350" s="25"/>
      <c r="CJ350" s="25"/>
      <c r="CK350" s="25"/>
      <c r="CL350" s="25"/>
      <c r="CM350" s="25"/>
      <c r="CN350" s="25"/>
      <c r="CO350" s="25"/>
      <c r="CP350" s="25" t="str">
        <f>_xlfn.CONCAT($A351," ",$B351," ",$D351)</f>
        <v>2025 Honda Prologue FWD</v>
      </c>
      <c r="CQ350" s="25"/>
      <c r="CR350" s="25"/>
      <c r="CS350" s="25"/>
      <c r="CT350" s="25"/>
      <c r="CU350" s="25"/>
      <c r="CV350" s="25"/>
      <c r="CW350" s="25"/>
      <c r="CX350" s="25"/>
      <c r="CY350" s="25"/>
      <c r="CZ350" s="25"/>
      <c r="DA350" s="25"/>
      <c r="DB350" s="25"/>
      <c r="DC350" s="25"/>
      <c r="DD350" s="25"/>
      <c r="DE350" s="25"/>
      <c r="DF350" s="25"/>
      <c r="DG350" s="25"/>
      <c r="DH350" s="25"/>
      <c r="DI350" s="25" t="str">
        <f>_xlfn.CONCAT($A351," ",$B351," ",$D351)</f>
        <v>2025 Honda Prologue FWD</v>
      </c>
      <c r="DJ350" s="25"/>
      <c r="DK350" s="25"/>
      <c r="DL350" s="25"/>
      <c r="DM350" s="25"/>
      <c r="DN350" s="25"/>
      <c r="DO350" s="25"/>
      <c r="DP350" s="25"/>
      <c r="DQ350" s="25"/>
      <c r="DR350" s="25"/>
      <c r="DS350" s="25"/>
      <c r="DT350" s="25"/>
      <c r="DU350" s="25"/>
      <c r="DV350" s="25"/>
      <c r="DW350" s="25"/>
      <c r="DX350" s="25"/>
      <c r="DY350" s="25"/>
      <c r="DZ350" s="25" t="str">
        <f>_xlfn.CONCAT($A351," ",$B351," ",$D351)</f>
        <v>2025 Honda Prologue FWD</v>
      </c>
      <c r="EB350" s="25"/>
      <c r="EC350" s="25"/>
      <c r="ED350" s="25"/>
      <c r="EE350" s="25"/>
      <c r="EF350" s="25"/>
      <c r="EG350" s="25"/>
      <c r="EH350" s="25"/>
      <c r="EI350" s="25"/>
      <c r="EJ350" s="25"/>
      <c r="EK350" s="25"/>
      <c r="EL350" s="25"/>
      <c r="EM350" s="25"/>
      <c r="EN350" s="25"/>
      <c r="EO350" s="25"/>
      <c r="EP350" s="25"/>
      <c r="EQ350" s="25"/>
      <c r="ER350" s="25"/>
      <c r="ES350" s="25"/>
      <c r="ET350" s="25"/>
      <c r="EU350" s="25"/>
      <c r="EV350" s="25" t="str">
        <f>_xlfn.CONCAT($A351," ",$B351," ",$D351)</f>
        <v>2025 Honda Prologue FWD</v>
      </c>
      <c r="EW350" s="25"/>
      <c r="EX350" s="25"/>
      <c r="EY350" s="25"/>
      <c r="EZ350" s="25"/>
      <c r="FA350" s="25"/>
      <c r="FB350" s="25"/>
      <c r="FC350" s="25"/>
      <c r="FD350" s="25"/>
      <c r="FE350" s="25"/>
      <c r="FF350" s="25"/>
      <c r="FG350" s="25"/>
    </row>
    <row r="351" spans="1:165" x14ac:dyDescent="0.35">
      <c r="A351">
        <v>2025</v>
      </c>
      <c r="B351" t="s">
        <v>517</v>
      </c>
      <c r="C351" t="s">
        <v>517</v>
      </c>
      <c r="D351" t="s">
        <v>1992</v>
      </c>
      <c r="E351" t="s">
        <v>520</v>
      </c>
      <c r="F351">
        <v>711</v>
      </c>
      <c r="G351">
        <v>0</v>
      </c>
      <c r="I351" t="s">
        <v>1734</v>
      </c>
      <c r="J351">
        <v>113</v>
      </c>
      <c r="K351">
        <v>94</v>
      </c>
      <c r="L351">
        <v>104</v>
      </c>
      <c r="M351">
        <v>161</v>
      </c>
      <c r="N351">
        <v>134.6</v>
      </c>
      <c r="O351">
        <v>147.94239999999999</v>
      </c>
      <c r="P351">
        <v>112.7</v>
      </c>
      <c r="Q351">
        <v>94.22</v>
      </c>
      <c r="R351">
        <v>103.55970000000001</v>
      </c>
      <c r="V351" t="s">
        <v>167</v>
      </c>
      <c r="W351" t="s">
        <v>168</v>
      </c>
      <c r="X351" t="s">
        <v>1850</v>
      </c>
      <c r="Y351">
        <v>1</v>
      </c>
      <c r="Z351" t="s">
        <v>170</v>
      </c>
      <c r="AA351" t="s">
        <v>170</v>
      </c>
      <c r="AB351" t="s">
        <v>351</v>
      </c>
      <c r="AC351" t="s">
        <v>352</v>
      </c>
      <c r="AF351">
        <v>308</v>
      </c>
      <c r="AG351" t="s">
        <v>1735</v>
      </c>
      <c r="AH351" t="s">
        <v>1736</v>
      </c>
      <c r="AI351" t="s">
        <v>175</v>
      </c>
      <c r="AJ351" t="s">
        <v>176</v>
      </c>
      <c r="AK351">
        <v>4</v>
      </c>
      <c r="AL351" t="s">
        <v>1737</v>
      </c>
      <c r="AO351">
        <v>107</v>
      </c>
      <c r="AP351">
        <v>26</v>
      </c>
      <c r="AS351">
        <v>800</v>
      </c>
      <c r="AT351">
        <v>0</v>
      </c>
      <c r="BQ351">
        <v>32</v>
      </c>
      <c r="BR351" t="s">
        <v>1453</v>
      </c>
      <c r="BT351" t="s">
        <v>1738</v>
      </c>
      <c r="BU351" s="1">
        <v>45717</v>
      </c>
      <c r="BV351">
        <v>36026</v>
      </c>
      <c r="BX351" t="s">
        <v>170</v>
      </c>
      <c r="BY351" t="s">
        <v>170</v>
      </c>
      <c r="CB351" t="s">
        <v>170</v>
      </c>
      <c r="CC351" t="s">
        <v>170</v>
      </c>
      <c r="CK351" t="s">
        <v>233</v>
      </c>
      <c r="CM351">
        <v>1</v>
      </c>
      <c r="CN351" t="s">
        <v>234</v>
      </c>
      <c r="CP351">
        <v>336</v>
      </c>
      <c r="CQ351">
        <v>290</v>
      </c>
      <c r="CR351">
        <v>156</v>
      </c>
      <c r="CS351" t="s">
        <v>1752</v>
      </c>
      <c r="CV351" t="s">
        <v>341</v>
      </c>
      <c r="CX351" t="s">
        <v>729</v>
      </c>
      <c r="CY351" t="s">
        <v>170</v>
      </c>
      <c r="DD351">
        <v>1</v>
      </c>
      <c r="DE351" t="s">
        <v>404</v>
      </c>
      <c r="DF351" t="s">
        <v>1860</v>
      </c>
      <c r="DG351">
        <v>180</v>
      </c>
      <c r="DL351" t="s">
        <v>170</v>
      </c>
      <c r="DM351" t="s">
        <v>169</v>
      </c>
      <c r="DP351" t="s">
        <v>170</v>
      </c>
      <c r="DQ351" t="s">
        <v>187</v>
      </c>
      <c r="DR351" t="s">
        <v>1993</v>
      </c>
      <c r="EB351">
        <v>9</v>
      </c>
      <c r="EC351">
        <v>10</v>
      </c>
      <c r="EE351" t="s">
        <v>1994</v>
      </c>
      <c r="EF351">
        <v>10</v>
      </c>
      <c r="EU351">
        <v>5500</v>
      </c>
      <c r="EW351">
        <v>0</v>
      </c>
      <c r="EX351">
        <v>0</v>
      </c>
      <c r="EY351">
        <v>0</v>
      </c>
      <c r="FA351">
        <v>9.5</v>
      </c>
      <c r="FG351">
        <v>333</v>
      </c>
      <c r="FH351">
        <v>278</v>
      </c>
      <c r="FI351">
        <v>308</v>
      </c>
    </row>
    <row r="352" spans="1:165" x14ac:dyDescent="0.35">
      <c r="A352">
        <v>2025</v>
      </c>
      <c r="B352" t="s">
        <v>517</v>
      </c>
      <c r="C352" t="s">
        <v>517</v>
      </c>
      <c r="D352" t="s">
        <v>1992</v>
      </c>
      <c r="E352" t="s">
        <v>520</v>
      </c>
      <c r="F352">
        <v>711</v>
      </c>
      <c r="G352">
        <v>0</v>
      </c>
      <c r="I352" t="s">
        <v>1734</v>
      </c>
      <c r="J352">
        <v>30</v>
      </c>
      <c r="K352">
        <v>36</v>
      </c>
      <c r="L352">
        <v>33</v>
      </c>
      <c r="M352">
        <v>20.9299</v>
      </c>
      <c r="N352">
        <v>25.035699999999999</v>
      </c>
      <c r="O352">
        <v>22.7775</v>
      </c>
      <c r="P352">
        <v>29.9068</v>
      </c>
      <c r="Q352">
        <v>35.7727</v>
      </c>
      <c r="R352">
        <v>32.546500000000002</v>
      </c>
      <c r="V352" t="s">
        <v>167</v>
      </c>
      <c r="W352" t="s">
        <v>168</v>
      </c>
      <c r="X352" t="s">
        <v>1850</v>
      </c>
      <c r="Y352">
        <v>1</v>
      </c>
      <c r="Z352" t="s">
        <v>170</v>
      </c>
      <c r="AA352" t="s">
        <v>170</v>
      </c>
      <c r="AB352" t="s">
        <v>351</v>
      </c>
      <c r="AC352" t="s">
        <v>352</v>
      </c>
      <c r="AF352">
        <v>308</v>
      </c>
      <c r="AG352" t="s">
        <v>1735</v>
      </c>
      <c r="AH352" t="s">
        <v>1736</v>
      </c>
      <c r="AI352" t="s">
        <v>1742</v>
      </c>
      <c r="AJ352" t="s">
        <v>1743</v>
      </c>
      <c r="AK352">
        <v>4</v>
      </c>
      <c r="AL352" t="s">
        <v>1737</v>
      </c>
      <c r="AO352">
        <v>107</v>
      </c>
      <c r="AP352">
        <v>26</v>
      </c>
      <c r="AS352">
        <v>800</v>
      </c>
      <c r="AT352">
        <v>800</v>
      </c>
      <c r="BQ352">
        <v>32</v>
      </c>
      <c r="BR352" t="s">
        <v>1453</v>
      </c>
      <c r="BT352" t="s">
        <v>1738</v>
      </c>
      <c r="BU352" s="1">
        <v>45717</v>
      </c>
      <c r="BV352">
        <v>36026</v>
      </c>
      <c r="BX352" t="s">
        <v>170</v>
      </c>
      <c r="BY352" t="s">
        <v>170</v>
      </c>
      <c r="CB352" t="s">
        <v>170</v>
      </c>
      <c r="CC352" t="s">
        <v>170</v>
      </c>
      <c r="CK352" t="s">
        <v>233</v>
      </c>
      <c r="CM352">
        <v>1</v>
      </c>
      <c r="CN352" t="s">
        <v>234</v>
      </c>
      <c r="CP352">
        <v>336</v>
      </c>
      <c r="CQ352">
        <v>290</v>
      </c>
      <c r="CR352">
        <v>156</v>
      </c>
      <c r="CS352" t="s">
        <v>1752</v>
      </c>
      <c r="CV352" t="s">
        <v>341</v>
      </c>
      <c r="CX352" t="s">
        <v>729</v>
      </c>
      <c r="CY352" t="s">
        <v>170</v>
      </c>
      <c r="DD352">
        <v>1</v>
      </c>
      <c r="DE352" t="s">
        <v>404</v>
      </c>
      <c r="DF352" t="s">
        <v>1860</v>
      </c>
      <c r="DG352">
        <v>180</v>
      </c>
      <c r="DL352" t="s">
        <v>170</v>
      </c>
      <c r="DM352" t="s">
        <v>169</v>
      </c>
      <c r="DP352" t="s">
        <v>170</v>
      </c>
      <c r="DQ352" t="s">
        <v>187</v>
      </c>
      <c r="DR352" t="s">
        <v>1993</v>
      </c>
      <c r="EB352">
        <v>9</v>
      </c>
      <c r="EC352">
        <v>10</v>
      </c>
      <c r="EE352" t="s">
        <v>1994</v>
      </c>
      <c r="EF352">
        <v>10</v>
      </c>
      <c r="EU352">
        <v>5500</v>
      </c>
      <c r="EW352">
        <v>0</v>
      </c>
      <c r="EX352">
        <v>0</v>
      </c>
      <c r="EY352">
        <v>0</v>
      </c>
      <c r="FA352">
        <v>9.5</v>
      </c>
      <c r="FG352">
        <v>333</v>
      </c>
      <c r="FH352">
        <v>278</v>
      </c>
      <c r="FI352">
        <v>308</v>
      </c>
    </row>
    <row r="353" spans="1:165" x14ac:dyDescent="0.35">
      <c r="A353" s="25"/>
      <c r="B353" s="25"/>
      <c r="C353" s="25"/>
      <c r="D353" s="25"/>
      <c r="E353" s="25"/>
      <c r="F353" s="25" t="str">
        <f>_xlfn.CONCAT($A354," ",$B354," ",$D354)</f>
        <v>2025 Honda Prologue AWD Touring</v>
      </c>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c r="AD353" s="25" t="str">
        <f>_xlfn.CONCAT($A354," ",$B354," ",$D354)</f>
        <v>2025 Honda Prologue AWD Touring</v>
      </c>
      <c r="AE353" s="25"/>
      <c r="AF353" s="25"/>
      <c r="AG353" s="25"/>
      <c r="AH353" s="25"/>
      <c r="AI353" s="25"/>
      <c r="AJ353" s="25"/>
      <c r="AK353" s="25"/>
      <c r="AL353" s="25"/>
      <c r="AM353" s="25"/>
      <c r="AN353" s="25"/>
      <c r="AO353" s="25"/>
      <c r="AP353" s="25"/>
      <c r="AQ353" s="25"/>
      <c r="AR353" s="25"/>
      <c r="AS353" s="25"/>
      <c r="AT353" s="25"/>
      <c r="AU353" s="25"/>
      <c r="AV353" s="25"/>
      <c r="AW353" s="25"/>
      <c r="AX353" s="25" t="str">
        <f>_xlfn.CONCAT($A354," ",$B354," ",$D354)</f>
        <v>2025 Honda Prologue AWD Touring</v>
      </c>
      <c r="AY353" s="25"/>
      <c r="AZ353" s="25"/>
      <c r="BA353" s="25"/>
      <c r="BB353" s="25"/>
      <c r="BC353" s="25"/>
      <c r="BD353" s="25"/>
      <c r="BE353" s="25"/>
      <c r="BF353" s="25"/>
      <c r="BG353" s="25"/>
      <c r="BH353" s="25"/>
      <c r="BI353" s="25"/>
      <c r="BJ353" s="25"/>
      <c r="BK353" s="25"/>
      <c r="BL353" s="25"/>
      <c r="BM353" s="25"/>
      <c r="BN353" s="25"/>
      <c r="BO353" s="25"/>
      <c r="BP353" s="25"/>
      <c r="BQ353" s="25"/>
      <c r="BR353" s="25" t="str">
        <f>_xlfn.CONCAT($A354," ",$B354," ",$D354)</f>
        <v>2025 Honda Prologue AWD Touring</v>
      </c>
      <c r="BS353" s="25"/>
      <c r="BT353" s="25"/>
      <c r="BU353" s="25"/>
      <c r="BV353" s="25"/>
      <c r="BX353" s="25"/>
      <c r="BY353" s="25"/>
      <c r="BZ353" s="25"/>
      <c r="CA353" s="25"/>
      <c r="CB353" s="25"/>
      <c r="CC353" s="25"/>
      <c r="CD353" s="25"/>
      <c r="CE353" s="25"/>
      <c r="CF353" s="25"/>
      <c r="CG353" s="25"/>
      <c r="CH353" s="25"/>
      <c r="CI353" s="25"/>
      <c r="CJ353" s="25"/>
      <c r="CK353" s="25"/>
      <c r="CL353" s="25"/>
      <c r="CM353" s="25"/>
      <c r="CN353" s="25"/>
      <c r="CO353" s="25"/>
      <c r="CP353" s="25" t="str">
        <f>_xlfn.CONCAT($A354," ",$B354," ",$D354)</f>
        <v>2025 Honda Prologue AWD Touring</v>
      </c>
      <c r="CQ353" s="25"/>
      <c r="CR353" s="25"/>
      <c r="CS353" s="25"/>
      <c r="CT353" s="25"/>
      <c r="CU353" s="25"/>
      <c r="CV353" s="25"/>
      <c r="CW353" s="25"/>
      <c r="CX353" s="25"/>
      <c r="CY353" s="25"/>
      <c r="CZ353" s="25"/>
      <c r="DA353" s="25"/>
      <c r="DB353" s="25"/>
      <c r="DC353" s="25"/>
      <c r="DD353" s="25"/>
      <c r="DE353" s="25"/>
      <c r="DF353" s="25"/>
      <c r="DG353" s="25"/>
      <c r="DH353" s="25"/>
      <c r="DI353" s="25" t="str">
        <f>_xlfn.CONCAT($A354," ",$B354," ",$D354)</f>
        <v>2025 Honda Prologue AWD Touring</v>
      </c>
      <c r="DJ353" s="25"/>
      <c r="DK353" s="25"/>
      <c r="DL353" s="25"/>
      <c r="DM353" s="25"/>
      <c r="DN353" s="25"/>
      <c r="DO353" s="25"/>
      <c r="DP353" s="25"/>
      <c r="DQ353" s="25"/>
      <c r="DR353" s="25"/>
      <c r="DS353" s="25"/>
      <c r="DT353" s="25"/>
      <c r="DU353" s="25"/>
      <c r="DV353" s="25"/>
      <c r="DW353" s="25"/>
      <c r="DX353" s="25"/>
      <c r="DY353" s="25"/>
      <c r="DZ353" s="25" t="str">
        <f>_xlfn.CONCAT($A354," ",$B354," ",$D354)</f>
        <v>2025 Honda Prologue AWD Touring</v>
      </c>
      <c r="EB353" s="25"/>
      <c r="EC353" s="25"/>
      <c r="ED353" s="25"/>
      <c r="EE353" s="25"/>
      <c r="EF353" s="25"/>
      <c r="EG353" s="25"/>
      <c r="EH353" s="25"/>
      <c r="EI353" s="25"/>
      <c r="EJ353" s="25"/>
      <c r="EK353" s="25"/>
      <c r="EL353" s="25"/>
      <c r="EM353" s="25"/>
      <c r="EN353" s="25"/>
      <c r="EO353" s="25"/>
      <c r="EP353" s="25"/>
      <c r="EQ353" s="25"/>
      <c r="ER353" s="25"/>
      <c r="ES353" s="25"/>
      <c r="ET353" s="25"/>
      <c r="EU353" s="25"/>
      <c r="EV353" s="25" t="str">
        <f>_xlfn.CONCAT($A354," ",$B354," ",$D354)</f>
        <v>2025 Honda Prologue AWD Touring</v>
      </c>
      <c r="EW353" s="25"/>
      <c r="EX353" s="25"/>
      <c r="EY353" s="25"/>
      <c r="EZ353" s="25"/>
      <c r="FA353" s="25"/>
      <c r="FB353" s="25"/>
      <c r="FC353" s="25"/>
      <c r="FD353" s="25"/>
      <c r="FE353" s="25"/>
      <c r="FF353" s="25"/>
      <c r="FG353" s="25"/>
    </row>
    <row r="354" spans="1:165" x14ac:dyDescent="0.35">
      <c r="A354">
        <v>2025</v>
      </c>
      <c r="B354" t="s">
        <v>517</v>
      </c>
      <c r="C354" t="s">
        <v>517</v>
      </c>
      <c r="D354" t="s">
        <v>1987</v>
      </c>
      <c r="E354" t="s">
        <v>520</v>
      </c>
      <c r="F354">
        <v>712</v>
      </c>
      <c r="G354">
        <v>0</v>
      </c>
      <c r="I354" t="s">
        <v>1734</v>
      </c>
      <c r="J354">
        <v>108</v>
      </c>
      <c r="K354">
        <v>90</v>
      </c>
      <c r="L354">
        <v>99</v>
      </c>
      <c r="M354">
        <v>153.96270000000001</v>
      </c>
      <c r="N354">
        <v>128.42339999999999</v>
      </c>
      <c r="O354">
        <v>141.31620000000001</v>
      </c>
      <c r="P354">
        <v>107.7739</v>
      </c>
      <c r="Q354">
        <v>89.8964</v>
      </c>
      <c r="R354">
        <v>98.921300000000002</v>
      </c>
      <c r="V354" t="s">
        <v>167</v>
      </c>
      <c r="W354" t="s">
        <v>168</v>
      </c>
      <c r="X354" t="s">
        <v>1850</v>
      </c>
      <c r="Y354">
        <v>1</v>
      </c>
      <c r="Z354" t="s">
        <v>170</v>
      </c>
      <c r="AA354" t="s">
        <v>170</v>
      </c>
      <c r="AB354" t="s">
        <v>167</v>
      </c>
      <c r="AC354" t="s">
        <v>213</v>
      </c>
      <c r="AF354">
        <v>294</v>
      </c>
      <c r="AG354" t="s">
        <v>1735</v>
      </c>
      <c r="AH354" t="s">
        <v>1736</v>
      </c>
      <c r="AI354" t="s">
        <v>175</v>
      </c>
      <c r="AJ354" t="s">
        <v>176</v>
      </c>
      <c r="AK354">
        <v>4</v>
      </c>
      <c r="AL354" t="s">
        <v>1737</v>
      </c>
      <c r="AO354">
        <v>107</v>
      </c>
      <c r="AP354">
        <v>26</v>
      </c>
      <c r="AS354">
        <v>800</v>
      </c>
      <c r="AT354">
        <v>0</v>
      </c>
      <c r="BQ354">
        <v>33</v>
      </c>
      <c r="BR354" t="s">
        <v>1497</v>
      </c>
      <c r="BT354" t="s">
        <v>1738</v>
      </c>
      <c r="BU354" s="1">
        <v>45352</v>
      </c>
      <c r="BV354">
        <v>36028</v>
      </c>
      <c r="BX354" t="s">
        <v>170</v>
      </c>
      <c r="BY354" t="s">
        <v>170</v>
      </c>
      <c r="CB354" t="s">
        <v>170</v>
      </c>
      <c r="CC354" t="s">
        <v>170</v>
      </c>
      <c r="CK354" t="s">
        <v>233</v>
      </c>
      <c r="CM354">
        <v>1</v>
      </c>
      <c r="CN354" t="s">
        <v>234</v>
      </c>
      <c r="CP354">
        <v>336</v>
      </c>
      <c r="CQ354">
        <v>290</v>
      </c>
      <c r="CR354">
        <v>156</v>
      </c>
      <c r="CS354" t="s">
        <v>1752</v>
      </c>
      <c r="CV354" t="s">
        <v>341</v>
      </c>
      <c r="CX354" t="s">
        <v>342</v>
      </c>
      <c r="CY354" t="s">
        <v>169</v>
      </c>
      <c r="DD354">
        <v>2</v>
      </c>
      <c r="DE354" t="s">
        <v>404</v>
      </c>
      <c r="DF354" t="s">
        <v>1988</v>
      </c>
      <c r="DG354" t="s">
        <v>1865</v>
      </c>
      <c r="DL354" t="s">
        <v>170</v>
      </c>
      <c r="DM354" t="s">
        <v>169</v>
      </c>
      <c r="DP354" t="s">
        <v>170</v>
      </c>
      <c r="DQ354" t="s">
        <v>187</v>
      </c>
      <c r="DR354" t="s">
        <v>1989</v>
      </c>
      <c r="EB354">
        <v>9</v>
      </c>
      <c r="EC354">
        <v>10</v>
      </c>
      <c r="EE354" t="s">
        <v>1990</v>
      </c>
      <c r="EF354">
        <v>10</v>
      </c>
      <c r="EU354">
        <v>5500</v>
      </c>
      <c r="EW354">
        <v>0</v>
      </c>
      <c r="EX354">
        <v>0</v>
      </c>
      <c r="EY354">
        <v>0</v>
      </c>
      <c r="FA354">
        <v>9.5</v>
      </c>
      <c r="FG354">
        <v>318</v>
      </c>
      <c r="FH354">
        <v>265</v>
      </c>
      <c r="FI354">
        <v>294</v>
      </c>
    </row>
    <row r="355" spans="1:165" x14ac:dyDescent="0.35">
      <c r="A355">
        <v>2025</v>
      </c>
      <c r="B355" t="s">
        <v>517</v>
      </c>
      <c r="C355" t="s">
        <v>517</v>
      </c>
      <c r="D355" t="s">
        <v>1987</v>
      </c>
      <c r="E355" t="s">
        <v>520</v>
      </c>
      <c r="F355">
        <v>712</v>
      </c>
      <c r="G355">
        <v>0</v>
      </c>
      <c r="I355" t="s">
        <v>1734</v>
      </c>
      <c r="J355">
        <v>31</v>
      </c>
      <c r="K355">
        <v>37</v>
      </c>
      <c r="L355">
        <v>34</v>
      </c>
      <c r="M355">
        <v>21.872299999999999</v>
      </c>
      <c r="N355">
        <v>26.242999999999999</v>
      </c>
      <c r="O355">
        <v>23.839099999999998</v>
      </c>
      <c r="P355">
        <v>31.246200000000002</v>
      </c>
      <c r="Q355">
        <v>37.490099999999998</v>
      </c>
      <c r="R355">
        <v>33.777700000000003</v>
      </c>
      <c r="V355" t="s">
        <v>167</v>
      </c>
      <c r="W355" t="s">
        <v>168</v>
      </c>
      <c r="X355" t="s">
        <v>1850</v>
      </c>
      <c r="Y355">
        <v>1</v>
      </c>
      <c r="Z355" t="s">
        <v>170</v>
      </c>
      <c r="AA355" t="s">
        <v>170</v>
      </c>
      <c r="AB355" t="s">
        <v>167</v>
      </c>
      <c r="AC355" t="s">
        <v>213</v>
      </c>
      <c r="AF355">
        <v>294</v>
      </c>
      <c r="AG355" t="s">
        <v>1735</v>
      </c>
      <c r="AH355" t="s">
        <v>1736</v>
      </c>
      <c r="AI355" t="s">
        <v>1742</v>
      </c>
      <c r="AJ355" t="s">
        <v>1743</v>
      </c>
      <c r="AK355">
        <v>4</v>
      </c>
      <c r="AL355" t="s">
        <v>1737</v>
      </c>
      <c r="AO355">
        <v>107</v>
      </c>
      <c r="AP355">
        <v>26</v>
      </c>
      <c r="AS355">
        <v>800</v>
      </c>
      <c r="AT355">
        <v>800</v>
      </c>
      <c r="BQ355">
        <v>33</v>
      </c>
      <c r="BR355" t="s">
        <v>1497</v>
      </c>
      <c r="BT355" t="s">
        <v>1738</v>
      </c>
      <c r="BU355" s="1">
        <v>45352</v>
      </c>
      <c r="BV355">
        <v>36028</v>
      </c>
      <c r="BX355" t="s">
        <v>170</v>
      </c>
      <c r="BY355" t="s">
        <v>170</v>
      </c>
      <c r="CB355" t="s">
        <v>170</v>
      </c>
      <c r="CC355" t="s">
        <v>170</v>
      </c>
      <c r="CK355" t="s">
        <v>233</v>
      </c>
      <c r="CM355">
        <v>1</v>
      </c>
      <c r="CN355" t="s">
        <v>234</v>
      </c>
      <c r="CP355">
        <v>336</v>
      </c>
      <c r="CQ355">
        <v>290</v>
      </c>
      <c r="CR355">
        <v>156</v>
      </c>
      <c r="CS355" t="s">
        <v>1752</v>
      </c>
      <c r="CV355" t="s">
        <v>341</v>
      </c>
      <c r="CX355" t="s">
        <v>342</v>
      </c>
      <c r="CY355" t="s">
        <v>169</v>
      </c>
      <c r="DD355">
        <v>2</v>
      </c>
      <c r="DE355" t="s">
        <v>404</v>
      </c>
      <c r="DF355" t="s">
        <v>1988</v>
      </c>
      <c r="DG355" t="s">
        <v>1865</v>
      </c>
      <c r="DL355" t="s">
        <v>170</v>
      </c>
      <c r="DM355" t="s">
        <v>169</v>
      </c>
      <c r="DP355" t="s">
        <v>170</v>
      </c>
      <c r="DQ355" t="s">
        <v>187</v>
      </c>
      <c r="DR355" t="s">
        <v>1989</v>
      </c>
      <c r="EB355">
        <v>9</v>
      </c>
      <c r="EC355">
        <v>10</v>
      </c>
      <c r="EE355" t="s">
        <v>1990</v>
      </c>
      <c r="EF355">
        <v>10</v>
      </c>
      <c r="EU355">
        <v>5500</v>
      </c>
      <c r="EW355">
        <v>0</v>
      </c>
      <c r="EX355">
        <v>0</v>
      </c>
      <c r="EY355">
        <v>0</v>
      </c>
      <c r="FA355">
        <v>9.5</v>
      </c>
      <c r="FG355">
        <v>318</v>
      </c>
      <c r="FH355">
        <v>265</v>
      </c>
      <c r="FI355">
        <v>294</v>
      </c>
    </row>
    <row r="356" spans="1:165" x14ac:dyDescent="0.35">
      <c r="A356" s="25"/>
      <c r="B356" s="25"/>
      <c r="C356" s="25"/>
      <c r="D356" s="25"/>
      <c r="E356" s="25"/>
      <c r="F356" s="25" t="str">
        <f>_xlfn.CONCAT($A357," ",$B357," ",$D357)</f>
        <v>2025 Honda Prologue AWD Elite</v>
      </c>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c r="AD356" s="25" t="str">
        <f>_xlfn.CONCAT($A357," ",$B357," ",$D357)</f>
        <v>2025 Honda Prologue AWD Elite</v>
      </c>
      <c r="AE356" s="25"/>
      <c r="AF356" s="25"/>
      <c r="AG356" s="25"/>
      <c r="AH356" s="25"/>
      <c r="AI356" s="25"/>
      <c r="AJ356" s="25"/>
      <c r="AK356" s="25"/>
      <c r="AL356" s="25"/>
      <c r="AM356" s="25"/>
      <c r="AN356" s="25"/>
      <c r="AO356" s="25"/>
      <c r="AP356" s="25"/>
      <c r="AQ356" s="25"/>
      <c r="AR356" s="25"/>
      <c r="AS356" s="25"/>
      <c r="AT356" s="25"/>
      <c r="AU356" s="25"/>
      <c r="AV356" s="25"/>
      <c r="AW356" s="25"/>
      <c r="AX356" s="25" t="str">
        <f>_xlfn.CONCAT($A357," ",$B357," ",$D357)</f>
        <v>2025 Honda Prologue AWD Elite</v>
      </c>
      <c r="AY356" s="25"/>
      <c r="AZ356" s="25"/>
      <c r="BA356" s="25"/>
      <c r="BB356" s="25"/>
      <c r="BC356" s="25"/>
      <c r="BD356" s="25"/>
      <c r="BE356" s="25"/>
      <c r="BF356" s="25"/>
      <c r="BG356" s="25"/>
      <c r="BH356" s="25"/>
      <c r="BI356" s="25"/>
      <c r="BJ356" s="25"/>
      <c r="BK356" s="25"/>
      <c r="BL356" s="25"/>
      <c r="BM356" s="25"/>
      <c r="BN356" s="25"/>
      <c r="BO356" s="25"/>
      <c r="BP356" s="25"/>
      <c r="BQ356" s="25"/>
      <c r="BR356" s="25" t="str">
        <f>_xlfn.CONCAT($A357," ",$B357," ",$D357)</f>
        <v>2025 Honda Prologue AWD Elite</v>
      </c>
      <c r="BS356" s="25"/>
      <c r="BT356" s="25"/>
      <c r="BU356" s="25"/>
      <c r="BV356" s="25"/>
      <c r="BX356" s="25"/>
      <c r="BY356" s="25"/>
      <c r="BZ356" s="25"/>
      <c r="CA356" s="25"/>
      <c r="CB356" s="25"/>
      <c r="CC356" s="25"/>
      <c r="CD356" s="25"/>
      <c r="CE356" s="25"/>
      <c r="CF356" s="25"/>
      <c r="CG356" s="25"/>
      <c r="CH356" s="25"/>
      <c r="CI356" s="25"/>
      <c r="CJ356" s="25"/>
      <c r="CK356" s="25"/>
      <c r="CL356" s="25"/>
      <c r="CM356" s="25"/>
      <c r="CN356" s="25"/>
      <c r="CO356" s="25"/>
      <c r="CP356" s="25" t="str">
        <f>_xlfn.CONCAT($A357," ",$B357," ",$D357)</f>
        <v>2025 Honda Prologue AWD Elite</v>
      </c>
      <c r="CQ356" s="25"/>
      <c r="CR356" s="25"/>
      <c r="CS356" s="25"/>
      <c r="CT356" s="25"/>
      <c r="CU356" s="25"/>
      <c r="CV356" s="25"/>
      <c r="CW356" s="25"/>
      <c r="CX356" s="25"/>
      <c r="CY356" s="25"/>
      <c r="CZ356" s="25"/>
      <c r="DA356" s="25"/>
      <c r="DB356" s="25"/>
      <c r="DC356" s="25"/>
      <c r="DD356" s="25"/>
      <c r="DE356" s="25"/>
      <c r="DF356" s="25"/>
      <c r="DG356" s="25"/>
      <c r="DH356" s="25"/>
      <c r="DI356" s="25" t="str">
        <f>_xlfn.CONCAT($A357," ",$B357," ",$D357)</f>
        <v>2025 Honda Prologue AWD Elite</v>
      </c>
      <c r="DJ356" s="25"/>
      <c r="DK356" s="25"/>
      <c r="DL356" s="25"/>
      <c r="DM356" s="25"/>
      <c r="DN356" s="25"/>
      <c r="DO356" s="25"/>
      <c r="DP356" s="25"/>
      <c r="DQ356" s="25"/>
      <c r="DR356" s="25"/>
      <c r="DS356" s="25"/>
      <c r="DT356" s="25"/>
      <c r="DU356" s="25"/>
      <c r="DV356" s="25"/>
      <c r="DW356" s="25"/>
      <c r="DX356" s="25"/>
      <c r="DY356" s="25"/>
      <c r="DZ356" s="25" t="str">
        <f>_xlfn.CONCAT($A357," ",$B357," ",$D357)</f>
        <v>2025 Honda Prologue AWD Elite</v>
      </c>
      <c r="EB356" s="25"/>
      <c r="EC356" s="25"/>
      <c r="ED356" s="25"/>
      <c r="EE356" s="25"/>
      <c r="EF356" s="25"/>
      <c r="EG356" s="25"/>
      <c r="EH356" s="25"/>
      <c r="EI356" s="25"/>
      <c r="EJ356" s="25"/>
      <c r="EK356" s="25"/>
      <c r="EL356" s="25"/>
      <c r="EM356" s="25"/>
      <c r="EN356" s="25"/>
      <c r="EO356" s="25"/>
      <c r="EP356" s="25"/>
      <c r="EQ356" s="25"/>
      <c r="ER356" s="25"/>
      <c r="ES356" s="25"/>
      <c r="ET356" s="25"/>
      <c r="EU356" s="25"/>
      <c r="EV356" s="25" t="str">
        <f>_xlfn.CONCAT($A357," ",$B357," ",$D357)</f>
        <v>2025 Honda Prologue AWD Elite</v>
      </c>
      <c r="EW356" s="25"/>
      <c r="EX356" s="25"/>
      <c r="EY356" s="25"/>
      <c r="EZ356" s="25"/>
      <c r="FA356" s="25"/>
      <c r="FB356" s="25"/>
      <c r="FC356" s="25"/>
      <c r="FD356" s="25"/>
      <c r="FE356" s="25"/>
      <c r="FF356" s="25"/>
      <c r="FG356" s="25"/>
    </row>
    <row r="357" spans="1:165" x14ac:dyDescent="0.35">
      <c r="A357">
        <v>2025</v>
      </c>
      <c r="B357" t="s">
        <v>517</v>
      </c>
      <c r="C357" t="s">
        <v>517</v>
      </c>
      <c r="D357" t="s">
        <v>1991</v>
      </c>
      <c r="E357" t="s">
        <v>520</v>
      </c>
      <c r="F357">
        <v>713</v>
      </c>
      <c r="G357">
        <v>0</v>
      </c>
      <c r="I357" t="s">
        <v>1734</v>
      </c>
      <c r="J357">
        <v>104</v>
      </c>
      <c r="K357">
        <v>87</v>
      </c>
      <c r="L357">
        <v>95</v>
      </c>
      <c r="M357">
        <v>148.6</v>
      </c>
      <c r="N357">
        <v>124</v>
      </c>
      <c r="O357">
        <v>136.4211</v>
      </c>
      <c r="P357">
        <v>104.02</v>
      </c>
      <c r="Q357">
        <v>86.8</v>
      </c>
      <c r="R357">
        <v>95.494799999999998</v>
      </c>
      <c r="V357" t="s">
        <v>167</v>
      </c>
      <c r="W357" t="s">
        <v>168</v>
      </c>
      <c r="X357" t="s">
        <v>1850</v>
      </c>
      <c r="Y357">
        <v>1</v>
      </c>
      <c r="Z357" t="s">
        <v>170</v>
      </c>
      <c r="AA357" t="s">
        <v>170</v>
      </c>
      <c r="AB357" t="s">
        <v>167</v>
      </c>
      <c r="AC357" t="s">
        <v>213</v>
      </c>
      <c r="AF357">
        <v>283</v>
      </c>
      <c r="AG357" t="s">
        <v>1735</v>
      </c>
      <c r="AH357" t="s">
        <v>1736</v>
      </c>
      <c r="AI357" t="s">
        <v>175</v>
      </c>
      <c r="AJ357" t="s">
        <v>176</v>
      </c>
      <c r="AK357">
        <v>4</v>
      </c>
      <c r="AL357" t="s">
        <v>1737</v>
      </c>
      <c r="AO357">
        <v>107</v>
      </c>
      <c r="AP357">
        <v>26</v>
      </c>
      <c r="AS357">
        <v>850</v>
      </c>
      <c r="AT357">
        <v>50</v>
      </c>
      <c r="BQ357">
        <v>33</v>
      </c>
      <c r="BR357" t="s">
        <v>1497</v>
      </c>
      <c r="BT357" t="s">
        <v>1738</v>
      </c>
      <c r="BU357" s="1">
        <v>45717</v>
      </c>
      <c r="BV357">
        <v>36027</v>
      </c>
      <c r="BX357" t="s">
        <v>170</v>
      </c>
      <c r="BY357" t="s">
        <v>170</v>
      </c>
      <c r="CB357" t="s">
        <v>170</v>
      </c>
      <c r="CC357" t="s">
        <v>170</v>
      </c>
      <c r="CK357" t="s">
        <v>233</v>
      </c>
      <c r="CM357">
        <v>1</v>
      </c>
      <c r="CN357" t="s">
        <v>234</v>
      </c>
      <c r="CP357">
        <v>336</v>
      </c>
      <c r="CQ357">
        <v>290</v>
      </c>
      <c r="CR357">
        <v>156</v>
      </c>
      <c r="CS357" t="s">
        <v>1752</v>
      </c>
      <c r="CV357" t="s">
        <v>341</v>
      </c>
      <c r="CX357" t="s">
        <v>342</v>
      </c>
      <c r="CY357" t="s">
        <v>169</v>
      </c>
      <c r="DD357">
        <v>2</v>
      </c>
      <c r="DE357" t="s">
        <v>404</v>
      </c>
      <c r="DF357" t="s">
        <v>1988</v>
      </c>
      <c r="DG357" t="s">
        <v>1865</v>
      </c>
      <c r="DL357" t="s">
        <v>170</v>
      </c>
      <c r="DM357" t="s">
        <v>169</v>
      </c>
      <c r="DP357" t="s">
        <v>170</v>
      </c>
      <c r="DQ357" t="s">
        <v>187</v>
      </c>
      <c r="DR357" t="s">
        <v>1989</v>
      </c>
      <c r="EB357">
        <v>9</v>
      </c>
      <c r="EC357">
        <v>10</v>
      </c>
      <c r="EE357" t="s">
        <v>1990</v>
      </c>
      <c r="EF357">
        <v>10</v>
      </c>
      <c r="EU357">
        <v>5250</v>
      </c>
      <c r="EW357">
        <v>0</v>
      </c>
      <c r="EX357">
        <v>0</v>
      </c>
      <c r="EY357">
        <v>0</v>
      </c>
      <c r="FA357">
        <v>9.5</v>
      </c>
      <c r="FG357">
        <v>306</v>
      </c>
      <c r="FH357">
        <v>255</v>
      </c>
      <c r="FI357">
        <v>283</v>
      </c>
    </row>
    <row r="358" spans="1:165" x14ac:dyDescent="0.35">
      <c r="A358">
        <v>2025</v>
      </c>
      <c r="B358" t="s">
        <v>517</v>
      </c>
      <c r="C358" t="s">
        <v>517</v>
      </c>
      <c r="D358" t="s">
        <v>1991</v>
      </c>
      <c r="E358" t="s">
        <v>520</v>
      </c>
      <c r="F358">
        <v>713</v>
      </c>
      <c r="G358">
        <v>0</v>
      </c>
      <c r="I358" t="s">
        <v>1734</v>
      </c>
      <c r="J358">
        <v>32</v>
      </c>
      <c r="K358">
        <v>39</v>
      </c>
      <c r="L358">
        <v>35</v>
      </c>
      <c r="M358">
        <v>22.687100000000001</v>
      </c>
      <c r="N358">
        <v>27.186199999999999</v>
      </c>
      <c r="O358">
        <v>24.7117</v>
      </c>
      <c r="P358">
        <v>32.4024</v>
      </c>
      <c r="Q358">
        <v>38.830599999999997</v>
      </c>
      <c r="R358">
        <v>35.295099999999998</v>
      </c>
      <c r="V358" t="s">
        <v>167</v>
      </c>
      <c r="W358" t="s">
        <v>168</v>
      </c>
      <c r="X358" t="s">
        <v>1850</v>
      </c>
      <c r="Y358">
        <v>1</v>
      </c>
      <c r="Z358" t="s">
        <v>170</v>
      </c>
      <c r="AA358" t="s">
        <v>170</v>
      </c>
      <c r="AB358" t="s">
        <v>167</v>
      </c>
      <c r="AC358" t="s">
        <v>213</v>
      </c>
      <c r="AF358">
        <v>283</v>
      </c>
      <c r="AG358" t="s">
        <v>1735</v>
      </c>
      <c r="AH358" t="s">
        <v>1736</v>
      </c>
      <c r="AI358" t="s">
        <v>1742</v>
      </c>
      <c r="AJ358" t="s">
        <v>1743</v>
      </c>
      <c r="AK358">
        <v>4</v>
      </c>
      <c r="AL358" t="s">
        <v>1737</v>
      </c>
      <c r="AO358">
        <v>107</v>
      </c>
      <c r="AP358">
        <v>26</v>
      </c>
      <c r="AS358">
        <v>850</v>
      </c>
      <c r="AT358">
        <v>850</v>
      </c>
      <c r="BQ358">
        <v>33</v>
      </c>
      <c r="BR358" t="s">
        <v>1497</v>
      </c>
      <c r="BT358" t="s">
        <v>1738</v>
      </c>
      <c r="BU358" s="1">
        <v>45717</v>
      </c>
      <c r="BV358">
        <v>36027</v>
      </c>
      <c r="BX358" t="s">
        <v>170</v>
      </c>
      <c r="BY358" t="s">
        <v>170</v>
      </c>
      <c r="CB358" t="s">
        <v>170</v>
      </c>
      <c r="CC358" t="s">
        <v>170</v>
      </c>
      <c r="CK358" t="s">
        <v>233</v>
      </c>
      <c r="CM358">
        <v>1</v>
      </c>
      <c r="CN358" t="s">
        <v>234</v>
      </c>
      <c r="CP358">
        <v>336</v>
      </c>
      <c r="CQ358">
        <v>290</v>
      </c>
      <c r="CR358">
        <v>156</v>
      </c>
      <c r="CS358" t="s">
        <v>1752</v>
      </c>
      <c r="CV358" t="s">
        <v>341</v>
      </c>
      <c r="CX358" t="s">
        <v>342</v>
      </c>
      <c r="CY358" t="s">
        <v>169</v>
      </c>
      <c r="DD358">
        <v>2</v>
      </c>
      <c r="DE358" t="s">
        <v>404</v>
      </c>
      <c r="DF358" t="s">
        <v>1988</v>
      </c>
      <c r="DG358" t="s">
        <v>1865</v>
      </c>
      <c r="DL358" t="s">
        <v>170</v>
      </c>
      <c r="DM358" t="s">
        <v>169</v>
      </c>
      <c r="DP358" t="s">
        <v>170</v>
      </c>
      <c r="DQ358" t="s">
        <v>187</v>
      </c>
      <c r="DR358" t="s">
        <v>1989</v>
      </c>
      <c r="EB358">
        <v>9</v>
      </c>
      <c r="EC358">
        <v>10</v>
      </c>
      <c r="EE358" t="s">
        <v>1990</v>
      </c>
      <c r="EF358">
        <v>10</v>
      </c>
      <c r="EU358">
        <v>5250</v>
      </c>
      <c r="EW358">
        <v>0</v>
      </c>
      <c r="EX358">
        <v>0</v>
      </c>
      <c r="EY358">
        <v>0</v>
      </c>
      <c r="FA358">
        <v>9.5</v>
      </c>
      <c r="FG358">
        <v>306</v>
      </c>
      <c r="FH358">
        <v>255</v>
      </c>
      <c r="FI358">
        <v>283</v>
      </c>
    </row>
    <row r="359" spans="1:165" x14ac:dyDescent="0.35">
      <c r="A359" s="25"/>
      <c r="B359" s="25"/>
      <c r="C359" s="25"/>
      <c r="D359" s="25"/>
      <c r="E359" s="25"/>
      <c r="F359" s="25" t="str">
        <f>_xlfn.CONCAT($A360," ",$B360," ",$D360)</f>
        <v>2025 Hyundai Ioniq 5 AWD (19inch Wheels)</v>
      </c>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c r="AD359" s="25" t="str">
        <f>_xlfn.CONCAT($A360," ",$B360," ",$D360)</f>
        <v>2025 Hyundai Ioniq 5 AWD (19inch Wheels)</v>
      </c>
      <c r="AE359" s="25"/>
      <c r="AF359" s="25"/>
      <c r="AG359" s="25"/>
      <c r="AH359" s="25"/>
      <c r="AI359" s="25"/>
      <c r="AJ359" s="25"/>
      <c r="AK359" s="25"/>
      <c r="AL359" s="25"/>
      <c r="AM359" s="25"/>
      <c r="AN359" s="25"/>
      <c r="AO359" s="25"/>
      <c r="AP359" s="25"/>
      <c r="AQ359" s="25"/>
      <c r="AR359" s="25"/>
      <c r="AS359" s="25"/>
      <c r="AT359" s="25"/>
      <c r="AU359" s="25"/>
      <c r="AV359" s="25"/>
      <c r="AW359" s="25"/>
      <c r="AX359" s="25" t="str">
        <f>_xlfn.CONCAT($A360," ",$B360," ",$D360)</f>
        <v>2025 Hyundai Ioniq 5 AWD (19inch Wheels)</v>
      </c>
      <c r="AY359" s="25"/>
      <c r="AZ359" s="25"/>
      <c r="BA359" s="25"/>
      <c r="BB359" s="25"/>
      <c r="BC359" s="25"/>
      <c r="BD359" s="25"/>
      <c r="BE359" s="25"/>
      <c r="BF359" s="25"/>
      <c r="BG359" s="25"/>
      <c r="BH359" s="25"/>
      <c r="BI359" s="25"/>
      <c r="BJ359" s="25"/>
      <c r="BK359" s="25"/>
      <c r="BL359" s="25"/>
      <c r="BM359" s="25"/>
      <c r="BN359" s="25"/>
      <c r="BO359" s="25"/>
      <c r="BP359" s="25"/>
      <c r="BQ359" s="25"/>
      <c r="BR359" s="25" t="str">
        <f>_xlfn.CONCAT($A360," ",$B360," ",$D360)</f>
        <v>2025 Hyundai Ioniq 5 AWD (19inch Wheels)</v>
      </c>
      <c r="BS359" s="25"/>
      <c r="BT359" s="25"/>
      <c r="BU359" s="25"/>
      <c r="BV359" s="25"/>
      <c r="BX359" s="25"/>
      <c r="BY359" s="25"/>
      <c r="BZ359" s="25"/>
      <c r="CA359" s="25"/>
      <c r="CB359" s="25"/>
      <c r="CC359" s="25"/>
      <c r="CD359" s="25"/>
      <c r="CE359" s="25"/>
      <c r="CF359" s="25"/>
      <c r="CG359" s="25"/>
      <c r="CH359" s="25"/>
      <c r="CI359" s="25"/>
      <c r="CJ359" s="25"/>
      <c r="CK359" s="25"/>
      <c r="CL359" s="25"/>
      <c r="CM359" s="25"/>
      <c r="CN359" s="25"/>
      <c r="CO359" s="25"/>
      <c r="CP359" s="25" t="str">
        <f>_xlfn.CONCAT($A360," ",$B360," ",$D360)</f>
        <v>2025 Hyundai Ioniq 5 AWD (19inch Wheels)</v>
      </c>
      <c r="CQ359" s="25"/>
      <c r="CR359" s="25"/>
      <c r="CS359" s="25"/>
      <c r="CT359" s="25"/>
      <c r="CU359" s="25"/>
      <c r="CV359" s="25"/>
      <c r="CW359" s="25"/>
      <c r="CX359" s="25"/>
      <c r="CY359" s="25"/>
      <c r="CZ359" s="25"/>
      <c r="DA359" s="25"/>
      <c r="DB359" s="25"/>
      <c r="DC359" s="25"/>
      <c r="DD359" s="25"/>
      <c r="DE359" s="25"/>
      <c r="DF359" s="25"/>
      <c r="DG359" s="25"/>
      <c r="DH359" s="25"/>
      <c r="DI359" s="25" t="str">
        <f>_xlfn.CONCAT($A360," ",$B360," ",$D360)</f>
        <v>2025 Hyundai Ioniq 5 AWD (19inch Wheels)</v>
      </c>
      <c r="DJ359" s="25"/>
      <c r="DK359" s="25"/>
      <c r="DL359" s="25"/>
      <c r="DM359" s="25"/>
      <c r="DN359" s="25"/>
      <c r="DO359" s="25"/>
      <c r="DP359" s="25"/>
      <c r="DQ359" s="25"/>
      <c r="DR359" s="25"/>
      <c r="DS359" s="25"/>
      <c r="DT359" s="25"/>
      <c r="DU359" s="25"/>
      <c r="DV359" s="25"/>
      <c r="DW359" s="25"/>
      <c r="DX359" s="25"/>
      <c r="DY359" s="25"/>
      <c r="DZ359" s="25" t="str">
        <f>_xlfn.CONCAT($A360," ",$B360," ",$D360)</f>
        <v>2025 Hyundai Ioniq 5 AWD (19inch Wheels)</v>
      </c>
      <c r="EB359" s="25"/>
      <c r="EC359" s="25"/>
      <c r="ED359" s="25"/>
      <c r="EE359" s="25"/>
      <c r="EF359" s="25"/>
      <c r="EG359" s="25"/>
      <c r="EH359" s="25"/>
      <c r="EI359" s="25"/>
      <c r="EJ359" s="25"/>
      <c r="EK359" s="25"/>
      <c r="EL359" s="25"/>
      <c r="EM359" s="25"/>
      <c r="EN359" s="25"/>
      <c r="EO359" s="25"/>
      <c r="EP359" s="25"/>
      <c r="EQ359" s="25"/>
      <c r="ER359" s="25"/>
      <c r="ES359" s="25"/>
      <c r="ET359" s="25"/>
      <c r="EU359" s="25"/>
      <c r="EV359" s="25" t="str">
        <f>_xlfn.CONCAT($A360," ",$B360," ",$D360)</f>
        <v>2025 Hyundai Ioniq 5 AWD (19inch Wheels)</v>
      </c>
      <c r="EW359" s="25"/>
      <c r="EX359" s="25"/>
      <c r="EY359" s="25"/>
      <c r="EZ359" s="25"/>
      <c r="FA359" s="25"/>
      <c r="FB359" s="25"/>
      <c r="FC359" s="25"/>
      <c r="FD359" s="25"/>
      <c r="FE359" s="25"/>
      <c r="FF359" s="25"/>
      <c r="FG359" s="25"/>
    </row>
    <row r="360" spans="1:165" x14ac:dyDescent="0.35">
      <c r="A360">
        <v>2025</v>
      </c>
      <c r="B360" t="s">
        <v>569</v>
      </c>
      <c r="C360" t="s">
        <v>739</v>
      </c>
      <c r="D360" t="s">
        <v>1995</v>
      </c>
      <c r="E360" t="s">
        <v>572</v>
      </c>
      <c r="F360">
        <v>33</v>
      </c>
      <c r="G360">
        <v>0</v>
      </c>
      <c r="I360" t="s">
        <v>1734</v>
      </c>
      <c r="J360">
        <v>116</v>
      </c>
      <c r="K360">
        <v>96</v>
      </c>
      <c r="L360">
        <v>106</v>
      </c>
      <c r="M360">
        <v>166.1</v>
      </c>
      <c r="N360">
        <v>137.80000000000001</v>
      </c>
      <c r="O360">
        <v>152.04820000000001</v>
      </c>
      <c r="P360">
        <v>116.27</v>
      </c>
      <c r="Q360">
        <v>96.46</v>
      </c>
      <c r="R360">
        <v>106.4337</v>
      </c>
      <c r="V360" t="s">
        <v>167</v>
      </c>
      <c r="W360" t="s">
        <v>168</v>
      </c>
      <c r="X360" t="s">
        <v>1931</v>
      </c>
      <c r="Y360">
        <v>1</v>
      </c>
      <c r="Z360" t="s">
        <v>170</v>
      </c>
      <c r="AA360" t="s">
        <v>170</v>
      </c>
      <c r="AB360" t="s">
        <v>167</v>
      </c>
      <c r="AC360" t="s">
        <v>213</v>
      </c>
      <c r="AF360">
        <v>290</v>
      </c>
      <c r="AG360" t="s">
        <v>1735</v>
      </c>
      <c r="AH360" t="s">
        <v>1736</v>
      </c>
      <c r="AI360" t="s">
        <v>175</v>
      </c>
      <c r="AJ360" t="s">
        <v>176</v>
      </c>
      <c r="AK360">
        <v>4</v>
      </c>
      <c r="AL360" t="s">
        <v>1737</v>
      </c>
      <c r="AS360">
        <v>750</v>
      </c>
      <c r="AT360">
        <v>750</v>
      </c>
      <c r="BQ360">
        <v>31</v>
      </c>
      <c r="BR360" t="s">
        <v>1219</v>
      </c>
      <c r="BT360" t="s">
        <v>1738</v>
      </c>
      <c r="BU360" s="1">
        <v>45585</v>
      </c>
      <c r="BV360">
        <v>35695</v>
      </c>
      <c r="BX360" t="s">
        <v>170</v>
      </c>
      <c r="BY360" t="s">
        <v>170</v>
      </c>
      <c r="CB360" t="s">
        <v>170</v>
      </c>
      <c r="CC360" t="s">
        <v>170</v>
      </c>
      <c r="CK360" t="s">
        <v>233</v>
      </c>
      <c r="CM360">
        <v>1</v>
      </c>
      <c r="CN360" t="s">
        <v>234</v>
      </c>
      <c r="CP360">
        <v>697</v>
      </c>
      <c r="CQ360">
        <v>120.6</v>
      </c>
      <c r="CR360">
        <v>174.4</v>
      </c>
      <c r="CS360" t="s">
        <v>1752</v>
      </c>
      <c r="CV360" t="s">
        <v>341</v>
      </c>
      <c r="CX360" t="s">
        <v>1012</v>
      </c>
      <c r="CY360" t="s">
        <v>169</v>
      </c>
      <c r="DC360" t="s">
        <v>1949</v>
      </c>
      <c r="DD360">
        <v>2</v>
      </c>
      <c r="DE360" t="s">
        <v>404</v>
      </c>
      <c r="DF360" t="s">
        <v>1950</v>
      </c>
      <c r="DG360" t="s">
        <v>1996</v>
      </c>
      <c r="DL360" t="s">
        <v>170</v>
      </c>
      <c r="DM360" t="s">
        <v>169</v>
      </c>
      <c r="DP360" t="s">
        <v>170</v>
      </c>
      <c r="DQ360" t="s">
        <v>187</v>
      </c>
      <c r="EB360">
        <v>9</v>
      </c>
      <c r="EC360">
        <v>10</v>
      </c>
      <c r="EE360" t="s">
        <v>1997</v>
      </c>
      <c r="EF360">
        <v>10</v>
      </c>
      <c r="EU360">
        <v>5750</v>
      </c>
      <c r="EW360">
        <v>0</v>
      </c>
      <c r="EX360">
        <v>0</v>
      </c>
      <c r="EY360">
        <v>0</v>
      </c>
      <c r="FA360">
        <v>8.1999999999999993</v>
      </c>
      <c r="FG360">
        <v>314</v>
      </c>
      <c r="FH360">
        <v>261</v>
      </c>
      <c r="FI360">
        <v>290</v>
      </c>
    </row>
    <row r="361" spans="1:165" x14ac:dyDescent="0.35">
      <c r="A361">
        <v>2025</v>
      </c>
      <c r="B361" t="s">
        <v>569</v>
      </c>
      <c r="C361" t="s">
        <v>739</v>
      </c>
      <c r="D361" t="s">
        <v>1995</v>
      </c>
      <c r="E361" t="s">
        <v>572</v>
      </c>
      <c r="F361">
        <v>33</v>
      </c>
      <c r="G361">
        <v>0</v>
      </c>
      <c r="I361" t="s">
        <v>1734</v>
      </c>
      <c r="J361">
        <v>29</v>
      </c>
      <c r="K361">
        <v>35</v>
      </c>
      <c r="L361">
        <v>32</v>
      </c>
      <c r="M361">
        <v>20.294499999999999</v>
      </c>
      <c r="N361">
        <v>24.461300000000001</v>
      </c>
      <c r="O361">
        <v>22.169599999999999</v>
      </c>
      <c r="P361">
        <v>28.988600000000002</v>
      </c>
      <c r="Q361">
        <v>34.941899999999997</v>
      </c>
      <c r="R361">
        <v>31.6676</v>
      </c>
      <c r="V361" t="s">
        <v>167</v>
      </c>
      <c r="W361" t="s">
        <v>168</v>
      </c>
      <c r="X361" t="s">
        <v>1931</v>
      </c>
      <c r="Y361">
        <v>1</v>
      </c>
      <c r="Z361" t="s">
        <v>170</v>
      </c>
      <c r="AA361" t="s">
        <v>170</v>
      </c>
      <c r="AB361" t="s">
        <v>167</v>
      </c>
      <c r="AC361" t="s">
        <v>213</v>
      </c>
      <c r="AF361">
        <v>290</v>
      </c>
      <c r="AG361" t="s">
        <v>1735</v>
      </c>
      <c r="AH361" t="s">
        <v>1736</v>
      </c>
      <c r="AI361" t="s">
        <v>1742</v>
      </c>
      <c r="AJ361" t="s">
        <v>1743</v>
      </c>
      <c r="AK361">
        <v>4</v>
      </c>
      <c r="AL361" t="s">
        <v>1737</v>
      </c>
      <c r="AS361">
        <v>750</v>
      </c>
      <c r="AT361">
        <v>750</v>
      </c>
      <c r="BQ361">
        <v>31</v>
      </c>
      <c r="BR361" t="s">
        <v>1219</v>
      </c>
      <c r="BT361" t="s">
        <v>1738</v>
      </c>
      <c r="BU361" s="1">
        <v>45585</v>
      </c>
      <c r="BV361">
        <v>35695</v>
      </c>
      <c r="BX361" t="s">
        <v>170</v>
      </c>
      <c r="BY361" t="s">
        <v>170</v>
      </c>
      <c r="CB361" t="s">
        <v>170</v>
      </c>
      <c r="CC361" t="s">
        <v>170</v>
      </c>
      <c r="CK361" t="s">
        <v>233</v>
      </c>
      <c r="CM361">
        <v>1</v>
      </c>
      <c r="CN361" t="s">
        <v>234</v>
      </c>
      <c r="CP361">
        <v>697</v>
      </c>
      <c r="CQ361">
        <v>120.6</v>
      </c>
      <c r="CR361">
        <v>174.4</v>
      </c>
      <c r="CS361" t="s">
        <v>1752</v>
      </c>
      <c r="CV361" t="s">
        <v>341</v>
      </c>
      <c r="CX361" t="s">
        <v>1012</v>
      </c>
      <c r="CY361" t="s">
        <v>169</v>
      </c>
      <c r="DC361" t="s">
        <v>1949</v>
      </c>
      <c r="DD361">
        <v>2</v>
      </c>
      <c r="DE361" t="s">
        <v>404</v>
      </c>
      <c r="DF361" t="s">
        <v>1950</v>
      </c>
      <c r="DG361" t="s">
        <v>1996</v>
      </c>
      <c r="DL361" t="s">
        <v>170</v>
      </c>
      <c r="DM361" t="s">
        <v>169</v>
      </c>
      <c r="DP361" t="s">
        <v>170</v>
      </c>
      <c r="DQ361" t="s">
        <v>187</v>
      </c>
      <c r="EB361">
        <v>9</v>
      </c>
      <c r="EC361">
        <v>10</v>
      </c>
      <c r="EE361" t="s">
        <v>1997</v>
      </c>
      <c r="EF361">
        <v>10</v>
      </c>
      <c r="EU361">
        <v>5750</v>
      </c>
      <c r="EW361">
        <v>0</v>
      </c>
      <c r="EX361">
        <v>0</v>
      </c>
      <c r="EY361">
        <v>0</v>
      </c>
      <c r="FA361">
        <v>8.1999999999999993</v>
      </c>
      <c r="FG361">
        <v>314</v>
      </c>
      <c r="FH361">
        <v>261</v>
      </c>
      <c r="FI361">
        <v>290</v>
      </c>
    </row>
    <row r="362" spans="1:165" x14ac:dyDescent="0.35">
      <c r="A362" s="25"/>
      <c r="B362" s="25"/>
      <c r="C362" s="25"/>
      <c r="D362" s="25"/>
      <c r="E362" s="25"/>
      <c r="F362" s="25" t="str">
        <f>_xlfn.CONCAT($A363," ",$B363," ",$D363)</f>
        <v>2025 Hyundai Ioniq 5 RWD</v>
      </c>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c r="AD362" s="25" t="str">
        <f>_xlfn.CONCAT($A363," ",$B363," ",$D363)</f>
        <v>2025 Hyundai Ioniq 5 RWD</v>
      </c>
      <c r="AE362" s="25"/>
      <c r="AF362" s="25"/>
      <c r="AG362" s="25"/>
      <c r="AH362" s="25"/>
      <c r="AI362" s="25"/>
      <c r="AJ362" s="25"/>
      <c r="AK362" s="25"/>
      <c r="AL362" s="25"/>
      <c r="AM362" s="25"/>
      <c r="AN362" s="25"/>
      <c r="AO362" s="25"/>
      <c r="AP362" s="25"/>
      <c r="AQ362" s="25"/>
      <c r="AR362" s="25"/>
      <c r="AS362" s="25"/>
      <c r="AT362" s="25"/>
      <c r="AU362" s="25"/>
      <c r="AV362" s="25"/>
      <c r="AW362" s="25"/>
      <c r="AX362" s="25" t="str">
        <f>_xlfn.CONCAT($A363," ",$B363," ",$D363)</f>
        <v>2025 Hyundai Ioniq 5 RWD</v>
      </c>
      <c r="AY362" s="25"/>
      <c r="AZ362" s="25"/>
      <c r="BA362" s="25"/>
      <c r="BB362" s="25"/>
      <c r="BC362" s="25"/>
      <c r="BD362" s="25"/>
      <c r="BE362" s="25"/>
      <c r="BF362" s="25"/>
      <c r="BG362" s="25"/>
      <c r="BH362" s="25"/>
      <c r="BI362" s="25"/>
      <c r="BJ362" s="25"/>
      <c r="BK362" s="25"/>
      <c r="BL362" s="25"/>
      <c r="BM362" s="25"/>
      <c r="BN362" s="25"/>
      <c r="BO362" s="25"/>
      <c r="BP362" s="25"/>
      <c r="BQ362" s="25"/>
      <c r="BR362" s="25" t="str">
        <f>_xlfn.CONCAT($A363," ",$B363," ",$D363)</f>
        <v>2025 Hyundai Ioniq 5 RWD</v>
      </c>
      <c r="BS362" s="25"/>
      <c r="BT362" s="25"/>
      <c r="BU362" s="25"/>
      <c r="BV362" s="25"/>
      <c r="BX362" s="25"/>
      <c r="BY362" s="25"/>
      <c r="BZ362" s="25"/>
      <c r="CA362" s="25"/>
      <c r="CB362" s="25"/>
      <c r="CC362" s="25"/>
      <c r="CD362" s="25"/>
      <c r="CE362" s="25"/>
      <c r="CF362" s="25"/>
      <c r="CG362" s="25"/>
      <c r="CH362" s="25"/>
      <c r="CI362" s="25"/>
      <c r="CJ362" s="25"/>
      <c r="CK362" s="25"/>
      <c r="CL362" s="25"/>
      <c r="CM362" s="25"/>
      <c r="CN362" s="25"/>
      <c r="CO362" s="25"/>
      <c r="CP362" s="25" t="str">
        <f>_xlfn.CONCAT($A363," ",$B363," ",$D363)</f>
        <v>2025 Hyundai Ioniq 5 RWD</v>
      </c>
      <c r="CQ362" s="25"/>
      <c r="CR362" s="25"/>
      <c r="CS362" s="25"/>
      <c r="CT362" s="25"/>
      <c r="CU362" s="25"/>
      <c r="CV362" s="25"/>
      <c r="CW362" s="25"/>
      <c r="CX362" s="25"/>
      <c r="CY362" s="25"/>
      <c r="CZ362" s="25"/>
      <c r="DA362" s="25"/>
      <c r="DB362" s="25"/>
      <c r="DC362" s="25"/>
      <c r="DD362" s="25"/>
      <c r="DE362" s="25"/>
      <c r="DF362" s="25"/>
      <c r="DG362" s="25"/>
      <c r="DH362" s="25"/>
      <c r="DI362" s="25" t="str">
        <f>_xlfn.CONCAT($A363," ",$B363," ",$D363)</f>
        <v>2025 Hyundai Ioniq 5 RWD</v>
      </c>
      <c r="DJ362" s="25"/>
      <c r="DK362" s="25"/>
      <c r="DL362" s="25"/>
      <c r="DM362" s="25"/>
      <c r="DN362" s="25"/>
      <c r="DO362" s="25"/>
      <c r="DP362" s="25"/>
      <c r="DQ362" s="25"/>
      <c r="DR362" s="25"/>
      <c r="DS362" s="25"/>
      <c r="DT362" s="25"/>
      <c r="DU362" s="25"/>
      <c r="DV362" s="25"/>
      <c r="DW362" s="25"/>
      <c r="DX362" s="25"/>
      <c r="DY362" s="25"/>
      <c r="DZ362" s="25" t="str">
        <f>_xlfn.CONCAT($A363," ",$B363," ",$D363)</f>
        <v>2025 Hyundai Ioniq 5 RWD</v>
      </c>
      <c r="EB362" s="25"/>
      <c r="EC362" s="25"/>
      <c r="ED362" s="25"/>
      <c r="EE362" s="25"/>
      <c r="EF362" s="25"/>
      <c r="EG362" s="25"/>
      <c r="EH362" s="25"/>
      <c r="EI362" s="25"/>
      <c r="EJ362" s="25"/>
      <c r="EK362" s="25"/>
      <c r="EL362" s="25"/>
      <c r="EM362" s="25"/>
      <c r="EN362" s="25"/>
      <c r="EO362" s="25"/>
      <c r="EP362" s="25"/>
      <c r="EQ362" s="25"/>
      <c r="ER362" s="25"/>
      <c r="ES362" s="25"/>
      <c r="ET362" s="25"/>
      <c r="EU362" s="25"/>
      <c r="EV362" s="25" t="str">
        <f>_xlfn.CONCAT($A363," ",$B363," ",$D363)</f>
        <v>2025 Hyundai Ioniq 5 RWD</v>
      </c>
      <c r="EW362" s="25"/>
      <c r="EX362" s="25"/>
      <c r="EY362" s="25"/>
      <c r="EZ362" s="25"/>
      <c r="FA362" s="25"/>
      <c r="FB362" s="25"/>
      <c r="FC362" s="25"/>
      <c r="FD362" s="25"/>
      <c r="FE362" s="25"/>
      <c r="FF362" s="25"/>
      <c r="FG362" s="25"/>
    </row>
    <row r="363" spans="1:165" x14ac:dyDescent="0.35">
      <c r="A363">
        <v>2025</v>
      </c>
      <c r="B363" t="s">
        <v>569</v>
      </c>
      <c r="C363" t="s">
        <v>739</v>
      </c>
      <c r="D363" t="s">
        <v>2005</v>
      </c>
      <c r="E363" t="s">
        <v>572</v>
      </c>
      <c r="F363">
        <v>34</v>
      </c>
      <c r="G363">
        <v>0</v>
      </c>
      <c r="I363" t="s">
        <v>1734</v>
      </c>
      <c r="J363">
        <v>129</v>
      </c>
      <c r="K363">
        <v>100</v>
      </c>
      <c r="L363">
        <v>114</v>
      </c>
      <c r="M363">
        <v>189</v>
      </c>
      <c r="N363">
        <v>145.69999999999999</v>
      </c>
      <c r="O363">
        <v>166.70580000000001</v>
      </c>
      <c r="P363">
        <v>129</v>
      </c>
      <c r="Q363">
        <v>100</v>
      </c>
      <c r="R363">
        <v>114</v>
      </c>
      <c r="V363" t="s">
        <v>167</v>
      </c>
      <c r="W363" t="s">
        <v>168</v>
      </c>
      <c r="X363" t="s">
        <v>1931</v>
      </c>
      <c r="Y363">
        <v>1</v>
      </c>
      <c r="Z363" t="s">
        <v>170</v>
      </c>
      <c r="AA363" t="s">
        <v>170</v>
      </c>
      <c r="AB363" t="s">
        <v>171</v>
      </c>
      <c r="AC363" t="s">
        <v>172</v>
      </c>
      <c r="AF363">
        <v>318</v>
      </c>
      <c r="AG363" t="s">
        <v>1735</v>
      </c>
      <c r="AH363" t="s">
        <v>1736</v>
      </c>
      <c r="AI363" t="s">
        <v>175</v>
      </c>
      <c r="AJ363" t="s">
        <v>176</v>
      </c>
      <c r="AK363">
        <v>4</v>
      </c>
      <c r="AL363" t="s">
        <v>1737</v>
      </c>
      <c r="AS363">
        <v>700</v>
      </c>
      <c r="AT363">
        <v>700</v>
      </c>
      <c r="BQ363">
        <v>30</v>
      </c>
      <c r="BR363" t="s">
        <v>1099</v>
      </c>
      <c r="BT363" t="s">
        <v>1738</v>
      </c>
      <c r="BU363" s="1">
        <v>45585</v>
      </c>
      <c r="BV363">
        <v>35696</v>
      </c>
      <c r="BX363" t="s">
        <v>170</v>
      </c>
      <c r="BY363" t="s">
        <v>170</v>
      </c>
      <c r="CB363" t="s">
        <v>170</v>
      </c>
      <c r="CC363" t="s">
        <v>170</v>
      </c>
      <c r="CK363" t="s">
        <v>233</v>
      </c>
      <c r="CM363">
        <v>1</v>
      </c>
      <c r="CN363" t="s">
        <v>234</v>
      </c>
      <c r="CP363">
        <v>697</v>
      </c>
      <c r="CQ363">
        <v>120.6</v>
      </c>
      <c r="CR363">
        <v>174.3</v>
      </c>
      <c r="CS363" t="s">
        <v>1752</v>
      </c>
      <c r="CV363" t="s">
        <v>341</v>
      </c>
      <c r="CX363" t="s">
        <v>1012</v>
      </c>
      <c r="CY363" t="s">
        <v>169</v>
      </c>
      <c r="DC363" t="s">
        <v>1949</v>
      </c>
      <c r="DD363">
        <v>1</v>
      </c>
      <c r="DE363" t="s">
        <v>404</v>
      </c>
      <c r="DF363" t="s">
        <v>1950</v>
      </c>
      <c r="DG363">
        <v>168</v>
      </c>
      <c r="DL363" t="s">
        <v>170</v>
      </c>
      <c r="DM363" t="s">
        <v>169</v>
      </c>
      <c r="DP363" t="s">
        <v>170</v>
      </c>
      <c r="DQ363" t="s">
        <v>187</v>
      </c>
      <c r="EB363">
        <v>9</v>
      </c>
      <c r="EC363">
        <v>10</v>
      </c>
      <c r="EE363" t="s">
        <v>2006</v>
      </c>
      <c r="EF363">
        <v>10</v>
      </c>
      <c r="EU363">
        <v>6000</v>
      </c>
      <c r="EW363">
        <v>0</v>
      </c>
      <c r="EX363">
        <v>0</v>
      </c>
      <c r="EY363">
        <v>0</v>
      </c>
      <c r="FA363">
        <v>9.1</v>
      </c>
      <c r="FG363">
        <v>356</v>
      </c>
      <c r="FH363">
        <v>272</v>
      </c>
      <c r="FI363">
        <v>318</v>
      </c>
    </row>
    <row r="364" spans="1:165" x14ac:dyDescent="0.35">
      <c r="A364">
        <v>2025</v>
      </c>
      <c r="B364" t="s">
        <v>569</v>
      </c>
      <c r="C364" t="s">
        <v>739</v>
      </c>
      <c r="D364" t="s">
        <v>2005</v>
      </c>
      <c r="E364" t="s">
        <v>572</v>
      </c>
      <c r="F364">
        <v>34</v>
      </c>
      <c r="G364">
        <v>0</v>
      </c>
      <c r="I364" t="s">
        <v>1734</v>
      </c>
      <c r="J364">
        <v>26</v>
      </c>
      <c r="K364">
        <v>34</v>
      </c>
      <c r="L364">
        <v>30</v>
      </c>
      <c r="M364">
        <v>17.835799999999999</v>
      </c>
      <c r="N364">
        <v>23.132300000000001</v>
      </c>
      <c r="O364">
        <v>20.219200000000001</v>
      </c>
      <c r="P364">
        <v>26</v>
      </c>
      <c r="Q364">
        <v>34</v>
      </c>
      <c r="R364">
        <v>30</v>
      </c>
      <c r="V364" t="s">
        <v>167</v>
      </c>
      <c r="W364" t="s">
        <v>168</v>
      </c>
      <c r="X364" t="s">
        <v>1931</v>
      </c>
      <c r="Y364">
        <v>1</v>
      </c>
      <c r="Z364" t="s">
        <v>170</v>
      </c>
      <c r="AA364" t="s">
        <v>170</v>
      </c>
      <c r="AB364" t="s">
        <v>171</v>
      </c>
      <c r="AC364" t="s">
        <v>172</v>
      </c>
      <c r="AF364">
        <v>318</v>
      </c>
      <c r="AG364" t="s">
        <v>1735</v>
      </c>
      <c r="AH364" t="s">
        <v>1736</v>
      </c>
      <c r="AI364" t="s">
        <v>1742</v>
      </c>
      <c r="AJ364" t="s">
        <v>1743</v>
      </c>
      <c r="AK364">
        <v>4</v>
      </c>
      <c r="AL364" t="s">
        <v>1737</v>
      </c>
      <c r="AS364">
        <v>700</v>
      </c>
      <c r="AT364">
        <v>700</v>
      </c>
      <c r="BQ364">
        <v>30</v>
      </c>
      <c r="BR364" t="s">
        <v>1099</v>
      </c>
      <c r="BT364" t="s">
        <v>1738</v>
      </c>
      <c r="BU364" s="1">
        <v>45585</v>
      </c>
      <c r="BV364">
        <v>35696</v>
      </c>
      <c r="BX364" t="s">
        <v>170</v>
      </c>
      <c r="BY364" t="s">
        <v>170</v>
      </c>
      <c r="CB364" t="s">
        <v>170</v>
      </c>
      <c r="CC364" t="s">
        <v>170</v>
      </c>
      <c r="CK364" t="s">
        <v>233</v>
      </c>
      <c r="CM364">
        <v>1</v>
      </c>
      <c r="CN364" t="s">
        <v>234</v>
      </c>
      <c r="CP364">
        <v>697</v>
      </c>
      <c r="CQ364">
        <v>120.6</v>
      </c>
      <c r="CR364">
        <v>174.3</v>
      </c>
      <c r="CS364" t="s">
        <v>1752</v>
      </c>
      <c r="CV364" t="s">
        <v>341</v>
      </c>
      <c r="CX364" t="s">
        <v>1012</v>
      </c>
      <c r="CY364" t="s">
        <v>169</v>
      </c>
      <c r="DC364" t="s">
        <v>1949</v>
      </c>
      <c r="DD364">
        <v>1</v>
      </c>
      <c r="DE364" t="s">
        <v>404</v>
      </c>
      <c r="DF364" t="s">
        <v>1950</v>
      </c>
      <c r="DG364">
        <v>168</v>
      </c>
      <c r="DL364" t="s">
        <v>170</v>
      </c>
      <c r="DM364" t="s">
        <v>169</v>
      </c>
      <c r="DP364" t="s">
        <v>170</v>
      </c>
      <c r="DQ364" t="s">
        <v>187</v>
      </c>
      <c r="EB364">
        <v>9</v>
      </c>
      <c r="EC364">
        <v>10</v>
      </c>
      <c r="EE364" t="s">
        <v>2006</v>
      </c>
      <c r="EF364">
        <v>10</v>
      </c>
      <c r="EU364">
        <v>6000</v>
      </c>
      <c r="EW364">
        <v>0</v>
      </c>
      <c r="EX364">
        <v>0</v>
      </c>
      <c r="EY364">
        <v>0</v>
      </c>
      <c r="FA364">
        <v>9.1</v>
      </c>
      <c r="FG364">
        <v>356</v>
      </c>
      <c r="FH364">
        <v>272</v>
      </c>
      <c r="FI364">
        <v>318</v>
      </c>
    </row>
    <row r="365" spans="1:165" x14ac:dyDescent="0.35">
      <c r="A365" s="25"/>
      <c r="B365" s="25"/>
      <c r="C365" s="25"/>
      <c r="D365" s="25"/>
      <c r="E365" s="25"/>
      <c r="F365" s="25" t="str">
        <f>_xlfn.CONCAT($A366," ",$B366," ",$D366)</f>
        <v>2025 Hyundai Ioniq 5 Standard range</v>
      </c>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c r="AD365" s="25" t="str">
        <f>_xlfn.CONCAT($A366," ",$B366," ",$D366)</f>
        <v>2025 Hyundai Ioniq 5 Standard range</v>
      </c>
      <c r="AE365" s="25"/>
      <c r="AF365" s="25"/>
      <c r="AG365" s="25"/>
      <c r="AH365" s="25"/>
      <c r="AI365" s="25"/>
      <c r="AJ365" s="25"/>
      <c r="AK365" s="25"/>
      <c r="AL365" s="25"/>
      <c r="AM365" s="25"/>
      <c r="AN365" s="25"/>
      <c r="AO365" s="25"/>
      <c r="AP365" s="25"/>
      <c r="AQ365" s="25"/>
      <c r="AR365" s="25"/>
      <c r="AS365" s="25"/>
      <c r="AT365" s="25"/>
      <c r="AU365" s="25"/>
      <c r="AV365" s="25"/>
      <c r="AW365" s="25"/>
      <c r="AX365" s="25" t="str">
        <f>_xlfn.CONCAT($A366," ",$B366," ",$D366)</f>
        <v>2025 Hyundai Ioniq 5 Standard range</v>
      </c>
      <c r="AY365" s="25"/>
      <c r="AZ365" s="25"/>
      <c r="BA365" s="25"/>
      <c r="BB365" s="25"/>
      <c r="BC365" s="25"/>
      <c r="BD365" s="25"/>
      <c r="BE365" s="25"/>
      <c r="BF365" s="25"/>
      <c r="BG365" s="25"/>
      <c r="BH365" s="25"/>
      <c r="BI365" s="25"/>
      <c r="BJ365" s="25"/>
      <c r="BK365" s="25"/>
      <c r="BL365" s="25"/>
      <c r="BM365" s="25"/>
      <c r="BN365" s="25"/>
      <c r="BO365" s="25"/>
      <c r="BP365" s="25"/>
      <c r="BQ365" s="25"/>
      <c r="BR365" s="25" t="str">
        <f>_xlfn.CONCAT($A366," ",$B366," ",$D366)</f>
        <v>2025 Hyundai Ioniq 5 Standard range</v>
      </c>
      <c r="BS365" s="25"/>
      <c r="BT365" s="25"/>
      <c r="BU365" s="25"/>
      <c r="BV365" s="25"/>
      <c r="BX365" s="25"/>
      <c r="BY365" s="25"/>
      <c r="BZ365" s="25"/>
      <c r="CA365" s="25"/>
      <c r="CB365" s="25"/>
      <c r="CC365" s="25"/>
      <c r="CD365" s="25"/>
      <c r="CE365" s="25"/>
      <c r="CF365" s="25"/>
      <c r="CG365" s="25"/>
      <c r="CH365" s="25"/>
      <c r="CI365" s="25"/>
      <c r="CJ365" s="25"/>
      <c r="CK365" s="25"/>
      <c r="CL365" s="25"/>
      <c r="CM365" s="25"/>
      <c r="CN365" s="25"/>
      <c r="CO365" s="25"/>
      <c r="CP365" s="25" t="str">
        <f>_xlfn.CONCAT($A366," ",$B366," ",$D366)</f>
        <v>2025 Hyundai Ioniq 5 Standard range</v>
      </c>
      <c r="CQ365" s="25"/>
      <c r="CR365" s="25"/>
      <c r="CS365" s="25"/>
      <c r="CT365" s="25"/>
      <c r="CU365" s="25"/>
      <c r="CV365" s="25"/>
      <c r="CW365" s="25"/>
      <c r="CX365" s="25"/>
      <c r="CY365" s="25"/>
      <c r="CZ365" s="25"/>
      <c r="DA365" s="25"/>
      <c r="DB365" s="25"/>
      <c r="DC365" s="25"/>
      <c r="DD365" s="25"/>
      <c r="DE365" s="25"/>
      <c r="DF365" s="25"/>
      <c r="DG365" s="25"/>
      <c r="DH365" s="25"/>
      <c r="DI365" s="25" t="str">
        <f>_xlfn.CONCAT($A366," ",$B366," ",$D366)</f>
        <v>2025 Hyundai Ioniq 5 Standard range</v>
      </c>
      <c r="DJ365" s="25"/>
      <c r="DK365" s="25"/>
      <c r="DL365" s="25"/>
      <c r="DM365" s="25"/>
      <c r="DN365" s="25"/>
      <c r="DO365" s="25"/>
      <c r="DP365" s="25"/>
      <c r="DQ365" s="25"/>
      <c r="DR365" s="25"/>
      <c r="DS365" s="25"/>
      <c r="DT365" s="25"/>
      <c r="DU365" s="25"/>
      <c r="DV365" s="25"/>
      <c r="DW365" s="25"/>
      <c r="DX365" s="25"/>
      <c r="DY365" s="25"/>
      <c r="DZ365" s="25" t="str">
        <f>_xlfn.CONCAT($A366," ",$B366," ",$D366)</f>
        <v>2025 Hyundai Ioniq 5 Standard range</v>
      </c>
      <c r="EB365" s="25"/>
      <c r="EC365" s="25"/>
      <c r="ED365" s="25"/>
      <c r="EE365" s="25"/>
      <c r="EF365" s="25"/>
      <c r="EG365" s="25"/>
      <c r="EH365" s="25"/>
      <c r="EI365" s="25"/>
      <c r="EJ365" s="25"/>
      <c r="EK365" s="25"/>
      <c r="EL365" s="25"/>
      <c r="EM365" s="25"/>
      <c r="EN365" s="25"/>
      <c r="EO365" s="25"/>
      <c r="EP365" s="25"/>
      <c r="EQ365" s="25"/>
      <c r="ER365" s="25"/>
      <c r="ES365" s="25"/>
      <c r="ET365" s="25"/>
      <c r="EU365" s="25"/>
      <c r="EV365" s="25" t="str">
        <f>_xlfn.CONCAT($A366," ",$B366," ",$D366)</f>
        <v>2025 Hyundai Ioniq 5 Standard range</v>
      </c>
      <c r="EW365" s="25"/>
      <c r="EX365" s="25"/>
      <c r="EY365" s="25"/>
      <c r="EZ365" s="25"/>
      <c r="FA365" s="25"/>
      <c r="FB365" s="25"/>
      <c r="FC365" s="25"/>
      <c r="FD365" s="25"/>
      <c r="FE365" s="25"/>
      <c r="FF365" s="25"/>
      <c r="FG365" s="25"/>
    </row>
    <row r="366" spans="1:165" x14ac:dyDescent="0.35">
      <c r="A366">
        <v>2025</v>
      </c>
      <c r="B366" t="s">
        <v>569</v>
      </c>
      <c r="C366" t="s">
        <v>739</v>
      </c>
      <c r="D366" t="s">
        <v>2007</v>
      </c>
      <c r="E366" t="s">
        <v>572</v>
      </c>
      <c r="F366">
        <v>35</v>
      </c>
      <c r="G366">
        <v>0</v>
      </c>
      <c r="I366" t="s">
        <v>1734</v>
      </c>
      <c r="J366">
        <v>131</v>
      </c>
      <c r="K366">
        <v>100</v>
      </c>
      <c r="L366">
        <v>115</v>
      </c>
      <c r="M366">
        <v>193.2</v>
      </c>
      <c r="N366">
        <v>146.9</v>
      </c>
      <c r="O366">
        <v>169.20189999999999</v>
      </c>
      <c r="P366">
        <v>131</v>
      </c>
      <c r="Q366">
        <v>100</v>
      </c>
      <c r="R366">
        <v>115</v>
      </c>
      <c r="V366" t="s">
        <v>167</v>
      </c>
      <c r="W366" t="s">
        <v>168</v>
      </c>
      <c r="X366" t="s">
        <v>1931</v>
      </c>
      <c r="Y366">
        <v>1</v>
      </c>
      <c r="Z366" t="s">
        <v>170</v>
      </c>
      <c r="AA366" t="s">
        <v>170</v>
      </c>
      <c r="AB366" t="s">
        <v>171</v>
      </c>
      <c r="AC366" t="s">
        <v>172</v>
      </c>
      <c r="AF366">
        <v>245</v>
      </c>
      <c r="AG366" t="s">
        <v>1735</v>
      </c>
      <c r="AH366" t="s">
        <v>1736</v>
      </c>
      <c r="AI366" t="s">
        <v>175</v>
      </c>
      <c r="AJ366" t="s">
        <v>176</v>
      </c>
      <c r="AK366">
        <v>4</v>
      </c>
      <c r="AL366" t="s">
        <v>1737</v>
      </c>
      <c r="AS366">
        <v>700</v>
      </c>
      <c r="AT366">
        <v>700</v>
      </c>
      <c r="BQ366">
        <v>30</v>
      </c>
      <c r="BR366" t="s">
        <v>1099</v>
      </c>
      <c r="BT366" t="s">
        <v>1738</v>
      </c>
      <c r="BU366" s="1">
        <v>45585</v>
      </c>
      <c r="BV366">
        <v>35697</v>
      </c>
      <c r="BX366" t="s">
        <v>170</v>
      </c>
      <c r="BY366" t="s">
        <v>170</v>
      </c>
      <c r="CB366" t="s">
        <v>170</v>
      </c>
      <c r="CC366" t="s">
        <v>170</v>
      </c>
      <c r="CK366" t="s">
        <v>233</v>
      </c>
      <c r="CM366">
        <v>1</v>
      </c>
      <c r="CN366" t="s">
        <v>234</v>
      </c>
      <c r="CP366">
        <v>523</v>
      </c>
      <c r="CQ366">
        <v>120.6</v>
      </c>
      <c r="CR366">
        <v>168.9</v>
      </c>
      <c r="CS366" t="s">
        <v>1752</v>
      </c>
      <c r="CV366" t="s">
        <v>341</v>
      </c>
      <c r="CX366" t="s">
        <v>1012</v>
      </c>
      <c r="CY366" t="s">
        <v>169</v>
      </c>
      <c r="DC366" t="s">
        <v>1949</v>
      </c>
      <c r="DD366">
        <v>1</v>
      </c>
      <c r="DE366" t="s">
        <v>404</v>
      </c>
      <c r="DF366" t="s">
        <v>1950</v>
      </c>
      <c r="DG366">
        <v>125</v>
      </c>
      <c r="DL366" t="s">
        <v>170</v>
      </c>
      <c r="DM366" t="s">
        <v>169</v>
      </c>
      <c r="DP366" t="s">
        <v>170</v>
      </c>
      <c r="DQ366" t="s">
        <v>187</v>
      </c>
      <c r="EB366">
        <v>9</v>
      </c>
      <c r="EC366">
        <v>10</v>
      </c>
      <c r="EE366" t="s">
        <v>2008</v>
      </c>
      <c r="EF366">
        <v>10</v>
      </c>
      <c r="EU366">
        <v>6000</v>
      </c>
      <c r="EW366">
        <v>0</v>
      </c>
      <c r="EX366">
        <v>0</v>
      </c>
      <c r="EY366">
        <v>0</v>
      </c>
      <c r="FA366">
        <v>6.3</v>
      </c>
      <c r="FG366">
        <v>274</v>
      </c>
      <c r="FH366">
        <v>210</v>
      </c>
      <c r="FI366">
        <v>245</v>
      </c>
    </row>
    <row r="367" spans="1:165" x14ac:dyDescent="0.35">
      <c r="A367">
        <v>2025</v>
      </c>
      <c r="B367" t="s">
        <v>569</v>
      </c>
      <c r="C367" t="s">
        <v>739</v>
      </c>
      <c r="D367" t="s">
        <v>2007</v>
      </c>
      <c r="E367" t="s">
        <v>572</v>
      </c>
      <c r="F367">
        <v>35</v>
      </c>
      <c r="G367">
        <v>0</v>
      </c>
      <c r="I367" t="s">
        <v>1734</v>
      </c>
      <c r="J367">
        <v>26</v>
      </c>
      <c r="K367">
        <v>34</v>
      </c>
      <c r="L367">
        <v>29</v>
      </c>
      <c r="M367">
        <v>17.4483</v>
      </c>
      <c r="N367">
        <v>22.937799999999999</v>
      </c>
      <c r="O367">
        <v>19.918600000000001</v>
      </c>
      <c r="P367">
        <v>26</v>
      </c>
      <c r="Q367">
        <v>34</v>
      </c>
      <c r="R367">
        <v>29</v>
      </c>
      <c r="V367" t="s">
        <v>167</v>
      </c>
      <c r="W367" t="s">
        <v>168</v>
      </c>
      <c r="X367" t="s">
        <v>1931</v>
      </c>
      <c r="Y367">
        <v>1</v>
      </c>
      <c r="Z367" t="s">
        <v>170</v>
      </c>
      <c r="AA367" t="s">
        <v>170</v>
      </c>
      <c r="AB367" t="s">
        <v>171</v>
      </c>
      <c r="AC367" t="s">
        <v>172</v>
      </c>
      <c r="AF367">
        <v>245</v>
      </c>
      <c r="AG367" t="s">
        <v>1735</v>
      </c>
      <c r="AH367" t="s">
        <v>1736</v>
      </c>
      <c r="AI367" t="s">
        <v>1742</v>
      </c>
      <c r="AJ367" t="s">
        <v>1743</v>
      </c>
      <c r="AK367">
        <v>4</v>
      </c>
      <c r="AL367" t="s">
        <v>1737</v>
      </c>
      <c r="AS367">
        <v>700</v>
      </c>
      <c r="AT367">
        <v>700</v>
      </c>
      <c r="BQ367">
        <v>30</v>
      </c>
      <c r="BR367" t="s">
        <v>1099</v>
      </c>
      <c r="BT367" t="s">
        <v>1738</v>
      </c>
      <c r="BU367" s="1">
        <v>45585</v>
      </c>
      <c r="BV367">
        <v>35697</v>
      </c>
      <c r="BX367" t="s">
        <v>170</v>
      </c>
      <c r="BY367" t="s">
        <v>170</v>
      </c>
      <c r="CB367" t="s">
        <v>170</v>
      </c>
      <c r="CC367" t="s">
        <v>170</v>
      </c>
      <c r="CK367" t="s">
        <v>233</v>
      </c>
      <c r="CM367">
        <v>1</v>
      </c>
      <c r="CN367" t="s">
        <v>234</v>
      </c>
      <c r="CP367">
        <v>523</v>
      </c>
      <c r="CQ367">
        <v>120.6</v>
      </c>
      <c r="CR367">
        <v>168.9</v>
      </c>
      <c r="CS367" t="s">
        <v>1752</v>
      </c>
      <c r="CV367" t="s">
        <v>341</v>
      </c>
      <c r="CX367" t="s">
        <v>1012</v>
      </c>
      <c r="CY367" t="s">
        <v>169</v>
      </c>
      <c r="DC367" t="s">
        <v>1949</v>
      </c>
      <c r="DD367">
        <v>1</v>
      </c>
      <c r="DE367" t="s">
        <v>404</v>
      </c>
      <c r="DF367" t="s">
        <v>1950</v>
      </c>
      <c r="DG367">
        <v>125</v>
      </c>
      <c r="DL367" t="s">
        <v>170</v>
      </c>
      <c r="DM367" t="s">
        <v>169</v>
      </c>
      <c r="DP367" t="s">
        <v>170</v>
      </c>
      <c r="DQ367" t="s">
        <v>187</v>
      </c>
      <c r="EB367">
        <v>9</v>
      </c>
      <c r="EC367">
        <v>10</v>
      </c>
      <c r="EE367" t="s">
        <v>2008</v>
      </c>
      <c r="EF367">
        <v>10</v>
      </c>
      <c r="EU367">
        <v>6000</v>
      </c>
      <c r="EW367">
        <v>0</v>
      </c>
      <c r="EX367">
        <v>0</v>
      </c>
      <c r="EY367">
        <v>0</v>
      </c>
      <c r="FA367">
        <v>6.3</v>
      </c>
      <c r="FG367">
        <v>274</v>
      </c>
      <c r="FH367">
        <v>210</v>
      </c>
      <c r="FI367">
        <v>245</v>
      </c>
    </row>
    <row r="368" spans="1:165" x14ac:dyDescent="0.35">
      <c r="A368" s="25"/>
      <c r="B368" s="25"/>
      <c r="C368" s="25"/>
      <c r="D368" s="25"/>
      <c r="E368" s="25"/>
      <c r="F368" s="25" t="str">
        <f>_xlfn.CONCAT($A369," ",$B369," ",$D369)</f>
        <v>2025 Hyundai Ioniq 6 Standard Range</v>
      </c>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c r="AD368" s="25" t="str">
        <f>_xlfn.CONCAT($A369," ",$B369," ",$D369)</f>
        <v>2025 Hyundai Ioniq 6 Standard Range</v>
      </c>
      <c r="AE368" s="25"/>
      <c r="AF368" s="25"/>
      <c r="AG368" s="25"/>
      <c r="AH368" s="25"/>
      <c r="AI368" s="25"/>
      <c r="AJ368" s="25"/>
      <c r="AK368" s="25"/>
      <c r="AL368" s="25"/>
      <c r="AM368" s="25"/>
      <c r="AN368" s="25"/>
      <c r="AO368" s="25"/>
      <c r="AP368" s="25"/>
      <c r="AQ368" s="25"/>
      <c r="AR368" s="25"/>
      <c r="AS368" s="25"/>
      <c r="AT368" s="25"/>
      <c r="AU368" s="25"/>
      <c r="AV368" s="25"/>
      <c r="AW368" s="25"/>
      <c r="AX368" s="25" t="str">
        <f>_xlfn.CONCAT($A369," ",$B369," ",$D369)</f>
        <v>2025 Hyundai Ioniq 6 Standard Range</v>
      </c>
      <c r="AY368" s="25"/>
      <c r="AZ368" s="25"/>
      <c r="BA368" s="25"/>
      <c r="BB368" s="25"/>
      <c r="BC368" s="25"/>
      <c r="BD368" s="25"/>
      <c r="BE368" s="25"/>
      <c r="BF368" s="25"/>
      <c r="BG368" s="25"/>
      <c r="BH368" s="25"/>
      <c r="BI368" s="25"/>
      <c r="BJ368" s="25"/>
      <c r="BK368" s="25"/>
      <c r="BL368" s="25"/>
      <c r="BM368" s="25"/>
      <c r="BN368" s="25"/>
      <c r="BO368" s="25"/>
      <c r="BP368" s="25"/>
      <c r="BQ368" s="25"/>
      <c r="BR368" s="25" t="str">
        <f>_xlfn.CONCAT($A369," ",$B369," ",$D369)</f>
        <v>2025 Hyundai Ioniq 6 Standard Range</v>
      </c>
      <c r="BS368" s="25"/>
      <c r="BT368" s="25"/>
      <c r="BU368" s="25"/>
      <c r="BV368" s="25"/>
      <c r="BX368" s="25"/>
      <c r="BY368" s="25"/>
      <c r="BZ368" s="25"/>
      <c r="CA368" s="25"/>
      <c r="CB368" s="25"/>
      <c r="CC368" s="25"/>
      <c r="CD368" s="25"/>
      <c r="CE368" s="25"/>
      <c r="CF368" s="25"/>
      <c r="CG368" s="25"/>
      <c r="CH368" s="25"/>
      <c r="CI368" s="25"/>
      <c r="CJ368" s="25"/>
      <c r="CK368" s="25"/>
      <c r="CL368" s="25"/>
      <c r="CM368" s="25"/>
      <c r="CN368" s="25"/>
      <c r="CO368" s="25"/>
      <c r="CP368" s="25" t="str">
        <f>_xlfn.CONCAT($A369," ",$B369," ",$D369)</f>
        <v>2025 Hyundai Ioniq 6 Standard Range</v>
      </c>
      <c r="CQ368" s="25"/>
      <c r="CR368" s="25"/>
      <c r="CS368" s="25"/>
      <c r="CT368" s="25"/>
      <c r="CU368" s="25"/>
      <c r="CV368" s="25"/>
      <c r="CW368" s="25"/>
      <c r="CX368" s="25"/>
      <c r="CY368" s="25"/>
      <c r="CZ368" s="25"/>
      <c r="DA368" s="25"/>
      <c r="DB368" s="25"/>
      <c r="DC368" s="25"/>
      <c r="DD368" s="25"/>
      <c r="DE368" s="25"/>
      <c r="DF368" s="25"/>
      <c r="DG368" s="25"/>
      <c r="DH368" s="25"/>
      <c r="DI368" s="25" t="str">
        <f>_xlfn.CONCAT($A369," ",$B369," ",$D369)</f>
        <v>2025 Hyundai Ioniq 6 Standard Range</v>
      </c>
      <c r="DJ368" s="25"/>
      <c r="DK368" s="25"/>
      <c r="DL368" s="25"/>
      <c r="DM368" s="25"/>
      <c r="DN368" s="25"/>
      <c r="DO368" s="25"/>
      <c r="DP368" s="25"/>
      <c r="DQ368" s="25"/>
      <c r="DR368" s="25"/>
      <c r="DS368" s="25"/>
      <c r="DT368" s="25"/>
      <c r="DU368" s="25"/>
      <c r="DV368" s="25"/>
      <c r="DW368" s="25"/>
      <c r="DX368" s="25"/>
      <c r="DY368" s="25"/>
      <c r="DZ368" s="25" t="str">
        <f>_xlfn.CONCAT($A369," ",$B369," ",$D369)</f>
        <v>2025 Hyundai Ioniq 6 Standard Range</v>
      </c>
      <c r="EB368" s="25"/>
      <c r="EC368" s="25"/>
      <c r="ED368" s="25"/>
      <c r="EE368" s="25"/>
      <c r="EF368" s="25"/>
      <c r="EG368" s="25"/>
      <c r="EH368" s="25"/>
      <c r="EI368" s="25"/>
      <c r="EJ368" s="25"/>
      <c r="EK368" s="25"/>
      <c r="EL368" s="25"/>
      <c r="EM368" s="25"/>
      <c r="EN368" s="25"/>
      <c r="EO368" s="25"/>
      <c r="EP368" s="25"/>
      <c r="EQ368" s="25"/>
      <c r="ER368" s="25"/>
      <c r="ES368" s="25"/>
      <c r="ET368" s="25"/>
      <c r="EU368" s="25"/>
      <c r="EV368" s="25" t="str">
        <f>_xlfn.CONCAT($A369," ",$B369," ",$D369)</f>
        <v>2025 Hyundai Ioniq 6 Standard Range</v>
      </c>
      <c r="EW368" s="25"/>
      <c r="EX368" s="25"/>
      <c r="EY368" s="25"/>
      <c r="EZ368" s="25"/>
      <c r="FA368" s="25"/>
      <c r="FB368" s="25"/>
      <c r="FC368" s="25"/>
      <c r="FD368" s="25"/>
      <c r="FE368" s="25"/>
      <c r="FF368" s="25"/>
      <c r="FG368" s="25"/>
    </row>
    <row r="369" spans="1:165" x14ac:dyDescent="0.35">
      <c r="A369">
        <v>2025</v>
      </c>
      <c r="B369" t="s">
        <v>569</v>
      </c>
      <c r="C369" t="s">
        <v>739</v>
      </c>
      <c r="D369" t="s">
        <v>2016</v>
      </c>
      <c r="E369" t="s">
        <v>572</v>
      </c>
      <c r="F369">
        <v>59</v>
      </c>
      <c r="G369">
        <v>0</v>
      </c>
      <c r="I369" t="s">
        <v>1734</v>
      </c>
      <c r="J369">
        <v>151</v>
      </c>
      <c r="K369">
        <v>120</v>
      </c>
      <c r="L369">
        <v>135</v>
      </c>
      <c r="M369">
        <v>221.5</v>
      </c>
      <c r="N369">
        <v>176.3</v>
      </c>
      <c r="O369">
        <v>198.58850000000001</v>
      </c>
      <c r="P369">
        <v>151</v>
      </c>
      <c r="Q369">
        <v>120</v>
      </c>
      <c r="R369">
        <v>135</v>
      </c>
      <c r="V369" t="s">
        <v>167</v>
      </c>
      <c r="W369" t="s">
        <v>168</v>
      </c>
      <c r="X369" t="s">
        <v>1931</v>
      </c>
      <c r="Y369">
        <v>1</v>
      </c>
      <c r="Z369" t="s">
        <v>170</v>
      </c>
      <c r="AA369" t="s">
        <v>170</v>
      </c>
      <c r="AB369" t="s">
        <v>171</v>
      </c>
      <c r="AC369" t="s">
        <v>172</v>
      </c>
      <c r="AF369">
        <v>240</v>
      </c>
      <c r="AG369" t="s">
        <v>1735</v>
      </c>
      <c r="AH369" t="s">
        <v>1736</v>
      </c>
      <c r="AI369" t="s">
        <v>175</v>
      </c>
      <c r="AJ369" t="s">
        <v>176</v>
      </c>
      <c r="AK369">
        <v>4</v>
      </c>
      <c r="AL369" t="s">
        <v>1737</v>
      </c>
      <c r="AO369">
        <v>105</v>
      </c>
      <c r="AP369">
        <v>11</v>
      </c>
      <c r="AS369">
        <v>600</v>
      </c>
      <c r="AT369">
        <v>600</v>
      </c>
      <c r="BQ369">
        <v>5</v>
      </c>
      <c r="BR369" t="s">
        <v>672</v>
      </c>
      <c r="BS369" t="s">
        <v>180</v>
      </c>
      <c r="BT369" t="s">
        <v>1738</v>
      </c>
      <c r="BU369" s="1">
        <v>45444</v>
      </c>
      <c r="BV369">
        <v>34839</v>
      </c>
      <c r="BX369" t="s">
        <v>170</v>
      </c>
      <c r="BY369" t="s">
        <v>170</v>
      </c>
      <c r="CB369" t="s">
        <v>170</v>
      </c>
      <c r="CC369" t="s">
        <v>170</v>
      </c>
      <c r="CK369" t="s">
        <v>233</v>
      </c>
      <c r="CM369">
        <v>1</v>
      </c>
      <c r="CN369" t="s">
        <v>234</v>
      </c>
      <c r="CP369">
        <v>480</v>
      </c>
      <c r="CQ369">
        <v>111.2</v>
      </c>
      <c r="CR369">
        <v>149.19999999999999</v>
      </c>
      <c r="CS369" t="s">
        <v>1752</v>
      </c>
      <c r="CV369" t="s">
        <v>341</v>
      </c>
      <c r="CX369" t="s">
        <v>1012</v>
      </c>
      <c r="CY369" t="s">
        <v>169</v>
      </c>
      <c r="DC369" t="s">
        <v>1949</v>
      </c>
      <c r="DD369">
        <v>1</v>
      </c>
      <c r="DE369" t="s">
        <v>404</v>
      </c>
      <c r="DF369" t="s">
        <v>427</v>
      </c>
      <c r="DG369">
        <v>111</v>
      </c>
      <c r="DL369" t="s">
        <v>170</v>
      </c>
      <c r="DM369" t="s">
        <v>169</v>
      </c>
      <c r="DP369" t="s">
        <v>170</v>
      </c>
      <c r="DQ369" t="s">
        <v>187</v>
      </c>
      <c r="EB369">
        <v>10</v>
      </c>
      <c r="EC369">
        <v>10</v>
      </c>
      <c r="EE369" t="s">
        <v>2017</v>
      </c>
      <c r="EF369">
        <v>10</v>
      </c>
      <c r="EU369">
        <v>6500</v>
      </c>
      <c r="EW369">
        <v>0</v>
      </c>
      <c r="EX369">
        <v>0</v>
      </c>
      <c r="EY369">
        <v>0</v>
      </c>
      <c r="FA369">
        <v>6.1</v>
      </c>
      <c r="FG369">
        <v>267</v>
      </c>
      <c r="FH369">
        <v>207</v>
      </c>
      <c r="FI369">
        <v>240</v>
      </c>
    </row>
    <row r="370" spans="1:165" x14ac:dyDescent="0.35">
      <c r="A370">
        <v>2025</v>
      </c>
      <c r="B370" t="s">
        <v>569</v>
      </c>
      <c r="C370" t="s">
        <v>739</v>
      </c>
      <c r="D370" t="s">
        <v>2016</v>
      </c>
      <c r="E370" t="s">
        <v>572</v>
      </c>
      <c r="F370">
        <v>59</v>
      </c>
      <c r="G370">
        <v>0</v>
      </c>
      <c r="I370" t="s">
        <v>1734</v>
      </c>
      <c r="J370">
        <v>22</v>
      </c>
      <c r="K370">
        <v>28</v>
      </c>
      <c r="L370">
        <v>25</v>
      </c>
      <c r="M370">
        <v>15.214399999999999</v>
      </c>
      <c r="N370">
        <v>19.1127</v>
      </c>
      <c r="O370">
        <v>16.968599999999999</v>
      </c>
      <c r="P370">
        <v>21.738099999999999</v>
      </c>
      <c r="Q370">
        <v>28</v>
      </c>
      <c r="R370">
        <v>25</v>
      </c>
      <c r="V370" t="s">
        <v>167</v>
      </c>
      <c r="W370" t="s">
        <v>168</v>
      </c>
      <c r="X370" t="s">
        <v>1931</v>
      </c>
      <c r="Y370">
        <v>1</v>
      </c>
      <c r="Z370" t="s">
        <v>170</v>
      </c>
      <c r="AA370" t="s">
        <v>170</v>
      </c>
      <c r="AB370" t="s">
        <v>171</v>
      </c>
      <c r="AC370" t="s">
        <v>172</v>
      </c>
      <c r="AF370">
        <v>240</v>
      </c>
      <c r="AG370" t="s">
        <v>1735</v>
      </c>
      <c r="AH370" t="s">
        <v>1736</v>
      </c>
      <c r="AI370" t="s">
        <v>1742</v>
      </c>
      <c r="AJ370" t="s">
        <v>1743</v>
      </c>
      <c r="AK370">
        <v>4</v>
      </c>
      <c r="AL370" t="s">
        <v>1737</v>
      </c>
      <c r="AO370">
        <v>105</v>
      </c>
      <c r="AP370">
        <v>11</v>
      </c>
      <c r="AS370">
        <v>600</v>
      </c>
      <c r="AT370">
        <v>600</v>
      </c>
      <c r="BQ370">
        <v>5</v>
      </c>
      <c r="BR370" t="s">
        <v>672</v>
      </c>
      <c r="BS370" t="s">
        <v>180</v>
      </c>
      <c r="BT370" t="s">
        <v>1738</v>
      </c>
      <c r="BU370" s="1">
        <v>45444</v>
      </c>
      <c r="BV370">
        <v>34839</v>
      </c>
      <c r="BX370" t="s">
        <v>170</v>
      </c>
      <c r="BY370" t="s">
        <v>170</v>
      </c>
      <c r="CB370" t="s">
        <v>170</v>
      </c>
      <c r="CC370" t="s">
        <v>170</v>
      </c>
      <c r="CK370" t="s">
        <v>233</v>
      </c>
      <c r="CM370">
        <v>1</v>
      </c>
      <c r="CN370" t="s">
        <v>234</v>
      </c>
      <c r="CP370">
        <v>480</v>
      </c>
      <c r="CQ370">
        <v>111.2</v>
      </c>
      <c r="CR370">
        <v>149.19999999999999</v>
      </c>
      <c r="CS370" t="s">
        <v>1752</v>
      </c>
      <c r="CV370" t="s">
        <v>341</v>
      </c>
      <c r="CX370" t="s">
        <v>1012</v>
      </c>
      <c r="CY370" t="s">
        <v>169</v>
      </c>
      <c r="DC370" t="s">
        <v>1949</v>
      </c>
      <c r="DD370">
        <v>1</v>
      </c>
      <c r="DE370" t="s">
        <v>404</v>
      </c>
      <c r="DF370" t="s">
        <v>427</v>
      </c>
      <c r="DG370">
        <v>111</v>
      </c>
      <c r="DL370" t="s">
        <v>170</v>
      </c>
      <c r="DM370" t="s">
        <v>169</v>
      </c>
      <c r="DP370" t="s">
        <v>170</v>
      </c>
      <c r="DQ370" t="s">
        <v>187</v>
      </c>
      <c r="EB370">
        <v>10</v>
      </c>
      <c r="EC370">
        <v>10</v>
      </c>
      <c r="EE370" t="s">
        <v>2017</v>
      </c>
      <c r="EF370">
        <v>10</v>
      </c>
      <c r="EU370">
        <v>6500</v>
      </c>
      <c r="EW370">
        <v>0</v>
      </c>
      <c r="EX370">
        <v>0</v>
      </c>
      <c r="EY370">
        <v>0</v>
      </c>
      <c r="FA370">
        <v>6.1</v>
      </c>
      <c r="FG370">
        <v>267</v>
      </c>
      <c r="FH370">
        <v>207</v>
      </c>
      <c r="FI370">
        <v>240</v>
      </c>
    </row>
    <row r="371" spans="1:165" x14ac:dyDescent="0.35">
      <c r="A371" s="25"/>
      <c r="B371" s="25"/>
      <c r="C371" s="25"/>
      <c r="D371" s="25"/>
      <c r="E371" s="25"/>
      <c r="F371" s="25" t="str">
        <f>_xlfn.CONCAT($A372," ",$B372," ",$D372)</f>
        <v>2025 Hyundai IONIQ 6 RWD (18'' Wheels)</v>
      </c>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c r="AD371" s="25" t="str">
        <f>_xlfn.CONCAT($A372," ",$B372," ",$D372)</f>
        <v>2025 Hyundai IONIQ 6 RWD (18'' Wheels)</v>
      </c>
      <c r="AE371" s="25"/>
      <c r="AF371" s="25"/>
      <c r="AG371" s="25"/>
      <c r="AH371" s="25"/>
      <c r="AI371" s="25"/>
      <c r="AJ371" s="25"/>
      <c r="AK371" s="25"/>
      <c r="AL371" s="25"/>
      <c r="AM371" s="25"/>
      <c r="AN371" s="25"/>
      <c r="AO371" s="25"/>
      <c r="AP371" s="25"/>
      <c r="AQ371" s="25"/>
      <c r="AR371" s="25"/>
      <c r="AS371" s="25"/>
      <c r="AT371" s="25"/>
      <c r="AU371" s="25"/>
      <c r="AV371" s="25"/>
      <c r="AW371" s="25"/>
      <c r="AX371" s="25" t="str">
        <f>_xlfn.CONCAT($A372," ",$B372," ",$D372)</f>
        <v>2025 Hyundai IONIQ 6 RWD (18'' Wheels)</v>
      </c>
      <c r="AY371" s="25"/>
      <c r="AZ371" s="25"/>
      <c r="BA371" s="25"/>
      <c r="BB371" s="25"/>
      <c r="BC371" s="25"/>
      <c r="BD371" s="25"/>
      <c r="BE371" s="25"/>
      <c r="BF371" s="25"/>
      <c r="BG371" s="25"/>
      <c r="BH371" s="25"/>
      <c r="BI371" s="25"/>
      <c r="BJ371" s="25"/>
      <c r="BK371" s="25"/>
      <c r="BL371" s="25"/>
      <c r="BM371" s="25"/>
      <c r="BN371" s="25"/>
      <c r="BO371" s="25"/>
      <c r="BP371" s="25"/>
      <c r="BQ371" s="25"/>
      <c r="BR371" s="25" t="str">
        <f>_xlfn.CONCAT($A372," ",$B372," ",$D372)</f>
        <v>2025 Hyundai IONIQ 6 RWD (18'' Wheels)</v>
      </c>
      <c r="BS371" s="25"/>
      <c r="BT371" s="25"/>
      <c r="BU371" s="25"/>
      <c r="BV371" s="25"/>
      <c r="BX371" s="25"/>
      <c r="BY371" s="25"/>
      <c r="BZ371" s="25"/>
      <c r="CA371" s="25"/>
      <c r="CB371" s="25"/>
      <c r="CC371" s="25"/>
      <c r="CD371" s="25"/>
      <c r="CE371" s="25"/>
      <c r="CF371" s="25"/>
      <c r="CG371" s="25"/>
      <c r="CH371" s="25"/>
      <c r="CI371" s="25"/>
      <c r="CJ371" s="25"/>
      <c r="CK371" s="25"/>
      <c r="CL371" s="25"/>
      <c r="CM371" s="25"/>
      <c r="CN371" s="25"/>
      <c r="CO371" s="25"/>
      <c r="CP371" s="25" t="str">
        <f>_xlfn.CONCAT($A372," ",$B372," ",$D372)</f>
        <v>2025 Hyundai IONIQ 6 RWD (18'' Wheels)</v>
      </c>
      <c r="CQ371" s="25"/>
      <c r="CR371" s="25"/>
      <c r="CS371" s="25"/>
      <c r="CT371" s="25"/>
      <c r="CU371" s="25"/>
      <c r="CV371" s="25"/>
      <c r="CW371" s="25"/>
      <c r="CX371" s="25"/>
      <c r="CY371" s="25"/>
      <c r="CZ371" s="25"/>
      <c r="DA371" s="25"/>
      <c r="DB371" s="25"/>
      <c r="DC371" s="25"/>
      <c r="DD371" s="25"/>
      <c r="DE371" s="25"/>
      <c r="DF371" s="25"/>
      <c r="DG371" s="25"/>
      <c r="DH371" s="25"/>
      <c r="DI371" s="25" t="str">
        <f>_xlfn.CONCAT($A372," ",$B372," ",$D372)</f>
        <v>2025 Hyundai IONIQ 6 RWD (18'' Wheels)</v>
      </c>
      <c r="DJ371" s="25"/>
      <c r="DK371" s="25"/>
      <c r="DL371" s="25"/>
      <c r="DM371" s="25"/>
      <c r="DN371" s="25"/>
      <c r="DO371" s="25"/>
      <c r="DP371" s="25"/>
      <c r="DQ371" s="25"/>
      <c r="DR371" s="25"/>
      <c r="DS371" s="25"/>
      <c r="DT371" s="25"/>
      <c r="DU371" s="25"/>
      <c r="DV371" s="25"/>
      <c r="DW371" s="25"/>
      <c r="DX371" s="25"/>
      <c r="DY371" s="25"/>
      <c r="DZ371" s="25" t="str">
        <f>_xlfn.CONCAT($A372," ",$B372," ",$D372)</f>
        <v>2025 Hyundai IONIQ 6 RWD (18'' Wheels)</v>
      </c>
      <c r="EB371" s="25"/>
      <c r="EC371" s="25"/>
      <c r="ED371" s="25"/>
      <c r="EE371" s="25"/>
      <c r="EF371" s="25"/>
      <c r="EG371" s="25"/>
      <c r="EH371" s="25"/>
      <c r="EI371" s="25"/>
      <c r="EJ371" s="25"/>
      <c r="EK371" s="25"/>
      <c r="EL371" s="25"/>
      <c r="EM371" s="25"/>
      <c r="EN371" s="25"/>
      <c r="EO371" s="25"/>
      <c r="EP371" s="25"/>
      <c r="EQ371" s="25"/>
      <c r="ER371" s="25"/>
      <c r="ES371" s="25"/>
      <c r="ET371" s="25"/>
      <c r="EU371" s="25"/>
      <c r="EV371" s="25" t="str">
        <f>_xlfn.CONCAT($A372," ",$B372," ",$D372)</f>
        <v>2025 Hyundai IONIQ 6 RWD (18'' Wheels)</v>
      </c>
      <c r="EW371" s="25"/>
      <c r="EX371" s="25"/>
      <c r="EY371" s="25"/>
      <c r="EZ371" s="25"/>
      <c r="FA371" s="25"/>
      <c r="FB371" s="25"/>
      <c r="FC371" s="25"/>
      <c r="FD371" s="25"/>
      <c r="FE371" s="25"/>
      <c r="FF371" s="25"/>
      <c r="FG371" s="25"/>
    </row>
    <row r="372" spans="1:165" x14ac:dyDescent="0.35">
      <c r="A372">
        <v>2025</v>
      </c>
      <c r="B372" t="s">
        <v>569</v>
      </c>
      <c r="C372" t="s">
        <v>739</v>
      </c>
      <c r="D372" t="s">
        <v>2012</v>
      </c>
      <c r="E372" t="s">
        <v>572</v>
      </c>
      <c r="F372">
        <v>60</v>
      </c>
      <c r="G372">
        <v>0</v>
      </c>
      <c r="I372" t="s">
        <v>1734</v>
      </c>
      <c r="J372">
        <v>144</v>
      </c>
      <c r="K372">
        <v>120</v>
      </c>
      <c r="L372">
        <v>132</v>
      </c>
      <c r="M372">
        <v>208.6</v>
      </c>
      <c r="N372">
        <v>173.9</v>
      </c>
      <c r="O372">
        <v>191.41249999999999</v>
      </c>
      <c r="P372">
        <v>144</v>
      </c>
      <c r="Q372">
        <v>120</v>
      </c>
      <c r="R372">
        <v>132</v>
      </c>
      <c r="V372" t="s">
        <v>167</v>
      </c>
      <c r="W372" t="s">
        <v>168</v>
      </c>
      <c r="X372" t="s">
        <v>1931</v>
      </c>
      <c r="Y372">
        <v>1</v>
      </c>
      <c r="Z372" t="s">
        <v>170</v>
      </c>
      <c r="AA372" t="s">
        <v>170</v>
      </c>
      <c r="AB372" t="s">
        <v>171</v>
      </c>
      <c r="AC372" t="s">
        <v>172</v>
      </c>
      <c r="AF372">
        <v>342</v>
      </c>
      <c r="AG372" t="s">
        <v>1735</v>
      </c>
      <c r="AH372" t="s">
        <v>1736</v>
      </c>
      <c r="AI372" t="s">
        <v>175</v>
      </c>
      <c r="AJ372" t="s">
        <v>176</v>
      </c>
      <c r="AK372">
        <v>4</v>
      </c>
      <c r="AL372" t="s">
        <v>1737</v>
      </c>
      <c r="AO372">
        <v>105</v>
      </c>
      <c r="AP372">
        <v>11</v>
      </c>
      <c r="AS372">
        <v>600</v>
      </c>
      <c r="AT372">
        <v>600</v>
      </c>
      <c r="BQ372">
        <v>5</v>
      </c>
      <c r="BR372" t="s">
        <v>672</v>
      </c>
      <c r="BS372" t="s">
        <v>180</v>
      </c>
      <c r="BT372" t="s">
        <v>1738</v>
      </c>
      <c r="BU372" s="1">
        <v>45444</v>
      </c>
      <c r="BV372">
        <v>34842</v>
      </c>
      <c r="BX372" t="s">
        <v>170</v>
      </c>
      <c r="BY372" t="s">
        <v>170</v>
      </c>
      <c r="CB372" t="s">
        <v>170</v>
      </c>
      <c r="CC372" t="s">
        <v>170</v>
      </c>
      <c r="CK372" t="s">
        <v>233</v>
      </c>
      <c r="CM372">
        <v>1</v>
      </c>
      <c r="CN372" t="s">
        <v>234</v>
      </c>
      <c r="CP372">
        <v>697</v>
      </c>
      <c r="CQ372">
        <v>111.2</v>
      </c>
      <c r="CR372">
        <v>158.4</v>
      </c>
      <c r="CS372" t="s">
        <v>1752</v>
      </c>
      <c r="CV372" t="s">
        <v>341</v>
      </c>
      <c r="CX372" t="s">
        <v>1012</v>
      </c>
      <c r="CY372" t="s">
        <v>169</v>
      </c>
      <c r="DC372" t="s">
        <v>1932</v>
      </c>
      <c r="DD372">
        <v>1</v>
      </c>
      <c r="DE372" t="s">
        <v>404</v>
      </c>
      <c r="DF372" t="s">
        <v>427</v>
      </c>
      <c r="DG372">
        <v>168</v>
      </c>
      <c r="DL372" t="s">
        <v>170</v>
      </c>
      <c r="DM372" t="s">
        <v>169</v>
      </c>
      <c r="DP372" t="s">
        <v>170</v>
      </c>
      <c r="DQ372" t="s">
        <v>187</v>
      </c>
      <c r="DR372" t="s">
        <v>2010</v>
      </c>
      <c r="EB372">
        <v>10</v>
      </c>
      <c r="EC372">
        <v>10</v>
      </c>
      <c r="EE372" t="s">
        <v>2013</v>
      </c>
      <c r="EF372">
        <v>10</v>
      </c>
      <c r="EU372">
        <v>6500</v>
      </c>
      <c r="EW372">
        <v>0</v>
      </c>
      <c r="EX372">
        <v>0</v>
      </c>
      <c r="EY372">
        <v>0</v>
      </c>
      <c r="FA372">
        <v>7.5</v>
      </c>
      <c r="FG372">
        <v>370</v>
      </c>
      <c r="FH372">
        <v>308</v>
      </c>
      <c r="FI372">
        <v>342</v>
      </c>
    </row>
    <row r="373" spans="1:165" x14ac:dyDescent="0.35">
      <c r="A373">
        <v>2025</v>
      </c>
      <c r="B373" t="s">
        <v>569</v>
      </c>
      <c r="C373" t="s">
        <v>739</v>
      </c>
      <c r="D373" t="s">
        <v>2012</v>
      </c>
      <c r="E373" t="s">
        <v>572</v>
      </c>
      <c r="F373">
        <v>60</v>
      </c>
      <c r="G373">
        <v>0</v>
      </c>
      <c r="I373" t="s">
        <v>1734</v>
      </c>
      <c r="J373">
        <v>23</v>
      </c>
      <c r="K373">
        <v>28</v>
      </c>
      <c r="L373">
        <v>26</v>
      </c>
      <c r="M373">
        <v>16.1601</v>
      </c>
      <c r="N373">
        <v>19.385400000000001</v>
      </c>
      <c r="O373">
        <v>17.611499999999999</v>
      </c>
      <c r="P373">
        <v>23.0825</v>
      </c>
      <c r="Q373">
        <v>27.688300000000002</v>
      </c>
      <c r="R373">
        <v>26</v>
      </c>
      <c r="V373" t="s">
        <v>167</v>
      </c>
      <c r="W373" t="s">
        <v>168</v>
      </c>
      <c r="X373" t="s">
        <v>1931</v>
      </c>
      <c r="Y373">
        <v>1</v>
      </c>
      <c r="Z373" t="s">
        <v>170</v>
      </c>
      <c r="AA373" t="s">
        <v>170</v>
      </c>
      <c r="AB373" t="s">
        <v>171</v>
      </c>
      <c r="AC373" t="s">
        <v>172</v>
      </c>
      <c r="AF373">
        <v>342</v>
      </c>
      <c r="AG373" t="s">
        <v>1735</v>
      </c>
      <c r="AH373" t="s">
        <v>1736</v>
      </c>
      <c r="AI373" t="s">
        <v>1742</v>
      </c>
      <c r="AJ373" t="s">
        <v>1743</v>
      </c>
      <c r="AK373">
        <v>4</v>
      </c>
      <c r="AL373" t="s">
        <v>1737</v>
      </c>
      <c r="AO373">
        <v>105</v>
      </c>
      <c r="AP373">
        <v>11</v>
      </c>
      <c r="AS373">
        <v>600</v>
      </c>
      <c r="AT373">
        <v>600</v>
      </c>
      <c r="BQ373">
        <v>5</v>
      </c>
      <c r="BR373" t="s">
        <v>672</v>
      </c>
      <c r="BS373" t="s">
        <v>180</v>
      </c>
      <c r="BT373" t="s">
        <v>1738</v>
      </c>
      <c r="BU373" s="1">
        <v>45444</v>
      </c>
      <c r="BV373">
        <v>34842</v>
      </c>
      <c r="BX373" t="s">
        <v>170</v>
      </c>
      <c r="BY373" t="s">
        <v>170</v>
      </c>
      <c r="CB373" t="s">
        <v>170</v>
      </c>
      <c r="CC373" t="s">
        <v>170</v>
      </c>
      <c r="CK373" t="s">
        <v>233</v>
      </c>
      <c r="CM373">
        <v>1</v>
      </c>
      <c r="CN373" t="s">
        <v>234</v>
      </c>
      <c r="CP373">
        <v>697</v>
      </c>
      <c r="CQ373">
        <v>111.2</v>
      </c>
      <c r="CR373">
        <v>158.4</v>
      </c>
      <c r="CS373" t="s">
        <v>1752</v>
      </c>
      <c r="CV373" t="s">
        <v>341</v>
      </c>
      <c r="CX373" t="s">
        <v>1012</v>
      </c>
      <c r="CY373" t="s">
        <v>169</v>
      </c>
      <c r="DC373" t="s">
        <v>1932</v>
      </c>
      <c r="DD373">
        <v>1</v>
      </c>
      <c r="DE373" t="s">
        <v>404</v>
      </c>
      <c r="DF373" t="s">
        <v>427</v>
      </c>
      <c r="DG373">
        <v>168</v>
      </c>
      <c r="DL373" t="s">
        <v>170</v>
      </c>
      <c r="DM373" t="s">
        <v>169</v>
      </c>
      <c r="DP373" t="s">
        <v>170</v>
      </c>
      <c r="DQ373" t="s">
        <v>187</v>
      </c>
      <c r="DR373" t="s">
        <v>2010</v>
      </c>
      <c r="EB373">
        <v>10</v>
      </c>
      <c r="EC373">
        <v>10</v>
      </c>
      <c r="EE373" t="s">
        <v>2013</v>
      </c>
      <c r="EF373">
        <v>10</v>
      </c>
      <c r="EU373">
        <v>6500</v>
      </c>
      <c r="EW373">
        <v>0</v>
      </c>
      <c r="EX373">
        <v>0</v>
      </c>
      <c r="EY373">
        <v>0</v>
      </c>
      <c r="FA373">
        <v>7.5</v>
      </c>
      <c r="FG373">
        <v>370</v>
      </c>
      <c r="FH373">
        <v>308</v>
      </c>
      <c r="FI373">
        <v>342</v>
      </c>
    </row>
    <row r="374" spans="1:165" x14ac:dyDescent="0.35">
      <c r="A374" s="25"/>
      <c r="B374" s="25"/>
      <c r="C374" s="25"/>
      <c r="D374" s="25"/>
      <c r="E374" s="25"/>
      <c r="F374" s="25" t="str">
        <f>_xlfn.CONCAT($A375," ",$B375," ",$D375)</f>
        <v>2025 Hyundai IONIQ 6 RWD (20'' Wheels)</v>
      </c>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c r="AD374" s="25" t="str">
        <f>_xlfn.CONCAT($A375," ",$B375," ",$D375)</f>
        <v>2025 Hyundai IONIQ 6 RWD (20'' Wheels)</v>
      </c>
      <c r="AE374" s="25"/>
      <c r="AF374" s="25"/>
      <c r="AG374" s="25"/>
      <c r="AH374" s="25"/>
      <c r="AI374" s="25"/>
      <c r="AJ374" s="25"/>
      <c r="AK374" s="25"/>
      <c r="AL374" s="25"/>
      <c r="AM374" s="25"/>
      <c r="AN374" s="25"/>
      <c r="AO374" s="25"/>
      <c r="AP374" s="25"/>
      <c r="AQ374" s="25"/>
      <c r="AR374" s="25"/>
      <c r="AS374" s="25"/>
      <c r="AT374" s="25"/>
      <c r="AU374" s="25"/>
      <c r="AV374" s="25"/>
      <c r="AW374" s="25"/>
      <c r="AX374" s="25" t="str">
        <f>_xlfn.CONCAT($A375," ",$B375," ",$D375)</f>
        <v>2025 Hyundai IONIQ 6 RWD (20'' Wheels)</v>
      </c>
      <c r="AY374" s="25"/>
      <c r="AZ374" s="25"/>
      <c r="BA374" s="25"/>
      <c r="BB374" s="25"/>
      <c r="BC374" s="25"/>
      <c r="BD374" s="25"/>
      <c r="BE374" s="25"/>
      <c r="BF374" s="25"/>
      <c r="BG374" s="25"/>
      <c r="BH374" s="25"/>
      <c r="BI374" s="25"/>
      <c r="BJ374" s="25"/>
      <c r="BK374" s="25"/>
      <c r="BL374" s="25"/>
      <c r="BM374" s="25"/>
      <c r="BN374" s="25"/>
      <c r="BO374" s="25"/>
      <c r="BP374" s="25"/>
      <c r="BQ374" s="25"/>
      <c r="BR374" s="25" t="str">
        <f>_xlfn.CONCAT($A375," ",$B375," ",$D375)</f>
        <v>2025 Hyundai IONIQ 6 RWD (20'' Wheels)</v>
      </c>
      <c r="BS374" s="25"/>
      <c r="BT374" s="25"/>
      <c r="BU374" s="25"/>
      <c r="BV374" s="25"/>
      <c r="BX374" s="25"/>
      <c r="BY374" s="25"/>
      <c r="BZ374" s="25"/>
      <c r="CA374" s="25"/>
      <c r="CB374" s="25"/>
      <c r="CC374" s="25"/>
      <c r="CD374" s="25"/>
      <c r="CE374" s="25"/>
      <c r="CF374" s="25"/>
      <c r="CG374" s="25"/>
      <c r="CH374" s="25"/>
      <c r="CI374" s="25"/>
      <c r="CJ374" s="25"/>
      <c r="CK374" s="25"/>
      <c r="CL374" s="25"/>
      <c r="CM374" s="25"/>
      <c r="CN374" s="25"/>
      <c r="CO374" s="25"/>
      <c r="CP374" s="25" t="str">
        <f>_xlfn.CONCAT($A375," ",$B375," ",$D375)</f>
        <v>2025 Hyundai IONIQ 6 RWD (20'' Wheels)</v>
      </c>
      <c r="CQ374" s="25"/>
      <c r="CR374" s="25"/>
      <c r="CS374" s="25"/>
      <c r="CT374" s="25"/>
      <c r="CU374" s="25"/>
      <c r="CV374" s="25"/>
      <c r="CW374" s="25"/>
      <c r="CX374" s="25"/>
      <c r="CY374" s="25"/>
      <c r="CZ374" s="25"/>
      <c r="DA374" s="25"/>
      <c r="DB374" s="25"/>
      <c r="DC374" s="25"/>
      <c r="DD374" s="25"/>
      <c r="DE374" s="25"/>
      <c r="DF374" s="25"/>
      <c r="DG374" s="25"/>
      <c r="DH374" s="25"/>
      <c r="DI374" s="25" t="str">
        <f>_xlfn.CONCAT($A375," ",$B375," ",$D375)</f>
        <v>2025 Hyundai IONIQ 6 RWD (20'' Wheels)</v>
      </c>
      <c r="DJ374" s="25"/>
      <c r="DK374" s="25"/>
      <c r="DL374" s="25"/>
      <c r="DM374" s="25"/>
      <c r="DN374" s="25"/>
      <c r="DO374" s="25"/>
      <c r="DP374" s="25"/>
      <c r="DQ374" s="25"/>
      <c r="DR374" s="25"/>
      <c r="DS374" s="25"/>
      <c r="DT374" s="25"/>
      <c r="DU374" s="25"/>
      <c r="DV374" s="25"/>
      <c r="DW374" s="25"/>
      <c r="DX374" s="25"/>
      <c r="DY374" s="25"/>
      <c r="DZ374" s="25" t="str">
        <f>_xlfn.CONCAT($A375," ",$B375," ",$D375)</f>
        <v>2025 Hyundai IONIQ 6 RWD (20'' Wheels)</v>
      </c>
      <c r="EB374" s="25"/>
      <c r="EC374" s="25"/>
      <c r="ED374" s="25"/>
      <c r="EE374" s="25"/>
      <c r="EF374" s="25"/>
      <c r="EG374" s="25"/>
      <c r="EH374" s="25"/>
      <c r="EI374" s="25"/>
      <c r="EJ374" s="25"/>
      <c r="EK374" s="25"/>
      <c r="EL374" s="25"/>
      <c r="EM374" s="25"/>
      <c r="EN374" s="25"/>
      <c r="EO374" s="25"/>
      <c r="EP374" s="25"/>
      <c r="EQ374" s="25"/>
      <c r="ER374" s="25"/>
      <c r="ES374" s="25"/>
      <c r="ET374" s="25"/>
      <c r="EU374" s="25"/>
      <c r="EV374" s="25" t="str">
        <f>_xlfn.CONCAT($A375," ",$B375," ",$D375)</f>
        <v>2025 Hyundai IONIQ 6 RWD (20'' Wheels)</v>
      </c>
      <c r="EW374" s="25"/>
      <c r="EX374" s="25"/>
      <c r="EY374" s="25"/>
      <c r="EZ374" s="25"/>
      <c r="FA374" s="25"/>
      <c r="FB374" s="25"/>
      <c r="FC374" s="25"/>
      <c r="FD374" s="25"/>
      <c r="FE374" s="25"/>
      <c r="FF374" s="25"/>
      <c r="FG374" s="25"/>
    </row>
    <row r="375" spans="1:165" x14ac:dyDescent="0.35">
      <c r="A375">
        <v>2025</v>
      </c>
      <c r="B375" t="s">
        <v>569</v>
      </c>
      <c r="C375" t="s">
        <v>739</v>
      </c>
      <c r="D375" t="s">
        <v>2014</v>
      </c>
      <c r="E375" t="s">
        <v>572</v>
      </c>
      <c r="F375">
        <v>61</v>
      </c>
      <c r="G375">
        <v>0</v>
      </c>
      <c r="I375" t="s">
        <v>1734</v>
      </c>
      <c r="J375">
        <v>123</v>
      </c>
      <c r="K375">
        <v>100</v>
      </c>
      <c r="L375">
        <v>111</v>
      </c>
      <c r="M375">
        <v>178.6</v>
      </c>
      <c r="N375">
        <v>145</v>
      </c>
      <c r="O375">
        <v>161.73490000000001</v>
      </c>
      <c r="P375">
        <v>123</v>
      </c>
      <c r="Q375">
        <v>100</v>
      </c>
      <c r="R375">
        <v>111</v>
      </c>
      <c r="V375" t="s">
        <v>167</v>
      </c>
      <c r="W375" t="s">
        <v>168</v>
      </c>
      <c r="X375" t="s">
        <v>1931</v>
      </c>
      <c r="Y375">
        <v>1</v>
      </c>
      <c r="Z375" t="s">
        <v>170</v>
      </c>
      <c r="AA375" t="s">
        <v>170</v>
      </c>
      <c r="AB375" t="s">
        <v>171</v>
      </c>
      <c r="AC375" t="s">
        <v>172</v>
      </c>
      <c r="AF375">
        <v>291</v>
      </c>
      <c r="AG375" t="s">
        <v>1735</v>
      </c>
      <c r="AH375" t="s">
        <v>1736</v>
      </c>
      <c r="AI375" t="s">
        <v>175</v>
      </c>
      <c r="AJ375" t="s">
        <v>176</v>
      </c>
      <c r="AK375">
        <v>4</v>
      </c>
      <c r="AL375" t="s">
        <v>1737</v>
      </c>
      <c r="AO375">
        <v>105</v>
      </c>
      <c r="AP375">
        <v>11</v>
      </c>
      <c r="AS375">
        <v>700</v>
      </c>
      <c r="AT375">
        <v>700</v>
      </c>
      <c r="BQ375">
        <v>5</v>
      </c>
      <c r="BR375" t="s">
        <v>672</v>
      </c>
      <c r="BS375" t="s">
        <v>180</v>
      </c>
      <c r="BT375" t="s">
        <v>1738</v>
      </c>
      <c r="BU375" s="1">
        <v>45444</v>
      </c>
      <c r="BV375">
        <v>34843</v>
      </c>
      <c r="BX375" t="s">
        <v>170</v>
      </c>
      <c r="BY375" t="s">
        <v>170</v>
      </c>
      <c r="CB375" t="s">
        <v>170</v>
      </c>
      <c r="CC375" t="s">
        <v>170</v>
      </c>
      <c r="CK375" t="s">
        <v>233</v>
      </c>
      <c r="CM375">
        <v>1</v>
      </c>
      <c r="CN375" t="s">
        <v>234</v>
      </c>
      <c r="CP375">
        <v>697</v>
      </c>
      <c r="CQ375">
        <v>111.2</v>
      </c>
      <c r="CR375">
        <v>158.4</v>
      </c>
      <c r="CS375" t="s">
        <v>1752</v>
      </c>
      <c r="CV375" t="s">
        <v>341</v>
      </c>
      <c r="CX375" t="s">
        <v>1012</v>
      </c>
      <c r="CY375" t="s">
        <v>169</v>
      </c>
      <c r="DC375" t="s">
        <v>1932</v>
      </c>
      <c r="DD375">
        <v>1</v>
      </c>
      <c r="DE375" t="s">
        <v>404</v>
      </c>
      <c r="DF375" t="s">
        <v>427</v>
      </c>
      <c r="DG375">
        <v>168</v>
      </c>
      <c r="DL375" t="s">
        <v>170</v>
      </c>
      <c r="DM375" t="s">
        <v>169</v>
      </c>
      <c r="DP375" t="s">
        <v>170</v>
      </c>
      <c r="DQ375" t="s">
        <v>187</v>
      </c>
      <c r="DR375" t="s">
        <v>2015</v>
      </c>
      <c r="EB375">
        <v>9</v>
      </c>
      <c r="EC375">
        <v>10</v>
      </c>
      <c r="EE375" t="s">
        <v>2013</v>
      </c>
      <c r="EF375">
        <v>10</v>
      </c>
      <c r="EU375">
        <v>6000</v>
      </c>
      <c r="EW375">
        <v>0</v>
      </c>
      <c r="EX375">
        <v>0</v>
      </c>
      <c r="EY375">
        <v>0</v>
      </c>
      <c r="FA375">
        <v>7.5</v>
      </c>
      <c r="FG375">
        <v>321</v>
      </c>
      <c r="FH375">
        <v>254</v>
      </c>
      <c r="FI375">
        <v>291</v>
      </c>
    </row>
    <row r="376" spans="1:165" x14ac:dyDescent="0.35">
      <c r="A376">
        <v>2025</v>
      </c>
      <c r="B376" t="s">
        <v>569</v>
      </c>
      <c r="C376" t="s">
        <v>739</v>
      </c>
      <c r="D376" t="s">
        <v>2014</v>
      </c>
      <c r="E376" t="s">
        <v>572</v>
      </c>
      <c r="F376">
        <v>61</v>
      </c>
      <c r="G376">
        <v>0</v>
      </c>
      <c r="I376" t="s">
        <v>1734</v>
      </c>
      <c r="J376">
        <v>27</v>
      </c>
      <c r="K376">
        <v>34</v>
      </c>
      <c r="L376">
        <v>30</v>
      </c>
      <c r="M376">
        <v>18.875499999999999</v>
      </c>
      <c r="N376">
        <v>23.252800000000001</v>
      </c>
      <c r="O376">
        <v>20.845300000000002</v>
      </c>
      <c r="P376">
        <v>26.959700000000002</v>
      </c>
      <c r="Q376">
        <v>34</v>
      </c>
      <c r="R376">
        <v>29.770900000000001</v>
      </c>
      <c r="V376" t="s">
        <v>167</v>
      </c>
      <c r="W376" t="s">
        <v>168</v>
      </c>
      <c r="X376" t="s">
        <v>1931</v>
      </c>
      <c r="Y376">
        <v>1</v>
      </c>
      <c r="Z376" t="s">
        <v>170</v>
      </c>
      <c r="AA376" t="s">
        <v>170</v>
      </c>
      <c r="AB376" t="s">
        <v>171</v>
      </c>
      <c r="AC376" t="s">
        <v>172</v>
      </c>
      <c r="AF376">
        <v>291</v>
      </c>
      <c r="AG376" t="s">
        <v>1735</v>
      </c>
      <c r="AH376" t="s">
        <v>1736</v>
      </c>
      <c r="AI376" t="s">
        <v>1742</v>
      </c>
      <c r="AJ376" t="s">
        <v>1743</v>
      </c>
      <c r="AK376">
        <v>4</v>
      </c>
      <c r="AL376" t="s">
        <v>1737</v>
      </c>
      <c r="AO376">
        <v>105</v>
      </c>
      <c r="AP376">
        <v>11</v>
      </c>
      <c r="AS376">
        <v>700</v>
      </c>
      <c r="AT376">
        <v>700</v>
      </c>
      <c r="BQ376">
        <v>5</v>
      </c>
      <c r="BR376" t="s">
        <v>672</v>
      </c>
      <c r="BS376" t="s">
        <v>180</v>
      </c>
      <c r="BT376" t="s">
        <v>1738</v>
      </c>
      <c r="BU376" s="1">
        <v>45444</v>
      </c>
      <c r="BV376">
        <v>34843</v>
      </c>
      <c r="BX376" t="s">
        <v>170</v>
      </c>
      <c r="BY376" t="s">
        <v>170</v>
      </c>
      <c r="CB376" t="s">
        <v>170</v>
      </c>
      <c r="CC376" t="s">
        <v>170</v>
      </c>
      <c r="CK376" t="s">
        <v>233</v>
      </c>
      <c r="CM376">
        <v>1</v>
      </c>
      <c r="CN376" t="s">
        <v>234</v>
      </c>
      <c r="CP376">
        <v>697</v>
      </c>
      <c r="CQ376">
        <v>111.2</v>
      </c>
      <c r="CR376">
        <v>158.4</v>
      </c>
      <c r="CS376" t="s">
        <v>1752</v>
      </c>
      <c r="CV376" t="s">
        <v>341</v>
      </c>
      <c r="CX376" t="s">
        <v>1012</v>
      </c>
      <c r="CY376" t="s">
        <v>169</v>
      </c>
      <c r="DC376" t="s">
        <v>1932</v>
      </c>
      <c r="DD376">
        <v>1</v>
      </c>
      <c r="DE376" t="s">
        <v>404</v>
      </c>
      <c r="DF376" t="s">
        <v>427</v>
      </c>
      <c r="DG376">
        <v>168</v>
      </c>
      <c r="DL376" t="s">
        <v>170</v>
      </c>
      <c r="DM376" t="s">
        <v>169</v>
      </c>
      <c r="DP376" t="s">
        <v>170</v>
      </c>
      <c r="DQ376" t="s">
        <v>187</v>
      </c>
      <c r="DR376" t="s">
        <v>2015</v>
      </c>
      <c r="EB376">
        <v>9</v>
      </c>
      <c r="EC376">
        <v>10</v>
      </c>
      <c r="EE376" t="s">
        <v>2013</v>
      </c>
      <c r="EF376">
        <v>10</v>
      </c>
      <c r="EU376">
        <v>6000</v>
      </c>
      <c r="EW376">
        <v>0</v>
      </c>
      <c r="EX376">
        <v>0</v>
      </c>
      <c r="EY376">
        <v>0</v>
      </c>
      <c r="FA376">
        <v>7.5</v>
      </c>
      <c r="FG376">
        <v>321</v>
      </c>
      <c r="FH376">
        <v>254</v>
      </c>
      <c r="FI376">
        <v>291</v>
      </c>
    </row>
    <row r="377" spans="1:165" x14ac:dyDescent="0.35">
      <c r="A377" s="25"/>
      <c r="B377" s="25"/>
      <c r="C377" s="25"/>
      <c r="D377" s="25"/>
      <c r="E377" s="25"/>
      <c r="F377" s="25" t="str">
        <f>_xlfn.CONCAT($A378," ",$B378," ",$D378)</f>
        <v>2025 Hyundai IONIQ 6 AWD (18'' Wheels)</v>
      </c>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c r="AD377" s="25" t="str">
        <f>_xlfn.CONCAT($A378," ",$B378," ",$D378)</f>
        <v>2025 Hyundai IONIQ 6 AWD (18'' Wheels)</v>
      </c>
      <c r="AE377" s="25"/>
      <c r="AF377" s="25"/>
      <c r="AG377" s="25"/>
      <c r="AH377" s="25"/>
      <c r="AI377" s="25"/>
      <c r="AJ377" s="25"/>
      <c r="AK377" s="25"/>
      <c r="AL377" s="25"/>
      <c r="AM377" s="25"/>
      <c r="AN377" s="25"/>
      <c r="AO377" s="25"/>
      <c r="AP377" s="25"/>
      <c r="AQ377" s="25"/>
      <c r="AR377" s="25"/>
      <c r="AS377" s="25"/>
      <c r="AT377" s="25"/>
      <c r="AU377" s="25"/>
      <c r="AV377" s="25"/>
      <c r="AW377" s="25"/>
      <c r="AX377" s="25" t="str">
        <f>_xlfn.CONCAT($A378," ",$B378," ",$D378)</f>
        <v>2025 Hyundai IONIQ 6 AWD (18'' Wheels)</v>
      </c>
      <c r="AY377" s="25"/>
      <c r="AZ377" s="25"/>
      <c r="BA377" s="25"/>
      <c r="BB377" s="25"/>
      <c r="BC377" s="25"/>
      <c r="BD377" s="25"/>
      <c r="BE377" s="25"/>
      <c r="BF377" s="25"/>
      <c r="BG377" s="25"/>
      <c r="BH377" s="25"/>
      <c r="BI377" s="25"/>
      <c r="BJ377" s="25"/>
      <c r="BK377" s="25"/>
      <c r="BL377" s="25"/>
      <c r="BM377" s="25"/>
      <c r="BN377" s="25"/>
      <c r="BO377" s="25"/>
      <c r="BP377" s="25"/>
      <c r="BQ377" s="25"/>
      <c r="BR377" s="25" t="str">
        <f>_xlfn.CONCAT($A378," ",$B378," ",$D378)</f>
        <v>2025 Hyundai IONIQ 6 AWD (18'' Wheels)</v>
      </c>
      <c r="BS377" s="25"/>
      <c r="BT377" s="25"/>
      <c r="BU377" s="25"/>
      <c r="BV377" s="25"/>
      <c r="BX377" s="25"/>
      <c r="BY377" s="25"/>
      <c r="BZ377" s="25"/>
      <c r="CA377" s="25"/>
      <c r="CB377" s="25"/>
      <c r="CC377" s="25"/>
      <c r="CD377" s="25"/>
      <c r="CE377" s="25"/>
      <c r="CF377" s="25"/>
      <c r="CG377" s="25"/>
      <c r="CH377" s="25"/>
      <c r="CI377" s="25"/>
      <c r="CJ377" s="25"/>
      <c r="CK377" s="25"/>
      <c r="CL377" s="25"/>
      <c r="CM377" s="25"/>
      <c r="CN377" s="25"/>
      <c r="CO377" s="25"/>
      <c r="CP377" s="25" t="str">
        <f>_xlfn.CONCAT($A378," ",$B378," ",$D378)</f>
        <v>2025 Hyundai IONIQ 6 AWD (18'' Wheels)</v>
      </c>
      <c r="CQ377" s="25"/>
      <c r="CR377" s="25"/>
      <c r="CS377" s="25"/>
      <c r="CT377" s="25"/>
      <c r="CU377" s="25"/>
      <c r="CV377" s="25"/>
      <c r="CW377" s="25"/>
      <c r="CX377" s="25"/>
      <c r="CY377" s="25"/>
      <c r="CZ377" s="25"/>
      <c r="DA377" s="25"/>
      <c r="DB377" s="25"/>
      <c r="DC377" s="25"/>
      <c r="DD377" s="25"/>
      <c r="DE377" s="25"/>
      <c r="DF377" s="25"/>
      <c r="DG377" s="25"/>
      <c r="DH377" s="25"/>
      <c r="DI377" s="25" t="str">
        <f>_xlfn.CONCAT($A378," ",$B378," ",$D378)</f>
        <v>2025 Hyundai IONIQ 6 AWD (18'' Wheels)</v>
      </c>
      <c r="DJ377" s="25"/>
      <c r="DK377" s="25"/>
      <c r="DL377" s="25"/>
      <c r="DM377" s="25"/>
      <c r="DN377" s="25"/>
      <c r="DO377" s="25"/>
      <c r="DP377" s="25"/>
      <c r="DQ377" s="25"/>
      <c r="DR377" s="25"/>
      <c r="DS377" s="25"/>
      <c r="DT377" s="25"/>
      <c r="DU377" s="25"/>
      <c r="DV377" s="25"/>
      <c r="DW377" s="25"/>
      <c r="DX377" s="25"/>
      <c r="DY377" s="25"/>
      <c r="DZ377" s="25" t="str">
        <f>_xlfn.CONCAT($A378," ",$B378," ",$D378)</f>
        <v>2025 Hyundai IONIQ 6 AWD (18'' Wheels)</v>
      </c>
      <c r="EB377" s="25"/>
      <c r="EC377" s="25"/>
      <c r="ED377" s="25"/>
      <c r="EE377" s="25"/>
      <c r="EF377" s="25"/>
      <c r="EG377" s="25"/>
      <c r="EH377" s="25"/>
      <c r="EI377" s="25"/>
      <c r="EJ377" s="25"/>
      <c r="EK377" s="25"/>
      <c r="EL377" s="25"/>
      <c r="EM377" s="25"/>
      <c r="EN377" s="25"/>
      <c r="EO377" s="25"/>
      <c r="EP377" s="25"/>
      <c r="EQ377" s="25"/>
      <c r="ER377" s="25"/>
      <c r="ES377" s="25"/>
      <c r="ET377" s="25"/>
      <c r="EU377" s="25"/>
      <c r="EV377" s="25" t="str">
        <f>_xlfn.CONCAT($A378," ",$B378," ",$D378)</f>
        <v>2025 Hyundai IONIQ 6 AWD (18'' Wheels)</v>
      </c>
      <c r="EW377" s="25"/>
      <c r="EX377" s="25"/>
      <c r="EY377" s="25"/>
      <c r="EZ377" s="25"/>
      <c r="FA377" s="25"/>
      <c r="FB377" s="25"/>
      <c r="FC377" s="25"/>
      <c r="FD377" s="25"/>
      <c r="FE377" s="25"/>
      <c r="FF377" s="25"/>
      <c r="FG377" s="25"/>
    </row>
    <row r="378" spans="1:165" x14ac:dyDescent="0.35">
      <c r="A378">
        <v>2025</v>
      </c>
      <c r="B378" t="s">
        <v>569</v>
      </c>
      <c r="C378" t="s">
        <v>739</v>
      </c>
      <c r="D378" t="s">
        <v>2009</v>
      </c>
      <c r="E378" t="s">
        <v>572</v>
      </c>
      <c r="F378">
        <v>62</v>
      </c>
      <c r="G378">
        <v>0</v>
      </c>
      <c r="I378" t="s">
        <v>1734</v>
      </c>
      <c r="J378">
        <v>130</v>
      </c>
      <c r="K378">
        <v>111</v>
      </c>
      <c r="L378">
        <v>121</v>
      </c>
      <c r="M378">
        <v>190.5</v>
      </c>
      <c r="N378">
        <v>162.6</v>
      </c>
      <c r="O378">
        <v>176.8451</v>
      </c>
      <c r="P378">
        <v>130</v>
      </c>
      <c r="Q378">
        <v>111</v>
      </c>
      <c r="R378">
        <v>121</v>
      </c>
      <c r="V378" t="s">
        <v>167</v>
      </c>
      <c r="W378" t="s">
        <v>168</v>
      </c>
      <c r="X378" t="s">
        <v>1931</v>
      </c>
      <c r="Y378">
        <v>1</v>
      </c>
      <c r="Z378" t="s">
        <v>170</v>
      </c>
      <c r="AA378" t="s">
        <v>170</v>
      </c>
      <c r="AB378" t="s">
        <v>167</v>
      </c>
      <c r="AC378" t="s">
        <v>213</v>
      </c>
      <c r="AF378">
        <v>316</v>
      </c>
      <c r="AG378" t="s">
        <v>1735</v>
      </c>
      <c r="AH378" t="s">
        <v>1736</v>
      </c>
      <c r="AI378" t="s">
        <v>175</v>
      </c>
      <c r="AJ378" t="s">
        <v>176</v>
      </c>
      <c r="AK378">
        <v>4</v>
      </c>
      <c r="AL378" t="s">
        <v>1737</v>
      </c>
      <c r="AO378">
        <v>105</v>
      </c>
      <c r="AP378">
        <v>11</v>
      </c>
      <c r="AS378">
        <v>650</v>
      </c>
      <c r="AT378">
        <v>650</v>
      </c>
      <c r="BQ378">
        <v>5</v>
      </c>
      <c r="BR378" t="s">
        <v>672</v>
      </c>
      <c r="BS378" t="s">
        <v>180</v>
      </c>
      <c r="BT378" t="s">
        <v>1738</v>
      </c>
      <c r="BU378" s="1">
        <v>45444</v>
      </c>
      <c r="BV378">
        <v>34805</v>
      </c>
      <c r="BX378" t="s">
        <v>170</v>
      </c>
      <c r="BY378" t="s">
        <v>170</v>
      </c>
      <c r="CB378" t="s">
        <v>170</v>
      </c>
      <c r="CC378" t="s">
        <v>170</v>
      </c>
      <c r="CK378" t="s">
        <v>233</v>
      </c>
      <c r="CM378">
        <v>1</v>
      </c>
      <c r="CN378" t="s">
        <v>234</v>
      </c>
      <c r="CP378">
        <v>697</v>
      </c>
      <c r="CQ378">
        <v>111.2</v>
      </c>
      <c r="CR378">
        <v>158.30000000000001</v>
      </c>
      <c r="CS378" t="s">
        <v>1752</v>
      </c>
      <c r="CV378" t="s">
        <v>341</v>
      </c>
      <c r="CX378" t="s">
        <v>342</v>
      </c>
      <c r="CY378" t="s">
        <v>169</v>
      </c>
      <c r="DC378" t="s">
        <v>1932</v>
      </c>
      <c r="DD378">
        <v>2</v>
      </c>
      <c r="DE378" t="s">
        <v>404</v>
      </c>
      <c r="DF378" t="s">
        <v>427</v>
      </c>
      <c r="DG378" t="s">
        <v>1996</v>
      </c>
      <c r="DL378" t="s">
        <v>170</v>
      </c>
      <c r="DM378" t="s">
        <v>169</v>
      </c>
      <c r="DP378" t="s">
        <v>170</v>
      </c>
      <c r="DQ378" t="s">
        <v>187</v>
      </c>
      <c r="DR378" t="s">
        <v>2010</v>
      </c>
      <c r="EB378">
        <v>10</v>
      </c>
      <c r="EC378">
        <v>10</v>
      </c>
      <c r="EE378" t="s">
        <v>2011</v>
      </c>
      <c r="EF378">
        <v>10</v>
      </c>
      <c r="EU378">
        <v>6250</v>
      </c>
      <c r="EW378">
        <v>0</v>
      </c>
      <c r="EX378">
        <v>0</v>
      </c>
      <c r="EY378">
        <v>0</v>
      </c>
      <c r="FA378">
        <v>7.5</v>
      </c>
      <c r="FG378">
        <v>334</v>
      </c>
      <c r="FH378">
        <v>294</v>
      </c>
      <c r="FI378">
        <v>316</v>
      </c>
    </row>
    <row r="379" spans="1:165" x14ac:dyDescent="0.35">
      <c r="A379">
        <v>2025</v>
      </c>
      <c r="B379" t="s">
        <v>569</v>
      </c>
      <c r="C379" t="s">
        <v>739</v>
      </c>
      <c r="D379" t="s">
        <v>2009</v>
      </c>
      <c r="E379" t="s">
        <v>572</v>
      </c>
      <c r="F379">
        <v>62</v>
      </c>
      <c r="G379">
        <v>0</v>
      </c>
      <c r="I379" t="s">
        <v>1734</v>
      </c>
      <c r="J379">
        <v>26</v>
      </c>
      <c r="K379">
        <v>30</v>
      </c>
      <c r="L379">
        <v>28</v>
      </c>
      <c r="M379">
        <v>17.6951</v>
      </c>
      <c r="N379">
        <v>20.729800000000001</v>
      </c>
      <c r="O379">
        <v>19.060700000000001</v>
      </c>
      <c r="P379">
        <v>26</v>
      </c>
      <c r="Q379">
        <v>29.612500000000001</v>
      </c>
      <c r="R379">
        <v>28</v>
      </c>
      <c r="V379" t="s">
        <v>167</v>
      </c>
      <c r="W379" t="s">
        <v>168</v>
      </c>
      <c r="X379" t="s">
        <v>1931</v>
      </c>
      <c r="Y379">
        <v>1</v>
      </c>
      <c r="Z379" t="s">
        <v>170</v>
      </c>
      <c r="AA379" t="s">
        <v>170</v>
      </c>
      <c r="AB379" t="s">
        <v>167</v>
      </c>
      <c r="AC379" t="s">
        <v>213</v>
      </c>
      <c r="AF379">
        <v>316</v>
      </c>
      <c r="AG379" t="s">
        <v>1735</v>
      </c>
      <c r="AH379" t="s">
        <v>1736</v>
      </c>
      <c r="AI379" t="s">
        <v>1742</v>
      </c>
      <c r="AJ379" t="s">
        <v>1743</v>
      </c>
      <c r="AK379">
        <v>4</v>
      </c>
      <c r="AL379" t="s">
        <v>1737</v>
      </c>
      <c r="AO379">
        <v>105</v>
      </c>
      <c r="AP379">
        <v>11</v>
      </c>
      <c r="AS379">
        <v>650</v>
      </c>
      <c r="AT379">
        <v>650</v>
      </c>
      <c r="BQ379">
        <v>5</v>
      </c>
      <c r="BR379" t="s">
        <v>672</v>
      </c>
      <c r="BS379" t="s">
        <v>180</v>
      </c>
      <c r="BT379" t="s">
        <v>1738</v>
      </c>
      <c r="BU379" s="1">
        <v>45444</v>
      </c>
      <c r="BV379">
        <v>34805</v>
      </c>
      <c r="BX379" t="s">
        <v>170</v>
      </c>
      <c r="BY379" t="s">
        <v>170</v>
      </c>
      <c r="CB379" t="s">
        <v>170</v>
      </c>
      <c r="CC379" t="s">
        <v>170</v>
      </c>
      <c r="CK379" t="s">
        <v>233</v>
      </c>
      <c r="CM379">
        <v>1</v>
      </c>
      <c r="CN379" t="s">
        <v>234</v>
      </c>
      <c r="CP379">
        <v>697</v>
      </c>
      <c r="CQ379">
        <v>111.2</v>
      </c>
      <c r="CR379">
        <v>158.30000000000001</v>
      </c>
      <c r="CS379" t="s">
        <v>1752</v>
      </c>
      <c r="CV379" t="s">
        <v>341</v>
      </c>
      <c r="CX379" t="s">
        <v>342</v>
      </c>
      <c r="CY379" t="s">
        <v>169</v>
      </c>
      <c r="DC379" t="s">
        <v>1932</v>
      </c>
      <c r="DD379">
        <v>2</v>
      </c>
      <c r="DE379" t="s">
        <v>404</v>
      </c>
      <c r="DF379" t="s">
        <v>427</v>
      </c>
      <c r="DG379" t="s">
        <v>1996</v>
      </c>
      <c r="DL379" t="s">
        <v>170</v>
      </c>
      <c r="DM379" t="s">
        <v>169</v>
      </c>
      <c r="DP379" t="s">
        <v>170</v>
      </c>
      <c r="DQ379" t="s">
        <v>187</v>
      </c>
      <c r="DR379" t="s">
        <v>2010</v>
      </c>
      <c r="EB379">
        <v>10</v>
      </c>
      <c r="EC379">
        <v>10</v>
      </c>
      <c r="EE379" t="s">
        <v>2011</v>
      </c>
      <c r="EF379">
        <v>10</v>
      </c>
      <c r="EU379">
        <v>6250</v>
      </c>
      <c r="EW379">
        <v>0</v>
      </c>
      <c r="EX379">
        <v>0</v>
      </c>
      <c r="EY379">
        <v>0</v>
      </c>
      <c r="FA379">
        <v>7.5</v>
      </c>
      <c r="FG379">
        <v>334</v>
      </c>
      <c r="FH379">
        <v>294</v>
      </c>
      <c r="FI379">
        <v>316</v>
      </c>
    </row>
    <row r="380" spans="1:165" x14ac:dyDescent="0.35">
      <c r="A380" s="25"/>
      <c r="B380" s="25"/>
      <c r="C380" s="25"/>
      <c r="D380" s="25"/>
      <c r="E380" s="25"/>
      <c r="F380" s="25" t="str">
        <f>_xlfn.CONCAT($A381," ",$B381," ",$D381)</f>
        <v>2025 Hyundai IONIQ6 AWD (20'' Wheels)</v>
      </c>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c r="AD380" s="25" t="str">
        <f>_xlfn.CONCAT($A381," ",$B381," ",$D381)</f>
        <v>2025 Hyundai IONIQ6 AWD (20'' Wheels)</v>
      </c>
      <c r="AE380" s="25"/>
      <c r="AF380" s="25"/>
      <c r="AG380" s="25"/>
      <c r="AH380" s="25"/>
      <c r="AI380" s="25"/>
      <c r="AJ380" s="25"/>
      <c r="AK380" s="25"/>
      <c r="AL380" s="25"/>
      <c r="AM380" s="25"/>
      <c r="AN380" s="25"/>
      <c r="AO380" s="25"/>
      <c r="AP380" s="25"/>
      <c r="AQ380" s="25"/>
      <c r="AR380" s="25"/>
      <c r="AS380" s="25"/>
      <c r="AT380" s="25"/>
      <c r="AU380" s="25"/>
      <c r="AV380" s="25"/>
      <c r="AW380" s="25"/>
      <c r="AX380" s="25" t="str">
        <f>_xlfn.CONCAT($A381," ",$B381," ",$D381)</f>
        <v>2025 Hyundai IONIQ6 AWD (20'' Wheels)</v>
      </c>
      <c r="AY380" s="25"/>
      <c r="AZ380" s="25"/>
      <c r="BA380" s="25"/>
      <c r="BB380" s="25"/>
      <c r="BC380" s="25"/>
      <c r="BD380" s="25"/>
      <c r="BE380" s="25"/>
      <c r="BF380" s="25"/>
      <c r="BG380" s="25"/>
      <c r="BH380" s="25"/>
      <c r="BI380" s="25"/>
      <c r="BJ380" s="25"/>
      <c r="BK380" s="25"/>
      <c r="BL380" s="25"/>
      <c r="BM380" s="25"/>
      <c r="BN380" s="25"/>
      <c r="BO380" s="25"/>
      <c r="BP380" s="25"/>
      <c r="BQ380" s="25"/>
      <c r="BR380" s="25" t="str">
        <f>_xlfn.CONCAT($A381," ",$B381," ",$D381)</f>
        <v>2025 Hyundai IONIQ6 AWD (20'' Wheels)</v>
      </c>
      <c r="BS380" s="25"/>
      <c r="BT380" s="25"/>
      <c r="BU380" s="25"/>
      <c r="BV380" s="25"/>
      <c r="BX380" s="25"/>
      <c r="BY380" s="25"/>
      <c r="BZ380" s="25"/>
      <c r="CA380" s="25"/>
      <c r="CB380" s="25"/>
      <c r="CC380" s="25"/>
      <c r="CD380" s="25"/>
      <c r="CE380" s="25"/>
      <c r="CF380" s="25"/>
      <c r="CG380" s="25"/>
      <c r="CH380" s="25"/>
      <c r="CI380" s="25"/>
      <c r="CJ380" s="25"/>
      <c r="CK380" s="25"/>
      <c r="CL380" s="25"/>
      <c r="CM380" s="25"/>
      <c r="CN380" s="25"/>
      <c r="CO380" s="25"/>
      <c r="CP380" s="25" t="str">
        <f>_xlfn.CONCAT($A381," ",$B381," ",$D381)</f>
        <v>2025 Hyundai IONIQ6 AWD (20'' Wheels)</v>
      </c>
      <c r="CQ380" s="25"/>
      <c r="CR380" s="25"/>
      <c r="CS380" s="25"/>
      <c r="CT380" s="25"/>
      <c r="CU380" s="25"/>
      <c r="CV380" s="25"/>
      <c r="CW380" s="25"/>
      <c r="CX380" s="25"/>
      <c r="CY380" s="25"/>
      <c r="CZ380" s="25"/>
      <c r="DA380" s="25"/>
      <c r="DB380" s="25"/>
      <c r="DC380" s="25"/>
      <c r="DD380" s="25"/>
      <c r="DE380" s="25"/>
      <c r="DF380" s="25"/>
      <c r="DG380" s="25"/>
      <c r="DH380" s="25"/>
      <c r="DI380" s="25" t="str">
        <f>_xlfn.CONCAT($A381," ",$B381," ",$D381)</f>
        <v>2025 Hyundai IONIQ6 AWD (20'' Wheels)</v>
      </c>
      <c r="DJ380" s="25"/>
      <c r="DK380" s="25"/>
      <c r="DL380" s="25"/>
      <c r="DM380" s="25"/>
      <c r="DN380" s="25"/>
      <c r="DO380" s="25"/>
      <c r="DP380" s="25"/>
      <c r="DQ380" s="25"/>
      <c r="DR380" s="25"/>
      <c r="DS380" s="25"/>
      <c r="DT380" s="25"/>
      <c r="DU380" s="25"/>
      <c r="DV380" s="25"/>
      <c r="DW380" s="25"/>
      <c r="DX380" s="25"/>
      <c r="DY380" s="25"/>
      <c r="DZ380" s="25" t="str">
        <f>_xlfn.CONCAT($A381," ",$B381," ",$D381)</f>
        <v>2025 Hyundai IONIQ6 AWD (20'' Wheels)</v>
      </c>
      <c r="EB380" s="25"/>
      <c r="EC380" s="25"/>
      <c r="ED380" s="25"/>
      <c r="EE380" s="25"/>
      <c r="EF380" s="25"/>
      <c r="EG380" s="25"/>
      <c r="EH380" s="25"/>
      <c r="EI380" s="25"/>
      <c r="EJ380" s="25"/>
      <c r="EK380" s="25"/>
      <c r="EL380" s="25"/>
      <c r="EM380" s="25"/>
      <c r="EN380" s="25"/>
      <c r="EO380" s="25"/>
      <c r="EP380" s="25"/>
      <c r="EQ380" s="25"/>
      <c r="ER380" s="25"/>
      <c r="ES380" s="25"/>
      <c r="ET380" s="25"/>
      <c r="EU380" s="25"/>
      <c r="EV380" s="25" t="str">
        <f>_xlfn.CONCAT($A381," ",$B381," ",$D381)</f>
        <v>2025 Hyundai IONIQ6 AWD (20'' Wheels)</v>
      </c>
      <c r="EW380" s="25"/>
      <c r="EX380" s="25"/>
      <c r="EY380" s="25"/>
      <c r="EZ380" s="25"/>
      <c r="FA380" s="25"/>
      <c r="FB380" s="25"/>
      <c r="FC380" s="25"/>
      <c r="FD380" s="25"/>
      <c r="FE380" s="25"/>
      <c r="FF380" s="25"/>
      <c r="FG380" s="25"/>
    </row>
    <row r="381" spans="1:165" x14ac:dyDescent="0.35">
      <c r="A381">
        <v>2025</v>
      </c>
      <c r="B381" t="s">
        <v>569</v>
      </c>
      <c r="C381" t="s">
        <v>739</v>
      </c>
      <c r="D381" t="s">
        <v>2018</v>
      </c>
      <c r="E381" t="s">
        <v>572</v>
      </c>
      <c r="F381">
        <v>63</v>
      </c>
      <c r="G381">
        <v>0</v>
      </c>
      <c r="I381" t="s">
        <v>1734</v>
      </c>
      <c r="J381">
        <v>111</v>
      </c>
      <c r="K381">
        <v>94</v>
      </c>
      <c r="L381">
        <v>103</v>
      </c>
      <c r="M381">
        <v>160.1</v>
      </c>
      <c r="N381">
        <v>135.6</v>
      </c>
      <c r="O381">
        <v>148.06180000000001</v>
      </c>
      <c r="P381">
        <v>111</v>
      </c>
      <c r="Q381">
        <v>94</v>
      </c>
      <c r="R381">
        <v>103</v>
      </c>
      <c r="V381" t="s">
        <v>167</v>
      </c>
      <c r="W381" t="s">
        <v>168</v>
      </c>
      <c r="X381" t="s">
        <v>1931</v>
      </c>
      <c r="Y381">
        <v>1</v>
      </c>
      <c r="Z381" t="s">
        <v>170</v>
      </c>
      <c r="AA381" t="s">
        <v>170</v>
      </c>
      <c r="AB381" t="s">
        <v>167</v>
      </c>
      <c r="AC381" t="s">
        <v>213</v>
      </c>
      <c r="AF381">
        <v>270</v>
      </c>
      <c r="AG381" t="s">
        <v>1735</v>
      </c>
      <c r="AH381" t="s">
        <v>1736</v>
      </c>
      <c r="AI381" t="s">
        <v>175</v>
      </c>
      <c r="AJ381" t="s">
        <v>176</v>
      </c>
      <c r="AK381">
        <v>4</v>
      </c>
      <c r="AL381" t="s">
        <v>1737</v>
      </c>
      <c r="AO381">
        <v>105</v>
      </c>
      <c r="AP381">
        <v>11</v>
      </c>
      <c r="AS381">
        <v>800</v>
      </c>
      <c r="AT381">
        <v>800</v>
      </c>
      <c r="BQ381">
        <v>5</v>
      </c>
      <c r="BR381" t="s">
        <v>672</v>
      </c>
      <c r="BS381" t="s">
        <v>180</v>
      </c>
      <c r="BT381" t="s">
        <v>1738</v>
      </c>
      <c r="BU381" s="1">
        <v>45444</v>
      </c>
      <c r="BV381">
        <v>34809</v>
      </c>
      <c r="BX381" t="s">
        <v>170</v>
      </c>
      <c r="BY381" t="s">
        <v>170</v>
      </c>
      <c r="CB381" t="s">
        <v>170</v>
      </c>
      <c r="CC381" t="s">
        <v>170</v>
      </c>
      <c r="CK381" t="s">
        <v>233</v>
      </c>
      <c r="CM381">
        <v>1</v>
      </c>
      <c r="CN381" t="s">
        <v>234</v>
      </c>
      <c r="CP381">
        <v>697</v>
      </c>
      <c r="CQ381">
        <v>111.2</v>
      </c>
      <c r="CR381">
        <v>158.30000000000001</v>
      </c>
      <c r="CS381" t="s">
        <v>1752</v>
      </c>
      <c r="CV381" t="s">
        <v>341</v>
      </c>
      <c r="CX381" t="s">
        <v>342</v>
      </c>
      <c r="CY381" t="s">
        <v>169</v>
      </c>
      <c r="DC381" t="s">
        <v>1932</v>
      </c>
      <c r="DD381">
        <v>2</v>
      </c>
      <c r="DE381" t="s">
        <v>404</v>
      </c>
      <c r="DF381" t="s">
        <v>427</v>
      </c>
      <c r="DG381" t="s">
        <v>1996</v>
      </c>
      <c r="DL381" t="s">
        <v>170</v>
      </c>
      <c r="DM381" t="s">
        <v>169</v>
      </c>
      <c r="DP381" t="s">
        <v>170</v>
      </c>
      <c r="DQ381" t="s">
        <v>187</v>
      </c>
      <c r="DR381" t="s">
        <v>2015</v>
      </c>
      <c r="EB381">
        <v>9</v>
      </c>
      <c r="EC381">
        <v>10</v>
      </c>
      <c r="EE381" t="s">
        <v>2011</v>
      </c>
      <c r="EF381">
        <v>10</v>
      </c>
      <c r="EU381">
        <v>5500</v>
      </c>
      <c r="EW381">
        <v>0</v>
      </c>
      <c r="EX381">
        <v>0</v>
      </c>
      <c r="EY381">
        <v>0</v>
      </c>
      <c r="FA381">
        <v>7.5</v>
      </c>
      <c r="FG381">
        <v>286</v>
      </c>
      <c r="FH381">
        <v>250</v>
      </c>
      <c r="FI381">
        <v>270</v>
      </c>
    </row>
    <row r="382" spans="1:165" x14ac:dyDescent="0.35">
      <c r="A382">
        <v>2025</v>
      </c>
      <c r="B382" t="s">
        <v>569</v>
      </c>
      <c r="C382" t="s">
        <v>739</v>
      </c>
      <c r="D382" t="s">
        <v>2018</v>
      </c>
      <c r="E382" t="s">
        <v>572</v>
      </c>
      <c r="F382">
        <v>63</v>
      </c>
      <c r="G382">
        <v>0</v>
      </c>
      <c r="I382" t="s">
        <v>1734</v>
      </c>
      <c r="J382">
        <v>31</v>
      </c>
      <c r="K382">
        <v>36</v>
      </c>
      <c r="L382">
        <v>33</v>
      </c>
      <c r="M382">
        <v>21.059000000000001</v>
      </c>
      <c r="N382">
        <v>24.8538</v>
      </c>
      <c r="O382">
        <v>22.7666</v>
      </c>
      <c r="P382">
        <v>31</v>
      </c>
      <c r="Q382">
        <v>35.508800000000001</v>
      </c>
      <c r="R382">
        <v>32.520200000000003</v>
      </c>
      <c r="V382" t="s">
        <v>167</v>
      </c>
      <c r="W382" t="s">
        <v>168</v>
      </c>
      <c r="X382" t="s">
        <v>1931</v>
      </c>
      <c r="Y382">
        <v>1</v>
      </c>
      <c r="Z382" t="s">
        <v>170</v>
      </c>
      <c r="AA382" t="s">
        <v>170</v>
      </c>
      <c r="AB382" t="s">
        <v>167</v>
      </c>
      <c r="AC382" t="s">
        <v>213</v>
      </c>
      <c r="AF382">
        <v>270</v>
      </c>
      <c r="AG382" t="s">
        <v>1735</v>
      </c>
      <c r="AH382" t="s">
        <v>1736</v>
      </c>
      <c r="AI382" t="s">
        <v>1742</v>
      </c>
      <c r="AJ382" t="s">
        <v>1743</v>
      </c>
      <c r="AK382">
        <v>4</v>
      </c>
      <c r="AL382" t="s">
        <v>1737</v>
      </c>
      <c r="AO382">
        <v>105</v>
      </c>
      <c r="AP382">
        <v>11</v>
      </c>
      <c r="AS382">
        <v>800</v>
      </c>
      <c r="AT382">
        <v>800</v>
      </c>
      <c r="BQ382">
        <v>5</v>
      </c>
      <c r="BR382" t="s">
        <v>672</v>
      </c>
      <c r="BS382" t="s">
        <v>180</v>
      </c>
      <c r="BT382" t="s">
        <v>1738</v>
      </c>
      <c r="BU382" s="1">
        <v>45444</v>
      </c>
      <c r="BV382">
        <v>34809</v>
      </c>
      <c r="BX382" t="s">
        <v>170</v>
      </c>
      <c r="BY382" t="s">
        <v>170</v>
      </c>
      <c r="CB382" t="s">
        <v>170</v>
      </c>
      <c r="CC382" t="s">
        <v>170</v>
      </c>
      <c r="CK382" t="s">
        <v>233</v>
      </c>
      <c r="CM382">
        <v>1</v>
      </c>
      <c r="CN382" t="s">
        <v>234</v>
      </c>
      <c r="CP382">
        <v>697</v>
      </c>
      <c r="CQ382">
        <v>111.2</v>
      </c>
      <c r="CR382">
        <v>158.30000000000001</v>
      </c>
      <c r="CS382" t="s">
        <v>1752</v>
      </c>
      <c r="CV382" t="s">
        <v>341</v>
      </c>
      <c r="CX382" t="s">
        <v>342</v>
      </c>
      <c r="CY382" t="s">
        <v>169</v>
      </c>
      <c r="DC382" t="s">
        <v>1932</v>
      </c>
      <c r="DD382">
        <v>2</v>
      </c>
      <c r="DE382" t="s">
        <v>404</v>
      </c>
      <c r="DF382" t="s">
        <v>427</v>
      </c>
      <c r="DG382" t="s">
        <v>1996</v>
      </c>
      <c r="DL382" t="s">
        <v>170</v>
      </c>
      <c r="DM382" t="s">
        <v>169</v>
      </c>
      <c r="DP382" t="s">
        <v>170</v>
      </c>
      <c r="DQ382" t="s">
        <v>187</v>
      </c>
      <c r="DR382" t="s">
        <v>2015</v>
      </c>
      <c r="EB382">
        <v>9</v>
      </c>
      <c r="EC382">
        <v>10</v>
      </c>
      <c r="EE382" t="s">
        <v>2011</v>
      </c>
      <c r="EF382">
        <v>10</v>
      </c>
      <c r="EU382">
        <v>5500</v>
      </c>
      <c r="EW382">
        <v>0</v>
      </c>
      <c r="EX382">
        <v>0</v>
      </c>
      <c r="EY382">
        <v>0</v>
      </c>
      <c r="FA382">
        <v>7.5</v>
      </c>
      <c r="FG382">
        <v>286</v>
      </c>
      <c r="FH382">
        <v>250</v>
      </c>
      <c r="FI382">
        <v>270</v>
      </c>
    </row>
    <row r="383" spans="1:165" x14ac:dyDescent="0.35">
      <c r="A383" s="25"/>
      <c r="B383" s="25"/>
      <c r="C383" s="25"/>
      <c r="D383" s="25"/>
      <c r="E383" s="25"/>
      <c r="F383" s="25" t="str">
        <f>_xlfn.CONCAT($A384," ",$B384," ",$D384)</f>
        <v>2025 Hyundai Kona Electric Standard Range</v>
      </c>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c r="AD383" s="25" t="str">
        <f>_xlfn.CONCAT($A384," ",$B384," ",$D384)</f>
        <v>2025 Hyundai Kona Electric Standard Range</v>
      </c>
      <c r="AE383" s="25"/>
      <c r="AF383" s="25"/>
      <c r="AG383" s="25"/>
      <c r="AH383" s="25"/>
      <c r="AI383" s="25"/>
      <c r="AJ383" s="25"/>
      <c r="AK383" s="25"/>
      <c r="AL383" s="25"/>
      <c r="AM383" s="25"/>
      <c r="AN383" s="25"/>
      <c r="AO383" s="25"/>
      <c r="AP383" s="25"/>
      <c r="AQ383" s="25"/>
      <c r="AR383" s="25"/>
      <c r="AS383" s="25"/>
      <c r="AT383" s="25"/>
      <c r="AU383" s="25"/>
      <c r="AV383" s="25"/>
      <c r="AW383" s="25"/>
      <c r="AX383" s="25" t="str">
        <f>_xlfn.CONCAT($A384," ",$B384," ",$D384)</f>
        <v>2025 Hyundai Kona Electric Standard Range</v>
      </c>
      <c r="AY383" s="25"/>
      <c r="AZ383" s="25"/>
      <c r="BA383" s="25"/>
      <c r="BB383" s="25"/>
      <c r="BC383" s="25"/>
      <c r="BD383" s="25"/>
      <c r="BE383" s="25"/>
      <c r="BF383" s="25"/>
      <c r="BG383" s="25"/>
      <c r="BH383" s="25"/>
      <c r="BI383" s="25"/>
      <c r="BJ383" s="25"/>
      <c r="BK383" s="25"/>
      <c r="BL383" s="25"/>
      <c r="BM383" s="25"/>
      <c r="BN383" s="25"/>
      <c r="BO383" s="25"/>
      <c r="BP383" s="25"/>
      <c r="BQ383" s="25"/>
      <c r="BR383" s="25" t="str">
        <f>_xlfn.CONCAT($A384," ",$B384," ",$D384)</f>
        <v>2025 Hyundai Kona Electric Standard Range</v>
      </c>
      <c r="BS383" s="25"/>
      <c r="BT383" s="25"/>
      <c r="BU383" s="25"/>
      <c r="BV383" s="25"/>
      <c r="BX383" s="25"/>
      <c r="BY383" s="25"/>
      <c r="BZ383" s="25"/>
      <c r="CA383" s="25"/>
      <c r="CB383" s="25"/>
      <c r="CC383" s="25"/>
      <c r="CD383" s="25"/>
      <c r="CE383" s="25"/>
      <c r="CF383" s="25"/>
      <c r="CG383" s="25"/>
      <c r="CH383" s="25"/>
      <c r="CI383" s="25"/>
      <c r="CJ383" s="25"/>
      <c r="CK383" s="25"/>
      <c r="CL383" s="25"/>
      <c r="CM383" s="25"/>
      <c r="CN383" s="25"/>
      <c r="CO383" s="25"/>
      <c r="CP383" s="25" t="str">
        <f>_xlfn.CONCAT($A384," ",$B384," ",$D384)</f>
        <v>2025 Hyundai Kona Electric Standard Range</v>
      </c>
      <c r="CQ383" s="25"/>
      <c r="CR383" s="25"/>
      <c r="CS383" s="25"/>
      <c r="CT383" s="25"/>
      <c r="CU383" s="25"/>
      <c r="CV383" s="25"/>
      <c r="CW383" s="25"/>
      <c r="CX383" s="25"/>
      <c r="CY383" s="25"/>
      <c r="CZ383" s="25"/>
      <c r="DA383" s="25"/>
      <c r="DB383" s="25"/>
      <c r="DC383" s="25"/>
      <c r="DD383" s="25"/>
      <c r="DE383" s="25"/>
      <c r="DF383" s="25"/>
      <c r="DG383" s="25"/>
      <c r="DH383" s="25"/>
      <c r="DI383" s="25" t="str">
        <f>_xlfn.CONCAT($A384," ",$B384," ",$D384)</f>
        <v>2025 Hyundai Kona Electric Standard Range</v>
      </c>
      <c r="DJ383" s="25"/>
      <c r="DK383" s="25"/>
      <c r="DL383" s="25"/>
      <c r="DM383" s="25"/>
      <c r="DN383" s="25"/>
      <c r="DO383" s="25"/>
      <c r="DP383" s="25"/>
      <c r="DQ383" s="25"/>
      <c r="DR383" s="25"/>
      <c r="DS383" s="25"/>
      <c r="DT383" s="25"/>
      <c r="DU383" s="25"/>
      <c r="DV383" s="25"/>
      <c r="DW383" s="25"/>
      <c r="DX383" s="25"/>
      <c r="DY383" s="25"/>
      <c r="DZ383" s="25" t="str">
        <f>_xlfn.CONCAT($A384," ",$B384," ",$D384)</f>
        <v>2025 Hyundai Kona Electric Standard Range</v>
      </c>
      <c r="EB383" s="25"/>
      <c r="EC383" s="25"/>
      <c r="ED383" s="25"/>
      <c r="EE383" s="25"/>
      <c r="EF383" s="25"/>
      <c r="EG383" s="25"/>
      <c r="EH383" s="25"/>
      <c r="EI383" s="25"/>
      <c r="EJ383" s="25"/>
      <c r="EK383" s="25"/>
      <c r="EL383" s="25"/>
      <c r="EM383" s="25"/>
      <c r="EN383" s="25"/>
      <c r="EO383" s="25"/>
      <c r="EP383" s="25"/>
      <c r="EQ383" s="25"/>
      <c r="ER383" s="25"/>
      <c r="ES383" s="25"/>
      <c r="ET383" s="25"/>
      <c r="EU383" s="25"/>
      <c r="EV383" s="25" t="str">
        <f>_xlfn.CONCAT($A384," ",$B384," ",$D384)</f>
        <v>2025 Hyundai Kona Electric Standard Range</v>
      </c>
      <c r="EW383" s="25"/>
      <c r="EX383" s="25"/>
      <c r="EY383" s="25"/>
      <c r="EZ383" s="25"/>
      <c r="FA383" s="25"/>
      <c r="FB383" s="25"/>
      <c r="FC383" s="25"/>
      <c r="FD383" s="25"/>
      <c r="FE383" s="25"/>
      <c r="FF383" s="25"/>
      <c r="FG383" s="25"/>
    </row>
    <row r="384" spans="1:165" x14ac:dyDescent="0.35">
      <c r="A384">
        <v>2025</v>
      </c>
      <c r="B384" t="s">
        <v>569</v>
      </c>
      <c r="C384" t="s">
        <v>739</v>
      </c>
      <c r="D384" t="s">
        <v>2023</v>
      </c>
      <c r="E384" t="s">
        <v>572</v>
      </c>
      <c r="F384">
        <v>71</v>
      </c>
      <c r="G384">
        <v>0</v>
      </c>
      <c r="I384" t="s">
        <v>1734</v>
      </c>
      <c r="J384">
        <v>131</v>
      </c>
      <c r="K384">
        <v>105</v>
      </c>
      <c r="L384">
        <v>118</v>
      </c>
      <c r="M384">
        <v>187.6</v>
      </c>
      <c r="N384">
        <v>150.30000000000001</v>
      </c>
      <c r="O384">
        <v>168.75409999999999</v>
      </c>
      <c r="P384">
        <v>131.32</v>
      </c>
      <c r="Q384">
        <v>105.21</v>
      </c>
      <c r="R384">
        <v>118.1279</v>
      </c>
      <c r="V384" t="s">
        <v>167</v>
      </c>
      <c r="W384" t="s">
        <v>168</v>
      </c>
      <c r="X384" t="s">
        <v>1931</v>
      </c>
      <c r="Y384">
        <v>1</v>
      </c>
      <c r="Z384" t="s">
        <v>170</v>
      </c>
      <c r="AA384" t="s">
        <v>170</v>
      </c>
      <c r="AB384" t="s">
        <v>351</v>
      </c>
      <c r="AC384" t="s">
        <v>352</v>
      </c>
      <c r="AF384">
        <v>200</v>
      </c>
      <c r="AG384" t="s">
        <v>1735</v>
      </c>
      <c r="AH384" t="s">
        <v>1736</v>
      </c>
      <c r="AI384" t="s">
        <v>175</v>
      </c>
      <c r="AJ384" t="s">
        <v>176</v>
      </c>
      <c r="AK384">
        <v>4</v>
      </c>
      <c r="AL384" t="s">
        <v>1737</v>
      </c>
      <c r="AS384">
        <v>700</v>
      </c>
      <c r="AT384">
        <v>700</v>
      </c>
      <c r="BQ384">
        <v>30</v>
      </c>
      <c r="BR384" t="s">
        <v>1099</v>
      </c>
      <c r="BT384" t="s">
        <v>1738</v>
      </c>
      <c r="BU384" s="1">
        <v>45413</v>
      </c>
      <c r="BV384">
        <v>34735</v>
      </c>
      <c r="BX384" t="s">
        <v>170</v>
      </c>
      <c r="BY384" t="s">
        <v>170</v>
      </c>
      <c r="CB384" t="s">
        <v>170</v>
      </c>
      <c r="CC384" t="s">
        <v>170</v>
      </c>
      <c r="CK384" t="s">
        <v>233</v>
      </c>
      <c r="CM384">
        <v>1</v>
      </c>
      <c r="CN384" t="s">
        <v>234</v>
      </c>
      <c r="CP384">
        <v>268</v>
      </c>
      <c r="CQ384">
        <v>180.9</v>
      </c>
      <c r="CR384">
        <v>140.4</v>
      </c>
      <c r="CS384" t="s">
        <v>1752</v>
      </c>
      <c r="CV384" t="s">
        <v>341</v>
      </c>
      <c r="CX384" t="s">
        <v>729</v>
      </c>
      <c r="CY384" t="s">
        <v>169</v>
      </c>
      <c r="DC384" t="s">
        <v>2020</v>
      </c>
      <c r="DD384">
        <v>1</v>
      </c>
      <c r="DE384" t="s">
        <v>404</v>
      </c>
      <c r="DF384" t="s">
        <v>1950</v>
      </c>
      <c r="DG384">
        <v>99</v>
      </c>
      <c r="DL384" t="s">
        <v>170</v>
      </c>
      <c r="DM384" t="s">
        <v>169</v>
      </c>
      <c r="DP384" t="s">
        <v>170</v>
      </c>
      <c r="DQ384" t="s">
        <v>187</v>
      </c>
      <c r="EB384">
        <v>9</v>
      </c>
      <c r="EC384">
        <v>10</v>
      </c>
      <c r="EE384" t="s">
        <v>2024</v>
      </c>
      <c r="EF384">
        <v>10</v>
      </c>
      <c r="EU384">
        <v>6000</v>
      </c>
      <c r="EW384">
        <v>0</v>
      </c>
      <c r="EX384">
        <v>0</v>
      </c>
      <c r="EY384">
        <v>0</v>
      </c>
      <c r="FA384">
        <v>5.0999999999999996</v>
      </c>
      <c r="FG384">
        <v>220</v>
      </c>
      <c r="FH384">
        <v>176</v>
      </c>
      <c r="FI384">
        <v>200</v>
      </c>
    </row>
    <row r="385" spans="1:165" x14ac:dyDescent="0.35">
      <c r="A385">
        <v>2025</v>
      </c>
      <c r="B385" t="s">
        <v>569</v>
      </c>
      <c r="C385" t="s">
        <v>739</v>
      </c>
      <c r="D385" t="s">
        <v>2023</v>
      </c>
      <c r="E385" t="s">
        <v>572</v>
      </c>
      <c r="F385">
        <v>71</v>
      </c>
      <c r="G385">
        <v>0</v>
      </c>
      <c r="I385" t="s">
        <v>1734</v>
      </c>
      <c r="J385">
        <v>26</v>
      </c>
      <c r="K385">
        <v>32</v>
      </c>
      <c r="L385">
        <v>29</v>
      </c>
      <c r="M385">
        <v>17.9651</v>
      </c>
      <c r="N385">
        <v>22.4237</v>
      </c>
      <c r="O385">
        <v>19.971499999999999</v>
      </c>
      <c r="P385">
        <v>25.6663</v>
      </c>
      <c r="Q385">
        <v>32.035899999999998</v>
      </c>
      <c r="R385">
        <v>28.532599999999999</v>
      </c>
      <c r="V385" t="s">
        <v>167</v>
      </c>
      <c r="W385" t="s">
        <v>168</v>
      </c>
      <c r="X385" t="s">
        <v>1931</v>
      </c>
      <c r="Y385">
        <v>1</v>
      </c>
      <c r="Z385" t="s">
        <v>170</v>
      </c>
      <c r="AA385" t="s">
        <v>170</v>
      </c>
      <c r="AB385" t="s">
        <v>351</v>
      </c>
      <c r="AC385" t="s">
        <v>352</v>
      </c>
      <c r="AF385">
        <v>200</v>
      </c>
      <c r="AG385" t="s">
        <v>1735</v>
      </c>
      <c r="AH385" t="s">
        <v>1736</v>
      </c>
      <c r="AI385" t="s">
        <v>1742</v>
      </c>
      <c r="AJ385" t="s">
        <v>1743</v>
      </c>
      <c r="AK385">
        <v>4</v>
      </c>
      <c r="AL385" t="s">
        <v>1737</v>
      </c>
      <c r="AS385">
        <v>700</v>
      </c>
      <c r="AT385">
        <v>700</v>
      </c>
      <c r="BQ385">
        <v>30</v>
      </c>
      <c r="BR385" t="s">
        <v>1099</v>
      </c>
      <c r="BT385" t="s">
        <v>1738</v>
      </c>
      <c r="BU385" s="1">
        <v>45413</v>
      </c>
      <c r="BV385">
        <v>34735</v>
      </c>
      <c r="BX385" t="s">
        <v>170</v>
      </c>
      <c r="BY385" t="s">
        <v>170</v>
      </c>
      <c r="CB385" t="s">
        <v>170</v>
      </c>
      <c r="CC385" t="s">
        <v>170</v>
      </c>
      <c r="CK385" t="s">
        <v>233</v>
      </c>
      <c r="CM385">
        <v>1</v>
      </c>
      <c r="CN385" t="s">
        <v>234</v>
      </c>
      <c r="CP385">
        <v>268</v>
      </c>
      <c r="CQ385">
        <v>180.9</v>
      </c>
      <c r="CR385">
        <v>140.4</v>
      </c>
      <c r="CS385" t="s">
        <v>1752</v>
      </c>
      <c r="CV385" t="s">
        <v>341</v>
      </c>
      <c r="CX385" t="s">
        <v>729</v>
      </c>
      <c r="CY385" t="s">
        <v>169</v>
      </c>
      <c r="DC385" t="s">
        <v>2020</v>
      </c>
      <c r="DD385">
        <v>1</v>
      </c>
      <c r="DE385" t="s">
        <v>404</v>
      </c>
      <c r="DF385" t="s">
        <v>1950</v>
      </c>
      <c r="DG385">
        <v>99</v>
      </c>
      <c r="DL385" t="s">
        <v>170</v>
      </c>
      <c r="DM385" t="s">
        <v>169</v>
      </c>
      <c r="DP385" t="s">
        <v>170</v>
      </c>
      <c r="DQ385" t="s">
        <v>187</v>
      </c>
      <c r="EB385">
        <v>9</v>
      </c>
      <c r="EC385">
        <v>10</v>
      </c>
      <c r="EE385" t="s">
        <v>2024</v>
      </c>
      <c r="EF385">
        <v>10</v>
      </c>
      <c r="EU385">
        <v>6000</v>
      </c>
      <c r="EW385">
        <v>0</v>
      </c>
      <c r="EX385">
        <v>0</v>
      </c>
      <c r="EY385">
        <v>0</v>
      </c>
      <c r="FA385">
        <v>5.0999999999999996</v>
      </c>
      <c r="FG385">
        <v>220</v>
      </c>
      <c r="FH385">
        <v>176</v>
      </c>
      <c r="FI385">
        <v>200</v>
      </c>
    </row>
    <row r="386" spans="1:165" x14ac:dyDescent="0.35">
      <c r="A386" s="25"/>
      <c r="B386" s="25"/>
      <c r="C386" s="25"/>
      <c r="D386" s="25"/>
      <c r="E386" s="25"/>
      <c r="F386" s="25" t="str">
        <f>_xlfn.CONCAT($A387," ",$B387," ",$D387)</f>
        <v>2025 Hyundai Kona Electric (17inch Wheels)</v>
      </c>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c r="AD386" s="25" t="str">
        <f>_xlfn.CONCAT($A387," ",$B387," ",$D387)</f>
        <v>2025 Hyundai Kona Electric (17inch Wheels)</v>
      </c>
      <c r="AE386" s="25"/>
      <c r="AF386" s="25"/>
      <c r="AG386" s="25"/>
      <c r="AH386" s="25"/>
      <c r="AI386" s="25"/>
      <c r="AJ386" s="25"/>
      <c r="AK386" s="25"/>
      <c r="AL386" s="25"/>
      <c r="AM386" s="25"/>
      <c r="AN386" s="25"/>
      <c r="AO386" s="25"/>
      <c r="AP386" s="25"/>
      <c r="AQ386" s="25"/>
      <c r="AR386" s="25"/>
      <c r="AS386" s="25"/>
      <c r="AT386" s="25"/>
      <c r="AU386" s="25"/>
      <c r="AV386" s="25"/>
      <c r="AW386" s="25"/>
      <c r="AX386" s="25" t="str">
        <f>_xlfn.CONCAT($A387," ",$B387," ",$D387)</f>
        <v>2025 Hyundai Kona Electric (17inch Wheels)</v>
      </c>
      <c r="AY386" s="25"/>
      <c r="AZ386" s="25"/>
      <c r="BA386" s="25"/>
      <c r="BB386" s="25"/>
      <c r="BC386" s="25"/>
      <c r="BD386" s="25"/>
      <c r="BE386" s="25"/>
      <c r="BF386" s="25"/>
      <c r="BG386" s="25"/>
      <c r="BH386" s="25"/>
      <c r="BI386" s="25"/>
      <c r="BJ386" s="25"/>
      <c r="BK386" s="25"/>
      <c r="BL386" s="25"/>
      <c r="BM386" s="25"/>
      <c r="BN386" s="25"/>
      <c r="BO386" s="25"/>
      <c r="BP386" s="25"/>
      <c r="BQ386" s="25"/>
      <c r="BR386" s="25" t="str">
        <f>_xlfn.CONCAT($A387," ",$B387," ",$D387)</f>
        <v>2025 Hyundai Kona Electric (17inch Wheels)</v>
      </c>
      <c r="BS386" s="25"/>
      <c r="BT386" s="25"/>
      <c r="BU386" s="25"/>
      <c r="BV386" s="25"/>
      <c r="BX386" s="25"/>
      <c r="BY386" s="25"/>
      <c r="BZ386" s="25"/>
      <c r="CA386" s="25"/>
      <c r="CB386" s="25"/>
      <c r="CC386" s="25"/>
      <c r="CD386" s="25"/>
      <c r="CE386" s="25"/>
      <c r="CF386" s="25"/>
      <c r="CG386" s="25"/>
      <c r="CH386" s="25"/>
      <c r="CI386" s="25"/>
      <c r="CJ386" s="25"/>
      <c r="CK386" s="25"/>
      <c r="CL386" s="25"/>
      <c r="CM386" s="25"/>
      <c r="CN386" s="25"/>
      <c r="CO386" s="25"/>
      <c r="CP386" s="25" t="str">
        <f>_xlfn.CONCAT($A387," ",$B387," ",$D387)</f>
        <v>2025 Hyundai Kona Electric (17inch Wheels)</v>
      </c>
      <c r="CQ386" s="25"/>
      <c r="CR386" s="25"/>
      <c r="CS386" s="25"/>
      <c r="CT386" s="25"/>
      <c r="CU386" s="25"/>
      <c r="CV386" s="25"/>
      <c r="CW386" s="25"/>
      <c r="CX386" s="25"/>
      <c r="CY386" s="25"/>
      <c r="CZ386" s="25"/>
      <c r="DA386" s="25"/>
      <c r="DB386" s="25"/>
      <c r="DC386" s="25"/>
      <c r="DD386" s="25"/>
      <c r="DE386" s="25"/>
      <c r="DF386" s="25"/>
      <c r="DG386" s="25"/>
      <c r="DH386" s="25"/>
      <c r="DI386" s="25" t="str">
        <f>_xlfn.CONCAT($A387," ",$B387," ",$D387)</f>
        <v>2025 Hyundai Kona Electric (17inch Wheels)</v>
      </c>
      <c r="DJ386" s="25"/>
      <c r="DK386" s="25"/>
      <c r="DL386" s="25"/>
      <c r="DM386" s="25"/>
      <c r="DN386" s="25"/>
      <c r="DO386" s="25"/>
      <c r="DP386" s="25"/>
      <c r="DQ386" s="25"/>
      <c r="DR386" s="25"/>
      <c r="DS386" s="25"/>
      <c r="DT386" s="25"/>
      <c r="DU386" s="25"/>
      <c r="DV386" s="25"/>
      <c r="DW386" s="25"/>
      <c r="DX386" s="25"/>
      <c r="DY386" s="25"/>
      <c r="DZ386" s="25" t="str">
        <f>_xlfn.CONCAT($A387," ",$B387," ",$D387)</f>
        <v>2025 Hyundai Kona Electric (17inch Wheels)</v>
      </c>
      <c r="EB386" s="25"/>
      <c r="EC386" s="25"/>
      <c r="ED386" s="25"/>
      <c r="EE386" s="25"/>
      <c r="EF386" s="25"/>
      <c r="EG386" s="25"/>
      <c r="EH386" s="25"/>
      <c r="EI386" s="25"/>
      <c r="EJ386" s="25"/>
      <c r="EK386" s="25"/>
      <c r="EL386" s="25"/>
      <c r="EM386" s="25"/>
      <c r="EN386" s="25"/>
      <c r="EO386" s="25"/>
      <c r="EP386" s="25"/>
      <c r="EQ386" s="25"/>
      <c r="ER386" s="25"/>
      <c r="ES386" s="25"/>
      <c r="ET386" s="25"/>
      <c r="EU386" s="25"/>
      <c r="EV386" s="25" t="str">
        <f>_xlfn.CONCAT($A387," ",$B387," ",$D387)</f>
        <v>2025 Hyundai Kona Electric (17inch Wheels)</v>
      </c>
      <c r="EW386" s="25"/>
      <c r="EX386" s="25"/>
      <c r="EY386" s="25"/>
      <c r="EZ386" s="25"/>
      <c r="FA386" s="25"/>
      <c r="FB386" s="25"/>
      <c r="FC386" s="25"/>
      <c r="FD386" s="25"/>
      <c r="FE386" s="25"/>
      <c r="FF386" s="25"/>
      <c r="FG386" s="25"/>
    </row>
    <row r="387" spans="1:165" x14ac:dyDescent="0.35">
      <c r="A387">
        <v>2025</v>
      </c>
      <c r="B387" t="s">
        <v>569</v>
      </c>
      <c r="C387" t="s">
        <v>739</v>
      </c>
      <c r="D387" t="s">
        <v>2019</v>
      </c>
      <c r="E387" t="s">
        <v>572</v>
      </c>
      <c r="F387">
        <v>72</v>
      </c>
      <c r="G387">
        <v>0</v>
      </c>
      <c r="I387" t="s">
        <v>1734</v>
      </c>
      <c r="J387">
        <v>129</v>
      </c>
      <c r="K387">
        <v>103</v>
      </c>
      <c r="L387">
        <v>116</v>
      </c>
      <c r="M387">
        <v>184</v>
      </c>
      <c r="N387">
        <v>147.5</v>
      </c>
      <c r="O387">
        <v>165.5635</v>
      </c>
      <c r="P387">
        <v>128.80000000000001</v>
      </c>
      <c r="Q387">
        <v>103.25</v>
      </c>
      <c r="R387">
        <v>115.89449999999999</v>
      </c>
      <c r="V387" t="s">
        <v>167</v>
      </c>
      <c r="W387" t="s">
        <v>168</v>
      </c>
      <c r="X387" t="s">
        <v>1931</v>
      </c>
      <c r="Y387">
        <v>1</v>
      </c>
      <c r="Z387" t="s">
        <v>170</v>
      </c>
      <c r="AA387" t="s">
        <v>170</v>
      </c>
      <c r="AB387" t="s">
        <v>351</v>
      </c>
      <c r="AC387" t="s">
        <v>352</v>
      </c>
      <c r="AF387">
        <v>261</v>
      </c>
      <c r="AG387" t="s">
        <v>1735</v>
      </c>
      <c r="AH387" t="s">
        <v>1736</v>
      </c>
      <c r="AI387" t="s">
        <v>175</v>
      </c>
      <c r="AJ387" t="s">
        <v>176</v>
      </c>
      <c r="AK387">
        <v>4</v>
      </c>
      <c r="AL387" t="s">
        <v>1737</v>
      </c>
      <c r="AS387">
        <v>700</v>
      </c>
      <c r="AT387">
        <v>700</v>
      </c>
      <c r="BQ387">
        <v>30</v>
      </c>
      <c r="BR387" t="s">
        <v>1099</v>
      </c>
      <c r="BT387" t="s">
        <v>1738</v>
      </c>
      <c r="BU387" s="1">
        <v>45413</v>
      </c>
      <c r="BV387">
        <v>34736</v>
      </c>
      <c r="BX387" t="s">
        <v>170</v>
      </c>
      <c r="BY387" t="s">
        <v>170</v>
      </c>
      <c r="CB387" t="s">
        <v>170</v>
      </c>
      <c r="CC387" t="s">
        <v>170</v>
      </c>
      <c r="CK387" t="s">
        <v>233</v>
      </c>
      <c r="CM387">
        <v>1</v>
      </c>
      <c r="CN387" t="s">
        <v>234</v>
      </c>
      <c r="CP387">
        <v>358</v>
      </c>
      <c r="CQ387">
        <v>180.9</v>
      </c>
      <c r="CR387">
        <v>153.4</v>
      </c>
      <c r="CS387" t="s">
        <v>1752</v>
      </c>
      <c r="CV387" t="s">
        <v>341</v>
      </c>
      <c r="CX387" t="s">
        <v>729</v>
      </c>
      <c r="CY387" t="s">
        <v>169</v>
      </c>
      <c r="DC387" t="s">
        <v>2020</v>
      </c>
      <c r="DD387">
        <v>1</v>
      </c>
      <c r="DE387" t="s">
        <v>404</v>
      </c>
      <c r="DF387" t="s">
        <v>1950</v>
      </c>
      <c r="DG387">
        <v>150</v>
      </c>
      <c r="DL387" t="s">
        <v>170</v>
      </c>
      <c r="DM387" t="s">
        <v>169</v>
      </c>
      <c r="DP387" t="s">
        <v>170</v>
      </c>
      <c r="DQ387" t="s">
        <v>187</v>
      </c>
      <c r="EB387">
        <v>9</v>
      </c>
      <c r="EC387">
        <v>10</v>
      </c>
      <c r="EE387" t="s">
        <v>2021</v>
      </c>
      <c r="EF387">
        <v>10</v>
      </c>
      <c r="EU387">
        <v>6000</v>
      </c>
      <c r="EW387">
        <v>0</v>
      </c>
      <c r="EX387">
        <v>0</v>
      </c>
      <c r="EY387">
        <v>0</v>
      </c>
      <c r="FA387">
        <v>6.7</v>
      </c>
      <c r="FG387">
        <v>287</v>
      </c>
      <c r="FH387">
        <v>230</v>
      </c>
      <c r="FI387">
        <v>261</v>
      </c>
    </row>
    <row r="388" spans="1:165" x14ac:dyDescent="0.35">
      <c r="A388">
        <v>2025</v>
      </c>
      <c r="B388" t="s">
        <v>569</v>
      </c>
      <c r="C388" t="s">
        <v>739</v>
      </c>
      <c r="D388" t="s">
        <v>2019</v>
      </c>
      <c r="E388" t="s">
        <v>572</v>
      </c>
      <c r="F388">
        <v>72</v>
      </c>
      <c r="G388">
        <v>0</v>
      </c>
      <c r="I388" t="s">
        <v>1734</v>
      </c>
      <c r="J388">
        <v>26</v>
      </c>
      <c r="K388">
        <v>33</v>
      </c>
      <c r="L388">
        <v>29</v>
      </c>
      <c r="M388">
        <v>18.316600000000001</v>
      </c>
      <c r="N388">
        <v>22.8459</v>
      </c>
      <c r="O388">
        <v>20.354700000000001</v>
      </c>
      <c r="P388">
        <v>26.168500000000002</v>
      </c>
      <c r="Q388">
        <v>32.644100000000002</v>
      </c>
      <c r="R388">
        <v>29.0825</v>
      </c>
      <c r="V388" t="s">
        <v>167</v>
      </c>
      <c r="W388" t="s">
        <v>168</v>
      </c>
      <c r="X388" t="s">
        <v>1931</v>
      </c>
      <c r="Y388">
        <v>1</v>
      </c>
      <c r="Z388" t="s">
        <v>170</v>
      </c>
      <c r="AA388" t="s">
        <v>170</v>
      </c>
      <c r="AB388" t="s">
        <v>351</v>
      </c>
      <c r="AC388" t="s">
        <v>352</v>
      </c>
      <c r="AF388">
        <v>261</v>
      </c>
      <c r="AG388" t="s">
        <v>1735</v>
      </c>
      <c r="AH388" t="s">
        <v>1736</v>
      </c>
      <c r="AI388" t="s">
        <v>1742</v>
      </c>
      <c r="AJ388" t="s">
        <v>1743</v>
      </c>
      <c r="AK388">
        <v>4</v>
      </c>
      <c r="AL388" t="s">
        <v>1737</v>
      </c>
      <c r="AS388">
        <v>700</v>
      </c>
      <c r="AT388">
        <v>700</v>
      </c>
      <c r="BQ388">
        <v>30</v>
      </c>
      <c r="BR388" t="s">
        <v>1099</v>
      </c>
      <c r="BT388" t="s">
        <v>1738</v>
      </c>
      <c r="BU388" s="1">
        <v>45413</v>
      </c>
      <c r="BV388">
        <v>34736</v>
      </c>
      <c r="BX388" t="s">
        <v>170</v>
      </c>
      <c r="BY388" t="s">
        <v>170</v>
      </c>
      <c r="CB388" t="s">
        <v>170</v>
      </c>
      <c r="CC388" t="s">
        <v>170</v>
      </c>
      <c r="CK388" t="s">
        <v>233</v>
      </c>
      <c r="CM388">
        <v>1</v>
      </c>
      <c r="CN388" t="s">
        <v>234</v>
      </c>
      <c r="CP388">
        <v>358</v>
      </c>
      <c r="CQ388">
        <v>180.9</v>
      </c>
      <c r="CR388">
        <v>153.4</v>
      </c>
      <c r="CS388" t="s">
        <v>1752</v>
      </c>
      <c r="CV388" t="s">
        <v>341</v>
      </c>
      <c r="CX388" t="s">
        <v>729</v>
      </c>
      <c r="CY388" t="s">
        <v>169</v>
      </c>
      <c r="DC388" t="s">
        <v>2020</v>
      </c>
      <c r="DD388">
        <v>1</v>
      </c>
      <c r="DE388" t="s">
        <v>404</v>
      </c>
      <c r="DF388" t="s">
        <v>1950</v>
      </c>
      <c r="DG388">
        <v>150</v>
      </c>
      <c r="DL388" t="s">
        <v>170</v>
      </c>
      <c r="DM388" t="s">
        <v>169</v>
      </c>
      <c r="DP388" t="s">
        <v>170</v>
      </c>
      <c r="DQ388" t="s">
        <v>187</v>
      </c>
      <c r="EB388">
        <v>9</v>
      </c>
      <c r="EC388">
        <v>10</v>
      </c>
      <c r="EE388" t="s">
        <v>2021</v>
      </c>
      <c r="EF388">
        <v>10</v>
      </c>
      <c r="EU388">
        <v>6000</v>
      </c>
      <c r="EW388">
        <v>0</v>
      </c>
      <c r="EX388">
        <v>0</v>
      </c>
      <c r="EY388">
        <v>0</v>
      </c>
      <c r="FA388">
        <v>6.7</v>
      </c>
      <c r="FG388">
        <v>287</v>
      </c>
      <c r="FH388">
        <v>230</v>
      </c>
      <c r="FI388">
        <v>261</v>
      </c>
    </row>
    <row r="389" spans="1:165" x14ac:dyDescent="0.35">
      <c r="A389" s="25"/>
      <c r="B389" s="25"/>
      <c r="C389" s="25"/>
      <c r="D389" s="25"/>
      <c r="E389" s="25"/>
      <c r="F389" s="25" t="str">
        <f>_xlfn.CONCAT($A390," ",$B390," ",$D390)</f>
        <v>2025 Hyundai Ioniq 5 N</v>
      </c>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c r="AD389" s="25" t="str">
        <f>_xlfn.CONCAT($A390," ",$B390," ",$D390)</f>
        <v>2025 Hyundai Ioniq 5 N</v>
      </c>
      <c r="AE389" s="25"/>
      <c r="AF389" s="25"/>
      <c r="AG389" s="25"/>
      <c r="AH389" s="25"/>
      <c r="AI389" s="25"/>
      <c r="AJ389" s="25"/>
      <c r="AK389" s="25"/>
      <c r="AL389" s="25"/>
      <c r="AM389" s="25"/>
      <c r="AN389" s="25"/>
      <c r="AO389" s="25"/>
      <c r="AP389" s="25"/>
      <c r="AQ389" s="25"/>
      <c r="AR389" s="25"/>
      <c r="AS389" s="25"/>
      <c r="AT389" s="25"/>
      <c r="AU389" s="25"/>
      <c r="AV389" s="25"/>
      <c r="AW389" s="25"/>
      <c r="AX389" s="25" t="str">
        <f>_xlfn.CONCAT($A390," ",$B390," ",$D390)</f>
        <v>2025 Hyundai Ioniq 5 N</v>
      </c>
      <c r="AY389" s="25"/>
      <c r="AZ389" s="25"/>
      <c r="BA389" s="25"/>
      <c r="BB389" s="25"/>
      <c r="BC389" s="25"/>
      <c r="BD389" s="25"/>
      <c r="BE389" s="25"/>
      <c r="BF389" s="25"/>
      <c r="BG389" s="25"/>
      <c r="BH389" s="25"/>
      <c r="BI389" s="25"/>
      <c r="BJ389" s="25"/>
      <c r="BK389" s="25"/>
      <c r="BL389" s="25"/>
      <c r="BM389" s="25"/>
      <c r="BN389" s="25"/>
      <c r="BO389" s="25"/>
      <c r="BP389" s="25"/>
      <c r="BQ389" s="25"/>
      <c r="BR389" s="25" t="str">
        <f>_xlfn.CONCAT($A390," ",$B390," ",$D390)</f>
        <v>2025 Hyundai Ioniq 5 N</v>
      </c>
      <c r="BS389" s="25"/>
      <c r="BT389" s="25"/>
      <c r="BU389" s="25"/>
      <c r="BV389" s="25"/>
      <c r="BX389" s="25"/>
      <c r="BY389" s="25"/>
      <c r="BZ389" s="25"/>
      <c r="CA389" s="25"/>
      <c r="CB389" s="25"/>
      <c r="CC389" s="25"/>
      <c r="CD389" s="25"/>
      <c r="CE389" s="25"/>
      <c r="CF389" s="25"/>
      <c r="CG389" s="25"/>
      <c r="CH389" s="25"/>
      <c r="CI389" s="25"/>
      <c r="CJ389" s="25"/>
      <c r="CK389" s="25"/>
      <c r="CL389" s="25"/>
      <c r="CM389" s="25"/>
      <c r="CN389" s="25"/>
      <c r="CO389" s="25"/>
      <c r="CP389" s="25" t="str">
        <f>_xlfn.CONCAT($A390," ",$B390," ",$D390)</f>
        <v>2025 Hyundai Ioniq 5 N</v>
      </c>
      <c r="CQ389" s="25"/>
      <c r="CR389" s="25"/>
      <c r="CS389" s="25"/>
      <c r="CT389" s="25"/>
      <c r="CU389" s="25"/>
      <c r="CV389" s="25"/>
      <c r="CW389" s="25"/>
      <c r="CX389" s="25"/>
      <c r="CY389" s="25"/>
      <c r="CZ389" s="25"/>
      <c r="DA389" s="25"/>
      <c r="DB389" s="25"/>
      <c r="DC389" s="25"/>
      <c r="DD389" s="25"/>
      <c r="DE389" s="25"/>
      <c r="DF389" s="25"/>
      <c r="DG389" s="25"/>
      <c r="DH389" s="25"/>
      <c r="DI389" s="25" t="str">
        <f>_xlfn.CONCAT($A390," ",$B390," ",$D390)</f>
        <v>2025 Hyundai Ioniq 5 N</v>
      </c>
      <c r="DJ389" s="25"/>
      <c r="DK389" s="25"/>
      <c r="DL389" s="25"/>
      <c r="DM389" s="25"/>
      <c r="DN389" s="25"/>
      <c r="DO389" s="25"/>
      <c r="DP389" s="25"/>
      <c r="DQ389" s="25"/>
      <c r="DR389" s="25"/>
      <c r="DS389" s="25"/>
      <c r="DT389" s="25"/>
      <c r="DU389" s="25"/>
      <c r="DV389" s="25"/>
      <c r="DW389" s="25"/>
      <c r="DX389" s="25"/>
      <c r="DY389" s="25"/>
      <c r="DZ389" s="25" t="str">
        <f>_xlfn.CONCAT($A390," ",$B390," ",$D390)</f>
        <v>2025 Hyundai Ioniq 5 N</v>
      </c>
      <c r="EB389" s="25"/>
      <c r="EC389" s="25"/>
      <c r="ED389" s="25"/>
      <c r="EE389" s="25"/>
      <c r="EF389" s="25"/>
      <c r="EG389" s="25"/>
      <c r="EH389" s="25"/>
      <c r="EI389" s="25"/>
      <c r="EJ389" s="25"/>
      <c r="EK389" s="25"/>
      <c r="EL389" s="25"/>
      <c r="EM389" s="25"/>
      <c r="EN389" s="25"/>
      <c r="EO389" s="25"/>
      <c r="EP389" s="25"/>
      <c r="EQ389" s="25"/>
      <c r="ER389" s="25"/>
      <c r="ES389" s="25"/>
      <c r="ET389" s="25"/>
      <c r="EU389" s="25"/>
      <c r="EV389" s="25" t="str">
        <f>_xlfn.CONCAT($A390," ",$B390," ",$D390)</f>
        <v>2025 Hyundai Ioniq 5 N</v>
      </c>
      <c r="EW389" s="25"/>
      <c r="EX389" s="25"/>
      <c r="EY389" s="25"/>
      <c r="EZ389" s="25"/>
      <c r="FA389" s="25"/>
      <c r="FB389" s="25"/>
      <c r="FC389" s="25"/>
      <c r="FD389" s="25"/>
      <c r="FE389" s="25"/>
      <c r="FF389" s="25"/>
      <c r="FG389" s="25"/>
    </row>
    <row r="390" spans="1:165" x14ac:dyDescent="0.35">
      <c r="A390">
        <v>2025</v>
      </c>
      <c r="B390" t="s">
        <v>569</v>
      </c>
      <c r="C390" t="s">
        <v>739</v>
      </c>
      <c r="D390" t="s">
        <v>2000</v>
      </c>
      <c r="E390" t="s">
        <v>572</v>
      </c>
      <c r="F390">
        <v>73</v>
      </c>
      <c r="G390">
        <v>0</v>
      </c>
      <c r="I390" t="s">
        <v>1734</v>
      </c>
      <c r="J390">
        <v>84</v>
      </c>
      <c r="K390">
        <v>72</v>
      </c>
      <c r="L390">
        <v>78</v>
      </c>
      <c r="M390">
        <v>125.8</v>
      </c>
      <c r="N390">
        <v>108.3</v>
      </c>
      <c r="O390">
        <v>117.2726</v>
      </c>
      <c r="P390">
        <v>84</v>
      </c>
      <c r="Q390">
        <v>72</v>
      </c>
      <c r="R390">
        <v>78</v>
      </c>
      <c r="V390" t="s">
        <v>167</v>
      </c>
      <c r="W390" t="s">
        <v>168</v>
      </c>
      <c r="X390" t="s">
        <v>1931</v>
      </c>
      <c r="Y390">
        <v>1</v>
      </c>
      <c r="Z390" t="s">
        <v>170</v>
      </c>
      <c r="AA390" t="s">
        <v>170</v>
      </c>
      <c r="AB390" t="s">
        <v>167</v>
      </c>
      <c r="AC390" t="s">
        <v>213</v>
      </c>
      <c r="AF390">
        <v>221</v>
      </c>
      <c r="AG390" t="s">
        <v>1735</v>
      </c>
      <c r="AH390" t="s">
        <v>1736</v>
      </c>
      <c r="AI390" t="s">
        <v>175</v>
      </c>
      <c r="AJ390" t="s">
        <v>176</v>
      </c>
      <c r="AK390">
        <v>4</v>
      </c>
      <c r="AL390" t="s">
        <v>1737</v>
      </c>
      <c r="AS390">
        <v>1050</v>
      </c>
      <c r="AT390">
        <v>1050</v>
      </c>
      <c r="BQ390">
        <v>31</v>
      </c>
      <c r="BR390" t="s">
        <v>1219</v>
      </c>
      <c r="BT390" t="s">
        <v>1738</v>
      </c>
      <c r="BU390" s="1">
        <v>45306</v>
      </c>
      <c r="BV390">
        <v>34344</v>
      </c>
      <c r="BX390" t="s">
        <v>170</v>
      </c>
      <c r="BY390" t="s">
        <v>170</v>
      </c>
      <c r="CB390" t="s">
        <v>170</v>
      </c>
      <c r="CC390" t="s">
        <v>170</v>
      </c>
      <c r="CK390" t="s">
        <v>233</v>
      </c>
      <c r="CM390">
        <v>1</v>
      </c>
      <c r="CN390" t="s">
        <v>234</v>
      </c>
      <c r="CP390">
        <v>697</v>
      </c>
      <c r="CQ390">
        <v>120.6</v>
      </c>
      <c r="CR390">
        <v>170.6</v>
      </c>
      <c r="CS390" t="s">
        <v>1752</v>
      </c>
      <c r="CV390" t="s">
        <v>341</v>
      </c>
      <c r="CX390" t="s">
        <v>342</v>
      </c>
      <c r="CY390" t="s">
        <v>169</v>
      </c>
      <c r="DC390" t="s">
        <v>1932</v>
      </c>
      <c r="DD390">
        <v>2</v>
      </c>
      <c r="DE390" t="s">
        <v>404</v>
      </c>
      <c r="DF390" t="s">
        <v>427</v>
      </c>
      <c r="DG390" t="s">
        <v>2001</v>
      </c>
      <c r="DL390" t="s">
        <v>170</v>
      </c>
      <c r="DM390" t="s">
        <v>169</v>
      </c>
      <c r="DP390" t="s">
        <v>170</v>
      </c>
      <c r="DQ390" t="s">
        <v>187</v>
      </c>
      <c r="EB390">
        <v>9</v>
      </c>
      <c r="EC390">
        <v>10</v>
      </c>
      <c r="EE390" t="s">
        <v>2002</v>
      </c>
      <c r="EF390">
        <v>10</v>
      </c>
      <c r="EU390">
        <v>4250</v>
      </c>
      <c r="EW390">
        <v>0</v>
      </c>
      <c r="EX390">
        <v>0</v>
      </c>
      <c r="EY390">
        <v>0</v>
      </c>
      <c r="FA390">
        <v>8.6999999999999993</v>
      </c>
      <c r="FG390">
        <v>237</v>
      </c>
      <c r="FH390">
        <v>202</v>
      </c>
      <c r="FI390">
        <v>221</v>
      </c>
    </row>
    <row r="391" spans="1:165" x14ac:dyDescent="0.35">
      <c r="A391">
        <v>2025</v>
      </c>
      <c r="B391" t="s">
        <v>569</v>
      </c>
      <c r="C391" t="s">
        <v>739</v>
      </c>
      <c r="D391" t="s">
        <v>2000</v>
      </c>
      <c r="E391" t="s">
        <v>572</v>
      </c>
      <c r="F391">
        <v>73</v>
      </c>
      <c r="G391">
        <v>0</v>
      </c>
      <c r="I391" t="s">
        <v>1734</v>
      </c>
      <c r="J391">
        <v>40</v>
      </c>
      <c r="K391">
        <v>47</v>
      </c>
      <c r="L391">
        <v>43</v>
      </c>
      <c r="M391">
        <v>26.7836</v>
      </c>
      <c r="N391">
        <v>31.116199999999999</v>
      </c>
      <c r="O391">
        <v>28.7333</v>
      </c>
      <c r="P391">
        <v>40</v>
      </c>
      <c r="Q391">
        <v>47</v>
      </c>
      <c r="R391">
        <v>43</v>
      </c>
      <c r="V391" t="s">
        <v>167</v>
      </c>
      <c r="W391" t="s">
        <v>168</v>
      </c>
      <c r="X391" t="s">
        <v>1931</v>
      </c>
      <c r="Y391">
        <v>1</v>
      </c>
      <c r="Z391" t="s">
        <v>170</v>
      </c>
      <c r="AA391" t="s">
        <v>170</v>
      </c>
      <c r="AB391" t="s">
        <v>167</v>
      </c>
      <c r="AC391" t="s">
        <v>213</v>
      </c>
      <c r="AF391">
        <v>221</v>
      </c>
      <c r="AG391" t="s">
        <v>1735</v>
      </c>
      <c r="AH391" t="s">
        <v>1736</v>
      </c>
      <c r="AI391" t="s">
        <v>1742</v>
      </c>
      <c r="AJ391" t="s">
        <v>1743</v>
      </c>
      <c r="AK391">
        <v>4</v>
      </c>
      <c r="AL391" t="s">
        <v>1737</v>
      </c>
      <c r="AS391">
        <v>1050</v>
      </c>
      <c r="AT391">
        <v>1050</v>
      </c>
      <c r="BQ391">
        <v>31</v>
      </c>
      <c r="BR391" t="s">
        <v>1219</v>
      </c>
      <c r="BT391" t="s">
        <v>1738</v>
      </c>
      <c r="BU391" s="1">
        <v>45306</v>
      </c>
      <c r="BV391">
        <v>34344</v>
      </c>
      <c r="BX391" t="s">
        <v>170</v>
      </c>
      <c r="BY391" t="s">
        <v>170</v>
      </c>
      <c r="CB391" t="s">
        <v>170</v>
      </c>
      <c r="CC391" t="s">
        <v>170</v>
      </c>
      <c r="CK391" t="s">
        <v>233</v>
      </c>
      <c r="CM391">
        <v>1</v>
      </c>
      <c r="CN391" t="s">
        <v>234</v>
      </c>
      <c r="CP391">
        <v>697</v>
      </c>
      <c r="CQ391">
        <v>120.6</v>
      </c>
      <c r="CR391">
        <v>170.6</v>
      </c>
      <c r="CS391" t="s">
        <v>1752</v>
      </c>
      <c r="CV391" t="s">
        <v>341</v>
      </c>
      <c r="CX391" t="s">
        <v>342</v>
      </c>
      <c r="CY391" t="s">
        <v>169</v>
      </c>
      <c r="DC391" t="s">
        <v>1932</v>
      </c>
      <c r="DD391">
        <v>2</v>
      </c>
      <c r="DE391" t="s">
        <v>404</v>
      </c>
      <c r="DF391" t="s">
        <v>427</v>
      </c>
      <c r="DG391" t="s">
        <v>2001</v>
      </c>
      <c r="DL391" t="s">
        <v>170</v>
      </c>
      <c r="DM391" t="s">
        <v>169</v>
      </c>
      <c r="DP391" t="s">
        <v>170</v>
      </c>
      <c r="DQ391" t="s">
        <v>187</v>
      </c>
      <c r="EB391">
        <v>9</v>
      </c>
      <c r="EC391">
        <v>10</v>
      </c>
      <c r="EE391" t="s">
        <v>2002</v>
      </c>
      <c r="EF391">
        <v>10</v>
      </c>
      <c r="EU391">
        <v>4250</v>
      </c>
      <c r="EW391">
        <v>0</v>
      </c>
      <c r="EX391">
        <v>0</v>
      </c>
      <c r="EY391">
        <v>0</v>
      </c>
      <c r="FA391">
        <v>8.6999999999999993</v>
      </c>
      <c r="FG391">
        <v>237</v>
      </c>
      <c r="FH391">
        <v>202</v>
      </c>
      <c r="FI391">
        <v>221</v>
      </c>
    </row>
    <row r="392" spans="1:165" x14ac:dyDescent="0.35">
      <c r="A392" s="25"/>
      <c r="B392" s="25"/>
      <c r="C392" s="25"/>
      <c r="D392" s="25"/>
      <c r="E392" s="25"/>
      <c r="F392" s="25" t="str">
        <f>_xlfn.CONCAT($A393," ",$B393," ",$D393)</f>
        <v>2025 Hyundai Kona Electric (19inch Wheels)</v>
      </c>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c r="AD392" s="25" t="str">
        <f>_xlfn.CONCAT($A393," ",$B393," ",$D393)</f>
        <v>2025 Hyundai Kona Electric (19inch Wheels)</v>
      </c>
      <c r="AE392" s="25"/>
      <c r="AF392" s="25"/>
      <c r="AG392" s="25"/>
      <c r="AH392" s="25"/>
      <c r="AI392" s="25"/>
      <c r="AJ392" s="25"/>
      <c r="AK392" s="25"/>
      <c r="AL392" s="25"/>
      <c r="AM392" s="25"/>
      <c r="AN392" s="25"/>
      <c r="AO392" s="25"/>
      <c r="AP392" s="25"/>
      <c r="AQ392" s="25"/>
      <c r="AR392" s="25"/>
      <c r="AS392" s="25"/>
      <c r="AT392" s="25"/>
      <c r="AU392" s="25"/>
      <c r="AV392" s="25"/>
      <c r="AW392" s="25"/>
      <c r="AX392" s="25" t="str">
        <f>_xlfn.CONCAT($A393," ",$B393," ",$D393)</f>
        <v>2025 Hyundai Kona Electric (19inch Wheels)</v>
      </c>
      <c r="AY392" s="25"/>
      <c r="AZ392" s="25"/>
      <c r="BA392" s="25"/>
      <c r="BB392" s="25"/>
      <c r="BC392" s="25"/>
      <c r="BD392" s="25"/>
      <c r="BE392" s="25"/>
      <c r="BF392" s="25"/>
      <c r="BG392" s="25"/>
      <c r="BH392" s="25"/>
      <c r="BI392" s="25"/>
      <c r="BJ392" s="25"/>
      <c r="BK392" s="25"/>
      <c r="BL392" s="25"/>
      <c r="BM392" s="25"/>
      <c r="BN392" s="25"/>
      <c r="BO392" s="25"/>
      <c r="BP392" s="25"/>
      <c r="BQ392" s="25"/>
      <c r="BR392" s="25" t="str">
        <f>_xlfn.CONCAT($A393," ",$B393," ",$D393)</f>
        <v>2025 Hyundai Kona Electric (19inch Wheels)</v>
      </c>
      <c r="BS392" s="25"/>
      <c r="BT392" s="25"/>
      <c r="BU392" s="25"/>
      <c r="BV392" s="25"/>
      <c r="BX392" s="25"/>
      <c r="BY392" s="25"/>
      <c r="BZ392" s="25"/>
      <c r="CA392" s="25"/>
      <c r="CB392" s="25"/>
      <c r="CC392" s="25"/>
      <c r="CD392" s="25"/>
      <c r="CE392" s="25"/>
      <c r="CF392" s="25"/>
      <c r="CG392" s="25"/>
      <c r="CH392" s="25"/>
      <c r="CI392" s="25"/>
      <c r="CJ392" s="25"/>
      <c r="CK392" s="25"/>
      <c r="CL392" s="25"/>
      <c r="CM392" s="25"/>
      <c r="CN392" s="25"/>
      <c r="CO392" s="25"/>
      <c r="CP392" s="25" t="str">
        <f>_xlfn.CONCAT($A393," ",$B393," ",$D393)</f>
        <v>2025 Hyundai Kona Electric (19inch Wheels)</v>
      </c>
      <c r="CQ392" s="25"/>
      <c r="CR392" s="25"/>
      <c r="CS392" s="25"/>
      <c r="CT392" s="25"/>
      <c r="CU392" s="25"/>
      <c r="CV392" s="25"/>
      <c r="CW392" s="25"/>
      <c r="CX392" s="25"/>
      <c r="CY392" s="25"/>
      <c r="CZ392" s="25"/>
      <c r="DA392" s="25"/>
      <c r="DB392" s="25"/>
      <c r="DC392" s="25"/>
      <c r="DD392" s="25"/>
      <c r="DE392" s="25"/>
      <c r="DF392" s="25"/>
      <c r="DG392" s="25"/>
      <c r="DH392" s="25"/>
      <c r="DI392" s="25" t="str">
        <f>_xlfn.CONCAT($A393," ",$B393," ",$D393)</f>
        <v>2025 Hyundai Kona Electric (19inch Wheels)</v>
      </c>
      <c r="DJ392" s="25"/>
      <c r="DK392" s="25"/>
      <c r="DL392" s="25"/>
      <c r="DM392" s="25"/>
      <c r="DN392" s="25"/>
      <c r="DO392" s="25"/>
      <c r="DP392" s="25"/>
      <c r="DQ392" s="25"/>
      <c r="DR392" s="25"/>
      <c r="DS392" s="25"/>
      <c r="DT392" s="25"/>
      <c r="DU392" s="25"/>
      <c r="DV392" s="25"/>
      <c r="DW392" s="25"/>
      <c r="DX392" s="25"/>
      <c r="DY392" s="25"/>
      <c r="DZ392" s="25" t="str">
        <f>_xlfn.CONCAT($A393," ",$B393," ",$D393)</f>
        <v>2025 Hyundai Kona Electric (19inch Wheels)</v>
      </c>
      <c r="EB392" s="25"/>
      <c r="EC392" s="25"/>
      <c r="ED392" s="25"/>
      <c r="EE392" s="25"/>
      <c r="EF392" s="25"/>
      <c r="EG392" s="25"/>
      <c r="EH392" s="25"/>
      <c r="EI392" s="25"/>
      <c r="EJ392" s="25"/>
      <c r="EK392" s="25"/>
      <c r="EL392" s="25"/>
      <c r="EM392" s="25"/>
      <c r="EN392" s="25"/>
      <c r="EO392" s="25"/>
      <c r="EP392" s="25"/>
      <c r="EQ392" s="25"/>
      <c r="ER392" s="25"/>
      <c r="ES392" s="25"/>
      <c r="ET392" s="25"/>
      <c r="EU392" s="25"/>
      <c r="EV392" s="25" t="str">
        <f>_xlfn.CONCAT($A393," ",$B393," ",$D393)</f>
        <v>2025 Hyundai Kona Electric (19inch Wheels)</v>
      </c>
      <c r="EW392" s="25"/>
      <c r="EX392" s="25"/>
      <c r="EY392" s="25"/>
      <c r="EZ392" s="25"/>
      <c r="FA392" s="25"/>
      <c r="FB392" s="25"/>
      <c r="FC392" s="25"/>
      <c r="FD392" s="25"/>
      <c r="FE392" s="25"/>
      <c r="FF392" s="25"/>
      <c r="FG392" s="25"/>
    </row>
    <row r="393" spans="1:165" x14ac:dyDescent="0.35">
      <c r="A393">
        <v>2025</v>
      </c>
      <c r="B393" t="s">
        <v>569</v>
      </c>
      <c r="C393" t="s">
        <v>739</v>
      </c>
      <c r="D393" t="s">
        <v>2022</v>
      </c>
      <c r="E393" t="s">
        <v>572</v>
      </c>
      <c r="F393">
        <v>74</v>
      </c>
      <c r="G393">
        <v>0</v>
      </c>
      <c r="I393" t="s">
        <v>1734</v>
      </c>
      <c r="J393">
        <v>113</v>
      </c>
      <c r="K393">
        <v>93</v>
      </c>
      <c r="L393">
        <v>103</v>
      </c>
      <c r="M393">
        <v>171.6</v>
      </c>
      <c r="N393">
        <v>142</v>
      </c>
      <c r="O393">
        <v>156.88390000000001</v>
      </c>
      <c r="P393">
        <v>113</v>
      </c>
      <c r="Q393">
        <v>93</v>
      </c>
      <c r="R393">
        <v>103</v>
      </c>
      <c r="V393" t="s">
        <v>167</v>
      </c>
      <c r="W393" t="s">
        <v>168</v>
      </c>
      <c r="X393" t="s">
        <v>1931</v>
      </c>
      <c r="Y393">
        <v>1</v>
      </c>
      <c r="Z393" t="s">
        <v>170</v>
      </c>
      <c r="AA393" t="s">
        <v>170</v>
      </c>
      <c r="AB393" t="s">
        <v>351</v>
      </c>
      <c r="AC393" t="s">
        <v>352</v>
      </c>
      <c r="AF393">
        <v>230</v>
      </c>
      <c r="AG393" t="s">
        <v>1735</v>
      </c>
      <c r="AH393" t="s">
        <v>1736</v>
      </c>
      <c r="AI393" t="s">
        <v>175</v>
      </c>
      <c r="AJ393" t="s">
        <v>176</v>
      </c>
      <c r="AK393">
        <v>4</v>
      </c>
      <c r="AL393" t="s">
        <v>1737</v>
      </c>
      <c r="AS393">
        <v>800</v>
      </c>
      <c r="AT393">
        <v>800</v>
      </c>
      <c r="BQ393">
        <v>30</v>
      </c>
      <c r="BR393" t="s">
        <v>1099</v>
      </c>
      <c r="BT393" t="s">
        <v>1738</v>
      </c>
      <c r="BU393" s="1">
        <v>45413</v>
      </c>
      <c r="BV393">
        <v>35007</v>
      </c>
      <c r="BX393" t="s">
        <v>170</v>
      </c>
      <c r="BY393" t="s">
        <v>170</v>
      </c>
      <c r="CB393" t="s">
        <v>170</v>
      </c>
      <c r="CC393" t="s">
        <v>170</v>
      </c>
      <c r="CK393" t="s">
        <v>233</v>
      </c>
      <c r="CM393">
        <v>1</v>
      </c>
      <c r="CN393" t="s">
        <v>234</v>
      </c>
      <c r="CP393">
        <v>358</v>
      </c>
      <c r="CQ393">
        <v>180.9</v>
      </c>
      <c r="CR393">
        <v>153.4</v>
      </c>
      <c r="CS393" t="s">
        <v>1752</v>
      </c>
      <c r="CV393" t="s">
        <v>341</v>
      </c>
      <c r="CX393" t="s">
        <v>729</v>
      </c>
      <c r="CY393" t="s">
        <v>169</v>
      </c>
      <c r="DC393" t="s">
        <v>2020</v>
      </c>
      <c r="DD393">
        <v>1</v>
      </c>
      <c r="DE393" t="s">
        <v>404</v>
      </c>
      <c r="DF393" t="s">
        <v>1950</v>
      </c>
      <c r="DG393">
        <v>150</v>
      </c>
      <c r="DL393" t="s">
        <v>170</v>
      </c>
      <c r="DM393" t="s">
        <v>169</v>
      </c>
      <c r="DP393" t="s">
        <v>170</v>
      </c>
      <c r="DQ393" t="s">
        <v>187</v>
      </c>
      <c r="EB393">
        <v>9</v>
      </c>
      <c r="EC393">
        <v>10</v>
      </c>
      <c r="EE393" t="s">
        <v>2021</v>
      </c>
      <c r="EF393">
        <v>10</v>
      </c>
      <c r="EU393">
        <v>5500</v>
      </c>
      <c r="EW393">
        <v>0</v>
      </c>
      <c r="EX393">
        <v>0</v>
      </c>
      <c r="EY393">
        <v>0</v>
      </c>
      <c r="FA393">
        <v>6.9</v>
      </c>
      <c r="FG393">
        <v>249</v>
      </c>
      <c r="FH393">
        <v>207</v>
      </c>
      <c r="FI393">
        <v>230</v>
      </c>
    </row>
    <row r="394" spans="1:165" x14ac:dyDescent="0.35">
      <c r="A394">
        <v>2025</v>
      </c>
      <c r="B394" t="s">
        <v>569</v>
      </c>
      <c r="C394" t="s">
        <v>739</v>
      </c>
      <c r="D394" t="s">
        <v>2022</v>
      </c>
      <c r="E394" t="s">
        <v>572</v>
      </c>
      <c r="F394">
        <v>74</v>
      </c>
      <c r="G394">
        <v>0</v>
      </c>
      <c r="I394" t="s">
        <v>1734</v>
      </c>
      <c r="J394">
        <v>28</v>
      </c>
      <c r="K394">
        <v>34</v>
      </c>
      <c r="L394">
        <v>31</v>
      </c>
      <c r="M394">
        <v>19.645600000000002</v>
      </c>
      <c r="N394">
        <v>23.734100000000002</v>
      </c>
      <c r="O394">
        <v>21.485399999999998</v>
      </c>
      <c r="P394">
        <v>28</v>
      </c>
      <c r="Q394">
        <v>34</v>
      </c>
      <c r="R394">
        <v>31</v>
      </c>
      <c r="V394" t="s">
        <v>167</v>
      </c>
      <c r="W394" t="s">
        <v>168</v>
      </c>
      <c r="X394" t="s">
        <v>1931</v>
      </c>
      <c r="Y394">
        <v>1</v>
      </c>
      <c r="Z394" t="s">
        <v>170</v>
      </c>
      <c r="AA394" t="s">
        <v>170</v>
      </c>
      <c r="AB394" t="s">
        <v>351</v>
      </c>
      <c r="AC394" t="s">
        <v>352</v>
      </c>
      <c r="AF394">
        <v>230</v>
      </c>
      <c r="AG394" t="s">
        <v>1735</v>
      </c>
      <c r="AH394" t="s">
        <v>1736</v>
      </c>
      <c r="AI394" t="s">
        <v>1742</v>
      </c>
      <c r="AJ394" t="s">
        <v>1743</v>
      </c>
      <c r="AK394">
        <v>4</v>
      </c>
      <c r="AL394" t="s">
        <v>1737</v>
      </c>
      <c r="AS394">
        <v>800</v>
      </c>
      <c r="AT394">
        <v>800</v>
      </c>
      <c r="BQ394">
        <v>30</v>
      </c>
      <c r="BR394" t="s">
        <v>1099</v>
      </c>
      <c r="BT394" t="s">
        <v>1738</v>
      </c>
      <c r="BU394" s="1">
        <v>45413</v>
      </c>
      <c r="BV394">
        <v>35007</v>
      </c>
      <c r="BX394" t="s">
        <v>170</v>
      </c>
      <c r="BY394" t="s">
        <v>170</v>
      </c>
      <c r="CB394" t="s">
        <v>170</v>
      </c>
      <c r="CC394" t="s">
        <v>170</v>
      </c>
      <c r="CK394" t="s">
        <v>233</v>
      </c>
      <c r="CM394">
        <v>1</v>
      </c>
      <c r="CN394" t="s">
        <v>234</v>
      </c>
      <c r="CP394">
        <v>358</v>
      </c>
      <c r="CQ394">
        <v>180.9</v>
      </c>
      <c r="CR394">
        <v>153.4</v>
      </c>
      <c r="CS394" t="s">
        <v>1752</v>
      </c>
      <c r="CV394" t="s">
        <v>341</v>
      </c>
      <c r="CX394" t="s">
        <v>729</v>
      </c>
      <c r="CY394" t="s">
        <v>169</v>
      </c>
      <c r="DC394" t="s">
        <v>2020</v>
      </c>
      <c r="DD394">
        <v>1</v>
      </c>
      <c r="DE394" t="s">
        <v>404</v>
      </c>
      <c r="DF394" t="s">
        <v>1950</v>
      </c>
      <c r="DG394">
        <v>150</v>
      </c>
      <c r="DL394" t="s">
        <v>170</v>
      </c>
      <c r="DM394" t="s">
        <v>169</v>
      </c>
      <c r="DP394" t="s">
        <v>170</v>
      </c>
      <c r="DQ394" t="s">
        <v>187</v>
      </c>
      <c r="EB394">
        <v>9</v>
      </c>
      <c r="EC394">
        <v>10</v>
      </c>
      <c r="EE394" t="s">
        <v>2021</v>
      </c>
      <c r="EF394">
        <v>10</v>
      </c>
      <c r="EU394">
        <v>5500</v>
      </c>
      <c r="EW394">
        <v>0</v>
      </c>
      <c r="EX394">
        <v>0</v>
      </c>
      <c r="EY394">
        <v>0</v>
      </c>
      <c r="FA394">
        <v>6.9</v>
      </c>
      <c r="FG394">
        <v>249</v>
      </c>
      <c r="FH394">
        <v>207</v>
      </c>
      <c r="FI394">
        <v>230</v>
      </c>
    </row>
    <row r="395" spans="1:165" x14ac:dyDescent="0.35">
      <c r="A395" s="25"/>
      <c r="B395" s="25"/>
      <c r="C395" s="25"/>
      <c r="D395" s="25"/>
      <c r="E395" s="25"/>
      <c r="F395" s="25" t="str">
        <f>_xlfn.CONCAT($A396," ",$B396," ",$D396)</f>
        <v>2025 Hyundai Ioniq 5 Robo taxi</v>
      </c>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c r="AD395" s="25" t="str">
        <f>_xlfn.CONCAT($A396," ",$B396," ",$D396)</f>
        <v>2025 Hyundai Ioniq 5 Robo taxi</v>
      </c>
      <c r="AE395" s="25"/>
      <c r="AF395" s="25"/>
      <c r="AG395" s="25"/>
      <c r="AH395" s="25"/>
      <c r="AI395" s="25"/>
      <c r="AJ395" s="25"/>
      <c r="AK395" s="25"/>
      <c r="AL395" s="25"/>
      <c r="AM395" s="25"/>
      <c r="AN395" s="25"/>
      <c r="AO395" s="25"/>
      <c r="AP395" s="25"/>
      <c r="AQ395" s="25"/>
      <c r="AR395" s="25"/>
      <c r="AS395" s="25"/>
      <c r="AT395" s="25"/>
      <c r="AU395" s="25"/>
      <c r="AV395" s="25"/>
      <c r="AW395" s="25"/>
      <c r="AX395" s="25" t="str">
        <f>_xlfn.CONCAT($A396," ",$B396," ",$D396)</f>
        <v>2025 Hyundai Ioniq 5 Robo taxi</v>
      </c>
      <c r="AY395" s="25"/>
      <c r="AZ395" s="25"/>
      <c r="BA395" s="25"/>
      <c r="BB395" s="25"/>
      <c r="BC395" s="25"/>
      <c r="BD395" s="25"/>
      <c r="BE395" s="25"/>
      <c r="BF395" s="25"/>
      <c r="BG395" s="25"/>
      <c r="BH395" s="25"/>
      <c r="BI395" s="25"/>
      <c r="BJ395" s="25"/>
      <c r="BK395" s="25"/>
      <c r="BL395" s="25"/>
      <c r="BM395" s="25"/>
      <c r="BN395" s="25"/>
      <c r="BO395" s="25"/>
      <c r="BP395" s="25"/>
      <c r="BQ395" s="25"/>
      <c r="BR395" s="25" t="str">
        <f>_xlfn.CONCAT($A396," ",$B396," ",$D396)</f>
        <v>2025 Hyundai Ioniq 5 Robo taxi</v>
      </c>
      <c r="BS395" s="25"/>
      <c r="BT395" s="25"/>
      <c r="BU395" s="25"/>
      <c r="BV395" s="25"/>
      <c r="BX395" s="25"/>
      <c r="BY395" s="25"/>
      <c r="BZ395" s="25"/>
      <c r="CA395" s="25"/>
      <c r="CB395" s="25"/>
      <c r="CC395" s="25"/>
      <c r="CD395" s="25"/>
      <c r="CE395" s="25"/>
      <c r="CF395" s="25"/>
      <c r="CG395" s="25"/>
      <c r="CH395" s="25"/>
      <c r="CI395" s="25"/>
      <c r="CJ395" s="25"/>
      <c r="CK395" s="25"/>
      <c r="CL395" s="25"/>
      <c r="CM395" s="25"/>
      <c r="CN395" s="25"/>
      <c r="CO395" s="25"/>
      <c r="CP395" s="25" t="str">
        <f>_xlfn.CONCAT($A396," ",$B396," ",$D396)</f>
        <v>2025 Hyundai Ioniq 5 Robo taxi</v>
      </c>
      <c r="CQ395" s="25"/>
      <c r="CR395" s="25"/>
      <c r="CS395" s="25"/>
      <c r="CT395" s="25"/>
      <c r="CU395" s="25"/>
      <c r="CV395" s="25"/>
      <c r="CW395" s="25"/>
      <c r="CX395" s="25"/>
      <c r="CY395" s="25"/>
      <c r="CZ395" s="25"/>
      <c r="DA395" s="25"/>
      <c r="DB395" s="25"/>
      <c r="DC395" s="25"/>
      <c r="DD395" s="25"/>
      <c r="DE395" s="25"/>
      <c r="DF395" s="25"/>
      <c r="DG395" s="25"/>
      <c r="DH395" s="25"/>
      <c r="DI395" s="25" t="str">
        <f>_xlfn.CONCAT($A396," ",$B396," ",$D396)</f>
        <v>2025 Hyundai Ioniq 5 Robo taxi</v>
      </c>
      <c r="DJ395" s="25"/>
      <c r="DK395" s="25"/>
      <c r="DL395" s="25"/>
      <c r="DM395" s="25"/>
      <c r="DN395" s="25"/>
      <c r="DO395" s="25"/>
      <c r="DP395" s="25"/>
      <c r="DQ395" s="25"/>
      <c r="DR395" s="25"/>
      <c r="DS395" s="25"/>
      <c r="DT395" s="25"/>
      <c r="DU395" s="25"/>
      <c r="DV395" s="25"/>
      <c r="DW395" s="25"/>
      <c r="DX395" s="25"/>
      <c r="DY395" s="25"/>
      <c r="DZ395" s="25" t="str">
        <f>_xlfn.CONCAT($A396," ",$B396," ",$D396)</f>
        <v>2025 Hyundai Ioniq 5 Robo taxi</v>
      </c>
      <c r="EB395" s="25"/>
      <c r="EC395" s="25"/>
      <c r="ED395" s="25"/>
      <c r="EE395" s="25"/>
      <c r="EF395" s="25"/>
      <c r="EG395" s="25"/>
      <c r="EH395" s="25"/>
      <c r="EI395" s="25"/>
      <c r="EJ395" s="25"/>
      <c r="EK395" s="25"/>
      <c r="EL395" s="25"/>
      <c r="EM395" s="25"/>
      <c r="EN395" s="25"/>
      <c r="EO395" s="25"/>
      <c r="EP395" s="25"/>
      <c r="EQ395" s="25"/>
      <c r="ER395" s="25"/>
      <c r="ES395" s="25"/>
      <c r="ET395" s="25"/>
      <c r="EU395" s="25"/>
      <c r="EV395" s="25" t="str">
        <f>_xlfn.CONCAT($A396," ",$B396," ",$D396)</f>
        <v>2025 Hyundai Ioniq 5 Robo taxi</v>
      </c>
      <c r="EW395" s="25"/>
      <c r="EX395" s="25"/>
      <c r="EY395" s="25"/>
      <c r="EZ395" s="25"/>
      <c r="FA395" s="25"/>
      <c r="FB395" s="25"/>
      <c r="FC395" s="25"/>
      <c r="FD395" s="25"/>
      <c r="FE395" s="25"/>
      <c r="FF395" s="25"/>
      <c r="FG395" s="25"/>
    </row>
    <row r="396" spans="1:165" x14ac:dyDescent="0.35">
      <c r="A396">
        <v>2025</v>
      </c>
      <c r="B396" t="s">
        <v>569</v>
      </c>
      <c r="C396" t="s">
        <v>739</v>
      </c>
      <c r="D396" t="s">
        <v>2003</v>
      </c>
      <c r="E396" t="s">
        <v>572</v>
      </c>
      <c r="F396">
        <v>76</v>
      </c>
      <c r="G396">
        <v>0</v>
      </c>
      <c r="I396" t="s">
        <v>1734</v>
      </c>
      <c r="J396">
        <v>73</v>
      </c>
      <c r="K396">
        <v>69</v>
      </c>
      <c r="L396">
        <v>71</v>
      </c>
      <c r="M396">
        <v>104.1</v>
      </c>
      <c r="N396">
        <v>98.1</v>
      </c>
      <c r="O396">
        <v>101.3116</v>
      </c>
      <c r="P396">
        <v>72.87</v>
      </c>
      <c r="Q396">
        <v>68.67</v>
      </c>
      <c r="R396">
        <v>70.918099999999995</v>
      </c>
      <c r="V396" t="s">
        <v>167</v>
      </c>
      <c r="W396" t="s">
        <v>168</v>
      </c>
      <c r="X396" t="s">
        <v>1931</v>
      </c>
      <c r="Y396">
        <v>1</v>
      </c>
      <c r="Z396" t="s">
        <v>170</v>
      </c>
      <c r="AA396" t="s">
        <v>170</v>
      </c>
      <c r="AB396" t="s">
        <v>171</v>
      </c>
      <c r="AC396" t="s">
        <v>172</v>
      </c>
      <c r="AF396">
        <v>168</v>
      </c>
      <c r="AG396" t="s">
        <v>1735</v>
      </c>
      <c r="AH396" t="s">
        <v>1736</v>
      </c>
      <c r="AI396" t="s">
        <v>175</v>
      </c>
      <c r="AJ396" t="s">
        <v>176</v>
      </c>
      <c r="AK396">
        <v>4</v>
      </c>
      <c r="AL396" t="s">
        <v>1737</v>
      </c>
      <c r="AS396">
        <v>1150</v>
      </c>
      <c r="AT396">
        <v>50</v>
      </c>
      <c r="BQ396">
        <v>30</v>
      </c>
      <c r="BR396" t="s">
        <v>1099</v>
      </c>
      <c r="BT396" t="s">
        <v>1738</v>
      </c>
      <c r="BU396" s="1">
        <v>45566</v>
      </c>
      <c r="BV396">
        <v>35670</v>
      </c>
      <c r="BX396" t="s">
        <v>170</v>
      </c>
      <c r="BY396" t="s">
        <v>170</v>
      </c>
      <c r="CB396" t="s">
        <v>170</v>
      </c>
      <c r="CC396" t="s">
        <v>170</v>
      </c>
      <c r="CK396" t="s">
        <v>233</v>
      </c>
      <c r="CM396">
        <v>1</v>
      </c>
      <c r="CN396" t="s">
        <v>234</v>
      </c>
      <c r="CP396">
        <v>697</v>
      </c>
      <c r="CQ396">
        <v>111.2</v>
      </c>
      <c r="CR396">
        <v>161.4</v>
      </c>
      <c r="CS396" t="s">
        <v>1752</v>
      </c>
      <c r="CV396" t="s">
        <v>341</v>
      </c>
      <c r="CX396" t="s">
        <v>342</v>
      </c>
      <c r="CY396" t="s">
        <v>169</v>
      </c>
      <c r="DC396" t="s">
        <v>1949</v>
      </c>
      <c r="DD396">
        <v>1</v>
      </c>
      <c r="DE396" t="s">
        <v>404</v>
      </c>
      <c r="DF396" t="s">
        <v>1950</v>
      </c>
      <c r="DG396">
        <v>168</v>
      </c>
      <c r="DL396" t="s">
        <v>170</v>
      </c>
      <c r="DM396" t="s">
        <v>169</v>
      </c>
      <c r="DP396" t="s">
        <v>170</v>
      </c>
      <c r="DQ396" t="s">
        <v>187</v>
      </c>
      <c r="EB396">
        <v>9</v>
      </c>
      <c r="EC396">
        <v>10</v>
      </c>
      <c r="EE396" t="s">
        <v>2004</v>
      </c>
      <c r="EF396">
        <v>10</v>
      </c>
      <c r="EU396">
        <v>3750</v>
      </c>
      <c r="EW396">
        <v>0</v>
      </c>
      <c r="EX396">
        <v>0</v>
      </c>
      <c r="EY396">
        <v>0</v>
      </c>
      <c r="FA396">
        <v>10.3</v>
      </c>
      <c r="FG396">
        <v>172</v>
      </c>
      <c r="FH396">
        <v>163</v>
      </c>
      <c r="FI396">
        <v>168</v>
      </c>
    </row>
    <row r="397" spans="1:165" x14ac:dyDescent="0.35">
      <c r="A397">
        <v>2025</v>
      </c>
      <c r="B397" t="s">
        <v>569</v>
      </c>
      <c r="C397" t="s">
        <v>739</v>
      </c>
      <c r="D397" t="s">
        <v>2003</v>
      </c>
      <c r="E397" t="s">
        <v>572</v>
      </c>
      <c r="F397">
        <v>76</v>
      </c>
      <c r="G397">
        <v>0</v>
      </c>
      <c r="I397" t="s">
        <v>1734</v>
      </c>
      <c r="J397">
        <v>46</v>
      </c>
      <c r="K397">
        <v>49</v>
      </c>
      <c r="L397">
        <v>48</v>
      </c>
      <c r="M397">
        <v>32.39</v>
      </c>
      <c r="N397">
        <v>34.352699999999999</v>
      </c>
      <c r="O397">
        <v>33.273200000000003</v>
      </c>
      <c r="P397">
        <v>46.253599999999999</v>
      </c>
      <c r="Q397">
        <v>49.082599999999999</v>
      </c>
      <c r="R397">
        <v>47.526600000000002</v>
      </c>
      <c r="V397" t="s">
        <v>167</v>
      </c>
      <c r="W397" t="s">
        <v>168</v>
      </c>
      <c r="X397" t="s">
        <v>1931</v>
      </c>
      <c r="Y397">
        <v>1</v>
      </c>
      <c r="Z397" t="s">
        <v>170</v>
      </c>
      <c r="AA397" t="s">
        <v>170</v>
      </c>
      <c r="AB397" t="s">
        <v>171</v>
      </c>
      <c r="AC397" t="s">
        <v>172</v>
      </c>
      <c r="AF397">
        <v>168</v>
      </c>
      <c r="AG397" t="s">
        <v>1735</v>
      </c>
      <c r="AH397" t="s">
        <v>1736</v>
      </c>
      <c r="AI397" t="s">
        <v>1742</v>
      </c>
      <c r="AJ397" t="s">
        <v>1743</v>
      </c>
      <c r="AK397">
        <v>4</v>
      </c>
      <c r="AL397" t="s">
        <v>1737</v>
      </c>
      <c r="AS397">
        <v>1150</v>
      </c>
      <c r="AT397">
        <v>1150</v>
      </c>
      <c r="BQ397">
        <v>30</v>
      </c>
      <c r="BR397" t="s">
        <v>1099</v>
      </c>
      <c r="BT397" t="s">
        <v>1738</v>
      </c>
      <c r="BU397" s="1">
        <v>45566</v>
      </c>
      <c r="BV397">
        <v>35670</v>
      </c>
      <c r="BX397" t="s">
        <v>170</v>
      </c>
      <c r="BY397" t="s">
        <v>170</v>
      </c>
      <c r="CB397" t="s">
        <v>170</v>
      </c>
      <c r="CC397" t="s">
        <v>170</v>
      </c>
      <c r="CK397" t="s">
        <v>233</v>
      </c>
      <c r="CM397">
        <v>1</v>
      </c>
      <c r="CN397" t="s">
        <v>234</v>
      </c>
      <c r="CP397">
        <v>697</v>
      </c>
      <c r="CQ397">
        <v>111.2</v>
      </c>
      <c r="CR397">
        <v>161.4</v>
      </c>
      <c r="CS397" t="s">
        <v>1752</v>
      </c>
      <c r="CV397" t="s">
        <v>341</v>
      </c>
      <c r="CX397" t="s">
        <v>342</v>
      </c>
      <c r="CY397" t="s">
        <v>169</v>
      </c>
      <c r="DC397" t="s">
        <v>1949</v>
      </c>
      <c r="DD397">
        <v>1</v>
      </c>
      <c r="DE397" t="s">
        <v>404</v>
      </c>
      <c r="DF397" t="s">
        <v>1950</v>
      </c>
      <c r="DG397">
        <v>168</v>
      </c>
      <c r="DL397" t="s">
        <v>170</v>
      </c>
      <c r="DM397" t="s">
        <v>169</v>
      </c>
      <c r="DP397" t="s">
        <v>170</v>
      </c>
      <c r="DQ397" t="s">
        <v>187</v>
      </c>
      <c r="EB397">
        <v>9</v>
      </c>
      <c r="EC397">
        <v>10</v>
      </c>
      <c r="EE397" t="s">
        <v>2004</v>
      </c>
      <c r="EF397">
        <v>10</v>
      </c>
      <c r="EU397">
        <v>3750</v>
      </c>
      <c r="EW397">
        <v>0</v>
      </c>
      <c r="EX397">
        <v>0</v>
      </c>
      <c r="EY397">
        <v>0</v>
      </c>
      <c r="FA397">
        <v>10.3</v>
      </c>
      <c r="FG397">
        <v>172</v>
      </c>
      <c r="FH397">
        <v>163</v>
      </c>
      <c r="FI397">
        <v>168</v>
      </c>
    </row>
    <row r="398" spans="1:165" x14ac:dyDescent="0.35">
      <c r="A398" s="25"/>
      <c r="B398" s="25"/>
      <c r="C398" s="25"/>
      <c r="D398" s="25"/>
      <c r="E398" s="25"/>
      <c r="F398" s="25" t="str">
        <f>_xlfn.CONCAT($A399," ",$B399," ",$D399)</f>
        <v>2025 Hyundai Ioniq 5 AWD XRT</v>
      </c>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c r="AD398" s="25" t="str">
        <f>_xlfn.CONCAT($A399," ",$B399," ",$D399)</f>
        <v>2025 Hyundai Ioniq 5 AWD XRT</v>
      </c>
      <c r="AE398" s="25"/>
      <c r="AF398" s="25"/>
      <c r="AG398" s="25"/>
      <c r="AH398" s="25"/>
      <c r="AI398" s="25"/>
      <c r="AJ398" s="25"/>
      <c r="AK398" s="25"/>
      <c r="AL398" s="25"/>
      <c r="AM398" s="25"/>
      <c r="AN398" s="25"/>
      <c r="AO398" s="25"/>
      <c r="AP398" s="25"/>
      <c r="AQ398" s="25"/>
      <c r="AR398" s="25"/>
      <c r="AS398" s="25"/>
      <c r="AT398" s="25"/>
      <c r="AU398" s="25"/>
      <c r="AV398" s="25"/>
      <c r="AW398" s="25"/>
      <c r="AX398" s="25" t="str">
        <f>_xlfn.CONCAT($A399," ",$B399," ",$D399)</f>
        <v>2025 Hyundai Ioniq 5 AWD XRT</v>
      </c>
      <c r="AY398" s="25"/>
      <c r="AZ398" s="25"/>
      <c r="BA398" s="25"/>
      <c r="BB398" s="25"/>
      <c r="BC398" s="25"/>
      <c r="BD398" s="25"/>
      <c r="BE398" s="25"/>
      <c r="BF398" s="25"/>
      <c r="BG398" s="25"/>
      <c r="BH398" s="25"/>
      <c r="BI398" s="25"/>
      <c r="BJ398" s="25"/>
      <c r="BK398" s="25"/>
      <c r="BL398" s="25"/>
      <c r="BM398" s="25"/>
      <c r="BN398" s="25"/>
      <c r="BO398" s="25"/>
      <c r="BP398" s="25"/>
      <c r="BQ398" s="25"/>
      <c r="BR398" s="25" t="str">
        <f>_xlfn.CONCAT($A399," ",$B399," ",$D399)</f>
        <v>2025 Hyundai Ioniq 5 AWD XRT</v>
      </c>
      <c r="BS398" s="25"/>
      <c r="BT398" s="25"/>
      <c r="BU398" s="25"/>
      <c r="BV398" s="25"/>
      <c r="BX398" s="25"/>
      <c r="BY398" s="25"/>
      <c r="BZ398" s="25"/>
      <c r="CA398" s="25"/>
      <c r="CB398" s="25"/>
      <c r="CC398" s="25"/>
      <c r="CD398" s="25"/>
      <c r="CE398" s="25"/>
      <c r="CF398" s="25"/>
      <c r="CG398" s="25"/>
      <c r="CH398" s="25"/>
      <c r="CI398" s="25"/>
      <c r="CJ398" s="25"/>
      <c r="CK398" s="25"/>
      <c r="CL398" s="25"/>
      <c r="CM398" s="25"/>
      <c r="CN398" s="25"/>
      <c r="CO398" s="25"/>
      <c r="CP398" s="25" t="str">
        <f>_xlfn.CONCAT($A399," ",$B399," ",$D399)</f>
        <v>2025 Hyundai Ioniq 5 AWD XRT</v>
      </c>
      <c r="CQ398" s="25"/>
      <c r="CR398" s="25"/>
      <c r="CS398" s="25"/>
      <c r="CT398" s="25"/>
      <c r="CU398" s="25"/>
      <c r="CV398" s="25"/>
      <c r="CW398" s="25"/>
      <c r="CX398" s="25"/>
      <c r="CY398" s="25"/>
      <c r="CZ398" s="25"/>
      <c r="DA398" s="25"/>
      <c r="DB398" s="25"/>
      <c r="DC398" s="25"/>
      <c r="DD398" s="25"/>
      <c r="DE398" s="25"/>
      <c r="DF398" s="25"/>
      <c r="DG398" s="25"/>
      <c r="DH398" s="25"/>
      <c r="DI398" s="25" t="str">
        <f>_xlfn.CONCAT($A399," ",$B399," ",$D399)</f>
        <v>2025 Hyundai Ioniq 5 AWD XRT</v>
      </c>
      <c r="DJ398" s="25"/>
      <c r="DK398" s="25"/>
      <c r="DL398" s="25"/>
      <c r="DM398" s="25"/>
      <c r="DN398" s="25"/>
      <c r="DO398" s="25"/>
      <c r="DP398" s="25"/>
      <c r="DQ398" s="25"/>
      <c r="DR398" s="25"/>
      <c r="DS398" s="25"/>
      <c r="DT398" s="25"/>
      <c r="DU398" s="25"/>
      <c r="DV398" s="25"/>
      <c r="DW398" s="25"/>
      <c r="DX398" s="25"/>
      <c r="DY398" s="25"/>
      <c r="DZ398" s="25" t="str">
        <f>_xlfn.CONCAT($A399," ",$B399," ",$D399)</f>
        <v>2025 Hyundai Ioniq 5 AWD XRT</v>
      </c>
      <c r="EB398" s="25"/>
      <c r="EC398" s="25"/>
      <c r="ED398" s="25"/>
      <c r="EE398" s="25"/>
      <c r="EF398" s="25"/>
      <c r="EG398" s="25"/>
      <c r="EH398" s="25"/>
      <c r="EI398" s="25"/>
      <c r="EJ398" s="25"/>
      <c r="EK398" s="25"/>
      <c r="EL398" s="25"/>
      <c r="EM398" s="25"/>
      <c r="EN398" s="25"/>
      <c r="EO398" s="25"/>
      <c r="EP398" s="25"/>
      <c r="EQ398" s="25"/>
      <c r="ER398" s="25"/>
      <c r="ES398" s="25"/>
      <c r="ET398" s="25"/>
      <c r="EU398" s="25"/>
      <c r="EV398" s="25" t="str">
        <f>_xlfn.CONCAT($A399," ",$B399," ",$D399)</f>
        <v>2025 Hyundai Ioniq 5 AWD XRT</v>
      </c>
      <c r="EW398" s="25"/>
      <c r="EX398" s="25"/>
      <c r="EY398" s="25"/>
      <c r="EZ398" s="25"/>
      <c r="FA398" s="25"/>
      <c r="FB398" s="25"/>
      <c r="FC398" s="25"/>
      <c r="FD398" s="25"/>
      <c r="FE398" s="25"/>
      <c r="FF398" s="25"/>
      <c r="FG398" s="25"/>
    </row>
    <row r="399" spans="1:165" x14ac:dyDescent="0.35">
      <c r="A399">
        <v>2025</v>
      </c>
      <c r="B399" t="s">
        <v>569</v>
      </c>
      <c r="C399" t="s">
        <v>739</v>
      </c>
      <c r="D399" t="s">
        <v>1999</v>
      </c>
      <c r="E399" t="s">
        <v>572</v>
      </c>
      <c r="F399">
        <v>77</v>
      </c>
      <c r="G399">
        <v>0</v>
      </c>
      <c r="I399" t="s">
        <v>1734</v>
      </c>
      <c r="J399">
        <v>103</v>
      </c>
      <c r="K399">
        <v>85</v>
      </c>
      <c r="L399">
        <v>94</v>
      </c>
      <c r="M399">
        <v>147.69999999999999</v>
      </c>
      <c r="N399">
        <v>121.5</v>
      </c>
      <c r="O399">
        <v>134.6354</v>
      </c>
      <c r="P399">
        <v>103.39</v>
      </c>
      <c r="Q399">
        <v>85.05</v>
      </c>
      <c r="R399">
        <v>94.244799999999998</v>
      </c>
      <c r="V399" t="s">
        <v>167</v>
      </c>
      <c r="W399" t="s">
        <v>168</v>
      </c>
      <c r="X399" t="s">
        <v>1931</v>
      </c>
      <c r="Y399">
        <v>1</v>
      </c>
      <c r="Z399" t="s">
        <v>170</v>
      </c>
      <c r="AA399" t="s">
        <v>170</v>
      </c>
      <c r="AB399" t="s">
        <v>167</v>
      </c>
      <c r="AC399" t="s">
        <v>213</v>
      </c>
      <c r="AF399">
        <v>259</v>
      </c>
      <c r="AG399" t="s">
        <v>1735</v>
      </c>
      <c r="AH399" t="s">
        <v>1736</v>
      </c>
      <c r="AI399" t="s">
        <v>175</v>
      </c>
      <c r="AJ399" t="s">
        <v>176</v>
      </c>
      <c r="AK399">
        <v>4</v>
      </c>
      <c r="AL399" t="s">
        <v>1737</v>
      </c>
      <c r="AS399">
        <v>850</v>
      </c>
      <c r="AT399">
        <v>850</v>
      </c>
      <c r="BQ399">
        <v>31</v>
      </c>
      <c r="BR399" t="s">
        <v>1219</v>
      </c>
      <c r="BT399" t="s">
        <v>1738</v>
      </c>
      <c r="BU399" s="1">
        <v>45585</v>
      </c>
      <c r="BV399">
        <v>35698</v>
      </c>
      <c r="BX399" t="s">
        <v>170</v>
      </c>
      <c r="BY399" t="s">
        <v>170</v>
      </c>
      <c r="CB399" t="s">
        <v>170</v>
      </c>
      <c r="CC399" t="s">
        <v>170</v>
      </c>
      <c r="CK399" t="s">
        <v>233</v>
      </c>
      <c r="CM399">
        <v>1</v>
      </c>
      <c r="CN399" t="s">
        <v>234</v>
      </c>
      <c r="CP399">
        <v>697</v>
      </c>
      <c r="CQ399">
        <v>120.6</v>
      </c>
      <c r="CR399">
        <v>174.4</v>
      </c>
      <c r="CS399" t="s">
        <v>1752</v>
      </c>
      <c r="CV399" t="s">
        <v>341</v>
      </c>
      <c r="CX399" t="s">
        <v>1012</v>
      </c>
      <c r="CY399" t="s">
        <v>169</v>
      </c>
      <c r="DC399" t="s">
        <v>1949</v>
      </c>
      <c r="DD399">
        <v>2</v>
      </c>
      <c r="DE399" t="s">
        <v>404</v>
      </c>
      <c r="DF399" t="s">
        <v>1950</v>
      </c>
      <c r="DG399" t="s">
        <v>1996</v>
      </c>
      <c r="DL399" t="s">
        <v>170</v>
      </c>
      <c r="DM399" t="s">
        <v>169</v>
      </c>
      <c r="DP399" t="s">
        <v>170</v>
      </c>
      <c r="DQ399" t="s">
        <v>187</v>
      </c>
      <c r="EB399">
        <v>9</v>
      </c>
      <c r="EC399">
        <v>10</v>
      </c>
      <c r="EE399" t="s">
        <v>1997</v>
      </c>
      <c r="EF399">
        <v>10</v>
      </c>
      <c r="EU399">
        <v>5250</v>
      </c>
      <c r="EW399">
        <v>0</v>
      </c>
      <c r="EX399">
        <v>0</v>
      </c>
      <c r="EY399">
        <v>0</v>
      </c>
      <c r="FA399">
        <v>8.1999999999999993</v>
      </c>
      <c r="FG399">
        <v>281</v>
      </c>
      <c r="FH399">
        <v>232</v>
      </c>
      <c r="FI399">
        <v>259</v>
      </c>
    </row>
    <row r="400" spans="1:165" x14ac:dyDescent="0.35">
      <c r="A400">
        <v>2025</v>
      </c>
      <c r="B400" t="s">
        <v>569</v>
      </c>
      <c r="C400" t="s">
        <v>739</v>
      </c>
      <c r="D400" t="s">
        <v>1999</v>
      </c>
      <c r="E400" t="s">
        <v>572</v>
      </c>
      <c r="F400">
        <v>77</v>
      </c>
      <c r="G400">
        <v>0</v>
      </c>
      <c r="I400" t="s">
        <v>1734</v>
      </c>
      <c r="J400">
        <v>33</v>
      </c>
      <c r="K400">
        <v>40</v>
      </c>
      <c r="L400">
        <v>36</v>
      </c>
      <c r="M400">
        <v>22.8261</v>
      </c>
      <c r="N400">
        <v>27.747800000000002</v>
      </c>
      <c r="O400">
        <v>25.040900000000001</v>
      </c>
      <c r="P400">
        <v>32.599899999999998</v>
      </c>
      <c r="Q400">
        <v>39.629600000000003</v>
      </c>
      <c r="R400">
        <v>35.763300000000001</v>
      </c>
      <c r="V400" t="s">
        <v>167</v>
      </c>
      <c r="W400" t="s">
        <v>168</v>
      </c>
      <c r="X400" t="s">
        <v>1931</v>
      </c>
      <c r="Y400">
        <v>1</v>
      </c>
      <c r="Z400" t="s">
        <v>170</v>
      </c>
      <c r="AA400" t="s">
        <v>170</v>
      </c>
      <c r="AB400" t="s">
        <v>167</v>
      </c>
      <c r="AC400" t="s">
        <v>213</v>
      </c>
      <c r="AF400">
        <v>259</v>
      </c>
      <c r="AG400" t="s">
        <v>1735</v>
      </c>
      <c r="AH400" t="s">
        <v>1736</v>
      </c>
      <c r="AI400" t="s">
        <v>1742</v>
      </c>
      <c r="AJ400" t="s">
        <v>1743</v>
      </c>
      <c r="AK400">
        <v>4</v>
      </c>
      <c r="AL400" t="s">
        <v>1737</v>
      </c>
      <c r="AS400">
        <v>850</v>
      </c>
      <c r="AT400">
        <v>850</v>
      </c>
      <c r="BQ400">
        <v>31</v>
      </c>
      <c r="BR400" t="s">
        <v>1219</v>
      </c>
      <c r="BT400" t="s">
        <v>1738</v>
      </c>
      <c r="BU400" s="1">
        <v>45585</v>
      </c>
      <c r="BV400">
        <v>35698</v>
      </c>
      <c r="BX400" t="s">
        <v>170</v>
      </c>
      <c r="BY400" t="s">
        <v>170</v>
      </c>
      <c r="CB400" t="s">
        <v>170</v>
      </c>
      <c r="CC400" t="s">
        <v>170</v>
      </c>
      <c r="CK400" t="s">
        <v>233</v>
      </c>
      <c r="CM400">
        <v>1</v>
      </c>
      <c r="CN400" t="s">
        <v>234</v>
      </c>
      <c r="CP400">
        <v>697</v>
      </c>
      <c r="CQ400">
        <v>120.6</v>
      </c>
      <c r="CR400">
        <v>174.4</v>
      </c>
      <c r="CS400" t="s">
        <v>1752</v>
      </c>
      <c r="CV400" t="s">
        <v>341</v>
      </c>
      <c r="CX400" t="s">
        <v>1012</v>
      </c>
      <c r="CY400" t="s">
        <v>169</v>
      </c>
      <c r="DC400" t="s">
        <v>1949</v>
      </c>
      <c r="DD400">
        <v>2</v>
      </c>
      <c r="DE400" t="s">
        <v>404</v>
      </c>
      <c r="DF400" t="s">
        <v>1950</v>
      </c>
      <c r="DG400" t="s">
        <v>1996</v>
      </c>
      <c r="DL400" t="s">
        <v>170</v>
      </c>
      <c r="DM400" t="s">
        <v>169</v>
      </c>
      <c r="DP400" t="s">
        <v>170</v>
      </c>
      <c r="DQ400" t="s">
        <v>187</v>
      </c>
      <c r="EB400">
        <v>9</v>
      </c>
      <c r="EC400">
        <v>10</v>
      </c>
      <c r="EE400" t="s">
        <v>1997</v>
      </c>
      <c r="EF400">
        <v>10</v>
      </c>
      <c r="EU400">
        <v>5250</v>
      </c>
      <c r="EW400">
        <v>0</v>
      </c>
      <c r="EX400">
        <v>0</v>
      </c>
      <c r="EY400">
        <v>0</v>
      </c>
      <c r="FA400">
        <v>8.1999999999999993</v>
      </c>
      <c r="FG400">
        <v>281</v>
      </c>
      <c r="FH400">
        <v>232</v>
      </c>
      <c r="FI400">
        <v>259</v>
      </c>
    </row>
    <row r="401" spans="1:165" x14ac:dyDescent="0.35">
      <c r="A401" s="25"/>
      <c r="B401" s="25"/>
      <c r="C401" s="25"/>
      <c r="D401" s="25"/>
      <c r="E401" s="25"/>
      <c r="F401" s="25" t="str">
        <f>_xlfn.CONCAT($A402," ",$B402," ",$D402)</f>
        <v>2025 Hyundai Ioniq 5 AWD (20inch Wheels)</v>
      </c>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c r="AD401" s="25" t="str">
        <f>_xlfn.CONCAT($A402," ",$B402," ",$D402)</f>
        <v>2025 Hyundai Ioniq 5 AWD (20inch Wheels)</v>
      </c>
      <c r="AE401" s="25"/>
      <c r="AF401" s="25"/>
      <c r="AG401" s="25"/>
      <c r="AH401" s="25"/>
      <c r="AI401" s="25"/>
      <c r="AJ401" s="25"/>
      <c r="AK401" s="25"/>
      <c r="AL401" s="25"/>
      <c r="AM401" s="25"/>
      <c r="AN401" s="25"/>
      <c r="AO401" s="25"/>
      <c r="AP401" s="25"/>
      <c r="AQ401" s="25"/>
      <c r="AR401" s="25"/>
      <c r="AS401" s="25"/>
      <c r="AT401" s="25"/>
      <c r="AU401" s="25"/>
      <c r="AV401" s="25"/>
      <c r="AW401" s="25"/>
      <c r="AX401" s="25" t="str">
        <f>_xlfn.CONCAT($A402," ",$B402," ",$D402)</f>
        <v>2025 Hyundai Ioniq 5 AWD (20inch Wheels)</v>
      </c>
      <c r="AY401" s="25"/>
      <c r="AZ401" s="25"/>
      <c r="BA401" s="25"/>
      <c r="BB401" s="25"/>
      <c r="BC401" s="25"/>
      <c r="BD401" s="25"/>
      <c r="BE401" s="25"/>
      <c r="BF401" s="25"/>
      <c r="BG401" s="25"/>
      <c r="BH401" s="25"/>
      <c r="BI401" s="25"/>
      <c r="BJ401" s="25"/>
      <c r="BK401" s="25"/>
      <c r="BL401" s="25"/>
      <c r="BM401" s="25"/>
      <c r="BN401" s="25"/>
      <c r="BO401" s="25"/>
      <c r="BP401" s="25"/>
      <c r="BQ401" s="25"/>
      <c r="BR401" s="25" t="str">
        <f>_xlfn.CONCAT($A402," ",$B402," ",$D402)</f>
        <v>2025 Hyundai Ioniq 5 AWD (20inch Wheels)</v>
      </c>
      <c r="BS401" s="25"/>
      <c r="BT401" s="25"/>
      <c r="BU401" s="25"/>
      <c r="BV401" s="25"/>
      <c r="BX401" s="25"/>
      <c r="BY401" s="25"/>
      <c r="BZ401" s="25"/>
      <c r="CA401" s="25"/>
      <c r="CB401" s="25"/>
      <c r="CC401" s="25"/>
      <c r="CD401" s="25"/>
      <c r="CE401" s="25"/>
      <c r="CF401" s="25"/>
      <c r="CG401" s="25"/>
      <c r="CH401" s="25"/>
      <c r="CI401" s="25"/>
      <c r="CJ401" s="25"/>
      <c r="CK401" s="25"/>
      <c r="CL401" s="25"/>
      <c r="CM401" s="25"/>
      <c r="CN401" s="25"/>
      <c r="CO401" s="25"/>
      <c r="CP401" s="25" t="str">
        <f>_xlfn.CONCAT($A402," ",$B402," ",$D402)</f>
        <v>2025 Hyundai Ioniq 5 AWD (20inch Wheels)</v>
      </c>
      <c r="CQ401" s="25"/>
      <c r="CR401" s="25"/>
      <c r="CS401" s="25"/>
      <c r="CT401" s="25"/>
      <c r="CU401" s="25"/>
      <c r="CV401" s="25"/>
      <c r="CW401" s="25"/>
      <c r="CX401" s="25"/>
      <c r="CY401" s="25"/>
      <c r="CZ401" s="25"/>
      <c r="DA401" s="25"/>
      <c r="DB401" s="25"/>
      <c r="DC401" s="25"/>
      <c r="DD401" s="25"/>
      <c r="DE401" s="25"/>
      <c r="DF401" s="25"/>
      <c r="DG401" s="25"/>
      <c r="DH401" s="25"/>
      <c r="DI401" s="25" t="str">
        <f>_xlfn.CONCAT($A402," ",$B402," ",$D402)</f>
        <v>2025 Hyundai Ioniq 5 AWD (20inch Wheels)</v>
      </c>
      <c r="DJ401" s="25"/>
      <c r="DK401" s="25"/>
      <c r="DL401" s="25"/>
      <c r="DM401" s="25"/>
      <c r="DN401" s="25"/>
      <c r="DO401" s="25"/>
      <c r="DP401" s="25"/>
      <c r="DQ401" s="25"/>
      <c r="DR401" s="25"/>
      <c r="DS401" s="25"/>
      <c r="DT401" s="25"/>
      <c r="DU401" s="25"/>
      <c r="DV401" s="25"/>
      <c r="DW401" s="25"/>
      <c r="DX401" s="25"/>
      <c r="DY401" s="25"/>
      <c r="DZ401" s="25" t="str">
        <f>_xlfn.CONCAT($A402," ",$B402," ",$D402)</f>
        <v>2025 Hyundai Ioniq 5 AWD (20inch Wheels)</v>
      </c>
      <c r="EB401" s="25"/>
      <c r="EC401" s="25"/>
      <c r="ED401" s="25"/>
      <c r="EE401" s="25"/>
      <c r="EF401" s="25"/>
      <c r="EG401" s="25"/>
      <c r="EH401" s="25"/>
      <c r="EI401" s="25"/>
      <c r="EJ401" s="25"/>
      <c r="EK401" s="25"/>
      <c r="EL401" s="25"/>
      <c r="EM401" s="25"/>
      <c r="EN401" s="25"/>
      <c r="EO401" s="25"/>
      <c r="EP401" s="25"/>
      <c r="EQ401" s="25"/>
      <c r="ER401" s="25"/>
      <c r="ES401" s="25"/>
      <c r="ET401" s="25"/>
      <c r="EU401" s="25"/>
      <c r="EV401" s="25" t="str">
        <f>_xlfn.CONCAT($A402," ",$B402," ",$D402)</f>
        <v>2025 Hyundai Ioniq 5 AWD (20inch Wheels)</v>
      </c>
      <c r="EW401" s="25"/>
      <c r="EX401" s="25"/>
      <c r="EY401" s="25"/>
      <c r="EZ401" s="25"/>
      <c r="FA401" s="25"/>
      <c r="FB401" s="25"/>
      <c r="FC401" s="25"/>
      <c r="FD401" s="25"/>
      <c r="FE401" s="25"/>
      <c r="FF401" s="25"/>
      <c r="FG401" s="25"/>
    </row>
    <row r="402" spans="1:165" x14ac:dyDescent="0.35">
      <c r="A402">
        <v>2025</v>
      </c>
      <c r="B402" t="s">
        <v>569</v>
      </c>
      <c r="C402" t="s">
        <v>739</v>
      </c>
      <c r="D402" t="s">
        <v>1998</v>
      </c>
      <c r="E402" t="s">
        <v>572</v>
      </c>
      <c r="F402">
        <v>78</v>
      </c>
      <c r="G402">
        <v>0</v>
      </c>
      <c r="I402" t="s">
        <v>1734</v>
      </c>
      <c r="J402">
        <v>108</v>
      </c>
      <c r="K402">
        <v>88</v>
      </c>
      <c r="L402">
        <v>98</v>
      </c>
      <c r="M402">
        <v>154.30000000000001</v>
      </c>
      <c r="N402">
        <v>125</v>
      </c>
      <c r="O402">
        <v>139.57740000000001</v>
      </c>
      <c r="P402">
        <v>108.01</v>
      </c>
      <c r="Q402">
        <v>87.5</v>
      </c>
      <c r="R402">
        <v>97.7042</v>
      </c>
      <c r="V402" t="s">
        <v>167</v>
      </c>
      <c r="W402" t="s">
        <v>168</v>
      </c>
      <c r="X402" t="s">
        <v>1931</v>
      </c>
      <c r="Y402">
        <v>1</v>
      </c>
      <c r="Z402" t="s">
        <v>170</v>
      </c>
      <c r="AA402" t="s">
        <v>170</v>
      </c>
      <c r="AB402" t="s">
        <v>167</v>
      </c>
      <c r="AC402" t="s">
        <v>213</v>
      </c>
      <c r="AF402">
        <v>269</v>
      </c>
      <c r="AG402" t="s">
        <v>1735</v>
      </c>
      <c r="AH402" t="s">
        <v>1736</v>
      </c>
      <c r="AI402" t="s">
        <v>175</v>
      </c>
      <c r="AJ402" t="s">
        <v>176</v>
      </c>
      <c r="AK402">
        <v>4</v>
      </c>
      <c r="AL402" t="s">
        <v>1737</v>
      </c>
      <c r="AS402">
        <v>850</v>
      </c>
      <c r="AT402">
        <v>850</v>
      </c>
      <c r="BQ402">
        <v>31</v>
      </c>
      <c r="BR402" t="s">
        <v>1219</v>
      </c>
      <c r="BT402" t="s">
        <v>1738</v>
      </c>
      <c r="BU402" s="1">
        <v>45585</v>
      </c>
      <c r="BV402">
        <v>35699</v>
      </c>
      <c r="BX402" t="s">
        <v>170</v>
      </c>
      <c r="BY402" t="s">
        <v>170</v>
      </c>
      <c r="CB402" t="s">
        <v>170</v>
      </c>
      <c r="CC402" t="s">
        <v>170</v>
      </c>
      <c r="CK402" t="s">
        <v>233</v>
      </c>
      <c r="CM402">
        <v>1</v>
      </c>
      <c r="CN402" t="s">
        <v>234</v>
      </c>
      <c r="CP402">
        <v>697</v>
      </c>
      <c r="CQ402">
        <v>120.6</v>
      </c>
      <c r="CR402">
        <v>174.4</v>
      </c>
      <c r="CS402" t="s">
        <v>1752</v>
      </c>
      <c r="CV402" t="s">
        <v>341</v>
      </c>
      <c r="CX402" t="s">
        <v>1012</v>
      </c>
      <c r="CY402" t="s">
        <v>169</v>
      </c>
      <c r="DC402" t="s">
        <v>1949</v>
      </c>
      <c r="DD402">
        <v>2</v>
      </c>
      <c r="DE402" t="s">
        <v>404</v>
      </c>
      <c r="DF402" t="s">
        <v>1950</v>
      </c>
      <c r="DG402" t="s">
        <v>1996</v>
      </c>
      <c r="DL402" t="s">
        <v>170</v>
      </c>
      <c r="DM402" t="s">
        <v>169</v>
      </c>
      <c r="DP402" t="s">
        <v>170</v>
      </c>
      <c r="DQ402" t="s">
        <v>187</v>
      </c>
      <c r="EB402">
        <v>9</v>
      </c>
      <c r="EC402">
        <v>10</v>
      </c>
      <c r="EE402" t="s">
        <v>1997</v>
      </c>
      <c r="EF402">
        <v>10</v>
      </c>
      <c r="EU402">
        <v>5250</v>
      </c>
      <c r="EW402">
        <v>0</v>
      </c>
      <c r="EX402">
        <v>0</v>
      </c>
      <c r="EY402">
        <v>0</v>
      </c>
      <c r="FA402">
        <v>8.1999999999999993</v>
      </c>
      <c r="FG402">
        <v>294</v>
      </c>
      <c r="FH402">
        <v>238</v>
      </c>
      <c r="FI402">
        <v>269</v>
      </c>
    </row>
    <row r="403" spans="1:165" x14ac:dyDescent="0.35">
      <c r="A403">
        <v>2025</v>
      </c>
      <c r="B403" t="s">
        <v>569</v>
      </c>
      <c r="C403" t="s">
        <v>739</v>
      </c>
      <c r="D403" t="s">
        <v>1998</v>
      </c>
      <c r="E403" t="s">
        <v>572</v>
      </c>
      <c r="F403">
        <v>78</v>
      </c>
      <c r="G403">
        <v>0</v>
      </c>
      <c r="I403" t="s">
        <v>1734</v>
      </c>
      <c r="J403">
        <v>31</v>
      </c>
      <c r="K403">
        <v>39</v>
      </c>
      <c r="L403">
        <v>34</v>
      </c>
      <c r="M403">
        <v>21.847100000000001</v>
      </c>
      <c r="N403">
        <v>26.953499999999998</v>
      </c>
      <c r="O403">
        <v>24.145</v>
      </c>
      <c r="P403">
        <v>31.205400000000001</v>
      </c>
      <c r="Q403">
        <v>38.520000000000003</v>
      </c>
      <c r="R403">
        <v>34.497</v>
      </c>
      <c r="V403" t="s">
        <v>167</v>
      </c>
      <c r="W403" t="s">
        <v>168</v>
      </c>
      <c r="X403" t="s">
        <v>1931</v>
      </c>
      <c r="Y403">
        <v>1</v>
      </c>
      <c r="Z403" t="s">
        <v>170</v>
      </c>
      <c r="AA403" t="s">
        <v>170</v>
      </c>
      <c r="AB403" t="s">
        <v>167</v>
      </c>
      <c r="AC403" t="s">
        <v>213</v>
      </c>
      <c r="AF403">
        <v>269</v>
      </c>
      <c r="AG403" t="s">
        <v>1735</v>
      </c>
      <c r="AH403" t="s">
        <v>1736</v>
      </c>
      <c r="AI403" t="s">
        <v>1742</v>
      </c>
      <c r="AJ403" t="s">
        <v>1743</v>
      </c>
      <c r="AK403">
        <v>4</v>
      </c>
      <c r="AL403" t="s">
        <v>1737</v>
      </c>
      <c r="AS403">
        <v>850</v>
      </c>
      <c r="AT403">
        <v>850</v>
      </c>
      <c r="BQ403">
        <v>31</v>
      </c>
      <c r="BR403" t="s">
        <v>1219</v>
      </c>
      <c r="BT403" t="s">
        <v>1738</v>
      </c>
      <c r="BU403" s="1">
        <v>45585</v>
      </c>
      <c r="BV403">
        <v>35699</v>
      </c>
      <c r="BX403" t="s">
        <v>170</v>
      </c>
      <c r="BY403" t="s">
        <v>170</v>
      </c>
      <c r="CB403" t="s">
        <v>170</v>
      </c>
      <c r="CC403" t="s">
        <v>170</v>
      </c>
      <c r="CK403" t="s">
        <v>233</v>
      </c>
      <c r="CM403">
        <v>1</v>
      </c>
      <c r="CN403" t="s">
        <v>234</v>
      </c>
      <c r="CP403">
        <v>697</v>
      </c>
      <c r="CQ403">
        <v>120.6</v>
      </c>
      <c r="CR403">
        <v>174.4</v>
      </c>
      <c r="CS403" t="s">
        <v>1752</v>
      </c>
      <c r="CV403" t="s">
        <v>341</v>
      </c>
      <c r="CX403" t="s">
        <v>1012</v>
      </c>
      <c r="CY403" t="s">
        <v>169</v>
      </c>
      <c r="DC403" t="s">
        <v>1949</v>
      </c>
      <c r="DD403">
        <v>2</v>
      </c>
      <c r="DE403" t="s">
        <v>404</v>
      </c>
      <c r="DF403" t="s">
        <v>1950</v>
      </c>
      <c r="DG403" t="s">
        <v>1996</v>
      </c>
      <c r="DL403" t="s">
        <v>170</v>
      </c>
      <c r="DM403" t="s">
        <v>169</v>
      </c>
      <c r="DP403" t="s">
        <v>170</v>
      </c>
      <c r="DQ403" t="s">
        <v>187</v>
      </c>
      <c r="EB403">
        <v>9</v>
      </c>
      <c r="EC403">
        <v>10</v>
      </c>
      <c r="EE403" t="s">
        <v>1997</v>
      </c>
      <c r="EF403">
        <v>10</v>
      </c>
      <c r="EU403">
        <v>5250</v>
      </c>
      <c r="EW403">
        <v>0</v>
      </c>
      <c r="EX403">
        <v>0</v>
      </c>
      <c r="EY403">
        <v>0</v>
      </c>
      <c r="FA403">
        <v>8.1999999999999993</v>
      </c>
      <c r="FG403">
        <v>294</v>
      </c>
      <c r="FH403">
        <v>238</v>
      </c>
      <c r="FI403">
        <v>269</v>
      </c>
    </row>
    <row r="404" spans="1:165" x14ac:dyDescent="0.35">
      <c r="A404" s="25"/>
      <c r="B404" s="25"/>
      <c r="C404" s="25"/>
      <c r="D404" s="25"/>
      <c r="E404" s="25"/>
      <c r="F404" s="25" t="str">
        <f>_xlfn.CONCAT($A405," ",$B405," ",$D405)</f>
        <v>2025 FCA US LLC Wagoneer S AWD (Falken tire)</v>
      </c>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c r="AD404" s="25" t="str">
        <f>_xlfn.CONCAT($A405," ",$B405," ",$D405)</f>
        <v>2025 FCA US LLC Wagoneer S AWD (Falken tire)</v>
      </c>
      <c r="AE404" s="25"/>
      <c r="AF404" s="25"/>
      <c r="AG404" s="25"/>
      <c r="AH404" s="25"/>
      <c r="AI404" s="25"/>
      <c r="AJ404" s="25"/>
      <c r="AK404" s="25"/>
      <c r="AL404" s="25"/>
      <c r="AM404" s="25"/>
      <c r="AN404" s="25"/>
      <c r="AO404" s="25"/>
      <c r="AP404" s="25"/>
      <c r="AQ404" s="25"/>
      <c r="AR404" s="25"/>
      <c r="AS404" s="25"/>
      <c r="AT404" s="25"/>
      <c r="AU404" s="25"/>
      <c r="AV404" s="25"/>
      <c r="AW404" s="25"/>
      <c r="AX404" s="25" t="str">
        <f>_xlfn.CONCAT($A405," ",$B405," ",$D405)</f>
        <v>2025 FCA US LLC Wagoneer S AWD (Falken tire)</v>
      </c>
      <c r="AY404" s="25"/>
      <c r="AZ404" s="25"/>
      <c r="BA404" s="25"/>
      <c r="BB404" s="25"/>
      <c r="BC404" s="25"/>
      <c r="BD404" s="25"/>
      <c r="BE404" s="25"/>
      <c r="BF404" s="25"/>
      <c r="BG404" s="25"/>
      <c r="BH404" s="25"/>
      <c r="BI404" s="25"/>
      <c r="BJ404" s="25"/>
      <c r="BK404" s="25"/>
      <c r="BL404" s="25"/>
      <c r="BM404" s="25"/>
      <c r="BN404" s="25"/>
      <c r="BO404" s="25"/>
      <c r="BP404" s="25"/>
      <c r="BQ404" s="25"/>
      <c r="BR404" s="25" t="str">
        <f>_xlfn.CONCAT($A405," ",$B405," ",$D405)</f>
        <v>2025 FCA US LLC Wagoneer S AWD (Falken tire)</v>
      </c>
      <c r="BS404" s="25"/>
      <c r="BT404" s="25"/>
      <c r="BU404" s="25"/>
      <c r="BV404" s="25"/>
      <c r="BX404" s="25"/>
      <c r="BY404" s="25"/>
      <c r="BZ404" s="25"/>
      <c r="CA404" s="25"/>
      <c r="CB404" s="25"/>
      <c r="CC404" s="25"/>
      <c r="CD404" s="25"/>
      <c r="CE404" s="25"/>
      <c r="CF404" s="25"/>
      <c r="CG404" s="25"/>
      <c r="CH404" s="25"/>
      <c r="CI404" s="25"/>
      <c r="CJ404" s="25"/>
      <c r="CK404" s="25"/>
      <c r="CL404" s="25"/>
      <c r="CM404" s="25"/>
      <c r="CN404" s="25"/>
      <c r="CO404" s="25"/>
      <c r="CP404" s="25" t="str">
        <f>_xlfn.CONCAT($A405," ",$B405," ",$D405)</f>
        <v>2025 FCA US LLC Wagoneer S AWD (Falken tire)</v>
      </c>
      <c r="CQ404" s="25"/>
      <c r="CR404" s="25"/>
      <c r="CS404" s="25"/>
      <c r="CT404" s="25"/>
      <c r="CU404" s="25"/>
      <c r="CV404" s="25"/>
      <c r="CW404" s="25"/>
      <c r="CX404" s="25"/>
      <c r="CY404" s="25"/>
      <c r="CZ404" s="25"/>
      <c r="DA404" s="25"/>
      <c r="DB404" s="25"/>
      <c r="DC404" s="25"/>
      <c r="DD404" s="25"/>
      <c r="DE404" s="25"/>
      <c r="DF404" s="25"/>
      <c r="DG404" s="25"/>
      <c r="DH404" s="25"/>
      <c r="DI404" s="25" t="str">
        <f>_xlfn.CONCAT($A405," ",$B405," ",$D405)</f>
        <v>2025 FCA US LLC Wagoneer S AWD (Falken tire)</v>
      </c>
      <c r="DJ404" s="25"/>
      <c r="DK404" s="25"/>
      <c r="DL404" s="25"/>
      <c r="DM404" s="25"/>
      <c r="DN404" s="25"/>
      <c r="DO404" s="25"/>
      <c r="DP404" s="25"/>
      <c r="DQ404" s="25"/>
      <c r="DR404" s="25"/>
      <c r="DS404" s="25"/>
      <c r="DT404" s="25"/>
      <c r="DU404" s="25"/>
      <c r="DV404" s="25"/>
      <c r="DW404" s="25"/>
      <c r="DX404" s="25"/>
      <c r="DY404" s="25"/>
      <c r="DZ404" s="25" t="str">
        <f>_xlfn.CONCAT($A405," ",$B405," ",$D405)</f>
        <v>2025 FCA US LLC Wagoneer S AWD (Falken tire)</v>
      </c>
      <c r="EB404" s="25"/>
      <c r="EC404" s="25"/>
      <c r="ED404" s="25"/>
      <c r="EE404" s="25"/>
      <c r="EF404" s="25"/>
      <c r="EG404" s="25"/>
      <c r="EH404" s="25"/>
      <c r="EI404" s="25"/>
      <c r="EJ404" s="25"/>
      <c r="EK404" s="25"/>
      <c r="EL404" s="25"/>
      <c r="EM404" s="25"/>
      <c r="EN404" s="25"/>
      <c r="EO404" s="25"/>
      <c r="EP404" s="25"/>
      <c r="EQ404" s="25"/>
      <c r="ER404" s="25"/>
      <c r="ES404" s="25"/>
      <c r="ET404" s="25"/>
      <c r="EU404" s="25"/>
      <c r="EV404" s="25" t="str">
        <f>_xlfn.CONCAT($A405," ",$B405," ",$D405)</f>
        <v>2025 FCA US LLC Wagoneer S AWD (Falken tire)</v>
      </c>
      <c r="EW404" s="25"/>
      <c r="EX404" s="25"/>
      <c r="EY404" s="25"/>
      <c r="EZ404" s="25"/>
      <c r="FA404" s="25"/>
      <c r="FB404" s="25"/>
      <c r="FC404" s="25"/>
      <c r="FD404" s="25"/>
      <c r="FE404" s="25"/>
      <c r="FF404" s="25"/>
      <c r="FG404" s="25"/>
    </row>
    <row r="405" spans="1:165" x14ac:dyDescent="0.35">
      <c r="A405">
        <v>2025</v>
      </c>
      <c r="B405" t="s">
        <v>668</v>
      </c>
      <c r="C405" t="s">
        <v>1051</v>
      </c>
      <c r="D405" t="s">
        <v>2025</v>
      </c>
      <c r="E405" t="s">
        <v>671</v>
      </c>
      <c r="F405">
        <v>1</v>
      </c>
      <c r="G405">
        <v>0</v>
      </c>
      <c r="I405" t="s">
        <v>1734</v>
      </c>
      <c r="J405">
        <v>100</v>
      </c>
      <c r="K405">
        <v>85</v>
      </c>
      <c r="L405">
        <v>93</v>
      </c>
      <c r="M405">
        <v>143.5</v>
      </c>
      <c r="N405">
        <v>122.1</v>
      </c>
      <c r="O405">
        <v>133.00960000000001</v>
      </c>
      <c r="P405">
        <v>100.45</v>
      </c>
      <c r="Q405">
        <v>85.47</v>
      </c>
      <c r="R405">
        <v>93.106700000000004</v>
      </c>
      <c r="V405" t="s">
        <v>167</v>
      </c>
      <c r="W405" t="s">
        <v>168</v>
      </c>
      <c r="Y405">
        <v>1</v>
      </c>
      <c r="Z405" t="s">
        <v>170</v>
      </c>
      <c r="AA405" t="s">
        <v>170</v>
      </c>
      <c r="AB405" t="s">
        <v>167</v>
      </c>
      <c r="AC405" t="s">
        <v>213</v>
      </c>
      <c r="AF405">
        <v>294</v>
      </c>
      <c r="AG405" t="s">
        <v>1735</v>
      </c>
      <c r="AH405" t="s">
        <v>1736</v>
      </c>
      <c r="AI405" t="s">
        <v>175</v>
      </c>
      <c r="AJ405" t="s">
        <v>176</v>
      </c>
      <c r="AK405" t="s">
        <v>940</v>
      </c>
      <c r="AL405" t="s">
        <v>941</v>
      </c>
      <c r="AS405">
        <v>850</v>
      </c>
      <c r="AT405">
        <v>50</v>
      </c>
      <c r="BQ405">
        <v>33</v>
      </c>
      <c r="BR405" t="s">
        <v>1497</v>
      </c>
      <c r="BT405" t="s">
        <v>1738</v>
      </c>
      <c r="BU405" s="1">
        <v>45674</v>
      </c>
      <c r="BV405">
        <v>36046</v>
      </c>
      <c r="BX405" t="s">
        <v>170</v>
      </c>
      <c r="BY405" t="s">
        <v>170</v>
      </c>
      <c r="CB405" t="s">
        <v>170</v>
      </c>
      <c r="CC405" t="s">
        <v>170</v>
      </c>
      <c r="CK405" t="s">
        <v>233</v>
      </c>
      <c r="CM405">
        <v>1</v>
      </c>
      <c r="CN405" t="s">
        <v>234</v>
      </c>
      <c r="CP405">
        <v>442</v>
      </c>
      <c r="CQ405">
        <v>262</v>
      </c>
      <c r="CR405">
        <v>163</v>
      </c>
      <c r="CS405" t="s">
        <v>235</v>
      </c>
      <c r="CV405" t="s">
        <v>341</v>
      </c>
      <c r="CX405" t="s">
        <v>342</v>
      </c>
      <c r="CY405" t="s">
        <v>169</v>
      </c>
      <c r="DD405">
        <v>2</v>
      </c>
      <c r="DE405" t="s">
        <v>663</v>
      </c>
      <c r="DG405">
        <v>250</v>
      </c>
      <c r="DL405" t="s">
        <v>170</v>
      </c>
      <c r="DM405" t="s">
        <v>169</v>
      </c>
      <c r="DP405" t="s">
        <v>170</v>
      </c>
      <c r="DQ405" t="s">
        <v>187</v>
      </c>
      <c r="EB405">
        <v>9</v>
      </c>
      <c r="EC405">
        <v>10</v>
      </c>
      <c r="EE405" t="s">
        <v>2026</v>
      </c>
      <c r="EF405">
        <v>10</v>
      </c>
      <c r="EU405">
        <v>5250</v>
      </c>
      <c r="EW405">
        <v>0</v>
      </c>
      <c r="EX405">
        <v>0</v>
      </c>
      <c r="EY405">
        <v>0</v>
      </c>
      <c r="FA405">
        <v>9.9</v>
      </c>
      <c r="FG405">
        <v>315</v>
      </c>
      <c r="FH405">
        <v>268</v>
      </c>
      <c r="FI405">
        <v>294</v>
      </c>
    </row>
    <row r="406" spans="1:165" x14ac:dyDescent="0.35">
      <c r="A406">
        <v>2025</v>
      </c>
      <c r="B406" t="s">
        <v>668</v>
      </c>
      <c r="C406" t="s">
        <v>1051</v>
      </c>
      <c r="D406" t="s">
        <v>2025</v>
      </c>
      <c r="E406" t="s">
        <v>671</v>
      </c>
      <c r="F406">
        <v>1</v>
      </c>
      <c r="G406">
        <v>0</v>
      </c>
      <c r="I406" t="s">
        <v>1734</v>
      </c>
      <c r="J406">
        <v>34</v>
      </c>
      <c r="K406">
        <v>39</v>
      </c>
      <c r="L406">
        <v>36</v>
      </c>
      <c r="M406">
        <v>23.4894</v>
      </c>
      <c r="N406">
        <v>27.596</v>
      </c>
      <c r="O406">
        <v>25.337399999999999</v>
      </c>
      <c r="P406">
        <v>33.554000000000002</v>
      </c>
      <c r="Q406">
        <v>39.434899999999999</v>
      </c>
      <c r="R406">
        <v>36.200400000000002</v>
      </c>
      <c r="V406" t="s">
        <v>167</v>
      </c>
      <c r="W406" t="s">
        <v>168</v>
      </c>
      <c r="Y406">
        <v>1</v>
      </c>
      <c r="Z406" t="s">
        <v>170</v>
      </c>
      <c r="AA406" t="s">
        <v>170</v>
      </c>
      <c r="AB406" t="s">
        <v>167</v>
      </c>
      <c r="AC406" t="s">
        <v>213</v>
      </c>
      <c r="AF406">
        <v>294</v>
      </c>
      <c r="AG406" t="s">
        <v>1735</v>
      </c>
      <c r="AH406" t="s">
        <v>1736</v>
      </c>
      <c r="AI406" t="s">
        <v>1742</v>
      </c>
      <c r="AJ406" t="s">
        <v>1743</v>
      </c>
      <c r="AK406" t="s">
        <v>940</v>
      </c>
      <c r="AL406" t="s">
        <v>941</v>
      </c>
      <c r="AS406">
        <v>850</v>
      </c>
      <c r="AT406">
        <v>850</v>
      </c>
      <c r="BQ406">
        <v>33</v>
      </c>
      <c r="BR406" t="s">
        <v>1497</v>
      </c>
      <c r="BT406" t="s">
        <v>1738</v>
      </c>
      <c r="BU406" s="1">
        <v>45674</v>
      </c>
      <c r="BV406">
        <v>36046</v>
      </c>
      <c r="BX406" t="s">
        <v>170</v>
      </c>
      <c r="BY406" t="s">
        <v>170</v>
      </c>
      <c r="CB406" t="s">
        <v>170</v>
      </c>
      <c r="CC406" t="s">
        <v>170</v>
      </c>
      <c r="CK406" t="s">
        <v>233</v>
      </c>
      <c r="CM406">
        <v>1</v>
      </c>
      <c r="CN406" t="s">
        <v>234</v>
      </c>
      <c r="CP406">
        <v>442</v>
      </c>
      <c r="CQ406">
        <v>262</v>
      </c>
      <c r="CR406">
        <v>163</v>
      </c>
      <c r="CS406" t="s">
        <v>235</v>
      </c>
      <c r="CV406" t="s">
        <v>341</v>
      </c>
      <c r="CX406" t="s">
        <v>342</v>
      </c>
      <c r="CY406" t="s">
        <v>169</v>
      </c>
      <c r="DD406">
        <v>2</v>
      </c>
      <c r="DE406" t="s">
        <v>663</v>
      </c>
      <c r="DG406">
        <v>250</v>
      </c>
      <c r="DL406" t="s">
        <v>170</v>
      </c>
      <c r="DM406" t="s">
        <v>169</v>
      </c>
      <c r="DP406" t="s">
        <v>170</v>
      </c>
      <c r="DQ406" t="s">
        <v>187</v>
      </c>
      <c r="EB406">
        <v>9</v>
      </c>
      <c r="EC406">
        <v>10</v>
      </c>
      <c r="EE406" t="s">
        <v>2026</v>
      </c>
      <c r="EF406">
        <v>10</v>
      </c>
      <c r="EU406">
        <v>5250</v>
      </c>
      <c r="EW406">
        <v>0</v>
      </c>
      <c r="EX406">
        <v>0</v>
      </c>
      <c r="EY406">
        <v>0</v>
      </c>
      <c r="FA406">
        <v>9.9</v>
      </c>
      <c r="FG406">
        <v>315</v>
      </c>
      <c r="FH406">
        <v>268</v>
      </c>
      <c r="FI406">
        <v>294</v>
      </c>
    </row>
    <row r="407" spans="1:165" x14ac:dyDescent="0.35">
      <c r="A407" s="25"/>
      <c r="B407" s="25"/>
      <c r="C407" s="25"/>
      <c r="D407" s="25"/>
      <c r="E407" s="25"/>
      <c r="F407" s="25" t="str">
        <f>_xlfn.CONCAT($A408," ",$B408," ",$D408)</f>
        <v>2025 FCA US LLC Wagoneer S AWD (Pirelli tire)</v>
      </c>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c r="AD407" s="25" t="str">
        <f>_xlfn.CONCAT($A408," ",$B408," ",$D408)</f>
        <v>2025 FCA US LLC Wagoneer S AWD (Pirelli tire)</v>
      </c>
      <c r="AE407" s="25"/>
      <c r="AF407" s="25"/>
      <c r="AG407" s="25"/>
      <c r="AH407" s="25"/>
      <c r="AI407" s="25"/>
      <c r="AJ407" s="25"/>
      <c r="AK407" s="25"/>
      <c r="AL407" s="25"/>
      <c r="AM407" s="25"/>
      <c r="AN407" s="25"/>
      <c r="AO407" s="25"/>
      <c r="AP407" s="25"/>
      <c r="AQ407" s="25"/>
      <c r="AR407" s="25"/>
      <c r="AS407" s="25"/>
      <c r="AT407" s="25"/>
      <c r="AU407" s="25"/>
      <c r="AV407" s="25"/>
      <c r="AW407" s="25"/>
      <c r="AX407" s="25" t="str">
        <f>_xlfn.CONCAT($A408," ",$B408," ",$D408)</f>
        <v>2025 FCA US LLC Wagoneer S AWD (Pirelli tire)</v>
      </c>
      <c r="AY407" s="25"/>
      <c r="AZ407" s="25"/>
      <c r="BA407" s="25"/>
      <c r="BB407" s="25"/>
      <c r="BC407" s="25"/>
      <c r="BD407" s="25"/>
      <c r="BE407" s="25"/>
      <c r="BF407" s="25"/>
      <c r="BG407" s="25"/>
      <c r="BH407" s="25"/>
      <c r="BI407" s="25"/>
      <c r="BJ407" s="25"/>
      <c r="BK407" s="25"/>
      <c r="BL407" s="25"/>
      <c r="BM407" s="25"/>
      <c r="BN407" s="25"/>
      <c r="BO407" s="25"/>
      <c r="BP407" s="25"/>
      <c r="BQ407" s="25"/>
      <c r="BR407" s="25" t="str">
        <f>_xlfn.CONCAT($A408," ",$B408," ",$D408)</f>
        <v>2025 FCA US LLC Wagoneer S AWD (Pirelli tire)</v>
      </c>
      <c r="BS407" s="25"/>
      <c r="BT407" s="25"/>
      <c r="BU407" s="25"/>
      <c r="BV407" s="25"/>
      <c r="BX407" s="25"/>
      <c r="BY407" s="25"/>
      <c r="BZ407" s="25"/>
      <c r="CA407" s="25"/>
      <c r="CB407" s="25"/>
      <c r="CC407" s="25"/>
      <c r="CD407" s="25"/>
      <c r="CE407" s="25"/>
      <c r="CF407" s="25"/>
      <c r="CG407" s="25"/>
      <c r="CH407" s="25"/>
      <c r="CI407" s="25"/>
      <c r="CJ407" s="25"/>
      <c r="CK407" s="25"/>
      <c r="CL407" s="25"/>
      <c r="CM407" s="25"/>
      <c r="CN407" s="25"/>
      <c r="CO407" s="25"/>
      <c r="CP407" s="25" t="str">
        <f>_xlfn.CONCAT($A408," ",$B408," ",$D408)</f>
        <v>2025 FCA US LLC Wagoneer S AWD (Pirelli tire)</v>
      </c>
      <c r="CQ407" s="25"/>
      <c r="CR407" s="25"/>
      <c r="CS407" s="25"/>
      <c r="CT407" s="25"/>
      <c r="CU407" s="25"/>
      <c r="CV407" s="25"/>
      <c r="CW407" s="25"/>
      <c r="CX407" s="25"/>
      <c r="CY407" s="25"/>
      <c r="CZ407" s="25"/>
      <c r="DA407" s="25"/>
      <c r="DB407" s="25"/>
      <c r="DC407" s="25"/>
      <c r="DD407" s="25"/>
      <c r="DE407" s="25"/>
      <c r="DF407" s="25"/>
      <c r="DG407" s="25"/>
      <c r="DH407" s="25"/>
      <c r="DI407" s="25" t="str">
        <f>_xlfn.CONCAT($A408," ",$B408," ",$D408)</f>
        <v>2025 FCA US LLC Wagoneer S AWD (Pirelli tire)</v>
      </c>
      <c r="DJ407" s="25"/>
      <c r="DK407" s="25"/>
      <c r="DL407" s="25"/>
      <c r="DM407" s="25"/>
      <c r="DN407" s="25"/>
      <c r="DO407" s="25"/>
      <c r="DP407" s="25"/>
      <c r="DQ407" s="25"/>
      <c r="DR407" s="25"/>
      <c r="DS407" s="25"/>
      <c r="DT407" s="25"/>
      <c r="DU407" s="25"/>
      <c r="DV407" s="25"/>
      <c r="DW407" s="25"/>
      <c r="DX407" s="25"/>
      <c r="DY407" s="25"/>
      <c r="DZ407" s="25" t="str">
        <f>_xlfn.CONCAT($A408," ",$B408," ",$D408)</f>
        <v>2025 FCA US LLC Wagoneer S AWD (Pirelli tire)</v>
      </c>
      <c r="EB407" s="25"/>
      <c r="EC407" s="25"/>
      <c r="ED407" s="25"/>
      <c r="EE407" s="25"/>
      <c r="EF407" s="25"/>
      <c r="EG407" s="25"/>
      <c r="EH407" s="25"/>
      <c r="EI407" s="25"/>
      <c r="EJ407" s="25"/>
      <c r="EK407" s="25"/>
      <c r="EL407" s="25"/>
      <c r="EM407" s="25"/>
      <c r="EN407" s="25"/>
      <c r="EO407" s="25"/>
      <c r="EP407" s="25"/>
      <c r="EQ407" s="25"/>
      <c r="ER407" s="25"/>
      <c r="ES407" s="25"/>
      <c r="ET407" s="25"/>
      <c r="EU407" s="25"/>
      <c r="EV407" s="25" t="str">
        <f>_xlfn.CONCAT($A408," ",$B408," ",$D408)</f>
        <v>2025 FCA US LLC Wagoneer S AWD (Pirelli tire)</v>
      </c>
      <c r="EW407" s="25"/>
      <c r="EX407" s="25"/>
      <c r="EY407" s="25"/>
      <c r="EZ407" s="25"/>
      <c r="FA407" s="25"/>
      <c r="FB407" s="25"/>
      <c r="FC407" s="25"/>
      <c r="FD407" s="25"/>
      <c r="FE407" s="25"/>
      <c r="FF407" s="25"/>
      <c r="FG407" s="25"/>
    </row>
    <row r="408" spans="1:165" x14ac:dyDescent="0.35">
      <c r="A408">
        <v>2025</v>
      </c>
      <c r="B408" t="s">
        <v>668</v>
      </c>
      <c r="C408" t="s">
        <v>1051</v>
      </c>
      <c r="D408" t="s">
        <v>2407</v>
      </c>
      <c r="E408" t="s">
        <v>671</v>
      </c>
      <c r="F408">
        <v>2</v>
      </c>
      <c r="G408">
        <v>0</v>
      </c>
      <c r="I408" t="s">
        <v>1734</v>
      </c>
      <c r="J408">
        <v>90</v>
      </c>
      <c r="K408">
        <v>76</v>
      </c>
      <c r="L408">
        <v>83</v>
      </c>
      <c r="M408">
        <v>143.5</v>
      </c>
      <c r="N408">
        <v>122.1</v>
      </c>
      <c r="O408">
        <v>133.00960000000001</v>
      </c>
      <c r="P408">
        <v>90</v>
      </c>
      <c r="Q408">
        <v>76</v>
      </c>
      <c r="R408">
        <v>83</v>
      </c>
      <c r="V408" t="s">
        <v>167</v>
      </c>
      <c r="W408" t="s">
        <v>168</v>
      </c>
      <c r="Y408">
        <v>1</v>
      </c>
      <c r="Z408" t="s">
        <v>170</v>
      </c>
      <c r="AA408" t="s">
        <v>170</v>
      </c>
      <c r="AB408" t="s">
        <v>167</v>
      </c>
      <c r="AC408" t="s">
        <v>213</v>
      </c>
      <c r="AF408">
        <v>262</v>
      </c>
      <c r="AG408" t="s">
        <v>1735</v>
      </c>
      <c r="AH408" t="s">
        <v>1736</v>
      </c>
      <c r="AI408" t="s">
        <v>175</v>
      </c>
      <c r="AJ408" t="s">
        <v>176</v>
      </c>
      <c r="AK408" t="s">
        <v>940</v>
      </c>
      <c r="AL408" t="s">
        <v>941</v>
      </c>
      <c r="AS408">
        <v>1000</v>
      </c>
      <c r="AT408">
        <v>50</v>
      </c>
      <c r="BQ408">
        <v>33</v>
      </c>
      <c r="BR408" t="s">
        <v>1497</v>
      </c>
      <c r="BT408" t="s">
        <v>1738</v>
      </c>
      <c r="BU408" s="1">
        <v>47136</v>
      </c>
      <c r="BV408">
        <v>36047</v>
      </c>
      <c r="BX408" t="s">
        <v>169</v>
      </c>
      <c r="BY408" t="s">
        <v>170</v>
      </c>
      <c r="CB408" t="s">
        <v>170</v>
      </c>
      <c r="CC408" t="s">
        <v>170</v>
      </c>
      <c r="CK408" t="s">
        <v>233</v>
      </c>
      <c r="CM408">
        <v>1</v>
      </c>
      <c r="CN408" t="s">
        <v>234</v>
      </c>
      <c r="CP408">
        <v>442</v>
      </c>
      <c r="CQ408">
        <v>262</v>
      </c>
      <c r="CR408">
        <v>163</v>
      </c>
      <c r="CS408" t="s">
        <v>235</v>
      </c>
      <c r="CV408" t="s">
        <v>341</v>
      </c>
      <c r="CX408" t="s">
        <v>342</v>
      </c>
      <c r="CY408" t="s">
        <v>169</v>
      </c>
      <c r="DD408">
        <v>2</v>
      </c>
      <c r="DE408" t="s">
        <v>663</v>
      </c>
      <c r="DG408">
        <v>250</v>
      </c>
      <c r="DL408" t="s">
        <v>170</v>
      </c>
      <c r="DM408" t="s">
        <v>169</v>
      </c>
      <c r="DP408" t="s">
        <v>170</v>
      </c>
      <c r="DQ408" t="s">
        <v>187</v>
      </c>
      <c r="EB408">
        <v>9</v>
      </c>
      <c r="EC408">
        <v>10</v>
      </c>
      <c r="EE408" t="s">
        <v>2026</v>
      </c>
      <c r="EF408">
        <v>10</v>
      </c>
      <c r="EU408">
        <v>4500</v>
      </c>
      <c r="EW408">
        <v>0</v>
      </c>
      <c r="EX408">
        <v>0</v>
      </c>
      <c r="EY408">
        <v>0</v>
      </c>
      <c r="FA408">
        <v>9.9</v>
      </c>
      <c r="FG408">
        <v>279</v>
      </c>
      <c r="FH408">
        <v>241</v>
      </c>
      <c r="FI408">
        <v>262</v>
      </c>
    </row>
    <row r="409" spans="1:165" x14ac:dyDescent="0.35">
      <c r="A409">
        <v>2025</v>
      </c>
      <c r="B409" t="s">
        <v>668</v>
      </c>
      <c r="C409" t="s">
        <v>1051</v>
      </c>
      <c r="D409" t="s">
        <v>2407</v>
      </c>
      <c r="E409" t="s">
        <v>671</v>
      </c>
      <c r="F409">
        <v>2</v>
      </c>
      <c r="G409">
        <v>0</v>
      </c>
      <c r="I409" t="s">
        <v>1734</v>
      </c>
      <c r="J409">
        <v>38</v>
      </c>
      <c r="K409">
        <v>44</v>
      </c>
      <c r="L409">
        <v>41</v>
      </c>
      <c r="M409">
        <v>23.4894</v>
      </c>
      <c r="N409">
        <v>27.596</v>
      </c>
      <c r="O409">
        <v>25.337399999999999</v>
      </c>
      <c r="P409">
        <v>38</v>
      </c>
      <c r="Q409">
        <v>44</v>
      </c>
      <c r="R409">
        <v>41</v>
      </c>
      <c r="V409" t="s">
        <v>167</v>
      </c>
      <c r="W409" t="s">
        <v>168</v>
      </c>
      <c r="Y409">
        <v>1</v>
      </c>
      <c r="Z409" t="s">
        <v>170</v>
      </c>
      <c r="AA409" t="s">
        <v>170</v>
      </c>
      <c r="AB409" t="s">
        <v>167</v>
      </c>
      <c r="AC409" t="s">
        <v>213</v>
      </c>
      <c r="AF409">
        <v>262</v>
      </c>
      <c r="AG409" t="s">
        <v>1735</v>
      </c>
      <c r="AH409" t="s">
        <v>1736</v>
      </c>
      <c r="AI409" t="s">
        <v>1742</v>
      </c>
      <c r="AJ409" t="s">
        <v>1743</v>
      </c>
      <c r="AK409" t="s">
        <v>940</v>
      </c>
      <c r="AL409" t="s">
        <v>941</v>
      </c>
      <c r="AS409">
        <v>1000</v>
      </c>
      <c r="AT409">
        <v>1000</v>
      </c>
      <c r="BQ409">
        <v>33</v>
      </c>
      <c r="BR409" t="s">
        <v>1497</v>
      </c>
      <c r="BT409" t="s">
        <v>1738</v>
      </c>
      <c r="BU409" s="1">
        <v>47136</v>
      </c>
      <c r="BV409">
        <v>36047</v>
      </c>
      <c r="BX409" t="s">
        <v>169</v>
      </c>
      <c r="BY409" t="s">
        <v>170</v>
      </c>
      <c r="CB409" t="s">
        <v>170</v>
      </c>
      <c r="CC409" t="s">
        <v>170</v>
      </c>
      <c r="CK409" t="s">
        <v>233</v>
      </c>
      <c r="CM409">
        <v>1</v>
      </c>
      <c r="CN409" t="s">
        <v>234</v>
      </c>
      <c r="CP409">
        <v>442</v>
      </c>
      <c r="CQ409">
        <v>262</v>
      </c>
      <c r="CR409">
        <v>163</v>
      </c>
      <c r="CS409" t="s">
        <v>235</v>
      </c>
      <c r="CV409" t="s">
        <v>341</v>
      </c>
      <c r="CX409" t="s">
        <v>342</v>
      </c>
      <c r="CY409" t="s">
        <v>169</v>
      </c>
      <c r="DD409">
        <v>2</v>
      </c>
      <c r="DE409" t="s">
        <v>663</v>
      </c>
      <c r="DG409">
        <v>250</v>
      </c>
      <c r="DL409" t="s">
        <v>170</v>
      </c>
      <c r="DM409" t="s">
        <v>169</v>
      </c>
      <c r="DP409" t="s">
        <v>170</v>
      </c>
      <c r="DQ409" t="s">
        <v>187</v>
      </c>
      <c r="EB409">
        <v>9</v>
      </c>
      <c r="EC409">
        <v>10</v>
      </c>
      <c r="EE409" t="s">
        <v>2026</v>
      </c>
      <c r="EF409">
        <v>10</v>
      </c>
      <c r="EU409">
        <v>4500</v>
      </c>
      <c r="EW409">
        <v>0</v>
      </c>
      <c r="EX409">
        <v>0</v>
      </c>
      <c r="EY409">
        <v>0</v>
      </c>
      <c r="FA409">
        <v>9.9</v>
      </c>
      <c r="FG409">
        <v>279</v>
      </c>
      <c r="FH409">
        <v>241</v>
      </c>
      <c r="FI409">
        <v>262</v>
      </c>
    </row>
    <row r="410" spans="1:165" x14ac:dyDescent="0.35">
      <c r="A410" s="25"/>
      <c r="B410" s="25"/>
      <c r="C410" s="25"/>
      <c r="D410" s="25"/>
      <c r="E410" s="25"/>
      <c r="F410" s="25" t="str">
        <f>_xlfn.CONCAT($A411," ",$B411," ",$D411)</f>
        <v>2025 Kia Niro Electric</v>
      </c>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c r="AD410" s="25" t="str">
        <f>_xlfn.CONCAT($A411," ",$B411," ",$D411)</f>
        <v>2025 Kia Niro Electric</v>
      </c>
      <c r="AE410" s="25"/>
      <c r="AF410" s="25"/>
      <c r="AG410" s="25"/>
      <c r="AH410" s="25"/>
      <c r="AI410" s="25"/>
      <c r="AJ410" s="25"/>
      <c r="AK410" s="25"/>
      <c r="AL410" s="25"/>
      <c r="AM410" s="25"/>
      <c r="AN410" s="25"/>
      <c r="AO410" s="25"/>
      <c r="AP410" s="25"/>
      <c r="AQ410" s="25"/>
      <c r="AR410" s="25"/>
      <c r="AS410" s="25"/>
      <c r="AT410" s="25"/>
      <c r="AU410" s="25"/>
      <c r="AV410" s="25"/>
      <c r="AW410" s="25"/>
      <c r="AX410" s="25" t="str">
        <f>_xlfn.CONCAT($A411," ",$B411," ",$D411)</f>
        <v>2025 Kia Niro Electric</v>
      </c>
      <c r="AY410" s="25"/>
      <c r="AZ410" s="25"/>
      <c r="BA410" s="25"/>
      <c r="BB410" s="25"/>
      <c r="BC410" s="25"/>
      <c r="BD410" s="25"/>
      <c r="BE410" s="25"/>
      <c r="BF410" s="25"/>
      <c r="BG410" s="25"/>
      <c r="BH410" s="25"/>
      <c r="BI410" s="25"/>
      <c r="BJ410" s="25"/>
      <c r="BK410" s="25"/>
      <c r="BL410" s="25"/>
      <c r="BM410" s="25"/>
      <c r="BN410" s="25"/>
      <c r="BO410" s="25"/>
      <c r="BP410" s="25"/>
      <c r="BQ410" s="25"/>
      <c r="BR410" s="25" t="str">
        <f>_xlfn.CONCAT($A411," ",$B411," ",$D411)</f>
        <v>2025 Kia Niro Electric</v>
      </c>
      <c r="BS410" s="25"/>
      <c r="BT410" s="25"/>
      <c r="BU410" s="25"/>
      <c r="BV410" s="25"/>
      <c r="BX410" s="25"/>
      <c r="BY410" s="25"/>
      <c r="BZ410" s="25"/>
      <c r="CA410" s="25"/>
      <c r="CB410" s="25"/>
      <c r="CC410" s="25"/>
      <c r="CD410" s="25"/>
      <c r="CE410" s="25"/>
      <c r="CF410" s="25"/>
      <c r="CG410" s="25"/>
      <c r="CH410" s="25"/>
      <c r="CI410" s="25"/>
      <c r="CJ410" s="25"/>
      <c r="CK410" s="25"/>
      <c r="CL410" s="25"/>
      <c r="CM410" s="25"/>
      <c r="CN410" s="25"/>
      <c r="CO410" s="25"/>
      <c r="CP410" s="25" t="str">
        <f>_xlfn.CONCAT($A411," ",$B411," ",$D411)</f>
        <v>2025 Kia Niro Electric</v>
      </c>
      <c r="CQ410" s="25"/>
      <c r="CR410" s="25"/>
      <c r="CS410" s="25"/>
      <c r="CT410" s="25"/>
      <c r="CU410" s="25"/>
      <c r="CV410" s="25"/>
      <c r="CW410" s="25"/>
      <c r="CX410" s="25"/>
      <c r="CY410" s="25"/>
      <c r="CZ410" s="25"/>
      <c r="DA410" s="25"/>
      <c r="DB410" s="25"/>
      <c r="DC410" s="25"/>
      <c r="DD410" s="25"/>
      <c r="DE410" s="25"/>
      <c r="DF410" s="25"/>
      <c r="DG410" s="25"/>
      <c r="DH410" s="25"/>
      <c r="DI410" s="25" t="str">
        <f>_xlfn.CONCAT($A411," ",$B411," ",$D411)</f>
        <v>2025 Kia Niro Electric</v>
      </c>
      <c r="DJ410" s="25"/>
      <c r="DK410" s="25"/>
      <c r="DL410" s="25"/>
      <c r="DM410" s="25"/>
      <c r="DN410" s="25"/>
      <c r="DO410" s="25"/>
      <c r="DP410" s="25"/>
      <c r="DQ410" s="25"/>
      <c r="DR410" s="25"/>
      <c r="DS410" s="25"/>
      <c r="DT410" s="25"/>
      <c r="DU410" s="25"/>
      <c r="DV410" s="25"/>
      <c r="DW410" s="25"/>
      <c r="DX410" s="25"/>
      <c r="DY410" s="25"/>
      <c r="DZ410" s="25" t="str">
        <f>_xlfn.CONCAT($A411," ",$B411," ",$D411)</f>
        <v>2025 Kia Niro Electric</v>
      </c>
      <c r="EB410" s="25"/>
      <c r="EC410" s="25"/>
      <c r="ED410" s="25"/>
      <c r="EE410" s="25"/>
      <c r="EF410" s="25"/>
      <c r="EG410" s="25"/>
      <c r="EH410" s="25"/>
      <c r="EI410" s="25"/>
      <c r="EJ410" s="25"/>
      <c r="EK410" s="25"/>
      <c r="EL410" s="25"/>
      <c r="EM410" s="25"/>
      <c r="EN410" s="25"/>
      <c r="EO410" s="25"/>
      <c r="EP410" s="25"/>
      <c r="EQ410" s="25"/>
      <c r="ER410" s="25"/>
      <c r="ES410" s="25"/>
      <c r="ET410" s="25"/>
      <c r="EU410" s="25"/>
      <c r="EV410" s="25" t="str">
        <f>_xlfn.CONCAT($A411," ",$B411," ",$D411)</f>
        <v>2025 Kia Niro Electric</v>
      </c>
      <c r="EW410" s="25"/>
      <c r="EX410" s="25"/>
      <c r="EY410" s="25"/>
      <c r="EZ410" s="25"/>
      <c r="FA410" s="25"/>
      <c r="FB410" s="25"/>
      <c r="FC410" s="25"/>
      <c r="FD410" s="25"/>
      <c r="FE410" s="25"/>
      <c r="FF410" s="25"/>
      <c r="FG410" s="25"/>
    </row>
    <row r="411" spans="1:165" x14ac:dyDescent="0.35">
      <c r="A411">
        <v>2025</v>
      </c>
      <c r="B411" t="s">
        <v>756</v>
      </c>
      <c r="C411" t="s">
        <v>757</v>
      </c>
      <c r="D411" t="s">
        <v>2045</v>
      </c>
      <c r="E411" t="s">
        <v>759</v>
      </c>
      <c r="F411">
        <v>30</v>
      </c>
      <c r="G411">
        <v>0</v>
      </c>
      <c r="I411" t="s">
        <v>1734</v>
      </c>
      <c r="J411">
        <v>126</v>
      </c>
      <c r="K411">
        <v>101</v>
      </c>
      <c r="L411">
        <v>113</v>
      </c>
      <c r="M411">
        <v>183</v>
      </c>
      <c r="N411">
        <v>146.6</v>
      </c>
      <c r="O411">
        <v>164.6079</v>
      </c>
      <c r="P411">
        <v>126</v>
      </c>
      <c r="Q411">
        <v>101</v>
      </c>
      <c r="R411">
        <v>113</v>
      </c>
      <c r="V411" t="s">
        <v>167</v>
      </c>
      <c r="W411" t="s">
        <v>168</v>
      </c>
      <c r="X411" t="s">
        <v>1931</v>
      </c>
      <c r="Y411">
        <v>1</v>
      </c>
      <c r="Z411" t="s">
        <v>170</v>
      </c>
      <c r="AA411" t="s">
        <v>170</v>
      </c>
      <c r="AB411" t="s">
        <v>351</v>
      </c>
      <c r="AC411" t="s">
        <v>352</v>
      </c>
      <c r="AF411">
        <v>253</v>
      </c>
      <c r="AG411" t="s">
        <v>1735</v>
      </c>
      <c r="AH411" t="s">
        <v>1736</v>
      </c>
      <c r="AI411" t="s">
        <v>175</v>
      </c>
      <c r="AJ411" t="s">
        <v>176</v>
      </c>
      <c r="AK411">
        <v>4</v>
      </c>
      <c r="AL411" t="s">
        <v>1737</v>
      </c>
      <c r="AO411">
        <v>100</v>
      </c>
      <c r="AP411">
        <v>23</v>
      </c>
      <c r="AS411">
        <v>700</v>
      </c>
      <c r="AT411">
        <v>700</v>
      </c>
      <c r="BQ411">
        <v>30</v>
      </c>
      <c r="BR411" t="s">
        <v>1099</v>
      </c>
      <c r="BT411" t="s">
        <v>1738</v>
      </c>
      <c r="BU411" s="1">
        <v>45474</v>
      </c>
      <c r="BV411">
        <v>34994</v>
      </c>
      <c r="BX411" t="s">
        <v>170</v>
      </c>
      <c r="BY411" t="s">
        <v>170</v>
      </c>
      <c r="CB411" t="s">
        <v>170</v>
      </c>
      <c r="CC411" t="s">
        <v>170</v>
      </c>
      <c r="CK411" t="s">
        <v>233</v>
      </c>
      <c r="CM411">
        <v>1</v>
      </c>
      <c r="CN411" t="s">
        <v>234</v>
      </c>
      <c r="CP411">
        <v>358</v>
      </c>
      <c r="CQ411">
        <v>180.9</v>
      </c>
      <c r="CR411">
        <v>150.80000000000001</v>
      </c>
      <c r="CS411" t="s">
        <v>1752</v>
      </c>
      <c r="CV411" t="s">
        <v>341</v>
      </c>
      <c r="CX411" t="s">
        <v>729</v>
      </c>
      <c r="CY411" t="s">
        <v>169</v>
      </c>
      <c r="DC411" t="s">
        <v>1949</v>
      </c>
      <c r="DD411">
        <v>1</v>
      </c>
      <c r="DE411" t="s">
        <v>404</v>
      </c>
      <c r="DF411" t="s">
        <v>1950</v>
      </c>
      <c r="DG411">
        <v>150</v>
      </c>
      <c r="DL411" t="s">
        <v>170</v>
      </c>
      <c r="DM411" t="s">
        <v>169</v>
      </c>
      <c r="DP411" t="s">
        <v>170</v>
      </c>
      <c r="DQ411" t="s">
        <v>187</v>
      </c>
      <c r="EB411">
        <v>9</v>
      </c>
      <c r="EC411">
        <v>10</v>
      </c>
      <c r="EE411" t="s">
        <v>2046</v>
      </c>
      <c r="EF411">
        <v>10</v>
      </c>
      <c r="EU411">
        <v>6000</v>
      </c>
      <c r="EW411">
        <v>0</v>
      </c>
      <c r="EX411">
        <v>0</v>
      </c>
      <c r="EY411">
        <v>0</v>
      </c>
      <c r="FA411">
        <v>7.5</v>
      </c>
      <c r="FG411">
        <v>275</v>
      </c>
      <c r="FH411">
        <v>226</v>
      </c>
      <c r="FI411">
        <v>253</v>
      </c>
    </row>
    <row r="412" spans="1:165" x14ac:dyDescent="0.35">
      <c r="A412">
        <v>2025</v>
      </c>
      <c r="B412" t="s">
        <v>756</v>
      </c>
      <c r="C412" t="s">
        <v>757</v>
      </c>
      <c r="D412" t="s">
        <v>2045</v>
      </c>
      <c r="E412" t="s">
        <v>759</v>
      </c>
      <c r="F412">
        <v>30</v>
      </c>
      <c r="G412">
        <v>0</v>
      </c>
      <c r="I412" t="s">
        <v>1734</v>
      </c>
      <c r="J412">
        <v>27</v>
      </c>
      <c r="K412">
        <v>33</v>
      </c>
      <c r="L412">
        <v>30</v>
      </c>
      <c r="M412">
        <v>18.416899999999998</v>
      </c>
      <c r="N412">
        <v>22.9878</v>
      </c>
      <c r="O412">
        <v>20.473800000000001</v>
      </c>
      <c r="P412">
        <v>27</v>
      </c>
      <c r="Q412">
        <v>32.844499999999996</v>
      </c>
      <c r="R412">
        <v>30</v>
      </c>
      <c r="V412" t="s">
        <v>167</v>
      </c>
      <c r="W412" t="s">
        <v>168</v>
      </c>
      <c r="X412" t="s">
        <v>1931</v>
      </c>
      <c r="Y412">
        <v>1</v>
      </c>
      <c r="Z412" t="s">
        <v>170</v>
      </c>
      <c r="AA412" t="s">
        <v>170</v>
      </c>
      <c r="AB412" t="s">
        <v>351</v>
      </c>
      <c r="AC412" t="s">
        <v>352</v>
      </c>
      <c r="AF412">
        <v>253</v>
      </c>
      <c r="AG412" t="s">
        <v>1735</v>
      </c>
      <c r="AH412" t="s">
        <v>1736</v>
      </c>
      <c r="AI412" t="s">
        <v>1742</v>
      </c>
      <c r="AJ412" t="s">
        <v>1743</v>
      </c>
      <c r="AK412">
        <v>4</v>
      </c>
      <c r="AL412" t="s">
        <v>1737</v>
      </c>
      <c r="AO412">
        <v>100</v>
      </c>
      <c r="AP412">
        <v>23</v>
      </c>
      <c r="AS412">
        <v>700</v>
      </c>
      <c r="AT412">
        <v>700</v>
      </c>
      <c r="BQ412">
        <v>30</v>
      </c>
      <c r="BR412" t="s">
        <v>1099</v>
      </c>
      <c r="BT412" t="s">
        <v>1738</v>
      </c>
      <c r="BU412" s="1">
        <v>45474</v>
      </c>
      <c r="BV412">
        <v>34994</v>
      </c>
      <c r="BX412" t="s">
        <v>170</v>
      </c>
      <c r="BY412" t="s">
        <v>170</v>
      </c>
      <c r="CB412" t="s">
        <v>170</v>
      </c>
      <c r="CC412" t="s">
        <v>170</v>
      </c>
      <c r="CK412" t="s">
        <v>233</v>
      </c>
      <c r="CM412">
        <v>1</v>
      </c>
      <c r="CN412" t="s">
        <v>234</v>
      </c>
      <c r="CP412">
        <v>358</v>
      </c>
      <c r="CQ412">
        <v>180.9</v>
      </c>
      <c r="CR412">
        <v>150.80000000000001</v>
      </c>
      <c r="CS412" t="s">
        <v>1752</v>
      </c>
      <c r="CV412" t="s">
        <v>341</v>
      </c>
      <c r="CX412" t="s">
        <v>729</v>
      </c>
      <c r="CY412" t="s">
        <v>169</v>
      </c>
      <c r="DC412" t="s">
        <v>1949</v>
      </c>
      <c r="DD412">
        <v>1</v>
      </c>
      <c r="DE412" t="s">
        <v>404</v>
      </c>
      <c r="DF412" t="s">
        <v>1950</v>
      </c>
      <c r="DG412">
        <v>150</v>
      </c>
      <c r="DL412" t="s">
        <v>170</v>
      </c>
      <c r="DM412" t="s">
        <v>169</v>
      </c>
      <c r="DP412" t="s">
        <v>170</v>
      </c>
      <c r="DQ412" t="s">
        <v>187</v>
      </c>
      <c r="EB412">
        <v>9</v>
      </c>
      <c r="EC412">
        <v>10</v>
      </c>
      <c r="EE412" t="s">
        <v>2046</v>
      </c>
      <c r="EF412">
        <v>10</v>
      </c>
      <c r="EU412">
        <v>6000</v>
      </c>
      <c r="EW412">
        <v>0</v>
      </c>
      <c r="EX412">
        <v>0</v>
      </c>
      <c r="EY412">
        <v>0</v>
      </c>
      <c r="FA412">
        <v>7.5</v>
      </c>
      <c r="FG412">
        <v>275</v>
      </c>
      <c r="FH412">
        <v>226</v>
      </c>
      <c r="FI412">
        <v>253</v>
      </c>
    </row>
    <row r="413" spans="1:165" x14ac:dyDescent="0.35">
      <c r="A413" s="25"/>
      <c r="B413" s="25"/>
      <c r="C413" s="25"/>
      <c r="D413" s="25"/>
      <c r="E413" s="25"/>
      <c r="F413" s="25" t="str">
        <f>_xlfn.CONCAT($A414," ",$B414," ",$D414)</f>
        <v>2025 Kia EV6 AWD GT</v>
      </c>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c r="AD413" s="25" t="str">
        <f>_xlfn.CONCAT($A414," ",$B414," ",$D414)</f>
        <v>2025 Kia EV6 AWD GT</v>
      </c>
      <c r="AE413" s="25"/>
      <c r="AF413" s="25"/>
      <c r="AG413" s="25"/>
      <c r="AH413" s="25"/>
      <c r="AI413" s="25"/>
      <c r="AJ413" s="25"/>
      <c r="AK413" s="25"/>
      <c r="AL413" s="25"/>
      <c r="AM413" s="25"/>
      <c r="AN413" s="25"/>
      <c r="AO413" s="25"/>
      <c r="AP413" s="25"/>
      <c r="AQ413" s="25"/>
      <c r="AR413" s="25"/>
      <c r="AS413" s="25"/>
      <c r="AT413" s="25"/>
      <c r="AU413" s="25"/>
      <c r="AV413" s="25"/>
      <c r="AW413" s="25"/>
      <c r="AX413" s="25" t="str">
        <f>_xlfn.CONCAT($A414," ",$B414," ",$D414)</f>
        <v>2025 Kia EV6 AWD GT</v>
      </c>
      <c r="AY413" s="25"/>
      <c r="AZ413" s="25"/>
      <c r="BA413" s="25"/>
      <c r="BB413" s="25"/>
      <c r="BC413" s="25"/>
      <c r="BD413" s="25"/>
      <c r="BE413" s="25"/>
      <c r="BF413" s="25"/>
      <c r="BG413" s="25"/>
      <c r="BH413" s="25"/>
      <c r="BI413" s="25"/>
      <c r="BJ413" s="25"/>
      <c r="BK413" s="25"/>
      <c r="BL413" s="25"/>
      <c r="BM413" s="25"/>
      <c r="BN413" s="25"/>
      <c r="BO413" s="25"/>
      <c r="BP413" s="25"/>
      <c r="BQ413" s="25"/>
      <c r="BR413" s="25" t="str">
        <f>_xlfn.CONCAT($A414," ",$B414," ",$D414)</f>
        <v>2025 Kia EV6 AWD GT</v>
      </c>
      <c r="BS413" s="25"/>
      <c r="BT413" s="25"/>
      <c r="BU413" s="25"/>
      <c r="BV413" s="25"/>
      <c r="BX413" s="25"/>
      <c r="BY413" s="25"/>
      <c r="BZ413" s="25"/>
      <c r="CA413" s="25"/>
      <c r="CB413" s="25"/>
      <c r="CC413" s="25"/>
      <c r="CD413" s="25"/>
      <c r="CE413" s="25"/>
      <c r="CF413" s="25"/>
      <c r="CG413" s="25"/>
      <c r="CH413" s="25"/>
      <c r="CI413" s="25"/>
      <c r="CJ413" s="25"/>
      <c r="CK413" s="25"/>
      <c r="CL413" s="25"/>
      <c r="CM413" s="25"/>
      <c r="CN413" s="25"/>
      <c r="CO413" s="25"/>
      <c r="CP413" s="25" t="str">
        <f>_xlfn.CONCAT($A414," ",$B414," ",$D414)</f>
        <v>2025 Kia EV6 AWD GT</v>
      </c>
      <c r="CQ413" s="25"/>
      <c r="CR413" s="25"/>
      <c r="CS413" s="25"/>
      <c r="CT413" s="25"/>
      <c r="CU413" s="25"/>
      <c r="CV413" s="25"/>
      <c r="CW413" s="25"/>
      <c r="CX413" s="25"/>
      <c r="CY413" s="25"/>
      <c r="CZ413" s="25"/>
      <c r="DA413" s="25"/>
      <c r="DB413" s="25"/>
      <c r="DC413" s="25"/>
      <c r="DD413" s="25"/>
      <c r="DE413" s="25"/>
      <c r="DF413" s="25"/>
      <c r="DG413" s="25"/>
      <c r="DH413" s="25"/>
      <c r="DI413" s="25" t="str">
        <f>_xlfn.CONCAT($A414," ",$B414," ",$D414)</f>
        <v>2025 Kia EV6 AWD GT</v>
      </c>
      <c r="DJ413" s="25"/>
      <c r="DK413" s="25"/>
      <c r="DL413" s="25"/>
      <c r="DM413" s="25"/>
      <c r="DN413" s="25"/>
      <c r="DO413" s="25"/>
      <c r="DP413" s="25"/>
      <c r="DQ413" s="25"/>
      <c r="DR413" s="25"/>
      <c r="DS413" s="25"/>
      <c r="DT413" s="25"/>
      <c r="DU413" s="25"/>
      <c r="DV413" s="25"/>
      <c r="DW413" s="25"/>
      <c r="DX413" s="25"/>
      <c r="DY413" s="25"/>
      <c r="DZ413" s="25" t="str">
        <f>_xlfn.CONCAT($A414," ",$B414," ",$D414)</f>
        <v>2025 Kia EV6 AWD GT</v>
      </c>
      <c r="EB413" s="25"/>
      <c r="EC413" s="25"/>
      <c r="ED413" s="25"/>
      <c r="EE413" s="25"/>
      <c r="EF413" s="25"/>
      <c r="EG413" s="25"/>
      <c r="EH413" s="25"/>
      <c r="EI413" s="25"/>
      <c r="EJ413" s="25"/>
      <c r="EK413" s="25"/>
      <c r="EL413" s="25"/>
      <c r="EM413" s="25"/>
      <c r="EN413" s="25"/>
      <c r="EO413" s="25"/>
      <c r="EP413" s="25"/>
      <c r="EQ413" s="25"/>
      <c r="ER413" s="25"/>
      <c r="ES413" s="25"/>
      <c r="ET413" s="25"/>
      <c r="EU413" s="25"/>
      <c r="EV413" s="25" t="str">
        <f>_xlfn.CONCAT($A414," ",$B414," ",$D414)</f>
        <v>2025 Kia EV6 AWD GT</v>
      </c>
      <c r="EW413" s="25"/>
      <c r="EX413" s="25"/>
      <c r="EY413" s="25"/>
      <c r="EZ413" s="25"/>
      <c r="FA413" s="25"/>
      <c r="FB413" s="25"/>
      <c r="FC413" s="25"/>
      <c r="FD413" s="25"/>
      <c r="FE413" s="25"/>
      <c r="FF413" s="25"/>
      <c r="FG413" s="25"/>
    </row>
    <row r="414" spans="1:165" x14ac:dyDescent="0.35">
      <c r="A414">
        <v>2025</v>
      </c>
      <c r="B414" t="s">
        <v>756</v>
      </c>
      <c r="C414" t="s">
        <v>757</v>
      </c>
      <c r="D414" t="s">
        <v>2027</v>
      </c>
      <c r="E414" t="s">
        <v>759</v>
      </c>
      <c r="F414">
        <v>33</v>
      </c>
      <c r="G414">
        <v>0</v>
      </c>
      <c r="I414" t="s">
        <v>1734</v>
      </c>
      <c r="J414">
        <v>87</v>
      </c>
      <c r="K414">
        <v>79</v>
      </c>
      <c r="L414">
        <v>83</v>
      </c>
      <c r="M414">
        <v>125.5</v>
      </c>
      <c r="N414">
        <v>114.1</v>
      </c>
      <c r="O414">
        <v>120.1002</v>
      </c>
      <c r="P414">
        <v>87</v>
      </c>
      <c r="Q414">
        <v>79</v>
      </c>
      <c r="R414">
        <v>83</v>
      </c>
      <c r="V414" t="s">
        <v>167</v>
      </c>
      <c r="W414" t="s">
        <v>168</v>
      </c>
      <c r="X414" t="s">
        <v>1931</v>
      </c>
      <c r="Y414">
        <v>1</v>
      </c>
      <c r="Z414" t="s">
        <v>170</v>
      </c>
      <c r="AA414" t="s">
        <v>170</v>
      </c>
      <c r="AB414" t="s">
        <v>167</v>
      </c>
      <c r="AC414" t="s">
        <v>213</v>
      </c>
      <c r="AF414">
        <v>231</v>
      </c>
      <c r="AG414" t="s">
        <v>1735</v>
      </c>
      <c r="AH414" t="s">
        <v>1736</v>
      </c>
      <c r="AI414" t="s">
        <v>175</v>
      </c>
      <c r="AJ414" t="s">
        <v>176</v>
      </c>
      <c r="AK414">
        <v>4</v>
      </c>
      <c r="AL414" t="s">
        <v>1737</v>
      </c>
      <c r="AS414">
        <v>1000</v>
      </c>
      <c r="AT414">
        <v>50</v>
      </c>
      <c r="BQ414">
        <v>31</v>
      </c>
      <c r="BR414" t="s">
        <v>1219</v>
      </c>
      <c r="BT414" t="s">
        <v>1738</v>
      </c>
      <c r="BU414" s="1">
        <v>45675</v>
      </c>
      <c r="BV414">
        <v>36040</v>
      </c>
      <c r="BX414" t="s">
        <v>170</v>
      </c>
      <c r="BY414" t="s">
        <v>170</v>
      </c>
      <c r="CB414" t="s">
        <v>170</v>
      </c>
      <c r="CC414" t="s">
        <v>170</v>
      </c>
      <c r="CK414" t="s">
        <v>233</v>
      </c>
      <c r="CM414">
        <v>1</v>
      </c>
      <c r="CN414" t="s">
        <v>234</v>
      </c>
      <c r="CP414">
        <v>697</v>
      </c>
      <c r="CQ414">
        <v>120.6</v>
      </c>
      <c r="CR414">
        <v>172.9</v>
      </c>
      <c r="CS414" t="s">
        <v>1752</v>
      </c>
      <c r="CV414" t="s">
        <v>341</v>
      </c>
      <c r="CX414" t="s">
        <v>342</v>
      </c>
      <c r="CY414" t="s">
        <v>169</v>
      </c>
      <c r="DC414" t="s">
        <v>1949</v>
      </c>
      <c r="DD414">
        <v>2</v>
      </c>
      <c r="DE414" t="s">
        <v>404</v>
      </c>
      <c r="DF414" t="s">
        <v>1950</v>
      </c>
      <c r="DG414" t="s">
        <v>2028</v>
      </c>
      <c r="DL414" t="s">
        <v>170</v>
      </c>
      <c r="DM414" t="s">
        <v>169</v>
      </c>
      <c r="DP414" t="s">
        <v>170</v>
      </c>
      <c r="DQ414" t="s">
        <v>187</v>
      </c>
      <c r="EB414">
        <v>9</v>
      </c>
      <c r="EC414">
        <v>10</v>
      </c>
      <c r="EE414" t="s">
        <v>2029</v>
      </c>
      <c r="EF414">
        <v>10</v>
      </c>
      <c r="EU414">
        <v>4500</v>
      </c>
      <c r="EW414">
        <v>0</v>
      </c>
      <c r="EX414">
        <v>0</v>
      </c>
      <c r="EY414">
        <v>0</v>
      </c>
      <c r="FA414">
        <v>8.6</v>
      </c>
      <c r="FG414">
        <v>241</v>
      </c>
      <c r="FH414">
        <v>219</v>
      </c>
      <c r="FI414">
        <v>231</v>
      </c>
    </row>
    <row r="415" spans="1:165" x14ac:dyDescent="0.35">
      <c r="A415">
        <v>2025</v>
      </c>
      <c r="B415" t="s">
        <v>756</v>
      </c>
      <c r="C415" t="s">
        <v>757</v>
      </c>
      <c r="D415" t="s">
        <v>2027</v>
      </c>
      <c r="E415" t="s">
        <v>759</v>
      </c>
      <c r="F415">
        <v>33</v>
      </c>
      <c r="G415">
        <v>0</v>
      </c>
      <c r="I415" t="s">
        <v>1734</v>
      </c>
      <c r="J415">
        <v>38</v>
      </c>
      <c r="K415">
        <v>42</v>
      </c>
      <c r="L415">
        <v>40</v>
      </c>
      <c r="M415">
        <v>26.863</v>
      </c>
      <c r="N415">
        <v>29.546299999999999</v>
      </c>
      <c r="O415">
        <v>28.070499999999999</v>
      </c>
      <c r="P415">
        <v>38</v>
      </c>
      <c r="Q415">
        <v>42</v>
      </c>
      <c r="R415">
        <v>40</v>
      </c>
      <c r="V415" t="s">
        <v>167</v>
      </c>
      <c r="W415" t="s">
        <v>168</v>
      </c>
      <c r="X415" t="s">
        <v>1931</v>
      </c>
      <c r="Y415">
        <v>1</v>
      </c>
      <c r="Z415" t="s">
        <v>170</v>
      </c>
      <c r="AA415" t="s">
        <v>170</v>
      </c>
      <c r="AB415" t="s">
        <v>167</v>
      </c>
      <c r="AC415" t="s">
        <v>213</v>
      </c>
      <c r="AF415">
        <v>231</v>
      </c>
      <c r="AG415" t="s">
        <v>1735</v>
      </c>
      <c r="AH415" t="s">
        <v>1736</v>
      </c>
      <c r="AI415" t="s">
        <v>1742</v>
      </c>
      <c r="AJ415" t="s">
        <v>1743</v>
      </c>
      <c r="AK415">
        <v>4</v>
      </c>
      <c r="AL415" t="s">
        <v>1737</v>
      </c>
      <c r="AS415">
        <v>1000</v>
      </c>
      <c r="AT415">
        <v>1000</v>
      </c>
      <c r="BQ415">
        <v>31</v>
      </c>
      <c r="BR415" t="s">
        <v>1219</v>
      </c>
      <c r="BT415" t="s">
        <v>1738</v>
      </c>
      <c r="BU415" s="1">
        <v>45675</v>
      </c>
      <c r="BV415">
        <v>36040</v>
      </c>
      <c r="BX415" t="s">
        <v>170</v>
      </c>
      <c r="BY415" t="s">
        <v>170</v>
      </c>
      <c r="CB415" t="s">
        <v>170</v>
      </c>
      <c r="CC415" t="s">
        <v>170</v>
      </c>
      <c r="CK415" t="s">
        <v>233</v>
      </c>
      <c r="CM415">
        <v>1</v>
      </c>
      <c r="CN415" t="s">
        <v>234</v>
      </c>
      <c r="CP415">
        <v>697</v>
      </c>
      <c r="CQ415">
        <v>120.6</v>
      </c>
      <c r="CR415">
        <v>172.9</v>
      </c>
      <c r="CS415" t="s">
        <v>1752</v>
      </c>
      <c r="CV415" t="s">
        <v>341</v>
      </c>
      <c r="CX415" t="s">
        <v>342</v>
      </c>
      <c r="CY415" t="s">
        <v>169</v>
      </c>
      <c r="DC415" t="s">
        <v>1949</v>
      </c>
      <c r="DD415">
        <v>2</v>
      </c>
      <c r="DE415" t="s">
        <v>404</v>
      </c>
      <c r="DF415" t="s">
        <v>1950</v>
      </c>
      <c r="DG415" t="s">
        <v>2028</v>
      </c>
      <c r="DL415" t="s">
        <v>170</v>
      </c>
      <c r="DM415" t="s">
        <v>169</v>
      </c>
      <c r="DP415" t="s">
        <v>170</v>
      </c>
      <c r="DQ415" t="s">
        <v>187</v>
      </c>
      <c r="EB415">
        <v>9</v>
      </c>
      <c r="EC415">
        <v>10</v>
      </c>
      <c r="EE415" t="s">
        <v>2029</v>
      </c>
      <c r="EF415">
        <v>10</v>
      </c>
      <c r="EU415">
        <v>4500</v>
      </c>
      <c r="EW415">
        <v>0</v>
      </c>
      <c r="EX415">
        <v>0</v>
      </c>
      <c r="EY415">
        <v>0</v>
      </c>
      <c r="FA415">
        <v>8.6</v>
      </c>
      <c r="FG415">
        <v>241</v>
      </c>
      <c r="FH415">
        <v>219</v>
      </c>
      <c r="FI415">
        <v>231</v>
      </c>
    </row>
    <row r="416" spans="1:165" x14ac:dyDescent="0.35">
      <c r="A416" s="25"/>
      <c r="B416" s="25"/>
      <c r="C416" s="25"/>
      <c r="D416" s="25"/>
      <c r="E416" s="25"/>
      <c r="F416" s="25" t="str">
        <f>_xlfn.CONCAT($A417," ",$B417," ",$D417)</f>
        <v>2025 Kia EV6 Long Range AWD (19'' Wheels)</v>
      </c>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c r="AD416" s="25" t="str">
        <f>_xlfn.CONCAT($A417," ",$B417," ",$D417)</f>
        <v>2025 Kia EV6 Long Range AWD (19'' Wheels)</v>
      </c>
      <c r="AE416" s="25"/>
      <c r="AF416" s="25"/>
      <c r="AG416" s="25"/>
      <c r="AH416" s="25"/>
      <c r="AI416" s="25"/>
      <c r="AJ416" s="25"/>
      <c r="AK416" s="25"/>
      <c r="AL416" s="25"/>
      <c r="AM416" s="25"/>
      <c r="AN416" s="25"/>
      <c r="AO416" s="25"/>
      <c r="AP416" s="25"/>
      <c r="AQ416" s="25"/>
      <c r="AR416" s="25"/>
      <c r="AS416" s="25"/>
      <c r="AT416" s="25"/>
      <c r="AU416" s="25"/>
      <c r="AV416" s="25"/>
      <c r="AW416" s="25"/>
      <c r="AX416" s="25" t="str">
        <f>_xlfn.CONCAT($A417," ",$B417," ",$D417)</f>
        <v>2025 Kia EV6 Long Range AWD (19'' Wheels)</v>
      </c>
      <c r="AY416" s="25"/>
      <c r="AZ416" s="25"/>
      <c r="BA416" s="25"/>
      <c r="BB416" s="25"/>
      <c r="BC416" s="25"/>
      <c r="BD416" s="25"/>
      <c r="BE416" s="25"/>
      <c r="BF416" s="25"/>
      <c r="BG416" s="25"/>
      <c r="BH416" s="25"/>
      <c r="BI416" s="25"/>
      <c r="BJ416" s="25"/>
      <c r="BK416" s="25"/>
      <c r="BL416" s="25"/>
      <c r="BM416" s="25"/>
      <c r="BN416" s="25"/>
      <c r="BO416" s="25"/>
      <c r="BP416" s="25"/>
      <c r="BQ416" s="25"/>
      <c r="BR416" s="25" t="str">
        <f>_xlfn.CONCAT($A417," ",$B417," ",$D417)</f>
        <v>2025 Kia EV6 Long Range AWD (19'' Wheels)</v>
      </c>
      <c r="BS416" s="25"/>
      <c r="BT416" s="25"/>
      <c r="BU416" s="25"/>
      <c r="BV416" s="25"/>
      <c r="BX416" s="25"/>
      <c r="BY416" s="25"/>
      <c r="BZ416" s="25"/>
      <c r="CA416" s="25"/>
      <c r="CB416" s="25"/>
      <c r="CC416" s="25"/>
      <c r="CD416" s="25"/>
      <c r="CE416" s="25"/>
      <c r="CF416" s="25"/>
      <c r="CG416" s="25"/>
      <c r="CH416" s="25"/>
      <c r="CI416" s="25"/>
      <c r="CJ416" s="25"/>
      <c r="CK416" s="25"/>
      <c r="CL416" s="25"/>
      <c r="CM416" s="25"/>
      <c r="CN416" s="25"/>
      <c r="CO416" s="25"/>
      <c r="CP416" s="25" t="str">
        <f>_xlfn.CONCAT($A417," ",$B417," ",$D417)</f>
        <v>2025 Kia EV6 Long Range AWD (19'' Wheels)</v>
      </c>
      <c r="CQ416" s="25"/>
      <c r="CR416" s="25"/>
      <c r="CS416" s="25"/>
      <c r="CT416" s="25"/>
      <c r="CU416" s="25"/>
      <c r="CV416" s="25"/>
      <c r="CW416" s="25"/>
      <c r="CX416" s="25"/>
      <c r="CY416" s="25"/>
      <c r="CZ416" s="25"/>
      <c r="DA416" s="25"/>
      <c r="DB416" s="25"/>
      <c r="DC416" s="25"/>
      <c r="DD416" s="25"/>
      <c r="DE416" s="25"/>
      <c r="DF416" s="25"/>
      <c r="DG416" s="25"/>
      <c r="DH416" s="25"/>
      <c r="DI416" s="25" t="str">
        <f>_xlfn.CONCAT($A417," ",$B417," ",$D417)</f>
        <v>2025 Kia EV6 Long Range AWD (19'' Wheels)</v>
      </c>
      <c r="DJ416" s="25"/>
      <c r="DK416" s="25"/>
      <c r="DL416" s="25"/>
      <c r="DM416" s="25"/>
      <c r="DN416" s="25"/>
      <c r="DO416" s="25"/>
      <c r="DP416" s="25"/>
      <c r="DQ416" s="25"/>
      <c r="DR416" s="25"/>
      <c r="DS416" s="25"/>
      <c r="DT416" s="25"/>
      <c r="DU416" s="25"/>
      <c r="DV416" s="25"/>
      <c r="DW416" s="25"/>
      <c r="DX416" s="25"/>
      <c r="DY416" s="25"/>
      <c r="DZ416" s="25" t="str">
        <f>_xlfn.CONCAT($A417," ",$B417," ",$D417)</f>
        <v>2025 Kia EV6 Long Range AWD (19'' Wheels)</v>
      </c>
      <c r="EB416" s="25"/>
      <c r="EC416" s="25"/>
      <c r="ED416" s="25"/>
      <c r="EE416" s="25"/>
      <c r="EF416" s="25"/>
      <c r="EG416" s="25"/>
      <c r="EH416" s="25"/>
      <c r="EI416" s="25"/>
      <c r="EJ416" s="25"/>
      <c r="EK416" s="25"/>
      <c r="EL416" s="25"/>
      <c r="EM416" s="25"/>
      <c r="EN416" s="25"/>
      <c r="EO416" s="25"/>
      <c r="EP416" s="25"/>
      <c r="EQ416" s="25"/>
      <c r="ER416" s="25"/>
      <c r="ES416" s="25"/>
      <c r="ET416" s="25"/>
      <c r="EU416" s="25"/>
      <c r="EV416" s="25" t="str">
        <f>_xlfn.CONCAT($A417," ",$B417," ",$D417)</f>
        <v>2025 Kia EV6 Long Range AWD (19'' Wheels)</v>
      </c>
      <c r="EW416" s="25"/>
      <c r="EX416" s="25"/>
      <c r="EY416" s="25"/>
      <c r="EZ416" s="25"/>
      <c r="FA416" s="25"/>
      <c r="FB416" s="25"/>
      <c r="FC416" s="25"/>
      <c r="FD416" s="25"/>
      <c r="FE416" s="25"/>
      <c r="FF416" s="25"/>
      <c r="FG416" s="25"/>
    </row>
    <row r="417" spans="1:165" x14ac:dyDescent="0.35">
      <c r="A417">
        <v>2025</v>
      </c>
      <c r="B417" t="s">
        <v>756</v>
      </c>
      <c r="C417" t="s">
        <v>757</v>
      </c>
      <c r="D417" t="s">
        <v>2030</v>
      </c>
      <c r="E417" t="s">
        <v>759</v>
      </c>
      <c r="F417">
        <v>34</v>
      </c>
      <c r="G417">
        <v>0</v>
      </c>
      <c r="I417" t="s">
        <v>1734</v>
      </c>
      <c r="J417">
        <v>117</v>
      </c>
      <c r="K417">
        <v>95</v>
      </c>
      <c r="L417">
        <v>106</v>
      </c>
      <c r="M417">
        <v>168.1</v>
      </c>
      <c r="N417">
        <v>136.9</v>
      </c>
      <c r="O417">
        <v>152.46379999999999</v>
      </c>
      <c r="P417">
        <v>117</v>
      </c>
      <c r="Q417">
        <v>95</v>
      </c>
      <c r="R417">
        <v>106</v>
      </c>
      <c r="V417" t="s">
        <v>167</v>
      </c>
      <c r="W417" t="s">
        <v>168</v>
      </c>
      <c r="X417" t="s">
        <v>1931</v>
      </c>
      <c r="Y417">
        <v>1</v>
      </c>
      <c r="Z417" t="s">
        <v>170</v>
      </c>
      <c r="AA417" t="s">
        <v>170</v>
      </c>
      <c r="AB417" t="s">
        <v>167</v>
      </c>
      <c r="AC417" t="s">
        <v>213</v>
      </c>
      <c r="AF417">
        <v>295</v>
      </c>
      <c r="AG417" t="s">
        <v>1735</v>
      </c>
      <c r="AH417" t="s">
        <v>1736</v>
      </c>
      <c r="AI417" t="s">
        <v>175</v>
      </c>
      <c r="AJ417" t="s">
        <v>176</v>
      </c>
      <c r="AK417">
        <v>4</v>
      </c>
      <c r="AL417" t="s">
        <v>1737</v>
      </c>
      <c r="AS417">
        <v>750</v>
      </c>
      <c r="AT417">
        <v>0</v>
      </c>
      <c r="BQ417">
        <v>31</v>
      </c>
      <c r="BR417" t="s">
        <v>1219</v>
      </c>
      <c r="BT417" t="s">
        <v>1738</v>
      </c>
      <c r="BU417" s="1">
        <v>45653</v>
      </c>
      <c r="BV417">
        <v>36023</v>
      </c>
      <c r="BX417" t="s">
        <v>170</v>
      </c>
      <c r="BY417" t="s">
        <v>170</v>
      </c>
      <c r="CB417" t="s">
        <v>170</v>
      </c>
      <c r="CC417" t="s">
        <v>170</v>
      </c>
      <c r="CK417" t="s">
        <v>233</v>
      </c>
      <c r="CM417">
        <v>1</v>
      </c>
      <c r="CN417" t="s">
        <v>234</v>
      </c>
      <c r="CP417">
        <v>697</v>
      </c>
      <c r="CQ417">
        <v>120.6</v>
      </c>
      <c r="CR417">
        <v>175.3</v>
      </c>
      <c r="CS417" t="s">
        <v>1752</v>
      </c>
      <c r="CV417" t="s">
        <v>341</v>
      </c>
      <c r="CX417" t="s">
        <v>342</v>
      </c>
      <c r="CY417" t="s">
        <v>169</v>
      </c>
      <c r="DC417" t="s">
        <v>1949</v>
      </c>
      <c r="DD417">
        <v>2</v>
      </c>
      <c r="DE417" t="s">
        <v>404</v>
      </c>
      <c r="DF417" t="s">
        <v>1950</v>
      </c>
      <c r="DG417" t="s">
        <v>1996</v>
      </c>
      <c r="DL417" t="s">
        <v>170</v>
      </c>
      <c r="DM417" t="s">
        <v>169</v>
      </c>
      <c r="DP417" t="s">
        <v>170</v>
      </c>
      <c r="DQ417" t="s">
        <v>187</v>
      </c>
      <c r="EB417">
        <v>9</v>
      </c>
      <c r="EC417">
        <v>10</v>
      </c>
      <c r="EE417" t="s">
        <v>2031</v>
      </c>
      <c r="EF417">
        <v>10</v>
      </c>
      <c r="EU417">
        <v>5750</v>
      </c>
      <c r="EW417">
        <v>0</v>
      </c>
      <c r="EX417">
        <v>0</v>
      </c>
      <c r="EY417">
        <v>0</v>
      </c>
      <c r="FA417">
        <v>8.8000000000000007</v>
      </c>
      <c r="FG417">
        <v>316</v>
      </c>
      <c r="FH417">
        <v>269</v>
      </c>
      <c r="FI417">
        <v>295</v>
      </c>
    </row>
    <row r="418" spans="1:165" x14ac:dyDescent="0.35">
      <c r="A418">
        <v>2025</v>
      </c>
      <c r="B418" t="s">
        <v>756</v>
      </c>
      <c r="C418" t="s">
        <v>757</v>
      </c>
      <c r="D418" t="s">
        <v>2030</v>
      </c>
      <c r="E418" t="s">
        <v>759</v>
      </c>
      <c r="F418">
        <v>34</v>
      </c>
      <c r="G418">
        <v>0</v>
      </c>
      <c r="I418" t="s">
        <v>1734</v>
      </c>
      <c r="J418">
        <v>29</v>
      </c>
      <c r="K418">
        <v>35</v>
      </c>
      <c r="L418">
        <v>32</v>
      </c>
      <c r="M418">
        <v>20.0502</v>
      </c>
      <c r="N418">
        <v>24.6251</v>
      </c>
      <c r="O418">
        <v>22.108899999999998</v>
      </c>
      <c r="P418">
        <v>29</v>
      </c>
      <c r="Q418">
        <v>35</v>
      </c>
      <c r="R418">
        <v>32</v>
      </c>
      <c r="V418" t="s">
        <v>167</v>
      </c>
      <c r="W418" t="s">
        <v>168</v>
      </c>
      <c r="X418" t="s">
        <v>1931</v>
      </c>
      <c r="Y418">
        <v>1</v>
      </c>
      <c r="Z418" t="s">
        <v>170</v>
      </c>
      <c r="AA418" t="s">
        <v>170</v>
      </c>
      <c r="AB418" t="s">
        <v>167</v>
      </c>
      <c r="AC418" t="s">
        <v>213</v>
      </c>
      <c r="AF418">
        <v>295</v>
      </c>
      <c r="AG418" t="s">
        <v>1735</v>
      </c>
      <c r="AH418" t="s">
        <v>1736</v>
      </c>
      <c r="AI418" t="s">
        <v>1742</v>
      </c>
      <c r="AJ418" t="s">
        <v>1743</v>
      </c>
      <c r="AK418">
        <v>4</v>
      </c>
      <c r="AL418" t="s">
        <v>1737</v>
      </c>
      <c r="AS418">
        <v>750</v>
      </c>
      <c r="AT418">
        <v>750</v>
      </c>
      <c r="BQ418">
        <v>31</v>
      </c>
      <c r="BR418" t="s">
        <v>1219</v>
      </c>
      <c r="BT418" t="s">
        <v>1738</v>
      </c>
      <c r="BU418" s="1">
        <v>45653</v>
      </c>
      <c r="BV418">
        <v>36023</v>
      </c>
      <c r="BX418" t="s">
        <v>170</v>
      </c>
      <c r="BY418" t="s">
        <v>170</v>
      </c>
      <c r="CB418" t="s">
        <v>170</v>
      </c>
      <c r="CC418" t="s">
        <v>170</v>
      </c>
      <c r="CK418" t="s">
        <v>233</v>
      </c>
      <c r="CM418">
        <v>1</v>
      </c>
      <c r="CN418" t="s">
        <v>234</v>
      </c>
      <c r="CP418">
        <v>697</v>
      </c>
      <c r="CQ418">
        <v>120.6</v>
      </c>
      <c r="CR418">
        <v>175.3</v>
      </c>
      <c r="CS418" t="s">
        <v>1752</v>
      </c>
      <c r="CV418" t="s">
        <v>341</v>
      </c>
      <c r="CX418" t="s">
        <v>342</v>
      </c>
      <c r="CY418" t="s">
        <v>169</v>
      </c>
      <c r="DC418" t="s">
        <v>1949</v>
      </c>
      <c r="DD418">
        <v>2</v>
      </c>
      <c r="DE418" t="s">
        <v>404</v>
      </c>
      <c r="DF418" t="s">
        <v>1950</v>
      </c>
      <c r="DG418" t="s">
        <v>1996</v>
      </c>
      <c r="DL418" t="s">
        <v>170</v>
      </c>
      <c r="DM418" t="s">
        <v>169</v>
      </c>
      <c r="DP418" t="s">
        <v>170</v>
      </c>
      <c r="DQ418" t="s">
        <v>187</v>
      </c>
      <c r="EB418">
        <v>9</v>
      </c>
      <c r="EC418">
        <v>10</v>
      </c>
      <c r="EE418" t="s">
        <v>2031</v>
      </c>
      <c r="EF418">
        <v>10</v>
      </c>
      <c r="EU418">
        <v>5750</v>
      </c>
      <c r="EW418">
        <v>0</v>
      </c>
      <c r="EX418">
        <v>0</v>
      </c>
      <c r="EY418">
        <v>0</v>
      </c>
      <c r="FA418">
        <v>8.8000000000000007</v>
      </c>
      <c r="FG418">
        <v>316</v>
      </c>
      <c r="FH418">
        <v>269</v>
      </c>
      <c r="FI418">
        <v>295</v>
      </c>
    </row>
    <row r="419" spans="1:165" x14ac:dyDescent="0.35">
      <c r="A419" s="25"/>
      <c r="B419" s="25"/>
      <c r="C419" s="25"/>
      <c r="D419" s="25"/>
      <c r="E419" s="25"/>
      <c r="F419" s="25" t="str">
        <f>_xlfn.CONCAT($A420," ",$B420," ",$D420)</f>
        <v>2025 Kia EV6 Long Range AWD (20'' Wheels)</v>
      </c>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c r="AD419" s="25" t="str">
        <f>_xlfn.CONCAT($A420," ",$B420," ",$D420)</f>
        <v>2025 Kia EV6 Long Range AWD (20'' Wheels)</v>
      </c>
      <c r="AE419" s="25"/>
      <c r="AF419" s="25"/>
      <c r="AG419" s="25"/>
      <c r="AH419" s="25"/>
      <c r="AI419" s="25"/>
      <c r="AJ419" s="25"/>
      <c r="AK419" s="25"/>
      <c r="AL419" s="25"/>
      <c r="AM419" s="25"/>
      <c r="AN419" s="25"/>
      <c r="AO419" s="25"/>
      <c r="AP419" s="25"/>
      <c r="AQ419" s="25"/>
      <c r="AR419" s="25"/>
      <c r="AS419" s="25"/>
      <c r="AT419" s="25"/>
      <c r="AU419" s="25"/>
      <c r="AV419" s="25"/>
      <c r="AW419" s="25"/>
      <c r="AX419" s="25" t="str">
        <f>_xlfn.CONCAT($A420," ",$B420," ",$D420)</f>
        <v>2025 Kia EV6 Long Range AWD (20'' Wheels)</v>
      </c>
      <c r="AY419" s="25"/>
      <c r="AZ419" s="25"/>
      <c r="BA419" s="25"/>
      <c r="BB419" s="25"/>
      <c r="BC419" s="25"/>
      <c r="BD419" s="25"/>
      <c r="BE419" s="25"/>
      <c r="BF419" s="25"/>
      <c r="BG419" s="25"/>
      <c r="BH419" s="25"/>
      <c r="BI419" s="25"/>
      <c r="BJ419" s="25"/>
      <c r="BK419" s="25"/>
      <c r="BL419" s="25"/>
      <c r="BM419" s="25"/>
      <c r="BN419" s="25"/>
      <c r="BO419" s="25"/>
      <c r="BP419" s="25"/>
      <c r="BQ419" s="25"/>
      <c r="BR419" s="25" t="str">
        <f>_xlfn.CONCAT($A420," ",$B420," ",$D420)</f>
        <v>2025 Kia EV6 Long Range AWD (20'' Wheels)</v>
      </c>
      <c r="BS419" s="25"/>
      <c r="BT419" s="25"/>
      <c r="BU419" s="25"/>
      <c r="BV419" s="25"/>
      <c r="BX419" s="25"/>
      <c r="BY419" s="25"/>
      <c r="BZ419" s="25"/>
      <c r="CA419" s="25"/>
      <c r="CB419" s="25"/>
      <c r="CC419" s="25"/>
      <c r="CD419" s="25"/>
      <c r="CE419" s="25"/>
      <c r="CF419" s="25"/>
      <c r="CG419" s="25"/>
      <c r="CH419" s="25"/>
      <c r="CI419" s="25"/>
      <c r="CJ419" s="25"/>
      <c r="CK419" s="25"/>
      <c r="CL419" s="25"/>
      <c r="CM419" s="25"/>
      <c r="CN419" s="25"/>
      <c r="CO419" s="25"/>
      <c r="CP419" s="25" t="str">
        <f>_xlfn.CONCAT($A420," ",$B420," ",$D420)</f>
        <v>2025 Kia EV6 Long Range AWD (20'' Wheels)</v>
      </c>
      <c r="CQ419" s="25"/>
      <c r="CR419" s="25"/>
      <c r="CS419" s="25"/>
      <c r="CT419" s="25"/>
      <c r="CU419" s="25"/>
      <c r="CV419" s="25"/>
      <c r="CW419" s="25"/>
      <c r="CX419" s="25"/>
      <c r="CY419" s="25"/>
      <c r="CZ419" s="25"/>
      <c r="DA419" s="25"/>
      <c r="DB419" s="25"/>
      <c r="DC419" s="25"/>
      <c r="DD419" s="25"/>
      <c r="DE419" s="25"/>
      <c r="DF419" s="25"/>
      <c r="DG419" s="25"/>
      <c r="DH419" s="25"/>
      <c r="DI419" s="25" t="str">
        <f>_xlfn.CONCAT($A420," ",$B420," ",$D420)</f>
        <v>2025 Kia EV6 Long Range AWD (20'' Wheels)</v>
      </c>
      <c r="DJ419" s="25"/>
      <c r="DK419" s="25"/>
      <c r="DL419" s="25"/>
      <c r="DM419" s="25"/>
      <c r="DN419" s="25"/>
      <c r="DO419" s="25"/>
      <c r="DP419" s="25"/>
      <c r="DQ419" s="25"/>
      <c r="DR419" s="25"/>
      <c r="DS419" s="25"/>
      <c r="DT419" s="25"/>
      <c r="DU419" s="25"/>
      <c r="DV419" s="25"/>
      <c r="DW419" s="25"/>
      <c r="DX419" s="25"/>
      <c r="DY419" s="25"/>
      <c r="DZ419" s="25" t="str">
        <f>_xlfn.CONCAT($A420," ",$B420," ",$D420)</f>
        <v>2025 Kia EV6 Long Range AWD (20'' Wheels)</v>
      </c>
      <c r="EB419" s="25"/>
      <c r="EC419" s="25"/>
      <c r="ED419" s="25"/>
      <c r="EE419" s="25"/>
      <c r="EF419" s="25"/>
      <c r="EG419" s="25"/>
      <c r="EH419" s="25"/>
      <c r="EI419" s="25"/>
      <c r="EJ419" s="25"/>
      <c r="EK419" s="25"/>
      <c r="EL419" s="25"/>
      <c r="EM419" s="25"/>
      <c r="EN419" s="25"/>
      <c r="EO419" s="25"/>
      <c r="EP419" s="25"/>
      <c r="EQ419" s="25"/>
      <c r="ER419" s="25"/>
      <c r="ES419" s="25"/>
      <c r="ET419" s="25"/>
      <c r="EU419" s="25"/>
      <c r="EV419" s="25" t="str">
        <f>_xlfn.CONCAT($A420," ",$B420," ",$D420)</f>
        <v>2025 Kia EV6 Long Range AWD (20'' Wheels)</v>
      </c>
      <c r="EW419" s="25"/>
      <c r="EX419" s="25"/>
      <c r="EY419" s="25"/>
      <c r="EZ419" s="25"/>
      <c r="FA419" s="25"/>
      <c r="FB419" s="25"/>
      <c r="FC419" s="25"/>
      <c r="FD419" s="25"/>
      <c r="FE419" s="25"/>
      <c r="FF419" s="25"/>
      <c r="FG419" s="25"/>
    </row>
    <row r="420" spans="1:165" x14ac:dyDescent="0.35">
      <c r="A420">
        <v>2025</v>
      </c>
      <c r="B420" t="s">
        <v>756</v>
      </c>
      <c r="C420" t="s">
        <v>757</v>
      </c>
      <c r="D420" t="s">
        <v>2032</v>
      </c>
      <c r="E420" t="s">
        <v>759</v>
      </c>
      <c r="F420">
        <v>35</v>
      </c>
      <c r="G420">
        <v>0</v>
      </c>
      <c r="I420" t="s">
        <v>1734</v>
      </c>
      <c r="J420">
        <v>106</v>
      </c>
      <c r="K420">
        <v>89</v>
      </c>
      <c r="L420">
        <v>97</v>
      </c>
      <c r="M420">
        <v>151.69999999999999</v>
      </c>
      <c r="N420">
        <v>126.5</v>
      </c>
      <c r="O420">
        <v>139.21969999999999</v>
      </c>
      <c r="P420">
        <v>106.19</v>
      </c>
      <c r="Q420">
        <v>88.55</v>
      </c>
      <c r="R420">
        <v>97.453800000000001</v>
      </c>
      <c r="V420" t="s">
        <v>167</v>
      </c>
      <c r="W420" t="s">
        <v>168</v>
      </c>
      <c r="X420" t="s">
        <v>1931</v>
      </c>
      <c r="Y420">
        <v>1</v>
      </c>
      <c r="Z420" t="s">
        <v>170</v>
      </c>
      <c r="AA420" t="s">
        <v>170</v>
      </c>
      <c r="AB420" t="s">
        <v>167</v>
      </c>
      <c r="AC420" t="s">
        <v>213</v>
      </c>
      <c r="AF420">
        <v>270</v>
      </c>
      <c r="AG420" t="s">
        <v>1735</v>
      </c>
      <c r="AH420" t="s">
        <v>1736</v>
      </c>
      <c r="AI420" t="s">
        <v>175</v>
      </c>
      <c r="AJ420" t="s">
        <v>176</v>
      </c>
      <c r="AK420">
        <v>4</v>
      </c>
      <c r="AL420" t="s">
        <v>1737</v>
      </c>
      <c r="AS420">
        <v>850</v>
      </c>
      <c r="AT420">
        <v>0</v>
      </c>
      <c r="BQ420">
        <v>31</v>
      </c>
      <c r="BR420" t="s">
        <v>1219</v>
      </c>
      <c r="BT420" t="s">
        <v>1738</v>
      </c>
      <c r="BU420" s="1">
        <v>45653</v>
      </c>
      <c r="BV420">
        <v>36022</v>
      </c>
      <c r="BX420" t="s">
        <v>170</v>
      </c>
      <c r="BY420" t="s">
        <v>170</v>
      </c>
      <c r="CB420" t="s">
        <v>170</v>
      </c>
      <c r="CC420" t="s">
        <v>170</v>
      </c>
      <c r="CK420" t="s">
        <v>233</v>
      </c>
      <c r="CM420">
        <v>1</v>
      </c>
      <c r="CN420" t="s">
        <v>234</v>
      </c>
      <c r="CP420">
        <v>697</v>
      </c>
      <c r="CQ420">
        <v>120.6</v>
      </c>
      <c r="CR420">
        <v>175.3</v>
      </c>
      <c r="CS420" t="s">
        <v>1752</v>
      </c>
      <c r="CV420" t="s">
        <v>341</v>
      </c>
      <c r="CX420" t="s">
        <v>342</v>
      </c>
      <c r="CY420" t="s">
        <v>169</v>
      </c>
      <c r="DC420" t="s">
        <v>1949</v>
      </c>
      <c r="DD420">
        <v>2</v>
      </c>
      <c r="DE420" t="s">
        <v>404</v>
      </c>
      <c r="DF420" t="s">
        <v>1950</v>
      </c>
      <c r="DG420" t="s">
        <v>1996</v>
      </c>
      <c r="DL420" t="s">
        <v>170</v>
      </c>
      <c r="DM420" t="s">
        <v>169</v>
      </c>
      <c r="DP420" t="s">
        <v>170</v>
      </c>
      <c r="DQ420" t="s">
        <v>187</v>
      </c>
      <c r="EB420">
        <v>9</v>
      </c>
      <c r="EC420">
        <v>10</v>
      </c>
      <c r="EE420" t="s">
        <v>2031</v>
      </c>
      <c r="EF420">
        <v>10</v>
      </c>
      <c r="EU420">
        <v>5250</v>
      </c>
      <c r="EW420">
        <v>0</v>
      </c>
      <c r="EX420">
        <v>0</v>
      </c>
      <c r="EY420">
        <v>0</v>
      </c>
      <c r="FA420">
        <v>8.9</v>
      </c>
      <c r="FG420">
        <v>292</v>
      </c>
      <c r="FH420">
        <v>243</v>
      </c>
      <c r="FI420">
        <v>270</v>
      </c>
    </row>
    <row r="421" spans="1:165" x14ac:dyDescent="0.35">
      <c r="A421">
        <v>2025</v>
      </c>
      <c r="B421" t="s">
        <v>756</v>
      </c>
      <c r="C421" t="s">
        <v>757</v>
      </c>
      <c r="D421" t="s">
        <v>2032</v>
      </c>
      <c r="E421" t="s">
        <v>759</v>
      </c>
      <c r="F421">
        <v>35</v>
      </c>
      <c r="G421">
        <v>0</v>
      </c>
      <c r="I421" t="s">
        <v>1734</v>
      </c>
      <c r="J421">
        <v>32</v>
      </c>
      <c r="K421">
        <v>38</v>
      </c>
      <c r="L421">
        <v>35</v>
      </c>
      <c r="M421">
        <v>22.222000000000001</v>
      </c>
      <c r="N421">
        <v>26.652100000000001</v>
      </c>
      <c r="O421">
        <v>24.215599999999998</v>
      </c>
      <c r="P421">
        <v>31.740300000000001</v>
      </c>
      <c r="Q421">
        <v>38.063200000000002</v>
      </c>
      <c r="R421">
        <v>34.585599999999999</v>
      </c>
      <c r="V421" t="s">
        <v>167</v>
      </c>
      <c r="W421" t="s">
        <v>168</v>
      </c>
      <c r="X421" t="s">
        <v>1931</v>
      </c>
      <c r="Y421">
        <v>1</v>
      </c>
      <c r="Z421" t="s">
        <v>170</v>
      </c>
      <c r="AA421" t="s">
        <v>170</v>
      </c>
      <c r="AB421" t="s">
        <v>167</v>
      </c>
      <c r="AC421" t="s">
        <v>213</v>
      </c>
      <c r="AF421">
        <v>270</v>
      </c>
      <c r="AG421" t="s">
        <v>1735</v>
      </c>
      <c r="AH421" t="s">
        <v>1736</v>
      </c>
      <c r="AI421" t="s">
        <v>1742</v>
      </c>
      <c r="AJ421" t="s">
        <v>1743</v>
      </c>
      <c r="AK421">
        <v>4</v>
      </c>
      <c r="AL421" t="s">
        <v>1737</v>
      </c>
      <c r="AS421">
        <v>850</v>
      </c>
      <c r="AT421">
        <v>850</v>
      </c>
      <c r="BQ421">
        <v>31</v>
      </c>
      <c r="BR421" t="s">
        <v>1219</v>
      </c>
      <c r="BT421" t="s">
        <v>1738</v>
      </c>
      <c r="BU421" s="1">
        <v>45653</v>
      </c>
      <c r="BV421">
        <v>36022</v>
      </c>
      <c r="BX421" t="s">
        <v>170</v>
      </c>
      <c r="BY421" t="s">
        <v>170</v>
      </c>
      <c r="CB421" t="s">
        <v>170</v>
      </c>
      <c r="CC421" t="s">
        <v>170</v>
      </c>
      <c r="CK421" t="s">
        <v>233</v>
      </c>
      <c r="CM421">
        <v>1</v>
      </c>
      <c r="CN421" t="s">
        <v>234</v>
      </c>
      <c r="CP421">
        <v>697</v>
      </c>
      <c r="CQ421">
        <v>120.6</v>
      </c>
      <c r="CR421">
        <v>175.3</v>
      </c>
      <c r="CS421" t="s">
        <v>1752</v>
      </c>
      <c r="CV421" t="s">
        <v>341</v>
      </c>
      <c r="CX421" t="s">
        <v>342</v>
      </c>
      <c r="CY421" t="s">
        <v>169</v>
      </c>
      <c r="DC421" t="s">
        <v>1949</v>
      </c>
      <c r="DD421">
        <v>2</v>
      </c>
      <c r="DE421" t="s">
        <v>404</v>
      </c>
      <c r="DF421" t="s">
        <v>1950</v>
      </c>
      <c r="DG421" t="s">
        <v>1996</v>
      </c>
      <c r="DL421" t="s">
        <v>170</v>
      </c>
      <c r="DM421" t="s">
        <v>169</v>
      </c>
      <c r="DP421" t="s">
        <v>170</v>
      </c>
      <c r="DQ421" t="s">
        <v>187</v>
      </c>
      <c r="EB421">
        <v>9</v>
      </c>
      <c r="EC421">
        <v>10</v>
      </c>
      <c r="EE421" t="s">
        <v>2031</v>
      </c>
      <c r="EF421">
        <v>10</v>
      </c>
      <c r="EU421">
        <v>5250</v>
      </c>
      <c r="EW421">
        <v>0</v>
      </c>
      <c r="EX421">
        <v>0</v>
      </c>
      <c r="EY421">
        <v>0</v>
      </c>
      <c r="FA421">
        <v>8.9</v>
      </c>
      <c r="FG421">
        <v>292</v>
      </c>
      <c r="FH421">
        <v>243</v>
      </c>
      <c r="FI421">
        <v>270</v>
      </c>
    </row>
    <row r="422" spans="1:165" x14ac:dyDescent="0.35">
      <c r="A422" s="25"/>
      <c r="B422" s="25"/>
      <c r="C422" s="25"/>
      <c r="D422" s="25"/>
      <c r="E422" s="25"/>
      <c r="F422" s="25" t="str">
        <f>_xlfn.CONCAT($A423," ",$B423," ",$D423)</f>
        <v>2025 Kia EV6 Standard Range RWD</v>
      </c>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c r="AD422" s="25" t="str">
        <f>_xlfn.CONCAT($A423," ",$B423," ",$D423)</f>
        <v>2025 Kia EV6 Standard Range RWD</v>
      </c>
      <c r="AE422" s="25"/>
      <c r="AF422" s="25"/>
      <c r="AG422" s="25"/>
      <c r="AH422" s="25"/>
      <c r="AI422" s="25"/>
      <c r="AJ422" s="25"/>
      <c r="AK422" s="25"/>
      <c r="AL422" s="25"/>
      <c r="AM422" s="25"/>
      <c r="AN422" s="25"/>
      <c r="AO422" s="25"/>
      <c r="AP422" s="25"/>
      <c r="AQ422" s="25"/>
      <c r="AR422" s="25"/>
      <c r="AS422" s="25"/>
      <c r="AT422" s="25"/>
      <c r="AU422" s="25"/>
      <c r="AV422" s="25"/>
      <c r="AW422" s="25"/>
      <c r="AX422" s="25" t="str">
        <f>_xlfn.CONCAT($A423," ",$B423," ",$D423)</f>
        <v>2025 Kia EV6 Standard Range RWD</v>
      </c>
      <c r="AY422" s="25"/>
      <c r="AZ422" s="25"/>
      <c r="BA422" s="25"/>
      <c r="BB422" s="25"/>
      <c r="BC422" s="25"/>
      <c r="BD422" s="25"/>
      <c r="BE422" s="25"/>
      <c r="BF422" s="25"/>
      <c r="BG422" s="25"/>
      <c r="BH422" s="25"/>
      <c r="BI422" s="25"/>
      <c r="BJ422" s="25"/>
      <c r="BK422" s="25"/>
      <c r="BL422" s="25"/>
      <c r="BM422" s="25"/>
      <c r="BN422" s="25"/>
      <c r="BO422" s="25"/>
      <c r="BP422" s="25"/>
      <c r="BQ422" s="25"/>
      <c r="BR422" s="25" t="str">
        <f>_xlfn.CONCAT($A423," ",$B423," ",$D423)</f>
        <v>2025 Kia EV6 Standard Range RWD</v>
      </c>
      <c r="BS422" s="25"/>
      <c r="BT422" s="25"/>
      <c r="BU422" s="25"/>
      <c r="BV422" s="25"/>
      <c r="BX422" s="25"/>
      <c r="BY422" s="25"/>
      <c r="BZ422" s="25"/>
      <c r="CA422" s="25"/>
      <c r="CB422" s="25"/>
      <c r="CC422" s="25"/>
      <c r="CD422" s="25"/>
      <c r="CE422" s="25"/>
      <c r="CF422" s="25"/>
      <c r="CG422" s="25"/>
      <c r="CH422" s="25"/>
      <c r="CI422" s="25"/>
      <c r="CJ422" s="25"/>
      <c r="CK422" s="25"/>
      <c r="CL422" s="25"/>
      <c r="CM422" s="25"/>
      <c r="CN422" s="25"/>
      <c r="CO422" s="25"/>
      <c r="CP422" s="25" t="str">
        <f>_xlfn.CONCAT($A423," ",$B423," ",$D423)</f>
        <v>2025 Kia EV6 Standard Range RWD</v>
      </c>
      <c r="CQ422" s="25"/>
      <c r="CR422" s="25"/>
      <c r="CS422" s="25"/>
      <c r="CT422" s="25"/>
      <c r="CU422" s="25"/>
      <c r="CV422" s="25"/>
      <c r="CW422" s="25"/>
      <c r="CX422" s="25"/>
      <c r="CY422" s="25"/>
      <c r="CZ422" s="25"/>
      <c r="DA422" s="25"/>
      <c r="DB422" s="25"/>
      <c r="DC422" s="25"/>
      <c r="DD422" s="25"/>
      <c r="DE422" s="25"/>
      <c r="DF422" s="25"/>
      <c r="DG422" s="25"/>
      <c r="DH422" s="25"/>
      <c r="DI422" s="25" t="str">
        <f>_xlfn.CONCAT($A423," ",$B423," ",$D423)</f>
        <v>2025 Kia EV6 Standard Range RWD</v>
      </c>
      <c r="DJ422" s="25"/>
      <c r="DK422" s="25"/>
      <c r="DL422" s="25"/>
      <c r="DM422" s="25"/>
      <c r="DN422" s="25"/>
      <c r="DO422" s="25"/>
      <c r="DP422" s="25"/>
      <c r="DQ422" s="25"/>
      <c r="DR422" s="25"/>
      <c r="DS422" s="25"/>
      <c r="DT422" s="25"/>
      <c r="DU422" s="25"/>
      <c r="DV422" s="25"/>
      <c r="DW422" s="25"/>
      <c r="DX422" s="25"/>
      <c r="DY422" s="25"/>
      <c r="DZ422" s="25" t="str">
        <f>_xlfn.CONCAT($A423," ",$B423," ",$D423)</f>
        <v>2025 Kia EV6 Standard Range RWD</v>
      </c>
      <c r="EB422" s="25"/>
      <c r="EC422" s="25"/>
      <c r="ED422" s="25"/>
      <c r="EE422" s="25"/>
      <c r="EF422" s="25"/>
      <c r="EG422" s="25"/>
      <c r="EH422" s="25"/>
      <c r="EI422" s="25"/>
      <c r="EJ422" s="25"/>
      <c r="EK422" s="25"/>
      <c r="EL422" s="25"/>
      <c r="EM422" s="25"/>
      <c r="EN422" s="25"/>
      <c r="EO422" s="25"/>
      <c r="EP422" s="25"/>
      <c r="EQ422" s="25"/>
      <c r="ER422" s="25"/>
      <c r="ES422" s="25"/>
      <c r="ET422" s="25"/>
      <c r="EU422" s="25"/>
      <c r="EV422" s="25" t="str">
        <f>_xlfn.CONCAT($A423," ",$B423," ",$D423)</f>
        <v>2025 Kia EV6 Standard Range RWD</v>
      </c>
      <c r="EW422" s="25"/>
      <c r="EX422" s="25"/>
      <c r="EY422" s="25"/>
      <c r="EZ422" s="25"/>
      <c r="FA422" s="25"/>
      <c r="FB422" s="25"/>
      <c r="FC422" s="25"/>
      <c r="FD422" s="25"/>
      <c r="FE422" s="25"/>
      <c r="FF422" s="25"/>
      <c r="FG422" s="25"/>
    </row>
    <row r="423" spans="1:165" x14ac:dyDescent="0.35">
      <c r="A423">
        <v>2025</v>
      </c>
      <c r="B423" t="s">
        <v>756</v>
      </c>
      <c r="C423" t="s">
        <v>757</v>
      </c>
      <c r="D423" t="s">
        <v>2035</v>
      </c>
      <c r="E423" t="s">
        <v>759</v>
      </c>
      <c r="F423">
        <v>36</v>
      </c>
      <c r="G423">
        <v>0</v>
      </c>
      <c r="I423" t="s">
        <v>1734</v>
      </c>
      <c r="J423">
        <v>128</v>
      </c>
      <c r="K423">
        <v>103</v>
      </c>
      <c r="L423">
        <v>115</v>
      </c>
      <c r="M423">
        <v>182.7</v>
      </c>
      <c r="N423">
        <v>147.1</v>
      </c>
      <c r="O423">
        <v>164.75710000000001</v>
      </c>
      <c r="P423">
        <v>127.89</v>
      </c>
      <c r="Q423">
        <v>102.97</v>
      </c>
      <c r="R423">
        <v>115.33</v>
      </c>
      <c r="V423" t="s">
        <v>167</v>
      </c>
      <c r="W423" t="s">
        <v>168</v>
      </c>
      <c r="X423" t="s">
        <v>1931</v>
      </c>
      <c r="Y423">
        <v>1</v>
      </c>
      <c r="Z423" t="s">
        <v>170</v>
      </c>
      <c r="AA423" t="s">
        <v>170</v>
      </c>
      <c r="AB423" t="s">
        <v>171</v>
      </c>
      <c r="AC423" t="s">
        <v>172</v>
      </c>
      <c r="AF423">
        <v>237</v>
      </c>
      <c r="AG423" t="s">
        <v>1735</v>
      </c>
      <c r="AH423" t="s">
        <v>1736</v>
      </c>
      <c r="AI423" t="s">
        <v>175</v>
      </c>
      <c r="AJ423" t="s">
        <v>176</v>
      </c>
      <c r="AK423">
        <v>4</v>
      </c>
      <c r="AL423" t="s">
        <v>1737</v>
      </c>
      <c r="AS423">
        <v>700</v>
      </c>
      <c r="AT423">
        <v>0</v>
      </c>
      <c r="BQ423">
        <v>30</v>
      </c>
      <c r="BR423" t="s">
        <v>1099</v>
      </c>
      <c r="BT423" t="s">
        <v>1738</v>
      </c>
      <c r="BU423" s="1">
        <v>45667</v>
      </c>
      <c r="BV423">
        <v>36055</v>
      </c>
      <c r="BX423" t="s">
        <v>170</v>
      </c>
      <c r="BY423" t="s">
        <v>170</v>
      </c>
      <c r="CB423" t="s">
        <v>170</v>
      </c>
      <c r="CC423" t="s">
        <v>170</v>
      </c>
      <c r="CK423" t="s">
        <v>233</v>
      </c>
      <c r="CM423">
        <v>1</v>
      </c>
      <c r="CN423" t="s">
        <v>234</v>
      </c>
      <c r="CP423">
        <v>523</v>
      </c>
      <c r="CQ423">
        <v>120.6</v>
      </c>
      <c r="CR423">
        <v>169.7</v>
      </c>
      <c r="CS423" t="s">
        <v>1752</v>
      </c>
      <c r="CV423" t="s">
        <v>341</v>
      </c>
      <c r="CX423" t="s">
        <v>1012</v>
      </c>
      <c r="CY423" t="s">
        <v>169</v>
      </c>
      <c r="DC423" t="s">
        <v>1949</v>
      </c>
      <c r="DD423">
        <v>1</v>
      </c>
      <c r="DE423" t="s">
        <v>404</v>
      </c>
      <c r="DF423" t="s">
        <v>1950</v>
      </c>
      <c r="DG423">
        <v>125</v>
      </c>
      <c r="DL423" t="s">
        <v>170</v>
      </c>
      <c r="DM423" t="s">
        <v>169</v>
      </c>
      <c r="DP423" t="s">
        <v>170</v>
      </c>
      <c r="DQ423" t="s">
        <v>187</v>
      </c>
      <c r="EB423">
        <v>9</v>
      </c>
      <c r="EC423">
        <v>10</v>
      </c>
      <c r="EE423" t="s">
        <v>2036</v>
      </c>
      <c r="EF423">
        <v>10</v>
      </c>
      <c r="EU423">
        <v>6000</v>
      </c>
      <c r="EW423">
        <v>0</v>
      </c>
      <c r="EX423">
        <v>0</v>
      </c>
      <c r="EY423">
        <v>0</v>
      </c>
      <c r="FA423">
        <v>6.2</v>
      </c>
      <c r="FG423">
        <v>260</v>
      </c>
      <c r="FH423">
        <v>209</v>
      </c>
      <c r="FI423">
        <v>237</v>
      </c>
    </row>
    <row r="424" spans="1:165" x14ac:dyDescent="0.35">
      <c r="A424">
        <v>2025</v>
      </c>
      <c r="B424" t="s">
        <v>756</v>
      </c>
      <c r="C424" t="s">
        <v>757</v>
      </c>
      <c r="D424" t="s">
        <v>2035</v>
      </c>
      <c r="E424" t="s">
        <v>759</v>
      </c>
      <c r="F424">
        <v>36</v>
      </c>
      <c r="G424">
        <v>0</v>
      </c>
      <c r="I424" t="s">
        <v>1734</v>
      </c>
      <c r="J424">
        <v>26</v>
      </c>
      <c r="K424">
        <v>33</v>
      </c>
      <c r="L424">
        <v>29</v>
      </c>
      <c r="M424">
        <v>18.447900000000001</v>
      </c>
      <c r="N424">
        <v>22.908999999999999</v>
      </c>
      <c r="O424">
        <v>20.455400000000001</v>
      </c>
      <c r="P424">
        <v>26.354700000000001</v>
      </c>
      <c r="Q424">
        <v>32.732799999999997</v>
      </c>
      <c r="R424">
        <v>29.224799999999998</v>
      </c>
      <c r="V424" t="s">
        <v>167</v>
      </c>
      <c r="W424" t="s">
        <v>168</v>
      </c>
      <c r="X424" t="s">
        <v>1931</v>
      </c>
      <c r="Y424">
        <v>1</v>
      </c>
      <c r="Z424" t="s">
        <v>170</v>
      </c>
      <c r="AA424" t="s">
        <v>170</v>
      </c>
      <c r="AB424" t="s">
        <v>171</v>
      </c>
      <c r="AC424" t="s">
        <v>172</v>
      </c>
      <c r="AF424">
        <v>237</v>
      </c>
      <c r="AG424" t="s">
        <v>1735</v>
      </c>
      <c r="AH424" t="s">
        <v>1736</v>
      </c>
      <c r="AI424" t="s">
        <v>1742</v>
      </c>
      <c r="AJ424" t="s">
        <v>1743</v>
      </c>
      <c r="AK424">
        <v>4</v>
      </c>
      <c r="AL424" t="s">
        <v>1737</v>
      </c>
      <c r="AS424">
        <v>700</v>
      </c>
      <c r="AT424">
        <v>700</v>
      </c>
      <c r="BQ424">
        <v>30</v>
      </c>
      <c r="BR424" t="s">
        <v>1099</v>
      </c>
      <c r="BT424" t="s">
        <v>1738</v>
      </c>
      <c r="BU424" s="1">
        <v>45667</v>
      </c>
      <c r="BV424">
        <v>36055</v>
      </c>
      <c r="BX424" t="s">
        <v>170</v>
      </c>
      <c r="BY424" t="s">
        <v>170</v>
      </c>
      <c r="CB424" t="s">
        <v>170</v>
      </c>
      <c r="CC424" t="s">
        <v>170</v>
      </c>
      <c r="CK424" t="s">
        <v>233</v>
      </c>
      <c r="CM424">
        <v>1</v>
      </c>
      <c r="CN424" t="s">
        <v>234</v>
      </c>
      <c r="CP424">
        <v>523</v>
      </c>
      <c r="CQ424">
        <v>120.6</v>
      </c>
      <c r="CR424">
        <v>169.7</v>
      </c>
      <c r="CS424" t="s">
        <v>1752</v>
      </c>
      <c r="CV424" t="s">
        <v>341</v>
      </c>
      <c r="CX424" t="s">
        <v>1012</v>
      </c>
      <c r="CY424" t="s">
        <v>169</v>
      </c>
      <c r="DC424" t="s">
        <v>1949</v>
      </c>
      <c r="DD424">
        <v>1</v>
      </c>
      <c r="DE424" t="s">
        <v>404</v>
      </c>
      <c r="DF424" t="s">
        <v>1950</v>
      </c>
      <c r="DG424">
        <v>125</v>
      </c>
      <c r="DL424" t="s">
        <v>170</v>
      </c>
      <c r="DM424" t="s">
        <v>169</v>
      </c>
      <c r="DP424" t="s">
        <v>170</v>
      </c>
      <c r="DQ424" t="s">
        <v>187</v>
      </c>
      <c r="EB424">
        <v>9</v>
      </c>
      <c r="EC424">
        <v>10</v>
      </c>
      <c r="EE424" t="s">
        <v>2036</v>
      </c>
      <c r="EF424">
        <v>10</v>
      </c>
      <c r="EU424">
        <v>6000</v>
      </c>
      <c r="EW424">
        <v>0</v>
      </c>
      <c r="EX424">
        <v>0</v>
      </c>
      <c r="EY424">
        <v>0</v>
      </c>
      <c r="FA424">
        <v>6.2</v>
      </c>
      <c r="FG424">
        <v>260</v>
      </c>
      <c r="FH424">
        <v>209</v>
      </c>
      <c r="FI424">
        <v>237</v>
      </c>
    </row>
    <row r="425" spans="1:165" x14ac:dyDescent="0.35">
      <c r="A425" s="25"/>
      <c r="B425" s="25"/>
      <c r="C425" s="25"/>
      <c r="D425" s="25"/>
      <c r="E425" s="25"/>
      <c r="F425" s="25" t="str">
        <f>_xlfn.CONCAT($A426," ",$B426," ",$D426)</f>
        <v>2025 Kia EV6 Long Range RWD</v>
      </c>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c r="AD425" s="25" t="str">
        <f>_xlfn.CONCAT($A426," ",$B426," ",$D426)</f>
        <v>2025 Kia EV6 Long Range RWD</v>
      </c>
      <c r="AE425" s="25"/>
      <c r="AF425" s="25"/>
      <c r="AG425" s="25"/>
      <c r="AH425" s="25"/>
      <c r="AI425" s="25"/>
      <c r="AJ425" s="25"/>
      <c r="AK425" s="25"/>
      <c r="AL425" s="25"/>
      <c r="AM425" s="25"/>
      <c r="AN425" s="25"/>
      <c r="AO425" s="25"/>
      <c r="AP425" s="25"/>
      <c r="AQ425" s="25"/>
      <c r="AR425" s="25"/>
      <c r="AS425" s="25"/>
      <c r="AT425" s="25"/>
      <c r="AU425" s="25"/>
      <c r="AV425" s="25"/>
      <c r="AW425" s="25"/>
      <c r="AX425" s="25" t="str">
        <f>_xlfn.CONCAT($A426," ",$B426," ",$D426)</f>
        <v>2025 Kia EV6 Long Range RWD</v>
      </c>
      <c r="AY425" s="25"/>
      <c r="AZ425" s="25"/>
      <c r="BA425" s="25"/>
      <c r="BB425" s="25"/>
      <c r="BC425" s="25"/>
      <c r="BD425" s="25"/>
      <c r="BE425" s="25"/>
      <c r="BF425" s="25"/>
      <c r="BG425" s="25"/>
      <c r="BH425" s="25"/>
      <c r="BI425" s="25"/>
      <c r="BJ425" s="25"/>
      <c r="BK425" s="25"/>
      <c r="BL425" s="25"/>
      <c r="BM425" s="25"/>
      <c r="BN425" s="25"/>
      <c r="BO425" s="25"/>
      <c r="BP425" s="25"/>
      <c r="BQ425" s="25"/>
      <c r="BR425" s="25" t="str">
        <f>_xlfn.CONCAT($A426," ",$B426," ",$D426)</f>
        <v>2025 Kia EV6 Long Range RWD</v>
      </c>
      <c r="BS425" s="25"/>
      <c r="BT425" s="25"/>
      <c r="BU425" s="25"/>
      <c r="BV425" s="25"/>
      <c r="BX425" s="25"/>
      <c r="BY425" s="25"/>
      <c r="BZ425" s="25"/>
      <c r="CA425" s="25"/>
      <c r="CB425" s="25"/>
      <c r="CC425" s="25"/>
      <c r="CD425" s="25"/>
      <c r="CE425" s="25"/>
      <c r="CF425" s="25"/>
      <c r="CG425" s="25"/>
      <c r="CH425" s="25"/>
      <c r="CI425" s="25"/>
      <c r="CJ425" s="25"/>
      <c r="CK425" s="25"/>
      <c r="CL425" s="25"/>
      <c r="CM425" s="25"/>
      <c r="CN425" s="25"/>
      <c r="CO425" s="25"/>
      <c r="CP425" s="25" t="str">
        <f>_xlfn.CONCAT($A426," ",$B426," ",$D426)</f>
        <v>2025 Kia EV6 Long Range RWD</v>
      </c>
      <c r="CQ425" s="25"/>
      <c r="CR425" s="25"/>
      <c r="CS425" s="25"/>
      <c r="CT425" s="25"/>
      <c r="CU425" s="25"/>
      <c r="CV425" s="25"/>
      <c r="CW425" s="25"/>
      <c r="CX425" s="25"/>
      <c r="CY425" s="25"/>
      <c r="CZ425" s="25"/>
      <c r="DA425" s="25"/>
      <c r="DB425" s="25"/>
      <c r="DC425" s="25"/>
      <c r="DD425" s="25"/>
      <c r="DE425" s="25"/>
      <c r="DF425" s="25"/>
      <c r="DG425" s="25"/>
      <c r="DH425" s="25"/>
      <c r="DI425" s="25" t="str">
        <f>_xlfn.CONCAT($A426," ",$B426," ",$D426)</f>
        <v>2025 Kia EV6 Long Range RWD</v>
      </c>
      <c r="DJ425" s="25"/>
      <c r="DK425" s="25"/>
      <c r="DL425" s="25"/>
      <c r="DM425" s="25"/>
      <c r="DN425" s="25"/>
      <c r="DO425" s="25"/>
      <c r="DP425" s="25"/>
      <c r="DQ425" s="25"/>
      <c r="DR425" s="25"/>
      <c r="DS425" s="25"/>
      <c r="DT425" s="25"/>
      <c r="DU425" s="25"/>
      <c r="DV425" s="25"/>
      <c r="DW425" s="25"/>
      <c r="DX425" s="25"/>
      <c r="DY425" s="25"/>
      <c r="DZ425" s="25" t="str">
        <f>_xlfn.CONCAT($A426," ",$B426," ",$D426)</f>
        <v>2025 Kia EV6 Long Range RWD</v>
      </c>
      <c r="EB425" s="25"/>
      <c r="EC425" s="25"/>
      <c r="ED425" s="25"/>
      <c r="EE425" s="25"/>
      <c r="EF425" s="25"/>
      <c r="EG425" s="25"/>
      <c r="EH425" s="25"/>
      <c r="EI425" s="25"/>
      <c r="EJ425" s="25"/>
      <c r="EK425" s="25"/>
      <c r="EL425" s="25"/>
      <c r="EM425" s="25"/>
      <c r="EN425" s="25"/>
      <c r="EO425" s="25"/>
      <c r="EP425" s="25"/>
      <c r="EQ425" s="25"/>
      <c r="ER425" s="25"/>
      <c r="ES425" s="25"/>
      <c r="ET425" s="25"/>
      <c r="EU425" s="25"/>
      <c r="EV425" s="25" t="str">
        <f>_xlfn.CONCAT($A426," ",$B426," ",$D426)</f>
        <v>2025 Kia EV6 Long Range RWD</v>
      </c>
      <c r="EW425" s="25"/>
      <c r="EX425" s="25"/>
      <c r="EY425" s="25"/>
      <c r="EZ425" s="25"/>
      <c r="FA425" s="25"/>
      <c r="FB425" s="25"/>
      <c r="FC425" s="25"/>
      <c r="FD425" s="25"/>
      <c r="FE425" s="25"/>
      <c r="FF425" s="25"/>
      <c r="FG425" s="25"/>
    </row>
    <row r="426" spans="1:165" x14ac:dyDescent="0.35">
      <c r="A426">
        <v>2025</v>
      </c>
      <c r="B426" t="s">
        <v>756</v>
      </c>
      <c r="C426" t="s">
        <v>757</v>
      </c>
      <c r="D426" t="s">
        <v>2033</v>
      </c>
      <c r="E426" t="s">
        <v>759</v>
      </c>
      <c r="F426">
        <v>37</v>
      </c>
      <c r="G426">
        <v>0</v>
      </c>
      <c r="I426" t="s">
        <v>1734</v>
      </c>
      <c r="J426">
        <v>128</v>
      </c>
      <c r="K426">
        <v>101</v>
      </c>
      <c r="L426">
        <v>114</v>
      </c>
      <c r="M426">
        <v>182.2</v>
      </c>
      <c r="N426">
        <v>144</v>
      </c>
      <c r="O426">
        <v>162.76939999999999</v>
      </c>
      <c r="P426">
        <v>127.54</v>
      </c>
      <c r="Q426">
        <v>100.8</v>
      </c>
      <c r="R426">
        <v>113.93859999999999</v>
      </c>
      <c r="V426" t="s">
        <v>167</v>
      </c>
      <c r="W426" t="s">
        <v>168</v>
      </c>
      <c r="X426" t="s">
        <v>1931</v>
      </c>
      <c r="Y426">
        <v>1</v>
      </c>
      <c r="Z426" t="s">
        <v>170</v>
      </c>
      <c r="AA426" t="s">
        <v>170</v>
      </c>
      <c r="AB426" t="s">
        <v>171</v>
      </c>
      <c r="AC426" t="s">
        <v>172</v>
      </c>
      <c r="AF426">
        <v>319</v>
      </c>
      <c r="AG426" t="s">
        <v>1735</v>
      </c>
      <c r="AH426" t="s">
        <v>1736</v>
      </c>
      <c r="AI426" t="s">
        <v>175</v>
      </c>
      <c r="AJ426" t="s">
        <v>176</v>
      </c>
      <c r="AK426">
        <v>4</v>
      </c>
      <c r="AL426" t="s">
        <v>1737</v>
      </c>
      <c r="AS426">
        <v>700</v>
      </c>
      <c r="AT426">
        <v>0</v>
      </c>
      <c r="BQ426">
        <v>30</v>
      </c>
      <c r="BR426" t="s">
        <v>1099</v>
      </c>
      <c r="BT426" t="s">
        <v>1738</v>
      </c>
      <c r="BU426" s="1">
        <v>45653</v>
      </c>
      <c r="BV426">
        <v>36021</v>
      </c>
      <c r="BX426" t="s">
        <v>170</v>
      </c>
      <c r="BY426" t="s">
        <v>170</v>
      </c>
      <c r="CB426" t="s">
        <v>170</v>
      </c>
      <c r="CC426" t="s">
        <v>170</v>
      </c>
      <c r="CK426" t="s">
        <v>233</v>
      </c>
      <c r="CM426">
        <v>1</v>
      </c>
      <c r="CN426" t="s">
        <v>234</v>
      </c>
      <c r="CP426">
        <v>697</v>
      </c>
      <c r="CQ426">
        <v>120.6</v>
      </c>
      <c r="CR426">
        <v>175.3</v>
      </c>
      <c r="CS426" t="s">
        <v>1752</v>
      </c>
      <c r="CV426" t="s">
        <v>341</v>
      </c>
      <c r="CX426" t="s">
        <v>1012</v>
      </c>
      <c r="CY426" t="s">
        <v>169</v>
      </c>
      <c r="DC426" t="s">
        <v>1949</v>
      </c>
      <c r="DD426">
        <v>1</v>
      </c>
      <c r="DE426" t="s">
        <v>404</v>
      </c>
      <c r="DF426" t="s">
        <v>1950</v>
      </c>
      <c r="DG426">
        <v>168</v>
      </c>
      <c r="DL426" t="s">
        <v>170</v>
      </c>
      <c r="DM426" t="s">
        <v>169</v>
      </c>
      <c r="DP426" t="s">
        <v>170</v>
      </c>
      <c r="DQ426" t="s">
        <v>187</v>
      </c>
      <c r="EB426">
        <v>9</v>
      </c>
      <c r="EC426">
        <v>10</v>
      </c>
      <c r="EE426" t="s">
        <v>2034</v>
      </c>
      <c r="EF426">
        <v>10</v>
      </c>
      <c r="EU426">
        <v>6000</v>
      </c>
      <c r="EW426">
        <v>0</v>
      </c>
      <c r="EX426">
        <v>0</v>
      </c>
      <c r="EY426">
        <v>0</v>
      </c>
      <c r="FA426">
        <v>9</v>
      </c>
      <c r="FG426">
        <v>352</v>
      </c>
      <c r="FH426">
        <v>278</v>
      </c>
      <c r="FI426">
        <v>319</v>
      </c>
    </row>
    <row r="427" spans="1:165" x14ac:dyDescent="0.35">
      <c r="A427">
        <v>2025</v>
      </c>
      <c r="B427" t="s">
        <v>756</v>
      </c>
      <c r="C427" t="s">
        <v>757</v>
      </c>
      <c r="D427" t="s">
        <v>2033</v>
      </c>
      <c r="E427" t="s">
        <v>759</v>
      </c>
      <c r="F427">
        <v>37</v>
      </c>
      <c r="G427">
        <v>0</v>
      </c>
      <c r="I427" t="s">
        <v>1734</v>
      </c>
      <c r="J427">
        <v>26</v>
      </c>
      <c r="K427">
        <v>33</v>
      </c>
      <c r="L427">
        <v>30</v>
      </c>
      <c r="M427">
        <v>18.503499999999999</v>
      </c>
      <c r="N427">
        <v>23.412700000000001</v>
      </c>
      <c r="O427">
        <v>20.712599999999998</v>
      </c>
      <c r="P427">
        <v>26.427</v>
      </c>
      <c r="Q427">
        <v>33.4375</v>
      </c>
      <c r="R427">
        <v>29.581700000000001</v>
      </c>
      <c r="V427" t="s">
        <v>167</v>
      </c>
      <c r="W427" t="s">
        <v>168</v>
      </c>
      <c r="X427" t="s">
        <v>1931</v>
      </c>
      <c r="Y427">
        <v>1</v>
      </c>
      <c r="Z427" t="s">
        <v>170</v>
      </c>
      <c r="AA427" t="s">
        <v>170</v>
      </c>
      <c r="AB427" t="s">
        <v>171</v>
      </c>
      <c r="AC427" t="s">
        <v>172</v>
      </c>
      <c r="AF427">
        <v>319</v>
      </c>
      <c r="AG427" t="s">
        <v>1735</v>
      </c>
      <c r="AH427" t="s">
        <v>1736</v>
      </c>
      <c r="AI427" t="s">
        <v>1742</v>
      </c>
      <c r="AJ427" t="s">
        <v>1743</v>
      </c>
      <c r="AK427">
        <v>4</v>
      </c>
      <c r="AL427" t="s">
        <v>1737</v>
      </c>
      <c r="AS427">
        <v>700</v>
      </c>
      <c r="AT427">
        <v>700</v>
      </c>
      <c r="BQ427">
        <v>30</v>
      </c>
      <c r="BR427" t="s">
        <v>1099</v>
      </c>
      <c r="BT427" t="s">
        <v>1738</v>
      </c>
      <c r="BU427" s="1">
        <v>45653</v>
      </c>
      <c r="BV427">
        <v>36021</v>
      </c>
      <c r="BX427" t="s">
        <v>170</v>
      </c>
      <c r="BY427" t="s">
        <v>170</v>
      </c>
      <c r="CB427" t="s">
        <v>170</v>
      </c>
      <c r="CC427" t="s">
        <v>170</v>
      </c>
      <c r="CK427" t="s">
        <v>233</v>
      </c>
      <c r="CM427">
        <v>1</v>
      </c>
      <c r="CN427" t="s">
        <v>234</v>
      </c>
      <c r="CP427">
        <v>697</v>
      </c>
      <c r="CQ427">
        <v>120.6</v>
      </c>
      <c r="CR427">
        <v>175.3</v>
      </c>
      <c r="CS427" t="s">
        <v>1752</v>
      </c>
      <c r="CV427" t="s">
        <v>341</v>
      </c>
      <c r="CX427" t="s">
        <v>1012</v>
      </c>
      <c r="CY427" t="s">
        <v>169</v>
      </c>
      <c r="DC427" t="s">
        <v>1949</v>
      </c>
      <c r="DD427">
        <v>1</v>
      </c>
      <c r="DE427" t="s">
        <v>404</v>
      </c>
      <c r="DF427" t="s">
        <v>1950</v>
      </c>
      <c r="DG427">
        <v>168</v>
      </c>
      <c r="DL427" t="s">
        <v>170</v>
      </c>
      <c r="DM427" t="s">
        <v>169</v>
      </c>
      <c r="DP427" t="s">
        <v>170</v>
      </c>
      <c r="DQ427" t="s">
        <v>187</v>
      </c>
      <c r="EB427">
        <v>9</v>
      </c>
      <c r="EC427">
        <v>10</v>
      </c>
      <c r="EE427" t="s">
        <v>2034</v>
      </c>
      <c r="EF427">
        <v>10</v>
      </c>
      <c r="EU427">
        <v>6000</v>
      </c>
      <c r="EW427">
        <v>0</v>
      </c>
      <c r="EX427">
        <v>0</v>
      </c>
      <c r="EY427">
        <v>0</v>
      </c>
      <c r="FA427">
        <v>9</v>
      </c>
      <c r="FG427">
        <v>352</v>
      </c>
      <c r="FH427">
        <v>278</v>
      </c>
      <c r="FI427">
        <v>319</v>
      </c>
    </row>
    <row r="428" spans="1:165" x14ac:dyDescent="0.35">
      <c r="A428" s="25"/>
      <c r="B428" s="25"/>
      <c r="C428" s="25"/>
      <c r="D428" s="25"/>
      <c r="E428" s="25"/>
      <c r="F428" s="25" t="str">
        <f>_xlfn.CONCAT($A429," ",$B429," ",$D429)</f>
        <v>2025 Kia EV9 Standard Range RWD</v>
      </c>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c r="AD428" s="25" t="str">
        <f>_xlfn.CONCAT($A429," ",$B429," ",$D429)</f>
        <v>2025 Kia EV9 Standard Range RWD</v>
      </c>
      <c r="AE428" s="25"/>
      <c r="AF428" s="25"/>
      <c r="AG428" s="25"/>
      <c r="AH428" s="25"/>
      <c r="AI428" s="25"/>
      <c r="AJ428" s="25"/>
      <c r="AK428" s="25"/>
      <c r="AL428" s="25"/>
      <c r="AM428" s="25"/>
      <c r="AN428" s="25"/>
      <c r="AO428" s="25"/>
      <c r="AP428" s="25"/>
      <c r="AQ428" s="25"/>
      <c r="AR428" s="25"/>
      <c r="AS428" s="25"/>
      <c r="AT428" s="25"/>
      <c r="AU428" s="25"/>
      <c r="AV428" s="25"/>
      <c r="AW428" s="25"/>
      <c r="AX428" s="25" t="str">
        <f>_xlfn.CONCAT($A429," ",$B429," ",$D429)</f>
        <v>2025 Kia EV9 Standard Range RWD</v>
      </c>
      <c r="AY428" s="25"/>
      <c r="AZ428" s="25"/>
      <c r="BA428" s="25"/>
      <c r="BB428" s="25"/>
      <c r="BC428" s="25"/>
      <c r="BD428" s="25"/>
      <c r="BE428" s="25"/>
      <c r="BF428" s="25"/>
      <c r="BG428" s="25"/>
      <c r="BH428" s="25"/>
      <c r="BI428" s="25"/>
      <c r="BJ428" s="25"/>
      <c r="BK428" s="25"/>
      <c r="BL428" s="25"/>
      <c r="BM428" s="25"/>
      <c r="BN428" s="25"/>
      <c r="BO428" s="25"/>
      <c r="BP428" s="25"/>
      <c r="BQ428" s="25"/>
      <c r="BR428" s="25" t="str">
        <f>_xlfn.CONCAT($A429," ",$B429," ",$D429)</f>
        <v>2025 Kia EV9 Standard Range RWD</v>
      </c>
      <c r="BS428" s="25"/>
      <c r="BT428" s="25"/>
      <c r="BU428" s="25"/>
      <c r="BV428" s="25"/>
      <c r="BX428" s="25"/>
      <c r="BY428" s="25"/>
      <c r="BZ428" s="25"/>
      <c r="CA428" s="25"/>
      <c r="CB428" s="25"/>
      <c r="CC428" s="25"/>
      <c r="CD428" s="25"/>
      <c r="CE428" s="25"/>
      <c r="CF428" s="25"/>
      <c r="CG428" s="25"/>
      <c r="CH428" s="25"/>
      <c r="CI428" s="25"/>
      <c r="CJ428" s="25"/>
      <c r="CK428" s="25"/>
      <c r="CL428" s="25"/>
      <c r="CM428" s="25"/>
      <c r="CN428" s="25"/>
      <c r="CO428" s="25"/>
      <c r="CP428" s="25" t="str">
        <f>_xlfn.CONCAT($A429," ",$B429," ",$D429)</f>
        <v>2025 Kia EV9 Standard Range RWD</v>
      </c>
      <c r="CQ428" s="25"/>
      <c r="CR428" s="25"/>
      <c r="CS428" s="25"/>
      <c r="CT428" s="25"/>
      <c r="CU428" s="25"/>
      <c r="CV428" s="25"/>
      <c r="CW428" s="25"/>
      <c r="CX428" s="25"/>
      <c r="CY428" s="25"/>
      <c r="CZ428" s="25"/>
      <c r="DA428" s="25"/>
      <c r="DB428" s="25"/>
      <c r="DC428" s="25"/>
      <c r="DD428" s="25"/>
      <c r="DE428" s="25"/>
      <c r="DF428" s="25"/>
      <c r="DG428" s="25"/>
      <c r="DH428" s="25"/>
      <c r="DI428" s="25" t="str">
        <f>_xlfn.CONCAT($A429," ",$B429," ",$D429)</f>
        <v>2025 Kia EV9 Standard Range RWD</v>
      </c>
      <c r="DJ428" s="25"/>
      <c r="DK428" s="25"/>
      <c r="DL428" s="25"/>
      <c r="DM428" s="25"/>
      <c r="DN428" s="25"/>
      <c r="DO428" s="25"/>
      <c r="DP428" s="25"/>
      <c r="DQ428" s="25"/>
      <c r="DR428" s="25"/>
      <c r="DS428" s="25"/>
      <c r="DT428" s="25"/>
      <c r="DU428" s="25"/>
      <c r="DV428" s="25"/>
      <c r="DW428" s="25"/>
      <c r="DX428" s="25"/>
      <c r="DY428" s="25"/>
      <c r="DZ428" s="25" t="str">
        <f>_xlfn.CONCAT($A429," ",$B429," ",$D429)</f>
        <v>2025 Kia EV9 Standard Range RWD</v>
      </c>
      <c r="EB428" s="25"/>
      <c r="EC428" s="25"/>
      <c r="ED428" s="25"/>
      <c r="EE428" s="25"/>
      <c r="EF428" s="25"/>
      <c r="EG428" s="25"/>
      <c r="EH428" s="25"/>
      <c r="EI428" s="25"/>
      <c r="EJ428" s="25"/>
      <c r="EK428" s="25"/>
      <c r="EL428" s="25"/>
      <c r="EM428" s="25"/>
      <c r="EN428" s="25"/>
      <c r="EO428" s="25"/>
      <c r="EP428" s="25"/>
      <c r="EQ428" s="25"/>
      <c r="ER428" s="25"/>
      <c r="ES428" s="25"/>
      <c r="ET428" s="25"/>
      <c r="EU428" s="25"/>
      <c r="EV428" s="25" t="str">
        <f>_xlfn.CONCAT($A429," ",$B429," ",$D429)</f>
        <v>2025 Kia EV9 Standard Range RWD</v>
      </c>
      <c r="EW428" s="25"/>
      <c r="EX428" s="25"/>
      <c r="EY428" s="25"/>
      <c r="EZ428" s="25"/>
      <c r="FA428" s="25"/>
      <c r="FB428" s="25"/>
      <c r="FC428" s="25"/>
      <c r="FD428" s="25"/>
      <c r="FE428" s="25"/>
      <c r="FF428" s="25"/>
      <c r="FG428" s="25"/>
    </row>
    <row r="429" spans="1:165" x14ac:dyDescent="0.35">
      <c r="A429">
        <v>2025</v>
      </c>
      <c r="B429" t="s">
        <v>756</v>
      </c>
      <c r="C429" t="s">
        <v>757</v>
      </c>
      <c r="D429" t="s">
        <v>2043</v>
      </c>
      <c r="E429" t="s">
        <v>759</v>
      </c>
      <c r="F429">
        <v>43</v>
      </c>
      <c r="G429">
        <v>0</v>
      </c>
      <c r="I429" t="s">
        <v>1734</v>
      </c>
      <c r="J429">
        <v>99</v>
      </c>
      <c r="K429">
        <v>77</v>
      </c>
      <c r="L429">
        <v>88</v>
      </c>
      <c r="M429">
        <v>147.6</v>
      </c>
      <c r="N429">
        <v>115.2</v>
      </c>
      <c r="O429">
        <v>131.018</v>
      </c>
      <c r="P429">
        <v>99</v>
      </c>
      <c r="Q429">
        <v>77</v>
      </c>
      <c r="R429">
        <v>88</v>
      </c>
      <c r="V429" t="s">
        <v>167</v>
      </c>
      <c r="W429" t="s">
        <v>168</v>
      </c>
      <c r="X429" t="s">
        <v>1931</v>
      </c>
      <c r="Y429">
        <v>1</v>
      </c>
      <c r="Z429" t="s">
        <v>170</v>
      </c>
      <c r="AA429" t="s">
        <v>170</v>
      </c>
      <c r="AB429" t="s">
        <v>171</v>
      </c>
      <c r="AC429" t="s">
        <v>172</v>
      </c>
      <c r="AF429">
        <v>230</v>
      </c>
      <c r="AG429" t="s">
        <v>1735</v>
      </c>
      <c r="AH429" t="s">
        <v>1736</v>
      </c>
      <c r="AI429" t="s">
        <v>175</v>
      </c>
      <c r="AJ429" t="s">
        <v>176</v>
      </c>
      <c r="AK429">
        <v>4</v>
      </c>
      <c r="AL429" t="s">
        <v>1737</v>
      </c>
      <c r="AS429">
        <v>900</v>
      </c>
      <c r="AT429">
        <v>900</v>
      </c>
      <c r="BQ429">
        <v>32</v>
      </c>
      <c r="BR429" t="s">
        <v>1453</v>
      </c>
      <c r="BT429" t="s">
        <v>1738</v>
      </c>
      <c r="BU429" s="1">
        <v>45444</v>
      </c>
      <c r="BV429">
        <v>34837</v>
      </c>
      <c r="BX429" t="s">
        <v>170</v>
      </c>
      <c r="BY429" t="s">
        <v>170</v>
      </c>
      <c r="CB429" t="s">
        <v>170</v>
      </c>
      <c r="CC429" t="s">
        <v>170</v>
      </c>
      <c r="CK429" t="s">
        <v>233</v>
      </c>
      <c r="CM429">
        <v>1</v>
      </c>
      <c r="CN429" t="s">
        <v>234</v>
      </c>
      <c r="CP429">
        <v>632</v>
      </c>
      <c r="CQ429">
        <v>120.6</v>
      </c>
      <c r="CR429">
        <v>162.80000000000001</v>
      </c>
      <c r="CS429" t="s">
        <v>1752</v>
      </c>
      <c r="CV429" t="s">
        <v>341</v>
      </c>
      <c r="CX429" t="s">
        <v>1012</v>
      </c>
      <c r="CY429" t="s">
        <v>169</v>
      </c>
      <c r="DC429" t="s">
        <v>1949</v>
      </c>
      <c r="DD429">
        <v>1</v>
      </c>
      <c r="DE429" t="s">
        <v>404</v>
      </c>
      <c r="DF429" t="s">
        <v>1950</v>
      </c>
      <c r="DG429">
        <v>160</v>
      </c>
      <c r="DL429" t="s">
        <v>170</v>
      </c>
      <c r="DM429" t="s">
        <v>169</v>
      </c>
      <c r="DP429" t="s">
        <v>170</v>
      </c>
      <c r="DQ429" t="s">
        <v>187</v>
      </c>
      <c r="EB429">
        <v>9</v>
      </c>
      <c r="EC429">
        <v>10</v>
      </c>
      <c r="EE429" t="s">
        <v>2044</v>
      </c>
      <c r="EF429">
        <v>10</v>
      </c>
      <c r="EU429">
        <v>5000</v>
      </c>
      <c r="EW429">
        <v>0</v>
      </c>
      <c r="EX429">
        <v>0</v>
      </c>
      <c r="EY429">
        <v>0</v>
      </c>
      <c r="FA429">
        <v>11.4</v>
      </c>
      <c r="FG429">
        <v>256</v>
      </c>
      <c r="FH429">
        <v>198</v>
      </c>
      <c r="FI429">
        <v>230</v>
      </c>
    </row>
    <row r="430" spans="1:165" x14ac:dyDescent="0.35">
      <c r="A430">
        <v>2025</v>
      </c>
      <c r="B430" t="s">
        <v>756</v>
      </c>
      <c r="C430" t="s">
        <v>757</v>
      </c>
      <c r="D430" t="s">
        <v>2043</v>
      </c>
      <c r="E430" t="s">
        <v>759</v>
      </c>
      <c r="F430">
        <v>43</v>
      </c>
      <c r="G430">
        <v>0</v>
      </c>
      <c r="I430" t="s">
        <v>1734</v>
      </c>
      <c r="J430">
        <v>34</v>
      </c>
      <c r="K430">
        <v>44</v>
      </c>
      <c r="L430">
        <v>38</v>
      </c>
      <c r="M430">
        <v>22.829799999999999</v>
      </c>
      <c r="N430">
        <v>29.255500000000001</v>
      </c>
      <c r="O430">
        <v>25.721299999999999</v>
      </c>
      <c r="P430">
        <v>34</v>
      </c>
      <c r="Q430">
        <v>44</v>
      </c>
      <c r="R430">
        <v>38</v>
      </c>
      <c r="V430" t="s">
        <v>167</v>
      </c>
      <c r="W430" t="s">
        <v>168</v>
      </c>
      <c r="X430" t="s">
        <v>1931</v>
      </c>
      <c r="Y430">
        <v>1</v>
      </c>
      <c r="Z430" t="s">
        <v>170</v>
      </c>
      <c r="AA430" t="s">
        <v>170</v>
      </c>
      <c r="AB430" t="s">
        <v>171</v>
      </c>
      <c r="AC430" t="s">
        <v>172</v>
      </c>
      <c r="AF430">
        <v>230</v>
      </c>
      <c r="AG430" t="s">
        <v>1735</v>
      </c>
      <c r="AH430" t="s">
        <v>1736</v>
      </c>
      <c r="AI430" t="s">
        <v>1742</v>
      </c>
      <c r="AJ430" t="s">
        <v>1743</v>
      </c>
      <c r="AK430">
        <v>4</v>
      </c>
      <c r="AL430" t="s">
        <v>1737</v>
      </c>
      <c r="AS430">
        <v>900</v>
      </c>
      <c r="AT430">
        <v>900</v>
      </c>
      <c r="BQ430">
        <v>32</v>
      </c>
      <c r="BR430" t="s">
        <v>1453</v>
      </c>
      <c r="BT430" t="s">
        <v>1738</v>
      </c>
      <c r="BU430" s="1">
        <v>45444</v>
      </c>
      <c r="BV430">
        <v>34837</v>
      </c>
      <c r="BX430" t="s">
        <v>170</v>
      </c>
      <c r="BY430" t="s">
        <v>170</v>
      </c>
      <c r="CB430" t="s">
        <v>170</v>
      </c>
      <c r="CC430" t="s">
        <v>170</v>
      </c>
      <c r="CK430" t="s">
        <v>233</v>
      </c>
      <c r="CM430">
        <v>1</v>
      </c>
      <c r="CN430" t="s">
        <v>234</v>
      </c>
      <c r="CP430">
        <v>632</v>
      </c>
      <c r="CQ430">
        <v>120.6</v>
      </c>
      <c r="CR430">
        <v>162.80000000000001</v>
      </c>
      <c r="CS430" t="s">
        <v>1752</v>
      </c>
      <c r="CV430" t="s">
        <v>341</v>
      </c>
      <c r="CX430" t="s">
        <v>1012</v>
      </c>
      <c r="CY430" t="s">
        <v>169</v>
      </c>
      <c r="DC430" t="s">
        <v>1949</v>
      </c>
      <c r="DD430">
        <v>1</v>
      </c>
      <c r="DE430" t="s">
        <v>404</v>
      </c>
      <c r="DF430" t="s">
        <v>1950</v>
      </c>
      <c r="DG430">
        <v>160</v>
      </c>
      <c r="DL430" t="s">
        <v>170</v>
      </c>
      <c r="DM430" t="s">
        <v>169</v>
      </c>
      <c r="DP430" t="s">
        <v>170</v>
      </c>
      <c r="DQ430" t="s">
        <v>187</v>
      </c>
      <c r="EB430">
        <v>9</v>
      </c>
      <c r="EC430">
        <v>10</v>
      </c>
      <c r="EE430" t="s">
        <v>2044</v>
      </c>
      <c r="EF430">
        <v>10</v>
      </c>
      <c r="EU430">
        <v>5000</v>
      </c>
      <c r="EW430">
        <v>0</v>
      </c>
      <c r="EX430">
        <v>0</v>
      </c>
      <c r="EY430">
        <v>0</v>
      </c>
      <c r="FA430">
        <v>11.4</v>
      </c>
      <c r="FG430">
        <v>256</v>
      </c>
      <c r="FH430">
        <v>198</v>
      </c>
      <c r="FI430">
        <v>230</v>
      </c>
    </row>
    <row r="431" spans="1:165" x14ac:dyDescent="0.35">
      <c r="A431" s="25"/>
      <c r="B431" s="25"/>
      <c r="C431" s="25"/>
      <c r="D431" s="25"/>
      <c r="E431" s="25"/>
      <c r="F431" s="25" t="str">
        <f>_xlfn.CONCAT($A432," ",$B432," ",$D432)</f>
        <v>2025 Kia EV9 Long Range RWD</v>
      </c>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c r="AD431" s="25" t="str">
        <f>_xlfn.CONCAT($A432," ",$B432," ",$D432)</f>
        <v>2025 Kia EV9 Long Range RWD</v>
      </c>
      <c r="AE431" s="25"/>
      <c r="AF431" s="25"/>
      <c r="AG431" s="25"/>
      <c r="AH431" s="25"/>
      <c r="AI431" s="25"/>
      <c r="AJ431" s="25"/>
      <c r="AK431" s="25"/>
      <c r="AL431" s="25"/>
      <c r="AM431" s="25"/>
      <c r="AN431" s="25"/>
      <c r="AO431" s="25"/>
      <c r="AP431" s="25"/>
      <c r="AQ431" s="25"/>
      <c r="AR431" s="25"/>
      <c r="AS431" s="25"/>
      <c r="AT431" s="25"/>
      <c r="AU431" s="25"/>
      <c r="AV431" s="25"/>
      <c r="AW431" s="25"/>
      <c r="AX431" s="25" t="str">
        <f>_xlfn.CONCAT($A432," ",$B432," ",$D432)</f>
        <v>2025 Kia EV9 Long Range RWD</v>
      </c>
      <c r="AY431" s="25"/>
      <c r="AZ431" s="25"/>
      <c r="BA431" s="25"/>
      <c r="BB431" s="25"/>
      <c r="BC431" s="25"/>
      <c r="BD431" s="25"/>
      <c r="BE431" s="25"/>
      <c r="BF431" s="25"/>
      <c r="BG431" s="25"/>
      <c r="BH431" s="25"/>
      <c r="BI431" s="25"/>
      <c r="BJ431" s="25"/>
      <c r="BK431" s="25"/>
      <c r="BL431" s="25"/>
      <c r="BM431" s="25"/>
      <c r="BN431" s="25"/>
      <c r="BO431" s="25"/>
      <c r="BP431" s="25"/>
      <c r="BQ431" s="25"/>
      <c r="BR431" s="25" t="str">
        <f>_xlfn.CONCAT($A432," ",$B432," ",$D432)</f>
        <v>2025 Kia EV9 Long Range RWD</v>
      </c>
      <c r="BS431" s="25"/>
      <c r="BT431" s="25"/>
      <c r="BU431" s="25"/>
      <c r="BV431" s="25"/>
      <c r="BX431" s="25"/>
      <c r="BY431" s="25"/>
      <c r="BZ431" s="25"/>
      <c r="CA431" s="25"/>
      <c r="CB431" s="25"/>
      <c r="CC431" s="25"/>
      <c r="CD431" s="25"/>
      <c r="CE431" s="25"/>
      <c r="CF431" s="25"/>
      <c r="CG431" s="25"/>
      <c r="CH431" s="25"/>
      <c r="CI431" s="25"/>
      <c r="CJ431" s="25"/>
      <c r="CK431" s="25"/>
      <c r="CL431" s="25"/>
      <c r="CM431" s="25"/>
      <c r="CN431" s="25"/>
      <c r="CO431" s="25"/>
      <c r="CP431" s="25" t="str">
        <f>_xlfn.CONCAT($A432," ",$B432," ",$D432)</f>
        <v>2025 Kia EV9 Long Range RWD</v>
      </c>
      <c r="CQ431" s="25"/>
      <c r="CR431" s="25"/>
      <c r="CS431" s="25"/>
      <c r="CT431" s="25"/>
      <c r="CU431" s="25"/>
      <c r="CV431" s="25"/>
      <c r="CW431" s="25"/>
      <c r="CX431" s="25"/>
      <c r="CY431" s="25"/>
      <c r="CZ431" s="25"/>
      <c r="DA431" s="25"/>
      <c r="DB431" s="25"/>
      <c r="DC431" s="25"/>
      <c r="DD431" s="25"/>
      <c r="DE431" s="25"/>
      <c r="DF431" s="25"/>
      <c r="DG431" s="25"/>
      <c r="DH431" s="25"/>
      <c r="DI431" s="25" t="str">
        <f>_xlfn.CONCAT($A432," ",$B432," ",$D432)</f>
        <v>2025 Kia EV9 Long Range RWD</v>
      </c>
      <c r="DJ431" s="25"/>
      <c r="DK431" s="25"/>
      <c r="DL431" s="25"/>
      <c r="DM431" s="25"/>
      <c r="DN431" s="25"/>
      <c r="DO431" s="25"/>
      <c r="DP431" s="25"/>
      <c r="DQ431" s="25"/>
      <c r="DR431" s="25"/>
      <c r="DS431" s="25"/>
      <c r="DT431" s="25"/>
      <c r="DU431" s="25"/>
      <c r="DV431" s="25"/>
      <c r="DW431" s="25"/>
      <c r="DX431" s="25"/>
      <c r="DY431" s="25"/>
      <c r="DZ431" s="25" t="str">
        <f>_xlfn.CONCAT($A432," ",$B432," ",$D432)</f>
        <v>2025 Kia EV9 Long Range RWD</v>
      </c>
      <c r="EB431" s="25"/>
      <c r="EC431" s="25"/>
      <c r="ED431" s="25"/>
      <c r="EE431" s="25"/>
      <c r="EF431" s="25"/>
      <c r="EG431" s="25"/>
      <c r="EH431" s="25"/>
      <c r="EI431" s="25"/>
      <c r="EJ431" s="25"/>
      <c r="EK431" s="25"/>
      <c r="EL431" s="25"/>
      <c r="EM431" s="25"/>
      <c r="EN431" s="25"/>
      <c r="EO431" s="25"/>
      <c r="EP431" s="25"/>
      <c r="EQ431" s="25"/>
      <c r="ER431" s="25"/>
      <c r="ES431" s="25"/>
      <c r="ET431" s="25"/>
      <c r="EU431" s="25"/>
      <c r="EV431" s="25" t="str">
        <f>_xlfn.CONCAT($A432," ",$B432," ",$D432)</f>
        <v>2025 Kia EV9 Long Range RWD</v>
      </c>
      <c r="EW431" s="25"/>
      <c r="EX431" s="25"/>
      <c r="EY431" s="25"/>
      <c r="EZ431" s="25"/>
      <c r="FA431" s="25"/>
      <c r="FB431" s="25"/>
      <c r="FC431" s="25"/>
      <c r="FD431" s="25"/>
      <c r="FE431" s="25"/>
      <c r="FF431" s="25"/>
      <c r="FG431" s="25"/>
    </row>
    <row r="432" spans="1:165" x14ac:dyDescent="0.35">
      <c r="A432">
        <v>2025</v>
      </c>
      <c r="B432" t="s">
        <v>756</v>
      </c>
      <c r="C432" t="s">
        <v>757</v>
      </c>
      <c r="D432" t="s">
        <v>2041</v>
      </c>
      <c r="E432" t="s">
        <v>759</v>
      </c>
      <c r="F432">
        <v>44</v>
      </c>
      <c r="G432">
        <v>0</v>
      </c>
      <c r="I432" t="s">
        <v>1734</v>
      </c>
      <c r="J432">
        <v>100</v>
      </c>
      <c r="K432">
        <v>78</v>
      </c>
      <c r="L432">
        <v>89</v>
      </c>
      <c r="M432">
        <v>148.69999999999999</v>
      </c>
      <c r="N432">
        <v>116.1</v>
      </c>
      <c r="O432">
        <v>132.01859999999999</v>
      </c>
      <c r="P432">
        <v>100</v>
      </c>
      <c r="Q432">
        <v>78</v>
      </c>
      <c r="R432">
        <v>89</v>
      </c>
      <c r="V432" t="s">
        <v>167</v>
      </c>
      <c r="W432" t="s">
        <v>168</v>
      </c>
      <c r="X432" t="s">
        <v>1931</v>
      </c>
      <c r="Y432">
        <v>1</v>
      </c>
      <c r="Z432" t="s">
        <v>170</v>
      </c>
      <c r="AA432" t="s">
        <v>170</v>
      </c>
      <c r="AB432" t="s">
        <v>171</v>
      </c>
      <c r="AC432" t="s">
        <v>172</v>
      </c>
      <c r="AF432">
        <v>304</v>
      </c>
      <c r="AG432" t="s">
        <v>1735</v>
      </c>
      <c r="AH432" t="s">
        <v>1736</v>
      </c>
      <c r="AI432" t="s">
        <v>175</v>
      </c>
      <c r="AJ432" t="s">
        <v>176</v>
      </c>
      <c r="AK432">
        <v>4</v>
      </c>
      <c r="AL432" t="s">
        <v>1737</v>
      </c>
      <c r="AS432">
        <v>900</v>
      </c>
      <c r="AT432">
        <v>900</v>
      </c>
      <c r="BQ432">
        <v>32</v>
      </c>
      <c r="BR432" t="s">
        <v>1453</v>
      </c>
      <c r="BT432" t="s">
        <v>1738</v>
      </c>
      <c r="BU432" s="1">
        <v>45444</v>
      </c>
      <c r="BV432">
        <v>34838</v>
      </c>
      <c r="BX432" t="s">
        <v>170</v>
      </c>
      <c r="BY432" t="s">
        <v>170</v>
      </c>
      <c r="CB432" t="s">
        <v>170</v>
      </c>
      <c r="CC432" t="s">
        <v>170</v>
      </c>
      <c r="CK432" t="s">
        <v>233</v>
      </c>
      <c r="CM432">
        <v>1</v>
      </c>
      <c r="CN432" t="s">
        <v>234</v>
      </c>
      <c r="CP432">
        <v>552</v>
      </c>
      <c r="CQ432">
        <v>180.9</v>
      </c>
      <c r="CR432">
        <v>174.7</v>
      </c>
      <c r="CS432" t="s">
        <v>1752</v>
      </c>
      <c r="CV432" t="s">
        <v>341</v>
      </c>
      <c r="CX432" t="s">
        <v>1012</v>
      </c>
      <c r="CY432" t="s">
        <v>169</v>
      </c>
      <c r="DC432" t="s">
        <v>1949</v>
      </c>
      <c r="DD432">
        <v>1</v>
      </c>
      <c r="DE432" t="s">
        <v>404</v>
      </c>
      <c r="DF432" t="s">
        <v>1950</v>
      </c>
      <c r="DG432">
        <v>160</v>
      </c>
      <c r="DL432" t="s">
        <v>170</v>
      </c>
      <c r="DM432" t="s">
        <v>169</v>
      </c>
      <c r="DP432" t="s">
        <v>170</v>
      </c>
      <c r="DQ432" t="s">
        <v>187</v>
      </c>
      <c r="EB432">
        <v>9</v>
      </c>
      <c r="EC432">
        <v>10</v>
      </c>
      <c r="EE432" t="s">
        <v>2042</v>
      </c>
      <c r="EF432">
        <v>10</v>
      </c>
      <c r="EU432">
        <v>5000</v>
      </c>
      <c r="EW432">
        <v>0</v>
      </c>
      <c r="EX432">
        <v>0</v>
      </c>
      <c r="EY432">
        <v>0</v>
      </c>
      <c r="FA432">
        <v>15.2</v>
      </c>
      <c r="FG432">
        <v>336</v>
      </c>
      <c r="FH432">
        <v>265</v>
      </c>
      <c r="FI432">
        <v>304</v>
      </c>
    </row>
    <row r="433" spans="1:165" x14ac:dyDescent="0.35">
      <c r="A433">
        <v>2025</v>
      </c>
      <c r="B433" t="s">
        <v>756</v>
      </c>
      <c r="C433" t="s">
        <v>757</v>
      </c>
      <c r="D433" t="s">
        <v>2041</v>
      </c>
      <c r="E433" t="s">
        <v>759</v>
      </c>
      <c r="F433">
        <v>44</v>
      </c>
      <c r="G433">
        <v>0</v>
      </c>
      <c r="I433" t="s">
        <v>1734</v>
      </c>
      <c r="J433">
        <v>34</v>
      </c>
      <c r="K433">
        <v>43</v>
      </c>
      <c r="L433">
        <v>38</v>
      </c>
      <c r="M433">
        <v>22.662600000000001</v>
      </c>
      <c r="N433">
        <v>29.024100000000001</v>
      </c>
      <c r="O433">
        <v>25.525300000000001</v>
      </c>
      <c r="P433">
        <v>34</v>
      </c>
      <c r="Q433">
        <v>43</v>
      </c>
      <c r="R433">
        <v>38</v>
      </c>
      <c r="V433" t="s">
        <v>167</v>
      </c>
      <c r="W433" t="s">
        <v>168</v>
      </c>
      <c r="X433" t="s">
        <v>1931</v>
      </c>
      <c r="Y433">
        <v>1</v>
      </c>
      <c r="Z433" t="s">
        <v>170</v>
      </c>
      <c r="AA433" t="s">
        <v>170</v>
      </c>
      <c r="AB433" t="s">
        <v>171</v>
      </c>
      <c r="AC433" t="s">
        <v>172</v>
      </c>
      <c r="AF433">
        <v>304</v>
      </c>
      <c r="AG433" t="s">
        <v>1735</v>
      </c>
      <c r="AH433" t="s">
        <v>1736</v>
      </c>
      <c r="AI433" t="s">
        <v>1742</v>
      </c>
      <c r="AJ433" t="s">
        <v>1743</v>
      </c>
      <c r="AK433">
        <v>4</v>
      </c>
      <c r="AL433" t="s">
        <v>1737</v>
      </c>
      <c r="AS433">
        <v>900</v>
      </c>
      <c r="AT433">
        <v>900</v>
      </c>
      <c r="BQ433">
        <v>32</v>
      </c>
      <c r="BR433" t="s">
        <v>1453</v>
      </c>
      <c r="BT433" t="s">
        <v>1738</v>
      </c>
      <c r="BU433" s="1">
        <v>45444</v>
      </c>
      <c r="BV433">
        <v>34838</v>
      </c>
      <c r="BX433" t="s">
        <v>170</v>
      </c>
      <c r="BY433" t="s">
        <v>170</v>
      </c>
      <c r="CB433" t="s">
        <v>170</v>
      </c>
      <c r="CC433" t="s">
        <v>170</v>
      </c>
      <c r="CK433" t="s">
        <v>233</v>
      </c>
      <c r="CM433">
        <v>1</v>
      </c>
      <c r="CN433" t="s">
        <v>234</v>
      </c>
      <c r="CP433">
        <v>552</v>
      </c>
      <c r="CQ433">
        <v>180.9</v>
      </c>
      <c r="CR433">
        <v>174.7</v>
      </c>
      <c r="CS433" t="s">
        <v>1752</v>
      </c>
      <c r="CV433" t="s">
        <v>341</v>
      </c>
      <c r="CX433" t="s">
        <v>1012</v>
      </c>
      <c r="CY433" t="s">
        <v>169</v>
      </c>
      <c r="DC433" t="s">
        <v>1949</v>
      </c>
      <c r="DD433">
        <v>1</v>
      </c>
      <c r="DE433" t="s">
        <v>404</v>
      </c>
      <c r="DF433" t="s">
        <v>1950</v>
      </c>
      <c r="DG433">
        <v>160</v>
      </c>
      <c r="DL433" t="s">
        <v>170</v>
      </c>
      <c r="DM433" t="s">
        <v>169</v>
      </c>
      <c r="DP433" t="s">
        <v>170</v>
      </c>
      <c r="DQ433" t="s">
        <v>187</v>
      </c>
      <c r="EB433">
        <v>9</v>
      </c>
      <c r="EC433">
        <v>10</v>
      </c>
      <c r="EE433" t="s">
        <v>2042</v>
      </c>
      <c r="EF433">
        <v>10</v>
      </c>
      <c r="EU433">
        <v>5000</v>
      </c>
      <c r="EW433">
        <v>0</v>
      </c>
      <c r="EX433">
        <v>0</v>
      </c>
      <c r="EY433">
        <v>0</v>
      </c>
      <c r="FA433">
        <v>15.2</v>
      </c>
      <c r="FG433">
        <v>336</v>
      </c>
      <c r="FH433">
        <v>265</v>
      </c>
      <c r="FI433">
        <v>304</v>
      </c>
    </row>
    <row r="434" spans="1:165" x14ac:dyDescent="0.35">
      <c r="A434" s="25"/>
      <c r="B434" s="25"/>
      <c r="C434" s="25"/>
      <c r="D434" s="25"/>
      <c r="E434" s="25"/>
      <c r="F434" s="25" t="str">
        <f>_xlfn.CONCAT($A435," ",$B435," ",$D435)</f>
        <v>2025 Kia EV9 Long Range AWD</v>
      </c>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c r="AD434" s="25" t="str">
        <f>_xlfn.CONCAT($A435," ",$B435," ",$D435)</f>
        <v>2025 Kia EV9 Long Range AWD</v>
      </c>
      <c r="AE434" s="25"/>
      <c r="AF434" s="25"/>
      <c r="AG434" s="25"/>
      <c r="AH434" s="25"/>
      <c r="AI434" s="25"/>
      <c r="AJ434" s="25"/>
      <c r="AK434" s="25"/>
      <c r="AL434" s="25"/>
      <c r="AM434" s="25"/>
      <c r="AN434" s="25"/>
      <c r="AO434" s="25"/>
      <c r="AP434" s="25"/>
      <c r="AQ434" s="25"/>
      <c r="AR434" s="25"/>
      <c r="AS434" s="25"/>
      <c r="AT434" s="25"/>
      <c r="AU434" s="25"/>
      <c r="AV434" s="25"/>
      <c r="AW434" s="25"/>
      <c r="AX434" s="25" t="str">
        <f>_xlfn.CONCAT($A435," ",$B435," ",$D435)</f>
        <v>2025 Kia EV9 Long Range AWD</v>
      </c>
      <c r="AY434" s="25"/>
      <c r="AZ434" s="25"/>
      <c r="BA434" s="25"/>
      <c r="BB434" s="25"/>
      <c r="BC434" s="25"/>
      <c r="BD434" s="25"/>
      <c r="BE434" s="25"/>
      <c r="BF434" s="25"/>
      <c r="BG434" s="25"/>
      <c r="BH434" s="25"/>
      <c r="BI434" s="25"/>
      <c r="BJ434" s="25"/>
      <c r="BK434" s="25"/>
      <c r="BL434" s="25"/>
      <c r="BM434" s="25"/>
      <c r="BN434" s="25"/>
      <c r="BO434" s="25"/>
      <c r="BP434" s="25"/>
      <c r="BQ434" s="25"/>
      <c r="BR434" s="25" t="str">
        <f>_xlfn.CONCAT($A435," ",$B435," ",$D435)</f>
        <v>2025 Kia EV9 Long Range AWD</v>
      </c>
      <c r="BS434" s="25"/>
      <c r="BT434" s="25"/>
      <c r="BU434" s="25"/>
      <c r="BV434" s="25"/>
      <c r="BX434" s="25"/>
      <c r="BY434" s="25"/>
      <c r="BZ434" s="25"/>
      <c r="CA434" s="25"/>
      <c r="CB434" s="25"/>
      <c r="CC434" s="25"/>
      <c r="CD434" s="25"/>
      <c r="CE434" s="25"/>
      <c r="CF434" s="25"/>
      <c r="CG434" s="25"/>
      <c r="CH434" s="25"/>
      <c r="CI434" s="25"/>
      <c r="CJ434" s="25"/>
      <c r="CK434" s="25"/>
      <c r="CL434" s="25"/>
      <c r="CM434" s="25"/>
      <c r="CN434" s="25"/>
      <c r="CO434" s="25"/>
      <c r="CP434" s="25" t="str">
        <f>_xlfn.CONCAT($A435," ",$B435," ",$D435)</f>
        <v>2025 Kia EV9 Long Range AWD</v>
      </c>
      <c r="CQ434" s="25"/>
      <c r="CR434" s="25"/>
      <c r="CS434" s="25"/>
      <c r="CT434" s="25"/>
      <c r="CU434" s="25"/>
      <c r="CV434" s="25"/>
      <c r="CW434" s="25"/>
      <c r="CX434" s="25"/>
      <c r="CY434" s="25"/>
      <c r="CZ434" s="25"/>
      <c r="DA434" s="25"/>
      <c r="DB434" s="25"/>
      <c r="DC434" s="25"/>
      <c r="DD434" s="25"/>
      <c r="DE434" s="25"/>
      <c r="DF434" s="25"/>
      <c r="DG434" s="25"/>
      <c r="DH434" s="25"/>
      <c r="DI434" s="25" t="str">
        <f>_xlfn.CONCAT($A435," ",$B435," ",$D435)</f>
        <v>2025 Kia EV9 Long Range AWD</v>
      </c>
      <c r="DJ434" s="25"/>
      <c r="DK434" s="25"/>
      <c r="DL434" s="25"/>
      <c r="DM434" s="25"/>
      <c r="DN434" s="25"/>
      <c r="DO434" s="25"/>
      <c r="DP434" s="25"/>
      <c r="DQ434" s="25"/>
      <c r="DR434" s="25"/>
      <c r="DS434" s="25"/>
      <c r="DT434" s="25"/>
      <c r="DU434" s="25"/>
      <c r="DV434" s="25"/>
      <c r="DW434" s="25"/>
      <c r="DX434" s="25"/>
      <c r="DY434" s="25"/>
      <c r="DZ434" s="25" t="str">
        <f>_xlfn.CONCAT($A435," ",$B435," ",$D435)</f>
        <v>2025 Kia EV9 Long Range AWD</v>
      </c>
      <c r="EB434" s="25"/>
      <c r="EC434" s="25"/>
      <c r="ED434" s="25"/>
      <c r="EE434" s="25"/>
      <c r="EF434" s="25"/>
      <c r="EG434" s="25"/>
      <c r="EH434" s="25"/>
      <c r="EI434" s="25"/>
      <c r="EJ434" s="25"/>
      <c r="EK434" s="25"/>
      <c r="EL434" s="25"/>
      <c r="EM434" s="25"/>
      <c r="EN434" s="25"/>
      <c r="EO434" s="25"/>
      <c r="EP434" s="25"/>
      <c r="EQ434" s="25"/>
      <c r="ER434" s="25"/>
      <c r="ES434" s="25"/>
      <c r="ET434" s="25"/>
      <c r="EU434" s="25"/>
      <c r="EV434" s="25" t="str">
        <f>_xlfn.CONCAT($A435," ",$B435," ",$D435)</f>
        <v>2025 Kia EV9 Long Range AWD</v>
      </c>
      <c r="EW434" s="25"/>
      <c r="EX434" s="25"/>
      <c r="EY434" s="25"/>
      <c r="EZ434" s="25"/>
      <c r="FA434" s="25"/>
      <c r="FB434" s="25"/>
      <c r="FC434" s="25"/>
      <c r="FD434" s="25"/>
      <c r="FE434" s="25"/>
      <c r="FF434" s="25"/>
      <c r="FG434" s="25"/>
    </row>
    <row r="435" spans="1:165" x14ac:dyDescent="0.35">
      <c r="A435">
        <v>2025</v>
      </c>
      <c r="B435" t="s">
        <v>756</v>
      </c>
      <c r="C435" t="s">
        <v>757</v>
      </c>
      <c r="D435" t="s">
        <v>2037</v>
      </c>
      <c r="E435" t="s">
        <v>759</v>
      </c>
      <c r="F435">
        <v>45</v>
      </c>
      <c r="G435">
        <v>0</v>
      </c>
      <c r="I435" t="s">
        <v>1734</v>
      </c>
      <c r="J435">
        <v>91</v>
      </c>
      <c r="K435">
        <v>75</v>
      </c>
      <c r="L435">
        <v>83</v>
      </c>
      <c r="M435">
        <v>134.69999999999999</v>
      </c>
      <c r="N435">
        <v>110.5</v>
      </c>
      <c r="O435">
        <v>122.6159</v>
      </c>
      <c r="P435">
        <v>91</v>
      </c>
      <c r="Q435">
        <v>75</v>
      </c>
      <c r="R435">
        <v>83</v>
      </c>
      <c r="V435" t="s">
        <v>167</v>
      </c>
      <c r="W435" t="s">
        <v>168</v>
      </c>
      <c r="X435" t="s">
        <v>1931</v>
      </c>
      <c r="Y435">
        <v>1</v>
      </c>
      <c r="Z435" t="s">
        <v>170</v>
      </c>
      <c r="AA435" t="s">
        <v>170</v>
      </c>
      <c r="AB435" t="s">
        <v>167</v>
      </c>
      <c r="AC435" t="s">
        <v>213</v>
      </c>
      <c r="AF435">
        <v>280</v>
      </c>
      <c r="AG435" t="s">
        <v>1735</v>
      </c>
      <c r="AH435" t="s">
        <v>1736</v>
      </c>
      <c r="AI435" t="s">
        <v>175</v>
      </c>
      <c r="AJ435" t="s">
        <v>176</v>
      </c>
      <c r="AK435">
        <v>4</v>
      </c>
      <c r="AL435" t="s">
        <v>1737</v>
      </c>
      <c r="AS435">
        <v>1000</v>
      </c>
      <c r="AT435">
        <v>1000</v>
      </c>
      <c r="BQ435">
        <v>33</v>
      </c>
      <c r="BR435" t="s">
        <v>1497</v>
      </c>
      <c r="BT435" t="s">
        <v>1738</v>
      </c>
      <c r="BU435" s="1">
        <v>45444</v>
      </c>
      <c r="BV435">
        <v>34840</v>
      </c>
      <c r="BX435" t="s">
        <v>170</v>
      </c>
      <c r="BY435" t="s">
        <v>170</v>
      </c>
      <c r="CB435" t="s">
        <v>170</v>
      </c>
      <c r="CC435" t="s">
        <v>170</v>
      </c>
      <c r="CK435" t="s">
        <v>233</v>
      </c>
      <c r="CM435">
        <v>1</v>
      </c>
      <c r="CN435" t="s">
        <v>234</v>
      </c>
      <c r="CP435">
        <v>552</v>
      </c>
      <c r="CQ435">
        <v>180.9</v>
      </c>
      <c r="CR435">
        <v>174.8</v>
      </c>
      <c r="CS435" t="s">
        <v>1752</v>
      </c>
      <c r="CV435" t="s">
        <v>341</v>
      </c>
      <c r="CX435" t="s">
        <v>1012</v>
      </c>
      <c r="CY435" t="s">
        <v>169</v>
      </c>
      <c r="DC435" t="s">
        <v>1949</v>
      </c>
      <c r="DD435">
        <v>2</v>
      </c>
      <c r="DE435" t="s">
        <v>404</v>
      </c>
      <c r="DF435" t="s">
        <v>1950</v>
      </c>
      <c r="DG435" t="s">
        <v>2038</v>
      </c>
      <c r="DL435" t="s">
        <v>170</v>
      </c>
      <c r="DM435" t="s">
        <v>169</v>
      </c>
      <c r="DP435" t="s">
        <v>170</v>
      </c>
      <c r="DQ435" t="s">
        <v>187</v>
      </c>
      <c r="EB435">
        <v>9</v>
      </c>
      <c r="EC435">
        <v>10</v>
      </c>
      <c r="EE435" t="s">
        <v>2039</v>
      </c>
      <c r="EF435">
        <v>10</v>
      </c>
      <c r="EU435">
        <v>4500</v>
      </c>
      <c r="EW435">
        <v>0</v>
      </c>
      <c r="EX435">
        <v>0</v>
      </c>
      <c r="EY435">
        <v>0</v>
      </c>
      <c r="FA435">
        <v>14.5</v>
      </c>
      <c r="FG435">
        <v>304</v>
      </c>
      <c r="FH435">
        <v>250</v>
      </c>
      <c r="FI435">
        <v>280</v>
      </c>
    </row>
    <row r="436" spans="1:165" x14ac:dyDescent="0.35">
      <c r="A436">
        <v>2025</v>
      </c>
      <c r="B436" t="s">
        <v>756</v>
      </c>
      <c r="C436" t="s">
        <v>757</v>
      </c>
      <c r="D436" t="s">
        <v>2037</v>
      </c>
      <c r="E436" t="s">
        <v>759</v>
      </c>
      <c r="F436">
        <v>45</v>
      </c>
      <c r="G436">
        <v>0</v>
      </c>
      <c r="I436" t="s">
        <v>1734</v>
      </c>
      <c r="J436">
        <v>37</v>
      </c>
      <c r="K436">
        <v>45</v>
      </c>
      <c r="L436">
        <v>41</v>
      </c>
      <c r="M436">
        <v>25.028400000000001</v>
      </c>
      <c r="N436">
        <v>30.506599999999999</v>
      </c>
      <c r="O436">
        <v>27.493600000000001</v>
      </c>
      <c r="P436">
        <v>37</v>
      </c>
      <c r="Q436">
        <v>45</v>
      </c>
      <c r="R436">
        <v>41</v>
      </c>
      <c r="V436" t="s">
        <v>167</v>
      </c>
      <c r="W436" t="s">
        <v>168</v>
      </c>
      <c r="X436" t="s">
        <v>1931</v>
      </c>
      <c r="Y436">
        <v>1</v>
      </c>
      <c r="Z436" t="s">
        <v>170</v>
      </c>
      <c r="AA436" t="s">
        <v>170</v>
      </c>
      <c r="AB436" t="s">
        <v>167</v>
      </c>
      <c r="AC436" t="s">
        <v>213</v>
      </c>
      <c r="AF436">
        <v>280</v>
      </c>
      <c r="AG436" t="s">
        <v>1735</v>
      </c>
      <c r="AH436" t="s">
        <v>1736</v>
      </c>
      <c r="AI436" t="s">
        <v>1742</v>
      </c>
      <c r="AJ436" t="s">
        <v>1743</v>
      </c>
      <c r="AK436">
        <v>4</v>
      </c>
      <c r="AL436" t="s">
        <v>1737</v>
      </c>
      <c r="AS436">
        <v>1000</v>
      </c>
      <c r="AT436">
        <v>1000</v>
      </c>
      <c r="BQ436">
        <v>33</v>
      </c>
      <c r="BR436" t="s">
        <v>1497</v>
      </c>
      <c r="BT436" t="s">
        <v>1738</v>
      </c>
      <c r="BU436" s="1">
        <v>45444</v>
      </c>
      <c r="BV436">
        <v>34840</v>
      </c>
      <c r="BX436" t="s">
        <v>170</v>
      </c>
      <c r="BY436" t="s">
        <v>170</v>
      </c>
      <c r="CB436" t="s">
        <v>170</v>
      </c>
      <c r="CC436" t="s">
        <v>170</v>
      </c>
      <c r="CK436" t="s">
        <v>233</v>
      </c>
      <c r="CM436">
        <v>1</v>
      </c>
      <c r="CN436" t="s">
        <v>234</v>
      </c>
      <c r="CP436">
        <v>552</v>
      </c>
      <c r="CQ436">
        <v>180.9</v>
      </c>
      <c r="CR436">
        <v>174.8</v>
      </c>
      <c r="CS436" t="s">
        <v>1752</v>
      </c>
      <c r="CV436" t="s">
        <v>341</v>
      </c>
      <c r="CX436" t="s">
        <v>1012</v>
      </c>
      <c r="CY436" t="s">
        <v>169</v>
      </c>
      <c r="DC436" t="s">
        <v>1949</v>
      </c>
      <c r="DD436">
        <v>2</v>
      </c>
      <c r="DE436" t="s">
        <v>404</v>
      </c>
      <c r="DF436" t="s">
        <v>1950</v>
      </c>
      <c r="DG436" t="s">
        <v>2038</v>
      </c>
      <c r="DL436" t="s">
        <v>170</v>
      </c>
      <c r="DM436" t="s">
        <v>169</v>
      </c>
      <c r="DP436" t="s">
        <v>170</v>
      </c>
      <c r="DQ436" t="s">
        <v>187</v>
      </c>
      <c r="EB436">
        <v>9</v>
      </c>
      <c r="EC436">
        <v>10</v>
      </c>
      <c r="EE436" t="s">
        <v>2039</v>
      </c>
      <c r="EF436">
        <v>10</v>
      </c>
      <c r="EU436">
        <v>4500</v>
      </c>
      <c r="EW436">
        <v>0</v>
      </c>
      <c r="EX436">
        <v>0</v>
      </c>
      <c r="EY436">
        <v>0</v>
      </c>
      <c r="FA436">
        <v>14.5</v>
      </c>
      <c r="FG436">
        <v>304</v>
      </c>
      <c r="FH436">
        <v>250</v>
      </c>
      <c r="FI436">
        <v>280</v>
      </c>
    </row>
    <row r="437" spans="1:165" x14ac:dyDescent="0.35">
      <c r="A437" s="25"/>
      <c r="B437" s="25"/>
      <c r="C437" s="25"/>
      <c r="D437" s="25"/>
      <c r="E437" s="25"/>
      <c r="F437" s="25" t="str">
        <f>_xlfn.CONCAT($A438," ",$B438," ",$D438)</f>
        <v>2025 Kia EV9 Long Range AWD GT-Line</v>
      </c>
      <c r="G437" s="25"/>
      <c r="H437" s="25"/>
      <c r="I437" s="25"/>
      <c r="J437" s="25"/>
      <c r="K437" s="25"/>
      <c r="L437" s="25"/>
      <c r="M437" s="25"/>
      <c r="N437" s="25"/>
      <c r="O437" s="25"/>
      <c r="P437" s="25"/>
      <c r="Q437" s="25"/>
      <c r="R437" s="25"/>
      <c r="S437" s="25"/>
      <c r="T437" s="25"/>
      <c r="U437" s="25"/>
      <c r="V437" s="25"/>
      <c r="W437" s="25"/>
      <c r="X437" s="25"/>
      <c r="Y437" s="25"/>
      <c r="Z437" s="25"/>
      <c r="AA437" s="25"/>
      <c r="AB437" s="25"/>
      <c r="AC437" s="25"/>
      <c r="AD437" s="25" t="str">
        <f>_xlfn.CONCAT($A438," ",$B438," ",$D438)</f>
        <v>2025 Kia EV9 Long Range AWD GT-Line</v>
      </c>
      <c r="AE437" s="25"/>
      <c r="AF437" s="25"/>
      <c r="AG437" s="25"/>
      <c r="AH437" s="25"/>
      <c r="AI437" s="25"/>
      <c r="AJ437" s="25"/>
      <c r="AK437" s="25"/>
      <c r="AL437" s="25"/>
      <c r="AM437" s="25"/>
      <c r="AN437" s="25"/>
      <c r="AO437" s="25"/>
      <c r="AP437" s="25"/>
      <c r="AQ437" s="25"/>
      <c r="AR437" s="25"/>
      <c r="AS437" s="25"/>
      <c r="AT437" s="25"/>
      <c r="AU437" s="25"/>
      <c r="AV437" s="25"/>
      <c r="AW437" s="25"/>
      <c r="AX437" s="25" t="str">
        <f>_xlfn.CONCAT($A438," ",$B438," ",$D438)</f>
        <v>2025 Kia EV9 Long Range AWD GT-Line</v>
      </c>
      <c r="AY437" s="25"/>
      <c r="AZ437" s="25"/>
      <c r="BA437" s="25"/>
      <c r="BB437" s="25"/>
      <c r="BC437" s="25"/>
      <c r="BD437" s="25"/>
      <c r="BE437" s="25"/>
      <c r="BF437" s="25"/>
      <c r="BG437" s="25"/>
      <c r="BH437" s="25"/>
      <c r="BI437" s="25"/>
      <c r="BJ437" s="25"/>
      <c r="BK437" s="25"/>
      <c r="BL437" s="25"/>
      <c r="BM437" s="25"/>
      <c r="BN437" s="25"/>
      <c r="BO437" s="25"/>
      <c r="BP437" s="25"/>
      <c r="BQ437" s="25"/>
      <c r="BR437" s="25" t="str">
        <f>_xlfn.CONCAT($A438," ",$B438," ",$D438)</f>
        <v>2025 Kia EV9 Long Range AWD GT-Line</v>
      </c>
      <c r="BS437" s="25"/>
      <c r="BT437" s="25"/>
      <c r="BU437" s="25"/>
      <c r="BV437" s="25"/>
      <c r="BX437" s="25"/>
      <c r="BY437" s="25"/>
      <c r="BZ437" s="25"/>
      <c r="CA437" s="25"/>
      <c r="CB437" s="25"/>
      <c r="CC437" s="25"/>
      <c r="CD437" s="25"/>
      <c r="CE437" s="25"/>
      <c r="CF437" s="25"/>
      <c r="CG437" s="25"/>
      <c r="CH437" s="25"/>
      <c r="CI437" s="25"/>
      <c r="CJ437" s="25"/>
      <c r="CK437" s="25"/>
      <c r="CL437" s="25"/>
      <c r="CM437" s="25"/>
      <c r="CN437" s="25"/>
      <c r="CO437" s="25"/>
      <c r="CP437" s="25" t="str">
        <f>_xlfn.CONCAT($A438," ",$B438," ",$D438)</f>
        <v>2025 Kia EV9 Long Range AWD GT-Line</v>
      </c>
      <c r="CQ437" s="25"/>
      <c r="CR437" s="25"/>
      <c r="CS437" s="25"/>
      <c r="CT437" s="25"/>
      <c r="CU437" s="25"/>
      <c r="CV437" s="25"/>
      <c r="CW437" s="25"/>
      <c r="CX437" s="25"/>
      <c r="CY437" s="25"/>
      <c r="CZ437" s="25"/>
      <c r="DA437" s="25"/>
      <c r="DB437" s="25"/>
      <c r="DC437" s="25"/>
      <c r="DD437" s="25"/>
      <c r="DE437" s="25"/>
      <c r="DF437" s="25"/>
      <c r="DG437" s="25"/>
      <c r="DH437" s="25"/>
      <c r="DI437" s="25" t="str">
        <f>_xlfn.CONCAT($A438," ",$B438," ",$D438)</f>
        <v>2025 Kia EV9 Long Range AWD GT-Line</v>
      </c>
      <c r="DJ437" s="25"/>
      <c r="DK437" s="25"/>
      <c r="DL437" s="25"/>
      <c r="DM437" s="25"/>
      <c r="DN437" s="25"/>
      <c r="DO437" s="25"/>
      <c r="DP437" s="25"/>
      <c r="DQ437" s="25"/>
      <c r="DR437" s="25"/>
      <c r="DS437" s="25"/>
      <c r="DT437" s="25"/>
      <c r="DU437" s="25"/>
      <c r="DV437" s="25"/>
      <c r="DW437" s="25"/>
      <c r="DX437" s="25"/>
      <c r="DY437" s="25"/>
      <c r="DZ437" s="25" t="str">
        <f>_xlfn.CONCAT($A438," ",$B438," ",$D438)</f>
        <v>2025 Kia EV9 Long Range AWD GT-Line</v>
      </c>
      <c r="EB437" s="25"/>
      <c r="EC437" s="25"/>
      <c r="ED437" s="25"/>
      <c r="EE437" s="25"/>
      <c r="EF437" s="25"/>
      <c r="EG437" s="25"/>
      <c r="EH437" s="25"/>
      <c r="EI437" s="25"/>
      <c r="EJ437" s="25"/>
      <c r="EK437" s="25"/>
      <c r="EL437" s="25"/>
      <c r="EM437" s="25"/>
      <c r="EN437" s="25"/>
      <c r="EO437" s="25"/>
      <c r="EP437" s="25"/>
      <c r="EQ437" s="25"/>
      <c r="ER437" s="25"/>
      <c r="ES437" s="25"/>
      <c r="ET437" s="25"/>
      <c r="EU437" s="25"/>
      <c r="EV437" s="25" t="str">
        <f>_xlfn.CONCAT($A438," ",$B438," ",$D438)</f>
        <v>2025 Kia EV9 Long Range AWD GT-Line</v>
      </c>
      <c r="EW437" s="25"/>
      <c r="EX437" s="25"/>
      <c r="EY437" s="25"/>
      <c r="EZ437" s="25"/>
      <c r="FA437" s="25"/>
      <c r="FB437" s="25"/>
      <c r="FC437" s="25"/>
      <c r="FD437" s="25"/>
      <c r="FE437" s="25"/>
      <c r="FF437" s="25"/>
      <c r="FG437" s="25"/>
    </row>
    <row r="438" spans="1:165" x14ac:dyDescent="0.35">
      <c r="A438">
        <v>2025</v>
      </c>
      <c r="B438" t="s">
        <v>756</v>
      </c>
      <c r="C438" t="s">
        <v>757</v>
      </c>
      <c r="D438" t="s">
        <v>2040</v>
      </c>
      <c r="E438" t="s">
        <v>759</v>
      </c>
      <c r="F438">
        <v>46</v>
      </c>
      <c r="G438">
        <v>0</v>
      </c>
      <c r="I438" t="s">
        <v>1734</v>
      </c>
      <c r="J438">
        <v>88</v>
      </c>
      <c r="K438">
        <v>72</v>
      </c>
      <c r="L438">
        <v>80</v>
      </c>
      <c r="M438">
        <v>131.19999999999999</v>
      </c>
      <c r="N438">
        <v>108.1</v>
      </c>
      <c r="O438">
        <v>119.6905</v>
      </c>
      <c r="P438">
        <v>88</v>
      </c>
      <c r="Q438">
        <v>72</v>
      </c>
      <c r="R438">
        <v>80</v>
      </c>
      <c r="V438" t="s">
        <v>167</v>
      </c>
      <c r="W438" t="s">
        <v>168</v>
      </c>
      <c r="X438" t="s">
        <v>1931</v>
      </c>
      <c r="Y438">
        <v>1</v>
      </c>
      <c r="Z438" t="s">
        <v>170</v>
      </c>
      <c r="AA438" t="s">
        <v>170</v>
      </c>
      <c r="AB438" t="s">
        <v>167</v>
      </c>
      <c r="AC438" t="s">
        <v>213</v>
      </c>
      <c r="AF438">
        <v>270</v>
      </c>
      <c r="AG438" t="s">
        <v>1735</v>
      </c>
      <c r="AH438" t="s">
        <v>1736</v>
      </c>
      <c r="AI438" t="s">
        <v>175</v>
      </c>
      <c r="AJ438" t="s">
        <v>176</v>
      </c>
      <c r="AK438">
        <v>4</v>
      </c>
      <c r="AL438" t="s">
        <v>1737</v>
      </c>
      <c r="AS438">
        <v>1000</v>
      </c>
      <c r="AT438">
        <v>1000</v>
      </c>
      <c r="BQ438">
        <v>33</v>
      </c>
      <c r="BR438" t="s">
        <v>1497</v>
      </c>
      <c r="BT438" t="s">
        <v>1738</v>
      </c>
      <c r="BU438" s="1">
        <v>45444</v>
      </c>
      <c r="BV438">
        <v>34841</v>
      </c>
      <c r="BX438" t="s">
        <v>169</v>
      </c>
      <c r="BY438" t="s">
        <v>170</v>
      </c>
      <c r="CB438" t="s">
        <v>170</v>
      </c>
      <c r="CC438" t="s">
        <v>170</v>
      </c>
      <c r="CK438" t="s">
        <v>233</v>
      </c>
      <c r="CM438">
        <v>1</v>
      </c>
      <c r="CN438" t="s">
        <v>234</v>
      </c>
      <c r="CP438">
        <v>552</v>
      </c>
      <c r="CQ438">
        <v>180.9</v>
      </c>
      <c r="CR438">
        <v>174.8</v>
      </c>
      <c r="CS438" t="s">
        <v>1752</v>
      </c>
      <c r="CV438" t="s">
        <v>341</v>
      </c>
      <c r="CX438" t="s">
        <v>1012</v>
      </c>
      <c r="CY438" t="s">
        <v>169</v>
      </c>
      <c r="DC438" t="s">
        <v>1949</v>
      </c>
      <c r="DD438">
        <v>2</v>
      </c>
      <c r="DE438" t="s">
        <v>404</v>
      </c>
      <c r="DF438" t="s">
        <v>1950</v>
      </c>
      <c r="DG438" t="s">
        <v>2038</v>
      </c>
      <c r="DL438" t="s">
        <v>170</v>
      </c>
      <c r="DM438" t="s">
        <v>169</v>
      </c>
      <c r="DP438" t="s">
        <v>170</v>
      </c>
      <c r="DQ438" t="s">
        <v>187</v>
      </c>
      <c r="EB438">
        <v>9</v>
      </c>
      <c r="EC438">
        <v>10</v>
      </c>
      <c r="EE438" t="s">
        <v>2039</v>
      </c>
      <c r="EF438">
        <v>10</v>
      </c>
      <c r="EU438">
        <v>4500</v>
      </c>
      <c r="EW438">
        <v>0</v>
      </c>
      <c r="EX438">
        <v>0</v>
      </c>
      <c r="EY438">
        <v>0</v>
      </c>
      <c r="FA438">
        <v>15.2</v>
      </c>
      <c r="FG438">
        <v>295</v>
      </c>
      <c r="FH438">
        <v>239</v>
      </c>
      <c r="FI438">
        <v>270</v>
      </c>
    </row>
    <row r="439" spans="1:165" x14ac:dyDescent="0.35">
      <c r="A439">
        <v>2025</v>
      </c>
      <c r="B439" t="s">
        <v>756</v>
      </c>
      <c r="C439" t="s">
        <v>757</v>
      </c>
      <c r="D439" t="s">
        <v>2040</v>
      </c>
      <c r="E439" t="s">
        <v>759</v>
      </c>
      <c r="F439">
        <v>46</v>
      </c>
      <c r="G439">
        <v>0</v>
      </c>
      <c r="I439" t="s">
        <v>1734</v>
      </c>
      <c r="J439">
        <v>38</v>
      </c>
      <c r="K439">
        <v>47</v>
      </c>
      <c r="L439">
        <v>42</v>
      </c>
      <c r="M439">
        <v>25.682200000000002</v>
      </c>
      <c r="N439">
        <v>31.1906</v>
      </c>
      <c r="O439">
        <v>28.161000000000001</v>
      </c>
      <c r="P439">
        <v>38</v>
      </c>
      <c r="Q439">
        <v>47</v>
      </c>
      <c r="R439">
        <v>42</v>
      </c>
      <c r="V439" t="s">
        <v>167</v>
      </c>
      <c r="W439" t="s">
        <v>168</v>
      </c>
      <c r="X439" t="s">
        <v>1931</v>
      </c>
      <c r="Y439">
        <v>1</v>
      </c>
      <c r="Z439" t="s">
        <v>170</v>
      </c>
      <c r="AA439" t="s">
        <v>170</v>
      </c>
      <c r="AB439" t="s">
        <v>167</v>
      </c>
      <c r="AC439" t="s">
        <v>213</v>
      </c>
      <c r="AF439">
        <v>270</v>
      </c>
      <c r="AG439" t="s">
        <v>1735</v>
      </c>
      <c r="AH439" t="s">
        <v>1736</v>
      </c>
      <c r="AI439" t="s">
        <v>1742</v>
      </c>
      <c r="AJ439" t="s">
        <v>1743</v>
      </c>
      <c r="AK439">
        <v>4</v>
      </c>
      <c r="AL439" t="s">
        <v>1737</v>
      </c>
      <c r="AS439">
        <v>1000</v>
      </c>
      <c r="AT439">
        <v>1000</v>
      </c>
      <c r="BQ439">
        <v>33</v>
      </c>
      <c r="BR439" t="s">
        <v>1497</v>
      </c>
      <c r="BT439" t="s">
        <v>1738</v>
      </c>
      <c r="BU439" s="1">
        <v>45444</v>
      </c>
      <c r="BV439">
        <v>34841</v>
      </c>
      <c r="BX439" t="s">
        <v>169</v>
      </c>
      <c r="BY439" t="s">
        <v>170</v>
      </c>
      <c r="CB439" t="s">
        <v>170</v>
      </c>
      <c r="CC439" t="s">
        <v>170</v>
      </c>
      <c r="CK439" t="s">
        <v>233</v>
      </c>
      <c r="CM439">
        <v>1</v>
      </c>
      <c r="CN439" t="s">
        <v>234</v>
      </c>
      <c r="CP439">
        <v>552</v>
      </c>
      <c r="CQ439">
        <v>180.9</v>
      </c>
      <c r="CR439">
        <v>174.8</v>
      </c>
      <c r="CS439" t="s">
        <v>1752</v>
      </c>
      <c r="CV439" t="s">
        <v>341</v>
      </c>
      <c r="CX439" t="s">
        <v>1012</v>
      </c>
      <c r="CY439" t="s">
        <v>169</v>
      </c>
      <c r="DC439" t="s">
        <v>1949</v>
      </c>
      <c r="DD439">
        <v>2</v>
      </c>
      <c r="DE439" t="s">
        <v>404</v>
      </c>
      <c r="DF439" t="s">
        <v>1950</v>
      </c>
      <c r="DG439" t="s">
        <v>2038</v>
      </c>
      <c r="DL439" t="s">
        <v>170</v>
      </c>
      <c r="DM439" t="s">
        <v>169</v>
      </c>
      <c r="DP439" t="s">
        <v>170</v>
      </c>
      <c r="DQ439" t="s">
        <v>187</v>
      </c>
      <c r="EB439">
        <v>9</v>
      </c>
      <c r="EC439">
        <v>10</v>
      </c>
      <c r="EE439" t="s">
        <v>2039</v>
      </c>
      <c r="EF439">
        <v>10</v>
      </c>
      <c r="EU439">
        <v>4500</v>
      </c>
      <c r="EW439">
        <v>0</v>
      </c>
      <c r="EX439">
        <v>0</v>
      </c>
      <c r="EY439">
        <v>0</v>
      </c>
      <c r="FA439">
        <v>15.2</v>
      </c>
      <c r="FG439">
        <v>295</v>
      </c>
      <c r="FH439">
        <v>239</v>
      </c>
      <c r="FI439">
        <v>270</v>
      </c>
    </row>
    <row r="440" spans="1:165" x14ac:dyDescent="0.35">
      <c r="A440" s="25"/>
      <c r="B440" s="25"/>
      <c r="C440" s="25"/>
      <c r="D440" s="25"/>
      <c r="E440" s="25"/>
      <c r="F440" s="25" t="str">
        <f>_xlfn.CONCAT($A441," ",$B441," ",$D441)</f>
        <v>2025 Toyota RZ 300e (18inch Wheels)</v>
      </c>
      <c r="G440" s="25"/>
      <c r="H440" s="25"/>
      <c r="I440" s="25"/>
      <c r="J440" s="25"/>
      <c r="K440" s="25"/>
      <c r="L440" s="25"/>
      <c r="M440" s="25"/>
      <c r="N440" s="25"/>
      <c r="O440" s="25"/>
      <c r="P440" s="25"/>
      <c r="Q440" s="25"/>
      <c r="R440" s="25"/>
      <c r="S440" s="25"/>
      <c r="T440" s="25"/>
      <c r="U440" s="25"/>
      <c r="V440" s="25"/>
      <c r="W440" s="25"/>
      <c r="X440" s="25"/>
      <c r="Y440" s="25"/>
      <c r="Z440" s="25"/>
      <c r="AA440" s="25"/>
      <c r="AB440" s="25"/>
      <c r="AC440" s="25"/>
      <c r="AD440" s="25" t="str">
        <f>_xlfn.CONCAT($A441," ",$B441," ",$D441)</f>
        <v>2025 Toyota RZ 300e (18inch Wheels)</v>
      </c>
      <c r="AE440" s="25"/>
      <c r="AF440" s="25"/>
      <c r="AG440" s="25"/>
      <c r="AH440" s="25"/>
      <c r="AI440" s="25"/>
      <c r="AJ440" s="25"/>
      <c r="AK440" s="25"/>
      <c r="AL440" s="25"/>
      <c r="AM440" s="25"/>
      <c r="AN440" s="25"/>
      <c r="AO440" s="25"/>
      <c r="AP440" s="25"/>
      <c r="AQ440" s="25"/>
      <c r="AR440" s="25"/>
      <c r="AS440" s="25"/>
      <c r="AT440" s="25"/>
      <c r="AU440" s="25"/>
      <c r="AV440" s="25"/>
      <c r="AW440" s="25"/>
      <c r="AX440" s="25" t="str">
        <f>_xlfn.CONCAT($A441," ",$B441," ",$D441)</f>
        <v>2025 Toyota RZ 300e (18inch Wheels)</v>
      </c>
      <c r="AY440" s="25"/>
      <c r="AZ440" s="25"/>
      <c r="BA440" s="25"/>
      <c r="BB440" s="25"/>
      <c r="BC440" s="25"/>
      <c r="BD440" s="25"/>
      <c r="BE440" s="25"/>
      <c r="BF440" s="25"/>
      <c r="BG440" s="25"/>
      <c r="BH440" s="25"/>
      <c r="BI440" s="25"/>
      <c r="BJ440" s="25"/>
      <c r="BK440" s="25"/>
      <c r="BL440" s="25"/>
      <c r="BM440" s="25"/>
      <c r="BN440" s="25"/>
      <c r="BO440" s="25"/>
      <c r="BP440" s="25"/>
      <c r="BQ440" s="25"/>
      <c r="BR440" s="25" t="str">
        <f>_xlfn.CONCAT($A441," ",$B441," ",$D441)</f>
        <v>2025 Toyota RZ 300e (18inch Wheels)</v>
      </c>
      <c r="BS440" s="25"/>
      <c r="BT440" s="25"/>
      <c r="BU440" s="25"/>
      <c r="BV440" s="25"/>
      <c r="BX440" s="25"/>
      <c r="BY440" s="25"/>
      <c r="BZ440" s="25"/>
      <c r="CA440" s="25"/>
      <c r="CB440" s="25"/>
      <c r="CC440" s="25"/>
      <c r="CD440" s="25"/>
      <c r="CE440" s="25"/>
      <c r="CF440" s="25"/>
      <c r="CG440" s="25"/>
      <c r="CH440" s="25"/>
      <c r="CI440" s="25"/>
      <c r="CJ440" s="25"/>
      <c r="CK440" s="25"/>
      <c r="CL440" s="25"/>
      <c r="CM440" s="25"/>
      <c r="CN440" s="25"/>
      <c r="CO440" s="25"/>
      <c r="CP440" s="25" t="str">
        <f>_xlfn.CONCAT($A441," ",$B441," ",$D441)</f>
        <v>2025 Toyota RZ 300e (18inch Wheels)</v>
      </c>
      <c r="CQ440" s="25"/>
      <c r="CR440" s="25"/>
      <c r="CS440" s="25"/>
      <c r="CT440" s="25"/>
      <c r="CU440" s="25"/>
      <c r="CV440" s="25"/>
      <c r="CW440" s="25"/>
      <c r="CX440" s="25"/>
      <c r="CY440" s="25"/>
      <c r="CZ440" s="25"/>
      <c r="DA440" s="25"/>
      <c r="DB440" s="25"/>
      <c r="DC440" s="25"/>
      <c r="DD440" s="25"/>
      <c r="DE440" s="25"/>
      <c r="DF440" s="25"/>
      <c r="DG440" s="25"/>
      <c r="DH440" s="25"/>
      <c r="DI440" s="25" t="str">
        <f>_xlfn.CONCAT($A441," ",$B441," ",$D441)</f>
        <v>2025 Toyota RZ 300e (18inch Wheels)</v>
      </c>
      <c r="DJ440" s="25"/>
      <c r="DK440" s="25"/>
      <c r="DL440" s="25"/>
      <c r="DM440" s="25"/>
      <c r="DN440" s="25"/>
      <c r="DO440" s="25"/>
      <c r="DP440" s="25"/>
      <c r="DQ440" s="25"/>
      <c r="DR440" s="25"/>
      <c r="DS440" s="25"/>
      <c r="DT440" s="25"/>
      <c r="DU440" s="25"/>
      <c r="DV440" s="25"/>
      <c r="DW440" s="25"/>
      <c r="DX440" s="25"/>
      <c r="DY440" s="25"/>
      <c r="DZ440" s="25" t="str">
        <f>_xlfn.CONCAT($A441," ",$B441," ",$D441)</f>
        <v>2025 Toyota RZ 300e (18inch Wheels)</v>
      </c>
      <c r="EB440" s="25"/>
      <c r="EC440" s="25"/>
      <c r="ED440" s="25"/>
      <c r="EE440" s="25"/>
      <c r="EF440" s="25"/>
      <c r="EG440" s="25"/>
      <c r="EH440" s="25"/>
      <c r="EI440" s="25"/>
      <c r="EJ440" s="25"/>
      <c r="EK440" s="25"/>
      <c r="EL440" s="25"/>
      <c r="EM440" s="25"/>
      <c r="EN440" s="25"/>
      <c r="EO440" s="25"/>
      <c r="EP440" s="25"/>
      <c r="EQ440" s="25"/>
      <c r="ER440" s="25"/>
      <c r="ES440" s="25"/>
      <c r="ET440" s="25"/>
      <c r="EU440" s="25"/>
      <c r="EV440" s="25" t="str">
        <f>_xlfn.CONCAT($A441," ",$B441," ",$D441)</f>
        <v>2025 Toyota RZ 300e (18inch Wheels)</v>
      </c>
      <c r="EW440" s="25"/>
      <c r="EX440" s="25"/>
      <c r="EY440" s="25"/>
      <c r="EZ440" s="25"/>
      <c r="FA440" s="25"/>
      <c r="FB440" s="25"/>
      <c r="FC440" s="25"/>
      <c r="FD440" s="25"/>
      <c r="FE440" s="25"/>
      <c r="FF440" s="25"/>
      <c r="FG440" s="25"/>
    </row>
    <row r="441" spans="1:165" x14ac:dyDescent="0.35">
      <c r="A441">
        <v>2025</v>
      </c>
      <c r="B441" t="s">
        <v>327</v>
      </c>
      <c r="C441" t="s">
        <v>328</v>
      </c>
      <c r="D441" t="s">
        <v>2047</v>
      </c>
      <c r="E441" t="s">
        <v>330</v>
      </c>
      <c r="F441">
        <v>148</v>
      </c>
      <c r="G441">
        <v>0</v>
      </c>
      <c r="I441" t="s">
        <v>1734</v>
      </c>
      <c r="J441">
        <v>137</v>
      </c>
      <c r="K441">
        <v>112</v>
      </c>
      <c r="L441">
        <v>125</v>
      </c>
      <c r="M441">
        <v>198</v>
      </c>
      <c r="N441">
        <v>161.9</v>
      </c>
      <c r="O441">
        <v>179.9444</v>
      </c>
      <c r="P441">
        <v>137</v>
      </c>
      <c r="Q441">
        <v>112</v>
      </c>
      <c r="R441">
        <v>125</v>
      </c>
      <c r="V441" t="s">
        <v>167</v>
      </c>
      <c r="W441" t="s">
        <v>168</v>
      </c>
      <c r="Y441">
        <v>1</v>
      </c>
      <c r="Z441" t="s">
        <v>170</v>
      </c>
      <c r="AA441" t="s">
        <v>170</v>
      </c>
      <c r="AB441" t="s">
        <v>351</v>
      </c>
      <c r="AC441" t="s">
        <v>352</v>
      </c>
      <c r="AF441">
        <v>266</v>
      </c>
      <c r="AG441" t="s">
        <v>1735</v>
      </c>
      <c r="AH441" t="s">
        <v>1736</v>
      </c>
      <c r="AI441" t="s">
        <v>175</v>
      </c>
      <c r="AJ441" t="s">
        <v>176</v>
      </c>
      <c r="AK441">
        <v>4</v>
      </c>
      <c r="AL441" t="s">
        <v>1737</v>
      </c>
      <c r="AS441">
        <v>650</v>
      </c>
      <c r="AT441">
        <v>0</v>
      </c>
      <c r="BQ441">
        <v>30</v>
      </c>
      <c r="BR441" t="s">
        <v>1099</v>
      </c>
      <c r="BT441" t="s">
        <v>1738</v>
      </c>
      <c r="BU441" s="1">
        <v>45637</v>
      </c>
      <c r="BV441">
        <v>35937</v>
      </c>
      <c r="BX441" t="s">
        <v>170</v>
      </c>
      <c r="BY441" t="s">
        <v>170</v>
      </c>
      <c r="CB441" t="s">
        <v>170</v>
      </c>
      <c r="CC441" t="s">
        <v>170</v>
      </c>
      <c r="CK441" t="s">
        <v>233</v>
      </c>
      <c r="CM441">
        <v>1</v>
      </c>
      <c r="CN441" t="s">
        <v>234</v>
      </c>
      <c r="CP441">
        <v>355</v>
      </c>
      <c r="CQ441">
        <v>205</v>
      </c>
      <c r="CR441">
        <v>274</v>
      </c>
      <c r="CS441" t="s">
        <v>235</v>
      </c>
      <c r="CV441" t="s">
        <v>341</v>
      </c>
      <c r="CX441" t="s">
        <v>729</v>
      </c>
      <c r="CY441" t="s">
        <v>170</v>
      </c>
      <c r="DD441">
        <v>1</v>
      </c>
      <c r="DE441" t="s">
        <v>404</v>
      </c>
      <c r="DF441" t="s">
        <v>638</v>
      </c>
      <c r="DG441">
        <v>150</v>
      </c>
      <c r="DL441" t="s">
        <v>170</v>
      </c>
      <c r="DM441" t="s">
        <v>169</v>
      </c>
      <c r="DP441" t="s">
        <v>170</v>
      </c>
      <c r="DQ441" t="s">
        <v>187</v>
      </c>
      <c r="DR441" t="s">
        <v>2048</v>
      </c>
      <c r="EB441">
        <v>10</v>
      </c>
      <c r="EC441">
        <v>10</v>
      </c>
      <c r="EE441" t="s">
        <v>2049</v>
      </c>
      <c r="EF441">
        <v>10</v>
      </c>
      <c r="EU441">
        <v>6250</v>
      </c>
      <c r="EW441">
        <v>0</v>
      </c>
      <c r="EX441">
        <v>0</v>
      </c>
      <c r="EY441">
        <v>0</v>
      </c>
      <c r="FA441">
        <v>11</v>
      </c>
      <c r="FG441">
        <v>287</v>
      </c>
      <c r="FH441">
        <v>241</v>
      </c>
      <c r="FI441">
        <v>266</v>
      </c>
    </row>
    <row r="442" spans="1:165" x14ac:dyDescent="0.35">
      <c r="A442">
        <v>2025</v>
      </c>
      <c r="B442" t="s">
        <v>327</v>
      </c>
      <c r="C442" t="s">
        <v>328</v>
      </c>
      <c r="D442" t="s">
        <v>2047</v>
      </c>
      <c r="E442" t="s">
        <v>330</v>
      </c>
      <c r="F442">
        <v>148</v>
      </c>
      <c r="G442">
        <v>0</v>
      </c>
      <c r="I442" t="s">
        <v>1734</v>
      </c>
      <c r="J442">
        <v>24</v>
      </c>
      <c r="K442">
        <v>30</v>
      </c>
      <c r="L442">
        <v>27</v>
      </c>
      <c r="M442">
        <v>17.025099999999998</v>
      </c>
      <c r="N442">
        <v>20.824100000000001</v>
      </c>
      <c r="O442">
        <v>18.7347</v>
      </c>
      <c r="P442">
        <v>24</v>
      </c>
      <c r="Q442">
        <v>29.740600000000001</v>
      </c>
      <c r="R442">
        <v>26.758299999999998</v>
      </c>
      <c r="V442" t="s">
        <v>167</v>
      </c>
      <c r="W442" t="s">
        <v>168</v>
      </c>
      <c r="Y442">
        <v>1</v>
      </c>
      <c r="Z442" t="s">
        <v>170</v>
      </c>
      <c r="AA442" t="s">
        <v>170</v>
      </c>
      <c r="AB442" t="s">
        <v>351</v>
      </c>
      <c r="AC442" t="s">
        <v>352</v>
      </c>
      <c r="AF442">
        <v>266</v>
      </c>
      <c r="AG442" t="s">
        <v>1735</v>
      </c>
      <c r="AH442" t="s">
        <v>1736</v>
      </c>
      <c r="AI442" t="s">
        <v>1742</v>
      </c>
      <c r="AJ442" t="s">
        <v>1743</v>
      </c>
      <c r="AK442">
        <v>4</v>
      </c>
      <c r="AL442" t="s">
        <v>1737</v>
      </c>
      <c r="AS442">
        <v>650</v>
      </c>
      <c r="AT442">
        <v>650</v>
      </c>
      <c r="BQ442">
        <v>30</v>
      </c>
      <c r="BR442" t="s">
        <v>1099</v>
      </c>
      <c r="BT442" t="s">
        <v>1738</v>
      </c>
      <c r="BU442" s="1">
        <v>45637</v>
      </c>
      <c r="BV442">
        <v>35937</v>
      </c>
      <c r="BX442" t="s">
        <v>170</v>
      </c>
      <c r="BY442" t="s">
        <v>170</v>
      </c>
      <c r="CB442" t="s">
        <v>170</v>
      </c>
      <c r="CC442" t="s">
        <v>170</v>
      </c>
      <c r="CK442" t="s">
        <v>233</v>
      </c>
      <c r="CM442">
        <v>1</v>
      </c>
      <c r="CN442" t="s">
        <v>234</v>
      </c>
      <c r="CP442">
        <v>355</v>
      </c>
      <c r="CQ442">
        <v>205</v>
      </c>
      <c r="CR442">
        <v>274</v>
      </c>
      <c r="CS442" t="s">
        <v>235</v>
      </c>
      <c r="CV442" t="s">
        <v>341</v>
      </c>
      <c r="CX442" t="s">
        <v>729</v>
      </c>
      <c r="CY442" t="s">
        <v>170</v>
      </c>
      <c r="DD442">
        <v>1</v>
      </c>
      <c r="DE442" t="s">
        <v>404</v>
      </c>
      <c r="DF442" t="s">
        <v>638</v>
      </c>
      <c r="DG442">
        <v>150</v>
      </c>
      <c r="DL442" t="s">
        <v>170</v>
      </c>
      <c r="DM442" t="s">
        <v>169</v>
      </c>
      <c r="DP442" t="s">
        <v>170</v>
      </c>
      <c r="DQ442" t="s">
        <v>187</v>
      </c>
      <c r="DR442" t="s">
        <v>2048</v>
      </c>
      <c r="EB442">
        <v>10</v>
      </c>
      <c r="EC442">
        <v>10</v>
      </c>
      <c r="EE442" t="s">
        <v>2049</v>
      </c>
      <c r="EF442">
        <v>10</v>
      </c>
      <c r="EU442">
        <v>6250</v>
      </c>
      <c r="EW442">
        <v>0</v>
      </c>
      <c r="EX442">
        <v>0</v>
      </c>
      <c r="EY442">
        <v>0</v>
      </c>
      <c r="FA442">
        <v>11</v>
      </c>
      <c r="FG442">
        <v>287</v>
      </c>
      <c r="FH442">
        <v>241</v>
      </c>
      <c r="FI442">
        <v>266</v>
      </c>
    </row>
    <row r="443" spans="1:165" x14ac:dyDescent="0.35">
      <c r="A443" s="25"/>
      <c r="B443" s="25"/>
      <c r="C443" s="25"/>
      <c r="D443" s="25"/>
      <c r="E443" s="25"/>
      <c r="F443" s="25" t="str">
        <f>_xlfn.CONCAT($A444," ",$B444," ",$D444)</f>
        <v>2025 Toyota RZ 450e AWD (18inch Wheels)</v>
      </c>
      <c r="G443" s="25"/>
      <c r="H443" s="25"/>
      <c r="I443" s="25"/>
      <c r="J443" s="25"/>
      <c r="K443" s="25"/>
      <c r="L443" s="25"/>
      <c r="M443" s="25"/>
      <c r="N443" s="25"/>
      <c r="O443" s="25"/>
      <c r="P443" s="25"/>
      <c r="Q443" s="25"/>
      <c r="R443" s="25"/>
      <c r="S443" s="25"/>
      <c r="T443" s="25"/>
      <c r="U443" s="25"/>
      <c r="V443" s="25"/>
      <c r="W443" s="25"/>
      <c r="X443" s="25"/>
      <c r="Y443" s="25"/>
      <c r="Z443" s="25"/>
      <c r="AA443" s="25"/>
      <c r="AB443" s="25"/>
      <c r="AC443" s="25"/>
      <c r="AD443" s="25" t="str">
        <f>_xlfn.CONCAT($A444," ",$B444," ",$D444)</f>
        <v>2025 Toyota RZ 450e AWD (18inch Wheels)</v>
      </c>
      <c r="AE443" s="25"/>
      <c r="AF443" s="25"/>
      <c r="AG443" s="25"/>
      <c r="AH443" s="25"/>
      <c r="AI443" s="25"/>
      <c r="AJ443" s="25"/>
      <c r="AK443" s="25"/>
      <c r="AL443" s="25"/>
      <c r="AM443" s="25"/>
      <c r="AN443" s="25"/>
      <c r="AO443" s="25"/>
      <c r="AP443" s="25"/>
      <c r="AQ443" s="25"/>
      <c r="AR443" s="25"/>
      <c r="AS443" s="25"/>
      <c r="AT443" s="25"/>
      <c r="AU443" s="25"/>
      <c r="AV443" s="25"/>
      <c r="AW443" s="25"/>
      <c r="AX443" s="25" t="str">
        <f>_xlfn.CONCAT($A444," ",$B444," ",$D444)</f>
        <v>2025 Toyota RZ 450e AWD (18inch Wheels)</v>
      </c>
      <c r="AY443" s="25"/>
      <c r="AZ443" s="25"/>
      <c r="BA443" s="25"/>
      <c r="BB443" s="25"/>
      <c r="BC443" s="25"/>
      <c r="BD443" s="25"/>
      <c r="BE443" s="25"/>
      <c r="BF443" s="25"/>
      <c r="BG443" s="25"/>
      <c r="BH443" s="25"/>
      <c r="BI443" s="25"/>
      <c r="BJ443" s="25"/>
      <c r="BK443" s="25"/>
      <c r="BL443" s="25"/>
      <c r="BM443" s="25"/>
      <c r="BN443" s="25"/>
      <c r="BO443" s="25"/>
      <c r="BP443" s="25"/>
      <c r="BQ443" s="25"/>
      <c r="BR443" s="25" t="str">
        <f>_xlfn.CONCAT($A444," ",$B444," ",$D444)</f>
        <v>2025 Toyota RZ 450e AWD (18inch Wheels)</v>
      </c>
      <c r="BS443" s="25"/>
      <c r="BT443" s="25"/>
      <c r="BU443" s="25"/>
      <c r="BV443" s="25"/>
      <c r="BX443" s="25"/>
      <c r="BY443" s="25"/>
      <c r="BZ443" s="25"/>
      <c r="CA443" s="25"/>
      <c r="CB443" s="25"/>
      <c r="CC443" s="25"/>
      <c r="CD443" s="25"/>
      <c r="CE443" s="25"/>
      <c r="CF443" s="25"/>
      <c r="CG443" s="25"/>
      <c r="CH443" s="25"/>
      <c r="CI443" s="25"/>
      <c r="CJ443" s="25"/>
      <c r="CK443" s="25"/>
      <c r="CL443" s="25"/>
      <c r="CM443" s="25"/>
      <c r="CN443" s="25"/>
      <c r="CO443" s="25"/>
      <c r="CP443" s="25" t="str">
        <f>_xlfn.CONCAT($A444," ",$B444," ",$D444)</f>
        <v>2025 Toyota RZ 450e AWD (18inch Wheels)</v>
      </c>
      <c r="CQ443" s="25"/>
      <c r="CR443" s="25"/>
      <c r="CS443" s="25"/>
      <c r="CT443" s="25"/>
      <c r="CU443" s="25"/>
      <c r="CV443" s="25"/>
      <c r="CW443" s="25"/>
      <c r="CX443" s="25"/>
      <c r="CY443" s="25"/>
      <c r="CZ443" s="25"/>
      <c r="DA443" s="25"/>
      <c r="DB443" s="25"/>
      <c r="DC443" s="25"/>
      <c r="DD443" s="25"/>
      <c r="DE443" s="25"/>
      <c r="DF443" s="25"/>
      <c r="DG443" s="25"/>
      <c r="DH443" s="25"/>
      <c r="DI443" s="25" t="str">
        <f>_xlfn.CONCAT($A444," ",$B444," ",$D444)</f>
        <v>2025 Toyota RZ 450e AWD (18inch Wheels)</v>
      </c>
      <c r="DJ443" s="25"/>
      <c r="DK443" s="25"/>
      <c r="DL443" s="25"/>
      <c r="DM443" s="25"/>
      <c r="DN443" s="25"/>
      <c r="DO443" s="25"/>
      <c r="DP443" s="25"/>
      <c r="DQ443" s="25"/>
      <c r="DR443" s="25"/>
      <c r="DS443" s="25"/>
      <c r="DT443" s="25"/>
      <c r="DU443" s="25"/>
      <c r="DV443" s="25"/>
      <c r="DW443" s="25"/>
      <c r="DX443" s="25"/>
      <c r="DY443" s="25"/>
      <c r="DZ443" s="25" t="str">
        <f>_xlfn.CONCAT($A444," ",$B444," ",$D444)</f>
        <v>2025 Toyota RZ 450e AWD (18inch Wheels)</v>
      </c>
      <c r="EB443" s="25"/>
      <c r="EC443" s="25"/>
      <c r="ED443" s="25"/>
      <c r="EE443" s="25"/>
      <c r="EF443" s="25"/>
      <c r="EG443" s="25"/>
      <c r="EH443" s="25"/>
      <c r="EI443" s="25"/>
      <c r="EJ443" s="25"/>
      <c r="EK443" s="25"/>
      <c r="EL443" s="25"/>
      <c r="EM443" s="25"/>
      <c r="EN443" s="25"/>
      <c r="EO443" s="25"/>
      <c r="EP443" s="25"/>
      <c r="EQ443" s="25"/>
      <c r="ER443" s="25"/>
      <c r="ES443" s="25"/>
      <c r="ET443" s="25"/>
      <c r="EU443" s="25"/>
      <c r="EV443" s="25" t="str">
        <f>_xlfn.CONCAT($A444," ",$B444," ",$D444)</f>
        <v>2025 Toyota RZ 450e AWD (18inch Wheels)</v>
      </c>
      <c r="EW443" s="25"/>
      <c r="EX443" s="25"/>
      <c r="EY443" s="25"/>
      <c r="EZ443" s="25"/>
      <c r="FA443" s="25"/>
      <c r="FB443" s="25"/>
      <c r="FC443" s="25"/>
      <c r="FD443" s="25"/>
      <c r="FE443" s="25"/>
      <c r="FF443" s="25"/>
      <c r="FG443" s="25"/>
    </row>
    <row r="444" spans="1:165" x14ac:dyDescent="0.35">
      <c r="A444">
        <v>2025</v>
      </c>
      <c r="B444" t="s">
        <v>327</v>
      </c>
      <c r="C444" t="s">
        <v>328</v>
      </c>
      <c r="D444" t="s">
        <v>2051</v>
      </c>
      <c r="E444" t="s">
        <v>330</v>
      </c>
      <c r="F444">
        <v>149</v>
      </c>
      <c r="G444">
        <v>0</v>
      </c>
      <c r="I444" t="s">
        <v>1734</v>
      </c>
      <c r="J444">
        <v>115</v>
      </c>
      <c r="K444">
        <v>98</v>
      </c>
      <c r="L444">
        <v>107</v>
      </c>
      <c r="M444">
        <v>167.3</v>
      </c>
      <c r="N444">
        <v>141.5</v>
      </c>
      <c r="O444">
        <v>154.614</v>
      </c>
      <c r="P444">
        <v>115</v>
      </c>
      <c r="Q444">
        <v>98</v>
      </c>
      <c r="R444">
        <v>107</v>
      </c>
      <c r="V444" t="s">
        <v>167</v>
      </c>
      <c r="W444" t="s">
        <v>168</v>
      </c>
      <c r="Y444">
        <v>1</v>
      </c>
      <c r="Z444" t="s">
        <v>170</v>
      </c>
      <c r="AA444" t="s">
        <v>170</v>
      </c>
      <c r="AB444" t="s">
        <v>167</v>
      </c>
      <c r="AC444" t="s">
        <v>213</v>
      </c>
      <c r="AF444">
        <v>220</v>
      </c>
      <c r="AG444" t="s">
        <v>1735</v>
      </c>
      <c r="AH444" t="s">
        <v>1736</v>
      </c>
      <c r="AI444" t="s">
        <v>175</v>
      </c>
      <c r="AJ444" t="s">
        <v>176</v>
      </c>
      <c r="AK444">
        <v>4</v>
      </c>
      <c r="AL444" t="s">
        <v>1737</v>
      </c>
      <c r="AS444">
        <v>750</v>
      </c>
      <c r="AT444">
        <v>0</v>
      </c>
      <c r="BQ444">
        <v>31</v>
      </c>
      <c r="BR444" t="s">
        <v>1219</v>
      </c>
      <c r="BT444" t="s">
        <v>1738</v>
      </c>
      <c r="BU444" s="1">
        <v>45637</v>
      </c>
      <c r="BV444">
        <v>35938</v>
      </c>
      <c r="BX444" t="s">
        <v>170</v>
      </c>
      <c r="BY444" t="s">
        <v>170</v>
      </c>
      <c r="CB444" t="s">
        <v>170</v>
      </c>
      <c r="CC444" t="s">
        <v>170</v>
      </c>
      <c r="CK444" t="s">
        <v>233</v>
      </c>
      <c r="CM444">
        <v>1</v>
      </c>
      <c r="CN444" t="s">
        <v>234</v>
      </c>
      <c r="CP444">
        <v>355</v>
      </c>
      <c r="CQ444">
        <v>201</v>
      </c>
      <c r="CR444">
        <v>251</v>
      </c>
      <c r="CS444" t="s">
        <v>235</v>
      </c>
      <c r="CV444" t="s">
        <v>341</v>
      </c>
      <c r="CX444" t="s">
        <v>342</v>
      </c>
      <c r="CY444" t="s">
        <v>170</v>
      </c>
      <c r="DD444">
        <v>2</v>
      </c>
      <c r="DE444" t="s">
        <v>404</v>
      </c>
      <c r="DF444" t="s">
        <v>638</v>
      </c>
      <c r="DG444" t="s">
        <v>2052</v>
      </c>
      <c r="DL444" t="s">
        <v>170</v>
      </c>
      <c r="DM444" t="s">
        <v>169</v>
      </c>
      <c r="DP444" t="s">
        <v>170</v>
      </c>
      <c r="DQ444" t="s">
        <v>187</v>
      </c>
      <c r="DR444" t="s">
        <v>2048</v>
      </c>
      <c r="EB444">
        <v>9</v>
      </c>
      <c r="EC444">
        <v>10</v>
      </c>
      <c r="EE444" t="s">
        <v>2053</v>
      </c>
      <c r="EF444">
        <v>10</v>
      </c>
      <c r="EU444">
        <v>5750</v>
      </c>
      <c r="EW444">
        <v>0</v>
      </c>
      <c r="EX444">
        <v>0</v>
      </c>
      <c r="EY444">
        <v>0</v>
      </c>
      <c r="FA444">
        <v>10</v>
      </c>
      <c r="FG444">
        <v>236</v>
      </c>
      <c r="FH444">
        <v>200</v>
      </c>
      <c r="FI444">
        <v>220</v>
      </c>
    </row>
    <row r="445" spans="1:165" x14ac:dyDescent="0.35">
      <c r="A445">
        <v>2025</v>
      </c>
      <c r="B445" t="s">
        <v>327</v>
      </c>
      <c r="C445" t="s">
        <v>328</v>
      </c>
      <c r="D445" t="s">
        <v>2051</v>
      </c>
      <c r="E445" t="s">
        <v>330</v>
      </c>
      <c r="F445">
        <v>149</v>
      </c>
      <c r="G445">
        <v>0</v>
      </c>
      <c r="I445" t="s">
        <v>1734</v>
      </c>
      <c r="J445">
        <v>29</v>
      </c>
      <c r="K445">
        <v>34</v>
      </c>
      <c r="L445">
        <v>31</v>
      </c>
      <c r="M445">
        <v>20.146100000000001</v>
      </c>
      <c r="N445">
        <v>23.818300000000001</v>
      </c>
      <c r="O445">
        <v>21.7986</v>
      </c>
      <c r="P445">
        <v>28.7806</v>
      </c>
      <c r="Q445">
        <v>34.028300000000002</v>
      </c>
      <c r="R445">
        <v>31</v>
      </c>
      <c r="V445" t="s">
        <v>167</v>
      </c>
      <c r="W445" t="s">
        <v>168</v>
      </c>
      <c r="Y445">
        <v>1</v>
      </c>
      <c r="Z445" t="s">
        <v>170</v>
      </c>
      <c r="AA445" t="s">
        <v>170</v>
      </c>
      <c r="AB445" t="s">
        <v>167</v>
      </c>
      <c r="AC445" t="s">
        <v>213</v>
      </c>
      <c r="AF445">
        <v>220</v>
      </c>
      <c r="AG445" t="s">
        <v>1735</v>
      </c>
      <c r="AH445" t="s">
        <v>1736</v>
      </c>
      <c r="AI445" t="s">
        <v>1742</v>
      </c>
      <c r="AJ445" t="s">
        <v>1743</v>
      </c>
      <c r="AK445">
        <v>4</v>
      </c>
      <c r="AL445" t="s">
        <v>1737</v>
      </c>
      <c r="AS445">
        <v>750</v>
      </c>
      <c r="AT445">
        <v>750</v>
      </c>
      <c r="BQ445">
        <v>31</v>
      </c>
      <c r="BR445" t="s">
        <v>1219</v>
      </c>
      <c r="BT445" t="s">
        <v>1738</v>
      </c>
      <c r="BU445" s="1">
        <v>45637</v>
      </c>
      <c r="BV445">
        <v>35938</v>
      </c>
      <c r="BX445" t="s">
        <v>170</v>
      </c>
      <c r="BY445" t="s">
        <v>170</v>
      </c>
      <c r="CB445" t="s">
        <v>170</v>
      </c>
      <c r="CC445" t="s">
        <v>170</v>
      </c>
      <c r="CK445" t="s">
        <v>233</v>
      </c>
      <c r="CM445">
        <v>1</v>
      </c>
      <c r="CN445" t="s">
        <v>234</v>
      </c>
      <c r="CP445">
        <v>355</v>
      </c>
      <c r="CQ445">
        <v>201</v>
      </c>
      <c r="CR445">
        <v>251</v>
      </c>
      <c r="CS445" t="s">
        <v>235</v>
      </c>
      <c r="CV445" t="s">
        <v>341</v>
      </c>
      <c r="CX445" t="s">
        <v>342</v>
      </c>
      <c r="CY445" t="s">
        <v>170</v>
      </c>
      <c r="DD445">
        <v>2</v>
      </c>
      <c r="DE445" t="s">
        <v>404</v>
      </c>
      <c r="DF445" t="s">
        <v>638</v>
      </c>
      <c r="DG445" t="s">
        <v>2052</v>
      </c>
      <c r="DL445" t="s">
        <v>170</v>
      </c>
      <c r="DM445" t="s">
        <v>169</v>
      </c>
      <c r="DP445" t="s">
        <v>170</v>
      </c>
      <c r="DQ445" t="s">
        <v>187</v>
      </c>
      <c r="DR445" t="s">
        <v>2048</v>
      </c>
      <c r="EB445">
        <v>9</v>
      </c>
      <c r="EC445">
        <v>10</v>
      </c>
      <c r="EE445" t="s">
        <v>2053</v>
      </c>
      <c r="EF445">
        <v>10</v>
      </c>
      <c r="EU445">
        <v>5750</v>
      </c>
      <c r="EW445">
        <v>0</v>
      </c>
      <c r="EX445">
        <v>0</v>
      </c>
      <c r="EY445">
        <v>0</v>
      </c>
      <c r="FA445">
        <v>10</v>
      </c>
      <c r="FG445">
        <v>236</v>
      </c>
      <c r="FH445">
        <v>200</v>
      </c>
      <c r="FI445">
        <v>220</v>
      </c>
    </row>
    <row r="446" spans="1:165" x14ac:dyDescent="0.35">
      <c r="A446" s="25"/>
      <c r="B446" s="25"/>
      <c r="C446" s="25"/>
      <c r="D446" s="25"/>
      <c r="E446" s="25"/>
      <c r="F446" s="25" t="str">
        <f>_xlfn.CONCAT($A447," ",$B447," ",$D447)</f>
        <v>2025 Toyota RZ 300e (20inch Wheels)</v>
      </c>
      <c r="G446" s="25"/>
      <c r="H446" s="25"/>
      <c r="I446" s="25"/>
      <c r="J446" s="25"/>
      <c r="K446" s="25"/>
      <c r="L446" s="25"/>
      <c r="M446" s="25"/>
      <c r="N446" s="25"/>
      <c r="O446" s="25"/>
      <c r="P446" s="25"/>
      <c r="Q446" s="25"/>
      <c r="R446" s="25"/>
      <c r="S446" s="25"/>
      <c r="T446" s="25"/>
      <c r="U446" s="25"/>
      <c r="V446" s="25"/>
      <c r="W446" s="25"/>
      <c r="X446" s="25"/>
      <c r="Y446" s="25"/>
      <c r="Z446" s="25"/>
      <c r="AA446" s="25"/>
      <c r="AB446" s="25"/>
      <c r="AC446" s="25"/>
      <c r="AD446" s="25" t="str">
        <f>_xlfn.CONCAT($A447," ",$B447," ",$D447)</f>
        <v>2025 Toyota RZ 300e (20inch Wheels)</v>
      </c>
      <c r="AE446" s="25"/>
      <c r="AF446" s="25"/>
      <c r="AG446" s="25"/>
      <c r="AH446" s="25"/>
      <c r="AI446" s="25"/>
      <c r="AJ446" s="25"/>
      <c r="AK446" s="25"/>
      <c r="AL446" s="25"/>
      <c r="AM446" s="25"/>
      <c r="AN446" s="25"/>
      <c r="AO446" s="25"/>
      <c r="AP446" s="25"/>
      <c r="AQ446" s="25"/>
      <c r="AR446" s="25"/>
      <c r="AS446" s="25"/>
      <c r="AT446" s="25"/>
      <c r="AU446" s="25"/>
      <c r="AV446" s="25"/>
      <c r="AW446" s="25"/>
      <c r="AX446" s="25" t="str">
        <f>_xlfn.CONCAT($A447," ",$B447," ",$D447)</f>
        <v>2025 Toyota RZ 300e (20inch Wheels)</v>
      </c>
      <c r="AY446" s="25"/>
      <c r="AZ446" s="25"/>
      <c r="BA446" s="25"/>
      <c r="BB446" s="25"/>
      <c r="BC446" s="25"/>
      <c r="BD446" s="25"/>
      <c r="BE446" s="25"/>
      <c r="BF446" s="25"/>
      <c r="BG446" s="25"/>
      <c r="BH446" s="25"/>
      <c r="BI446" s="25"/>
      <c r="BJ446" s="25"/>
      <c r="BK446" s="25"/>
      <c r="BL446" s="25"/>
      <c r="BM446" s="25"/>
      <c r="BN446" s="25"/>
      <c r="BO446" s="25"/>
      <c r="BP446" s="25"/>
      <c r="BQ446" s="25"/>
      <c r="BR446" s="25" t="str">
        <f>_xlfn.CONCAT($A447," ",$B447," ",$D447)</f>
        <v>2025 Toyota RZ 300e (20inch Wheels)</v>
      </c>
      <c r="BS446" s="25"/>
      <c r="BT446" s="25"/>
      <c r="BU446" s="25"/>
      <c r="BV446" s="25"/>
      <c r="BX446" s="25"/>
      <c r="BY446" s="25"/>
      <c r="BZ446" s="25"/>
      <c r="CA446" s="25"/>
      <c r="CB446" s="25"/>
      <c r="CC446" s="25"/>
      <c r="CD446" s="25"/>
      <c r="CE446" s="25"/>
      <c r="CF446" s="25"/>
      <c r="CG446" s="25"/>
      <c r="CH446" s="25"/>
      <c r="CI446" s="25"/>
      <c r="CJ446" s="25"/>
      <c r="CK446" s="25"/>
      <c r="CL446" s="25"/>
      <c r="CM446" s="25"/>
      <c r="CN446" s="25"/>
      <c r="CO446" s="25"/>
      <c r="CP446" s="25" t="str">
        <f>_xlfn.CONCAT($A447," ",$B447," ",$D447)</f>
        <v>2025 Toyota RZ 300e (20inch Wheels)</v>
      </c>
      <c r="CQ446" s="25"/>
      <c r="CR446" s="25"/>
      <c r="CS446" s="25"/>
      <c r="CT446" s="25"/>
      <c r="CU446" s="25"/>
      <c r="CV446" s="25"/>
      <c r="CW446" s="25"/>
      <c r="CX446" s="25"/>
      <c r="CY446" s="25"/>
      <c r="CZ446" s="25"/>
      <c r="DA446" s="25"/>
      <c r="DB446" s="25"/>
      <c r="DC446" s="25"/>
      <c r="DD446" s="25"/>
      <c r="DE446" s="25"/>
      <c r="DF446" s="25"/>
      <c r="DG446" s="25"/>
      <c r="DH446" s="25"/>
      <c r="DI446" s="25" t="str">
        <f>_xlfn.CONCAT($A447," ",$B447," ",$D447)</f>
        <v>2025 Toyota RZ 300e (20inch Wheels)</v>
      </c>
      <c r="DJ446" s="25"/>
      <c r="DK446" s="25"/>
      <c r="DL446" s="25"/>
      <c r="DM446" s="25"/>
      <c r="DN446" s="25"/>
      <c r="DO446" s="25"/>
      <c r="DP446" s="25"/>
      <c r="DQ446" s="25"/>
      <c r="DR446" s="25"/>
      <c r="DS446" s="25"/>
      <c r="DT446" s="25"/>
      <c r="DU446" s="25"/>
      <c r="DV446" s="25"/>
      <c r="DW446" s="25"/>
      <c r="DX446" s="25"/>
      <c r="DY446" s="25"/>
      <c r="DZ446" s="25" t="str">
        <f>_xlfn.CONCAT($A447," ",$B447," ",$D447)</f>
        <v>2025 Toyota RZ 300e (20inch Wheels)</v>
      </c>
      <c r="EB446" s="25"/>
      <c r="EC446" s="25"/>
      <c r="ED446" s="25"/>
      <c r="EE446" s="25"/>
      <c r="EF446" s="25"/>
      <c r="EG446" s="25"/>
      <c r="EH446" s="25"/>
      <c r="EI446" s="25"/>
      <c r="EJ446" s="25"/>
      <c r="EK446" s="25"/>
      <c r="EL446" s="25"/>
      <c r="EM446" s="25"/>
      <c r="EN446" s="25"/>
      <c r="EO446" s="25"/>
      <c r="EP446" s="25"/>
      <c r="EQ446" s="25"/>
      <c r="ER446" s="25"/>
      <c r="ES446" s="25"/>
      <c r="ET446" s="25"/>
      <c r="EU446" s="25"/>
      <c r="EV446" s="25" t="str">
        <f>_xlfn.CONCAT($A447," ",$B447," ",$D447)</f>
        <v>2025 Toyota RZ 300e (20inch Wheels)</v>
      </c>
      <c r="EW446" s="25"/>
      <c r="EX446" s="25"/>
      <c r="EY446" s="25"/>
      <c r="EZ446" s="25"/>
      <c r="FA446" s="25"/>
      <c r="FB446" s="25"/>
      <c r="FC446" s="25"/>
      <c r="FD446" s="25"/>
      <c r="FE446" s="25"/>
      <c r="FF446" s="25"/>
      <c r="FG446" s="25"/>
    </row>
    <row r="447" spans="1:165" x14ac:dyDescent="0.35">
      <c r="A447">
        <v>2025</v>
      </c>
      <c r="B447" t="s">
        <v>327</v>
      </c>
      <c r="C447" t="s">
        <v>328</v>
      </c>
      <c r="D447" t="s">
        <v>2050</v>
      </c>
      <c r="E447" t="s">
        <v>330</v>
      </c>
      <c r="F447">
        <v>150</v>
      </c>
      <c r="G447">
        <v>0</v>
      </c>
      <c r="I447" t="s">
        <v>1734</v>
      </c>
      <c r="J447">
        <v>114</v>
      </c>
      <c r="K447">
        <v>96</v>
      </c>
      <c r="L447">
        <v>105</v>
      </c>
      <c r="M447">
        <v>166.8</v>
      </c>
      <c r="N447">
        <v>138.80000000000001</v>
      </c>
      <c r="O447">
        <v>152.91839999999999</v>
      </c>
      <c r="P447">
        <v>114</v>
      </c>
      <c r="Q447">
        <v>96</v>
      </c>
      <c r="R447">
        <v>105</v>
      </c>
      <c r="V447" t="s">
        <v>167</v>
      </c>
      <c r="W447" t="s">
        <v>168</v>
      </c>
      <c r="Y447">
        <v>1</v>
      </c>
      <c r="Z447" t="s">
        <v>170</v>
      </c>
      <c r="AA447" t="s">
        <v>170</v>
      </c>
      <c r="AB447" t="s">
        <v>351</v>
      </c>
      <c r="AC447" t="s">
        <v>352</v>
      </c>
      <c r="AF447">
        <v>224</v>
      </c>
      <c r="AG447" t="s">
        <v>1735</v>
      </c>
      <c r="AH447" t="s">
        <v>1736</v>
      </c>
      <c r="AI447" t="s">
        <v>175</v>
      </c>
      <c r="AJ447" t="s">
        <v>176</v>
      </c>
      <c r="AK447">
        <v>4</v>
      </c>
      <c r="AL447" t="s">
        <v>1737</v>
      </c>
      <c r="AS447">
        <v>750</v>
      </c>
      <c r="AT447">
        <v>0</v>
      </c>
      <c r="BQ447">
        <v>30</v>
      </c>
      <c r="BR447" t="s">
        <v>1099</v>
      </c>
      <c r="BT447" t="s">
        <v>1738</v>
      </c>
      <c r="BU447" s="1">
        <v>45637</v>
      </c>
      <c r="BV447">
        <v>35939</v>
      </c>
      <c r="BX447" t="s">
        <v>169</v>
      </c>
      <c r="BY447" t="s">
        <v>170</v>
      </c>
      <c r="CB447" t="s">
        <v>170</v>
      </c>
      <c r="CC447" t="s">
        <v>170</v>
      </c>
      <c r="CK447" t="s">
        <v>233</v>
      </c>
      <c r="CM447">
        <v>1</v>
      </c>
      <c r="CN447" t="s">
        <v>234</v>
      </c>
      <c r="CP447">
        <v>355</v>
      </c>
      <c r="CQ447">
        <v>205</v>
      </c>
      <c r="CR447">
        <v>274</v>
      </c>
      <c r="CS447" t="s">
        <v>235</v>
      </c>
      <c r="CV447" t="s">
        <v>341</v>
      </c>
      <c r="CX447" t="s">
        <v>729</v>
      </c>
      <c r="CY447" t="s">
        <v>170</v>
      </c>
      <c r="DD447">
        <v>1</v>
      </c>
      <c r="DE447" t="s">
        <v>404</v>
      </c>
      <c r="DF447" t="s">
        <v>638</v>
      </c>
      <c r="DG447">
        <v>150</v>
      </c>
      <c r="DL447" t="s">
        <v>170</v>
      </c>
      <c r="DM447" t="s">
        <v>169</v>
      </c>
      <c r="DP447" t="s">
        <v>170</v>
      </c>
      <c r="DQ447" t="s">
        <v>187</v>
      </c>
      <c r="DR447" t="s">
        <v>2048</v>
      </c>
      <c r="EB447">
        <v>9</v>
      </c>
      <c r="EC447">
        <v>10</v>
      </c>
      <c r="EE447" t="s">
        <v>2049</v>
      </c>
      <c r="EF447">
        <v>10</v>
      </c>
      <c r="EU447">
        <v>5750</v>
      </c>
      <c r="EW447">
        <v>0</v>
      </c>
      <c r="EX447">
        <v>0</v>
      </c>
      <c r="EY447">
        <v>0</v>
      </c>
      <c r="FA447">
        <v>11</v>
      </c>
      <c r="FG447">
        <v>242</v>
      </c>
      <c r="FH447">
        <v>202</v>
      </c>
      <c r="FI447">
        <v>224</v>
      </c>
    </row>
    <row r="448" spans="1:165" x14ac:dyDescent="0.35">
      <c r="A448">
        <v>2025</v>
      </c>
      <c r="B448" t="s">
        <v>327</v>
      </c>
      <c r="C448" t="s">
        <v>328</v>
      </c>
      <c r="D448" t="s">
        <v>2050</v>
      </c>
      <c r="E448" t="s">
        <v>330</v>
      </c>
      <c r="F448">
        <v>150</v>
      </c>
      <c r="G448">
        <v>0</v>
      </c>
      <c r="I448" t="s">
        <v>1734</v>
      </c>
      <c r="J448">
        <v>29</v>
      </c>
      <c r="K448">
        <v>35</v>
      </c>
      <c r="L448">
        <v>31</v>
      </c>
      <c r="M448">
        <v>20.203600000000002</v>
      </c>
      <c r="N448">
        <v>24.2803</v>
      </c>
      <c r="O448">
        <v>22.0381</v>
      </c>
      <c r="P448">
        <v>28.866900000000001</v>
      </c>
      <c r="Q448">
        <v>34.690199999999997</v>
      </c>
      <c r="R448">
        <v>31</v>
      </c>
      <c r="V448" t="s">
        <v>167</v>
      </c>
      <c r="W448" t="s">
        <v>168</v>
      </c>
      <c r="Y448">
        <v>1</v>
      </c>
      <c r="Z448" t="s">
        <v>170</v>
      </c>
      <c r="AA448" t="s">
        <v>170</v>
      </c>
      <c r="AB448" t="s">
        <v>351</v>
      </c>
      <c r="AC448" t="s">
        <v>352</v>
      </c>
      <c r="AF448">
        <v>224</v>
      </c>
      <c r="AG448" t="s">
        <v>1735</v>
      </c>
      <c r="AH448" t="s">
        <v>1736</v>
      </c>
      <c r="AI448" t="s">
        <v>1742</v>
      </c>
      <c r="AJ448" t="s">
        <v>1743</v>
      </c>
      <c r="AK448">
        <v>4</v>
      </c>
      <c r="AL448" t="s">
        <v>1737</v>
      </c>
      <c r="AS448">
        <v>750</v>
      </c>
      <c r="AT448">
        <v>750</v>
      </c>
      <c r="BQ448">
        <v>30</v>
      </c>
      <c r="BR448" t="s">
        <v>1099</v>
      </c>
      <c r="BT448" t="s">
        <v>1738</v>
      </c>
      <c r="BU448" s="1">
        <v>45637</v>
      </c>
      <c r="BV448">
        <v>35939</v>
      </c>
      <c r="BX448" t="s">
        <v>169</v>
      </c>
      <c r="BY448" t="s">
        <v>170</v>
      </c>
      <c r="CB448" t="s">
        <v>170</v>
      </c>
      <c r="CC448" t="s">
        <v>170</v>
      </c>
      <c r="CK448" t="s">
        <v>233</v>
      </c>
      <c r="CM448">
        <v>1</v>
      </c>
      <c r="CN448" t="s">
        <v>234</v>
      </c>
      <c r="CP448">
        <v>355</v>
      </c>
      <c r="CQ448">
        <v>205</v>
      </c>
      <c r="CR448">
        <v>274</v>
      </c>
      <c r="CS448" t="s">
        <v>235</v>
      </c>
      <c r="CV448" t="s">
        <v>341</v>
      </c>
      <c r="CX448" t="s">
        <v>729</v>
      </c>
      <c r="CY448" t="s">
        <v>170</v>
      </c>
      <c r="DD448">
        <v>1</v>
      </c>
      <c r="DE448" t="s">
        <v>404</v>
      </c>
      <c r="DF448" t="s">
        <v>638</v>
      </c>
      <c r="DG448">
        <v>150</v>
      </c>
      <c r="DL448" t="s">
        <v>170</v>
      </c>
      <c r="DM448" t="s">
        <v>169</v>
      </c>
      <c r="DP448" t="s">
        <v>170</v>
      </c>
      <c r="DQ448" t="s">
        <v>187</v>
      </c>
      <c r="DR448" t="s">
        <v>2048</v>
      </c>
      <c r="EB448">
        <v>9</v>
      </c>
      <c r="EC448">
        <v>10</v>
      </c>
      <c r="EE448" t="s">
        <v>2049</v>
      </c>
      <c r="EF448">
        <v>10</v>
      </c>
      <c r="EU448">
        <v>5750</v>
      </c>
      <c r="EW448">
        <v>0</v>
      </c>
      <c r="EX448">
        <v>0</v>
      </c>
      <c r="EY448">
        <v>0</v>
      </c>
      <c r="FA448">
        <v>11</v>
      </c>
      <c r="FG448">
        <v>242</v>
      </c>
      <c r="FH448">
        <v>202</v>
      </c>
      <c r="FI448">
        <v>224</v>
      </c>
    </row>
    <row r="449" spans="1:165" x14ac:dyDescent="0.35">
      <c r="A449" s="25"/>
      <c r="B449" s="25"/>
      <c r="C449" s="25"/>
      <c r="D449" s="25"/>
      <c r="E449" s="25"/>
      <c r="F449" s="25" t="str">
        <f>_xlfn.CONCAT($A450," ",$B450," ",$D450)</f>
        <v>2025 Toyota RZ 450e AWD (20inch Wheels)</v>
      </c>
      <c r="G449" s="25"/>
      <c r="H449" s="25"/>
      <c r="I449" s="25"/>
      <c r="J449" s="25"/>
      <c r="K449" s="25"/>
      <c r="L449" s="25"/>
      <c r="M449" s="25"/>
      <c r="N449" s="25"/>
      <c r="O449" s="25"/>
      <c r="P449" s="25"/>
      <c r="Q449" s="25"/>
      <c r="R449" s="25"/>
      <c r="S449" s="25"/>
      <c r="T449" s="25"/>
      <c r="U449" s="25"/>
      <c r="V449" s="25"/>
      <c r="W449" s="25"/>
      <c r="X449" s="25"/>
      <c r="Y449" s="25"/>
      <c r="Z449" s="25"/>
      <c r="AA449" s="25"/>
      <c r="AB449" s="25"/>
      <c r="AC449" s="25"/>
      <c r="AD449" s="25" t="str">
        <f>_xlfn.CONCAT($A450," ",$B450," ",$D450)</f>
        <v>2025 Toyota RZ 450e AWD (20inch Wheels)</v>
      </c>
      <c r="AE449" s="25"/>
      <c r="AF449" s="25"/>
      <c r="AG449" s="25"/>
      <c r="AH449" s="25"/>
      <c r="AI449" s="25"/>
      <c r="AJ449" s="25"/>
      <c r="AK449" s="25"/>
      <c r="AL449" s="25"/>
      <c r="AM449" s="25"/>
      <c r="AN449" s="25"/>
      <c r="AO449" s="25"/>
      <c r="AP449" s="25"/>
      <c r="AQ449" s="25"/>
      <c r="AR449" s="25"/>
      <c r="AS449" s="25"/>
      <c r="AT449" s="25"/>
      <c r="AU449" s="25"/>
      <c r="AV449" s="25"/>
      <c r="AW449" s="25"/>
      <c r="AX449" s="25" t="str">
        <f>_xlfn.CONCAT($A450," ",$B450," ",$D450)</f>
        <v>2025 Toyota RZ 450e AWD (20inch Wheels)</v>
      </c>
      <c r="AY449" s="25"/>
      <c r="AZ449" s="25"/>
      <c r="BA449" s="25"/>
      <c r="BB449" s="25"/>
      <c r="BC449" s="25"/>
      <c r="BD449" s="25"/>
      <c r="BE449" s="25"/>
      <c r="BF449" s="25"/>
      <c r="BG449" s="25"/>
      <c r="BH449" s="25"/>
      <c r="BI449" s="25"/>
      <c r="BJ449" s="25"/>
      <c r="BK449" s="25"/>
      <c r="BL449" s="25"/>
      <c r="BM449" s="25"/>
      <c r="BN449" s="25"/>
      <c r="BO449" s="25"/>
      <c r="BP449" s="25"/>
      <c r="BQ449" s="25"/>
      <c r="BR449" s="25" t="str">
        <f>_xlfn.CONCAT($A450," ",$B450," ",$D450)</f>
        <v>2025 Toyota RZ 450e AWD (20inch Wheels)</v>
      </c>
      <c r="BS449" s="25"/>
      <c r="BT449" s="25"/>
      <c r="BU449" s="25"/>
      <c r="BV449" s="25"/>
      <c r="BX449" s="25"/>
      <c r="BY449" s="25"/>
      <c r="BZ449" s="25"/>
      <c r="CA449" s="25"/>
      <c r="CB449" s="25"/>
      <c r="CC449" s="25"/>
      <c r="CD449" s="25"/>
      <c r="CE449" s="25"/>
      <c r="CF449" s="25"/>
      <c r="CG449" s="25"/>
      <c r="CH449" s="25"/>
      <c r="CI449" s="25"/>
      <c r="CJ449" s="25"/>
      <c r="CK449" s="25"/>
      <c r="CL449" s="25"/>
      <c r="CM449" s="25"/>
      <c r="CN449" s="25"/>
      <c r="CO449" s="25"/>
      <c r="CP449" s="25" t="str">
        <f>_xlfn.CONCAT($A450," ",$B450," ",$D450)</f>
        <v>2025 Toyota RZ 450e AWD (20inch Wheels)</v>
      </c>
      <c r="CQ449" s="25"/>
      <c r="CR449" s="25"/>
      <c r="CS449" s="25"/>
      <c r="CT449" s="25"/>
      <c r="CU449" s="25"/>
      <c r="CV449" s="25"/>
      <c r="CW449" s="25"/>
      <c r="CX449" s="25"/>
      <c r="CY449" s="25"/>
      <c r="CZ449" s="25"/>
      <c r="DA449" s="25"/>
      <c r="DB449" s="25"/>
      <c r="DC449" s="25"/>
      <c r="DD449" s="25"/>
      <c r="DE449" s="25"/>
      <c r="DF449" s="25"/>
      <c r="DG449" s="25"/>
      <c r="DH449" s="25"/>
      <c r="DI449" s="25" t="str">
        <f>_xlfn.CONCAT($A450," ",$B450," ",$D450)</f>
        <v>2025 Toyota RZ 450e AWD (20inch Wheels)</v>
      </c>
      <c r="DJ449" s="25"/>
      <c r="DK449" s="25"/>
      <c r="DL449" s="25"/>
      <c r="DM449" s="25"/>
      <c r="DN449" s="25"/>
      <c r="DO449" s="25"/>
      <c r="DP449" s="25"/>
      <c r="DQ449" s="25"/>
      <c r="DR449" s="25"/>
      <c r="DS449" s="25"/>
      <c r="DT449" s="25"/>
      <c r="DU449" s="25"/>
      <c r="DV449" s="25"/>
      <c r="DW449" s="25"/>
      <c r="DX449" s="25"/>
      <c r="DY449" s="25"/>
      <c r="DZ449" s="25" t="str">
        <f>_xlfn.CONCAT($A450," ",$B450," ",$D450)</f>
        <v>2025 Toyota RZ 450e AWD (20inch Wheels)</v>
      </c>
      <c r="EB449" s="25"/>
      <c r="EC449" s="25"/>
      <c r="ED449" s="25"/>
      <c r="EE449" s="25"/>
      <c r="EF449" s="25"/>
      <c r="EG449" s="25"/>
      <c r="EH449" s="25"/>
      <c r="EI449" s="25"/>
      <c r="EJ449" s="25"/>
      <c r="EK449" s="25"/>
      <c r="EL449" s="25"/>
      <c r="EM449" s="25"/>
      <c r="EN449" s="25"/>
      <c r="EO449" s="25"/>
      <c r="EP449" s="25"/>
      <c r="EQ449" s="25"/>
      <c r="ER449" s="25"/>
      <c r="ES449" s="25"/>
      <c r="ET449" s="25"/>
      <c r="EU449" s="25"/>
      <c r="EV449" s="25" t="str">
        <f>_xlfn.CONCAT($A450," ",$B450," ",$D450)</f>
        <v>2025 Toyota RZ 450e AWD (20inch Wheels)</v>
      </c>
      <c r="EW449" s="25"/>
      <c r="EX449" s="25"/>
      <c r="EY449" s="25"/>
      <c r="EZ449" s="25"/>
      <c r="FA449" s="25"/>
      <c r="FB449" s="25"/>
      <c r="FC449" s="25"/>
      <c r="FD449" s="25"/>
      <c r="FE449" s="25"/>
      <c r="FF449" s="25"/>
      <c r="FG449" s="25"/>
    </row>
    <row r="450" spans="1:165" x14ac:dyDescent="0.35">
      <c r="A450">
        <v>2025</v>
      </c>
      <c r="B450" t="s">
        <v>327</v>
      </c>
      <c r="C450" t="s">
        <v>328</v>
      </c>
      <c r="D450" t="s">
        <v>2054</v>
      </c>
      <c r="E450" t="s">
        <v>330</v>
      </c>
      <c r="F450">
        <v>151</v>
      </c>
      <c r="G450">
        <v>0</v>
      </c>
      <c r="I450" t="s">
        <v>1734</v>
      </c>
      <c r="J450">
        <v>102</v>
      </c>
      <c r="K450">
        <v>87</v>
      </c>
      <c r="L450">
        <v>95</v>
      </c>
      <c r="M450">
        <v>148.6</v>
      </c>
      <c r="N450">
        <v>125.3</v>
      </c>
      <c r="O450">
        <v>137.12549999999999</v>
      </c>
      <c r="P450">
        <v>102</v>
      </c>
      <c r="Q450">
        <v>87</v>
      </c>
      <c r="R450">
        <v>95</v>
      </c>
      <c r="V450" t="s">
        <v>167</v>
      </c>
      <c r="W450" t="s">
        <v>168</v>
      </c>
      <c r="Y450">
        <v>1</v>
      </c>
      <c r="Z450" t="s">
        <v>170</v>
      </c>
      <c r="AA450" t="s">
        <v>170</v>
      </c>
      <c r="AB450" t="s">
        <v>167</v>
      </c>
      <c r="AC450" t="s">
        <v>213</v>
      </c>
      <c r="AF450">
        <v>196</v>
      </c>
      <c r="AG450" t="s">
        <v>1735</v>
      </c>
      <c r="AH450" t="s">
        <v>1736</v>
      </c>
      <c r="AI450" t="s">
        <v>175</v>
      </c>
      <c r="AJ450" t="s">
        <v>176</v>
      </c>
      <c r="AK450">
        <v>4</v>
      </c>
      <c r="AL450" t="s">
        <v>1737</v>
      </c>
      <c r="AS450">
        <v>850</v>
      </c>
      <c r="AT450">
        <v>50</v>
      </c>
      <c r="BQ450">
        <v>31</v>
      </c>
      <c r="BR450" t="s">
        <v>1219</v>
      </c>
      <c r="BT450" t="s">
        <v>1738</v>
      </c>
      <c r="BU450" s="1">
        <v>45637</v>
      </c>
      <c r="BV450">
        <v>35940</v>
      </c>
      <c r="BX450" t="s">
        <v>169</v>
      </c>
      <c r="BY450" t="s">
        <v>170</v>
      </c>
      <c r="CB450" t="s">
        <v>170</v>
      </c>
      <c r="CC450" t="s">
        <v>170</v>
      </c>
      <c r="CK450" t="s">
        <v>233</v>
      </c>
      <c r="CM450">
        <v>1</v>
      </c>
      <c r="CN450" t="s">
        <v>234</v>
      </c>
      <c r="CP450">
        <v>355</v>
      </c>
      <c r="CQ450">
        <v>201</v>
      </c>
      <c r="CR450">
        <v>251</v>
      </c>
      <c r="CS450" t="s">
        <v>235</v>
      </c>
      <c r="CV450" t="s">
        <v>341</v>
      </c>
      <c r="CX450" t="s">
        <v>342</v>
      </c>
      <c r="CY450" t="s">
        <v>170</v>
      </c>
      <c r="DD450">
        <v>2</v>
      </c>
      <c r="DE450" t="s">
        <v>404</v>
      </c>
      <c r="DF450" t="s">
        <v>638</v>
      </c>
      <c r="DG450" t="s">
        <v>2052</v>
      </c>
      <c r="DL450" t="s">
        <v>170</v>
      </c>
      <c r="DM450" t="s">
        <v>169</v>
      </c>
      <c r="DP450" t="s">
        <v>170</v>
      </c>
      <c r="DQ450" t="s">
        <v>187</v>
      </c>
      <c r="DR450" t="s">
        <v>2048</v>
      </c>
      <c r="EB450">
        <v>9</v>
      </c>
      <c r="EC450">
        <v>10</v>
      </c>
      <c r="EE450" t="s">
        <v>2053</v>
      </c>
      <c r="EF450">
        <v>10</v>
      </c>
      <c r="EU450">
        <v>5250</v>
      </c>
      <c r="EW450">
        <v>0</v>
      </c>
      <c r="EX450">
        <v>0</v>
      </c>
      <c r="EY450">
        <v>0</v>
      </c>
      <c r="FA450">
        <v>10</v>
      </c>
      <c r="FG450">
        <v>211</v>
      </c>
      <c r="FH450">
        <v>178</v>
      </c>
      <c r="FI450">
        <v>196</v>
      </c>
    </row>
    <row r="451" spans="1:165" x14ac:dyDescent="0.35">
      <c r="A451">
        <v>2025</v>
      </c>
      <c r="B451" t="s">
        <v>327</v>
      </c>
      <c r="C451" t="s">
        <v>328</v>
      </c>
      <c r="D451" t="s">
        <v>2054</v>
      </c>
      <c r="E451" t="s">
        <v>330</v>
      </c>
      <c r="F451">
        <v>151</v>
      </c>
      <c r="G451">
        <v>0</v>
      </c>
      <c r="I451" t="s">
        <v>1734</v>
      </c>
      <c r="J451">
        <v>32</v>
      </c>
      <c r="K451">
        <v>38</v>
      </c>
      <c r="L451">
        <v>35</v>
      </c>
      <c r="M451">
        <v>22.6829</v>
      </c>
      <c r="N451">
        <v>26.905100000000001</v>
      </c>
      <c r="O451">
        <v>24.582899999999999</v>
      </c>
      <c r="P451">
        <v>32</v>
      </c>
      <c r="Q451">
        <v>38</v>
      </c>
      <c r="R451">
        <v>35</v>
      </c>
      <c r="V451" t="s">
        <v>167</v>
      </c>
      <c r="W451" t="s">
        <v>168</v>
      </c>
      <c r="Y451">
        <v>1</v>
      </c>
      <c r="Z451" t="s">
        <v>170</v>
      </c>
      <c r="AA451" t="s">
        <v>170</v>
      </c>
      <c r="AB451" t="s">
        <v>167</v>
      </c>
      <c r="AC451" t="s">
        <v>213</v>
      </c>
      <c r="AF451">
        <v>196</v>
      </c>
      <c r="AG451" t="s">
        <v>1735</v>
      </c>
      <c r="AH451" t="s">
        <v>1736</v>
      </c>
      <c r="AI451" t="s">
        <v>1742</v>
      </c>
      <c r="AJ451" t="s">
        <v>1743</v>
      </c>
      <c r="AK451">
        <v>4</v>
      </c>
      <c r="AL451" t="s">
        <v>1737</v>
      </c>
      <c r="AS451">
        <v>850</v>
      </c>
      <c r="AT451">
        <v>850</v>
      </c>
      <c r="BQ451">
        <v>31</v>
      </c>
      <c r="BR451" t="s">
        <v>1219</v>
      </c>
      <c r="BT451" t="s">
        <v>1738</v>
      </c>
      <c r="BU451" s="1">
        <v>45637</v>
      </c>
      <c r="BV451">
        <v>35940</v>
      </c>
      <c r="BX451" t="s">
        <v>169</v>
      </c>
      <c r="BY451" t="s">
        <v>170</v>
      </c>
      <c r="CB451" t="s">
        <v>170</v>
      </c>
      <c r="CC451" t="s">
        <v>170</v>
      </c>
      <c r="CK451" t="s">
        <v>233</v>
      </c>
      <c r="CM451">
        <v>1</v>
      </c>
      <c r="CN451" t="s">
        <v>234</v>
      </c>
      <c r="CP451">
        <v>355</v>
      </c>
      <c r="CQ451">
        <v>201</v>
      </c>
      <c r="CR451">
        <v>251</v>
      </c>
      <c r="CS451" t="s">
        <v>235</v>
      </c>
      <c r="CV451" t="s">
        <v>341</v>
      </c>
      <c r="CX451" t="s">
        <v>342</v>
      </c>
      <c r="CY451" t="s">
        <v>170</v>
      </c>
      <c r="DD451">
        <v>2</v>
      </c>
      <c r="DE451" t="s">
        <v>404</v>
      </c>
      <c r="DF451" t="s">
        <v>638</v>
      </c>
      <c r="DG451" t="s">
        <v>2052</v>
      </c>
      <c r="DL451" t="s">
        <v>170</v>
      </c>
      <c r="DM451" t="s">
        <v>169</v>
      </c>
      <c r="DP451" t="s">
        <v>170</v>
      </c>
      <c r="DQ451" t="s">
        <v>187</v>
      </c>
      <c r="DR451" t="s">
        <v>2048</v>
      </c>
      <c r="EB451">
        <v>9</v>
      </c>
      <c r="EC451">
        <v>10</v>
      </c>
      <c r="EE451" t="s">
        <v>2053</v>
      </c>
      <c r="EF451">
        <v>10</v>
      </c>
      <c r="EU451">
        <v>5250</v>
      </c>
      <c r="EW451">
        <v>0</v>
      </c>
      <c r="EX451">
        <v>0</v>
      </c>
      <c r="EY451">
        <v>0</v>
      </c>
      <c r="FA451">
        <v>10</v>
      </c>
      <c r="FG451">
        <v>211</v>
      </c>
      <c r="FH451">
        <v>178</v>
      </c>
      <c r="FI451">
        <v>196</v>
      </c>
    </row>
    <row r="452" spans="1:165" x14ac:dyDescent="0.35">
      <c r="A452" s="25"/>
      <c r="B452" s="25"/>
      <c r="C452" s="25"/>
      <c r="D452" s="25"/>
      <c r="E452" s="25"/>
      <c r="F452" s="25" t="str">
        <f>_xlfn.CONCAT($A453," ",$B453," ",$D453)</f>
        <v>2025 Lucid USA, Inc Air G Touring XR AWD w/19" wheels</v>
      </c>
      <c r="G452" s="25"/>
      <c r="H452" s="25"/>
      <c r="I452" s="25"/>
      <c r="J452" s="25"/>
      <c r="K452" s="25"/>
      <c r="L452" s="25"/>
      <c r="M452" s="25"/>
      <c r="N452" s="25"/>
      <c r="O452" s="25"/>
      <c r="P452" s="25"/>
      <c r="Q452" s="25"/>
      <c r="R452" s="25"/>
      <c r="S452" s="25"/>
      <c r="T452" s="25"/>
      <c r="U452" s="25"/>
      <c r="V452" s="25"/>
      <c r="W452" s="25"/>
      <c r="X452" s="25"/>
      <c r="Y452" s="25"/>
      <c r="Z452" s="25"/>
      <c r="AA452" s="25"/>
      <c r="AB452" s="25"/>
      <c r="AC452" s="25"/>
      <c r="AD452" s="25" t="str">
        <f>_xlfn.CONCAT($A453," ",$B453," ",$D453)</f>
        <v>2025 Lucid USA, Inc Air G Touring XR AWD w/19" wheels</v>
      </c>
      <c r="AE452" s="25"/>
      <c r="AF452" s="25"/>
      <c r="AG452" s="25"/>
      <c r="AH452" s="25"/>
      <c r="AI452" s="25"/>
      <c r="AJ452" s="25"/>
      <c r="AK452" s="25"/>
      <c r="AL452" s="25"/>
      <c r="AM452" s="25"/>
      <c r="AN452" s="25"/>
      <c r="AO452" s="25"/>
      <c r="AP452" s="25"/>
      <c r="AQ452" s="25"/>
      <c r="AR452" s="25"/>
      <c r="AS452" s="25"/>
      <c r="AT452" s="25"/>
      <c r="AU452" s="25"/>
      <c r="AV452" s="25"/>
      <c r="AW452" s="25"/>
      <c r="AX452" s="25" t="str">
        <f>_xlfn.CONCAT($A453," ",$B453," ",$D453)</f>
        <v>2025 Lucid USA, Inc Air G Touring XR AWD w/19" wheels</v>
      </c>
      <c r="AY452" s="25"/>
      <c r="AZ452" s="25"/>
      <c r="BA452" s="25"/>
      <c r="BB452" s="25"/>
      <c r="BC452" s="25"/>
      <c r="BD452" s="25"/>
      <c r="BE452" s="25"/>
      <c r="BF452" s="25"/>
      <c r="BG452" s="25"/>
      <c r="BH452" s="25"/>
      <c r="BI452" s="25"/>
      <c r="BJ452" s="25"/>
      <c r="BK452" s="25"/>
      <c r="BL452" s="25"/>
      <c r="BM452" s="25"/>
      <c r="BN452" s="25"/>
      <c r="BO452" s="25"/>
      <c r="BP452" s="25"/>
      <c r="BQ452" s="25"/>
      <c r="BR452" s="25" t="str">
        <f>_xlfn.CONCAT($A453," ",$B453," ",$D453)</f>
        <v>2025 Lucid USA, Inc Air G Touring XR AWD w/19" wheels</v>
      </c>
      <c r="BS452" s="25"/>
      <c r="BT452" s="25"/>
      <c r="BU452" s="25"/>
      <c r="BV452" s="25"/>
      <c r="BX452" s="25"/>
      <c r="BY452" s="25"/>
      <c r="BZ452" s="25"/>
      <c r="CA452" s="25"/>
      <c r="CB452" s="25"/>
      <c r="CC452" s="25"/>
      <c r="CD452" s="25"/>
      <c r="CE452" s="25"/>
      <c r="CF452" s="25"/>
      <c r="CG452" s="25"/>
      <c r="CH452" s="25"/>
      <c r="CI452" s="25"/>
      <c r="CJ452" s="25"/>
      <c r="CK452" s="25"/>
      <c r="CL452" s="25"/>
      <c r="CM452" s="25"/>
      <c r="CN452" s="25"/>
      <c r="CO452" s="25"/>
      <c r="CP452" s="25" t="str">
        <f>_xlfn.CONCAT($A453," ",$B453," ",$D453)</f>
        <v>2025 Lucid USA, Inc Air G Touring XR AWD w/19" wheels</v>
      </c>
      <c r="CQ452" s="25"/>
      <c r="CR452" s="25"/>
      <c r="CS452" s="25"/>
      <c r="CT452" s="25"/>
      <c r="CU452" s="25"/>
      <c r="CV452" s="25"/>
      <c r="CW452" s="25"/>
      <c r="CX452" s="25"/>
      <c r="CY452" s="25"/>
      <c r="CZ452" s="25"/>
      <c r="DA452" s="25"/>
      <c r="DB452" s="25"/>
      <c r="DC452" s="25"/>
      <c r="DD452" s="25"/>
      <c r="DE452" s="25"/>
      <c r="DF452" s="25"/>
      <c r="DG452" s="25"/>
      <c r="DH452" s="25"/>
      <c r="DI452" s="25" t="str">
        <f>_xlfn.CONCAT($A453," ",$B453," ",$D453)</f>
        <v>2025 Lucid USA, Inc Air G Touring XR AWD w/19" wheels</v>
      </c>
      <c r="DJ452" s="25"/>
      <c r="DK452" s="25"/>
      <c r="DL452" s="25"/>
      <c r="DM452" s="25"/>
      <c r="DN452" s="25"/>
      <c r="DO452" s="25"/>
      <c r="DP452" s="25"/>
      <c r="DQ452" s="25"/>
      <c r="DR452" s="25"/>
      <c r="DS452" s="25"/>
      <c r="DT452" s="25"/>
      <c r="DU452" s="25"/>
      <c r="DV452" s="25"/>
      <c r="DW452" s="25"/>
      <c r="DX452" s="25"/>
      <c r="DY452" s="25"/>
      <c r="DZ452" s="25" t="str">
        <f>_xlfn.CONCAT($A453," ",$B453," ",$D453)</f>
        <v>2025 Lucid USA, Inc Air G Touring XR AWD w/19" wheels</v>
      </c>
      <c r="EB452" s="25"/>
      <c r="EC452" s="25"/>
      <c r="ED452" s="25"/>
      <c r="EE452" s="25"/>
      <c r="EF452" s="25"/>
      <c r="EG452" s="25"/>
      <c r="EH452" s="25"/>
      <c r="EI452" s="25"/>
      <c r="EJ452" s="25"/>
      <c r="EK452" s="25"/>
      <c r="EL452" s="25"/>
      <c r="EM452" s="25"/>
      <c r="EN452" s="25"/>
      <c r="EO452" s="25"/>
      <c r="EP452" s="25"/>
      <c r="EQ452" s="25"/>
      <c r="ER452" s="25"/>
      <c r="ES452" s="25"/>
      <c r="ET452" s="25"/>
      <c r="EU452" s="25"/>
      <c r="EV452" s="25" t="str">
        <f>_xlfn.CONCAT($A453," ",$B453," ",$D453)</f>
        <v>2025 Lucid USA, Inc Air G Touring XR AWD w/19" wheels</v>
      </c>
      <c r="EW452" s="25"/>
      <c r="EX452" s="25"/>
      <c r="EY452" s="25"/>
      <c r="EZ452" s="25"/>
      <c r="FA452" s="25"/>
      <c r="FB452" s="25"/>
      <c r="FC452" s="25"/>
      <c r="FD452" s="25"/>
      <c r="FE452" s="25"/>
      <c r="FF452" s="25"/>
      <c r="FG452" s="25"/>
    </row>
    <row r="453" spans="1:165" x14ac:dyDescent="0.35">
      <c r="A453">
        <v>2025</v>
      </c>
      <c r="B453" t="s">
        <v>2055</v>
      </c>
      <c r="C453" t="s">
        <v>2056</v>
      </c>
      <c r="D453" t="s">
        <v>2057</v>
      </c>
      <c r="E453" t="s">
        <v>2058</v>
      </c>
      <c r="F453">
        <v>10</v>
      </c>
      <c r="G453">
        <v>0</v>
      </c>
      <c r="I453" t="s">
        <v>1734</v>
      </c>
      <c r="J453">
        <v>129</v>
      </c>
      <c r="K453">
        <v>126</v>
      </c>
      <c r="L453">
        <v>128</v>
      </c>
      <c r="M453">
        <v>176.3</v>
      </c>
      <c r="N453">
        <v>173</v>
      </c>
      <c r="O453">
        <v>174.7996</v>
      </c>
      <c r="P453">
        <v>128.6285</v>
      </c>
      <c r="Q453">
        <v>126.2208</v>
      </c>
      <c r="R453">
        <v>127.5338</v>
      </c>
      <c r="V453" t="s">
        <v>167</v>
      </c>
      <c r="W453" t="s">
        <v>168</v>
      </c>
      <c r="Y453">
        <v>1</v>
      </c>
      <c r="Z453" t="s">
        <v>170</v>
      </c>
      <c r="AA453" t="s">
        <v>170</v>
      </c>
      <c r="AB453" t="s">
        <v>167</v>
      </c>
      <c r="AC453" t="s">
        <v>213</v>
      </c>
      <c r="AF453">
        <v>512</v>
      </c>
      <c r="AG453" t="s">
        <v>1735</v>
      </c>
      <c r="AH453" t="s">
        <v>1736</v>
      </c>
      <c r="AI453" t="s">
        <v>175</v>
      </c>
      <c r="AJ453" t="s">
        <v>176</v>
      </c>
      <c r="AK453">
        <v>4</v>
      </c>
      <c r="AL453" t="s">
        <v>1737</v>
      </c>
      <c r="AO453">
        <v>99</v>
      </c>
      <c r="AP453">
        <v>32</v>
      </c>
      <c r="AS453">
        <v>650</v>
      </c>
      <c r="AT453">
        <v>650</v>
      </c>
      <c r="BQ453">
        <v>6</v>
      </c>
      <c r="BR453" t="s">
        <v>825</v>
      </c>
      <c r="BS453" t="s">
        <v>180</v>
      </c>
      <c r="BT453" t="s">
        <v>1769</v>
      </c>
      <c r="BU453" s="1">
        <v>45491</v>
      </c>
      <c r="BV453">
        <v>35235</v>
      </c>
      <c r="BX453" t="s">
        <v>169</v>
      </c>
      <c r="BY453" t="s">
        <v>170</v>
      </c>
      <c r="CB453" t="s">
        <v>170</v>
      </c>
      <c r="CC453" t="s">
        <v>170</v>
      </c>
      <c r="CK453" t="s">
        <v>233</v>
      </c>
      <c r="CM453">
        <v>1</v>
      </c>
      <c r="CN453" t="s">
        <v>234</v>
      </c>
      <c r="CP453">
        <v>800</v>
      </c>
      <c r="CQ453">
        <v>146</v>
      </c>
      <c r="CR453">
        <v>150</v>
      </c>
      <c r="CS453" t="s">
        <v>1752</v>
      </c>
      <c r="CV453" t="s">
        <v>341</v>
      </c>
      <c r="CX453" t="s">
        <v>342</v>
      </c>
      <c r="CY453" t="s">
        <v>169</v>
      </c>
      <c r="DD453">
        <v>2</v>
      </c>
      <c r="DE453" t="s">
        <v>404</v>
      </c>
      <c r="DF453" t="s">
        <v>2059</v>
      </c>
      <c r="DG453" t="s">
        <v>2060</v>
      </c>
      <c r="DL453" t="s">
        <v>170</v>
      </c>
      <c r="DM453" t="s">
        <v>169</v>
      </c>
      <c r="DP453" t="s">
        <v>170</v>
      </c>
      <c r="DQ453" t="s">
        <v>187</v>
      </c>
      <c r="EB453">
        <v>10</v>
      </c>
      <c r="EC453">
        <v>10</v>
      </c>
      <c r="EE453" t="s">
        <v>2061</v>
      </c>
      <c r="EF453">
        <v>10</v>
      </c>
      <c r="EU453">
        <v>6250</v>
      </c>
      <c r="EW453">
        <v>0</v>
      </c>
      <c r="EX453">
        <v>0</v>
      </c>
      <c r="EY453">
        <v>0</v>
      </c>
      <c r="FA453">
        <v>13</v>
      </c>
      <c r="FG453">
        <v>516</v>
      </c>
      <c r="FH453">
        <v>507</v>
      </c>
      <c r="FI453">
        <v>512</v>
      </c>
    </row>
    <row r="454" spans="1:165" x14ac:dyDescent="0.35">
      <c r="A454">
        <v>2025</v>
      </c>
      <c r="B454" t="s">
        <v>2055</v>
      </c>
      <c r="C454" t="s">
        <v>2056</v>
      </c>
      <c r="D454" t="s">
        <v>2057</v>
      </c>
      <c r="E454" t="s">
        <v>2058</v>
      </c>
      <c r="F454">
        <v>10</v>
      </c>
      <c r="G454">
        <v>0</v>
      </c>
      <c r="I454" t="s">
        <v>1734</v>
      </c>
      <c r="J454">
        <v>26</v>
      </c>
      <c r="K454">
        <v>27</v>
      </c>
      <c r="L454">
        <v>26</v>
      </c>
      <c r="M454">
        <v>19.12</v>
      </c>
      <c r="N454">
        <v>19.484000000000002</v>
      </c>
      <c r="O454">
        <v>19.283799999999999</v>
      </c>
      <c r="P454">
        <v>26.203399999999998</v>
      </c>
      <c r="Q454">
        <v>26.703199999999999</v>
      </c>
      <c r="R454">
        <v>26.4283</v>
      </c>
      <c r="V454" t="s">
        <v>167</v>
      </c>
      <c r="W454" t="s">
        <v>168</v>
      </c>
      <c r="Y454">
        <v>1</v>
      </c>
      <c r="Z454" t="s">
        <v>170</v>
      </c>
      <c r="AA454" t="s">
        <v>170</v>
      </c>
      <c r="AB454" t="s">
        <v>167</v>
      </c>
      <c r="AC454" t="s">
        <v>213</v>
      </c>
      <c r="AF454">
        <v>512</v>
      </c>
      <c r="AG454" t="s">
        <v>1735</v>
      </c>
      <c r="AH454" t="s">
        <v>1736</v>
      </c>
      <c r="AI454" t="s">
        <v>1742</v>
      </c>
      <c r="AJ454" t="s">
        <v>1743</v>
      </c>
      <c r="AK454">
        <v>4</v>
      </c>
      <c r="AL454" t="s">
        <v>1737</v>
      </c>
      <c r="AO454">
        <v>99</v>
      </c>
      <c r="AP454">
        <v>32</v>
      </c>
      <c r="AS454">
        <v>650</v>
      </c>
      <c r="AT454">
        <v>650</v>
      </c>
      <c r="BQ454">
        <v>6</v>
      </c>
      <c r="BR454" t="s">
        <v>825</v>
      </c>
      <c r="BS454" t="s">
        <v>180</v>
      </c>
      <c r="BT454" t="s">
        <v>1769</v>
      </c>
      <c r="BU454" s="1">
        <v>45491</v>
      </c>
      <c r="BV454">
        <v>35235</v>
      </c>
      <c r="BX454" t="s">
        <v>169</v>
      </c>
      <c r="BY454" t="s">
        <v>170</v>
      </c>
      <c r="CB454" t="s">
        <v>170</v>
      </c>
      <c r="CC454" t="s">
        <v>170</v>
      </c>
      <c r="CK454" t="s">
        <v>233</v>
      </c>
      <c r="CM454">
        <v>1</v>
      </c>
      <c r="CN454" t="s">
        <v>234</v>
      </c>
      <c r="CP454">
        <v>800</v>
      </c>
      <c r="CQ454">
        <v>146</v>
      </c>
      <c r="CR454">
        <v>150</v>
      </c>
      <c r="CS454" t="s">
        <v>1752</v>
      </c>
      <c r="CV454" t="s">
        <v>341</v>
      </c>
      <c r="CX454" t="s">
        <v>342</v>
      </c>
      <c r="CY454" t="s">
        <v>169</v>
      </c>
      <c r="DD454">
        <v>2</v>
      </c>
      <c r="DE454" t="s">
        <v>404</v>
      </c>
      <c r="DF454" t="s">
        <v>2059</v>
      </c>
      <c r="DG454" t="s">
        <v>2060</v>
      </c>
      <c r="DL454" t="s">
        <v>170</v>
      </c>
      <c r="DM454" t="s">
        <v>169</v>
      </c>
      <c r="DP454" t="s">
        <v>170</v>
      </c>
      <c r="DQ454" t="s">
        <v>187</v>
      </c>
      <c r="EB454">
        <v>10</v>
      </c>
      <c r="EC454">
        <v>10</v>
      </c>
      <c r="EE454" t="s">
        <v>2061</v>
      </c>
      <c r="EF454">
        <v>10</v>
      </c>
      <c r="EU454">
        <v>6250</v>
      </c>
      <c r="EW454">
        <v>0</v>
      </c>
      <c r="EX454">
        <v>0</v>
      </c>
      <c r="EY454">
        <v>0</v>
      </c>
      <c r="FA454">
        <v>13</v>
      </c>
      <c r="FG454">
        <v>516</v>
      </c>
      <c r="FH454">
        <v>507</v>
      </c>
      <c r="FI454">
        <v>512</v>
      </c>
    </row>
    <row r="455" spans="1:165" x14ac:dyDescent="0.35">
      <c r="A455" s="25"/>
      <c r="B455" s="25"/>
      <c r="C455" s="25"/>
      <c r="D455" s="25"/>
      <c r="E455" s="25"/>
      <c r="F455" s="25" t="str">
        <f>_xlfn.CONCAT($A456," ",$B456," ",$D456)</f>
        <v>2025 Lucid USA, Inc Air G Touring XR AWD w/20" wheels</v>
      </c>
      <c r="G455" s="25"/>
      <c r="H455" s="25"/>
      <c r="I455" s="25"/>
      <c r="J455" s="25"/>
      <c r="K455" s="25"/>
      <c r="L455" s="25"/>
      <c r="M455" s="25"/>
      <c r="N455" s="25"/>
      <c r="O455" s="25"/>
      <c r="P455" s="25"/>
      <c r="Q455" s="25"/>
      <c r="R455" s="25"/>
      <c r="S455" s="25"/>
      <c r="T455" s="25"/>
      <c r="U455" s="25"/>
      <c r="V455" s="25"/>
      <c r="W455" s="25"/>
      <c r="X455" s="25"/>
      <c r="Y455" s="25"/>
      <c r="Z455" s="25"/>
      <c r="AA455" s="25"/>
      <c r="AB455" s="25"/>
      <c r="AC455" s="25"/>
      <c r="AD455" s="25" t="str">
        <f>_xlfn.CONCAT($A456," ",$B456," ",$D456)</f>
        <v>2025 Lucid USA, Inc Air G Touring XR AWD w/20" wheels</v>
      </c>
      <c r="AE455" s="25"/>
      <c r="AF455" s="25"/>
      <c r="AG455" s="25"/>
      <c r="AH455" s="25"/>
      <c r="AI455" s="25"/>
      <c r="AJ455" s="25"/>
      <c r="AK455" s="25"/>
      <c r="AL455" s="25"/>
      <c r="AM455" s="25"/>
      <c r="AN455" s="25"/>
      <c r="AO455" s="25"/>
      <c r="AP455" s="25"/>
      <c r="AQ455" s="25"/>
      <c r="AR455" s="25"/>
      <c r="AS455" s="25"/>
      <c r="AT455" s="25"/>
      <c r="AU455" s="25"/>
      <c r="AV455" s="25"/>
      <c r="AW455" s="25"/>
      <c r="AX455" s="25" t="str">
        <f>_xlfn.CONCAT($A456," ",$B456," ",$D456)</f>
        <v>2025 Lucid USA, Inc Air G Touring XR AWD w/20" wheels</v>
      </c>
      <c r="AY455" s="25"/>
      <c r="AZ455" s="25"/>
      <c r="BA455" s="25"/>
      <c r="BB455" s="25"/>
      <c r="BC455" s="25"/>
      <c r="BD455" s="25"/>
      <c r="BE455" s="25"/>
      <c r="BF455" s="25"/>
      <c r="BG455" s="25"/>
      <c r="BH455" s="25"/>
      <c r="BI455" s="25"/>
      <c r="BJ455" s="25"/>
      <c r="BK455" s="25"/>
      <c r="BL455" s="25"/>
      <c r="BM455" s="25"/>
      <c r="BN455" s="25"/>
      <c r="BO455" s="25"/>
      <c r="BP455" s="25"/>
      <c r="BQ455" s="25"/>
      <c r="BR455" s="25" t="str">
        <f>_xlfn.CONCAT($A456," ",$B456," ",$D456)</f>
        <v>2025 Lucid USA, Inc Air G Touring XR AWD w/20" wheels</v>
      </c>
      <c r="BS455" s="25"/>
      <c r="BT455" s="25"/>
      <c r="BU455" s="25"/>
      <c r="BV455" s="25"/>
      <c r="BX455" s="25"/>
      <c r="BY455" s="25"/>
      <c r="BZ455" s="25"/>
      <c r="CA455" s="25"/>
      <c r="CB455" s="25"/>
      <c r="CC455" s="25"/>
      <c r="CD455" s="25"/>
      <c r="CE455" s="25"/>
      <c r="CF455" s="25"/>
      <c r="CG455" s="25"/>
      <c r="CH455" s="25"/>
      <c r="CI455" s="25"/>
      <c r="CJ455" s="25"/>
      <c r="CK455" s="25"/>
      <c r="CL455" s="25"/>
      <c r="CM455" s="25"/>
      <c r="CN455" s="25"/>
      <c r="CO455" s="25"/>
      <c r="CP455" s="25" t="str">
        <f>_xlfn.CONCAT($A456," ",$B456," ",$D456)</f>
        <v>2025 Lucid USA, Inc Air G Touring XR AWD w/20" wheels</v>
      </c>
      <c r="CQ455" s="25"/>
      <c r="CR455" s="25"/>
      <c r="CS455" s="25"/>
      <c r="CT455" s="25"/>
      <c r="CU455" s="25"/>
      <c r="CV455" s="25"/>
      <c r="CW455" s="25"/>
      <c r="CX455" s="25"/>
      <c r="CY455" s="25"/>
      <c r="CZ455" s="25"/>
      <c r="DA455" s="25"/>
      <c r="DB455" s="25"/>
      <c r="DC455" s="25"/>
      <c r="DD455" s="25"/>
      <c r="DE455" s="25"/>
      <c r="DF455" s="25"/>
      <c r="DG455" s="25"/>
      <c r="DH455" s="25"/>
      <c r="DI455" s="25" t="str">
        <f>_xlfn.CONCAT($A456," ",$B456," ",$D456)</f>
        <v>2025 Lucid USA, Inc Air G Touring XR AWD w/20" wheels</v>
      </c>
      <c r="DJ455" s="25"/>
      <c r="DK455" s="25"/>
      <c r="DL455" s="25"/>
      <c r="DM455" s="25"/>
      <c r="DN455" s="25"/>
      <c r="DO455" s="25"/>
      <c r="DP455" s="25"/>
      <c r="DQ455" s="25"/>
      <c r="DR455" s="25"/>
      <c r="DS455" s="25"/>
      <c r="DT455" s="25"/>
      <c r="DU455" s="25"/>
      <c r="DV455" s="25"/>
      <c r="DW455" s="25"/>
      <c r="DX455" s="25"/>
      <c r="DY455" s="25"/>
      <c r="DZ455" s="25" t="str">
        <f>_xlfn.CONCAT($A456," ",$B456," ",$D456)</f>
        <v>2025 Lucid USA, Inc Air G Touring XR AWD w/20" wheels</v>
      </c>
      <c r="EB455" s="25"/>
      <c r="EC455" s="25"/>
      <c r="ED455" s="25"/>
      <c r="EE455" s="25"/>
      <c r="EF455" s="25"/>
      <c r="EG455" s="25"/>
      <c r="EH455" s="25"/>
      <c r="EI455" s="25"/>
      <c r="EJ455" s="25"/>
      <c r="EK455" s="25"/>
      <c r="EL455" s="25"/>
      <c r="EM455" s="25"/>
      <c r="EN455" s="25"/>
      <c r="EO455" s="25"/>
      <c r="EP455" s="25"/>
      <c r="EQ455" s="25"/>
      <c r="ER455" s="25"/>
      <c r="ES455" s="25"/>
      <c r="ET455" s="25"/>
      <c r="EU455" s="25"/>
      <c r="EV455" s="25" t="str">
        <f>_xlfn.CONCAT($A456," ",$B456," ",$D456)</f>
        <v>2025 Lucid USA, Inc Air G Touring XR AWD w/20" wheels</v>
      </c>
      <c r="EW455" s="25"/>
      <c r="EX455" s="25"/>
      <c r="EY455" s="25"/>
      <c r="EZ455" s="25"/>
      <c r="FA455" s="25"/>
      <c r="FB455" s="25"/>
      <c r="FC455" s="25"/>
      <c r="FD455" s="25"/>
      <c r="FE455" s="25"/>
      <c r="FF455" s="25"/>
      <c r="FG455" s="25"/>
    </row>
    <row r="456" spans="1:165" x14ac:dyDescent="0.35">
      <c r="A456">
        <v>2025</v>
      </c>
      <c r="B456" t="s">
        <v>2055</v>
      </c>
      <c r="C456" t="s">
        <v>2056</v>
      </c>
      <c r="D456" t="s">
        <v>2062</v>
      </c>
      <c r="E456" t="s">
        <v>2058</v>
      </c>
      <c r="F456">
        <v>11</v>
      </c>
      <c r="G456">
        <v>0</v>
      </c>
      <c r="I456" t="s">
        <v>1734</v>
      </c>
      <c r="J456">
        <v>122</v>
      </c>
      <c r="K456">
        <v>117</v>
      </c>
      <c r="L456">
        <v>120</v>
      </c>
      <c r="M456">
        <v>166.8</v>
      </c>
      <c r="N456">
        <v>160.80000000000001</v>
      </c>
      <c r="O456">
        <v>160.0455</v>
      </c>
      <c r="P456">
        <v>121.6973</v>
      </c>
      <c r="Q456">
        <v>117.3197</v>
      </c>
      <c r="R456">
        <v>119.6876</v>
      </c>
      <c r="V456" t="s">
        <v>167</v>
      </c>
      <c r="W456" t="s">
        <v>168</v>
      </c>
      <c r="Y456">
        <v>1</v>
      </c>
      <c r="Z456" t="s">
        <v>170</v>
      </c>
      <c r="AA456" t="s">
        <v>170</v>
      </c>
      <c r="AB456" t="s">
        <v>167</v>
      </c>
      <c r="AC456" t="s">
        <v>213</v>
      </c>
      <c r="AF456">
        <v>480</v>
      </c>
      <c r="AG456" t="s">
        <v>1735</v>
      </c>
      <c r="AH456" t="s">
        <v>1736</v>
      </c>
      <c r="AI456" t="s">
        <v>175</v>
      </c>
      <c r="AJ456" t="s">
        <v>176</v>
      </c>
      <c r="AK456">
        <v>4</v>
      </c>
      <c r="AL456" t="s">
        <v>1737</v>
      </c>
      <c r="AO456">
        <v>99</v>
      </c>
      <c r="AP456">
        <v>32</v>
      </c>
      <c r="AS456">
        <v>700</v>
      </c>
      <c r="AT456">
        <v>700</v>
      </c>
      <c r="BQ456">
        <v>6</v>
      </c>
      <c r="BR456" t="s">
        <v>825</v>
      </c>
      <c r="BS456" t="s">
        <v>180</v>
      </c>
      <c r="BT456" t="s">
        <v>1769</v>
      </c>
      <c r="BU456" s="1">
        <v>45491</v>
      </c>
      <c r="BV456">
        <v>35236</v>
      </c>
      <c r="BX456" t="s">
        <v>169</v>
      </c>
      <c r="BY456" t="s">
        <v>170</v>
      </c>
      <c r="CB456" t="s">
        <v>170</v>
      </c>
      <c r="CC456" t="s">
        <v>170</v>
      </c>
      <c r="CK456" t="s">
        <v>233</v>
      </c>
      <c r="CM456">
        <v>1</v>
      </c>
      <c r="CN456" t="s">
        <v>234</v>
      </c>
      <c r="CP456">
        <v>800</v>
      </c>
      <c r="CQ456">
        <v>146</v>
      </c>
      <c r="CR456">
        <v>150</v>
      </c>
      <c r="CS456" t="s">
        <v>1752</v>
      </c>
      <c r="CV456" t="s">
        <v>341</v>
      </c>
      <c r="CX456" t="s">
        <v>342</v>
      </c>
      <c r="CY456" t="s">
        <v>169</v>
      </c>
      <c r="DD456">
        <v>2</v>
      </c>
      <c r="DE456" t="s">
        <v>404</v>
      </c>
      <c r="DF456" t="s">
        <v>2059</v>
      </c>
      <c r="DG456" t="s">
        <v>2060</v>
      </c>
      <c r="DL456" t="s">
        <v>170</v>
      </c>
      <c r="DM456" t="s">
        <v>169</v>
      </c>
      <c r="DP456" t="s">
        <v>170</v>
      </c>
      <c r="DQ456" t="s">
        <v>187</v>
      </c>
      <c r="EB456">
        <v>10</v>
      </c>
      <c r="EC456">
        <v>10</v>
      </c>
      <c r="EE456" t="s">
        <v>2061</v>
      </c>
      <c r="EF456">
        <v>10</v>
      </c>
      <c r="EU456">
        <v>6000</v>
      </c>
      <c r="EW456">
        <v>0</v>
      </c>
      <c r="EX456">
        <v>0</v>
      </c>
      <c r="EY456">
        <v>0</v>
      </c>
      <c r="FA456">
        <v>13</v>
      </c>
      <c r="FG456">
        <v>488</v>
      </c>
      <c r="FH456">
        <v>470</v>
      </c>
      <c r="FI456">
        <v>480</v>
      </c>
    </row>
    <row r="457" spans="1:165" x14ac:dyDescent="0.35">
      <c r="A457">
        <v>2025</v>
      </c>
      <c r="B457" t="s">
        <v>2055</v>
      </c>
      <c r="C457" t="s">
        <v>2056</v>
      </c>
      <c r="D457" t="s">
        <v>2062</v>
      </c>
      <c r="E457" t="s">
        <v>2058</v>
      </c>
      <c r="F457">
        <v>11</v>
      </c>
      <c r="G457">
        <v>0</v>
      </c>
      <c r="I457" t="s">
        <v>1734</v>
      </c>
      <c r="J457">
        <v>28</v>
      </c>
      <c r="K457">
        <v>29</v>
      </c>
      <c r="L457">
        <v>28</v>
      </c>
      <c r="M457">
        <v>20.207999999999998</v>
      </c>
      <c r="N457">
        <v>20.963999999999999</v>
      </c>
      <c r="O457">
        <v>20.548200000000001</v>
      </c>
      <c r="P457">
        <v>27.695799999999998</v>
      </c>
      <c r="Q457">
        <v>28.729199999999999</v>
      </c>
      <c r="R457">
        <v>28.160799999999998</v>
      </c>
      <c r="V457" t="s">
        <v>167</v>
      </c>
      <c r="W457" t="s">
        <v>168</v>
      </c>
      <c r="Y457">
        <v>1</v>
      </c>
      <c r="Z457" t="s">
        <v>170</v>
      </c>
      <c r="AA457" t="s">
        <v>170</v>
      </c>
      <c r="AB457" t="s">
        <v>167</v>
      </c>
      <c r="AC457" t="s">
        <v>213</v>
      </c>
      <c r="AF457">
        <v>480</v>
      </c>
      <c r="AG457" t="s">
        <v>1735</v>
      </c>
      <c r="AH457" t="s">
        <v>1736</v>
      </c>
      <c r="AI457" t="s">
        <v>1742</v>
      </c>
      <c r="AJ457" t="s">
        <v>1743</v>
      </c>
      <c r="AK457">
        <v>4</v>
      </c>
      <c r="AL457" t="s">
        <v>1737</v>
      </c>
      <c r="AO457">
        <v>99</v>
      </c>
      <c r="AP457">
        <v>32</v>
      </c>
      <c r="AS457">
        <v>700</v>
      </c>
      <c r="AT457">
        <v>700</v>
      </c>
      <c r="BQ457">
        <v>6</v>
      </c>
      <c r="BR457" t="s">
        <v>825</v>
      </c>
      <c r="BS457" t="s">
        <v>180</v>
      </c>
      <c r="BT457" t="s">
        <v>1769</v>
      </c>
      <c r="BU457" s="1">
        <v>45491</v>
      </c>
      <c r="BV457">
        <v>35236</v>
      </c>
      <c r="BX457" t="s">
        <v>169</v>
      </c>
      <c r="BY457" t="s">
        <v>170</v>
      </c>
      <c r="CB457" t="s">
        <v>170</v>
      </c>
      <c r="CC457" t="s">
        <v>170</v>
      </c>
      <c r="CK457" t="s">
        <v>233</v>
      </c>
      <c r="CM457">
        <v>1</v>
      </c>
      <c r="CN457" t="s">
        <v>234</v>
      </c>
      <c r="CP457">
        <v>800</v>
      </c>
      <c r="CQ457">
        <v>146</v>
      </c>
      <c r="CR457">
        <v>150</v>
      </c>
      <c r="CS457" t="s">
        <v>1752</v>
      </c>
      <c r="CV457" t="s">
        <v>341</v>
      </c>
      <c r="CX457" t="s">
        <v>342</v>
      </c>
      <c r="CY457" t="s">
        <v>169</v>
      </c>
      <c r="DD457">
        <v>2</v>
      </c>
      <c r="DE457" t="s">
        <v>404</v>
      </c>
      <c r="DF457" t="s">
        <v>2059</v>
      </c>
      <c r="DG457" t="s">
        <v>2060</v>
      </c>
      <c r="DL457" t="s">
        <v>170</v>
      </c>
      <c r="DM457" t="s">
        <v>169</v>
      </c>
      <c r="DP457" t="s">
        <v>170</v>
      </c>
      <c r="DQ457" t="s">
        <v>187</v>
      </c>
      <c r="EB457">
        <v>10</v>
      </c>
      <c r="EC457">
        <v>10</v>
      </c>
      <c r="EE457" t="s">
        <v>2061</v>
      </c>
      <c r="EF457">
        <v>10</v>
      </c>
      <c r="EU457">
        <v>6000</v>
      </c>
      <c r="EW457">
        <v>0</v>
      </c>
      <c r="EX457">
        <v>0</v>
      </c>
      <c r="EY457">
        <v>0</v>
      </c>
      <c r="FA457">
        <v>13</v>
      </c>
      <c r="FG457">
        <v>488</v>
      </c>
      <c r="FH457">
        <v>470</v>
      </c>
      <c r="FI457">
        <v>480</v>
      </c>
    </row>
    <row r="458" spans="1:165" x14ac:dyDescent="0.35">
      <c r="A458" s="25"/>
      <c r="B458" s="25"/>
      <c r="C458" s="25"/>
      <c r="D458" s="25"/>
      <c r="E458" s="25"/>
      <c r="F458" s="25" t="str">
        <f>_xlfn.CONCAT($A459," ",$B459," ",$D459)</f>
        <v>2025 Lucid USA, Inc Air G Touring XR AWD w/21" wheels</v>
      </c>
      <c r="G458" s="25"/>
      <c r="H458" s="25"/>
      <c r="I458" s="25"/>
      <c r="J458" s="25"/>
      <c r="K458" s="25"/>
      <c r="L458" s="25"/>
      <c r="M458" s="25"/>
      <c r="N458" s="25"/>
      <c r="O458" s="25"/>
      <c r="P458" s="25"/>
      <c r="Q458" s="25"/>
      <c r="R458" s="25"/>
      <c r="S458" s="25"/>
      <c r="T458" s="25"/>
      <c r="U458" s="25"/>
      <c r="V458" s="25"/>
      <c r="W458" s="25"/>
      <c r="X458" s="25"/>
      <c r="Y458" s="25"/>
      <c r="Z458" s="25"/>
      <c r="AA458" s="25"/>
      <c r="AB458" s="25"/>
      <c r="AC458" s="25"/>
      <c r="AD458" s="25" t="str">
        <f>_xlfn.CONCAT($A459," ",$B459," ",$D459)</f>
        <v>2025 Lucid USA, Inc Air G Touring XR AWD w/21" wheels</v>
      </c>
      <c r="AE458" s="25"/>
      <c r="AF458" s="25"/>
      <c r="AG458" s="25"/>
      <c r="AH458" s="25"/>
      <c r="AI458" s="25"/>
      <c r="AJ458" s="25"/>
      <c r="AK458" s="25"/>
      <c r="AL458" s="25"/>
      <c r="AM458" s="25"/>
      <c r="AN458" s="25"/>
      <c r="AO458" s="25"/>
      <c r="AP458" s="25"/>
      <c r="AQ458" s="25"/>
      <c r="AR458" s="25"/>
      <c r="AS458" s="25"/>
      <c r="AT458" s="25"/>
      <c r="AU458" s="25"/>
      <c r="AV458" s="25"/>
      <c r="AW458" s="25"/>
      <c r="AX458" s="25" t="str">
        <f>_xlfn.CONCAT($A459," ",$B459," ",$D459)</f>
        <v>2025 Lucid USA, Inc Air G Touring XR AWD w/21" wheels</v>
      </c>
      <c r="AY458" s="25"/>
      <c r="AZ458" s="25"/>
      <c r="BA458" s="25"/>
      <c r="BB458" s="25"/>
      <c r="BC458" s="25"/>
      <c r="BD458" s="25"/>
      <c r="BE458" s="25"/>
      <c r="BF458" s="25"/>
      <c r="BG458" s="25"/>
      <c r="BH458" s="25"/>
      <c r="BI458" s="25"/>
      <c r="BJ458" s="25"/>
      <c r="BK458" s="25"/>
      <c r="BL458" s="25"/>
      <c r="BM458" s="25"/>
      <c r="BN458" s="25"/>
      <c r="BO458" s="25"/>
      <c r="BP458" s="25"/>
      <c r="BQ458" s="25"/>
      <c r="BR458" s="25" t="str">
        <f>_xlfn.CONCAT($A459," ",$B459," ",$D459)</f>
        <v>2025 Lucid USA, Inc Air G Touring XR AWD w/21" wheels</v>
      </c>
      <c r="BS458" s="25"/>
      <c r="BT458" s="25"/>
      <c r="BU458" s="25"/>
      <c r="BV458" s="25"/>
      <c r="BX458" s="25"/>
      <c r="BY458" s="25"/>
      <c r="BZ458" s="25"/>
      <c r="CA458" s="25"/>
      <c r="CB458" s="25"/>
      <c r="CC458" s="25"/>
      <c r="CD458" s="25"/>
      <c r="CE458" s="25"/>
      <c r="CF458" s="25"/>
      <c r="CG458" s="25"/>
      <c r="CH458" s="25"/>
      <c r="CI458" s="25"/>
      <c r="CJ458" s="25"/>
      <c r="CK458" s="25"/>
      <c r="CL458" s="25"/>
      <c r="CM458" s="25"/>
      <c r="CN458" s="25"/>
      <c r="CO458" s="25"/>
      <c r="CP458" s="25" t="str">
        <f>_xlfn.CONCAT($A459," ",$B459," ",$D459)</f>
        <v>2025 Lucid USA, Inc Air G Touring XR AWD w/21" wheels</v>
      </c>
      <c r="CQ458" s="25"/>
      <c r="CR458" s="25"/>
      <c r="CS458" s="25"/>
      <c r="CT458" s="25"/>
      <c r="CU458" s="25"/>
      <c r="CV458" s="25"/>
      <c r="CW458" s="25"/>
      <c r="CX458" s="25"/>
      <c r="CY458" s="25"/>
      <c r="CZ458" s="25"/>
      <c r="DA458" s="25"/>
      <c r="DB458" s="25"/>
      <c r="DC458" s="25"/>
      <c r="DD458" s="25"/>
      <c r="DE458" s="25"/>
      <c r="DF458" s="25"/>
      <c r="DG458" s="25"/>
      <c r="DH458" s="25"/>
      <c r="DI458" s="25" t="str">
        <f>_xlfn.CONCAT($A459," ",$B459," ",$D459)</f>
        <v>2025 Lucid USA, Inc Air G Touring XR AWD w/21" wheels</v>
      </c>
      <c r="DJ458" s="25"/>
      <c r="DK458" s="25"/>
      <c r="DL458" s="25"/>
      <c r="DM458" s="25"/>
      <c r="DN458" s="25"/>
      <c r="DO458" s="25"/>
      <c r="DP458" s="25"/>
      <c r="DQ458" s="25"/>
      <c r="DR458" s="25"/>
      <c r="DS458" s="25"/>
      <c r="DT458" s="25"/>
      <c r="DU458" s="25"/>
      <c r="DV458" s="25"/>
      <c r="DW458" s="25"/>
      <c r="DX458" s="25"/>
      <c r="DY458" s="25"/>
      <c r="DZ458" s="25" t="str">
        <f>_xlfn.CONCAT($A459," ",$B459," ",$D459)</f>
        <v>2025 Lucid USA, Inc Air G Touring XR AWD w/21" wheels</v>
      </c>
      <c r="EB458" s="25"/>
      <c r="EC458" s="25"/>
      <c r="ED458" s="25"/>
      <c r="EE458" s="25"/>
      <c r="EF458" s="25"/>
      <c r="EG458" s="25"/>
      <c r="EH458" s="25"/>
      <c r="EI458" s="25"/>
      <c r="EJ458" s="25"/>
      <c r="EK458" s="25"/>
      <c r="EL458" s="25"/>
      <c r="EM458" s="25"/>
      <c r="EN458" s="25"/>
      <c r="EO458" s="25"/>
      <c r="EP458" s="25"/>
      <c r="EQ458" s="25"/>
      <c r="ER458" s="25"/>
      <c r="ES458" s="25"/>
      <c r="ET458" s="25"/>
      <c r="EU458" s="25"/>
      <c r="EV458" s="25" t="str">
        <f>_xlfn.CONCAT($A459," ",$B459," ",$D459)</f>
        <v>2025 Lucid USA, Inc Air G Touring XR AWD w/21" wheels</v>
      </c>
      <c r="EW458" s="25"/>
      <c r="EX458" s="25"/>
      <c r="EY458" s="25"/>
      <c r="EZ458" s="25"/>
      <c r="FA458" s="25"/>
      <c r="FB458" s="25"/>
      <c r="FC458" s="25"/>
      <c r="FD458" s="25"/>
      <c r="FE458" s="25"/>
      <c r="FF458" s="25"/>
      <c r="FG458" s="25"/>
    </row>
    <row r="459" spans="1:165" x14ac:dyDescent="0.35">
      <c r="A459">
        <v>2025</v>
      </c>
      <c r="B459" t="s">
        <v>2055</v>
      </c>
      <c r="C459" t="s">
        <v>2056</v>
      </c>
      <c r="D459" t="s">
        <v>2063</v>
      </c>
      <c r="E459" t="s">
        <v>2058</v>
      </c>
      <c r="F459">
        <v>12</v>
      </c>
      <c r="G459">
        <v>0</v>
      </c>
      <c r="I459" t="s">
        <v>1734</v>
      </c>
      <c r="J459">
        <v>114</v>
      </c>
      <c r="K459">
        <v>109</v>
      </c>
      <c r="L459">
        <v>112</v>
      </c>
      <c r="M459">
        <v>156.19999999999999</v>
      </c>
      <c r="N459">
        <v>150</v>
      </c>
      <c r="O459">
        <v>153.3477</v>
      </c>
      <c r="P459">
        <v>113.9635</v>
      </c>
      <c r="Q459">
        <v>109.44</v>
      </c>
      <c r="R459">
        <v>111.88249999999999</v>
      </c>
      <c r="V459" t="s">
        <v>167</v>
      </c>
      <c r="W459" t="s">
        <v>168</v>
      </c>
      <c r="Y459">
        <v>1</v>
      </c>
      <c r="Z459" t="s">
        <v>170</v>
      </c>
      <c r="AA459" t="s">
        <v>170</v>
      </c>
      <c r="AB459" t="s">
        <v>167</v>
      </c>
      <c r="AC459" t="s">
        <v>213</v>
      </c>
      <c r="AF459">
        <v>446</v>
      </c>
      <c r="AG459" t="s">
        <v>1735</v>
      </c>
      <c r="AH459" t="s">
        <v>1736</v>
      </c>
      <c r="AI459" t="s">
        <v>175</v>
      </c>
      <c r="AJ459" t="s">
        <v>176</v>
      </c>
      <c r="AK459">
        <v>4</v>
      </c>
      <c r="AL459" t="s">
        <v>1737</v>
      </c>
      <c r="AO459">
        <v>99</v>
      </c>
      <c r="AP459">
        <v>32</v>
      </c>
      <c r="AS459">
        <v>700</v>
      </c>
      <c r="AT459">
        <v>700</v>
      </c>
      <c r="BQ459">
        <v>6</v>
      </c>
      <c r="BR459" t="s">
        <v>825</v>
      </c>
      <c r="BS459" t="s">
        <v>180</v>
      </c>
      <c r="BT459" t="s">
        <v>1769</v>
      </c>
      <c r="BU459" s="1">
        <v>45491</v>
      </c>
      <c r="BV459">
        <v>35237</v>
      </c>
      <c r="BX459" t="s">
        <v>169</v>
      </c>
      <c r="BY459" t="s">
        <v>170</v>
      </c>
      <c r="CB459" t="s">
        <v>170</v>
      </c>
      <c r="CC459" t="s">
        <v>170</v>
      </c>
      <c r="CK459" t="s">
        <v>233</v>
      </c>
      <c r="CM459">
        <v>1</v>
      </c>
      <c r="CN459" t="s">
        <v>234</v>
      </c>
      <c r="CP459">
        <v>800</v>
      </c>
      <c r="CQ459">
        <v>146</v>
      </c>
      <c r="CR459">
        <v>150</v>
      </c>
      <c r="CS459" t="s">
        <v>1752</v>
      </c>
      <c r="CV459" t="s">
        <v>341</v>
      </c>
      <c r="CX459" t="s">
        <v>342</v>
      </c>
      <c r="CY459" t="s">
        <v>169</v>
      </c>
      <c r="DD459">
        <v>2</v>
      </c>
      <c r="DE459" t="s">
        <v>404</v>
      </c>
      <c r="DF459" t="s">
        <v>2059</v>
      </c>
      <c r="DG459" t="s">
        <v>2060</v>
      </c>
      <c r="DL459" t="s">
        <v>170</v>
      </c>
      <c r="DM459" t="s">
        <v>169</v>
      </c>
      <c r="DP459" t="s">
        <v>170</v>
      </c>
      <c r="DQ459" t="s">
        <v>187</v>
      </c>
      <c r="EB459">
        <v>10</v>
      </c>
      <c r="EC459">
        <v>10</v>
      </c>
      <c r="EE459" t="s">
        <v>2061</v>
      </c>
      <c r="EF459">
        <v>10</v>
      </c>
      <c r="EU459">
        <v>6000</v>
      </c>
      <c r="EW459">
        <v>0</v>
      </c>
      <c r="EX459">
        <v>0</v>
      </c>
      <c r="EY459">
        <v>0</v>
      </c>
      <c r="FA459">
        <v>13</v>
      </c>
      <c r="FG459">
        <v>454</v>
      </c>
      <c r="FH459">
        <v>436</v>
      </c>
      <c r="FI459">
        <v>446</v>
      </c>
    </row>
    <row r="460" spans="1:165" x14ac:dyDescent="0.35">
      <c r="A460">
        <v>2025</v>
      </c>
      <c r="B460" t="s">
        <v>2055</v>
      </c>
      <c r="C460" t="s">
        <v>2056</v>
      </c>
      <c r="D460" t="s">
        <v>2063</v>
      </c>
      <c r="E460" t="s">
        <v>2058</v>
      </c>
      <c r="F460">
        <v>12</v>
      </c>
      <c r="G460">
        <v>0</v>
      </c>
      <c r="I460" t="s">
        <v>1734</v>
      </c>
      <c r="J460">
        <v>30</v>
      </c>
      <c r="K460">
        <v>31</v>
      </c>
      <c r="L460">
        <v>30</v>
      </c>
      <c r="M460">
        <v>21.571999999999999</v>
      </c>
      <c r="N460">
        <v>22.463999999999999</v>
      </c>
      <c r="O460">
        <v>21.973400000000002</v>
      </c>
      <c r="P460">
        <v>29.575299999999999</v>
      </c>
      <c r="Q460">
        <v>30.797699999999999</v>
      </c>
      <c r="R460">
        <v>30.125399999999999</v>
      </c>
      <c r="V460" t="s">
        <v>167</v>
      </c>
      <c r="W460" t="s">
        <v>168</v>
      </c>
      <c r="Y460">
        <v>1</v>
      </c>
      <c r="Z460" t="s">
        <v>170</v>
      </c>
      <c r="AA460" t="s">
        <v>170</v>
      </c>
      <c r="AB460" t="s">
        <v>167</v>
      </c>
      <c r="AC460" t="s">
        <v>213</v>
      </c>
      <c r="AF460">
        <v>446</v>
      </c>
      <c r="AG460" t="s">
        <v>1735</v>
      </c>
      <c r="AH460" t="s">
        <v>1736</v>
      </c>
      <c r="AI460" t="s">
        <v>1742</v>
      </c>
      <c r="AJ460" t="s">
        <v>1743</v>
      </c>
      <c r="AK460">
        <v>4</v>
      </c>
      <c r="AL460" t="s">
        <v>1737</v>
      </c>
      <c r="AO460">
        <v>99</v>
      </c>
      <c r="AP460">
        <v>32</v>
      </c>
      <c r="AS460">
        <v>700</v>
      </c>
      <c r="AT460">
        <v>700</v>
      </c>
      <c r="BQ460">
        <v>6</v>
      </c>
      <c r="BR460" t="s">
        <v>825</v>
      </c>
      <c r="BS460" t="s">
        <v>180</v>
      </c>
      <c r="BT460" t="s">
        <v>1769</v>
      </c>
      <c r="BU460" s="1">
        <v>45491</v>
      </c>
      <c r="BV460">
        <v>35237</v>
      </c>
      <c r="BX460" t="s">
        <v>169</v>
      </c>
      <c r="BY460" t="s">
        <v>170</v>
      </c>
      <c r="CB460" t="s">
        <v>170</v>
      </c>
      <c r="CC460" t="s">
        <v>170</v>
      </c>
      <c r="CK460" t="s">
        <v>233</v>
      </c>
      <c r="CM460">
        <v>1</v>
      </c>
      <c r="CN460" t="s">
        <v>234</v>
      </c>
      <c r="CP460">
        <v>800</v>
      </c>
      <c r="CQ460">
        <v>146</v>
      </c>
      <c r="CR460">
        <v>150</v>
      </c>
      <c r="CS460" t="s">
        <v>1752</v>
      </c>
      <c r="CV460" t="s">
        <v>341</v>
      </c>
      <c r="CX460" t="s">
        <v>342</v>
      </c>
      <c r="CY460" t="s">
        <v>169</v>
      </c>
      <c r="DD460">
        <v>2</v>
      </c>
      <c r="DE460" t="s">
        <v>404</v>
      </c>
      <c r="DF460" t="s">
        <v>2059</v>
      </c>
      <c r="DG460" t="s">
        <v>2060</v>
      </c>
      <c r="DL460" t="s">
        <v>170</v>
      </c>
      <c r="DM460" t="s">
        <v>169</v>
      </c>
      <c r="DP460" t="s">
        <v>170</v>
      </c>
      <c r="DQ460" t="s">
        <v>187</v>
      </c>
      <c r="EB460">
        <v>10</v>
      </c>
      <c r="EC460">
        <v>10</v>
      </c>
      <c r="EE460" t="s">
        <v>2061</v>
      </c>
      <c r="EF460">
        <v>10</v>
      </c>
      <c r="EU460">
        <v>6000</v>
      </c>
      <c r="EW460">
        <v>0</v>
      </c>
      <c r="EX460">
        <v>0</v>
      </c>
      <c r="EY460">
        <v>0</v>
      </c>
      <c r="FA460">
        <v>13</v>
      </c>
      <c r="FG460">
        <v>454</v>
      </c>
      <c r="FH460">
        <v>436</v>
      </c>
      <c r="FI460">
        <v>446</v>
      </c>
    </row>
    <row r="461" spans="1:165" x14ac:dyDescent="0.35">
      <c r="A461" s="25"/>
      <c r="B461" s="25"/>
      <c r="C461" s="25"/>
      <c r="D461" s="25"/>
      <c r="E461" s="25"/>
      <c r="F461" s="25" t="str">
        <f>_xlfn.CONCAT($A462," ",$B462," ",$D462)</f>
        <v>2025 Lucid USA, Inc Air Touring AWD w/19" wheels</v>
      </c>
      <c r="G461" s="25"/>
      <c r="H461" s="25"/>
      <c r="I461" s="25"/>
      <c r="J461" s="25"/>
      <c r="K461" s="25"/>
      <c r="L461" s="25"/>
      <c r="M461" s="25"/>
      <c r="N461" s="25"/>
      <c r="O461" s="25"/>
      <c r="P461" s="25"/>
      <c r="Q461" s="25"/>
      <c r="R461" s="25"/>
      <c r="S461" s="25"/>
      <c r="T461" s="25"/>
      <c r="U461" s="25"/>
      <c r="V461" s="25"/>
      <c r="W461" s="25"/>
      <c r="X461" s="25"/>
      <c r="Y461" s="25"/>
      <c r="Z461" s="25"/>
      <c r="AA461" s="25"/>
      <c r="AB461" s="25"/>
      <c r="AC461" s="25"/>
      <c r="AD461" s="25" t="str">
        <f>_xlfn.CONCAT($A462," ",$B462," ",$D462)</f>
        <v>2025 Lucid USA, Inc Air Touring AWD w/19" wheels</v>
      </c>
      <c r="AE461" s="25"/>
      <c r="AF461" s="25"/>
      <c r="AG461" s="25"/>
      <c r="AH461" s="25"/>
      <c r="AI461" s="25"/>
      <c r="AJ461" s="25"/>
      <c r="AK461" s="25"/>
      <c r="AL461" s="25"/>
      <c r="AM461" s="25"/>
      <c r="AN461" s="25"/>
      <c r="AO461" s="25"/>
      <c r="AP461" s="25"/>
      <c r="AQ461" s="25"/>
      <c r="AR461" s="25"/>
      <c r="AS461" s="25"/>
      <c r="AT461" s="25"/>
      <c r="AU461" s="25"/>
      <c r="AV461" s="25"/>
      <c r="AW461" s="25"/>
      <c r="AX461" s="25" t="str">
        <f>_xlfn.CONCAT($A462," ",$B462," ",$D462)</f>
        <v>2025 Lucid USA, Inc Air Touring AWD w/19" wheels</v>
      </c>
      <c r="AY461" s="25"/>
      <c r="AZ461" s="25"/>
      <c r="BA461" s="25"/>
      <c r="BB461" s="25"/>
      <c r="BC461" s="25"/>
      <c r="BD461" s="25"/>
      <c r="BE461" s="25"/>
      <c r="BF461" s="25"/>
      <c r="BG461" s="25"/>
      <c r="BH461" s="25"/>
      <c r="BI461" s="25"/>
      <c r="BJ461" s="25"/>
      <c r="BK461" s="25"/>
      <c r="BL461" s="25"/>
      <c r="BM461" s="25"/>
      <c r="BN461" s="25"/>
      <c r="BO461" s="25"/>
      <c r="BP461" s="25"/>
      <c r="BQ461" s="25"/>
      <c r="BR461" s="25" t="str">
        <f>_xlfn.CONCAT($A462," ",$B462," ",$D462)</f>
        <v>2025 Lucid USA, Inc Air Touring AWD w/19" wheels</v>
      </c>
      <c r="BS461" s="25"/>
      <c r="BT461" s="25"/>
      <c r="BU461" s="25"/>
      <c r="BV461" s="25"/>
      <c r="BX461" s="25"/>
      <c r="BY461" s="25"/>
      <c r="BZ461" s="25"/>
      <c r="CA461" s="25"/>
      <c r="CB461" s="25"/>
      <c r="CC461" s="25"/>
      <c r="CD461" s="25"/>
      <c r="CE461" s="25"/>
      <c r="CF461" s="25"/>
      <c r="CG461" s="25"/>
      <c r="CH461" s="25"/>
      <c r="CI461" s="25"/>
      <c r="CJ461" s="25"/>
      <c r="CK461" s="25"/>
      <c r="CL461" s="25"/>
      <c r="CM461" s="25"/>
      <c r="CN461" s="25"/>
      <c r="CO461" s="25"/>
      <c r="CP461" s="25" t="str">
        <f>_xlfn.CONCAT($A462," ",$B462," ",$D462)</f>
        <v>2025 Lucid USA, Inc Air Touring AWD w/19" wheels</v>
      </c>
      <c r="CQ461" s="25"/>
      <c r="CR461" s="25"/>
      <c r="CS461" s="25"/>
      <c r="CT461" s="25"/>
      <c r="CU461" s="25"/>
      <c r="CV461" s="25"/>
      <c r="CW461" s="25"/>
      <c r="CX461" s="25"/>
      <c r="CY461" s="25"/>
      <c r="CZ461" s="25"/>
      <c r="DA461" s="25"/>
      <c r="DB461" s="25"/>
      <c r="DC461" s="25"/>
      <c r="DD461" s="25"/>
      <c r="DE461" s="25"/>
      <c r="DF461" s="25"/>
      <c r="DG461" s="25"/>
      <c r="DH461" s="25"/>
      <c r="DI461" s="25" t="str">
        <f>_xlfn.CONCAT($A462," ",$B462," ",$D462)</f>
        <v>2025 Lucid USA, Inc Air Touring AWD w/19" wheels</v>
      </c>
      <c r="DJ461" s="25"/>
      <c r="DK461" s="25"/>
      <c r="DL461" s="25"/>
      <c r="DM461" s="25"/>
      <c r="DN461" s="25"/>
      <c r="DO461" s="25"/>
      <c r="DP461" s="25"/>
      <c r="DQ461" s="25"/>
      <c r="DR461" s="25"/>
      <c r="DS461" s="25"/>
      <c r="DT461" s="25"/>
      <c r="DU461" s="25"/>
      <c r="DV461" s="25"/>
      <c r="DW461" s="25"/>
      <c r="DX461" s="25"/>
      <c r="DY461" s="25"/>
      <c r="DZ461" s="25" t="str">
        <f>_xlfn.CONCAT($A462," ",$B462," ",$D462)</f>
        <v>2025 Lucid USA, Inc Air Touring AWD w/19" wheels</v>
      </c>
      <c r="EB461" s="25"/>
      <c r="EC461" s="25"/>
      <c r="ED461" s="25"/>
      <c r="EE461" s="25"/>
      <c r="EF461" s="25"/>
      <c r="EG461" s="25"/>
      <c r="EH461" s="25"/>
      <c r="EI461" s="25"/>
      <c r="EJ461" s="25"/>
      <c r="EK461" s="25"/>
      <c r="EL461" s="25"/>
      <c r="EM461" s="25"/>
      <c r="EN461" s="25"/>
      <c r="EO461" s="25"/>
      <c r="EP461" s="25"/>
      <c r="EQ461" s="25"/>
      <c r="ER461" s="25"/>
      <c r="ES461" s="25"/>
      <c r="ET461" s="25"/>
      <c r="EU461" s="25"/>
      <c r="EV461" s="25" t="str">
        <f>_xlfn.CONCAT($A462," ",$B462," ",$D462)</f>
        <v>2025 Lucid USA, Inc Air Touring AWD w/19" wheels</v>
      </c>
      <c r="EW461" s="25"/>
      <c r="EX461" s="25"/>
      <c r="EY461" s="25"/>
      <c r="EZ461" s="25"/>
      <c r="FA461" s="25"/>
      <c r="FB461" s="25"/>
      <c r="FC461" s="25"/>
      <c r="FD461" s="25"/>
      <c r="FE461" s="25"/>
      <c r="FF461" s="25"/>
      <c r="FG461" s="25"/>
    </row>
    <row r="462" spans="1:165" x14ac:dyDescent="0.35">
      <c r="A462">
        <v>2025</v>
      </c>
      <c r="B462" t="s">
        <v>2055</v>
      </c>
      <c r="C462" t="s">
        <v>2056</v>
      </c>
      <c r="D462" t="s">
        <v>2070</v>
      </c>
      <c r="E462" t="s">
        <v>2058</v>
      </c>
      <c r="F462">
        <v>13</v>
      </c>
      <c r="G462">
        <v>0</v>
      </c>
      <c r="I462" t="s">
        <v>1734</v>
      </c>
      <c r="J462">
        <v>133</v>
      </c>
      <c r="K462">
        <v>130</v>
      </c>
      <c r="L462">
        <v>132</v>
      </c>
      <c r="M462">
        <v>182.8</v>
      </c>
      <c r="N462">
        <v>177.9</v>
      </c>
      <c r="O462">
        <v>180.56200000000001</v>
      </c>
      <c r="P462">
        <v>133.37090000000001</v>
      </c>
      <c r="Q462">
        <v>129.79580000000001</v>
      </c>
      <c r="R462">
        <v>131.738</v>
      </c>
      <c r="V462" t="s">
        <v>167</v>
      </c>
      <c r="W462" t="s">
        <v>168</v>
      </c>
      <c r="Y462">
        <v>1</v>
      </c>
      <c r="Z462" t="s">
        <v>170</v>
      </c>
      <c r="AA462" t="s">
        <v>170</v>
      </c>
      <c r="AB462" t="s">
        <v>167</v>
      </c>
      <c r="AC462" t="s">
        <v>213</v>
      </c>
      <c r="AF462">
        <v>406</v>
      </c>
      <c r="AG462" t="s">
        <v>1735</v>
      </c>
      <c r="AH462" t="s">
        <v>1736</v>
      </c>
      <c r="AI462" t="s">
        <v>175</v>
      </c>
      <c r="AJ462" t="s">
        <v>176</v>
      </c>
      <c r="AK462">
        <v>4</v>
      </c>
      <c r="AL462" t="s">
        <v>1737</v>
      </c>
      <c r="AO462">
        <v>101</v>
      </c>
      <c r="AP462">
        <v>32</v>
      </c>
      <c r="AS462">
        <v>600</v>
      </c>
      <c r="AT462">
        <v>600</v>
      </c>
      <c r="BQ462">
        <v>6</v>
      </c>
      <c r="BR462" t="s">
        <v>825</v>
      </c>
      <c r="BS462" t="s">
        <v>180</v>
      </c>
      <c r="BT462" t="s">
        <v>1769</v>
      </c>
      <c r="BU462" s="1">
        <v>45491</v>
      </c>
      <c r="BV462">
        <v>35238</v>
      </c>
      <c r="BX462" t="s">
        <v>169</v>
      </c>
      <c r="BY462" t="s">
        <v>170</v>
      </c>
      <c r="CB462" t="s">
        <v>170</v>
      </c>
      <c r="CC462" t="s">
        <v>170</v>
      </c>
      <c r="CK462" t="s">
        <v>233</v>
      </c>
      <c r="CM462">
        <v>1</v>
      </c>
      <c r="CN462" t="s">
        <v>234</v>
      </c>
      <c r="CP462">
        <v>800</v>
      </c>
      <c r="CQ462">
        <v>146</v>
      </c>
      <c r="CR462">
        <v>150</v>
      </c>
      <c r="CS462" t="s">
        <v>1752</v>
      </c>
      <c r="CV462" t="s">
        <v>341</v>
      </c>
      <c r="CX462" t="s">
        <v>342</v>
      </c>
      <c r="CY462" t="s">
        <v>169</v>
      </c>
      <c r="DD462">
        <v>2</v>
      </c>
      <c r="DE462" t="s">
        <v>404</v>
      </c>
      <c r="DF462" t="s">
        <v>2059</v>
      </c>
      <c r="DG462" t="s">
        <v>2060</v>
      </c>
      <c r="DL462" t="s">
        <v>170</v>
      </c>
      <c r="DM462" t="s">
        <v>169</v>
      </c>
      <c r="DP462" t="s">
        <v>170</v>
      </c>
      <c r="DQ462" t="s">
        <v>187</v>
      </c>
      <c r="EB462">
        <v>10</v>
      </c>
      <c r="EC462">
        <v>10</v>
      </c>
      <c r="EE462" t="s">
        <v>2061</v>
      </c>
      <c r="EF462">
        <v>10</v>
      </c>
      <c r="EU462">
        <v>6500</v>
      </c>
      <c r="EW462">
        <v>0</v>
      </c>
      <c r="EX462">
        <v>0</v>
      </c>
      <c r="EY462">
        <v>0</v>
      </c>
      <c r="FA462">
        <v>10</v>
      </c>
      <c r="FG462">
        <v>411</v>
      </c>
      <c r="FH462">
        <v>400</v>
      </c>
      <c r="FI462">
        <v>406</v>
      </c>
    </row>
    <row r="463" spans="1:165" x14ac:dyDescent="0.35">
      <c r="A463">
        <v>2025</v>
      </c>
      <c r="B463" t="s">
        <v>2055</v>
      </c>
      <c r="C463" t="s">
        <v>2056</v>
      </c>
      <c r="D463" t="s">
        <v>2070</v>
      </c>
      <c r="E463" t="s">
        <v>2058</v>
      </c>
      <c r="F463">
        <v>13</v>
      </c>
      <c r="G463">
        <v>0</v>
      </c>
      <c r="I463" t="s">
        <v>1734</v>
      </c>
      <c r="J463">
        <v>25</v>
      </c>
      <c r="K463">
        <v>26</v>
      </c>
      <c r="L463">
        <v>26</v>
      </c>
      <c r="M463">
        <v>18.443000000000001</v>
      </c>
      <c r="N463">
        <v>18.942</v>
      </c>
      <c r="O463">
        <v>18.6676</v>
      </c>
      <c r="P463">
        <v>25.271899999999999</v>
      </c>
      <c r="Q463">
        <v>25.967700000000001</v>
      </c>
      <c r="R463">
        <v>25.584900000000001</v>
      </c>
      <c r="V463" t="s">
        <v>167</v>
      </c>
      <c r="W463" t="s">
        <v>168</v>
      </c>
      <c r="Y463">
        <v>1</v>
      </c>
      <c r="Z463" t="s">
        <v>170</v>
      </c>
      <c r="AA463" t="s">
        <v>170</v>
      </c>
      <c r="AB463" t="s">
        <v>167</v>
      </c>
      <c r="AC463" t="s">
        <v>213</v>
      </c>
      <c r="AF463">
        <v>406</v>
      </c>
      <c r="AG463" t="s">
        <v>1735</v>
      </c>
      <c r="AH463" t="s">
        <v>1736</v>
      </c>
      <c r="AI463" t="s">
        <v>1742</v>
      </c>
      <c r="AJ463" t="s">
        <v>1743</v>
      </c>
      <c r="AK463">
        <v>4</v>
      </c>
      <c r="AL463" t="s">
        <v>1737</v>
      </c>
      <c r="AO463">
        <v>101</v>
      </c>
      <c r="AP463">
        <v>32</v>
      </c>
      <c r="AS463">
        <v>600</v>
      </c>
      <c r="AT463">
        <v>600</v>
      </c>
      <c r="BQ463">
        <v>6</v>
      </c>
      <c r="BR463" t="s">
        <v>825</v>
      </c>
      <c r="BS463" t="s">
        <v>180</v>
      </c>
      <c r="BT463" t="s">
        <v>1769</v>
      </c>
      <c r="BU463" s="1">
        <v>45491</v>
      </c>
      <c r="BV463">
        <v>35238</v>
      </c>
      <c r="BX463" t="s">
        <v>169</v>
      </c>
      <c r="BY463" t="s">
        <v>170</v>
      </c>
      <c r="CB463" t="s">
        <v>170</v>
      </c>
      <c r="CC463" t="s">
        <v>170</v>
      </c>
      <c r="CK463" t="s">
        <v>233</v>
      </c>
      <c r="CM463">
        <v>1</v>
      </c>
      <c r="CN463" t="s">
        <v>234</v>
      </c>
      <c r="CP463">
        <v>800</v>
      </c>
      <c r="CQ463">
        <v>146</v>
      </c>
      <c r="CR463">
        <v>150</v>
      </c>
      <c r="CS463" t="s">
        <v>1752</v>
      </c>
      <c r="CV463" t="s">
        <v>341</v>
      </c>
      <c r="CX463" t="s">
        <v>342</v>
      </c>
      <c r="CY463" t="s">
        <v>169</v>
      </c>
      <c r="DD463">
        <v>2</v>
      </c>
      <c r="DE463" t="s">
        <v>404</v>
      </c>
      <c r="DF463" t="s">
        <v>2059</v>
      </c>
      <c r="DG463" t="s">
        <v>2060</v>
      </c>
      <c r="DL463" t="s">
        <v>170</v>
      </c>
      <c r="DM463" t="s">
        <v>169</v>
      </c>
      <c r="DP463" t="s">
        <v>170</v>
      </c>
      <c r="DQ463" t="s">
        <v>187</v>
      </c>
      <c r="EB463">
        <v>10</v>
      </c>
      <c r="EC463">
        <v>10</v>
      </c>
      <c r="EE463" t="s">
        <v>2061</v>
      </c>
      <c r="EF463">
        <v>10</v>
      </c>
      <c r="EU463">
        <v>6500</v>
      </c>
      <c r="EW463">
        <v>0</v>
      </c>
      <c r="EX463">
        <v>0</v>
      </c>
      <c r="EY463">
        <v>0</v>
      </c>
      <c r="FA463">
        <v>10</v>
      </c>
      <c r="FG463">
        <v>411</v>
      </c>
      <c r="FH463">
        <v>400</v>
      </c>
      <c r="FI463">
        <v>406</v>
      </c>
    </row>
    <row r="464" spans="1:165" x14ac:dyDescent="0.35">
      <c r="A464" s="25"/>
      <c r="B464" s="25"/>
      <c r="C464" s="25"/>
      <c r="D464" s="25"/>
      <c r="E464" s="25"/>
      <c r="F464" s="25" t="str">
        <f>_xlfn.CONCAT($A465," ",$B465," ",$D465)</f>
        <v>2025 Lucid USA, Inc Air Touring AWD w/20" wheels</v>
      </c>
      <c r="G464" s="25"/>
      <c r="H464" s="25"/>
      <c r="I464" s="25"/>
      <c r="J464" s="25"/>
      <c r="K464" s="25"/>
      <c r="L464" s="25"/>
      <c r="M464" s="25"/>
      <c r="N464" s="25"/>
      <c r="O464" s="25"/>
      <c r="P464" s="25"/>
      <c r="Q464" s="25"/>
      <c r="R464" s="25"/>
      <c r="S464" s="25"/>
      <c r="T464" s="25"/>
      <c r="U464" s="25"/>
      <c r="V464" s="25"/>
      <c r="W464" s="25"/>
      <c r="X464" s="25"/>
      <c r="Y464" s="25"/>
      <c r="Z464" s="25"/>
      <c r="AA464" s="25"/>
      <c r="AB464" s="25"/>
      <c r="AC464" s="25"/>
      <c r="AD464" s="25" t="str">
        <f>_xlfn.CONCAT($A465," ",$B465," ",$D465)</f>
        <v>2025 Lucid USA, Inc Air Touring AWD w/20" wheels</v>
      </c>
      <c r="AE464" s="25"/>
      <c r="AF464" s="25"/>
      <c r="AG464" s="25"/>
      <c r="AH464" s="25"/>
      <c r="AI464" s="25"/>
      <c r="AJ464" s="25"/>
      <c r="AK464" s="25"/>
      <c r="AL464" s="25"/>
      <c r="AM464" s="25"/>
      <c r="AN464" s="25"/>
      <c r="AO464" s="25"/>
      <c r="AP464" s="25"/>
      <c r="AQ464" s="25"/>
      <c r="AR464" s="25"/>
      <c r="AS464" s="25"/>
      <c r="AT464" s="25"/>
      <c r="AU464" s="25"/>
      <c r="AV464" s="25"/>
      <c r="AW464" s="25"/>
      <c r="AX464" s="25" t="str">
        <f>_xlfn.CONCAT($A465," ",$B465," ",$D465)</f>
        <v>2025 Lucid USA, Inc Air Touring AWD w/20" wheels</v>
      </c>
      <c r="AY464" s="25"/>
      <c r="AZ464" s="25"/>
      <c r="BA464" s="25"/>
      <c r="BB464" s="25"/>
      <c r="BC464" s="25"/>
      <c r="BD464" s="25"/>
      <c r="BE464" s="25"/>
      <c r="BF464" s="25"/>
      <c r="BG464" s="25"/>
      <c r="BH464" s="25"/>
      <c r="BI464" s="25"/>
      <c r="BJ464" s="25"/>
      <c r="BK464" s="25"/>
      <c r="BL464" s="25"/>
      <c r="BM464" s="25"/>
      <c r="BN464" s="25"/>
      <c r="BO464" s="25"/>
      <c r="BP464" s="25"/>
      <c r="BQ464" s="25"/>
      <c r="BR464" s="25" t="str">
        <f>_xlfn.CONCAT($A465," ",$B465," ",$D465)</f>
        <v>2025 Lucid USA, Inc Air Touring AWD w/20" wheels</v>
      </c>
      <c r="BS464" s="25"/>
      <c r="BT464" s="25"/>
      <c r="BU464" s="25"/>
      <c r="BV464" s="25"/>
      <c r="BX464" s="25"/>
      <c r="BY464" s="25"/>
      <c r="BZ464" s="25"/>
      <c r="CA464" s="25"/>
      <c r="CB464" s="25"/>
      <c r="CC464" s="25"/>
      <c r="CD464" s="25"/>
      <c r="CE464" s="25"/>
      <c r="CF464" s="25"/>
      <c r="CG464" s="25"/>
      <c r="CH464" s="25"/>
      <c r="CI464" s="25"/>
      <c r="CJ464" s="25"/>
      <c r="CK464" s="25"/>
      <c r="CL464" s="25"/>
      <c r="CM464" s="25"/>
      <c r="CN464" s="25"/>
      <c r="CO464" s="25"/>
      <c r="CP464" s="25" t="str">
        <f>_xlfn.CONCAT($A465," ",$B465," ",$D465)</f>
        <v>2025 Lucid USA, Inc Air Touring AWD w/20" wheels</v>
      </c>
      <c r="CQ464" s="25"/>
      <c r="CR464" s="25"/>
      <c r="CS464" s="25"/>
      <c r="CT464" s="25"/>
      <c r="CU464" s="25"/>
      <c r="CV464" s="25"/>
      <c r="CW464" s="25"/>
      <c r="CX464" s="25"/>
      <c r="CY464" s="25"/>
      <c r="CZ464" s="25"/>
      <c r="DA464" s="25"/>
      <c r="DB464" s="25"/>
      <c r="DC464" s="25"/>
      <c r="DD464" s="25"/>
      <c r="DE464" s="25"/>
      <c r="DF464" s="25"/>
      <c r="DG464" s="25"/>
      <c r="DH464" s="25"/>
      <c r="DI464" s="25" t="str">
        <f>_xlfn.CONCAT($A465," ",$B465," ",$D465)</f>
        <v>2025 Lucid USA, Inc Air Touring AWD w/20" wheels</v>
      </c>
      <c r="DJ464" s="25"/>
      <c r="DK464" s="25"/>
      <c r="DL464" s="25"/>
      <c r="DM464" s="25"/>
      <c r="DN464" s="25"/>
      <c r="DO464" s="25"/>
      <c r="DP464" s="25"/>
      <c r="DQ464" s="25"/>
      <c r="DR464" s="25"/>
      <c r="DS464" s="25"/>
      <c r="DT464" s="25"/>
      <c r="DU464" s="25"/>
      <c r="DV464" s="25"/>
      <c r="DW464" s="25"/>
      <c r="DX464" s="25"/>
      <c r="DY464" s="25"/>
      <c r="DZ464" s="25" t="str">
        <f>_xlfn.CONCAT($A465," ",$B465," ",$D465)</f>
        <v>2025 Lucid USA, Inc Air Touring AWD w/20" wheels</v>
      </c>
      <c r="EB464" s="25"/>
      <c r="EC464" s="25"/>
      <c r="ED464" s="25"/>
      <c r="EE464" s="25"/>
      <c r="EF464" s="25"/>
      <c r="EG464" s="25"/>
      <c r="EH464" s="25"/>
      <c r="EI464" s="25"/>
      <c r="EJ464" s="25"/>
      <c r="EK464" s="25"/>
      <c r="EL464" s="25"/>
      <c r="EM464" s="25"/>
      <c r="EN464" s="25"/>
      <c r="EO464" s="25"/>
      <c r="EP464" s="25"/>
      <c r="EQ464" s="25"/>
      <c r="ER464" s="25"/>
      <c r="ES464" s="25"/>
      <c r="ET464" s="25"/>
      <c r="EU464" s="25"/>
      <c r="EV464" s="25" t="str">
        <f>_xlfn.CONCAT($A465," ",$B465," ",$D465)</f>
        <v>2025 Lucid USA, Inc Air Touring AWD w/20" wheels</v>
      </c>
      <c r="EW464" s="25"/>
      <c r="EX464" s="25"/>
      <c r="EY464" s="25"/>
      <c r="EZ464" s="25"/>
      <c r="FA464" s="25"/>
      <c r="FB464" s="25"/>
      <c r="FC464" s="25"/>
      <c r="FD464" s="25"/>
      <c r="FE464" s="25"/>
      <c r="FF464" s="25"/>
      <c r="FG464" s="25"/>
    </row>
    <row r="465" spans="1:165" x14ac:dyDescent="0.35">
      <c r="A465">
        <v>2025</v>
      </c>
      <c r="B465" t="s">
        <v>2055</v>
      </c>
      <c r="C465" t="s">
        <v>2056</v>
      </c>
      <c r="D465" t="s">
        <v>2071</v>
      </c>
      <c r="E465" t="s">
        <v>2058</v>
      </c>
      <c r="F465">
        <v>14</v>
      </c>
      <c r="G465">
        <v>0</v>
      </c>
      <c r="I465" t="s">
        <v>1734</v>
      </c>
      <c r="J465">
        <v>124</v>
      </c>
      <c r="K465">
        <v>119</v>
      </c>
      <c r="L465">
        <v>121</v>
      </c>
      <c r="M465">
        <v>169.4</v>
      </c>
      <c r="N465">
        <v>163</v>
      </c>
      <c r="O465">
        <v>166.4589</v>
      </c>
      <c r="P465">
        <v>123.5942</v>
      </c>
      <c r="Q465">
        <v>118.9248</v>
      </c>
      <c r="R465">
        <v>121.44840000000001</v>
      </c>
      <c r="V465" t="s">
        <v>167</v>
      </c>
      <c r="W465" t="s">
        <v>168</v>
      </c>
      <c r="Y465">
        <v>1</v>
      </c>
      <c r="Z465" t="s">
        <v>170</v>
      </c>
      <c r="AA465" t="s">
        <v>170</v>
      </c>
      <c r="AB465" t="s">
        <v>167</v>
      </c>
      <c r="AC465" t="s">
        <v>213</v>
      </c>
      <c r="AF465">
        <v>377</v>
      </c>
      <c r="AG465" t="s">
        <v>1735</v>
      </c>
      <c r="AH465" t="s">
        <v>1736</v>
      </c>
      <c r="AI465" t="s">
        <v>175</v>
      </c>
      <c r="AJ465" t="s">
        <v>176</v>
      </c>
      <c r="AK465">
        <v>4</v>
      </c>
      <c r="AL465" t="s">
        <v>1737</v>
      </c>
      <c r="AO465">
        <v>101</v>
      </c>
      <c r="AP465">
        <v>32</v>
      </c>
      <c r="AS465">
        <v>650</v>
      </c>
      <c r="AT465">
        <v>650</v>
      </c>
      <c r="BQ465">
        <v>6</v>
      </c>
      <c r="BR465" t="s">
        <v>825</v>
      </c>
      <c r="BS465" t="s">
        <v>180</v>
      </c>
      <c r="BT465" t="s">
        <v>1769</v>
      </c>
      <c r="BU465" s="1">
        <v>45491</v>
      </c>
      <c r="BV465">
        <v>35239</v>
      </c>
      <c r="BX465" t="s">
        <v>169</v>
      </c>
      <c r="BY465" t="s">
        <v>170</v>
      </c>
      <c r="CB465" t="s">
        <v>170</v>
      </c>
      <c r="CC465" t="s">
        <v>170</v>
      </c>
      <c r="CK465" t="s">
        <v>233</v>
      </c>
      <c r="CM465">
        <v>1</v>
      </c>
      <c r="CN465" t="s">
        <v>234</v>
      </c>
      <c r="CP465">
        <v>800</v>
      </c>
      <c r="CQ465">
        <v>146</v>
      </c>
      <c r="CR465">
        <v>150</v>
      </c>
      <c r="CS465" t="s">
        <v>1752</v>
      </c>
      <c r="CV465" t="s">
        <v>341</v>
      </c>
      <c r="CX465" t="s">
        <v>342</v>
      </c>
      <c r="CY465" t="s">
        <v>169</v>
      </c>
      <c r="DD465">
        <v>2</v>
      </c>
      <c r="DE465" t="s">
        <v>404</v>
      </c>
      <c r="DF465" t="s">
        <v>2059</v>
      </c>
      <c r="DG465" t="s">
        <v>2060</v>
      </c>
      <c r="DL465" t="s">
        <v>170</v>
      </c>
      <c r="DM465" t="s">
        <v>169</v>
      </c>
      <c r="DP465" t="s">
        <v>170</v>
      </c>
      <c r="DQ465" t="s">
        <v>187</v>
      </c>
      <c r="EB465">
        <v>10</v>
      </c>
      <c r="EC465">
        <v>10</v>
      </c>
      <c r="EE465" t="s">
        <v>2061</v>
      </c>
      <c r="EF465">
        <v>10</v>
      </c>
      <c r="EU465">
        <v>6250</v>
      </c>
      <c r="EW465">
        <v>0</v>
      </c>
      <c r="EX465">
        <v>0</v>
      </c>
      <c r="EY465">
        <v>0</v>
      </c>
      <c r="FA465">
        <v>10</v>
      </c>
      <c r="FG465">
        <v>384</v>
      </c>
      <c r="FH465">
        <v>369</v>
      </c>
      <c r="FI465">
        <v>377</v>
      </c>
    </row>
    <row r="466" spans="1:165" x14ac:dyDescent="0.35">
      <c r="A466">
        <v>2025</v>
      </c>
      <c r="B466" t="s">
        <v>2055</v>
      </c>
      <c r="C466" t="s">
        <v>2056</v>
      </c>
      <c r="D466" t="s">
        <v>2071</v>
      </c>
      <c r="E466" t="s">
        <v>2058</v>
      </c>
      <c r="F466">
        <v>14</v>
      </c>
      <c r="G466">
        <v>0</v>
      </c>
      <c r="I466" t="s">
        <v>1734</v>
      </c>
      <c r="J466">
        <v>27</v>
      </c>
      <c r="K466">
        <v>28</v>
      </c>
      <c r="L466">
        <v>28</v>
      </c>
      <c r="M466">
        <v>19.899999999999999</v>
      </c>
      <c r="N466">
        <v>20.683</v>
      </c>
      <c r="O466">
        <v>20.252400000000002</v>
      </c>
      <c r="P466">
        <v>27.270700000000001</v>
      </c>
      <c r="Q466">
        <v>28.3414</v>
      </c>
      <c r="R466">
        <v>27.752500000000001</v>
      </c>
      <c r="V466" t="s">
        <v>167</v>
      </c>
      <c r="W466" t="s">
        <v>168</v>
      </c>
      <c r="Y466">
        <v>1</v>
      </c>
      <c r="Z466" t="s">
        <v>170</v>
      </c>
      <c r="AA466" t="s">
        <v>170</v>
      </c>
      <c r="AB466" t="s">
        <v>167</v>
      </c>
      <c r="AC466" t="s">
        <v>213</v>
      </c>
      <c r="AF466">
        <v>377</v>
      </c>
      <c r="AG466" t="s">
        <v>1735</v>
      </c>
      <c r="AH466" t="s">
        <v>1736</v>
      </c>
      <c r="AI466" t="s">
        <v>1742</v>
      </c>
      <c r="AJ466" t="s">
        <v>1743</v>
      </c>
      <c r="AK466">
        <v>4</v>
      </c>
      <c r="AL466" t="s">
        <v>1737</v>
      </c>
      <c r="AO466">
        <v>101</v>
      </c>
      <c r="AP466">
        <v>32</v>
      </c>
      <c r="AS466">
        <v>650</v>
      </c>
      <c r="AT466">
        <v>650</v>
      </c>
      <c r="BQ466">
        <v>6</v>
      </c>
      <c r="BR466" t="s">
        <v>825</v>
      </c>
      <c r="BS466" t="s">
        <v>180</v>
      </c>
      <c r="BT466" t="s">
        <v>1769</v>
      </c>
      <c r="BU466" s="1">
        <v>45491</v>
      </c>
      <c r="BV466">
        <v>35239</v>
      </c>
      <c r="BX466" t="s">
        <v>169</v>
      </c>
      <c r="BY466" t="s">
        <v>170</v>
      </c>
      <c r="CB466" t="s">
        <v>170</v>
      </c>
      <c r="CC466" t="s">
        <v>170</v>
      </c>
      <c r="CK466" t="s">
        <v>233</v>
      </c>
      <c r="CM466">
        <v>1</v>
      </c>
      <c r="CN466" t="s">
        <v>234</v>
      </c>
      <c r="CP466">
        <v>800</v>
      </c>
      <c r="CQ466">
        <v>146</v>
      </c>
      <c r="CR466">
        <v>150</v>
      </c>
      <c r="CS466" t="s">
        <v>1752</v>
      </c>
      <c r="CV466" t="s">
        <v>341</v>
      </c>
      <c r="CX466" t="s">
        <v>342</v>
      </c>
      <c r="CY466" t="s">
        <v>169</v>
      </c>
      <c r="DD466">
        <v>2</v>
      </c>
      <c r="DE466" t="s">
        <v>404</v>
      </c>
      <c r="DF466" t="s">
        <v>2059</v>
      </c>
      <c r="DG466" t="s">
        <v>2060</v>
      </c>
      <c r="DL466" t="s">
        <v>170</v>
      </c>
      <c r="DM466" t="s">
        <v>169</v>
      </c>
      <c r="DP466" t="s">
        <v>170</v>
      </c>
      <c r="DQ466" t="s">
        <v>187</v>
      </c>
      <c r="EB466">
        <v>10</v>
      </c>
      <c r="EC466">
        <v>10</v>
      </c>
      <c r="EE466" t="s">
        <v>2061</v>
      </c>
      <c r="EF466">
        <v>10</v>
      </c>
      <c r="EU466">
        <v>6250</v>
      </c>
      <c r="EW466">
        <v>0</v>
      </c>
      <c r="EX466">
        <v>0</v>
      </c>
      <c r="EY466">
        <v>0</v>
      </c>
      <c r="FA466">
        <v>10</v>
      </c>
      <c r="FG466">
        <v>384</v>
      </c>
      <c r="FH466">
        <v>369</v>
      </c>
      <c r="FI466">
        <v>377</v>
      </c>
    </row>
    <row r="467" spans="1:165" x14ac:dyDescent="0.35">
      <c r="A467" s="25"/>
      <c r="B467" s="25"/>
      <c r="C467" s="25"/>
      <c r="D467" s="25"/>
      <c r="E467" s="25"/>
      <c r="F467" s="25" t="str">
        <f>_xlfn.CONCAT($A468," ",$B468," ",$D468)</f>
        <v>2025 Lucid USA, Inc Air Touring AWD w/21" wheels</v>
      </c>
      <c r="G467" s="25"/>
      <c r="H467" s="25"/>
      <c r="I467" s="25"/>
      <c r="J467" s="25"/>
      <c r="K467" s="25"/>
      <c r="L467" s="25"/>
      <c r="M467" s="25"/>
      <c r="N467" s="25"/>
      <c r="O467" s="25"/>
      <c r="P467" s="25"/>
      <c r="Q467" s="25"/>
      <c r="R467" s="25"/>
      <c r="S467" s="25"/>
      <c r="T467" s="25"/>
      <c r="U467" s="25"/>
      <c r="V467" s="25"/>
      <c r="W467" s="25"/>
      <c r="X467" s="25"/>
      <c r="Y467" s="25"/>
      <c r="Z467" s="25"/>
      <c r="AA467" s="25"/>
      <c r="AB467" s="25"/>
      <c r="AC467" s="25"/>
      <c r="AD467" s="25" t="str">
        <f>_xlfn.CONCAT($A468," ",$B468," ",$D468)</f>
        <v>2025 Lucid USA, Inc Air Touring AWD w/21" wheels</v>
      </c>
      <c r="AE467" s="25"/>
      <c r="AF467" s="25"/>
      <c r="AG467" s="25"/>
      <c r="AH467" s="25"/>
      <c r="AI467" s="25"/>
      <c r="AJ467" s="25"/>
      <c r="AK467" s="25"/>
      <c r="AL467" s="25"/>
      <c r="AM467" s="25"/>
      <c r="AN467" s="25"/>
      <c r="AO467" s="25"/>
      <c r="AP467" s="25"/>
      <c r="AQ467" s="25"/>
      <c r="AR467" s="25"/>
      <c r="AS467" s="25"/>
      <c r="AT467" s="25"/>
      <c r="AU467" s="25"/>
      <c r="AV467" s="25"/>
      <c r="AW467" s="25"/>
      <c r="AX467" s="25" t="str">
        <f>_xlfn.CONCAT($A468," ",$B468," ",$D468)</f>
        <v>2025 Lucid USA, Inc Air Touring AWD w/21" wheels</v>
      </c>
      <c r="AY467" s="25"/>
      <c r="AZ467" s="25"/>
      <c r="BA467" s="25"/>
      <c r="BB467" s="25"/>
      <c r="BC467" s="25"/>
      <c r="BD467" s="25"/>
      <c r="BE467" s="25"/>
      <c r="BF467" s="25"/>
      <c r="BG467" s="25"/>
      <c r="BH467" s="25"/>
      <c r="BI467" s="25"/>
      <c r="BJ467" s="25"/>
      <c r="BK467" s="25"/>
      <c r="BL467" s="25"/>
      <c r="BM467" s="25"/>
      <c r="BN467" s="25"/>
      <c r="BO467" s="25"/>
      <c r="BP467" s="25"/>
      <c r="BQ467" s="25"/>
      <c r="BR467" s="25" t="str">
        <f>_xlfn.CONCAT($A468," ",$B468," ",$D468)</f>
        <v>2025 Lucid USA, Inc Air Touring AWD w/21" wheels</v>
      </c>
      <c r="BS467" s="25"/>
      <c r="BT467" s="25"/>
      <c r="BU467" s="25"/>
      <c r="BV467" s="25"/>
      <c r="BX467" s="25"/>
      <c r="BY467" s="25"/>
      <c r="BZ467" s="25"/>
      <c r="CA467" s="25"/>
      <c r="CB467" s="25"/>
      <c r="CC467" s="25"/>
      <c r="CD467" s="25"/>
      <c r="CE467" s="25"/>
      <c r="CF467" s="25"/>
      <c r="CG467" s="25"/>
      <c r="CH467" s="25"/>
      <c r="CI467" s="25"/>
      <c r="CJ467" s="25"/>
      <c r="CK467" s="25"/>
      <c r="CL467" s="25"/>
      <c r="CM467" s="25"/>
      <c r="CN467" s="25"/>
      <c r="CO467" s="25"/>
      <c r="CP467" s="25" t="str">
        <f>_xlfn.CONCAT($A468," ",$B468," ",$D468)</f>
        <v>2025 Lucid USA, Inc Air Touring AWD w/21" wheels</v>
      </c>
      <c r="CQ467" s="25"/>
      <c r="CR467" s="25"/>
      <c r="CS467" s="25"/>
      <c r="CT467" s="25"/>
      <c r="CU467" s="25"/>
      <c r="CV467" s="25"/>
      <c r="CW467" s="25"/>
      <c r="CX467" s="25"/>
      <c r="CY467" s="25"/>
      <c r="CZ467" s="25"/>
      <c r="DA467" s="25"/>
      <c r="DB467" s="25"/>
      <c r="DC467" s="25"/>
      <c r="DD467" s="25"/>
      <c r="DE467" s="25"/>
      <c r="DF467" s="25"/>
      <c r="DG467" s="25"/>
      <c r="DH467" s="25"/>
      <c r="DI467" s="25" t="str">
        <f>_xlfn.CONCAT($A468," ",$B468," ",$D468)</f>
        <v>2025 Lucid USA, Inc Air Touring AWD w/21" wheels</v>
      </c>
      <c r="DJ467" s="25"/>
      <c r="DK467" s="25"/>
      <c r="DL467" s="25"/>
      <c r="DM467" s="25"/>
      <c r="DN467" s="25"/>
      <c r="DO467" s="25"/>
      <c r="DP467" s="25"/>
      <c r="DQ467" s="25"/>
      <c r="DR467" s="25"/>
      <c r="DS467" s="25"/>
      <c r="DT467" s="25"/>
      <c r="DU467" s="25"/>
      <c r="DV467" s="25"/>
      <c r="DW467" s="25"/>
      <c r="DX467" s="25"/>
      <c r="DY467" s="25"/>
      <c r="DZ467" s="25" t="str">
        <f>_xlfn.CONCAT($A468," ",$B468," ",$D468)</f>
        <v>2025 Lucid USA, Inc Air Touring AWD w/21" wheels</v>
      </c>
      <c r="EB467" s="25"/>
      <c r="EC467" s="25"/>
      <c r="ED467" s="25"/>
      <c r="EE467" s="25"/>
      <c r="EF467" s="25"/>
      <c r="EG467" s="25"/>
      <c r="EH467" s="25"/>
      <c r="EI467" s="25"/>
      <c r="EJ467" s="25"/>
      <c r="EK467" s="25"/>
      <c r="EL467" s="25"/>
      <c r="EM467" s="25"/>
      <c r="EN467" s="25"/>
      <c r="EO467" s="25"/>
      <c r="EP467" s="25"/>
      <c r="EQ467" s="25"/>
      <c r="ER467" s="25"/>
      <c r="ES467" s="25"/>
      <c r="ET467" s="25"/>
      <c r="EU467" s="25"/>
      <c r="EV467" s="25" t="str">
        <f>_xlfn.CONCAT($A468," ",$B468," ",$D468)</f>
        <v>2025 Lucid USA, Inc Air Touring AWD w/21" wheels</v>
      </c>
      <c r="EW467" s="25"/>
      <c r="EX467" s="25"/>
      <c r="EY467" s="25"/>
      <c r="EZ467" s="25"/>
      <c r="FA467" s="25"/>
      <c r="FB467" s="25"/>
      <c r="FC467" s="25"/>
      <c r="FD467" s="25"/>
      <c r="FE467" s="25"/>
      <c r="FF467" s="25"/>
      <c r="FG467" s="25"/>
    </row>
    <row r="468" spans="1:165" x14ac:dyDescent="0.35">
      <c r="A468">
        <v>2025</v>
      </c>
      <c r="B468" t="s">
        <v>2055</v>
      </c>
      <c r="C468" t="s">
        <v>2056</v>
      </c>
      <c r="D468" t="s">
        <v>2072</v>
      </c>
      <c r="E468" t="s">
        <v>2058</v>
      </c>
      <c r="F468">
        <v>15</v>
      </c>
      <c r="G468">
        <v>0</v>
      </c>
      <c r="I468" t="s">
        <v>1734</v>
      </c>
      <c r="J468">
        <v>119</v>
      </c>
      <c r="K468">
        <v>113</v>
      </c>
      <c r="L468">
        <v>116</v>
      </c>
      <c r="M468">
        <v>163.6</v>
      </c>
      <c r="N468">
        <v>155</v>
      </c>
      <c r="O468">
        <v>159.6148</v>
      </c>
      <c r="P468">
        <v>119.3626</v>
      </c>
      <c r="Q468">
        <v>113.08799999999999</v>
      </c>
      <c r="R468">
        <v>116.455</v>
      </c>
      <c r="V468" t="s">
        <v>167</v>
      </c>
      <c r="W468" t="s">
        <v>168</v>
      </c>
      <c r="Y468">
        <v>1</v>
      </c>
      <c r="Z468" t="s">
        <v>170</v>
      </c>
      <c r="AA468" t="s">
        <v>170</v>
      </c>
      <c r="AB468" t="s">
        <v>167</v>
      </c>
      <c r="AC468" t="s">
        <v>213</v>
      </c>
      <c r="AF468">
        <v>361</v>
      </c>
      <c r="AG468" t="s">
        <v>1735</v>
      </c>
      <c r="AH468" t="s">
        <v>1736</v>
      </c>
      <c r="AI468" t="s">
        <v>175</v>
      </c>
      <c r="AJ468" t="s">
        <v>176</v>
      </c>
      <c r="AK468">
        <v>4</v>
      </c>
      <c r="AL468" t="s">
        <v>1737</v>
      </c>
      <c r="AO468">
        <v>101</v>
      </c>
      <c r="AP468">
        <v>32</v>
      </c>
      <c r="AS468">
        <v>700</v>
      </c>
      <c r="AT468">
        <v>700</v>
      </c>
      <c r="BQ468">
        <v>6</v>
      </c>
      <c r="BR468" t="s">
        <v>825</v>
      </c>
      <c r="BS468" t="s">
        <v>180</v>
      </c>
      <c r="BT468" t="s">
        <v>1769</v>
      </c>
      <c r="BU468" s="1">
        <v>45491</v>
      </c>
      <c r="BV468">
        <v>35240</v>
      </c>
      <c r="BX468" t="s">
        <v>169</v>
      </c>
      <c r="BY468" t="s">
        <v>170</v>
      </c>
      <c r="CB468" t="s">
        <v>170</v>
      </c>
      <c r="CC468" t="s">
        <v>170</v>
      </c>
      <c r="CK468" t="s">
        <v>233</v>
      </c>
      <c r="CM468">
        <v>1</v>
      </c>
      <c r="CN468" t="s">
        <v>234</v>
      </c>
      <c r="CP468">
        <v>800</v>
      </c>
      <c r="CQ468">
        <v>146</v>
      </c>
      <c r="CR468">
        <v>150</v>
      </c>
      <c r="CS468" t="s">
        <v>1752</v>
      </c>
      <c r="CV468" t="s">
        <v>341</v>
      </c>
      <c r="CX468" t="s">
        <v>342</v>
      </c>
      <c r="CY468" t="s">
        <v>169</v>
      </c>
      <c r="DD468">
        <v>2</v>
      </c>
      <c r="DE468" t="s">
        <v>404</v>
      </c>
      <c r="DF468" t="s">
        <v>2059</v>
      </c>
      <c r="DG468" t="s">
        <v>2060</v>
      </c>
      <c r="DL468" t="s">
        <v>170</v>
      </c>
      <c r="DM468" t="s">
        <v>169</v>
      </c>
      <c r="DP468" t="s">
        <v>170</v>
      </c>
      <c r="DQ468" t="s">
        <v>187</v>
      </c>
      <c r="EB468">
        <v>10</v>
      </c>
      <c r="EC468">
        <v>10</v>
      </c>
      <c r="EE468" t="s">
        <v>2061</v>
      </c>
      <c r="EF468">
        <v>10</v>
      </c>
      <c r="EU468">
        <v>6000</v>
      </c>
      <c r="EW468">
        <v>0</v>
      </c>
      <c r="EX468">
        <v>0</v>
      </c>
      <c r="EY468">
        <v>0</v>
      </c>
      <c r="FA468">
        <v>10</v>
      </c>
      <c r="FG468">
        <v>370</v>
      </c>
      <c r="FH468">
        <v>350</v>
      </c>
      <c r="FI468">
        <v>361</v>
      </c>
    </row>
    <row r="469" spans="1:165" x14ac:dyDescent="0.35">
      <c r="A469">
        <v>2025</v>
      </c>
      <c r="B469" t="s">
        <v>2055</v>
      </c>
      <c r="C469" t="s">
        <v>2056</v>
      </c>
      <c r="D469" t="s">
        <v>2072</v>
      </c>
      <c r="E469" t="s">
        <v>2058</v>
      </c>
      <c r="F469">
        <v>15</v>
      </c>
      <c r="G469">
        <v>0</v>
      </c>
      <c r="I469" t="s">
        <v>1734</v>
      </c>
      <c r="J469">
        <v>28</v>
      </c>
      <c r="K469">
        <v>30</v>
      </c>
      <c r="L469">
        <v>29</v>
      </c>
      <c r="M469">
        <v>20.597999999999999</v>
      </c>
      <c r="N469">
        <v>21.748999999999999</v>
      </c>
      <c r="O469">
        <v>21.116</v>
      </c>
      <c r="P469">
        <v>28.237500000000001</v>
      </c>
      <c r="Q469">
        <v>29.804200000000002</v>
      </c>
      <c r="R469">
        <v>28.942499999999999</v>
      </c>
      <c r="V469" t="s">
        <v>167</v>
      </c>
      <c r="W469" t="s">
        <v>168</v>
      </c>
      <c r="Y469">
        <v>1</v>
      </c>
      <c r="Z469" t="s">
        <v>170</v>
      </c>
      <c r="AA469" t="s">
        <v>170</v>
      </c>
      <c r="AB469" t="s">
        <v>167</v>
      </c>
      <c r="AC469" t="s">
        <v>213</v>
      </c>
      <c r="AF469">
        <v>361</v>
      </c>
      <c r="AG469" t="s">
        <v>1735</v>
      </c>
      <c r="AH469" t="s">
        <v>1736</v>
      </c>
      <c r="AI469" t="s">
        <v>1742</v>
      </c>
      <c r="AJ469" t="s">
        <v>1743</v>
      </c>
      <c r="AK469">
        <v>4</v>
      </c>
      <c r="AL469" t="s">
        <v>1737</v>
      </c>
      <c r="AO469">
        <v>101</v>
      </c>
      <c r="AP469">
        <v>32</v>
      </c>
      <c r="AS469">
        <v>700</v>
      </c>
      <c r="AT469">
        <v>700</v>
      </c>
      <c r="BQ469">
        <v>6</v>
      </c>
      <c r="BR469" t="s">
        <v>825</v>
      </c>
      <c r="BS469" t="s">
        <v>180</v>
      </c>
      <c r="BT469" t="s">
        <v>1769</v>
      </c>
      <c r="BU469" s="1">
        <v>45491</v>
      </c>
      <c r="BV469">
        <v>35240</v>
      </c>
      <c r="BX469" t="s">
        <v>169</v>
      </c>
      <c r="BY469" t="s">
        <v>170</v>
      </c>
      <c r="CB469" t="s">
        <v>170</v>
      </c>
      <c r="CC469" t="s">
        <v>170</v>
      </c>
      <c r="CK469" t="s">
        <v>233</v>
      </c>
      <c r="CM469">
        <v>1</v>
      </c>
      <c r="CN469" t="s">
        <v>234</v>
      </c>
      <c r="CP469">
        <v>800</v>
      </c>
      <c r="CQ469">
        <v>146</v>
      </c>
      <c r="CR469">
        <v>150</v>
      </c>
      <c r="CS469" t="s">
        <v>1752</v>
      </c>
      <c r="CV469" t="s">
        <v>341</v>
      </c>
      <c r="CX469" t="s">
        <v>342</v>
      </c>
      <c r="CY469" t="s">
        <v>169</v>
      </c>
      <c r="DD469">
        <v>2</v>
      </c>
      <c r="DE469" t="s">
        <v>404</v>
      </c>
      <c r="DF469" t="s">
        <v>2059</v>
      </c>
      <c r="DG469" t="s">
        <v>2060</v>
      </c>
      <c r="DL469" t="s">
        <v>170</v>
      </c>
      <c r="DM469" t="s">
        <v>169</v>
      </c>
      <c r="DP469" t="s">
        <v>170</v>
      </c>
      <c r="DQ469" t="s">
        <v>187</v>
      </c>
      <c r="EB469">
        <v>10</v>
      </c>
      <c r="EC469">
        <v>10</v>
      </c>
      <c r="EE469" t="s">
        <v>2061</v>
      </c>
      <c r="EF469">
        <v>10</v>
      </c>
      <c r="EU469">
        <v>6000</v>
      </c>
      <c r="EW469">
        <v>0</v>
      </c>
      <c r="EX469">
        <v>0</v>
      </c>
      <c r="EY469">
        <v>0</v>
      </c>
      <c r="FA469">
        <v>10</v>
      </c>
      <c r="FG469">
        <v>370</v>
      </c>
      <c r="FH469">
        <v>350</v>
      </c>
      <c r="FI469">
        <v>361</v>
      </c>
    </row>
    <row r="470" spans="1:165" x14ac:dyDescent="0.35">
      <c r="A470" s="25"/>
      <c r="B470" s="25"/>
      <c r="C470" s="25"/>
      <c r="D470" s="25"/>
      <c r="E470" s="25"/>
      <c r="F470" s="25" t="str">
        <f>_xlfn.CONCAT($A471," ",$B471," ",$D471)</f>
        <v>2025 Lucid USA, Inc Air Pure RWD w/19" wheels</v>
      </c>
      <c r="G470" s="25"/>
      <c r="H470" s="25"/>
      <c r="I470" s="25"/>
      <c r="J470" s="25"/>
      <c r="K470" s="25"/>
      <c r="L470" s="25"/>
      <c r="M470" s="25"/>
      <c r="N470" s="25"/>
      <c r="O470" s="25"/>
      <c r="P470" s="25"/>
      <c r="Q470" s="25"/>
      <c r="R470" s="25"/>
      <c r="S470" s="25"/>
      <c r="T470" s="25"/>
      <c r="U470" s="25"/>
      <c r="V470" s="25"/>
      <c r="W470" s="25"/>
      <c r="X470" s="25"/>
      <c r="Y470" s="25"/>
      <c r="Z470" s="25"/>
      <c r="AA470" s="25"/>
      <c r="AB470" s="25"/>
      <c r="AC470" s="25"/>
      <c r="AD470" s="25" t="str">
        <f>_xlfn.CONCAT($A471," ",$B471," ",$D471)</f>
        <v>2025 Lucid USA, Inc Air Pure RWD w/19" wheels</v>
      </c>
      <c r="AE470" s="25"/>
      <c r="AF470" s="25"/>
      <c r="AG470" s="25"/>
      <c r="AH470" s="25"/>
      <c r="AI470" s="25"/>
      <c r="AJ470" s="25"/>
      <c r="AK470" s="25"/>
      <c r="AL470" s="25"/>
      <c r="AM470" s="25"/>
      <c r="AN470" s="25"/>
      <c r="AO470" s="25"/>
      <c r="AP470" s="25"/>
      <c r="AQ470" s="25"/>
      <c r="AR470" s="25"/>
      <c r="AS470" s="25"/>
      <c r="AT470" s="25"/>
      <c r="AU470" s="25"/>
      <c r="AV470" s="25"/>
      <c r="AW470" s="25"/>
      <c r="AX470" s="25" t="str">
        <f>_xlfn.CONCAT($A471," ",$B471," ",$D471)</f>
        <v>2025 Lucid USA, Inc Air Pure RWD w/19" wheels</v>
      </c>
      <c r="AY470" s="25"/>
      <c r="AZ470" s="25"/>
      <c r="BA470" s="25"/>
      <c r="BB470" s="25"/>
      <c r="BC470" s="25"/>
      <c r="BD470" s="25"/>
      <c r="BE470" s="25"/>
      <c r="BF470" s="25"/>
      <c r="BG470" s="25"/>
      <c r="BH470" s="25"/>
      <c r="BI470" s="25"/>
      <c r="BJ470" s="25"/>
      <c r="BK470" s="25"/>
      <c r="BL470" s="25"/>
      <c r="BM470" s="25"/>
      <c r="BN470" s="25"/>
      <c r="BO470" s="25"/>
      <c r="BP470" s="25"/>
      <c r="BQ470" s="25"/>
      <c r="BR470" s="25" t="str">
        <f>_xlfn.CONCAT($A471," ",$B471," ",$D471)</f>
        <v>2025 Lucid USA, Inc Air Pure RWD w/19" wheels</v>
      </c>
      <c r="BS470" s="25"/>
      <c r="BT470" s="25"/>
      <c r="BU470" s="25"/>
      <c r="BV470" s="25"/>
      <c r="BX470" s="25"/>
      <c r="BY470" s="25"/>
      <c r="BZ470" s="25"/>
      <c r="CA470" s="25"/>
      <c r="CB470" s="25"/>
      <c r="CC470" s="25"/>
      <c r="CD470" s="25"/>
      <c r="CE470" s="25"/>
      <c r="CF470" s="25"/>
      <c r="CG470" s="25"/>
      <c r="CH470" s="25"/>
      <c r="CI470" s="25"/>
      <c r="CJ470" s="25"/>
      <c r="CK470" s="25"/>
      <c r="CL470" s="25"/>
      <c r="CM470" s="25"/>
      <c r="CN470" s="25"/>
      <c r="CO470" s="25"/>
      <c r="CP470" s="25" t="str">
        <f>_xlfn.CONCAT($A471," ",$B471," ",$D471)</f>
        <v>2025 Lucid USA, Inc Air Pure RWD w/19" wheels</v>
      </c>
      <c r="CQ470" s="25"/>
      <c r="CR470" s="25"/>
      <c r="CS470" s="25"/>
      <c r="CT470" s="25"/>
      <c r="CU470" s="25"/>
      <c r="CV470" s="25"/>
      <c r="CW470" s="25"/>
      <c r="CX470" s="25"/>
      <c r="CY470" s="25"/>
      <c r="CZ470" s="25"/>
      <c r="DA470" s="25"/>
      <c r="DB470" s="25"/>
      <c r="DC470" s="25"/>
      <c r="DD470" s="25"/>
      <c r="DE470" s="25"/>
      <c r="DF470" s="25"/>
      <c r="DG470" s="25"/>
      <c r="DH470" s="25"/>
      <c r="DI470" s="25" t="str">
        <f>_xlfn.CONCAT($A471," ",$B471," ",$D471)</f>
        <v>2025 Lucid USA, Inc Air Pure RWD w/19" wheels</v>
      </c>
      <c r="DJ470" s="25"/>
      <c r="DK470" s="25"/>
      <c r="DL470" s="25"/>
      <c r="DM470" s="25"/>
      <c r="DN470" s="25"/>
      <c r="DO470" s="25"/>
      <c r="DP470" s="25"/>
      <c r="DQ470" s="25"/>
      <c r="DR470" s="25"/>
      <c r="DS470" s="25"/>
      <c r="DT470" s="25"/>
      <c r="DU470" s="25"/>
      <c r="DV470" s="25"/>
      <c r="DW470" s="25"/>
      <c r="DX470" s="25"/>
      <c r="DY470" s="25"/>
      <c r="DZ470" s="25" t="str">
        <f>_xlfn.CONCAT($A471," ",$B471," ",$D471)</f>
        <v>2025 Lucid USA, Inc Air Pure RWD w/19" wheels</v>
      </c>
      <c r="EB470" s="25"/>
      <c r="EC470" s="25"/>
      <c r="ED470" s="25"/>
      <c r="EE470" s="25"/>
      <c r="EF470" s="25"/>
      <c r="EG470" s="25"/>
      <c r="EH470" s="25"/>
      <c r="EI470" s="25"/>
      <c r="EJ470" s="25"/>
      <c r="EK470" s="25"/>
      <c r="EL470" s="25"/>
      <c r="EM470" s="25"/>
      <c r="EN470" s="25"/>
      <c r="EO470" s="25"/>
      <c r="EP470" s="25"/>
      <c r="EQ470" s="25"/>
      <c r="ER470" s="25"/>
      <c r="ES470" s="25"/>
      <c r="ET470" s="25"/>
      <c r="EU470" s="25"/>
      <c r="EV470" s="25" t="str">
        <f>_xlfn.CONCAT($A471," ",$B471," ",$D471)</f>
        <v>2025 Lucid USA, Inc Air Pure RWD w/19" wheels</v>
      </c>
      <c r="EW470" s="25"/>
      <c r="EX470" s="25"/>
      <c r="EY470" s="25"/>
      <c r="EZ470" s="25"/>
      <c r="FA470" s="25"/>
      <c r="FB470" s="25"/>
      <c r="FC470" s="25"/>
      <c r="FD470" s="25"/>
      <c r="FE470" s="25"/>
      <c r="FF470" s="25"/>
      <c r="FG470" s="25"/>
    </row>
    <row r="471" spans="1:165" x14ac:dyDescent="0.35">
      <c r="A471">
        <v>2025</v>
      </c>
      <c r="B471" t="s">
        <v>2055</v>
      </c>
      <c r="C471" t="s">
        <v>2056</v>
      </c>
      <c r="D471" t="s">
        <v>2064</v>
      </c>
      <c r="E471" t="s">
        <v>2058</v>
      </c>
      <c r="F471">
        <v>16</v>
      </c>
      <c r="G471">
        <v>0</v>
      </c>
      <c r="I471" t="s">
        <v>1734</v>
      </c>
      <c r="J471">
        <v>149</v>
      </c>
      <c r="K471">
        <v>142</v>
      </c>
      <c r="L471">
        <v>146</v>
      </c>
      <c r="M471">
        <v>209.1</v>
      </c>
      <c r="N471">
        <v>198.8</v>
      </c>
      <c r="O471">
        <v>204.33590000000001</v>
      </c>
      <c r="P471">
        <v>149.04650000000001</v>
      </c>
      <c r="Q471">
        <v>141.7046</v>
      </c>
      <c r="R471">
        <v>145.6506</v>
      </c>
      <c r="V471" t="s">
        <v>167</v>
      </c>
      <c r="W471" t="s">
        <v>168</v>
      </c>
      <c r="Y471">
        <v>1</v>
      </c>
      <c r="Z471" t="s">
        <v>170</v>
      </c>
      <c r="AA471" t="s">
        <v>170</v>
      </c>
      <c r="AB471" t="s">
        <v>171</v>
      </c>
      <c r="AC471" t="s">
        <v>172</v>
      </c>
      <c r="AF471">
        <v>420</v>
      </c>
      <c r="AG471" t="s">
        <v>1735</v>
      </c>
      <c r="AH471" t="s">
        <v>1736</v>
      </c>
      <c r="AI471" t="s">
        <v>175</v>
      </c>
      <c r="AJ471" t="s">
        <v>176</v>
      </c>
      <c r="AK471">
        <v>4</v>
      </c>
      <c r="AL471" t="s">
        <v>1737</v>
      </c>
      <c r="AO471">
        <v>101</v>
      </c>
      <c r="AP471">
        <v>32</v>
      </c>
      <c r="AS471">
        <v>550</v>
      </c>
      <c r="AT471">
        <v>550</v>
      </c>
      <c r="BQ471">
        <v>6</v>
      </c>
      <c r="BR471" t="s">
        <v>825</v>
      </c>
      <c r="BS471" t="s">
        <v>180</v>
      </c>
      <c r="BT471" t="s">
        <v>1769</v>
      </c>
      <c r="BU471" s="1">
        <v>45489</v>
      </c>
      <c r="BV471">
        <v>35194</v>
      </c>
      <c r="BX471" t="s">
        <v>169</v>
      </c>
      <c r="BY471" t="s">
        <v>170</v>
      </c>
      <c r="CB471" t="s">
        <v>170</v>
      </c>
      <c r="CC471" t="s">
        <v>170</v>
      </c>
      <c r="CK471" t="s">
        <v>233</v>
      </c>
      <c r="CM471">
        <v>1</v>
      </c>
      <c r="CN471" t="s">
        <v>234</v>
      </c>
      <c r="CP471">
        <v>580</v>
      </c>
      <c r="CQ471">
        <v>145</v>
      </c>
      <c r="CR471">
        <v>160</v>
      </c>
      <c r="CS471" t="s">
        <v>1752</v>
      </c>
      <c r="CV471" t="s">
        <v>341</v>
      </c>
      <c r="CX471" t="s">
        <v>342</v>
      </c>
      <c r="CY471" t="s">
        <v>169</v>
      </c>
      <c r="DD471">
        <v>1</v>
      </c>
      <c r="DE471" t="s">
        <v>404</v>
      </c>
      <c r="DF471" t="s">
        <v>2059</v>
      </c>
      <c r="DG471">
        <v>330</v>
      </c>
      <c r="DL471" t="s">
        <v>170</v>
      </c>
      <c r="DM471" t="s">
        <v>169</v>
      </c>
      <c r="DP471" t="s">
        <v>170</v>
      </c>
      <c r="DQ471" t="s">
        <v>187</v>
      </c>
      <c r="EB471">
        <v>10</v>
      </c>
      <c r="EC471">
        <v>10</v>
      </c>
      <c r="EE471" t="s">
        <v>2065</v>
      </c>
      <c r="EF471">
        <v>10</v>
      </c>
      <c r="EU471">
        <v>6750</v>
      </c>
      <c r="EW471">
        <v>0</v>
      </c>
      <c r="EX471">
        <v>0</v>
      </c>
      <c r="EY471">
        <v>0</v>
      </c>
      <c r="FA471">
        <v>10</v>
      </c>
      <c r="FG471">
        <v>430</v>
      </c>
      <c r="FH471">
        <v>408</v>
      </c>
      <c r="FI471">
        <v>420</v>
      </c>
    </row>
    <row r="472" spans="1:165" x14ac:dyDescent="0.35">
      <c r="A472">
        <v>2025</v>
      </c>
      <c r="B472" t="s">
        <v>2055</v>
      </c>
      <c r="C472" t="s">
        <v>2056</v>
      </c>
      <c r="D472" t="s">
        <v>2064</v>
      </c>
      <c r="E472" t="s">
        <v>2058</v>
      </c>
      <c r="F472">
        <v>16</v>
      </c>
      <c r="G472">
        <v>0</v>
      </c>
      <c r="I472" t="s">
        <v>1734</v>
      </c>
      <c r="J472">
        <v>23</v>
      </c>
      <c r="K472">
        <v>24</v>
      </c>
      <c r="L472">
        <v>23</v>
      </c>
      <c r="M472">
        <v>16.12</v>
      </c>
      <c r="N472">
        <v>16.957000000000001</v>
      </c>
      <c r="O472">
        <v>16.496700000000001</v>
      </c>
      <c r="P472">
        <v>22.613800000000001</v>
      </c>
      <c r="Q472">
        <v>23.785399999999999</v>
      </c>
      <c r="R472">
        <v>23.140999999999998</v>
      </c>
      <c r="V472" t="s">
        <v>167</v>
      </c>
      <c r="W472" t="s">
        <v>168</v>
      </c>
      <c r="Y472">
        <v>1</v>
      </c>
      <c r="Z472" t="s">
        <v>170</v>
      </c>
      <c r="AA472" t="s">
        <v>170</v>
      </c>
      <c r="AB472" t="s">
        <v>171</v>
      </c>
      <c r="AC472" t="s">
        <v>172</v>
      </c>
      <c r="AF472">
        <v>420</v>
      </c>
      <c r="AG472" t="s">
        <v>1735</v>
      </c>
      <c r="AH472" t="s">
        <v>1736</v>
      </c>
      <c r="AI472" t="s">
        <v>1742</v>
      </c>
      <c r="AJ472" t="s">
        <v>1743</v>
      </c>
      <c r="AK472">
        <v>4</v>
      </c>
      <c r="AL472" t="s">
        <v>1737</v>
      </c>
      <c r="AO472">
        <v>101</v>
      </c>
      <c r="AP472">
        <v>32</v>
      </c>
      <c r="AS472">
        <v>550</v>
      </c>
      <c r="AT472">
        <v>550</v>
      </c>
      <c r="BQ472">
        <v>6</v>
      </c>
      <c r="BR472" t="s">
        <v>825</v>
      </c>
      <c r="BS472" t="s">
        <v>180</v>
      </c>
      <c r="BT472" t="s">
        <v>1769</v>
      </c>
      <c r="BU472" s="1">
        <v>45489</v>
      </c>
      <c r="BV472">
        <v>35194</v>
      </c>
      <c r="BX472" t="s">
        <v>169</v>
      </c>
      <c r="BY472" t="s">
        <v>170</v>
      </c>
      <c r="CB472" t="s">
        <v>170</v>
      </c>
      <c r="CC472" t="s">
        <v>170</v>
      </c>
      <c r="CK472" t="s">
        <v>233</v>
      </c>
      <c r="CM472">
        <v>1</v>
      </c>
      <c r="CN472" t="s">
        <v>234</v>
      </c>
      <c r="CP472">
        <v>580</v>
      </c>
      <c r="CQ472">
        <v>145</v>
      </c>
      <c r="CR472">
        <v>160</v>
      </c>
      <c r="CS472" t="s">
        <v>1752</v>
      </c>
      <c r="CV472" t="s">
        <v>341</v>
      </c>
      <c r="CX472" t="s">
        <v>342</v>
      </c>
      <c r="CY472" t="s">
        <v>169</v>
      </c>
      <c r="DD472">
        <v>1</v>
      </c>
      <c r="DE472" t="s">
        <v>404</v>
      </c>
      <c r="DF472" t="s">
        <v>2059</v>
      </c>
      <c r="DG472">
        <v>330</v>
      </c>
      <c r="DL472" t="s">
        <v>170</v>
      </c>
      <c r="DM472" t="s">
        <v>169</v>
      </c>
      <c r="DP472" t="s">
        <v>170</v>
      </c>
      <c r="DQ472" t="s">
        <v>187</v>
      </c>
      <c r="EB472">
        <v>10</v>
      </c>
      <c r="EC472">
        <v>10</v>
      </c>
      <c r="EE472" t="s">
        <v>2065</v>
      </c>
      <c r="EF472">
        <v>10</v>
      </c>
      <c r="EU472">
        <v>6750</v>
      </c>
      <c r="EW472">
        <v>0</v>
      </c>
      <c r="EX472">
        <v>0</v>
      </c>
      <c r="EY472">
        <v>0</v>
      </c>
      <c r="FA472">
        <v>10</v>
      </c>
      <c r="FG472">
        <v>430</v>
      </c>
      <c r="FH472">
        <v>408</v>
      </c>
      <c r="FI472">
        <v>420</v>
      </c>
    </row>
    <row r="473" spans="1:165" x14ac:dyDescent="0.35">
      <c r="A473" s="25"/>
      <c r="B473" s="25"/>
      <c r="C473" s="25"/>
      <c r="D473" s="25"/>
      <c r="E473" s="25"/>
      <c r="F473" s="25" t="str">
        <f>_xlfn.CONCAT($A474," ",$B474," ",$D474)</f>
        <v>2025 Lucid USA, Inc Air Pure RWD w/20" wheels</v>
      </c>
      <c r="G473" s="25"/>
      <c r="H473" s="25"/>
      <c r="I473" s="25"/>
      <c r="J473" s="25"/>
      <c r="K473" s="25"/>
      <c r="L473" s="25"/>
      <c r="M473" s="25"/>
      <c r="N473" s="25"/>
      <c r="O473" s="25"/>
      <c r="P473" s="25"/>
      <c r="Q473" s="25"/>
      <c r="R473" s="25"/>
      <c r="S473" s="25"/>
      <c r="T473" s="25"/>
      <c r="U473" s="25"/>
      <c r="V473" s="25"/>
      <c r="W473" s="25"/>
      <c r="X473" s="25"/>
      <c r="Y473" s="25"/>
      <c r="Z473" s="25"/>
      <c r="AA473" s="25"/>
      <c r="AB473" s="25"/>
      <c r="AC473" s="25"/>
      <c r="AD473" s="25" t="str">
        <f>_xlfn.CONCAT($A474," ",$B474," ",$D474)</f>
        <v>2025 Lucid USA, Inc Air Pure RWD w/20" wheels</v>
      </c>
      <c r="AE473" s="25"/>
      <c r="AF473" s="25"/>
      <c r="AG473" s="25"/>
      <c r="AH473" s="25"/>
      <c r="AI473" s="25"/>
      <c r="AJ473" s="25"/>
      <c r="AK473" s="25"/>
      <c r="AL473" s="25"/>
      <c r="AM473" s="25"/>
      <c r="AN473" s="25"/>
      <c r="AO473" s="25"/>
      <c r="AP473" s="25"/>
      <c r="AQ473" s="25"/>
      <c r="AR473" s="25"/>
      <c r="AS473" s="25"/>
      <c r="AT473" s="25"/>
      <c r="AU473" s="25"/>
      <c r="AV473" s="25"/>
      <c r="AW473" s="25"/>
      <c r="AX473" s="25" t="str">
        <f>_xlfn.CONCAT($A474," ",$B474," ",$D474)</f>
        <v>2025 Lucid USA, Inc Air Pure RWD w/20" wheels</v>
      </c>
      <c r="AY473" s="25"/>
      <c r="AZ473" s="25"/>
      <c r="BA473" s="25"/>
      <c r="BB473" s="25"/>
      <c r="BC473" s="25"/>
      <c r="BD473" s="25"/>
      <c r="BE473" s="25"/>
      <c r="BF473" s="25"/>
      <c r="BG473" s="25"/>
      <c r="BH473" s="25"/>
      <c r="BI473" s="25"/>
      <c r="BJ473" s="25"/>
      <c r="BK473" s="25"/>
      <c r="BL473" s="25"/>
      <c r="BM473" s="25"/>
      <c r="BN473" s="25"/>
      <c r="BO473" s="25"/>
      <c r="BP473" s="25"/>
      <c r="BQ473" s="25"/>
      <c r="BR473" s="25" t="str">
        <f>_xlfn.CONCAT($A474," ",$B474," ",$D474)</f>
        <v>2025 Lucid USA, Inc Air Pure RWD w/20" wheels</v>
      </c>
      <c r="BS473" s="25"/>
      <c r="BT473" s="25"/>
      <c r="BU473" s="25"/>
      <c r="BV473" s="25"/>
      <c r="BX473" s="25"/>
      <c r="BY473" s="25"/>
      <c r="BZ473" s="25"/>
      <c r="CA473" s="25"/>
      <c r="CB473" s="25"/>
      <c r="CC473" s="25"/>
      <c r="CD473" s="25"/>
      <c r="CE473" s="25"/>
      <c r="CF473" s="25"/>
      <c r="CG473" s="25"/>
      <c r="CH473" s="25"/>
      <c r="CI473" s="25"/>
      <c r="CJ473" s="25"/>
      <c r="CK473" s="25"/>
      <c r="CL473" s="25"/>
      <c r="CM473" s="25"/>
      <c r="CN473" s="25"/>
      <c r="CO473" s="25"/>
      <c r="CP473" s="25" t="str">
        <f>_xlfn.CONCAT($A474," ",$B474," ",$D474)</f>
        <v>2025 Lucid USA, Inc Air Pure RWD w/20" wheels</v>
      </c>
      <c r="CQ473" s="25"/>
      <c r="CR473" s="25"/>
      <c r="CS473" s="25"/>
      <c r="CT473" s="25"/>
      <c r="CU473" s="25"/>
      <c r="CV473" s="25"/>
      <c r="CW473" s="25"/>
      <c r="CX473" s="25"/>
      <c r="CY473" s="25"/>
      <c r="CZ473" s="25"/>
      <c r="DA473" s="25"/>
      <c r="DB473" s="25"/>
      <c r="DC473" s="25"/>
      <c r="DD473" s="25"/>
      <c r="DE473" s="25"/>
      <c r="DF473" s="25"/>
      <c r="DG473" s="25"/>
      <c r="DH473" s="25"/>
      <c r="DI473" s="25" t="str">
        <f>_xlfn.CONCAT($A474," ",$B474," ",$D474)</f>
        <v>2025 Lucid USA, Inc Air Pure RWD w/20" wheels</v>
      </c>
      <c r="DJ473" s="25"/>
      <c r="DK473" s="25"/>
      <c r="DL473" s="25"/>
      <c r="DM473" s="25"/>
      <c r="DN473" s="25"/>
      <c r="DO473" s="25"/>
      <c r="DP473" s="25"/>
      <c r="DQ473" s="25"/>
      <c r="DR473" s="25"/>
      <c r="DS473" s="25"/>
      <c r="DT473" s="25"/>
      <c r="DU473" s="25"/>
      <c r="DV473" s="25"/>
      <c r="DW473" s="25"/>
      <c r="DX473" s="25"/>
      <c r="DY473" s="25"/>
      <c r="DZ473" s="25" t="str">
        <f>_xlfn.CONCAT($A474," ",$B474," ",$D474)</f>
        <v>2025 Lucid USA, Inc Air Pure RWD w/20" wheels</v>
      </c>
      <c r="EB473" s="25"/>
      <c r="EC473" s="25"/>
      <c r="ED473" s="25"/>
      <c r="EE473" s="25"/>
      <c r="EF473" s="25"/>
      <c r="EG473" s="25"/>
      <c r="EH473" s="25"/>
      <c r="EI473" s="25"/>
      <c r="EJ473" s="25"/>
      <c r="EK473" s="25"/>
      <c r="EL473" s="25"/>
      <c r="EM473" s="25"/>
      <c r="EN473" s="25"/>
      <c r="EO473" s="25"/>
      <c r="EP473" s="25"/>
      <c r="EQ473" s="25"/>
      <c r="ER473" s="25"/>
      <c r="ES473" s="25"/>
      <c r="ET473" s="25"/>
      <c r="EU473" s="25"/>
      <c r="EV473" s="25" t="str">
        <f>_xlfn.CONCAT($A474," ",$B474," ",$D474)</f>
        <v>2025 Lucid USA, Inc Air Pure RWD w/20" wheels</v>
      </c>
      <c r="EW473" s="25"/>
      <c r="EX473" s="25"/>
      <c r="EY473" s="25"/>
      <c r="EZ473" s="25"/>
      <c r="FA473" s="25"/>
      <c r="FB473" s="25"/>
      <c r="FC473" s="25"/>
      <c r="FD473" s="25"/>
      <c r="FE473" s="25"/>
      <c r="FF473" s="25"/>
      <c r="FG473" s="25"/>
    </row>
    <row r="474" spans="1:165" x14ac:dyDescent="0.35">
      <c r="A474">
        <v>2025</v>
      </c>
      <c r="B474" t="s">
        <v>2055</v>
      </c>
      <c r="C474" t="s">
        <v>2056</v>
      </c>
      <c r="D474" t="s">
        <v>2066</v>
      </c>
      <c r="E474" t="s">
        <v>2058</v>
      </c>
      <c r="F474">
        <v>17</v>
      </c>
      <c r="G474">
        <v>0</v>
      </c>
      <c r="I474" t="s">
        <v>1734</v>
      </c>
      <c r="J474">
        <v>132</v>
      </c>
      <c r="K474">
        <v>125</v>
      </c>
      <c r="L474">
        <v>129</v>
      </c>
      <c r="M474">
        <v>185.7</v>
      </c>
      <c r="N474">
        <v>175.9</v>
      </c>
      <c r="O474">
        <v>181.15819999999999</v>
      </c>
      <c r="P474">
        <v>132.36699999999999</v>
      </c>
      <c r="Q474">
        <v>125.3815</v>
      </c>
      <c r="R474">
        <v>129.12960000000001</v>
      </c>
      <c r="V474" t="s">
        <v>167</v>
      </c>
      <c r="W474" t="s">
        <v>168</v>
      </c>
      <c r="Y474">
        <v>1</v>
      </c>
      <c r="Z474" t="s">
        <v>170</v>
      </c>
      <c r="AA474" t="s">
        <v>170</v>
      </c>
      <c r="AB474" t="s">
        <v>171</v>
      </c>
      <c r="AC474" t="s">
        <v>172</v>
      </c>
      <c r="AF474">
        <v>372</v>
      </c>
      <c r="AG474" t="s">
        <v>1735</v>
      </c>
      <c r="AH474" t="s">
        <v>1736</v>
      </c>
      <c r="AI474" t="s">
        <v>175</v>
      </c>
      <c r="AJ474" t="s">
        <v>176</v>
      </c>
      <c r="AK474">
        <v>4</v>
      </c>
      <c r="AL474" t="s">
        <v>1737</v>
      </c>
      <c r="AO474">
        <v>101</v>
      </c>
      <c r="AP474">
        <v>32</v>
      </c>
      <c r="AS474">
        <v>600</v>
      </c>
      <c r="AT474">
        <v>600</v>
      </c>
      <c r="BQ474">
        <v>6</v>
      </c>
      <c r="BR474" t="s">
        <v>825</v>
      </c>
      <c r="BS474" t="s">
        <v>180</v>
      </c>
      <c r="BT474" t="s">
        <v>1769</v>
      </c>
      <c r="BU474" s="1">
        <v>45489</v>
      </c>
      <c r="BV474">
        <v>35196</v>
      </c>
      <c r="BX474" t="s">
        <v>169</v>
      </c>
      <c r="BY474" t="s">
        <v>170</v>
      </c>
      <c r="CB474" t="s">
        <v>170</v>
      </c>
      <c r="CC474" t="s">
        <v>170</v>
      </c>
      <c r="CK474" t="s">
        <v>233</v>
      </c>
      <c r="CM474">
        <v>1</v>
      </c>
      <c r="CN474" t="s">
        <v>234</v>
      </c>
      <c r="CP474">
        <v>580</v>
      </c>
      <c r="CQ474">
        <v>145</v>
      </c>
      <c r="CR474">
        <v>160</v>
      </c>
      <c r="CS474" t="s">
        <v>1752</v>
      </c>
      <c r="CV474" t="s">
        <v>341</v>
      </c>
      <c r="CX474" t="s">
        <v>342</v>
      </c>
      <c r="CY474" t="s">
        <v>169</v>
      </c>
      <c r="DD474">
        <v>1</v>
      </c>
      <c r="DE474" t="s">
        <v>404</v>
      </c>
      <c r="DF474" t="s">
        <v>2059</v>
      </c>
      <c r="DG474">
        <v>330</v>
      </c>
      <c r="DL474" t="s">
        <v>170</v>
      </c>
      <c r="DM474" t="s">
        <v>169</v>
      </c>
      <c r="DP474" t="s">
        <v>170</v>
      </c>
      <c r="DQ474" t="s">
        <v>187</v>
      </c>
      <c r="EB474">
        <v>10</v>
      </c>
      <c r="EC474">
        <v>10</v>
      </c>
      <c r="EE474" t="s">
        <v>2065</v>
      </c>
      <c r="EF474">
        <v>10</v>
      </c>
      <c r="EU474">
        <v>6500</v>
      </c>
      <c r="EW474">
        <v>0</v>
      </c>
      <c r="EX474">
        <v>0</v>
      </c>
      <c r="EY474">
        <v>0</v>
      </c>
      <c r="FA474">
        <v>10</v>
      </c>
      <c r="FG474">
        <v>381</v>
      </c>
      <c r="FH474">
        <v>361</v>
      </c>
      <c r="FI474">
        <v>372</v>
      </c>
    </row>
    <row r="475" spans="1:165" x14ac:dyDescent="0.35">
      <c r="A475">
        <v>2025</v>
      </c>
      <c r="B475" t="s">
        <v>2055</v>
      </c>
      <c r="C475" t="s">
        <v>2056</v>
      </c>
      <c r="D475" t="s">
        <v>2066</v>
      </c>
      <c r="E475" t="s">
        <v>2058</v>
      </c>
      <c r="F475">
        <v>17</v>
      </c>
      <c r="G475">
        <v>0</v>
      </c>
      <c r="I475" t="s">
        <v>1734</v>
      </c>
      <c r="J475">
        <v>25</v>
      </c>
      <c r="K475">
        <v>27</v>
      </c>
      <c r="L475">
        <v>26</v>
      </c>
      <c r="M475">
        <v>18.154</v>
      </c>
      <c r="N475">
        <v>19.163</v>
      </c>
      <c r="O475">
        <v>18.6081</v>
      </c>
      <c r="P475">
        <v>25.4633</v>
      </c>
      <c r="Q475">
        <v>26.882000000000001</v>
      </c>
      <c r="R475">
        <v>26.101700000000001</v>
      </c>
      <c r="V475" t="s">
        <v>167</v>
      </c>
      <c r="W475" t="s">
        <v>168</v>
      </c>
      <c r="Y475">
        <v>1</v>
      </c>
      <c r="Z475" t="s">
        <v>170</v>
      </c>
      <c r="AA475" t="s">
        <v>170</v>
      </c>
      <c r="AB475" t="s">
        <v>171</v>
      </c>
      <c r="AC475" t="s">
        <v>172</v>
      </c>
      <c r="AF475">
        <v>372</v>
      </c>
      <c r="AG475" t="s">
        <v>1735</v>
      </c>
      <c r="AH475" t="s">
        <v>1736</v>
      </c>
      <c r="AI475" t="s">
        <v>1742</v>
      </c>
      <c r="AJ475" t="s">
        <v>1743</v>
      </c>
      <c r="AK475">
        <v>4</v>
      </c>
      <c r="AL475" t="s">
        <v>1737</v>
      </c>
      <c r="AO475">
        <v>101</v>
      </c>
      <c r="AP475">
        <v>32</v>
      </c>
      <c r="AS475">
        <v>600</v>
      </c>
      <c r="AT475">
        <v>600</v>
      </c>
      <c r="BQ475">
        <v>6</v>
      </c>
      <c r="BR475" t="s">
        <v>825</v>
      </c>
      <c r="BS475" t="s">
        <v>180</v>
      </c>
      <c r="BT475" t="s">
        <v>1769</v>
      </c>
      <c r="BU475" s="1">
        <v>45489</v>
      </c>
      <c r="BV475">
        <v>35196</v>
      </c>
      <c r="BX475" t="s">
        <v>169</v>
      </c>
      <c r="BY475" t="s">
        <v>170</v>
      </c>
      <c r="CB475" t="s">
        <v>170</v>
      </c>
      <c r="CC475" t="s">
        <v>170</v>
      </c>
      <c r="CK475" t="s">
        <v>233</v>
      </c>
      <c r="CM475">
        <v>1</v>
      </c>
      <c r="CN475" t="s">
        <v>234</v>
      </c>
      <c r="CP475">
        <v>580</v>
      </c>
      <c r="CQ475">
        <v>145</v>
      </c>
      <c r="CR475">
        <v>160</v>
      </c>
      <c r="CS475" t="s">
        <v>1752</v>
      </c>
      <c r="CV475" t="s">
        <v>341</v>
      </c>
      <c r="CX475" t="s">
        <v>342</v>
      </c>
      <c r="CY475" t="s">
        <v>169</v>
      </c>
      <c r="DD475">
        <v>1</v>
      </c>
      <c r="DE475" t="s">
        <v>404</v>
      </c>
      <c r="DF475" t="s">
        <v>2059</v>
      </c>
      <c r="DG475">
        <v>330</v>
      </c>
      <c r="DL475" t="s">
        <v>170</v>
      </c>
      <c r="DM475" t="s">
        <v>169</v>
      </c>
      <c r="DP475" t="s">
        <v>170</v>
      </c>
      <c r="DQ475" t="s">
        <v>187</v>
      </c>
      <c r="EB475">
        <v>10</v>
      </c>
      <c r="EC475">
        <v>10</v>
      </c>
      <c r="EE475" t="s">
        <v>2065</v>
      </c>
      <c r="EF475">
        <v>10</v>
      </c>
      <c r="EU475">
        <v>6500</v>
      </c>
      <c r="EW475">
        <v>0</v>
      </c>
      <c r="EX475">
        <v>0</v>
      </c>
      <c r="EY475">
        <v>0</v>
      </c>
      <c r="FA475">
        <v>10</v>
      </c>
      <c r="FG475">
        <v>381</v>
      </c>
      <c r="FH475">
        <v>361</v>
      </c>
      <c r="FI475">
        <v>372</v>
      </c>
    </row>
    <row r="476" spans="1:165" x14ac:dyDescent="0.35">
      <c r="A476" s="25"/>
      <c r="B476" s="25"/>
      <c r="C476" s="25"/>
      <c r="D476" s="25"/>
      <c r="E476" s="25"/>
      <c r="F476" s="25" t="str">
        <f>_xlfn.CONCAT($A477," ",$B477," ",$D477)</f>
        <v>2025 Lucid USA, Inc Air Sapphire AWD</v>
      </c>
      <c r="G476" s="25"/>
      <c r="H476" s="25"/>
      <c r="I476" s="25"/>
      <c r="J476" s="25"/>
      <c r="K476" s="25"/>
      <c r="L476" s="25"/>
      <c r="M476" s="25"/>
      <c r="N476" s="25"/>
      <c r="O476" s="25"/>
      <c r="P476" s="25"/>
      <c r="Q476" s="25"/>
      <c r="R476" s="25"/>
      <c r="S476" s="25"/>
      <c r="T476" s="25"/>
      <c r="U476" s="25"/>
      <c r="V476" s="25"/>
      <c r="W476" s="25"/>
      <c r="X476" s="25"/>
      <c r="Y476" s="25"/>
      <c r="Z476" s="25"/>
      <c r="AA476" s="25"/>
      <c r="AB476" s="25"/>
      <c r="AC476" s="25"/>
      <c r="AD476" s="25" t="str">
        <f>_xlfn.CONCAT($A477," ",$B477," ",$D477)</f>
        <v>2025 Lucid USA, Inc Air Sapphire AWD</v>
      </c>
      <c r="AE476" s="25"/>
      <c r="AF476" s="25"/>
      <c r="AG476" s="25"/>
      <c r="AH476" s="25"/>
      <c r="AI476" s="25"/>
      <c r="AJ476" s="25"/>
      <c r="AK476" s="25"/>
      <c r="AL476" s="25"/>
      <c r="AM476" s="25"/>
      <c r="AN476" s="25"/>
      <c r="AO476" s="25"/>
      <c r="AP476" s="25"/>
      <c r="AQ476" s="25"/>
      <c r="AR476" s="25"/>
      <c r="AS476" s="25"/>
      <c r="AT476" s="25"/>
      <c r="AU476" s="25"/>
      <c r="AV476" s="25"/>
      <c r="AW476" s="25"/>
      <c r="AX476" s="25" t="str">
        <f>_xlfn.CONCAT($A477," ",$B477," ",$D477)</f>
        <v>2025 Lucid USA, Inc Air Sapphire AWD</v>
      </c>
      <c r="AY476" s="25"/>
      <c r="AZ476" s="25"/>
      <c r="BA476" s="25"/>
      <c r="BB476" s="25"/>
      <c r="BC476" s="25"/>
      <c r="BD476" s="25"/>
      <c r="BE476" s="25"/>
      <c r="BF476" s="25"/>
      <c r="BG476" s="25"/>
      <c r="BH476" s="25"/>
      <c r="BI476" s="25"/>
      <c r="BJ476" s="25"/>
      <c r="BK476" s="25"/>
      <c r="BL476" s="25"/>
      <c r="BM476" s="25"/>
      <c r="BN476" s="25"/>
      <c r="BO476" s="25"/>
      <c r="BP476" s="25"/>
      <c r="BQ476" s="25"/>
      <c r="BR476" s="25" t="str">
        <f>_xlfn.CONCAT($A477," ",$B477," ",$D477)</f>
        <v>2025 Lucid USA, Inc Air Sapphire AWD</v>
      </c>
      <c r="BS476" s="25"/>
      <c r="BT476" s="25"/>
      <c r="BU476" s="25"/>
      <c r="BV476" s="25"/>
      <c r="BX476" s="25"/>
      <c r="BY476" s="25"/>
      <c r="BZ476" s="25"/>
      <c r="CA476" s="25"/>
      <c r="CB476" s="25"/>
      <c r="CC476" s="25"/>
      <c r="CD476" s="25"/>
      <c r="CE476" s="25"/>
      <c r="CF476" s="25"/>
      <c r="CG476" s="25"/>
      <c r="CH476" s="25"/>
      <c r="CI476" s="25"/>
      <c r="CJ476" s="25"/>
      <c r="CK476" s="25"/>
      <c r="CL476" s="25"/>
      <c r="CM476" s="25"/>
      <c r="CN476" s="25"/>
      <c r="CO476" s="25"/>
      <c r="CP476" s="25" t="str">
        <f>_xlfn.CONCAT($A477," ",$B477," ",$D477)</f>
        <v>2025 Lucid USA, Inc Air Sapphire AWD</v>
      </c>
      <c r="CQ476" s="25"/>
      <c r="CR476" s="25"/>
      <c r="CS476" s="25"/>
      <c r="CT476" s="25"/>
      <c r="CU476" s="25"/>
      <c r="CV476" s="25"/>
      <c r="CW476" s="25"/>
      <c r="CX476" s="25"/>
      <c r="CY476" s="25"/>
      <c r="CZ476" s="25"/>
      <c r="DA476" s="25"/>
      <c r="DB476" s="25"/>
      <c r="DC476" s="25"/>
      <c r="DD476" s="25"/>
      <c r="DE476" s="25"/>
      <c r="DF476" s="25"/>
      <c r="DG476" s="25"/>
      <c r="DH476" s="25"/>
      <c r="DI476" s="25" t="str">
        <f>_xlfn.CONCAT($A477," ",$B477," ",$D477)</f>
        <v>2025 Lucid USA, Inc Air Sapphire AWD</v>
      </c>
      <c r="DJ476" s="25"/>
      <c r="DK476" s="25"/>
      <c r="DL476" s="25"/>
      <c r="DM476" s="25"/>
      <c r="DN476" s="25"/>
      <c r="DO476" s="25"/>
      <c r="DP476" s="25"/>
      <c r="DQ476" s="25"/>
      <c r="DR476" s="25"/>
      <c r="DS476" s="25"/>
      <c r="DT476" s="25"/>
      <c r="DU476" s="25"/>
      <c r="DV476" s="25"/>
      <c r="DW476" s="25"/>
      <c r="DX476" s="25"/>
      <c r="DY476" s="25"/>
      <c r="DZ476" s="25" t="str">
        <f>_xlfn.CONCAT($A477," ",$B477," ",$D477)</f>
        <v>2025 Lucid USA, Inc Air Sapphire AWD</v>
      </c>
      <c r="EB476" s="25"/>
      <c r="EC476" s="25"/>
      <c r="ED476" s="25"/>
      <c r="EE476" s="25"/>
      <c r="EF476" s="25"/>
      <c r="EG476" s="25"/>
      <c r="EH476" s="25"/>
      <c r="EI476" s="25"/>
      <c r="EJ476" s="25"/>
      <c r="EK476" s="25"/>
      <c r="EL476" s="25"/>
      <c r="EM476" s="25"/>
      <c r="EN476" s="25"/>
      <c r="EO476" s="25"/>
      <c r="EP476" s="25"/>
      <c r="EQ476" s="25"/>
      <c r="ER476" s="25"/>
      <c r="ES476" s="25"/>
      <c r="ET476" s="25"/>
      <c r="EU476" s="25"/>
      <c r="EV476" s="25" t="str">
        <f>_xlfn.CONCAT($A477," ",$B477," ",$D477)</f>
        <v>2025 Lucid USA, Inc Air Sapphire AWD</v>
      </c>
      <c r="EW476" s="25"/>
      <c r="EX476" s="25"/>
      <c r="EY476" s="25"/>
      <c r="EZ476" s="25"/>
      <c r="FA476" s="25"/>
      <c r="FB476" s="25"/>
      <c r="FC476" s="25"/>
      <c r="FD476" s="25"/>
      <c r="FE476" s="25"/>
      <c r="FF476" s="25"/>
      <c r="FG476" s="25"/>
    </row>
    <row r="477" spans="1:165" x14ac:dyDescent="0.35">
      <c r="A477">
        <v>2025</v>
      </c>
      <c r="B477" t="s">
        <v>2055</v>
      </c>
      <c r="C477" t="s">
        <v>2056</v>
      </c>
      <c r="D477" t="s">
        <v>2067</v>
      </c>
      <c r="E477" t="s">
        <v>2058</v>
      </c>
      <c r="F477">
        <v>19</v>
      </c>
      <c r="G477">
        <v>0</v>
      </c>
      <c r="I477" t="s">
        <v>1734</v>
      </c>
      <c r="J477">
        <v>108</v>
      </c>
      <c r="K477">
        <v>101</v>
      </c>
      <c r="L477">
        <v>105</v>
      </c>
      <c r="M477">
        <v>149.19999999999999</v>
      </c>
      <c r="N477">
        <v>140.1</v>
      </c>
      <c r="O477">
        <v>144.96289999999999</v>
      </c>
      <c r="P477">
        <v>107.9611</v>
      </c>
      <c r="Q477">
        <v>101.3764</v>
      </c>
      <c r="R477">
        <v>104.8952</v>
      </c>
      <c r="V477" t="s">
        <v>167</v>
      </c>
      <c r="W477" t="s">
        <v>168</v>
      </c>
      <c r="Y477">
        <v>1</v>
      </c>
      <c r="Z477" t="s">
        <v>170</v>
      </c>
      <c r="AA477" t="s">
        <v>170</v>
      </c>
      <c r="AB477" t="s">
        <v>167</v>
      </c>
      <c r="AC477" t="s">
        <v>213</v>
      </c>
      <c r="AF477">
        <v>427</v>
      </c>
      <c r="AG477" t="s">
        <v>1735</v>
      </c>
      <c r="AH477" t="s">
        <v>1736</v>
      </c>
      <c r="AI477" t="s">
        <v>175</v>
      </c>
      <c r="AJ477" t="s">
        <v>176</v>
      </c>
      <c r="AK477">
        <v>4</v>
      </c>
      <c r="AL477" t="s">
        <v>1737</v>
      </c>
      <c r="AO477">
        <v>99</v>
      </c>
      <c r="AP477">
        <v>32</v>
      </c>
      <c r="AS477">
        <v>750</v>
      </c>
      <c r="AT477">
        <v>750</v>
      </c>
      <c r="BQ477">
        <v>6</v>
      </c>
      <c r="BR477" t="s">
        <v>825</v>
      </c>
      <c r="BS477" t="s">
        <v>180</v>
      </c>
      <c r="BT477" t="s">
        <v>1769</v>
      </c>
      <c r="BU477" s="1">
        <v>45490</v>
      </c>
      <c r="BV477">
        <v>35220</v>
      </c>
      <c r="BX477" t="s">
        <v>169</v>
      </c>
      <c r="BY477" t="s">
        <v>170</v>
      </c>
      <c r="CB477" t="s">
        <v>170</v>
      </c>
      <c r="CC477" t="s">
        <v>170</v>
      </c>
      <c r="CK477" t="s">
        <v>233</v>
      </c>
      <c r="CM477">
        <v>1</v>
      </c>
      <c r="CN477" t="s">
        <v>234</v>
      </c>
      <c r="CP477">
        <v>800</v>
      </c>
      <c r="CQ477">
        <v>146</v>
      </c>
      <c r="CR477">
        <v>171</v>
      </c>
      <c r="CS477" t="s">
        <v>1752</v>
      </c>
      <c r="CV477" t="s">
        <v>341</v>
      </c>
      <c r="CX477" t="s">
        <v>342</v>
      </c>
      <c r="CY477" t="s">
        <v>169</v>
      </c>
      <c r="DD477">
        <v>3</v>
      </c>
      <c r="DE477" t="s">
        <v>404</v>
      </c>
      <c r="DF477" t="s">
        <v>2059</v>
      </c>
      <c r="DG477" t="s">
        <v>2068</v>
      </c>
      <c r="DL477" t="s">
        <v>170</v>
      </c>
      <c r="DM477" t="s">
        <v>169</v>
      </c>
      <c r="DP477" t="s">
        <v>170</v>
      </c>
      <c r="DQ477" t="s">
        <v>187</v>
      </c>
      <c r="EB477">
        <v>10</v>
      </c>
      <c r="EC477">
        <v>10</v>
      </c>
      <c r="EE477" t="s">
        <v>2069</v>
      </c>
      <c r="EF477">
        <v>10</v>
      </c>
      <c r="EU477">
        <v>5750</v>
      </c>
      <c r="EW477">
        <v>0</v>
      </c>
      <c r="EX477">
        <v>0</v>
      </c>
      <c r="EY477">
        <v>0</v>
      </c>
      <c r="FA477">
        <v>13</v>
      </c>
      <c r="FG477">
        <v>439</v>
      </c>
      <c r="FH477">
        <v>412</v>
      </c>
      <c r="FI477">
        <v>427</v>
      </c>
    </row>
    <row r="478" spans="1:165" x14ac:dyDescent="0.35">
      <c r="A478">
        <v>2025</v>
      </c>
      <c r="B478" t="s">
        <v>2055</v>
      </c>
      <c r="C478" t="s">
        <v>2056</v>
      </c>
      <c r="D478" t="s">
        <v>2067</v>
      </c>
      <c r="E478" t="s">
        <v>2058</v>
      </c>
      <c r="F478">
        <v>19</v>
      </c>
      <c r="G478">
        <v>0</v>
      </c>
      <c r="I478" t="s">
        <v>1734</v>
      </c>
      <c r="J478">
        <v>31</v>
      </c>
      <c r="K478">
        <v>33</v>
      </c>
      <c r="L478">
        <v>32</v>
      </c>
      <c r="M478">
        <v>22.594999999999999</v>
      </c>
      <c r="N478">
        <v>24.062999999999999</v>
      </c>
      <c r="O478">
        <v>23.255600000000001</v>
      </c>
      <c r="P478">
        <v>31.2196</v>
      </c>
      <c r="Q478">
        <v>33.247399999999999</v>
      </c>
      <c r="R478">
        <v>32.132100000000001</v>
      </c>
      <c r="V478" t="s">
        <v>167</v>
      </c>
      <c r="W478" t="s">
        <v>168</v>
      </c>
      <c r="Y478">
        <v>1</v>
      </c>
      <c r="Z478" t="s">
        <v>170</v>
      </c>
      <c r="AA478" t="s">
        <v>170</v>
      </c>
      <c r="AB478" t="s">
        <v>167</v>
      </c>
      <c r="AC478" t="s">
        <v>213</v>
      </c>
      <c r="AF478">
        <v>427</v>
      </c>
      <c r="AG478" t="s">
        <v>1735</v>
      </c>
      <c r="AH478" t="s">
        <v>1736</v>
      </c>
      <c r="AI478" t="s">
        <v>1742</v>
      </c>
      <c r="AJ478" t="s">
        <v>1743</v>
      </c>
      <c r="AK478">
        <v>4</v>
      </c>
      <c r="AL478" t="s">
        <v>1737</v>
      </c>
      <c r="AO478">
        <v>99</v>
      </c>
      <c r="AP478">
        <v>32</v>
      </c>
      <c r="AS478">
        <v>750</v>
      </c>
      <c r="AT478">
        <v>750</v>
      </c>
      <c r="BQ478">
        <v>6</v>
      </c>
      <c r="BR478" t="s">
        <v>825</v>
      </c>
      <c r="BS478" t="s">
        <v>180</v>
      </c>
      <c r="BT478" t="s">
        <v>1769</v>
      </c>
      <c r="BU478" s="1">
        <v>45490</v>
      </c>
      <c r="BV478">
        <v>35220</v>
      </c>
      <c r="BX478" t="s">
        <v>169</v>
      </c>
      <c r="BY478" t="s">
        <v>170</v>
      </c>
      <c r="CB478" t="s">
        <v>170</v>
      </c>
      <c r="CC478" t="s">
        <v>170</v>
      </c>
      <c r="CK478" t="s">
        <v>233</v>
      </c>
      <c r="CM478">
        <v>1</v>
      </c>
      <c r="CN478" t="s">
        <v>234</v>
      </c>
      <c r="CP478">
        <v>800</v>
      </c>
      <c r="CQ478">
        <v>146</v>
      </c>
      <c r="CR478">
        <v>171</v>
      </c>
      <c r="CS478" t="s">
        <v>1752</v>
      </c>
      <c r="CV478" t="s">
        <v>341</v>
      </c>
      <c r="CX478" t="s">
        <v>342</v>
      </c>
      <c r="CY478" t="s">
        <v>169</v>
      </c>
      <c r="DD478">
        <v>3</v>
      </c>
      <c r="DE478" t="s">
        <v>404</v>
      </c>
      <c r="DF478" t="s">
        <v>2059</v>
      </c>
      <c r="DG478" t="s">
        <v>2068</v>
      </c>
      <c r="DL478" t="s">
        <v>170</v>
      </c>
      <c r="DM478" t="s">
        <v>169</v>
      </c>
      <c r="DP478" t="s">
        <v>170</v>
      </c>
      <c r="DQ478" t="s">
        <v>187</v>
      </c>
      <c r="EB478">
        <v>10</v>
      </c>
      <c r="EC478">
        <v>10</v>
      </c>
      <c r="EE478" t="s">
        <v>2069</v>
      </c>
      <c r="EF478">
        <v>10</v>
      </c>
      <c r="EU478">
        <v>5750</v>
      </c>
      <c r="EW478">
        <v>0</v>
      </c>
      <c r="EX478">
        <v>0</v>
      </c>
      <c r="EY478">
        <v>0</v>
      </c>
      <c r="FA478">
        <v>13</v>
      </c>
      <c r="FG478">
        <v>439</v>
      </c>
      <c r="FH478">
        <v>412</v>
      </c>
      <c r="FI478">
        <v>427</v>
      </c>
    </row>
    <row r="479" spans="1:165" x14ac:dyDescent="0.35">
      <c r="A479" s="25"/>
      <c r="B479" s="25"/>
      <c r="C479" s="25"/>
      <c r="D479" s="25"/>
      <c r="E479" s="25"/>
      <c r="F479" s="25" t="str">
        <f>_xlfn.CONCAT($A480," ",$B480," ",$D480)</f>
        <v>2025 Lucid USA, Inc Air G Touring XR AWD w/19" wheels</v>
      </c>
      <c r="G479" s="25"/>
      <c r="H479" s="25"/>
      <c r="I479" s="25"/>
      <c r="J479" s="25"/>
      <c r="K479" s="25"/>
      <c r="L479" s="25"/>
      <c r="M479" s="25"/>
      <c r="N479" s="25"/>
      <c r="O479" s="25"/>
      <c r="P479" s="25"/>
      <c r="Q479" s="25"/>
      <c r="R479" s="25"/>
      <c r="S479" s="25"/>
      <c r="T479" s="25"/>
      <c r="U479" s="25"/>
      <c r="V479" s="25"/>
      <c r="W479" s="25"/>
      <c r="X479" s="25"/>
      <c r="Y479" s="25"/>
      <c r="Z479" s="25"/>
      <c r="AA479" s="25"/>
      <c r="AB479" s="25"/>
      <c r="AC479" s="25"/>
      <c r="AD479" s="25" t="str">
        <f>_xlfn.CONCAT($A480," ",$B480," ",$D480)</f>
        <v>2025 Lucid USA, Inc Air G Touring XR AWD w/19" wheels</v>
      </c>
      <c r="AE479" s="25"/>
      <c r="AF479" s="25"/>
      <c r="AG479" s="25"/>
      <c r="AH479" s="25"/>
      <c r="AI479" s="25"/>
      <c r="AJ479" s="25"/>
      <c r="AK479" s="25"/>
      <c r="AL479" s="25"/>
      <c r="AM479" s="25"/>
      <c r="AN479" s="25"/>
      <c r="AO479" s="25"/>
      <c r="AP479" s="25"/>
      <c r="AQ479" s="25"/>
      <c r="AR479" s="25"/>
      <c r="AS479" s="25"/>
      <c r="AT479" s="25"/>
      <c r="AU479" s="25"/>
      <c r="AV479" s="25"/>
      <c r="AW479" s="25"/>
      <c r="AX479" s="25" t="str">
        <f>_xlfn.CONCAT($A480," ",$B480," ",$D480)</f>
        <v>2025 Lucid USA, Inc Air G Touring XR AWD w/19" wheels</v>
      </c>
      <c r="AY479" s="25"/>
      <c r="AZ479" s="25"/>
      <c r="BA479" s="25"/>
      <c r="BB479" s="25"/>
      <c r="BC479" s="25"/>
      <c r="BD479" s="25"/>
      <c r="BE479" s="25"/>
      <c r="BF479" s="25"/>
      <c r="BG479" s="25"/>
      <c r="BH479" s="25"/>
      <c r="BI479" s="25"/>
      <c r="BJ479" s="25"/>
      <c r="BK479" s="25"/>
      <c r="BL479" s="25"/>
      <c r="BM479" s="25"/>
      <c r="BN479" s="25"/>
      <c r="BO479" s="25"/>
      <c r="BP479" s="25"/>
      <c r="BQ479" s="25"/>
      <c r="BR479" s="25" t="str">
        <f>_xlfn.CONCAT($A480," ",$B480," ",$D480)</f>
        <v>2025 Lucid USA, Inc Air G Touring XR AWD w/19" wheels</v>
      </c>
      <c r="BS479" s="25"/>
      <c r="BT479" s="25"/>
      <c r="BU479" s="25"/>
      <c r="BV479" s="25"/>
      <c r="BX479" s="25"/>
      <c r="BY479" s="25"/>
      <c r="BZ479" s="25"/>
      <c r="CA479" s="25"/>
      <c r="CB479" s="25"/>
      <c r="CC479" s="25"/>
      <c r="CD479" s="25"/>
      <c r="CE479" s="25"/>
      <c r="CF479" s="25"/>
      <c r="CG479" s="25"/>
      <c r="CH479" s="25"/>
      <c r="CI479" s="25"/>
      <c r="CJ479" s="25"/>
      <c r="CK479" s="25"/>
      <c r="CL479" s="25"/>
      <c r="CM479" s="25"/>
      <c r="CN479" s="25"/>
      <c r="CO479" s="25"/>
      <c r="CP479" s="25" t="str">
        <f>_xlfn.CONCAT($A480," ",$B480," ",$D480)</f>
        <v>2025 Lucid USA, Inc Air G Touring XR AWD w/19" wheels</v>
      </c>
      <c r="CQ479" s="25"/>
      <c r="CR479" s="25"/>
      <c r="CS479" s="25"/>
      <c r="CT479" s="25"/>
      <c r="CU479" s="25"/>
      <c r="CV479" s="25"/>
      <c r="CW479" s="25"/>
      <c r="CX479" s="25"/>
      <c r="CY479" s="25"/>
      <c r="CZ479" s="25"/>
      <c r="DA479" s="25"/>
      <c r="DB479" s="25"/>
      <c r="DC479" s="25"/>
      <c r="DD479" s="25"/>
      <c r="DE479" s="25"/>
      <c r="DF479" s="25"/>
      <c r="DG479" s="25"/>
      <c r="DH479" s="25"/>
      <c r="DI479" s="25" t="str">
        <f>_xlfn.CONCAT($A480," ",$B480," ",$D480)</f>
        <v>2025 Lucid USA, Inc Air G Touring XR AWD w/19" wheels</v>
      </c>
      <c r="DJ479" s="25"/>
      <c r="DK479" s="25"/>
      <c r="DL479" s="25"/>
      <c r="DM479" s="25"/>
      <c r="DN479" s="25"/>
      <c r="DO479" s="25"/>
      <c r="DP479" s="25"/>
      <c r="DQ479" s="25"/>
      <c r="DR479" s="25"/>
      <c r="DS479" s="25"/>
      <c r="DT479" s="25"/>
      <c r="DU479" s="25"/>
      <c r="DV479" s="25"/>
      <c r="DW479" s="25"/>
      <c r="DX479" s="25"/>
      <c r="DY479" s="25"/>
      <c r="DZ479" s="25" t="str">
        <f>_xlfn.CONCAT($A480," ",$B480," ",$D480)</f>
        <v>2025 Lucid USA, Inc Air G Touring XR AWD w/19" wheels</v>
      </c>
      <c r="EB479" s="25"/>
      <c r="EC479" s="25"/>
      <c r="ED479" s="25"/>
      <c r="EE479" s="25"/>
      <c r="EF479" s="25"/>
      <c r="EG479" s="25"/>
      <c r="EH479" s="25"/>
      <c r="EI479" s="25"/>
      <c r="EJ479" s="25"/>
      <c r="EK479" s="25"/>
      <c r="EL479" s="25"/>
      <c r="EM479" s="25"/>
      <c r="EN479" s="25"/>
      <c r="EO479" s="25"/>
      <c r="EP479" s="25"/>
      <c r="EQ479" s="25"/>
      <c r="ER479" s="25"/>
      <c r="ES479" s="25"/>
      <c r="ET479" s="25"/>
      <c r="EU479" s="25"/>
      <c r="EV479" s="25" t="str">
        <f>_xlfn.CONCAT($A480," ",$B480," ",$D480)</f>
        <v>2025 Lucid USA, Inc Air G Touring XR AWD w/19" wheels</v>
      </c>
      <c r="EW479" s="25"/>
      <c r="EX479" s="25"/>
      <c r="EY479" s="25"/>
      <c r="EZ479" s="25"/>
      <c r="FA479" s="25"/>
      <c r="FB479" s="25"/>
      <c r="FC479" s="25"/>
      <c r="FD479" s="25"/>
      <c r="FE479" s="25"/>
      <c r="FF479" s="25"/>
      <c r="FG479" s="25"/>
    </row>
    <row r="480" spans="1:165" x14ac:dyDescent="0.35">
      <c r="A480">
        <v>2025</v>
      </c>
      <c r="B480" t="s">
        <v>2055</v>
      </c>
      <c r="C480" t="s">
        <v>2073</v>
      </c>
      <c r="D480" t="s">
        <v>2057</v>
      </c>
      <c r="E480" t="s">
        <v>2058</v>
      </c>
      <c r="F480">
        <v>10</v>
      </c>
      <c r="G480">
        <v>0</v>
      </c>
      <c r="I480" t="s">
        <v>1734</v>
      </c>
      <c r="J480">
        <v>129</v>
      </c>
      <c r="K480">
        <v>126</v>
      </c>
      <c r="L480">
        <v>128</v>
      </c>
      <c r="M480">
        <v>176.3</v>
      </c>
      <c r="N480">
        <v>173</v>
      </c>
      <c r="O480">
        <v>174.7996</v>
      </c>
      <c r="P480">
        <v>128.6285</v>
      </c>
      <c r="Q480">
        <v>126.2208</v>
      </c>
      <c r="R480">
        <v>127.5338</v>
      </c>
      <c r="V480" t="s">
        <v>167</v>
      </c>
      <c r="W480" t="s">
        <v>168</v>
      </c>
      <c r="Y480">
        <v>1</v>
      </c>
      <c r="Z480" t="s">
        <v>170</v>
      </c>
      <c r="AA480" t="s">
        <v>170</v>
      </c>
      <c r="AB480" t="s">
        <v>167</v>
      </c>
      <c r="AC480" t="s">
        <v>213</v>
      </c>
      <c r="AF480">
        <v>512</v>
      </c>
      <c r="AG480" t="s">
        <v>1735</v>
      </c>
      <c r="AH480" t="s">
        <v>1736</v>
      </c>
      <c r="AI480" t="s">
        <v>175</v>
      </c>
      <c r="AJ480" t="s">
        <v>176</v>
      </c>
      <c r="AK480">
        <v>4</v>
      </c>
      <c r="AL480" t="s">
        <v>1737</v>
      </c>
      <c r="AO480">
        <v>99</v>
      </c>
      <c r="AP480">
        <v>32</v>
      </c>
      <c r="AS480">
        <v>600</v>
      </c>
      <c r="AT480">
        <v>0</v>
      </c>
      <c r="BQ480">
        <v>6</v>
      </c>
      <c r="BR480" t="s">
        <v>825</v>
      </c>
      <c r="BS480" t="s">
        <v>180</v>
      </c>
      <c r="BT480" t="s">
        <v>1769</v>
      </c>
      <c r="BU480" s="1">
        <v>45491</v>
      </c>
      <c r="BV480">
        <v>35235</v>
      </c>
      <c r="BX480" t="s">
        <v>169</v>
      </c>
      <c r="BY480" t="s">
        <v>170</v>
      </c>
      <c r="CB480" t="s">
        <v>170</v>
      </c>
      <c r="CC480" t="s">
        <v>170</v>
      </c>
      <c r="CK480" t="s">
        <v>233</v>
      </c>
      <c r="CM480">
        <v>1</v>
      </c>
      <c r="CN480" t="s">
        <v>234</v>
      </c>
      <c r="CP480">
        <v>800</v>
      </c>
      <c r="CQ480">
        <v>146</v>
      </c>
      <c r="CR480">
        <v>150</v>
      </c>
      <c r="CS480" t="s">
        <v>1752</v>
      </c>
      <c r="CV480" t="s">
        <v>341</v>
      </c>
      <c r="CX480" t="s">
        <v>342</v>
      </c>
      <c r="CY480" t="s">
        <v>169</v>
      </c>
      <c r="DD480">
        <v>2</v>
      </c>
      <c r="DE480" t="s">
        <v>404</v>
      </c>
      <c r="DF480" t="s">
        <v>2059</v>
      </c>
      <c r="DG480" t="s">
        <v>2060</v>
      </c>
      <c r="DL480" t="s">
        <v>170</v>
      </c>
      <c r="DM480" t="s">
        <v>169</v>
      </c>
      <c r="DP480" t="s">
        <v>170</v>
      </c>
      <c r="DQ480" t="s">
        <v>187</v>
      </c>
      <c r="EB480">
        <v>10</v>
      </c>
      <c r="EC480">
        <v>10</v>
      </c>
      <c r="EE480" t="s">
        <v>2061</v>
      </c>
      <c r="EF480">
        <v>10</v>
      </c>
      <c r="EU480">
        <v>6500</v>
      </c>
      <c r="EW480">
        <v>0</v>
      </c>
      <c r="EX480">
        <v>0</v>
      </c>
      <c r="EY480">
        <v>0</v>
      </c>
      <c r="FA480">
        <v>13</v>
      </c>
      <c r="FG480">
        <v>516</v>
      </c>
      <c r="FH480">
        <v>507</v>
      </c>
      <c r="FI480">
        <v>512</v>
      </c>
    </row>
    <row r="481" spans="1:165" x14ac:dyDescent="0.35">
      <c r="A481">
        <v>2025</v>
      </c>
      <c r="B481" t="s">
        <v>2055</v>
      </c>
      <c r="C481" t="s">
        <v>2073</v>
      </c>
      <c r="D481" t="s">
        <v>2057</v>
      </c>
      <c r="E481" t="s">
        <v>2058</v>
      </c>
      <c r="F481">
        <v>10</v>
      </c>
      <c r="G481">
        <v>0</v>
      </c>
      <c r="I481" t="s">
        <v>1734</v>
      </c>
      <c r="J481">
        <v>26</v>
      </c>
      <c r="K481">
        <v>27</v>
      </c>
      <c r="L481">
        <v>26</v>
      </c>
      <c r="M481">
        <v>19.12</v>
      </c>
      <c r="N481">
        <v>19.484000000000002</v>
      </c>
      <c r="O481">
        <v>19.283799999999999</v>
      </c>
      <c r="P481">
        <v>26.203399999999998</v>
      </c>
      <c r="Q481">
        <v>26.703199999999999</v>
      </c>
      <c r="R481">
        <v>26.4283</v>
      </c>
      <c r="V481" t="s">
        <v>167</v>
      </c>
      <c r="W481" t="s">
        <v>168</v>
      </c>
      <c r="Y481">
        <v>1</v>
      </c>
      <c r="Z481" t="s">
        <v>170</v>
      </c>
      <c r="AA481" t="s">
        <v>170</v>
      </c>
      <c r="AB481" t="s">
        <v>167</v>
      </c>
      <c r="AC481" t="s">
        <v>213</v>
      </c>
      <c r="AF481">
        <v>512</v>
      </c>
      <c r="AG481" t="s">
        <v>1735</v>
      </c>
      <c r="AH481" t="s">
        <v>1736</v>
      </c>
      <c r="AI481" t="s">
        <v>1742</v>
      </c>
      <c r="AJ481" t="s">
        <v>1743</v>
      </c>
      <c r="AK481">
        <v>4</v>
      </c>
      <c r="AL481" t="s">
        <v>1737</v>
      </c>
      <c r="AO481">
        <v>99</v>
      </c>
      <c r="AP481">
        <v>32</v>
      </c>
      <c r="AS481">
        <v>600</v>
      </c>
      <c r="AT481">
        <v>600</v>
      </c>
      <c r="BQ481">
        <v>6</v>
      </c>
      <c r="BR481" t="s">
        <v>825</v>
      </c>
      <c r="BS481" t="s">
        <v>180</v>
      </c>
      <c r="BT481" t="s">
        <v>1769</v>
      </c>
      <c r="BU481" s="1">
        <v>45491</v>
      </c>
      <c r="BV481">
        <v>35235</v>
      </c>
      <c r="BX481" t="s">
        <v>169</v>
      </c>
      <c r="BY481" t="s">
        <v>170</v>
      </c>
      <c r="CB481" t="s">
        <v>170</v>
      </c>
      <c r="CC481" t="s">
        <v>170</v>
      </c>
      <c r="CK481" t="s">
        <v>233</v>
      </c>
      <c r="CM481">
        <v>1</v>
      </c>
      <c r="CN481" t="s">
        <v>234</v>
      </c>
      <c r="CP481">
        <v>800</v>
      </c>
      <c r="CQ481">
        <v>146</v>
      </c>
      <c r="CR481">
        <v>150</v>
      </c>
      <c r="CS481" t="s">
        <v>1752</v>
      </c>
      <c r="CV481" t="s">
        <v>341</v>
      </c>
      <c r="CX481" t="s">
        <v>342</v>
      </c>
      <c r="CY481" t="s">
        <v>169</v>
      </c>
      <c r="DD481">
        <v>2</v>
      </c>
      <c r="DE481" t="s">
        <v>404</v>
      </c>
      <c r="DF481" t="s">
        <v>2059</v>
      </c>
      <c r="DG481" t="s">
        <v>2060</v>
      </c>
      <c r="DL481" t="s">
        <v>170</v>
      </c>
      <c r="DM481" t="s">
        <v>169</v>
      </c>
      <c r="DP481" t="s">
        <v>170</v>
      </c>
      <c r="DQ481" t="s">
        <v>187</v>
      </c>
      <c r="EB481">
        <v>10</v>
      </c>
      <c r="EC481">
        <v>10</v>
      </c>
      <c r="EE481" t="s">
        <v>2061</v>
      </c>
      <c r="EF481">
        <v>10</v>
      </c>
      <c r="EU481">
        <v>6500</v>
      </c>
      <c r="EW481">
        <v>0</v>
      </c>
      <c r="EX481">
        <v>0</v>
      </c>
      <c r="EY481">
        <v>0</v>
      </c>
      <c r="FA481">
        <v>13</v>
      </c>
      <c r="FG481">
        <v>516</v>
      </c>
      <c r="FH481">
        <v>507</v>
      </c>
      <c r="FI481">
        <v>512</v>
      </c>
    </row>
    <row r="482" spans="1:165" x14ac:dyDescent="0.35">
      <c r="A482" s="25"/>
      <c r="B482" s="25"/>
      <c r="C482" s="25"/>
      <c r="D482" s="25"/>
      <c r="E482" s="25"/>
      <c r="F482" s="25" t="str">
        <f>_xlfn.CONCAT($A483," ",$B483," ",$D483)</f>
        <v>2025 Lucid USA, Inc Air G Touring XR AWD w/20" wheels</v>
      </c>
      <c r="G482" s="25"/>
      <c r="H482" s="25"/>
      <c r="I482" s="25"/>
      <c r="J482" s="25"/>
      <c r="K482" s="25"/>
      <c r="L482" s="25"/>
      <c r="M482" s="25"/>
      <c r="N482" s="25"/>
      <c r="O482" s="25"/>
      <c r="P482" s="25"/>
      <c r="Q482" s="25"/>
      <c r="R482" s="25"/>
      <c r="S482" s="25"/>
      <c r="T482" s="25"/>
      <c r="U482" s="25"/>
      <c r="V482" s="25"/>
      <c r="W482" s="25"/>
      <c r="X482" s="25"/>
      <c r="Y482" s="25"/>
      <c r="Z482" s="25"/>
      <c r="AA482" s="25"/>
      <c r="AB482" s="25"/>
      <c r="AC482" s="25"/>
      <c r="AD482" s="25" t="str">
        <f>_xlfn.CONCAT($A483," ",$B483," ",$D483)</f>
        <v>2025 Lucid USA, Inc Air G Touring XR AWD w/20" wheels</v>
      </c>
      <c r="AE482" s="25"/>
      <c r="AF482" s="25"/>
      <c r="AG482" s="25"/>
      <c r="AH482" s="25"/>
      <c r="AI482" s="25"/>
      <c r="AJ482" s="25"/>
      <c r="AK482" s="25"/>
      <c r="AL482" s="25"/>
      <c r="AM482" s="25"/>
      <c r="AN482" s="25"/>
      <c r="AO482" s="25"/>
      <c r="AP482" s="25"/>
      <c r="AQ482" s="25"/>
      <c r="AR482" s="25"/>
      <c r="AS482" s="25"/>
      <c r="AT482" s="25"/>
      <c r="AU482" s="25"/>
      <c r="AV482" s="25"/>
      <c r="AW482" s="25"/>
      <c r="AX482" s="25" t="str">
        <f>_xlfn.CONCAT($A483," ",$B483," ",$D483)</f>
        <v>2025 Lucid USA, Inc Air G Touring XR AWD w/20" wheels</v>
      </c>
      <c r="AY482" s="25"/>
      <c r="AZ482" s="25"/>
      <c r="BA482" s="25"/>
      <c r="BB482" s="25"/>
      <c r="BC482" s="25"/>
      <c r="BD482" s="25"/>
      <c r="BE482" s="25"/>
      <c r="BF482" s="25"/>
      <c r="BG482" s="25"/>
      <c r="BH482" s="25"/>
      <c r="BI482" s="25"/>
      <c r="BJ482" s="25"/>
      <c r="BK482" s="25"/>
      <c r="BL482" s="25"/>
      <c r="BM482" s="25"/>
      <c r="BN482" s="25"/>
      <c r="BO482" s="25"/>
      <c r="BP482" s="25"/>
      <c r="BQ482" s="25"/>
      <c r="BR482" s="25" t="str">
        <f>_xlfn.CONCAT($A483," ",$B483," ",$D483)</f>
        <v>2025 Lucid USA, Inc Air G Touring XR AWD w/20" wheels</v>
      </c>
      <c r="BS482" s="25"/>
      <c r="BT482" s="25"/>
      <c r="BU482" s="25"/>
      <c r="BV482" s="25"/>
      <c r="BX482" s="25"/>
      <c r="BY482" s="25"/>
      <c r="BZ482" s="25"/>
      <c r="CA482" s="25"/>
      <c r="CB482" s="25"/>
      <c r="CC482" s="25"/>
      <c r="CD482" s="25"/>
      <c r="CE482" s="25"/>
      <c r="CF482" s="25"/>
      <c r="CG482" s="25"/>
      <c r="CH482" s="25"/>
      <c r="CI482" s="25"/>
      <c r="CJ482" s="25"/>
      <c r="CK482" s="25"/>
      <c r="CL482" s="25"/>
      <c r="CM482" s="25"/>
      <c r="CN482" s="25"/>
      <c r="CO482" s="25"/>
      <c r="CP482" s="25" t="str">
        <f>_xlfn.CONCAT($A483," ",$B483," ",$D483)</f>
        <v>2025 Lucid USA, Inc Air G Touring XR AWD w/20" wheels</v>
      </c>
      <c r="CQ482" s="25"/>
      <c r="CR482" s="25"/>
      <c r="CS482" s="25"/>
      <c r="CT482" s="25"/>
      <c r="CU482" s="25"/>
      <c r="CV482" s="25"/>
      <c r="CW482" s="25"/>
      <c r="CX482" s="25"/>
      <c r="CY482" s="25"/>
      <c r="CZ482" s="25"/>
      <c r="DA482" s="25"/>
      <c r="DB482" s="25"/>
      <c r="DC482" s="25"/>
      <c r="DD482" s="25"/>
      <c r="DE482" s="25"/>
      <c r="DF482" s="25"/>
      <c r="DG482" s="25"/>
      <c r="DH482" s="25"/>
      <c r="DI482" s="25" t="str">
        <f>_xlfn.CONCAT($A483," ",$B483," ",$D483)</f>
        <v>2025 Lucid USA, Inc Air G Touring XR AWD w/20" wheels</v>
      </c>
      <c r="DJ482" s="25"/>
      <c r="DK482" s="25"/>
      <c r="DL482" s="25"/>
      <c r="DM482" s="25"/>
      <c r="DN482" s="25"/>
      <c r="DO482" s="25"/>
      <c r="DP482" s="25"/>
      <c r="DQ482" s="25"/>
      <c r="DR482" s="25"/>
      <c r="DS482" s="25"/>
      <c r="DT482" s="25"/>
      <c r="DU482" s="25"/>
      <c r="DV482" s="25"/>
      <c r="DW482" s="25"/>
      <c r="DX482" s="25"/>
      <c r="DY482" s="25"/>
      <c r="DZ482" s="25" t="str">
        <f>_xlfn.CONCAT($A483," ",$B483," ",$D483)</f>
        <v>2025 Lucid USA, Inc Air G Touring XR AWD w/20" wheels</v>
      </c>
      <c r="EB482" s="25"/>
      <c r="EC482" s="25"/>
      <c r="ED482" s="25"/>
      <c r="EE482" s="25"/>
      <c r="EF482" s="25"/>
      <c r="EG482" s="25"/>
      <c r="EH482" s="25"/>
      <c r="EI482" s="25"/>
      <c r="EJ482" s="25"/>
      <c r="EK482" s="25"/>
      <c r="EL482" s="25"/>
      <c r="EM482" s="25"/>
      <c r="EN482" s="25"/>
      <c r="EO482" s="25"/>
      <c r="EP482" s="25"/>
      <c r="EQ482" s="25"/>
      <c r="ER482" s="25"/>
      <c r="ES482" s="25"/>
      <c r="ET482" s="25"/>
      <c r="EU482" s="25"/>
      <c r="EV482" s="25" t="str">
        <f>_xlfn.CONCAT($A483," ",$B483," ",$D483)</f>
        <v>2025 Lucid USA, Inc Air G Touring XR AWD w/20" wheels</v>
      </c>
      <c r="EW482" s="25"/>
      <c r="EX482" s="25"/>
      <c r="EY482" s="25"/>
      <c r="EZ482" s="25"/>
      <c r="FA482" s="25"/>
      <c r="FB482" s="25"/>
      <c r="FC482" s="25"/>
      <c r="FD482" s="25"/>
      <c r="FE482" s="25"/>
      <c r="FF482" s="25"/>
      <c r="FG482" s="25"/>
    </row>
    <row r="483" spans="1:165" x14ac:dyDescent="0.35">
      <c r="A483">
        <v>2025</v>
      </c>
      <c r="B483" t="s">
        <v>2055</v>
      </c>
      <c r="C483" t="s">
        <v>2073</v>
      </c>
      <c r="D483" t="s">
        <v>2062</v>
      </c>
      <c r="E483" t="s">
        <v>2058</v>
      </c>
      <c r="F483">
        <v>11</v>
      </c>
      <c r="G483">
        <v>0</v>
      </c>
      <c r="I483" t="s">
        <v>1734</v>
      </c>
      <c r="J483">
        <v>122</v>
      </c>
      <c r="K483">
        <v>117</v>
      </c>
      <c r="L483">
        <v>120</v>
      </c>
      <c r="M483">
        <v>166.8</v>
      </c>
      <c r="N483">
        <v>160.80000000000001</v>
      </c>
      <c r="O483">
        <v>160.0455</v>
      </c>
      <c r="P483">
        <v>121.6973</v>
      </c>
      <c r="Q483">
        <v>117.3197</v>
      </c>
      <c r="R483">
        <v>119.6876</v>
      </c>
      <c r="V483" t="s">
        <v>167</v>
      </c>
      <c r="W483" t="s">
        <v>168</v>
      </c>
      <c r="Y483">
        <v>1</v>
      </c>
      <c r="Z483" t="s">
        <v>170</v>
      </c>
      <c r="AA483" t="s">
        <v>170</v>
      </c>
      <c r="AB483" t="s">
        <v>167</v>
      </c>
      <c r="AC483" t="s">
        <v>213</v>
      </c>
      <c r="AF483">
        <v>480</v>
      </c>
      <c r="AG483" t="s">
        <v>1735</v>
      </c>
      <c r="AH483" t="s">
        <v>1736</v>
      </c>
      <c r="AI483" t="s">
        <v>175</v>
      </c>
      <c r="AJ483" t="s">
        <v>176</v>
      </c>
      <c r="AK483">
        <v>4</v>
      </c>
      <c r="AL483" t="s">
        <v>1737</v>
      </c>
      <c r="AO483">
        <v>99</v>
      </c>
      <c r="AP483">
        <v>32</v>
      </c>
      <c r="AS483">
        <v>650</v>
      </c>
      <c r="AT483">
        <v>0</v>
      </c>
      <c r="BQ483">
        <v>6</v>
      </c>
      <c r="BR483" t="s">
        <v>825</v>
      </c>
      <c r="BS483" t="s">
        <v>180</v>
      </c>
      <c r="BT483" t="s">
        <v>1769</v>
      </c>
      <c r="BU483" s="1">
        <v>45491</v>
      </c>
      <c r="BV483">
        <v>35236</v>
      </c>
      <c r="BX483" t="s">
        <v>169</v>
      </c>
      <c r="BY483" t="s">
        <v>170</v>
      </c>
      <c r="CB483" t="s">
        <v>170</v>
      </c>
      <c r="CC483" t="s">
        <v>170</v>
      </c>
      <c r="CK483" t="s">
        <v>233</v>
      </c>
      <c r="CM483">
        <v>1</v>
      </c>
      <c r="CN483" t="s">
        <v>234</v>
      </c>
      <c r="CP483">
        <v>800</v>
      </c>
      <c r="CQ483">
        <v>146</v>
      </c>
      <c r="CR483">
        <v>150</v>
      </c>
      <c r="CS483" t="s">
        <v>1752</v>
      </c>
      <c r="CV483" t="s">
        <v>341</v>
      </c>
      <c r="CX483" t="s">
        <v>342</v>
      </c>
      <c r="CY483" t="s">
        <v>169</v>
      </c>
      <c r="DD483">
        <v>2</v>
      </c>
      <c r="DE483" t="s">
        <v>404</v>
      </c>
      <c r="DF483" t="s">
        <v>2059</v>
      </c>
      <c r="DG483" t="s">
        <v>2060</v>
      </c>
      <c r="DL483" t="s">
        <v>170</v>
      </c>
      <c r="DM483" t="s">
        <v>169</v>
      </c>
      <c r="DP483" t="s">
        <v>170</v>
      </c>
      <c r="DQ483" t="s">
        <v>187</v>
      </c>
      <c r="EB483">
        <v>9</v>
      </c>
      <c r="EC483">
        <v>10</v>
      </c>
      <c r="EE483" t="s">
        <v>2061</v>
      </c>
      <c r="EF483">
        <v>10</v>
      </c>
      <c r="EU483">
        <v>6250</v>
      </c>
      <c r="EW483">
        <v>0</v>
      </c>
      <c r="EX483">
        <v>0</v>
      </c>
      <c r="EY483">
        <v>0</v>
      </c>
      <c r="FA483">
        <v>13</v>
      </c>
      <c r="FG483">
        <v>488</v>
      </c>
      <c r="FH483">
        <v>470</v>
      </c>
      <c r="FI483">
        <v>480</v>
      </c>
    </row>
    <row r="484" spans="1:165" x14ac:dyDescent="0.35">
      <c r="A484">
        <v>2025</v>
      </c>
      <c r="B484" t="s">
        <v>2055</v>
      </c>
      <c r="C484" t="s">
        <v>2073</v>
      </c>
      <c r="D484" t="s">
        <v>2062</v>
      </c>
      <c r="E484" t="s">
        <v>2058</v>
      </c>
      <c r="F484">
        <v>11</v>
      </c>
      <c r="G484">
        <v>0</v>
      </c>
      <c r="I484" t="s">
        <v>1734</v>
      </c>
      <c r="J484">
        <v>28</v>
      </c>
      <c r="K484">
        <v>29</v>
      </c>
      <c r="L484">
        <v>28</v>
      </c>
      <c r="M484">
        <v>20.207999999999998</v>
      </c>
      <c r="N484">
        <v>20.963999999999999</v>
      </c>
      <c r="O484">
        <v>20.548200000000001</v>
      </c>
      <c r="P484">
        <v>27.695799999999998</v>
      </c>
      <c r="Q484">
        <v>28.729199999999999</v>
      </c>
      <c r="R484">
        <v>28.160799999999998</v>
      </c>
      <c r="V484" t="s">
        <v>167</v>
      </c>
      <c r="W484" t="s">
        <v>168</v>
      </c>
      <c r="Y484">
        <v>1</v>
      </c>
      <c r="Z484" t="s">
        <v>170</v>
      </c>
      <c r="AA484" t="s">
        <v>170</v>
      </c>
      <c r="AB484" t="s">
        <v>167</v>
      </c>
      <c r="AC484" t="s">
        <v>213</v>
      </c>
      <c r="AF484">
        <v>480</v>
      </c>
      <c r="AG484" t="s">
        <v>1735</v>
      </c>
      <c r="AH484" t="s">
        <v>1736</v>
      </c>
      <c r="AI484" t="s">
        <v>1742</v>
      </c>
      <c r="AJ484" t="s">
        <v>1743</v>
      </c>
      <c r="AK484">
        <v>4</v>
      </c>
      <c r="AL484" t="s">
        <v>1737</v>
      </c>
      <c r="AO484">
        <v>99</v>
      </c>
      <c r="AP484">
        <v>32</v>
      </c>
      <c r="AS484">
        <v>650</v>
      </c>
      <c r="AT484">
        <v>650</v>
      </c>
      <c r="BQ484">
        <v>6</v>
      </c>
      <c r="BR484" t="s">
        <v>825</v>
      </c>
      <c r="BS484" t="s">
        <v>180</v>
      </c>
      <c r="BT484" t="s">
        <v>1769</v>
      </c>
      <c r="BU484" s="1">
        <v>45491</v>
      </c>
      <c r="BV484">
        <v>35236</v>
      </c>
      <c r="BX484" t="s">
        <v>169</v>
      </c>
      <c r="BY484" t="s">
        <v>170</v>
      </c>
      <c r="CB484" t="s">
        <v>170</v>
      </c>
      <c r="CC484" t="s">
        <v>170</v>
      </c>
      <c r="CK484" t="s">
        <v>233</v>
      </c>
      <c r="CM484">
        <v>1</v>
      </c>
      <c r="CN484" t="s">
        <v>234</v>
      </c>
      <c r="CP484">
        <v>800</v>
      </c>
      <c r="CQ484">
        <v>146</v>
      </c>
      <c r="CR484">
        <v>150</v>
      </c>
      <c r="CS484" t="s">
        <v>1752</v>
      </c>
      <c r="CV484" t="s">
        <v>341</v>
      </c>
      <c r="CX484" t="s">
        <v>342</v>
      </c>
      <c r="CY484" t="s">
        <v>169</v>
      </c>
      <c r="DD484">
        <v>2</v>
      </c>
      <c r="DE484" t="s">
        <v>404</v>
      </c>
      <c r="DF484" t="s">
        <v>2059</v>
      </c>
      <c r="DG484" t="s">
        <v>2060</v>
      </c>
      <c r="DL484" t="s">
        <v>170</v>
      </c>
      <c r="DM484" t="s">
        <v>169</v>
      </c>
      <c r="DP484" t="s">
        <v>170</v>
      </c>
      <c r="DQ484" t="s">
        <v>187</v>
      </c>
      <c r="EB484">
        <v>9</v>
      </c>
      <c r="EC484">
        <v>10</v>
      </c>
      <c r="EE484" t="s">
        <v>2061</v>
      </c>
      <c r="EF484">
        <v>10</v>
      </c>
      <c r="EU484">
        <v>6250</v>
      </c>
      <c r="EW484">
        <v>0</v>
      </c>
      <c r="EX484">
        <v>0</v>
      </c>
      <c r="EY484">
        <v>0</v>
      </c>
      <c r="FA484">
        <v>13</v>
      </c>
      <c r="FG484">
        <v>488</v>
      </c>
      <c r="FH484">
        <v>470</v>
      </c>
      <c r="FI484">
        <v>480</v>
      </c>
    </row>
    <row r="485" spans="1:165" x14ac:dyDescent="0.35">
      <c r="A485" s="25"/>
      <c r="B485" s="25"/>
      <c r="C485" s="25"/>
      <c r="D485" s="25"/>
      <c r="E485" s="25"/>
      <c r="F485" s="25" t="str">
        <f>_xlfn.CONCAT($A486," ",$B486," ",$D486)</f>
        <v>2025 Lucid USA, Inc Air G Touring XR AWD w/21" wheels</v>
      </c>
      <c r="G485" s="25"/>
      <c r="H485" s="25"/>
      <c r="I485" s="25"/>
      <c r="J485" s="25"/>
      <c r="K485" s="25"/>
      <c r="L485" s="25"/>
      <c r="M485" s="25"/>
      <c r="N485" s="25"/>
      <c r="O485" s="25"/>
      <c r="P485" s="25"/>
      <c r="Q485" s="25"/>
      <c r="R485" s="25"/>
      <c r="S485" s="25"/>
      <c r="T485" s="25"/>
      <c r="U485" s="25"/>
      <c r="V485" s="25"/>
      <c r="W485" s="25"/>
      <c r="X485" s="25"/>
      <c r="Y485" s="25"/>
      <c r="Z485" s="25"/>
      <c r="AA485" s="25"/>
      <c r="AB485" s="25"/>
      <c r="AC485" s="25"/>
      <c r="AD485" s="25" t="str">
        <f>_xlfn.CONCAT($A486," ",$B486," ",$D486)</f>
        <v>2025 Lucid USA, Inc Air G Touring XR AWD w/21" wheels</v>
      </c>
      <c r="AE485" s="25"/>
      <c r="AF485" s="25"/>
      <c r="AG485" s="25"/>
      <c r="AH485" s="25"/>
      <c r="AI485" s="25"/>
      <c r="AJ485" s="25"/>
      <c r="AK485" s="25"/>
      <c r="AL485" s="25"/>
      <c r="AM485" s="25"/>
      <c r="AN485" s="25"/>
      <c r="AO485" s="25"/>
      <c r="AP485" s="25"/>
      <c r="AQ485" s="25"/>
      <c r="AR485" s="25"/>
      <c r="AS485" s="25"/>
      <c r="AT485" s="25"/>
      <c r="AU485" s="25"/>
      <c r="AV485" s="25"/>
      <c r="AW485" s="25"/>
      <c r="AX485" s="25" t="str">
        <f>_xlfn.CONCAT($A486," ",$B486," ",$D486)</f>
        <v>2025 Lucid USA, Inc Air G Touring XR AWD w/21" wheels</v>
      </c>
      <c r="AY485" s="25"/>
      <c r="AZ485" s="25"/>
      <c r="BA485" s="25"/>
      <c r="BB485" s="25"/>
      <c r="BC485" s="25"/>
      <c r="BD485" s="25"/>
      <c r="BE485" s="25"/>
      <c r="BF485" s="25"/>
      <c r="BG485" s="25"/>
      <c r="BH485" s="25"/>
      <c r="BI485" s="25"/>
      <c r="BJ485" s="25"/>
      <c r="BK485" s="25"/>
      <c r="BL485" s="25"/>
      <c r="BM485" s="25"/>
      <c r="BN485" s="25"/>
      <c r="BO485" s="25"/>
      <c r="BP485" s="25"/>
      <c r="BQ485" s="25"/>
      <c r="BR485" s="25" t="str">
        <f>_xlfn.CONCAT($A486," ",$B486," ",$D486)</f>
        <v>2025 Lucid USA, Inc Air G Touring XR AWD w/21" wheels</v>
      </c>
      <c r="BS485" s="25"/>
      <c r="BT485" s="25"/>
      <c r="BU485" s="25"/>
      <c r="BV485" s="25"/>
      <c r="BX485" s="25"/>
      <c r="BY485" s="25"/>
      <c r="BZ485" s="25"/>
      <c r="CA485" s="25"/>
      <c r="CB485" s="25"/>
      <c r="CC485" s="25"/>
      <c r="CD485" s="25"/>
      <c r="CE485" s="25"/>
      <c r="CF485" s="25"/>
      <c r="CG485" s="25"/>
      <c r="CH485" s="25"/>
      <c r="CI485" s="25"/>
      <c r="CJ485" s="25"/>
      <c r="CK485" s="25"/>
      <c r="CL485" s="25"/>
      <c r="CM485" s="25"/>
      <c r="CN485" s="25"/>
      <c r="CO485" s="25"/>
      <c r="CP485" s="25" t="str">
        <f>_xlfn.CONCAT($A486," ",$B486," ",$D486)</f>
        <v>2025 Lucid USA, Inc Air G Touring XR AWD w/21" wheels</v>
      </c>
      <c r="CQ485" s="25"/>
      <c r="CR485" s="25"/>
      <c r="CS485" s="25"/>
      <c r="CT485" s="25"/>
      <c r="CU485" s="25"/>
      <c r="CV485" s="25"/>
      <c r="CW485" s="25"/>
      <c r="CX485" s="25"/>
      <c r="CY485" s="25"/>
      <c r="CZ485" s="25"/>
      <c r="DA485" s="25"/>
      <c r="DB485" s="25"/>
      <c r="DC485" s="25"/>
      <c r="DD485" s="25"/>
      <c r="DE485" s="25"/>
      <c r="DF485" s="25"/>
      <c r="DG485" s="25"/>
      <c r="DH485" s="25"/>
      <c r="DI485" s="25" t="str">
        <f>_xlfn.CONCAT($A486," ",$B486," ",$D486)</f>
        <v>2025 Lucid USA, Inc Air G Touring XR AWD w/21" wheels</v>
      </c>
      <c r="DJ485" s="25"/>
      <c r="DK485" s="25"/>
      <c r="DL485" s="25"/>
      <c r="DM485" s="25"/>
      <c r="DN485" s="25"/>
      <c r="DO485" s="25"/>
      <c r="DP485" s="25"/>
      <c r="DQ485" s="25"/>
      <c r="DR485" s="25"/>
      <c r="DS485" s="25"/>
      <c r="DT485" s="25"/>
      <c r="DU485" s="25"/>
      <c r="DV485" s="25"/>
      <c r="DW485" s="25"/>
      <c r="DX485" s="25"/>
      <c r="DY485" s="25"/>
      <c r="DZ485" s="25" t="str">
        <f>_xlfn.CONCAT($A486," ",$B486," ",$D486)</f>
        <v>2025 Lucid USA, Inc Air G Touring XR AWD w/21" wheels</v>
      </c>
      <c r="EB485" s="25"/>
      <c r="EC485" s="25"/>
      <c r="ED485" s="25"/>
      <c r="EE485" s="25"/>
      <c r="EF485" s="25"/>
      <c r="EG485" s="25"/>
      <c r="EH485" s="25"/>
      <c r="EI485" s="25"/>
      <c r="EJ485" s="25"/>
      <c r="EK485" s="25"/>
      <c r="EL485" s="25"/>
      <c r="EM485" s="25"/>
      <c r="EN485" s="25"/>
      <c r="EO485" s="25"/>
      <c r="EP485" s="25"/>
      <c r="EQ485" s="25"/>
      <c r="ER485" s="25"/>
      <c r="ES485" s="25"/>
      <c r="ET485" s="25"/>
      <c r="EU485" s="25"/>
      <c r="EV485" s="25" t="str">
        <f>_xlfn.CONCAT($A486," ",$B486," ",$D486)</f>
        <v>2025 Lucid USA, Inc Air G Touring XR AWD w/21" wheels</v>
      </c>
      <c r="EW485" s="25"/>
      <c r="EX485" s="25"/>
      <c r="EY485" s="25"/>
      <c r="EZ485" s="25"/>
      <c r="FA485" s="25"/>
      <c r="FB485" s="25"/>
      <c r="FC485" s="25"/>
      <c r="FD485" s="25"/>
      <c r="FE485" s="25"/>
      <c r="FF485" s="25"/>
      <c r="FG485" s="25"/>
    </row>
    <row r="486" spans="1:165" x14ac:dyDescent="0.35">
      <c r="A486">
        <v>2025</v>
      </c>
      <c r="B486" t="s">
        <v>2055</v>
      </c>
      <c r="C486" t="s">
        <v>2073</v>
      </c>
      <c r="D486" t="s">
        <v>2063</v>
      </c>
      <c r="E486" t="s">
        <v>2058</v>
      </c>
      <c r="F486">
        <v>12</v>
      </c>
      <c r="G486">
        <v>0</v>
      </c>
      <c r="I486" t="s">
        <v>1734</v>
      </c>
      <c r="J486">
        <v>114</v>
      </c>
      <c r="K486">
        <v>109</v>
      </c>
      <c r="L486">
        <v>112</v>
      </c>
      <c r="M486">
        <v>156.19999999999999</v>
      </c>
      <c r="N486">
        <v>150</v>
      </c>
      <c r="O486">
        <v>153.3477</v>
      </c>
      <c r="P486">
        <v>113.9635</v>
      </c>
      <c r="Q486">
        <v>109.44</v>
      </c>
      <c r="R486">
        <v>111.88249999999999</v>
      </c>
      <c r="V486" t="s">
        <v>167</v>
      </c>
      <c r="W486" t="s">
        <v>168</v>
      </c>
      <c r="Y486">
        <v>1</v>
      </c>
      <c r="Z486" t="s">
        <v>170</v>
      </c>
      <c r="AA486" t="s">
        <v>170</v>
      </c>
      <c r="AB486" t="s">
        <v>167</v>
      </c>
      <c r="AC486" t="s">
        <v>213</v>
      </c>
      <c r="AF486">
        <v>446</v>
      </c>
      <c r="AG486" t="s">
        <v>1735</v>
      </c>
      <c r="AH486" t="s">
        <v>1736</v>
      </c>
      <c r="AI486" t="s">
        <v>175</v>
      </c>
      <c r="AJ486" t="s">
        <v>176</v>
      </c>
      <c r="AK486">
        <v>4</v>
      </c>
      <c r="AL486" t="s">
        <v>1737</v>
      </c>
      <c r="AO486">
        <v>99</v>
      </c>
      <c r="AP486">
        <v>32</v>
      </c>
      <c r="AS486">
        <v>700</v>
      </c>
      <c r="AT486">
        <v>0</v>
      </c>
      <c r="BQ486">
        <v>6</v>
      </c>
      <c r="BR486" t="s">
        <v>825</v>
      </c>
      <c r="BS486" t="s">
        <v>180</v>
      </c>
      <c r="BT486" t="s">
        <v>1769</v>
      </c>
      <c r="BU486" s="1">
        <v>45491</v>
      </c>
      <c r="BV486">
        <v>35237</v>
      </c>
      <c r="BX486" t="s">
        <v>169</v>
      </c>
      <c r="BY486" t="s">
        <v>170</v>
      </c>
      <c r="CB486" t="s">
        <v>170</v>
      </c>
      <c r="CC486" t="s">
        <v>170</v>
      </c>
      <c r="CK486" t="s">
        <v>233</v>
      </c>
      <c r="CM486">
        <v>1</v>
      </c>
      <c r="CN486" t="s">
        <v>234</v>
      </c>
      <c r="CP486">
        <v>800</v>
      </c>
      <c r="CQ486">
        <v>146</v>
      </c>
      <c r="CR486">
        <v>150</v>
      </c>
      <c r="CS486" t="s">
        <v>1752</v>
      </c>
      <c r="CV486" t="s">
        <v>341</v>
      </c>
      <c r="CX486" t="s">
        <v>342</v>
      </c>
      <c r="CY486" t="s">
        <v>169</v>
      </c>
      <c r="DD486">
        <v>2</v>
      </c>
      <c r="DE486" t="s">
        <v>404</v>
      </c>
      <c r="DF486" t="s">
        <v>2059</v>
      </c>
      <c r="DG486" t="s">
        <v>2060</v>
      </c>
      <c r="DL486" t="s">
        <v>170</v>
      </c>
      <c r="DM486" t="s">
        <v>169</v>
      </c>
      <c r="DP486" t="s">
        <v>170</v>
      </c>
      <c r="DQ486" t="s">
        <v>187</v>
      </c>
      <c r="EB486">
        <v>9</v>
      </c>
      <c r="EC486">
        <v>10</v>
      </c>
      <c r="EE486" t="s">
        <v>2061</v>
      </c>
      <c r="EF486">
        <v>10</v>
      </c>
      <c r="EU486">
        <v>6000</v>
      </c>
      <c r="EW486">
        <v>0</v>
      </c>
      <c r="EX486">
        <v>0</v>
      </c>
      <c r="EY486">
        <v>0</v>
      </c>
      <c r="FA486">
        <v>13</v>
      </c>
      <c r="FG486">
        <v>454</v>
      </c>
      <c r="FH486">
        <v>436</v>
      </c>
      <c r="FI486">
        <v>446</v>
      </c>
    </row>
    <row r="487" spans="1:165" x14ac:dyDescent="0.35">
      <c r="A487">
        <v>2025</v>
      </c>
      <c r="B487" t="s">
        <v>2055</v>
      </c>
      <c r="C487" t="s">
        <v>2073</v>
      </c>
      <c r="D487" t="s">
        <v>2063</v>
      </c>
      <c r="E487" t="s">
        <v>2058</v>
      </c>
      <c r="F487">
        <v>12</v>
      </c>
      <c r="G487">
        <v>0</v>
      </c>
      <c r="I487" t="s">
        <v>1734</v>
      </c>
      <c r="J487">
        <v>30</v>
      </c>
      <c r="K487">
        <v>31</v>
      </c>
      <c r="L487">
        <v>30</v>
      </c>
      <c r="M487">
        <v>21.571999999999999</v>
      </c>
      <c r="N487">
        <v>22.463999999999999</v>
      </c>
      <c r="O487">
        <v>21.973400000000002</v>
      </c>
      <c r="P487">
        <v>29.575299999999999</v>
      </c>
      <c r="Q487">
        <v>30.797699999999999</v>
      </c>
      <c r="R487">
        <v>30.125399999999999</v>
      </c>
      <c r="V487" t="s">
        <v>167</v>
      </c>
      <c r="W487" t="s">
        <v>168</v>
      </c>
      <c r="Y487">
        <v>1</v>
      </c>
      <c r="Z487" t="s">
        <v>170</v>
      </c>
      <c r="AA487" t="s">
        <v>170</v>
      </c>
      <c r="AB487" t="s">
        <v>167</v>
      </c>
      <c r="AC487" t="s">
        <v>213</v>
      </c>
      <c r="AF487">
        <v>446</v>
      </c>
      <c r="AG487" t="s">
        <v>1735</v>
      </c>
      <c r="AH487" t="s">
        <v>1736</v>
      </c>
      <c r="AI487" t="s">
        <v>1742</v>
      </c>
      <c r="AJ487" t="s">
        <v>1743</v>
      </c>
      <c r="AK487">
        <v>4</v>
      </c>
      <c r="AL487" t="s">
        <v>1737</v>
      </c>
      <c r="AO487">
        <v>99</v>
      </c>
      <c r="AP487">
        <v>32</v>
      </c>
      <c r="AS487">
        <v>700</v>
      </c>
      <c r="AT487">
        <v>700</v>
      </c>
      <c r="BQ487">
        <v>6</v>
      </c>
      <c r="BR487" t="s">
        <v>825</v>
      </c>
      <c r="BS487" t="s">
        <v>180</v>
      </c>
      <c r="BT487" t="s">
        <v>1769</v>
      </c>
      <c r="BU487" s="1">
        <v>45491</v>
      </c>
      <c r="BV487">
        <v>35237</v>
      </c>
      <c r="BX487" t="s">
        <v>169</v>
      </c>
      <c r="BY487" t="s">
        <v>170</v>
      </c>
      <c r="CB487" t="s">
        <v>170</v>
      </c>
      <c r="CC487" t="s">
        <v>170</v>
      </c>
      <c r="CK487" t="s">
        <v>233</v>
      </c>
      <c r="CM487">
        <v>1</v>
      </c>
      <c r="CN487" t="s">
        <v>234</v>
      </c>
      <c r="CP487">
        <v>800</v>
      </c>
      <c r="CQ487">
        <v>146</v>
      </c>
      <c r="CR487">
        <v>150</v>
      </c>
      <c r="CS487" t="s">
        <v>1752</v>
      </c>
      <c r="CV487" t="s">
        <v>341</v>
      </c>
      <c r="CX487" t="s">
        <v>342</v>
      </c>
      <c r="CY487" t="s">
        <v>169</v>
      </c>
      <c r="DD487">
        <v>2</v>
      </c>
      <c r="DE487" t="s">
        <v>404</v>
      </c>
      <c r="DF487" t="s">
        <v>2059</v>
      </c>
      <c r="DG487" t="s">
        <v>2060</v>
      </c>
      <c r="DL487" t="s">
        <v>170</v>
      </c>
      <c r="DM487" t="s">
        <v>169</v>
      </c>
      <c r="DP487" t="s">
        <v>170</v>
      </c>
      <c r="DQ487" t="s">
        <v>187</v>
      </c>
      <c r="EB487">
        <v>9</v>
      </c>
      <c r="EC487">
        <v>10</v>
      </c>
      <c r="EE487" t="s">
        <v>2061</v>
      </c>
      <c r="EF487">
        <v>10</v>
      </c>
      <c r="EU487">
        <v>6000</v>
      </c>
      <c r="EW487">
        <v>0</v>
      </c>
      <c r="EX487">
        <v>0</v>
      </c>
      <c r="EY487">
        <v>0</v>
      </c>
      <c r="FA487">
        <v>13</v>
      </c>
      <c r="FG487">
        <v>454</v>
      </c>
      <c r="FH487">
        <v>436</v>
      </c>
      <c r="FI487">
        <v>446</v>
      </c>
    </row>
    <row r="488" spans="1:165" x14ac:dyDescent="0.35">
      <c r="A488" s="25"/>
      <c r="B488" s="25"/>
      <c r="C488" s="25"/>
      <c r="D488" s="25"/>
      <c r="E488" s="25"/>
      <c r="F488" s="25" t="str">
        <f>_xlfn.CONCAT($A489," ",$B489," ",$D489)</f>
        <v>2025 Lucid USA, Inc Air Touring AWD w/19" wheels</v>
      </c>
      <c r="G488" s="25"/>
      <c r="H488" s="25"/>
      <c r="I488" s="25"/>
      <c r="J488" s="25"/>
      <c r="K488" s="25"/>
      <c r="L488" s="25"/>
      <c r="M488" s="25"/>
      <c r="N488" s="25"/>
      <c r="O488" s="25"/>
      <c r="P488" s="25"/>
      <c r="Q488" s="25"/>
      <c r="R488" s="25"/>
      <c r="S488" s="25"/>
      <c r="T488" s="25"/>
      <c r="U488" s="25"/>
      <c r="V488" s="25"/>
      <c r="W488" s="25"/>
      <c r="X488" s="25"/>
      <c r="Y488" s="25"/>
      <c r="Z488" s="25"/>
      <c r="AA488" s="25"/>
      <c r="AB488" s="25"/>
      <c r="AC488" s="25"/>
      <c r="AD488" s="25" t="str">
        <f>_xlfn.CONCAT($A489," ",$B489," ",$D489)</f>
        <v>2025 Lucid USA, Inc Air Touring AWD w/19" wheels</v>
      </c>
      <c r="AE488" s="25"/>
      <c r="AF488" s="25"/>
      <c r="AG488" s="25"/>
      <c r="AH488" s="25"/>
      <c r="AI488" s="25"/>
      <c r="AJ488" s="25"/>
      <c r="AK488" s="25"/>
      <c r="AL488" s="25"/>
      <c r="AM488" s="25"/>
      <c r="AN488" s="25"/>
      <c r="AO488" s="25"/>
      <c r="AP488" s="25"/>
      <c r="AQ488" s="25"/>
      <c r="AR488" s="25"/>
      <c r="AS488" s="25"/>
      <c r="AT488" s="25"/>
      <c r="AU488" s="25"/>
      <c r="AV488" s="25"/>
      <c r="AW488" s="25"/>
      <c r="AX488" s="25" t="str">
        <f>_xlfn.CONCAT($A489," ",$B489," ",$D489)</f>
        <v>2025 Lucid USA, Inc Air Touring AWD w/19" wheels</v>
      </c>
      <c r="AY488" s="25"/>
      <c r="AZ488" s="25"/>
      <c r="BA488" s="25"/>
      <c r="BB488" s="25"/>
      <c r="BC488" s="25"/>
      <c r="BD488" s="25"/>
      <c r="BE488" s="25"/>
      <c r="BF488" s="25"/>
      <c r="BG488" s="25"/>
      <c r="BH488" s="25"/>
      <c r="BI488" s="25"/>
      <c r="BJ488" s="25"/>
      <c r="BK488" s="25"/>
      <c r="BL488" s="25"/>
      <c r="BM488" s="25"/>
      <c r="BN488" s="25"/>
      <c r="BO488" s="25"/>
      <c r="BP488" s="25"/>
      <c r="BQ488" s="25"/>
      <c r="BR488" s="25" t="str">
        <f>_xlfn.CONCAT($A489," ",$B489," ",$D489)</f>
        <v>2025 Lucid USA, Inc Air Touring AWD w/19" wheels</v>
      </c>
      <c r="BS488" s="25"/>
      <c r="BT488" s="25"/>
      <c r="BU488" s="25"/>
      <c r="BV488" s="25"/>
      <c r="BX488" s="25"/>
      <c r="BY488" s="25"/>
      <c r="BZ488" s="25"/>
      <c r="CA488" s="25"/>
      <c r="CB488" s="25"/>
      <c r="CC488" s="25"/>
      <c r="CD488" s="25"/>
      <c r="CE488" s="25"/>
      <c r="CF488" s="25"/>
      <c r="CG488" s="25"/>
      <c r="CH488" s="25"/>
      <c r="CI488" s="25"/>
      <c r="CJ488" s="25"/>
      <c r="CK488" s="25"/>
      <c r="CL488" s="25"/>
      <c r="CM488" s="25"/>
      <c r="CN488" s="25"/>
      <c r="CO488" s="25"/>
      <c r="CP488" s="25" t="str">
        <f>_xlfn.CONCAT($A489," ",$B489," ",$D489)</f>
        <v>2025 Lucid USA, Inc Air Touring AWD w/19" wheels</v>
      </c>
      <c r="CQ488" s="25"/>
      <c r="CR488" s="25"/>
      <c r="CS488" s="25"/>
      <c r="CT488" s="25"/>
      <c r="CU488" s="25"/>
      <c r="CV488" s="25"/>
      <c r="CW488" s="25"/>
      <c r="CX488" s="25"/>
      <c r="CY488" s="25"/>
      <c r="CZ488" s="25"/>
      <c r="DA488" s="25"/>
      <c r="DB488" s="25"/>
      <c r="DC488" s="25"/>
      <c r="DD488" s="25"/>
      <c r="DE488" s="25"/>
      <c r="DF488" s="25"/>
      <c r="DG488" s="25"/>
      <c r="DH488" s="25"/>
      <c r="DI488" s="25" t="str">
        <f>_xlfn.CONCAT($A489," ",$B489," ",$D489)</f>
        <v>2025 Lucid USA, Inc Air Touring AWD w/19" wheels</v>
      </c>
      <c r="DJ488" s="25"/>
      <c r="DK488" s="25"/>
      <c r="DL488" s="25"/>
      <c r="DM488" s="25"/>
      <c r="DN488" s="25"/>
      <c r="DO488" s="25"/>
      <c r="DP488" s="25"/>
      <c r="DQ488" s="25"/>
      <c r="DR488" s="25"/>
      <c r="DS488" s="25"/>
      <c r="DT488" s="25"/>
      <c r="DU488" s="25"/>
      <c r="DV488" s="25"/>
      <c r="DW488" s="25"/>
      <c r="DX488" s="25"/>
      <c r="DY488" s="25"/>
      <c r="DZ488" s="25" t="str">
        <f>_xlfn.CONCAT($A489," ",$B489," ",$D489)</f>
        <v>2025 Lucid USA, Inc Air Touring AWD w/19" wheels</v>
      </c>
      <c r="EB488" s="25"/>
      <c r="EC488" s="25"/>
      <c r="ED488" s="25"/>
      <c r="EE488" s="25"/>
      <c r="EF488" s="25"/>
      <c r="EG488" s="25"/>
      <c r="EH488" s="25"/>
      <c r="EI488" s="25"/>
      <c r="EJ488" s="25"/>
      <c r="EK488" s="25"/>
      <c r="EL488" s="25"/>
      <c r="EM488" s="25"/>
      <c r="EN488" s="25"/>
      <c r="EO488" s="25"/>
      <c r="EP488" s="25"/>
      <c r="EQ488" s="25"/>
      <c r="ER488" s="25"/>
      <c r="ES488" s="25"/>
      <c r="ET488" s="25"/>
      <c r="EU488" s="25"/>
      <c r="EV488" s="25" t="str">
        <f>_xlfn.CONCAT($A489," ",$B489," ",$D489)</f>
        <v>2025 Lucid USA, Inc Air Touring AWD w/19" wheels</v>
      </c>
      <c r="EW488" s="25"/>
      <c r="EX488" s="25"/>
      <c r="EY488" s="25"/>
      <c r="EZ488" s="25"/>
      <c r="FA488" s="25"/>
      <c r="FB488" s="25"/>
      <c r="FC488" s="25"/>
      <c r="FD488" s="25"/>
      <c r="FE488" s="25"/>
      <c r="FF488" s="25"/>
      <c r="FG488" s="25"/>
    </row>
    <row r="489" spans="1:165" x14ac:dyDescent="0.35">
      <c r="A489">
        <v>2025</v>
      </c>
      <c r="B489" t="s">
        <v>2055</v>
      </c>
      <c r="C489" t="s">
        <v>2073</v>
      </c>
      <c r="D489" t="s">
        <v>2070</v>
      </c>
      <c r="E489" t="s">
        <v>2058</v>
      </c>
      <c r="F489">
        <v>13</v>
      </c>
      <c r="G489">
        <v>0</v>
      </c>
      <c r="I489" t="s">
        <v>1734</v>
      </c>
      <c r="J489">
        <v>133</v>
      </c>
      <c r="K489">
        <v>130</v>
      </c>
      <c r="L489">
        <v>132</v>
      </c>
      <c r="M489">
        <v>182.8</v>
      </c>
      <c r="N489">
        <v>177.9</v>
      </c>
      <c r="O489">
        <v>180.56200000000001</v>
      </c>
      <c r="P489">
        <v>133.37090000000001</v>
      </c>
      <c r="Q489">
        <v>129.79580000000001</v>
      </c>
      <c r="R489">
        <v>131.738</v>
      </c>
      <c r="V489" t="s">
        <v>167</v>
      </c>
      <c r="W489" t="s">
        <v>168</v>
      </c>
      <c r="Y489">
        <v>1</v>
      </c>
      <c r="Z489" t="s">
        <v>170</v>
      </c>
      <c r="AA489" t="s">
        <v>170</v>
      </c>
      <c r="AB489" t="s">
        <v>167</v>
      </c>
      <c r="AC489" t="s">
        <v>213</v>
      </c>
      <c r="AF489">
        <v>406</v>
      </c>
      <c r="AG489" t="s">
        <v>1735</v>
      </c>
      <c r="AH489" t="s">
        <v>1736</v>
      </c>
      <c r="AI489" t="s">
        <v>175</v>
      </c>
      <c r="AJ489" t="s">
        <v>176</v>
      </c>
      <c r="AK489">
        <v>4</v>
      </c>
      <c r="AL489" t="s">
        <v>1737</v>
      </c>
      <c r="AO489">
        <v>101</v>
      </c>
      <c r="AP489">
        <v>32</v>
      </c>
      <c r="AS489">
        <v>600</v>
      </c>
      <c r="AT489">
        <v>0</v>
      </c>
      <c r="BQ489">
        <v>6</v>
      </c>
      <c r="BR489" t="s">
        <v>825</v>
      </c>
      <c r="BS489" t="s">
        <v>180</v>
      </c>
      <c r="BT489" t="s">
        <v>1769</v>
      </c>
      <c r="BU489" s="1">
        <v>45491</v>
      </c>
      <c r="BV489">
        <v>35238</v>
      </c>
      <c r="BX489" t="s">
        <v>169</v>
      </c>
      <c r="BY489" t="s">
        <v>170</v>
      </c>
      <c r="CB489" t="s">
        <v>170</v>
      </c>
      <c r="CC489" t="s">
        <v>170</v>
      </c>
      <c r="CK489" t="s">
        <v>233</v>
      </c>
      <c r="CM489">
        <v>1</v>
      </c>
      <c r="CN489" t="s">
        <v>234</v>
      </c>
      <c r="CP489">
        <v>800</v>
      </c>
      <c r="CQ489">
        <v>146</v>
      </c>
      <c r="CR489">
        <v>150</v>
      </c>
      <c r="CS489" t="s">
        <v>1752</v>
      </c>
      <c r="CV489" t="s">
        <v>341</v>
      </c>
      <c r="CX489" t="s">
        <v>342</v>
      </c>
      <c r="CY489" t="s">
        <v>169</v>
      </c>
      <c r="DD489">
        <v>2</v>
      </c>
      <c r="DE489" t="s">
        <v>404</v>
      </c>
      <c r="DF489" t="s">
        <v>2059</v>
      </c>
      <c r="DG489" t="s">
        <v>2060</v>
      </c>
      <c r="DL489" t="s">
        <v>170</v>
      </c>
      <c r="DM489" t="s">
        <v>169</v>
      </c>
      <c r="DP489" t="s">
        <v>170</v>
      </c>
      <c r="DQ489" t="s">
        <v>187</v>
      </c>
      <c r="EB489">
        <v>10</v>
      </c>
      <c r="EC489">
        <v>10</v>
      </c>
      <c r="EE489" t="s">
        <v>2061</v>
      </c>
      <c r="EF489">
        <v>10</v>
      </c>
      <c r="EU489">
        <v>6500</v>
      </c>
      <c r="EW489">
        <v>0</v>
      </c>
      <c r="EX489">
        <v>0</v>
      </c>
      <c r="EY489">
        <v>0</v>
      </c>
      <c r="FA489">
        <v>10</v>
      </c>
      <c r="FG489">
        <v>411</v>
      </c>
      <c r="FH489">
        <v>400</v>
      </c>
      <c r="FI489">
        <v>406</v>
      </c>
    </row>
    <row r="490" spans="1:165" x14ac:dyDescent="0.35">
      <c r="A490">
        <v>2025</v>
      </c>
      <c r="B490" t="s">
        <v>2055</v>
      </c>
      <c r="C490" t="s">
        <v>2073</v>
      </c>
      <c r="D490" t="s">
        <v>2070</v>
      </c>
      <c r="E490" t="s">
        <v>2058</v>
      </c>
      <c r="F490">
        <v>13</v>
      </c>
      <c r="G490">
        <v>0</v>
      </c>
      <c r="I490" t="s">
        <v>1734</v>
      </c>
      <c r="J490">
        <v>25</v>
      </c>
      <c r="K490">
        <v>26</v>
      </c>
      <c r="L490">
        <v>26</v>
      </c>
      <c r="M490">
        <v>18.443000000000001</v>
      </c>
      <c r="N490">
        <v>18.942</v>
      </c>
      <c r="O490">
        <v>18.6676</v>
      </c>
      <c r="P490">
        <v>25.271899999999999</v>
      </c>
      <c r="Q490">
        <v>25.967700000000001</v>
      </c>
      <c r="R490">
        <v>25.584900000000001</v>
      </c>
      <c r="V490" t="s">
        <v>167</v>
      </c>
      <c r="W490" t="s">
        <v>168</v>
      </c>
      <c r="Y490">
        <v>1</v>
      </c>
      <c r="Z490" t="s">
        <v>170</v>
      </c>
      <c r="AA490" t="s">
        <v>170</v>
      </c>
      <c r="AB490" t="s">
        <v>167</v>
      </c>
      <c r="AC490" t="s">
        <v>213</v>
      </c>
      <c r="AF490">
        <v>406</v>
      </c>
      <c r="AG490" t="s">
        <v>1735</v>
      </c>
      <c r="AH490" t="s">
        <v>1736</v>
      </c>
      <c r="AI490" t="s">
        <v>1742</v>
      </c>
      <c r="AJ490" t="s">
        <v>1743</v>
      </c>
      <c r="AK490">
        <v>4</v>
      </c>
      <c r="AL490" t="s">
        <v>1737</v>
      </c>
      <c r="AO490">
        <v>101</v>
      </c>
      <c r="AP490">
        <v>32</v>
      </c>
      <c r="AS490">
        <v>600</v>
      </c>
      <c r="AT490">
        <v>600</v>
      </c>
      <c r="BQ490">
        <v>6</v>
      </c>
      <c r="BR490" t="s">
        <v>825</v>
      </c>
      <c r="BS490" t="s">
        <v>180</v>
      </c>
      <c r="BT490" t="s">
        <v>1769</v>
      </c>
      <c r="BU490" s="1">
        <v>45491</v>
      </c>
      <c r="BV490">
        <v>35238</v>
      </c>
      <c r="BX490" t="s">
        <v>169</v>
      </c>
      <c r="BY490" t="s">
        <v>170</v>
      </c>
      <c r="CB490" t="s">
        <v>170</v>
      </c>
      <c r="CC490" t="s">
        <v>170</v>
      </c>
      <c r="CK490" t="s">
        <v>233</v>
      </c>
      <c r="CM490">
        <v>1</v>
      </c>
      <c r="CN490" t="s">
        <v>234</v>
      </c>
      <c r="CP490">
        <v>800</v>
      </c>
      <c r="CQ490">
        <v>146</v>
      </c>
      <c r="CR490">
        <v>150</v>
      </c>
      <c r="CS490" t="s">
        <v>1752</v>
      </c>
      <c r="CV490" t="s">
        <v>341</v>
      </c>
      <c r="CX490" t="s">
        <v>342</v>
      </c>
      <c r="CY490" t="s">
        <v>169</v>
      </c>
      <c r="DD490">
        <v>2</v>
      </c>
      <c r="DE490" t="s">
        <v>404</v>
      </c>
      <c r="DF490" t="s">
        <v>2059</v>
      </c>
      <c r="DG490" t="s">
        <v>2060</v>
      </c>
      <c r="DL490" t="s">
        <v>170</v>
      </c>
      <c r="DM490" t="s">
        <v>169</v>
      </c>
      <c r="DP490" t="s">
        <v>170</v>
      </c>
      <c r="DQ490" t="s">
        <v>187</v>
      </c>
      <c r="EB490">
        <v>10</v>
      </c>
      <c r="EC490">
        <v>10</v>
      </c>
      <c r="EE490" t="s">
        <v>2061</v>
      </c>
      <c r="EF490">
        <v>10</v>
      </c>
      <c r="EU490">
        <v>6500</v>
      </c>
      <c r="EW490">
        <v>0</v>
      </c>
      <c r="EX490">
        <v>0</v>
      </c>
      <c r="EY490">
        <v>0</v>
      </c>
      <c r="FA490">
        <v>10</v>
      </c>
      <c r="FG490">
        <v>411</v>
      </c>
      <c r="FH490">
        <v>400</v>
      </c>
      <c r="FI490">
        <v>406</v>
      </c>
    </row>
    <row r="491" spans="1:165" x14ac:dyDescent="0.35">
      <c r="A491" s="25"/>
      <c r="B491" s="25"/>
      <c r="C491" s="25"/>
      <c r="D491" s="25"/>
      <c r="E491" s="25"/>
      <c r="F491" s="25" t="str">
        <f>_xlfn.CONCAT($A492," ",$B492," ",$D492)</f>
        <v>2025 Lucid USA, Inc Air Touring AWD w/20" wheels</v>
      </c>
      <c r="G491" s="25"/>
      <c r="H491" s="25"/>
      <c r="I491" s="25"/>
      <c r="J491" s="25"/>
      <c r="K491" s="25"/>
      <c r="L491" s="25"/>
      <c r="M491" s="25"/>
      <c r="N491" s="25"/>
      <c r="O491" s="25"/>
      <c r="P491" s="25"/>
      <c r="Q491" s="25"/>
      <c r="R491" s="25"/>
      <c r="S491" s="25"/>
      <c r="T491" s="25"/>
      <c r="U491" s="25"/>
      <c r="V491" s="25"/>
      <c r="W491" s="25"/>
      <c r="X491" s="25"/>
      <c r="Y491" s="25"/>
      <c r="Z491" s="25"/>
      <c r="AA491" s="25"/>
      <c r="AB491" s="25"/>
      <c r="AC491" s="25"/>
      <c r="AD491" s="25" t="str">
        <f>_xlfn.CONCAT($A492," ",$B492," ",$D492)</f>
        <v>2025 Lucid USA, Inc Air Touring AWD w/20" wheels</v>
      </c>
      <c r="AE491" s="25"/>
      <c r="AF491" s="25"/>
      <c r="AG491" s="25"/>
      <c r="AH491" s="25"/>
      <c r="AI491" s="25"/>
      <c r="AJ491" s="25"/>
      <c r="AK491" s="25"/>
      <c r="AL491" s="25"/>
      <c r="AM491" s="25"/>
      <c r="AN491" s="25"/>
      <c r="AO491" s="25"/>
      <c r="AP491" s="25"/>
      <c r="AQ491" s="25"/>
      <c r="AR491" s="25"/>
      <c r="AS491" s="25"/>
      <c r="AT491" s="25"/>
      <c r="AU491" s="25"/>
      <c r="AV491" s="25"/>
      <c r="AW491" s="25"/>
      <c r="AX491" s="25" t="str">
        <f>_xlfn.CONCAT($A492," ",$B492," ",$D492)</f>
        <v>2025 Lucid USA, Inc Air Touring AWD w/20" wheels</v>
      </c>
      <c r="AY491" s="25"/>
      <c r="AZ491" s="25"/>
      <c r="BA491" s="25"/>
      <c r="BB491" s="25"/>
      <c r="BC491" s="25"/>
      <c r="BD491" s="25"/>
      <c r="BE491" s="25"/>
      <c r="BF491" s="25"/>
      <c r="BG491" s="25"/>
      <c r="BH491" s="25"/>
      <c r="BI491" s="25"/>
      <c r="BJ491" s="25"/>
      <c r="BK491" s="25"/>
      <c r="BL491" s="25"/>
      <c r="BM491" s="25"/>
      <c r="BN491" s="25"/>
      <c r="BO491" s="25"/>
      <c r="BP491" s="25"/>
      <c r="BQ491" s="25"/>
      <c r="BR491" s="25" t="str">
        <f>_xlfn.CONCAT($A492," ",$B492," ",$D492)</f>
        <v>2025 Lucid USA, Inc Air Touring AWD w/20" wheels</v>
      </c>
      <c r="BS491" s="25"/>
      <c r="BT491" s="25"/>
      <c r="BU491" s="25"/>
      <c r="BV491" s="25"/>
      <c r="BX491" s="25"/>
      <c r="BY491" s="25"/>
      <c r="BZ491" s="25"/>
      <c r="CA491" s="25"/>
      <c r="CB491" s="25"/>
      <c r="CC491" s="25"/>
      <c r="CD491" s="25"/>
      <c r="CE491" s="25"/>
      <c r="CF491" s="25"/>
      <c r="CG491" s="25"/>
      <c r="CH491" s="25"/>
      <c r="CI491" s="25"/>
      <c r="CJ491" s="25"/>
      <c r="CK491" s="25"/>
      <c r="CL491" s="25"/>
      <c r="CM491" s="25"/>
      <c r="CN491" s="25"/>
      <c r="CO491" s="25"/>
      <c r="CP491" s="25" t="str">
        <f>_xlfn.CONCAT($A492," ",$B492," ",$D492)</f>
        <v>2025 Lucid USA, Inc Air Touring AWD w/20" wheels</v>
      </c>
      <c r="CQ491" s="25"/>
      <c r="CR491" s="25"/>
      <c r="CS491" s="25"/>
      <c r="CT491" s="25"/>
      <c r="CU491" s="25"/>
      <c r="CV491" s="25"/>
      <c r="CW491" s="25"/>
      <c r="CX491" s="25"/>
      <c r="CY491" s="25"/>
      <c r="CZ491" s="25"/>
      <c r="DA491" s="25"/>
      <c r="DB491" s="25"/>
      <c r="DC491" s="25"/>
      <c r="DD491" s="25"/>
      <c r="DE491" s="25"/>
      <c r="DF491" s="25"/>
      <c r="DG491" s="25"/>
      <c r="DH491" s="25"/>
      <c r="DI491" s="25" t="str">
        <f>_xlfn.CONCAT($A492," ",$B492," ",$D492)</f>
        <v>2025 Lucid USA, Inc Air Touring AWD w/20" wheels</v>
      </c>
      <c r="DJ491" s="25"/>
      <c r="DK491" s="25"/>
      <c r="DL491" s="25"/>
      <c r="DM491" s="25"/>
      <c r="DN491" s="25"/>
      <c r="DO491" s="25"/>
      <c r="DP491" s="25"/>
      <c r="DQ491" s="25"/>
      <c r="DR491" s="25"/>
      <c r="DS491" s="25"/>
      <c r="DT491" s="25"/>
      <c r="DU491" s="25"/>
      <c r="DV491" s="25"/>
      <c r="DW491" s="25"/>
      <c r="DX491" s="25"/>
      <c r="DY491" s="25"/>
      <c r="DZ491" s="25" t="str">
        <f>_xlfn.CONCAT($A492," ",$B492," ",$D492)</f>
        <v>2025 Lucid USA, Inc Air Touring AWD w/20" wheels</v>
      </c>
      <c r="EB491" s="25"/>
      <c r="EC491" s="25"/>
      <c r="ED491" s="25"/>
      <c r="EE491" s="25"/>
      <c r="EF491" s="25"/>
      <c r="EG491" s="25"/>
      <c r="EH491" s="25"/>
      <c r="EI491" s="25"/>
      <c r="EJ491" s="25"/>
      <c r="EK491" s="25"/>
      <c r="EL491" s="25"/>
      <c r="EM491" s="25"/>
      <c r="EN491" s="25"/>
      <c r="EO491" s="25"/>
      <c r="EP491" s="25"/>
      <c r="EQ491" s="25"/>
      <c r="ER491" s="25"/>
      <c r="ES491" s="25"/>
      <c r="ET491" s="25"/>
      <c r="EU491" s="25"/>
      <c r="EV491" s="25" t="str">
        <f>_xlfn.CONCAT($A492," ",$B492," ",$D492)</f>
        <v>2025 Lucid USA, Inc Air Touring AWD w/20" wheels</v>
      </c>
      <c r="EW491" s="25"/>
      <c r="EX491" s="25"/>
      <c r="EY491" s="25"/>
      <c r="EZ491" s="25"/>
      <c r="FA491" s="25"/>
      <c r="FB491" s="25"/>
      <c r="FC491" s="25"/>
      <c r="FD491" s="25"/>
      <c r="FE491" s="25"/>
      <c r="FF491" s="25"/>
      <c r="FG491" s="25"/>
    </row>
    <row r="492" spans="1:165" x14ac:dyDescent="0.35">
      <c r="A492">
        <v>2025</v>
      </c>
      <c r="B492" t="s">
        <v>2055</v>
      </c>
      <c r="C492" t="s">
        <v>2073</v>
      </c>
      <c r="D492" t="s">
        <v>2071</v>
      </c>
      <c r="E492" t="s">
        <v>2058</v>
      </c>
      <c r="F492">
        <v>14</v>
      </c>
      <c r="G492">
        <v>0</v>
      </c>
      <c r="I492" t="s">
        <v>1734</v>
      </c>
      <c r="J492">
        <v>124</v>
      </c>
      <c r="K492">
        <v>119</v>
      </c>
      <c r="L492">
        <v>121</v>
      </c>
      <c r="M492">
        <v>169.4</v>
      </c>
      <c r="N492">
        <v>163</v>
      </c>
      <c r="O492">
        <v>166.4589</v>
      </c>
      <c r="P492">
        <v>123.5942</v>
      </c>
      <c r="Q492">
        <v>118.9248</v>
      </c>
      <c r="R492">
        <v>121.44840000000001</v>
      </c>
      <c r="V492" t="s">
        <v>167</v>
      </c>
      <c r="W492" t="s">
        <v>168</v>
      </c>
      <c r="Y492">
        <v>1</v>
      </c>
      <c r="Z492" t="s">
        <v>170</v>
      </c>
      <c r="AA492" t="s">
        <v>170</v>
      </c>
      <c r="AB492" t="s">
        <v>167</v>
      </c>
      <c r="AC492" t="s">
        <v>213</v>
      </c>
      <c r="AF492">
        <v>377</v>
      </c>
      <c r="AG492" t="s">
        <v>1735</v>
      </c>
      <c r="AH492" t="s">
        <v>1736</v>
      </c>
      <c r="AI492" t="s">
        <v>175</v>
      </c>
      <c r="AJ492" t="s">
        <v>176</v>
      </c>
      <c r="AK492">
        <v>4</v>
      </c>
      <c r="AL492" t="s">
        <v>1737</v>
      </c>
      <c r="AO492">
        <v>101</v>
      </c>
      <c r="AP492">
        <v>32</v>
      </c>
      <c r="AS492">
        <v>650</v>
      </c>
      <c r="AT492">
        <v>0</v>
      </c>
      <c r="BQ492">
        <v>6</v>
      </c>
      <c r="BR492" t="s">
        <v>825</v>
      </c>
      <c r="BS492" t="s">
        <v>180</v>
      </c>
      <c r="BT492" t="s">
        <v>1769</v>
      </c>
      <c r="BU492" s="1">
        <v>45491</v>
      </c>
      <c r="BV492">
        <v>35239</v>
      </c>
      <c r="BX492" t="s">
        <v>169</v>
      </c>
      <c r="BY492" t="s">
        <v>170</v>
      </c>
      <c r="CB492" t="s">
        <v>170</v>
      </c>
      <c r="CC492" t="s">
        <v>170</v>
      </c>
      <c r="CK492" t="s">
        <v>233</v>
      </c>
      <c r="CM492">
        <v>1</v>
      </c>
      <c r="CN492" t="s">
        <v>234</v>
      </c>
      <c r="CP492">
        <v>800</v>
      </c>
      <c r="CQ492">
        <v>146</v>
      </c>
      <c r="CR492">
        <v>150</v>
      </c>
      <c r="CS492" t="s">
        <v>1752</v>
      </c>
      <c r="CV492" t="s">
        <v>341</v>
      </c>
      <c r="CX492" t="s">
        <v>342</v>
      </c>
      <c r="CY492" t="s">
        <v>169</v>
      </c>
      <c r="DD492">
        <v>2</v>
      </c>
      <c r="DE492" t="s">
        <v>404</v>
      </c>
      <c r="DF492" t="s">
        <v>2059</v>
      </c>
      <c r="DG492" t="s">
        <v>2060</v>
      </c>
      <c r="DL492" t="s">
        <v>170</v>
      </c>
      <c r="DM492" t="s">
        <v>169</v>
      </c>
      <c r="DP492" t="s">
        <v>170</v>
      </c>
      <c r="DQ492" t="s">
        <v>187</v>
      </c>
      <c r="EB492">
        <v>10</v>
      </c>
      <c r="EC492">
        <v>10</v>
      </c>
      <c r="EE492" t="s">
        <v>2061</v>
      </c>
      <c r="EF492">
        <v>10</v>
      </c>
      <c r="EU492">
        <v>6250</v>
      </c>
      <c r="EW492">
        <v>0</v>
      </c>
      <c r="EX492">
        <v>0</v>
      </c>
      <c r="EY492">
        <v>0</v>
      </c>
      <c r="FA492">
        <v>10</v>
      </c>
      <c r="FG492">
        <v>384</v>
      </c>
      <c r="FH492">
        <v>369</v>
      </c>
      <c r="FI492">
        <v>377</v>
      </c>
    </row>
    <row r="493" spans="1:165" x14ac:dyDescent="0.35">
      <c r="A493">
        <v>2025</v>
      </c>
      <c r="B493" t="s">
        <v>2055</v>
      </c>
      <c r="C493" t="s">
        <v>2073</v>
      </c>
      <c r="D493" t="s">
        <v>2071</v>
      </c>
      <c r="E493" t="s">
        <v>2058</v>
      </c>
      <c r="F493">
        <v>14</v>
      </c>
      <c r="G493">
        <v>0</v>
      </c>
      <c r="I493" t="s">
        <v>1734</v>
      </c>
      <c r="J493">
        <v>27</v>
      </c>
      <c r="K493">
        <v>28</v>
      </c>
      <c r="L493">
        <v>28</v>
      </c>
      <c r="M493">
        <v>19.899999999999999</v>
      </c>
      <c r="N493">
        <v>20.683</v>
      </c>
      <c r="O493">
        <v>20.252400000000002</v>
      </c>
      <c r="P493">
        <v>27.270700000000001</v>
      </c>
      <c r="Q493">
        <v>28.3414</v>
      </c>
      <c r="R493">
        <v>27.752500000000001</v>
      </c>
      <c r="V493" t="s">
        <v>167</v>
      </c>
      <c r="W493" t="s">
        <v>168</v>
      </c>
      <c r="Y493">
        <v>1</v>
      </c>
      <c r="Z493" t="s">
        <v>170</v>
      </c>
      <c r="AA493" t="s">
        <v>170</v>
      </c>
      <c r="AB493" t="s">
        <v>167</v>
      </c>
      <c r="AC493" t="s">
        <v>213</v>
      </c>
      <c r="AF493">
        <v>377</v>
      </c>
      <c r="AG493" t="s">
        <v>1735</v>
      </c>
      <c r="AH493" t="s">
        <v>1736</v>
      </c>
      <c r="AI493" t="s">
        <v>1742</v>
      </c>
      <c r="AJ493" t="s">
        <v>1743</v>
      </c>
      <c r="AK493">
        <v>4</v>
      </c>
      <c r="AL493" t="s">
        <v>1737</v>
      </c>
      <c r="AO493">
        <v>101</v>
      </c>
      <c r="AP493">
        <v>32</v>
      </c>
      <c r="AS493">
        <v>650</v>
      </c>
      <c r="AT493">
        <v>650</v>
      </c>
      <c r="BQ493">
        <v>6</v>
      </c>
      <c r="BR493" t="s">
        <v>825</v>
      </c>
      <c r="BS493" t="s">
        <v>180</v>
      </c>
      <c r="BT493" t="s">
        <v>1769</v>
      </c>
      <c r="BU493" s="1">
        <v>45491</v>
      </c>
      <c r="BV493">
        <v>35239</v>
      </c>
      <c r="BX493" t="s">
        <v>169</v>
      </c>
      <c r="BY493" t="s">
        <v>170</v>
      </c>
      <c r="CB493" t="s">
        <v>170</v>
      </c>
      <c r="CC493" t="s">
        <v>170</v>
      </c>
      <c r="CK493" t="s">
        <v>233</v>
      </c>
      <c r="CM493">
        <v>1</v>
      </c>
      <c r="CN493" t="s">
        <v>234</v>
      </c>
      <c r="CP493">
        <v>800</v>
      </c>
      <c r="CQ493">
        <v>146</v>
      </c>
      <c r="CR493">
        <v>150</v>
      </c>
      <c r="CS493" t="s">
        <v>1752</v>
      </c>
      <c r="CV493" t="s">
        <v>341</v>
      </c>
      <c r="CX493" t="s">
        <v>342</v>
      </c>
      <c r="CY493" t="s">
        <v>169</v>
      </c>
      <c r="DD493">
        <v>2</v>
      </c>
      <c r="DE493" t="s">
        <v>404</v>
      </c>
      <c r="DF493" t="s">
        <v>2059</v>
      </c>
      <c r="DG493" t="s">
        <v>2060</v>
      </c>
      <c r="DL493" t="s">
        <v>170</v>
      </c>
      <c r="DM493" t="s">
        <v>169</v>
      </c>
      <c r="DP493" t="s">
        <v>170</v>
      </c>
      <c r="DQ493" t="s">
        <v>187</v>
      </c>
      <c r="EB493">
        <v>10</v>
      </c>
      <c r="EC493">
        <v>10</v>
      </c>
      <c r="EE493" t="s">
        <v>2061</v>
      </c>
      <c r="EF493">
        <v>10</v>
      </c>
      <c r="EU493">
        <v>6250</v>
      </c>
      <c r="EW493">
        <v>0</v>
      </c>
      <c r="EX493">
        <v>0</v>
      </c>
      <c r="EY493">
        <v>0</v>
      </c>
      <c r="FA493">
        <v>10</v>
      </c>
      <c r="FG493">
        <v>384</v>
      </c>
      <c r="FH493">
        <v>369</v>
      </c>
      <c r="FI493">
        <v>377</v>
      </c>
    </row>
    <row r="494" spans="1:165" x14ac:dyDescent="0.35">
      <c r="A494" s="25"/>
      <c r="B494" s="25"/>
      <c r="C494" s="25"/>
      <c r="D494" s="25"/>
      <c r="E494" s="25"/>
      <c r="F494" s="25" t="str">
        <f>_xlfn.CONCAT($A495," ",$B495," ",$D495)</f>
        <v>2025 Lucid USA, Inc Air Touring AWD w/21" wheels</v>
      </c>
      <c r="G494" s="25"/>
      <c r="H494" s="25"/>
      <c r="I494" s="25"/>
      <c r="J494" s="25"/>
      <c r="K494" s="25"/>
      <c r="L494" s="25"/>
      <c r="M494" s="25"/>
      <c r="N494" s="25"/>
      <c r="O494" s="25"/>
      <c r="P494" s="25"/>
      <c r="Q494" s="25"/>
      <c r="R494" s="25"/>
      <c r="S494" s="25"/>
      <c r="T494" s="25"/>
      <c r="U494" s="25"/>
      <c r="V494" s="25"/>
      <c r="W494" s="25"/>
      <c r="X494" s="25"/>
      <c r="Y494" s="25"/>
      <c r="Z494" s="25"/>
      <c r="AA494" s="25"/>
      <c r="AB494" s="25"/>
      <c r="AC494" s="25"/>
      <c r="AD494" s="25" t="str">
        <f>_xlfn.CONCAT($A495," ",$B495," ",$D495)</f>
        <v>2025 Lucid USA, Inc Air Touring AWD w/21" wheels</v>
      </c>
      <c r="AE494" s="25"/>
      <c r="AF494" s="25"/>
      <c r="AG494" s="25"/>
      <c r="AH494" s="25"/>
      <c r="AI494" s="25"/>
      <c r="AJ494" s="25"/>
      <c r="AK494" s="25"/>
      <c r="AL494" s="25"/>
      <c r="AM494" s="25"/>
      <c r="AN494" s="25"/>
      <c r="AO494" s="25"/>
      <c r="AP494" s="25"/>
      <c r="AQ494" s="25"/>
      <c r="AR494" s="25"/>
      <c r="AS494" s="25"/>
      <c r="AT494" s="25"/>
      <c r="AU494" s="25"/>
      <c r="AV494" s="25"/>
      <c r="AW494" s="25"/>
      <c r="AX494" s="25" t="str">
        <f>_xlfn.CONCAT($A495," ",$B495," ",$D495)</f>
        <v>2025 Lucid USA, Inc Air Touring AWD w/21" wheels</v>
      </c>
      <c r="AY494" s="25"/>
      <c r="AZ494" s="25"/>
      <c r="BA494" s="25"/>
      <c r="BB494" s="25"/>
      <c r="BC494" s="25"/>
      <c r="BD494" s="25"/>
      <c r="BE494" s="25"/>
      <c r="BF494" s="25"/>
      <c r="BG494" s="25"/>
      <c r="BH494" s="25"/>
      <c r="BI494" s="25"/>
      <c r="BJ494" s="25"/>
      <c r="BK494" s="25"/>
      <c r="BL494" s="25"/>
      <c r="BM494" s="25"/>
      <c r="BN494" s="25"/>
      <c r="BO494" s="25"/>
      <c r="BP494" s="25"/>
      <c r="BQ494" s="25"/>
      <c r="BR494" s="25" t="str">
        <f>_xlfn.CONCAT($A495," ",$B495," ",$D495)</f>
        <v>2025 Lucid USA, Inc Air Touring AWD w/21" wheels</v>
      </c>
      <c r="BS494" s="25"/>
      <c r="BT494" s="25"/>
      <c r="BU494" s="25"/>
      <c r="BV494" s="25"/>
      <c r="BX494" s="25"/>
      <c r="BY494" s="25"/>
      <c r="BZ494" s="25"/>
      <c r="CA494" s="25"/>
      <c r="CB494" s="25"/>
      <c r="CC494" s="25"/>
      <c r="CD494" s="25"/>
      <c r="CE494" s="25"/>
      <c r="CF494" s="25"/>
      <c r="CG494" s="25"/>
      <c r="CH494" s="25"/>
      <c r="CI494" s="25"/>
      <c r="CJ494" s="25"/>
      <c r="CK494" s="25"/>
      <c r="CL494" s="25"/>
      <c r="CM494" s="25"/>
      <c r="CN494" s="25"/>
      <c r="CO494" s="25"/>
      <c r="CP494" s="25" t="str">
        <f>_xlfn.CONCAT($A495," ",$B495," ",$D495)</f>
        <v>2025 Lucid USA, Inc Air Touring AWD w/21" wheels</v>
      </c>
      <c r="CQ494" s="25"/>
      <c r="CR494" s="25"/>
      <c r="CS494" s="25"/>
      <c r="CT494" s="25"/>
      <c r="CU494" s="25"/>
      <c r="CV494" s="25"/>
      <c r="CW494" s="25"/>
      <c r="CX494" s="25"/>
      <c r="CY494" s="25"/>
      <c r="CZ494" s="25"/>
      <c r="DA494" s="25"/>
      <c r="DB494" s="25"/>
      <c r="DC494" s="25"/>
      <c r="DD494" s="25"/>
      <c r="DE494" s="25"/>
      <c r="DF494" s="25"/>
      <c r="DG494" s="25"/>
      <c r="DH494" s="25"/>
      <c r="DI494" s="25" t="str">
        <f>_xlfn.CONCAT($A495," ",$B495," ",$D495)</f>
        <v>2025 Lucid USA, Inc Air Touring AWD w/21" wheels</v>
      </c>
      <c r="DJ494" s="25"/>
      <c r="DK494" s="25"/>
      <c r="DL494" s="25"/>
      <c r="DM494" s="25"/>
      <c r="DN494" s="25"/>
      <c r="DO494" s="25"/>
      <c r="DP494" s="25"/>
      <c r="DQ494" s="25"/>
      <c r="DR494" s="25"/>
      <c r="DS494" s="25"/>
      <c r="DT494" s="25"/>
      <c r="DU494" s="25"/>
      <c r="DV494" s="25"/>
      <c r="DW494" s="25"/>
      <c r="DX494" s="25"/>
      <c r="DY494" s="25"/>
      <c r="DZ494" s="25" t="str">
        <f>_xlfn.CONCAT($A495," ",$B495," ",$D495)</f>
        <v>2025 Lucid USA, Inc Air Touring AWD w/21" wheels</v>
      </c>
      <c r="EB494" s="25"/>
      <c r="EC494" s="25"/>
      <c r="ED494" s="25"/>
      <c r="EE494" s="25"/>
      <c r="EF494" s="25"/>
      <c r="EG494" s="25"/>
      <c r="EH494" s="25"/>
      <c r="EI494" s="25"/>
      <c r="EJ494" s="25"/>
      <c r="EK494" s="25"/>
      <c r="EL494" s="25"/>
      <c r="EM494" s="25"/>
      <c r="EN494" s="25"/>
      <c r="EO494" s="25"/>
      <c r="EP494" s="25"/>
      <c r="EQ494" s="25"/>
      <c r="ER494" s="25"/>
      <c r="ES494" s="25"/>
      <c r="ET494" s="25"/>
      <c r="EU494" s="25"/>
      <c r="EV494" s="25" t="str">
        <f>_xlfn.CONCAT($A495," ",$B495," ",$D495)</f>
        <v>2025 Lucid USA, Inc Air Touring AWD w/21" wheels</v>
      </c>
      <c r="EW494" s="25"/>
      <c r="EX494" s="25"/>
      <c r="EY494" s="25"/>
      <c r="EZ494" s="25"/>
      <c r="FA494" s="25"/>
      <c r="FB494" s="25"/>
      <c r="FC494" s="25"/>
      <c r="FD494" s="25"/>
      <c r="FE494" s="25"/>
      <c r="FF494" s="25"/>
      <c r="FG494" s="25"/>
    </row>
    <row r="495" spans="1:165" x14ac:dyDescent="0.35">
      <c r="A495">
        <v>2025</v>
      </c>
      <c r="B495" t="s">
        <v>2055</v>
      </c>
      <c r="C495" t="s">
        <v>2073</v>
      </c>
      <c r="D495" t="s">
        <v>2072</v>
      </c>
      <c r="E495" t="s">
        <v>2058</v>
      </c>
      <c r="F495">
        <v>15</v>
      </c>
      <c r="G495">
        <v>0</v>
      </c>
      <c r="I495" t="s">
        <v>1734</v>
      </c>
      <c r="J495">
        <v>119</v>
      </c>
      <c r="K495">
        <v>113</v>
      </c>
      <c r="L495">
        <v>116</v>
      </c>
      <c r="M495">
        <v>163.6</v>
      </c>
      <c r="N495">
        <v>155</v>
      </c>
      <c r="O495">
        <v>159.6148</v>
      </c>
      <c r="P495">
        <v>119.3626</v>
      </c>
      <c r="Q495">
        <v>113.08799999999999</v>
      </c>
      <c r="R495">
        <v>116.455</v>
      </c>
      <c r="V495" t="s">
        <v>167</v>
      </c>
      <c r="W495" t="s">
        <v>168</v>
      </c>
      <c r="Y495">
        <v>1</v>
      </c>
      <c r="Z495" t="s">
        <v>170</v>
      </c>
      <c r="AA495" t="s">
        <v>170</v>
      </c>
      <c r="AB495" t="s">
        <v>167</v>
      </c>
      <c r="AC495" t="s">
        <v>213</v>
      </c>
      <c r="AF495">
        <v>361</v>
      </c>
      <c r="AG495" t="s">
        <v>1735</v>
      </c>
      <c r="AH495" t="s">
        <v>1736</v>
      </c>
      <c r="AI495" t="s">
        <v>175</v>
      </c>
      <c r="AJ495" t="s">
        <v>176</v>
      </c>
      <c r="AK495">
        <v>4</v>
      </c>
      <c r="AL495" t="s">
        <v>1737</v>
      </c>
      <c r="AO495">
        <v>101</v>
      </c>
      <c r="AP495">
        <v>32</v>
      </c>
      <c r="AS495">
        <v>700</v>
      </c>
      <c r="AT495">
        <v>0</v>
      </c>
      <c r="BQ495">
        <v>6</v>
      </c>
      <c r="BR495" t="s">
        <v>825</v>
      </c>
      <c r="BS495" t="s">
        <v>180</v>
      </c>
      <c r="BT495" t="s">
        <v>1769</v>
      </c>
      <c r="BU495" s="1">
        <v>45491</v>
      </c>
      <c r="BV495">
        <v>35240</v>
      </c>
      <c r="BX495" t="s">
        <v>169</v>
      </c>
      <c r="BY495" t="s">
        <v>170</v>
      </c>
      <c r="CB495" t="s">
        <v>170</v>
      </c>
      <c r="CC495" t="s">
        <v>170</v>
      </c>
      <c r="CK495" t="s">
        <v>233</v>
      </c>
      <c r="CM495">
        <v>1</v>
      </c>
      <c r="CN495" t="s">
        <v>234</v>
      </c>
      <c r="CP495">
        <v>800</v>
      </c>
      <c r="CQ495">
        <v>146</v>
      </c>
      <c r="CR495">
        <v>150</v>
      </c>
      <c r="CS495" t="s">
        <v>1752</v>
      </c>
      <c r="CV495" t="s">
        <v>341</v>
      </c>
      <c r="CX495" t="s">
        <v>342</v>
      </c>
      <c r="CY495" t="s">
        <v>169</v>
      </c>
      <c r="DD495">
        <v>2</v>
      </c>
      <c r="DE495" t="s">
        <v>404</v>
      </c>
      <c r="DF495" t="s">
        <v>2059</v>
      </c>
      <c r="DG495" t="s">
        <v>2060</v>
      </c>
      <c r="DL495" t="s">
        <v>170</v>
      </c>
      <c r="DM495" t="s">
        <v>169</v>
      </c>
      <c r="DP495" t="s">
        <v>170</v>
      </c>
      <c r="DQ495" t="s">
        <v>187</v>
      </c>
      <c r="EB495">
        <v>9</v>
      </c>
      <c r="EC495">
        <v>10</v>
      </c>
      <c r="EE495" t="s">
        <v>2061</v>
      </c>
      <c r="EF495">
        <v>10</v>
      </c>
      <c r="EU495">
        <v>6000</v>
      </c>
      <c r="EW495">
        <v>0</v>
      </c>
      <c r="EX495">
        <v>0</v>
      </c>
      <c r="EY495">
        <v>0</v>
      </c>
      <c r="FA495">
        <v>10</v>
      </c>
      <c r="FG495">
        <v>370</v>
      </c>
      <c r="FH495">
        <v>350</v>
      </c>
      <c r="FI495">
        <v>361</v>
      </c>
    </row>
    <row r="496" spans="1:165" x14ac:dyDescent="0.35">
      <c r="A496">
        <v>2025</v>
      </c>
      <c r="B496" t="s">
        <v>2055</v>
      </c>
      <c r="C496" t="s">
        <v>2073</v>
      </c>
      <c r="D496" t="s">
        <v>2072</v>
      </c>
      <c r="E496" t="s">
        <v>2058</v>
      </c>
      <c r="F496">
        <v>15</v>
      </c>
      <c r="G496">
        <v>0</v>
      </c>
      <c r="I496" t="s">
        <v>1734</v>
      </c>
      <c r="J496">
        <v>28</v>
      </c>
      <c r="K496">
        <v>30</v>
      </c>
      <c r="L496">
        <v>29</v>
      </c>
      <c r="M496">
        <v>20.597999999999999</v>
      </c>
      <c r="N496">
        <v>21.748999999999999</v>
      </c>
      <c r="O496">
        <v>21.116</v>
      </c>
      <c r="P496">
        <v>28.237500000000001</v>
      </c>
      <c r="Q496">
        <v>29.804200000000002</v>
      </c>
      <c r="R496">
        <v>28.942499999999999</v>
      </c>
      <c r="V496" t="s">
        <v>167</v>
      </c>
      <c r="W496" t="s">
        <v>168</v>
      </c>
      <c r="Y496">
        <v>1</v>
      </c>
      <c r="Z496" t="s">
        <v>170</v>
      </c>
      <c r="AA496" t="s">
        <v>170</v>
      </c>
      <c r="AB496" t="s">
        <v>167</v>
      </c>
      <c r="AC496" t="s">
        <v>213</v>
      </c>
      <c r="AF496">
        <v>361</v>
      </c>
      <c r="AG496" t="s">
        <v>1735</v>
      </c>
      <c r="AH496" t="s">
        <v>1736</v>
      </c>
      <c r="AI496" t="s">
        <v>1742</v>
      </c>
      <c r="AJ496" t="s">
        <v>1743</v>
      </c>
      <c r="AK496">
        <v>4</v>
      </c>
      <c r="AL496" t="s">
        <v>1737</v>
      </c>
      <c r="AO496">
        <v>101</v>
      </c>
      <c r="AP496">
        <v>32</v>
      </c>
      <c r="AS496">
        <v>700</v>
      </c>
      <c r="AT496">
        <v>700</v>
      </c>
      <c r="BQ496">
        <v>6</v>
      </c>
      <c r="BR496" t="s">
        <v>825</v>
      </c>
      <c r="BS496" t="s">
        <v>180</v>
      </c>
      <c r="BT496" t="s">
        <v>1769</v>
      </c>
      <c r="BU496" s="1">
        <v>45491</v>
      </c>
      <c r="BV496">
        <v>35240</v>
      </c>
      <c r="BX496" t="s">
        <v>169</v>
      </c>
      <c r="BY496" t="s">
        <v>170</v>
      </c>
      <c r="CB496" t="s">
        <v>170</v>
      </c>
      <c r="CC496" t="s">
        <v>170</v>
      </c>
      <c r="CK496" t="s">
        <v>233</v>
      </c>
      <c r="CM496">
        <v>1</v>
      </c>
      <c r="CN496" t="s">
        <v>234</v>
      </c>
      <c r="CP496">
        <v>800</v>
      </c>
      <c r="CQ496">
        <v>146</v>
      </c>
      <c r="CR496">
        <v>150</v>
      </c>
      <c r="CS496" t="s">
        <v>1752</v>
      </c>
      <c r="CV496" t="s">
        <v>341</v>
      </c>
      <c r="CX496" t="s">
        <v>342</v>
      </c>
      <c r="CY496" t="s">
        <v>169</v>
      </c>
      <c r="DD496">
        <v>2</v>
      </c>
      <c r="DE496" t="s">
        <v>404</v>
      </c>
      <c r="DF496" t="s">
        <v>2059</v>
      </c>
      <c r="DG496" t="s">
        <v>2060</v>
      </c>
      <c r="DL496" t="s">
        <v>170</v>
      </c>
      <c r="DM496" t="s">
        <v>169</v>
      </c>
      <c r="DP496" t="s">
        <v>170</v>
      </c>
      <c r="DQ496" t="s">
        <v>187</v>
      </c>
      <c r="EB496">
        <v>9</v>
      </c>
      <c r="EC496">
        <v>10</v>
      </c>
      <c r="EE496" t="s">
        <v>2061</v>
      </c>
      <c r="EF496">
        <v>10</v>
      </c>
      <c r="EU496">
        <v>6000</v>
      </c>
      <c r="EW496">
        <v>0</v>
      </c>
      <c r="EX496">
        <v>0</v>
      </c>
      <c r="EY496">
        <v>0</v>
      </c>
      <c r="FA496">
        <v>10</v>
      </c>
      <c r="FG496">
        <v>370</v>
      </c>
      <c r="FH496">
        <v>350</v>
      </c>
      <c r="FI496">
        <v>361</v>
      </c>
    </row>
    <row r="497" spans="1:165" x14ac:dyDescent="0.35">
      <c r="A497" s="25"/>
      <c r="B497" s="25"/>
      <c r="C497" s="25"/>
      <c r="D497" s="25"/>
      <c r="E497" s="25"/>
      <c r="F497" s="25" t="str">
        <f>_xlfn.CONCAT($A498," ",$B498," ",$D498)</f>
        <v>2025 Lucid USA, Inc Air Sapphire AWD</v>
      </c>
      <c r="G497" s="25"/>
      <c r="H497" s="25"/>
      <c r="I497" s="25"/>
      <c r="J497" s="25"/>
      <c r="K497" s="25"/>
      <c r="L497" s="25"/>
      <c r="M497" s="25"/>
      <c r="N497" s="25"/>
      <c r="O497" s="25"/>
      <c r="P497" s="25"/>
      <c r="Q497" s="25"/>
      <c r="R497" s="25"/>
      <c r="S497" s="25"/>
      <c r="T497" s="25"/>
      <c r="U497" s="25"/>
      <c r="V497" s="25"/>
      <c r="W497" s="25"/>
      <c r="X497" s="25"/>
      <c r="Y497" s="25"/>
      <c r="Z497" s="25"/>
      <c r="AA497" s="25"/>
      <c r="AB497" s="25"/>
      <c r="AC497" s="25"/>
      <c r="AD497" s="25" t="str">
        <f>_xlfn.CONCAT($A498," ",$B498," ",$D498)</f>
        <v>2025 Lucid USA, Inc Air Sapphire AWD</v>
      </c>
      <c r="AE497" s="25"/>
      <c r="AF497" s="25"/>
      <c r="AG497" s="25"/>
      <c r="AH497" s="25"/>
      <c r="AI497" s="25"/>
      <c r="AJ497" s="25"/>
      <c r="AK497" s="25"/>
      <c r="AL497" s="25"/>
      <c r="AM497" s="25"/>
      <c r="AN497" s="25"/>
      <c r="AO497" s="25"/>
      <c r="AP497" s="25"/>
      <c r="AQ497" s="25"/>
      <c r="AR497" s="25"/>
      <c r="AS497" s="25"/>
      <c r="AT497" s="25"/>
      <c r="AU497" s="25"/>
      <c r="AV497" s="25"/>
      <c r="AW497" s="25"/>
      <c r="AX497" s="25" t="str">
        <f>_xlfn.CONCAT($A498," ",$B498," ",$D498)</f>
        <v>2025 Lucid USA, Inc Air Sapphire AWD</v>
      </c>
      <c r="AY497" s="25"/>
      <c r="AZ497" s="25"/>
      <c r="BA497" s="25"/>
      <c r="BB497" s="25"/>
      <c r="BC497" s="25"/>
      <c r="BD497" s="25"/>
      <c r="BE497" s="25"/>
      <c r="BF497" s="25"/>
      <c r="BG497" s="25"/>
      <c r="BH497" s="25"/>
      <c r="BI497" s="25"/>
      <c r="BJ497" s="25"/>
      <c r="BK497" s="25"/>
      <c r="BL497" s="25"/>
      <c r="BM497" s="25"/>
      <c r="BN497" s="25"/>
      <c r="BO497" s="25"/>
      <c r="BP497" s="25"/>
      <c r="BQ497" s="25"/>
      <c r="BR497" s="25" t="str">
        <f>_xlfn.CONCAT($A498," ",$B498," ",$D498)</f>
        <v>2025 Lucid USA, Inc Air Sapphire AWD</v>
      </c>
      <c r="BS497" s="25"/>
      <c r="BT497" s="25"/>
      <c r="BU497" s="25"/>
      <c r="BV497" s="25"/>
      <c r="BX497" s="25"/>
      <c r="BY497" s="25"/>
      <c r="BZ497" s="25"/>
      <c r="CA497" s="25"/>
      <c r="CB497" s="25"/>
      <c r="CC497" s="25"/>
      <c r="CD497" s="25"/>
      <c r="CE497" s="25"/>
      <c r="CF497" s="25"/>
      <c r="CG497" s="25"/>
      <c r="CH497" s="25"/>
      <c r="CI497" s="25"/>
      <c r="CJ497" s="25"/>
      <c r="CK497" s="25"/>
      <c r="CL497" s="25"/>
      <c r="CM497" s="25"/>
      <c r="CN497" s="25"/>
      <c r="CO497" s="25"/>
      <c r="CP497" s="25" t="str">
        <f>_xlfn.CONCAT($A498," ",$B498," ",$D498)</f>
        <v>2025 Lucid USA, Inc Air Sapphire AWD</v>
      </c>
      <c r="CQ497" s="25"/>
      <c r="CR497" s="25"/>
      <c r="CS497" s="25"/>
      <c r="CT497" s="25"/>
      <c r="CU497" s="25"/>
      <c r="CV497" s="25"/>
      <c r="CW497" s="25"/>
      <c r="CX497" s="25"/>
      <c r="CY497" s="25"/>
      <c r="CZ497" s="25"/>
      <c r="DA497" s="25"/>
      <c r="DB497" s="25"/>
      <c r="DC497" s="25"/>
      <c r="DD497" s="25"/>
      <c r="DE497" s="25"/>
      <c r="DF497" s="25"/>
      <c r="DG497" s="25"/>
      <c r="DH497" s="25"/>
      <c r="DI497" s="25" t="str">
        <f>_xlfn.CONCAT($A498," ",$B498," ",$D498)</f>
        <v>2025 Lucid USA, Inc Air Sapphire AWD</v>
      </c>
      <c r="DJ497" s="25"/>
      <c r="DK497" s="25"/>
      <c r="DL497" s="25"/>
      <c r="DM497" s="25"/>
      <c r="DN497" s="25"/>
      <c r="DO497" s="25"/>
      <c r="DP497" s="25"/>
      <c r="DQ497" s="25"/>
      <c r="DR497" s="25"/>
      <c r="DS497" s="25"/>
      <c r="DT497" s="25"/>
      <c r="DU497" s="25"/>
      <c r="DV497" s="25"/>
      <c r="DW497" s="25"/>
      <c r="DX497" s="25"/>
      <c r="DY497" s="25"/>
      <c r="DZ497" s="25" t="str">
        <f>_xlfn.CONCAT($A498," ",$B498," ",$D498)</f>
        <v>2025 Lucid USA, Inc Air Sapphire AWD</v>
      </c>
      <c r="EB497" s="25"/>
      <c r="EC497" s="25"/>
      <c r="ED497" s="25"/>
      <c r="EE497" s="25"/>
      <c r="EF497" s="25"/>
      <c r="EG497" s="25"/>
      <c r="EH497" s="25"/>
      <c r="EI497" s="25"/>
      <c r="EJ497" s="25"/>
      <c r="EK497" s="25"/>
      <c r="EL497" s="25"/>
      <c r="EM497" s="25"/>
      <c r="EN497" s="25"/>
      <c r="EO497" s="25"/>
      <c r="EP497" s="25"/>
      <c r="EQ497" s="25"/>
      <c r="ER497" s="25"/>
      <c r="ES497" s="25"/>
      <c r="ET497" s="25"/>
      <c r="EU497" s="25"/>
      <c r="EV497" s="25" t="str">
        <f>_xlfn.CONCAT($A498," ",$B498," ",$D498)</f>
        <v>2025 Lucid USA, Inc Air Sapphire AWD</v>
      </c>
      <c r="EW497" s="25"/>
      <c r="EX497" s="25"/>
      <c r="EY497" s="25"/>
      <c r="EZ497" s="25"/>
      <c r="FA497" s="25"/>
      <c r="FB497" s="25"/>
      <c r="FC497" s="25"/>
      <c r="FD497" s="25"/>
      <c r="FE497" s="25"/>
      <c r="FF497" s="25"/>
      <c r="FG497" s="25"/>
    </row>
    <row r="498" spans="1:165" x14ac:dyDescent="0.35">
      <c r="A498">
        <v>2025</v>
      </c>
      <c r="B498" t="s">
        <v>2055</v>
      </c>
      <c r="C498" t="s">
        <v>2073</v>
      </c>
      <c r="D498" t="s">
        <v>2067</v>
      </c>
      <c r="E498" t="s">
        <v>2058</v>
      </c>
      <c r="F498">
        <v>19</v>
      </c>
      <c r="G498">
        <v>0</v>
      </c>
      <c r="I498" t="s">
        <v>1734</v>
      </c>
      <c r="J498">
        <v>108</v>
      </c>
      <c r="K498">
        <v>101</v>
      </c>
      <c r="L498">
        <v>105</v>
      </c>
      <c r="M498">
        <v>149.19999999999999</v>
      </c>
      <c r="N498">
        <v>140.1</v>
      </c>
      <c r="O498">
        <v>144.96289999999999</v>
      </c>
      <c r="P498">
        <v>107.9611</v>
      </c>
      <c r="Q498">
        <v>101.3764</v>
      </c>
      <c r="R498">
        <v>104.8952</v>
      </c>
      <c r="V498" t="s">
        <v>167</v>
      </c>
      <c r="W498" t="s">
        <v>168</v>
      </c>
      <c r="Y498">
        <v>1</v>
      </c>
      <c r="Z498" t="s">
        <v>170</v>
      </c>
      <c r="AA498" t="s">
        <v>170</v>
      </c>
      <c r="AB498" t="s">
        <v>167</v>
      </c>
      <c r="AC498" t="s">
        <v>213</v>
      </c>
      <c r="AF498">
        <v>427</v>
      </c>
      <c r="AG498" t="s">
        <v>1735</v>
      </c>
      <c r="AH498" t="s">
        <v>1736</v>
      </c>
      <c r="AI498" t="s">
        <v>175</v>
      </c>
      <c r="AJ498" t="s">
        <v>176</v>
      </c>
      <c r="AK498">
        <v>4</v>
      </c>
      <c r="AL498" t="s">
        <v>1737</v>
      </c>
      <c r="AO498">
        <v>99</v>
      </c>
      <c r="AP498">
        <v>32</v>
      </c>
      <c r="AS498">
        <v>750</v>
      </c>
      <c r="AT498">
        <v>0</v>
      </c>
      <c r="BQ498">
        <v>6</v>
      </c>
      <c r="BR498" t="s">
        <v>825</v>
      </c>
      <c r="BS498" t="s">
        <v>180</v>
      </c>
      <c r="BT498" t="s">
        <v>1769</v>
      </c>
      <c r="BU498" s="1">
        <v>45490</v>
      </c>
      <c r="BV498">
        <v>35220</v>
      </c>
      <c r="BX498" t="s">
        <v>169</v>
      </c>
      <c r="BY498" t="s">
        <v>170</v>
      </c>
      <c r="CB498" t="s">
        <v>170</v>
      </c>
      <c r="CC498" t="s">
        <v>170</v>
      </c>
      <c r="CK498" t="s">
        <v>233</v>
      </c>
      <c r="CM498">
        <v>1</v>
      </c>
      <c r="CN498" t="s">
        <v>234</v>
      </c>
      <c r="CP498">
        <v>800</v>
      </c>
      <c r="CQ498">
        <v>146</v>
      </c>
      <c r="CR498">
        <v>171</v>
      </c>
      <c r="CS498" t="s">
        <v>1752</v>
      </c>
      <c r="CV498" t="s">
        <v>341</v>
      </c>
      <c r="CX498" t="s">
        <v>342</v>
      </c>
      <c r="CY498" t="s">
        <v>169</v>
      </c>
      <c r="DD498">
        <v>3</v>
      </c>
      <c r="DE498" t="s">
        <v>404</v>
      </c>
      <c r="DF498" t="s">
        <v>2059</v>
      </c>
      <c r="DG498">
        <v>310</v>
      </c>
      <c r="DL498" t="s">
        <v>170</v>
      </c>
      <c r="DM498" t="s">
        <v>169</v>
      </c>
      <c r="DP498" t="s">
        <v>170</v>
      </c>
      <c r="DQ498" t="s">
        <v>187</v>
      </c>
      <c r="EB498">
        <v>9</v>
      </c>
      <c r="EC498">
        <v>10</v>
      </c>
      <c r="EE498" t="s">
        <v>2069</v>
      </c>
      <c r="EF498">
        <v>10</v>
      </c>
      <c r="EU498">
        <v>5750</v>
      </c>
      <c r="EW498">
        <v>0</v>
      </c>
      <c r="EX498">
        <v>0</v>
      </c>
      <c r="EY498">
        <v>0</v>
      </c>
      <c r="FA498">
        <v>13</v>
      </c>
      <c r="FG498">
        <v>439</v>
      </c>
      <c r="FH498">
        <v>412</v>
      </c>
      <c r="FI498">
        <v>427</v>
      </c>
    </row>
    <row r="499" spans="1:165" x14ac:dyDescent="0.35">
      <c r="A499">
        <v>2025</v>
      </c>
      <c r="B499" t="s">
        <v>2055</v>
      </c>
      <c r="C499" t="s">
        <v>2073</v>
      </c>
      <c r="D499" t="s">
        <v>2067</v>
      </c>
      <c r="E499" t="s">
        <v>2058</v>
      </c>
      <c r="F499">
        <v>19</v>
      </c>
      <c r="G499">
        <v>0</v>
      </c>
      <c r="I499" t="s">
        <v>1734</v>
      </c>
      <c r="J499">
        <v>31</v>
      </c>
      <c r="K499">
        <v>33</v>
      </c>
      <c r="L499">
        <v>32</v>
      </c>
      <c r="M499">
        <v>22.594999999999999</v>
      </c>
      <c r="N499">
        <v>24.062999999999999</v>
      </c>
      <c r="O499">
        <v>23.255600000000001</v>
      </c>
      <c r="P499">
        <v>31.2196</v>
      </c>
      <c r="Q499">
        <v>33.247399999999999</v>
      </c>
      <c r="R499">
        <v>32.132100000000001</v>
      </c>
      <c r="V499" t="s">
        <v>167</v>
      </c>
      <c r="W499" t="s">
        <v>168</v>
      </c>
      <c r="Y499">
        <v>1</v>
      </c>
      <c r="Z499" t="s">
        <v>170</v>
      </c>
      <c r="AA499" t="s">
        <v>170</v>
      </c>
      <c r="AB499" t="s">
        <v>167</v>
      </c>
      <c r="AC499" t="s">
        <v>213</v>
      </c>
      <c r="AF499">
        <v>427</v>
      </c>
      <c r="AG499" t="s">
        <v>1735</v>
      </c>
      <c r="AH499" t="s">
        <v>1736</v>
      </c>
      <c r="AI499" t="s">
        <v>1742</v>
      </c>
      <c r="AJ499" t="s">
        <v>1743</v>
      </c>
      <c r="AK499">
        <v>4</v>
      </c>
      <c r="AL499" t="s">
        <v>1737</v>
      </c>
      <c r="AO499">
        <v>99</v>
      </c>
      <c r="AP499">
        <v>32</v>
      </c>
      <c r="AS499">
        <v>750</v>
      </c>
      <c r="AT499">
        <v>750</v>
      </c>
      <c r="BQ499">
        <v>6</v>
      </c>
      <c r="BR499" t="s">
        <v>825</v>
      </c>
      <c r="BS499" t="s">
        <v>180</v>
      </c>
      <c r="BT499" t="s">
        <v>1769</v>
      </c>
      <c r="BU499" s="1">
        <v>45490</v>
      </c>
      <c r="BV499">
        <v>35220</v>
      </c>
      <c r="BX499" t="s">
        <v>169</v>
      </c>
      <c r="BY499" t="s">
        <v>170</v>
      </c>
      <c r="CB499" t="s">
        <v>170</v>
      </c>
      <c r="CC499" t="s">
        <v>170</v>
      </c>
      <c r="CK499" t="s">
        <v>233</v>
      </c>
      <c r="CM499">
        <v>1</v>
      </c>
      <c r="CN499" t="s">
        <v>234</v>
      </c>
      <c r="CP499">
        <v>800</v>
      </c>
      <c r="CQ499">
        <v>146</v>
      </c>
      <c r="CR499">
        <v>171</v>
      </c>
      <c r="CS499" t="s">
        <v>1752</v>
      </c>
      <c r="CV499" t="s">
        <v>341</v>
      </c>
      <c r="CX499" t="s">
        <v>342</v>
      </c>
      <c r="CY499" t="s">
        <v>169</v>
      </c>
      <c r="DD499">
        <v>3</v>
      </c>
      <c r="DE499" t="s">
        <v>404</v>
      </c>
      <c r="DF499" t="s">
        <v>2059</v>
      </c>
      <c r="DG499">
        <v>310</v>
      </c>
      <c r="DL499" t="s">
        <v>170</v>
      </c>
      <c r="DM499" t="s">
        <v>169</v>
      </c>
      <c r="DP499" t="s">
        <v>170</v>
      </c>
      <c r="DQ499" t="s">
        <v>187</v>
      </c>
      <c r="EB499">
        <v>9</v>
      </c>
      <c r="EC499">
        <v>10</v>
      </c>
      <c r="EE499" t="s">
        <v>2069</v>
      </c>
      <c r="EF499">
        <v>10</v>
      </c>
      <c r="EU499">
        <v>5750</v>
      </c>
      <c r="EW499">
        <v>0</v>
      </c>
      <c r="EX499">
        <v>0</v>
      </c>
      <c r="EY499">
        <v>0</v>
      </c>
      <c r="FA499">
        <v>13</v>
      </c>
      <c r="FG499">
        <v>439</v>
      </c>
      <c r="FH499">
        <v>412</v>
      </c>
      <c r="FI499">
        <v>427</v>
      </c>
    </row>
    <row r="500" spans="1:165" x14ac:dyDescent="0.35">
      <c r="A500" s="25"/>
      <c r="B500" s="25"/>
      <c r="C500" s="25"/>
      <c r="D500" s="25"/>
      <c r="E500" s="25"/>
      <c r="F500" s="25" t="str">
        <f>_xlfn.CONCAT($A501," ",$B501," ",$D501)</f>
        <v>2025 Lucid USA, Inc Gravity GT w/20F21R wheels (2R)</v>
      </c>
      <c r="G500" s="25"/>
      <c r="H500" s="25"/>
      <c r="I500" s="25"/>
      <c r="J500" s="25"/>
      <c r="K500" s="25"/>
      <c r="L500" s="25"/>
      <c r="M500" s="25"/>
      <c r="N500" s="25"/>
      <c r="O500" s="25"/>
      <c r="P500" s="25"/>
      <c r="Q500" s="25"/>
      <c r="R500" s="25"/>
      <c r="S500" s="25"/>
      <c r="T500" s="25"/>
      <c r="U500" s="25"/>
      <c r="V500" s="25"/>
      <c r="W500" s="25"/>
      <c r="X500" s="25"/>
      <c r="Y500" s="25"/>
      <c r="Z500" s="25"/>
      <c r="AA500" s="25"/>
      <c r="AB500" s="25"/>
      <c r="AC500" s="25"/>
      <c r="AD500" s="25" t="str">
        <f>_xlfn.CONCAT($A501," ",$B501," ",$D501)</f>
        <v>2025 Lucid USA, Inc Gravity GT w/20F21R wheels (2R)</v>
      </c>
      <c r="AE500" s="25"/>
      <c r="AF500" s="25"/>
      <c r="AG500" s="25"/>
      <c r="AH500" s="25"/>
      <c r="AI500" s="25"/>
      <c r="AJ500" s="25"/>
      <c r="AK500" s="25"/>
      <c r="AL500" s="25"/>
      <c r="AM500" s="25"/>
      <c r="AN500" s="25"/>
      <c r="AO500" s="25"/>
      <c r="AP500" s="25"/>
      <c r="AQ500" s="25"/>
      <c r="AR500" s="25"/>
      <c r="AS500" s="25"/>
      <c r="AT500" s="25"/>
      <c r="AU500" s="25"/>
      <c r="AV500" s="25"/>
      <c r="AW500" s="25"/>
      <c r="AX500" s="25" t="str">
        <f>_xlfn.CONCAT($A501," ",$B501," ",$D501)</f>
        <v>2025 Lucid USA, Inc Gravity GT w/20F21R wheels (2R)</v>
      </c>
      <c r="AY500" s="25"/>
      <c r="AZ500" s="25"/>
      <c r="BA500" s="25"/>
      <c r="BB500" s="25"/>
      <c r="BC500" s="25"/>
      <c r="BD500" s="25"/>
      <c r="BE500" s="25"/>
      <c r="BF500" s="25"/>
      <c r="BG500" s="25"/>
      <c r="BH500" s="25"/>
      <c r="BI500" s="25"/>
      <c r="BJ500" s="25"/>
      <c r="BK500" s="25"/>
      <c r="BL500" s="25"/>
      <c r="BM500" s="25"/>
      <c r="BN500" s="25"/>
      <c r="BO500" s="25"/>
      <c r="BP500" s="25"/>
      <c r="BQ500" s="25"/>
      <c r="BR500" s="25" t="str">
        <f>_xlfn.CONCAT($A501," ",$B501," ",$D501)</f>
        <v>2025 Lucid USA, Inc Gravity GT w/20F21R wheels (2R)</v>
      </c>
      <c r="BS500" s="25"/>
      <c r="BT500" s="25"/>
      <c r="BU500" s="25"/>
      <c r="BV500" s="25"/>
      <c r="BX500" s="25"/>
      <c r="BY500" s="25"/>
      <c r="BZ500" s="25"/>
      <c r="CA500" s="25"/>
      <c r="CB500" s="25"/>
      <c r="CC500" s="25"/>
      <c r="CD500" s="25"/>
      <c r="CE500" s="25"/>
      <c r="CF500" s="25"/>
      <c r="CG500" s="25"/>
      <c r="CH500" s="25"/>
      <c r="CI500" s="25"/>
      <c r="CJ500" s="25"/>
      <c r="CK500" s="25"/>
      <c r="CL500" s="25"/>
      <c r="CM500" s="25"/>
      <c r="CN500" s="25"/>
      <c r="CO500" s="25"/>
      <c r="CP500" s="25" t="str">
        <f>_xlfn.CONCAT($A501," ",$B501," ",$D501)</f>
        <v>2025 Lucid USA, Inc Gravity GT w/20F21R wheels (2R)</v>
      </c>
      <c r="CQ500" s="25"/>
      <c r="CR500" s="25"/>
      <c r="CS500" s="25"/>
      <c r="CT500" s="25"/>
      <c r="CU500" s="25"/>
      <c r="CV500" s="25"/>
      <c r="CW500" s="25"/>
      <c r="CX500" s="25"/>
      <c r="CY500" s="25"/>
      <c r="CZ500" s="25"/>
      <c r="DA500" s="25"/>
      <c r="DB500" s="25"/>
      <c r="DC500" s="25"/>
      <c r="DD500" s="25"/>
      <c r="DE500" s="25"/>
      <c r="DF500" s="25"/>
      <c r="DG500" s="25"/>
      <c r="DH500" s="25"/>
      <c r="DI500" s="25" t="str">
        <f>_xlfn.CONCAT($A501," ",$B501," ",$D501)</f>
        <v>2025 Lucid USA, Inc Gravity GT w/20F21R wheels (2R)</v>
      </c>
      <c r="DJ500" s="25"/>
      <c r="DK500" s="25"/>
      <c r="DL500" s="25"/>
      <c r="DM500" s="25"/>
      <c r="DN500" s="25"/>
      <c r="DO500" s="25"/>
      <c r="DP500" s="25"/>
      <c r="DQ500" s="25"/>
      <c r="DR500" s="25"/>
      <c r="DS500" s="25"/>
      <c r="DT500" s="25"/>
      <c r="DU500" s="25"/>
      <c r="DV500" s="25"/>
      <c r="DW500" s="25"/>
      <c r="DX500" s="25"/>
      <c r="DY500" s="25"/>
      <c r="DZ500" s="25" t="str">
        <f>_xlfn.CONCAT($A501," ",$B501," ",$D501)</f>
        <v>2025 Lucid USA, Inc Gravity GT w/20F21R wheels (2R)</v>
      </c>
      <c r="EB500" s="25"/>
      <c r="EC500" s="25"/>
      <c r="ED500" s="25"/>
      <c r="EE500" s="25"/>
      <c r="EF500" s="25"/>
      <c r="EG500" s="25"/>
      <c r="EH500" s="25"/>
      <c r="EI500" s="25"/>
      <c r="EJ500" s="25"/>
      <c r="EK500" s="25"/>
      <c r="EL500" s="25"/>
      <c r="EM500" s="25"/>
      <c r="EN500" s="25"/>
      <c r="EO500" s="25"/>
      <c r="EP500" s="25"/>
      <c r="EQ500" s="25"/>
      <c r="ER500" s="25"/>
      <c r="ES500" s="25"/>
      <c r="ET500" s="25"/>
      <c r="EU500" s="25"/>
      <c r="EV500" s="25" t="str">
        <f>_xlfn.CONCAT($A501," ",$B501," ",$D501)</f>
        <v>2025 Lucid USA, Inc Gravity GT w/20F21R wheels (2R)</v>
      </c>
      <c r="EW500" s="25"/>
      <c r="EX500" s="25"/>
      <c r="EY500" s="25"/>
      <c r="EZ500" s="25"/>
      <c r="FA500" s="25"/>
      <c r="FB500" s="25"/>
      <c r="FC500" s="25"/>
      <c r="FD500" s="25"/>
      <c r="FE500" s="25"/>
      <c r="FF500" s="25"/>
      <c r="FG500" s="25"/>
    </row>
    <row r="501" spans="1:165" x14ac:dyDescent="0.35">
      <c r="A501">
        <v>2025</v>
      </c>
      <c r="B501" t="s">
        <v>2055</v>
      </c>
      <c r="C501" t="s">
        <v>2073</v>
      </c>
      <c r="D501" t="s">
        <v>2074</v>
      </c>
      <c r="E501" t="s">
        <v>2058</v>
      </c>
      <c r="F501">
        <v>20</v>
      </c>
      <c r="G501">
        <v>0</v>
      </c>
      <c r="I501" t="s">
        <v>1734</v>
      </c>
      <c r="J501">
        <v>113</v>
      </c>
      <c r="K501">
        <v>103</v>
      </c>
      <c r="L501">
        <v>108</v>
      </c>
      <c r="M501">
        <v>158.5</v>
      </c>
      <c r="N501">
        <v>144</v>
      </c>
      <c r="O501">
        <v>151.6293</v>
      </c>
      <c r="P501">
        <v>113.3434</v>
      </c>
      <c r="Q501">
        <v>102.9744</v>
      </c>
      <c r="R501">
        <v>108.4301</v>
      </c>
      <c r="V501" t="s">
        <v>167</v>
      </c>
      <c r="W501" t="s">
        <v>168</v>
      </c>
      <c r="Y501">
        <v>1</v>
      </c>
      <c r="Z501" t="s">
        <v>170</v>
      </c>
      <c r="AA501" t="s">
        <v>170</v>
      </c>
      <c r="AB501" t="s">
        <v>167</v>
      </c>
      <c r="AC501" t="s">
        <v>213</v>
      </c>
      <c r="AF501">
        <v>450</v>
      </c>
      <c r="AG501" t="s">
        <v>1735</v>
      </c>
      <c r="AH501" t="s">
        <v>1736</v>
      </c>
      <c r="AI501" t="s">
        <v>175</v>
      </c>
      <c r="AJ501" t="s">
        <v>176</v>
      </c>
      <c r="AK501">
        <v>4</v>
      </c>
      <c r="AL501" t="s">
        <v>1737</v>
      </c>
      <c r="AS501">
        <v>750</v>
      </c>
      <c r="AT501">
        <v>0</v>
      </c>
      <c r="BQ501">
        <v>33</v>
      </c>
      <c r="BR501" t="s">
        <v>1497</v>
      </c>
      <c r="BT501" t="s">
        <v>1769</v>
      </c>
      <c r="BU501" s="1">
        <v>45663</v>
      </c>
      <c r="BV501">
        <v>36032</v>
      </c>
      <c r="BX501" t="s">
        <v>169</v>
      </c>
      <c r="BY501" t="s">
        <v>170</v>
      </c>
      <c r="CB501" t="s">
        <v>170</v>
      </c>
      <c r="CC501" t="s">
        <v>170</v>
      </c>
      <c r="CK501" t="s">
        <v>233</v>
      </c>
      <c r="CM501">
        <v>1</v>
      </c>
      <c r="CN501" t="s">
        <v>234</v>
      </c>
      <c r="CP501">
        <v>810</v>
      </c>
      <c r="CQ501">
        <v>152</v>
      </c>
      <c r="CR501">
        <v>181</v>
      </c>
      <c r="CS501" t="s">
        <v>1752</v>
      </c>
      <c r="CV501" t="s">
        <v>341</v>
      </c>
      <c r="CX501" t="s">
        <v>342</v>
      </c>
      <c r="CY501" t="s">
        <v>169</v>
      </c>
      <c r="DD501">
        <v>2</v>
      </c>
      <c r="DE501" t="s">
        <v>404</v>
      </c>
      <c r="DF501" t="s">
        <v>2059</v>
      </c>
      <c r="DG501" t="s">
        <v>2075</v>
      </c>
      <c r="DL501" t="s">
        <v>170</v>
      </c>
      <c r="DM501" t="s">
        <v>169</v>
      </c>
      <c r="DP501" t="s">
        <v>170</v>
      </c>
      <c r="DQ501" t="s">
        <v>187</v>
      </c>
      <c r="EB501">
        <v>9</v>
      </c>
      <c r="EC501">
        <v>10</v>
      </c>
      <c r="EE501" t="s">
        <v>2076</v>
      </c>
      <c r="EF501">
        <v>10</v>
      </c>
      <c r="EU501">
        <v>5750</v>
      </c>
      <c r="EW501">
        <v>0</v>
      </c>
      <c r="EX501">
        <v>0</v>
      </c>
      <c r="EY501">
        <v>0</v>
      </c>
      <c r="FA501">
        <v>9.5</v>
      </c>
      <c r="FG501">
        <v>469</v>
      </c>
      <c r="FH501">
        <v>426</v>
      </c>
      <c r="FI501">
        <v>450</v>
      </c>
    </row>
    <row r="502" spans="1:165" x14ac:dyDescent="0.35">
      <c r="A502">
        <v>2025</v>
      </c>
      <c r="B502" t="s">
        <v>2055</v>
      </c>
      <c r="C502" t="s">
        <v>2073</v>
      </c>
      <c r="D502" t="s">
        <v>2074</v>
      </c>
      <c r="E502" t="s">
        <v>2058</v>
      </c>
      <c r="F502">
        <v>20</v>
      </c>
      <c r="G502">
        <v>0</v>
      </c>
      <c r="I502" t="s">
        <v>1734</v>
      </c>
      <c r="J502">
        <v>30</v>
      </c>
      <c r="K502">
        <v>33</v>
      </c>
      <c r="L502">
        <v>31</v>
      </c>
      <c r="M502">
        <v>21.267299999999999</v>
      </c>
      <c r="N502">
        <v>23.407599999999999</v>
      </c>
      <c r="O502">
        <v>22.230399999999999</v>
      </c>
      <c r="P502">
        <v>29.737100000000002</v>
      </c>
      <c r="Q502">
        <v>32.731400000000001</v>
      </c>
      <c r="R502">
        <v>31.084499999999998</v>
      </c>
      <c r="V502" t="s">
        <v>167</v>
      </c>
      <c r="W502" t="s">
        <v>168</v>
      </c>
      <c r="Y502">
        <v>1</v>
      </c>
      <c r="Z502" t="s">
        <v>170</v>
      </c>
      <c r="AA502" t="s">
        <v>170</v>
      </c>
      <c r="AB502" t="s">
        <v>167</v>
      </c>
      <c r="AC502" t="s">
        <v>213</v>
      </c>
      <c r="AF502">
        <v>450</v>
      </c>
      <c r="AG502" t="s">
        <v>1735</v>
      </c>
      <c r="AH502" t="s">
        <v>1736</v>
      </c>
      <c r="AI502" t="s">
        <v>1742</v>
      </c>
      <c r="AJ502" t="s">
        <v>1743</v>
      </c>
      <c r="AK502">
        <v>4</v>
      </c>
      <c r="AL502" t="s">
        <v>1737</v>
      </c>
      <c r="AS502">
        <v>750</v>
      </c>
      <c r="AT502">
        <v>750</v>
      </c>
      <c r="BQ502">
        <v>33</v>
      </c>
      <c r="BR502" t="s">
        <v>1497</v>
      </c>
      <c r="BT502" t="s">
        <v>1769</v>
      </c>
      <c r="BU502" s="1">
        <v>45663</v>
      </c>
      <c r="BV502">
        <v>36032</v>
      </c>
      <c r="BX502" t="s">
        <v>169</v>
      </c>
      <c r="BY502" t="s">
        <v>170</v>
      </c>
      <c r="CB502" t="s">
        <v>170</v>
      </c>
      <c r="CC502" t="s">
        <v>170</v>
      </c>
      <c r="CK502" t="s">
        <v>233</v>
      </c>
      <c r="CM502">
        <v>1</v>
      </c>
      <c r="CN502" t="s">
        <v>234</v>
      </c>
      <c r="CP502">
        <v>810</v>
      </c>
      <c r="CQ502">
        <v>152</v>
      </c>
      <c r="CR502">
        <v>181</v>
      </c>
      <c r="CS502" t="s">
        <v>1752</v>
      </c>
      <c r="CV502" t="s">
        <v>341</v>
      </c>
      <c r="CX502" t="s">
        <v>342</v>
      </c>
      <c r="CY502" t="s">
        <v>169</v>
      </c>
      <c r="DD502">
        <v>2</v>
      </c>
      <c r="DE502" t="s">
        <v>404</v>
      </c>
      <c r="DF502" t="s">
        <v>2059</v>
      </c>
      <c r="DG502" t="s">
        <v>2075</v>
      </c>
      <c r="DL502" t="s">
        <v>170</v>
      </c>
      <c r="DM502" t="s">
        <v>169</v>
      </c>
      <c r="DP502" t="s">
        <v>170</v>
      </c>
      <c r="DQ502" t="s">
        <v>187</v>
      </c>
      <c r="EB502">
        <v>9</v>
      </c>
      <c r="EC502">
        <v>10</v>
      </c>
      <c r="EE502" t="s">
        <v>2076</v>
      </c>
      <c r="EF502">
        <v>10</v>
      </c>
      <c r="EU502">
        <v>5750</v>
      </c>
      <c r="EW502">
        <v>0</v>
      </c>
      <c r="EX502">
        <v>0</v>
      </c>
      <c r="EY502">
        <v>0</v>
      </c>
      <c r="FA502">
        <v>9.5</v>
      </c>
      <c r="FG502">
        <v>469</v>
      </c>
      <c r="FH502">
        <v>426</v>
      </c>
      <c r="FI502">
        <v>450</v>
      </c>
    </row>
    <row r="503" spans="1:165" x14ac:dyDescent="0.35">
      <c r="A503" s="25"/>
      <c r="B503" s="25"/>
      <c r="C503" s="25"/>
      <c r="D503" s="25"/>
      <c r="E503" s="25"/>
      <c r="F503" s="25" t="str">
        <f>_xlfn.CONCAT($A504," ",$B504," ",$D504)</f>
        <v>2025 Lucid USA, Inc Gravity GT w/21F22R wheels (2R)</v>
      </c>
      <c r="G503" s="25"/>
      <c r="H503" s="25"/>
      <c r="I503" s="25"/>
      <c r="J503" s="25"/>
      <c r="K503" s="25"/>
      <c r="L503" s="25"/>
      <c r="M503" s="25"/>
      <c r="N503" s="25"/>
      <c r="O503" s="25"/>
      <c r="P503" s="25"/>
      <c r="Q503" s="25"/>
      <c r="R503" s="25"/>
      <c r="S503" s="25"/>
      <c r="T503" s="25"/>
      <c r="U503" s="25"/>
      <c r="V503" s="25"/>
      <c r="W503" s="25"/>
      <c r="X503" s="25"/>
      <c r="Y503" s="25"/>
      <c r="Z503" s="25"/>
      <c r="AA503" s="25"/>
      <c r="AB503" s="25"/>
      <c r="AC503" s="25"/>
      <c r="AD503" s="25" t="str">
        <f>_xlfn.CONCAT($A504," ",$B504," ",$D504)</f>
        <v>2025 Lucid USA, Inc Gravity GT w/21F22R wheels (2R)</v>
      </c>
      <c r="AE503" s="25"/>
      <c r="AF503" s="25"/>
      <c r="AG503" s="25"/>
      <c r="AH503" s="25"/>
      <c r="AI503" s="25"/>
      <c r="AJ503" s="25"/>
      <c r="AK503" s="25"/>
      <c r="AL503" s="25"/>
      <c r="AM503" s="25"/>
      <c r="AN503" s="25"/>
      <c r="AO503" s="25"/>
      <c r="AP503" s="25"/>
      <c r="AQ503" s="25"/>
      <c r="AR503" s="25"/>
      <c r="AS503" s="25"/>
      <c r="AT503" s="25"/>
      <c r="AU503" s="25"/>
      <c r="AV503" s="25"/>
      <c r="AW503" s="25"/>
      <c r="AX503" s="25" t="str">
        <f>_xlfn.CONCAT($A504," ",$B504," ",$D504)</f>
        <v>2025 Lucid USA, Inc Gravity GT w/21F22R wheels (2R)</v>
      </c>
      <c r="AY503" s="25"/>
      <c r="AZ503" s="25"/>
      <c r="BA503" s="25"/>
      <c r="BB503" s="25"/>
      <c r="BC503" s="25"/>
      <c r="BD503" s="25"/>
      <c r="BE503" s="25"/>
      <c r="BF503" s="25"/>
      <c r="BG503" s="25"/>
      <c r="BH503" s="25"/>
      <c r="BI503" s="25"/>
      <c r="BJ503" s="25"/>
      <c r="BK503" s="25"/>
      <c r="BL503" s="25"/>
      <c r="BM503" s="25"/>
      <c r="BN503" s="25"/>
      <c r="BO503" s="25"/>
      <c r="BP503" s="25"/>
      <c r="BQ503" s="25"/>
      <c r="BR503" s="25" t="str">
        <f>_xlfn.CONCAT($A504," ",$B504," ",$D504)</f>
        <v>2025 Lucid USA, Inc Gravity GT w/21F22R wheels (2R)</v>
      </c>
      <c r="BS503" s="25"/>
      <c r="BT503" s="25"/>
      <c r="BU503" s="25"/>
      <c r="BV503" s="25"/>
      <c r="BX503" s="25"/>
      <c r="BY503" s="25"/>
      <c r="BZ503" s="25"/>
      <c r="CA503" s="25"/>
      <c r="CB503" s="25"/>
      <c r="CC503" s="25"/>
      <c r="CD503" s="25"/>
      <c r="CE503" s="25"/>
      <c r="CF503" s="25"/>
      <c r="CG503" s="25"/>
      <c r="CH503" s="25"/>
      <c r="CI503" s="25"/>
      <c r="CJ503" s="25"/>
      <c r="CK503" s="25"/>
      <c r="CL503" s="25"/>
      <c r="CM503" s="25"/>
      <c r="CN503" s="25"/>
      <c r="CO503" s="25"/>
      <c r="CP503" s="25" t="str">
        <f>_xlfn.CONCAT($A504," ",$B504," ",$D504)</f>
        <v>2025 Lucid USA, Inc Gravity GT w/21F22R wheels (2R)</v>
      </c>
      <c r="CQ503" s="25"/>
      <c r="CR503" s="25"/>
      <c r="CS503" s="25"/>
      <c r="CT503" s="25"/>
      <c r="CU503" s="25"/>
      <c r="CV503" s="25"/>
      <c r="CW503" s="25"/>
      <c r="CX503" s="25"/>
      <c r="CY503" s="25"/>
      <c r="CZ503" s="25"/>
      <c r="DA503" s="25"/>
      <c r="DB503" s="25"/>
      <c r="DC503" s="25"/>
      <c r="DD503" s="25"/>
      <c r="DE503" s="25"/>
      <c r="DF503" s="25"/>
      <c r="DG503" s="25"/>
      <c r="DH503" s="25"/>
      <c r="DI503" s="25" t="str">
        <f>_xlfn.CONCAT($A504," ",$B504," ",$D504)</f>
        <v>2025 Lucid USA, Inc Gravity GT w/21F22R wheels (2R)</v>
      </c>
      <c r="DJ503" s="25"/>
      <c r="DK503" s="25"/>
      <c r="DL503" s="25"/>
      <c r="DM503" s="25"/>
      <c r="DN503" s="25"/>
      <c r="DO503" s="25"/>
      <c r="DP503" s="25"/>
      <c r="DQ503" s="25"/>
      <c r="DR503" s="25"/>
      <c r="DS503" s="25"/>
      <c r="DT503" s="25"/>
      <c r="DU503" s="25"/>
      <c r="DV503" s="25"/>
      <c r="DW503" s="25"/>
      <c r="DX503" s="25"/>
      <c r="DY503" s="25"/>
      <c r="DZ503" s="25" t="str">
        <f>_xlfn.CONCAT($A504," ",$B504," ",$D504)</f>
        <v>2025 Lucid USA, Inc Gravity GT w/21F22R wheels (2R)</v>
      </c>
      <c r="EB503" s="25"/>
      <c r="EC503" s="25"/>
      <c r="ED503" s="25"/>
      <c r="EE503" s="25"/>
      <c r="EF503" s="25"/>
      <c r="EG503" s="25"/>
      <c r="EH503" s="25"/>
      <c r="EI503" s="25"/>
      <c r="EJ503" s="25"/>
      <c r="EK503" s="25"/>
      <c r="EL503" s="25"/>
      <c r="EM503" s="25"/>
      <c r="EN503" s="25"/>
      <c r="EO503" s="25"/>
      <c r="EP503" s="25"/>
      <c r="EQ503" s="25"/>
      <c r="ER503" s="25"/>
      <c r="ES503" s="25"/>
      <c r="ET503" s="25"/>
      <c r="EU503" s="25"/>
      <c r="EV503" s="25" t="str">
        <f>_xlfn.CONCAT($A504," ",$B504," ",$D504)</f>
        <v>2025 Lucid USA, Inc Gravity GT w/21F22R wheels (2R)</v>
      </c>
      <c r="EW503" s="25"/>
      <c r="EX503" s="25"/>
      <c r="EY503" s="25"/>
      <c r="EZ503" s="25"/>
      <c r="FA503" s="25"/>
      <c r="FB503" s="25"/>
      <c r="FC503" s="25"/>
      <c r="FD503" s="25"/>
      <c r="FE503" s="25"/>
      <c r="FF503" s="25"/>
      <c r="FG503" s="25"/>
    </row>
    <row r="504" spans="1:165" x14ac:dyDescent="0.35">
      <c r="A504">
        <v>2025</v>
      </c>
      <c r="B504" t="s">
        <v>2055</v>
      </c>
      <c r="C504" t="s">
        <v>2073</v>
      </c>
      <c r="D504" t="s">
        <v>2078</v>
      </c>
      <c r="E504" t="s">
        <v>2058</v>
      </c>
      <c r="F504">
        <v>21</v>
      </c>
      <c r="G504">
        <v>0</v>
      </c>
      <c r="I504" t="s">
        <v>1734</v>
      </c>
      <c r="J504">
        <v>102</v>
      </c>
      <c r="K504">
        <v>94</v>
      </c>
      <c r="L504">
        <v>98</v>
      </c>
      <c r="M504">
        <v>142.5</v>
      </c>
      <c r="N504">
        <v>131.4</v>
      </c>
      <c r="O504">
        <v>137.28139999999999</v>
      </c>
      <c r="P504">
        <v>101.90179999999999</v>
      </c>
      <c r="Q504">
        <v>93.964100000000002</v>
      </c>
      <c r="R504">
        <v>98.169899999999998</v>
      </c>
      <c r="V504" t="s">
        <v>167</v>
      </c>
      <c r="W504" t="s">
        <v>168</v>
      </c>
      <c r="Y504">
        <v>1</v>
      </c>
      <c r="Z504" t="s">
        <v>170</v>
      </c>
      <c r="AA504" t="s">
        <v>170</v>
      </c>
      <c r="AB504" t="s">
        <v>167</v>
      </c>
      <c r="AC504" t="s">
        <v>213</v>
      </c>
      <c r="AF504">
        <v>407</v>
      </c>
      <c r="AG504" t="s">
        <v>1735</v>
      </c>
      <c r="AH504" t="s">
        <v>1736</v>
      </c>
      <c r="AI504" t="s">
        <v>175</v>
      </c>
      <c r="AJ504" t="s">
        <v>176</v>
      </c>
      <c r="AK504">
        <v>4</v>
      </c>
      <c r="AL504" t="s">
        <v>1737</v>
      </c>
      <c r="AS504">
        <v>800</v>
      </c>
      <c r="AT504">
        <v>0</v>
      </c>
      <c r="BQ504">
        <v>33</v>
      </c>
      <c r="BR504" t="s">
        <v>1497</v>
      </c>
      <c r="BT504" t="s">
        <v>1769</v>
      </c>
      <c r="BU504" s="1">
        <v>45663</v>
      </c>
      <c r="BV504">
        <v>36033</v>
      </c>
      <c r="BX504" t="s">
        <v>169</v>
      </c>
      <c r="BY504" t="s">
        <v>170</v>
      </c>
      <c r="CB504" t="s">
        <v>170</v>
      </c>
      <c r="CC504" t="s">
        <v>170</v>
      </c>
      <c r="CK504" t="s">
        <v>233</v>
      </c>
      <c r="CM504">
        <v>1</v>
      </c>
      <c r="CN504" t="s">
        <v>234</v>
      </c>
      <c r="CP504">
        <v>810</v>
      </c>
      <c r="CQ504">
        <v>152</v>
      </c>
      <c r="CR504">
        <v>181</v>
      </c>
      <c r="CS504" t="s">
        <v>1752</v>
      </c>
      <c r="CV504" t="s">
        <v>341</v>
      </c>
      <c r="CX504" t="s">
        <v>342</v>
      </c>
      <c r="CY504" t="s">
        <v>169</v>
      </c>
      <c r="DD504">
        <v>2</v>
      </c>
      <c r="DE504" t="s">
        <v>404</v>
      </c>
      <c r="DF504" t="s">
        <v>2059</v>
      </c>
      <c r="DG504" t="s">
        <v>2075</v>
      </c>
      <c r="DL504" t="s">
        <v>170</v>
      </c>
      <c r="DM504" t="s">
        <v>169</v>
      </c>
      <c r="DP504" t="s">
        <v>170</v>
      </c>
      <c r="DQ504" t="s">
        <v>187</v>
      </c>
      <c r="EB504">
        <v>9</v>
      </c>
      <c r="EC504">
        <v>10</v>
      </c>
      <c r="EE504" t="s">
        <v>2076</v>
      </c>
      <c r="EF504">
        <v>10</v>
      </c>
      <c r="EU504">
        <v>5500</v>
      </c>
      <c r="EW504">
        <v>0</v>
      </c>
      <c r="EX504">
        <v>0</v>
      </c>
      <c r="EY504">
        <v>0</v>
      </c>
      <c r="FA504">
        <v>9.5</v>
      </c>
      <c r="FG504">
        <v>422</v>
      </c>
      <c r="FH504">
        <v>389</v>
      </c>
      <c r="FI504">
        <v>407</v>
      </c>
    </row>
    <row r="505" spans="1:165" x14ac:dyDescent="0.35">
      <c r="A505">
        <v>2025</v>
      </c>
      <c r="B505" t="s">
        <v>2055</v>
      </c>
      <c r="C505" t="s">
        <v>2073</v>
      </c>
      <c r="D505" t="s">
        <v>2078</v>
      </c>
      <c r="E505" t="s">
        <v>2058</v>
      </c>
      <c r="F505">
        <v>21</v>
      </c>
      <c r="G505">
        <v>0</v>
      </c>
      <c r="I505" t="s">
        <v>1734</v>
      </c>
      <c r="J505">
        <v>33</v>
      </c>
      <c r="K505">
        <v>36</v>
      </c>
      <c r="L505">
        <v>34</v>
      </c>
      <c r="M505">
        <v>23.652100000000001</v>
      </c>
      <c r="N505">
        <v>25.648299999999999</v>
      </c>
      <c r="O505">
        <v>24.5504</v>
      </c>
      <c r="P505">
        <v>33.076000000000001</v>
      </c>
      <c r="Q505">
        <v>35.870100000000001</v>
      </c>
      <c r="R505">
        <v>34.333300000000001</v>
      </c>
      <c r="V505" t="s">
        <v>167</v>
      </c>
      <c r="W505" t="s">
        <v>168</v>
      </c>
      <c r="Y505">
        <v>1</v>
      </c>
      <c r="Z505" t="s">
        <v>170</v>
      </c>
      <c r="AA505" t="s">
        <v>170</v>
      </c>
      <c r="AB505" t="s">
        <v>167</v>
      </c>
      <c r="AC505" t="s">
        <v>213</v>
      </c>
      <c r="AF505">
        <v>407</v>
      </c>
      <c r="AG505" t="s">
        <v>1735</v>
      </c>
      <c r="AH505" t="s">
        <v>1736</v>
      </c>
      <c r="AI505" t="s">
        <v>1742</v>
      </c>
      <c r="AJ505" t="s">
        <v>1743</v>
      </c>
      <c r="AK505">
        <v>4</v>
      </c>
      <c r="AL505" t="s">
        <v>1737</v>
      </c>
      <c r="AS505">
        <v>800</v>
      </c>
      <c r="AT505">
        <v>800</v>
      </c>
      <c r="BQ505">
        <v>33</v>
      </c>
      <c r="BR505" t="s">
        <v>1497</v>
      </c>
      <c r="BT505" t="s">
        <v>1769</v>
      </c>
      <c r="BU505" s="1">
        <v>45663</v>
      </c>
      <c r="BV505">
        <v>36033</v>
      </c>
      <c r="BX505" t="s">
        <v>169</v>
      </c>
      <c r="BY505" t="s">
        <v>170</v>
      </c>
      <c r="CB505" t="s">
        <v>170</v>
      </c>
      <c r="CC505" t="s">
        <v>170</v>
      </c>
      <c r="CK505" t="s">
        <v>233</v>
      </c>
      <c r="CM505">
        <v>1</v>
      </c>
      <c r="CN505" t="s">
        <v>234</v>
      </c>
      <c r="CP505">
        <v>810</v>
      </c>
      <c r="CQ505">
        <v>152</v>
      </c>
      <c r="CR505">
        <v>181</v>
      </c>
      <c r="CS505" t="s">
        <v>1752</v>
      </c>
      <c r="CV505" t="s">
        <v>341</v>
      </c>
      <c r="CX505" t="s">
        <v>342</v>
      </c>
      <c r="CY505" t="s">
        <v>169</v>
      </c>
      <c r="DD505">
        <v>2</v>
      </c>
      <c r="DE505" t="s">
        <v>404</v>
      </c>
      <c r="DF505" t="s">
        <v>2059</v>
      </c>
      <c r="DG505" t="s">
        <v>2075</v>
      </c>
      <c r="DL505" t="s">
        <v>170</v>
      </c>
      <c r="DM505" t="s">
        <v>169</v>
      </c>
      <c r="DP505" t="s">
        <v>170</v>
      </c>
      <c r="DQ505" t="s">
        <v>187</v>
      </c>
      <c r="EB505">
        <v>9</v>
      </c>
      <c r="EC505">
        <v>10</v>
      </c>
      <c r="EE505" t="s">
        <v>2076</v>
      </c>
      <c r="EF505">
        <v>10</v>
      </c>
      <c r="EU505">
        <v>5500</v>
      </c>
      <c r="EW505">
        <v>0</v>
      </c>
      <c r="EX505">
        <v>0</v>
      </c>
      <c r="EY505">
        <v>0</v>
      </c>
      <c r="FA505">
        <v>9.5</v>
      </c>
      <c r="FG505">
        <v>422</v>
      </c>
      <c r="FH505">
        <v>389</v>
      </c>
      <c r="FI505">
        <v>407</v>
      </c>
    </row>
    <row r="506" spans="1:165" x14ac:dyDescent="0.35">
      <c r="A506" s="25"/>
      <c r="B506" s="25"/>
      <c r="C506" s="25"/>
      <c r="D506" s="25"/>
      <c r="E506" s="25"/>
      <c r="F506" s="25" t="str">
        <f>_xlfn.CONCAT($A507," ",$B507," ",$D507)</f>
        <v>2025 Lucid USA, Inc Gravity GT w/22F23R wheels (2R)</v>
      </c>
      <c r="G506" s="25"/>
      <c r="H506" s="25"/>
      <c r="I506" s="25"/>
      <c r="J506" s="25"/>
      <c r="K506" s="25"/>
      <c r="L506" s="25"/>
      <c r="M506" s="25"/>
      <c r="N506" s="25"/>
      <c r="O506" s="25"/>
      <c r="P506" s="25"/>
      <c r="Q506" s="25"/>
      <c r="R506" s="25"/>
      <c r="S506" s="25"/>
      <c r="T506" s="25"/>
      <c r="U506" s="25"/>
      <c r="V506" s="25"/>
      <c r="W506" s="25"/>
      <c r="X506" s="25"/>
      <c r="Y506" s="25"/>
      <c r="Z506" s="25"/>
      <c r="AA506" s="25"/>
      <c r="AB506" s="25"/>
      <c r="AC506" s="25"/>
      <c r="AD506" s="25" t="str">
        <f>_xlfn.CONCAT($A507," ",$B507," ",$D507)</f>
        <v>2025 Lucid USA, Inc Gravity GT w/22F23R wheels (2R)</v>
      </c>
      <c r="AE506" s="25"/>
      <c r="AF506" s="25"/>
      <c r="AG506" s="25"/>
      <c r="AH506" s="25"/>
      <c r="AI506" s="25"/>
      <c r="AJ506" s="25"/>
      <c r="AK506" s="25"/>
      <c r="AL506" s="25"/>
      <c r="AM506" s="25"/>
      <c r="AN506" s="25"/>
      <c r="AO506" s="25"/>
      <c r="AP506" s="25"/>
      <c r="AQ506" s="25"/>
      <c r="AR506" s="25"/>
      <c r="AS506" s="25"/>
      <c r="AT506" s="25"/>
      <c r="AU506" s="25"/>
      <c r="AV506" s="25"/>
      <c r="AW506" s="25"/>
      <c r="AX506" s="25" t="str">
        <f>_xlfn.CONCAT($A507," ",$B507," ",$D507)</f>
        <v>2025 Lucid USA, Inc Gravity GT w/22F23R wheels (2R)</v>
      </c>
      <c r="AY506" s="25"/>
      <c r="AZ506" s="25"/>
      <c r="BA506" s="25"/>
      <c r="BB506" s="25"/>
      <c r="BC506" s="25"/>
      <c r="BD506" s="25"/>
      <c r="BE506" s="25"/>
      <c r="BF506" s="25"/>
      <c r="BG506" s="25"/>
      <c r="BH506" s="25"/>
      <c r="BI506" s="25"/>
      <c r="BJ506" s="25"/>
      <c r="BK506" s="25"/>
      <c r="BL506" s="25"/>
      <c r="BM506" s="25"/>
      <c r="BN506" s="25"/>
      <c r="BO506" s="25"/>
      <c r="BP506" s="25"/>
      <c r="BQ506" s="25"/>
      <c r="BR506" s="25" t="str">
        <f>_xlfn.CONCAT($A507," ",$B507," ",$D507)</f>
        <v>2025 Lucid USA, Inc Gravity GT w/22F23R wheels (2R)</v>
      </c>
      <c r="BS506" s="25"/>
      <c r="BT506" s="25"/>
      <c r="BU506" s="25"/>
      <c r="BV506" s="25"/>
      <c r="BX506" s="25"/>
      <c r="BY506" s="25"/>
      <c r="BZ506" s="25"/>
      <c r="CA506" s="25"/>
      <c r="CB506" s="25"/>
      <c r="CC506" s="25"/>
      <c r="CD506" s="25"/>
      <c r="CE506" s="25"/>
      <c r="CF506" s="25"/>
      <c r="CG506" s="25"/>
      <c r="CH506" s="25"/>
      <c r="CI506" s="25"/>
      <c r="CJ506" s="25"/>
      <c r="CK506" s="25"/>
      <c r="CL506" s="25"/>
      <c r="CM506" s="25"/>
      <c r="CN506" s="25"/>
      <c r="CO506" s="25"/>
      <c r="CP506" s="25" t="str">
        <f>_xlfn.CONCAT($A507," ",$B507," ",$D507)</f>
        <v>2025 Lucid USA, Inc Gravity GT w/22F23R wheels (2R)</v>
      </c>
      <c r="CQ506" s="25"/>
      <c r="CR506" s="25"/>
      <c r="CS506" s="25"/>
      <c r="CT506" s="25"/>
      <c r="CU506" s="25"/>
      <c r="CV506" s="25"/>
      <c r="CW506" s="25"/>
      <c r="CX506" s="25"/>
      <c r="CY506" s="25"/>
      <c r="CZ506" s="25"/>
      <c r="DA506" s="25"/>
      <c r="DB506" s="25"/>
      <c r="DC506" s="25"/>
      <c r="DD506" s="25"/>
      <c r="DE506" s="25"/>
      <c r="DF506" s="25"/>
      <c r="DG506" s="25"/>
      <c r="DH506" s="25"/>
      <c r="DI506" s="25" t="str">
        <f>_xlfn.CONCAT($A507," ",$B507," ",$D507)</f>
        <v>2025 Lucid USA, Inc Gravity GT w/22F23R wheels (2R)</v>
      </c>
      <c r="DJ506" s="25"/>
      <c r="DK506" s="25"/>
      <c r="DL506" s="25"/>
      <c r="DM506" s="25"/>
      <c r="DN506" s="25"/>
      <c r="DO506" s="25"/>
      <c r="DP506" s="25"/>
      <c r="DQ506" s="25"/>
      <c r="DR506" s="25"/>
      <c r="DS506" s="25"/>
      <c r="DT506" s="25"/>
      <c r="DU506" s="25"/>
      <c r="DV506" s="25"/>
      <c r="DW506" s="25"/>
      <c r="DX506" s="25"/>
      <c r="DY506" s="25"/>
      <c r="DZ506" s="25" t="str">
        <f>_xlfn.CONCAT($A507," ",$B507," ",$D507)</f>
        <v>2025 Lucid USA, Inc Gravity GT w/22F23R wheels (2R)</v>
      </c>
      <c r="EB506" s="25"/>
      <c r="EC506" s="25"/>
      <c r="ED506" s="25"/>
      <c r="EE506" s="25"/>
      <c r="EF506" s="25"/>
      <c r="EG506" s="25"/>
      <c r="EH506" s="25"/>
      <c r="EI506" s="25"/>
      <c r="EJ506" s="25"/>
      <c r="EK506" s="25"/>
      <c r="EL506" s="25"/>
      <c r="EM506" s="25"/>
      <c r="EN506" s="25"/>
      <c r="EO506" s="25"/>
      <c r="EP506" s="25"/>
      <c r="EQ506" s="25"/>
      <c r="ER506" s="25"/>
      <c r="ES506" s="25"/>
      <c r="ET506" s="25"/>
      <c r="EU506" s="25"/>
      <c r="EV506" s="25" t="str">
        <f>_xlfn.CONCAT($A507," ",$B507," ",$D507)</f>
        <v>2025 Lucid USA, Inc Gravity GT w/22F23R wheels (2R)</v>
      </c>
      <c r="EW506" s="25"/>
      <c r="EX506" s="25"/>
      <c r="EY506" s="25"/>
      <c r="EZ506" s="25"/>
      <c r="FA506" s="25"/>
      <c r="FB506" s="25"/>
      <c r="FC506" s="25"/>
      <c r="FD506" s="25"/>
      <c r="FE506" s="25"/>
      <c r="FF506" s="25"/>
      <c r="FG506" s="25"/>
    </row>
    <row r="507" spans="1:165" x14ac:dyDescent="0.35">
      <c r="A507">
        <v>2025</v>
      </c>
      <c r="B507" t="s">
        <v>2055</v>
      </c>
      <c r="C507" t="s">
        <v>2073</v>
      </c>
      <c r="D507" t="s">
        <v>2080</v>
      </c>
      <c r="E507" t="s">
        <v>2058</v>
      </c>
      <c r="F507">
        <v>22</v>
      </c>
      <c r="G507">
        <v>0</v>
      </c>
      <c r="I507" t="s">
        <v>1734</v>
      </c>
      <c r="J507">
        <v>102</v>
      </c>
      <c r="K507">
        <v>94</v>
      </c>
      <c r="L507">
        <v>98</v>
      </c>
      <c r="M507">
        <v>142.5</v>
      </c>
      <c r="N507">
        <v>131.4</v>
      </c>
      <c r="O507">
        <v>137.28139999999999</v>
      </c>
      <c r="P507">
        <v>101.90179999999999</v>
      </c>
      <c r="Q507">
        <v>93.964100000000002</v>
      </c>
      <c r="R507">
        <v>98.169899999999998</v>
      </c>
      <c r="V507" t="s">
        <v>167</v>
      </c>
      <c r="W507" t="s">
        <v>168</v>
      </c>
      <c r="Y507">
        <v>1</v>
      </c>
      <c r="Z507" t="s">
        <v>170</v>
      </c>
      <c r="AA507" t="s">
        <v>170</v>
      </c>
      <c r="AB507" t="s">
        <v>167</v>
      </c>
      <c r="AC507" t="s">
        <v>213</v>
      </c>
      <c r="AF507">
        <v>407</v>
      </c>
      <c r="AG507" t="s">
        <v>1735</v>
      </c>
      <c r="AH507" t="s">
        <v>1736</v>
      </c>
      <c r="AI507" t="s">
        <v>175</v>
      </c>
      <c r="AJ507" t="s">
        <v>176</v>
      </c>
      <c r="AK507">
        <v>4</v>
      </c>
      <c r="AL507" t="s">
        <v>1737</v>
      </c>
      <c r="AS507">
        <v>800</v>
      </c>
      <c r="AT507">
        <v>0</v>
      </c>
      <c r="BQ507">
        <v>33</v>
      </c>
      <c r="BR507" t="s">
        <v>1497</v>
      </c>
      <c r="BT507" t="s">
        <v>1769</v>
      </c>
      <c r="BU507" s="1">
        <v>45663</v>
      </c>
      <c r="BV507">
        <v>36034</v>
      </c>
      <c r="BX507" t="s">
        <v>169</v>
      </c>
      <c r="BY507" t="s">
        <v>170</v>
      </c>
      <c r="CB507" t="s">
        <v>170</v>
      </c>
      <c r="CC507" t="s">
        <v>170</v>
      </c>
      <c r="CK507" t="s">
        <v>233</v>
      </c>
      <c r="CM507">
        <v>1</v>
      </c>
      <c r="CN507" t="s">
        <v>234</v>
      </c>
      <c r="CP507">
        <v>810</v>
      </c>
      <c r="CQ507">
        <v>152</v>
      </c>
      <c r="CR507">
        <v>181</v>
      </c>
      <c r="CS507" t="s">
        <v>1752</v>
      </c>
      <c r="CV507" t="s">
        <v>341</v>
      </c>
      <c r="CX507" t="s">
        <v>342</v>
      </c>
      <c r="CY507" t="s">
        <v>169</v>
      </c>
      <c r="DD507">
        <v>2</v>
      </c>
      <c r="DE507" t="s">
        <v>404</v>
      </c>
      <c r="DF507" t="s">
        <v>2059</v>
      </c>
      <c r="DG507" t="s">
        <v>2075</v>
      </c>
      <c r="DL507" t="s">
        <v>170</v>
      </c>
      <c r="DM507" t="s">
        <v>169</v>
      </c>
      <c r="DP507" t="s">
        <v>170</v>
      </c>
      <c r="DQ507" t="s">
        <v>187</v>
      </c>
      <c r="EB507">
        <v>9</v>
      </c>
      <c r="EC507">
        <v>10</v>
      </c>
      <c r="EE507" t="s">
        <v>2076</v>
      </c>
      <c r="EF507">
        <v>10</v>
      </c>
      <c r="EU507">
        <v>5500</v>
      </c>
      <c r="EW507">
        <v>0</v>
      </c>
      <c r="EX507">
        <v>0</v>
      </c>
      <c r="EY507">
        <v>0</v>
      </c>
      <c r="FA507">
        <v>9.5</v>
      </c>
      <c r="FG507">
        <v>422</v>
      </c>
      <c r="FH507">
        <v>389</v>
      </c>
      <c r="FI507">
        <v>407</v>
      </c>
    </row>
    <row r="508" spans="1:165" x14ac:dyDescent="0.35">
      <c r="A508">
        <v>2025</v>
      </c>
      <c r="B508" t="s">
        <v>2055</v>
      </c>
      <c r="C508" t="s">
        <v>2073</v>
      </c>
      <c r="D508" t="s">
        <v>2080</v>
      </c>
      <c r="E508" t="s">
        <v>2058</v>
      </c>
      <c r="F508">
        <v>22</v>
      </c>
      <c r="G508">
        <v>0</v>
      </c>
      <c r="I508" t="s">
        <v>1734</v>
      </c>
      <c r="J508">
        <v>33</v>
      </c>
      <c r="K508">
        <v>36</v>
      </c>
      <c r="L508">
        <v>34</v>
      </c>
      <c r="M508">
        <v>23.652100000000001</v>
      </c>
      <c r="N508">
        <v>25.648299999999999</v>
      </c>
      <c r="O508">
        <v>24.5504</v>
      </c>
      <c r="P508">
        <v>33.076000000000001</v>
      </c>
      <c r="Q508">
        <v>35.870100000000001</v>
      </c>
      <c r="R508">
        <v>34.333300000000001</v>
      </c>
      <c r="V508" t="s">
        <v>167</v>
      </c>
      <c r="W508" t="s">
        <v>168</v>
      </c>
      <c r="Y508">
        <v>1</v>
      </c>
      <c r="Z508" t="s">
        <v>170</v>
      </c>
      <c r="AA508" t="s">
        <v>170</v>
      </c>
      <c r="AB508" t="s">
        <v>167</v>
      </c>
      <c r="AC508" t="s">
        <v>213</v>
      </c>
      <c r="AF508">
        <v>407</v>
      </c>
      <c r="AG508" t="s">
        <v>1735</v>
      </c>
      <c r="AH508" t="s">
        <v>1736</v>
      </c>
      <c r="AI508" t="s">
        <v>1742</v>
      </c>
      <c r="AJ508" t="s">
        <v>1743</v>
      </c>
      <c r="AK508">
        <v>4</v>
      </c>
      <c r="AL508" t="s">
        <v>1737</v>
      </c>
      <c r="AS508">
        <v>800</v>
      </c>
      <c r="AT508">
        <v>800</v>
      </c>
      <c r="BQ508">
        <v>33</v>
      </c>
      <c r="BR508" t="s">
        <v>1497</v>
      </c>
      <c r="BT508" t="s">
        <v>1769</v>
      </c>
      <c r="BU508" s="1">
        <v>45663</v>
      </c>
      <c r="BV508">
        <v>36034</v>
      </c>
      <c r="BX508" t="s">
        <v>169</v>
      </c>
      <c r="BY508" t="s">
        <v>170</v>
      </c>
      <c r="CB508" t="s">
        <v>170</v>
      </c>
      <c r="CC508" t="s">
        <v>170</v>
      </c>
      <c r="CK508" t="s">
        <v>233</v>
      </c>
      <c r="CM508">
        <v>1</v>
      </c>
      <c r="CN508" t="s">
        <v>234</v>
      </c>
      <c r="CP508">
        <v>810</v>
      </c>
      <c r="CQ508">
        <v>152</v>
      </c>
      <c r="CR508">
        <v>181</v>
      </c>
      <c r="CS508" t="s">
        <v>1752</v>
      </c>
      <c r="CV508" t="s">
        <v>341</v>
      </c>
      <c r="CX508" t="s">
        <v>342</v>
      </c>
      <c r="CY508" t="s">
        <v>169</v>
      </c>
      <c r="DD508">
        <v>2</v>
      </c>
      <c r="DE508" t="s">
        <v>404</v>
      </c>
      <c r="DF508" t="s">
        <v>2059</v>
      </c>
      <c r="DG508" t="s">
        <v>2075</v>
      </c>
      <c r="DL508" t="s">
        <v>170</v>
      </c>
      <c r="DM508" t="s">
        <v>169</v>
      </c>
      <c r="DP508" t="s">
        <v>170</v>
      </c>
      <c r="DQ508" t="s">
        <v>187</v>
      </c>
      <c r="EB508">
        <v>9</v>
      </c>
      <c r="EC508">
        <v>10</v>
      </c>
      <c r="EE508" t="s">
        <v>2076</v>
      </c>
      <c r="EF508">
        <v>10</v>
      </c>
      <c r="EU508">
        <v>5500</v>
      </c>
      <c r="EW508">
        <v>0</v>
      </c>
      <c r="EX508">
        <v>0</v>
      </c>
      <c r="EY508">
        <v>0</v>
      </c>
      <c r="FA508">
        <v>9.5</v>
      </c>
      <c r="FG508">
        <v>422</v>
      </c>
      <c r="FH508">
        <v>389</v>
      </c>
      <c r="FI508">
        <v>407</v>
      </c>
    </row>
    <row r="509" spans="1:165" x14ac:dyDescent="0.35">
      <c r="A509" s="25"/>
      <c r="B509" s="25"/>
      <c r="C509" s="25"/>
      <c r="D509" s="25"/>
      <c r="E509" s="25"/>
      <c r="F509" s="25" t="str">
        <f>_xlfn.CONCAT($A510," ",$B510," ",$D510)</f>
        <v>2025 Lucid USA, Inc Gravity GT w/20F21R wheels (3R)</v>
      </c>
      <c r="G509" s="25"/>
      <c r="H509" s="25"/>
      <c r="I509" s="25"/>
      <c r="J509" s="25"/>
      <c r="K509" s="25"/>
      <c r="L509" s="25"/>
      <c r="M509" s="25"/>
      <c r="N509" s="25"/>
      <c r="O509" s="25"/>
      <c r="P509" s="25"/>
      <c r="Q509" s="25"/>
      <c r="R509" s="25"/>
      <c r="S509" s="25"/>
      <c r="T509" s="25"/>
      <c r="U509" s="25"/>
      <c r="V509" s="25"/>
      <c r="W509" s="25"/>
      <c r="X509" s="25"/>
      <c r="Y509" s="25"/>
      <c r="Z509" s="25"/>
      <c r="AA509" s="25"/>
      <c r="AB509" s="25"/>
      <c r="AC509" s="25"/>
      <c r="AD509" s="25" t="str">
        <f>_xlfn.CONCAT($A510," ",$B510," ",$D510)</f>
        <v>2025 Lucid USA, Inc Gravity GT w/20F21R wheels (3R)</v>
      </c>
      <c r="AE509" s="25"/>
      <c r="AF509" s="25"/>
      <c r="AG509" s="25"/>
      <c r="AH509" s="25"/>
      <c r="AI509" s="25"/>
      <c r="AJ509" s="25"/>
      <c r="AK509" s="25"/>
      <c r="AL509" s="25"/>
      <c r="AM509" s="25"/>
      <c r="AN509" s="25"/>
      <c r="AO509" s="25"/>
      <c r="AP509" s="25"/>
      <c r="AQ509" s="25"/>
      <c r="AR509" s="25"/>
      <c r="AS509" s="25"/>
      <c r="AT509" s="25"/>
      <c r="AU509" s="25"/>
      <c r="AV509" s="25"/>
      <c r="AW509" s="25"/>
      <c r="AX509" s="25" t="str">
        <f>_xlfn.CONCAT($A510," ",$B510," ",$D510)</f>
        <v>2025 Lucid USA, Inc Gravity GT w/20F21R wheels (3R)</v>
      </c>
      <c r="AY509" s="25"/>
      <c r="AZ509" s="25"/>
      <c r="BA509" s="25"/>
      <c r="BB509" s="25"/>
      <c r="BC509" s="25"/>
      <c r="BD509" s="25"/>
      <c r="BE509" s="25"/>
      <c r="BF509" s="25"/>
      <c r="BG509" s="25"/>
      <c r="BH509" s="25"/>
      <c r="BI509" s="25"/>
      <c r="BJ509" s="25"/>
      <c r="BK509" s="25"/>
      <c r="BL509" s="25"/>
      <c r="BM509" s="25"/>
      <c r="BN509" s="25"/>
      <c r="BO509" s="25"/>
      <c r="BP509" s="25"/>
      <c r="BQ509" s="25"/>
      <c r="BR509" s="25" t="str">
        <f>_xlfn.CONCAT($A510," ",$B510," ",$D510)</f>
        <v>2025 Lucid USA, Inc Gravity GT w/20F21R wheels (3R)</v>
      </c>
      <c r="BS509" s="25"/>
      <c r="BT509" s="25"/>
      <c r="BU509" s="25"/>
      <c r="BV509" s="25"/>
      <c r="BX509" s="25"/>
      <c r="BY509" s="25"/>
      <c r="BZ509" s="25"/>
      <c r="CA509" s="25"/>
      <c r="CB509" s="25"/>
      <c r="CC509" s="25"/>
      <c r="CD509" s="25"/>
      <c r="CE509" s="25"/>
      <c r="CF509" s="25"/>
      <c r="CG509" s="25"/>
      <c r="CH509" s="25"/>
      <c r="CI509" s="25"/>
      <c r="CJ509" s="25"/>
      <c r="CK509" s="25"/>
      <c r="CL509" s="25"/>
      <c r="CM509" s="25"/>
      <c r="CN509" s="25"/>
      <c r="CO509" s="25"/>
      <c r="CP509" s="25" t="str">
        <f>_xlfn.CONCAT($A510," ",$B510," ",$D510)</f>
        <v>2025 Lucid USA, Inc Gravity GT w/20F21R wheels (3R)</v>
      </c>
      <c r="CQ509" s="25"/>
      <c r="CR509" s="25"/>
      <c r="CS509" s="25"/>
      <c r="CT509" s="25"/>
      <c r="CU509" s="25"/>
      <c r="CV509" s="25"/>
      <c r="CW509" s="25"/>
      <c r="CX509" s="25"/>
      <c r="CY509" s="25"/>
      <c r="CZ509" s="25"/>
      <c r="DA509" s="25"/>
      <c r="DB509" s="25"/>
      <c r="DC509" s="25"/>
      <c r="DD509" s="25"/>
      <c r="DE509" s="25"/>
      <c r="DF509" s="25"/>
      <c r="DG509" s="25"/>
      <c r="DH509" s="25"/>
      <c r="DI509" s="25" t="str">
        <f>_xlfn.CONCAT($A510," ",$B510," ",$D510)</f>
        <v>2025 Lucid USA, Inc Gravity GT w/20F21R wheels (3R)</v>
      </c>
      <c r="DJ509" s="25"/>
      <c r="DK509" s="25"/>
      <c r="DL509" s="25"/>
      <c r="DM509" s="25"/>
      <c r="DN509" s="25"/>
      <c r="DO509" s="25"/>
      <c r="DP509" s="25"/>
      <c r="DQ509" s="25"/>
      <c r="DR509" s="25"/>
      <c r="DS509" s="25"/>
      <c r="DT509" s="25"/>
      <c r="DU509" s="25"/>
      <c r="DV509" s="25"/>
      <c r="DW509" s="25"/>
      <c r="DX509" s="25"/>
      <c r="DY509" s="25"/>
      <c r="DZ509" s="25" t="str">
        <f>_xlfn.CONCAT($A510," ",$B510," ",$D510)</f>
        <v>2025 Lucid USA, Inc Gravity GT w/20F21R wheels (3R)</v>
      </c>
      <c r="EB509" s="25"/>
      <c r="EC509" s="25"/>
      <c r="ED509" s="25"/>
      <c r="EE509" s="25"/>
      <c r="EF509" s="25"/>
      <c r="EG509" s="25"/>
      <c r="EH509" s="25"/>
      <c r="EI509" s="25"/>
      <c r="EJ509" s="25"/>
      <c r="EK509" s="25"/>
      <c r="EL509" s="25"/>
      <c r="EM509" s="25"/>
      <c r="EN509" s="25"/>
      <c r="EO509" s="25"/>
      <c r="EP509" s="25"/>
      <c r="EQ509" s="25"/>
      <c r="ER509" s="25"/>
      <c r="ES509" s="25"/>
      <c r="ET509" s="25"/>
      <c r="EU509" s="25"/>
      <c r="EV509" s="25" t="str">
        <f>_xlfn.CONCAT($A510," ",$B510," ",$D510)</f>
        <v>2025 Lucid USA, Inc Gravity GT w/20F21R wheels (3R)</v>
      </c>
      <c r="EW509" s="25"/>
      <c r="EX509" s="25"/>
      <c r="EY509" s="25"/>
      <c r="EZ509" s="25"/>
      <c r="FA509" s="25"/>
      <c r="FB509" s="25"/>
      <c r="FC509" s="25"/>
      <c r="FD509" s="25"/>
      <c r="FE509" s="25"/>
      <c r="FF509" s="25"/>
      <c r="FG509" s="25"/>
    </row>
    <row r="510" spans="1:165" x14ac:dyDescent="0.35">
      <c r="A510">
        <v>2025</v>
      </c>
      <c r="B510" t="s">
        <v>2055</v>
      </c>
      <c r="C510" t="s">
        <v>2073</v>
      </c>
      <c r="D510" t="s">
        <v>2077</v>
      </c>
      <c r="E510" t="s">
        <v>2058</v>
      </c>
      <c r="F510">
        <v>23</v>
      </c>
      <c r="G510">
        <v>0</v>
      </c>
      <c r="I510" t="s">
        <v>1734</v>
      </c>
      <c r="J510">
        <v>108</v>
      </c>
      <c r="K510">
        <v>100</v>
      </c>
      <c r="L510">
        <v>104</v>
      </c>
      <c r="M510">
        <v>150.30000000000001</v>
      </c>
      <c r="N510">
        <v>139.69999999999999</v>
      </c>
      <c r="O510">
        <v>145.33750000000001</v>
      </c>
      <c r="P510">
        <v>107.4795</v>
      </c>
      <c r="Q510">
        <v>99.899500000000003</v>
      </c>
      <c r="R510">
        <v>103.9308</v>
      </c>
      <c r="V510" t="s">
        <v>167</v>
      </c>
      <c r="W510" t="s">
        <v>168</v>
      </c>
      <c r="Y510">
        <v>1</v>
      </c>
      <c r="Z510" t="s">
        <v>170</v>
      </c>
      <c r="AA510" t="s">
        <v>170</v>
      </c>
      <c r="AB510" t="s">
        <v>167</v>
      </c>
      <c r="AC510" t="s">
        <v>213</v>
      </c>
      <c r="AF510">
        <v>437</v>
      </c>
      <c r="AG510" t="s">
        <v>1735</v>
      </c>
      <c r="AH510" t="s">
        <v>1736</v>
      </c>
      <c r="AI510" t="s">
        <v>175</v>
      </c>
      <c r="AJ510" t="s">
        <v>176</v>
      </c>
      <c r="AK510">
        <v>4</v>
      </c>
      <c r="AL510" t="s">
        <v>1737</v>
      </c>
      <c r="AS510">
        <v>750</v>
      </c>
      <c r="AT510">
        <v>0</v>
      </c>
      <c r="BQ510">
        <v>33</v>
      </c>
      <c r="BR510" t="s">
        <v>1497</v>
      </c>
      <c r="BT510" t="s">
        <v>1769</v>
      </c>
      <c r="BU510" s="1">
        <v>45663</v>
      </c>
      <c r="BV510">
        <v>36035</v>
      </c>
      <c r="BX510" t="s">
        <v>169</v>
      </c>
      <c r="BY510" t="s">
        <v>170</v>
      </c>
      <c r="CB510" t="s">
        <v>170</v>
      </c>
      <c r="CC510" t="s">
        <v>170</v>
      </c>
      <c r="CK510" t="s">
        <v>233</v>
      </c>
      <c r="CM510">
        <v>1</v>
      </c>
      <c r="CN510" t="s">
        <v>234</v>
      </c>
      <c r="CP510">
        <v>810</v>
      </c>
      <c r="CQ510">
        <v>152</v>
      </c>
      <c r="CR510">
        <v>181</v>
      </c>
      <c r="CS510" t="s">
        <v>1752</v>
      </c>
      <c r="CV510" t="s">
        <v>341</v>
      </c>
      <c r="CX510" t="s">
        <v>342</v>
      </c>
      <c r="CY510" t="s">
        <v>169</v>
      </c>
      <c r="DD510">
        <v>2</v>
      </c>
      <c r="DE510" t="s">
        <v>404</v>
      </c>
      <c r="DF510" t="s">
        <v>2059</v>
      </c>
      <c r="DG510" t="s">
        <v>2075</v>
      </c>
      <c r="DL510" t="s">
        <v>170</v>
      </c>
      <c r="DM510" t="s">
        <v>169</v>
      </c>
      <c r="DP510" t="s">
        <v>170</v>
      </c>
      <c r="DQ510" t="s">
        <v>187</v>
      </c>
      <c r="EB510">
        <v>9</v>
      </c>
      <c r="EC510">
        <v>10</v>
      </c>
      <c r="EE510" t="s">
        <v>2076</v>
      </c>
      <c r="EF510">
        <v>10</v>
      </c>
      <c r="EU510">
        <v>5750</v>
      </c>
      <c r="EW510">
        <v>0</v>
      </c>
      <c r="EX510">
        <v>0</v>
      </c>
      <c r="EY510">
        <v>0</v>
      </c>
      <c r="FA510">
        <v>9.5</v>
      </c>
      <c r="FG510">
        <v>451</v>
      </c>
      <c r="FH510">
        <v>419</v>
      </c>
      <c r="FI510">
        <v>437</v>
      </c>
    </row>
    <row r="511" spans="1:165" x14ac:dyDescent="0.35">
      <c r="A511">
        <v>2025</v>
      </c>
      <c r="B511" t="s">
        <v>2055</v>
      </c>
      <c r="C511" t="s">
        <v>2073</v>
      </c>
      <c r="D511" t="s">
        <v>2077</v>
      </c>
      <c r="E511" t="s">
        <v>2058</v>
      </c>
      <c r="F511">
        <v>23</v>
      </c>
      <c r="G511">
        <v>0</v>
      </c>
      <c r="I511" t="s">
        <v>1734</v>
      </c>
      <c r="J511">
        <v>31</v>
      </c>
      <c r="K511">
        <v>34</v>
      </c>
      <c r="L511">
        <v>32</v>
      </c>
      <c r="M511">
        <v>22.427099999999999</v>
      </c>
      <c r="N511">
        <v>24.126899999999999</v>
      </c>
      <c r="O511">
        <v>23.192</v>
      </c>
      <c r="P511">
        <v>31.359500000000001</v>
      </c>
      <c r="Q511">
        <v>33.738900000000001</v>
      </c>
      <c r="R511">
        <v>32.430199999999999</v>
      </c>
      <c r="V511" t="s">
        <v>167</v>
      </c>
      <c r="W511" t="s">
        <v>168</v>
      </c>
      <c r="Y511">
        <v>1</v>
      </c>
      <c r="Z511" t="s">
        <v>170</v>
      </c>
      <c r="AA511" t="s">
        <v>170</v>
      </c>
      <c r="AB511" t="s">
        <v>167</v>
      </c>
      <c r="AC511" t="s">
        <v>213</v>
      </c>
      <c r="AF511">
        <v>437</v>
      </c>
      <c r="AG511" t="s">
        <v>1735</v>
      </c>
      <c r="AH511" t="s">
        <v>1736</v>
      </c>
      <c r="AI511" t="s">
        <v>1742</v>
      </c>
      <c r="AJ511" t="s">
        <v>1743</v>
      </c>
      <c r="AK511">
        <v>4</v>
      </c>
      <c r="AL511" t="s">
        <v>1737</v>
      </c>
      <c r="AS511">
        <v>750</v>
      </c>
      <c r="AT511">
        <v>750</v>
      </c>
      <c r="BQ511">
        <v>33</v>
      </c>
      <c r="BR511" t="s">
        <v>1497</v>
      </c>
      <c r="BT511" t="s">
        <v>1769</v>
      </c>
      <c r="BU511" s="1">
        <v>45663</v>
      </c>
      <c r="BV511">
        <v>36035</v>
      </c>
      <c r="BX511" t="s">
        <v>169</v>
      </c>
      <c r="BY511" t="s">
        <v>170</v>
      </c>
      <c r="CB511" t="s">
        <v>170</v>
      </c>
      <c r="CC511" t="s">
        <v>170</v>
      </c>
      <c r="CK511" t="s">
        <v>233</v>
      </c>
      <c r="CM511">
        <v>1</v>
      </c>
      <c r="CN511" t="s">
        <v>234</v>
      </c>
      <c r="CP511">
        <v>810</v>
      </c>
      <c r="CQ511">
        <v>152</v>
      </c>
      <c r="CR511">
        <v>181</v>
      </c>
      <c r="CS511" t="s">
        <v>1752</v>
      </c>
      <c r="CV511" t="s">
        <v>341</v>
      </c>
      <c r="CX511" t="s">
        <v>342</v>
      </c>
      <c r="CY511" t="s">
        <v>169</v>
      </c>
      <c r="DD511">
        <v>2</v>
      </c>
      <c r="DE511" t="s">
        <v>404</v>
      </c>
      <c r="DF511" t="s">
        <v>2059</v>
      </c>
      <c r="DG511" t="s">
        <v>2075</v>
      </c>
      <c r="DL511" t="s">
        <v>170</v>
      </c>
      <c r="DM511" t="s">
        <v>169</v>
      </c>
      <c r="DP511" t="s">
        <v>170</v>
      </c>
      <c r="DQ511" t="s">
        <v>187</v>
      </c>
      <c r="EB511">
        <v>9</v>
      </c>
      <c r="EC511">
        <v>10</v>
      </c>
      <c r="EE511" t="s">
        <v>2076</v>
      </c>
      <c r="EF511">
        <v>10</v>
      </c>
      <c r="EU511">
        <v>5750</v>
      </c>
      <c r="EW511">
        <v>0</v>
      </c>
      <c r="EX511">
        <v>0</v>
      </c>
      <c r="EY511">
        <v>0</v>
      </c>
      <c r="FA511">
        <v>9.5</v>
      </c>
      <c r="FG511">
        <v>451</v>
      </c>
      <c r="FH511">
        <v>419</v>
      </c>
      <c r="FI511">
        <v>437</v>
      </c>
    </row>
    <row r="512" spans="1:165" x14ac:dyDescent="0.35">
      <c r="A512" s="25"/>
      <c r="B512" s="25"/>
      <c r="C512" s="25"/>
      <c r="D512" s="25"/>
      <c r="E512" s="25"/>
      <c r="F512" s="25" t="str">
        <f>_xlfn.CONCAT($A513," ",$B513," ",$D513)</f>
        <v>2025 Lucid USA, Inc Gravity GT w/21F22R wheels (3R)</v>
      </c>
      <c r="G512" s="25"/>
      <c r="H512" s="25"/>
      <c r="I512" s="25"/>
      <c r="J512" s="25"/>
      <c r="K512" s="25"/>
      <c r="L512" s="25"/>
      <c r="M512" s="25"/>
      <c r="N512" s="25"/>
      <c r="O512" s="25"/>
      <c r="P512" s="25"/>
      <c r="Q512" s="25"/>
      <c r="R512" s="25"/>
      <c r="S512" s="25"/>
      <c r="T512" s="25"/>
      <c r="U512" s="25"/>
      <c r="V512" s="25"/>
      <c r="W512" s="25"/>
      <c r="X512" s="25"/>
      <c r="Y512" s="25"/>
      <c r="Z512" s="25"/>
      <c r="AA512" s="25"/>
      <c r="AB512" s="25"/>
      <c r="AC512" s="25"/>
      <c r="AD512" s="25" t="str">
        <f>_xlfn.CONCAT($A513," ",$B513," ",$D513)</f>
        <v>2025 Lucid USA, Inc Gravity GT w/21F22R wheels (3R)</v>
      </c>
      <c r="AE512" s="25"/>
      <c r="AF512" s="25"/>
      <c r="AG512" s="25"/>
      <c r="AH512" s="25"/>
      <c r="AI512" s="25"/>
      <c r="AJ512" s="25"/>
      <c r="AK512" s="25"/>
      <c r="AL512" s="25"/>
      <c r="AM512" s="25"/>
      <c r="AN512" s="25"/>
      <c r="AO512" s="25"/>
      <c r="AP512" s="25"/>
      <c r="AQ512" s="25"/>
      <c r="AR512" s="25"/>
      <c r="AS512" s="25"/>
      <c r="AT512" s="25"/>
      <c r="AU512" s="25"/>
      <c r="AV512" s="25"/>
      <c r="AW512" s="25"/>
      <c r="AX512" s="25" t="str">
        <f>_xlfn.CONCAT($A513," ",$B513," ",$D513)</f>
        <v>2025 Lucid USA, Inc Gravity GT w/21F22R wheels (3R)</v>
      </c>
      <c r="AY512" s="25"/>
      <c r="AZ512" s="25"/>
      <c r="BA512" s="25"/>
      <c r="BB512" s="25"/>
      <c r="BC512" s="25"/>
      <c r="BD512" s="25"/>
      <c r="BE512" s="25"/>
      <c r="BF512" s="25"/>
      <c r="BG512" s="25"/>
      <c r="BH512" s="25"/>
      <c r="BI512" s="25"/>
      <c r="BJ512" s="25"/>
      <c r="BK512" s="25"/>
      <c r="BL512" s="25"/>
      <c r="BM512" s="25"/>
      <c r="BN512" s="25"/>
      <c r="BO512" s="25"/>
      <c r="BP512" s="25"/>
      <c r="BQ512" s="25"/>
      <c r="BR512" s="25" t="str">
        <f>_xlfn.CONCAT($A513," ",$B513," ",$D513)</f>
        <v>2025 Lucid USA, Inc Gravity GT w/21F22R wheels (3R)</v>
      </c>
      <c r="BS512" s="25"/>
      <c r="BT512" s="25"/>
      <c r="BU512" s="25"/>
      <c r="BV512" s="25"/>
      <c r="BX512" s="25"/>
      <c r="BY512" s="25"/>
      <c r="BZ512" s="25"/>
      <c r="CA512" s="25"/>
      <c r="CB512" s="25"/>
      <c r="CC512" s="25"/>
      <c r="CD512" s="25"/>
      <c r="CE512" s="25"/>
      <c r="CF512" s="25"/>
      <c r="CG512" s="25"/>
      <c r="CH512" s="25"/>
      <c r="CI512" s="25"/>
      <c r="CJ512" s="25"/>
      <c r="CK512" s="25"/>
      <c r="CL512" s="25"/>
      <c r="CM512" s="25"/>
      <c r="CN512" s="25"/>
      <c r="CO512" s="25"/>
      <c r="CP512" s="25" t="str">
        <f>_xlfn.CONCAT($A513," ",$B513," ",$D513)</f>
        <v>2025 Lucid USA, Inc Gravity GT w/21F22R wheels (3R)</v>
      </c>
      <c r="CQ512" s="25"/>
      <c r="CR512" s="25"/>
      <c r="CS512" s="25"/>
      <c r="CT512" s="25"/>
      <c r="CU512" s="25"/>
      <c r="CV512" s="25"/>
      <c r="CW512" s="25"/>
      <c r="CX512" s="25"/>
      <c r="CY512" s="25"/>
      <c r="CZ512" s="25"/>
      <c r="DA512" s="25"/>
      <c r="DB512" s="25"/>
      <c r="DC512" s="25"/>
      <c r="DD512" s="25"/>
      <c r="DE512" s="25"/>
      <c r="DF512" s="25"/>
      <c r="DG512" s="25"/>
      <c r="DH512" s="25"/>
      <c r="DI512" s="25" t="str">
        <f>_xlfn.CONCAT($A513," ",$B513," ",$D513)</f>
        <v>2025 Lucid USA, Inc Gravity GT w/21F22R wheels (3R)</v>
      </c>
      <c r="DJ512" s="25"/>
      <c r="DK512" s="25"/>
      <c r="DL512" s="25"/>
      <c r="DM512" s="25"/>
      <c r="DN512" s="25"/>
      <c r="DO512" s="25"/>
      <c r="DP512" s="25"/>
      <c r="DQ512" s="25"/>
      <c r="DR512" s="25"/>
      <c r="DS512" s="25"/>
      <c r="DT512" s="25"/>
      <c r="DU512" s="25"/>
      <c r="DV512" s="25"/>
      <c r="DW512" s="25"/>
      <c r="DX512" s="25"/>
      <c r="DY512" s="25"/>
      <c r="DZ512" s="25" t="str">
        <f>_xlfn.CONCAT($A513," ",$B513," ",$D513)</f>
        <v>2025 Lucid USA, Inc Gravity GT w/21F22R wheels (3R)</v>
      </c>
      <c r="EB512" s="25"/>
      <c r="EC512" s="25"/>
      <c r="ED512" s="25"/>
      <c r="EE512" s="25"/>
      <c r="EF512" s="25"/>
      <c r="EG512" s="25"/>
      <c r="EH512" s="25"/>
      <c r="EI512" s="25"/>
      <c r="EJ512" s="25"/>
      <c r="EK512" s="25"/>
      <c r="EL512" s="25"/>
      <c r="EM512" s="25"/>
      <c r="EN512" s="25"/>
      <c r="EO512" s="25"/>
      <c r="EP512" s="25"/>
      <c r="EQ512" s="25"/>
      <c r="ER512" s="25"/>
      <c r="ES512" s="25"/>
      <c r="ET512" s="25"/>
      <c r="EU512" s="25"/>
      <c r="EV512" s="25" t="str">
        <f>_xlfn.CONCAT($A513," ",$B513," ",$D513)</f>
        <v>2025 Lucid USA, Inc Gravity GT w/21F22R wheels (3R)</v>
      </c>
      <c r="EW512" s="25"/>
      <c r="EX512" s="25"/>
      <c r="EY512" s="25"/>
      <c r="EZ512" s="25"/>
      <c r="FA512" s="25"/>
      <c r="FB512" s="25"/>
      <c r="FC512" s="25"/>
      <c r="FD512" s="25"/>
      <c r="FE512" s="25"/>
      <c r="FF512" s="25"/>
      <c r="FG512" s="25"/>
    </row>
    <row r="513" spans="1:165" x14ac:dyDescent="0.35">
      <c r="A513">
        <v>2025</v>
      </c>
      <c r="B513" t="s">
        <v>2055</v>
      </c>
      <c r="C513" t="s">
        <v>2073</v>
      </c>
      <c r="D513" t="s">
        <v>2079</v>
      </c>
      <c r="E513" t="s">
        <v>2058</v>
      </c>
      <c r="F513">
        <v>24</v>
      </c>
      <c r="G513">
        <v>0</v>
      </c>
      <c r="I513" t="s">
        <v>1734</v>
      </c>
      <c r="J513">
        <v>96</v>
      </c>
      <c r="K513">
        <v>89</v>
      </c>
      <c r="L513">
        <v>92</v>
      </c>
      <c r="M513">
        <v>133.9</v>
      </c>
      <c r="N513">
        <v>124.1</v>
      </c>
      <c r="O513">
        <v>129.30500000000001</v>
      </c>
      <c r="P513">
        <v>95.751900000000006</v>
      </c>
      <c r="Q513">
        <v>88.743899999999996</v>
      </c>
      <c r="R513">
        <v>92.465999999999994</v>
      </c>
      <c r="V513" t="s">
        <v>167</v>
      </c>
      <c r="W513" t="s">
        <v>168</v>
      </c>
      <c r="Y513">
        <v>1</v>
      </c>
      <c r="Z513" t="s">
        <v>170</v>
      </c>
      <c r="AA513" t="s">
        <v>170</v>
      </c>
      <c r="AB513" t="s">
        <v>167</v>
      </c>
      <c r="AC513" t="s">
        <v>213</v>
      </c>
      <c r="AF513">
        <v>386</v>
      </c>
      <c r="AG513" t="s">
        <v>1735</v>
      </c>
      <c r="AH513" t="s">
        <v>1736</v>
      </c>
      <c r="AI513" t="s">
        <v>175</v>
      </c>
      <c r="AJ513" t="s">
        <v>176</v>
      </c>
      <c r="AK513">
        <v>4</v>
      </c>
      <c r="AL513" t="s">
        <v>1737</v>
      </c>
      <c r="AS513">
        <v>850</v>
      </c>
      <c r="AT513">
        <v>50</v>
      </c>
      <c r="BQ513">
        <v>33</v>
      </c>
      <c r="BR513" t="s">
        <v>1497</v>
      </c>
      <c r="BT513" t="s">
        <v>1769</v>
      </c>
      <c r="BU513" s="1">
        <v>45663</v>
      </c>
      <c r="BV513">
        <v>36036</v>
      </c>
      <c r="BX513" t="s">
        <v>169</v>
      </c>
      <c r="BY513" t="s">
        <v>170</v>
      </c>
      <c r="CB513" t="s">
        <v>170</v>
      </c>
      <c r="CC513" t="s">
        <v>170</v>
      </c>
      <c r="CK513" t="s">
        <v>233</v>
      </c>
      <c r="CM513">
        <v>1</v>
      </c>
      <c r="CN513" t="s">
        <v>234</v>
      </c>
      <c r="CP513">
        <v>810</v>
      </c>
      <c r="CQ513">
        <v>152</v>
      </c>
      <c r="CR513">
        <v>181</v>
      </c>
      <c r="CS513" t="s">
        <v>1752</v>
      </c>
      <c r="CV513" t="s">
        <v>341</v>
      </c>
      <c r="CX513" t="s">
        <v>342</v>
      </c>
      <c r="CY513" t="s">
        <v>169</v>
      </c>
      <c r="DD513">
        <v>2</v>
      </c>
      <c r="DE513" t="s">
        <v>404</v>
      </c>
      <c r="DF513" t="s">
        <v>2059</v>
      </c>
      <c r="DG513" t="s">
        <v>2075</v>
      </c>
      <c r="DL513" t="s">
        <v>170</v>
      </c>
      <c r="DM513" t="s">
        <v>169</v>
      </c>
      <c r="DP513" t="s">
        <v>170</v>
      </c>
      <c r="DQ513" t="s">
        <v>187</v>
      </c>
      <c r="EB513">
        <v>9</v>
      </c>
      <c r="EC513">
        <v>10</v>
      </c>
      <c r="EE513" t="s">
        <v>2076</v>
      </c>
      <c r="EF513">
        <v>10</v>
      </c>
      <c r="EU513">
        <v>5250</v>
      </c>
      <c r="EW513">
        <v>0</v>
      </c>
      <c r="EX513">
        <v>0</v>
      </c>
      <c r="EY513">
        <v>0</v>
      </c>
      <c r="FA513">
        <v>9.5</v>
      </c>
      <c r="FG513">
        <v>399</v>
      </c>
      <c r="FH513">
        <v>370</v>
      </c>
      <c r="FI513">
        <v>386</v>
      </c>
    </row>
    <row r="514" spans="1:165" x14ac:dyDescent="0.35">
      <c r="A514">
        <v>2025</v>
      </c>
      <c r="B514" t="s">
        <v>2055</v>
      </c>
      <c r="C514" t="s">
        <v>2073</v>
      </c>
      <c r="D514" t="s">
        <v>2079</v>
      </c>
      <c r="E514" t="s">
        <v>2058</v>
      </c>
      <c r="F514">
        <v>24</v>
      </c>
      <c r="G514">
        <v>0</v>
      </c>
      <c r="I514" t="s">
        <v>1734</v>
      </c>
      <c r="J514">
        <v>35</v>
      </c>
      <c r="K514">
        <v>38</v>
      </c>
      <c r="L514">
        <v>36</v>
      </c>
      <c r="M514">
        <v>25.179400000000001</v>
      </c>
      <c r="N514">
        <v>27.1691</v>
      </c>
      <c r="O514">
        <v>26.0749</v>
      </c>
      <c r="P514">
        <v>35.200299999999999</v>
      </c>
      <c r="Q514">
        <v>37.9801</v>
      </c>
      <c r="R514">
        <v>36.4512</v>
      </c>
      <c r="V514" t="s">
        <v>167</v>
      </c>
      <c r="W514" t="s">
        <v>168</v>
      </c>
      <c r="Y514">
        <v>1</v>
      </c>
      <c r="Z514" t="s">
        <v>170</v>
      </c>
      <c r="AA514" t="s">
        <v>170</v>
      </c>
      <c r="AB514" t="s">
        <v>167</v>
      </c>
      <c r="AC514" t="s">
        <v>213</v>
      </c>
      <c r="AF514">
        <v>386</v>
      </c>
      <c r="AG514" t="s">
        <v>1735</v>
      </c>
      <c r="AH514" t="s">
        <v>1736</v>
      </c>
      <c r="AI514" t="s">
        <v>1742</v>
      </c>
      <c r="AJ514" t="s">
        <v>1743</v>
      </c>
      <c r="AK514">
        <v>4</v>
      </c>
      <c r="AL514" t="s">
        <v>1737</v>
      </c>
      <c r="AS514">
        <v>850</v>
      </c>
      <c r="AT514">
        <v>850</v>
      </c>
      <c r="BQ514">
        <v>33</v>
      </c>
      <c r="BR514" t="s">
        <v>1497</v>
      </c>
      <c r="BT514" t="s">
        <v>1769</v>
      </c>
      <c r="BU514" s="1">
        <v>45663</v>
      </c>
      <c r="BV514">
        <v>36036</v>
      </c>
      <c r="BX514" t="s">
        <v>169</v>
      </c>
      <c r="BY514" t="s">
        <v>170</v>
      </c>
      <c r="CB514" t="s">
        <v>170</v>
      </c>
      <c r="CC514" t="s">
        <v>170</v>
      </c>
      <c r="CK514" t="s">
        <v>233</v>
      </c>
      <c r="CM514">
        <v>1</v>
      </c>
      <c r="CN514" t="s">
        <v>234</v>
      </c>
      <c r="CP514">
        <v>810</v>
      </c>
      <c r="CQ514">
        <v>152</v>
      </c>
      <c r="CR514">
        <v>181</v>
      </c>
      <c r="CS514" t="s">
        <v>1752</v>
      </c>
      <c r="CV514" t="s">
        <v>341</v>
      </c>
      <c r="CX514" t="s">
        <v>342</v>
      </c>
      <c r="CY514" t="s">
        <v>169</v>
      </c>
      <c r="DD514">
        <v>2</v>
      </c>
      <c r="DE514" t="s">
        <v>404</v>
      </c>
      <c r="DF514" t="s">
        <v>2059</v>
      </c>
      <c r="DG514" t="s">
        <v>2075</v>
      </c>
      <c r="DL514" t="s">
        <v>170</v>
      </c>
      <c r="DM514" t="s">
        <v>169</v>
      </c>
      <c r="DP514" t="s">
        <v>170</v>
      </c>
      <c r="DQ514" t="s">
        <v>187</v>
      </c>
      <c r="EB514">
        <v>9</v>
      </c>
      <c r="EC514">
        <v>10</v>
      </c>
      <c r="EE514" t="s">
        <v>2076</v>
      </c>
      <c r="EF514">
        <v>10</v>
      </c>
      <c r="EU514">
        <v>5250</v>
      </c>
      <c r="EW514">
        <v>0</v>
      </c>
      <c r="EX514">
        <v>0</v>
      </c>
      <c r="EY514">
        <v>0</v>
      </c>
      <c r="FA514">
        <v>9.5</v>
      </c>
      <c r="FG514">
        <v>399</v>
      </c>
      <c r="FH514">
        <v>370</v>
      </c>
      <c r="FI514">
        <v>386</v>
      </c>
    </row>
    <row r="515" spans="1:165" x14ac:dyDescent="0.35">
      <c r="A515" s="25"/>
      <c r="B515" s="25"/>
      <c r="C515" s="25"/>
      <c r="D515" s="25"/>
      <c r="E515" s="25"/>
      <c r="F515" s="25" t="str">
        <f>_xlfn.CONCAT($A516," ",$B516," ",$D516)</f>
        <v>2025 Lucid USA, Inc Gravity GT w/22F23R wheels (3R)</v>
      </c>
      <c r="G515" s="25"/>
      <c r="H515" s="25"/>
      <c r="I515" s="25"/>
      <c r="J515" s="25"/>
      <c r="K515" s="25"/>
      <c r="L515" s="25"/>
      <c r="M515" s="25"/>
      <c r="N515" s="25"/>
      <c r="O515" s="25"/>
      <c r="P515" s="25"/>
      <c r="Q515" s="25"/>
      <c r="R515" s="25"/>
      <c r="S515" s="25"/>
      <c r="T515" s="25"/>
      <c r="U515" s="25"/>
      <c r="V515" s="25"/>
      <c r="W515" s="25"/>
      <c r="X515" s="25"/>
      <c r="Y515" s="25"/>
      <c r="Z515" s="25"/>
      <c r="AA515" s="25"/>
      <c r="AB515" s="25"/>
      <c r="AC515" s="25"/>
      <c r="AD515" s="25" t="str">
        <f>_xlfn.CONCAT($A516," ",$B516," ",$D516)</f>
        <v>2025 Lucid USA, Inc Gravity GT w/22F23R wheels (3R)</v>
      </c>
      <c r="AE515" s="25"/>
      <c r="AF515" s="25"/>
      <c r="AG515" s="25"/>
      <c r="AH515" s="25"/>
      <c r="AI515" s="25"/>
      <c r="AJ515" s="25"/>
      <c r="AK515" s="25"/>
      <c r="AL515" s="25"/>
      <c r="AM515" s="25"/>
      <c r="AN515" s="25"/>
      <c r="AO515" s="25"/>
      <c r="AP515" s="25"/>
      <c r="AQ515" s="25"/>
      <c r="AR515" s="25"/>
      <c r="AS515" s="25"/>
      <c r="AT515" s="25"/>
      <c r="AU515" s="25"/>
      <c r="AV515" s="25"/>
      <c r="AW515" s="25"/>
      <c r="AX515" s="25" t="str">
        <f>_xlfn.CONCAT($A516," ",$B516," ",$D516)</f>
        <v>2025 Lucid USA, Inc Gravity GT w/22F23R wheels (3R)</v>
      </c>
      <c r="AY515" s="25"/>
      <c r="AZ515" s="25"/>
      <c r="BA515" s="25"/>
      <c r="BB515" s="25"/>
      <c r="BC515" s="25"/>
      <c r="BD515" s="25"/>
      <c r="BE515" s="25"/>
      <c r="BF515" s="25"/>
      <c r="BG515" s="25"/>
      <c r="BH515" s="25"/>
      <c r="BI515" s="25"/>
      <c r="BJ515" s="25"/>
      <c r="BK515" s="25"/>
      <c r="BL515" s="25"/>
      <c r="BM515" s="25"/>
      <c r="BN515" s="25"/>
      <c r="BO515" s="25"/>
      <c r="BP515" s="25"/>
      <c r="BQ515" s="25"/>
      <c r="BR515" s="25" t="str">
        <f>_xlfn.CONCAT($A516," ",$B516," ",$D516)</f>
        <v>2025 Lucid USA, Inc Gravity GT w/22F23R wheels (3R)</v>
      </c>
      <c r="BS515" s="25"/>
      <c r="BT515" s="25"/>
      <c r="BU515" s="25"/>
      <c r="BV515" s="25"/>
      <c r="BX515" s="25"/>
      <c r="BY515" s="25"/>
      <c r="BZ515" s="25"/>
      <c r="CA515" s="25"/>
      <c r="CB515" s="25"/>
      <c r="CC515" s="25"/>
      <c r="CD515" s="25"/>
      <c r="CE515" s="25"/>
      <c r="CF515" s="25"/>
      <c r="CG515" s="25"/>
      <c r="CH515" s="25"/>
      <c r="CI515" s="25"/>
      <c r="CJ515" s="25"/>
      <c r="CK515" s="25"/>
      <c r="CL515" s="25"/>
      <c r="CM515" s="25"/>
      <c r="CN515" s="25"/>
      <c r="CO515" s="25"/>
      <c r="CP515" s="25" t="str">
        <f>_xlfn.CONCAT($A516," ",$B516," ",$D516)</f>
        <v>2025 Lucid USA, Inc Gravity GT w/22F23R wheels (3R)</v>
      </c>
      <c r="CQ515" s="25"/>
      <c r="CR515" s="25"/>
      <c r="CS515" s="25"/>
      <c r="CT515" s="25"/>
      <c r="CU515" s="25"/>
      <c r="CV515" s="25"/>
      <c r="CW515" s="25"/>
      <c r="CX515" s="25"/>
      <c r="CY515" s="25"/>
      <c r="CZ515" s="25"/>
      <c r="DA515" s="25"/>
      <c r="DB515" s="25"/>
      <c r="DC515" s="25"/>
      <c r="DD515" s="25"/>
      <c r="DE515" s="25"/>
      <c r="DF515" s="25"/>
      <c r="DG515" s="25"/>
      <c r="DH515" s="25"/>
      <c r="DI515" s="25" t="str">
        <f>_xlfn.CONCAT($A516," ",$B516," ",$D516)</f>
        <v>2025 Lucid USA, Inc Gravity GT w/22F23R wheels (3R)</v>
      </c>
      <c r="DJ515" s="25"/>
      <c r="DK515" s="25"/>
      <c r="DL515" s="25"/>
      <c r="DM515" s="25"/>
      <c r="DN515" s="25"/>
      <c r="DO515" s="25"/>
      <c r="DP515" s="25"/>
      <c r="DQ515" s="25"/>
      <c r="DR515" s="25"/>
      <c r="DS515" s="25"/>
      <c r="DT515" s="25"/>
      <c r="DU515" s="25"/>
      <c r="DV515" s="25"/>
      <c r="DW515" s="25"/>
      <c r="DX515" s="25"/>
      <c r="DY515" s="25"/>
      <c r="DZ515" s="25" t="str">
        <f>_xlfn.CONCAT($A516," ",$B516," ",$D516)</f>
        <v>2025 Lucid USA, Inc Gravity GT w/22F23R wheels (3R)</v>
      </c>
      <c r="EB515" s="25"/>
      <c r="EC515" s="25"/>
      <c r="ED515" s="25"/>
      <c r="EE515" s="25"/>
      <c r="EF515" s="25"/>
      <c r="EG515" s="25"/>
      <c r="EH515" s="25"/>
      <c r="EI515" s="25"/>
      <c r="EJ515" s="25"/>
      <c r="EK515" s="25"/>
      <c r="EL515" s="25"/>
      <c r="EM515" s="25"/>
      <c r="EN515" s="25"/>
      <c r="EO515" s="25"/>
      <c r="EP515" s="25"/>
      <c r="EQ515" s="25"/>
      <c r="ER515" s="25"/>
      <c r="ES515" s="25"/>
      <c r="ET515" s="25"/>
      <c r="EU515" s="25"/>
      <c r="EV515" s="25" t="str">
        <f>_xlfn.CONCAT($A516," ",$B516," ",$D516)</f>
        <v>2025 Lucid USA, Inc Gravity GT w/22F23R wheels (3R)</v>
      </c>
      <c r="EW515" s="25"/>
      <c r="EX515" s="25"/>
      <c r="EY515" s="25"/>
      <c r="EZ515" s="25"/>
      <c r="FA515" s="25"/>
      <c r="FB515" s="25"/>
      <c r="FC515" s="25"/>
      <c r="FD515" s="25"/>
      <c r="FE515" s="25"/>
      <c r="FF515" s="25"/>
      <c r="FG515" s="25"/>
    </row>
    <row r="516" spans="1:165" x14ac:dyDescent="0.35">
      <c r="A516">
        <v>2025</v>
      </c>
      <c r="B516" t="s">
        <v>2055</v>
      </c>
      <c r="C516" t="s">
        <v>2073</v>
      </c>
      <c r="D516" t="s">
        <v>2081</v>
      </c>
      <c r="E516" t="s">
        <v>2058</v>
      </c>
      <c r="F516">
        <v>25</v>
      </c>
      <c r="G516">
        <v>0</v>
      </c>
      <c r="I516" t="s">
        <v>1734</v>
      </c>
      <c r="J516">
        <v>96</v>
      </c>
      <c r="K516">
        <v>89</v>
      </c>
      <c r="L516">
        <v>92</v>
      </c>
      <c r="M516">
        <v>133.9</v>
      </c>
      <c r="N516">
        <v>124.1</v>
      </c>
      <c r="O516">
        <v>129.30500000000001</v>
      </c>
      <c r="P516">
        <v>95.751900000000006</v>
      </c>
      <c r="Q516">
        <v>88.743899999999996</v>
      </c>
      <c r="R516">
        <v>92.465999999999994</v>
      </c>
      <c r="V516" t="s">
        <v>167</v>
      </c>
      <c r="W516" t="s">
        <v>168</v>
      </c>
      <c r="Y516">
        <v>1</v>
      </c>
      <c r="Z516" t="s">
        <v>170</v>
      </c>
      <c r="AA516" t="s">
        <v>170</v>
      </c>
      <c r="AB516" t="s">
        <v>167</v>
      </c>
      <c r="AC516" t="s">
        <v>213</v>
      </c>
      <c r="AF516">
        <v>386</v>
      </c>
      <c r="AG516" t="s">
        <v>1735</v>
      </c>
      <c r="AH516" t="s">
        <v>1736</v>
      </c>
      <c r="AI516" t="s">
        <v>175</v>
      </c>
      <c r="AJ516" t="s">
        <v>176</v>
      </c>
      <c r="AK516">
        <v>4</v>
      </c>
      <c r="AL516" t="s">
        <v>1737</v>
      </c>
      <c r="AS516">
        <v>850</v>
      </c>
      <c r="AT516">
        <v>50</v>
      </c>
      <c r="BQ516">
        <v>33</v>
      </c>
      <c r="BR516" t="s">
        <v>1497</v>
      </c>
      <c r="BT516" t="s">
        <v>1769</v>
      </c>
      <c r="BU516" s="1">
        <v>45663</v>
      </c>
      <c r="BV516">
        <v>36037</v>
      </c>
      <c r="BX516" t="s">
        <v>169</v>
      </c>
      <c r="BY516" t="s">
        <v>170</v>
      </c>
      <c r="CB516" t="s">
        <v>170</v>
      </c>
      <c r="CC516" t="s">
        <v>170</v>
      </c>
      <c r="CK516" t="s">
        <v>233</v>
      </c>
      <c r="CM516">
        <v>1</v>
      </c>
      <c r="CN516" t="s">
        <v>234</v>
      </c>
      <c r="CP516">
        <v>810</v>
      </c>
      <c r="CQ516">
        <v>152</v>
      </c>
      <c r="CR516">
        <v>181</v>
      </c>
      <c r="CS516" t="s">
        <v>1752</v>
      </c>
      <c r="CV516" t="s">
        <v>341</v>
      </c>
      <c r="CX516" t="s">
        <v>342</v>
      </c>
      <c r="CY516" t="s">
        <v>169</v>
      </c>
      <c r="DD516">
        <v>2</v>
      </c>
      <c r="DE516" t="s">
        <v>404</v>
      </c>
      <c r="DF516" t="s">
        <v>2059</v>
      </c>
      <c r="DG516" t="s">
        <v>2075</v>
      </c>
      <c r="DL516" t="s">
        <v>170</v>
      </c>
      <c r="DM516" t="s">
        <v>169</v>
      </c>
      <c r="DP516" t="s">
        <v>170</v>
      </c>
      <c r="DQ516" t="s">
        <v>187</v>
      </c>
      <c r="EB516">
        <v>9</v>
      </c>
      <c r="EC516">
        <v>10</v>
      </c>
      <c r="EE516" t="s">
        <v>2076</v>
      </c>
      <c r="EF516">
        <v>10</v>
      </c>
      <c r="EU516">
        <v>5250</v>
      </c>
      <c r="EW516">
        <v>0</v>
      </c>
      <c r="EX516">
        <v>0</v>
      </c>
      <c r="EY516">
        <v>0</v>
      </c>
      <c r="FA516">
        <v>9.5</v>
      </c>
      <c r="FG516">
        <v>399</v>
      </c>
      <c r="FH516">
        <v>370</v>
      </c>
      <c r="FI516">
        <v>386</v>
      </c>
    </row>
    <row r="517" spans="1:165" x14ac:dyDescent="0.35">
      <c r="A517">
        <v>2025</v>
      </c>
      <c r="B517" t="s">
        <v>2055</v>
      </c>
      <c r="C517" t="s">
        <v>2073</v>
      </c>
      <c r="D517" t="s">
        <v>2081</v>
      </c>
      <c r="E517" t="s">
        <v>2058</v>
      </c>
      <c r="F517">
        <v>25</v>
      </c>
      <c r="G517">
        <v>0</v>
      </c>
      <c r="I517" t="s">
        <v>1734</v>
      </c>
      <c r="J517">
        <v>35</v>
      </c>
      <c r="K517">
        <v>38</v>
      </c>
      <c r="L517">
        <v>36</v>
      </c>
      <c r="M517">
        <v>25.179400000000001</v>
      </c>
      <c r="N517">
        <v>27.1691</v>
      </c>
      <c r="O517">
        <v>26.0749</v>
      </c>
      <c r="P517">
        <v>35.200299999999999</v>
      </c>
      <c r="Q517">
        <v>37.9801</v>
      </c>
      <c r="R517">
        <v>36.4512</v>
      </c>
      <c r="V517" t="s">
        <v>167</v>
      </c>
      <c r="W517" t="s">
        <v>168</v>
      </c>
      <c r="Y517">
        <v>1</v>
      </c>
      <c r="Z517" t="s">
        <v>170</v>
      </c>
      <c r="AA517" t="s">
        <v>170</v>
      </c>
      <c r="AB517" t="s">
        <v>167</v>
      </c>
      <c r="AC517" t="s">
        <v>213</v>
      </c>
      <c r="AF517">
        <v>386</v>
      </c>
      <c r="AG517" t="s">
        <v>1735</v>
      </c>
      <c r="AH517" t="s">
        <v>1736</v>
      </c>
      <c r="AI517" t="s">
        <v>1742</v>
      </c>
      <c r="AJ517" t="s">
        <v>1743</v>
      </c>
      <c r="AK517">
        <v>4</v>
      </c>
      <c r="AL517" t="s">
        <v>1737</v>
      </c>
      <c r="AS517">
        <v>850</v>
      </c>
      <c r="AT517">
        <v>850</v>
      </c>
      <c r="BQ517">
        <v>33</v>
      </c>
      <c r="BR517" t="s">
        <v>1497</v>
      </c>
      <c r="BT517" t="s">
        <v>1769</v>
      </c>
      <c r="BU517" s="1">
        <v>45663</v>
      </c>
      <c r="BV517">
        <v>36037</v>
      </c>
      <c r="BX517" t="s">
        <v>169</v>
      </c>
      <c r="BY517" t="s">
        <v>170</v>
      </c>
      <c r="CB517" t="s">
        <v>170</v>
      </c>
      <c r="CC517" t="s">
        <v>170</v>
      </c>
      <c r="CK517" t="s">
        <v>233</v>
      </c>
      <c r="CM517">
        <v>1</v>
      </c>
      <c r="CN517" t="s">
        <v>234</v>
      </c>
      <c r="CP517">
        <v>810</v>
      </c>
      <c r="CQ517">
        <v>152</v>
      </c>
      <c r="CR517">
        <v>181</v>
      </c>
      <c r="CS517" t="s">
        <v>1752</v>
      </c>
      <c r="CV517" t="s">
        <v>341</v>
      </c>
      <c r="CX517" t="s">
        <v>342</v>
      </c>
      <c r="CY517" t="s">
        <v>169</v>
      </c>
      <c r="DD517">
        <v>2</v>
      </c>
      <c r="DE517" t="s">
        <v>404</v>
      </c>
      <c r="DF517" t="s">
        <v>2059</v>
      </c>
      <c r="DG517" t="s">
        <v>2075</v>
      </c>
      <c r="DL517" t="s">
        <v>170</v>
      </c>
      <c r="DM517" t="s">
        <v>169</v>
      </c>
      <c r="DP517" t="s">
        <v>170</v>
      </c>
      <c r="DQ517" t="s">
        <v>187</v>
      </c>
      <c r="EB517">
        <v>9</v>
      </c>
      <c r="EC517">
        <v>10</v>
      </c>
      <c r="EE517" t="s">
        <v>2076</v>
      </c>
      <c r="EF517">
        <v>10</v>
      </c>
      <c r="EU517">
        <v>5250</v>
      </c>
      <c r="EW517">
        <v>0</v>
      </c>
      <c r="EX517">
        <v>0</v>
      </c>
      <c r="EY517">
        <v>0</v>
      </c>
      <c r="FA517">
        <v>9.5</v>
      </c>
      <c r="FG517">
        <v>399</v>
      </c>
      <c r="FH517">
        <v>370</v>
      </c>
      <c r="FI517">
        <v>386</v>
      </c>
    </row>
    <row r="518" spans="1:165" x14ac:dyDescent="0.35">
      <c r="A518" s="25"/>
      <c r="B518" s="25"/>
      <c r="C518" s="25"/>
      <c r="D518" s="25"/>
      <c r="E518" s="25"/>
      <c r="F518" s="25" t="str">
        <f>_xlfn.CONCAT($A519," ",$B519," ",$D519)</f>
        <v>2025 Maserati Grecale Folgore (20" Wheel)</v>
      </c>
      <c r="G518" s="25"/>
      <c r="H518" s="25"/>
      <c r="I518" s="25"/>
      <c r="J518" s="25"/>
      <c r="K518" s="25"/>
      <c r="L518" s="25"/>
      <c r="M518" s="25"/>
      <c r="N518" s="25"/>
      <c r="O518" s="25"/>
      <c r="P518" s="25"/>
      <c r="Q518" s="25"/>
      <c r="R518" s="25"/>
      <c r="S518" s="25"/>
      <c r="T518" s="25"/>
      <c r="U518" s="25"/>
      <c r="V518" s="25"/>
      <c r="W518" s="25"/>
      <c r="X518" s="25"/>
      <c r="Y518" s="25"/>
      <c r="Z518" s="25"/>
      <c r="AA518" s="25"/>
      <c r="AB518" s="25"/>
      <c r="AC518" s="25"/>
      <c r="AD518" s="25" t="str">
        <f>_xlfn.CONCAT($A519," ",$B519," ",$D519)</f>
        <v>2025 Maserati Grecale Folgore (20" Wheel)</v>
      </c>
      <c r="AE518" s="25"/>
      <c r="AF518" s="25"/>
      <c r="AG518" s="25"/>
      <c r="AH518" s="25"/>
      <c r="AI518" s="25"/>
      <c r="AJ518" s="25"/>
      <c r="AK518" s="25"/>
      <c r="AL518" s="25"/>
      <c r="AM518" s="25"/>
      <c r="AN518" s="25"/>
      <c r="AO518" s="25"/>
      <c r="AP518" s="25"/>
      <c r="AQ518" s="25"/>
      <c r="AR518" s="25"/>
      <c r="AS518" s="25"/>
      <c r="AT518" s="25"/>
      <c r="AU518" s="25"/>
      <c r="AV518" s="25"/>
      <c r="AW518" s="25"/>
      <c r="AX518" s="25" t="str">
        <f>_xlfn.CONCAT($A519," ",$B519," ",$D519)</f>
        <v>2025 Maserati Grecale Folgore (20" Wheel)</v>
      </c>
      <c r="AY518" s="25"/>
      <c r="AZ518" s="25"/>
      <c r="BA518" s="25"/>
      <c r="BB518" s="25"/>
      <c r="BC518" s="25"/>
      <c r="BD518" s="25"/>
      <c r="BE518" s="25"/>
      <c r="BF518" s="25"/>
      <c r="BG518" s="25"/>
      <c r="BH518" s="25"/>
      <c r="BI518" s="25"/>
      <c r="BJ518" s="25"/>
      <c r="BK518" s="25"/>
      <c r="BL518" s="25"/>
      <c r="BM518" s="25"/>
      <c r="BN518" s="25"/>
      <c r="BO518" s="25"/>
      <c r="BP518" s="25"/>
      <c r="BQ518" s="25"/>
      <c r="BR518" s="25" t="str">
        <f>_xlfn.CONCAT($A519," ",$B519," ",$D519)</f>
        <v>2025 Maserati Grecale Folgore (20" Wheel)</v>
      </c>
      <c r="BS518" s="25"/>
      <c r="BT518" s="25"/>
      <c r="BU518" s="25"/>
      <c r="BV518" s="25"/>
      <c r="BX518" s="25"/>
      <c r="BY518" s="25"/>
      <c r="BZ518" s="25"/>
      <c r="CA518" s="25"/>
      <c r="CB518" s="25"/>
      <c r="CC518" s="25"/>
      <c r="CD518" s="25"/>
      <c r="CE518" s="25"/>
      <c r="CF518" s="25"/>
      <c r="CG518" s="25"/>
      <c r="CH518" s="25"/>
      <c r="CI518" s="25"/>
      <c r="CJ518" s="25"/>
      <c r="CK518" s="25"/>
      <c r="CL518" s="25"/>
      <c r="CM518" s="25"/>
      <c r="CN518" s="25"/>
      <c r="CO518" s="25"/>
      <c r="CP518" s="25" t="str">
        <f>_xlfn.CONCAT($A519," ",$B519," ",$D519)</f>
        <v>2025 Maserati Grecale Folgore (20" Wheel)</v>
      </c>
      <c r="CQ518" s="25"/>
      <c r="CR518" s="25"/>
      <c r="CS518" s="25"/>
      <c r="CT518" s="25"/>
      <c r="CU518" s="25"/>
      <c r="CV518" s="25"/>
      <c r="CW518" s="25"/>
      <c r="CX518" s="25"/>
      <c r="CY518" s="25"/>
      <c r="CZ518" s="25"/>
      <c r="DA518" s="25"/>
      <c r="DB518" s="25"/>
      <c r="DC518" s="25"/>
      <c r="DD518" s="25"/>
      <c r="DE518" s="25"/>
      <c r="DF518" s="25"/>
      <c r="DG518" s="25"/>
      <c r="DH518" s="25"/>
      <c r="DI518" s="25" t="str">
        <f>_xlfn.CONCAT($A519," ",$B519," ",$D519)</f>
        <v>2025 Maserati Grecale Folgore (20" Wheel)</v>
      </c>
      <c r="DJ518" s="25"/>
      <c r="DK518" s="25"/>
      <c r="DL518" s="25"/>
      <c r="DM518" s="25"/>
      <c r="DN518" s="25"/>
      <c r="DO518" s="25"/>
      <c r="DP518" s="25"/>
      <c r="DQ518" s="25"/>
      <c r="DR518" s="25"/>
      <c r="DS518" s="25"/>
      <c r="DT518" s="25"/>
      <c r="DU518" s="25"/>
      <c r="DV518" s="25"/>
      <c r="DW518" s="25"/>
      <c r="DX518" s="25"/>
      <c r="DY518" s="25"/>
      <c r="DZ518" s="25" t="str">
        <f>_xlfn.CONCAT($A519," ",$B519," ",$D519)</f>
        <v>2025 Maserati Grecale Folgore (20" Wheel)</v>
      </c>
      <c r="EB518" s="25"/>
      <c r="EC518" s="25"/>
      <c r="ED518" s="25"/>
      <c r="EE518" s="25"/>
      <c r="EF518" s="25"/>
      <c r="EG518" s="25"/>
      <c r="EH518" s="25"/>
      <c r="EI518" s="25"/>
      <c r="EJ518" s="25"/>
      <c r="EK518" s="25"/>
      <c r="EL518" s="25"/>
      <c r="EM518" s="25"/>
      <c r="EN518" s="25"/>
      <c r="EO518" s="25"/>
      <c r="EP518" s="25"/>
      <c r="EQ518" s="25"/>
      <c r="ER518" s="25"/>
      <c r="ES518" s="25"/>
      <c r="ET518" s="25"/>
      <c r="EU518" s="25"/>
      <c r="EV518" s="25" t="str">
        <f>_xlfn.CONCAT($A519," ",$B519," ",$D519)</f>
        <v>2025 Maserati Grecale Folgore (20" Wheel)</v>
      </c>
      <c r="EW518" s="25"/>
      <c r="EX518" s="25"/>
      <c r="EY518" s="25"/>
      <c r="EZ518" s="25"/>
      <c r="FA518" s="25"/>
      <c r="FB518" s="25"/>
      <c r="FC518" s="25"/>
      <c r="FD518" s="25"/>
      <c r="FE518" s="25"/>
      <c r="FF518" s="25"/>
      <c r="FG518" s="25"/>
    </row>
    <row r="519" spans="1:165" x14ac:dyDescent="0.35">
      <c r="A519">
        <v>2025</v>
      </c>
      <c r="B519" t="s">
        <v>261</v>
      </c>
      <c r="C519" t="s">
        <v>262</v>
      </c>
      <c r="D519" t="s">
        <v>2086</v>
      </c>
      <c r="E519" t="s">
        <v>264</v>
      </c>
      <c r="F519">
        <v>63</v>
      </c>
      <c r="G519">
        <v>0</v>
      </c>
      <c r="I519" t="s">
        <v>1734</v>
      </c>
      <c r="J519">
        <v>80</v>
      </c>
      <c r="K519">
        <v>70</v>
      </c>
      <c r="L519">
        <v>75</v>
      </c>
      <c r="M519">
        <v>109.6</v>
      </c>
      <c r="N519">
        <v>94.9</v>
      </c>
      <c r="O519">
        <v>102.45820000000001</v>
      </c>
      <c r="P519">
        <v>80.288600000000002</v>
      </c>
      <c r="Q519">
        <v>69.519900000000007</v>
      </c>
      <c r="R519">
        <v>75.056799999999996</v>
      </c>
      <c r="V519" t="s">
        <v>167</v>
      </c>
      <c r="W519" t="s">
        <v>168</v>
      </c>
      <c r="Y519">
        <v>1</v>
      </c>
      <c r="Z519" t="s">
        <v>170</v>
      </c>
      <c r="AA519" t="s">
        <v>170</v>
      </c>
      <c r="AB519" t="s">
        <v>167</v>
      </c>
      <c r="AC519" t="s">
        <v>213</v>
      </c>
      <c r="AF519">
        <v>245</v>
      </c>
      <c r="AG519" t="s">
        <v>1735</v>
      </c>
      <c r="AH519" t="s">
        <v>1736</v>
      </c>
      <c r="AI519" t="s">
        <v>175</v>
      </c>
      <c r="AJ519" t="s">
        <v>176</v>
      </c>
      <c r="AK519" t="s">
        <v>940</v>
      </c>
      <c r="AL519" t="s">
        <v>941</v>
      </c>
      <c r="AS519">
        <v>1100</v>
      </c>
      <c r="AT519">
        <v>1100</v>
      </c>
      <c r="BQ519">
        <v>31</v>
      </c>
      <c r="BR519" t="s">
        <v>1219</v>
      </c>
      <c r="BT519" t="s">
        <v>1738</v>
      </c>
      <c r="BU519" s="1">
        <v>45467</v>
      </c>
      <c r="BV519">
        <v>34904</v>
      </c>
      <c r="CB519" t="s">
        <v>170</v>
      </c>
      <c r="CC519" t="s">
        <v>170</v>
      </c>
      <c r="CK519" t="s">
        <v>233</v>
      </c>
      <c r="CM519">
        <v>1</v>
      </c>
      <c r="CN519" t="s">
        <v>234</v>
      </c>
      <c r="CP519">
        <v>400</v>
      </c>
      <c r="CQ519">
        <v>144</v>
      </c>
      <c r="CR519">
        <v>160</v>
      </c>
      <c r="CS519" t="s">
        <v>235</v>
      </c>
      <c r="CV519" t="s">
        <v>341</v>
      </c>
      <c r="CX519" t="s">
        <v>342</v>
      </c>
      <c r="CY519" t="s">
        <v>169</v>
      </c>
      <c r="DD519">
        <v>2</v>
      </c>
      <c r="DE519" t="s">
        <v>663</v>
      </c>
      <c r="DG519" t="s">
        <v>2087</v>
      </c>
      <c r="DL519" t="s">
        <v>170</v>
      </c>
      <c r="DM519" t="s">
        <v>169</v>
      </c>
      <c r="DP519" t="s">
        <v>170</v>
      </c>
      <c r="DQ519" t="s">
        <v>187</v>
      </c>
      <c r="EB519">
        <v>9</v>
      </c>
      <c r="EC519">
        <v>10</v>
      </c>
      <c r="EE519" t="s">
        <v>2088</v>
      </c>
      <c r="EF519">
        <v>10</v>
      </c>
      <c r="EU519">
        <v>4000</v>
      </c>
      <c r="EW519">
        <v>0</v>
      </c>
      <c r="EX519">
        <v>0</v>
      </c>
      <c r="EY519">
        <v>0</v>
      </c>
      <c r="FA519">
        <v>11</v>
      </c>
      <c r="FG519">
        <v>261</v>
      </c>
      <c r="FH519">
        <v>226</v>
      </c>
      <c r="FI519">
        <v>245</v>
      </c>
    </row>
    <row r="520" spans="1:165" x14ac:dyDescent="0.35">
      <c r="A520">
        <v>2025</v>
      </c>
      <c r="B520" t="s">
        <v>261</v>
      </c>
      <c r="C520" t="s">
        <v>262</v>
      </c>
      <c r="D520" t="s">
        <v>2086</v>
      </c>
      <c r="E520" t="s">
        <v>264</v>
      </c>
      <c r="F520">
        <v>63</v>
      </c>
      <c r="G520">
        <v>0</v>
      </c>
      <c r="I520" t="s">
        <v>1734</v>
      </c>
      <c r="J520">
        <v>42</v>
      </c>
      <c r="K520">
        <v>48</v>
      </c>
      <c r="L520">
        <v>45</v>
      </c>
      <c r="M520">
        <v>30.7455</v>
      </c>
      <c r="N520">
        <v>35.532800000000002</v>
      </c>
      <c r="O520">
        <v>32.899799999999999</v>
      </c>
      <c r="P520">
        <v>41.979799999999997</v>
      </c>
      <c r="Q520">
        <v>48.482500000000002</v>
      </c>
      <c r="R520">
        <v>44.905999999999999</v>
      </c>
      <c r="V520" t="s">
        <v>167</v>
      </c>
      <c r="W520" t="s">
        <v>168</v>
      </c>
      <c r="Y520">
        <v>1</v>
      </c>
      <c r="Z520" t="s">
        <v>170</v>
      </c>
      <c r="AA520" t="s">
        <v>170</v>
      </c>
      <c r="AB520" t="s">
        <v>167</v>
      </c>
      <c r="AC520" t="s">
        <v>213</v>
      </c>
      <c r="AF520">
        <v>245</v>
      </c>
      <c r="AG520" t="s">
        <v>1735</v>
      </c>
      <c r="AH520" t="s">
        <v>1736</v>
      </c>
      <c r="AI520" t="s">
        <v>1742</v>
      </c>
      <c r="AJ520" t="s">
        <v>1743</v>
      </c>
      <c r="AK520" t="s">
        <v>940</v>
      </c>
      <c r="AL520" t="s">
        <v>941</v>
      </c>
      <c r="AS520">
        <v>1100</v>
      </c>
      <c r="AT520">
        <v>1100</v>
      </c>
      <c r="BQ520">
        <v>31</v>
      </c>
      <c r="BR520" t="s">
        <v>1219</v>
      </c>
      <c r="BT520" t="s">
        <v>1738</v>
      </c>
      <c r="BU520" s="1">
        <v>45467</v>
      </c>
      <c r="BV520">
        <v>34904</v>
      </c>
      <c r="CB520" t="s">
        <v>170</v>
      </c>
      <c r="CC520" t="s">
        <v>170</v>
      </c>
      <c r="CK520" t="s">
        <v>233</v>
      </c>
      <c r="CM520">
        <v>1</v>
      </c>
      <c r="CN520" t="s">
        <v>234</v>
      </c>
      <c r="CP520">
        <v>400</v>
      </c>
      <c r="CQ520">
        <v>144</v>
      </c>
      <c r="CR520">
        <v>160</v>
      </c>
      <c r="CS520" t="s">
        <v>235</v>
      </c>
      <c r="CV520" t="s">
        <v>341</v>
      </c>
      <c r="CX520" t="s">
        <v>342</v>
      </c>
      <c r="CY520" t="s">
        <v>169</v>
      </c>
      <c r="DD520">
        <v>2</v>
      </c>
      <c r="DE520" t="s">
        <v>663</v>
      </c>
      <c r="DG520" t="s">
        <v>2087</v>
      </c>
      <c r="DL520" t="s">
        <v>170</v>
      </c>
      <c r="DM520" t="s">
        <v>169</v>
      </c>
      <c r="DP520" t="s">
        <v>170</v>
      </c>
      <c r="DQ520" t="s">
        <v>187</v>
      </c>
      <c r="EB520">
        <v>9</v>
      </c>
      <c r="EC520">
        <v>10</v>
      </c>
      <c r="EE520" t="s">
        <v>2088</v>
      </c>
      <c r="EF520">
        <v>10</v>
      </c>
      <c r="EU520">
        <v>4000</v>
      </c>
      <c r="EW520">
        <v>0</v>
      </c>
      <c r="EX520">
        <v>0</v>
      </c>
      <c r="EY520">
        <v>0</v>
      </c>
      <c r="FA520">
        <v>11</v>
      </c>
      <c r="FG520">
        <v>261</v>
      </c>
      <c r="FH520">
        <v>226</v>
      </c>
      <c r="FI520">
        <v>245</v>
      </c>
    </row>
    <row r="521" spans="1:165" x14ac:dyDescent="0.35">
      <c r="A521" s="25"/>
      <c r="B521" s="25"/>
      <c r="C521" s="25"/>
      <c r="D521" s="25"/>
      <c r="E521" s="25"/>
      <c r="F521" s="25" t="str">
        <f>_xlfn.CONCAT($A522," ",$B522," ",$D522)</f>
        <v>2025 Maserati Grecale Folgore (21" Wheel)</v>
      </c>
      <c r="G521" s="25"/>
      <c r="H521" s="25"/>
      <c r="I521" s="25"/>
      <c r="J521" s="25"/>
      <c r="K521" s="25"/>
      <c r="L521" s="25"/>
      <c r="M521" s="25"/>
      <c r="N521" s="25"/>
      <c r="O521" s="25"/>
      <c r="P521" s="25"/>
      <c r="Q521" s="25"/>
      <c r="R521" s="25"/>
      <c r="S521" s="25"/>
      <c r="T521" s="25"/>
      <c r="U521" s="25"/>
      <c r="V521" s="25"/>
      <c r="W521" s="25"/>
      <c r="X521" s="25"/>
      <c r="Y521" s="25"/>
      <c r="Z521" s="25"/>
      <c r="AA521" s="25"/>
      <c r="AB521" s="25"/>
      <c r="AC521" s="25"/>
      <c r="AD521" s="25" t="str">
        <f>_xlfn.CONCAT($A522," ",$B522," ",$D522)</f>
        <v>2025 Maserati Grecale Folgore (21" Wheel)</v>
      </c>
      <c r="AE521" s="25"/>
      <c r="AF521" s="25"/>
      <c r="AG521" s="25"/>
      <c r="AH521" s="25"/>
      <c r="AI521" s="25"/>
      <c r="AJ521" s="25"/>
      <c r="AK521" s="25"/>
      <c r="AL521" s="25"/>
      <c r="AM521" s="25"/>
      <c r="AN521" s="25"/>
      <c r="AO521" s="25"/>
      <c r="AP521" s="25"/>
      <c r="AQ521" s="25"/>
      <c r="AR521" s="25"/>
      <c r="AS521" s="25"/>
      <c r="AT521" s="25"/>
      <c r="AU521" s="25"/>
      <c r="AV521" s="25"/>
      <c r="AW521" s="25"/>
      <c r="AX521" s="25" t="str">
        <f>_xlfn.CONCAT($A522," ",$B522," ",$D522)</f>
        <v>2025 Maserati Grecale Folgore (21" Wheel)</v>
      </c>
      <c r="AY521" s="25"/>
      <c r="AZ521" s="25"/>
      <c r="BA521" s="25"/>
      <c r="BB521" s="25"/>
      <c r="BC521" s="25"/>
      <c r="BD521" s="25"/>
      <c r="BE521" s="25"/>
      <c r="BF521" s="25"/>
      <c r="BG521" s="25"/>
      <c r="BH521" s="25"/>
      <c r="BI521" s="25"/>
      <c r="BJ521" s="25"/>
      <c r="BK521" s="25"/>
      <c r="BL521" s="25"/>
      <c r="BM521" s="25"/>
      <c r="BN521" s="25"/>
      <c r="BO521" s="25"/>
      <c r="BP521" s="25"/>
      <c r="BQ521" s="25"/>
      <c r="BR521" s="25" t="str">
        <f>_xlfn.CONCAT($A522," ",$B522," ",$D522)</f>
        <v>2025 Maserati Grecale Folgore (21" Wheel)</v>
      </c>
      <c r="BS521" s="25"/>
      <c r="BT521" s="25"/>
      <c r="BU521" s="25"/>
      <c r="BV521" s="25"/>
      <c r="BX521" s="25"/>
      <c r="BY521" s="25"/>
      <c r="BZ521" s="25"/>
      <c r="CA521" s="25"/>
      <c r="CB521" s="25"/>
      <c r="CC521" s="25"/>
      <c r="CD521" s="25"/>
      <c r="CE521" s="25"/>
      <c r="CF521" s="25"/>
      <c r="CG521" s="25"/>
      <c r="CH521" s="25"/>
      <c r="CI521" s="25"/>
      <c r="CJ521" s="25"/>
      <c r="CK521" s="25"/>
      <c r="CL521" s="25"/>
      <c r="CM521" s="25"/>
      <c r="CN521" s="25"/>
      <c r="CO521" s="25"/>
      <c r="CP521" s="25" t="str">
        <f>_xlfn.CONCAT($A522," ",$B522," ",$D522)</f>
        <v>2025 Maserati Grecale Folgore (21" Wheel)</v>
      </c>
      <c r="CQ521" s="25"/>
      <c r="CR521" s="25"/>
      <c r="CS521" s="25"/>
      <c r="CT521" s="25"/>
      <c r="CU521" s="25"/>
      <c r="CV521" s="25"/>
      <c r="CW521" s="25"/>
      <c r="CX521" s="25"/>
      <c r="CY521" s="25"/>
      <c r="CZ521" s="25"/>
      <c r="DA521" s="25"/>
      <c r="DB521" s="25"/>
      <c r="DC521" s="25"/>
      <c r="DD521" s="25"/>
      <c r="DE521" s="25"/>
      <c r="DF521" s="25"/>
      <c r="DG521" s="25"/>
      <c r="DH521" s="25"/>
      <c r="DI521" s="25" t="str">
        <f>_xlfn.CONCAT($A522," ",$B522," ",$D522)</f>
        <v>2025 Maserati Grecale Folgore (21" Wheel)</v>
      </c>
      <c r="DJ521" s="25"/>
      <c r="DK521" s="25"/>
      <c r="DL521" s="25"/>
      <c r="DM521" s="25"/>
      <c r="DN521" s="25"/>
      <c r="DO521" s="25"/>
      <c r="DP521" s="25"/>
      <c r="DQ521" s="25"/>
      <c r="DR521" s="25"/>
      <c r="DS521" s="25"/>
      <c r="DT521" s="25"/>
      <c r="DU521" s="25"/>
      <c r="DV521" s="25"/>
      <c r="DW521" s="25"/>
      <c r="DX521" s="25"/>
      <c r="DY521" s="25"/>
      <c r="DZ521" s="25" t="str">
        <f>_xlfn.CONCAT($A522," ",$B522," ",$D522)</f>
        <v>2025 Maserati Grecale Folgore (21" Wheel)</v>
      </c>
      <c r="EB521" s="25"/>
      <c r="EC521" s="25"/>
      <c r="ED521" s="25"/>
      <c r="EE521" s="25"/>
      <c r="EF521" s="25"/>
      <c r="EG521" s="25"/>
      <c r="EH521" s="25"/>
      <c r="EI521" s="25"/>
      <c r="EJ521" s="25"/>
      <c r="EK521" s="25"/>
      <c r="EL521" s="25"/>
      <c r="EM521" s="25"/>
      <c r="EN521" s="25"/>
      <c r="EO521" s="25"/>
      <c r="EP521" s="25"/>
      <c r="EQ521" s="25"/>
      <c r="ER521" s="25"/>
      <c r="ES521" s="25"/>
      <c r="ET521" s="25"/>
      <c r="EU521" s="25"/>
      <c r="EV521" s="25" t="str">
        <f>_xlfn.CONCAT($A522," ",$B522," ",$D522)</f>
        <v>2025 Maserati Grecale Folgore (21" Wheel)</v>
      </c>
      <c r="EW521" s="25"/>
      <c r="EX521" s="25"/>
      <c r="EY521" s="25"/>
      <c r="EZ521" s="25"/>
      <c r="FA521" s="25"/>
      <c r="FB521" s="25"/>
      <c r="FC521" s="25"/>
      <c r="FD521" s="25"/>
      <c r="FE521" s="25"/>
      <c r="FF521" s="25"/>
      <c r="FG521" s="25"/>
    </row>
    <row r="522" spans="1:165" x14ac:dyDescent="0.35">
      <c r="A522">
        <v>2025</v>
      </c>
      <c r="B522" t="s">
        <v>261</v>
      </c>
      <c r="C522" t="s">
        <v>262</v>
      </c>
      <c r="D522" t="s">
        <v>2089</v>
      </c>
      <c r="E522" t="s">
        <v>264</v>
      </c>
      <c r="F522">
        <v>64</v>
      </c>
      <c r="G522">
        <v>0</v>
      </c>
      <c r="I522" t="s">
        <v>1734</v>
      </c>
      <c r="J522">
        <v>65</v>
      </c>
      <c r="K522">
        <v>59</v>
      </c>
      <c r="L522">
        <v>62</v>
      </c>
      <c r="M522">
        <v>88.7</v>
      </c>
      <c r="N522">
        <v>81.2</v>
      </c>
      <c r="O522">
        <v>85.160399999999996</v>
      </c>
      <c r="P522">
        <v>64.978099999999998</v>
      </c>
      <c r="Q522">
        <v>59.483899999999998</v>
      </c>
      <c r="R522">
        <v>62.385100000000001</v>
      </c>
      <c r="V522" t="s">
        <v>167</v>
      </c>
      <c r="W522" t="s">
        <v>168</v>
      </c>
      <c r="Y522">
        <v>1</v>
      </c>
      <c r="Z522" t="s">
        <v>170</v>
      </c>
      <c r="AA522" t="s">
        <v>170</v>
      </c>
      <c r="AB522" t="s">
        <v>167</v>
      </c>
      <c r="AC522" t="s">
        <v>213</v>
      </c>
      <c r="AF522">
        <v>206</v>
      </c>
      <c r="AG522" t="s">
        <v>1735</v>
      </c>
      <c r="AH522" t="s">
        <v>1736</v>
      </c>
      <c r="AI522" t="s">
        <v>175</v>
      </c>
      <c r="AJ522" t="s">
        <v>176</v>
      </c>
      <c r="AK522" t="s">
        <v>940</v>
      </c>
      <c r="AL522" t="s">
        <v>941</v>
      </c>
      <c r="AS522">
        <v>1300</v>
      </c>
      <c r="AT522">
        <v>1300</v>
      </c>
      <c r="BQ522">
        <v>31</v>
      </c>
      <c r="BR522" t="s">
        <v>1219</v>
      </c>
      <c r="BT522" t="s">
        <v>1738</v>
      </c>
      <c r="BU522" s="1">
        <v>45467</v>
      </c>
      <c r="BV522">
        <v>34905</v>
      </c>
      <c r="CB522" t="s">
        <v>170</v>
      </c>
      <c r="CC522" t="s">
        <v>170</v>
      </c>
      <c r="CK522" t="s">
        <v>233</v>
      </c>
      <c r="CM522">
        <v>1</v>
      </c>
      <c r="CN522" t="s">
        <v>234</v>
      </c>
      <c r="CP522">
        <v>400</v>
      </c>
      <c r="CQ522">
        <v>144</v>
      </c>
      <c r="CR522">
        <v>160</v>
      </c>
      <c r="CS522" t="s">
        <v>235</v>
      </c>
      <c r="CV522" t="s">
        <v>341</v>
      </c>
      <c r="CX522" t="s">
        <v>342</v>
      </c>
      <c r="CY522" t="s">
        <v>169</v>
      </c>
      <c r="DD522">
        <v>2</v>
      </c>
      <c r="DE522" t="s">
        <v>663</v>
      </c>
      <c r="DG522" t="s">
        <v>2087</v>
      </c>
      <c r="DL522" t="s">
        <v>170</v>
      </c>
      <c r="DM522" t="s">
        <v>169</v>
      </c>
      <c r="DP522" t="s">
        <v>170</v>
      </c>
      <c r="DQ522" t="s">
        <v>187</v>
      </c>
      <c r="EB522">
        <v>8</v>
      </c>
      <c r="EC522">
        <v>10</v>
      </c>
      <c r="EE522" t="s">
        <v>2088</v>
      </c>
      <c r="EF522">
        <v>10</v>
      </c>
      <c r="EU522">
        <v>3000</v>
      </c>
      <c r="EW522">
        <v>0</v>
      </c>
      <c r="EX522">
        <v>0</v>
      </c>
      <c r="EY522">
        <v>0</v>
      </c>
      <c r="FA522">
        <v>11</v>
      </c>
      <c r="FG522">
        <v>214</v>
      </c>
      <c r="FH522">
        <v>196</v>
      </c>
      <c r="FI522">
        <v>206</v>
      </c>
    </row>
    <row r="523" spans="1:165" x14ac:dyDescent="0.35">
      <c r="A523">
        <v>2025</v>
      </c>
      <c r="B523" t="s">
        <v>261</v>
      </c>
      <c r="C523" t="s">
        <v>262</v>
      </c>
      <c r="D523" t="s">
        <v>2089</v>
      </c>
      <c r="E523" t="s">
        <v>264</v>
      </c>
      <c r="F523">
        <v>64</v>
      </c>
      <c r="G523">
        <v>0</v>
      </c>
      <c r="I523" t="s">
        <v>1734</v>
      </c>
      <c r="J523">
        <v>52</v>
      </c>
      <c r="K523">
        <v>57</v>
      </c>
      <c r="L523">
        <v>54</v>
      </c>
      <c r="M523">
        <v>38.010199999999998</v>
      </c>
      <c r="N523">
        <v>41.52</v>
      </c>
      <c r="O523">
        <v>39.589599999999997</v>
      </c>
      <c r="P523">
        <v>51.871299999999998</v>
      </c>
      <c r="Q523">
        <v>56.662399999999998</v>
      </c>
      <c r="R523">
        <v>54.027299999999997</v>
      </c>
      <c r="V523" t="s">
        <v>167</v>
      </c>
      <c r="W523" t="s">
        <v>168</v>
      </c>
      <c r="Y523">
        <v>1</v>
      </c>
      <c r="Z523" t="s">
        <v>170</v>
      </c>
      <c r="AA523" t="s">
        <v>170</v>
      </c>
      <c r="AB523" t="s">
        <v>167</v>
      </c>
      <c r="AC523" t="s">
        <v>213</v>
      </c>
      <c r="AF523">
        <v>206</v>
      </c>
      <c r="AG523" t="s">
        <v>1735</v>
      </c>
      <c r="AH523" t="s">
        <v>1736</v>
      </c>
      <c r="AI523" t="s">
        <v>1742</v>
      </c>
      <c r="AJ523" t="s">
        <v>1743</v>
      </c>
      <c r="AK523" t="s">
        <v>940</v>
      </c>
      <c r="AL523" t="s">
        <v>941</v>
      </c>
      <c r="AS523">
        <v>1300</v>
      </c>
      <c r="AT523">
        <v>1300</v>
      </c>
      <c r="BQ523">
        <v>31</v>
      </c>
      <c r="BR523" t="s">
        <v>1219</v>
      </c>
      <c r="BT523" t="s">
        <v>1738</v>
      </c>
      <c r="BU523" s="1">
        <v>45467</v>
      </c>
      <c r="BV523">
        <v>34905</v>
      </c>
      <c r="CB523" t="s">
        <v>170</v>
      </c>
      <c r="CC523" t="s">
        <v>170</v>
      </c>
      <c r="CK523" t="s">
        <v>233</v>
      </c>
      <c r="CM523">
        <v>1</v>
      </c>
      <c r="CN523" t="s">
        <v>234</v>
      </c>
      <c r="CP523">
        <v>400</v>
      </c>
      <c r="CQ523">
        <v>144</v>
      </c>
      <c r="CR523">
        <v>160</v>
      </c>
      <c r="CS523" t="s">
        <v>235</v>
      </c>
      <c r="CV523" t="s">
        <v>341</v>
      </c>
      <c r="CX523" t="s">
        <v>342</v>
      </c>
      <c r="CY523" t="s">
        <v>169</v>
      </c>
      <c r="DD523">
        <v>2</v>
      </c>
      <c r="DE523" t="s">
        <v>663</v>
      </c>
      <c r="DG523" t="s">
        <v>2087</v>
      </c>
      <c r="DL523" t="s">
        <v>170</v>
      </c>
      <c r="DM523" t="s">
        <v>169</v>
      </c>
      <c r="DP523" t="s">
        <v>170</v>
      </c>
      <c r="DQ523" t="s">
        <v>187</v>
      </c>
      <c r="EB523">
        <v>8</v>
      </c>
      <c r="EC523">
        <v>10</v>
      </c>
      <c r="EE523" t="s">
        <v>2088</v>
      </c>
      <c r="EF523">
        <v>10</v>
      </c>
      <c r="EU523">
        <v>3000</v>
      </c>
      <c r="EW523">
        <v>0</v>
      </c>
      <c r="EX523">
        <v>0</v>
      </c>
      <c r="EY523">
        <v>0</v>
      </c>
      <c r="FA523">
        <v>11</v>
      </c>
      <c r="FG523">
        <v>214</v>
      </c>
      <c r="FH523">
        <v>196</v>
      </c>
      <c r="FI523">
        <v>206</v>
      </c>
    </row>
    <row r="524" spans="1:165" x14ac:dyDescent="0.35">
      <c r="A524" s="25"/>
      <c r="B524" s="25"/>
      <c r="C524" s="25"/>
      <c r="D524" s="25"/>
      <c r="E524" s="25"/>
      <c r="F524" s="25" t="str">
        <f>_xlfn.CONCAT($A525," ",$B525," ",$D525)</f>
        <v>2025 Maserati Granturismo Folgore</v>
      </c>
      <c r="G524" s="25"/>
      <c r="H524" s="25"/>
      <c r="I524" s="25"/>
      <c r="J524" s="25"/>
      <c r="K524" s="25"/>
      <c r="L524" s="25"/>
      <c r="M524" s="25"/>
      <c r="N524" s="25"/>
      <c r="O524" s="25"/>
      <c r="P524" s="25"/>
      <c r="Q524" s="25"/>
      <c r="R524" s="25"/>
      <c r="S524" s="25"/>
      <c r="T524" s="25"/>
      <c r="U524" s="25"/>
      <c r="V524" s="25"/>
      <c r="W524" s="25"/>
      <c r="X524" s="25"/>
      <c r="Y524" s="25"/>
      <c r="Z524" s="25"/>
      <c r="AA524" s="25"/>
      <c r="AB524" s="25"/>
      <c r="AC524" s="25"/>
      <c r="AD524" s="25" t="str">
        <f>_xlfn.CONCAT($A525," ",$B525," ",$D525)</f>
        <v>2025 Maserati Granturismo Folgore</v>
      </c>
      <c r="AE524" s="25"/>
      <c r="AF524" s="25"/>
      <c r="AG524" s="25"/>
      <c r="AH524" s="25"/>
      <c r="AI524" s="25"/>
      <c r="AJ524" s="25"/>
      <c r="AK524" s="25"/>
      <c r="AL524" s="25"/>
      <c r="AM524" s="25"/>
      <c r="AN524" s="25"/>
      <c r="AO524" s="25"/>
      <c r="AP524" s="25"/>
      <c r="AQ524" s="25"/>
      <c r="AR524" s="25"/>
      <c r="AS524" s="25"/>
      <c r="AT524" s="25"/>
      <c r="AU524" s="25"/>
      <c r="AV524" s="25"/>
      <c r="AW524" s="25"/>
      <c r="AX524" s="25" t="str">
        <f>_xlfn.CONCAT($A525," ",$B525," ",$D525)</f>
        <v>2025 Maserati Granturismo Folgore</v>
      </c>
      <c r="AY524" s="25"/>
      <c r="AZ524" s="25"/>
      <c r="BA524" s="25"/>
      <c r="BB524" s="25"/>
      <c r="BC524" s="25"/>
      <c r="BD524" s="25"/>
      <c r="BE524" s="25"/>
      <c r="BF524" s="25"/>
      <c r="BG524" s="25"/>
      <c r="BH524" s="25"/>
      <c r="BI524" s="25"/>
      <c r="BJ524" s="25"/>
      <c r="BK524" s="25"/>
      <c r="BL524" s="25"/>
      <c r="BM524" s="25"/>
      <c r="BN524" s="25"/>
      <c r="BO524" s="25"/>
      <c r="BP524" s="25"/>
      <c r="BQ524" s="25"/>
      <c r="BR524" s="25" t="str">
        <f>_xlfn.CONCAT($A525," ",$B525," ",$D525)</f>
        <v>2025 Maserati Granturismo Folgore</v>
      </c>
      <c r="BS524" s="25"/>
      <c r="BT524" s="25"/>
      <c r="BU524" s="25"/>
      <c r="BV524" s="25"/>
      <c r="BX524" s="25"/>
      <c r="BY524" s="25"/>
      <c r="BZ524" s="25"/>
      <c r="CA524" s="25"/>
      <c r="CB524" s="25"/>
      <c r="CC524" s="25"/>
      <c r="CD524" s="25"/>
      <c r="CE524" s="25"/>
      <c r="CF524" s="25"/>
      <c r="CG524" s="25"/>
      <c r="CH524" s="25"/>
      <c r="CI524" s="25"/>
      <c r="CJ524" s="25"/>
      <c r="CK524" s="25"/>
      <c r="CL524" s="25"/>
      <c r="CM524" s="25"/>
      <c r="CN524" s="25"/>
      <c r="CO524" s="25"/>
      <c r="CP524" s="25" t="str">
        <f>_xlfn.CONCAT($A525," ",$B525," ",$D525)</f>
        <v>2025 Maserati Granturismo Folgore</v>
      </c>
      <c r="CQ524" s="25"/>
      <c r="CR524" s="25"/>
      <c r="CS524" s="25"/>
      <c r="CT524" s="25"/>
      <c r="CU524" s="25"/>
      <c r="CV524" s="25"/>
      <c r="CW524" s="25"/>
      <c r="CX524" s="25"/>
      <c r="CY524" s="25"/>
      <c r="CZ524" s="25"/>
      <c r="DA524" s="25"/>
      <c r="DB524" s="25"/>
      <c r="DC524" s="25"/>
      <c r="DD524" s="25"/>
      <c r="DE524" s="25"/>
      <c r="DF524" s="25"/>
      <c r="DG524" s="25"/>
      <c r="DH524" s="25"/>
      <c r="DI524" s="25" t="str">
        <f>_xlfn.CONCAT($A525," ",$B525," ",$D525)</f>
        <v>2025 Maserati Granturismo Folgore</v>
      </c>
      <c r="DJ524" s="25"/>
      <c r="DK524" s="25"/>
      <c r="DL524" s="25"/>
      <c r="DM524" s="25"/>
      <c r="DN524" s="25"/>
      <c r="DO524" s="25"/>
      <c r="DP524" s="25"/>
      <c r="DQ524" s="25"/>
      <c r="DR524" s="25"/>
      <c r="DS524" s="25"/>
      <c r="DT524" s="25"/>
      <c r="DU524" s="25"/>
      <c r="DV524" s="25"/>
      <c r="DW524" s="25"/>
      <c r="DX524" s="25"/>
      <c r="DY524" s="25"/>
      <c r="DZ524" s="25" t="str">
        <f>_xlfn.CONCAT($A525," ",$B525," ",$D525)</f>
        <v>2025 Maserati Granturismo Folgore</v>
      </c>
      <c r="EB524" s="25"/>
      <c r="EC524" s="25"/>
      <c r="ED524" s="25"/>
      <c r="EE524" s="25"/>
      <c r="EF524" s="25"/>
      <c r="EG524" s="25"/>
      <c r="EH524" s="25"/>
      <c r="EI524" s="25"/>
      <c r="EJ524" s="25"/>
      <c r="EK524" s="25"/>
      <c r="EL524" s="25"/>
      <c r="EM524" s="25"/>
      <c r="EN524" s="25"/>
      <c r="EO524" s="25"/>
      <c r="EP524" s="25"/>
      <c r="EQ524" s="25"/>
      <c r="ER524" s="25"/>
      <c r="ES524" s="25"/>
      <c r="ET524" s="25"/>
      <c r="EU524" s="25"/>
      <c r="EV524" s="25" t="str">
        <f>_xlfn.CONCAT($A525," ",$B525," ",$D525)</f>
        <v>2025 Maserati Granturismo Folgore</v>
      </c>
      <c r="EW524" s="25"/>
      <c r="EX524" s="25"/>
      <c r="EY524" s="25"/>
      <c r="EZ524" s="25"/>
      <c r="FA524" s="25"/>
      <c r="FB524" s="25"/>
      <c r="FC524" s="25"/>
      <c r="FD524" s="25"/>
      <c r="FE524" s="25"/>
      <c r="FF524" s="25"/>
      <c r="FG524" s="25"/>
    </row>
    <row r="525" spans="1:165" x14ac:dyDescent="0.35">
      <c r="A525">
        <v>2025</v>
      </c>
      <c r="B525" t="s">
        <v>261</v>
      </c>
      <c r="C525" t="s">
        <v>262</v>
      </c>
      <c r="D525" t="s">
        <v>2085</v>
      </c>
      <c r="E525" t="s">
        <v>264</v>
      </c>
      <c r="F525">
        <v>72</v>
      </c>
      <c r="G525">
        <v>0</v>
      </c>
      <c r="I525" t="s">
        <v>1734</v>
      </c>
      <c r="J525">
        <v>85</v>
      </c>
      <c r="K525">
        <v>81</v>
      </c>
      <c r="L525">
        <v>83</v>
      </c>
      <c r="M525">
        <v>115.8</v>
      </c>
      <c r="N525">
        <v>110.2</v>
      </c>
      <c r="O525">
        <v>113.2</v>
      </c>
      <c r="P525">
        <v>85.104900000000001</v>
      </c>
      <c r="Q525">
        <v>80.9893</v>
      </c>
      <c r="R525">
        <v>83.202200000000005</v>
      </c>
      <c r="V525" t="s">
        <v>167</v>
      </c>
      <c r="W525" t="s">
        <v>168</v>
      </c>
      <c r="Y525">
        <v>1</v>
      </c>
      <c r="Z525" t="s">
        <v>170</v>
      </c>
      <c r="AA525" t="s">
        <v>170</v>
      </c>
      <c r="AB525" t="s">
        <v>167</v>
      </c>
      <c r="AC525" t="s">
        <v>213</v>
      </c>
      <c r="AF525">
        <v>233</v>
      </c>
      <c r="AG525" t="s">
        <v>1735</v>
      </c>
      <c r="AH525" t="s">
        <v>1736</v>
      </c>
      <c r="AI525" t="s">
        <v>175</v>
      </c>
      <c r="AJ525" t="s">
        <v>176</v>
      </c>
      <c r="AK525" t="s">
        <v>170</v>
      </c>
      <c r="AL525" t="s">
        <v>177</v>
      </c>
      <c r="AM525">
        <v>89</v>
      </c>
      <c r="AN525">
        <v>8</v>
      </c>
      <c r="AS525">
        <v>950</v>
      </c>
      <c r="AT525">
        <v>950</v>
      </c>
      <c r="BQ525">
        <v>3</v>
      </c>
      <c r="BR525" t="s">
        <v>387</v>
      </c>
      <c r="BS525" t="s">
        <v>180</v>
      </c>
      <c r="BT525" t="s">
        <v>1738</v>
      </c>
      <c r="BU525" s="1">
        <v>45553</v>
      </c>
      <c r="BV525">
        <v>35577</v>
      </c>
      <c r="CB525" t="s">
        <v>170</v>
      </c>
      <c r="CC525" t="s">
        <v>170</v>
      </c>
      <c r="CK525" t="s">
        <v>233</v>
      </c>
      <c r="CM525">
        <v>1</v>
      </c>
      <c r="CN525" t="s">
        <v>234</v>
      </c>
      <c r="CP525">
        <v>701</v>
      </c>
      <c r="CQ525">
        <v>129</v>
      </c>
      <c r="CR525">
        <v>151</v>
      </c>
      <c r="CS525" t="s">
        <v>235</v>
      </c>
      <c r="CV525" t="s">
        <v>341</v>
      </c>
      <c r="CX525" t="s">
        <v>342</v>
      </c>
      <c r="CY525" t="s">
        <v>169</v>
      </c>
      <c r="DD525">
        <v>3</v>
      </c>
      <c r="DE525" t="s">
        <v>663</v>
      </c>
      <c r="DG525" t="s">
        <v>2083</v>
      </c>
      <c r="DL525" t="s">
        <v>170</v>
      </c>
      <c r="DM525" t="s">
        <v>169</v>
      </c>
      <c r="DP525" t="s">
        <v>170</v>
      </c>
      <c r="DQ525" t="s">
        <v>187</v>
      </c>
      <c r="EB525">
        <v>9</v>
      </c>
      <c r="EC525">
        <v>10</v>
      </c>
      <c r="EE525" t="s">
        <v>2084</v>
      </c>
      <c r="EF525">
        <v>10</v>
      </c>
      <c r="EU525">
        <v>4750</v>
      </c>
      <c r="EW525">
        <v>0</v>
      </c>
      <c r="EX525">
        <v>0</v>
      </c>
      <c r="EY525">
        <v>0</v>
      </c>
      <c r="FA525">
        <v>9</v>
      </c>
      <c r="FG525">
        <v>238</v>
      </c>
      <c r="FH525">
        <v>227</v>
      </c>
      <c r="FI525">
        <v>233</v>
      </c>
    </row>
    <row r="526" spans="1:165" x14ac:dyDescent="0.35">
      <c r="A526">
        <v>2025</v>
      </c>
      <c r="B526" t="s">
        <v>261</v>
      </c>
      <c r="C526" t="s">
        <v>262</v>
      </c>
      <c r="D526" t="s">
        <v>2085</v>
      </c>
      <c r="E526" t="s">
        <v>264</v>
      </c>
      <c r="F526">
        <v>72</v>
      </c>
      <c r="G526">
        <v>0</v>
      </c>
      <c r="I526" t="s">
        <v>1734</v>
      </c>
      <c r="J526">
        <v>40</v>
      </c>
      <c r="K526">
        <v>42</v>
      </c>
      <c r="L526">
        <v>41</v>
      </c>
      <c r="M526">
        <v>29.1143</v>
      </c>
      <c r="N526">
        <v>30.596299999999999</v>
      </c>
      <c r="O526">
        <v>29.781199999999998</v>
      </c>
      <c r="P526">
        <v>39.604100000000003</v>
      </c>
      <c r="Q526">
        <v>41.616599999999998</v>
      </c>
      <c r="R526">
        <v>40.509700000000002</v>
      </c>
      <c r="V526" t="s">
        <v>167</v>
      </c>
      <c r="W526" t="s">
        <v>168</v>
      </c>
      <c r="Y526">
        <v>1</v>
      </c>
      <c r="Z526" t="s">
        <v>170</v>
      </c>
      <c r="AA526" t="s">
        <v>170</v>
      </c>
      <c r="AB526" t="s">
        <v>167</v>
      </c>
      <c r="AC526" t="s">
        <v>213</v>
      </c>
      <c r="AF526">
        <v>233</v>
      </c>
      <c r="AG526" t="s">
        <v>1735</v>
      </c>
      <c r="AH526" t="s">
        <v>1736</v>
      </c>
      <c r="AI526" t="s">
        <v>1742</v>
      </c>
      <c r="AJ526" t="s">
        <v>1743</v>
      </c>
      <c r="AK526" t="s">
        <v>170</v>
      </c>
      <c r="AL526" t="s">
        <v>177</v>
      </c>
      <c r="AM526">
        <v>89</v>
      </c>
      <c r="AN526">
        <v>8</v>
      </c>
      <c r="AS526">
        <v>950</v>
      </c>
      <c r="AT526">
        <v>950</v>
      </c>
      <c r="BQ526">
        <v>3</v>
      </c>
      <c r="BR526" t="s">
        <v>387</v>
      </c>
      <c r="BS526" t="s">
        <v>180</v>
      </c>
      <c r="BT526" t="s">
        <v>1738</v>
      </c>
      <c r="BU526" s="1">
        <v>45553</v>
      </c>
      <c r="BV526">
        <v>35577</v>
      </c>
      <c r="CB526" t="s">
        <v>170</v>
      </c>
      <c r="CC526" t="s">
        <v>170</v>
      </c>
      <c r="CK526" t="s">
        <v>233</v>
      </c>
      <c r="CM526">
        <v>1</v>
      </c>
      <c r="CN526" t="s">
        <v>234</v>
      </c>
      <c r="CP526">
        <v>701</v>
      </c>
      <c r="CQ526">
        <v>129</v>
      </c>
      <c r="CR526">
        <v>151</v>
      </c>
      <c r="CS526" t="s">
        <v>235</v>
      </c>
      <c r="CV526" t="s">
        <v>341</v>
      </c>
      <c r="CX526" t="s">
        <v>342</v>
      </c>
      <c r="CY526" t="s">
        <v>169</v>
      </c>
      <c r="DD526">
        <v>3</v>
      </c>
      <c r="DE526" t="s">
        <v>663</v>
      </c>
      <c r="DG526" t="s">
        <v>2083</v>
      </c>
      <c r="DL526" t="s">
        <v>170</v>
      </c>
      <c r="DM526" t="s">
        <v>169</v>
      </c>
      <c r="DP526" t="s">
        <v>170</v>
      </c>
      <c r="DQ526" t="s">
        <v>187</v>
      </c>
      <c r="EB526">
        <v>9</v>
      </c>
      <c r="EC526">
        <v>10</v>
      </c>
      <c r="EE526" t="s">
        <v>2084</v>
      </c>
      <c r="EF526">
        <v>10</v>
      </c>
      <c r="EU526">
        <v>4750</v>
      </c>
      <c r="EW526">
        <v>0</v>
      </c>
      <c r="EX526">
        <v>0</v>
      </c>
      <c r="EY526">
        <v>0</v>
      </c>
      <c r="FA526">
        <v>9</v>
      </c>
      <c r="FG526">
        <v>238</v>
      </c>
      <c r="FH526">
        <v>227</v>
      </c>
      <c r="FI526">
        <v>233</v>
      </c>
    </row>
    <row r="527" spans="1:165" x14ac:dyDescent="0.35">
      <c r="A527" s="25"/>
      <c r="B527" s="25"/>
      <c r="C527" s="25"/>
      <c r="D527" s="25"/>
      <c r="E527" s="25"/>
      <c r="F527" s="25" t="str">
        <f>_xlfn.CONCAT($A528," ",$B528," ",$D528)</f>
        <v>2025 Maserati Grancabrio Folgore</v>
      </c>
      <c r="G527" s="25"/>
      <c r="H527" s="25"/>
      <c r="I527" s="25"/>
      <c r="J527" s="25"/>
      <c r="K527" s="25"/>
      <c r="L527" s="25"/>
      <c r="M527" s="25"/>
      <c r="N527" s="25"/>
      <c r="O527" s="25"/>
      <c r="P527" s="25"/>
      <c r="Q527" s="25"/>
      <c r="R527" s="25"/>
      <c r="S527" s="25"/>
      <c r="T527" s="25"/>
      <c r="U527" s="25"/>
      <c r="V527" s="25"/>
      <c r="W527" s="25"/>
      <c r="X527" s="25"/>
      <c r="Y527" s="25"/>
      <c r="Z527" s="25"/>
      <c r="AA527" s="25"/>
      <c r="AB527" s="25"/>
      <c r="AC527" s="25"/>
      <c r="AD527" s="25" t="str">
        <f>_xlfn.CONCAT($A528," ",$B528," ",$D528)</f>
        <v>2025 Maserati Grancabrio Folgore</v>
      </c>
      <c r="AE527" s="25"/>
      <c r="AF527" s="25"/>
      <c r="AG527" s="25"/>
      <c r="AH527" s="25"/>
      <c r="AI527" s="25"/>
      <c r="AJ527" s="25"/>
      <c r="AK527" s="25"/>
      <c r="AL527" s="25"/>
      <c r="AM527" s="25"/>
      <c r="AN527" s="25"/>
      <c r="AO527" s="25"/>
      <c r="AP527" s="25"/>
      <c r="AQ527" s="25"/>
      <c r="AR527" s="25"/>
      <c r="AS527" s="25"/>
      <c r="AT527" s="25"/>
      <c r="AU527" s="25"/>
      <c r="AV527" s="25"/>
      <c r="AW527" s="25"/>
      <c r="AX527" s="25" t="str">
        <f>_xlfn.CONCAT($A528," ",$B528," ",$D528)</f>
        <v>2025 Maserati Grancabrio Folgore</v>
      </c>
      <c r="AY527" s="25"/>
      <c r="AZ527" s="25"/>
      <c r="BA527" s="25"/>
      <c r="BB527" s="25"/>
      <c r="BC527" s="25"/>
      <c r="BD527" s="25"/>
      <c r="BE527" s="25"/>
      <c r="BF527" s="25"/>
      <c r="BG527" s="25"/>
      <c r="BH527" s="25"/>
      <c r="BI527" s="25"/>
      <c r="BJ527" s="25"/>
      <c r="BK527" s="25"/>
      <c r="BL527" s="25"/>
      <c r="BM527" s="25"/>
      <c r="BN527" s="25"/>
      <c r="BO527" s="25"/>
      <c r="BP527" s="25"/>
      <c r="BQ527" s="25"/>
      <c r="BR527" s="25" t="str">
        <f>_xlfn.CONCAT($A528," ",$B528," ",$D528)</f>
        <v>2025 Maserati Grancabrio Folgore</v>
      </c>
      <c r="BS527" s="25"/>
      <c r="BT527" s="25"/>
      <c r="BU527" s="25"/>
      <c r="BV527" s="25"/>
      <c r="BX527" s="25"/>
      <c r="BY527" s="25"/>
      <c r="BZ527" s="25"/>
      <c r="CA527" s="25"/>
      <c r="CB527" s="25"/>
      <c r="CC527" s="25"/>
      <c r="CD527" s="25"/>
      <c r="CE527" s="25"/>
      <c r="CF527" s="25"/>
      <c r="CG527" s="25"/>
      <c r="CH527" s="25"/>
      <c r="CI527" s="25"/>
      <c r="CJ527" s="25"/>
      <c r="CK527" s="25"/>
      <c r="CL527" s="25"/>
      <c r="CM527" s="25"/>
      <c r="CN527" s="25"/>
      <c r="CO527" s="25"/>
      <c r="CP527" s="25" t="str">
        <f>_xlfn.CONCAT($A528," ",$B528," ",$D528)</f>
        <v>2025 Maserati Grancabrio Folgore</v>
      </c>
      <c r="CQ527" s="25"/>
      <c r="CR527" s="25"/>
      <c r="CS527" s="25"/>
      <c r="CT527" s="25"/>
      <c r="CU527" s="25"/>
      <c r="CV527" s="25"/>
      <c r="CW527" s="25"/>
      <c r="CX527" s="25"/>
      <c r="CY527" s="25"/>
      <c r="CZ527" s="25"/>
      <c r="DA527" s="25"/>
      <c r="DB527" s="25"/>
      <c r="DC527" s="25"/>
      <c r="DD527" s="25"/>
      <c r="DE527" s="25"/>
      <c r="DF527" s="25"/>
      <c r="DG527" s="25"/>
      <c r="DH527" s="25"/>
      <c r="DI527" s="25" t="str">
        <f>_xlfn.CONCAT($A528," ",$B528," ",$D528)</f>
        <v>2025 Maserati Grancabrio Folgore</v>
      </c>
      <c r="DJ527" s="25"/>
      <c r="DK527" s="25"/>
      <c r="DL527" s="25"/>
      <c r="DM527" s="25"/>
      <c r="DN527" s="25"/>
      <c r="DO527" s="25"/>
      <c r="DP527" s="25"/>
      <c r="DQ527" s="25"/>
      <c r="DR527" s="25"/>
      <c r="DS527" s="25"/>
      <c r="DT527" s="25"/>
      <c r="DU527" s="25"/>
      <c r="DV527" s="25"/>
      <c r="DW527" s="25"/>
      <c r="DX527" s="25"/>
      <c r="DY527" s="25"/>
      <c r="DZ527" s="25" t="str">
        <f>_xlfn.CONCAT($A528," ",$B528," ",$D528)</f>
        <v>2025 Maserati Grancabrio Folgore</v>
      </c>
      <c r="EB527" s="25"/>
      <c r="EC527" s="25"/>
      <c r="ED527" s="25"/>
      <c r="EE527" s="25"/>
      <c r="EF527" s="25"/>
      <c r="EG527" s="25"/>
      <c r="EH527" s="25"/>
      <c r="EI527" s="25"/>
      <c r="EJ527" s="25"/>
      <c r="EK527" s="25"/>
      <c r="EL527" s="25"/>
      <c r="EM527" s="25"/>
      <c r="EN527" s="25"/>
      <c r="EO527" s="25"/>
      <c r="EP527" s="25"/>
      <c r="EQ527" s="25"/>
      <c r="ER527" s="25"/>
      <c r="ES527" s="25"/>
      <c r="ET527" s="25"/>
      <c r="EU527" s="25"/>
      <c r="EV527" s="25" t="str">
        <f>_xlfn.CONCAT($A528," ",$B528," ",$D528)</f>
        <v>2025 Maserati Grancabrio Folgore</v>
      </c>
      <c r="EW527" s="25"/>
      <c r="EX527" s="25"/>
      <c r="EY527" s="25"/>
      <c r="EZ527" s="25"/>
      <c r="FA527" s="25"/>
      <c r="FB527" s="25"/>
      <c r="FC527" s="25"/>
      <c r="FD527" s="25"/>
      <c r="FE527" s="25"/>
      <c r="FF527" s="25"/>
      <c r="FG527" s="25"/>
    </row>
    <row r="528" spans="1:165" x14ac:dyDescent="0.35">
      <c r="A528">
        <v>2025</v>
      </c>
      <c r="B528" t="s">
        <v>261</v>
      </c>
      <c r="C528" t="s">
        <v>262</v>
      </c>
      <c r="D528" t="s">
        <v>2082</v>
      </c>
      <c r="E528" t="s">
        <v>264</v>
      </c>
      <c r="F528">
        <v>75</v>
      </c>
      <c r="G528">
        <v>0</v>
      </c>
      <c r="I528" t="s">
        <v>1734</v>
      </c>
      <c r="J528">
        <v>83</v>
      </c>
      <c r="K528">
        <v>81</v>
      </c>
      <c r="L528">
        <v>82</v>
      </c>
      <c r="M528">
        <v>113</v>
      </c>
      <c r="N528">
        <v>110</v>
      </c>
      <c r="O528">
        <v>111.63</v>
      </c>
      <c r="P528">
        <v>83.0471</v>
      </c>
      <c r="Q528">
        <v>80.842299999999994</v>
      </c>
      <c r="R528">
        <v>82.040199999999999</v>
      </c>
      <c r="V528" t="s">
        <v>167</v>
      </c>
      <c r="W528" t="s">
        <v>168</v>
      </c>
      <c r="Y528">
        <v>1</v>
      </c>
      <c r="Z528" t="s">
        <v>170</v>
      </c>
      <c r="AA528" t="s">
        <v>170</v>
      </c>
      <c r="AB528" t="s">
        <v>167</v>
      </c>
      <c r="AC528" t="s">
        <v>213</v>
      </c>
      <c r="AF528">
        <v>229</v>
      </c>
      <c r="AG528" t="s">
        <v>1735</v>
      </c>
      <c r="AH528" t="s">
        <v>1736</v>
      </c>
      <c r="AI528" t="s">
        <v>175</v>
      </c>
      <c r="AJ528" t="s">
        <v>176</v>
      </c>
      <c r="AK528" t="s">
        <v>170</v>
      </c>
      <c r="AL528" t="s">
        <v>177</v>
      </c>
      <c r="AM528">
        <v>89</v>
      </c>
      <c r="AN528">
        <v>5</v>
      </c>
      <c r="AS528">
        <v>1000</v>
      </c>
      <c r="AT528">
        <v>1000</v>
      </c>
      <c r="BQ528">
        <v>3</v>
      </c>
      <c r="BR528" t="s">
        <v>387</v>
      </c>
      <c r="BS528" t="s">
        <v>180</v>
      </c>
      <c r="BT528" t="s">
        <v>1738</v>
      </c>
      <c r="BU528" s="1">
        <v>45553</v>
      </c>
      <c r="BV528">
        <v>35578</v>
      </c>
      <c r="CB528" t="s">
        <v>170</v>
      </c>
      <c r="CC528" t="s">
        <v>170</v>
      </c>
      <c r="CK528" t="s">
        <v>233</v>
      </c>
      <c r="CM528">
        <v>1</v>
      </c>
      <c r="CN528" t="s">
        <v>234</v>
      </c>
      <c r="CP528">
        <v>701</v>
      </c>
      <c r="CQ528">
        <v>129</v>
      </c>
      <c r="CR528">
        <v>151</v>
      </c>
      <c r="CS528" t="s">
        <v>235</v>
      </c>
      <c r="CV528" t="s">
        <v>341</v>
      </c>
      <c r="CX528" t="s">
        <v>342</v>
      </c>
      <c r="CY528" t="s">
        <v>169</v>
      </c>
      <c r="DD528">
        <v>3</v>
      </c>
      <c r="DE528" t="s">
        <v>663</v>
      </c>
      <c r="DG528" t="s">
        <v>2083</v>
      </c>
      <c r="DL528" t="s">
        <v>170</v>
      </c>
      <c r="DM528" t="s">
        <v>169</v>
      </c>
      <c r="DP528" t="s">
        <v>170</v>
      </c>
      <c r="DQ528" t="s">
        <v>187</v>
      </c>
      <c r="EB528">
        <v>9</v>
      </c>
      <c r="EC528">
        <v>10</v>
      </c>
      <c r="EE528" t="s">
        <v>2084</v>
      </c>
      <c r="EF528">
        <v>10</v>
      </c>
      <c r="EU528">
        <v>4500</v>
      </c>
      <c r="EW528">
        <v>0</v>
      </c>
      <c r="EX528">
        <v>0</v>
      </c>
      <c r="EY528">
        <v>0</v>
      </c>
      <c r="FA528">
        <v>9</v>
      </c>
      <c r="FG528">
        <v>232</v>
      </c>
      <c r="FH528">
        <v>226</v>
      </c>
      <c r="FI528">
        <v>229</v>
      </c>
    </row>
    <row r="529" spans="1:165" x14ac:dyDescent="0.35">
      <c r="A529">
        <v>2025</v>
      </c>
      <c r="B529" t="s">
        <v>261</v>
      </c>
      <c r="C529" t="s">
        <v>262</v>
      </c>
      <c r="D529" t="s">
        <v>2082</v>
      </c>
      <c r="E529" t="s">
        <v>264</v>
      </c>
      <c r="F529">
        <v>75</v>
      </c>
      <c r="G529">
        <v>0</v>
      </c>
      <c r="I529" t="s">
        <v>1734</v>
      </c>
      <c r="J529">
        <v>41</v>
      </c>
      <c r="K529">
        <v>42</v>
      </c>
      <c r="L529">
        <v>41</v>
      </c>
      <c r="M529">
        <v>29.825900000000001</v>
      </c>
      <c r="N529">
        <v>30.629200000000001</v>
      </c>
      <c r="O529">
        <v>30.1874</v>
      </c>
      <c r="P529">
        <v>40.5854</v>
      </c>
      <c r="Q529">
        <v>41.692300000000003</v>
      </c>
      <c r="R529">
        <v>41.083500000000001</v>
      </c>
      <c r="V529" t="s">
        <v>167</v>
      </c>
      <c r="W529" t="s">
        <v>168</v>
      </c>
      <c r="Y529">
        <v>1</v>
      </c>
      <c r="Z529" t="s">
        <v>170</v>
      </c>
      <c r="AA529" t="s">
        <v>170</v>
      </c>
      <c r="AB529" t="s">
        <v>167</v>
      </c>
      <c r="AC529" t="s">
        <v>213</v>
      </c>
      <c r="AF529">
        <v>229</v>
      </c>
      <c r="AG529" t="s">
        <v>1735</v>
      </c>
      <c r="AH529" t="s">
        <v>1736</v>
      </c>
      <c r="AI529" t="s">
        <v>1742</v>
      </c>
      <c r="AJ529" t="s">
        <v>1743</v>
      </c>
      <c r="AK529" t="s">
        <v>170</v>
      </c>
      <c r="AL529" t="s">
        <v>177</v>
      </c>
      <c r="AM529">
        <v>89</v>
      </c>
      <c r="AN529">
        <v>5</v>
      </c>
      <c r="AS529">
        <v>1000</v>
      </c>
      <c r="AT529">
        <v>1000</v>
      </c>
      <c r="BQ529">
        <v>3</v>
      </c>
      <c r="BR529" t="s">
        <v>387</v>
      </c>
      <c r="BS529" t="s">
        <v>180</v>
      </c>
      <c r="BT529" t="s">
        <v>1738</v>
      </c>
      <c r="BU529" s="1">
        <v>45553</v>
      </c>
      <c r="BV529">
        <v>35578</v>
      </c>
      <c r="CB529" t="s">
        <v>170</v>
      </c>
      <c r="CC529" t="s">
        <v>170</v>
      </c>
      <c r="CK529" t="s">
        <v>233</v>
      </c>
      <c r="CM529">
        <v>1</v>
      </c>
      <c r="CN529" t="s">
        <v>234</v>
      </c>
      <c r="CP529">
        <v>701</v>
      </c>
      <c r="CQ529">
        <v>129</v>
      </c>
      <c r="CR529">
        <v>151</v>
      </c>
      <c r="CS529" t="s">
        <v>235</v>
      </c>
      <c r="CV529" t="s">
        <v>341</v>
      </c>
      <c r="CX529" t="s">
        <v>342</v>
      </c>
      <c r="CY529" t="s">
        <v>169</v>
      </c>
      <c r="DD529">
        <v>3</v>
      </c>
      <c r="DE529" t="s">
        <v>663</v>
      </c>
      <c r="DG529" t="s">
        <v>2083</v>
      </c>
      <c r="DL529" t="s">
        <v>170</v>
      </c>
      <c r="DM529" t="s">
        <v>169</v>
      </c>
      <c r="DP529" t="s">
        <v>170</v>
      </c>
      <c r="DQ529" t="s">
        <v>187</v>
      </c>
      <c r="EB529">
        <v>9</v>
      </c>
      <c r="EC529">
        <v>10</v>
      </c>
      <c r="EE529" t="s">
        <v>2084</v>
      </c>
      <c r="EF529">
        <v>10</v>
      </c>
      <c r="EU529">
        <v>4500</v>
      </c>
      <c r="EW529">
        <v>0</v>
      </c>
      <c r="EX529">
        <v>0</v>
      </c>
      <c r="EY529">
        <v>0</v>
      </c>
      <c r="FA529">
        <v>9</v>
      </c>
      <c r="FG529">
        <v>232</v>
      </c>
      <c r="FH529">
        <v>226</v>
      </c>
      <c r="FI529">
        <v>229</v>
      </c>
    </row>
    <row r="530" spans="1:165" x14ac:dyDescent="0.35">
      <c r="A530" s="25"/>
      <c r="B530" s="25"/>
      <c r="C530" s="25"/>
      <c r="D530" s="25"/>
      <c r="E530" s="25"/>
      <c r="F530" s="25" t="str">
        <f>_xlfn.CONCAT($A531," ",$B531," ",$D531)</f>
        <v>2025 Mercedes-Benz G 580 with EQ Technology</v>
      </c>
      <c r="G530" s="25"/>
      <c r="H530" s="25"/>
      <c r="I530" s="25"/>
      <c r="J530" s="25"/>
      <c r="K530" s="25"/>
      <c r="L530" s="25"/>
      <c r="M530" s="25"/>
      <c r="N530" s="25"/>
      <c r="O530" s="25"/>
      <c r="P530" s="25"/>
      <c r="Q530" s="25"/>
      <c r="R530" s="25"/>
      <c r="S530" s="25"/>
      <c r="T530" s="25"/>
      <c r="U530" s="25"/>
      <c r="V530" s="25"/>
      <c r="W530" s="25"/>
      <c r="X530" s="25"/>
      <c r="Y530" s="25"/>
      <c r="Z530" s="25"/>
      <c r="AA530" s="25"/>
      <c r="AB530" s="25"/>
      <c r="AC530" s="25"/>
      <c r="AD530" s="25" t="str">
        <f>_xlfn.CONCAT($A531," ",$B531," ",$D531)</f>
        <v>2025 Mercedes-Benz G 580 with EQ Technology</v>
      </c>
      <c r="AE530" s="25"/>
      <c r="AF530" s="25"/>
      <c r="AG530" s="25"/>
      <c r="AH530" s="25"/>
      <c r="AI530" s="25"/>
      <c r="AJ530" s="25"/>
      <c r="AK530" s="25"/>
      <c r="AL530" s="25"/>
      <c r="AM530" s="25"/>
      <c r="AN530" s="25"/>
      <c r="AO530" s="25"/>
      <c r="AP530" s="25"/>
      <c r="AQ530" s="25"/>
      <c r="AR530" s="25"/>
      <c r="AS530" s="25"/>
      <c r="AT530" s="25"/>
      <c r="AU530" s="25"/>
      <c r="AV530" s="25"/>
      <c r="AW530" s="25"/>
      <c r="AX530" s="25" t="str">
        <f>_xlfn.CONCAT($A531," ",$B531," ",$D531)</f>
        <v>2025 Mercedes-Benz G 580 with EQ Technology</v>
      </c>
      <c r="AY530" s="25"/>
      <c r="AZ530" s="25"/>
      <c r="BA530" s="25"/>
      <c r="BB530" s="25"/>
      <c r="BC530" s="25"/>
      <c r="BD530" s="25"/>
      <c r="BE530" s="25"/>
      <c r="BF530" s="25"/>
      <c r="BG530" s="25"/>
      <c r="BH530" s="25"/>
      <c r="BI530" s="25"/>
      <c r="BJ530" s="25"/>
      <c r="BK530" s="25"/>
      <c r="BL530" s="25"/>
      <c r="BM530" s="25"/>
      <c r="BN530" s="25"/>
      <c r="BO530" s="25"/>
      <c r="BP530" s="25"/>
      <c r="BQ530" s="25"/>
      <c r="BR530" s="25" t="str">
        <f>_xlfn.CONCAT($A531," ",$B531," ",$D531)</f>
        <v>2025 Mercedes-Benz G 580 with EQ Technology</v>
      </c>
      <c r="BS530" s="25"/>
      <c r="BT530" s="25"/>
      <c r="BU530" s="25"/>
      <c r="BV530" s="25"/>
      <c r="BX530" s="25"/>
      <c r="BY530" s="25"/>
      <c r="BZ530" s="25"/>
      <c r="CA530" s="25"/>
      <c r="CB530" s="25"/>
      <c r="CC530" s="25"/>
      <c r="CD530" s="25"/>
      <c r="CE530" s="25"/>
      <c r="CF530" s="25"/>
      <c r="CG530" s="25"/>
      <c r="CH530" s="25"/>
      <c r="CI530" s="25"/>
      <c r="CJ530" s="25"/>
      <c r="CK530" s="25"/>
      <c r="CL530" s="25"/>
      <c r="CM530" s="25"/>
      <c r="CN530" s="25"/>
      <c r="CO530" s="25"/>
      <c r="CP530" s="25" t="str">
        <f>_xlfn.CONCAT($A531," ",$B531," ",$D531)</f>
        <v>2025 Mercedes-Benz G 580 with EQ Technology</v>
      </c>
      <c r="CQ530" s="25"/>
      <c r="CR530" s="25"/>
      <c r="CS530" s="25"/>
      <c r="CT530" s="25"/>
      <c r="CU530" s="25"/>
      <c r="CV530" s="25"/>
      <c r="CW530" s="25"/>
      <c r="CX530" s="25"/>
      <c r="CY530" s="25"/>
      <c r="CZ530" s="25"/>
      <c r="DA530" s="25"/>
      <c r="DB530" s="25"/>
      <c r="DC530" s="25"/>
      <c r="DD530" s="25"/>
      <c r="DE530" s="25"/>
      <c r="DF530" s="25"/>
      <c r="DG530" s="25"/>
      <c r="DH530" s="25"/>
      <c r="DI530" s="25" t="str">
        <f>_xlfn.CONCAT($A531," ",$B531," ",$D531)</f>
        <v>2025 Mercedes-Benz G 580 with EQ Technology</v>
      </c>
      <c r="DJ530" s="25"/>
      <c r="DK530" s="25"/>
      <c r="DL530" s="25"/>
      <c r="DM530" s="25"/>
      <c r="DN530" s="25"/>
      <c r="DO530" s="25"/>
      <c r="DP530" s="25"/>
      <c r="DQ530" s="25"/>
      <c r="DR530" s="25"/>
      <c r="DS530" s="25"/>
      <c r="DT530" s="25"/>
      <c r="DU530" s="25"/>
      <c r="DV530" s="25"/>
      <c r="DW530" s="25"/>
      <c r="DX530" s="25"/>
      <c r="DY530" s="25"/>
      <c r="DZ530" s="25" t="str">
        <f>_xlfn.CONCAT($A531," ",$B531," ",$D531)</f>
        <v>2025 Mercedes-Benz G 580 with EQ Technology</v>
      </c>
      <c r="EB530" s="25"/>
      <c r="EC530" s="25"/>
      <c r="ED530" s="25"/>
      <c r="EE530" s="25"/>
      <c r="EF530" s="25"/>
      <c r="EG530" s="25"/>
      <c r="EH530" s="25"/>
      <c r="EI530" s="25"/>
      <c r="EJ530" s="25"/>
      <c r="EK530" s="25"/>
      <c r="EL530" s="25"/>
      <c r="EM530" s="25"/>
      <c r="EN530" s="25"/>
      <c r="EO530" s="25"/>
      <c r="EP530" s="25"/>
      <c r="EQ530" s="25"/>
      <c r="ER530" s="25"/>
      <c r="ES530" s="25"/>
      <c r="ET530" s="25"/>
      <c r="EU530" s="25"/>
      <c r="EV530" s="25" t="str">
        <f>_xlfn.CONCAT($A531," ",$B531," ",$D531)</f>
        <v>2025 Mercedes-Benz G 580 with EQ Technology</v>
      </c>
      <c r="EW530" s="25"/>
      <c r="EX530" s="25"/>
      <c r="EY530" s="25"/>
      <c r="EZ530" s="25"/>
      <c r="FA530" s="25"/>
      <c r="FB530" s="25"/>
      <c r="FC530" s="25"/>
      <c r="FD530" s="25"/>
      <c r="FE530" s="25"/>
      <c r="FF530" s="25"/>
      <c r="FG530" s="25"/>
    </row>
    <row r="531" spans="1:165" x14ac:dyDescent="0.35">
      <c r="A531">
        <v>2025</v>
      </c>
      <c r="B531" t="s">
        <v>279</v>
      </c>
      <c r="C531" t="s">
        <v>279</v>
      </c>
      <c r="D531" t="s">
        <v>2127</v>
      </c>
      <c r="E531" t="s">
        <v>281</v>
      </c>
      <c r="F531">
        <v>436</v>
      </c>
      <c r="G531">
        <v>0</v>
      </c>
      <c r="I531" t="s">
        <v>2128</v>
      </c>
      <c r="J531">
        <v>68</v>
      </c>
      <c r="K531">
        <v>56</v>
      </c>
      <c r="L531">
        <v>62</v>
      </c>
      <c r="M531">
        <v>98.3</v>
      </c>
      <c r="N531">
        <v>81.599999999999994</v>
      </c>
      <c r="O531">
        <v>90.010400000000004</v>
      </c>
      <c r="P531">
        <v>68</v>
      </c>
      <c r="Q531">
        <v>56</v>
      </c>
      <c r="R531">
        <v>62</v>
      </c>
      <c r="V531" t="s">
        <v>167</v>
      </c>
      <c r="W531" t="s">
        <v>168</v>
      </c>
      <c r="Y531">
        <v>2</v>
      </c>
      <c r="Z531" t="s">
        <v>170</v>
      </c>
      <c r="AA531" t="s">
        <v>170</v>
      </c>
      <c r="AB531">
        <v>4</v>
      </c>
      <c r="AC531" t="s">
        <v>601</v>
      </c>
      <c r="AF531">
        <v>239</v>
      </c>
      <c r="AG531" t="s">
        <v>1735</v>
      </c>
      <c r="AH531" t="s">
        <v>1736</v>
      </c>
      <c r="AI531" t="s">
        <v>175</v>
      </c>
      <c r="AJ531" t="s">
        <v>176</v>
      </c>
      <c r="AK531">
        <v>4</v>
      </c>
      <c r="AL531" t="s">
        <v>1737</v>
      </c>
      <c r="AS531">
        <v>1300</v>
      </c>
      <c r="AT531">
        <v>50</v>
      </c>
      <c r="BQ531">
        <v>33</v>
      </c>
      <c r="BR531" t="s">
        <v>1497</v>
      </c>
      <c r="BT531" t="s">
        <v>1738</v>
      </c>
      <c r="BU531" s="1">
        <v>45548</v>
      </c>
      <c r="BV531">
        <v>35554</v>
      </c>
      <c r="BY531" t="s">
        <v>170</v>
      </c>
      <c r="CB531" t="s">
        <v>170</v>
      </c>
      <c r="CC531" t="s">
        <v>170</v>
      </c>
      <c r="CK531" t="s">
        <v>233</v>
      </c>
      <c r="CM531">
        <v>12</v>
      </c>
      <c r="CN531" t="s">
        <v>234</v>
      </c>
      <c r="CP531">
        <v>396</v>
      </c>
      <c r="CQ531">
        <v>308</v>
      </c>
      <c r="CR531">
        <v>167.8</v>
      </c>
      <c r="CS531" t="s">
        <v>235</v>
      </c>
      <c r="CV531" t="s">
        <v>341</v>
      </c>
      <c r="CX531" t="s">
        <v>342</v>
      </c>
      <c r="CY531" t="s">
        <v>169</v>
      </c>
      <c r="DD531">
        <v>4</v>
      </c>
      <c r="DE531" t="s">
        <v>404</v>
      </c>
      <c r="DF531" t="s">
        <v>2096</v>
      </c>
      <c r="DG531">
        <v>108</v>
      </c>
      <c r="DL531" t="s">
        <v>170</v>
      </c>
      <c r="DM531" t="s">
        <v>169</v>
      </c>
      <c r="DP531" t="s">
        <v>169</v>
      </c>
      <c r="DQ531" t="s">
        <v>198</v>
      </c>
      <c r="DR531" t="s">
        <v>2127</v>
      </c>
      <c r="EB531">
        <v>8</v>
      </c>
      <c r="EC531">
        <v>10</v>
      </c>
      <c r="EE531" t="s">
        <v>2129</v>
      </c>
      <c r="EF531">
        <v>10</v>
      </c>
      <c r="EU531">
        <v>3000</v>
      </c>
      <c r="EW531">
        <v>0</v>
      </c>
      <c r="EX531">
        <v>0</v>
      </c>
      <c r="EY531">
        <v>0</v>
      </c>
      <c r="FA531">
        <v>14</v>
      </c>
      <c r="FG531">
        <v>258</v>
      </c>
      <c r="FH531">
        <v>215</v>
      </c>
      <c r="FI531">
        <v>239</v>
      </c>
    </row>
    <row r="532" spans="1:165" x14ac:dyDescent="0.35">
      <c r="A532">
        <v>2025</v>
      </c>
      <c r="B532" t="s">
        <v>279</v>
      </c>
      <c r="C532" t="s">
        <v>279</v>
      </c>
      <c r="D532" t="s">
        <v>2127</v>
      </c>
      <c r="E532" t="s">
        <v>281</v>
      </c>
      <c r="F532">
        <v>436</v>
      </c>
      <c r="G532">
        <v>0</v>
      </c>
      <c r="I532" t="s">
        <v>2128</v>
      </c>
      <c r="J532">
        <v>40</v>
      </c>
      <c r="K532">
        <v>42</v>
      </c>
      <c r="L532">
        <v>41</v>
      </c>
      <c r="M532">
        <v>34.3005</v>
      </c>
      <c r="N532">
        <v>41.310499999999998</v>
      </c>
      <c r="O532">
        <v>37.454999999999998</v>
      </c>
      <c r="P532">
        <v>40</v>
      </c>
      <c r="Q532">
        <v>42</v>
      </c>
      <c r="R532">
        <v>41</v>
      </c>
      <c r="V532" t="s">
        <v>167</v>
      </c>
      <c r="W532" t="s">
        <v>168</v>
      </c>
      <c r="Y532">
        <v>2</v>
      </c>
      <c r="Z532" t="s">
        <v>170</v>
      </c>
      <c r="AA532" t="s">
        <v>170</v>
      </c>
      <c r="AB532">
        <v>4</v>
      </c>
      <c r="AC532" t="s">
        <v>601</v>
      </c>
      <c r="AF532">
        <v>239</v>
      </c>
      <c r="AG532" t="s">
        <v>1735</v>
      </c>
      <c r="AH532" t="s">
        <v>1736</v>
      </c>
      <c r="AI532" t="s">
        <v>1742</v>
      </c>
      <c r="AJ532" t="s">
        <v>1743</v>
      </c>
      <c r="AK532">
        <v>4</v>
      </c>
      <c r="AL532" t="s">
        <v>1737</v>
      </c>
      <c r="AS532">
        <v>1300</v>
      </c>
      <c r="AT532">
        <v>1300</v>
      </c>
      <c r="BQ532">
        <v>33</v>
      </c>
      <c r="BR532" t="s">
        <v>1497</v>
      </c>
      <c r="BT532" t="s">
        <v>1738</v>
      </c>
      <c r="BU532" s="1">
        <v>45548</v>
      </c>
      <c r="BV532">
        <v>35554</v>
      </c>
      <c r="BY532" t="s">
        <v>170</v>
      </c>
      <c r="CB532" t="s">
        <v>170</v>
      </c>
      <c r="CC532" t="s">
        <v>170</v>
      </c>
      <c r="CK532" t="s">
        <v>233</v>
      </c>
      <c r="CM532">
        <v>12</v>
      </c>
      <c r="CN532" t="s">
        <v>234</v>
      </c>
      <c r="CP532">
        <v>396</v>
      </c>
      <c r="CQ532">
        <v>308</v>
      </c>
      <c r="CR532">
        <v>167.8</v>
      </c>
      <c r="CS532" t="s">
        <v>235</v>
      </c>
      <c r="CV532" t="s">
        <v>341</v>
      </c>
      <c r="CX532" t="s">
        <v>342</v>
      </c>
      <c r="CY532" t="s">
        <v>169</v>
      </c>
      <c r="DD532">
        <v>4</v>
      </c>
      <c r="DE532" t="s">
        <v>404</v>
      </c>
      <c r="DF532" t="s">
        <v>2096</v>
      </c>
      <c r="DG532">
        <v>108</v>
      </c>
      <c r="DL532" t="s">
        <v>170</v>
      </c>
      <c r="DM532" t="s">
        <v>169</v>
      </c>
      <c r="DP532" t="s">
        <v>169</v>
      </c>
      <c r="DQ532" t="s">
        <v>198</v>
      </c>
      <c r="DR532" t="s">
        <v>2127</v>
      </c>
      <c r="EB532">
        <v>8</v>
      </c>
      <c r="EC532">
        <v>10</v>
      </c>
      <c r="EE532" t="s">
        <v>2129</v>
      </c>
      <c r="EF532">
        <v>10</v>
      </c>
      <c r="EU532">
        <v>3000</v>
      </c>
      <c r="EW532">
        <v>0</v>
      </c>
      <c r="EX532">
        <v>0</v>
      </c>
      <c r="EY532">
        <v>0</v>
      </c>
      <c r="FA532">
        <v>14</v>
      </c>
      <c r="FG532">
        <v>258</v>
      </c>
      <c r="FH532">
        <v>215</v>
      </c>
      <c r="FI532">
        <v>239</v>
      </c>
    </row>
    <row r="533" spans="1:165" x14ac:dyDescent="0.35">
      <c r="A533" s="25"/>
      <c r="B533" s="25"/>
      <c r="C533" s="25"/>
      <c r="D533" s="25"/>
      <c r="E533" s="25"/>
      <c r="F533" s="25" t="str">
        <f>_xlfn.CONCAT($A534," ",$B534," ",$D534)</f>
        <v>2025 Mercedes-Benz AMG EQS 4MATIC+</v>
      </c>
      <c r="G533" s="25"/>
      <c r="H533" s="25"/>
      <c r="I533" s="25"/>
      <c r="J533" s="25"/>
      <c r="K533" s="25"/>
      <c r="L533" s="25"/>
      <c r="M533" s="25"/>
      <c r="N533" s="25"/>
      <c r="O533" s="25"/>
      <c r="P533" s="25"/>
      <c r="Q533" s="25"/>
      <c r="R533" s="25"/>
      <c r="S533" s="25"/>
      <c r="T533" s="25"/>
      <c r="U533" s="25"/>
      <c r="V533" s="25"/>
      <c r="W533" s="25"/>
      <c r="X533" s="25"/>
      <c r="Y533" s="25"/>
      <c r="Z533" s="25"/>
      <c r="AA533" s="25"/>
      <c r="AB533" s="25"/>
      <c r="AC533" s="25"/>
      <c r="AD533" s="25" t="str">
        <f>_xlfn.CONCAT($A534," ",$B534," ",$D534)</f>
        <v>2025 Mercedes-Benz AMG EQS 4MATIC+</v>
      </c>
      <c r="AE533" s="25"/>
      <c r="AF533" s="25"/>
      <c r="AG533" s="25"/>
      <c r="AH533" s="25"/>
      <c r="AI533" s="25"/>
      <c r="AJ533" s="25"/>
      <c r="AK533" s="25"/>
      <c r="AL533" s="25"/>
      <c r="AM533" s="25"/>
      <c r="AN533" s="25"/>
      <c r="AO533" s="25"/>
      <c r="AP533" s="25"/>
      <c r="AQ533" s="25"/>
      <c r="AR533" s="25"/>
      <c r="AS533" s="25"/>
      <c r="AT533" s="25"/>
      <c r="AU533" s="25"/>
      <c r="AV533" s="25"/>
      <c r="AW533" s="25"/>
      <c r="AX533" s="25" t="str">
        <f>_xlfn.CONCAT($A534," ",$B534," ",$D534)</f>
        <v>2025 Mercedes-Benz AMG EQS 4MATIC+</v>
      </c>
      <c r="AY533" s="25"/>
      <c r="AZ533" s="25"/>
      <c r="BA533" s="25"/>
      <c r="BB533" s="25"/>
      <c r="BC533" s="25"/>
      <c r="BD533" s="25"/>
      <c r="BE533" s="25"/>
      <c r="BF533" s="25"/>
      <c r="BG533" s="25"/>
      <c r="BH533" s="25"/>
      <c r="BI533" s="25"/>
      <c r="BJ533" s="25"/>
      <c r="BK533" s="25"/>
      <c r="BL533" s="25"/>
      <c r="BM533" s="25"/>
      <c r="BN533" s="25"/>
      <c r="BO533" s="25"/>
      <c r="BP533" s="25"/>
      <c r="BQ533" s="25"/>
      <c r="BR533" s="25" t="str">
        <f>_xlfn.CONCAT($A534," ",$B534," ",$D534)</f>
        <v>2025 Mercedes-Benz AMG EQS 4MATIC+</v>
      </c>
      <c r="BS533" s="25"/>
      <c r="BT533" s="25"/>
      <c r="BU533" s="25"/>
      <c r="BV533" s="25"/>
      <c r="BX533" s="25"/>
      <c r="BY533" s="25"/>
      <c r="BZ533" s="25"/>
      <c r="CA533" s="25"/>
      <c r="CB533" s="25"/>
      <c r="CC533" s="25"/>
      <c r="CD533" s="25"/>
      <c r="CE533" s="25"/>
      <c r="CF533" s="25"/>
      <c r="CG533" s="25"/>
      <c r="CH533" s="25"/>
      <c r="CI533" s="25"/>
      <c r="CJ533" s="25"/>
      <c r="CK533" s="25"/>
      <c r="CL533" s="25"/>
      <c r="CM533" s="25"/>
      <c r="CN533" s="25"/>
      <c r="CO533" s="25"/>
      <c r="CP533" s="25" t="str">
        <f>_xlfn.CONCAT($A534," ",$B534," ",$D534)</f>
        <v>2025 Mercedes-Benz AMG EQS 4MATIC+</v>
      </c>
      <c r="CQ533" s="25"/>
      <c r="CR533" s="25"/>
      <c r="CS533" s="25"/>
      <c r="CT533" s="25"/>
      <c r="CU533" s="25"/>
      <c r="CV533" s="25"/>
      <c r="CW533" s="25"/>
      <c r="CX533" s="25"/>
      <c r="CY533" s="25"/>
      <c r="CZ533" s="25"/>
      <c r="DA533" s="25"/>
      <c r="DB533" s="25"/>
      <c r="DC533" s="25"/>
      <c r="DD533" s="25"/>
      <c r="DE533" s="25"/>
      <c r="DF533" s="25"/>
      <c r="DG533" s="25"/>
      <c r="DH533" s="25"/>
      <c r="DI533" s="25" t="str">
        <f>_xlfn.CONCAT($A534," ",$B534," ",$D534)</f>
        <v>2025 Mercedes-Benz AMG EQS 4MATIC+</v>
      </c>
      <c r="DJ533" s="25"/>
      <c r="DK533" s="25"/>
      <c r="DL533" s="25"/>
      <c r="DM533" s="25"/>
      <c r="DN533" s="25"/>
      <c r="DO533" s="25"/>
      <c r="DP533" s="25"/>
      <c r="DQ533" s="25"/>
      <c r="DR533" s="25"/>
      <c r="DS533" s="25"/>
      <c r="DT533" s="25"/>
      <c r="DU533" s="25"/>
      <c r="DV533" s="25"/>
      <c r="DW533" s="25"/>
      <c r="DX533" s="25"/>
      <c r="DY533" s="25"/>
      <c r="DZ533" s="25" t="str">
        <f>_xlfn.CONCAT($A534," ",$B534," ",$D534)</f>
        <v>2025 Mercedes-Benz AMG EQS 4MATIC+</v>
      </c>
      <c r="EB533" s="25"/>
      <c r="EC533" s="25"/>
      <c r="ED533" s="25"/>
      <c r="EE533" s="25"/>
      <c r="EF533" s="25"/>
      <c r="EG533" s="25"/>
      <c r="EH533" s="25"/>
      <c r="EI533" s="25"/>
      <c r="EJ533" s="25"/>
      <c r="EK533" s="25"/>
      <c r="EL533" s="25"/>
      <c r="EM533" s="25"/>
      <c r="EN533" s="25"/>
      <c r="EO533" s="25"/>
      <c r="EP533" s="25"/>
      <c r="EQ533" s="25"/>
      <c r="ER533" s="25"/>
      <c r="ES533" s="25"/>
      <c r="ET533" s="25"/>
      <c r="EU533" s="25"/>
      <c r="EV533" s="25" t="str">
        <f>_xlfn.CONCAT($A534," ",$B534," ",$D534)</f>
        <v>2025 Mercedes-Benz AMG EQS 4MATIC+</v>
      </c>
      <c r="EW533" s="25"/>
      <c r="EX533" s="25"/>
      <c r="EY533" s="25"/>
      <c r="EZ533" s="25"/>
      <c r="FA533" s="25"/>
      <c r="FB533" s="25"/>
      <c r="FC533" s="25"/>
      <c r="FD533" s="25"/>
      <c r="FE533" s="25"/>
      <c r="FF533" s="25"/>
      <c r="FG533" s="25"/>
    </row>
    <row r="534" spans="1:165" x14ac:dyDescent="0.35">
      <c r="A534">
        <v>2025</v>
      </c>
      <c r="B534" t="s">
        <v>279</v>
      </c>
      <c r="C534" t="s">
        <v>279</v>
      </c>
      <c r="D534" t="s">
        <v>2097</v>
      </c>
      <c r="E534" t="s">
        <v>281</v>
      </c>
      <c r="F534">
        <v>900</v>
      </c>
      <c r="G534">
        <v>0</v>
      </c>
      <c r="I534" t="s">
        <v>1734</v>
      </c>
      <c r="J534">
        <v>76</v>
      </c>
      <c r="K534">
        <v>81</v>
      </c>
      <c r="L534">
        <v>78</v>
      </c>
      <c r="M534">
        <v>107.9</v>
      </c>
      <c r="N534">
        <v>115.7</v>
      </c>
      <c r="O534">
        <v>111.2758</v>
      </c>
      <c r="P534">
        <v>76.275599999999997</v>
      </c>
      <c r="Q534">
        <v>81</v>
      </c>
      <c r="R534">
        <v>78</v>
      </c>
      <c r="V534" t="s">
        <v>167</v>
      </c>
      <c r="W534" t="s">
        <v>168</v>
      </c>
      <c r="Y534">
        <v>1</v>
      </c>
      <c r="Z534" t="s">
        <v>170</v>
      </c>
      <c r="AA534" t="s">
        <v>170</v>
      </c>
      <c r="AB534" t="s">
        <v>167</v>
      </c>
      <c r="AC534" t="s">
        <v>213</v>
      </c>
      <c r="AF534">
        <v>315</v>
      </c>
      <c r="AG534" t="s">
        <v>1735</v>
      </c>
      <c r="AH534" t="s">
        <v>1736</v>
      </c>
      <c r="AI534" t="s">
        <v>175</v>
      </c>
      <c r="AJ534" t="s">
        <v>176</v>
      </c>
      <c r="AK534">
        <v>4</v>
      </c>
      <c r="AL534" t="s">
        <v>1737</v>
      </c>
      <c r="AO534">
        <v>103</v>
      </c>
      <c r="AP534">
        <v>35</v>
      </c>
      <c r="AS534">
        <v>1000</v>
      </c>
      <c r="AT534">
        <v>50</v>
      </c>
      <c r="BQ534">
        <v>6</v>
      </c>
      <c r="BR534" t="s">
        <v>825</v>
      </c>
      <c r="BS534" t="s">
        <v>180</v>
      </c>
      <c r="BT534" t="s">
        <v>1738</v>
      </c>
      <c r="BU534" s="1">
        <v>45506</v>
      </c>
      <c r="BV534">
        <v>35316</v>
      </c>
      <c r="BY534" t="s">
        <v>170</v>
      </c>
      <c r="CB534" t="s">
        <v>170</v>
      </c>
      <c r="CC534" t="s">
        <v>170</v>
      </c>
      <c r="CK534" t="s">
        <v>233</v>
      </c>
      <c r="CM534">
        <v>12</v>
      </c>
      <c r="CN534" t="s">
        <v>234</v>
      </c>
      <c r="CP534">
        <v>396</v>
      </c>
      <c r="CQ534">
        <v>308</v>
      </c>
      <c r="CR534">
        <v>171.3</v>
      </c>
      <c r="CS534" t="s">
        <v>235</v>
      </c>
      <c r="CV534" t="s">
        <v>341</v>
      </c>
      <c r="CX534" t="s">
        <v>342</v>
      </c>
      <c r="CY534" t="s">
        <v>169</v>
      </c>
      <c r="DC534" t="s">
        <v>2098</v>
      </c>
      <c r="DD534">
        <v>2</v>
      </c>
      <c r="DE534" t="s">
        <v>404</v>
      </c>
      <c r="DF534" t="s">
        <v>2091</v>
      </c>
      <c r="DG534" t="s">
        <v>2099</v>
      </c>
      <c r="DL534" t="s">
        <v>170</v>
      </c>
      <c r="DM534" t="s">
        <v>169</v>
      </c>
      <c r="DP534" t="s">
        <v>169</v>
      </c>
      <c r="DQ534" t="s">
        <v>198</v>
      </c>
      <c r="DR534" t="s">
        <v>2097</v>
      </c>
      <c r="EB534">
        <v>9</v>
      </c>
      <c r="EC534">
        <v>10</v>
      </c>
      <c r="EE534" t="s">
        <v>2100</v>
      </c>
      <c r="EF534">
        <v>10</v>
      </c>
      <c r="EU534">
        <v>4250</v>
      </c>
      <c r="EW534">
        <v>0</v>
      </c>
      <c r="EX534">
        <v>0</v>
      </c>
      <c r="EY534">
        <v>0</v>
      </c>
      <c r="FA534">
        <v>12.75</v>
      </c>
      <c r="FG534">
        <v>305</v>
      </c>
      <c r="FH534">
        <v>327</v>
      </c>
      <c r="FI534">
        <v>315</v>
      </c>
    </row>
    <row r="535" spans="1:165" x14ac:dyDescent="0.35">
      <c r="A535">
        <v>2025</v>
      </c>
      <c r="B535" t="s">
        <v>279</v>
      </c>
      <c r="C535" t="s">
        <v>279</v>
      </c>
      <c r="D535" t="s">
        <v>2097</v>
      </c>
      <c r="E535" t="s">
        <v>281</v>
      </c>
      <c r="F535">
        <v>900</v>
      </c>
      <c r="G535">
        <v>0</v>
      </c>
      <c r="I535" t="s">
        <v>1734</v>
      </c>
      <c r="J535">
        <v>44</v>
      </c>
      <c r="K535">
        <v>41</v>
      </c>
      <c r="L535">
        <v>43</v>
      </c>
      <c r="M535">
        <v>31.235299999999999</v>
      </c>
      <c r="N535">
        <v>29.125399999999999</v>
      </c>
      <c r="O535">
        <v>30.285799999999998</v>
      </c>
      <c r="P535">
        <v>44</v>
      </c>
      <c r="Q535">
        <v>41</v>
      </c>
      <c r="R535">
        <v>43</v>
      </c>
      <c r="V535" t="s">
        <v>167</v>
      </c>
      <c r="W535" t="s">
        <v>168</v>
      </c>
      <c r="Y535">
        <v>1</v>
      </c>
      <c r="Z535" t="s">
        <v>170</v>
      </c>
      <c r="AA535" t="s">
        <v>170</v>
      </c>
      <c r="AB535" t="s">
        <v>167</v>
      </c>
      <c r="AC535" t="s">
        <v>213</v>
      </c>
      <c r="AF535">
        <v>315</v>
      </c>
      <c r="AG535" t="s">
        <v>1735</v>
      </c>
      <c r="AH535" t="s">
        <v>1736</v>
      </c>
      <c r="AI535" t="s">
        <v>1742</v>
      </c>
      <c r="AJ535" t="s">
        <v>1743</v>
      </c>
      <c r="AK535">
        <v>4</v>
      </c>
      <c r="AL535" t="s">
        <v>1737</v>
      </c>
      <c r="AO535">
        <v>103</v>
      </c>
      <c r="AP535">
        <v>35</v>
      </c>
      <c r="AS535">
        <v>1050</v>
      </c>
      <c r="AT535">
        <v>1050</v>
      </c>
      <c r="BQ535">
        <v>6</v>
      </c>
      <c r="BR535" t="s">
        <v>825</v>
      </c>
      <c r="BS535" t="s">
        <v>180</v>
      </c>
      <c r="BT535" t="s">
        <v>1738</v>
      </c>
      <c r="BU535" s="1">
        <v>45506</v>
      </c>
      <c r="BV535">
        <v>35316</v>
      </c>
      <c r="BY535" t="s">
        <v>170</v>
      </c>
      <c r="CB535" t="s">
        <v>170</v>
      </c>
      <c r="CC535" t="s">
        <v>170</v>
      </c>
      <c r="CK535" t="s">
        <v>233</v>
      </c>
      <c r="CM535">
        <v>12</v>
      </c>
      <c r="CN535" t="s">
        <v>234</v>
      </c>
      <c r="CP535">
        <v>396</v>
      </c>
      <c r="CQ535">
        <v>308</v>
      </c>
      <c r="CR535">
        <v>171.3</v>
      </c>
      <c r="CS535" t="s">
        <v>235</v>
      </c>
      <c r="CV535" t="s">
        <v>341</v>
      </c>
      <c r="CX535" t="s">
        <v>342</v>
      </c>
      <c r="CY535" t="s">
        <v>169</v>
      </c>
      <c r="DC535" t="s">
        <v>2098</v>
      </c>
      <c r="DD535">
        <v>2</v>
      </c>
      <c r="DE535" t="s">
        <v>404</v>
      </c>
      <c r="DF535" t="s">
        <v>2091</v>
      </c>
      <c r="DG535" t="s">
        <v>2099</v>
      </c>
      <c r="DL535" t="s">
        <v>170</v>
      </c>
      <c r="DM535" t="s">
        <v>169</v>
      </c>
      <c r="DP535" t="s">
        <v>169</v>
      </c>
      <c r="DQ535" t="s">
        <v>198</v>
      </c>
      <c r="DR535" t="s">
        <v>2097</v>
      </c>
      <c r="EB535">
        <v>9</v>
      </c>
      <c r="EC535">
        <v>10</v>
      </c>
      <c r="EE535" t="s">
        <v>2100</v>
      </c>
      <c r="EF535">
        <v>10</v>
      </c>
      <c r="EU535">
        <v>4250</v>
      </c>
      <c r="EW535">
        <v>0</v>
      </c>
      <c r="EX535">
        <v>0</v>
      </c>
      <c r="EY535">
        <v>0</v>
      </c>
      <c r="FA535">
        <v>12.75</v>
      </c>
      <c r="FG535">
        <v>305</v>
      </c>
      <c r="FH535">
        <v>327</v>
      </c>
      <c r="FI535">
        <v>315</v>
      </c>
    </row>
    <row r="536" spans="1:165" x14ac:dyDescent="0.35">
      <c r="A536" s="25"/>
      <c r="B536" s="25"/>
      <c r="C536" s="25"/>
      <c r="D536" s="25"/>
      <c r="E536" s="25"/>
      <c r="F536" s="25" t="str">
        <f>_xlfn.CONCAT($A537," ",$B537," ",$D537)</f>
        <v>2025 Mercedes-Benz EQS 450+</v>
      </c>
      <c r="G536" s="25"/>
      <c r="H536" s="25"/>
      <c r="I536" s="25"/>
      <c r="J536" s="25"/>
      <c r="K536" s="25"/>
      <c r="L536" s="25"/>
      <c r="M536" s="25"/>
      <c r="N536" s="25"/>
      <c r="O536" s="25"/>
      <c r="P536" s="25"/>
      <c r="Q536" s="25"/>
      <c r="R536" s="25"/>
      <c r="S536" s="25"/>
      <c r="T536" s="25"/>
      <c r="U536" s="25"/>
      <c r="V536" s="25"/>
      <c r="W536" s="25"/>
      <c r="X536" s="25"/>
      <c r="Y536" s="25"/>
      <c r="Z536" s="25"/>
      <c r="AA536" s="25"/>
      <c r="AB536" s="25"/>
      <c r="AC536" s="25"/>
      <c r="AD536" s="25" t="str">
        <f>_xlfn.CONCAT($A537," ",$B537," ",$D537)</f>
        <v>2025 Mercedes-Benz EQS 450+</v>
      </c>
      <c r="AE536" s="25"/>
      <c r="AF536" s="25"/>
      <c r="AG536" s="25"/>
      <c r="AH536" s="25"/>
      <c r="AI536" s="25"/>
      <c r="AJ536" s="25"/>
      <c r="AK536" s="25"/>
      <c r="AL536" s="25"/>
      <c r="AM536" s="25"/>
      <c r="AN536" s="25"/>
      <c r="AO536" s="25"/>
      <c r="AP536" s="25"/>
      <c r="AQ536" s="25"/>
      <c r="AR536" s="25"/>
      <c r="AS536" s="25"/>
      <c r="AT536" s="25"/>
      <c r="AU536" s="25"/>
      <c r="AV536" s="25"/>
      <c r="AW536" s="25"/>
      <c r="AX536" s="25" t="str">
        <f>_xlfn.CONCAT($A537," ",$B537," ",$D537)</f>
        <v>2025 Mercedes-Benz EQS 450+</v>
      </c>
      <c r="AY536" s="25"/>
      <c r="AZ536" s="25"/>
      <c r="BA536" s="25"/>
      <c r="BB536" s="25"/>
      <c r="BC536" s="25"/>
      <c r="BD536" s="25"/>
      <c r="BE536" s="25"/>
      <c r="BF536" s="25"/>
      <c r="BG536" s="25"/>
      <c r="BH536" s="25"/>
      <c r="BI536" s="25"/>
      <c r="BJ536" s="25"/>
      <c r="BK536" s="25"/>
      <c r="BL536" s="25"/>
      <c r="BM536" s="25"/>
      <c r="BN536" s="25"/>
      <c r="BO536" s="25"/>
      <c r="BP536" s="25"/>
      <c r="BQ536" s="25"/>
      <c r="BR536" s="25" t="str">
        <f>_xlfn.CONCAT($A537," ",$B537," ",$D537)</f>
        <v>2025 Mercedes-Benz EQS 450+</v>
      </c>
      <c r="BS536" s="25"/>
      <c r="BT536" s="25"/>
      <c r="BU536" s="25"/>
      <c r="BV536" s="25"/>
      <c r="BX536" s="25"/>
      <c r="BY536" s="25"/>
      <c r="BZ536" s="25"/>
      <c r="CA536" s="25"/>
      <c r="CB536" s="25"/>
      <c r="CC536" s="25"/>
      <c r="CD536" s="25"/>
      <c r="CE536" s="25"/>
      <c r="CF536" s="25"/>
      <c r="CG536" s="25"/>
      <c r="CH536" s="25"/>
      <c r="CI536" s="25"/>
      <c r="CJ536" s="25"/>
      <c r="CK536" s="25"/>
      <c r="CL536" s="25"/>
      <c r="CM536" s="25"/>
      <c r="CN536" s="25"/>
      <c r="CO536" s="25"/>
      <c r="CP536" s="25" t="str">
        <f>_xlfn.CONCAT($A537," ",$B537," ",$D537)</f>
        <v>2025 Mercedes-Benz EQS 450+</v>
      </c>
      <c r="CQ536" s="25"/>
      <c r="CR536" s="25"/>
      <c r="CS536" s="25"/>
      <c r="CT536" s="25"/>
      <c r="CU536" s="25"/>
      <c r="CV536" s="25"/>
      <c r="CW536" s="25"/>
      <c r="CX536" s="25"/>
      <c r="CY536" s="25"/>
      <c r="CZ536" s="25"/>
      <c r="DA536" s="25"/>
      <c r="DB536" s="25"/>
      <c r="DC536" s="25"/>
      <c r="DD536" s="25"/>
      <c r="DE536" s="25"/>
      <c r="DF536" s="25"/>
      <c r="DG536" s="25"/>
      <c r="DH536" s="25"/>
      <c r="DI536" s="25" t="str">
        <f>_xlfn.CONCAT($A537," ",$B537," ",$D537)</f>
        <v>2025 Mercedes-Benz EQS 450+</v>
      </c>
      <c r="DJ536" s="25"/>
      <c r="DK536" s="25"/>
      <c r="DL536" s="25"/>
      <c r="DM536" s="25"/>
      <c r="DN536" s="25"/>
      <c r="DO536" s="25"/>
      <c r="DP536" s="25"/>
      <c r="DQ536" s="25"/>
      <c r="DR536" s="25"/>
      <c r="DS536" s="25"/>
      <c r="DT536" s="25"/>
      <c r="DU536" s="25"/>
      <c r="DV536" s="25"/>
      <c r="DW536" s="25"/>
      <c r="DX536" s="25"/>
      <c r="DY536" s="25"/>
      <c r="DZ536" s="25" t="str">
        <f>_xlfn.CONCAT($A537," ",$B537," ",$D537)</f>
        <v>2025 Mercedes-Benz EQS 450+</v>
      </c>
      <c r="EB536" s="25"/>
      <c r="EC536" s="25"/>
      <c r="ED536" s="25"/>
      <c r="EE536" s="25"/>
      <c r="EF536" s="25"/>
      <c r="EG536" s="25"/>
      <c r="EH536" s="25"/>
      <c r="EI536" s="25"/>
      <c r="EJ536" s="25"/>
      <c r="EK536" s="25"/>
      <c r="EL536" s="25"/>
      <c r="EM536" s="25"/>
      <c r="EN536" s="25"/>
      <c r="EO536" s="25"/>
      <c r="EP536" s="25"/>
      <c r="EQ536" s="25"/>
      <c r="ER536" s="25"/>
      <c r="ES536" s="25"/>
      <c r="ET536" s="25"/>
      <c r="EU536" s="25"/>
      <c r="EV536" s="25" t="str">
        <f>_xlfn.CONCAT($A537," ",$B537," ",$D537)</f>
        <v>2025 Mercedes-Benz EQS 450+</v>
      </c>
      <c r="EW536" s="25"/>
      <c r="EX536" s="25"/>
      <c r="EY536" s="25"/>
      <c r="EZ536" s="25"/>
      <c r="FA536" s="25"/>
      <c r="FB536" s="25"/>
      <c r="FC536" s="25"/>
      <c r="FD536" s="25"/>
      <c r="FE536" s="25"/>
      <c r="FF536" s="25"/>
      <c r="FG536" s="25"/>
    </row>
    <row r="537" spans="1:165" x14ac:dyDescent="0.35">
      <c r="A537">
        <v>2025</v>
      </c>
      <c r="B537" t="s">
        <v>279</v>
      </c>
      <c r="C537" t="s">
        <v>279</v>
      </c>
      <c r="D537" t="s">
        <v>2121</v>
      </c>
      <c r="E537" t="s">
        <v>281</v>
      </c>
      <c r="F537">
        <v>901</v>
      </c>
      <c r="G537">
        <v>0</v>
      </c>
      <c r="I537" t="s">
        <v>1734</v>
      </c>
      <c r="J537">
        <v>98</v>
      </c>
      <c r="K537">
        <v>98</v>
      </c>
      <c r="L537">
        <v>98</v>
      </c>
      <c r="M537">
        <v>141.69999999999999</v>
      </c>
      <c r="N537">
        <v>141.4</v>
      </c>
      <c r="O537">
        <v>141.56479999999999</v>
      </c>
      <c r="P537">
        <v>98</v>
      </c>
      <c r="Q537">
        <v>98</v>
      </c>
      <c r="R537">
        <v>98</v>
      </c>
      <c r="V537" t="s">
        <v>167</v>
      </c>
      <c r="W537" t="s">
        <v>168</v>
      </c>
      <c r="Y537">
        <v>1</v>
      </c>
      <c r="Z537" t="s">
        <v>170</v>
      </c>
      <c r="AA537" t="s">
        <v>170</v>
      </c>
      <c r="AB537" t="s">
        <v>171</v>
      </c>
      <c r="AC537" t="s">
        <v>172</v>
      </c>
      <c r="AF537">
        <v>390</v>
      </c>
      <c r="AG537" t="s">
        <v>1735</v>
      </c>
      <c r="AH537" t="s">
        <v>1736</v>
      </c>
      <c r="AI537" t="s">
        <v>175</v>
      </c>
      <c r="AJ537" t="s">
        <v>176</v>
      </c>
      <c r="AK537">
        <v>4</v>
      </c>
      <c r="AL537" t="s">
        <v>1737</v>
      </c>
      <c r="AO537">
        <v>103</v>
      </c>
      <c r="AP537">
        <v>35</v>
      </c>
      <c r="AS537">
        <v>800</v>
      </c>
      <c r="AT537">
        <v>0</v>
      </c>
      <c r="BQ537">
        <v>6</v>
      </c>
      <c r="BR537" t="s">
        <v>825</v>
      </c>
      <c r="BS537" t="s">
        <v>180</v>
      </c>
      <c r="BT537" t="s">
        <v>1738</v>
      </c>
      <c r="BU537" s="1">
        <v>45497</v>
      </c>
      <c r="BV537">
        <v>35640</v>
      </c>
      <c r="BY537" t="s">
        <v>170</v>
      </c>
      <c r="CB537" t="s">
        <v>170</v>
      </c>
      <c r="CC537" t="s">
        <v>170</v>
      </c>
      <c r="CK537" t="s">
        <v>233</v>
      </c>
      <c r="CM537">
        <v>12</v>
      </c>
      <c r="CN537" t="s">
        <v>234</v>
      </c>
      <c r="CP537">
        <v>396</v>
      </c>
      <c r="CQ537">
        <v>308</v>
      </c>
      <c r="CR537">
        <v>171.3</v>
      </c>
      <c r="CS537" t="s">
        <v>235</v>
      </c>
      <c r="CV537" t="s">
        <v>341</v>
      </c>
      <c r="CX537" t="s">
        <v>342</v>
      </c>
      <c r="CY537" t="s">
        <v>169</v>
      </c>
      <c r="DD537">
        <v>1</v>
      </c>
      <c r="DE537" t="s">
        <v>404</v>
      </c>
      <c r="DF537" t="s">
        <v>2091</v>
      </c>
      <c r="DG537">
        <v>265</v>
      </c>
      <c r="DL537" t="s">
        <v>170</v>
      </c>
      <c r="DM537" t="s">
        <v>169</v>
      </c>
      <c r="DP537" t="s">
        <v>169</v>
      </c>
      <c r="DQ537" t="s">
        <v>198</v>
      </c>
      <c r="DR537" t="s">
        <v>2121</v>
      </c>
      <c r="EB537">
        <v>9</v>
      </c>
      <c r="EC537">
        <v>10</v>
      </c>
      <c r="EE537" t="s">
        <v>2122</v>
      </c>
      <c r="EF537">
        <v>10</v>
      </c>
      <c r="EU537">
        <v>5500</v>
      </c>
      <c r="EW537">
        <v>0</v>
      </c>
      <c r="EX537">
        <v>0</v>
      </c>
      <c r="EY537">
        <v>0</v>
      </c>
      <c r="FA537">
        <v>14</v>
      </c>
      <c r="FG537">
        <v>390</v>
      </c>
      <c r="FH537">
        <v>390</v>
      </c>
      <c r="FI537">
        <v>390</v>
      </c>
    </row>
    <row r="538" spans="1:165" x14ac:dyDescent="0.35">
      <c r="A538">
        <v>2025</v>
      </c>
      <c r="B538" t="s">
        <v>279</v>
      </c>
      <c r="C538" t="s">
        <v>279</v>
      </c>
      <c r="D538" t="s">
        <v>2121</v>
      </c>
      <c r="E538" t="s">
        <v>281</v>
      </c>
      <c r="F538">
        <v>901</v>
      </c>
      <c r="G538">
        <v>0</v>
      </c>
      <c r="I538" t="s">
        <v>1734</v>
      </c>
      <c r="J538">
        <v>34</v>
      </c>
      <c r="K538">
        <v>34</v>
      </c>
      <c r="L538">
        <v>34</v>
      </c>
      <c r="M538">
        <v>23.780899999999999</v>
      </c>
      <c r="N538">
        <v>23.834299999999999</v>
      </c>
      <c r="O538">
        <v>23.8049</v>
      </c>
      <c r="P538">
        <v>33.980200000000004</v>
      </c>
      <c r="Q538">
        <v>34.052300000000002</v>
      </c>
      <c r="R538">
        <v>34.012700000000002</v>
      </c>
      <c r="V538" t="s">
        <v>167</v>
      </c>
      <c r="W538" t="s">
        <v>168</v>
      </c>
      <c r="Y538">
        <v>1</v>
      </c>
      <c r="Z538" t="s">
        <v>170</v>
      </c>
      <c r="AA538" t="s">
        <v>170</v>
      </c>
      <c r="AB538" t="s">
        <v>171</v>
      </c>
      <c r="AC538" t="s">
        <v>172</v>
      </c>
      <c r="AF538">
        <v>390</v>
      </c>
      <c r="AG538" t="s">
        <v>1735</v>
      </c>
      <c r="AH538" t="s">
        <v>1736</v>
      </c>
      <c r="AI538" t="s">
        <v>1742</v>
      </c>
      <c r="AJ538" t="s">
        <v>1743</v>
      </c>
      <c r="AK538">
        <v>4</v>
      </c>
      <c r="AL538" t="s">
        <v>1737</v>
      </c>
      <c r="AO538">
        <v>103</v>
      </c>
      <c r="AP538">
        <v>35</v>
      </c>
      <c r="AS538">
        <v>800</v>
      </c>
      <c r="AT538">
        <v>800</v>
      </c>
      <c r="BQ538">
        <v>6</v>
      </c>
      <c r="BR538" t="s">
        <v>825</v>
      </c>
      <c r="BS538" t="s">
        <v>180</v>
      </c>
      <c r="BT538" t="s">
        <v>1738</v>
      </c>
      <c r="BU538" s="1">
        <v>45497</v>
      </c>
      <c r="BV538">
        <v>35640</v>
      </c>
      <c r="BY538" t="s">
        <v>170</v>
      </c>
      <c r="CB538" t="s">
        <v>170</v>
      </c>
      <c r="CC538" t="s">
        <v>170</v>
      </c>
      <c r="CK538" t="s">
        <v>233</v>
      </c>
      <c r="CM538">
        <v>12</v>
      </c>
      <c r="CN538" t="s">
        <v>234</v>
      </c>
      <c r="CP538">
        <v>396</v>
      </c>
      <c r="CQ538">
        <v>308</v>
      </c>
      <c r="CR538">
        <v>171.3</v>
      </c>
      <c r="CS538" t="s">
        <v>235</v>
      </c>
      <c r="CV538" t="s">
        <v>341</v>
      </c>
      <c r="CX538" t="s">
        <v>342</v>
      </c>
      <c r="CY538" t="s">
        <v>169</v>
      </c>
      <c r="DD538">
        <v>1</v>
      </c>
      <c r="DE538" t="s">
        <v>404</v>
      </c>
      <c r="DF538" t="s">
        <v>2091</v>
      </c>
      <c r="DG538">
        <v>265</v>
      </c>
      <c r="DL538" t="s">
        <v>170</v>
      </c>
      <c r="DM538" t="s">
        <v>169</v>
      </c>
      <c r="DP538" t="s">
        <v>169</v>
      </c>
      <c r="DQ538" t="s">
        <v>198</v>
      </c>
      <c r="DR538" t="s">
        <v>2121</v>
      </c>
      <c r="EB538">
        <v>9</v>
      </c>
      <c r="EC538">
        <v>10</v>
      </c>
      <c r="EE538" t="s">
        <v>2122</v>
      </c>
      <c r="EF538">
        <v>10</v>
      </c>
      <c r="EU538">
        <v>5500</v>
      </c>
      <c r="EW538">
        <v>0</v>
      </c>
      <c r="EX538">
        <v>0</v>
      </c>
      <c r="EY538">
        <v>0</v>
      </c>
      <c r="FA538">
        <v>14</v>
      </c>
      <c r="FG538">
        <v>390</v>
      </c>
      <c r="FH538">
        <v>390</v>
      </c>
      <c r="FI538">
        <v>390</v>
      </c>
    </row>
    <row r="539" spans="1:165" x14ac:dyDescent="0.35">
      <c r="A539" s="25"/>
      <c r="B539" s="25"/>
      <c r="C539" s="25"/>
      <c r="D539" s="25"/>
      <c r="E539" s="25"/>
      <c r="F539" s="25" t="str">
        <f>_xlfn.CONCAT($A540," ",$B540," ",$D540)</f>
        <v>2025 Mercedes-Benz EQS 580 4MATIC</v>
      </c>
      <c r="G539" s="25"/>
      <c r="H539" s="25"/>
      <c r="I539" s="25"/>
      <c r="J539" s="25"/>
      <c r="K539" s="25"/>
      <c r="L539" s="25"/>
      <c r="M539" s="25"/>
      <c r="N539" s="25"/>
      <c r="O539" s="25"/>
      <c r="P539" s="25"/>
      <c r="Q539" s="25"/>
      <c r="R539" s="25"/>
      <c r="S539" s="25"/>
      <c r="T539" s="25"/>
      <c r="U539" s="25"/>
      <c r="V539" s="25"/>
      <c r="W539" s="25"/>
      <c r="X539" s="25"/>
      <c r="Y539" s="25"/>
      <c r="Z539" s="25"/>
      <c r="AA539" s="25"/>
      <c r="AB539" s="25"/>
      <c r="AC539" s="25"/>
      <c r="AD539" s="25" t="str">
        <f>_xlfn.CONCAT($A540," ",$B540," ",$D540)</f>
        <v>2025 Mercedes-Benz EQS 580 4MATIC</v>
      </c>
      <c r="AE539" s="25"/>
      <c r="AF539" s="25"/>
      <c r="AG539" s="25"/>
      <c r="AH539" s="25"/>
      <c r="AI539" s="25"/>
      <c r="AJ539" s="25"/>
      <c r="AK539" s="25"/>
      <c r="AL539" s="25"/>
      <c r="AM539" s="25"/>
      <c r="AN539" s="25"/>
      <c r="AO539" s="25"/>
      <c r="AP539" s="25"/>
      <c r="AQ539" s="25"/>
      <c r="AR539" s="25"/>
      <c r="AS539" s="25"/>
      <c r="AT539" s="25"/>
      <c r="AU539" s="25"/>
      <c r="AV539" s="25"/>
      <c r="AW539" s="25"/>
      <c r="AX539" s="25" t="str">
        <f>_xlfn.CONCAT($A540," ",$B540," ",$D540)</f>
        <v>2025 Mercedes-Benz EQS 580 4MATIC</v>
      </c>
      <c r="AY539" s="25"/>
      <c r="AZ539" s="25"/>
      <c r="BA539" s="25"/>
      <c r="BB539" s="25"/>
      <c r="BC539" s="25"/>
      <c r="BD539" s="25"/>
      <c r="BE539" s="25"/>
      <c r="BF539" s="25"/>
      <c r="BG539" s="25"/>
      <c r="BH539" s="25"/>
      <c r="BI539" s="25"/>
      <c r="BJ539" s="25"/>
      <c r="BK539" s="25"/>
      <c r="BL539" s="25"/>
      <c r="BM539" s="25"/>
      <c r="BN539" s="25"/>
      <c r="BO539" s="25"/>
      <c r="BP539" s="25"/>
      <c r="BQ539" s="25"/>
      <c r="BR539" s="25" t="str">
        <f>_xlfn.CONCAT($A540," ",$B540," ",$D540)</f>
        <v>2025 Mercedes-Benz EQS 580 4MATIC</v>
      </c>
      <c r="BS539" s="25"/>
      <c r="BT539" s="25"/>
      <c r="BU539" s="25"/>
      <c r="BV539" s="25"/>
      <c r="BX539" s="25"/>
      <c r="BY539" s="25"/>
      <c r="BZ539" s="25"/>
      <c r="CA539" s="25"/>
      <c r="CB539" s="25"/>
      <c r="CC539" s="25"/>
      <c r="CD539" s="25"/>
      <c r="CE539" s="25"/>
      <c r="CF539" s="25"/>
      <c r="CG539" s="25"/>
      <c r="CH539" s="25"/>
      <c r="CI539" s="25"/>
      <c r="CJ539" s="25"/>
      <c r="CK539" s="25"/>
      <c r="CL539" s="25"/>
      <c r="CM539" s="25"/>
      <c r="CN539" s="25"/>
      <c r="CO539" s="25"/>
      <c r="CP539" s="25" t="str">
        <f>_xlfn.CONCAT($A540," ",$B540," ",$D540)</f>
        <v>2025 Mercedes-Benz EQS 580 4MATIC</v>
      </c>
      <c r="CQ539" s="25"/>
      <c r="CR539" s="25"/>
      <c r="CS539" s="25"/>
      <c r="CT539" s="25"/>
      <c r="CU539" s="25"/>
      <c r="CV539" s="25"/>
      <c r="CW539" s="25"/>
      <c r="CX539" s="25"/>
      <c r="CY539" s="25"/>
      <c r="CZ539" s="25"/>
      <c r="DA539" s="25"/>
      <c r="DB539" s="25"/>
      <c r="DC539" s="25"/>
      <c r="DD539" s="25"/>
      <c r="DE539" s="25"/>
      <c r="DF539" s="25"/>
      <c r="DG539" s="25"/>
      <c r="DH539" s="25"/>
      <c r="DI539" s="25" t="str">
        <f>_xlfn.CONCAT($A540," ",$B540," ",$D540)</f>
        <v>2025 Mercedes-Benz EQS 580 4MATIC</v>
      </c>
      <c r="DJ539" s="25"/>
      <c r="DK539" s="25"/>
      <c r="DL539" s="25"/>
      <c r="DM539" s="25"/>
      <c r="DN539" s="25"/>
      <c r="DO539" s="25"/>
      <c r="DP539" s="25"/>
      <c r="DQ539" s="25"/>
      <c r="DR539" s="25"/>
      <c r="DS539" s="25"/>
      <c r="DT539" s="25"/>
      <c r="DU539" s="25"/>
      <c r="DV539" s="25"/>
      <c r="DW539" s="25"/>
      <c r="DX539" s="25"/>
      <c r="DY539" s="25"/>
      <c r="DZ539" s="25" t="str">
        <f>_xlfn.CONCAT($A540," ",$B540," ",$D540)</f>
        <v>2025 Mercedes-Benz EQS 580 4MATIC</v>
      </c>
      <c r="EB539" s="25"/>
      <c r="EC539" s="25"/>
      <c r="ED539" s="25"/>
      <c r="EE539" s="25"/>
      <c r="EF539" s="25"/>
      <c r="EG539" s="25"/>
      <c r="EH539" s="25"/>
      <c r="EI539" s="25"/>
      <c r="EJ539" s="25"/>
      <c r="EK539" s="25"/>
      <c r="EL539" s="25"/>
      <c r="EM539" s="25"/>
      <c r="EN539" s="25"/>
      <c r="EO539" s="25"/>
      <c r="EP539" s="25"/>
      <c r="EQ539" s="25"/>
      <c r="ER539" s="25"/>
      <c r="ES539" s="25"/>
      <c r="ET539" s="25"/>
      <c r="EU539" s="25"/>
      <c r="EV539" s="25" t="str">
        <f>_xlfn.CONCAT($A540," ",$B540," ",$D540)</f>
        <v>2025 Mercedes-Benz EQS 580 4MATIC</v>
      </c>
      <c r="EW539" s="25"/>
      <c r="EX539" s="25"/>
      <c r="EY539" s="25"/>
      <c r="EZ539" s="25"/>
      <c r="FA539" s="25"/>
      <c r="FB539" s="25"/>
      <c r="FC539" s="25"/>
      <c r="FD539" s="25"/>
      <c r="FE539" s="25"/>
      <c r="FF539" s="25"/>
      <c r="FG539" s="25"/>
    </row>
    <row r="540" spans="1:165" x14ac:dyDescent="0.35">
      <c r="A540">
        <v>2025</v>
      </c>
      <c r="B540" t="s">
        <v>279</v>
      </c>
      <c r="C540" t="s">
        <v>279</v>
      </c>
      <c r="D540" t="s">
        <v>2124</v>
      </c>
      <c r="E540" t="s">
        <v>281</v>
      </c>
      <c r="F540">
        <v>902</v>
      </c>
      <c r="G540">
        <v>0</v>
      </c>
      <c r="I540" t="s">
        <v>1734</v>
      </c>
      <c r="J540">
        <v>93</v>
      </c>
      <c r="K540">
        <v>93</v>
      </c>
      <c r="L540">
        <v>93</v>
      </c>
      <c r="M540">
        <v>134.9</v>
      </c>
      <c r="N540">
        <v>135.5</v>
      </c>
      <c r="O540">
        <v>135.16929999999999</v>
      </c>
      <c r="P540">
        <v>93</v>
      </c>
      <c r="Q540">
        <v>93</v>
      </c>
      <c r="R540">
        <v>93</v>
      </c>
      <c r="V540" t="s">
        <v>167</v>
      </c>
      <c r="W540" t="s">
        <v>168</v>
      </c>
      <c r="Y540">
        <v>1</v>
      </c>
      <c r="Z540" t="s">
        <v>170</v>
      </c>
      <c r="AA540" t="s">
        <v>170</v>
      </c>
      <c r="AB540" t="s">
        <v>167</v>
      </c>
      <c r="AC540" t="s">
        <v>213</v>
      </c>
      <c r="AF540">
        <v>371</v>
      </c>
      <c r="AG540" t="s">
        <v>1735</v>
      </c>
      <c r="AH540" t="s">
        <v>1736</v>
      </c>
      <c r="AI540" t="s">
        <v>175</v>
      </c>
      <c r="AJ540" t="s">
        <v>176</v>
      </c>
      <c r="AK540">
        <v>4</v>
      </c>
      <c r="AL540" t="s">
        <v>1737</v>
      </c>
      <c r="AO540">
        <v>103</v>
      </c>
      <c r="AP540">
        <v>35</v>
      </c>
      <c r="AS540">
        <v>850</v>
      </c>
      <c r="AT540">
        <v>50</v>
      </c>
      <c r="BQ540">
        <v>6</v>
      </c>
      <c r="BR540" t="s">
        <v>825</v>
      </c>
      <c r="BS540" t="s">
        <v>180</v>
      </c>
      <c r="BT540" t="s">
        <v>1738</v>
      </c>
      <c r="BU540" s="1">
        <v>45500</v>
      </c>
      <c r="BV540">
        <v>35317</v>
      </c>
      <c r="BY540" t="s">
        <v>170</v>
      </c>
      <c r="CB540" t="s">
        <v>170</v>
      </c>
      <c r="CC540" t="s">
        <v>170</v>
      </c>
      <c r="CK540" t="s">
        <v>233</v>
      </c>
      <c r="CM540">
        <v>12</v>
      </c>
      <c r="CN540" t="s">
        <v>234</v>
      </c>
      <c r="CP540">
        <v>396</v>
      </c>
      <c r="CQ540">
        <v>308</v>
      </c>
      <c r="CR540">
        <v>171.3</v>
      </c>
      <c r="CS540" t="s">
        <v>235</v>
      </c>
      <c r="CV540" t="s">
        <v>341</v>
      </c>
      <c r="CX540" t="s">
        <v>342</v>
      </c>
      <c r="CY540" t="s">
        <v>169</v>
      </c>
      <c r="DC540" t="s">
        <v>2098</v>
      </c>
      <c r="DD540">
        <v>2</v>
      </c>
      <c r="DE540" t="s">
        <v>404</v>
      </c>
      <c r="DF540" t="s">
        <v>2096</v>
      </c>
      <c r="DG540" t="s">
        <v>2099</v>
      </c>
      <c r="DL540" t="s">
        <v>170</v>
      </c>
      <c r="DM540" t="s">
        <v>169</v>
      </c>
      <c r="DP540" t="s">
        <v>169</v>
      </c>
      <c r="DQ540" t="s">
        <v>198</v>
      </c>
      <c r="DR540" t="s">
        <v>2124</v>
      </c>
      <c r="EB540">
        <v>9</v>
      </c>
      <c r="EC540">
        <v>10</v>
      </c>
      <c r="EE540" t="s">
        <v>2100</v>
      </c>
      <c r="EF540">
        <v>10</v>
      </c>
      <c r="EU540">
        <v>5250</v>
      </c>
      <c r="EW540">
        <v>0</v>
      </c>
      <c r="EX540">
        <v>0</v>
      </c>
      <c r="EY540">
        <v>0</v>
      </c>
      <c r="FA540">
        <v>11.5</v>
      </c>
      <c r="FG540">
        <v>370</v>
      </c>
      <c r="FH540">
        <v>372</v>
      </c>
      <c r="FI540">
        <v>371</v>
      </c>
    </row>
    <row r="541" spans="1:165" x14ac:dyDescent="0.35">
      <c r="A541">
        <v>2025</v>
      </c>
      <c r="B541" t="s">
        <v>279</v>
      </c>
      <c r="C541" t="s">
        <v>279</v>
      </c>
      <c r="D541" t="s">
        <v>2124</v>
      </c>
      <c r="E541" t="s">
        <v>281</v>
      </c>
      <c r="F541">
        <v>902</v>
      </c>
      <c r="G541">
        <v>0</v>
      </c>
      <c r="I541" t="s">
        <v>1734</v>
      </c>
      <c r="J541">
        <v>36</v>
      </c>
      <c r="K541">
        <v>36</v>
      </c>
      <c r="L541">
        <v>36</v>
      </c>
      <c r="M541">
        <v>24.984500000000001</v>
      </c>
      <c r="N541">
        <v>24.8796</v>
      </c>
      <c r="O541">
        <v>24.9373</v>
      </c>
      <c r="P541">
        <v>35.693100000000001</v>
      </c>
      <c r="Q541">
        <v>35.5351</v>
      </c>
      <c r="R541">
        <v>35.622</v>
      </c>
      <c r="V541" t="s">
        <v>167</v>
      </c>
      <c r="W541" t="s">
        <v>168</v>
      </c>
      <c r="Y541">
        <v>1</v>
      </c>
      <c r="Z541" t="s">
        <v>170</v>
      </c>
      <c r="AA541" t="s">
        <v>170</v>
      </c>
      <c r="AB541" t="s">
        <v>167</v>
      </c>
      <c r="AC541" t="s">
        <v>213</v>
      </c>
      <c r="AF541">
        <v>371</v>
      </c>
      <c r="AG541" t="s">
        <v>1735</v>
      </c>
      <c r="AH541" t="s">
        <v>1736</v>
      </c>
      <c r="AI541" t="s">
        <v>1742</v>
      </c>
      <c r="AJ541" t="s">
        <v>1743</v>
      </c>
      <c r="AK541">
        <v>4</v>
      </c>
      <c r="AL541" t="s">
        <v>1737</v>
      </c>
      <c r="AO541">
        <v>103</v>
      </c>
      <c r="AP541">
        <v>35</v>
      </c>
      <c r="AS541">
        <v>850</v>
      </c>
      <c r="AT541">
        <v>850</v>
      </c>
      <c r="BQ541">
        <v>6</v>
      </c>
      <c r="BR541" t="s">
        <v>825</v>
      </c>
      <c r="BS541" t="s">
        <v>180</v>
      </c>
      <c r="BT541" t="s">
        <v>1738</v>
      </c>
      <c r="BU541" s="1">
        <v>45500</v>
      </c>
      <c r="BV541">
        <v>35317</v>
      </c>
      <c r="BY541" t="s">
        <v>170</v>
      </c>
      <c r="CB541" t="s">
        <v>170</v>
      </c>
      <c r="CC541" t="s">
        <v>170</v>
      </c>
      <c r="CK541" t="s">
        <v>233</v>
      </c>
      <c r="CM541">
        <v>12</v>
      </c>
      <c r="CN541" t="s">
        <v>234</v>
      </c>
      <c r="CP541">
        <v>396</v>
      </c>
      <c r="CQ541">
        <v>308</v>
      </c>
      <c r="CR541">
        <v>171.3</v>
      </c>
      <c r="CS541" t="s">
        <v>235</v>
      </c>
      <c r="CV541" t="s">
        <v>341</v>
      </c>
      <c r="CX541" t="s">
        <v>342</v>
      </c>
      <c r="CY541" t="s">
        <v>169</v>
      </c>
      <c r="DC541" t="s">
        <v>2098</v>
      </c>
      <c r="DD541">
        <v>2</v>
      </c>
      <c r="DE541" t="s">
        <v>404</v>
      </c>
      <c r="DF541" t="s">
        <v>2091</v>
      </c>
      <c r="DG541" t="s">
        <v>2099</v>
      </c>
      <c r="DL541" t="s">
        <v>170</v>
      </c>
      <c r="DM541" t="s">
        <v>169</v>
      </c>
      <c r="DP541" t="s">
        <v>169</v>
      </c>
      <c r="DQ541" t="s">
        <v>198</v>
      </c>
      <c r="DR541" t="s">
        <v>2124</v>
      </c>
      <c r="EB541">
        <v>9</v>
      </c>
      <c r="EC541">
        <v>10</v>
      </c>
      <c r="EE541" t="s">
        <v>2100</v>
      </c>
      <c r="EF541">
        <v>10</v>
      </c>
      <c r="EU541">
        <v>5250</v>
      </c>
      <c r="EW541">
        <v>0</v>
      </c>
      <c r="EX541">
        <v>0</v>
      </c>
      <c r="EY541">
        <v>0</v>
      </c>
      <c r="FA541">
        <v>11.5</v>
      </c>
      <c r="FG541">
        <v>370</v>
      </c>
      <c r="FH541">
        <v>372</v>
      </c>
      <c r="FI541">
        <v>371</v>
      </c>
    </row>
    <row r="542" spans="1:165" x14ac:dyDescent="0.35">
      <c r="A542" s="25"/>
      <c r="B542" s="25"/>
      <c r="C542" s="25"/>
      <c r="D542" s="25"/>
      <c r="E542" s="25"/>
      <c r="F542" s="25" t="str">
        <f>_xlfn.CONCAT($A543," ",$B543," ",$D543)</f>
        <v>2025 Mercedes-Benz EQS 450+ (SUV)</v>
      </c>
      <c r="G542" s="25"/>
      <c r="H542" s="25"/>
      <c r="I542" s="25"/>
      <c r="J542" s="25"/>
      <c r="K542" s="25"/>
      <c r="L542" s="25"/>
      <c r="M542" s="25"/>
      <c r="N542" s="25"/>
      <c r="O542" s="25"/>
      <c r="P542" s="25"/>
      <c r="Q542" s="25"/>
      <c r="R542" s="25"/>
      <c r="S542" s="25"/>
      <c r="T542" s="25"/>
      <c r="U542" s="25"/>
      <c r="V542" s="25"/>
      <c r="W542" s="25"/>
      <c r="X542" s="25"/>
      <c r="Y542" s="25"/>
      <c r="Z542" s="25"/>
      <c r="AA542" s="25"/>
      <c r="AB542" s="25"/>
      <c r="AC542" s="25"/>
      <c r="AD542" s="25" t="str">
        <f>_xlfn.CONCAT($A543," ",$B543," ",$D543)</f>
        <v>2025 Mercedes-Benz EQS 450+ (SUV)</v>
      </c>
      <c r="AE542" s="25"/>
      <c r="AF542" s="25"/>
      <c r="AG542" s="25"/>
      <c r="AH542" s="25"/>
      <c r="AI542" s="25"/>
      <c r="AJ542" s="25"/>
      <c r="AK542" s="25"/>
      <c r="AL542" s="25"/>
      <c r="AM542" s="25"/>
      <c r="AN542" s="25"/>
      <c r="AO542" s="25"/>
      <c r="AP542" s="25"/>
      <c r="AQ542" s="25"/>
      <c r="AR542" s="25"/>
      <c r="AS542" s="25"/>
      <c r="AT542" s="25"/>
      <c r="AU542" s="25"/>
      <c r="AV542" s="25"/>
      <c r="AW542" s="25"/>
      <c r="AX542" s="25" t="str">
        <f>_xlfn.CONCAT($A543," ",$B543," ",$D543)</f>
        <v>2025 Mercedes-Benz EQS 450+ (SUV)</v>
      </c>
      <c r="AY542" s="25"/>
      <c r="AZ542" s="25"/>
      <c r="BA542" s="25"/>
      <c r="BB542" s="25"/>
      <c r="BC542" s="25"/>
      <c r="BD542" s="25"/>
      <c r="BE542" s="25"/>
      <c r="BF542" s="25"/>
      <c r="BG542" s="25"/>
      <c r="BH542" s="25"/>
      <c r="BI542" s="25"/>
      <c r="BJ542" s="25"/>
      <c r="BK542" s="25"/>
      <c r="BL542" s="25"/>
      <c r="BM542" s="25"/>
      <c r="BN542" s="25"/>
      <c r="BO542" s="25"/>
      <c r="BP542" s="25"/>
      <c r="BQ542" s="25"/>
      <c r="BR542" s="25" t="str">
        <f>_xlfn.CONCAT($A543," ",$B543," ",$D543)</f>
        <v>2025 Mercedes-Benz EQS 450+ (SUV)</v>
      </c>
      <c r="BS542" s="25"/>
      <c r="BT542" s="25"/>
      <c r="BU542" s="25"/>
      <c r="BV542" s="25"/>
      <c r="BX542" s="25"/>
      <c r="BY542" s="25"/>
      <c r="BZ542" s="25"/>
      <c r="CA542" s="25"/>
      <c r="CB542" s="25"/>
      <c r="CC542" s="25"/>
      <c r="CD542" s="25"/>
      <c r="CE542" s="25"/>
      <c r="CF542" s="25"/>
      <c r="CG542" s="25"/>
      <c r="CH542" s="25"/>
      <c r="CI542" s="25"/>
      <c r="CJ542" s="25"/>
      <c r="CK542" s="25"/>
      <c r="CL542" s="25"/>
      <c r="CM542" s="25"/>
      <c r="CN542" s="25"/>
      <c r="CO542" s="25"/>
      <c r="CP542" s="25" t="str">
        <f>_xlfn.CONCAT($A543," ",$B543," ",$D543)</f>
        <v>2025 Mercedes-Benz EQS 450+ (SUV)</v>
      </c>
      <c r="CQ542" s="25"/>
      <c r="CR542" s="25"/>
      <c r="CS542" s="25"/>
      <c r="CT542" s="25"/>
      <c r="CU542" s="25"/>
      <c r="CV542" s="25"/>
      <c r="CW542" s="25"/>
      <c r="CX542" s="25"/>
      <c r="CY542" s="25"/>
      <c r="CZ542" s="25"/>
      <c r="DA542" s="25"/>
      <c r="DB542" s="25"/>
      <c r="DC542" s="25"/>
      <c r="DD542" s="25"/>
      <c r="DE542" s="25"/>
      <c r="DF542" s="25"/>
      <c r="DG542" s="25"/>
      <c r="DH542" s="25"/>
      <c r="DI542" s="25" t="str">
        <f>_xlfn.CONCAT($A543," ",$B543," ",$D543)</f>
        <v>2025 Mercedes-Benz EQS 450+ (SUV)</v>
      </c>
      <c r="DJ542" s="25"/>
      <c r="DK542" s="25"/>
      <c r="DL542" s="25"/>
      <c r="DM542" s="25"/>
      <c r="DN542" s="25"/>
      <c r="DO542" s="25"/>
      <c r="DP542" s="25"/>
      <c r="DQ542" s="25"/>
      <c r="DR542" s="25"/>
      <c r="DS542" s="25"/>
      <c r="DT542" s="25"/>
      <c r="DU542" s="25"/>
      <c r="DV542" s="25"/>
      <c r="DW542" s="25"/>
      <c r="DX542" s="25"/>
      <c r="DY542" s="25"/>
      <c r="DZ542" s="25" t="str">
        <f>_xlfn.CONCAT($A543," ",$B543," ",$D543)</f>
        <v>2025 Mercedes-Benz EQS 450+ (SUV)</v>
      </c>
      <c r="EB542" s="25"/>
      <c r="EC542" s="25"/>
      <c r="ED542" s="25"/>
      <c r="EE542" s="25"/>
      <c r="EF542" s="25"/>
      <c r="EG542" s="25"/>
      <c r="EH542" s="25"/>
      <c r="EI542" s="25"/>
      <c r="EJ542" s="25"/>
      <c r="EK542" s="25"/>
      <c r="EL542" s="25"/>
      <c r="EM542" s="25"/>
      <c r="EN542" s="25"/>
      <c r="EO542" s="25"/>
      <c r="EP542" s="25"/>
      <c r="EQ542" s="25"/>
      <c r="ER542" s="25"/>
      <c r="ES542" s="25"/>
      <c r="ET542" s="25"/>
      <c r="EU542" s="25"/>
      <c r="EV542" s="25" t="str">
        <f>_xlfn.CONCAT($A543," ",$B543," ",$D543)</f>
        <v>2025 Mercedes-Benz EQS 450+ (SUV)</v>
      </c>
      <c r="EW542" s="25"/>
      <c r="EX542" s="25"/>
      <c r="EY542" s="25"/>
      <c r="EZ542" s="25"/>
      <c r="FA542" s="25"/>
      <c r="FB542" s="25"/>
      <c r="FC542" s="25"/>
      <c r="FD542" s="25"/>
      <c r="FE542" s="25"/>
      <c r="FF542" s="25"/>
      <c r="FG542" s="25"/>
    </row>
    <row r="543" spans="1:165" x14ac:dyDescent="0.35">
      <c r="A543">
        <v>2025</v>
      </c>
      <c r="B543" t="s">
        <v>279</v>
      </c>
      <c r="C543" t="s">
        <v>279</v>
      </c>
      <c r="D543" t="s">
        <v>2123</v>
      </c>
      <c r="E543" t="s">
        <v>281</v>
      </c>
      <c r="F543">
        <v>903</v>
      </c>
      <c r="G543">
        <v>0</v>
      </c>
      <c r="I543" t="s">
        <v>1734</v>
      </c>
      <c r="J543">
        <v>84</v>
      </c>
      <c r="K543">
        <v>79</v>
      </c>
      <c r="L543">
        <v>82</v>
      </c>
      <c r="M543">
        <v>122.3</v>
      </c>
      <c r="N543">
        <v>115.5</v>
      </c>
      <c r="O543">
        <v>119.1435</v>
      </c>
      <c r="P543">
        <v>84</v>
      </c>
      <c r="Q543">
        <v>79</v>
      </c>
      <c r="R543">
        <v>82</v>
      </c>
      <c r="V543" t="s">
        <v>167</v>
      </c>
      <c r="W543" t="s">
        <v>168</v>
      </c>
      <c r="Y543">
        <v>1</v>
      </c>
      <c r="Z543" t="s">
        <v>170</v>
      </c>
      <c r="AA543" t="s">
        <v>170</v>
      </c>
      <c r="AB543" t="s">
        <v>171</v>
      </c>
      <c r="AC543" t="s">
        <v>172</v>
      </c>
      <c r="AF543">
        <v>323</v>
      </c>
      <c r="AG543" t="s">
        <v>1735</v>
      </c>
      <c r="AH543" t="s">
        <v>1736</v>
      </c>
      <c r="AI543" t="s">
        <v>175</v>
      </c>
      <c r="AJ543" t="s">
        <v>176</v>
      </c>
      <c r="AK543">
        <v>4</v>
      </c>
      <c r="AL543" t="s">
        <v>1737</v>
      </c>
      <c r="AS543">
        <v>1000</v>
      </c>
      <c r="AT543">
        <v>1000</v>
      </c>
      <c r="BQ543">
        <v>32</v>
      </c>
      <c r="BR543" t="s">
        <v>1453</v>
      </c>
      <c r="BT543" t="s">
        <v>1738</v>
      </c>
      <c r="BU543" s="1">
        <v>45497</v>
      </c>
      <c r="BV543">
        <v>35274</v>
      </c>
      <c r="BY543" t="s">
        <v>170</v>
      </c>
      <c r="CB543" t="s">
        <v>170</v>
      </c>
      <c r="CC543" t="s">
        <v>170</v>
      </c>
      <c r="CK543" t="s">
        <v>233</v>
      </c>
      <c r="CM543">
        <v>12</v>
      </c>
      <c r="CN543" t="s">
        <v>234</v>
      </c>
      <c r="CP543">
        <v>396</v>
      </c>
      <c r="CQ543">
        <v>308</v>
      </c>
      <c r="CR543">
        <v>171.3</v>
      </c>
      <c r="CS543" t="s">
        <v>235</v>
      </c>
      <c r="CV543" t="s">
        <v>341</v>
      </c>
      <c r="CX543" t="s">
        <v>342</v>
      </c>
      <c r="CY543" t="s">
        <v>169</v>
      </c>
      <c r="DD543">
        <v>1</v>
      </c>
      <c r="DE543" t="s">
        <v>404</v>
      </c>
      <c r="DF543" t="s">
        <v>2091</v>
      </c>
      <c r="DG543">
        <v>265</v>
      </c>
      <c r="DL543" t="s">
        <v>170</v>
      </c>
      <c r="DM543" t="s">
        <v>169</v>
      </c>
      <c r="DP543" t="s">
        <v>169</v>
      </c>
      <c r="DQ543" t="s">
        <v>198</v>
      </c>
      <c r="DR543" t="s">
        <v>2123</v>
      </c>
      <c r="EB543">
        <v>9</v>
      </c>
      <c r="EC543">
        <v>10</v>
      </c>
      <c r="EE543" t="s">
        <v>2122</v>
      </c>
      <c r="EF543">
        <v>10</v>
      </c>
      <c r="EU543">
        <v>4500</v>
      </c>
      <c r="EW543">
        <v>0</v>
      </c>
      <c r="EX543">
        <v>0</v>
      </c>
      <c r="EY543">
        <v>0</v>
      </c>
      <c r="FA543">
        <v>14</v>
      </c>
      <c r="FG543">
        <v>329</v>
      </c>
      <c r="FH543">
        <v>316</v>
      </c>
      <c r="FI543">
        <v>323</v>
      </c>
    </row>
    <row r="544" spans="1:165" x14ac:dyDescent="0.35">
      <c r="A544">
        <v>2025</v>
      </c>
      <c r="B544" t="s">
        <v>279</v>
      </c>
      <c r="C544" t="s">
        <v>279</v>
      </c>
      <c r="D544" t="s">
        <v>2123</v>
      </c>
      <c r="E544" t="s">
        <v>281</v>
      </c>
      <c r="F544">
        <v>903</v>
      </c>
      <c r="G544">
        <v>0</v>
      </c>
      <c r="I544" t="s">
        <v>1734</v>
      </c>
      <c r="J544">
        <v>40</v>
      </c>
      <c r="K544">
        <v>42</v>
      </c>
      <c r="L544">
        <v>42</v>
      </c>
      <c r="M544">
        <v>27.557700000000001</v>
      </c>
      <c r="N544">
        <v>29.183399999999999</v>
      </c>
      <c r="O544">
        <v>28.289200000000001</v>
      </c>
      <c r="P544">
        <v>40</v>
      </c>
      <c r="Q544">
        <v>42</v>
      </c>
      <c r="R544">
        <v>42</v>
      </c>
      <c r="V544" t="s">
        <v>167</v>
      </c>
      <c r="W544" t="s">
        <v>168</v>
      </c>
      <c r="Y544">
        <v>1</v>
      </c>
      <c r="Z544" t="s">
        <v>170</v>
      </c>
      <c r="AA544" t="s">
        <v>170</v>
      </c>
      <c r="AB544" t="s">
        <v>171</v>
      </c>
      <c r="AC544" t="s">
        <v>172</v>
      </c>
      <c r="AF544">
        <v>323</v>
      </c>
      <c r="AG544" t="s">
        <v>1735</v>
      </c>
      <c r="AH544" t="s">
        <v>1736</v>
      </c>
      <c r="AI544" t="s">
        <v>1742</v>
      </c>
      <c r="AJ544" t="s">
        <v>1743</v>
      </c>
      <c r="AK544">
        <v>4</v>
      </c>
      <c r="AL544" t="s">
        <v>1737</v>
      </c>
      <c r="AS544">
        <v>1000</v>
      </c>
      <c r="AT544">
        <v>1000</v>
      </c>
      <c r="BQ544">
        <v>32</v>
      </c>
      <c r="BR544" t="s">
        <v>1453</v>
      </c>
      <c r="BT544" t="s">
        <v>1738</v>
      </c>
      <c r="BU544" s="1">
        <v>45497</v>
      </c>
      <c r="BV544">
        <v>35274</v>
      </c>
      <c r="BY544" t="s">
        <v>170</v>
      </c>
      <c r="CB544" t="s">
        <v>170</v>
      </c>
      <c r="CC544" t="s">
        <v>170</v>
      </c>
      <c r="CK544" t="s">
        <v>233</v>
      </c>
      <c r="CM544">
        <v>12</v>
      </c>
      <c r="CN544" t="s">
        <v>234</v>
      </c>
      <c r="CP544">
        <v>396</v>
      </c>
      <c r="CQ544">
        <v>308</v>
      </c>
      <c r="CR544">
        <v>171.3</v>
      </c>
      <c r="CS544" t="s">
        <v>235</v>
      </c>
      <c r="CV544" t="s">
        <v>341</v>
      </c>
      <c r="CX544" t="s">
        <v>342</v>
      </c>
      <c r="CY544" t="s">
        <v>169</v>
      </c>
      <c r="DD544">
        <v>1</v>
      </c>
      <c r="DE544" t="s">
        <v>404</v>
      </c>
      <c r="DF544" t="s">
        <v>2091</v>
      </c>
      <c r="DG544">
        <v>265</v>
      </c>
      <c r="DL544" t="s">
        <v>170</v>
      </c>
      <c r="DM544" t="s">
        <v>169</v>
      </c>
      <c r="DP544" t="s">
        <v>169</v>
      </c>
      <c r="DQ544" t="s">
        <v>198</v>
      </c>
      <c r="DR544" t="s">
        <v>2123</v>
      </c>
      <c r="EB544">
        <v>9</v>
      </c>
      <c r="EC544">
        <v>10</v>
      </c>
      <c r="EE544" t="s">
        <v>2122</v>
      </c>
      <c r="EF544">
        <v>10</v>
      </c>
      <c r="EU544">
        <v>4500</v>
      </c>
      <c r="EW544">
        <v>0</v>
      </c>
      <c r="EX544">
        <v>0</v>
      </c>
      <c r="EY544">
        <v>0</v>
      </c>
      <c r="FA544">
        <v>14</v>
      </c>
      <c r="FG544">
        <v>329</v>
      </c>
      <c r="FH544">
        <v>316</v>
      </c>
      <c r="FI544">
        <v>323</v>
      </c>
    </row>
    <row r="545" spans="1:165" x14ac:dyDescent="0.35">
      <c r="A545" s="25"/>
      <c r="B545" s="25"/>
      <c r="C545" s="25"/>
      <c r="D545" s="25"/>
      <c r="E545" s="25"/>
      <c r="F545" s="25" t="str">
        <f>_xlfn.CONCAT($A546," ",$B546," ",$D546)</f>
        <v>2025 Mercedes-Benz EQS 450 4MATIC</v>
      </c>
      <c r="G545" s="25"/>
      <c r="H545" s="25"/>
      <c r="I545" s="25"/>
      <c r="J545" s="25"/>
      <c r="K545" s="25"/>
      <c r="L545" s="25"/>
      <c r="M545" s="25"/>
      <c r="N545" s="25"/>
      <c r="O545" s="25"/>
      <c r="P545" s="25"/>
      <c r="Q545" s="25"/>
      <c r="R545" s="25"/>
      <c r="S545" s="25"/>
      <c r="T545" s="25"/>
      <c r="U545" s="25"/>
      <c r="V545" s="25"/>
      <c r="W545" s="25"/>
      <c r="X545" s="25"/>
      <c r="Y545" s="25"/>
      <c r="Z545" s="25"/>
      <c r="AA545" s="25"/>
      <c r="AB545" s="25"/>
      <c r="AC545" s="25"/>
      <c r="AD545" s="25" t="str">
        <f>_xlfn.CONCAT($A546," ",$B546," ",$D546)</f>
        <v>2025 Mercedes-Benz EQS 450 4MATIC</v>
      </c>
      <c r="AE545" s="25"/>
      <c r="AF545" s="25"/>
      <c r="AG545" s="25"/>
      <c r="AH545" s="25"/>
      <c r="AI545" s="25"/>
      <c r="AJ545" s="25"/>
      <c r="AK545" s="25"/>
      <c r="AL545" s="25"/>
      <c r="AM545" s="25"/>
      <c r="AN545" s="25"/>
      <c r="AO545" s="25"/>
      <c r="AP545" s="25"/>
      <c r="AQ545" s="25"/>
      <c r="AR545" s="25"/>
      <c r="AS545" s="25"/>
      <c r="AT545" s="25"/>
      <c r="AU545" s="25"/>
      <c r="AV545" s="25"/>
      <c r="AW545" s="25"/>
      <c r="AX545" s="25" t="str">
        <f>_xlfn.CONCAT($A546," ",$B546," ",$D546)</f>
        <v>2025 Mercedes-Benz EQS 450 4MATIC</v>
      </c>
      <c r="AY545" s="25"/>
      <c r="AZ545" s="25"/>
      <c r="BA545" s="25"/>
      <c r="BB545" s="25"/>
      <c r="BC545" s="25"/>
      <c r="BD545" s="25"/>
      <c r="BE545" s="25"/>
      <c r="BF545" s="25"/>
      <c r="BG545" s="25"/>
      <c r="BH545" s="25"/>
      <c r="BI545" s="25"/>
      <c r="BJ545" s="25"/>
      <c r="BK545" s="25"/>
      <c r="BL545" s="25"/>
      <c r="BM545" s="25"/>
      <c r="BN545" s="25"/>
      <c r="BO545" s="25"/>
      <c r="BP545" s="25"/>
      <c r="BQ545" s="25"/>
      <c r="BR545" s="25" t="str">
        <f>_xlfn.CONCAT($A546," ",$B546," ",$D546)</f>
        <v>2025 Mercedes-Benz EQS 450 4MATIC</v>
      </c>
      <c r="BS545" s="25"/>
      <c r="BT545" s="25"/>
      <c r="BU545" s="25"/>
      <c r="BV545" s="25"/>
      <c r="BX545" s="25"/>
      <c r="BY545" s="25"/>
      <c r="BZ545" s="25"/>
      <c r="CA545" s="25"/>
      <c r="CB545" s="25"/>
      <c r="CC545" s="25"/>
      <c r="CD545" s="25"/>
      <c r="CE545" s="25"/>
      <c r="CF545" s="25"/>
      <c r="CG545" s="25"/>
      <c r="CH545" s="25"/>
      <c r="CI545" s="25"/>
      <c r="CJ545" s="25"/>
      <c r="CK545" s="25"/>
      <c r="CL545" s="25"/>
      <c r="CM545" s="25"/>
      <c r="CN545" s="25"/>
      <c r="CO545" s="25"/>
      <c r="CP545" s="25" t="str">
        <f>_xlfn.CONCAT($A546," ",$B546," ",$D546)</f>
        <v>2025 Mercedes-Benz EQS 450 4MATIC</v>
      </c>
      <c r="CQ545" s="25"/>
      <c r="CR545" s="25"/>
      <c r="CS545" s="25"/>
      <c r="CT545" s="25"/>
      <c r="CU545" s="25"/>
      <c r="CV545" s="25"/>
      <c r="CW545" s="25"/>
      <c r="CX545" s="25"/>
      <c r="CY545" s="25"/>
      <c r="CZ545" s="25"/>
      <c r="DA545" s="25"/>
      <c r="DB545" s="25"/>
      <c r="DC545" s="25"/>
      <c r="DD545" s="25"/>
      <c r="DE545" s="25"/>
      <c r="DF545" s="25"/>
      <c r="DG545" s="25"/>
      <c r="DH545" s="25"/>
      <c r="DI545" s="25" t="str">
        <f>_xlfn.CONCAT($A546," ",$B546," ",$D546)</f>
        <v>2025 Mercedes-Benz EQS 450 4MATIC</v>
      </c>
      <c r="DJ545" s="25"/>
      <c r="DK545" s="25"/>
      <c r="DL545" s="25"/>
      <c r="DM545" s="25"/>
      <c r="DN545" s="25"/>
      <c r="DO545" s="25"/>
      <c r="DP545" s="25"/>
      <c r="DQ545" s="25"/>
      <c r="DR545" s="25"/>
      <c r="DS545" s="25"/>
      <c r="DT545" s="25"/>
      <c r="DU545" s="25"/>
      <c r="DV545" s="25"/>
      <c r="DW545" s="25"/>
      <c r="DX545" s="25"/>
      <c r="DY545" s="25"/>
      <c r="DZ545" s="25" t="str">
        <f>_xlfn.CONCAT($A546," ",$B546," ",$D546)</f>
        <v>2025 Mercedes-Benz EQS 450 4MATIC</v>
      </c>
      <c r="EB545" s="25"/>
      <c r="EC545" s="25"/>
      <c r="ED545" s="25"/>
      <c r="EE545" s="25"/>
      <c r="EF545" s="25"/>
      <c r="EG545" s="25"/>
      <c r="EH545" s="25"/>
      <c r="EI545" s="25"/>
      <c r="EJ545" s="25"/>
      <c r="EK545" s="25"/>
      <c r="EL545" s="25"/>
      <c r="EM545" s="25"/>
      <c r="EN545" s="25"/>
      <c r="EO545" s="25"/>
      <c r="EP545" s="25"/>
      <c r="EQ545" s="25"/>
      <c r="ER545" s="25"/>
      <c r="ES545" s="25"/>
      <c r="ET545" s="25"/>
      <c r="EU545" s="25"/>
      <c r="EV545" s="25" t="str">
        <f>_xlfn.CONCAT($A546," ",$B546," ",$D546)</f>
        <v>2025 Mercedes-Benz EQS 450 4MATIC</v>
      </c>
      <c r="EW545" s="25"/>
      <c r="EX545" s="25"/>
      <c r="EY545" s="25"/>
      <c r="EZ545" s="25"/>
      <c r="FA545" s="25"/>
      <c r="FB545" s="25"/>
      <c r="FC545" s="25"/>
      <c r="FD545" s="25"/>
      <c r="FE545" s="25"/>
      <c r="FF545" s="25"/>
      <c r="FG545" s="25"/>
    </row>
    <row r="546" spans="1:165" x14ac:dyDescent="0.35">
      <c r="A546">
        <v>2025</v>
      </c>
      <c r="B546" t="s">
        <v>279</v>
      </c>
      <c r="C546" t="s">
        <v>279</v>
      </c>
      <c r="D546" t="s">
        <v>2119</v>
      </c>
      <c r="E546" t="s">
        <v>281</v>
      </c>
      <c r="F546">
        <v>905</v>
      </c>
      <c r="G546">
        <v>0</v>
      </c>
      <c r="I546" t="s">
        <v>1734</v>
      </c>
      <c r="J546">
        <v>91</v>
      </c>
      <c r="K546">
        <v>93</v>
      </c>
      <c r="L546">
        <v>92</v>
      </c>
      <c r="M546">
        <v>132.6</v>
      </c>
      <c r="N546">
        <v>136.4</v>
      </c>
      <c r="O546">
        <v>134.2835</v>
      </c>
      <c r="P546">
        <v>91</v>
      </c>
      <c r="Q546">
        <v>93</v>
      </c>
      <c r="R546">
        <v>92</v>
      </c>
      <c r="V546" t="s">
        <v>167</v>
      </c>
      <c r="W546" t="s">
        <v>168</v>
      </c>
      <c r="Y546">
        <v>1</v>
      </c>
      <c r="Z546" t="s">
        <v>170</v>
      </c>
      <c r="AA546" t="s">
        <v>170</v>
      </c>
      <c r="AB546" t="s">
        <v>167</v>
      </c>
      <c r="AC546" t="s">
        <v>213</v>
      </c>
      <c r="AF546">
        <v>367</v>
      </c>
      <c r="AG546" t="s">
        <v>1735</v>
      </c>
      <c r="AH546" t="s">
        <v>1736</v>
      </c>
      <c r="AI546" t="s">
        <v>175</v>
      </c>
      <c r="AJ546" t="s">
        <v>176</v>
      </c>
      <c r="AK546">
        <v>4</v>
      </c>
      <c r="AL546" t="s">
        <v>1737</v>
      </c>
      <c r="AO546">
        <v>103</v>
      </c>
      <c r="AP546">
        <v>35</v>
      </c>
      <c r="AS546">
        <v>900</v>
      </c>
      <c r="AT546">
        <v>50</v>
      </c>
      <c r="BQ546">
        <v>6</v>
      </c>
      <c r="BR546" t="s">
        <v>825</v>
      </c>
      <c r="BS546" t="s">
        <v>180</v>
      </c>
      <c r="BT546" t="s">
        <v>1738</v>
      </c>
      <c r="BU546" s="1">
        <v>45500</v>
      </c>
      <c r="BV546">
        <v>35312</v>
      </c>
      <c r="BY546" t="s">
        <v>170</v>
      </c>
      <c r="CB546" t="s">
        <v>170</v>
      </c>
      <c r="CC546" t="s">
        <v>170</v>
      </c>
      <c r="CK546" t="s">
        <v>233</v>
      </c>
      <c r="CM546">
        <v>12</v>
      </c>
      <c r="CN546" t="s">
        <v>234</v>
      </c>
      <c r="CP546">
        <v>396</v>
      </c>
      <c r="CQ546">
        <v>308</v>
      </c>
      <c r="CR546">
        <v>171.3</v>
      </c>
      <c r="CS546" t="s">
        <v>235</v>
      </c>
      <c r="CV546" t="s">
        <v>341</v>
      </c>
      <c r="CX546" t="s">
        <v>342</v>
      </c>
      <c r="CY546" t="s">
        <v>169</v>
      </c>
      <c r="DC546" t="s">
        <v>2098</v>
      </c>
      <c r="DD546">
        <v>2</v>
      </c>
      <c r="DE546" t="s">
        <v>404</v>
      </c>
      <c r="DF546" t="s">
        <v>2096</v>
      </c>
      <c r="DG546" t="s">
        <v>2099</v>
      </c>
      <c r="DL546" t="s">
        <v>170</v>
      </c>
      <c r="DM546" t="s">
        <v>169</v>
      </c>
      <c r="DP546" t="s">
        <v>169</v>
      </c>
      <c r="DQ546" t="s">
        <v>198</v>
      </c>
      <c r="DR546" t="s">
        <v>2119</v>
      </c>
      <c r="EB546">
        <v>9</v>
      </c>
      <c r="EC546">
        <v>10</v>
      </c>
      <c r="EE546" t="s">
        <v>2100</v>
      </c>
      <c r="EF546">
        <v>10</v>
      </c>
      <c r="EU546">
        <v>5000</v>
      </c>
      <c r="EW546">
        <v>0</v>
      </c>
      <c r="EX546">
        <v>0</v>
      </c>
      <c r="EY546">
        <v>0</v>
      </c>
      <c r="FA546">
        <v>12.75</v>
      </c>
      <c r="FG546">
        <v>362</v>
      </c>
      <c r="FH546">
        <v>373</v>
      </c>
      <c r="FI546">
        <v>367</v>
      </c>
    </row>
    <row r="547" spans="1:165" x14ac:dyDescent="0.35">
      <c r="A547">
        <v>2025</v>
      </c>
      <c r="B547" t="s">
        <v>279</v>
      </c>
      <c r="C547" t="s">
        <v>279</v>
      </c>
      <c r="D547" t="s">
        <v>2119</v>
      </c>
      <c r="E547" t="s">
        <v>281</v>
      </c>
      <c r="F547">
        <v>905</v>
      </c>
      <c r="G547">
        <v>0</v>
      </c>
      <c r="I547" t="s">
        <v>1734</v>
      </c>
      <c r="J547">
        <v>36</v>
      </c>
      <c r="K547">
        <v>35</v>
      </c>
      <c r="L547">
        <v>36</v>
      </c>
      <c r="M547">
        <v>25.422699999999999</v>
      </c>
      <c r="N547">
        <v>24.702000000000002</v>
      </c>
      <c r="O547">
        <v>25.098400000000002</v>
      </c>
      <c r="P547">
        <v>36</v>
      </c>
      <c r="Q547">
        <v>35</v>
      </c>
      <c r="R547">
        <v>36</v>
      </c>
      <c r="V547" t="s">
        <v>167</v>
      </c>
      <c r="W547" t="s">
        <v>168</v>
      </c>
      <c r="Y547">
        <v>1</v>
      </c>
      <c r="Z547" t="s">
        <v>170</v>
      </c>
      <c r="AA547" t="s">
        <v>170</v>
      </c>
      <c r="AB547" t="s">
        <v>167</v>
      </c>
      <c r="AC547" t="s">
        <v>213</v>
      </c>
      <c r="AF547">
        <v>367</v>
      </c>
      <c r="AG547" t="s">
        <v>1735</v>
      </c>
      <c r="AH547" t="s">
        <v>1736</v>
      </c>
      <c r="AI547" t="s">
        <v>1742</v>
      </c>
      <c r="AJ547" t="s">
        <v>1743</v>
      </c>
      <c r="AK547">
        <v>4</v>
      </c>
      <c r="AL547" t="s">
        <v>1737</v>
      </c>
      <c r="AO547">
        <v>103</v>
      </c>
      <c r="AP547">
        <v>35</v>
      </c>
      <c r="AS547">
        <v>900</v>
      </c>
      <c r="AT547">
        <v>900</v>
      </c>
      <c r="BQ547">
        <v>6</v>
      </c>
      <c r="BR547" t="s">
        <v>825</v>
      </c>
      <c r="BS547" t="s">
        <v>180</v>
      </c>
      <c r="BT547" t="s">
        <v>1738</v>
      </c>
      <c r="BU547" s="1">
        <v>45500</v>
      </c>
      <c r="BV547">
        <v>35312</v>
      </c>
      <c r="BY547" t="s">
        <v>170</v>
      </c>
      <c r="CB547" t="s">
        <v>170</v>
      </c>
      <c r="CC547" t="s">
        <v>170</v>
      </c>
      <c r="CK547" t="s">
        <v>233</v>
      </c>
      <c r="CM547">
        <v>12</v>
      </c>
      <c r="CN547" t="s">
        <v>234</v>
      </c>
      <c r="CP547">
        <v>396</v>
      </c>
      <c r="CQ547">
        <v>308</v>
      </c>
      <c r="CR547">
        <v>171.3</v>
      </c>
      <c r="CS547" t="s">
        <v>235</v>
      </c>
      <c r="CV547" t="s">
        <v>341</v>
      </c>
      <c r="CX547" t="s">
        <v>342</v>
      </c>
      <c r="CY547" t="s">
        <v>169</v>
      </c>
      <c r="DC547" t="s">
        <v>2098</v>
      </c>
      <c r="DD547">
        <v>2</v>
      </c>
      <c r="DE547" t="s">
        <v>404</v>
      </c>
      <c r="DF547" t="s">
        <v>2096</v>
      </c>
      <c r="DG547" t="s">
        <v>2099</v>
      </c>
      <c r="DL547" t="s">
        <v>170</v>
      </c>
      <c r="DM547" t="s">
        <v>169</v>
      </c>
      <c r="DP547" t="s">
        <v>169</v>
      </c>
      <c r="DQ547" t="s">
        <v>198</v>
      </c>
      <c r="DR547" t="s">
        <v>2119</v>
      </c>
      <c r="EB547">
        <v>9</v>
      </c>
      <c r="EC547">
        <v>10</v>
      </c>
      <c r="EE547" t="s">
        <v>2100</v>
      </c>
      <c r="EF547">
        <v>10</v>
      </c>
      <c r="EU547">
        <v>5000</v>
      </c>
      <c r="EW547">
        <v>0</v>
      </c>
      <c r="EX547">
        <v>0</v>
      </c>
      <c r="EY547">
        <v>0</v>
      </c>
      <c r="FA547">
        <v>12.75</v>
      </c>
      <c r="FG547">
        <v>362</v>
      </c>
      <c r="FH547">
        <v>373</v>
      </c>
      <c r="FI547">
        <v>367</v>
      </c>
    </row>
    <row r="548" spans="1:165" x14ac:dyDescent="0.35">
      <c r="A548" s="25"/>
      <c r="B548" s="25"/>
      <c r="C548" s="25"/>
      <c r="D548" s="25"/>
      <c r="E548" s="25"/>
      <c r="F548" s="25" t="str">
        <f>_xlfn.CONCAT($A549," ",$B549," ",$D549)</f>
        <v>2025 Mercedes-Benz EQB 250+</v>
      </c>
      <c r="G548" s="25"/>
      <c r="H548" s="25"/>
      <c r="I548" s="25"/>
      <c r="J548" s="25"/>
      <c r="K548" s="25"/>
      <c r="L548" s="25"/>
      <c r="M548" s="25"/>
      <c r="N548" s="25"/>
      <c r="O548" s="25"/>
      <c r="P548" s="25"/>
      <c r="Q548" s="25"/>
      <c r="R548" s="25"/>
      <c r="S548" s="25"/>
      <c r="T548" s="25"/>
      <c r="U548" s="25"/>
      <c r="V548" s="25"/>
      <c r="W548" s="25"/>
      <c r="X548" s="25"/>
      <c r="Y548" s="25"/>
      <c r="Z548" s="25"/>
      <c r="AA548" s="25"/>
      <c r="AB548" s="25"/>
      <c r="AC548" s="25"/>
      <c r="AD548" s="25" t="str">
        <f>_xlfn.CONCAT($A549," ",$B549," ",$D549)</f>
        <v>2025 Mercedes-Benz EQB 250+</v>
      </c>
      <c r="AE548" s="25"/>
      <c r="AF548" s="25"/>
      <c r="AG548" s="25"/>
      <c r="AH548" s="25"/>
      <c r="AI548" s="25"/>
      <c r="AJ548" s="25"/>
      <c r="AK548" s="25"/>
      <c r="AL548" s="25"/>
      <c r="AM548" s="25"/>
      <c r="AN548" s="25"/>
      <c r="AO548" s="25"/>
      <c r="AP548" s="25"/>
      <c r="AQ548" s="25"/>
      <c r="AR548" s="25"/>
      <c r="AS548" s="25"/>
      <c r="AT548" s="25"/>
      <c r="AU548" s="25"/>
      <c r="AV548" s="25"/>
      <c r="AW548" s="25"/>
      <c r="AX548" s="25" t="str">
        <f>_xlfn.CONCAT($A549," ",$B549," ",$D549)</f>
        <v>2025 Mercedes-Benz EQB 250+</v>
      </c>
      <c r="AY548" s="25"/>
      <c r="AZ548" s="25"/>
      <c r="BA548" s="25"/>
      <c r="BB548" s="25"/>
      <c r="BC548" s="25"/>
      <c r="BD548" s="25"/>
      <c r="BE548" s="25"/>
      <c r="BF548" s="25"/>
      <c r="BG548" s="25"/>
      <c r="BH548" s="25"/>
      <c r="BI548" s="25"/>
      <c r="BJ548" s="25"/>
      <c r="BK548" s="25"/>
      <c r="BL548" s="25"/>
      <c r="BM548" s="25"/>
      <c r="BN548" s="25"/>
      <c r="BO548" s="25"/>
      <c r="BP548" s="25"/>
      <c r="BQ548" s="25"/>
      <c r="BR548" s="25" t="str">
        <f>_xlfn.CONCAT($A549," ",$B549," ",$D549)</f>
        <v>2025 Mercedes-Benz EQB 250+</v>
      </c>
      <c r="BS548" s="25"/>
      <c r="BT548" s="25"/>
      <c r="BU548" s="25"/>
      <c r="BV548" s="25"/>
      <c r="BX548" s="25"/>
      <c r="BY548" s="25"/>
      <c r="BZ548" s="25"/>
      <c r="CA548" s="25"/>
      <c r="CB548" s="25"/>
      <c r="CC548" s="25"/>
      <c r="CD548" s="25"/>
      <c r="CE548" s="25"/>
      <c r="CF548" s="25"/>
      <c r="CG548" s="25"/>
      <c r="CH548" s="25"/>
      <c r="CI548" s="25"/>
      <c r="CJ548" s="25"/>
      <c r="CK548" s="25"/>
      <c r="CL548" s="25"/>
      <c r="CM548" s="25"/>
      <c r="CN548" s="25"/>
      <c r="CO548" s="25"/>
      <c r="CP548" s="25" t="str">
        <f>_xlfn.CONCAT($A549," ",$B549," ",$D549)</f>
        <v>2025 Mercedes-Benz EQB 250+</v>
      </c>
      <c r="CQ548" s="25"/>
      <c r="CR548" s="25"/>
      <c r="CS548" s="25"/>
      <c r="CT548" s="25"/>
      <c r="CU548" s="25"/>
      <c r="CV548" s="25"/>
      <c r="CW548" s="25"/>
      <c r="CX548" s="25"/>
      <c r="CY548" s="25"/>
      <c r="CZ548" s="25"/>
      <c r="DA548" s="25"/>
      <c r="DB548" s="25"/>
      <c r="DC548" s="25"/>
      <c r="DD548" s="25"/>
      <c r="DE548" s="25"/>
      <c r="DF548" s="25"/>
      <c r="DG548" s="25"/>
      <c r="DH548" s="25"/>
      <c r="DI548" s="25" t="str">
        <f>_xlfn.CONCAT($A549," ",$B549," ",$D549)</f>
        <v>2025 Mercedes-Benz EQB 250+</v>
      </c>
      <c r="DJ548" s="25"/>
      <c r="DK548" s="25"/>
      <c r="DL548" s="25"/>
      <c r="DM548" s="25"/>
      <c r="DN548" s="25"/>
      <c r="DO548" s="25"/>
      <c r="DP548" s="25"/>
      <c r="DQ548" s="25"/>
      <c r="DR548" s="25"/>
      <c r="DS548" s="25"/>
      <c r="DT548" s="25"/>
      <c r="DU548" s="25"/>
      <c r="DV548" s="25"/>
      <c r="DW548" s="25"/>
      <c r="DX548" s="25"/>
      <c r="DY548" s="25"/>
      <c r="DZ548" s="25" t="str">
        <f>_xlfn.CONCAT($A549," ",$B549," ",$D549)</f>
        <v>2025 Mercedes-Benz EQB 250+</v>
      </c>
      <c r="EB548" s="25"/>
      <c r="EC548" s="25"/>
      <c r="ED548" s="25"/>
      <c r="EE548" s="25"/>
      <c r="EF548" s="25"/>
      <c r="EG548" s="25"/>
      <c r="EH548" s="25"/>
      <c r="EI548" s="25"/>
      <c r="EJ548" s="25"/>
      <c r="EK548" s="25"/>
      <c r="EL548" s="25"/>
      <c r="EM548" s="25"/>
      <c r="EN548" s="25"/>
      <c r="EO548" s="25"/>
      <c r="EP548" s="25"/>
      <c r="EQ548" s="25"/>
      <c r="ER548" s="25"/>
      <c r="ES548" s="25"/>
      <c r="ET548" s="25"/>
      <c r="EU548" s="25"/>
      <c r="EV548" s="25" t="str">
        <f>_xlfn.CONCAT($A549," ",$B549," ",$D549)</f>
        <v>2025 Mercedes-Benz EQB 250+</v>
      </c>
      <c r="EW548" s="25"/>
      <c r="EX548" s="25"/>
      <c r="EY548" s="25"/>
      <c r="EZ548" s="25"/>
      <c r="FA548" s="25"/>
      <c r="FB548" s="25"/>
      <c r="FC548" s="25"/>
      <c r="FD548" s="25"/>
      <c r="FE548" s="25"/>
      <c r="FF548" s="25"/>
      <c r="FG548" s="25"/>
    </row>
    <row r="549" spans="1:165" x14ac:dyDescent="0.35">
      <c r="A549">
        <v>2025</v>
      </c>
      <c r="B549" t="s">
        <v>279</v>
      </c>
      <c r="C549" t="s">
        <v>279</v>
      </c>
      <c r="D549" t="s">
        <v>2101</v>
      </c>
      <c r="E549" t="s">
        <v>281</v>
      </c>
      <c r="F549">
        <v>906</v>
      </c>
      <c r="G549">
        <v>0</v>
      </c>
      <c r="I549" t="s">
        <v>1734</v>
      </c>
      <c r="J549">
        <v>114</v>
      </c>
      <c r="K549">
        <v>100</v>
      </c>
      <c r="L549">
        <v>107</v>
      </c>
      <c r="M549">
        <v>162.30000000000001</v>
      </c>
      <c r="N549">
        <v>143</v>
      </c>
      <c r="O549">
        <v>153.00720000000001</v>
      </c>
      <c r="P549">
        <v>113.61</v>
      </c>
      <c r="Q549">
        <v>100.1</v>
      </c>
      <c r="R549">
        <v>107.105</v>
      </c>
      <c r="V549" t="s">
        <v>167</v>
      </c>
      <c r="W549" t="s">
        <v>168</v>
      </c>
      <c r="Y549">
        <v>1</v>
      </c>
      <c r="Z549" t="s">
        <v>170</v>
      </c>
      <c r="AA549" t="s">
        <v>170</v>
      </c>
      <c r="AB549" t="s">
        <v>351</v>
      </c>
      <c r="AC549" t="s">
        <v>352</v>
      </c>
      <c r="AF549">
        <v>251</v>
      </c>
      <c r="AG549" t="s">
        <v>1735</v>
      </c>
      <c r="AH549" t="s">
        <v>1736</v>
      </c>
      <c r="AI549" t="s">
        <v>175</v>
      </c>
      <c r="AJ549" t="s">
        <v>176</v>
      </c>
      <c r="AK549">
        <v>4</v>
      </c>
      <c r="AL549" t="s">
        <v>1737</v>
      </c>
      <c r="AO549">
        <v>102</v>
      </c>
      <c r="AP549">
        <v>12</v>
      </c>
      <c r="AS549">
        <v>750</v>
      </c>
      <c r="AT549">
        <v>0</v>
      </c>
      <c r="BQ549">
        <v>30</v>
      </c>
      <c r="BR549" t="s">
        <v>1099</v>
      </c>
      <c r="BT549" t="s">
        <v>1738</v>
      </c>
      <c r="BU549" s="1">
        <v>45660</v>
      </c>
      <c r="BV549">
        <v>35572</v>
      </c>
      <c r="BY549" t="s">
        <v>170</v>
      </c>
      <c r="CB549" t="s">
        <v>170</v>
      </c>
      <c r="CC549" t="s">
        <v>170</v>
      </c>
      <c r="CK549" t="s">
        <v>233</v>
      </c>
      <c r="CM549">
        <v>7</v>
      </c>
      <c r="CN549" t="s">
        <v>234</v>
      </c>
      <c r="CP549">
        <v>321</v>
      </c>
      <c r="CQ549">
        <v>225</v>
      </c>
      <c r="CR549">
        <v>188</v>
      </c>
      <c r="CS549" t="s">
        <v>235</v>
      </c>
      <c r="CV549" t="s">
        <v>341</v>
      </c>
      <c r="CX549" t="s">
        <v>729</v>
      </c>
      <c r="CY549" t="s">
        <v>169</v>
      </c>
      <c r="DD549">
        <v>1</v>
      </c>
      <c r="DE549" t="s">
        <v>404</v>
      </c>
      <c r="DF549" t="s">
        <v>2096</v>
      </c>
      <c r="DG549">
        <v>140</v>
      </c>
      <c r="DL549" t="s">
        <v>170</v>
      </c>
      <c r="DM549" t="s">
        <v>169</v>
      </c>
      <c r="DP549" t="s">
        <v>169</v>
      </c>
      <c r="DQ549" t="s">
        <v>198</v>
      </c>
      <c r="DR549" t="s">
        <v>2101</v>
      </c>
      <c r="EB549">
        <v>9</v>
      </c>
      <c r="EC549">
        <v>10</v>
      </c>
      <c r="EE549" t="s">
        <v>2102</v>
      </c>
      <c r="EF549">
        <v>10</v>
      </c>
      <c r="EU549">
        <v>5750</v>
      </c>
      <c r="EW549">
        <v>0</v>
      </c>
      <c r="EX549">
        <v>0</v>
      </c>
      <c r="EY549">
        <v>0</v>
      </c>
      <c r="FA549">
        <v>8.25</v>
      </c>
      <c r="FG549">
        <v>265</v>
      </c>
      <c r="FH549">
        <v>234</v>
      </c>
      <c r="FI549">
        <v>251</v>
      </c>
    </row>
    <row r="550" spans="1:165" x14ac:dyDescent="0.35">
      <c r="A550">
        <v>2025</v>
      </c>
      <c r="B550" t="s">
        <v>279</v>
      </c>
      <c r="C550" t="s">
        <v>279</v>
      </c>
      <c r="D550" t="s">
        <v>2101</v>
      </c>
      <c r="E550" t="s">
        <v>281</v>
      </c>
      <c r="F550">
        <v>906</v>
      </c>
      <c r="G550">
        <v>0</v>
      </c>
      <c r="I550" t="s">
        <v>1734</v>
      </c>
      <c r="J550">
        <v>30</v>
      </c>
      <c r="K550">
        <v>34</v>
      </c>
      <c r="L550">
        <v>31</v>
      </c>
      <c r="M550">
        <v>20.766300000000001</v>
      </c>
      <c r="N550">
        <v>23.561900000000001</v>
      </c>
      <c r="O550">
        <v>22.0243</v>
      </c>
      <c r="P550">
        <v>29.667300000000001</v>
      </c>
      <c r="Q550">
        <v>33.671300000000002</v>
      </c>
      <c r="R550">
        <v>31.469100000000001</v>
      </c>
      <c r="V550" t="s">
        <v>167</v>
      </c>
      <c r="W550" t="s">
        <v>168</v>
      </c>
      <c r="Y550">
        <v>1</v>
      </c>
      <c r="Z550" t="s">
        <v>170</v>
      </c>
      <c r="AA550" t="s">
        <v>170</v>
      </c>
      <c r="AB550" t="s">
        <v>351</v>
      </c>
      <c r="AC550" t="s">
        <v>352</v>
      </c>
      <c r="AF550">
        <v>251</v>
      </c>
      <c r="AG550" t="s">
        <v>1735</v>
      </c>
      <c r="AH550" t="s">
        <v>1736</v>
      </c>
      <c r="AI550" t="s">
        <v>1742</v>
      </c>
      <c r="AJ550" t="s">
        <v>1743</v>
      </c>
      <c r="AK550">
        <v>4</v>
      </c>
      <c r="AL550" t="s">
        <v>1737</v>
      </c>
      <c r="AO550">
        <v>102</v>
      </c>
      <c r="AP550">
        <v>12</v>
      </c>
      <c r="AS550">
        <v>750</v>
      </c>
      <c r="AT550">
        <v>750</v>
      </c>
      <c r="BQ550">
        <v>30</v>
      </c>
      <c r="BR550" t="s">
        <v>1099</v>
      </c>
      <c r="BT550" t="s">
        <v>1738</v>
      </c>
      <c r="BU550" s="1">
        <v>45660</v>
      </c>
      <c r="BV550">
        <v>35572</v>
      </c>
      <c r="BY550" t="s">
        <v>170</v>
      </c>
      <c r="CB550" t="s">
        <v>170</v>
      </c>
      <c r="CC550" t="s">
        <v>170</v>
      </c>
      <c r="CK550" t="s">
        <v>233</v>
      </c>
      <c r="CM550">
        <v>7</v>
      </c>
      <c r="CN550" t="s">
        <v>234</v>
      </c>
      <c r="CP550">
        <v>321</v>
      </c>
      <c r="CQ550">
        <v>225</v>
      </c>
      <c r="CR550">
        <v>188</v>
      </c>
      <c r="CS550" t="s">
        <v>235</v>
      </c>
      <c r="CV550" t="s">
        <v>341</v>
      </c>
      <c r="CX550" t="s">
        <v>729</v>
      </c>
      <c r="CY550" t="s">
        <v>169</v>
      </c>
      <c r="DD550">
        <v>1</v>
      </c>
      <c r="DE550" t="s">
        <v>404</v>
      </c>
      <c r="DF550" t="s">
        <v>2096</v>
      </c>
      <c r="DG550">
        <v>140</v>
      </c>
      <c r="DL550" t="s">
        <v>170</v>
      </c>
      <c r="DM550" t="s">
        <v>169</v>
      </c>
      <c r="DP550" t="s">
        <v>169</v>
      </c>
      <c r="DQ550" t="s">
        <v>198</v>
      </c>
      <c r="DR550" t="s">
        <v>2101</v>
      </c>
      <c r="EB550">
        <v>9</v>
      </c>
      <c r="EC550">
        <v>10</v>
      </c>
      <c r="EE550" t="s">
        <v>2102</v>
      </c>
      <c r="EF550">
        <v>10</v>
      </c>
      <c r="EU550">
        <v>5750</v>
      </c>
      <c r="EW550">
        <v>0</v>
      </c>
      <c r="EX550">
        <v>0</v>
      </c>
      <c r="EY550">
        <v>0</v>
      </c>
      <c r="FA550">
        <v>8.25</v>
      </c>
      <c r="FG550">
        <v>265</v>
      </c>
      <c r="FH550">
        <v>234</v>
      </c>
      <c r="FI550">
        <v>251</v>
      </c>
    </row>
    <row r="551" spans="1:165" x14ac:dyDescent="0.35">
      <c r="A551" s="25"/>
      <c r="B551" s="25"/>
      <c r="C551" s="25"/>
      <c r="D551" s="25"/>
      <c r="E551" s="25"/>
      <c r="F551" s="25" t="str">
        <f>_xlfn.CONCAT($A552," ",$B552," ",$D552)</f>
        <v>2025 Mercedes-Benz EQB 300 4MATIC</v>
      </c>
      <c r="G551" s="25"/>
      <c r="H551" s="25"/>
      <c r="I551" s="25"/>
      <c r="J551" s="25"/>
      <c r="K551" s="25"/>
      <c r="L551" s="25"/>
      <c r="M551" s="25"/>
      <c r="N551" s="25"/>
      <c r="O551" s="25"/>
      <c r="P551" s="25"/>
      <c r="Q551" s="25"/>
      <c r="R551" s="25"/>
      <c r="S551" s="25"/>
      <c r="T551" s="25"/>
      <c r="U551" s="25"/>
      <c r="V551" s="25"/>
      <c r="W551" s="25"/>
      <c r="X551" s="25"/>
      <c r="Y551" s="25"/>
      <c r="Z551" s="25"/>
      <c r="AA551" s="25"/>
      <c r="AB551" s="25"/>
      <c r="AC551" s="25"/>
      <c r="AD551" s="25" t="str">
        <f>_xlfn.CONCAT($A552," ",$B552," ",$D552)</f>
        <v>2025 Mercedes-Benz EQB 300 4MATIC</v>
      </c>
      <c r="AE551" s="25"/>
      <c r="AF551" s="25"/>
      <c r="AG551" s="25"/>
      <c r="AH551" s="25"/>
      <c r="AI551" s="25"/>
      <c r="AJ551" s="25"/>
      <c r="AK551" s="25"/>
      <c r="AL551" s="25"/>
      <c r="AM551" s="25"/>
      <c r="AN551" s="25"/>
      <c r="AO551" s="25"/>
      <c r="AP551" s="25"/>
      <c r="AQ551" s="25"/>
      <c r="AR551" s="25"/>
      <c r="AS551" s="25"/>
      <c r="AT551" s="25"/>
      <c r="AU551" s="25"/>
      <c r="AV551" s="25"/>
      <c r="AW551" s="25"/>
      <c r="AX551" s="25" t="str">
        <f>_xlfn.CONCAT($A552," ",$B552," ",$D552)</f>
        <v>2025 Mercedes-Benz EQB 300 4MATIC</v>
      </c>
      <c r="AY551" s="25"/>
      <c r="AZ551" s="25"/>
      <c r="BA551" s="25"/>
      <c r="BB551" s="25"/>
      <c r="BC551" s="25"/>
      <c r="BD551" s="25"/>
      <c r="BE551" s="25"/>
      <c r="BF551" s="25"/>
      <c r="BG551" s="25"/>
      <c r="BH551" s="25"/>
      <c r="BI551" s="25"/>
      <c r="BJ551" s="25"/>
      <c r="BK551" s="25"/>
      <c r="BL551" s="25"/>
      <c r="BM551" s="25"/>
      <c r="BN551" s="25"/>
      <c r="BO551" s="25"/>
      <c r="BP551" s="25"/>
      <c r="BQ551" s="25"/>
      <c r="BR551" s="25" t="str">
        <f>_xlfn.CONCAT($A552," ",$B552," ",$D552)</f>
        <v>2025 Mercedes-Benz EQB 300 4MATIC</v>
      </c>
      <c r="BS551" s="25"/>
      <c r="BT551" s="25"/>
      <c r="BU551" s="25"/>
      <c r="BV551" s="25"/>
      <c r="BX551" s="25"/>
      <c r="BY551" s="25"/>
      <c r="BZ551" s="25"/>
      <c r="CA551" s="25"/>
      <c r="CB551" s="25"/>
      <c r="CC551" s="25"/>
      <c r="CD551" s="25"/>
      <c r="CE551" s="25"/>
      <c r="CF551" s="25"/>
      <c r="CG551" s="25"/>
      <c r="CH551" s="25"/>
      <c r="CI551" s="25"/>
      <c r="CJ551" s="25"/>
      <c r="CK551" s="25"/>
      <c r="CL551" s="25"/>
      <c r="CM551" s="25"/>
      <c r="CN551" s="25"/>
      <c r="CO551" s="25"/>
      <c r="CP551" s="25" t="str">
        <f>_xlfn.CONCAT($A552," ",$B552," ",$D552)</f>
        <v>2025 Mercedes-Benz EQB 300 4MATIC</v>
      </c>
      <c r="CQ551" s="25"/>
      <c r="CR551" s="25"/>
      <c r="CS551" s="25"/>
      <c r="CT551" s="25"/>
      <c r="CU551" s="25"/>
      <c r="CV551" s="25"/>
      <c r="CW551" s="25"/>
      <c r="CX551" s="25"/>
      <c r="CY551" s="25"/>
      <c r="CZ551" s="25"/>
      <c r="DA551" s="25"/>
      <c r="DB551" s="25"/>
      <c r="DC551" s="25"/>
      <c r="DD551" s="25"/>
      <c r="DE551" s="25"/>
      <c r="DF551" s="25"/>
      <c r="DG551" s="25"/>
      <c r="DH551" s="25"/>
      <c r="DI551" s="25" t="str">
        <f>_xlfn.CONCAT($A552," ",$B552," ",$D552)</f>
        <v>2025 Mercedes-Benz EQB 300 4MATIC</v>
      </c>
      <c r="DJ551" s="25"/>
      <c r="DK551" s="25"/>
      <c r="DL551" s="25"/>
      <c r="DM551" s="25"/>
      <c r="DN551" s="25"/>
      <c r="DO551" s="25"/>
      <c r="DP551" s="25"/>
      <c r="DQ551" s="25"/>
      <c r="DR551" s="25"/>
      <c r="DS551" s="25"/>
      <c r="DT551" s="25"/>
      <c r="DU551" s="25"/>
      <c r="DV551" s="25"/>
      <c r="DW551" s="25"/>
      <c r="DX551" s="25"/>
      <c r="DY551" s="25"/>
      <c r="DZ551" s="25" t="str">
        <f>_xlfn.CONCAT($A552," ",$B552," ",$D552)</f>
        <v>2025 Mercedes-Benz EQB 300 4MATIC</v>
      </c>
      <c r="EB551" s="25"/>
      <c r="EC551" s="25"/>
      <c r="ED551" s="25"/>
      <c r="EE551" s="25"/>
      <c r="EF551" s="25"/>
      <c r="EG551" s="25"/>
      <c r="EH551" s="25"/>
      <c r="EI551" s="25"/>
      <c r="EJ551" s="25"/>
      <c r="EK551" s="25"/>
      <c r="EL551" s="25"/>
      <c r="EM551" s="25"/>
      <c r="EN551" s="25"/>
      <c r="EO551" s="25"/>
      <c r="EP551" s="25"/>
      <c r="EQ551" s="25"/>
      <c r="ER551" s="25"/>
      <c r="ES551" s="25"/>
      <c r="ET551" s="25"/>
      <c r="EU551" s="25"/>
      <c r="EV551" s="25" t="str">
        <f>_xlfn.CONCAT($A552," ",$B552," ",$D552)</f>
        <v>2025 Mercedes-Benz EQB 300 4MATIC</v>
      </c>
      <c r="EW551" s="25"/>
      <c r="EX551" s="25"/>
      <c r="EY551" s="25"/>
      <c r="EZ551" s="25"/>
      <c r="FA551" s="25"/>
      <c r="FB551" s="25"/>
      <c r="FC551" s="25"/>
      <c r="FD551" s="25"/>
      <c r="FE551" s="25"/>
      <c r="FF551" s="25"/>
      <c r="FG551" s="25"/>
    </row>
    <row r="552" spans="1:165" x14ac:dyDescent="0.35">
      <c r="A552">
        <v>2025</v>
      </c>
      <c r="B552" t="s">
        <v>279</v>
      </c>
      <c r="C552" t="s">
        <v>279</v>
      </c>
      <c r="D552" t="s">
        <v>2103</v>
      </c>
      <c r="E552" t="s">
        <v>281</v>
      </c>
      <c r="F552">
        <v>907</v>
      </c>
      <c r="G552">
        <v>0</v>
      </c>
      <c r="I552" t="s">
        <v>1734</v>
      </c>
      <c r="J552">
        <v>89</v>
      </c>
      <c r="K552">
        <v>85</v>
      </c>
      <c r="L552">
        <v>87</v>
      </c>
      <c r="M552">
        <v>123.8</v>
      </c>
      <c r="N552">
        <v>117.3</v>
      </c>
      <c r="O552">
        <v>120.788</v>
      </c>
      <c r="P552">
        <v>89.309299999999993</v>
      </c>
      <c r="Q552">
        <v>84.620199999999997</v>
      </c>
      <c r="R552">
        <v>87.136499999999998</v>
      </c>
      <c r="V552" t="s">
        <v>167</v>
      </c>
      <c r="W552" t="s">
        <v>168</v>
      </c>
      <c r="Y552">
        <v>1</v>
      </c>
      <c r="Z552" t="s">
        <v>170</v>
      </c>
      <c r="AA552" t="s">
        <v>170</v>
      </c>
      <c r="AB552" t="s">
        <v>167</v>
      </c>
      <c r="AC552" t="s">
        <v>213</v>
      </c>
      <c r="AF552">
        <v>205</v>
      </c>
      <c r="AG552" t="s">
        <v>1735</v>
      </c>
      <c r="AH552" t="s">
        <v>1736</v>
      </c>
      <c r="AI552" t="s">
        <v>175</v>
      </c>
      <c r="AJ552" t="s">
        <v>176</v>
      </c>
      <c r="AK552">
        <v>4</v>
      </c>
      <c r="AL552" t="s">
        <v>1737</v>
      </c>
      <c r="AO552">
        <v>102</v>
      </c>
      <c r="AP552">
        <v>12</v>
      </c>
      <c r="AS552">
        <v>950</v>
      </c>
      <c r="AT552">
        <v>50</v>
      </c>
      <c r="BQ552">
        <v>31</v>
      </c>
      <c r="BR552" t="s">
        <v>1219</v>
      </c>
      <c r="BT552" t="s">
        <v>1738</v>
      </c>
      <c r="BU552" s="1">
        <v>45660</v>
      </c>
      <c r="BV552">
        <v>35595</v>
      </c>
      <c r="BY552" t="s">
        <v>170</v>
      </c>
      <c r="CB552" t="s">
        <v>170</v>
      </c>
      <c r="CC552" t="s">
        <v>170</v>
      </c>
      <c r="CK552" t="s">
        <v>233</v>
      </c>
      <c r="CM552">
        <v>7</v>
      </c>
      <c r="CN552" t="s">
        <v>234</v>
      </c>
      <c r="CP552">
        <v>321</v>
      </c>
      <c r="CQ552">
        <v>225</v>
      </c>
      <c r="CR552">
        <v>188</v>
      </c>
      <c r="CS552" t="s">
        <v>235</v>
      </c>
      <c r="CV552" t="s">
        <v>341</v>
      </c>
      <c r="CX552" t="s">
        <v>342</v>
      </c>
      <c r="CY552" t="s">
        <v>169</v>
      </c>
      <c r="DC552" t="s">
        <v>2104</v>
      </c>
      <c r="DD552">
        <v>2</v>
      </c>
      <c r="DE552" t="s">
        <v>404</v>
      </c>
      <c r="DF552" t="s">
        <v>2105</v>
      </c>
      <c r="DG552" t="s">
        <v>2106</v>
      </c>
      <c r="DL552" t="s">
        <v>170</v>
      </c>
      <c r="DM552" t="s">
        <v>169</v>
      </c>
      <c r="DP552" t="s">
        <v>169</v>
      </c>
      <c r="DQ552" t="s">
        <v>198</v>
      </c>
      <c r="DR552" t="s">
        <v>2103</v>
      </c>
      <c r="EB552">
        <v>9</v>
      </c>
      <c r="EC552">
        <v>10</v>
      </c>
      <c r="EE552" t="s">
        <v>2107</v>
      </c>
      <c r="EF552">
        <v>10</v>
      </c>
      <c r="EU552">
        <v>4750</v>
      </c>
      <c r="EW552">
        <v>0</v>
      </c>
      <c r="EX552">
        <v>0</v>
      </c>
      <c r="EY552">
        <v>0</v>
      </c>
      <c r="FA552">
        <v>8.32</v>
      </c>
      <c r="FG552">
        <v>210</v>
      </c>
      <c r="FH552">
        <v>199</v>
      </c>
      <c r="FI552">
        <v>205</v>
      </c>
    </row>
    <row r="553" spans="1:165" x14ac:dyDescent="0.35">
      <c r="A553">
        <v>2025</v>
      </c>
      <c r="B553" t="s">
        <v>279</v>
      </c>
      <c r="C553" t="s">
        <v>279</v>
      </c>
      <c r="D553" t="s">
        <v>2103</v>
      </c>
      <c r="E553" t="s">
        <v>281</v>
      </c>
      <c r="F553">
        <v>907</v>
      </c>
      <c r="G553">
        <v>0</v>
      </c>
      <c r="I553" t="s">
        <v>1734</v>
      </c>
      <c r="J553">
        <v>38</v>
      </c>
      <c r="K553">
        <v>40</v>
      </c>
      <c r="L553">
        <v>39</v>
      </c>
      <c r="M553">
        <v>27.23</v>
      </c>
      <c r="N553">
        <v>28.731000000000002</v>
      </c>
      <c r="O553">
        <v>27.9055</v>
      </c>
      <c r="P553">
        <v>37.739600000000003</v>
      </c>
      <c r="Q553">
        <v>39.8309</v>
      </c>
      <c r="R553">
        <v>38.680700000000002</v>
      </c>
      <c r="V553" t="s">
        <v>167</v>
      </c>
      <c r="W553" t="s">
        <v>168</v>
      </c>
      <c r="Y553">
        <v>1</v>
      </c>
      <c r="Z553" t="s">
        <v>170</v>
      </c>
      <c r="AA553" t="s">
        <v>170</v>
      </c>
      <c r="AB553" t="s">
        <v>167</v>
      </c>
      <c r="AC553" t="s">
        <v>213</v>
      </c>
      <c r="AF553">
        <v>205</v>
      </c>
      <c r="AG553" t="s">
        <v>1735</v>
      </c>
      <c r="AH553" t="s">
        <v>1736</v>
      </c>
      <c r="AI553" t="s">
        <v>1742</v>
      </c>
      <c r="AJ553" t="s">
        <v>1743</v>
      </c>
      <c r="AK553">
        <v>4</v>
      </c>
      <c r="AL553" t="s">
        <v>1737</v>
      </c>
      <c r="AO553">
        <v>102</v>
      </c>
      <c r="AP553">
        <v>12</v>
      </c>
      <c r="AS553">
        <v>950</v>
      </c>
      <c r="AT553">
        <v>950</v>
      </c>
      <c r="BQ553">
        <v>31</v>
      </c>
      <c r="BR553" t="s">
        <v>1219</v>
      </c>
      <c r="BT553" t="s">
        <v>1738</v>
      </c>
      <c r="BU553" s="1">
        <v>45660</v>
      </c>
      <c r="BV553">
        <v>35595</v>
      </c>
      <c r="BY553" t="s">
        <v>170</v>
      </c>
      <c r="CB553" t="s">
        <v>170</v>
      </c>
      <c r="CC553" t="s">
        <v>170</v>
      </c>
      <c r="CK553" t="s">
        <v>233</v>
      </c>
      <c r="CM553">
        <v>7</v>
      </c>
      <c r="CN553" t="s">
        <v>234</v>
      </c>
      <c r="CP553">
        <v>321</v>
      </c>
      <c r="CQ553">
        <v>225</v>
      </c>
      <c r="CR553">
        <v>188</v>
      </c>
      <c r="CS553" t="s">
        <v>235</v>
      </c>
      <c r="CV553" t="s">
        <v>341</v>
      </c>
      <c r="CX553" t="s">
        <v>342</v>
      </c>
      <c r="CY553" t="s">
        <v>169</v>
      </c>
      <c r="DC553" t="s">
        <v>2104</v>
      </c>
      <c r="DD553">
        <v>2</v>
      </c>
      <c r="DE553" t="s">
        <v>404</v>
      </c>
      <c r="DF553" t="s">
        <v>2108</v>
      </c>
      <c r="DG553" t="s">
        <v>2106</v>
      </c>
      <c r="DL553" t="s">
        <v>170</v>
      </c>
      <c r="DM553" t="s">
        <v>169</v>
      </c>
      <c r="DP553" t="s">
        <v>169</v>
      </c>
      <c r="DQ553" t="s">
        <v>198</v>
      </c>
      <c r="DR553" t="s">
        <v>2103</v>
      </c>
      <c r="EB553">
        <v>9</v>
      </c>
      <c r="EC553">
        <v>10</v>
      </c>
      <c r="EE553" t="s">
        <v>2107</v>
      </c>
      <c r="EF553">
        <v>10</v>
      </c>
      <c r="EU553">
        <v>4750</v>
      </c>
      <c r="EW553">
        <v>0</v>
      </c>
      <c r="EX553">
        <v>0</v>
      </c>
      <c r="EY553">
        <v>0</v>
      </c>
      <c r="FA553">
        <v>8.32</v>
      </c>
      <c r="FG553">
        <v>210</v>
      </c>
      <c r="FH553">
        <v>199</v>
      </c>
      <c r="FI553">
        <v>205</v>
      </c>
    </row>
    <row r="554" spans="1:165" x14ac:dyDescent="0.35">
      <c r="A554" s="25"/>
      <c r="B554" s="25"/>
      <c r="C554" s="25"/>
      <c r="D554" s="25"/>
      <c r="E554" s="25"/>
      <c r="F554" s="25" t="str">
        <f>_xlfn.CONCAT($A555," ",$B555," ",$D555)</f>
        <v>2025 Mercedes-Benz EQB 350 4MATIC</v>
      </c>
      <c r="G554" s="25"/>
      <c r="H554" s="25"/>
      <c r="I554" s="25"/>
      <c r="J554" s="25"/>
      <c r="K554" s="25"/>
      <c r="L554" s="25"/>
      <c r="M554" s="25"/>
      <c r="N554" s="25"/>
      <c r="O554" s="25"/>
      <c r="P554" s="25"/>
      <c r="Q554" s="25"/>
      <c r="R554" s="25"/>
      <c r="S554" s="25"/>
      <c r="T554" s="25"/>
      <c r="U554" s="25"/>
      <c r="V554" s="25"/>
      <c r="W554" s="25"/>
      <c r="X554" s="25"/>
      <c r="Y554" s="25"/>
      <c r="Z554" s="25"/>
      <c r="AA554" s="25"/>
      <c r="AB554" s="25"/>
      <c r="AC554" s="25"/>
      <c r="AD554" s="25" t="str">
        <f>_xlfn.CONCAT($A555," ",$B555," ",$D555)</f>
        <v>2025 Mercedes-Benz EQB 350 4MATIC</v>
      </c>
      <c r="AE554" s="25"/>
      <c r="AF554" s="25"/>
      <c r="AG554" s="25"/>
      <c r="AH554" s="25"/>
      <c r="AI554" s="25"/>
      <c r="AJ554" s="25"/>
      <c r="AK554" s="25"/>
      <c r="AL554" s="25"/>
      <c r="AM554" s="25"/>
      <c r="AN554" s="25"/>
      <c r="AO554" s="25"/>
      <c r="AP554" s="25"/>
      <c r="AQ554" s="25"/>
      <c r="AR554" s="25"/>
      <c r="AS554" s="25"/>
      <c r="AT554" s="25"/>
      <c r="AU554" s="25"/>
      <c r="AV554" s="25"/>
      <c r="AW554" s="25"/>
      <c r="AX554" s="25" t="str">
        <f>_xlfn.CONCAT($A555," ",$B555," ",$D555)</f>
        <v>2025 Mercedes-Benz EQB 350 4MATIC</v>
      </c>
      <c r="AY554" s="25"/>
      <c r="AZ554" s="25"/>
      <c r="BA554" s="25"/>
      <c r="BB554" s="25"/>
      <c r="BC554" s="25"/>
      <c r="BD554" s="25"/>
      <c r="BE554" s="25"/>
      <c r="BF554" s="25"/>
      <c r="BG554" s="25"/>
      <c r="BH554" s="25"/>
      <c r="BI554" s="25"/>
      <c r="BJ554" s="25"/>
      <c r="BK554" s="25"/>
      <c r="BL554" s="25"/>
      <c r="BM554" s="25"/>
      <c r="BN554" s="25"/>
      <c r="BO554" s="25"/>
      <c r="BP554" s="25"/>
      <c r="BQ554" s="25"/>
      <c r="BR554" s="25" t="str">
        <f>_xlfn.CONCAT($A555," ",$B555," ",$D555)</f>
        <v>2025 Mercedes-Benz EQB 350 4MATIC</v>
      </c>
      <c r="BS554" s="25"/>
      <c r="BT554" s="25"/>
      <c r="BU554" s="25"/>
      <c r="BV554" s="25"/>
      <c r="BX554" s="25"/>
      <c r="BY554" s="25"/>
      <c r="BZ554" s="25"/>
      <c r="CA554" s="25"/>
      <c r="CB554" s="25"/>
      <c r="CC554" s="25"/>
      <c r="CD554" s="25"/>
      <c r="CE554" s="25"/>
      <c r="CF554" s="25"/>
      <c r="CG554" s="25"/>
      <c r="CH554" s="25"/>
      <c r="CI554" s="25"/>
      <c r="CJ554" s="25"/>
      <c r="CK554" s="25"/>
      <c r="CL554" s="25"/>
      <c r="CM554" s="25"/>
      <c r="CN554" s="25"/>
      <c r="CO554" s="25"/>
      <c r="CP554" s="25" t="str">
        <f>_xlfn.CONCAT($A555," ",$B555," ",$D555)</f>
        <v>2025 Mercedes-Benz EQB 350 4MATIC</v>
      </c>
      <c r="CQ554" s="25"/>
      <c r="CR554" s="25"/>
      <c r="CS554" s="25"/>
      <c r="CT554" s="25"/>
      <c r="CU554" s="25"/>
      <c r="CV554" s="25"/>
      <c r="CW554" s="25"/>
      <c r="CX554" s="25"/>
      <c r="CY554" s="25"/>
      <c r="CZ554" s="25"/>
      <c r="DA554" s="25"/>
      <c r="DB554" s="25"/>
      <c r="DC554" s="25"/>
      <c r="DD554" s="25"/>
      <c r="DE554" s="25"/>
      <c r="DF554" s="25"/>
      <c r="DG554" s="25"/>
      <c r="DH554" s="25"/>
      <c r="DI554" s="25" t="str">
        <f>_xlfn.CONCAT($A555," ",$B555," ",$D555)</f>
        <v>2025 Mercedes-Benz EQB 350 4MATIC</v>
      </c>
      <c r="DJ554" s="25"/>
      <c r="DK554" s="25"/>
      <c r="DL554" s="25"/>
      <c r="DM554" s="25"/>
      <c r="DN554" s="25"/>
      <c r="DO554" s="25"/>
      <c r="DP554" s="25"/>
      <c r="DQ554" s="25"/>
      <c r="DR554" s="25"/>
      <c r="DS554" s="25"/>
      <c r="DT554" s="25"/>
      <c r="DU554" s="25"/>
      <c r="DV554" s="25"/>
      <c r="DW554" s="25"/>
      <c r="DX554" s="25"/>
      <c r="DY554" s="25"/>
      <c r="DZ554" s="25" t="str">
        <f>_xlfn.CONCAT($A555," ",$B555," ",$D555)</f>
        <v>2025 Mercedes-Benz EQB 350 4MATIC</v>
      </c>
      <c r="EB554" s="25"/>
      <c r="EC554" s="25"/>
      <c r="ED554" s="25"/>
      <c r="EE554" s="25"/>
      <c r="EF554" s="25"/>
      <c r="EG554" s="25"/>
      <c r="EH554" s="25"/>
      <c r="EI554" s="25"/>
      <c r="EJ554" s="25"/>
      <c r="EK554" s="25"/>
      <c r="EL554" s="25"/>
      <c r="EM554" s="25"/>
      <c r="EN554" s="25"/>
      <c r="EO554" s="25"/>
      <c r="EP554" s="25"/>
      <c r="EQ554" s="25"/>
      <c r="ER554" s="25"/>
      <c r="ES554" s="25"/>
      <c r="ET554" s="25"/>
      <c r="EU554" s="25"/>
      <c r="EV554" s="25" t="str">
        <f>_xlfn.CONCAT($A555," ",$B555," ",$D555)</f>
        <v>2025 Mercedes-Benz EQB 350 4MATIC</v>
      </c>
      <c r="EW554" s="25"/>
      <c r="EX554" s="25"/>
      <c r="EY554" s="25"/>
      <c r="EZ554" s="25"/>
      <c r="FA554" s="25"/>
      <c r="FB554" s="25"/>
      <c r="FC554" s="25"/>
      <c r="FD554" s="25"/>
      <c r="FE554" s="25"/>
      <c r="FF554" s="25"/>
      <c r="FG554" s="25"/>
    </row>
    <row r="555" spans="1:165" x14ac:dyDescent="0.35">
      <c r="A555">
        <v>2025</v>
      </c>
      <c r="B555" t="s">
        <v>279</v>
      </c>
      <c r="C555" t="s">
        <v>279</v>
      </c>
      <c r="D555" t="s">
        <v>2109</v>
      </c>
      <c r="E555" t="s">
        <v>281</v>
      </c>
      <c r="F555">
        <v>908</v>
      </c>
      <c r="G555">
        <v>0</v>
      </c>
      <c r="I555" t="s">
        <v>1734</v>
      </c>
      <c r="J555">
        <v>89</v>
      </c>
      <c r="K555">
        <v>85</v>
      </c>
      <c r="L555">
        <v>87</v>
      </c>
      <c r="M555">
        <v>125.9</v>
      </c>
      <c r="N555">
        <v>120.6</v>
      </c>
      <c r="O555">
        <v>123.4585</v>
      </c>
      <c r="P555">
        <v>88.633600000000001</v>
      </c>
      <c r="Q555">
        <v>84.9024</v>
      </c>
      <c r="R555">
        <v>86.9148</v>
      </c>
      <c r="V555" t="s">
        <v>167</v>
      </c>
      <c r="W555" t="s">
        <v>168</v>
      </c>
      <c r="Y555">
        <v>1</v>
      </c>
      <c r="Z555" t="s">
        <v>170</v>
      </c>
      <c r="AA555" t="s">
        <v>170</v>
      </c>
      <c r="AB555" t="s">
        <v>167</v>
      </c>
      <c r="AC555" t="s">
        <v>213</v>
      </c>
      <c r="AF555">
        <v>207</v>
      </c>
      <c r="AG555" t="s">
        <v>1735</v>
      </c>
      <c r="AH555" t="s">
        <v>1736</v>
      </c>
      <c r="AI555" t="s">
        <v>175</v>
      </c>
      <c r="AJ555" t="s">
        <v>176</v>
      </c>
      <c r="AK555">
        <v>4</v>
      </c>
      <c r="AL555" t="s">
        <v>1737</v>
      </c>
      <c r="AO555">
        <v>102</v>
      </c>
      <c r="AP555">
        <v>12</v>
      </c>
      <c r="AS555">
        <v>950</v>
      </c>
      <c r="AT555">
        <v>50</v>
      </c>
      <c r="BQ555">
        <v>31</v>
      </c>
      <c r="BR555" t="s">
        <v>1219</v>
      </c>
      <c r="BT555" t="s">
        <v>1738</v>
      </c>
      <c r="BU555" s="1">
        <v>45660</v>
      </c>
      <c r="BV555">
        <v>35626</v>
      </c>
      <c r="BY555" t="s">
        <v>170</v>
      </c>
      <c r="CB555" t="s">
        <v>170</v>
      </c>
      <c r="CC555" t="s">
        <v>170</v>
      </c>
      <c r="CK555" t="s">
        <v>233</v>
      </c>
      <c r="CM555">
        <v>7</v>
      </c>
      <c r="CN555" t="s">
        <v>234</v>
      </c>
      <c r="CP555">
        <v>321</v>
      </c>
      <c r="CQ555">
        <v>225</v>
      </c>
      <c r="CR555">
        <v>188</v>
      </c>
      <c r="CS555" t="s">
        <v>235</v>
      </c>
      <c r="CV555" t="s">
        <v>341</v>
      </c>
      <c r="CX555" t="s">
        <v>342</v>
      </c>
      <c r="CY555" t="s">
        <v>169</v>
      </c>
      <c r="DC555" t="s">
        <v>2104</v>
      </c>
      <c r="DD555">
        <v>2</v>
      </c>
      <c r="DE555" t="s">
        <v>404</v>
      </c>
      <c r="DF555" t="s">
        <v>2105</v>
      </c>
      <c r="DG555" t="s">
        <v>2106</v>
      </c>
      <c r="DL555" t="s">
        <v>170</v>
      </c>
      <c r="DM555" t="s">
        <v>169</v>
      </c>
      <c r="DP555" t="s">
        <v>169</v>
      </c>
      <c r="DQ555" t="s">
        <v>198</v>
      </c>
      <c r="DR555" t="s">
        <v>2109</v>
      </c>
      <c r="EB555">
        <v>9</v>
      </c>
      <c r="EC555">
        <v>10</v>
      </c>
      <c r="EE555" t="s">
        <v>2107</v>
      </c>
      <c r="EF555">
        <v>10</v>
      </c>
      <c r="EU555">
        <v>4750</v>
      </c>
      <c r="EW555">
        <v>0</v>
      </c>
      <c r="EX555">
        <v>0</v>
      </c>
      <c r="EY555">
        <v>0</v>
      </c>
      <c r="FA555">
        <v>8.25</v>
      </c>
      <c r="FG555">
        <v>211</v>
      </c>
      <c r="FH555">
        <v>202</v>
      </c>
      <c r="FI555">
        <v>207</v>
      </c>
    </row>
    <row r="556" spans="1:165" x14ac:dyDescent="0.35">
      <c r="A556">
        <v>2025</v>
      </c>
      <c r="B556" t="s">
        <v>279</v>
      </c>
      <c r="C556" t="s">
        <v>279</v>
      </c>
      <c r="D556" t="s">
        <v>2109</v>
      </c>
      <c r="E556" t="s">
        <v>281</v>
      </c>
      <c r="F556">
        <v>908</v>
      </c>
      <c r="G556">
        <v>0</v>
      </c>
      <c r="I556" t="s">
        <v>1734</v>
      </c>
      <c r="J556">
        <v>38</v>
      </c>
      <c r="K556">
        <v>40</v>
      </c>
      <c r="L556">
        <v>39</v>
      </c>
      <c r="M556">
        <v>26.7761</v>
      </c>
      <c r="N556">
        <v>27.944900000000001</v>
      </c>
      <c r="O556">
        <v>27.302099999999999</v>
      </c>
      <c r="P556">
        <v>38.027299999999997</v>
      </c>
      <c r="Q556">
        <v>39.698500000000003</v>
      </c>
      <c r="R556">
        <v>38.779400000000003</v>
      </c>
      <c r="V556" t="s">
        <v>167</v>
      </c>
      <c r="W556" t="s">
        <v>168</v>
      </c>
      <c r="Y556">
        <v>1</v>
      </c>
      <c r="Z556" t="s">
        <v>170</v>
      </c>
      <c r="AA556" t="s">
        <v>170</v>
      </c>
      <c r="AB556" t="s">
        <v>167</v>
      </c>
      <c r="AC556" t="s">
        <v>213</v>
      </c>
      <c r="AF556">
        <v>207</v>
      </c>
      <c r="AG556" t="s">
        <v>1735</v>
      </c>
      <c r="AH556" t="s">
        <v>1736</v>
      </c>
      <c r="AI556" t="s">
        <v>1742</v>
      </c>
      <c r="AJ556" t="s">
        <v>1743</v>
      </c>
      <c r="AK556">
        <v>4</v>
      </c>
      <c r="AL556" t="s">
        <v>1737</v>
      </c>
      <c r="AO556">
        <v>102</v>
      </c>
      <c r="AP556">
        <v>12</v>
      </c>
      <c r="AS556">
        <v>950</v>
      </c>
      <c r="AT556">
        <v>950</v>
      </c>
      <c r="BQ556">
        <v>31</v>
      </c>
      <c r="BR556" t="s">
        <v>1219</v>
      </c>
      <c r="BT556" t="s">
        <v>1738</v>
      </c>
      <c r="BU556" s="1">
        <v>45660</v>
      </c>
      <c r="BV556">
        <v>35626</v>
      </c>
      <c r="BY556" t="s">
        <v>170</v>
      </c>
      <c r="CB556" t="s">
        <v>170</v>
      </c>
      <c r="CC556" t="s">
        <v>170</v>
      </c>
      <c r="CK556" t="s">
        <v>233</v>
      </c>
      <c r="CM556">
        <v>7</v>
      </c>
      <c r="CN556" t="s">
        <v>234</v>
      </c>
      <c r="CP556">
        <v>321</v>
      </c>
      <c r="CQ556">
        <v>225</v>
      </c>
      <c r="CR556">
        <v>188</v>
      </c>
      <c r="CS556" t="s">
        <v>235</v>
      </c>
      <c r="CV556" t="s">
        <v>341</v>
      </c>
      <c r="CX556" t="s">
        <v>342</v>
      </c>
      <c r="CY556" t="s">
        <v>169</v>
      </c>
      <c r="DC556" t="s">
        <v>2104</v>
      </c>
      <c r="DD556">
        <v>2</v>
      </c>
      <c r="DE556" t="s">
        <v>404</v>
      </c>
      <c r="DF556" t="s">
        <v>2108</v>
      </c>
      <c r="DG556" t="s">
        <v>2106</v>
      </c>
      <c r="DL556" t="s">
        <v>170</v>
      </c>
      <c r="DM556" t="s">
        <v>169</v>
      </c>
      <c r="DP556" t="s">
        <v>169</v>
      </c>
      <c r="DQ556" t="s">
        <v>198</v>
      </c>
      <c r="DR556" t="s">
        <v>2109</v>
      </c>
      <c r="EB556">
        <v>9</v>
      </c>
      <c r="EC556">
        <v>10</v>
      </c>
      <c r="EE556" t="s">
        <v>2107</v>
      </c>
      <c r="EF556">
        <v>10</v>
      </c>
      <c r="EU556">
        <v>4750</v>
      </c>
      <c r="EW556">
        <v>0</v>
      </c>
      <c r="EX556">
        <v>0</v>
      </c>
      <c r="EY556">
        <v>0</v>
      </c>
      <c r="FA556">
        <v>8.25</v>
      </c>
      <c r="FG556">
        <v>211</v>
      </c>
      <c r="FH556">
        <v>202</v>
      </c>
      <c r="FI556">
        <v>207</v>
      </c>
    </row>
    <row r="557" spans="1:165" x14ac:dyDescent="0.35">
      <c r="A557" s="25"/>
      <c r="B557" s="25"/>
      <c r="C557" s="25"/>
      <c r="D557" s="25"/>
      <c r="E557" s="25"/>
      <c r="F557" s="25" t="str">
        <f>_xlfn.CONCAT($A558," ",$B558," ",$D558)</f>
        <v>2025 Mercedes-Benz AMG EQE 4MATIC+</v>
      </c>
      <c r="G557" s="25"/>
      <c r="H557" s="25"/>
      <c r="I557" s="25"/>
      <c r="J557" s="25"/>
      <c r="K557" s="25"/>
      <c r="L557" s="25"/>
      <c r="M557" s="25"/>
      <c r="N557" s="25"/>
      <c r="O557" s="25"/>
      <c r="P557" s="25"/>
      <c r="Q557" s="25"/>
      <c r="R557" s="25"/>
      <c r="S557" s="25"/>
      <c r="T557" s="25"/>
      <c r="U557" s="25"/>
      <c r="V557" s="25"/>
      <c r="W557" s="25"/>
      <c r="X557" s="25"/>
      <c r="Y557" s="25"/>
      <c r="Z557" s="25"/>
      <c r="AA557" s="25"/>
      <c r="AB557" s="25"/>
      <c r="AC557" s="25"/>
      <c r="AD557" s="25" t="str">
        <f>_xlfn.CONCAT($A558," ",$B558," ",$D558)</f>
        <v>2025 Mercedes-Benz AMG EQE 4MATIC+</v>
      </c>
      <c r="AE557" s="25"/>
      <c r="AF557" s="25"/>
      <c r="AG557" s="25"/>
      <c r="AH557" s="25"/>
      <c r="AI557" s="25"/>
      <c r="AJ557" s="25"/>
      <c r="AK557" s="25"/>
      <c r="AL557" s="25"/>
      <c r="AM557" s="25"/>
      <c r="AN557" s="25"/>
      <c r="AO557" s="25"/>
      <c r="AP557" s="25"/>
      <c r="AQ557" s="25"/>
      <c r="AR557" s="25"/>
      <c r="AS557" s="25"/>
      <c r="AT557" s="25"/>
      <c r="AU557" s="25"/>
      <c r="AV557" s="25"/>
      <c r="AW557" s="25"/>
      <c r="AX557" s="25" t="str">
        <f>_xlfn.CONCAT($A558," ",$B558," ",$D558)</f>
        <v>2025 Mercedes-Benz AMG EQE 4MATIC+</v>
      </c>
      <c r="AY557" s="25"/>
      <c r="AZ557" s="25"/>
      <c r="BA557" s="25"/>
      <c r="BB557" s="25"/>
      <c r="BC557" s="25"/>
      <c r="BD557" s="25"/>
      <c r="BE557" s="25"/>
      <c r="BF557" s="25"/>
      <c r="BG557" s="25"/>
      <c r="BH557" s="25"/>
      <c r="BI557" s="25"/>
      <c r="BJ557" s="25"/>
      <c r="BK557" s="25"/>
      <c r="BL557" s="25"/>
      <c r="BM557" s="25"/>
      <c r="BN557" s="25"/>
      <c r="BO557" s="25"/>
      <c r="BP557" s="25"/>
      <c r="BQ557" s="25"/>
      <c r="BR557" s="25" t="str">
        <f>_xlfn.CONCAT($A558," ",$B558," ",$D558)</f>
        <v>2025 Mercedes-Benz AMG EQE 4MATIC+</v>
      </c>
      <c r="BS557" s="25"/>
      <c r="BT557" s="25"/>
      <c r="BU557" s="25"/>
      <c r="BV557" s="25"/>
      <c r="BX557" s="25"/>
      <c r="BY557" s="25"/>
      <c r="BZ557" s="25"/>
      <c r="CA557" s="25"/>
      <c r="CB557" s="25"/>
      <c r="CC557" s="25"/>
      <c r="CD557" s="25"/>
      <c r="CE557" s="25"/>
      <c r="CF557" s="25"/>
      <c r="CG557" s="25"/>
      <c r="CH557" s="25"/>
      <c r="CI557" s="25"/>
      <c r="CJ557" s="25"/>
      <c r="CK557" s="25"/>
      <c r="CL557" s="25"/>
      <c r="CM557" s="25"/>
      <c r="CN557" s="25"/>
      <c r="CO557" s="25"/>
      <c r="CP557" s="25" t="str">
        <f>_xlfn.CONCAT($A558," ",$B558," ",$D558)</f>
        <v>2025 Mercedes-Benz AMG EQE 4MATIC+</v>
      </c>
      <c r="CQ557" s="25"/>
      <c r="CR557" s="25"/>
      <c r="CS557" s="25"/>
      <c r="CT557" s="25"/>
      <c r="CU557" s="25"/>
      <c r="CV557" s="25"/>
      <c r="CW557" s="25"/>
      <c r="CX557" s="25"/>
      <c r="CY557" s="25"/>
      <c r="CZ557" s="25"/>
      <c r="DA557" s="25"/>
      <c r="DB557" s="25"/>
      <c r="DC557" s="25"/>
      <c r="DD557" s="25"/>
      <c r="DE557" s="25"/>
      <c r="DF557" s="25"/>
      <c r="DG557" s="25"/>
      <c r="DH557" s="25"/>
      <c r="DI557" s="25" t="str">
        <f>_xlfn.CONCAT($A558," ",$B558," ",$D558)</f>
        <v>2025 Mercedes-Benz AMG EQE 4MATIC+</v>
      </c>
      <c r="DJ557" s="25"/>
      <c r="DK557" s="25"/>
      <c r="DL557" s="25"/>
      <c r="DM557" s="25"/>
      <c r="DN557" s="25"/>
      <c r="DO557" s="25"/>
      <c r="DP557" s="25"/>
      <c r="DQ557" s="25"/>
      <c r="DR557" s="25"/>
      <c r="DS557" s="25"/>
      <c r="DT557" s="25"/>
      <c r="DU557" s="25"/>
      <c r="DV557" s="25"/>
      <c r="DW557" s="25"/>
      <c r="DX557" s="25"/>
      <c r="DY557" s="25"/>
      <c r="DZ557" s="25" t="str">
        <f>_xlfn.CONCAT($A558," ",$B558," ",$D558)</f>
        <v>2025 Mercedes-Benz AMG EQE 4MATIC+</v>
      </c>
      <c r="EB557" s="25"/>
      <c r="EC557" s="25"/>
      <c r="ED557" s="25"/>
      <c r="EE557" s="25"/>
      <c r="EF557" s="25"/>
      <c r="EG557" s="25"/>
      <c r="EH557" s="25"/>
      <c r="EI557" s="25"/>
      <c r="EJ557" s="25"/>
      <c r="EK557" s="25"/>
      <c r="EL557" s="25"/>
      <c r="EM557" s="25"/>
      <c r="EN557" s="25"/>
      <c r="EO557" s="25"/>
      <c r="EP557" s="25"/>
      <c r="EQ557" s="25"/>
      <c r="ER557" s="25"/>
      <c r="ES557" s="25"/>
      <c r="ET557" s="25"/>
      <c r="EU557" s="25"/>
      <c r="EV557" s="25" t="str">
        <f>_xlfn.CONCAT($A558," ",$B558," ",$D558)</f>
        <v>2025 Mercedes-Benz AMG EQE 4MATIC+</v>
      </c>
      <c r="EW557" s="25"/>
      <c r="EX557" s="25"/>
      <c r="EY557" s="25"/>
      <c r="EZ557" s="25"/>
      <c r="FA557" s="25"/>
      <c r="FB557" s="25"/>
      <c r="FC557" s="25"/>
      <c r="FD557" s="25"/>
      <c r="FE557" s="25"/>
      <c r="FF557" s="25"/>
      <c r="FG557" s="25"/>
    </row>
    <row r="558" spans="1:165" x14ac:dyDescent="0.35">
      <c r="A558">
        <v>2025</v>
      </c>
      <c r="B558" t="s">
        <v>279</v>
      </c>
      <c r="C558" t="s">
        <v>279</v>
      </c>
      <c r="D558" t="s">
        <v>2090</v>
      </c>
      <c r="E558" t="s">
        <v>281</v>
      </c>
      <c r="F558">
        <v>909</v>
      </c>
      <c r="G558">
        <v>0</v>
      </c>
      <c r="I558" t="s">
        <v>1734</v>
      </c>
      <c r="J558">
        <v>69</v>
      </c>
      <c r="K558">
        <v>71</v>
      </c>
      <c r="L558">
        <v>70</v>
      </c>
      <c r="M558">
        <v>100.8</v>
      </c>
      <c r="N558">
        <v>102.7</v>
      </c>
      <c r="O558">
        <v>101.64619999999999</v>
      </c>
      <c r="P558">
        <v>69</v>
      </c>
      <c r="Q558">
        <v>71</v>
      </c>
      <c r="R558">
        <v>70</v>
      </c>
      <c r="V558" t="s">
        <v>167</v>
      </c>
      <c r="W558" t="s">
        <v>168</v>
      </c>
      <c r="Y558">
        <v>1</v>
      </c>
      <c r="Z558" t="s">
        <v>170</v>
      </c>
      <c r="AA558" t="s">
        <v>170</v>
      </c>
      <c r="AB558" t="s">
        <v>167</v>
      </c>
      <c r="AC558" t="s">
        <v>213</v>
      </c>
      <c r="AF558">
        <v>220</v>
      </c>
      <c r="AG558" t="s">
        <v>1735</v>
      </c>
      <c r="AH558" t="s">
        <v>1736</v>
      </c>
      <c r="AI558" t="s">
        <v>175</v>
      </c>
      <c r="AJ558" t="s">
        <v>176</v>
      </c>
      <c r="AK558">
        <v>4</v>
      </c>
      <c r="AL558" t="s">
        <v>1737</v>
      </c>
      <c r="AO558">
        <v>101</v>
      </c>
      <c r="AP558">
        <v>11</v>
      </c>
      <c r="AS558">
        <v>1150</v>
      </c>
      <c r="AT558">
        <v>50</v>
      </c>
      <c r="BQ558">
        <v>5</v>
      </c>
      <c r="BR558" t="s">
        <v>672</v>
      </c>
      <c r="BS558" t="s">
        <v>180</v>
      </c>
      <c r="BT558" t="s">
        <v>1738</v>
      </c>
      <c r="BU558" s="1">
        <v>45512</v>
      </c>
      <c r="BV558">
        <v>35362</v>
      </c>
      <c r="BY558" t="s">
        <v>170</v>
      </c>
      <c r="CB558" t="s">
        <v>170</v>
      </c>
      <c r="CC558" t="s">
        <v>170</v>
      </c>
      <c r="CK558" t="s">
        <v>233</v>
      </c>
      <c r="CM558">
        <v>10</v>
      </c>
      <c r="CN558" t="s">
        <v>234</v>
      </c>
      <c r="CP558">
        <v>328</v>
      </c>
      <c r="CQ558">
        <v>292</v>
      </c>
      <c r="CR558">
        <v>172.5</v>
      </c>
      <c r="CS558" t="s">
        <v>235</v>
      </c>
      <c r="CV558" t="s">
        <v>341</v>
      </c>
      <c r="CX558" t="s">
        <v>342</v>
      </c>
      <c r="CY558" t="s">
        <v>169</v>
      </c>
      <c r="DD558">
        <v>2</v>
      </c>
      <c r="DE558" t="s">
        <v>404</v>
      </c>
      <c r="DF558" t="s">
        <v>2091</v>
      </c>
      <c r="DG558" t="s">
        <v>2092</v>
      </c>
      <c r="DL558" t="s">
        <v>170</v>
      </c>
      <c r="DM558" t="s">
        <v>169</v>
      </c>
      <c r="DP558" t="s">
        <v>169</v>
      </c>
      <c r="DQ558" t="s">
        <v>198</v>
      </c>
      <c r="DR558" t="s">
        <v>2090</v>
      </c>
      <c r="EB558">
        <v>9</v>
      </c>
      <c r="EC558">
        <v>10</v>
      </c>
      <c r="EE558" t="s">
        <v>2093</v>
      </c>
      <c r="EF558">
        <v>10</v>
      </c>
      <c r="EU558">
        <v>3750</v>
      </c>
      <c r="EW558">
        <v>0</v>
      </c>
      <c r="EX558">
        <v>0</v>
      </c>
      <c r="EY558">
        <v>0</v>
      </c>
      <c r="FA558">
        <v>10.75</v>
      </c>
      <c r="FG558">
        <v>218</v>
      </c>
      <c r="FH558">
        <v>222</v>
      </c>
      <c r="FI558">
        <v>220</v>
      </c>
    </row>
    <row r="559" spans="1:165" x14ac:dyDescent="0.35">
      <c r="A559">
        <v>2025</v>
      </c>
      <c r="B559" t="s">
        <v>279</v>
      </c>
      <c r="C559" t="s">
        <v>279</v>
      </c>
      <c r="D559" t="s">
        <v>2090</v>
      </c>
      <c r="E559" t="s">
        <v>281</v>
      </c>
      <c r="F559">
        <v>909</v>
      </c>
      <c r="G559">
        <v>0</v>
      </c>
      <c r="I559" t="s">
        <v>1734</v>
      </c>
      <c r="J559">
        <v>48</v>
      </c>
      <c r="K559">
        <v>47</v>
      </c>
      <c r="L559">
        <v>47</v>
      </c>
      <c r="M559">
        <v>33.422699999999999</v>
      </c>
      <c r="N559">
        <v>32.816099999999999</v>
      </c>
      <c r="O559">
        <v>33.149700000000003</v>
      </c>
      <c r="P559">
        <v>48</v>
      </c>
      <c r="Q559">
        <v>47</v>
      </c>
      <c r="R559">
        <v>47</v>
      </c>
      <c r="V559" t="s">
        <v>167</v>
      </c>
      <c r="W559" t="s">
        <v>168</v>
      </c>
      <c r="Y559">
        <v>1</v>
      </c>
      <c r="Z559" t="s">
        <v>170</v>
      </c>
      <c r="AA559" t="s">
        <v>170</v>
      </c>
      <c r="AB559" t="s">
        <v>167</v>
      </c>
      <c r="AC559" t="s">
        <v>213</v>
      </c>
      <c r="AF559">
        <v>220</v>
      </c>
      <c r="AG559" t="s">
        <v>1735</v>
      </c>
      <c r="AH559" t="s">
        <v>1736</v>
      </c>
      <c r="AI559" t="s">
        <v>1742</v>
      </c>
      <c r="AJ559" t="s">
        <v>1743</v>
      </c>
      <c r="AK559">
        <v>4</v>
      </c>
      <c r="AL559" t="s">
        <v>1737</v>
      </c>
      <c r="AO559">
        <v>101</v>
      </c>
      <c r="AP559">
        <v>11</v>
      </c>
      <c r="AS559">
        <v>1150</v>
      </c>
      <c r="AT559">
        <v>1150</v>
      </c>
      <c r="BQ559">
        <v>5</v>
      </c>
      <c r="BR559" t="s">
        <v>672</v>
      </c>
      <c r="BS559" t="s">
        <v>180</v>
      </c>
      <c r="BT559" t="s">
        <v>1738</v>
      </c>
      <c r="BU559" s="1">
        <v>45512</v>
      </c>
      <c r="BV559">
        <v>35362</v>
      </c>
      <c r="BY559" t="s">
        <v>170</v>
      </c>
      <c r="CB559" t="s">
        <v>170</v>
      </c>
      <c r="CC559" t="s">
        <v>170</v>
      </c>
      <c r="CK559" t="s">
        <v>233</v>
      </c>
      <c r="CM559">
        <v>10</v>
      </c>
      <c r="CN559" t="s">
        <v>234</v>
      </c>
      <c r="CP559">
        <v>328</v>
      </c>
      <c r="CQ559">
        <v>292</v>
      </c>
      <c r="CR559">
        <v>172.5</v>
      </c>
      <c r="CS559" t="s">
        <v>235</v>
      </c>
      <c r="CV559" t="s">
        <v>341</v>
      </c>
      <c r="CX559" t="s">
        <v>342</v>
      </c>
      <c r="CY559" t="s">
        <v>169</v>
      </c>
      <c r="DD559">
        <v>2</v>
      </c>
      <c r="DE559" t="s">
        <v>404</v>
      </c>
      <c r="DF559" t="s">
        <v>2091</v>
      </c>
      <c r="DG559" t="s">
        <v>2092</v>
      </c>
      <c r="DL559" t="s">
        <v>170</v>
      </c>
      <c r="DM559" t="s">
        <v>169</v>
      </c>
      <c r="DP559" t="s">
        <v>169</v>
      </c>
      <c r="DQ559" t="s">
        <v>198</v>
      </c>
      <c r="DR559" t="s">
        <v>2090</v>
      </c>
      <c r="EB559">
        <v>9</v>
      </c>
      <c r="EC559">
        <v>10</v>
      </c>
      <c r="EE559" t="s">
        <v>2093</v>
      </c>
      <c r="EF559">
        <v>10</v>
      </c>
      <c r="EU559">
        <v>3750</v>
      </c>
      <c r="EW559">
        <v>0</v>
      </c>
      <c r="EX559">
        <v>0</v>
      </c>
      <c r="EY559">
        <v>0</v>
      </c>
      <c r="FA559">
        <v>10.75</v>
      </c>
      <c r="FG559">
        <v>218</v>
      </c>
      <c r="FH559">
        <v>222</v>
      </c>
      <c r="FI559">
        <v>220</v>
      </c>
    </row>
    <row r="560" spans="1:165" x14ac:dyDescent="0.35">
      <c r="A560" s="25"/>
      <c r="B560" s="25"/>
      <c r="C560" s="25"/>
      <c r="D560" s="25"/>
      <c r="E560" s="25"/>
      <c r="F560" s="25" t="str">
        <f>_xlfn.CONCAT($A561," ",$B561," ",$D561)</f>
        <v>2025 Mercedes-Benz EQE 350+</v>
      </c>
      <c r="G560" s="25"/>
      <c r="H560" s="25"/>
      <c r="I560" s="25"/>
      <c r="J560" s="25"/>
      <c r="K560" s="25"/>
      <c r="L560" s="25"/>
      <c r="M560" s="25"/>
      <c r="N560" s="25"/>
      <c r="O560" s="25"/>
      <c r="P560" s="25"/>
      <c r="Q560" s="25"/>
      <c r="R560" s="25"/>
      <c r="S560" s="25"/>
      <c r="T560" s="25"/>
      <c r="U560" s="25"/>
      <c r="V560" s="25"/>
      <c r="W560" s="25"/>
      <c r="X560" s="25"/>
      <c r="Y560" s="25"/>
      <c r="Z560" s="25"/>
      <c r="AA560" s="25"/>
      <c r="AB560" s="25"/>
      <c r="AC560" s="25"/>
      <c r="AD560" s="25" t="str">
        <f>_xlfn.CONCAT($A561," ",$B561," ",$D561)</f>
        <v>2025 Mercedes-Benz EQE 350+</v>
      </c>
      <c r="AE560" s="25"/>
      <c r="AF560" s="25"/>
      <c r="AG560" s="25"/>
      <c r="AH560" s="25"/>
      <c r="AI560" s="25"/>
      <c r="AJ560" s="25"/>
      <c r="AK560" s="25"/>
      <c r="AL560" s="25"/>
      <c r="AM560" s="25"/>
      <c r="AN560" s="25"/>
      <c r="AO560" s="25"/>
      <c r="AP560" s="25"/>
      <c r="AQ560" s="25"/>
      <c r="AR560" s="25"/>
      <c r="AS560" s="25"/>
      <c r="AT560" s="25"/>
      <c r="AU560" s="25"/>
      <c r="AV560" s="25"/>
      <c r="AW560" s="25"/>
      <c r="AX560" s="25" t="str">
        <f>_xlfn.CONCAT($A561," ",$B561," ",$D561)</f>
        <v>2025 Mercedes-Benz EQE 350+</v>
      </c>
      <c r="AY560" s="25"/>
      <c r="AZ560" s="25"/>
      <c r="BA560" s="25"/>
      <c r="BB560" s="25"/>
      <c r="BC560" s="25"/>
      <c r="BD560" s="25"/>
      <c r="BE560" s="25"/>
      <c r="BF560" s="25"/>
      <c r="BG560" s="25"/>
      <c r="BH560" s="25"/>
      <c r="BI560" s="25"/>
      <c r="BJ560" s="25"/>
      <c r="BK560" s="25"/>
      <c r="BL560" s="25"/>
      <c r="BM560" s="25"/>
      <c r="BN560" s="25"/>
      <c r="BO560" s="25"/>
      <c r="BP560" s="25"/>
      <c r="BQ560" s="25"/>
      <c r="BR560" s="25" t="str">
        <f>_xlfn.CONCAT($A561," ",$B561," ",$D561)</f>
        <v>2025 Mercedes-Benz EQE 350+</v>
      </c>
      <c r="BS560" s="25"/>
      <c r="BT560" s="25"/>
      <c r="BU560" s="25"/>
      <c r="BV560" s="25"/>
      <c r="BX560" s="25"/>
      <c r="BY560" s="25"/>
      <c r="BZ560" s="25"/>
      <c r="CA560" s="25"/>
      <c r="CB560" s="25"/>
      <c r="CC560" s="25"/>
      <c r="CD560" s="25"/>
      <c r="CE560" s="25"/>
      <c r="CF560" s="25"/>
      <c r="CG560" s="25"/>
      <c r="CH560" s="25"/>
      <c r="CI560" s="25"/>
      <c r="CJ560" s="25"/>
      <c r="CK560" s="25"/>
      <c r="CL560" s="25"/>
      <c r="CM560" s="25"/>
      <c r="CN560" s="25"/>
      <c r="CO560" s="25"/>
      <c r="CP560" s="25" t="str">
        <f>_xlfn.CONCAT($A561," ",$B561," ",$D561)</f>
        <v>2025 Mercedes-Benz EQE 350+</v>
      </c>
      <c r="CQ560" s="25"/>
      <c r="CR560" s="25"/>
      <c r="CS560" s="25"/>
      <c r="CT560" s="25"/>
      <c r="CU560" s="25"/>
      <c r="CV560" s="25"/>
      <c r="CW560" s="25"/>
      <c r="CX560" s="25"/>
      <c r="CY560" s="25"/>
      <c r="CZ560" s="25"/>
      <c r="DA560" s="25"/>
      <c r="DB560" s="25"/>
      <c r="DC560" s="25"/>
      <c r="DD560" s="25"/>
      <c r="DE560" s="25"/>
      <c r="DF560" s="25"/>
      <c r="DG560" s="25"/>
      <c r="DH560" s="25"/>
      <c r="DI560" s="25" t="str">
        <f>_xlfn.CONCAT($A561," ",$B561," ",$D561)</f>
        <v>2025 Mercedes-Benz EQE 350+</v>
      </c>
      <c r="DJ560" s="25"/>
      <c r="DK560" s="25"/>
      <c r="DL560" s="25"/>
      <c r="DM560" s="25"/>
      <c r="DN560" s="25"/>
      <c r="DO560" s="25"/>
      <c r="DP560" s="25"/>
      <c r="DQ560" s="25"/>
      <c r="DR560" s="25"/>
      <c r="DS560" s="25"/>
      <c r="DT560" s="25"/>
      <c r="DU560" s="25"/>
      <c r="DV560" s="25"/>
      <c r="DW560" s="25"/>
      <c r="DX560" s="25"/>
      <c r="DY560" s="25"/>
      <c r="DZ560" s="25" t="str">
        <f>_xlfn.CONCAT($A561," ",$B561," ",$D561)</f>
        <v>2025 Mercedes-Benz EQE 350+</v>
      </c>
      <c r="EB560" s="25"/>
      <c r="EC560" s="25"/>
      <c r="ED560" s="25"/>
      <c r="EE560" s="25"/>
      <c r="EF560" s="25"/>
      <c r="EG560" s="25"/>
      <c r="EH560" s="25"/>
      <c r="EI560" s="25"/>
      <c r="EJ560" s="25"/>
      <c r="EK560" s="25"/>
      <c r="EL560" s="25"/>
      <c r="EM560" s="25"/>
      <c r="EN560" s="25"/>
      <c r="EO560" s="25"/>
      <c r="EP560" s="25"/>
      <c r="EQ560" s="25"/>
      <c r="ER560" s="25"/>
      <c r="ES560" s="25"/>
      <c r="ET560" s="25"/>
      <c r="EU560" s="25"/>
      <c r="EV560" s="25" t="str">
        <f>_xlfn.CONCAT($A561," ",$B561," ",$D561)</f>
        <v>2025 Mercedes-Benz EQE 350+</v>
      </c>
      <c r="EW560" s="25"/>
      <c r="EX560" s="25"/>
      <c r="EY560" s="25"/>
      <c r="EZ560" s="25"/>
      <c r="FA560" s="25"/>
      <c r="FB560" s="25"/>
      <c r="FC560" s="25"/>
      <c r="FD560" s="25"/>
      <c r="FE560" s="25"/>
      <c r="FF560" s="25"/>
      <c r="FG560" s="25"/>
    </row>
    <row r="561" spans="1:165" x14ac:dyDescent="0.35">
      <c r="A561">
        <v>2025</v>
      </c>
      <c r="B561" t="s">
        <v>279</v>
      </c>
      <c r="C561" t="s">
        <v>279</v>
      </c>
      <c r="D561" t="s">
        <v>2114</v>
      </c>
      <c r="E561" t="s">
        <v>281</v>
      </c>
      <c r="F561">
        <v>910</v>
      </c>
      <c r="G561">
        <v>0</v>
      </c>
      <c r="I561" t="s">
        <v>1734</v>
      </c>
      <c r="J561">
        <v>94</v>
      </c>
      <c r="K561">
        <v>94</v>
      </c>
      <c r="L561">
        <v>94</v>
      </c>
      <c r="M561">
        <v>135.19999999999999</v>
      </c>
      <c r="N561">
        <v>135.1</v>
      </c>
      <c r="O561">
        <v>135.155</v>
      </c>
      <c r="P561">
        <v>94</v>
      </c>
      <c r="Q561">
        <v>94</v>
      </c>
      <c r="R561">
        <v>94</v>
      </c>
      <c r="V561" t="s">
        <v>167</v>
      </c>
      <c r="W561" t="s">
        <v>168</v>
      </c>
      <c r="Y561">
        <v>1</v>
      </c>
      <c r="Z561" t="s">
        <v>170</v>
      </c>
      <c r="AA561" t="s">
        <v>170</v>
      </c>
      <c r="AB561" t="s">
        <v>171</v>
      </c>
      <c r="AC561" t="s">
        <v>172</v>
      </c>
      <c r="AF561">
        <v>308</v>
      </c>
      <c r="AG561" t="s">
        <v>1735</v>
      </c>
      <c r="AH561" t="s">
        <v>1736</v>
      </c>
      <c r="AI561" t="s">
        <v>175</v>
      </c>
      <c r="AJ561" t="s">
        <v>176</v>
      </c>
      <c r="AK561">
        <v>4</v>
      </c>
      <c r="AL561" t="s">
        <v>1737</v>
      </c>
      <c r="AO561">
        <v>101</v>
      </c>
      <c r="AP561">
        <v>11</v>
      </c>
      <c r="AS561">
        <v>850</v>
      </c>
      <c r="AT561">
        <v>50</v>
      </c>
      <c r="BQ561">
        <v>5</v>
      </c>
      <c r="BR561" t="s">
        <v>672</v>
      </c>
      <c r="BS561" t="s">
        <v>180</v>
      </c>
      <c r="BT561" t="s">
        <v>1738</v>
      </c>
      <c r="BU561" s="1">
        <v>45536</v>
      </c>
      <c r="BV561">
        <v>35335</v>
      </c>
      <c r="BY561" t="s">
        <v>170</v>
      </c>
      <c r="CB561" t="s">
        <v>170</v>
      </c>
      <c r="CC561" t="s">
        <v>170</v>
      </c>
      <c r="CK561" t="s">
        <v>233</v>
      </c>
      <c r="CM561">
        <v>10</v>
      </c>
      <c r="CN561" t="s">
        <v>234</v>
      </c>
      <c r="CP561">
        <v>330</v>
      </c>
      <c r="CQ561">
        <v>308</v>
      </c>
      <c r="CR561">
        <v>168.6</v>
      </c>
      <c r="CS561" t="s">
        <v>235</v>
      </c>
      <c r="CV561" t="s">
        <v>341</v>
      </c>
      <c r="CX561" t="s">
        <v>342</v>
      </c>
      <c r="CY561" t="s">
        <v>169</v>
      </c>
      <c r="DD561">
        <v>1</v>
      </c>
      <c r="DE561" t="s">
        <v>404</v>
      </c>
      <c r="DF561" t="s">
        <v>2091</v>
      </c>
      <c r="DG561">
        <v>215</v>
      </c>
      <c r="DL561" t="s">
        <v>170</v>
      </c>
      <c r="DM561" t="s">
        <v>169</v>
      </c>
      <c r="DP561" t="s">
        <v>169</v>
      </c>
      <c r="DQ561" t="s">
        <v>198</v>
      </c>
      <c r="DR561" t="s">
        <v>2114</v>
      </c>
      <c r="EB561">
        <v>9</v>
      </c>
      <c r="EC561">
        <v>10</v>
      </c>
      <c r="EE561" t="s">
        <v>2115</v>
      </c>
      <c r="EF561">
        <v>10</v>
      </c>
      <c r="EU561">
        <v>5250</v>
      </c>
      <c r="EW561">
        <v>0</v>
      </c>
      <c r="EX561">
        <v>0</v>
      </c>
      <c r="EY561">
        <v>0</v>
      </c>
      <c r="FA561">
        <v>11.5</v>
      </c>
      <c r="FG561">
        <v>308</v>
      </c>
      <c r="FH561">
        <v>308</v>
      </c>
      <c r="FI561">
        <v>308</v>
      </c>
    </row>
    <row r="562" spans="1:165" x14ac:dyDescent="0.35">
      <c r="A562">
        <v>2025</v>
      </c>
      <c r="B562" t="s">
        <v>279</v>
      </c>
      <c r="C562" t="s">
        <v>279</v>
      </c>
      <c r="D562" t="s">
        <v>2114</v>
      </c>
      <c r="E562" t="s">
        <v>281</v>
      </c>
      <c r="F562">
        <v>910</v>
      </c>
      <c r="G562">
        <v>0</v>
      </c>
      <c r="I562" t="s">
        <v>1734</v>
      </c>
      <c r="J562">
        <v>36</v>
      </c>
      <c r="K562">
        <v>36</v>
      </c>
      <c r="L562">
        <v>36</v>
      </c>
      <c r="M562">
        <v>24.929400000000001</v>
      </c>
      <c r="N562">
        <v>24.948699999999999</v>
      </c>
      <c r="O562">
        <v>24.938099999999999</v>
      </c>
      <c r="P562">
        <v>35.613900000000001</v>
      </c>
      <c r="Q562">
        <v>35.640300000000003</v>
      </c>
      <c r="R562">
        <v>35.625799999999998</v>
      </c>
      <c r="V562" t="s">
        <v>167</v>
      </c>
      <c r="W562" t="s">
        <v>168</v>
      </c>
      <c r="Y562">
        <v>1</v>
      </c>
      <c r="Z562" t="s">
        <v>170</v>
      </c>
      <c r="AA562" t="s">
        <v>170</v>
      </c>
      <c r="AB562" t="s">
        <v>171</v>
      </c>
      <c r="AC562" t="s">
        <v>172</v>
      </c>
      <c r="AF562">
        <v>308</v>
      </c>
      <c r="AG562" t="s">
        <v>1735</v>
      </c>
      <c r="AH562" t="s">
        <v>1736</v>
      </c>
      <c r="AI562" t="s">
        <v>1742</v>
      </c>
      <c r="AJ562" t="s">
        <v>1743</v>
      </c>
      <c r="AK562">
        <v>4</v>
      </c>
      <c r="AL562" t="s">
        <v>1737</v>
      </c>
      <c r="AO562">
        <v>101</v>
      </c>
      <c r="AP562">
        <v>11</v>
      </c>
      <c r="AS562">
        <v>850</v>
      </c>
      <c r="AT562">
        <v>24000</v>
      </c>
      <c r="BQ562">
        <v>5</v>
      </c>
      <c r="BR562" t="s">
        <v>672</v>
      </c>
      <c r="BS562" t="s">
        <v>180</v>
      </c>
      <c r="BT562" t="s">
        <v>1738</v>
      </c>
      <c r="BU562" s="1">
        <v>45536</v>
      </c>
      <c r="BV562">
        <v>35335</v>
      </c>
      <c r="BY562" t="s">
        <v>170</v>
      </c>
      <c r="CB562" t="s">
        <v>170</v>
      </c>
      <c r="CC562" t="s">
        <v>170</v>
      </c>
      <c r="CK562" t="s">
        <v>233</v>
      </c>
      <c r="CM562">
        <v>10</v>
      </c>
      <c r="CN562" t="s">
        <v>234</v>
      </c>
      <c r="CP562">
        <v>330</v>
      </c>
      <c r="CQ562">
        <v>308</v>
      </c>
      <c r="CR562">
        <v>168.6</v>
      </c>
      <c r="CS562" t="s">
        <v>235</v>
      </c>
      <c r="CV562" t="s">
        <v>341</v>
      </c>
      <c r="CX562" t="s">
        <v>342</v>
      </c>
      <c r="CY562" t="s">
        <v>169</v>
      </c>
      <c r="DD562">
        <v>1</v>
      </c>
      <c r="DE562" t="s">
        <v>404</v>
      </c>
      <c r="DF562" t="s">
        <v>2091</v>
      </c>
      <c r="DG562">
        <v>215</v>
      </c>
      <c r="DL562" t="s">
        <v>170</v>
      </c>
      <c r="DM562" t="s">
        <v>169</v>
      </c>
      <c r="DP562" t="s">
        <v>169</v>
      </c>
      <c r="DQ562" t="s">
        <v>198</v>
      </c>
      <c r="DR562" t="s">
        <v>2114</v>
      </c>
      <c r="EB562">
        <v>9</v>
      </c>
      <c r="EC562">
        <v>10</v>
      </c>
      <c r="EE562" t="s">
        <v>2115</v>
      </c>
      <c r="EF562">
        <v>10</v>
      </c>
      <c r="EU562">
        <v>5250</v>
      </c>
      <c r="EW562">
        <v>0</v>
      </c>
      <c r="EX562">
        <v>0</v>
      </c>
      <c r="EY562">
        <v>0</v>
      </c>
      <c r="FA562">
        <v>11.5</v>
      </c>
      <c r="FG562">
        <v>308</v>
      </c>
      <c r="FH562">
        <v>308</v>
      </c>
      <c r="FI562">
        <v>308</v>
      </c>
    </row>
    <row r="563" spans="1:165" x14ac:dyDescent="0.35">
      <c r="A563" s="25"/>
      <c r="B563" s="25"/>
      <c r="C563" s="25"/>
      <c r="D563" s="25"/>
      <c r="E563" s="25"/>
      <c r="F563" s="25" t="str">
        <f>_xlfn.CONCAT($A564," ",$B564," ",$D564)</f>
        <v>2025 Mercedes-Benz EQE 350 4MATIC</v>
      </c>
      <c r="G563" s="25"/>
      <c r="H563" s="25"/>
      <c r="I563" s="25"/>
      <c r="J563" s="25"/>
      <c r="K563" s="25"/>
      <c r="L563" s="25"/>
      <c r="M563" s="25"/>
      <c r="N563" s="25"/>
      <c r="O563" s="25"/>
      <c r="P563" s="25"/>
      <c r="Q563" s="25"/>
      <c r="R563" s="25"/>
      <c r="S563" s="25"/>
      <c r="T563" s="25"/>
      <c r="U563" s="25"/>
      <c r="V563" s="25"/>
      <c r="W563" s="25"/>
      <c r="X563" s="25"/>
      <c r="Y563" s="25"/>
      <c r="Z563" s="25"/>
      <c r="AA563" s="25"/>
      <c r="AB563" s="25"/>
      <c r="AC563" s="25"/>
      <c r="AD563" s="25" t="str">
        <f>_xlfn.CONCAT($A564," ",$B564," ",$D564)</f>
        <v>2025 Mercedes-Benz EQE 350 4MATIC</v>
      </c>
      <c r="AE563" s="25"/>
      <c r="AF563" s="25"/>
      <c r="AG563" s="25"/>
      <c r="AH563" s="25"/>
      <c r="AI563" s="25"/>
      <c r="AJ563" s="25"/>
      <c r="AK563" s="25"/>
      <c r="AL563" s="25"/>
      <c r="AM563" s="25"/>
      <c r="AN563" s="25"/>
      <c r="AO563" s="25"/>
      <c r="AP563" s="25"/>
      <c r="AQ563" s="25"/>
      <c r="AR563" s="25"/>
      <c r="AS563" s="25"/>
      <c r="AT563" s="25"/>
      <c r="AU563" s="25"/>
      <c r="AV563" s="25"/>
      <c r="AW563" s="25"/>
      <c r="AX563" s="25" t="str">
        <f>_xlfn.CONCAT($A564," ",$B564," ",$D564)</f>
        <v>2025 Mercedes-Benz EQE 350 4MATIC</v>
      </c>
      <c r="AY563" s="25"/>
      <c r="AZ563" s="25"/>
      <c r="BA563" s="25"/>
      <c r="BB563" s="25"/>
      <c r="BC563" s="25"/>
      <c r="BD563" s="25"/>
      <c r="BE563" s="25"/>
      <c r="BF563" s="25"/>
      <c r="BG563" s="25"/>
      <c r="BH563" s="25"/>
      <c r="BI563" s="25"/>
      <c r="BJ563" s="25"/>
      <c r="BK563" s="25"/>
      <c r="BL563" s="25"/>
      <c r="BM563" s="25"/>
      <c r="BN563" s="25"/>
      <c r="BO563" s="25"/>
      <c r="BP563" s="25"/>
      <c r="BQ563" s="25"/>
      <c r="BR563" s="25" t="str">
        <f>_xlfn.CONCAT($A564," ",$B564," ",$D564)</f>
        <v>2025 Mercedes-Benz EQE 350 4MATIC</v>
      </c>
      <c r="BS563" s="25"/>
      <c r="BT563" s="25"/>
      <c r="BU563" s="25"/>
      <c r="BV563" s="25"/>
      <c r="BX563" s="25"/>
      <c r="BY563" s="25"/>
      <c r="BZ563" s="25"/>
      <c r="CA563" s="25"/>
      <c r="CB563" s="25"/>
      <c r="CC563" s="25"/>
      <c r="CD563" s="25"/>
      <c r="CE563" s="25"/>
      <c r="CF563" s="25"/>
      <c r="CG563" s="25"/>
      <c r="CH563" s="25"/>
      <c r="CI563" s="25"/>
      <c r="CJ563" s="25"/>
      <c r="CK563" s="25"/>
      <c r="CL563" s="25"/>
      <c r="CM563" s="25"/>
      <c r="CN563" s="25"/>
      <c r="CO563" s="25"/>
      <c r="CP563" s="25" t="str">
        <f>_xlfn.CONCAT($A564," ",$B564," ",$D564)</f>
        <v>2025 Mercedes-Benz EQE 350 4MATIC</v>
      </c>
      <c r="CQ563" s="25"/>
      <c r="CR563" s="25"/>
      <c r="CS563" s="25"/>
      <c r="CT563" s="25"/>
      <c r="CU563" s="25"/>
      <c r="CV563" s="25"/>
      <c r="CW563" s="25"/>
      <c r="CX563" s="25"/>
      <c r="CY563" s="25"/>
      <c r="CZ563" s="25"/>
      <c r="DA563" s="25"/>
      <c r="DB563" s="25"/>
      <c r="DC563" s="25"/>
      <c r="DD563" s="25"/>
      <c r="DE563" s="25"/>
      <c r="DF563" s="25"/>
      <c r="DG563" s="25"/>
      <c r="DH563" s="25"/>
      <c r="DI563" s="25" t="str">
        <f>_xlfn.CONCAT($A564," ",$B564," ",$D564)</f>
        <v>2025 Mercedes-Benz EQE 350 4MATIC</v>
      </c>
      <c r="DJ563" s="25"/>
      <c r="DK563" s="25"/>
      <c r="DL563" s="25"/>
      <c r="DM563" s="25"/>
      <c r="DN563" s="25"/>
      <c r="DO563" s="25"/>
      <c r="DP563" s="25"/>
      <c r="DQ563" s="25"/>
      <c r="DR563" s="25"/>
      <c r="DS563" s="25"/>
      <c r="DT563" s="25"/>
      <c r="DU563" s="25"/>
      <c r="DV563" s="25"/>
      <c r="DW563" s="25"/>
      <c r="DX563" s="25"/>
      <c r="DY563" s="25"/>
      <c r="DZ563" s="25" t="str">
        <f>_xlfn.CONCAT($A564," ",$B564," ",$D564)</f>
        <v>2025 Mercedes-Benz EQE 350 4MATIC</v>
      </c>
      <c r="EB563" s="25"/>
      <c r="EC563" s="25"/>
      <c r="ED563" s="25"/>
      <c r="EE563" s="25"/>
      <c r="EF563" s="25"/>
      <c r="EG563" s="25"/>
      <c r="EH563" s="25"/>
      <c r="EI563" s="25"/>
      <c r="EJ563" s="25"/>
      <c r="EK563" s="25"/>
      <c r="EL563" s="25"/>
      <c r="EM563" s="25"/>
      <c r="EN563" s="25"/>
      <c r="EO563" s="25"/>
      <c r="EP563" s="25"/>
      <c r="EQ563" s="25"/>
      <c r="ER563" s="25"/>
      <c r="ES563" s="25"/>
      <c r="ET563" s="25"/>
      <c r="EU563" s="25"/>
      <c r="EV563" s="25" t="str">
        <f>_xlfn.CONCAT($A564," ",$B564," ",$D564)</f>
        <v>2025 Mercedes-Benz EQE 350 4MATIC</v>
      </c>
      <c r="EW563" s="25"/>
      <c r="EX563" s="25"/>
      <c r="EY563" s="25"/>
      <c r="EZ563" s="25"/>
      <c r="FA563" s="25"/>
      <c r="FB563" s="25"/>
      <c r="FC563" s="25"/>
      <c r="FD563" s="25"/>
      <c r="FE563" s="25"/>
      <c r="FF563" s="25"/>
      <c r="FG563" s="25"/>
    </row>
    <row r="564" spans="1:165" x14ac:dyDescent="0.35">
      <c r="A564">
        <v>2025</v>
      </c>
      <c r="B564" t="s">
        <v>279</v>
      </c>
      <c r="C564" t="s">
        <v>279</v>
      </c>
      <c r="D564" t="s">
        <v>2110</v>
      </c>
      <c r="E564" t="s">
        <v>281</v>
      </c>
      <c r="F564">
        <v>911</v>
      </c>
      <c r="G564">
        <v>0</v>
      </c>
      <c r="I564" t="s">
        <v>1734</v>
      </c>
      <c r="J564">
        <v>87</v>
      </c>
      <c r="K564">
        <v>85</v>
      </c>
      <c r="L564">
        <v>86</v>
      </c>
      <c r="M564">
        <v>126.7</v>
      </c>
      <c r="N564">
        <v>125</v>
      </c>
      <c r="O564">
        <v>125.9293</v>
      </c>
      <c r="P564">
        <v>87</v>
      </c>
      <c r="Q564">
        <v>85</v>
      </c>
      <c r="R564">
        <v>86</v>
      </c>
      <c r="V564" t="s">
        <v>167</v>
      </c>
      <c r="W564" t="s">
        <v>168</v>
      </c>
      <c r="Y564">
        <v>1</v>
      </c>
      <c r="Z564" t="s">
        <v>170</v>
      </c>
      <c r="AA564" t="s">
        <v>170</v>
      </c>
      <c r="AB564" t="s">
        <v>167</v>
      </c>
      <c r="AC564" t="s">
        <v>213</v>
      </c>
      <c r="AF564">
        <v>267</v>
      </c>
      <c r="AG564" t="s">
        <v>1735</v>
      </c>
      <c r="AH564" t="s">
        <v>1736</v>
      </c>
      <c r="AI564" t="s">
        <v>175</v>
      </c>
      <c r="AJ564" t="s">
        <v>176</v>
      </c>
      <c r="AK564">
        <v>4</v>
      </c>
      <c r="AL564" t="s">
        <v>1737</v>
      </c>
      <c r="AO564">
        <v>101</v>
      </c>
      <c r="AP564">
        <v>11</v>
      </c>
      <c r="AS564">
        <v>950</v>
      </c>
      <c r="AT564">
        <v>50</v>
      </c>
      <c r="BQ564">
        <v>5</v>
      </c>
      <c r="BR564" t="s">
        <v>672</v>
      </c>
      <c r="BS564" t="s">
        <v>180</v>
      </c>
      <c r="BT564" t="s">
        <v>1738</v>
      </c>
      <c r="BU564" s="1">
        <v>45497</v>
      </c>
      <c r="BV564">
        <v>35259</v>
      </c>
      <c r="BY564" t="s">
        <v>170</v>
      </c>
      <c r="CB564" t="s">
        <v>170</v>
      </c>
      <c r="CC564" t="s">
        <v>170</v>
      </c>
      <c r="CK564" t="s">
        <v>233</v>
      </c>
      <c r="CM564">
        <v>10</v>
      </c>
      <c r="CN564" t="s">
        <v>234</v>
      </c>
      <c r="CP564">
        <v>328</v>
      </c>
      <c r="CQ564">
        <v>292</v>
      </c>
      <c r="CR564">
        <v>162.6</v>
      </c>
      <c r="CS564" t="s">
        <v>235</v>
      </c>
      <c r="CV564" t="s">
        <v>341</v>
      </c>
      <c r="CX564" t="s">
        <v>342</v>
      </c>
      <c r="CY564" t="s">
        <v>169</v>
      </c>
      <c r="DD564">
        <v>2</v>
      </c>
      <c r="DE564" t="s">
        <v>404</v>
      </c>
      <c r="DF564" t="s">
        <v>2091</v>
      </c>
      <c r="DG564" t="s">
        <v>2111</v>
      </c>
      <c r="DL564" t="s">
        <v>170</v>
      </c>
      <c r="DM564" t="s">
        <v>169</v>
      </c>
      <c r="DP564" t="s">
        <v>169</v>
      </c>
      <c r="DQ564" t="s">
        <v>198</v>
      </c>
      <c r="DR564" t="s">
        <v>2110</v>
      </c>
      <c r="EB564">
        <v>9</v>
      </c>
      <c r="EC564">
        <v>10</v>
      </c>
      <c r="EE564" t="s">
        <v>2112</v>
      </c>
      <c r="EF564">
        <v>10</v>
      </c>
      <c r="EU564">
        <v>4750</v>
      </c>
      <c r="EW564">
        <v>0</v>
      </c>
      <c r="EX564">
        <v>0</v>
      </c>
      <c r="EY564">
        <v>0</v>
      </c>
      <c r="FA564">
        <v>10.75</v>
      </c>
      <c r="FG564">
        <v>266</v>
      </c>
      <c r="FH564">
        <v>269</v>
      </c>
      <c r="FI564">
        <v>267</v>
      </c>
    </row>
    <row r="565" spans="1:165" x14ac:dyDescent="0.35">
      <c r="A565">
        <v>2025</v>
      </c>
      <c r="B565" t="s">
        <v>279</v>
      </c>
      <c r="C565" t="s">
        <v>279</v>
      </c>
      <c r="D565" t="s">
        <v>2110</v>
      </c>
      <c r="E565" t="s">
        <v>281</v>
      </c>
      <c r="F565">
        <v>911</v>
      </c>
      <c r="G565">
        <v>0</v>
      </c>
      <c r="I565" t="s">
        <v>1734</v>
      </c>
      <c r="J565">
        <v>38</v>
      </c>
      <c r="K565">
        <v>39</v>
      </c>
      <c r="L565">
        <v>38</v>
      </c>
      <c r="M565">
        <v>26.6004</v>
      </c>
      <c r="N565">
        <v>26.957999999999998</v>
      </c>
      <c r="O565">
        <v>26.761299999999999</v>
      </c>
      <c r="P565">
        <v>38</v>
      </c>
      <c r="Q565">
        <v>39</v>
      </c>
      <c r="R565">
        <v>38</v>
      </c>
      <c r="V565" t="s">
        <v>167</v>
      </c>
      <c r="W565" t="s">
        <v>168</v>
      </c>
      <c r="Y565">
        <v>1</v>
      </c>
      <c r="Z565" t="s">
        <v>170</v>
      </c>
      <c r="AA565" t="s">
        <v>170</v>
      </c>
      <c r="AB565" t="s">
        <v>167</v>
      </c>
      <c r="AC565" t="s">
        <v>213</v>
      </c>
      <c r="AF565">
        <v>267</v>
      </c>
      <c r="AG565" t="s">
        <v>1735</v>
      </c>
      <c r="AH565" t="s">
        <v>1736</v>
      </c>
      <c r="AI565" t="s">
        <v>1742</v>
      </c>
      <c r="AJ565" t="s">
        <v>1743</v>
      </c>
      <c r="AK565">
        <v>4</v>
      </c>
      <c r="AL565" t="s">
        <v>1737</v>
      </c>
      <c r="AO565">
        <v>101</v>
      </c>
      <c r="AP565">
        <v>11</v>
      </c>
      <c r="AS565">
        <v>950</v>
      </c>
      <c r="AT565">
        <v>950</v>
      </c>
      <c r="BQ565">
        <v>5</v>
      </c>
      <c r="BR565" t="s">
        <v>672</v>
      </c>
      <c r="BS565" t="s">
        <v>180</v>
      </c>
      <c r="BT565" t="s">
        <v>1738</v>
      </c>
      <c r="BU565" s="1">
        <v>45497</v>
      </c>
      <c r="BV565">
        <v>35259</v>
      </c>
      <c r="BY565" t="s">
        <v>170</v>
      </c>
      <c r="CB565" t="s">
        <v>170</v>
      </c>
      <c r="CC565" t="s">
        <v>170</v>
      </c>
      <c r="CK565" t="s">
        <v>233</v>
      </c>
      <c r="CM565">
        <v>10</v>
      </c>
      <c r="CN565" t="s">
        <v>234</v>
      </c>
      <c r="CP565">
        <v>328</v>
      </c>
      <c r="CQ565">
        <v>292</v>
      </c>
      <c r="CR565">
        <v>162.6</v>
      </c>
      <c r="CS565" t="s">
        <v>235</v>
      </c>
      <c r="CV565" t="s">
        <v>341</v>
      </c>
      <c r="CX565" t="s">
        <v>342</v>
      </c>
      <c r="CY565" t="s">
        <v>169</v>
      </c>
      <c r="DD565">
        <v>2</v>
      </c>
      <c r="DE565" t="s">
        <v>404</v>
      </c>
      <c r="DF565" t="s">
        <v>2096</v>
      </c>
      <c r="DG565" t="s">
        <v>2111</v>
      </c>
      <c r="DL565" t="s">
        <v>170</v>
      </c>
      <c r="DM565" t="s">
        <v>169</v>
      </c>
      <c r="DP565" t="s">
        <v>169</v>
      </c>
      <c r="DQ565" t="s">
        <v>198</v>
      </c>
      <c r="DR565" t="s">
        <v>2110</v>
      </c>
      <c r="EB565">
        <v>9</v>
      </c>
      <c r="EC565">
        <v>10</v>
      </c>
      <c r="EE565" t="s">
        <v>2112</v>
      </c>
      <c r="EF565">
        <v>10</v>
      </c>
      <c r="EU565">
        <v>4750</v>
      </c>
      <c r="EW565">
        <v>0</v>
      </c>
      <c r="EX565">
        <v>0</v>
      </c>
      <c r="EY565">
        <v>0</v>
      </c>
      <c r="FA565">
        <v>10.75</v>
      </c>
      <c r="FG565">
        <v>266</v>
      </c>
      <c r="FH565">
        <v>269</v>
      </c>
      <c r="FI565">
        <v>267</v>
      </c>
    </row>
    <row r="566" spans="1:165" x14ac:dyDescent="0.35">
      <c r="A566" s="25"/>
      <c r="B566" s="25"/>
      <c r="C566" s="25"/>
      <c r="D566" s="25"/>
      <c r="E566" s="25"/>
      <c r="F566" s="25" t="str">
        <f>_xlfn.CONCAT($A567," ",$B567," ",$D567)</f>
        <v>2025 Mercedes-Benz EQE 500 4MATIC</v>
      </c>
      <c r="G566" s="25"/>
      <c r="H566" s="25"/>
      <c r="I566" s="25"/>
      <c r="J566" s="25"/>
      <c r="K566" s="25"/>
      <c r="L566" s="25"/>
      <c r="M566" s="25"/>
      <c r="N566" s="25"/>
      <c r="O566" s="25"/>
      <c r="P566" s="25"/>
      <c r="Q566" s="25"/>
      <c r="R566" s="25"/>
      <c r="S566" s="25"/>
      <c r="T566" s="25"/>
      <c r="U566" s="25"/>
      <c r="V566" s="25"/>
      <c r="W566" s="25"/>
      <c r="X566" s="25"/>
      <c r="Y566" s="25"/>
      <c r="Z566" s="25"/>
      <c r="AA566" s="25"/>
      <c r="AB566" s="25"/>
      <c r="AC566" s="25"/>
      <c r="AD566" s="25" t="str">
        <f>_xlfn.CONCAT($A567," ",$B567," ",$D567)</f>
        <v>2025 Mercedes-Benz EQE 500 4MATIC</v>
      </c>
      <c r="AE566" s="25"/>
      <c r="AF566" s="25"/>
      <c r="AG566" s="25"/>
      <c r="AH566" s="25"/>
      <c r="AI566" s="25"/>
      <c r="AJ566" s="25"/>
      <c r="AK566" s="25"/>
      <c r="AL566" s="25"/>
      <c r="AM566" s="25"/>
      <c r="AN566" s="25"/>
      <c r="AO566" s="25"/>
      <c r="AP566" s="25"/>
      <c r="AQ566" s="25"/>
      <c r="AR566" s="25"/>
      <c r="AS566" s="25"/>
      <c r="AT566" s="25"/>
      <c r="AU566" s="25"/>
      <c r="AV566" s="25"/>
      <c r="AW566" s="25"/>
      <c r="AX566" s="25" t="str">
        <f>_xlfn.CONCAT($A567," ",$B567," ",$D567)</f>
        <v>2025 Mercedes-Benz EQE 500 4MATIC</v>
      </c>
      <c r="AY566" s="25"/>
      <c r="AZ566" s="25"/>
      <c r="BA566" s="25"/>
      <c r="BB566" s="25"/>
      <c r="BC566" s="25"/>
      <c r="BD566" s="25"/>
      <c r="BE566" s="25"/>
      <c r="BF566" s="25"/>
      <c r="BG566" s="25"/>
      <c r="BH566" s="25"/>
      <c r="BI566" s="25"/>
      <c r="BJ566" s="25"/>
      <c r="BK566" s="25"/>
      <c r="BL566" s="25"/>
      <c r="BM566" s="25"/>
      <c r="BN566" s="25"/>
      <c r="BO566" s="25"/>
      <c r="BP566" s="25"/>
      <c r="BQ566" s="25"/>
      <c r="BR566" s="25" t="str">
        <f>_xlfn.CONCAT($A567," ",$B567," ",$D567)</f>
        <v>2025 Mercedes-Benz EQE 500 4MATIC</v>
      </c>
      <c r="BS566" s="25"/>
      <c r="BT566" s="25"/>
      <c r="BU566" s="25"/>
      <c r="BV566" s="25"/>
      <c r="BX566" s="25"/>
      <c r="BY566" s="25"/>
      <c r="BZ566" s="25"/>
      <c r="CA566" s="25"/>
      <c r="CB566" s="25"/>
      <c r="CC566" s="25"/>
      <c r="CD566" s="25"/>
      <c r="CE566" s="25"/>
      <c r="CF566" s="25"/>
      <c r="CG566" s="25"/>
      <c r="CH566" s="25"/>
      <c r="CI566" s="25"/>
      <c r="CJ566" s="25"/>
      <c r="CK566" s="25"/>
      <c r="CL566" s="25"/>
      <c r="CM566" s="25"/>
      <c r="CN566" s="25"/>
      <c r="CO566" s="25"/>
      <c r="CP566" s="25" t="str">
        <f>_xlfn.CONCAT($A567," ",$B567," ",$D567)</f>
        <v>2025 Mercedes-Benz EQE 500 4MATIC</v>
      </c>
      <c r="CQ566" s="25"/>
      <c r="CR566" s="25"/>
      <c r="CS566" s="25"/>
      <c r="CT566" s="25"/>
      <c r="CU566" s="25"/>
      <c r="CV566" s="25"/>
      <c r="CW566" s="25"/>
      <c r="CX566" s="25"/>
      <c r="CY566" s="25"/>
      <c r="CZ566" s="25"/>
      <c r="DA566" s="25"/>
      <c r="DB566" s="25"/>
      <c r="DC566" s="25"/>
      <c r="DD566" s="25"/>
      <c r="DE566" s="25"/>
      <c r="DF566" s="25"/>
      <c r="DG566" s="25"/>
      <c r="DH566" s="25"/>
      <c r="DI566" s="25" t="str">
        <f>_xlfn.CONCAT($A567," ",$B567," ",$D567)</f>
        <v>2025 Mercedes-Benz EQE 500 4MATIC</v>
      </c>
      <c r="DJ566" s="25"/>
      <c r="DK566" s="25"/>
      <c r="DL566" s="25"/>
      <c r="DM566" s="25"/>
      <c r="DN566" s="25"/>
      <c r="DO566" s="25"/>
      <c r="DP566" s="25"/>
      <c r="DQ566" s="25"/>
      <c r="DR566" s="25"/>
      <c r="DS566" s="25"/>
      <c r="DT566" s="25"/>
      <c r="DU566" s="25"/>
      <c r="DV566" s="25"/>
      <c r="DW566" s="25"/>
      <c r="DX566" s="25"/>
      <c r="DY566" s="25"/>
      <c r="DZ566" s="25" t="str">
        <f>_xlfn.CONCAT($A567," ",$B567," ",$D567)</f>
        <v>2025 Mercedes-Benz EQE 500 4MATIC</v>
      </c>
      <c r="EB566" s="25"/>
      <c r="EC566" s="25"/>
      <c r="ED566" s="25"/>
      <c r="EE566" s="25"/>
      <c r="EF566" s="25"/>
      <c r="EG566" s="25"/>
      <c r="EH566" s="25"/>
      <c r="EI566" s="25"/>
      <c r="EJ566" s="25"/>
      <c r="EK566" s="25"/>
      <c r="EL566" s="25"/>
      <c r="EM566" s="25"/>
      <c r="EN566" s="25"/>
      <c r="EO566" s="25"/>
      <c r="EP566" s="25"/>
      <c r="EQ566" s="25"/>
      <c r="ER566" s="25"/>
      <c r="ES566" s="25"/>
      <c r="ET566" s="25"/>
      <c r="EU566" s="25"/>
      <c r="EV566" s="25" t="str">
        <f>_xlfn.CONCAT($A567," ",$B567," ",$D567)</f>
        <v>2025 Mercedes-Benz EQE 500 4MATIC</v>
      </c>
      <c r="EW566" s="25"/>
      <c r="EX566" s="25"/>
      <c r="EY566" s="25"/>
      <c r="EZ566" s="25"/>
      <c r="FA566" s="25"/>
      <c r="FB566" s="25"/>
      <c r="FC566" s="25"/>
      <c r="FD566" s="25"/>
      <c r="FE566" s="25"/>
      <c r="FF566" s="25"/>
      <c r="FG566" s="25"/>
    </row>
    <row r="567" spans="1:165" x14ac:dyDescent="0.35">
      <c r="A567">
        <v>2025</v>
      </c>
      <c r="B567" t="s">
        <v>279</v>
      </c>
      <c r="C567" t="s">
        <v>279</v>
      </c>
      <c r="D567" t="s">
        <v>2117</v>
      </c>
      <c r="E567" t="s">
        <v>281</v>
      </c>
      <c r="F567">
        <v>914</v>
      </c>
      <c r="G567">
        <v>0</v>
      </c>
      <c r="I567" t="s">
        <v>1734</v>
      </c>
      <c r="J567">
        <v>85</v>
      </c>
      <c r="K567">
        <v>84</v>
      </c>
      <c r="L567">
        <v>85</v>
      </c>
      <c r="M567">
        <v>125.6</v>
      </c>
      <c r="N567">
        <v>124.2</v>
      </c>
      <c r="O567">
        <v>124.9661</v>
      </c>
      <c r="P567">
        <v>85</v>
      </c>
      <c r="Q567">
        <v>84</v>
      </c>
      <c r="R567">
        <v>85</v>
      </c>
      <c r="V567" t="s">
        <v>167</v>
      </c>
      <c r="W567" t="s">
        <v>168</v>
      </c>
      <c r="Y567">
        <v>1</v>
      </c>
      <c r="Z567" t="s">
        <v>170</v>
      </c>
      <c r="AA567" t="s">
        <v>170</v>
      </c>
      <c r="AB567" t="s">
        <v>167</v>
      </c>
      <c r="AC567" t="s">
        <v>213</v>
      </c>
      <c r="AF567">
        <v>266</v>
      </c>
      <c r="AG567" t="s">
        <v>1735</v>
      </c>
      <c r="AH567" t="s">
        <v>1736</v>
      </c>
      <c r="AI567" t="s">
        <v>175</v>
      </c>
      <c r="AJ567" t="s">
        <v>176</v>
      </c>
      <c r="AK567">
        <v>4</v>
      </c>
      <c r="AL567" t="s">
        <v>1737</v>
      </c>
      <c r="AO567">
        <v>101</v>
      </c>
      <c r="AP567">
        <v>11</v>
      </c>
      <c r="AS567">
        <v>950</v>
      </c>
      <c r="AT567">
        <v>50</v>
      </c>
      <c r="BQ567">
        <v>5</v>
      </c>
      <c r="BR567" t="s">
        <v>672</v>
      </c>
      <c r="BS567" t="s">
        <v>180</v>
      </c>
      <c r="BT567" t="s">
        <v>1738</v>
      </c>
      <c r="BU567" s="1">
        <v>45497</v>
      </c>
      <c r="BV567">
        <v>35261</v>
      </c>
      <c r="BY567" t="s">
        <v>170</v>
      </c>
      <c r="CB567" t="s">
        <v>170</v>
      </c>
      <c r="CC567" t="s">
        <v>170</v>
      </c>
      <c r="CK567" t="s">
        <v>233</v>
      </c>
      <c r="CM567">
        <v>10</v>
      </c>
      <c r="CN567" t="s">
        <v>234</v>
      </c>
      <c r="CP567">
        <v>328</v>
      </c>
      <c r="CQ567">
        <v>292</v>
      </c>
      <c r="CR567">
        <v>162.6</v>
      </c>
      <c r="CS567" t="s">
        <v>235</v>
      </c>
      <c r="CV567" t="s">
        <v>341</v>
      </c>
      <c r="CX567" t="s">
        <v>342</v>
      </c>
      <c r="CY567" t="s">
        <v>169</v>
      </c>
      <c r="DD567">
        <v>2</v>
      </c>
      <c r="DE567" t="s">
        <v>404</v>
      </c>
      <c r="DF567" t="s">
        <v>2091</v>
      </c>
      <c r="DG567" t="s">
        <v>2111</v>
      </c>
      <c r="DL567" t="s">
        <v>170</v>
      </c>
      <c r="DM567" t="s">
        <v>169</v>
      </c>
      <c r="DP567" t="s">
        <v>169</v>
      </c>
      <c r="DQ567" t="s">
        <v>198</v>
      </c>
      <c r="DR567" t="s">
        <v>2117</v>
      </c>
      <c r="EB567">
        <v>9</v>
      </c>
      <c r="EC567">
        <v>10</v>
      </c>
      <c r="EE567" t="s">
        <v>2112</v>
      </c>
      <c r="EF567">
        <v>10</v>
      </c>
      <c r="EU567">
        <v>4750</v>
      </c>
      <c r="EW567">
        <v>0</v>
      </c>
      <c r="EX567">
        <v>0</v>
      </c>
      <c r="EY567">
        <v>0</v>
      </c>
      <c r="FA567">
        <v>11.5</v>
      </c>
      <c r="FG567">
        <v>269</v>
      </c>
      <c r="FH567">
        <v>262</v>
      </c>
      <c r="FI567">
        <v>266</v>
      </c>
    </row>
    <row r="568" spans="1:165" x14ac:dyDescent="0.35">
      <c r="A568">
        <v>2025</v>
      </c>
      <c r="B568" t="s">
        <v>279</v>
      </c>
      <c r="C568" t="s">
        <v>279</v>
      </c>
      <c r="D568" t="s">
        <v>2117</v>
      </c>
      <c r="E568" t="s">
        <v>281</v>
      </c>
      <c r="F568">
        <v>914</v>
      </c>
      <c r="G568">
        <v>0</v>
      </c>
      <c r="I568" t="s">
        <v>1734</v>
      </c>
      <c r="J568">
        <v>38</v>
      </c>
      <c r="K568">
        <v>39</v>
      </c>
      <c r="L568">
        <v>39</v>
      </c>
      <c r="M568">
        <v>26.834599999999998</v>
      </c>
      <c r="N568">
        <v>27.134899999999998</v>
      </c>
      <c r="O568">
        <v>26.9697</v>
      </c>
      <c r="P568">
        <v>38</v>
      </c>
      <c r="Q568">
        <v>39</v>
      </c>
      <c r="R568">
        <v>39</v>
      </c>
      <c r="V568" t="s">
        <v>167</v>
      </c>
      <c r="W568" t="s">
        <v>168</v>
      </c>
      <c r="Y568">
        <v>1</v>
      </c>
      <c r="Z568" t="s">
        <v>170</v>
      </c>
      <c r="AA568" t="s">
        <v>170</v>
      </c>
      <c r="AB568" t="s">
        <v>167</v>
      </c>
      <c r="AC568" t="s">
        <v>213</v>
      </c>
      <c r="AF568">
        <v>266</v>
      </c>
      <c r="AG568" t="s">
        <v>1735</v>
      </c>
      <c r="AH568" t="s">
        <v>1736</v>
      </c>
      <c r="AI568" t="s">
        <v>1742</v>
      </c>
      <c r="AJ568" t="s">
        <v>1743</v>
      </c>
      <c r="AK568">
        <v>4</v>
      </c>
      <c r="AL568" t="s">
        <v>1737</v>
      </c>
      <c r="AO568">
        <v>101</v>
      </c>
      <c r="AP568">
        <v>11</v>
      </c>
      <c r="AS568">
        <v>950</v>
      </c>
      <c r="AT568">
        <v>950</v>
      </c>
      <c r="BQ568">
        <v>5</v>
      </c>
      <c r="BR568" t="s">
        <v>672</v>
      </c>
      <c r="BS568" t="s">
        <v>180</v>
      </c>
      <c r="BT568" t="s">
        <v>1738</v>
      </c>
      <c r="BU568" s="1">
        <v>45497</v>
      </c>
      <c r="BV568">
        <v>35261</v>
      </c>
      <c r="BY568" t="s">
        <v>170</v>
      </c>
      <c r="CB568" t="s">
        <v>170</v>
      </c>
      <c r="CC568" t="s">
        <v>170</v>
      </c>
      <c r="CK568" t="s">
        <v>233</v>
      </c>
      <c r="CM568">
        <v>10</v>
      </c>
      <c r="CN568" t="s">
        <v>234</v>
      </c>
      <c r="CP568">
        <v>328</v>
      </c>
      <c r="CQ568">
        <v>292</v>
      </c>
      <c r="CR568">
        <v>162.6</v>
      </c>
      <c r="CS568" t="s">
        <v>235</v>
      </c>
      <c r="CV568" t="s">
        <v>341</v>
      </c>
      <c r="CX568" t="s">
        <v>342</v>
      </c>
      <c r="CY568" t="s">
        <v>169</v>
      </c>
      <c r="DD568">
        <v>2</v>
      </c>
      <c r="DE568" t="s">
        <v>404</v>
      </c>
      <c r="DF568" t="s">
        <v>2091</v>
      </c>
      <c r="DG568" t="s">
        <v>2111</v>
      </c>
      <c r="DL568" t="s">
        <v>170</v>
      </c>
      <c r="DM568" t="s">
        <v>169</v>
      </c>
      <c r="DP568" t="s">
        <v>169</v>
      </c>
      <c r="DQ568" t="s">
        <v>198</v>
      </c>
      <c r="DR568" t="s">
        <v>2117</v>
      </c>
      <c r="EB568">
        <v>9</v>
      </c>
      <c r="EC568">
        <v>10</v>
      </c>
      <c r="EE568" t="s">
        <v>2112</v>
      </c>
      <c r="EF568">
        <v>10</v>
      </c>
      <c r="EU568">
        <v>4750</v>
      </c>
      <c r="EW568">
        <v>0</v>
      </c>
      <c r="EX568">
        <v>0</v>
      </c>
      <c r="EY568">
        <v>0</v>
      </c>
      <c r="FA568">
        <v>11.5</v>
      </c>
      <c r="FG568">
        <v>269</v>
      </c>
      <c r="FH568">
        <v>262</v>
      </c>
      <c r="FI568">
        <v>266</v>
      </c>
    </row>
    <row r="569" spans="1:165" x14ac:dyDescent="0.35">
      <c r="A569" s="25"/>
      <c r="B569" s="25"/>
      <c r="C569" s="25"/>
      <c r="D569" s="25"/>
      <c r="E569" s="25"/>
      <c r="F569" s="25" t="str">
        <f>_xlfn.CONCAT($A570," ",$B570," ",$D570)</f>
        <v>2025 Mercedes-Benz EQE 350+ (SUV)</v>
      </c>
      <c r="G569" s="25"/>
      <c r="H569" s="25"/>
      <c r="I569" s="25"/>
      <c r="J569" s="25"/>
      <c r="K569" s="25"/>
      <c r="L569" s="25"/>
      <c r="M569" s="25"/>
      <c r="N569" s="25"/>
      <c r="O569" s="25"/>
      <c r="P569" s="25"/>
      <c r="Q569" s="25"/>
      <c r="R569" s="25"/>
      <c r="S569" s="25"/>
      <c r="T569" s="25"/>
      <c r="U569" s="25"/>
      <c r="V569" s="25"/>
      <c r="W569" s="25"/>
      <c r="X569" s="25"/>
      <c r="Y569" s="25"/>
      <c r="Z569" s="25"/>
      <c r="AA569" s="25"/>
      <c r="AB569" s="25"/>
      <c r="AC569" s="25"/>
      <c r="AD569" s="25" t="str">
        <f>_xlfn.CONCAT($A570," ",$B570," ",$D570)</f>
        <v>2025 Mercedes-Benz EQE 350+ (SUV)</v>
      </c>
      <c r="AE569" s="25"/>
      <c r="AF569" s="25"/>
      <c r="AG569" s="25"/>
      <c r="AH569" s="25"/>
      <c r="AI569" s="25"/>
      <c r="AJ569" s="25"/>
      <c r="AK569" s="25"/>
      <c r="AL569" s="25"/>
      <c r="AM569" s="25"/>
      <c r="AN569" s="25"/>
      <c r="AO569" s="25"/>
      <c r="AP569" s="25"/>
      <c r="AQ569" s="25"/>
      <c r="AR569" s="25"/>
      <c r="AS569" s="25"/>
      <c r="AT569" s="25"/>
      <c r="AU569" s="25"/>
      <c r="AV569" s="25"/>
      <c r="AW569" s="25"/>
      <c r="AX569" s="25" t="str">
        <f>_xlfn.CONCAT($A570," ",$B570," ",$D570)</f>
        <v>2025 Mercedes-Benz EQE 350+ (SUV)</v>
      </c>
      <c r="AY569" s="25"/>
      <c r="AZ569" s="25"/>
      <c r="BA569" s="25"/>
      <c r="BB569" s="25"/>
      <c r="BC569" s="25"/>
      <c r="BD569" s="25"/>
      <c r="BE569" s="25"/>
      <c r="BF569" s="25"/>
      <c r="BG569" s="25"/>
      <c r="BH569" s="25"/>
      <c r="BI569" s="25"/>
      <c r="BJ569" s="25"/>
      <c r="BK569" s="25"/>
      <c r="BL569" s="25"/>
      <c r="BM569" s="25"/>
      <c r="BN569" s="25"/>
      <c r="BO569" s="25"/>
      <c r="BP569" s="25"/>
      <c r="BQ569" s="25"/>
      <c r="BR569" s="25" t="str">
        <f>_xlfn.CONCAT($A570," ",$B570," ",$D570)</f>
        <v>2025 Mercedes-Benz EQE 350+ (SUV)</v>
      </c>
      <c r="BS569" s="25"/>
      <c r="BT569" s="25"/>
      <c r="BU569" s="25"/>
      <c r="BV569" s="25"/>
      <c r="BX569" s="25"/>
      <c r="BY569" s="25"/>
      <c r="BZ569" s="25"/>
      <c r="CA569" s="25"/>
      <c r="CB569" s="25"/>
      <c r="CC569" s="25"/>
      <c r="CD569" s="25"/>
      <c r="CE569" s="25"/>
      <c r="CF569" s="25"/>
      <c r="CG569" s="25"/>
      <c r="CH569" s="25"/>
      <c r="CI569" s="25"/>
      <c r="CJ569" s="25"/>
      <c r="CK569" s="25"/>
      <c r="CL569" s="25"/>
      <c r="CM569" s="25"/>
      <c r="CN569" s="25"/>
      <c r="CO569" s="25"/>
      <c r="CP569" s="25" t="str">
        <f>_xlfn.CONCAT($A570," ",$B570," ",$D570)</f>
        <v>2025 Mercedes-Benz EQE 350+ (SUV)</v>
      </c>
      <c r="CQ569" s="25"/>
      <c r="CR569" s="25"/>
      <c r="CS569" s="25"/>
      <c r="CT569" s="25"/>
      <c r="CU569" s="25"/>
      <c r="CV569" s="25"/>
      <c r="CW569" s="25"/>
      <c r="CX569" s="25"/>
      <c r="CY569" s="25"/>
      <c r="CZ569" s="25"/>
      <c r="DA569" s="25"/>
      <c r="DB569" s="25"/>
      <c r="DC569" s="25"/>
      <c r="DD569" s="25"/>
      <c r="DE569" s="25"/>
      <c r="DF569" s="25"/>
      <c r="DG569" s="25"/>
      <c r="DH569" s="25"/>
      <c r="DI569" s="25" t="str">
        <f>_xlfn.CONCAT($A570," ",$B570," ",$D570)</f>
        <v>2025 Mercedes-Benz EQE 350+ (SUV)</v>
      </c>
      <c r="DJ569" s="25"/>
      <c r="DK569" s="25"/>
      <c r="DL569" s="25"/>
      <c r="DM569" s="25"/>
      <c r="DN569" s="25"/>
      <c r="DO569" s="25"/>
      <c r="DP569" s="25"/>
      <c r="DQ569" s="25"/>
      <c r="DR569" s="25"/>
      <c r="DS569" s="25"/>
      <c r="DT569" s="25"/>
      <c r="DU569" s="25"/>
      <c r="DV569" s="25"/>
      <c r="DW569" s="25"/>
      <c r="DX569" s="25"/>
      <c r="DY569" s="25"/>
      <c r="DZ569" s="25" t="str">
        <f>_xlfn.CONCAT($A570," ",$B570," ",$D570)</f>
        <v>2025 Mercedes-Benz EQE 350+ (SUV)</v>
      </c>
      <c r="EB569" s="25"/>
      <c r="EC569" s="25"/>
      <c r="ED569" s="25"/>
      <c r="EE569" s="25"/>
      <c r="EF569" s="25"/>
      <c r="EG569" s="25"/>
      <c r="EH569" s="25"/>
      <c r="EI569" s="25"/>
      <c r="EJ569" s="25"/>
      <c r="EK569" s="25"/>
      <c r="EL569" s="25"/>
      <c r="EM569" s="25"/>
      <c r="EN569" s="25"/>
      <c r="EO569" s="25"/>
      <c r="EP569" s="25"/>
      <c r="EQ569" s="25"/>
      <c r="ER569" s="25"/>
      <c r="ES569" s="25"/>
      <c r="ET569" s="25"/>
      <c r="EU569" s="25"/>
      <c r="EV569" s="25" t="str">
        <f>_xlfn.CONCAT($A570," ",$B570," ",$D570)</f>
        <v>2025 Mercedes-Benz EQE 350+ (SUV)</v>
      </c>
      <c r="EW569" s="25"/>
      <c r="EX569" s="25"/>
      <c r="EY569" s="25"/>
      <c r="EZ569" s="25"/>
      <c r="FA569" s="25"/>
      <c r="FB569" s="25"/>
      <c r="FC569" s="25"/>
      <c r="FD569" s="25"/>
      <c r="FE569" s="25"/>
      <c r="FF569" s="25"/>
      <c r="FG569" s="25"/>
    </row>
    <row r="570" spans="1:165" x14ac:dyDescent="0.35">
      <c r="A570">
        <v>2025</v>
      </c>
      <c r="B570" t="s">
        <v>279</v>
      </c>
      <c r="C570" t="s">
        <v>279</v>
      </c>
      <c r="D570" t="s">
        <v>2116</v>
      </c>
      <c r="E570" t="s">
        <v>281</v>
      </c>
      <c r="F570">
        <v>915</v>
      </c>
      <c r="G570">
        <v>0</v>
      </c>
      <c r="I570" t="s">
        <v>1734</v>
      </c>
      <c r="J570">
        <v>98</v>
      </c>
      <c r="K570">
        <v>87</v>
      </c>
      <c r="L570">
        <v>93</v>
      </c>
      <c r="M570">
        <v>141.19999999999999</v>
      </c>
      <c r="N570">
        <v>125.1</v>
      </c>
      <c r="O570">
        <v>133.47020000000001</v>
      </c>
      <c r="P570">
        <v>98</v>
      </c>
      <c r="Q570">
        <v>87</v>
      </c>
      <c r="R570">
        <v>93.429100000000005</v>
      </c>
      <c r="V570" t="s">
        <v>167</v>
      </c>
      <c r="W570" t="s">
        <v>168</v>
      </c>
      <c r="Y570">
        <v>1</v>
      </c>
      <c r="Z570" t="s">
        <v>170</v>
      </c>
      <c r="AA570" t="s">
        <v>170</v>
      </c>
      <c r="AB570" t="s">
        <v>171</v>
      </c>
      <c r="AC570" t="s">
        <v>172</v>
      </c>
      <c r="AF570">
        <v>302</v>
      </c>
      <c r="AG570" t="s">
        <v>1735</v>
      </c>
      <c r="AH570" t="s">
        <v>1736</v>
      </c>
      <c r="AI570" t="s">
        <v>175</v>
      </c>
      <c r="AJ570" t="s">
        <v>176</v>
      </c>
      <c r="AK570">
        <v>4</v>
      </c>
      <c r="AL570" t="s">
        <v>1737</v>
      </c>
      <c r="AO570">
        <v>107</v>
      </c>
      <c r="AP570">
        <v>23</v>
      </c>
      <c r="AS570">
        <v>850</v>
      </c>
      <c r="AT570">
        <v>50</v>
      </c>
      <c r="BQ570">
        <v>8</v>
      </c>
      <c r="BR570" t="s">
        <v>933</v>
      </c>
      <c r="BS570" t="s">
        <v>180</v>
      </c>
      <c r="BT570" t="s">
        <v>1738</v>
      </c>
      <c r="BU570" s="1">
        <v>45498</v>
      </c>
      <c r="BV570">
        <v>35279</v>
      </c>
      <c r="BY570" t="s">
        <v>170</v>
      </c>
      <c r="CB570" t="s">
        <v>170</v>
      </c>
      <c r="CC570" t="s">
        <v>170</v>
      </c>
      <c r="CK570" t="s">
        <v>233</v>
      </c>
      <c r="CM570">
        <v>10</v>
      </c>
      <c r="CN570" t="s">
        <v>234</v>
      </c>
      <c r="CP570">
        <v>330</v>
      </c>
      <c r="CQ570">
        <v>308</v>
      </c>
      <c r="CR570">
        <v>168.6</v>
      </c>
      <c r="CS570" t="s">
        <v>235</v>
      </c>
      <c r="CV570" t="s">
        <v>341</v>
      </c>
      <c r="CX570" t="s">
        <v>342</v>
      </c>
      <c r="CY570" t="s">
        <v>169</v>
      </c>
      <c r="DD570">
        <v>1</v>
      </c>
      <c r="DE570" t="s">
        <v>404</v>
      </c>
      <c r="DF570" t="s">
        <v>2091</v>
      </c>
      <c r="DG570">
        <v>215</v>
      </c>
      <c r="DL570" t="s">
        <v>170</v>
      </c>
      <c r="DM570" t="s">
        <v>169</v>
      </c>
      <c r="DP570" t="s">
        <v>169</v>
      </c>
      <c r="DQ570" t="s">
        <v>198</v>
      </c>
      <c r="DR570" t="s">
        <v>2116</v>
      </c>
      <c r="EB570">
        <v>9</v>
      </c>
      <c r="EC570">
        <v>10</v>
      </c>
      <c r="EE570" t="s">
        <v>2115</v>
      </c>
      <c r="EF570">
        <v>10</v>
      </c>
      <c r="EU570">
        <v>5250</v>
      </c>
      <c r="EW570">
        <v>0</v>
      </c>
      <c r="EX570">
        <v>0</v>
      </c>
      <c r="EY570">
        <v>0</v>
      </c>
      <c r="FA570">
        <v>11.5</v>
      </c>
      <c r="FG570">
        <v>320</v>
      </c>
      <c r="FH570">
        <v>280</v>
      </c>
      <c r="FI570">
        <v>302</v>
      </c>
    </row>
    <row r="571" spans="1:165" x14ac:dyDescent="0.35">
      <c r="A571">
        <v>2025</v>
      </c>
      <c r="B571" t="s">
        <v>279</v>
      </c>
      <c r="C571" t="s">
        <v>279</v>
      </c>
      <c r="D571" t="s">
        <v>2116</v>
      </c>
      <c r="E571" t="s">
        <v>281</v>
      </c>
      <c r="F571">
        <v>915</v>
      </c>
      <c r="G571">
        <v>0</v>
      </c>
      <c r="I571" t="s">
        <v>1734</v>
      </c>
      <c r="J571">
        <v>34</v>
      </c>
      <c r="K571">
        <v>38</v>
      </c>
      <c r="L571">
        <v>36</v>
      </c>
      <c r="M571">
        <v>23.876899999999999</v>
      </c>
      <c r="N571">
        <v>26.947700000000001</v>
      </c>
      <c r="O571">
        <v>25.258700000000001</v>
      </c>
      <c r="P571">
        <v>34</v>
      </c>
      <c r="Q571">
        <v>38</v>
      </c>
      <c r="R571">
        <v>36</v>
      </c>
      <c r="V571" t="s">
        <v>167</v>
      </c>
      <c r="W571" t="s">
        <v>168</v>
      </c>
      <c r="Y571">
        <v>1</v>
      </c>
      <c r="Z571" t="s">
        <v>170</v>
      </c>
      <c r="AA571" t="s">
        <v>170</v>
      </c>
      <c r="AB571" t="s">
        <v>171</v>
      </c>
      <c r="AC571" t="s">
        <v>172</v>
      </c>
      <c r="AF571">
        <v>302</v>
      </c>
      <c r="AG571" t="s">
        <v>1735</v>
      </c>
      <c r="AH571" t="s">
        <v>1736</v>
      </c>
      <c r="AI571" t="s">
        <v>1742</v>
      </c>
      <c r="AJ571" t="s">
        <v>1743</v>
      </c>
      <c r="AK571">
        <v>4</v>
      </c>
      <c r="AL571" t="s">
        <v>1737</v>
      </c>
      <c r="AO571">
        <v>107</v>
      </c>
      <c r="AP571">
        <v>23</v>
      </c>
      <c r="AS571">
        <v>850</v>
      </c>
      <c r="AT571">
        <v>850</v>
      </c>
      <c r="BQ571">
        <v>8</v>
      </c>
      <c r="BR571" t="s">
        <v>933</v>
      </c>
      <c r="BS571" t="s">
        <v>180</v>
      </c>
      <c r="BT571" t="s">
        <v>1738</v>
      </c>
      <c r="BU571" s="1">
        <v>45498</v>
      </c>
      <c r="BV571">
        <v>35279</v>
      </c>
      <c r="BY571" t="s">
        <v>170</v>
      </c>
      <c r="CB571" t="s">
        <v>170</v>
      </c>
      <c r="CC571" t="s">
        <v>170</v>
      </c>
      <c r="CK571" t="s">
        <v>233</v>
      </c>
      <c r="CM571">
        <v>10</v>
      </c>
      <c r="CN571" t="s">
        <v>234</v>
      </c>
      <c r="CP571">
        <v>330</v>
      </c>
      <c r="CQ571">
        <v>308</v>
      </c>
      <c r="CR571">
        <v>168.6</v>
      </c>
      <c r="CS571" t="s">
        <v>235</v>
      </c>
      <c r="CV571" t="s">
        <v>341</v>
      </c>
      <c r="CX571" t="s">
        <v>342</v>
      </c>
      <c r="CY571" t="s">
        <v>169</v>
      </c>
      <c r="DD571">
        <v>1</v>
      </c>
      <c r="DE571" t="s">
        <v>404</v>
      </c>
      <c r="DF571" t="s">
        <v>2091</v>
      </c>
      <c r="DG571">
        <v>215</v>
      </c>
      <c r="DL571" t="s">
        <v>170</v>
      </c>
      <c r="DM571" t="s">
        <v>169</v>
      </c>
      <c r="DP571" t="s">
        <v>169</v>
      </c>
      <c r="DQ571" t="s">
        <v>198</v>
      </c>
      <c r="DR571" t="s">
        <v>2116</v>
      </c>
      <c r="EB571">
        <v>9</v>
      </c>
      <c r="EC571">
        <v>10</v>
      </c>
      <c r="EE571" t="s">
        <v>2115</v>
      </c>
      <c r="EF571">
        <v>10</v>
      </c>
      <c r="EU571">
        <v>5250</v>
      </c>
      <c r="EW571">
        <v>0</v>
      </c>
      <c r="EX571">
        <v>0</v>
      </c>
      <c r="EY571">
        <v>0</v>
      </c>
      <c r="FA571">
        <v>11.5</v>
      </c>
      <c r="FG571">
        <v>320</v>
      </c>
      <c r="FH571">
        <v>280</v>
      </c>
      <c r="FI571">
        <v>302</v>
      </c>
    </row>
    <row r="572" spans="1:165" x14ac:dyDescent="0.35">
      <c r="A572" s="25"/>
      <c r="B572" s="25"/>
      <c r="C572" s="25"/>
      <c r="D572" s="25"/>
      <c r="E572" s="25"/>
      <c r="F572" s="25" t="str">
        <f>_xlfn.CONCAT($A573," ",$B573," ",$D573)</f>
        <v>2025 Mercedes-Benz EQE 350 4MATIC (SUV)</v>
      </c>
      <c r="G572" s="25"/>
      <c r="H572" s="25"/>
      <c r="I572" s="25"/>
      <c r="J572" s="25"/>
      <c r="K572" s="25"/>
      <c r="L572" s="25"/>
      <c r="M572" s="25"/>
      <c r="N572" s="25"/>
      <c r="O572" s="25"/>
      <c r="P572" s="25"/>
      <c r="Q572" s="25"/>
      <c r="R572" s="25"/>
      <c r="S572" s="25"/>
      <c r="T572" s="25"/>
      <c r="U572" s="25"/>
      <c r="V572" s="25"/>
      <c r="W572" s="25"/>
      <c r="X572" s="25"/>
      <c r="Y572" s="25"/>
      <c r="Z572" s="25"/>
      <c r="AA572" s="25"/>
      <c r="AB572" s="25"/>
      <c r="AC572" s="25"/>
      <c r="AD572" s="25" t="str">
        <f>_xlfn.CONCAT($A573," ",$B573," ",$D573)</f>
        <v>2025 Mercedes-Benz EQE 350 4MATIC (SUV)</v>
      </c>
      <c r="AE572" s="25"/>
      <c r="AF572" s="25"/>
      <c r="AG572" s="25"/>
      <c r="AH572" s="25"/>
      <c r="AI572" s="25"/>
      <c r="AJ572" s="25"/>
      <c r="AK572" s="25"/>
      <c r="AL572" s="25"/>
      <c r="AM572" s="25"/>
      <c r="AN572" s="25"/>
      <c r="AO572" s="25"/>
      <c r="AP572" s="25"/>
      <c r="AQ572" s="25"/>
      <c r="AR572" s="25"/>
      <c r="AS572" s="25"/>
      <c r="AT572" s="25"/>
      <c r="AU572" s="25"/>
      <c r="AV572" s="25"/>
      <c r="AW572" s="25"/>
      <c r="AX572" s="25" t="str">
        <f>_xlfn.CONCAT($A573," ",$B573," ",$D573)</f>
        <v>2025 Mercedes-Benz EQE 350 4MATIC (SUV)</v>
      </c>
      <c r="AY572" s="25"/>
      <c r="AZ572" s="25"/>
      <c r="BA572" s="25"/>
      <c r="BB572" s="25"/>
      <c r="BC572" s="25"/>
      <c r="BD572" s="25"/>
      <c r="BE572" s="25"/>
      <c r="BF572" s="25"/>
      <c r="BG572" s="25"/>
      <c r="BH572" s="25"/>
      <c r="BI572" s="25"/>
      <c r="BJ572" s="25"/>
      <c r="BK572" s="25"/>
      <c r="BL572" s="25"/>
      <c r="BM572" s="25"/>
      <c r="BN572" s="25"/>
      <c r="BO572" s="25"/>
      <c r="BP572" s="25"/>
      <c r="BQ572" s="25"/>
      <c r="BR572" s="25" t="str">
        <f>_xlfn.CONCAT($A573," ",$B573," ",$D573)</f>
        <v>2025 Mercedes-Benz EQE 350 4MATIC (SUV)</v>
      </c>
      <c r="BS572" s="25"/>
      <c r="BT572" s="25"/>
      <c r="BU572" s="25"/>
      <c r="BV572" s="25"/>
      <c r="BX572" s="25"/>
      <c r="BY572" s="25"/>
      <c r="BZ572" s="25"/>
      <c r="CA572" s="25"/>
      <c r="CB572" s="25"/>
      <c r="CC572" s="25"/>
      <c r="CD572" s="25"/>
      <c r="CE572" s="25"/>
      <c r="CF572" s="25"/>
      <c r="CG572" s="25"/>
      <c r="CH572" s="25"/>
      <c r="CI572" s="25"/>
      <c r="CJ572" s="25"/>
      <c r="CK572" s="25"/>
      <c r="CL572" s="25"/>
      <c r="CM572" s="25"/>
      <c r="CN572" s="25"/>
      <c r="CO572" s="25"/>
      <c r="CP572" s="25" t="str">
        <f>_xlfn.CONCAT($A573," ",$B573," ",$D573)</f>
        <v>2025 Mercedes-Benz EQE 350 4MATIC (SUV)</v>
      </c>
      <c r="CQ572" s="25"/>
      <c r="CR572" s="25"/>
      <c r="CS572" s="25"/>
      <c r="CT572" s="25"/>
      <c r="CU572" s="25"/>
      <c r="CV572" s="25"/>
      <c r="CW572" s="25"/>
      <c r="CX572" s="25"/>
      <c r="CY572" s="25"/>
      <c r="CZ572" s="25"/>
      <c r="DA572" s="25"/>
      <c r="DB572" s="25"/>
      <c r="DC572" s="25"/>
      <c r="DD572" s="25"/>
      <c r="DE572" s="25"/>
      <c r="DF572" s="25"/>
      <c r="DG572" s="25"/>
      <c r="DH572" s="25"/>
      <c r="DI572" s="25" t="str">
        <f>_xlfn.CONCAT($A573," ",$B573," ",$D573)</f>
        <v>2025 Mercedes-Benz EQE 350 4MATIC (SUV)</v>
      </c>
      <c r="DJ572" s="25"/>
      <c r="DK572" s="25"/>
      <c r="DL572" s="25"/>
      <c r="DM572" s="25"/>
      <c r="DN572" s="25"/>
      <c r="DO572" s="25"/>
      <c r="DP572" s="25"/>
      <c r="DQ572" s="25"/>
      <c r="DR572" s="25"/>
      <c r="DS572" s="25"/>
      <c r="DT572" s="25"/>
      <c r="DU572" s="25"/>
      <c r="DV572" s="25"/>
      <c r="DW572" s="25"/>
      <c r="DX572" s="25"/>
      <c r="DY572" s="25"/>
      <c r="DZ572" s="25" t="str">
        <f>_xlfn.CONCAT($A573," ",$B573," ",$D573)</f>
        <v>2025 Mercedes-Benz EQE 350 4MATIC (SUV)</v>
      </c>
      <c r="EB572" s="25"/>
      <c r="EC572" s="25"/>
      <c r="ED572" s="25"/>
      <c r="EE572" s="25"/>
      <c r="EF572" s="25"/>
      <c r="EG572" s="25"/>
      <c r="EH572" s="25"/>
      <c r="EI572" s="25"/>
      <c r="EJ572" s="25"/>
      <c r="EK572" s="25"/>
      <c r="EL572" s="25"/>
      <c r="EM572" s="25"/>
      <c r="EN572" s="25"/>
      <c r="EO572" s="25"/>
      <c r="EP572" s="25"/>
      <c r="EQ572" s="25"/>
      <c r="ER572" s="25"/>
      <c r="ES572" s="25"/>
      <c r="ET572" s="25"/>
      <c r="EU572" s="25"/>
      <c r="EV572" s="25" t="str">
        <f>_xlfn.CONCAT($A573," ",$B573," ",$D573)</f>
        <v>2025 Mercedes-Benz EQE 350 4MATIC (SUV)</v>
      </c>
      <c r="EW572" s="25"/>
      <c r="EX572" s="25"/>
      <c r="EY572" s="25"/>
      <c r="EZ572" s="25"/>
      <c r="FA572" s="25"/>
      <c r="FB572" s="25"/>
      <c r="FC572" s="25"/>
      <c r="FD572" s="25"/>
      <c r="FE572" s="25"/>
      <c r="FF572" s="25"/>
      <c r="FG572" s="25"/>
    </row>
    <row r="573" spans="1:165" x14ac:dyDescent="0.35">
      <c r="A573">
        <v>2025</v>
      </c>
      <c r="B573" t="s">
        <v>279</v>
      </c>
      <c r="C573" t="s">
        <v>279</v>
      </c>
      <c r="D573" t="s">
        <v>2113</v>
      </c>
      <c r="E573" t="s">
        <v>281</v>
      </c>
      <c r="F573">
        <v>916</v>
      </c>
      <c r="G573">
        <v>0</v>
      </c>
      <c r="I573" t="s">
        <v>1734</v>
      </c>
      <c r="J573">
        <v>84</v>
      </c>
      <c r="K573">
        <v>78</v>
      </c>
      <c r="L573">
        <v>81</v>
      </c>
      <c r="M573">
        <v>123.2</v>
      </c>
      <c r="N573">
        <v>114.5</v>
      </c>
      <c r="O573">
        <v>119.1268</v>
      </c>
      <c r="P573">
        <v>84</v>
      </c>
      <c r="Q573">
        <v>78</v>
      </c>
      <c r="R573">
        <v>81</v>
      </c>
      <c r="V573" t="s">
        <v>167</v>
      </c>
      <c r="W573" t="s">
        <v>168</v>
      </c>
      <c r="Y573">
        <v>1</v>
      </c>
      <c r="Z573" t="s">
        <v>170</v>
      </c>
      <c r="AA573" t="s">
        <v>170</v>
      </c>
      <c r="AB573" t="s">
        <v>167</v>
      </c>
      <c r="AC573" t="s">
        <v>213</v>
      </c>
      <c r="AF573">
        <v>253</v>
      </c>
      <c r="AG573" t="s">
        <v>1735</v>
      </c>
      <c r="AH573" t="s">
        <v>1736</v>
      </c>
      <c r="AI573" t="s">
        <v>175</v>
      </c>
      <c r="AJ573" t="s">
        <v>176</v>
      </c>
      <c r="AK573">
        <v>4</v>
      </c>
      <c r="AL573" t="s">
        <v>1737</v>
      </c>
      <c r="AO573">
        <v>107</v>
      </c>
      <c r="AP573">
        <v>23</v>
      </c>
      <c r="AS573">
        <v>1000</v>
      </c>
      <c r="AT573">
        <v>50</v>
      </c>
      <c r="BQ573">
        <v>8</v>
      </c>
      <c r="BR573" t="s">
        <v>933</v>
      </c>
      <c r="BS573" t="s">
        <v>180</v>
      </c>
      <c r="BT573" t="s">
        <v>1738</v>
      </c>
      <c r="BU573" s="1">
        <v>45497</v>
      </c>
      <c r="BV573">
        <v>35256</v>
      </c>
      <c r="BY573" t="s">
        <v>170</v>
      </c>
      <c r="CB573" t="s">
        <v>170</v>
      </c>
      <c r="CC573" t="s">
        <v>170</v>
      </c>
      <c r="CK573" t="s">
        <v>233</v>
      </c>
      <c r="CM573">
        <v>10</v>
      </c>
      <c r="CN573" t="s">
        <v>234</v>
      </c>
      <c r="CP573">
        <v>328</v>
      </c>
      <c r="CQ573">
        <v>292</v>
      </c>
      <c r="CR573">
        <v>162.6</v>
      </c>
      <c r="CS573" t="s">
        <v>235</v>
      </c>
      <c r="CV573" t="s">
        <v>341</v>
      </c>
      <c r="CX573" t="s">
        <v>342</v>
      </c>
      <c r="CY573" t="s">
        <v>169</v>
      </c>
      <c r="DD573">
        <v>2</v>
      </c>
      <c r="DE573" t="s">
        <v>404</v>
      </c>
      <c r="DF573" t="s">
        <v>2091</v>
      </c>
      <c r="DG573" t="s">
        <v>2111</v>
      </c>
      <c r="DL573" t="s">
        <v>170</v>
      </c>
      <c r="DM573" t="s">
        <v>169</v>
      </c>
      <c r="DP573" t="s">
        <v>169</v>
      </c>
      <c r="DQ573" t="s">
        <v>198</v>
      </c>
      <c r="DR573" t="s">
        <v>2113</v>
      </c>
      <c r="EB573">
        <v>9</v>
      </c>
      <c r="EC573">
        <v>10</v>
      </c>
      <c r="EE573" t="s">
        <v>2112</v>
      </c>
      <c r="EF573">
        <v>10</v>
      </c>
      <c r="EU573">
        <v>4500</v>
      </c>
      <c r="EW573">
        <v>0</v>
      </c>
      <c r="EX573">
        <v>0</v>
      </c>
      <c r="EY573">
        <v>0</v>
      </c>
      <c r="FA573">
        <v>10.75</v>
      </c>
      <c r="FG573">
        <v>261</v>
      </c>
      <c r="FH573">
        <v>243</v>
      </c>
      <c r="FI573">
        <v>253</v>
      </c>
    </row>
    <row r="574" spans="1:165" x14ac:dyDescent="0.35">
      <c r="A574">
        <v>2025</v>
      </c>
      <c r="B574" t="s">
        <v>279</v>
      </c>
      <c r="C574" t="s">
        <v>279</v>
      </c>
      <c r="D574" t="s">
        <v>2113</v>
      </c>
      <c r="E574" t="s">
        <v>281</v>
      </c>
      <c r="F574">
        <v>916</v>
      </c>
      <c r="G574">
        <v>0</v>
      </c>
      <c r="I574" t="s">
        <v>1734</v>
      </c>
      <c r="J574">
        <v>39</v>
      </c>
      <c r="K574">
        <v>42</v>
      </c>
      <c r="L574">
        <v>40</v>
      </c>
      <c r="M574">
        <v>27.357700000000001</v>
      </c>
      <c r="N574">
        <v>29.4358</v>
      </c>
      <c r="O574">
        <v>28.2928</v>
      </c>
      <c r="P574">
        <v>39</v>
      </c>
      <c r="Q574">
        <v>42</v>
      </c>
      <c r="R574">
        <v>40</v>
      </c>
      <c r="V574" t="s">
        <v>167</v>
      </c>
      <c r="W574" t="s">
        <v>168</v>
      </c>
      <c r="Y574">
        <v>1</v>
      </c>
      <c r="Z574" t="s">
        <v>170</v>
      </c>
      <c r="AA574" t="s">
        <v>170</v>
      </c>
      <c r="AB574" t="s">
        <v>167</v>
      </c>
      <c r="AC574" t="s">
        <v>213</v>
      </c>
      <c r="AF574">
        <v>253</v>
      </c>
      <c r="AG574" t="s">
        <v>1735</v>
      </c>
      <c r="AH574" t="s">
        <v>1736</v>
      </c>
      <c r="AI574" t="s">
        <v>1742</v>
      </c>
      <c r="AJ574" t="s">
        <v>1743</v>
      </c>
      <c r="AK574">
        <v>4</v>
      </c>
      <c r="AL574" t="s">
        <v>1737</v>
      </c>
      <c r="AO574">
        <v>107</v>
      </c>
      <c r="AP574">
        <v>23</v>
      </c>
      <c r="AS574">
        <v>1000</v>
      </c>
      <c r="AT574">
        <v>1000</v>
      </c>
      <c r="BQ574">
        <v>8</v>
      </c>
      <c r="BR574" t="s">
        <v>933</v>
      </c>
      <c r="BS574" t="s">
        <v>180</v>
      </c>
      <c r="BT574" t="s">
        <v>1738</v>
      </c>
      <c r="BU574" s="1">
        <v>45497</v>
      </c>
      <c r="BV574">
        <v>35256</v>
      </c>
      <c r="BY574" t="s">
        <v>170</v>
      </c>
      <c r="CB574" t="s">
        <v>170</v>
      </c>
      <c r="CC574" t="s">
        <v>170</v>
      </c>
      <c r="CK574" t="s">
        <v>233</v>
      </c>
      <c r="CM574">
        <v>10</v>
      </c>
      <c r="CN574" t="s">
        <v>234</v>
      </c>
      <c r="CP574">
        <v>328</v>
      </c>
      <c r="CQ574">
        <v>292</v>
      </c>
      <c r="CR574">
        <v>162.6</v>
      </c>
      <c r="CS574" t="s">
        <v>235</v>
      </c>
      <c r="CV574" t="s">
        <v>341</v>
      </c>
      <c r="CX574" t="s">
        <v>342</v>
      </c>
      <c r="CY574" t="s">
        <v>169</v>
      </c>
      <c r="DD574">
        <v>2</v>
      </c>
      <c r="DE574" t="s">
        <v>404</v>
      </c>
      <c r="DF574" t="s">
        <v>2096</v>
      </c>
      <c r="DG574" t="s">
        <v>2111</v>
      </c>
      <c r="DL574" t="s">
        <v>170</v>
      </c>
      <c r="DM574" t="s">
        <v>169</v>
      </c>
      <c r="DP574" t="s">
        <v>169</v>
      </c>
      <c r="DQ574" t="s">
        <v>198</v>
      </c>
      <c r="DR574" t="s">
        <v>2113</v>
      </c>
      <c r="EB574">
        <v>9</v>
      </c>
      <c r="EC574">
        <v>10</v>
      </c>
      <c r="EE574" t="s">
        <v>2112</v>
      </c>
      <c r="EF574">
        <v>10</v>
      </c>
      <c r="EU574">
        <v>4500</v>
      </c>
      <c r="EW574">
        <v>0</v>
      </c>
      <c r="EX574">
        <v>0</v>
      </c>
      <c r="EY574">
        <v>0</v>
      </c>
      <c r="FA574">
        <v>10.75</v>
      </c>
      <c r="FG574">
        <v>261</v>
      </c>
      <c r="FH574">
        <v>243</v>
      </c>
      <c r="FI574">
        <v>253</v>
      </c>
    </row>
    <row r="575" spans="1:165" x14ac:dyDescent="0.35">
      <c r="A575" s="25"/>
      <c r="B575" s="25"/>
      <c r="C575" s="25"/>
      <c r="D575" s="25"/>
      <c r="E575" s="25"/>
      <c r="F575" s="25" t="str">
        <f>_xlfn.CONCAT($A576," ",$B576," ",$D576)</f>
        <v>2025 Mercedes-Benz EQS 450 4MATIC (SUV)</v>
      </c>
      <c r="G575" s="25"/>
      <c r="H575" s="25"/>
      <c r="I575" s="25"/>
      <c r="J575" s="25"/>
      <c r="K575" s="25"/>
      <c r="L575" s="25"/>
      <c r="M575" s="25"/>
      <c r="N575" s="25"/>
      <c r="O575" s="25"/>
      <c r="P575" s="25"/>
      <c r="Q575" s="25"/>
      <c r="R575" s="25"/>
      <c r="S575" s="25"/>
      <c r="T575" s="25"/>
      <c r="U575" s="25"/>
      <c r="V575" s="25"/>
      <c r="W575" s="25"/>
      <c r="X575" s="25"/>
      <c r="Y575" s="25"/>
      <c r="Z575" s="25"/>
      <c r="AA575" s="25"/>
      <c r="AB575" s="25"/>
      <c r="AC575" s="25"/>
      <c r="AD575" s="25" t="str">
        <f>_xlfn.CONCAT($A576," ",$B576," ",$D576)</f>
        <v>2025 Mercedes-Benz EQS 450 4MATIC (SUV)</v>
      </c>
      <c r="AE575" s="25"/>
      <c r="AF575" s="25"/>
      <c r="AG575" s="25"/>
      <c r="AH575" s="25"/>
      <c r="AI575" s="25"/>
      <c r="AJ575" s="25"/>
      <c r="AK575" s="25"/>
      <c r="AL575" s="25"/>
      <c r="AM575" s="25"/>
      <c r="AN575" s="25"/>
      <c r="AO575" s="25"/>
      <c r="AP575" s="25"/>
      <c r="AQ575" s="25"/>
      <c r="AR575" s="25"/>
      <c r="AS575" s="25"/>
      <c r="AT575" s="25"/>
      <c r="AU575" s="25"/>
      <c r="AV575" s="25"/>
      <c r="AW575" s="25"/>
      <c r="AX575" s="25" t="str">
        <f>_xlfn.CONCAT($A576," ",$B576," ",$D576)</f>
        <v>2025 Mercedes-Benz EQS 450 4MATIC (SUV)</v>
      </c>
      <c r="AY575" s="25"/>
      <c r="AZ575" s="25"/>
      <c r="BA575" s="25"/>
      <c r="BB575" s="25"/>
      <c r="BC575" s="25"/>
      <c r="BD575" s="25"/>
      <c r="BE575" s="25"/>
      <c r="BF575" s="25"/>
      <c r="BG575" s="25"/>
      <c r="BH575" s="25"/>
      <c r="BI575" s="25"/>
      <c r="BJ575" s="25"/>
      <c r="BK575" s="25"/>
      <c r="BL575" s="25"/>
      <c r="BM575" s="25"/>
      <c r="BN575" s="25"/>
      <c r="BO575" s="25"/>
      <c r="BP575" s="25"/>
      <c r="BQ575" s="25"/>
      <c r="BR575" s="25" t="str">
        <f>_xlfn.CONCAT($A576," ",$B576," ",$D576)</f>
        <v>2025 Mercedes-Benz EQS 450 4MATIC (SUV)</v>
      </c>
      <c r="BS575" s="25"/>
      <c r="BT575" s="25"/>
      <c r="BU575" s="25"/>
      <c r="BV575" s="25"/>
      <c r="BX575" s="25"/>
      <c r="BY575" s="25"/>
      <c r="BZ575" s="25"/>
      <c r="CA575" s="25"/>
      <c r="CB575" s="25"/>
      <c r="CC575" s="25"/>
      <c r="CD575" s="25"/>
      <c r="CE575" s="25"/>
      <c r="CF575" s="25"/>
      <c r="CG575" s="25"/>
      <c r="CH575" s="25"/>
      <c r="CI575" s="25"/>
      <c r="CJ575" s="25"/>
      <c r="CK575" s="25"/>
      <c r="CL575" s="25"/>
      <c r="CM575" s="25"/>
      <c r="CN575" s="25"/>
      <c r="CO575" s="25"/>
      <c r="CP575" s="25" t="str">
        <f>_xlfn.CONCAT($A576," ",$B576," ",$D576)</f>
        <v>2025 Mercedes-Benz EQS 450 4MATIC (SUV)</v>
      </c>
      <c r="CQ575" s="25"/>
      <c r="CR575" s="25"/>
      <c r="CS575" s="25"/>
      <c r="CT575" s="25"/>
      <c r="CU575" s="25"/>
      <c r="CV575" s="25"/>
      <c r="CW575" s="25"/>
      <c r="CX575" s="25"/>
      <c r="CY575" s="25"/>
      <c r="CZ575" s="25"/>
      <c r="DA575" s="25"/>
      <c r="DB575" s="25"/>
      <c r="DC575" s="25"/>
      <c r="DD575" s="25"/>
      <c r="DE575" s="25"/>
      <c r="DF575" s="25"/>
      <c r="DG575" s="25"/>
      <c r="DH575" s="25"/>
      <c r="DI575" s="25" t="str">
        <f>_xlfn.CONCAT($A576," ",$B576," ",$D576)</f>
        <v>2025 Mercedes-Benz EQS 450 4MATIC (SUV)</v>
      </c>
      <c r="DJ575" s="25"/>
      <c r="DK575" s="25"/>
      <c r="DL575" s="25"/>
      <c r="DM575" s="25"/>
      <c r="DN575" s="25"/>
      <c r="DO575" s="25"/>
      <c r="DP575" s="25"/>
      <c r="DQ575" s="25"/>
      <c r="DR575" s="25"/>
      <c r="DS575" s="25"/>
      <c r="DT575" s="25"/>
      <c r="DU575" s="25"/>
      <c r="DV575" s="25"/>
      <c r="DW575" s="25"/>
      <c r="DX575" s="25"/>
      <c r="DY575" s="25"/>
      <c r="DZ575" s="25" t="str">
        <f>_xlfn.CONCAT($A576," ",$B576," ",$D576)</f>
        <v>2025 Mercedes-Benz EQS 450 4MATIC (SUV)</v>
      </c>
      <c r="EB575" s="25"/>
      <c r="EC575" s="25"/>
      <c r="ED575" s="25"/>
      <c r="EE575" s="25"/>
      <c r="EF575" s="25"/>
      <c r="EG575" s="25"/>
      <c r="EH575" s="25"/>
      <c r="EI575" s="25"/>
      <c r="EJ575" s="25"/>
      <c r="EK575" s="25"/>
      <c r="EL575" s="25"/>
      <c r="EM575" s="25"/>
      <c r="EN575" s="25"/>
      <c r="EO575" s="25"/>
      <c r="EP575" s="25"/>
      <c r="EQ575" s="25"/>
      <c r="ER575" s="25"/>
      <c r="ES575" s="25"/>
      <c r="ET575" s="25"/>
      <c r="EU575" s="25"/>
      <c r="EV575" s="25" t="str">
        <f>_xlfn.CONCAT($A576," ",$B576," ",$D576)</f>
        <v>2025 Mercedes-Benz EQS 450 4MATIC (SUV)</v>
      </c>
      <c r="EW575" s="25"/>
      <c r="EX575" s="25"/>
      <c r="EY575" s="25"/>
      <c r="EZ575" s="25"/>
      <c r="FA575" s="25"/>
      <c r="FB575" s="25"/>
      <c r="FC575" s="25"/>
      <c r="FD575" s="25"/>
      <c r="FE575" s="25"/>
      <c r="FF575" s="25"/>
      <c r="FG575" s="25"/>
    </row>
    <row r="576" spans="1:165" x14ac:dyDescent="0.35">
      <c r="A576">
        <v>2025</v>
      </c>
      <c r="B576" t="s">
        <v>279</v>
      </c>
      <c r="C576" t="s">
        <v>279</v>
      </c>
      <c r="D576" t="s">
        <v>2120</v>
      </c>
      <c r="E576" t="s">
        <v>281</v>
      </c>
      <c r="F576">
        <v>917</v>
      </c>
      <c r="G576">
        <v>0</v>
      </c>
      <c r="I576" t="s">
        <v>1734</v>
      </c>
      <c r="J576">
        <v>80</v>
      </c>
      <c r="K576">
        <v>78</v>
      </c>
      <c r="L576">
        <v>79</v>
      </c>
      <c r="M576">
        <v>115.6</v>
      </c>
      <c r="N576">
        <v>112</v>
      </c>
      <c r="O576">
        <v>113.95180000000001</v>
      </c>
      <c r="P576">
        <v>80</v>
      </c>
      <c r="Q576">
        <v>78.400000000000006</v>
      </c>
      <c r="R576">
        <v>79</v>
      </c>
      <c r="V576" t="s">
        <v>167</v>
      </c>
      <c r="W576" t="s">
        <v>168</v>
      </c>
      <c r="Y576">
        <v>1</v>
      </c>
      <c r="Z576" t="s">
        <v>170</v>
      </c>
      <c r="AA576" t="s">
        <v>170</v>
      </c>
      <c r="AB576" t="s">
        <v>167</v>
      </c>
      <c r="AC576" t="s">
        <v>213</v>
      </c>
      <c r="AF576">
        <v>312</v>
      </c>
      <c r="AG576" t="s">
        <v>1735</v>
      </c>
      <c r="AH576" t="s">
        <v>1736</v>
      </c>
      <c r="AI576" t="s">
        <v>175</v>
      </c>
      <c r="AJ576" t="s">
        <v>176</v>
      </c>
      <c r="AK576">
        <v>4</v>
      </c>
      <c r="AL576" t="s">
        <v>1737</v>
      </c>
      <c r="AS576">
        <v>1050</v>
      </c>
      <c r="AT576">
        <v>50</v>
      </c>
      <c r="BQ576">
        <v>33</v>
      </c>
      <c r="BR576" t="s">
        <v>1497</v>
      </c>
      <c r="BT576" t="s">
        <v>1738</v>
      </c>
      <c r="BU576" s="1">
        <v>45492</v>
      </c>
      <c r="BV576">
        <v>35313</v>
      </c>
      <c r="BY576" t="s">
        <v>170</v>
      </c>
      <c r="CB576" t="s">
        <v>170</v>
      </c>
      <c r="CC576" t="s">
        <v>170</v>
      </c>
      <c r="CK576" t="s">
        <v>233</v>
      </c>
      <c r="CM576">
        <v>12</v>
      </c>
      <c r="CN576" t="s">
        <v>234</v>
      </c>
      <c r="CP576">
        <v>396</v>
      </c>
      <c r="CQ576">
        <v>308</v>
      </c>
      <c r="CR576">
        <v>171.3</v>
      </c>
      <c r="CS576" t="s">
        <v>235</v>
      </c>
      <c r="CV576" t="s">
        <v>341</v>
      </c>
      <c r="CX576" t="s">
        <v>342</v>
      </c>
      <c r="CY576" t="s">
        <v>169</v>
      </c>
      <c r="DC576" t="s">
        <v>2098</v>
      </c>
      <c r="DD576">
        <v>2</v>
      </c>
      <c r="DE576" t="s">
        <v>404</v>
      </c>
      <c r="DF576" t="s">
        <v>2096</v>
      </c>
      <c r="DG576" t="s">
        <v>2099</v>
      </c>
      <c r="DL576" t="s">
        <v>170</v>
      </c>
      <c r="DM576" t="s">
        <v>169</v>
      </c>
      <c r="DP576" t="s">
        <v>169</v>
      </c>
      <c r="DQ576" t="s">
        <v>198</v>
      </c>
      <c r="DR576" t="s">
        <v>2120</v>
      </c>
      <c r="EB576">
        <v>9</v>
      </c>
      <c r="EC576">
        <v>10</v>
      </c>
      <c r="EE576" t="s">
        <v>2100</v>
      </c>
      <c r="EF576">
        <v>10</v>
      </c>
      <c r="EU576">
        <v>4250</v>
      </c>
      <c r="EW576">
        <v>0</v>
      </c>
      <c r="EX576">
        <v>0</v>
      </c>
      <c r="EY576">
        <v>0</v>
      </c>
      <c r="FA576">
        <v>14</v>
      </c>
      <c r="FG576">
        <v>316</v>
      </c>
      <c r="FH576">
        <v>307</v>
      </c>
      <c r="FI576">
        <v>312</v>
      </c>
    </row>
    <row r="577" spans="1:165" x14ac:dyDescent="0.35">
      <c r="A577">
        <v>2025</v>
      </c>
      <c r="B577" t="s">
        <v>279</v>
      </c>
      <c r="C577" t="s">
        <v>279</v>
      </c>
      <c r="D577" t="s">
        <v>2120</v>
      </c>
      <c r="E577" t="s">
        <v>281</v>
      </c>
      <c r="F577">
        <v>917</v>
      </c>
      <c r="G577">
        <v>0</v>
      </c>
      <c r="I577" t="s">
        <v>1734</v>
      </c>
      <c r="J577">
        <v>42</v>
      </c>
      <c r="K577">
        <v>43</v>
      </c>
      <c r="L577">
        <v>42</v>
      </c>
      <c r="M577">
        <v>29.157800000000002</v>
      </c>
      <c r="N577">
        <v>30.102900000000002</v>
      </c>
      <c r="O577">
        <v>29.583100000000002</v>
      </c>
      <c r="P577">
        <v>42</v>
      </c>
      <c r="Q577">
        <v>43</v>
      </c>
      <c r="R577">
        <v>42</v>
      </c>
      <c r="V577" t="s">
        <v>167</v>
      </c>
      <c r="W577" t="s">
        <v>168</v>
      </c>
      <c r="Y577">
        <v>1</v>
      </c>
      <c r="Z577" t="s">
        <v>170</v>
      </c>
      <c r="AA577" t="s">
        <v>170</v>
      </c>
      <c r="AB577" t="s">
        <v>167</v>
      </c>
      <c r="AC577" t="s">
        <v>213</v>
      </c>
      <c r="AF577">
        <v>312</v>
      </c>
      <c r="AG577" t="s">
        <v>1735</v>
      </c>
      <c r="AH577" t="s">
        <v>1736</v>
      </c>
      <c r="AI577" t="s">
        <v>1742</v>
      </c>
      <c r="AJ577" t="s">
        <v>1743</v>
      </c>
      <c r="AK577">
        <v>4</v>
      </c>
      <c r="AL577" t="s">
        <v>1737</v>
      </c>
      <c r="AS577">
        <v>1050</v>
      </c>
      <c r="AT577">
        <v>1050</v>
      </c>
      <c r="BQ577">
        <v>33</v>
      </c>
      <c r="BR577" t="s">
        <v>1497</v>
      </c>
      <c r="BT577" t="s">
        <v>1738</v>
      </c>
      <c r="BU577" s="1">
        <v>45492</v>
      </c>
      <c r="BV577">
        <v>35313</v>
      </c>
      <c r="BY577" t="s">
        <v>170</v>
      </c>
      <c r="CB577" t="s">
        <v>170</v>
      </c>
      <c r="CC577" t="s">
        <v>170</v>
      </c>
      <c r="CK577" t="s">
        <v>233</v>
      </c>
      <c r="CM577">
        <v>12</v>
      </c>
      <c r="CN577" t="s">
        <v>234</v>
      </c>
      <c r="CP577">
        <v>396</v>
      </c>
      <c r="CQ577">
        <v>308</v>
      </c>
      <c r="CR577">
        <v>171.3</v>
      </c>
      <c r="CS577" t="s">
        <v>235</v>
      </c>
      <c r="CV577" t="s">
        <v>341</v>
      </c>
      <c r="CX577" t="s">
        <v>342</v>
      </c>
      <c r="CY577" t="s">
        <v>169</v>
      </c>
      <c r="DC577" t="s">
        <v>2098</v>
      </c>
      <c r="DD577">
        <v>2</v>
      </c>
      <c r="DE577" t="s">
        <v>404</v>
      </c>
      <c r="DF577" t="s">
        <v>2096</v>
      </c>
      <c r="DG577" t="s">
        <v>2099</v>
      </c>
      <c r="DL577" t="s">
        <v>170</v>
      </c>
      <c r="DM577" t="s">
        <v>169</v>
      </c>
      <c r="DP577" t="s">
        <v>169</v>
      </c>
      <c r="DQ577" t="s">
        <v>198</v>
      </c>
      <c r="DR577" t="s">
        <v>2120</v>
      </c>
      <c r="EB577">
        <v>9</v>
      </c>
      <c r="EC577">
        <v>10</v>
      </c>
      <c r="EE577" t="s">
        <v>2100</v>
      </c>
      <c r="EF577">
        <v>10</v>
      </c>
      <c r="EU577">
        <v>4250</v>
      </c>
      <c r="EW577">
        <v>0</v>
      </c>
      <c r="EX577">
        <v>0</v>
      </c>
      <c r="EY577">
        <v>0</v>
      </c>
      <c r="FA577">
        <v>14</v>
      </c>
      <c r="FG577">
        <v>316</v>
      </c>
      <c r="FH577">
        <v>307</v>
      </c>
      <c r="FI577">
        <v>312</v>
      </c>
    </row>
    <row r="578" spans="1:165" x14ac:dyDescent="0.35">
      <c r="A578" s="25"/>
      <c r="B578" s="25"/>
      <c r="C578" s="25"/>
      <c r="D578" s="25"/>
      <c r="E578" s="25"/>
      <c r="F578" s="25" t="str">
        <f>_xlfn.CONCAT($A579," ",$B579," ",$D579)</f>
        <v>2025 Mercedes-Benz EQS 580 4MATIC (SUV)</v>
      </c>
      <c r="G578" s="25"/>
      <c r="H578" s="25"/>
      <c r="I578" s="25"/>
      <c r="J578" s="25"/>
      <c r="K578" s="25"/>
      <c r="L578" s="25"/>
      <c r="M578" s="25"/>
      <c r="N578" s="25"/>
      <c r="O578" s="25"/>
      <c r="P578" s="25"/>
      <c r="Q578" s="25"/>
      <c r="R578" s="25"/>
      <c r="S578" s="25"/>
      <c r="T578" s="25"/>
      <c r="U578" s="25"/>
      <c r="V578" s="25"/>
      <c r="W578" s="25"/>
      <c r="X578" s="25"/>
      <c r="Y578" s="25"/>
      <c r="Z578" s="25"/>
      <c r="AA578" s="25"/>
      <c r="AB578" s="25"/>
      <c r="AC578" s="25"/>
      <c r="AD578" s="25" t="str">
        <f>_xlfn.CONCAT($A579," ",$B579," ",$D579)</f>
        <v>2025 Mercedes-Benz EQS 580 4MATIC (SUV)</v>
      </c>
      <c r="AE578" s="25"/>
      <c r="AF578" s="25"/>
      <c r="AG578" s="25"/>
      <c r="AH578" s="25"/>
      <c r="AI578" s="25"/>
      <c r="AJ578" s="25"/>
      <c r="AK578" s="25"/>
      <c r="AL578" s="25"/>
      <c r="AM578" s="25"/>
      <c r="AN578" s="25"/>
      <c r="AO578" s="25"/>
      <c r="AP578" s="25"/>
      <c r="AQ578" s="25"/>
      <c r="AR578" s="25"/>
      <c r="AS578" s="25"/>
      <c r="AT578" s="25"/>
      <c r="AU578" s="25"/>
      <c r="AV578" s="25"/>
      <c r="AW578" s="25"/>
      <c r="AX578" s="25" t="str">
        <f>_xlfn.CONCAT($A579," ",$B579," ",$D579)</f>
        <v>2025 Mercedes-Benz EQS 580 4MATIC (SUV)</v>
      </c>
      <c r="AY578" s="25"/>
      <c r="AZ578" s="25"/>
      <c r="BA578" s="25"/>
      <c r="BB578" s="25"/>
      <c r="BC578" s="25"/>
      <c r="BD578" s="25"/>
      <c r="BE578" s="25"/>
      <c r="BF578" s="25"/>
      <c r="BG578" s="25"/>
      <c r="BH578" s="25"/>
      <c r="BI578" s="25"/>
      <c r="BJ578" s="25"/>
      <c r="BK578" s="25"/>
      <c r="BL578" s="25"/>
      <c r="BM578" s="25"/>
      <c r="BN578" s="25"/>
      <c r="BO578" s="25"/>
      <c r="BP578" s="25"/>
      <c r="BQ578" s="25"/>
      <c r="BR578" s="25" t="str">
        <f>_xlfn.CONCAT($A579," ",$B579," ",$D579)</f>
        <v>2025 Mercedes-Benz EQS 580 4MATIC (SUV)</v>
      </c>
      <c r="BS578" s="25"/>
      <c r="BT578" s="25"/>
      <c r="BU578" s="25"/>
      <c r="BV578" s="25"/>
      <c r="BX578" s="25"/>
      <c r="BY578" s="25"/>
      <c r="BZ578" s="25"/>
      <c r="CA578" s="25"/>
      <c r="CB578" s="25"/>
      <c r="CC578" s="25"/>
      <c r="CD578" s="25"/>
      <c r="CE578" s="25"/>
      <c r="CF578" s="25"/>
      <c r="CG578" s="25"/>
      <c r="CH578" s="25"/>
      <c r="CI578" s="25"/>
      <c r="CJ578" s="25"/>
      <c r="CK578" s="25"/>
      <c r="CL578" s="25"/>
      <c r="CM578" s="25"/>
      <c r="CN578" s="25"/>
      <c r="CO578" s="25"/>
      <c r="CP578" s="25" t="str">
        <f>_xlfn.CONCAT($A579," ",$B579," ",$D579)</f>
        <v>2025 Mercedes-Benz EQS 580 4MATIC (SUV)</v>
      </c>
      <c r="CQ578" s="25"/>
      <c r="CR578" s="25"/>
      <c r="CS578" s="25"/>
      <c r="CT578" s="25"/>
      <c r="CU578" s="25"/>
      <c r="CV578" s="25"/>
      <c r="CW578" s="25"/>
      <c r="CX578" s="25"/>
      <c r="CY578" s="25"/>
      <c r="CZ578" s="25"/>
      <c r="DA578" s="25"/>
      <c r="DB578" s="25"/>
      <c r="DC578" s="25"/>
      <c r="DD578" s="25"/>
      <c r="DE578" s="25"/>
      <c r="DF578" s="25"/>
      <c r="DG578" s="25"/>
      <c r="DH578" s="25"/>
      <c r="DI578" s="25" t="str">
        <f>_xlfn.CONCAT($A579," ",$B579," ",$D579)</f>
        <v>2025 Mercedes-Benz EQS 580 4MATIC (SUV)</v>
      </c>
      <c r="DJ578" s="25"/>
      <c r="DK578" s="25"/>
      <c r="DL578" s="25"/>
      <c r="DM578" s="25"/>
      <c r="DN578" s="25"/>
      <c r="DO578" s="25"/>
      <c r="DP578" s="25"/>
      <c r="DQ578" s="25"/>
      <c r="DR578" s="25"/>
      <c r="DS578" s="25"/>
      <c r="DT578" s="25"/>
      <c r="DU578" s="25"/>
      <c r="DV578" s="25"/>
      <c r="DW578" s="25"/>
      <c r="DX578" s="25"/>
      <c r="DY578" s="25"/>
      <c r="DZ578" s="25" t="str">
        <f>_xlfn.CONCAT($A579," ",$B579," ",$D579)</f>
        <v>2025 Mercedes-Benz EQS 580 4MATIC (SUV)</v>
      </c>
      <c r="EB578" s="25"/>
      <c r="EC578" s="25"/>
      <c r="ED578" s="25"/>
      <c r="EE578" s="25"/>
      <c r="EF578" s="25"/>
      <c r="EG578" s="25"/>
      <c r="EH578" s="25"/>
      <c r="EI578" s="25"/>
      <c r="EJ578" s="25"/>
      <c r="EK578" s="25"/>
      <c r="EL578" s="25"/>
      <c r="EM578" s="25"/>
      <c r="EN578" s="25"/>
      <c r="EO578" s="25"/>
      <c r="EP578" s="25"/>
      <c r="EQ578" s="25"/>
      <c r="ER578" s="25"/>
      <c r="ES578" s="25"/>
      <c r="ET578" s="25"/>
      <c r="EU578" s="25"/>
      <c r="EV578" s="25" t="str">
        <f>_xlfn.CONCAT($A579," ",$B579," ",$D579)</f>
        <v>2025 Mercedes-Benz EQS 580 4MATIC (SUV)</v>
      </c>
      <c r="EW578" s="25"/>
      <c r="EX578" s="25"/>
      <c r="EY578" s="25"/>
      <c r="EZ578" s="25"/>
      <c r="FA578" s="25"/>
      <c r="FB578" s="25"/>
      <c r="FC578" s="25"/>
      <c r="FD578" s="25"/>
      <c r="FE578" s="25"/>
      <c r="FF578" s="25"/>
      <c r="FG578" s="25"/>
    </row>
    <row r="579" spans="1:165" x14ac:dyDescent="0.35">
      <c r="A579">
        <v>2025</v>
      </c>
      <c r="B579" t="s">
        <v>279</v>
      </c>
      <c r="C579" t="s">
        <v>279</v>
      </c>
      <c r="D579" t="s">
        <v>2125</v>
      </c>
      <c r="E579" t="s">
        <v>281</v>
      </c>
      <c r="F579">
        <v>918</v>
      </c>
      <c r="G579">
        <v>0</v>
      </c>
      <c r="I579" t="s">
        <v>1734</v>
      </c>
      <c r="J579">
        <v>82</v>
      </c>
      <c r="K579">
        <v>78</v>
      </c>
      <c r="L579">
        <v>80</v>
      </c>
      <c r="M579">
        <v>118.9</v>
      </c>
      <c r="N579">
        <v>113.3</v>
      </c>
      <c r="O579">
        <v>116.313</v>
      </c>
      <c r="P579">
        <v>82</v>
      </c>
      <c r="Q579">
        <v>78</v>
      </c>
      <c r="R579">
        <v>80</v>
      </c>
      <c r="V579" t="s">
        <v>167</v>
      </c>
      <c r="W579" t="s">
        <v>168</v>
      </c>
      <c r="Y579">
        <v>1</v>
      </c>
      <c r="Z579" t="s">
        <v>170</v>
      </c>
      <c r="AA579" t="s">
        <v>170</v>
      </c>
      <c r="AB579" t="s">
        <v>167</v>
      </c>
      <c r="AC579" t="s">
        <v>213</v>
      </c>
      <c r="AF579">
        <v>317</v>
      </c>
      <c r="AG579" t="s">
        <v>1735</v>
      </c>
      <c r="AH579" t="s">
        <v>1736</v>
      </c>
      <c r="AI579" t="s">
        <v>175</v>
      </c>
      <c r="AJ579" t="s">
        <v>176</v>
      </c>
      <c r="AK579">
        <v>4</v>
      </c>
      <c r="AL579" t="s">
        <v>1737</v>
      </c>
      <c r="AS579">
        <v>1000</v>
      </c>
      <c r="AT579">
        <v>50</v>
      </c>
      <c r="BQ579">
        <v>33</v>
      </c>
      <c r="BR579" t="s">
        <v>1497</v>
      </c>
      <c r="BT579" t="s">
        <v>1738</v>
      </c>
      <c r="BU579" s="1">
        <v>45500</v>
      </c>
      <c r="BV579">
        <v>35314</v>
      </c>
      <c r="BY579" t="s">
        <v>170</v>
      </c>
      <c r="CB579" t="s">
        <v>170</v>
      </c>
      <c r="CC579" t="s">
        <v>170</v>
      </c>
      <c r="CK579" t="s">
        <v>233</v>
      </c>
      <c r="CM579">
        <v>12</v>
      </c>
      <c r="CN579" t="s">
        <v>234</v>
      </c>
      <c r="CP579">
        <v>396</v>
      </c>
      <c r="CQ579">
        <v>308</v>
      </c>
      <c r="CR579">
        <v>171.3</v>
      </c>
      <c r="CS579" t="s">
        <v>235</v>
      </c>
      <c r="CV579" t="s">
        <v>341</v>
      </c>
      <c r="CX579" t="s">
        <v>342</v>
      </c>
      <c r="CY579" t="s">
        <v>169</v>
      </c>
      <c r="DC579" t="s">
        <v>2098</v>
      </c>
      <c r="DD579">
        <v>2</v>
      </c>
      <c r="DE579" t="s">
        <v>404</v>
      </c>
      <c r="DF579" t="s">
        <v>2091</v>
      </c>
      <c r="DG579" t="s">
        <v>2099</v>
      </c>
      <c r="DL579" t="s">
        <v>170</v>
      </c>
      <c r="DM579" t="s">
        <v>169</v>
      </c>
      <c r="DP579" t="s">
        <v>169</v>
      </c>
      <c r="DQ579" t="s">
        <v>198</v>
      </c>
      <c r="DR579" t="s">
        <v>2125</v>
      </c>
      <c r="EB579">
        <v>9</v>
      </c>
      <c r="EC579">
        <v>10</v>
      </c>
      <c r="EE579" t="s">
        <v>2100</v>
      </c>
      <c r="EF579">
        <v>10</v>
      </c>
      <c r="EU579">
        <v>4500</v>
      </c>
      <c r="EW579">
        <v>0</v>
      </c>
      <c r="EX579">
        <v>0</v>
      </c>
      <c r="EY579">
        <v>0</v>
      </c>
      <c r="FA579">
        <v>14</v>
      </c>
      <c r="FG579">
        <v>324</v>
      </c>
      <c r="FH579">
        <v>309</v>
      </c>
      <c r="FI579">
        <v>317</v>
      </c>
    </row>
    <row r="580" spans="1:165" x14ac:dyDescent="0.35">
      <c r="A580">
        <v>2025</v>
      </c>
      <c r="B580" t="s">
        <v>279</v>
      </c>
      <c r="C580" t="s">
        <v>279</v>
      </c>
      <c r="D580" t="s">
        <v>2125</v>
      </c>
      <c r="E580" t="s">
        <v>281</v>
      </c>
      <c r="F580">
        <v>918</v>
      </c>
      <c r="G580">
        <v>0</v>
      </c>
      <c r="I580" t="s">
        <v>1734</v>
      </c>
      <c r="J580">
        <v>40</v>
      </c>
      <c r="K580">
        <v>42</v>
      </c>
      <c r="L580">
        <v>41</v>
      </c>
      <c r="M580">
        <v>28.335599999999999</v>
      </c>
      <c r="N580">
        <v>29.7559</v>
      </c>
      <c r="O580">
        <v>28.974799999999998</v>
      </c>
      <c r="P580">
        <v>40</v>
      </c>
      <c r="Q580">
        <v>42</v>
      </c>
      <c r="R580">
        <v>41</v>
      </c>
      <c r="V580" t="s">
        <v>167</v>
      </c>
      <c r="W580" t="s">
        <v>168</v>
      </c>
      <c r="Y580">
        <v>1</v>
      </c>
      <c r="Z580" t="s">
        <v>170</v>
      </c>
      <c r="AA580" t="s">
        <v>170</v>
      </c>
      <c r="AB580" t="s">
        <v>167</v>
      </c>
      <c r="AC580" t="s">
        <v>213</v>
      </c>
      <c r="AF580">
        <v>317</v>
      </c>
      <c r="AG580" t="s">
        <v>1735</v>
      </c>
      <c r="AH580" t="s">
        <v>1736</v>
      </c>
      <c r="AI580" t="s">
        <v>1742</v>
      </c>
      <c r="AJ580" t="s">
        <v>1743</v>
      </c>
      <c r="AK580">
        <v>4</v>
      </c>
      <c r="AL580" t="s">
        <v>1737</v>
      </c>
      <c r="AS580">
        <v>1000</v>
      </c>
      <c r="AT580">
        <v>1000</v>
      </c>
      <c r="BQ580">
        <v>33</v>
      </c>
      <c r="BR580" t="s">
        <v>1497</v>
      </c>
      <c r="BT580" t="s">
        <v>1738</v>
      </c>
      <c r="BU580" s="1">
        <v>45500</v>
      </c>
      <c r="BV580">
        <v>35314</v>
      </c>
      <c r="BY580" t="s">
        <v>170</v>
      </c>
      <c r="CB580" t="s">
        <v>170</v>
      </c>
      <c r="CC580" t="s">
        <v>170</v>
      </c>
      <c r="CK580" t="s">
        <v>233</v>
      </c>
      <c r="CM580">
        <v>12</v>
      </c>
      <c r="CN580" t="s">
        <v>234</v>
      </c>
      <c r="CP580">
        <v>396</v>
      </c>
      <c r="CQ580">
        <v>308</v>
      </c>
      <c r="CR580">
        <v>171.3</v>
      </c>
      <c r="CS580" t="s">
        <v>235</v>
      </c>
      <c r="CV580" t="s">
        <v>341</v>
      </c>
      <c r="CX580" t="s">
        <v>342</v>
      </c>
      <c r="CY580" t="s">
        <v>169</v>
      </c>
      <c r="DC580" t="s">
        <v>2098</v>
      </c>
      <c r="DD580">
        <v>2</v>
      </c>
      <c r="DE580" t="s">
        <v>404</v>
      </c>
      <c r="DF580" t="s">
        <v>2096</v>
      </c>
      <c r="DG580" t="s">
        <v>2099</v>
      </c>
      <c r="DL580" t="s">
        <v>170</v>
      </c>
      <c r="DM580" t="s">
        <v>169</v>
      </c>
      <c r="DP580" t="s">
        <v>169</v>
      </c>
      <c r="DQ580" t="s">
        <v>198</v>
      </c>
      <c r="DR580" t="s">
        <v>2125</v>
      </c>
      <c r="EB580">
        <v>9</v>
      </c>
      <c r="EC580">
        <v>10</v>
      </c>
      <c r="EE580" t="s">
        <v>2100</v>
      </c>
      <c r="EF580">
        <v>10</v>
      </c>
      <c r="EU580">
        <v>4500</v>
      </c>
      <c r="EW580">
        <v>0</v>
      </c>
      <c r="EX580">
        <v>0</v>
      </c>
      <c r="EY580">
        <v>0</v>
      </c>
      <c r="FA580">
        <v>14</v>
      </c>
      <c r="FG580">
        <v>324</v>
      </c>
      <c r="FH580">
        <v>309</v>
      </c>
      <c r="FI580">
        <v>317</v>
      </c>
    </row>
    <row r="581" spans="1:165" x14ac:dyDescent="0.35">
      <c r="A581" s="25"/>
      <c r="B581" s="25"/>
      <c r="C581" s="25"/>
      <c r="D581" s="25"/>
      <c r="E581" s="25"/>
      <c r="F581" s="25" t="str">
        <f>_xlfn.CONCAT($A582," ",$B582," ",$D582)</f>
        <v>2025 Mercedes-Benz EQE 500 4MATIC (SUV)</v>
      </c>
      <c r="G581" s="25"/>
      <c r="H581" s="25"/>
      <c r="I581" s="25"/>
      <c r="J581" s="25"/>
      <c r="K581" s="25"/>
      <c r="L581" s="25"/>
      <c r="M581" s="25"/>
      <c r="N581" s="25"/>
      <c r="O581" s="25"/>
      <c r="P581" s="25"/>
      <c r="Q581" s="25"/>
      <c r="R581" s="25"/>
      <c r="S581" s="25"/>
      <c r="T581" s="25"/>
      <c r="U581" s="25"/>
      <c r="V581" s="25"/>
      <c r="W581" s="25"/>
      <c r="X581" s="25"/>
      <c r="Y581" s="25"/>
      <c r="Z581" s="25"/>
      <c r="AA581" s="25"/>
      <c r="AB581" s="25"/>
      <c r="AC581" s="25"/>
      <c r="AD581" s="25" t="str">
        <f>_xlfn.CONCAT($A582," ",$B582," ",$D582)</f>
        <v>2025 Mercedes-Benz EQE 500 4MATIC (SUV)</v>
      </c>
      <c r="AE581" s="25"/>
      <c r="AF581" s="25"/>
      <c r="AG581" s="25"/>
      <c r="AH581" s="25"/>
      <c r="AI581" s="25"/>
      <c r="AJ581" s="25"/>
      <c r="AK581" s="25"/>
      <c r="AL581" s="25"/>
      <c r="AM581" s="25"/>
      <c r="AN581" s="25"/>
      <c r="AO581" s="25"/>
      <c r="AP581" s="25"/>
      <c r="AQ581" s="25"/>
      <c r="AR581" s="25"/>
      <c r="AS581" s="25"/>
      <c r="AT581" s="25"/>
      <c r="AU581" s="25"/>
      <c r="AV581" s="25"/>
      <c r="AW581" s="25"/>
      <c r="AX581" s="25" t="str">
        <f>_xlfn.CONCAT($A582," ",$B582," ",$D582)</f>
        <v>2025 Mercedes-Benz EQE 500 4MATIC (SUV)</v>
      </c>
      <c r="AY581" s="25"/>
      <c r="AZ581" s="25"/>
      <c r="BA581" s="25"/>
      <c r="BB581" s="25"/>
      <c r="BC581" s="25"/>
      <c r="BD581" s="25"/>
      <c r="BE581" s="25"/>
      <c r="BF581" s="25"/>
      <c r="BG581" s="25"/>
      <c r="BH581" s="25"/>
      <c r="BI581" s="25"/>
      <c r="BJ581" s="25"/>
      <c r="BK581" s="25"/>
      <c r="BL581" s="25"/>
      <c r="BM581" s="25"/>
      <c r="BN581" s="25"/>
      <c r="BO581" s="25"/>
      <c r="BP581" s="25"/>
      <c r="BQ581" s="25"/>
      <c r="BR581" s="25" t="str">
        <f>_xlfn.CONCAT($A582," ",$B582," ",$D582)</f>
        <v>2025 Mercedes-Benz EQE 500 4MATIC (SUV)</v>
      </c>
      <c r="BS581" s="25"/>
      <c r="BT581" s="25"/>
      <c r="BU581" s="25"/>
      <c r="BV581" s="25"/>
      <c r="BX581" s="25"/>
      <c r="BY581" s="25"/>
      <c r="BZ581" s="25"/>
      <c r="CA581" s="25"/>
      <c r="CB581" s="25"/>
      <c r="CC581" s="25"/>
      <c r="CD581" s="25"/>
      <c r="CE581" s="25"/>
      <c r="CF581" s="25"/>
      <c r="CG581" s="25"/>
      <c r="CH581" s="25"/>
      <c r="CI581" s="25"/>
      <c r="CJ581" s="25"/>
      <c r="CK581" s="25"/>
      <c r="CL581" s="25"/>
      <c r="CM581" s="25"/>
      <c r="CN581" s="25"/>
      <c r="CO581" s="25"/>
      <c r="CP581" s="25" t="str">
        <f>_xlfn.CONCAT($A582," ",$B582," ",$D582)</f>
        <v>2025 Mercedes-Benz EQE 500 4MATIC (SUV)</v>
      </c>
      <c r="CQ581" s="25"/>
      <c r="CR581" s="25"/>
      <c r="CS581" s="25"/>
      <c r="CT581" s="25"/>
      <c r="CU581" s="25"/>
      <c r="CV581" s="25"/>
      <c r="CW581" s="25"/>
      <c r="CX581" s="25"/>
      <c r="CY581" s="25"/>
      <c r="CZ581" s="25"/>
      <c r="DA581" s="25"/>
      <c r="DB581" s="25"/>
      <c r="DC581" s="25"/>
      <c r="DD581" s="25"/>
      <c r="DE581" s="25"/>
      <c r="DF581" s="25"/>
      <c r="DG581" s="25"/>
      <c r="DH581" s="25"/>
      <c r="DI581" s="25" t="str">
        <f>_xlfn.CONCAT($A582," ",$B582," ",$D582)</f>
        <v>2025 Mercedes-Benz EQE 500 4MATIC (SUV)</v>
      </c>
      <c r="DJ581" s="25"/>
      <c r="DK581" s="25"/>
      <c r="DL581" s="25"/>
      <c r="DM581" s="25"/>
      <c r="DN581" s="25"/>
      <c r="DO581" s="25"/>
      <c r="DP581" s="25"/>
      <c r="DQ581" s="25"/>
      <c r="DR581" s="25"/>
      <c r="DS581" s="25"/>
      <c r="DT581" s="25"/>
      <c r="DU581" s="25"/>
      <c r="DV581" s="25"/>
      <c r="DW581" s="25"/>
      <c r="DX581" s="25"/>
      <c r="DY581" s="25"/>
      <c r="DZ581" s="25" t="str">
        <f>_xlfn.CONCAT($A582," ",$B582," ",$D582)</f>
        <v>2025 Mercedes-Benz EQE 500 4MATIC (SUV)</v>
      </c>
      <c r="EB581" s="25"/>
      <c r="EC581" s="25"/>
      <c r="ED581" s="25"/>
      <c r="EE581" s="25"/>
      <c r="EF581" s="25"/>
      <c r="EG581" s="25"/>
      <c r="EH581" s="25"/>
      <c r="EI581" s="25"/>
      <c r="EJ581" s="25"/>
      <c r="EK581" s="25"/>
      <c r="EL581" s="25"/>
      <c r="EM581" s="25"/>
      <c r="EN581" s="25"/>
      <c r="EO581" s="25"/>
      <c r="EP581" s="25"/>
      <c r="EQ581" s="25"/>
      <c r="ER581" s="25"/>
      <c r="ES581" s="25"/>
      <c r="ET581" s="25"/>
      <c r="EU581" s="25"/>
      <c r="EV581" s="25" t="str">
        <f>_xlfn.CONCAT($A582," ",$B582," ",$D582)</f>
        <v>2025 Mercedes-Benz EQE 500 4MATIC (SUV)</v>
      </c>
      <c r="EW581" s="25"/>
      <c r="EX581" s="25"/>
      <c r="EY581" s="25"/>
      <c r="EZ581" s="25"/>
      <c r="FA581" s="25"/>
      <c r="FB581" s="25"/>
      <c r="FC581" s="25"/>
      <c r="FD581" s="25"/>
      <c r="FE581" s="25"/>
      <c r="FF581" s="25"/>
      <c r="FG581" s="25"/>
    </row>
    <row r="582" spans="1:165" x14ac:dyDescent="0.35">
      <c r="A582">
        <v>2025</v>
      </c>
      <c r="B582" t="s">
        <v>279</v>
      </c>
      <c r="C582" t="s">
        <v>279</v>
      </c>
      <c r="D582" t="s">
        <v>2118</v>
      </c>
      <c r="E582" t="s">
        <v>281</v>
      </c>
      <c r="F582">
        <v>919</v>
      </c>
      <c r="G582">
        <v>0</v>
      </c>
      <c r="I582" t="s">
        <v>1734</v>
      </c>
      <c r="J582">
        <v>83</v>
      </c>
      <c r="K582">
        <v>78</v>
      </c>
      <c r="L582">
        <v>81</v>
      </c>
      <c r="M582">
        <v>120.1</v>
      </c>
      <c r="N582">
        <v>113.2</v>
      </c>
      <c r="O582">
        <v>116.8937</v>
      </c>
      <c r="P582">
        <v>83</v>
      </c>
      <c r="Q582">
        <v>78</v>
      </c>
      <c r="R582">
        <v>81</v>
      </c>
      <c r="V582" t="s">
        <v>167</v>
      </c>
      <c r="W582" t="s">
        <v>168</v>
      </c>
      <c r="Y582">
        <v>1</v>
      </c>
      <c r="Z582" t="s">
        <v>170</v>
      </c>
      <c r="AA582" t="s">
        <v>170</v>
      </c>
      <c r="AB582" t="s">
        <v>167</v>
      </c>
      <c r="AC582" t="s">
        <v>213</v>
      </c>
      <c r="AF582">
        <v>264</v>
      </c>
      <c r="AG582" t="s">
        <v>1735</v>
      </c>
      <c r="AH582" t="s">
        <v>1736</v>
      </c>
      <c r="AI582" t="s">
        <v>175</v>
      </c>
      <c r="AJ582" t="s">
        <v>176</v>
      </c>
      <c r="AK582">
        <v>4</v>
      </c>
      <c r="AL582" t="s">
        <v>1737</v>
      </c>
      <c r="AO582">
        <v>107</v>
      </c>
      <c r="AP582">
        <v>23</v>
      </c>
      <c r="AS582">
        <v>1000</v>
      </c>
      <c r="AT582">
        <v>50</v>
      </c>
      <c r="BQ582">
        <v>8</v>
      </c>
      <c r="BR582" t="s">
        <v>933</v>
      </c>
      <c r="BS582" t="s">
        <v>180</v>
      </c>
      <c r="BT582" t="s">
        <v>1738</v>
      </c>
      <c r="BU582" s="1">
        <v>45497</v>
      </c>
      <c r="BV582">
        <v>35260</v>
      </c>
      <c r="BY582" t="s">
        <v>170</v>
      </c>
      <c r="CB582" t="s">
        <v>170</v>
      </c>
      <c r="CC582" t="s">
        <v>170</v>
      </c>
      <c r="CK582" t="s">
        <v>233</v>
      </c>
      <c r="CM582">
        <v>10</v>
      </c>
      <c r="CN582" t="s">
        <v>234</v>
      </c>
      <c r="CP582">
        <v>328</v>
      </c>
      <c r="CQ582">
        <v>292</v>
      </c>
      <c r="CR582">
        <v>162.6</v>
      </c>
      <c r="CS582" t="s">
        <v>235</v>
      </c>
      <c r="CV582" t="s">
        <v>341</v>
      </c>
      <c r="CX582" t="s">
        <v>342</v>
      </c>
      <c r="CY582" t="s">
        <v>169</v>
      </c>
      <c r="DD582">
        <v>2</v>
      </c>
      <c r="DE582" t="s">
        <v>404</v>
      </c>
      <c r="DF582" t="s">
        <v>2096</v>
      </c>
      <c r="DG582" t="s">
        <v>2111</v>
      </c>
      <c r="DL582" t="s">
        <v>170</v>
      </c>
      <c r="DM582" t="s">
        <v>169</v>
      </c>
      <c r="DP582" t="s">
        <v>169</v>
      </c>
      <c r="DQ582" t="s">
        <v>198</v>
      </c>
      <c r="DR582" t="s">
        <v>2118</v>
      </c>
      <c r="EB582">
        <v>9</v>
      </c>
      <c r="EC582">
        <v>10</v>
      </c>
      <c r="EE582" t="s">
        <v>2112</v>
      </c>
      <c r="EF582">
        <v>10</v>
      </c>
      <c r="EU582">
        <v>4500</v>
      </c>
      <c r="EW582">
        <v>0</v>
      </c>
      <c r="EX582">
        <v>0</v>
      </c>
      <c r="EY582">
        <v>0</v>
      </c>
      <c r="FA582">
        <v>11.5</v>
      </c>
      <c r="FG582">
        <v>268</v>
      </c>
      <c r="FH582">
        <v>259</v>
      </c>
      <c r="FI582">
        <v>264</v>
      </c>
    </row>
    <row r="583" spans="1:165" x14ac:dyDescent="0.35">
      <c r="A583">
        <v>2025</v>
      </c>
      <c r="B583" t="s">
        <v>279</v>
      </c>
      <c r="C583" t="s">
        <v>279</v>
      </c>
      <c r="D583" t="s">
        <v>2118</v>
      </c>
      <c r="E583" t="s">
        <v>281</v>
      </c>
      <c r="F583">
        <v>919</v>
      </c>
      <c r="G583">
        <v>0</v>
      </c>
      <c r="I583" t="s">
        <v>1734</v>
      </c>
      <c r="J583">
        <v>40</v>
      </c>
      <c r="K583">
        <v>43</v>
      </c>
      <c r="L583">
        <v>41</v>
      </c>
      <c r="M583">
        <v>28.0593</v>
      </c>
      <c r="N583">
        <v>29.779199999999999</v>
      </c>
      <c r="O583">
        <v>28.833300000000001</v>
      </c>
      <c r="P583">
        <v>40</v>
      </c>
      <c r="Q583">
        <v>43</v>
      </c>
      <c r="R583">
        <v>41</v>
      </c>
      <c r="V583" t="s">
        <v>167</v>
      </c>
      <c r="W583" t="s">
        <v>168</v>
      </c>
      <c r="Y583">
        <v>1</v>
      </c>
      <c r="Z583" t="s">
        <v>170</v>
      </c>
      <c r="AA583" t="s">
        <v>170</v>
      </c>
      <c r="AB583" t="s">
        <v>167</v>
      </c>
      <c r="AC583" t="s">
        <v>213</v>
      </c>
      <c r="AF583">
        <v>264</v>
      </c>
      <c r="AG583" t="s">
        <v>1735</v>
      </c>
      <c r="AH583" t="s">
        <v>1736</v>
      </c>
      <c r="AI583" t="s">
        <v>1742</v>
      </c>
      <c r="AJ583" t="s">
        <v>1743</v>
      </c>
      <c r="AK583">
        <v>4</v>
      </c>
      <c r="AL583" t="s">
        <v>1737</v>
      </c>
      <c r="AO583">
        <v>107</v>
      </c>
      <c r="AP583">
        <v>23</v>
      </c>
      <c r="AS583">
        <v>1000</v>
      </c>
      <c r="AT583">
        <v>1000</v>
      </c>
      <c r="BQ583">
        <v>8</v>
      </c>
      <c r="BR583" t="s">
        <v>933</v>
      </c>
      <c r="BS583" t="s">
        <v>180</v>
      </c>
      <c r="BT583" t="s">
        <v>1738</v>
      </c>
      <c r="BU583" s="1">
        <v>45497</v>
      </c>
      <c r="BV583">
        <v>35260</v>
      </c>
      <c r="BY583" t="s">
        <v>170</v>
      </c>
      <c r="CB583" t="s">
        <v>170</v>
      </c>
      <c r="CC583" t="s">
        <v>170</v>
      </c>
      <c r="CK583" t="s">
        <v>233</v>
      </c>
      <c r="CM583">
        <v>10</v>
      </c>
      <c r="CN583" t="s">
        <v>234</v>
      </c>
      <c r="CP583">
        <v>328</v>
      </c>
      <c r="CQ583">
        <v>292</v>
      </c>
      <c r="CR583">
        <v>162.6</v>
      </c>
      <c r="CS583" t="s">
        <v>235</v>
      </c>
      <c r="CV583" t="s">
        <v>341</v>
      </c>
      <c r="CX583" t="s">
        <v>342</v>
      </c>
      <c r="CY583" t="s">
        <v>169</v>
      </c>
      <c r="DD583">
        <v>2</v>
      </c>
      <c r="DE583" t="s">
        <v>404</v>
      </c>
      <c r="DF583" t="s">
        <v>2096</v>
      </c>
      <c r="DG583" t="s">
        <v>2111</v>
      </c>
      <c r="DL583" t="s">
        <v>170</v>
      </c>
      <c r="DM583" t="s">
        <v>169</v>
      </c>
      <c r="DP583" t="s">
        <v>169</v>
      </c>
      <c r="DQ583" t="s">
        <v>198</v>
      </c>
      <c r="DR583" t="s">
        <v>2118</v>
      </c>
      <c r="EB583">
        <v>9</v>
      </c>
      <c r="EC583">
        <v>10</v>
      </c>
      <c r="EE583" t="s">
        <v>2112</v>
      </c>
      <c r="EF583">
        <v>10</v>
      </c>
      <c r="EU583">
        <v>4500</v>
      </c>
      <c r="EW583">
        <v>0</v>
      </c>
      <c r="EX583">
        <v>0</v>
      </c>
      <c r="EY583">
        <v>0</v>
      </c>
      <c r="FA583">
        <v>11.5</v>
      </c>
      <c r="FG583">
        <v>268</v>
      </c>
      <c r="FH583">
        <v>259</v>
      </c>
      <c r="FI583">
        <v>264</v>
      </c>
    </row>
    <row r="584" spans="1:165" x14ac:dyDescent="0.35">
      <c r="A584" s="25"/>
      <c r="B584" s="25"/>
      <c r="C584" s="25"/>
      <c r="D584" s="25"/>
      <c r="E584" s="25"/>
      <c r="F584" s="25" t="str">
        <f>_xlfn.CONCAT($A585," ",$B585," ",$D585)</f>
        <v>2025 Mercedes-Benz EQS 680 4MATIC Maybach (SUV)</v>
      </c>
      <c r="G584" s="25"/>
      <c r="H584" s="25"/>
      <c r="I584" s="25"/>
      <c r="J584" s="25"/>
      <c r="K584" s="25"/>
      <c r="L584" s="25"/>
      <c r="M584" s="25"/>
      <c r="N584" s="25"/>
      <c r="O584" s="25"/>
      <c r="P584" s="25"/>
      <c r="Q584" s="25"/>
      <c r="R584" s="25"/>
      <c r="S584" s="25"/>
      <c r="T584" s="25"/>
      <c r="U584" s="25"/>
      <c r="V584" s="25"/>
      <c r="W584" s="25"/>
      <c r="X584" s="25"/>
      <c r="Y584" s="25"/>
      <c r="Z584" s="25"/>
      <c r="AA584" s="25"/>
      <c r="AB584" s="25"/>
      <c r="AC584" s="25"/>
      <c r="AD584" s="25" t="str">
        <f>_xlfn.CONCAT($A585," ",$B585," ",$D585)</f>
        <v>2025 Mercedes-Benz EQS 680 4MATIC Maybach (SUV)</v>
      </c>
      <c r="AE584" s="25"/>
      <c r="AF584" s="25"/>
      <c r="AG584" s="25"/>
      <c r="AH584" s="25"/>
      <c r="AI584" s="25"/>
      <c r="AJ584" s="25"/>
      <c r="AK584" s="25"/>
      <c r="AL584" s="25"/>
      <c r="AM584" s="25"/>
      <c r="AN584" s="25"/>
      <c r="AO584" s="25"/>
      <c r="AP584" s="25"/>
      <c r="AQ584" s="25"/>
      <c r="AR584" s="25"/>
      <c r="AS584" s="25"/>
      <c r="AT584" s="25"/>
      <c r="AU584" s="25"/>
      <c r="AV584" s="25"/>
      <c r="AW584" s="25"/>
      <c r="AX584" s="25" t="str">
        <f>_xlfn.CONCAT($A585," ",$B585," ",$D585)</f>
        <v>2025 Mercedes-Benz EQS 680 4MATIC Maybach (SUV)</v>
      </c>
      <c r="AY584" s="25"/>
      <c r="AZ584" s="25"/>
      <c r="BA584" s="25"/>
      <c r="BB584" s="25"/>
      <c r="BC584" s="25"/>
      <c r="BD584" s="25"/>
      <c r="BE584" s="25"/>
      <c r="BF584" s="25"/>
      <c r="BG584" s="25"/>
      <c r="BH584" s="25"/>
      <c r="BI584" s="25"/>
      <c r="BJ584" s="25"/>
      <c r="BK584" s="25"/>
      <c r="BL584" s="25"/>
      <c r="BM584" s="25"/>
      <c r="BN584" s="25"/>
      <c r="BO584" s="25"/>
      <c r="BP584" s="25"/>
      <c r="BQ584" s="25"/>
      <c r="BR584" s="25" t="str">
        <f>_xlfn.CONCAT($A585," ",$B585," ",$D585)</f>
        <v>2025 Mercedes-Benz EQS 680 4MATIC Maybach (SUV)</v>
      </c>
      <c r="BS584" s="25"/>
      <c r="BT584" s="25"/>
      <c r="BU584" s="25"/>
      <c r="BV584" s="25"/>
      <c r="BX584" s="25"/>
      <c r="BY584" s="25"/>
      <c r="BZ584" s="25"/>
      <c r="CA584" s="25"/>
      <c r="CB584" s="25"/>
      <c r="CC584" s="25"/>
      <c r="CD584" s="25"/>
      <c r="CE584" s="25"/>
      <c r="CF584" s="25"/>
      <c r="CG584" s="25"/>
      <c r="CH584" s="25"/>
      <c r="CI584" s="25"/>
      <c r="CJ584" s="25"/>
      <c r="CK584" s="25"/>
      <c r="CL584" s="25"/>
      <c r="CM584" s="25"/>
      <c r="CN584" s="25"/>
      <c r="CO584" s="25"/>
      <c r="CP584" s="25" t="str">
        <f>_xlfn.CONCAT($A585," ",$B585," ",$D585)</f>
        <v>2025 Mercedes-Benz EQS 680 4MATIC Maybach (SUV)</v>
      </c>
      <c r="CQ584" s="25"/>
      <c r="CR584" s="25"/>
      <c r="CS584" s="25"/>
      <c r="CT584" s="25"/>
      <c r="CU584" s="25"/>
      <c r="CV584" s="25"/>
      <c r="CW584" s="25"/>
      <c r="CX584" s="25"/>
      <c r="CY584" s="25"/>
      <c r="CZ584" s="25"/>
      <c r="DA584" s="25"/>
      <c r="DB584" s="25"/>
      <c r="DC584" s="25"/>
      <c r="DD584" s="25"/>
      <c r="DE584" s="25"/>
      <c r="DF584" s="25"/>
      <c r="DG584" s="25"/>
      <c r="DH584" s="25"/>
      <c r="DI584" s="25" t="str">
        <f>_xlfn.CONCAT($A585," ",$B585," ",$D585)</f>
        <v>2025 Mercedes-Benz EQS 680 4MATIC Maybach (SUV)</v>
      </c>
      <c r="DJ584" s="25"/>
      <c r="DK584" s="25"/>
      <c r="DL584" s="25"/>
      <c r="DM584" s="25"/>
      <c r="DN584" s="25"/>
      <c r="DO584" s="25"/>
      <c r="DP584" s="25"/>
      <c r="DQ584" s="25"/>
      <c r="DR584" s="25"/>
      <c r="DS584" s="25"/>
      <c r="DT584" s="25"/>
      <c r="DU584" s="25"/>
      <c r="DV584" s="25"/>
      <c r="DW584" s="25"/>
      <c r="DX584" s="25"/>
      <c r="DY584" s="25"/>
      <c r="DZ584" s="25" t="str">
        <f>_xlfn.CONCAT($A585," ",$B585," ",$D585)</f>
        <v>2025 Mercedes-Benz EQS 680 4MATIC Maybach (SUV)</v>
      </c>
      <c r="EB584" s="25"/>
      <c r="EC584" s="25"/>
      <c r="ED584" s="25"/>
      <c r="EE584" s="25"/>
      <c r="EF584" s="25"/>
      <c r="EG584" s="25"/>
      <c r="EH584" s="25"/>
      <c r="EI584" s="25"/>
      <c r="EJ584" s="25"/>
      <c r="EK584" s="25"/>
      <c r="EL584" s="25"/>
      <c r="EM584" s="25"/>
      <c r="EN584" s="25"/>
      <c r="EO584" s="25"/>
      <c r="EP584" s="25"/>
      <c r="EQ584" s="25"/>
      <c r="ER584" s="25"/>
      <c r="ES584" s="25"/>
      <c r="ET584" s="25"/>
      <c r="EU584" s="25"/>
      <c r="EV584" s="25" t="str">
        <f>_xlfn.CONCAT($A585," ",$B585," ",$D585)</f>
        <v>2025 Mercedes-Benz EQS 680 4MATIC Maybach (SUV)</v>
      </c>
      <c r="EW584" s="25"/>
      <c r="EX584" s="25"/>
      <c r="EY584" s="25"/>
      <c r="EZ584" s="25"/>
      <c r="FA584" s="25"/>
      <c r="FB584" s="25"/>
      <c r="FC584" s="25"/>
      <c r="FD584" s="25"/>
      <c r="FE584" s="25"/>
      <c r="FF584" s="25"/>
      <c r="FG584" s="25"/>
    </row>
    <row r="585" spans="1:165" x14ac:dyDescent="0.35">
      <c r="A585">
        <v>2025</v>
      </c>
      <c r="B585" t="s">
        <v>279</v>
      </c>
      <c r="C585" t="s">
        <v>279</v>
      </c>
      <c r="D585" t="s">
        <v>2126</v>
      </c>
      <c r="E585" t="s">
        <v>281</v>
      </c>
      <c r="F585">
        <v>920</v>
      </c>
      <c r="G585">
        <v>0</v>
      </c>
      <c r="I585" t="s">
        <v>1734</v>
      </c>
      <c r="J585">
        <v>76</v>
      </c>
      <c r="K585">
        <v>76</v>
      </c>
      <c r="L585">
        <v>76</v>
      </c>
      <c r="M585">
        <v>107.2</v>
      </c>
      <c r="N585">
        <v>107.8</v>
      </c>
      <c r="O585">
        <v>107.4692</v>
      </c>
      <c r="P585">
        <v>76</v>
      </c>
      <c r="Q585">
        <v>76</v>
      </c>
      <c r="R585">
        <v>76</v>
      </c>
      <c r="V585" t="s">
        <v>167</v>
      </c>
      <c r="W585" t="s">
        <v>168</v>
      </c>
      <c r="Y585">
        <v>1</v>
      </c>
      <c r="Z585" t="s">
        <v>170</v>
      </c>
      <c r="AA585" t="s">
        <v>170</v>
      </c>
      <c r="AB585" t="s">
        <v>167</v>
      </c>
      <c r="AC585" t="s">
        <v>213</v>
      </c>
      <c r="AF585">
        <v>302</v>
      </c>
      <c r="AG585" t="s">
        <v>1735</v>
      </c>
      <c r="AH585" t="s">
        <v>1736</v>
      </c>
      <c r="AI585" t="s">
        <v>175</v>
      </c>
      <c r="AJ585" t="s">
        <v>176</v>
      </c>
      <c r="AK585">
        <v>4</v>
      </c>
      <c r="AL585" t="s">
        <v>1737</v>
      </c>
      <c r="AS585">
        <v>1050</v>
      </c>
      <c r="AT585">
        <v>50</v>
      </c>
      <c r="BQ585">
        <v>33</v>
      </c>
      <c r="BR585" t="s">
        <v>1497</v>
      </c>
      <c r="BT585" t="s">
        <v>1738</v>
      </c>
      <c r="BU585" s="1">
        <v>45500</v>
      </c>
      <c r="BV585">
        <v>35315</v>
      </c>
      <c r="BY585" t="s">
        <v>170</v>
      </c>
      <c r="CB585" t="s">
        <v>170</v>
      </c>
      <c r="CC585" t="s">
        <v>170</v>
      </c>
      <c r="CK585" t="s">
        <v>233</v>
      </c>
      <c r="CM585">
        <v>12</v>
      </c>
      <c r="CN585" t="s">
        <v>234</v>
      </c>
      <c r="CP585">
        <v>396</v>
      </c>
      <c r="CQ585">
        <v>308</v>
      </c>
      <c r="CR585">
        <v>171.3</v>
      </c>
      <c r="CS585" t="s">
        <v>235</v>
      </c>
      <c r="CV585" t="s">
        <v>341</v>
      </c>
      <c r="CX585" t="s">
        <v>342</v>
      </c>
      <c r="CY585" t="s">
        <v>169</v>
      </c>
      <c r="DC585" t="s">
        <v>2098</v>
      </c>
      <c r="DD585">
        <v>2</v>
      </c>
      <c r="DE585" t="s">
        <v>404</v>
      </c>
      <c r="DF585" t="s">
        <v>2091</v>
      </c>
      <c r="DG585" t="s">
        <v>2099</v>
      </c>
      <c r="DL585" t="s">
        <v>170</v>
      </c>
      <c r="DM585" t="s">
        <v>169</v>
      </c>
      <c r="DP585" t="s">
        <v>169</v>
      </c>
      <c r="DQ585" t="s">
        <v>198</v>
      </c>
      <c r="DR585" t="s">
        <v>2126</v>
      </c>
      <c r="EB585">
        <v>9</v>
      </c>
      <c r="EC585">
        <v>10</v>
      </c>
      <c r="EE585" t="s">
        <v>2100</v>
      </c>
      <c r="EF585">
        <v>10</v>
      </c>
      <c r="EU585">
        <v>4250</v>
      </c>
      <c r="EW585">
        <v>0</v>
      </c>
      <c r="EX585">
        <v>0</v>
      </c>
      <c r="EY585">
        <v>0</v>
      </c>
      <c r="FA585">
        <v>14</v>
      </c>
      <c r="FG585">
        <v>303</v>
      </c>
      <c r="FH585">
        <v>301</v>
      </c>
      <c r="FI585">
        <v>302</v>
      </c>
    </row>
    <row r="586" spans="1:165" x14ac:dyDescent="0.35">
      <c r="A586">
        <v>2025</v>
      </c>
      <c r="B586" t="s">
        <v>279</v>
      </c>
      <c r="C586" t="s">
        <v>279</v>
      </c>
      <c r="D586" t="s">
        <v>2126</v>
      </c>
      <c r="E586" t="s">
        <v>281</v>
      </c>
      <c r="F586">
        <v>920</v>
      </c>
      <c r="G586">
        <v>0</v>
      </c>
      <c r="I586" t="s">
        <v>1734</v>
      </c>
      <c r="J586">
        <v>44</v>
      </c>
      <c r="K586">
        <v>43</v>
      </c>
      <c r="L586">
        <v>44</v>
      </c>
      <c r="M586">
        <v>31.4406</v>
      </c>
      <c r="N586">
        <v>31.28</v>
      </c>
      <c r="O586">
        <v>31.368300000000001</v>
      </c>
      <c r="P586">
        <v>43.668399999999998</v>
      </c>
      <c r="Q586">
        <v>44</v>
      </c>
      <c r="R586">
        <v>43.558999999999997</v>
      </c>
      <c r="V586" t="s">
        <v>167</v>
      </c>
      <c r="W586" t="s">
        <v>168</v>
      </c>
      <c r="Y586">
        <v>1</v>
      </c>
      <c r="Z586" t="s">
        <v>170</v>
      </c>
      <c r="AA586" t="s">
        <v>170</v>
      </c>
      <c r="AB586" t="s">
        <v>167</v>
      </c>
      <c r="AC586" t="s">
        <v>213</v>
      </c>
      <c r="AF586">
        <v>302</v>
      </c>
      <c r="AG586" t="s">
        <v>1735</v>
      </c>
      <c r="AH586" t="s">
        <v>1736</v>
      </c>
      <c r="AI586" t="s">
        <v>1742</v>
      </c>
      <c r="AJ586" t="s">
        <v>1743</v>
      </c>
      <c r="AK586">
        <v>4</v>
      </c>
      <c r="AL586" t="s">
        <v>1737</v>
      </c>
      <c r="AS586">
        <v>1050</v>
      </c>
      <c r="AT586">
        <v>1050</v>
      </c>
      <c r="BQ586">
        <v>33</v>
      </c>
      <c r="BR586" t="s">
        <v>1497</v>
      </c>
      <c r="BT586" t="s">
        <v>1738</v>
      </c>
      <c r="BU586" s="1">
        <v>45500</v>
      </c>
      <c r="BV586">
        <v>35315</v>
      </c>
      <c r="BY586" t="s">
        <v>170</v>
      </c>
      <c r="CB586" t="s">
        <v>170</v>
      </c>
      <c r="CC586" t="s">
        <v>170</v>
      </c>
      <c r="CK586" t="s">
        <v>233</v>
      </c>
      <c r="CM586">
        <v>12</v>
      </c>
      <c r="CN586" t="s">
        <v>234</v>
      </c>
      <c r="CP586">
        <v>396</v>
      </c>
      <c r="CQ586">
        <v>308</v>
      </c>
      <c r="CR586">
        <v>171.3</v>
      </c>
      <c r="CS586" t="s">
        <v>235</v>
      </c>
      <c r="CV586" t="s">
        <v>341</v>
      </c>
      <c r="CX586" t="s">
        <v>342</v>
      </c>
      <c r="CY586" t="s">
        <v>169</v>
      </c>
      <c r="DC586" t="s">
        <v>2098</v>
      </c>
      <c r="DD586">
        <v>2</v>
      </c>
      <c r="DE586" t="s">
        <v>404</v>
      </c>
      <c r="DF586" t="s">
        <v>2091</v>
      </c>
      <c r="DG586" t="s">
        <v>2099</v>
      </c>
      <c r="DL586" t="s">
        <v>170</v>
      </c>
      <c r="DM586" t="s">
        <v>169</v>
      </c>
      <c r="DP586" t="s">
        <v>169</v>
      </c>
      <c r="DQ586" t="s">
        <v>198</v>
      </c>
      <c r="DR586" t="s">
        <v>2126</v>
      </c>
      <c r="EB586">
        <v>9</v>
      </c>
      <c r="EC586">
        <v>10</v>
      </c>
      <c r="EE586" t="s">
        <v>2100</v>
      </c>
      <c r="EF586">
        <v>10</v>
      </c>
      <c r="EU586">
        <v>4250</v>
      </c>
      <c r="EW586">
        <v>0</v>
      </c>
      <c r="EX586">
        <v>0</v>
      </c>
      <c r="EY586">
        <v>0</v>
      </c>
      <c r="FA586">
        <v>14</v>
      </c>
      <c r="FG586">
        <v>303</v>
      </c>
      <c r="FH586">
        <v>301</v>
      </c>
      <c r="FI586">
        <v>302</v>
      </c>
    </row>
    <row r="587" spans="1:165" x14ac:dyDescent="0.35">
      <c r="A587" s="25"/>
      <c r="B587" s="25"/>
      <c r="C587" s="25"/>
      <c r="D587" s="25"/>
      <c r="E587" s="25"/>
      <c r="F587" s="25" t="str">
        <f>_xlfn.CONCAT($A588," ",$B588," ",$D588)</f>
        <v>2025 Mercedes-Benz AMG EQE 4MATIC+ (SUV)</v>
      </c>
      <c r="G587" s="25"/>
      <c r="H587" s="25"/>
      <c r="I587" s="25"/>
      <c r="J587" s="25"/>
      <c r="K587" s="25"/>
      <c r="L587" s="25"/>
      <c r="M587" s="25"/>
      <c r="N587" s="25"/>
      <c r="O587" s="25"/>
      <c r="P587" s="25"/>
      <c r="Q587" s="25"/>
      <c r="R587" s="25"/>
      <c r="S587" s="25"/>
      <c r="T587" s="25"/>
      <c r="U587" s="25"/>
      <c r="V587" s="25"/>
      <c r="W587" s="25"/>
      <c r="X587" s="25"/>
      <c r="Y587" s="25"/>
      <c r="Z587" s="25"/>
      <c r="AA587" s="25"/>
      <c r="AB587" s="25"/>
      <c r="AC587" s="25"/>
      <c r="AD587" s="25" t="str">
        <f>_xlfn.CONCAT($A588," ",$B588," ",$D588)</f>
        <v>2025 Mercedes-Benz AMG EQE 4MATIC+ (SUV)</v>
      </c>
      <c r="AE587" s="25"/>
      <c r="AF587" s="25"/>
      <c r="AG587" s="25"/>
      <c r="AH587" s="25"/>
      <c r="AI587" s="25"/>
      <c r="AJ587" s="25"/>
      <c r="AK587" s="25"/>
      <c r="AL587" s="25"/>
      <c r="AM587" s="25"/>
      <c r="AN587" s="25"/>
      <c r="AO587" s="25"/>
      <c r="AP587" s="25"/>
      <c r="AQ587" s="25"/>
      <c r="AR587" s="25"/>
      <c r="AS587" s="25"/>
      <c r="AT587" s="25"/>
      <c r="AU587" s="25"/>
      <c r="AV587" s="25"/>
      <c r="AW587" s="25"/>
      <c r="AX587" s="25" t="str">
        <f>_xlfn.CONCAT($A588," ",$B588," ",$D588)</f>
        <v>2025 Mercedes-Benz AMG EQE 4MATIC+ (SUV)</v>
      </c>
      <c r="AY587" s="25"/>
      <c r="AZ587" s="25"/>
      <c r="BA587" s="25"/>
      <c r="BB587" s="25"/>
      <c r="BC587" s="25"/>
      <c r="BD587" s="25"/>
      <c r="BE587" s="25"/>
      <c r="BF587" s="25"/>
      <c r="BG587" s="25"/>
      <c r="BH587" s="25"/>
      <c r="BI587" s="25"/>
      <c r="BJ587" s="25"/>
      <c r="BK587" s="25"/>
      <c r="BL587" s="25"/>
      <c r="BM587" s="25"/>
      <c r="BN587" s="25"/>
      <c r="BO587" s="25"/>
      <c r="BP587" s="25"/>
      <c r="BQ587" s="25"/>
      <c r="BR587" s="25" t="str">
        <f>_xlfn.CONCAT($A588," ",$B588," ",$D588)</f>
        <v>2025 Mercedes-Benz AMG EQE 4MATIC+ (SUV)</v>
      </c>
      <c r="BS587" s="25"/>
      <c r="BT587" s="25"/>
      <c r="BU587" s="25"/>
      <c r="BV587" s="25"/>
      <c r="BX587" s="25"/>
      <c r="BY587" s="25"/>
      <c r="BZ587" s="25"/>
      <c r="CA587" s="25"/>
      <c r="CB587" s="25"/>
      <c r="CC587" s="25"/>
      <c r="CD587" s="25"/>
      <c r="CE587" s="25"/>
      <c r="CF587" s="25"/>
      <c r="CG587" s="25"/>
      <c r="CH587" s="25"/>
      <c r="CI587" s="25"/>
      <c r="CJ587" s="25"/>
      <c r="CK587" s="25"/>
      <c r="CL587" s="25"/>
      <c r="CM587" s="25"/>
      <c r="CN587" s="25"/>
      <c r="CO587" s="25"/>
      <c r="CP587" s="25" t="str">
        <f>_xlfn.CONCAT($A588," ",$B588," ",$D588)</f>
        <v>2025 Mercedes-Benz AMG EQE 4MATIC+ (SUV)</v>
      </c>
      <c r="CQ587" s="25"/>
      <c r="CR587" s="25"/>
      <c r="CS587" s="25"/>
      <c r="CT587" s="25"/>
      <c r="CU587" s="25"/>
      <c r="CV587" s="25"/>
      <c r="CW587" s="25"/>
      <c r="CX587" s="25"/>
      <c r="CY587" s="25"/>
      <c r="CZ587" s="25"/>
      <c r="DA587" s="25"/>
      <c r="DB587" s="25"/>
      <c r="DC587" s="25"/>
      <c r="DD587" s="25"/>
      <c r="DE587" s="25"/>
      <c r="DF587" s="25"/>
      <c r="DG587" s="25"/>
      <c r="DH587" s="25"/>
      <c r="DI587" s="25" t="str">
        <f>_xlfn.CONCAT($A588," ",$B588," ",$D588)</f>
        <v>2025 Mercedes-Benz AMG EQE 4MATIC+ (SUV)</v>
      </c>
      <c r="DJ587" s="25"/>
      <c r="DK587" s="25"/>
      <c r="DL587" s="25"/>
      <c r="DM587" s="25"/>
      <c r="DN587" s="25"/>
      <c r="DO587" s="25"/>
      <c r="DP587" s="25"/>
      <c r="DQ587" s="25"/>
      <c r="DR587" s="25"/>
      <c r="DS587" s="25"/>
      <c r="DT587" s="25"/>
      <c r="DU587" s="25"/>
      <c r="DV587" s="25"/>
      <c r="DW587" s="25"/>
      <c r="DX587" s="25"/>
      <c r="DY587" s="25"/>
      <c r="DZ587" s="25" t="str">
        <f>_xlfn.CONCAT($A588," ",$B588," ",$D588)</f>
        <v>2025 Mercedes-Benz AMG EQE 4MATIC+ (SUV)</v>
      </c>
      <c r="EB587" s="25"/>
      <c r="EC587" s="25"/>
      <c r="ED587" s="25"/>
      <c r="EE587" s="25"/>
      <c r="EF587" s="25"/>
      <c r="EG587" s="25"/>
      <c r="EH587" s="25"/>
      <c r="EI587" s="25"/>
      <c r="EJ587" s="25"/>
      <c r="EK587" s="25"/>
      <c r="EL587" s="25"/>
      <c r="EM587" s="25"/>
      <c r="EN587" s="25"/>
      <c r="EO587" s="25"/>
      <c r="EP587" s="25"/>
      <c r="EQ587" s="25"/>
      <c r="ER587" s="25"/>
      <c r="ES587" s="25"/>
      <c r="ET587" s="25"/>
      <c r="EU587" s="25"/>
      <c r="EV587" s="25" t="str">
        <f>_xlfn.CONCAT($A588," ",$B588," ",$D588)</f>
        <v>2025 Mercedes-Benz AMG EQE 4MATIC+ (SUV)</v>
      </c>
      <c r="EW587" s="25"/>
      <c r="EX587" s="25"/>
      <c r="EY587" s="25"/>
      <c r="EZ587" s="25"/>
      <c r="FA587" s="25"/>
      <c r="FB587" s="25"/>
      <c r="FC587" s="25"/>
      <c r="FD587" s="25"/>
      <c r="FE587" s="25"/>
      <c r="FF587" s="25"/>
      <c r="FG587" s="25"/>
    </row>
    <row r="588" spans="1:165" x14ac:dyDescent="0.35">
      <c r="A588">
        <v>2025</v>
      </c>
      <c r="B588" t="s">
        <v>279</v>
      </c>
      <c r="C588" t="s">
        <v>279</v>
      </c>
      <c r="D588" t="s">
        <v>2094</v>
      </c>
      <c r="E588" t="s">
        <v>281</v>
      </c>
      <c r="F588">
        <v>922</v>
      </c>
      <c r="G588">
        <v>0</v>
      </c>
      <c r="I588" t="s">
        <v>1734</v>
      </c>
      <c r="J588">
        <v>76</v>
      </c>
      <c r="K588">
        <v>72</v>
      </c>
      <c r="L588">
        <v>74</v>
      </c>
      <c r="M588">
        <v>108.4</v>
      </c>
      <c r="N588">
        <v>102.7</v>
      </c>
      <c r="O588">
        <v>105.7586</v>
      </c>
      <c r="P588">
        <v>75.88</v>
      </c>
      <c r="Q588">
        <v>71.89</v>
      </c>
      <c r="R588">
        <v>74.031000000000006</v>
      </c>
      <c r="V588" t="s">
        <v>167</v>
      </c>
      <c r="W588" t="s">
        <v>168</v>
      </c>
      <c r="Y588">
        <v>1</v>
      </c>
      <c r="Z588" t="s">
        <v>170</v>
      </c>
      <c r="AA588" t="s">
        <v>170</v>
      </c>
      <c r="AB588" t="s">
        <v>167</v>
      </c>
      <c r="AC588" t="s">
        <v>213</v>
      </c>
      <c r="AF588">
        <v>230</v>
      </c>
      <c r="AG588" t="s">
        <v>1735</v>
      </c>
      <c r="AH588" t="s">
        <v>1736</v>
      </c>
      <c r="AI588" t="s">
        <v>175</v>
      </c>
      <c r="AJ588" t="s">
        <v>176</v>
      </c>
      <c r="AK588">
        <v>4</v>
      </c>
      <c r="AL588" t="s">
        <v>1737</v>
      </c>
      <c r="AO588">
        <v>107</v>
      </c>
      <c r="AP588">
        <v>23</v>
      </c>
      <c r="AS588">
        <v>1100</v>
      </c>
      <c r="AT588">
        <v>50</v>
      </c>
      <c r="BQ588">
        <v>8</v>
      </c>
      <c r="BR588" t="s">
        <v>933</v>
      </c>
      <c r="BS588" t="s">
        <v>180</v>
      </c>
      <c r="BT588" t="s">
        <v>1738</v>
      </c>
      <c r="BU588" s="1">
        <v>45512</v>
      </c>
      <c r="BV588">
        <v>35363</v>
      </c>
      <c r="BY588" t="s">
        <v>170</v>
      </c>
      <c r="CB588" t="s">
        <v>170</v>
      </c>
      <c r="CC588" t="s">
        <v>170</v>
      </c>
      <c r="CK588" t="s">
        <v>233</v>
      </c>
      <c r="CM588">
        <v>10</v>
      </c>
      <c r="CN588" t="s">
        <v>234</v>
      </c>
      <c r="CP588">
        <v>328</v>
      </c>
      <c r="CQ588">
        <v>292</v>
      </c>
      <c r="CR588">
        <v>172.5</v>
      </c>
      <c r="CS588" t="s">
        <v>235</v>
      </c>
      <c r="CV588" t="s">
        <v>341</v>
      </c>
      <c r="CX588" t="s">
        <v>342</v>
      </c>
      <c r="CY588" t="s">
        <v>169</v>
      </c>
      <c r="DD588">
        <v>2</v>
      </c>
      <c r="DE588" t="s">
        <v>404</v>
      </c>
      <c r="DF588" t="s">
        <v>2091</v>
      </c>
      <c r="DG588" t="s">
        <v>2092</v>
      </c>
      <c r="DL588" t="s">
        <v>170</v>
      </c>
      <c r="DM588" t="s">
        <v>169</v>
      </c>
      <c r="DP588" t="s">
        <v>169</v>
      </c>
      <c r="DQ588" t="s">
        <v>198</v>
      </c>
      <c r="DR588" t="s">
        <v>2095</v>
      </c>
      <c r="EB588">
        <v>9</v>
      </c>
      <c r="EC588">
        <v>10</v>
      </c>
      <c r="EE588" t="s">
        <v>2093</v>
      </c>
      <c r="EF588">
        <v>10</v>
      </c>
      <c r="EU588">
        <v>4000</v>
      </c>
      <c r="EW588">
        <v>0</v>
      </c>
      <c r="EX588">
        <v>0</v>
      </c>
      <c r="EY588">
        <v>0</v>
      </c>
      <c r="FA588">
        <v>10.75</v>
      </c>
      <c r="FG588">
        <v>236</v>
      </c>
      <c r="FH588">
        <v>223</v>
      </c>
      <c r="FI588">
        <v>230</v>
      </c>
    </row>
    <row r="589" spans="1:165" x14ac:dyDescent="0.35">
      <c r="A589">
        <v>2025</v>
      </c>
      <c r="B589" t="s">
        <v>279</v>
      </c>
      <c r="C589" t="s">
        <v>279</v>
      </c>
      <c r="D589" t="s">
        <v>2094</v>
      </c>
      <c r="E589" t="s">
        <v>281</v>
      </c>
      <c r="F589">
        <v>922</v>
      </c>
      <c r="G589">
        <v>0</v>
      </c>
      <c r="I589" t="s">
        <v>1734</v>
      </c>
      <c r="J589">
        <v>44</v>
      </c>
      <c r="K589">
        <v>47</v>
      </c>
      <c r="L589">
        <v>46</v>
      </c>
      <c r="M589">
        <v>31.0852</v>
      </c>
      <c r="N589">
        <v>32.812899999999999</v>
      </c>
      <c r="O589">
        <v>31.8627</v>
      </c>
      <c r="P589">
        <v>44.418799999999997</v>
      </c>
      <c r="Q589">
        <v>46.884099999999997</v>
      </c>
      <c r="R589">
        <v>45.528199999999998</v>
      </c>
      <c r="V589" t="s">
        <v>167</v>
      </c>
      <c r="W589" t="s">
        <v>168</v>
      </c>
      <c r="Y589">
        <v>1</v>
      </c>
      <c r="Z589" t="s">
        <v>170</v>
      </c>
      <c r="AA589" t="s">
        <v>170</v>
      </c>
      <c r="AB589" t="s">
        <v>167</v>
      </c>
      <c r="AC589" t="s">
        <v>213</v>
      </c>
      <c r="AF589">
        <v>230</v>
      </c>
      <c r="AG589" t="s">
        <v>1735</v>
      </c>
      <c r="AH589" t="s">
        <v>1736</v>
      </c>
      <c r="AI589" t="s">
        <v>1742</v>
      </c>
      <c r="AJ589" t="s">
        <v>1743</v>
      </c>
      <c r="AK589">
        <v>4</v>
      </c>
      <c r="AL589" t="s">
        <v>1737</v>
      </c>
      <c r="AO589">
        <v>107</v>
      </c>
      <c r="AP589">
        <v>23</v>
      </c>
      <c r="AS589">
        <v>1100</v>
      </c>
      <c r="AT589">
        <v>1100</v>
      </c>
      <c r="BQ589">
        <v>8</v>
      </c>
      <c r="BR589" t="s">
        <v>933</v>
      </c>
      <c r="BS589" t="s">
        <v>180</v>
      </c>
      <c r="BT589" t="s">
        <v>1738</v>
      </c>
      <c r="BU589" s="1">
        <v>45512</v>
      </c>
      <c r="BV589">
        <v>35363</v>
      </c>
      <c r="BY589" t="s">
        <v>170</v>
      </c>
      <c r="CB589" t="s">
        <v>170</v>
      </c>
      <c r="CC589" t="s">
        <v>170</v>
      </c>
      <c r="CK589" t="s">
        <v>233</v>
      </c>
      <c r="CM589">
        <v>10</v>
      </c>
      <c r="CN589" t="s">
        <v>234</v>
      </c>
      <c r="CP589">
        <v>328</v>
      </c>
      <c r="CQ589">
        <v>292</v>
      </c>
      <c r="CR589">
        <v>172.5</v>
      </c>
      <c r="CS589" t="s">
        <v>235</v>
      </c>
      <c r="CV589" t="s">
        <v>341</v>
      </c>
      <c r="CX589" t="s">
        <v>342</v>
      </c>
      <c r="CY589" t="s">
        <v>169</v>
      </c>
      <c r="DD589">
        <v>2</v>
      </c>
      <c r="DE589" t="s">
        <v>404</v>
      </c>
      <c r="DF589" t="s">
        <v>2096</v>
      </c>
      <c r="DG589" t="s">
        <v>2092</v>
      </c>
      <c r="DL589" t="s">
        <v>170</v>
      </c>
      <c r="DM589" t="s">
        <v>169</v>
      </c>
      <c r="DP589" t="s">
        <v>169</v>
      </c>
      <c r="DQ589" t="s">
        <v>198</v>
      </c>
      <c r="DR589" t="s">
        <v>2095</v>
      </c>
      <c r="EB589">
        <v>9</v>
      </c>
      <c r="EC589">
        <v>10</v>
      </c>
      <c r="EE589" t="s">
        <v>2093</v>
      </c>
      <c r="EF589">
        <v>10</v>
      </c>
      <c r="EU589">
        <v>4000</v>
      </c>
      <c r="EW589">
        <v>0</v>
      </c>
      <c r="EX589">
        <v>0</v>
      </c>
      <c r="EY589">
        <v>0</v>
      </c>
      <c r="FA589">
        <v>10.75</v>
      </c>
      <c r="FG589">
        <v>236</v>
      </c>
      <c r="FH589">
        <v>223</v>
      </c>
      <c r="FI589">
        <v>230</v>
      </c>
    </row>
    <row r="590" spans="1:165" x14ac:dyDescent="0.35">
      <c r="A590" s="25"/>
      <c r="B590" s="25"/>
      <c r="C590" s="25"/>
      <c r="D590" s="25"/>
      <c r="E590" s="25"/>
      <c r="F590" s="25" t="str">
        <f>_xlfn.CONCAT($A591," ",$B591," ",$D591)</f>
        <v>2025 BMW Countryman SE ALL4 (18'' Wheels)</v>
      </c>
      <c r="G590" s="25"/>
      <c r="H590" s="25"/>
      <c r="I590" s="25"/>
      <c r="J590" s="25"/>
      <c r="K590" s="25"/>
      <c r="L590" s="25"/>
      <c r="M590" s="25"/>
      <c r="N590" s="25"/>
      <c r="O590" s="25"/>
      <c r="P590" s="25"/>
      <c r="Q590" s="25"/>
      <c r="R590" s="25"/>
      <c r="S590" s="25"/>
      <c r="T590" s="25"/>
      <c r="U590" s="25"/>
      <c r="V590" s="25"/>
      <c r="W590" s="25"/>
      <c r="X590" s="25"/>
      <c r="Y590" s="25"/>
      <c r="Z590" s="25"/>
      <c r="AA590" s="25"/>
      <c r="AB590" s="25"/>
      <c r="AC590" s="25"/>
      <c r="AD590" s="25" t="str">
        <f>_xlfn.CONCAT($A591," ",$B591," ",$D591)</f>
        <v>2025 BMW Countryman SE ALL4 (18'' Wheels)</v>
      </c>
      <c r="AE590" s="25"/>
      <c r="AF590" s="25"/>
      <c r="AG590" s="25"/>
      <c r="AH590" s="25"/>
      <c r="AI590" s="25"/>
      <c r="AJ590" s="25"/>
      <c r="AK590" s="25"/>
      <c r="AL590" s="25"/>
      <c r="AM590" s="25"/>
      <c r="AN590" s="25"/>
      <c r="AO590" s="25"/>
      <c r="AP590" s="25"/>
      <c r="AQ590" s="25"/>
      <c r="AR590" s="25"/>
      <c r="AS590" s="25"/>
      <c r="AT590" s="25"/>
      <c r="AU590" s="25"/>
      <c r="AV590" s="25"/>
      <c r="AW590" s="25"/>
      <c r="AX590" s="25" t="str">
        <f>_xlfn.CONCAT($A591," ",$B591," ",$D591)</f>
        <v>2025 BMW Countryman SE ALL4 (18'' Wheels)</v>
      </c>
      <c r="AY590" s="25"/>
      <c r="AZ590" s="25"/>
      <c r="BA590" s="25"/>
      <c r="BB590" s="25"/>
      <c r="BC590" s="25"/>
      <c r="BD590" s="25"/>
      <c r="BE590" s="25"/>
      <c r="BF590" s="25"/>
      <c r="BG590" s="25"/>
      <c r="BH590" s="25"/>
      <c r="BI590" s="25"/>
      <c r="BJ590" s="25"/>
      <c r="BK590" s="25"/>
      <c r="BL590" s="25"/>
      <c r="BM590" s="25"/>
      <c r="BN590" s="25"/>
      <c r="BO590" s="25"/>
      <c r="BP590" s="25"/>
      <c r="BQ590" s="25"/>
      <c r="BR590" s="25" t="str">
        <f>_xlfn.CONCAT($A591," ",$B591," ",$D591)</f>
        <v>2025 BMW Countryman SE ALL4 (18'' Wheels)</v>
      </c>
      <c r="BS590" s="25"/>
      <c r="BT590" s="25"/>
      <c r="BU590" s="25"/>
      <c r="BV590" s="25"/>
      <c r="BX590" s="25"/>
      <c r="BY590" s="25"/>
      <c r="BZ590" s="25"/>
      <c r="CA590" s="25"/>
      <c r="CB590" s="25"/>
      <c r="CC590" s="25"/>
      <c r="CD590" s="25"/>
      <c r="CE590" s="25"/>
      <c r="CF590" s="25"/>
      <c r="CG590" s="25"/>
      <c r="CH590" s="25"/>
      <c r="CI590" s="25"/>
      <c r="CJ590" s="25"/>
      <c r="CK590" s="25"/>
      <c r="CL590" s="25"/>
      <c r="CM590" s="25"/>
      <c r="CN590" s="25"/>
      <c r="CO590" s="25"/>
      <c r="CP590" s="25" t="str">
        <f>_xlfn.CONCAT($A591," ",$B591," ",$D591)</f>
        <v>2025 BMW Countryman SE ALL4 (18'' Wheels)</v>
      </c>
      <c r="CQ590" s="25"/>
      <c r="CR590" s="25"/>
      <c r="CS590" s="25"/>
      <c r="CT590" s="25"/>
      <c r="CU590" s="25"/>
      <c r="CV590" s="25"/>
      <c r="CW590" s="25"/>
      <c r="CX590" s="25"/>
      <c r="CY590" s="25"/>
      <c r="CZ590" s="25"/>
      <c r="DA590" s="25"/>
      <c r="DB590" s="25"/>
      <c r="DC590" s="25"/>
      <c r="DD590" s="25"/>
      <c r="DE590" s="25"/>
      <c r="DF590" s="25"/>
      <c r="DG590" s="25"/>
      <c r="DH590" s="25"/>
      <c r="DI590" s="25" t="str">
        <f>_xlfn.CONCAT($A591," ",$B591," ",$D591)</f>
        <v>2025 BMW Countryman SE ALL4 (18'' Wheels)</v>
      </c>
      <c r="DJ590" s="25"/>
      <c r="DK590" s="25"/>
      <c r="DL590" s="25"/>
      <c r="DM590" s="25"/>
      <c r="DN590" s="25"/>
      <c r="DO590" s="25"/>
      <c r="DP590" s="25"/>
      <c r="DQ590" s="25"/>
      <c r="DR590" s="25"/>
      <c r="DS590" s="25"/>
      <c r="DT590" s="25"/>
      <c r="DU590" s="25"/>
      <c r="DV590" s="25"/>
      <c r="DW590" s="25"/>
      <c r="DX590" s="25"/>
      <c r="DY590" s="25"/>
      <c r="DZ590" s="25" t="str">
        <f>_xlfn.CONCAT($A591," ",$B591," ",$D591)</f>
        <v>2025 BMW Countryman SE ALL4 (18'' Wheels)</v>
      </c>
      <c r="EB590" s="25"/>
      <c r="EC590" s="25"/>
      <c r="ED590" s="25"/>
      <c r="EE590" s="25"/>
      <c r="EF590" s="25"/>
      <c r="EG590" s="25"/>
      <c r="EH590" s="25"/>
      <c r="EI590" s="25"/>
      <c r="EJ590" s="25"/>
      <c r="EK590" s="25"/>
      <c r="EL590" s="25"/>
      <c r="EM590" s="25"/>
      <c r="EN590" s="25"/>
      <c r="EO590" s="25"/>
      <c r="EP590" s="25"/>
      <c r="EQ590" s="25"/>
      <c r="ER590" s="25"/>
      <c r="ES590" s="25"/>
      <c r="ET590" s="25"/>
      <c r="EU590" s="25"/>
      <c r="EV590" s="25" t="str">
        <f>_xlfn.CONCAT($A591," ",$B591," ",$D591)</f>
        <v>2025 BMW Countryman SE ALL4 (18'' Wheels)</v>
      </c>
      <c r="EW590" s="25"/>
      <c r="EX590" s="25"/>
      <c r="EY590" s="25"/>
      <c r="EZ590" s="25"/>
      <c r="FA590" s="25"/>
      <c r="FB590" s="25"/>
      <c r="FC590" s="25"/>
      <c r="FD590" s="25"/>
      <c r="FE590" s="25"/>
      <c r="FF590" s="25"/>
      <c r="FG590" s="25"/>
    </row>
    <row r="591" spans="1:165" x14ac:dyDescent="0.35">
      <c r="A591">
        <v>2025</v>
      </c>
      <c r="B591" t="s">
        <v>189</v>
      </c>
      <c r="C591" t="s">
        <v>349</v>
      </c>
      <c r="D591" t="s">
        <v>2130</v>
      </c>
      <c r="E591" t="s">
        <v>191</v>
      </c>
      <c r="F591">
        <v>98</v>
      </c>
      <c r="G591">
        <v>0</v>
      </c>
      <c r="I591" t="s">
        <v>1734</v>
      </c>
      <c r="J591">
        <v>99</v>
      </c>
      <c r="K591">
        <v>94</v>
      </c>
      <c r="L591">
        <v>96</v>
      </c>
      <c r="M591">
        <v>140.80000000000001</v>
      </c>
      <c r="N591">
        <v>133.9</v>
      </c>
      <c r="O591">
        <v>137.60900000000001</v>
      </c>
      <c r="P591">
        <v>98.56</v>
      </c>
      <c r="Q591">
        <v>93.73</v>
      </c>
      <c r="R591">
        <v>96.326300000000003</v>
      </c>
      <c r="V591" t="s">
        <v>167</v>
      </c>
      <c r="W591" t="s">
        <v>168</v>
      </c>
      <c r="Y591">
        <v>1</v>
      </c>
      <c r="Z591" t="s">
        <v>170</v>
      </c>
      <c r="AA591" t="s">
        <v>170</v>
      </c>
      <c r="AB591" t="s">
        <v>167</v>
      </c>
      <c r="AC591" t="s">
        <v>213</v>
      </c>
      <c r="AF591">
        <v>212</v>
      </c>
      <c r="AG591" t="s">
        <v>1735</v>
      </c>
      <c r="AH591" t="s">
        <v>1736</v>
      </c>
      <c r="AI591" t="s">
        <v>175</v>
      </c>
      <c r="AJ591" t="s">
        <v>176</v>
      </c>
      <c r="AK591" t="s">
        <v>940</v>
      </c>
      <c r="AL591" t="s">
        <v>941</v>
      </c>
      <c r="AQ591">
        <v>96</v>
      </c>
      <c r="AR591">
        <v>26</v>
      </c>
      <c r="AS591">
        <v>850</v>
      </c>
      <c r="AT591">
        <v>850</v>
      </c>
      <c r="BQ591">
        <v>31</v>
      </c>
      <c r="BR591" t="s">
        <v>1219</v>
      </c>
      <c r="BT591" t="s">
        <v>1769</v>
      </c>
      <c r="BU591" s="1">
        <v>45457</v>
      </c>
      <c r="BV591">
        <v>34857</v>
      </c>
      <c r="BX591" t="s">
        <v>170</v>
      </c>
      <c r="BY591" t="s">
        <v>170</v>
      </c>
      <c r="CB591" t="s">
        <v>170</v>
      </c>
      <c r="CC591" t="s">
        <v>170</v>
      </c>
      <c r="CK591" t="s">
        <v>233</v>
      </c>
      <c r="CM591">
        <v>5</v>
      </c>
      <c r="CN591" t="s">
        <v>234</v>
      </c>
      <c r="CP591">
        <v>286</v>
      </c>
      <c r="CQ591">
        <v>232</v>
      </c>
      <c r="CR591">
        <v>152</v>
      </c>
      <c r="CS591" t="s">
        <v>235</v>
      </c>
      <c r="CV591" t="s">
        <v>341</v>
      </c>
      <c r="CX591" t="s">
        <v>342</v>
      </c>
      <c r="CY591" t="s">
        <v>169</v>
      </c>
      <c r="DC591" t="s">
        <v>1820</v>
      </c>
      <c r="DD591">
        <v>2</v>
      </c>
      <c r="DE591" t="s">
        <v>404</v>
      </c>
      <c r="DF591" t="s">
        <v>405</v>
      </c>
      <c r="DG591" t="s">
        <v>1787</v>
      </c>
      <c r="DL591" t="s">
        <v>170</v>
      </c>
      <c r="DM591" t="s">
        <v>169</v>
      </c>
      <c r="DP591" t="s">
        <v>170</v>
      </c>
      <c r="DQ591" t="s">
        <v>187</v>
      </c>
      <c r="EB591">
        <v>9</v>
      </c>
      <c r="EC591">
        <v>10</v>
      </c>
      <c r="EE591" t="s">
        <v>2131</v>
      </c>
      <c r="EF591">
        <v>10</v>
      </c>
      <c r="EU591">
        <v>5250</v>
      </c>
      <c r="EW591">
        <v>0</v>
      </c>
      <c r="EX591">
        <v>0</v>
      </c>
      <c r="EY591">
        <v>0</v>
      </c>
      <c r="FA591">
        <v>8</v>
      </c>
      <c r="FG591">
        <v>217</v>
      </c>
      <c r="FH591">
        <v>206</v>
      </c>
      <c r="FI591">
        <v>212</v>
      </c>
    </row>
    <row r="592" spans="1:165" x14ac:dyDescent="0.35">
      <c r="A592">
        <v>2025</v>
      </c>
      <c r="B592" t="s">
        <v>189</v>
      </c>
      <c r="C592" t="s">
        <v>349</v>
      </c>
      <c r="D592" t="s">
        <v>2130</v>
      </c>
      <c r="E592" t="s">
        <v>191</v>
      </c>
      <c r="F592">
        <v>98</v>
      </c>
      <c r="G592">
        <v>0</v>
      </c>
      <c r="I592" t="s">
        <v>1734</v>
      </c>
      <c r="J592">
        <v>34</v>
      </c>
      <c r="K592">
        <v>36</v>
      </c>
      <c r="L592">
        <v>35</v>
      </c>
      <c r="M592">
        <v>23.940899999999999</v>
      </c>
      <c r="N592">
        <v>25.165199999999999</v>
      </c>
      <c r="O592">
        <v>24.491900000000001</v>
      </c>
      <c r="P592">
        <v>34.197400000000002</v>
      </c>
      <c r="Q592">
        <v>35.959699999999998</v>
      </c>
      <c r="R592">
        <v>34.990400000000001</v>
      </c>
      <c r="V592" t="s">
        <v>167</v>
      </c>
      <c r="W592" t="s">
        <v>168</v>
      </c>
      <c r="Y592">
        <v>1</v>
      </c>
      <c r="Z592" t="s">
        <v>170</v>
      </c>
      <c r="AA592" t="s">
        <v>170</v>
      </c>
      <c r="AB592" t="s">
        <v>167</v>
      </c>
      <c r="AC592" t="s">
        <v>213</v>
      </c>
      <c r="AF592">
        <v>212</v>
      </c>
      <c r="AG592" t="s">
        <v>1735</v>
      </c>
      <c r="AH592" t="s">
        <v>1736</v>
      </c>
      <c r="AI592" t="s">
        <v>1742</v>
      </c>
      <c r="AJ592" t="s">
        <v>1743</v>
      </c>
      <c r="AK592" t="s">
        <v>940</v>
      </c>
      <c r="AL592" t="s">
        <v>941</v>
      </c>
      <c r="AQ592">
        <v>96</v>
      </c>
      <c r="AR592">
        <v>26</v>
      </c>
      <c r="AS592">
        <v>850</v>
      </c>
      <c r="AT592">
        <v>850</v>
      </c>
      <c r="BQ592">
        <v>31</v>
      </c>
      <c r="BR592" t="s">
        <v>1219</v>
      </c>
      <c r="BT592" t="s">
        <v>1769</v>
      </c>
      <c r="BU592" s="1">
        <v>45457</v>
      </c>
      <c r="BV592">
        <v>34857</v>
      </c>
      <c r="BX592" t="s">
        <v>170</v>
      </c>
      <c r="BY592" t="s">
        <v>170</v>
      </c>
      <c r="CB592" t="s">
        <v>170</v>
      </c>
      <c r="CC592" t="s">
        <v>170</v>
      </c>
      <c r="CK592" t="s">
        <v>233</v>
      </c>
      <c r="CM592">
        <v>5</v>
      </c>
      <c r="CN592" t="s">
        <v>234</v>
      </c>
      <c r="CP592">
        <v>286</v>
      </c>
      <c r="CQ592">
        <v>232</v>
      </c>
      <c r="CR592">
        <v>152</v>
      </c>
      <c r="CS592" t="s">
        <v>235</v>
      </c>
      <c r="CV592" t="s">
        <v>341</v>
      </c>
      <c r="CX592" t="s">
        <v>342</v>
      </c>
      <c r="CY592" t="s">
        <v>169</v>
      </c>
      <c r="DC592" t="s">
        <v>1820</v>
      </c>
      <c r="DD592">
        <v>2</v>
      </c>
      <c r="DE592" t="s">
        <v>404</v>
      </c>
      <c r="DF592" t="s">
        <v>405</v>
      </c>
      <c r="DG592" t="s">
        <v>1787</v>
      </c>
      <c r="DL592" t="s">
        <v>170</v>
      </c>
      <c r="DM592" t="s">
        <v>169</v>
      </c>
      <c r="DP592" t="s">
        <v>170</v>
      </c>
      <c r="DQ592" t="s">
        <v>187</v>
      </c>
      <c r="EB592">
        <v>9</v>
      </c>
      <c r="EC592">
        <v>10</v>
      </c>
      <c r="EE592" t="s">
        <v>2131</v>
      </c>
      <c r="EF592">
        <v>10</v>
      </c>
      <c r="EU592">
        <v>5250</v>
      </c>
      <c r="EW592">
        <v>0</v>
      </c>
      <c r="EX592">
        <v>0</v>
      </c>
      <c r="EY592">
        <v>0</v>
      </c>
      <c r="FA592">
        <v>8</v>
      </c>
      <c r="FG592">
        <v>217</v>
      </c>
      <c r="FH592">
        <v>206</v>
      </c>
      <c r="FI592">
        <v>212</v>
      </c>
    </row>
    <row r="593" spans="1:165" x14ac:dyDescent="0.35">
      <c r="A593" s="25"/>
      <c r="B593" s="25"/>
      <c r="C593" s="25"/>
      <c r="D593" s="25"/>
      <c r="E593" s="25"/>
      <c r="F593" s="25" t="str">
        <f>_xlfn.CONCAT($A594," ",$B594," ",$D594)</f>
        <v>2025 BMW Countryman SE ALL4 (19'' Wheels)</v>
      </c>
      <c r="G593" s="25"/>
      <c r="H593" s="25"/>
      <c r="I593" s="25"/>
      <c r="J593" s="25"/>
      <c r="K593" s="25"/>
      <c r="L593" s="25"/>
      <c r="M593" s="25"/>
      <c r="N593" s="25"/>
      <c r="O593" s="25"/>
      <c r="P593" s="25"/>
      <c r="Q593" s="25"/>
      <c r="R593" s="25"/>
      <c r="S593" s="25"/>
      <c r="T593" s="25"/>
      <c r="U593" s="25"/>
      <c r="V593" s="25"/>
      <c r="W593" s="25"/>
      <c r="X593" s="25"/>
      <c r="Y593" s="25"/>
      <c r="Z593" s="25"/>
      <c r="AA593" s="25"/>
      <c r="AB593" s="25"/>
      <c r="AC593" s="25"/>
      <c r="AD593" s="25" t="str">
        <f>_xlfn.CONCAT($A594," ",$B594," ",$D594)</f>
        <v>2025 BMW Countryman SE ALL4 (19'' Wheels)</v>
      </c>
      <c r="AE593" s="25"/>
      <c r="AF593" s="25"/>
      <c r="AG593" s="25"/>
      <c r="AH593" s="25"/>
      <c r="AI593" s="25"/>
      <c r="AJ593" s="25"/>
      <c r="AK593" s="25"/>
      <c r="AL593" s="25"/>
      <c r="AM593" s="25"/>
      <c r="AN593" s="25"/>
      <c r="AO593" s="25"/>
      <c r="AP593" s="25"/>
      <c r="AQ593" s="25"/>
      <c r="AR593" s="25"/>
      <c r="AS593" s="25"/>
      <c r="AT593" s="25"/>
      <c r="AU593" s="25"/>
      <c r="AV593" s="25"/>
      <c r="AW593" s="25"/>
      <c r="AX593" s="25" t="str">
        <f>_xlfn.CONCAT($A594," ",$B594," ",$D594)</f>
        <v>2025 BMW Countryman SE ALL4 (19'' Wheels)</v>
      </c>
      <c r="AY593" s="25"/>
      <c r="AZ593" s="25"/>
      <c r="BA593" s="25"/>
      <c r="BB593" s="25"/>
      <c r="BC593" s="25"/>
      <c r="BD593" s="25"/>
      <c r="BE593" s="25"/>
      <c r="BF593" s="25"/>
      <c r="BG593" s="25"/>
      <c r="BH593" s="25"/>
      <c r="BI593" s="25"/>
      <c r="BJ593" s="25"/>
      <c r="BK593" s="25"/>
      <c r="BL593" s="25"/>
      <c r="BM593" s="25"/>
      <c r="BN593" s="25"/>
      <c r="BO593" s="25"/>
      <c r="BP593" s="25"/>
      <c r="BQ593" s="25"/>
      <c r="BR593" s="25" t="str">
        <f>_xlfn.CONCAT($A594," ",$B594," ",$D594)</f>
        <v>2025 BMW Countryman SE ALL4 (19'' Wheels)</v>
      </c>
      <c r="BS593" s="25"/>
      <c r="BT593" s="25"/>
      <c r="BU593" s="25"/>
      <c r="BV593" s="25"/>
      <c r="BX593" s="25"/>
      <c r="BY593" s="25"/>
      <c r="BZ593" s="25"/>
      <c r="CA593" s="25"/>
      <c r="CB593" s="25"/>
      <c r="CC593" s="25"/>
      <c r="CD593" s="25"/>
      <c r="CE593" s="25"/>
      <c r="CF593" s="25"/>
      <c r="CG593" s="25"/>
      <c r="CH593" s="25"/>
      <c r="CI593" s="25"/>
      <c r="CJ593" s="25"/>
      <c r="CK593" s="25"/>
      <c r="CL593" s="25"/>
      <c r="CM593" s="25"/>
      <c r="CN593" s="25"/>
      <c r="CO593" s="25"/>
      <c r="CP593" s="25" t="str">
        <f>_xlfn.CONCAT($A594," ",$B594," ",$D594)</f>
        <v>2025 BMW Countryman SE ALL4 (19'' Wheels)</v>
      </c>
      <c r="CQ593" s="25"/>
      <c r="CR593" s="25"/>
      <c r="CS593" s="25"/>
      <c r="CT593" s="25"/>
      <c r="CU593" s="25"/>
      <c r="CV593" s="25"/>
      <c r="CW593" s="25"/>
      <c r="CX593" s="25"/>
      <c r="CY593" s="25"/>
      <c r="CZ593" s="25"/>
      <c r="DA593" s="25"/>
      <c r="DB593" s="25"/>
      <c r="DC593" s="25"/>
      <c r="DD593" s="25"/>
      <c r="DE593" s="25"/>
      <c r="DF593" s="25"/>
      <c r="DG593" s="25"/>
      <c r="DH593" s="25"/>
      <c r="DI593" s="25" t="str">
        <f>_xlfn.CONCAT($A594," ",$B594," ",$D594)</f>
        <v>2025 BMW Countryman SE ALL4 (19'' Wheels)</v>
      </c>
      <c r="DJ593" s="25"/>
      <c r="DK593" s="25"/>
      <c r="DL593" s="25"/>
      <c r="DM593" s="25"/>
      <c r="DN593" s="25"/>
      <c r="DO593" s="25"/>
      <c r="DP593" s="25"/>
      <c r="DQ593" s="25"/>
      <c r="DR593" s="25"/>
      <c r="DS593" s="25"/>
      <c r="DT593" s="25"/>
      <c r="DU593" s="25"/>
      <c r="DV593" s="25"/>
      <c r="DW593" s="25"/>
      <c r="DX593" s="25"/>
      <c r="DY593" s="25"/>
      <c r="DZ593" s="25" t="str">
        <f>_xlfn.CONCAT($A594," ",$B594," ",$D594)</f>
        <v>2025 BMW Countryman SE ALL4 (19'' Wheels)</v>
      </c>
      <c r="EB593" s="25"/>
      <c r="EC593" s="25"/>
      <c r="ED593" s="25"/>
      <c r="EE593" s="25"/>
      <c r="EF593" s="25"/>
      <c r="EG593" s="25"/>
      <c r="EH593" s="25"/>
      <c r="EI593" s="25"/>
      <c r="EJ593" s="25"/>
      <c r="EK593" s="25"/>
      <c r="EL593" s="25"/>
      <c r="EM593" s="25"/>
      <c r="EN593" s="25"/>
      <c r="EO593" s="25"/>
      <c r="EP593" s="25"/>
      <c r="EQ593" s="25"/>
      <c r="ER593" s="25"/>
      <c r="ES593" s="25"/>
      <c r="ET593" s="25"/>
      <c r="EU593" s="25"/>
      <c r="EV593" s="25" t="str">
        <f>_xlfn.CONCAT($A594," ",$B594," ",$D594)</f>
        <v>2025 BMW Countryman SE ALL4 (19'' Wheels)</v>
      </c>
      <c r="EW593" s="25"/>
      <c r="EX593" s="25"/>
      <c r="EY593" s="25"/>
      <c r="EZ593" s="25"/>
      <c r="FA593" s="25"/>
      <c r="FB593" s="25"/>
      <c r="FC593" s="25"/>
      <c r="FD593" s="25"/>
      <c r="FE593" s="25"/>
      <c r="FF593" s="25"/>
      <c r="FG593" s="25"/>
    </row>
    <row r="594" spans="1:165" x14ac:dyDescent="0.35">
      <c r="A594">
        <v>2025</v>
      </c>
      <c r="B594" t="s">
        <v>189</v>
      </c>
      <c r="C594" t="s">
        <v>349</v>
      </c>
      <c r="D594" t="s">
        <v>2132</v>
      </c>
      <c r="E594" t="s">
        <v>191</v>
      </c>
      <c r="F594">
        <v>99</v>
      </c>
      <c r="G594">
        <v>0</v>
      </c>
      <c r="I594" t="s">
        <v>1734</v>
      </c>
      <c r="J594">
        <v>94</v>
      </c>
      <c r="K594">
        <v>88</v>
      </c>
      <c r="L594">
        <v>91</v>
      </c>
      <c r="M594">
        <v>134.6</v>
      </c>
      <c r="N594">
        <v>126.1</v>
      </c>
      <c r="O594">
        <v>130.63740000000001</v>
      </c>
      <c r="P594">
        <v>94.22</v>
      </c>
      <c r="Q594">
        <v>88.27</v>
      </c>
      <c r="R594">
        <v>91.446200000000005</v>
      </c>
      <c r="V594" t="s">
        <v>167</v>
      </c>
      <c r="W594" t="s">
        <v>168</v>
      </c>
      <c r="Y594">
        <v>1</v>
      </c>
      <c r="Z594" t="s">
        <v>170</v>
      </c>
      <c r="AA594" t="s">
        <v>170</v>
      </c>
      <c r="AB594" t="s">
        <v>167</v>
      </c>
      <c r="AC594" t="s">
        <v>213</v>
      </c>
      <c r="AF594">
        <v>204</v>
      </c>
      <c r="AG594" t="s">
        <v>1735</v>
      </c>
      <c r="AH594" t="s">
        <v>1736</v>
      </c>
      <c r="AI594" t="s">
        <v>175</v>
      </c>
      <c r="AJ594" t="s">
        <v>176</v>
      </c>
      <c r="AK594" t="s">
        <v>940</v>
      </c>
      <c r="AL594" t="s">
        <v>941</v>
      </c>
      <c r="AQ594">
        <v>96</v>
      </c>
      <c r="AR594">
        <v>26</v>
      </c>
      <c r="AS594">
        <v>900</v>
      </c>
      <c r="AT594">
        <v>900</v>
      </c>
      <c r="BQ594">
        <v>31</v>
      </c>
      <c r="BR594" t="s">
        <v>1219</v>
      </c>
      <c r="BT594" t="s">
        <v>1769</v>
      </c>
      <c r="BU594" s="1">
        <v>45457</v>
      </c>
      <c r="BV594">
        <v>34859</v>
      </c>
      <c r="BX594" t="s">
        <v>169</v>
      </c>
      <c r="BY594" t="s">
        <v>170</v>
      </c>
      <c r="CB594" t="s">
        <v>170</v>
      </c>
      <c r="CC594" t="s">
        <v>170</v>
      </c>
      <c r="CK594" t="s">
        <v>233</v>
      </c>
      <c r="CM594">
        <v>5</v>
      </c>
      <c r="CN594" t="s">
        <v>234</v>
      </c>
      <c r="CP594">
        <v>286</v>
      </c>
      <c r="CQ594">
        <v>232</v>
      </c>
      <c r="CR594">
        <v>152</v>
      </c>
      <c r="CS594" t="s">
        <v>235</v>
      </c>
      <c r="CV594" t="s">
        <v>341</v>
      </c>
      <c r="CX594" t="s">
        <v>342</v>
      </c>
      <c r="CY594" t="s">
        <v>169</v>
      </c>
      <c r="DC594" t="s">
        <v>1820</v>
      </c>
      <c r="DD594">
        <v>2</v>
      </c>
      <c r="DE594" t="s">
        <v>404</v>
      </c>
      <c r="DF594" t="s">
        <v>405</v>
      </c>
      <c r="DG594" t="s">
        <v>1787</v>
      </c>
      <c r="DL594" t="s">
        <v>170</v>
      </c>
      <c r="DM594" t="s">
        <v>169</v>
      </c>
      <c r="DP594" t="s">
        <v>170</v>
      </c>
      <c r="DQ594" t="s">
        <v>187</v>
      </c>
      <c r="EB594">
        <v>9</v>
      </c>
      <c r="EC594">
        <v>10</v>
      </c>
      <c r="EE594" t="s">
        <v>2131</v>
      </c>
      <c r="EF594">
        <v>10</v>
      </c>
      <c r="EU594">
        <v>5000</v>
      </c>
      <c r="EW594">
        <v>0</v>
      </c>
      <c r="EX594">
        <v>0</v>
      </c>
      <c r="EY594">
        <v>0</v>
      </c>
      <c r="FA594">
        <v>8</v>
      </c>
      <c r="FG594">
        <v>210</v>
      </c>
      <c r="FH594">
        <v>197</v>
      </c>
      <c r="FI594">
        <v>204</v>
      </c>
    </row>
    <row r="595" spans="1:165" x14ac:dyDescent="0.35">
      <c r="A595">
        <v>2025</v>
      </c>
      <c r="B595" t="s">
        <v>189</v>
      </c>
      <c r="C595" t="s">
        <v>349</v>
      </c>
      <c r="D595" t="s">
        <v>2132</v>
      </c>
      <c r="E595" t="s">
        <v>191</v>
      </c>
      <c r="F595">
        <v>99</v>
      </c>
      <c r="G595">
        <v>0</v>
      </c>
      <c r="I595" t="s">
        <v>1734</v>
      </c>
      <c r="J595">
        <v>36</v>
      </c>
      <c r="K595">
        <v>38</v>
      </c>
      <c r="L595">
        <v>37</v>
      </c>
      <c r="M595">
        <v>25.048200000000001</v>
      </c>
      <c r="N595">
        <v>26.724</v>
      </c>
      <c r="O595">
        <v>25.802299999999999</v>
      </c>
      <c r="P595">
        <v>35.7727</v>
      </c>
      <c r="Q595">
        <v>38.183999999999997</v>
      </c>
      <c r="R595">
        <v>36.857700000000001</v>
      </c>
      <c r="V595" t="s">
        <v>167</v>
      </c>
      <c r="W595" t="s">
        <v>168</v>
      </c>
      <c r="Y595">
        <v>1</v>
      </c>
      <c r="Z595" t="s">
        <v>170</v>
      </c>
      <c r="AA595" t="s">
        <v>170</v>
      </c>
      <c r="AB595" t="s">
        <v>167</v>
      </c>
      <c r="AC595" t="s">
        <v>213</v>
      </c>
      <c r="AF595">
        <v>204</v>
      </c>
      <c r="AG595" t="s">
        <v>1735</v>
      </c>
      <c r="AH595" t="s">
        <v>1736</v>
      </c>
      <c r="AI595" t="s">
        <v>1742</v>
      </c>
      <c r="AJ595" t="s">
        <v>1743</v>
      </c>
      <c r="AK595" t="s">
        <v>940</v>
      </c>
      <c r="AL595" t="s">
        <v>941</v>
      </c>
      <c r="AQ595">
        <v>96</v>
      </c>
      <c r="AR595">
        <v>26</v>
      </c>
      <c r="AS595">
        <v>900</v>
      </c>
      <c r="AT595">
        <v>900</v>
      </c>
      <c r="BQ595">
        <v>31</v>
      </c>
      <c r="BR595" t="s">
        <v>1219</v>
      </c>
      <c r="BT595" t="s">
        <v>1769</v>
      </c>
      <c r="BU595" s="1">
        <v>45457</v>
      </c>
      <c r="BV595">
        <v>34859</v>
      </c>
      <c r="BX595" t="s">
        <v>169</v>
      </c>
      <c r="BY595" t="s">
        <v>170</v>
      </c>
      <c r="CB595" t="s">
        <v>170</v>
      </c>
      <c r="CC595" t="s">
        <v>170</v>
      </c>
      <c r="CK595" t="s">
        <v>233</v>
      </c>
      <c r="CM595">
        <v>5</v>
      </c>
      <c r="CN595" t="s">
        <v>234</v>
      </c>
      <c r="CP595">
        <v>286</v>
      </c>
      <c r="CQ595">
        <v>232</v>
      </c>
      <c r="CR595">
        <v>152</v>
      </c>
      <c r="CS595" t="s">
        <v>235</v>
      </c>
      <c r="CV595" t="s">
        <v>341</v>
      </c>
      <c r="CX595" t="s">
        <v>342</v>
      </c>
      <c r="CY595" t="s">
        <v>169</v>
      </c>
      <c r="DC595" t="s">
        <v>1820</v>
      </c>
      <c r="DD595">
        <v>2</v>
      </c>
      <c r="DE595" t="s">
        <v>404</v>
      </c>
      <c r="DF595" t="s">
        <v>405</v>
      </c>
      <c r="DG595" t="s">
        <v>1787</v>
      </c>
      <c r="DL595" t="s">
        <v>170</v>
      </c>
      <c r="DM595" t="s">
        <v>169</v>
      </c>
      <c r="DP595" t="s">
        <v>170</v>
      </c>
      <c r="DQ595" t="s">
        <v>187</v>
      </c>
      <c r="EB595">
        <v>9</v>
      </c>
      <c r="EC595">
        <v>10</v>
      </c>
      <c r="EE595" t="s">
        <v>2131</v>
      </c>
      <c r="EF595">
        <v>10</v>
      </c>
      <c r="EU595">
        <v>5000</v>
      </c>
      <c r="EW595">
        <v>0</v>
      </c>
      <c r="EX595">
        <v>0</v>
      </c>
      <c r="EY595">
        <v>0</v>
      </c>
      <c r="FA595">
        <v>8</v>
      </c>
      <c r="FG595">
        <v>210</v>
      </c>
      <c r="FH595">
        <v>197</v>
      </c>
      <c r="FI595">
        <v>204</v>
      </c>
    </row>
    <row r="596" spans="1:165" x14ac:dyDescent="0.35">
      <c r="A596" s="25"/>
      <c r="B596" s="25"/>
      <c r="C596" s="25"/>
      <c r="D596" s="25"/>
      <c r="E596" s="25"/>
      <c r="F596" s="25" t="str">
        <f>_xlfn.CONCAT($A597," ",$B597," ",$D597)</f>
        <v>2025 Nissan ARIYA ENGAGE+/EVOLVE+ e-4ORCE 87kWh</v>
      </c>
      <c r="G596" s="25"/>
      <c r="H596" s="25"/>
      <c r="I596" s="25"/>
      <c r="J596" s="25"/>
      <c r="K596" s="25"/>
      <c r="L596" s="25"/>
      <c r="M596" s="25"/>
      <c r="N596" s="25"/>
      <c r="O596" s="25"/>
      <c r="P596" s="25"/>
      <c r="Q596" s="25"/>
      <c r="R596" s="25"/>
      <c r="S596" s="25"/>
      <c r="T596" s="25"/>
      <c r="U596" s="25"/>
      <c r="V596" s="25"/>
      <c r="W596" s="25"/>
      <c r="X596" s="25"/>
      <c r="Y596" s="25"/>
      <c r="Z596" s="25"/>
      <c r="AA596" s="25"/>
      <c r="AB596" s="25"/>
      <c r="AC596" s="25"/>
      <c r="AD596" s="25" t="str">
        <f>_xlfn.CONCAT($A597," ",$B597," ",$D597)</f>
        <v>2025 Nissan ARIYA ENGAGE+/EVOLVE+ e-4ORCE 87kWh</v>
      </c>
      <c r="AE596" s="25"/>
      <c r="AF596" s="25"/>
      <c r="AG596" s="25"/>
      <c r="AH596" s="25"/>
      <c r="AI596" s="25"/>
      <c r="AJ596" s="25"/>
      <c r="AK596" s="25"/>
      <c r="AL596" s="25"/>
      <c r="AM596" s="25"/>
      <c r="AN596" s="25"/>
      <c r="AO596" s="25"/>
      <c r="AP596" s="25"/>
      <c r="AQ596" s="25"/>
      <c r="AR596" s="25"/>
      <c r="AS596" s="25"/>
      <c r="AT596" s="25"/>
      <c r="AU596" s="25"/>
      <c r="AV596" s="25"/>
      <c r="AW596" s="25"/>
      <c r="AX596" s="25" t="str">
        <f>_xlfn.CONCAT($A597," ",$B597," ",$D597)</f>
        <v>2025 Nissan ARIYA ENGAGE+/EVOLVE+ e-4ORCE 87kWh</v>
      </c>
      <c r="AY596" s="25"/>
      <c r="AZ596" s="25"/>
      <c r="BA596" s="25"/>
      <c r="BB596" s="25"/>
      <c r="BC596" s="25"/>
      <c r="BD596" s="25"/>
      <c r="BE596" s="25"/>
      <c r="BF596" s="25"/>
      <c r="BG596" s="25"/>
      <c r="BH596" s="25"/>
      <c r="BI596" s="25"/>
      <c r="BJ596" s="25"/>
      <c r="BK596" s="25"/>
      <c r="BL596" s="25"/>
      <c r="BM596" s="25"/>
      <c r="BN596" s="25"/>
      <c r="BO596" s="25"/>
      <c r="BP596" s="25"/>
      <c r="BQ596" s="25"/>
      <c r="BR596" s="25" t="str">
        <f>_xlfn.CONCAT($A597," ",$B597," ",$D597)</f>
        <v>2025 Nissan ARIYA ENGAGE+/EVOLVE+ e-4ORCE 87kWh</v>
      </c>
      <c r="BS596" s="25"/>
      <c r="BT596" s="25"/>
      <c r="BU596" s="25"/>
      <c r="BV596" s="25"/>
      <c r="BX596" s="25"/>
      <c r="BY596" s="25"/>
      <c r="BZ596" s="25"/>
      <c r="CA596" s="25"/>
      <c r="CB596" s="25"/>
      <c r="CC596" s="25"/>
      <c r="CD596" s="25"/>
      <c r="CE596" s="25"/>
      <c r="CF596" s="25"/>
      <c r="CG596" s="25"/>
      <c r="CH596" s="25"/>
      <c r="CI596" s="25"/>
      <c r="CJ596" s="25"/>
      <c r="CK596" s="25"/>
      <c r="CL596" s="25"/>
      <c r="CM596" s="25"/>
      <c r="CN596" s="25"/>
      <c r="CO596" s="25"/>
      <c r="CP596" s="25" t="str">
        <f>_xlfn.CONCAT($A597," ",$B597," ",$D597)</f>
        <v>2025 Nissan ARIYA ENGAGE+/EVOLVE+ e-4ORCE 87kWh</v>
      </c>
      <c r="CQ596" s="25"/>
      <c r="CR596" s="25"/>
      <c r="CS596" s="25"/>
      <c r="CT596" s="25"/>
      <c r="CU596" s="25"/>
      <c r="CV596" s="25"/>
      <c r="CW596" s="25"/>
      <c r="CX596" s="25"/>
      <c r="CY596" s="25"/>
      <c r="CZ596" s="25"/>
      <c r="DA596" s="25"/>
      <c r="DB596" s="25"/>
      <c r="DC596" s="25"/>
      <c r="DD596" s="25"/>
      <c r="DE596" s="25"/>
      <c r="DF596" s="25"/>
      <c r="DG596" s="25"/>
      <c r="DH596" s="25"/>
      <c r="DI596" s="25" t="str">
        <f>_xlfn.CONCAT($A597," ",$B597," ",$D597)</f>
        <v>2025 Nissan ARIYA ENGAGE+/EVOLVE+ e-4ORCE 87kWh</v>
      </c>
      <c r="DJ596" s="25"/>
      <c r="DK596" s="25"/>
      <c r="DL596" s="25"/>
      <c r="DM596" s="25"/>
      <c r="DN596" s="25"/>
      <c r="DO596" s="25"/>
      <c r="DP596" s="25"/>
      <c r="DQ596" s="25"/>
      <c r="DR596" s="25"/>
      <c r="DS596" s="25"/>
      <c r="DT596" s="25"/>
      <c r="DU596" s="25"/>
      <c r="DV596" s="25"/>
      <c r="DW596" s="25"/>
      <c r="DX596" s="25"/>
      <c r="DY596" s="25"/>
      <c r="DZ596" s="25" t="str">
        <f>_xlfn.CONCAT($A597," ",$B597," ",$D597)</f>
        <v>2025 Nissan ARIYA ENGAGE+/EVOLVE+ e-4ORCE 87kWh</v>
      </c>
      <c r="EB596" s="25"/>
      <c r="EC596" s="25"/>
      <c r="ED596" s="25"/>
      <c r="EE596" s="25"/>
      <c r="EF596" s="25"/>
      <c r="EG596" s="25"/>
      <c r="EH596" s="25"/>
      <c r="EI596" s="25"/>
      <c r="EJ596" s="25"/>
      <c r="EK596" s="25"/>
      <c r="EL596" s="25"/>
      <c r="EM596" s="25"/>
      <c r="EN596" s="25"/>
      <c r="EO596" s="25"/>
      <c r="EP596" s="25"/>
      <c r="EQ596" s="25"/>
      <c r="ER596" s="25"/>
      <c r="ES596" s="25"/>
      <c r="ET596" s="25"/>
      <c r="EU596" s="25"/>
      <c r="EV596" s="25" t="str">
        <f>_xlfn.CONCAT($A597," ",$B597," ",$D597)</f>
        <v>2025 Nissan ARIYA ENGAGE+/EVOLVE+ e-4ORCE 87kWh</v>
      </c>
      <c r="EW596" s="25"/>
      <c r="EX596" s="25"/>
      <c r="EY596" s="25"/>
      <c r="EZ596" s="25"/>
      <c r="FA596" s="25"/>
      <c r="FB596" s="25"/>
      <c r="FC596" s="25"/>
      <c r="FD596" s="25"/>
      <c r="FE596" s="25"/>
      <c r="FF596" s="25"/>
      <c r="FG596" s="25"/>
    </row>
    <row r="597" spans="1:165" x14ac:dyDescent="0.35">
      <c r="A597">
        <v>2025</v>
      </c>
      <c r="B597" t="s">
        <v>288</v>
      </c>
      <c r="C597" t="s">
        <v>289</v>
      </c>
      <c r="D597" t="s">
        <v>2137</v>
      </c>
      <c r="E597" t="s">
        <v>291</v>
      </c>
      <c r="F597">
        <v>5</v>
      </c>
      <c r="G597">
        <v>0</v>
      </c>
      <c r="I597" t="s">
        <v>1734</v>
      </c>
      <c r="J597">
        <v>97</v>
      </c>
      <c r="K597">
        <v>86</v>
      </c>
      <c r="L597">
        <v>92</v>
      </c>
      <c r="M597">
        <v>138.9</v>
      </c>
      <c r="N597">
        <v>123.3</v>
      </c>
      <c r="O597">
        <v>131.4178</v>
      </c>
      <c r="P597">
        <v>97.23</v>
      </c>
      <c r="Q597">
        <v>86.31</v>
      </c>
      <c r="R597">
        <v>91.992500000000007</v>
      </c>
      <c r="V597" t="s">
        <v>167</v>
      </c>
      <c r="W597" t="s">
        <v>168</v>
      </c>
      <c r="Y597">
        <v>1</v>
      </c>
      <c r="Z597" t="s">
        <v>169</v>
      </c>
      <c r="AA597" t="s">
        <v>170</v>
      </c>
      <c r="AB597" t="s">
        <v>167</v>
      </c>
      <c r="AC597" t="s">
        <v>213</v>
      </c>
      <c r="AF597">
        <v>272</v>
      </c>
      <c r="AG597" t="s">
        <v>1735</v>
      </c>
      <c r="AH597" t="s">
        <v>1736</v>
      </c>
      <c r="AI597" t="s">
        <v>175</v>
      </c>
      <c r="AJ597" t="s">
        <v>176</v>
      </c>
      <c r="AK597" t="s">
        <v>940</v>
      </c>
      <c r="AL597" t="s">
        <v>941</v>
      </c>
      <c r="AO597">
        <v>101</v>
      </c>
      <c r="AP597">
        <v>28</v>
      </c>
      <c r="AS597">
        <v>900</v>
      </c>
      <c r="AT597">
        <v>900</v>
      </c>
      <c r="BQ597">
        <v>31</v>
      </c>
      <c r="BR597" t="s">
        <v>1219</v>
      </c>
      <c r="BT597" t="s">
        <v>1738</v>
      </c>
      <c r="BU597" s="1">
        <v>45596</v>
      </c>
      <c r="BV597">
        <v>35625</v>
      </c>
      <c r="BX597" t="s">
        <v>169</v>
      </c>
      <c r="BY597" t="s">
        <v>170</v>
      </c>
      <c r="CB597" t="s">
        <v>170</v>
      </c>
      <c r="CC597" t="s">
        <v>170</v>
      </c>
      <c r="CK597" t="s">
        <v>233</v>
      </c>
      <c r="CM597">
        <v>1</v>
      </c>
      <c r="CN597" t="s">
        <v>234</v>
      </c>
      <c r="CP597">
        <v>352</v>
      </c>
      <c r="CQ597">
        <v>258</v>
      </c>
      <c r="CR597">
        <v>156.4</v>
      </c>
      <c r="CS597" t="s">
        <v>235</v>
      </c>
      <c r="CV597" t="s">
        <v>341</v>
      </c>
      <c r="CX597" t="s">
        <v>342</v>
      </c>
      <c r="CY597" t="s">
        <v>170</v>
      </c>
      <c r="DD597">
        <v>2</v>
      </c>
      <c r="DE597" t="s">
        <v>404</v>
      </c>
      <c r="DF597" t="s">
        <v>2134</v>
      </c>
      <c r="DG597" t="s">
        <v>2135</v>
      </c>
      <c r="DL597" t="s">
        <v>170</v>
      </c>
      <c r="DM597" t="s">
        <v>169</v>
      </c>
      <c r="DP597" t="s">
        <v>170</v>
      </c>
      <c r="DQ597" t="s">
        <v>187</v>
      </c>
      <c r="EB597">
        <v>9</v>
      </c>
      <c r="EC597">
        <v>10</v>
      </c>
      <c r="EE597" t="s">
        <v>2138</v>
      </c>
      <c r="EF597">
        <v>10</v>
      </c>
      <c r="EU597">
        <v>5000</v>
      </c>
      <c r="EW597">
        <v>0</v>
      </c>
      <c r="EX597">
        <v>0</v>
      </c>
      <c r="EY597">
        <v>0</v>
      </c>
      <c r="FA597">
        <v>13</v>
      </c>
      <c r="FG597">
        <v>286</v>
      </c>
      <c r="FH597">
        <v>254</v>
      </c>
      <c r="FI597">
        <v>272</v>
      </c>
    </row>
    <row r="598" spans="1:165" x14ac:dyDescent="0.35">
      <c r="A598">
        <v>2025</v>
      </c>
      <c r="B598" t="s">
        <v>288</v>
      </c>
      <c r="C598" t="s">
        <v>289</v>
      </c>
      <c r="D598" t="s">
        <v>2137</v>
      </c>
      <c r="E598" t="s">
        <v>291</v>
      </c>
      <c r="F598">
        <v>5</v>
      </c>
      <c r="G598">
        <v>0</v>
      </c>
      <c r="I598" t="s">
        <v>1734</v>
      </c>
      <c r="J598">
        <v>35</v>
      </c>
      <c r="K598">
        <v>39</v>
      </c>
      <c r="L598">
        <v>37</v>
      </c>
      <c r="M598">
        <v>24.264299999999999</v>
      </c>
      <c r="N598">
        <v>27.3371</v>
      </c>
      <c r="O598">
        <v>25.646999999999998</v>
      </c>
      <c r="P598">
        <v>34.665199999999999</v>
      </c>
      <c r="Q598">
        <v>39.051099999999998</v>
      </c>
      <c r="R598">
        <v>36.6389</v>
      </c>
      <c r="V598" t="s">
        <v>167</v>
      </c>
      <c r="W598" t="s">
        <v>168</v>
      </c>
      <c r="Y598">
        <v>1</v>
      </c>
      <c r="Z598" t="s">
        <v>169</v>
      </c>
      <c r="AA598" t="s">
        <v>170</v>
      </c>
      <c r="AB598" t="s">
        <v>167</v>
      </c>
      <c r="AC598" t="s">
        <v>213</v>
      </c>
      <c r="AF598">
        <v>272</v>
      </c>
      <c r="AG598" t="s">
        <v>1735</v>
      </c>
      <c r="AH598" t="s">
        <v>1736</v>
      </c>
      <c r="AI598" t="s">
        <v>1742</v>
      </c>
      <c r="AJ598" t="s">
        <v>1743</v>
      </c>
      <c r="AK598" t="s">
        <v>940</v>
      </c>
      <c r="AL598" t="s">
        <v>941</v>
      </c>
      <c r="AO598">
        <v>101</v>
      </c>
      <c r="AP598">
        <v>28</v>
      </c>
      <c r="AS598">
        <v>900</v>
      </c>
      <c r="AT598">
        <v>900</v>
      </c>
      <c r="BQ598">
        <v>31</v>
      </c>
      <c r="BR598" t="s">
        <v>1219</v>
      </c>
      <c r="BT598" t="s">
        <v>1738</v>
      </c>
      <c r="BU598" s="1">
        <v>45596</v>
      </c>
      <c r="BV598">
        <v>35625</v>
      </c>
      <c r="BX598" t="s">
        <v>169</v>
      </c>
      <c r="BY598" t="s">
        <v>170</v>
      </c>
      <c r="CB598" t="s">
        <v>170</v>
      </c>
      <c r="CC598" t="s">
        <v>170</v>
      </c>
      <c r="CK598" t="s">
        <v>233</v>
      </c>
      <c r="CM598">
        <v>1</v>
      </c>
      <c r="CN598" t="s">
        <v>234</v>
      </c>
      <c r="CP598">
        <v>352</v>
      </c>
      <c r="CQ598">
        <v>258</v>
      </c>
      <c r="CR598">
        <v>156.4</v>
      </c>
      <c r="CS598" t="s">
        <v>235</v>
      </c>
      <c r="CV598" t="s">
        <v>341</v>
      </c>
      <c r="CX598" t="s">
        <v>342</v>
      </c>
      <c r="CY598" t="s">
        <v>170</v>
      </c>
      <c r="DD598">
        <v>2</v>
      </c>
      <c r="DE598" t="s">
        <v>404</v>
      </c>
      <c r="DF598" t="s">
        <v>2134</v>
      </c>
      <c r="DG598" t="s">
        <v>2135</v>
      </c>
      <c r="DL598" t="s">
        <v>170</v>
      </c>
      <c r="DM598" t="s">
        <v>169</v>
      </c>
      <c r="DP598" t="s">
        <v>170</v>
      </c>
      <c r="DQ598" t="s">
        <v>187</v>
      </c>
      <c r="EB598">
        <v>9</v>
      </c>
      <c r="EC598">
        <v>10</v>
      </c>
      <c r="EE598" t="s">
        <v>2138</v>
      </c>
      <c r="EF598">
        <v>10</v>
      </c>
      <c r="EU598">
        <v>5000</v>
      </c>
      <c r="EW598">
        <v>0</v>
      </c>
      <c r="EX598">
        <v>0</v>
      </c>
      <c r="EY598">
        <v>0</v>
      </c>
      <c r="FA598">
        <v>13</v>
      </c>
      <c r="FG598">
        <v>286</v>
      </c>
      <c r="FH598">
        <v>254</v>
      </c>
      <c r="FI598">
        <v>272</v>
      </c>
    </row>
    <row r="599" spans="1:165" x14ac:dyDescent="0.35">
      <c r="A599" s="25"/>
      <c r="B599" s="25"/>
      <c r="C599" s="25"/>
      <c r="D599" s="25"/>
      <c r="E599" s="25"/>
      <c r="F599" s="25" t="str">
        <f>_xlfn.CONCAT($A600," ",$B600," ",$D600)</f>
        <v>2025 Nissan ARIYA PLATINUM+ e-4ORCE 87kWh 19in. Wheels</v>
      </c>
      <c r="G599" s="25"/>
      <c r="H599" s="25"/>
      <c r="I599" s="25"/>
      <c r="J599" s="25"/>
      <c r="K599" s="25"/>
      <c r="L599" s="25"/>
      <c r="M599" s="25"/>
      <c r="N599" s="25"/>
      <c r="O599" s="25"/>
      <c r="P599" s="25"/>
      <c r="Q599" s="25"/>
      <c r="R599" s="25"/>
      <c r="S599" s="25"/>
      <c r="T599" s="25"/>
      <c r="U599" s="25"/>
      <c r="V599" s="25"/>
      <c r="W599" s="25"/>
      <c r="X599" s="25"/>
      <c r="Y599" s="25"/>
      <c r="Z599" s="25"/>
      <c r="AA599" s="25"/>
      <c r="AB599" s="25"/>
      <c r="AC599" s="25"/>
      <c r="AD599" s="25" t="str">
        <f>_xlfn.CONCAT($A600," ",$B600," ",$D600)</f>
        <v>2025 Nissan ARIYA PLATINUM+ e-4ORCE 87kWh 19in. Wheels</v>
      </c>
      <c r="AE599" s="25"/>
      <c r="AF599" s="25"/>
      <c r="AG599" s="25"/>
      <c r="AH599" s="25"/>
      <c r="AI599" s="25"/>
      <c r="AJ599" s="25"/>
      <c r="AK599" s="25"/>
      <c r="AL599" s="25"/>
      <c r="AM599" s="25"/>
      <c r="AN599" s="25"/>
      <c r="AO599" s="25"/>
      <c r="AP599" s="25"/>
      <c r="AQ599" s="25"/>
      <c r="AR599" s="25"/>
      <c r="AS599" s="25"/>
      <c r="AT599" s="25"/>
      <c r="AU599" s="25"/>
      <c r="AV599" s="25"/>
      <c r="AW599" s="25"/>
      <c r="AX599" s="25" t="str">
        <f>_xlfn.CONCAT($A600," ",$B600," ",$D600)</f>
        <v>2025 Nissan ARIYA PLATINUM+ e-4ORCE 87kWh 19in. Wheels</v>
      </c>
      <c r="AY599" s="25"/>
      <c r="AZ599" s="25"/>
      <c r="BA599" s="25"/>
      <c r="BB599" s="25"/>
      <c r="BC599" s="25"/>
      <c r="BD599" s="25"/>
      <c r="BE599" s="25"/>
      <c r="BF599" s="25"/>
      <c r="BG599" s="25"/>
      <c r="BH599" s="25"/>
      <c r="BI599" s="25"/>
      <c r="BJ599" s="25"/>
      <c r="BK599" s="25"/>
      <c r="BL599" s="25"/>
      <c r="BM599" s="25"/>
      <c r="BN599" s="25"/>
      <c r="BO599" s="25"/>
      <c r="BP599" s="25"/>
      <c r="BQ599" s="25"/>
      <c r="BR599" s="25" t="str">
        <f>_xlfn.CONCAT($A600," ",$B600," ",$D600)</f>
        <v>2025 Nissan ARIYA PLATINUM+ e-4ORCE 87kWh 19in. Wheels</v>
      </c>
      <c r="BS599" s="25"/>
      <c r="BT599" s="25"/>
      <c r="BU599" s="25"/>
      <c r="BV599" s="25"/>
      <c r="BX599" s="25"/>
      <c r="BY599" s="25"/>
      <c r="BZ599" s="25"/>
      <c r="CA599" s="25"/>
      <c r="CB599" s="25"/>
      <c r="CC599" s="25"/>
      <c r="CD599" s="25"/>
      <c r="CE599" s="25"/>
      <c r="CF599" s="25"/>
      <c r="CG599" s="25"/>
      <c r="CH599" s="25"/>
      <c r="CI599" s="25"/>
      <c r="CJ599" s="25"/>
      <c r="CK599" s="25"/>
      <c r="CL599" s="25"/>
      <c r="CM599" s="25"/>
      <c r="CN599" s="25"/>
      <c r="CO599" s="25"/>
      <c r="CP599" s="25" t="str">
        <f>_xlfn.CONCAT($A600," ",$B600," ",$D600)</f>
        <v>2025 Nissan ARIYA PLATINUM+ e-4ORCE 87kWh 19in. Wheels</v>
      </c>
      <c r="CQ599" s="25"/>
      <c r="CR599" s="25"/>
      <c r="CS599" s="25"/>
      <c r="CT599" s="25"/>
      <c r="CU599" s="25"/>
      <c r="CV599" s="25"/>
      <c r="CW599" s="25"/>
      <c r="CX599" s="25"/>
      <c r="CY599" s="25"/>
      <c r="CZ599" s="25"/>
      <c r="DA599" s="25"/>
      <c r="DB599" s="25"/>
      <c r="DC599" s="25"/>
      <c r="DD599" s="25"/>
      <c r="DE599" s="25"/>
      <c r="DF599" s="25"/>
      <c r="DG599" s="25"/>
      <c r="DH599" s="25"/>
      <c r="DI599" s="25" t="str">
        <f>_xlfn.CONCAT($A600," ",$B600," ",$D600)</f>
        <v>2025 Nissan ARIYA PLATINUM+ e-4ORCE 87kWh 19in. Wheels</v>
      </c>
      <c r="DJ599" s="25"/>
      <c r="DK599" s="25"/>
      <c r="DL599" s="25"/>
      <c r="DM599" s="25"/>
      <c r="DN599" s="25"/>
      <c r="DO599" s="25"/>
      <c r="DP599" s="25"/>
      <c r="DQ599" s="25"/>
      <c r="DR599" s="25"/>
      <c r="DS599" s="25"/>
      <c r="DT599" s="25"/>
      <c r="DU599" s="25"/>
      <c r="DV599" s="25"/>
      <c r="DW599" s="25"/>
      <c r="DX599" s="25"/>
      <c r="DY599" s="25"/>
      <c r="DZ599" s="25" t="str">
        <f>_xlfn.CONCAT($A600," ",$B600," ",$D600)</f>
        <v>2025 Nissan ARIYA PLATINUM+ e-4ORCE 87kWh 19in. Wheels</v>
      </c>
      <c r="EB599" s="25"/>
      <c r="EC599" s="25"/>
      <c r="ED599" s="25"/>
      <c r="EE599" s="25"/>
      <c r="EF599" s="25"/>
      <c r="EG599" s="25"/>
      <c r="EH599" s="25"/>
      <c r="EI599" s="25"/>
      <c r="EJ599" s="25"/>
      <c r="EK599" s="25"/>
      <c r="EL599" s="25"/>
      <c r="EM599" s="25"/>
      <c r="EN599" s="25"/>
      <c r="EO599" s="25"/>
      <c r="EP599" s="25"/>
      <c r="EQ599" s="25"/>
      <c r="ER599" s="25"/>
      <c r="ES599" s="25"/>
      <c r="ET599" s="25"/>
      <c r="EU599" s="25"/>
      <c r="EV599" s="25" t="str">
        <f>_xlfn.CONCAT($A600," ",$B600," ",$D600)</f>
        <v>2025 Nissan ARIYA PLATINUM+ e-4ORCE 87kWh 19in. Wheels</v>
      </c>
      <c r="EW599" s="25"/>
      <c r="EX599" s="25"/>
      <c r="EY599" s="25"/>
      <c r="EZ599" s="25"/>
      <c r="FA599" s="25"/>
      <c r="FB599" s="25"/>
      <c r="FC599" s="25"/>
      <c r="FD599" s="25"/>
      <c r="FE599" s="25"/>
      <c r="FF599" s="25"/>
      <c r="FG599" s="25"/>
    </row>
    <row r="600" spans="1:165" x14ac:dyDescent="0.35">
      <c r="A600">
        <v>2025</v>
      </c>
      <c r="B600" t="s">
        <v>288</v>
      </c>
      <c r="C600" t="s">
        <v>289</v>
      </c>
      <c r="D600" t="s">
        <v>2143</v>
      </c>
      <c r="E600" t="s">
        <v>291</v>
      </c>
      <c r="F600">
        <v>6</v>
      </c>
      <c r="G600">
        <v>0</v>
      </c>
      <c r="I600" t="s">
        <v>1734</v>
      </c>
      <c r="J600">
        <v>93</v>
      </c>
      <c r="K600">
        <v>87</v>
      </c>
      <c r="L600">
        <v>90</v>
      </c>
      <c r="M600">
        <v>133.19999999999999</v>
      </c>
      <c r="N600">
        <v>123.7</v>
      </c>
      <c r="O600">
        <v>128.75049999999999</v>
      </c>
      <c r="P600">
        <v>93.24</v>
      </c>
      <c r="Q600">
        <v>86.59</v>
      </c>
      <c r="R600">
        <v>90.125399999999999</v>
      </c>
      <c r="V600" t="s">
        <v>167</v>
      </c>
      <c r="W600" t="s">
        <v>168</v>
      </c>
      <c r="Y600">
        <v>1</v>
      </c>
      <c r="Z600" t="s">
        <v>169</v>
      </c>
      <c r="AA600" t="s">
        <v>170</v>
      </c>
      <c r="AB600" t="s">
        <v>167</v>
      </c>
      <c r="AC600" t="s">
        <v>213</v>
      </c>
      <c r="AF600">
        <v>267</v>
      </c>
      <c r="AG600" t="s">
        <v>1735</v>
      </c>
      <c r="AH600" t="s">
        <v>1736</v>
      </c>
      <c r="AI600" t="s">
        <v>175</v>
      </c>
      <c r="AJ600" t="s">
        <v>176</v>
      </c>
      <c r="AK600" t="s">
        <v>940</v>
      </c>
      <c r="AL600" t="s">
        <v>941</v>
      </c>
      <c r="AO600">
        <v>97</v>
      </c>
      <c r="AP600">
        <v>28</v>
      </c>
      <c r="AS600">
        <v>900</v>
      </c>
      <c r="AT600">
        <v>900</v>
      </c>
      <c r="BQ600">
        <v>31</v>
      </c>
      <c r="BR600" t="s">
        <v>1219</v>
      </c>
      <c r="BT600" t="s">
        <v>1738</v>
      </c>
      <c r="BU600" s="1">
        <v>45596</v>
      </c>
      <c r="BV600">
        <v>35623</v>
      </c>
      <c r="BX600" t="s">
        <v>169</v>
      </c>
      <c r="BY600" t="s">
        <v>170</v>
      </c>
      <c r="CB600" t="s">
        <v>170</v>
      </c>
      <c r="CC600" t="s">
        <v>170</v>
      </c>
      <c r="CK600" t="s">
        <v>233</v>
      </c>
      <c r="CM600">
        <v>1</v>
      </c>
      <c r="CN600" t="s">
        <v>234</v>
      </c>
      <c r="CP600">
        <v>352</v>
      </c>
      <c r="CQ600">
        <v>258</v>
      </c>
      <c r="CR600">
        <v>156.4</v>
      </c>
      <c r="CS600" t="s">
        <v>235</v>
      </c>
      <c r="CV600" t="s">
        <v>341</v>
      </c>
      <c r="CX600" t="s">
        <v>342</v>
      </c>
      <c r="CY600" t="s">
        <v>170</v>
      </c>
      <c r="DD600">
        <v>2</v>
      </c>
      <c r="DE600" t="s">
        <v>404</v>
      </c>
      <c r="DF600" t="s">
        <v>2134</v>
      </c>
      <c r="DG600" t="s">
        <v>2135</v>
      </c>
      <c r="DL600" t="s">
        <v>170</v>
      </c>
      <c r="DM600" t="s">
        <v>169</v>
      </c>
      <c r="DP600" t="s">
        <v>170</v>
      </c>
      <c r="DQ600" t="s">
        <v>187</v>
      </c>
      <c r="EB600">
        <v>9</v>
      </c>
      <c r="EC600">
        <v>10</v>
      </c>
      <c r="EE600" t="s">
        <v>2138</v>
      </c>
      <c r="EF600">
        <v>10</v>
      </c>
      <c r="EU600">
        <v>5000</v>
      </c>
      <c r="EW600">
        <v>0</v>
      </c>
      <c r="EX600">
        <v>0</v>
      </c>
      <c r="EY600">
        <v>0</v>
      </c>
      <c r="FA600">
        <v>14</v>
      </c>
      <c r="FG600">
        <v>276</v>
      </c>
      <c r="FH600">
        <v>256</v>
      </c>
      <c r="FI600">
        <v>267</v>
      </c>
    </row>
    <row r="601" spans="1:165" x14ac:dyDescent="0.35">
      <c r="A601">
        <v>2025</v>
      </c>
      <c r="B601" t="s">
        <v>288</v>
      </c>
      <c r="C601" t="s">
        <v>289</v>
      </c>
      <c r="D601" t="s">
        <v>2143</v>
      </c>
      <c r="E601" t="s">
        <v>291</v>
      </c>
      <c r="F601">
        <v>6</v>
      </c>
      <c r="G601">
        <v>0</v>
      </c>
      <c r="I601" t="s">
        <v>1734</v>
      </c>
      <c r="J601">
        <v>36</v>
      </c>
      <c r="K601">
        <v>39</v>
      </c>
      <c r="L601">
        <v>37</v>
      </c>
      <c r="M601">
        <v>25.307300000000001</v>
      </c>
      <c r="N601">
        <v>27.243500000000001</v>
      </c>
      <c r="O601">
        <v>26.178599999999999</v>
      </c>
      <c r="P601">
        <v>36.148600000000002</v>
      </c>
      <c r="Q601">
        <v>38.924799999999998</v>
      </c>
      <c r="R601">
        <v>37.3979</v>
      </c>
      <c r="V601" t="s">
        <v>167</v>
      </c>
      <c r="W601" t="s">
        <v>168</v>
      </c>
      <c r="Y601">
        <v>1</v>
      </c>
      <c r="Z601" t="s">
        <v>169</v>
      </c>
      <c r="AA601" t="s">
        <v>170</v>
      </c>
      <c r="AB601" t="s">
        <v>167</v>
      </c>
      <c r="AC601" t="s">
        <v>213</v>
      </c>
      <c r="AF601">
        <v>267</v>
      </c>
      <c r="AG601" t="s">
        <v>1735</v>
      </c>
      <c r="AH601" t="s">
        <v>1736</v>
      </c>
      <c r="AI601" t="s">
        <v>1742</v>
      </c>
      <c r="AJ601" t="s">
        <v>1743</v>
      </c>
      <c r="AK601" t="s">
        <v>940</v>
      </c>
      <c r="AL601" t="s">
        <v>941</v>
      </c>
      <c r="AO601">
        <v>97</v>
      </c>
      <c r="AP601">
        <v>28</v>
      </c>
      <c r="AS601">
        <v>900</v>
      </c>
      <c r="AT601">
        <v>900</v>
      </c>
      <c r="BQ601">
        <v>31</v>
      </c>
      <c r="BR601" t="s">
        <v>1219</v>
      </c>
      <c r="BT601" t="s">
        <v>1738</v>
      </c>
      <c r="BU601" s="1">
        <v>45596</v>
      </c>
      <c r="BV601">
        <v>35623</v>
      </c>
      <c r="BX601" t="s">
        <v>169</v>
      </c>
      <c r="BY601" t="s">
        <v>170</v>
      </c>
      <c r="CB601" t="s">
        <v>170</v>
      </c>
      <c r="CC601" t="s">
        <v>170</v>
      </c>
      <c r="CK601" t="s">
        <v>233</v>
      </c>
      <c r="CM601">
        <v>1</v>
      </c>
      <c r="CN601" t="s">
        <v>234</v>
      </c>
      <c r="CP601">
        <v>352</v>
      </c>
      <c r="CQ601">
        <v>258</v>
      </c>
      <c r="CR601">
        <v>156.4</v>
      </c>
      <c r="CS601" t="s">
        <v>235</v>
      </c>
      <c r="CV601" t="s">
        <v>341</v>
      </c>
      <c r="CX601" t="s">
        <v>342</v>
      </c>
      <c r="CY601" t="s">
        <v>170</v>
      </c>
      <c r="DD601">
        <v>2</v>
      </c>
      <c r="DE601" t="s">
        <v>404</v>
      </c>
      <c r="DF601" t="s">
        <v>2134</v>
      </c>
      <c r="DG601" t="s">
        <v>2135</v>
      </c>
      <c r="DL601" t="s">
        <v>170</v>
      </c>
      <c r="DM601" t="s">
        <v>169</v>
      </c>
      <c r="DP601" t="s">
        <v>170</v>
      </c>
      <c r="DQ601" t="s">
        <v>187</v>
      </c>
      <c r="EB601">
        <v>9</v>
      </c>
      <c r="EC601">
        <v>10</v>
      </c>
      <c r="EE601" t="s">
        <v>2138</v>
      </c>
      <c r="EF601">
        <v>10</v>
      </c>
      <c r="EU601">
        <v>5000</v>
      </c>
      <c r="EW601">
        <v>0</v>
      </c>
      <c r="EX601">
        <v>0</v>
      </c>
      <c r="EY601">
        <v>0</v>
      </c>
      <c r="FA601">
        <v>14</v>
      </c>
      <c r="FG601">
        <v>276</v>
      </c>
      <c r="FH601">
        <v>256</v>
      </c>
      <c r="FI601">
        <v>267</v>
      </c>
    </row>
    <row r="602" spans="1:165" x14ac:dyDescent="0.35">
      <c r="A602" s="25"/>
      <c r="B602" s="25"/>
      <c r="C602" s="25"/>
      <c r="D602" s="25"/>
      <c r="E602" s="25"/>
      <c r="F602" s="25" t="str">
        <f>_xlfn.CONCAT($A603," ",$B603," ",$D603)</f>
        <v>2025 Nissan ARIYA PLATINUM+ e-4ORCE 87kWh 20in. Wheels</v>
      </c>
      <c r="G602" s="25"/>
      <c r="H602" s="25"/>
      <c r="I602" s="25"/>
      <c r="J602" s="25"/>
      <c r="K602" s="25"/>
      <c r="L602" s="25"/>
      <c r="M602" s="25"/>
      <c r="N602" s="25"/>
      <c r="O602" s="25"/>
      <c r="P602" s="25"/>
      <c r="Q602" s="25"/>
      <c r="R602" s="25"/>
      <c r="S602" s="25"/>
      <c r="T602" s="25"/>
      <c r="U602" s="25"/>
      <c r="V602" s="25"/>
      <c r="W602" s="25"/>
      <c r="X602" s="25"/>
      <c r="Y602" s="25"/>
      <c r="Z602" s="25"/>
      <c r="AA602" s="25"/>
      <c r="AB602" s="25"/>
      <c r="AC602" s="25"/>
      <c r="AD602" s="25" t="str">
        <f>_xlfn.CONCAT($A603," ",$B603," ",$D603)</f>
        <v>2025 Nissan ARIYA PLATINUM+ e-4ORCE 87kWh 20in. Wheels</v>
      </c>
      <c r="AE602" s="25"/>
      <c r="AF602" s="25"/>
      <c r="AG602" s="25"/>
      <c r="AH602" s="25"/>
      <c r="AI602" s="25"/>
      <c r="AJ602" s="25"/>
      <c r="AK602" s="25"/>
      <c r="AL602" s="25"/>
      <c r="AM602" s="25"/>
      <c r="AN602" s="25"/>
      <c r="AO602" s="25"/>
      <c r="AP602" s="25"/>
      <c r="AQ602" s="25"/>
      <c r="AR602" s="25"/>
      <c r="AS602" s="25"/>
      <c r="AT602" s="25"/>
      <c r="AU602" s="25"/>
      <c r="AV602" s="25"/>
      <c r="AW602" s="25"/>
      <c r="AX602" s="25" t="str">
        <f>_xlfn.CONCAT($A603," ",$B603," ",$D603)</f>
        <v>2025 Nissan ARIYA PLATINUM+ e-4ORCE 87kWh 20in. Wheels</v>
      </c>
      <c r="AY602" s="25"/>
      <c r="AZ602" s="25"/>
      <c r="BA602" s="25"/>
      <c r="BB602" s="25"/>
      <c r="BC602" s="25"/>
      <c r="BD602" s="25"/>
      <c r="BE602" s="25"/>
      <c r="BF602" s="25"/>
      <c r="BG602" s="25"/>
      <c r="BH602" s="25"/>
      <c r="BI602" s="25"/>
      <c r="BJ602" s="25"/>
      <c r="BK602" s="25"/>
      <c r="BL602" s="25"/>
      <c r="BM602" s="25"/>
      <c r="BN602" s="25"/>
      <c r="BO602" s="25"/>
      <c r="BP602" s="25"/>
      <c r="BQ602" s="25"/>
      <c r="BR602" s="25" t="str">
        <f>_xlfn.CONCAT($A603," ",$B603," ",$D603)</f>
        <v>2025 Nissan ARIYA PLATINUM+ e-4ORCE 87kWh 20in. Wheels</v>
      </c>
      <c r="BS602" s="25"/>
      <c r="BT602" s="25"/>
      <c r="BU602" s="25"/>
      <c r="BV602" s="25"/>
      <c r="BX602" s="25"/>
      <c r="BY602" s="25"/>
      <c r="BZ602" s="25"/>
      <c r="CA602" s="25"/>
      <c r="CB602" s="25"/>
      <c r="CC602" s="25"/>
      <c r="CD602" s="25"/>
      <c r="CE602" s="25"/>
      <c r="CF602" s="25"/>
      <c r="CG602" s="25"/>
      <c r="CH602" s="25"/>
      <c r="CI602" s="25"/>
      <c r="CJ602" s="25"/>
      <c r="CK602" s="25"/>
      <c r="CL602" s="25"/>
      <c r="CM602" s="25"/>
      <c r="CN602" s="25"/>
      <c r="CO602" s="25"/>
      <c r="CP602" s="25" t="str">
        <f>_xlfn.CONCAT($A603," ",$B603," ",$D603)</f>
        <v>2025 Nissan ARIYA PLATINUM+ e-4ORCE 87kWh 20in. Wheels</v>
      </c>
      <c r="CQ602" s="25"/>
      <c r="CR602" s="25"/>
      <c r="CS602" s="25"/>
      <c r="CT602" s="25"/>
      <c r="CU602" s="25"/>
      <c r="CV602" s="25"/>
      <c r="CW602" s="25"/>
      <c r="CX602" s="25"/>
      <c r="CY602" s="25"/>
      <c r="CZ602" s="25"/>
      <c r="DA602" s="25"/>
      <c r="DB602" s="25"/>
      <c r="DC602" s="25"/>
      <c r="DD602" s="25"/>
      <c r="DE602" s="25"/>
      <c r="DF602" s="25"/>
      <c r="DG602" s="25"/>
      <c r="DH602" s="25"/>
      <c r="DI602" s="25" t="str">
        <f>_xlfn.CONCAT($A603," ",$B603," ",$D603)</f>
        <v>2025 Nissan ARIYA PLATINUM+ e-4ORCE 87kWh 20in. Wheels</v>
      </c>
      <c r="DJ602" s="25"/>
      <c r="DK602" s="25"/>
      <c r="DL602" s="25"/>
      <c r="DM602" s="25"/>
      <c r="DN602" s="25"/>
      <c r="DO602" s="25"/>
      <c r="DP602" s="25"/>
      <c r="DQ602" s="25"/>
      <c r="DR602" s="25"/>
      <c r="DS602" s="25"/>
      <c r="DT602" s="25"/>
      <c r="DU602" s="25"/>
      <c r="DV602" s="25"/>
      <c r="DW602" s="25"/>
      <c r="DX602" s="25"/>
      <c r="DY602" s="25"/>
      <c r="DZ602" s="25" t="str">
        <f>_xlfn.CONCAT($A603," ",$B603," ",$D603)</f>
        <v>2025 Nissan ARIYA PLATINUM+ e-4ORCE 87kWh 20in. Wheels</v>
      </c>
      <c r="EB602" s="25"/>
      <c r="EC602" s="25"/>
      <c r="ED602" s="25"/>
      <c r="EE602" s="25"/>
      <c r="EF602" s="25"/>
      <c r="EG602" s="25"/>
      <c r="EH602" s="25"/>
      <c r="EI602" s="25"/>
      <c r="EJ602" s="25"/>
      <c r="EK602" s="25"/>
      <c r="EL602" s="25"/>
      <c r="EM602" s="25"/>
      <c r="EN602" s="25"/>
      <c r="EO602" s="25"/>
      <c r="EP602" s="25"/>
      <c r="EQ602" s="25"/>
      <c r="ER602" s="25"/>
      <c r="ES602" s="25"/>
      <c r="ET602" s="25"/>
      <c r="EU602" s="25"/>
      <c r="EV602" s="25" t="str">
        <f>_xlfn.CONCAT($A603," ",$B603," ",$D603)</f>
        <v>2025 Nissan ARIYA PLATINUM+ e-4ORCE 87kWh 20in. Wheels</v>
      </c>
      <c r="EW602" s="25"/>
      <c r="EX602" s="25"/>
      <c r="EY602" s="25"/>
      <c r="EZ602" s="25"/>
      <c r="FA602" s="25"/>
      <c r="FB602" s="25"/>
      <c r="FC602" s="25"/>
      <c r="FD602" s="25"/>
      <c r="FE602" s="25"/>
      <c r="FF602" s="25"/>
      <c r="FG602" s="25"/>
    </row>
    <row r="603" spans="1:165" x14ac:dyDescent="0.35">
      <c r="A603">
        <v>2025</v>
      </c>
      <c r="B603" t="s">
        <v>288</v>
      </c>
      <c r="C603" t="s">
        <v>289</v>
      </c>
      <c r="D603" t="s">
        <v>2144</v>
      </c>
      <c r="E603" t="s">
        <v>291</v>
      </c>
      <c r="F603">
        <v>7</v>
      </c>
      <c r="G603">
        <v>0</v>
      </c>
      <c r="I603" t="s">
        <v>1734</v>
      </c>
      <c r="J603">
        <v>89</v>
      </c>
      <c r="K603">
        <v>84</v>
      </c>
      <c r="L603">
        <v>87</v>
      </c>
      <c r="M603">
        <v>127.7</v>
      </c>
      <c r="N603">
        <v>119.7</v>
      </c>
      <c r="O603">
        <v>123.97150000000001</v>
      </c>
      <c r="P603">
        <v>89.39</v>
      </c>
      <c r="Q603">
        <v>83.79</v>
      </c>
      <c r="R603">
        <v>86.780100000000004</v>
      </c>
      <c r="V603" t="s">
        <v>167</v>
      </c>
      <c r="W603" t="s">
        <v>168</v>
      </c>
      <c r="Y603">
        <v>1</v>
      </c>
      <c r="Z603" t="s">
        <v>169</v>
      </c>
      <c r="AA603" t="s">
        <v>170</v>
      </c>
      <c r="AB603" t="s">
        <v>167</v>
      </c>
      <c r="AC603" t="s">
        <v>213</v>
      </c>
      <c r="AF603">
        <v>257</v>
      </c>
      <c r="AG603" t="s">
        <v>1735</v>
      </c>
      <c r="AH603" t="s">
        <v>1736</v>
      </c>
      <c r="AI603" t="s">
        <v>175</v>
      </c>
      <c r="AJ603" t="s">
        <v>176</v>
      </c>
      <c r="AK603" t="s">
        <v>940</v>
      </c>
      <c r="AL603" t="s">
        <v>941</v>
      </c>
      <c r="AO603">
        <v>97</v>
      </c>
      <c r="AP603">
        <v>28</v>
      </c>
      <c r="AS603">
        <v>950</v>
      </c>
      <c r="AT603">
        <v>950</v>
      </c>
      <c r="BQ603">
        <v>31</v>
      </c>
      <c r="BR603" t="s">
        <v>1219</v>
      </c>
      <c r="BT603" t="s">
        <v>1738</v>
      </c>
      <c r="BU603" s="1">
        <v>45596</v>
      </c>
      <c r="BV603">
        <v>35624</v>
      </c>
      <c r="BX603" t="s">
        <v>169</v>
      </c>
      <c r="BY603" t="s">
        <v>170</v>
      </c>
      <c r="CB603" t="s">
        <v>170</v>
      </c>
      <c r="CC603" t="s">
        <v>170</v>
      </c>
      <c r="CK603" t="s">
        <v>233</v>
      </c>
      <c r="CM603">
        <v>1</v>
      </c>
      <c r="CN603" t="s">
        <v>234</v>
      </c>
      <c r="CP603">
        <v>352</v>
      </c>
      <c r="CQ603">
        <v>258</v>
      </c>
      <c r="CR603">
        <v>156.4</v>
      </c>
      <c r="CS603" t="s">
        <v>235</v>
      </c>
      <c r="CV603" t="s">
        <v>341</v>
      </c>
      <c r="CX603" t="s">
        <v>342</v>
      </c>
      <c r="CY603" t="s">
        <v>170</v>
      </c>
      <c r="DD603">
        <v>2</v>
      </c>
      <c r="DE603" t="s">
        <v>404</v>
      </c>
      <c r="DF603" t="s">
        <v>2134</v>
      </c>
      <c r="DG603" t="s">
        <v>2135</v>
      </c>
      <c r="DL603" t="s">
        <v>170</v>
      </c>
      <c r="DM603" t="s">
        <v>169</v>
      </c>
      <c r="DP603" t="s">
        <v>170</v>
      </c>
      <c r="DQ603" t="s">
        <v>187</v>
      </c>
      <c r="EB603">
        <v>9</v>
      </c>
      <c r="EC603">
        <v>10</v>
      </c>
      <c r="EE603" t="s">
        <v>2138</v>
      </c>
      <c r="EF603">
        <v>10</v>
      </c>
      <c r="EU603">
        <v>4750</v>
      </c>
      <c r="EW603">
        <v>0</v>
      </c>
      <c r="EX603">
        <v>0</v>
      </c>
      <c r="EY603">
        <v>0</v>
      </c>
      <c r="FA603">
        <v>14</v>
      </c>
      <c r="FG603">
        <v>264</v>
      </c>
      <c r="FH603">
        <v>248</v>
      </c>
      <c r="FI603">
        <v>257</v>
      </c>
    </row>
    <row r="604" spans="1:165" x14ac:dyDescent="0.35">
      <c r="A604">
        <v>2025</v>
      </c>
      <c r="B604" t="s">
        <v>288</v>
      </c>
      <c r="C604" t="s">
        <v>289</v>
      </c>
      <c r="D604" t="s">
        <v>2144</v>
      </c>
      <c r="E604" t="s">
        <v>291</v>
      </c>
      <c r="F604">
        <v>7</v>
      </c>
      <c r="G604">
        <v>0</v>
      </c>
      <c r="I604" t="s">
        <v>1734</v>
      </c>
      <c r="J604">
        <v>38</v>
      </c>
      <c r="K604">
        <v>40</v>
      </c>
      <c r="L604">
        <v>39</v>
      </c>
      <c r="M604">
        <v>26.388000000000002</v>
      </c>
      <c r="N604">
        <v>28.150099999999998</v>
      </c>
      <c r="O604">
        <v>27.180900000000001</v>
      </c>
      <c r="P604">
        <v>37.705599999999997</v>
      </c>
      <c r="Q604">
        <v>40.2256</v>
      </c>
      <c r="R604">
        <v>38.839599999999997</v>
      </c>
      <c r="V604" t="s">
        <v>167</v>
      </c>
      <c r="W604" t="s">
        <v>168</v>
      </c>
      <c r="Y604">
        <v>1</v>
      </c>
      <c r="Z604" t="s">
        <v>169</v>
      </c>
      <c r="AA604" t="s">
        <v>170</v>
      </c>
      <c r="AB604" t="s">
        <v>167</v>
      </c>
      <c r="AC604" t="s">
        <v>213</v>
      </c>
      <c r="AF604">
        <v>257</v>
      </c>
      <c r="AG604" t="s">
        <v>1735</v>
      </c>
      <c r="AH604" t="s">
        <v>1736</v>
      </c>
      <c r="AI604" t="s">
        <v>1742</v>
      </c>
      <c r="AJ604" t="s">
        <v>1743</v>
      </c>
      <c r="AK604" t="s">
        <v>940</v>
      </c>
      <c r="AL604" t="s">
        <v>941</v>
      </c>
      <c r="AO604">
        <v>97</v>
      </c>
      <c r="AP604">
        <v>28</v>
      </c>
      <c r="AS604">
        <v>950</v>
      </c>
      <c r="AT604">
        <v>950</v>
      </c>
      <c r="BQ604">
        <v>31</v>
      </c>
      <c r="BR604" t="s">
        <v>1219</v>
      </c>
      <c r="BT604" t="s">
        <v>1738</v>
      </c>
      <c r="BU604" s="1">
        <v>45596</v>
      </c>
      <c r="BV604">
        <v>35624</v>
      </c>
      <c r="BX604" t="s">
        <v>169</v>
      </c>
      <c r="BY604" t="s">
        <v>170</v>
      </c>
      <c r="CB604" t="s">
        <v>170</v>
      </c>
      <c r="CC604" t="s">
        <v>170</v>
      </c>
      <c r="CK604" t="s">
        <v>233</v>
      </c>
      <c r="CM604">
        <v>1</v>
      </c>
      <c r="CN604" t="s">
        <v>234</v>
      </c>
      <c r="CP604">
        <v>352</v>
      </c>
      <c r="CQ604">
        <v>258</v>
      </c>
      <c r="CR604">
        <v>156.4</v>
      </c>
      <c r="CS604" t="s">
        <v>235</v>
      </c>
      <c r="CV604" t="s">
        <v>341</v>
      </c>
      <c r="CX604" t="s">
        <v>342</v>
      </c>
      <c r="CY604" t="s">
        <v>170</v>
      </c>
      <c r="DD604">
        <v>2</v>
      </c>
      <c r="DE604" t="s">
        <v>404</v>
      </c>
      <c r="DF604" t="s">
        <v>2134</v>
      </c>
      <c r="DG604" t="s">
        <v>2135</v>
      </c>
      <c r="DL604" t="s">
        <v>170</v>
      </c>
      <c r="DM604" t="s">
        <v>169</v>
      </c>
      <c r="DP604" t="s">
        <v>170</v>
      </c>
      <c r="DQ604" t="s">
        <v>187</v>
      </c>
      <c r="EB604">
        <v>9</v>
      </c>
      <c r="EC604">
        <v>10</v>
      </c>
      <c r="EE604" t="s">
        <v>2138</v>
      </c>
      <c r="EF604">
        <v>10</v>
      </c>
      <c r="EU604">
        <v>4750</v>
      </c>
      <c r="EW604">
        <v>0</v>
      </c>
      <c r="EX604">
        <v>0</v>
      </c>
      <c r="EY604">
        <v>0</v>
      </c>
      <c r="FA604">
        <v>14</v>
      </c>
      <c r="FG604">
        <v>264</v>
      </c>
      <c r="FH604">
        <v>248</v>
      </c>
      <c r="FI604">
        <v>257</v>
      </c>
    </row>
    <row r="605" spans="1:165" x14ac:dyDescent="0.35">
      <c r="A605" s="25"/>
      <c r="B605" s="25"/>
      <c r="C605" s="25"/>
      <c r="D605" s="25"/>
      <c r="E605" s="25"/>
      <c r="F605" s="25" t="str">
        <f>_xlfn.CONCAT($A606," ",$B606," ",$D606)</f>
        <v>2025 Nissan ARIYA EVOLVE+ FWD 87kWh</v>
      </c>
      <c r="G605" s="25"/>
      <c r="H605" s="25"/>
      <c r="I605" s="25"/>
      <c r="J605" s="25"/>
      <c r="K605" s="25"/>
      <c r="L605" s="25"/>
      <c r="M605" s="25"/>
      <c r="N605" s="25"/>
      <c r="O605" s="25"/>
      <c r="P605" s="25"/>
      <c r="Q605" s="25"/>
      <c r="R605" s="25"/>
      <c r="S605" s="25"/>
      <c r="T605" s="25"/>
      <c r="U605" s="25"/>
      <c r="V605" s="25"/>
      <c r="W605" s="25"/>
      <c r="X605" s="25"/>
      <c r="Y605" s="25"/>
      <c r="Z605" s="25"/>
      <c r="AA605" s="25"/>
      <c r="AB605" s="25"/>
      <c r="AC605" s="25"/>
      <c r="AD605" s="25" t="str">
        <f>_xlfn.CONCAT($A606," ",$B606," ",$D606)</f>
        <v>2025 Nissan ARIYA EVOLVE+ FWD 87kWh</v>
      </c>
      <c r="AE605" s="25"/>
      <c r="AF605" s="25"/>
      <c r="AG605" s="25"/>
      <c r="AH605" s="25"/>
      <c r="AI605" s="25"/>
      <c r="AJ605" s="25"/>
      <c r="AK605" s="25"/>
      <c r="AL605" s="25"/>
      <c r="AM605" s="25"/>
      <c r="AN605" s="25"/>
      <c r="AO605" s="25"/>
      <c r="AP605" s="25"/>
      <c r="AQ605" s="25"/>
      <c r="AR605" s="25"/>
      <c r="AS605" s="25"/>
      <c r="AT605" s="25"/>
      <c r="AU605" s="25"/>
      <c r="AV605" s="25"/>
      <c r="AW605" s="25"/>
      <c r="AX605" s="25" t="str">
        <f>_xlfn.CONCAT($A606," ",$B606," ",$D606)</f>
        <v>2025 Nissan ARIYA EVOLVE+ FWD 87kWh</v>
      </c>
      <c r="AY605" s="25"/>
      <c r="AZ605" s="25"/>
      <c r="BA605" s="25"/>
      <c r="BB605" s="25"/>
      <c r="BC605" s="25"/>
      <c r="BD605" s="25"/>
      <c r="BE605" s="25"/>
      <c r="BF605" s="25"/>
      <c r="BG605" s="25"/>
      <c r="BH605" s="25"/>
      <c r="BI605" s="25"/>
      <c r="BJ605" s="25"/>
      <c r="BK605" s="25"/>
      <c r="BL605" s="25"/>
      <c r="BM605" s="25"/>
      <c r="BN605" s="25"/>
      <c r="BO605" s="25"/>
      <c r="BP605" s="25"/>
      <c r="BQ605" s="25"/>
      <c r="BR605" s="25" t="str">
        <f>_xlfn.CONCAT($A606," ",$B606," ",$D606)</f>
        <v>2025 Nissan ARIYA EVOLVE+ FWD 87kWh</v>
      </c>
      <c r="BS605" s="25"/>
      <c r="BT605" s="25"/>
      <c r="BU605" s="25"/>
      <c r="BV605" s="25"/>
      <c r="BX605" s="25"/>
      <c r="BY605" s="25"/>
      <c r="BZ605" s="25"/>
      <c r="CA605" s="25"/>
      <c r="CB605" s="25"/>
      <c r="CC605" s="25"/>
      <c r="CD605" s="25"/>
      <c r="CE605" s="25"/>
      <c r="CF605" s="25"/>
      <c r="CG605" s="25"/>
      <c r="CH605" s="25"/>
      <c r="CI605" s="25"/>
      <c r="CJ605" s="25"/>
      <c r="CK605" s="25"/>
      <c r="CL605" s="25"/>
      <c r="CM605" s="25"/>
      <c r="CN605" s="25"/>
      <c r="CO605" s="25"/>
      <c r="CP605" s="25" t="str">
        <f>_xlfn.CONCAT($A606," ",$B606," ",$D606)</f>
        <v>2025 Nissan ARIYA EVOLVE+ FWD 87kWh</v>
      </c>
      <c r="CQ605" s="25"/>
      <c r="CR605" s="25"/>
      <c r="CS605" s="25"/>
      <c r="CT605" s="25"/>
      <c r="CU605" s="25"/>
      <c r="CV605" s="25"/>
      <c r="CW605" s="25"/>
      <c r="CX605" s="25"/>
      <c r="CY605" s="25"/>
      <c r="CZ605" s="25"/>
      <c r="DA605" s="25"/>
      <c r="DB605" s="25"/>
      <c r="DC605" s="25"/>
      <c r="DD605" s="25"/>
      <c r="DE605" s="25"/>
      <c r="DF605" s="25"/>
      <c r="DG605" s="25"/>
      <c r="DH605" s="25"/>
      <c r="DI605" s="25" t="str">
        <f>_xlfn.CONCAT($A606," ",$B606," ",$D606)</f>
        <v>2025 Nissan ARIYA EVOLVE+ FWD 87kWh</v>
      </c>
      <c r="DJ605" s="25"/>
      <c r="DK605" s="25"/>
      <c r="DL605" s="25"/>
      <c r="DM605" s="25"/>
      <c r="DN605" s="25"/>
      <c r="DO605" s="25"/>
      <c r="DP605" s="25"/>
      <c r="DQ605" s="25"/>
      <c r="DR605" s="25"/>
      <c r="DS605" s="25"/>
      <c r="DT605" s="25"/>
      <c r="DU605" s="25"/>
      <c r="DV605" s="25"/>
      <c r="DW605" s="25"/>
      <c r="DX605" s="25"/>
      <c r="DY605" s="25"/>
      <c r="DZ605" s="25" t="str">
        <f>_xlfn.CONCAT($A606," ",$B606," ",$D606)</f>
        <v>2025 Nissan ARIYA EVOLVE+ FWD 87kWh</v>
      </c>
      <c r="EB605" s="25"/>
      <c r="EC605" s="25"/>
      <c r="ED605" s="25"/>
      <c r="EE605" s="25"/>
      <c r="EF605" s="25"/>
      <c r="EG605" s="25"/>
      <c r="EH605" s="25"/>
      <c r="EI605" s="25"/>
      <c r="EJ605" s="25"/>
      <c r="EK605" s="25"/>
      <c r="EL605" s="25"/>
      <c r="EM605" s="25"/>
      <c r="EN605" s="25"/>
      <c r="EO605" s="25"/>
      <c r="EP605" s="25"/>
      <c r="EQ605" s="25"/>
      <c r="ER605" s="25"/>
      <c r="ES605" s="25"/>
      <c r="ET605" s="25"/>
      <c r="EU605" s="25"/>
      <c r="EV605" s="25" t="str">
        <f>_xlfn.CONCAT($A606," ",$B606," ",$D606)</f>
        <v>2025 Nissan ARIYA EVOLVE+ FWD 87kWh</v>
      </c>
      <c r="EW605" s="25"/>
      <c r="EX605" s="25"/>
      <c r="EY605" s="25"/>
      <c r="EZ605" s="25"/>
      <c r="FA605" s="25"/>
      <c r="FB605" s="25"/>
      <c r="FC605" s="25"/>
      <c r="FD605" s="25"/>
      <c r="FE605" s="25"/>
      <c r="FF605" s="25"/>
      <c r="FG605" s="25"/>
    </row>
    <row r="606" spans="1:165" x14ac:dyDescent="0.35">
      <c r="A606">
        <v>2025</v>
      </c>
      <c r="B606" t="s">
        <v>288</v>
      </c>
      <c r="C606" t="s">
        <v>289</v>
      </c>
      <c r="D606" t="s">
        <v>2139</v>
      </c>
      <c r="E606" t="s">
        <v>291</v>
      </c>
      <c r="F606">
        <v>11</v>
      </c>
      <c r="G606">
        <v>0</v>
      </c>
      <c r="I606" t="s">
        <v>1734</v>
      </c>
      <c r="J606">
        <v>105</v>
      </c>
      <c r="K606">
        <v>91</v>
      </c>
      <c r="L606">
        <v>98</v>
      </c>
      <c r="M606">
        <v>149.9</v>
      </c>
      <c r="N606">
        <v>129.69999999999999</v>
      </c>
      <c r="O606">
        <v>140.08240000000001</v>
      </c>
      <c r="P606">
        <v>104.93</v>
      </c>
      <c r="Q606">
        <v>90.79</v>
      </c>
      <c r="R606">
        <v>98.057699999999997</v>
      </c>
      <c r="V606" t="s">
        <v>167</v>
      </c>
      <c r="W606" t="s">
        <v>168</v>
      </c>
      <c r="Y606">
        <v>1</v>
      </c>
      <c r="Z606" t="s">
        <v>169</v>
      </c>
      <c r="AA606" t="s">
        <v>170</v>
      </c>
      <c r="AB606" t="s">
        <v>351</v>
      </c>
      <c r="AC606" t="s">
        <v>352</v>
      </c>
      <c r="AF606">
        <v>289</v>
      </c>
      <c r="AG606" t="s">
        <v>1735</v>
      </c>
      <c r="AH606" t="s">
        <v>1736</v>
      </c>
      <c r="AI606" t="s">
        <v>175</v>
      </c>
      <c r="AJ606" t="s">
        <v>176</v>
      </c>
      <c r="AK606" t="s">
        <v>940</v>
      </c>
      <c r="AL606" t="s">
        <v>941</v>
      </c>
      <c r="AO606">
        <v>101</v>
      </c>
      <c r="AP606">
        <v>28</v>
      </c>
      <c r="AS606">
        <v>800</v>
      </c>
      <c r="AT606">
        <v>800</v>
      </c>
      <c r="BQ606">
        <v>30</v>
      </c>
      <c r="BR606" t="s">
        <v>1099</v>
      </c>
      <c r="BT606" t="s">
        <v>1738</v>
      </c>
      <c r="BU606" s="1">
        <v>45596</v>
      </c>
      <c r="BV606">
        <v>35622</v>
      </c>
      <c r="BX606" t="s">
        <v>170</v>
      </c>
      <c r="BY606" t="s">
        <v>170</v>
      </c>
      <c r="CB606" t="s">
        <v>170</v>
      </c>
      <c r="CC606" t="s">
        <v>170</v>
      </c>
      <c r="CK606" t="s">
        <v>233</v>
      </c>
      <c r="CM606">
        <v>1</v>
      </c>
      <c r="CN606" t="s">
        <v>234</v>
      </c>
      <c r="CP606">
        <v>352</v>
      </c>
      <c r="CQ606">
        <v>258</v>
      </c>
      <c r="CR606">
        <v>159.1</v>
      </c>
      <c r="CS606" t="s">
        <v>235</v>
      </c>
      <c r="CV606" t="s">
        <v>341</v>
      </c>
      <c r="CX606" t="s">
        <v>729</v>
      </c>
      <c r="CY606" t="s">
        <v>170</v>
      </c>
      <c r="DD606">
        <v>1</v>
      </c>
      <c r="DE606" t="s">
        <v>404</v>
      </c>
      <c r="DF606" t="s">
        <v>2134</v>
      </c>
      <c r="DG606">
        <v>178</v>
      </c>
      <c r="DL606" t="s">
        <v>170</v>
      </c>
      <c r="DM606" t="s">
        <v>169</v>
      </c>
      <c r="DP606" t="s">
        <v>170</v>
      </c>
      <c r="DQ606" t="s">
        <v>187</v>
      </c>
      <c r="EB606">
        <v>9</v>
      </c>
      <c r="EC606">
        <v>10</v>
      </c>
      <c r="EE606" t="s">
        <v>2140</v>
      </c>
      <c r="EF606">
        <v>10</v>
      </c>
      <c r="EU606">
        <v>5500</v>
      </c>
      <c r="EW606">
        <v>0</v>
      </c>
      <c r="EX606">
        <v>0</v>
      </c>
      <c r="EY606">
        <v>0</v>
      </c>
      <c r="FA606">
        <v>14</v>
      </c>
      <c r="FG606">
        <v>308</v>
      </c>
      <c r="FH606">
        <v>266</v>
      </c>
      <c r="FI606">
        <v>289</v>
      </c>
    </row>
    <row r="607" spans="1:165" x14ac:dyDescent="0.35">
      <c r="A607">
        <v>2025</v>
      </c>
      <c r="B607" t="s">
        <v>288</v>
      </c>
      <c r="C607" t="s">
        <v>289</v>
      </c>
      <c r="D607" t="s">
        <v>2139</v>
      </c>
      <c r="E607" t="s">
        <v>291</v>
      </c>
      <c r="F607">
        <v>11</v>
      </c>
      <c r="G607">
        <v>0</v>
      </c>
      <c r="I607" t="s">
        <v>1734</v>
      </c>
      <c r="J607">
        <v>32</v>
      </c>
      <c r="K607">
        <v>37</v>
      </c>
      <c r="L607">
        <v>34</v>
      </c>
      <c r="M607">
        <v>22.4817</v>
      </c>
      <c r="N607">
        <v>25.986999999999998</v>
      </c>
      <c r="O607">
        <v>24.059100000000001</v>
      </c>
      <c r="P607">
        <v>32.121400000000001</v>
      </c>
      <c r="Q607">
        <v>37.124099999999999</v>
      </c>
      <c r="R607">
        <v>34.372599999999998</v>
      </c>
      <c r="V607" t="s">
        <v>167</v>
      </c>
      <c r="W607" t="s">
        <v>168</v>
      </c>
      <c r="Y607">
        <v>1</v>
      </c>
      <c r="Z607" t="s">
        <v>169</v>
      </c>
      <c r="AA607" t="s">
        <v>170</v>
      </c>
      <c r="AB607" t="s">
        <v>351</v>
      </c>
      <c r="AC607" t="s">
        <v>352</v>
      </c>
      <c r="AF607">
        <v>289</v>
      </c>
      <c r="AG607" t="s">
        <v>1735</v>
      </c>
      <c r="AH607" t="s">
        <v>1736</v>
      </c>
      <c r="AI607" t="s">
        <v>1742</v>
      </c>
      <c r="AJ607" t="s">
        <v>1743</v>
      </c>
      <c r="AK607" t="s">
        <v>940</v>
      </c>
      <c r="AL607" t="s">
        <v>941</v>
      </c>
      <c r="AO607">
        <v>101</v>
      </c>
      <c r="AP607">
        <v>28</v>
      </c>
      <c r="AS607">
        <v>800</v>
      </c>
      <c r="AT607">
        <v>800</v>
      </c>
      <c r="BQ607">
        <v>30</v>
      </c>
      <c r="BR607" t="s">
        <v>1099</v>
      </c>
      <c r="BT607" t="s">
        <v>1738</v>
      </c>
      <c r="BU607" s="1">
        <v>45596</v>
      </c>
      <c r="BV607">
        <v>35622</v>
      </c>
      <c r="BX607" t="s">
        <v>170</v>
      </c>
      <c r="BY607" t="s">
        <v>170</v>
      </c>
      <c r="CB607" t="s">
        <v>170</v>
      </c>
      <c r="CC607" t="s">
        <v>170</v>
      </c>
      <c r="CK607" t="s">
        <v>233</v>
      </c>
      <c r="CM607">
        <v>1</v>
      </c>
      <c r="CN607" t="s">
        <v>234</v>
      </c>
      <c r="CP607">
        <v>352</v>
      </c>
      <c r="CQ607">
        <v>258</v>
      </c>
      <c r="CR607">
        <v>159.1</v>
      </c>
      <c r="CS607" t="s">
        <v>235</v>
      </c>
      <c r="CV607" t="s">
        <v>341</v>
      </c>
      <c r="CX607" t="s">
        <v>729</v>
      </c>
      <c r="CY607" t="s">
        <v>170</v>
      </c>
      <c r="DD607">
        <v>1</v>
      </c>
      <c r="DE607" t="s">
        <v>404</v>
      </c>
      <c r="DF607" t="s">
        <v>2134</v>
      </c>
      <c r="DG607">
        <v>178</v>
      </c>
      <c r="DL607" t="s">
        <v>170</v>
      </c>
      <c r="DM607" t="s">
        <v>169</v>
      </c>
      <c r="DP607" t="s">
        <v>170</v>
      </c>
      <c r="DQ607" t="s">
        <v>187</v>
      </c>
      <c r="EB607">
        <v>9</v>
      </c>
      <c r="EC607">
        <v>10</v>
      </c>
      <c r="EE607" t="s">
        <v>2140</v>
      </c>
      <c r="EF607">
        <v>10</v>
      </c>
      <c r="EU607">
        <v>5500</v>
      </c>
      <c r="EW607">
        <v>0</v>
      </c>
      <c r="EX607">
        <v>0</v>
      </c>
      <c r="EY607">
        <v>0</v>
      </c>
      <c r="FA607">
        <v>14</v>
      </c>
      <c r="FG607">
        <v>308</v>
      </c>
      <c r="FH607">
        <v>266</v>
      </c>
      <c r="FI607">
        <v>289</v>
      </c>
    </row>
    <row r="608" spans="1:165" x14ac:dyDescent="0.35">
      <c r="A608" s="25"/>
      <c r="B608" s="25"/>
      <c r="C608" s="25"/>
      <c r="D608" s="25"/>
      <c r="E608" s="25"/>
      <c r="F608" s="25" t="str">
        <f>_xlfn.CONCAT($A609," ",$B609," ",$D609)</f>
        <v>2025 Nissan ARIYA FWD 63kWh</v>
      </c>
      <c r="G608" s="25"/>
      <c r="H608" s="25"/>
      <c r="I608" s="25"/>
      <c r="J608" s="25"/>
      <c r="K608" s="25"/>
      <c r="L608" s="25"/>
      <c r="M608" s="25"/>
      <c r="N608" s="25"/>
      <c r="O608" s="25"/>
      <c r="P608" s="25"/>
      <c r="Q608" s="25"/>
      <c r="R608" s="25"/>
      <c r="S608" s="25"/>
      <c r="T608" s="25"/>
      <c r="U608" s="25"/>
      <c r="V608" s="25"/>
      <c r="W608" s="25"/>
      <c r="X608" s="25"/>
      <c r="Y608" s="25"/>
      <c r="Z608" s="25"/>
      <c r="AA608" s="25"/>
      <c r="AB608" s="25"/>
      <c r="AC608" s="25"/>
      <c r="AD608" s="25" t="str">
        <f>_xlfn.CONCAT($A609," ",$B609," ",$D609)</f>
        <v>2025 Nissan ARIYA FWD 63kWh</v>
      </c>
      <c r="AE608" s="25"/>
      <c r="AF608" s="25"/>
      <c r="AG608" s="25"/>
      <c r="AH608" s="25"/>
      <c r="AI608" s="25"/>
      <c r="AJ608" s="25"/>
      <c r="AK608" s="25"/>
      <c r="AL608" s="25"/>
      <c r="AM608" s="25"/>
      <c r="AN608" s="25"/>
      <c r="AO608" s="25"/>
      <c r="AP608" s="25"/>
      <c r="AQ608" s="25"/>
      <c r="AR608" s="25"/>
      <c r="AS608" s="25"/>
      <c r="AT608" s="25"/>
      <c r="AU608" s="25"/>
      <c r="AV608" s="25"/>
      <c r="AW608" s="25"/>
      <c r="AX608" s="25" t="str">
        <f>_xlfn.CONCAT($A609," ",$B609," ",$D609)</f>
        <v>2025 Nissan ARIYA FWD 63kWh</v>
      </c>
      <c r="AY608" s="25"/>
      <c r="AZ608" s="25"/>
      <c r="BA608" s="25"/>
      <c r="BB608" s="25"/>
      <c r="BC608" s="25"/>
      <c r="BD608" s="25"/>
      <c r="BE608" s="25"/>
      <c r="BF608" s="25"/>
      <c r="BG608" s="25"/>
      <c r="BH608" s="25"/>
      <c r="BI608" s="25"/>
      <c r="BJ608" s="25"/>
      <c r="BK608" s="25"/>
      <c r="BL608" s="25"/>
      <c r="BM608" s="25"/>
      <c r="BN608" s="25"/>
      <c r="BO608" s="25"/>
      <c r="BP608" s="25"/>
      <c r="BQ608" s="25"/>
      <c r="BR608" s="25" t="str">
        <f>_xlfn.CONCAT($A609," ",$B609," ",$D609)</f>
        <v>2025 Nissan ARIYA FWD 63kWh</v>
      </c>
      <c r="BS608" s="25"/>
      <c r="BT608" s="25"/>
      <c r="BU608" s="25"/>
      <c r="BV608" s="25"/>
      <c r="BX608" s="25"/>
      <c r="BY608" s="25"/>
      <c r="BZ608" s="25"/>
      <c r="CA608" s="25"/>
      <c r="CB608" s="25"/>
      <c r="CC608" s="25"/>
      <c r="CD608" s="25"/>
      <c r="CE608" s="25"/>
      <c r="CF608" s="25"/>
      <c r="CG608" s="25"/>
      <c r="CH608" s="25"/>
      <c r="CI608" s="25"/>
      <c r="CJ608" s="25"/>
      <c r="CK608" s="25"/>
      <c r="CL608" s="25"/>
      <c r="CM608" s="25"/>
      <c r="CN608" s="25"/>
      <c r="CO608" s="25"/>
      <c r="CP608" s="25" t="str">
        <f>_xlfn.CONCAT($A609," ",$B609," ",$D609)</f>
        <v>2025 Nissan ARIYA FWD 63kWh</v>
      </c>
      <c r="CQ608" s="25"/>
      <c r="CR608" s="25"/>
      <c r="CS608" s="25"/>
      <c r="CT608" s="25"/>
      <c r="CU608" s="25"/>
      <c r="CV608" s="25"/>
      <c r="CW608" s="25"/>
      <c r="CX608" s="25"/>
      <c r="CY608" s="25"/>
      <c r="CZ608" s="25"/>
      <c r="DA608" s="25"/>
      <c r="DB608" s="25"/>
      <c r="DC608" s="25"/>
      <c r="DD608" s="25"/>
      <c r="DE608" s="25"/>
      <c r="DF608" s="25"/>
      <c r="DG608" s="25"/>
      <c r="DH608" s="25"/>
      <c r="DI608" s="25" t="str">
        <f>_xlfn.CONCAT($A609," ",$B609," ",$D609)</f>
        <v>2025 Nissan ARIYA FWD 63kWh</v>
      </c>
      <c r="DJ608" s="25"/>
      <c r="DK608" s="25"/>
      <c r="DL608" s="25"/>
      <c r="DM608" s="25"/>
      <c r="DN608" s="25"/>
      <c r="DO608" s="25"/>
      <c r="DP608" s="25"/>
      <c r="DQ608" s="25"/>
      <c r="DR608" s="25"/>
      <c r="DS608" s="25"/>
      <c r="DT608" s="25"/>
      <c r="DU608" s="25"/>
      <c r="DV608" s="25"/>
      <c r="DW608" s="25"/>
      <c r="DX608" s="25"/>
      <c r="DY608" s="25"/>
      <c r="DZ608" s="25" t="str">
        <f>_xlfn.CONCAT($A609," ",$B609," ",$D609)</f>
        <v>2025 Nissan ARIYA FWD 63kWh</v>
      </c>
      <c r="EB608" s="25"/>
      <c r="EC608" s="25"/>
      <c r="ED608" s="25"/>
      <c r="EE608" s="25"/>
      <c r="EF608" s="25"/>
      <c r="EG608" s="25"/>
      <c r="EH608" s="25"/>
      <c r="EI608" s="25"/>
      <c r="EJ608" s="25"/>
      <c r="EK608" s="25"/>
      <c r="EL608" s="25"/>
      <c r="EM608" s="25"/>
      <c r="EN608" s="25"/>
      <c r="EO608" s="25"/>
      <c r="EP608" s="25"/>
      <c r="EQ608" s="25"/>
      <c r="ER608" s="25"/>
      <c r="ES608" s="25"/>
      <c r="ET608" s="25"/>
      <c r="EU608" s="25"/>
      <c r="EV608" s="25" t="str">
        <f>_xlfn.CONCAT($A609," ",$B609," ",$D609)</f>
        <v>2025 Nissan ARIYA FWD 63kWh</v>
      </c>
      <c r="EW608" s="25"/>
      <c r="EX608" s="25"/>
      <c r="EY608" s="25"/>
      <c r="EZ608" s="25"/>
      <c r="FA608" s="25"/>
      <c r="FB608" s="25"/>
      <c r="FC608" s="25"/>
      <c r="FD608" s="25"/>
      <c r="FE608" s="25"/>
      <c r="FF608" s="25"/>
      <c r="FG608" s="25"/>
    </row>
    <row r="609" spans="1:165" x14ac:dyDescent="0.35">
      <c r="A609">
        <v>2025</v>
      </c>
      <c r="B609" t="s">
        <v>288</v>
      </c>
      <c r="C609" t="s">
        <v>289</v>
      </c>
      <c r="D609" t="s">
        <v>2141</v>
      </c>
      <c r="E609" t="s">
        <v>291</v>
      </c>
      <c r="F609">
        <v>14</v>
      </c>
      <c r="G609">
        <v>0</v>
      </c>
      <c r="I609" t="s">
        <v>1734</v>
      </c>
      <c r="J609">
        <v>109</v>
      </c>
      <c r="K609">
        <v>94</v>
      </c>
      <c r="L609">
        <v>101</v>
      </c>
      <c r="M609">
        <v>155.19999999999999</v>
      </c>
      <c r="N609">
        <v>133.80000000000001</v>
      </c>
      <c r="O609">
        <v>144.77979999999999</v>
      </c>
      <c r="P609">
        <v>108.64</v>
      </c>
      <c r="Q609">
        <v>93.66</v>
      </c>
      <c r="R609">
        <v>101.3459</v>
      </c>
      <c r="V609" t="s">
        <v>167</v>
      </c>
      <c r="W609" t="s">
        <v>168</v>
      </c>
      <c r="Y609">
        <v>1</v>
      </c>
      <c r="Z609" t="s">
        <v>169</v>
      </c>
      <c r="AA609" t="s">
        <v>170</v>
      </c>
      <c r="AB609" t="s">
        <v>351</v>
      </c>
      <c r="AC609" t="s">
        <v>352</v>
      </c>
      <c r="AF609">
        <v>216</v>
      </c>
      <c r="AG609" t="s">
        <v>1735</v>
      </c>
      <c r="AH609" t="s">
        <v>1736</v>
      </c>
      <c r="AI609" t="s">
        <v>175</v>
      </c>
      <c r="AJ609" t="s">
        <v>176</v>
      </c>
      <c r="AK609" t="s">
        <v>940</v>
      </c>
      <c r="AL609" t="s">
        <v>941</v>
      </c>
      <c r="AO609">
        <v>101</v>
      </c>
      <c r="AP609">
        <v>28</v>
      </c>
      <c r="AS609">
        <v>800</v>
      </c>
      <c r="AT609">
        <v>800</v>
      </c>
      <c r="BQ609">
        <v>30</v>
      </c>
      <c r="BR609" t="s">
        <v>1099</v>
      </c>
      <c r="BT609" t="s">
        <v>1738</v>
      </c>
      <c r="BU609" s="1">
        <v>45596</v>
      </c>
      <c r="BV609">
        <v>35620</v>
      </c>
      <c r="BX609" t="s">
        <v>170</v>
      </c>
      <c r="BY609" t="s">
        <v>170</v>
      </c>
      <c r="CB609" t="s">
        <v>170</v>
      </c>
      <c r="CC609" t="s">
        <v>170</v>
      </c>
      <c r="CK609" t="s">
        <v>233</v>
      </c>
      <c r="CM609">
        <v>1</v>
      </c>
      <c r="CN609" t="s">
        <v>234</v>
      </c>
      <c r="CP609">
        <v>352</v>
      </c>
      <c r="CQ609">
        <v>187</v>
      </c>
      <c r="CR609">
        <v>146.30000000000001</v>
      </c>
      <c r="CS609" t="s">
        <v>235</v>
      </c>
      <c r="CV609" t="s">
        <v>341</v>
      </c>
      <c r="CX609" t="s">
        <v>729</v>
      </c>
      <c r="CY609" t="s">
        <v>170</v>
      </c>
      <c r="DD609">
        <v>1</v>
      </c>
      <c r="DE609" t="s">
        <v>404</v>
      </c>
      <c r="DF609" t="s">
        <v>2134</v>
      </c>
      <c r="DG609">
        <v>160</v>
      </c>
      <c r="DL609" t="s">
        <v>170</v>
      </c>
      <c r="DM609" t="s">
        <v>169</v>
      </c>
      <c r="DP609" t="s">
        <v>170</v>
      </c>
      <c r="DQ609" t="s">
        <v>187</v>
      </c>
      <c r="EB609">
        <v>9</v>
      </c>
      <c r="EC609">
        <v>10</v>
      </c>
      <c r="EE609" t="s">
        <v>2142</v>
      </c>
      <c r="EF609">
        <v>10</v>
      </c>
      <c r="EU609">
        <v>5500</v>
      </c>
      <c r="EW609">
        <v>0</v>
      </c>
      <c r="EX609">
        <v>0</v>
      </c>
      <c r="EY609">
        <v>0</v>
      </c>
      <c r="FA609">
        <v>10</v>
      </c>
      <c r="FG609">
        <v>230</v>
      </c>
      <c r="FH609">
        <v>199</v>
      </c>
      <c r="FI609">
        <v>216</v>
      </c>
    </row>
    <row r="610" spans="1:165" x14ac:dyDescent="0.35">
      <c r="A610">
        <v>2025</v>
      </c>
      <c r="B610" t="s">
        <v>288</v>
      </c>
      <c r="C610" t="s">
        <v>289</v>
      </c>
      <c r="D610" t="s">
        <v>2141</v>
      </c>
      <c r="E610" t="s">
        <v>291</v>
      </c>
      <c r="F610">
        <v>14</v>
      </c>
      <c r="G610">
        <v>0</v>
      </c>
      <c r="I610" t="s">
        <v>1734</v>
      </c>
      <c r="J610">
        <v>31</v>
      </c>
      <c r="K610">
        <v>36</v>
      </c>
      <c r="L610">
        <v>33</v>
      </c>
      <c r="M610">
        <v>21.718399999999999</v>
      </c>
      <c r="N610">
        <v>25.1965</v>
      </c>
      <c r="O610">
        <v>23.2835</v>
      </c>
      <c r="P610">
        <v>31.0245</v>
      </c>
      <c r="Q610">
        <v>35.986499999999999</v>
      </c>
      <c r="R610">
        <v>33.257399999999997</v>
      </c>
      <c r="V610" t="s">
        <v>167</v>
      </c>
      <c r="W610" t="s">
        <v>168</v>
      </c>
      <c r="Y610">
        <v>1</v>
      </c>
      <c r="Z610" t="s">
        <v>169</v>
      </c>
      <c r="AA610" t="s">
        <v>170</v>
      </c>
      <c r="AB610" t="s">
        <v>351</v>
      </c>
      <c r="AC610" t="s">
        <v>352</v>
      </c>
      <c r="AF610">
        <v>216</v>
      </c>
      <c r="AG610" t="s">
        <v>1735</v>
      </c>
      <c r="AH610" t="s">
        <v>1736</v>
      </c>
      <c r="AI610" t="s">
        <v>1742</v>
      </c>
      <c r="AJ610" t="s">
        <v>1743</v>
      </c>
      <c r="AK610" t="s">
        <v>940</v>
      </c>
      <c r="AL610" t="s">
        <v>941</v>
      </c>
      <c r="AO610">
        <v>101</v>
      </c>
      <c r="AP610">
        <v>28</v>
      </c>
      <c r="AS610">
        <v>800</v>
      </c>
      <c r="AT610">
        <v>800</v>
      </c>
      <c r="BQ610">
        <v>30</v>
      </c>
      <c r="BR610" t="s">
        <v>1099</v>
      </c>
      <c r="BT610" t="s">
        <v>1738</v>
      </c>
      <c r="BU610" s="1">
        <v>45596</v>
      </c>
      <c r="BV610">
        <v>35620</v>
      </c>
      <c r="BX610" t="s">
        <v>170</v>
      </c>
      <c r="BY610" t="s">
        <v>170</v>
      </c>
      <c r="CB610" t="s">
        <v>170</v>
      </c>
      <c r="CC610" t="s">
        <v>170</v>
      </c>
      <c r="CK610" t="s">
        <v>233</v>
      </c>
      <c r="CM610">
        <v>1</v>
      </c>
      <c r="CN610" t="s">
        <v>234</v>
      </c>
      <c r="CP610">
        <v>352</v>
      </c>
      <c r="CQ610">
        <v>187</v>
      </c>
      <c r="CR610">
        <v>146.30000000000001</v>
      </c>
      <c r="CS610" t="s">
        <v>235</v>
      </c>
      <c r="CV610" t="s">
        <v>341</v>
      </c>
      <c r="CX610" t="s">
        <v>729</v>
      </c>
      <c r="CY610" t="s">
        <v>170</v>
      </c>
      <c r="DD610">
        <v>1</v>
      </c>
      <c r="DE610" t="s">
        <v>404</v>
      </c>
      <c r="DF610" t="s">
        <v>2134</v>
      </c>
      <c r="DG610">
        <v>160</v>
      </c>
      <c r="DL610" t="s">
        <v>170</v>
      </c>
      <c r="DM610" t="s">
        <v>169</v>
      </c>
      <c r="DP610" t="s">
        <v>170</v>
      </c>
      <c r="DQ610" t="s">
        <v>187</v>
      </c>
      <c r="EB610">
        <v>9</v>
      </c>
      <c r="EC610">
        <v>10</v>
      </c>
      <c r="EE610" t="s">
        <v>2142</v>
      </c>
      <c r="EF610">
        <v>10</v>
      </c>
      <c r="EU610">
        <v>5500</v>
      </c>
      <c r="EW610">
        <v>0</v>
      </c>
      <c r="EX610">
        <v>0</v>
      </c>
      <c r="EY610">
        <v>0</v>
      </c>
      <c r="FA610">
        <v>10</v>
      </c>
      <c r="FG610">
        <v>230</v>
      </c>
      <c r="FH610">
        <v>199</v>
      </c>
      <c r="FI610">
        <v>216</v>
      </c>
    </row>
    <row r="611" spans="1:165" x14ac:dyDescent="0.35">
      <c r="A611" s="25"/>
      <c r="B611" s="25"/>
      <c r="C611" s="25"/>
      <c r="D611" s="25"/>
      <c r="E611" s="25"/>
      <c r="F611" s="25" t="str">
        <f>_xlfn.CONCAT($A612," ",$B612," ",$D612)</f>
        <v>2025 Nissan ARIYA e-4ORCE 63kWh</v>
      </c>
      <c r="G611" s="25"/>
      <c r="H611" s="25"/>
      <c r="I611" s="25"/>
      <c r="J611" s="25"/>
      <c r="K611" s="25"/>
      <c r="L611" s="25"/>
      <c r="M611" s="25"/>
      <c r="N611" s="25"/>
      <c r="O611" s="25"/>
      <c r="P611" s="25"/>
      <c r="Q611" s="25"/>
      <c r="R611" s="25"/>
      <c r="S611" s="25"/>
      <c r="T611" s="25"/>
      <c r="U611" s="25"/>
      <c r="V611" s="25"/>
      <c r="W611" s="25"/>
      <c r="X611" s="25"/>
      <c r="Y611" s="25"/>
      <c r="Z611" s="25"/>
      <c r="AA611" s="25"/>
      <c r="AB611" s="25"/>
      <c r="AC611" s="25"/>
      <c r="AD611" s="25" t="str">
        <f>_xlfn.CONCAT($A612," ",$B612," ",$D612)</f>
        <v>2025 Nissan ARIYA e-4ORCE 63kWh</v>
      </c>
      <c r="AE611" s="25"/>
      <c r="AF611" s="25"/>
      <c r="AG611" s="25"/>
      <c r="AH611" s="25"/>
      <c r="AI611" s="25"/>
      <c r="AJ611" s="25"/>
      <c r="AK611" s="25"/>
      <c r="AL611" s="25"/>
      <c r="AM611" s="25"/>
      <c r="AN611" s="25"/>
      <c r="AO611" s="25"/>
      <c r="AP611" s="25"/>
      <c r="AQ611" s="25"/>
      <c r="AR611" s="25"/>
      <c r="AS611" s="25"/>
      <c r="AT611" s="25"/>
      <c r="AU611" s="25"/>
      <c r="AV611" s="25"/>
      <c r="AW611" s="25"/>
      <c r="AX611" s="25" t="str">
        <f>_xlfn.CONCAT($A612," ",$B612," ",$D612)</f>
        <v>2025 Nissan ARIYA e-4ORCE 63kWh</v>
      </c>
      <c r="AY611" s="25"/>
      <c r="AZ611" s="25"/>
      <c r="BA611" s="25"/>
      <c r="BB611" s="25"/>
      <c r="BC611" s="25"/>
      <c r="BD611" s="25"/>
      <c r="BE611" s="25"/>
      <c r="BF611" s="25"/>
      <c r="BG611" s="25"/>
      <c r="BH611" s="25"/>
      <c r="BI611" s="25"/>
      <c r="BJ611" s="25"/>
      <c r="BK611" s="25"/>
      <c r="BL611" s="25"/>
      <c r="BM611" s="25"/>
      <c r="BN611" s="25"/>
      <c r="BO611" s="25"/>
      <c r="BP611" s="25"/>
      <c r="BQ611" s="25"/>
      <c r="BR611" s="25" t="str">
        <f>_xlfn.CONCAT($A612," ",$B612," ",$D612)</f>
        <v>2025 Nissan ARIYA e-4ORCE 63kWh</v>
      </c>
      <c r="BS611" s="25"/>
      <c r="BT611" s="25"/>
      <c r="BU611" s="25"/>
      <c r="BV611" s="25"/>
      <c r="BX611" s="25"/>
      <c r="BY611" s="25"/>
      <c r="BZ611" s="25"/>
      <c r="CA611" s="25"/>
      <c r="CB611" s="25"/>
      <c r="CC611" s="25"/>
      <c r="CD611" s="25"/>
      <c r="CE611" s="25"/>
      <c r="CF611" s="25"/>
      <c r="CG611" s="25"/>
      <c r="CH611" s="25"/>
      <c r="CI611" s="25"/>
      <c r="CJ611" s="25"/>
      <c r="CK611" s="25"/>
      <c r="CL611" s="25"/>
      <c r="CM611" s="25"/>
      <c r="CN611" s="25"/>
      <c r="CO611" s="25"/>
      <c r="CP611" s="25" t="str">
        <f>_xlfn.CONCAT($A612," ",$B612," ",$D612)</f>
        <v>2025 Nissan ARIYA e-4ORCE 63kWh</v>
      </c>
      <c r="CQ611" s="25"/>
      <c r="CR611" s="25"/>
      <c r="CS611" s="25"/>
      <c r="CT611" s="25"/>
      <c r="CU611" s="25"/>
      <c r="CV611" s="25"/>
      <c r="CW611" s="25"/>
      <c r="CX611" s="25"/>
      <c r="CY611" s="25"/>
      <c r="CZ611" s="25"/>
      <c r="DA611" s="25"/>
      <c r="DB611" s="25"/>
      <c r="DC611" s="25"/>
      <c r="DD611" s="25"/>
      <c r="DE611" s="25"/>
      <c r="DF611" s="25"/>
      <c r="DG611" s="25"/>
      <c r="DH611" s="25"/>
      <c r="DI611" s="25" t="str">
        <f>_xlfn.CONCAT($A612," ",$B612," ",$D612)</f>
        <v>2025 Nissan ARIYA e-4ORCE 63kWh</v>
      </c>
      <c r="DJ611" s="25"/>
      <c r="DK611" s="25"/>
      <c r="DL611" s="25"/>
      <c r="DM611" s="25"/>
      <c r="DN611" s="25"/>
      <c r="DO611" s="25"/>
      <c r="DP611" s="25"/>
      <c r="DQ611" s="25"/>
      <c r="DR611" s="25"/>
      <c r="DS611" s="25"/>
      <c r="DT611" s="25"/>
      <c r="DU611" s="25"/>
      <c r="DV611" s="25"/>
      <c r="DW611" s="25"/>
      <c r="DX611" s="25"/>
      <c r="DY611" s="25"/>
      <c r="DZ611" s="25" t="str">
        <f>_xlfn.CONCAT($A612," ",$B612," ",$D612)</f>
        <v>2025 Nissan ARIYA e-4ORCE 63kWh</v>
      </c>
      <c r="EB611" s="25"/>
      <c r="EC611" s="25"/>
      <c r="ED611" s="25"/>
      <c r="EE611" s="25"/>
      <c r="EF611" s="25"/>
      <c r="EG611" s="25"/>
      <c r="EH611" s="25"/>
      <c r="EI611" s="25"/>
      <c r="EJ611" s="25"/>
      <c r="EK611" s="25"/>
      <c r="EL611" s="25"/>
      <c r="EM611" s="25"/>
      <c r="EN611" s="25"/>
      <c r="EO611" s="25"/>
      <c r="EP611" s="25"/>
      <c r="EQ611" s="25"/>
      <c r="ER611" s="25"/>
      <c r="ES611" s="25"/>
      <c r="ET611" s="25"/>
      <c r="EU611" s="25"/>
      <c r="EV611" s="25" t="str">
        <f>_xlfn.CONCAT($A612," ",$B612," ",$D612)</f>
        <v>2025 Nissan ARIYA e-4ORCE 63kWh</v>
      </c>
      <c r="EW611" s="25"/>
      <c r="EX611" s="25"/>
      <c r="EY611" s="25"/>
      <c r="EZ611" s="25"/>
      <c r="FA611" s="25"/>
      <c r="FB611" s="25"/>
      <c r="FC611" s="25"/>
      <c r="FD611" s="25"/>
      <c r="FE611" s="25"/>
      <c r="FF611" s="25"/>
      <c r="FG611" s="25"/>
    </row>
    <row r="612" spans="1:165" x14ac:dyDescent="0.35">
      <c r="A612">
        <v>2025</v>
      </c>
      <c r="B612" t="s">
        <v>288</v>
      </c>
      <c r="C612" t="s">
        <v>289</v>
      </c>
      <c r="D612" t="s">
        <v>2133</v>
      </c>
      <c r="E612" t="s">
        <v>291</v>
      </c>
      <c r="F612">
        <v>15</v>
      </c>
      <c r="G612">
        <v>0</v>
      </c>
      <c r="I612" t="s">
        <v>1734</v>
      </c>
      <c r="J612">
        <v>101</v>
      </c>
      <c r="K612">
        <v>89</v>
      </c>
      <c r="L612">
        <v>95</v>
      </c>
      <c r="M612">
        <v>144.4</v>
      </c>
      <c r="N612">
        <v>127.8</v>
      </c>
      <c r="O612">
        <v>136.42580000000001</v>
      </c>
      <c r="P612">
        <v>101.08</v>
      </c>
      <c r="Q612">
        <v>89.46</v>
      </c>
      <c r="R612">
        <v>95.498099999999994</v>
      </c>
      <c r="V612" t="s">
        <v>167</v>
      </c>
      <c r="W612" t="s">
        <v>168</v>
      </c>
      <c r="Y612">
        <v>1</v>
      </c>
      <c r="Z612" t="s">
        <v>169</v>
      </c>
      <c r="AA612" t="s">
        <v>170</v>
      </c>
      <c r="AB612" t="s">
        <v>167</v>
      </c>
      <c r="AC612" t="s">
        <v>213</v>
      </c>
      <c r="AF612">
        <v>205</v>
      </c>
      <c r="AG612" t="s">
        <v>1735</v>
      </c>
      <c r="AH612" t="s">
        <v>1736</v>
      </c>
      <c r="AI612" t="s">
        <v>175</v>
      </c>
      <c r="AJ612" t="s">
        <v>176</v>
      </c>
      <c r="AK612" t="s">
        <v>940</v>
      </c>
      <c r="AL612" t="s">
        <v>941</v>
      </c>
      <c r="AO612">
        <v>101</v>
      </c>
      <c r="AP612">
        <v>28</v>
      </c>
      <c r="AS612">
        <v>850</v>
      </c>
      <c r="AT612">
        <v>850</v>
      </c>
      <c r="BQ612">
        <v>31</v>
      </c>
      <c r="BR612" t="s">
        <v>1219</v>
      </c>
      <c r="BT612" t="s">
        <v>1738</v>
      </c>
      <c r="BU612" s="1">
        <v>45596</v>
      </c>
      <c r="BV612">
        <v>35621</v>
      </c>
      <c r="BX612" t="s">
        <v>170</v>
      </c>
      <c r="BY612" t="s">
        <v>170</v>
      </c>
      <c r="CB612" t="s">
        <v>170</v>
      </c>
      <c r="CC612" t="s">
        <v>170</v>
      </c>
      <c r="CK612" t="s">
        <v>233</v>
      </c>
      <c r="CM612">
        <v>1</v>
      </c>
      <c r="CN612" t="s">
        <v>234</v>
      </c>
      <c r="CP612">
        <v>352</v>
      </c>
      <c r="CQ612">
        <v>187</v>
      </c>
      <c r="CR612">
        <v>145.1</v>
      </c>
      <c r="CS612" t="s">
        <v>235</v>
      </c>
      <c r="CV612" t="s">
        <v>341</v>
      </c>
      <c r="CX612" t="s">
        <v>342</v>
      </c>
      <c r="CY612" t="s">
        <v>170</v>
      </c>
      <c r="DD612">
        <v>2</v>
      </c>
      <c r="DE612" t="s">
        <v>404</v>
      </c>
      <c r="DF612" t="s">
        <v>2134</v>
      </c>
      <c r="DG612" t="s">
        <v>2135</v>
      </c>
      <c r="DL612" t="s">
        <v>170</v>
      </c>
      <c r="DM612" t="s">
        <v>169</v>
      </c>
      <c r="DP612" t="s">
        <v>170</v>
      </c>
      <c r="DQ612" t="s">
        <v>187</v>
      </c>
      <c r="EB612">
        <v>9</v>
      </c>
      <c r="EC612">
        <v>10</v>
      </c>
      <c r="EE612" t="s">
        <v>2136</v>
      </c>
      <c r="EF612">
        <v>10</v>
      </c>
      <c r="EU612">
        <v>5250</v>
      </c>
      <c r="EW612">
        <v>0</v>
      </c>
      <c r="EX612">
        <v>0</v>
      </c>
      <c r="EY612">
        <v>0</v>
      </c>
      <c r="FA612">
        <v>10</v>
      </c>
      <c r="FG612">
        <v>216</v>
      </c>
      <c r="FH612">
        <v>191</v>
      </c>
      <c r="FI612">
        <v>205</v>
      </c>
    </row>
    <row r="613" spans="1:165" x14ac:dyDescent="0.35">
      <c r="A613">
        <v>2025</v>
      </c>
      <c r="B613" t="s">
        <v>288</v>
      </c>
      <c r="C613" t="s">
        <v>289</v>
      </c>
      <c r="D613" t="s">
        <v>2133</v>
      </c>
      <c r="E613" t="s">
        <v>291</v>
      </c>
      <c r="F613">
        <v>15</v>
      </c>
      <c r="G613">
        <v>0</v>
      </c>
      <c r="I613" t="s">
        <v>1734</v>
      </c>
      <c r="J613">
        <v>33</v>
      </c>
      <c r="K613">
        <v>38</v>
      </c>
      <c r="L613">
        <v>35</v>
      </c>
      <c r="M613">
        <v>23.345099999999999</v>
      </c>
      <c r="N613">
        <v>26.372900000000001</v>
      </c>
      <c r="O613">
        <v>24.707599999999999</v>
      </c>
      <c r="P613">
        <v>33.344900000000003</v>
      </c>
      <c r="Q613">
        <v>37.676099999999998</v>
      </c>
      <c r="R613">
        <v>35.293900000000001</v>
      </c>
      <c r="V613" t="s">
        <v>167</v>
      </c>
      <c r="W613" t="s">
        <v>168</v>
      </c>
      <c r="Y613">
        <v>1</v>
      </c>
      <c r="Z613" t="s">
        <v>169</v>
      </c>
      <c r="AA613" t="s">
        <v>170</v>
      </c>
      <c r="AB613" t="s">
        <v>167</v>
      </c>
      <c r="AC613" t="s">
        <v>213</v>
      </c>
      <c r="AF613">
        <v>205</v>
      </c>
      <c r="AG613" t="s">
        <v>1735</v>
      </c>
      <c r="AH613" t="s">
        <v>1736</v>
      </c>
      <c r="AI613" t="s">
        <v>1742</v>
      </c>
      <c r="AJ613" t="s">
        <v>1743</v>
      </c>
      <c r="AK613" t="s">
        <v>940</v>
      </c>
      <c r="AL613" t="s">
        <v>941</v>
      </c>
      <c r="AO613">
        <v>101</v>
      </c>
      <c r="AP613">
        <v>28</v>
      </c>
      <c r="AS613">
        <v>850</v>
      </c>
      <c r="AT613">
        <v>850</v>
      </c>
      <c r="BQ613">
        <v>31</v>
      </c>
      <c r="BR613" t="s">
        <v>1219</v>
      </c>
      <c r="BT613" t="s">
        <v>1738</v>
      </c>
      <c r="BU613" s="1">
        <v>45596</v>
      </c>
      <c r="BV613">
        <v>35621</v>
      </c>
      <c r="BX613" t="s">
        <v>170</v>
      </c>
      <c r="BY613" t="s">
        <v>170</v>
      </c>
      <c r="CB613" t="s">
        <v>170</v>
      </c>
      <c r="CC613" t="s">
        <v>170</v>
      </c>
      <c r="CK613" t="s">
        <v>233</v>
      </c>
      <c r="CM613">
        <v>1</v>
      </c>
      <c r="CN613" t="s">
        <v>234</v>
      </c>
      <c r="CP613">
        <v>352</v>
      </c>
      <c r="CQ613">
        <v>187</v>
      </c>
      <c r="CR613">
        <v>145.1</v>
      </c>
      <c r="CS613" t="s">
        <v>235</v>
      </c>
      <c r="CV613" t="s">
        <v>341</v>
      </c>
      <c r="CX613" t="s">
        <v>342</v>
      </c>
      <c r="CY613" t="s">
        <v>170</v>
      </c>
      <c r="DD613">
        <v>2</v>
      </c>
      <c r="DE613" t="s">
        <v>404</v>
      </c>
      <c r="DF613" t="s">
        <v>2134</v>
      </c>
      <c r="DG613" t="s">
        <v>2135</v>
      </c>
      <c r="DL613" t="s">
        <v>170</v>
      </c>
      <c r="DM613" t="s">
        <v>169</v>
      </c>
      <c r="DP613" t="s">
        <v>170</v>
      </c>
      <c r="DQ613" t="s">
        <v>187</v>
      </c>
      <c r="EB613">
        <v>9</v>
      </c>
      <c r="EC613">
        <v>10</v>
      </c>
      <c r="EE613" t="s">
        <v>2136</v>
      </c>
      <c r="EF613">
        <v>10</v>
      </c>
      <c r="EU613">
        <v>5250</v>
      </c>
      <c r="EW613">
        <v>0</v>
      </c>
      <c r="EX613">
        <v>0</v>
      </c>
      <c r="EY613">
        <v>0</v>
      </c>
      <c r="FA613">
        <v>10</v>
      </c>
      <c r="FG613">
        <v>216</v>
      </c>
      <c r="FH613">
        <v>191</v>
      </c>
      <c r="FI613">
        <v>205</v>
      </c>
    </row>
    <row r="614" spans="1:165" x14ac:dyDescent="0.35">
      <c r="A614" s="25"/>
      <c r="B614" s="25"/>
      <c r="C614" s="25"/>
      <c r="D614" s="25"/>
      <c r="E614" s="25"/>
      <c r="F614" s="25" t="str">
        <f>_xlfn.CONCAT($A615," ",$B615," ",$D615)</f>
        <v>2025 Nissan LEAF</v>
      </c>
      <c r="G614" s="25"/>
      <c r="H614" s="25"/>
      <c r="I614" s="25"/>
      <c r="J614" s="25"/>
      <c r="K614" s="25"/>
      <c r="L614" s="25"/>
      <c r="M614" s="25"/>
      <c r="N614" s="25"/>
      <c r="O614" s="25"/>
      <c r="P614" s="25"/>
      <c r="Q614" s="25"/>
      <c r="R614" s="25"/>
      <c r="S614" s="25"/>
      <c r="T614" s="25"/>
      <c r="U614" s="25"/>
      <c r="V614" s="25"/>
      <c r="W614" s="25"/>
      <c r="X614" s="25"/>
      <c r="Y614" s="25"/>
      <c r="Z614" s="25"/>
      <c r="AA614" s="25"/>
      <c r="AB614" s="25"/>
      <c r="AC614" s="25"/>
      <c r="AD614" s="25" t="str">
        <f>_xlfn.CONCAT($A615," ",$B615," ",$D615)</f>
        <v>2025 Nissan LEAF</v>
      </c>
      <c r="AE614" s="25"/>
      <c r="AF614" s="25"/>
      <c r="AG614" s="25"/>
      <c r="AH614" s="25"/>
      <c r="AI614" s="25"/>
      <c r="AJ614" s="25"/>
      <c r="AK614" s="25"/>
      <c r="AL614" s="25"/>
      <c r="AM614" s="25"/>
      <c r="AN614" s="25"/>
      <c r="AO614" s="25"/>
      <c r="AP614" s="25"/>
      <c r="AQ614" s="25"/>
      <c r="AR614" s="25"/>
      <c r="AS614" s="25"/>
      <c r="AT614" s="25"/>
      <c r="AU614" s="25"/>
      <c r="AV614" s="25"/>
      <c r="AW614" s="25"/>
      <c r="AX614" s="25" t="str">
        <f>_xlfn.CONCAT($A615," ",$B615," ",$D615)</f>
        <v>2025 Nissan LEAF</v>
      </c>
      <c r="AY614" s="25"/>
      <c r="AZ614" s="25"/>
      <c r="BA614" s="25"/>
      <c r="BB614" s="25"/>
      <c r="BC614" s="25"/>
      <c r="BD614" s="25"/>
      <c r="BE614" s="25"/>
      <c r="BF614" s="25"/>
      <c r="BG614" s="25"/>
      <c r="BH614" s="25"/>
      <c r="BI614" s="25"/>
      <c r="BJ614" s="25"/>
      <c r="BK614" s="25"/>
      <c r="BL614" s="25"/>
      <c r="BM614" s="25"/>
      <c r="BN614" s="25"/>
      <c r="BO614" s="25"/>
      <c r="BP614" s="25"/>
      <c r="BQ614" s="25"/>
      <c r="BR614" s="25" t="str">
        <f>_xlfn.CONCAT($A615," ",$B615," ",$D615)</f>
        <v>2025 Nissan LEAF</v>
      </c>
      <c r="BS614" s="25"/>
      <c r="BT614" s="25"/>
      <c r="BU614" s="25"/>
      <c r="BV614" s="25"/>
      <c r="BX614" s="25"/>
      <c r="BY614" s="25"/>
      <c r="BZ614" s="25"/>
      <c r="CA614" s="25"/>
      <c r="CB614" s="25"/>
      <c r="CC614" s="25"/>
      <c r="CD614" s="25"/>
      <c r="CE614" s="25"/>
      <c r="CF614" s="25"/>
      <c r="CG614" s="25"/>
      <c r="CH614" s="25"/>
      <c r="CI614" s="25"/>
      <c r="CJ614" s="25"/>
      <c r="CK614" s="25"/>
      <c r="CL614" s="25"/>
      <c r="CM614" s="25"/>
      <c r="CN614" s="25"/>
      <c r="CO614" s="25"/>
      <c r="CP614" s="25" t="str">
        <f>_xlfn.CONCAT($A615," ",$B615," ",$D615)</f>
        <v>2025 Nissan LEAF</v>
      </c>
      <c r="CQ614" s="25"/>
      <c r="CR614" s="25"/>
      <c r="CS614" s="25"/>
      <c r="CT614" s="25"/>
      <c r="CU614" s="25"/>
      <c r="CV614" s="25"/>
      <c r="CW614" s="25"/>
      <c r="CX614" s="25"/>
      <c r="CY614" s="25"/>
      <c r="CZ614" s="25"/>
      <c r="DA614" s="25"/>
      <c r="DB614" s="25"/>
      <c r="DC614" s="25"/>
      <c r="DD614" s="25"/>
      <c r="DE614" s="25"/>
      <c r="DF614" s="25"/>
      <c r="DG614" s="25"/>
      <c r="DH614" s="25"/>
      <c r="DI614" s="25" t="str">
        <f>_xlfn.CONCAT($A615," ",$B615," ",$D615)</f>
        <v>2025 Nissan LEAF</v>
      </c>
      <c r="DJ614" s="25"/>
      <c r="DK614" s="25"/>
      <c r="DL614" s="25"/>
      <c r="DM614" s="25"/>
      <c r="DN614" s="25"/>
      <c r="DO614" s="25"/>
      <c r="DP614" s="25"/>
      <c r="DQ614" s="25"/>
      <c r="DR614" s="25"/>
      <c r="DS614" s="25"/>
      <c r="DT614" s="25"/>
      <c r="DU614" s="25"/>
      <c r="DV614" s="25"/>
      <c r="DW614" s="25"/>
      <c r="DX614" s="25"/>
      <c r="DY614" s="25"/>
      <c r="DZ614" s="25" t="str">
        <f>_xlfn.CONCAT($A615," ",$B615," ",$D615)</f>
        <v>2025 Nissan LEAF</v>
      </c>
      <c r="EB614" s="25"/>
      <c r="EC614" s="25"/>
      <c r="ED614" s="25"/>
      <c r="EE614" s="25"/>
      <c r="EF614" s="25"/>
      <c r="EG614" s="25"/>
      <c r="EH614" s="25"/>
      <c r="EI614" s="25"/>
      <c r="EJ614" s="25"/>
      <c r="EK614" s="25"/>
      <c r="EL614" s="25"/>
      <c r="EM614" s="25"/>
      <c r="EN614" s="25"/>
      <c r="EO614" s="25"/>
      <c r="EP614" s="25"/>
      <c r="EQ614" s="25"/>
      <c r="ER614" s="25"/>
      <c r="ES614" s="25"/>
      <c r="ET614" s="25"/>
      <c r="EU614" s="25"/>
      <c r="EV614" s="25" t="str">
        <f>_xlfn.CONCAT($A615," ",$B615," ",$D615)</f>
        <v>2025 Nissan LEAF</v>
      </c>
      <c r="EW614" s="25"/>
      <c r="EX614" s="25"/>
      <c r="EY614" s="25"/>
      <c r="EZ614" s="25"/>
      <c r="FA614" s="25"/>
      <c r="FB614" s="25"/>
      <c r="FC614" s="25"/>
      <c r="FD614" s="25"/>
      <c r="FE614" s="25"/>
      <c r="FF614" s="25"/>
      <c r="FG614" s="25"/>
    </row>
    <row r="615" spans="1:165" x14ac:dyDescent="0.35">
      <c r="A615">
        <v>2025</v>
      </c>
      <c r="B615" t="s">
        <v>288</v>
      </c>
      <c r="C615" t="s">
        <v>289</v>
      </c>
      <c r="D615" t="s">
        <v>2420</v>
      </c>
      <c r="E615" t="s">
        <v>291</v>
      </c>
      <c r="F615">
        <v>902</v>
      </c>
      <c r="G615">
        <v>0</v>
      </c>
      <c r="I615" t="s">
        <v>1734</v>
      </c>
      <c r="J615">
        <v>123</v>
      </c>
      <c r="K615">
        <v>99</v>
      </c>
      <c r="L615">
        <v>111</v>
      </c>
      <c r="M615">
        <v>175.6</v>
      </c>
      <c r="N615">
        <v>141.19999999999999</v>
      </c>
      <c r="O615">
        <v>158.25069999999999</v>
      </c>
      <c r="P615">
        <v>122.92</v>
      </c>
      <c r="Q615">
        <v>98.84</v>
      </c>
      <c r="R615">
        <v>110.77549999999999</v>
      </c>
      <c r="V615" t="s">
        <v>167</v>
      </c>
      <c r="W615" t="s">
        <v>168</v>
      </c>
      <c r="Y615">
        <v>1</v>
      </c>
      <c r="Z615" t="s">
        <v>169</v>
      </c>
      <c r="AA615" t="s">
        <v>170</v>
      </c>
      <c r="AB615" t="s">
        <v>351</v>
      </c>
      <c r="AC615" t="s">
        <v>352</v>
      </c>
      <c r="AF615">
        <v>149</v>
      </c>
      <c r="AG615" t="s">
        <v>1735</v>
      </c>
      <c r="AH615" t="s">
        <v>1736</v>
      </c>
      <c r="AI615" t="s">
        <v>175</v>
      </c>
      <c r="AJ615" t="s">
        <v>176</v>
      </c>
      <c r="AK615" t="s">
        <v>170</v>
      </c>
      <c r="AL615" t="s">
        <v>177</v>
      </c>
      <c r="AQ615">
        <v>92</v>
      </c>
      <c r="AR615">
        <v>24</v>
      </c>
      <c r="AS615">
        <v>700</v>
      </c>
      <c r="AT615">
        <v>0</v>
      </c>
      <c r="BQ615">
        <v>5</v>
      </c>
      <c r="BR615" t="s">
        <v>672</v>
      </c>
      <c r="BS615" t="s">
        <v>180</v>
      </c>
      <c r="BT615" t="s">
        <v>1738</v>
      </c>
      <c r="BU615" s="1">
        <v>46828</v>
      </c>
      <c r="BV615">
        <v>35994</v>
      </c>
      <c r="BX615" t="s">
        <v>170</v>
      </c>
      <c r="BY615" t="s">
        <v>170</v>
      </c>
      <c r="CB615" t="s">
        <v>170</v>
      </c>
      <c r="CC615" t="s">
        <v>170</v>
      </c>
      <c r="CK615" t="s">
        <v>233</v>
      </c>
      <c r="CM615">
        <v>1</v>
      </c>
      <c r="CN615" t="s">
        <v>234</v>
      </c>
      <c r="CP615">
        <v>350</v>
      </c>
      <c r="CQ615">
        <v>115</v>
      </c>
      <c r="CR615">
        <v>132</v>
      </c>
      <c r="CS615" t="s">
        <v>235</v>
      </c>
      <c r="CV615" t="s">
        <v>341</v>
      </c>
      <c r="CX615" t="s">
        <v>729</v>
      </c>
      <c r="CY615" t="s">
        <v>170</v>
      </c>
      <c r="DC615" t="s">
        <v>2432</v>
      </c>
      <c r="DD615">
        <v>1</v>
      </c>
      <c r="DE615" t="s">
        <v>663</v>
      </c>
      <c r="DG615">
        <v>110</v>
      </c>
      <c r="DL615" t="s">
        <v>170</v>
      </c>
      <c r="DM615" t="s">
        <v>169</v>
      </c>
      <c r="DP615" t="s">
        <v>170</v>
      </c>
      <c r="DQ615" t="s">
        <v>187</v>
      </c>
      <c r="EB615">
        <v>9</v>
      </c>
      <c r="EC615">
        <v>10</v>
      </c>
      <c r="EE615" t="s">
        <v>2433</v>
      </c>
      <c r="EF615">
        <v>10</v>
      </c>
      <c r="EU615">
        <v>6000</v>
      </c>
      <c r="EW615">
        <v>0</v>
      </c>
      <c r="EX615">
        <v>0</v>
      </c>
      <c r="EY615">
        <v>0</v>
      </c>
      <c r="FA615">
        <v>8</v>
      </c>
      <c r="FG615">
        <v>163</v>
      </c>
      <c r="FH615">
        <v>131</v>
      </c>
      <c r="FI615">
        <v>149</v>
      </c>
    </row>
    <row r="616" spans="1:165" x14ac:dyDescent="0.35">
      <c r="A616">
        <v>2025</v>
      </c>
      <c r="B616" t="s">
        <v>288</v>
      </c>
      <c r="C616" t="s">
        <v>289</v>
      </c>
      <c r="D616" t="s">
        <v>2420</v>
      </c>
      <c r="E616" t="s">
        <v>291</v>
      </c>
      <c r="F616">
        <v>902</v>
      </c>
      <c r="G616">
        <v>0</v>
      </c>
      <c r="I616" t="s">
        <v>1734</v>
      </c>
      <c r="J616">
        <v>27</v>
      </c>
      <c r="K616">
        <v>34</v>
      </c>
      <c r="L616">
        <v>30</v>
      </c>
      <c r="M616">
        <v>19.198</v>
      </c>
      <c r="N616">
        <v>23.871300000000002</v>
      </c>
      <c r="O616">
        <v>21.300999999999998</v>
      </c>
      <c r="P616">
        <v>27.420300000000001</v>
      </c>
      <c r="Q616">
        <v>34.1006</v>
      </c>
      <c r="R616">
        <v>30.426400000000001</v>
      </c>
      <c r="V616" t="s">
        <v>167</v>
      </c>
      <c r="W616" t="s">
        <v>168</v>
      </c>
      <c r="Y616">
        <v>1</v>
      </c>
      <c r="Z616" t="s">
        <v>169</v>
      </c>
      <c r="AA616" t="s">
        <v>170</v>
      </c>
      <c r="AB616" t="s">
        <v>351</v>
      </c>
      <c r="AC616" t="s">
        <v>352</v>
      </c>
      <c r="AF616">
        <v>149</v>
      </c>
      <c r="AG616" t="s">
        <v>1735</v>
      </c>
      <c r="AH616" t="s">
        <v>1736</v>
      </c>
      <c r="AI616" t="s">
        <v>1742</v>
      </c>
      <c r="AJ616" t="s">
        <v>1743</v>
      </c>
      <c r="AK616" t="s">
        <v>170</v>
      </c>
      <c r="AL616" t="s">
        <v>177</v>
      </c>
      <c r="AQ616">
        <v>92</v>
      </c>
      <c r="AR616">
        <v>24</v>
      </c>
      <c r="AS616">
        <v>700</v>
      </c>
      <c r="AT616">
        <v>700</v>
      </c>
      <c r="BQ616">
        <v>5</v>
      </c>
      <c r="BR616" t="s">
        <v>672</v>
      </c>
      <c r="BS616" t="s">
        <v>180</v>
      </c>
      <c r="BT616" t="s">
        <v>1738</v>
      </c>
      <c r="BU616" s="1">
        <v>46828</v>
      </c>
      <c r="BV616">
        <v>35994</v>
      </c>
      <c r="BX616" t="s">
        <v>170</v>
      </c>
      <c r="BY616" t="s">
        <v>170</v>
      </c>
      <c r="CB616" t="s">
        <v>170</v>
      </c>
      <c r="CC616" t="s">
        <v>170</v>
      </c>
      <c r="CK616" t="s">
        <v>233</v>
      </c>
      <c r="CM616">
        <v>1</v>
      </c>
      <c r="CN616" t="s">
        <v>234</v>
      </c>
      <c r="CP616">
        <v>350</v>
      </c>
      <c r="CQ616">
        <v>115</v>
      </c>
      <c r="CR616">
        <v>132</v>
      </c>
      <c r="CS616" t="s">
        <v>235</v>
      </c>
      <c r="CV616" t="s">
        <v>341</v>
      </c>
      <c r="CX616" t="s">
        <v>729</v>
      </c>
      <c r="CY616" t="s">
        <v>170</v>
      </c>
      <c r="DC616" t="s">
        <v>2432</v>
      </c>
      <c r="DD616">
        <v>1</v>
      </c>
      <c r="DE616" t="s">
        <v>663</v>
      </c>
      <c r="DG616">
        <v>110</v>
      </c>
      <c r="DL616" t="s">
        <v>170</v>
      </c>
      <c r="DM616" t="s">
        <v>169</v>
      </c>
      <c r="DP616" t="s">
        <v>170</v>
      </c>
      <c r="DQ616" t="s">
        <v>187</v>
      </c>
      <c r="EB616">
        <v>9</v>
      </c>
      <c r="EC616">
        <v>10</v>
      </c>
      <c r="EE616" t="s">
        <v>2433</v>
      </c>
      <c r="EF616">
        <v>10</v>
      </c>
      <c r="EU616">
        <v>6000</v>
      </c>
      <c r="EW616">
        <v>0</v>
      </c>
      <c r="EX616">
        <v>0</v>
      </c>
      <c r="EY616">
        <v>0</v>
      </c>
      <c r="FA616">
        <v>8</v>
      </c>
      <c r="FG616">
        <v>163</v>
      </c>
      <c r="FH616">
        <v>131</v>
      </c>
      <c r="FI616">
        <v>149</v>
      </c>
    </row>
    <row r="617" spans="1:165" x14ac:dyDescent="0.35">
      <c r="A617" s="25"/>
      <c r="B617" s="25"/>
      <c r="C617" s="25"/>
      <c r="D617" s="25"/>
      <c r="E617" s="25"/>
      <c r="F617" s="25" t="str">
        <f>_xlfn.CONCAT($A618," ",$B618," ",$D618)</f>
        <v>2025 Nissan LEAF</v>
      </c>
      <c r="G617" s="25"/>
      <c r="H617" s="25"/>
      <c r="I617" s="25"/>
      <c r="J617" s="25"/>
      <c r="K617" s="25"/>
      <c r="L617" s="25"/>
      <c r="M617" s="25"/>
      <c r="N617" s="25"/>
      <c r="O617" s="25"/>
      <c r="P617" s="25"/>
      <c r="Q617" s="25"/>
      <c r="R617" s="25"/>
      <c r="S617" s="25"/>
      <c r="T617" s="25"/>
      <c r="U617" s="25"/>
      <c r="V617" s="25"/>
      <c r="W617" s="25"/>
      <c r="X617" s="25"/>
      <c r="Y617" s="25"/>
      <c r="Z617" s="25"/>
      <c r="AA617" s="25"/>
      <c r="AB617" s="25"/>
      <c r="AC617" s="25"/>
      <c r="AD617" s="25" t="str">
        <f>_xlfn.CONCAT($A618," ",$B618," ",$D618)</f>
        <v>2025 Nissan LEAF</v>
      </c>
      <c r="AE617" s="25"/>
      <c r="AF617" s="25"/>
      <c r="AG617" s="25"/>
      <c r="AH617" s="25"/>
      <c r="AI617" s="25"/>
      <c r="AJ617" s="25"/>
      <c r="AK617" s="25"/>
      <c r="AL617" s="25"/>
      <c r="AM617" s="25"/>
      <c r="AN617" s="25"/>
      <c r="AO617" s="25"/>
      <c r="AP617" s="25"/>
      <c r="AQ617" s="25"/>
      <c r="AR617" s="25"/>
      <c r="AS617" s="25"/>
      <c r="AT617" s="25"/>
      <c r="AU617" s="25"/>
      <c r="AV617" s="25"/>
      <c r="AW617" s="25"/>
      <c r="AX617" s="25" t="str">
        <f>_xlfn.CONCAT($A618," ",$B618," ",$D618)</f>
        <v>2025 Nissan LEAF</v>
      </c>
      <c r="AY617" s="25"/>
      <c r="AZ617" s="25"/>
      <c r="BA617" s="25"/>
      <c r="BB617" s="25"/>
      <c r="BC617" s="25"/>
      <c r="BD617" s="25"/>
      <c r="BE617" s="25"/>
      <c r="BF617" s="25"/>
      <c r="BG617" s="25"/>
      <c r="BH617" s="25"/>
      <c r="BI617" s="25"/>
      <c r="BJ617" s="25"/>
      <c r="BK617" s="25"/>
      <c r="BL617" s="25"/>
      <c r="BM617" s="25"/>
      <c r="BN617" s="25"/>
      <c r="BO617" s="25"/>
      <c r="BP617" s="25"/>
      <c r="BQ617" s="25"/>
      <c r="BR617" s="25" t="str">
        <f>_xlfn.CONCAT($A618," ",$B618," ",$D618)</f>
        <v>2025 Nissan LEAF</v>
      </c>
      <c r="BS617" s="25"/>
      <c r="BT617" s="25"/>
      <c r="BU617" s="25"/>
      <c r="BV617" s="25"/>
      <c r="BX617" s="25"/>
      <c r="BY617" s="25"/>
      <c r="BZ617" s="25"/>
      <c r="CA617" s="25"/>
      <c r="CB617" s="25"/>
      <c r="CC617" s="25"/>
      <c r="CD617" s="25"/>
      <c r="CE617" s="25"/>
      <c r="CF617" s="25"/>
      <c r="CG617" s="25"/>
      <c r="CH617" s="25"/>
      <c r="CI617" s="25"/>
      <c r="CJ617" s="25"/>
      <c r="CK617" s="25"/>
      <c r="CL617" s="25"/>
      <c r="CM617" s="25"/>
      <c r="CN617" s="25"/>
      <c r="CO617" s="25"/>
      <c r="CP617" s="25" t="str">
        <f>_xlfn.CONCAT($A618," ",$B618," ",$D618)</f>
        <v>2025 Nissan LEAF</v>
      </c>
      <c r="CQ617" s="25"/>
      <c r="CR617" s="25"/>
      <c r="CS617" s="25"/>
      <c r="CT617" s="25"/>
      <c r="CU617" s="25"/>
      <c r="CV617" s="25"/>
      <c r="CW617" s="25"/>
      <c r="CX617" s="25"/>
      <c r="CY617" s="25"/>
      <c r="CZ617" s="25"/>
      <c r="DA617" s="25"/>
      <c r="DB617" s="25"/>
      <c r="DC617" s="25"/>
      <c r="DD617" s="25"/>
      <c r="DE617" s="25"/>
      <c r="DF617" s="25"/>
      <c r="DG617" s="25"/>
      <c r="DH617" s="25"/>
      <c r="DI617" s="25" t="str">
        <f>_xlfn.CONCAT($A618," ",$B618," ",$D618)</f>
        <v>2025 Nissan LEAF</v>
      </c>
      <c r="DJ617" s="25"/>
      <c r="DK617" s="25"/>
      <c r="DL617" s="25"/>
      <c r="DM617" s="25"/>
      <c r="DN617" s="25"/>
      <c r="DO617" s="25"/>
      <c r="DP617" s="25"/>
      <c r="DQ617" s="25"/>
      <c r="DR617" s="25"/>
      <c r="DS617" s="25"/>
      <c r="DT617" s="25"/>
      <c r="DU617" s="25"/>
      <c r="DV617" s="25"/>
      <c r="DW617" s="25"/>
      <c r="DX617" s="25"/>
      <c r="DY617" s="25"/>
      <c r="DZ617" s="25" t="str">
        <f>_xlfn.CONCAT($A618," ",$B618," ",$D618)</f>
        <v>2025 Nissan LEAF</v>
      </c>
      <c r="EB617" s="25"/>
      <c r="EC617" s="25"/>
      <c r="ED617" s="25"/>
      <c r="EE617" s="25"/>
      <c r="EF617" s="25"/>
      <c r="EG617" s="25"/>
      <c r="EH617" s="25"/>
      <c r="EI617" s="25"/>
      <c r="EJ617" s="25"/>
      <c r="EK617" s="25"/>
      <c r="EL617" s="25"/>
      <c r="EM617" s="25"/>
      <c r="EN617" s="25"/>
      <c r="EO617" s="25"/>
      <c r="EP617" s="25"/>
      <c r="EQ617" s="25"/>
      <c r="ER617" s="25"/>
      <c r="ES617" s="25"/>
      <c r="ET617" s="25"/>
      <c r="EU617" s="25"/>
      <c r="EV617" s="25" t="str">
        <f>_xlfn.CONCAT($A618," ",$B618," ",$D618)</f>
        <v>2025 Nissan LEAF</v>
      </c>
      <c r="EW617" s="25"/>
      <c r="EX617" s="25"/>
      <c r="EY617" s="25"/>
      <c r="EZ617" s="25"/>
      <c r="FA617" s="25"/>
      <c r="FB617" s="25"/>
      <c r="FC617" s="25"/>
      <c r="FD617" s="25"/>
      <c r="FE617" s="25"/>
      <c r="FF617" s="25"/>
      <c r="FG617" s="25"/>
    </row>
    <row r="618" spans="1:165" x14ac:dyDescent="0.35">
      <c r="A618">
        <v>2025</v>
      </c>
      <c r="B618" t="s">
        <v>288</v>
      </c>
      <c r="C618" t="s">
        <v>289</v>
      </c>
      <c r="D618" t="s">
        <v>2420</v>
      </c>
      <c r="E618" t="s">
        <v>291</v>
      </c>
      <c r="F618">
        <v>904</v>
      </c>
      <c r="G618">
        <v>0</v>
      </c>
      <c r="I618" t="s">
        <v>1734</v>
      </c>
      <c r="J618">
        <v>121</v>
      </c>
      <c r="K618">
        <v>98</v>
      </c>
      <c r="L618">
        <v>109</v>
      </c>
      <c r="M618">
        <v>172.9</v>
      </c>
      <c r="N618">
        <v>140.1</v>
      </c>
      <c r="O618">
        <v>156.42060000000001</v>
      </c>
      <c r="P618">
        <v>121.03</v>
      </c>
      <c r="Q618">
        <v>98.07</v>
      </c>
      <c r="R618">
        <v>109.4944</v>
      </c>
      <c r="V618" t="s">
        <v>167</v>
      </c>
      <c r="W618" t="s">
        <v>168</v>
      </c>
      <c r="Y618">
        <v>1</v>
      </c>
      <c r="Z618" t="s">
        <v>169</v>
      </c>
      <c r="AA618" t="s">
        <v>170</v>
      </c>
      <c r="AB618" t="s">
        <v>351</v>
      </c>
      <c r="AC618" t="s">
        <v>352</v>
      </c>
      <c r="AF618">
        <v>212</v>
      </c>
      <c r="AG618" t="s">
        <v>1735</v>
      </c>
      <c r="AH618" t="s">
        <v>1736</v>
      </c>
      <c r="AI618" t="s">
        <v>175</v>
      </c>
      <c r="AJ618" t="s">
        <v>176</v>
      </c>
      <c r="AK618" t="s">
        <v>170</v>
      </c>
      <c r="AL618" t="s">
        <v>177</v>
      </c>
      <c r="AQ618">
        <v>92</v>
      </c>
      <c r="AR618">
        <v>24</v>
      </c>
      <c r="AS618">
        <v>750</v>
      </c>
      <c r="AT618">
        <v>0</v>
      </c>
      <c r="BQ618">
        <v>5</v>
      </c>
      <c r="BR618" t="s">
        <v>672</v>
      </c>
      <c r="BS618" t="s">
        <v>180</v>
      </c>
      <c r="BT618" t="s">
        <v>1738</v>
      </c>
      <c r="BU618" s="1">
        <v>46828</v>
      </c>
      <c r="BV618">
        <v>35995</v>
      </c>
      <c r="BX618" t="s">
        <v>170</v>
      </c>
      <c r="BY618" t="s">
        <v>170</v>
      </c>
      <c r="CB618" t="s">
        <v>170</v>
      </c>
      <c r="CC618" t="s">
        <v>170</v>
      </c>
      <c r="CK618" t="s">
        <v>233</v>
      </c>
      <c r="CM618">
        <v>1</v>
      </c>
      <c r="CN618" t="s">
        <v>234</v>
      </c>
      <c r="CP618">
        <v>350</v>
      </c>
      <c r="CQ618">
        <v>173</v>
      </c>
      <c r="CR618">
        <v>137.6</v>
      </c>
      <c r="CS618" t="s">
        <v>235</v>
      </c>
      <c r="CV618" t="s">
        <v>341</v>
      </c>
      <c r="CX618" t="s">
        <v>729</v>
      </c>
      <c r="CY618" t="s">
        <v>170</v>
      </c>
      <c r="DD618">
        <v>1</v>
      </c>
      <c r="DE618" t="s">
        <v>663</v>
      </c>
      <c r="DG618">
        <v>160</v>
      </c>
      <c r="DL618" t="s">
        <v>170</v>
      </c>
      <c r="DM618" t="s">
        <v>169</v>
      </c>
      <c r="DP618" t="s">
        <v>170</v>
      </c>
      <c r="DQ618" t="s">
        <v>187</v>
      </c>
      <c r="EB618">
        <v>9</v>
      </c>
      <c r="EC618">
        <v>10</v>
      </c>
      <c r="EE618" t="s">
        <v>2421</v>
      </c>
      <c r="EF618">
        <v>10</v>
      </c>
      <c r="EU618">
        <v>5750</v>
      </c>
      <c r="EW618">
        <v>0</v>
      </c>
      <c r="EX618">
        <v>0</v>
      </c>
      <c r="EY618">
        <v>0</v>
      </c>
      <c r="FA618">
        <v>11</v>
      </c>
      <c r="FG618">
        <v>232</v>
      </c>
      <c r="FH618">
        <v>188</v>
      </c>
      <c r="FI618">
        <v>212</v>
      </c>
    </row>
    <row r="619" spans="1:165" x14ac:dyDescent="0.35">
      <c r="A619">
        <v>2025</v>
      </c>
      <c r="B619" t="s">
        <v>288</v>
      </c>
      <c r="C619" t="s">
        <v>289</v>
      </c>
      <c r="D619" t="s">
        <v>2420</v>
      </c>
      <c r="E619" t="s">
        <v>291</v>
      </c>
      <c r="F619">
        <v>904</v>
      </c>
      <c r="G619">
        <v>0</v>
      </c>
      <c r="I619" t="s">
        <v>1734</v>
      </c>
      <c r="J619">
        <v>28</v>
      </c>
      <c r="K619">
        <v>34</v>
      </c>
      <c r="L619">
        <v>31</v>
      </c>
      <c r="M619">
        <v>19.489100000000001</v>
      </c>
      <c r="N619">
        <v>24.062999999999999</v>
      </c>
      <c r="O619">
        <v>21.5474</v>
      </c>
      <c r="P619">
        <v>27.848500000000001</v>
      </c>
      <c r="Q619">
        <v>34.368299999999998</v>
      </c>
      <c r="R619">
        <v>30.782399999999999</v>
      </c>
      <c r="V619" t="s">
        <v>167</v>
      </c>
      <c r="W619" t="s">
        <v>168</v>
      </c>
      <c r="Y619">
        <v>1</v>
      </c>
      <c r="Z619" t="s">
        <v>169</v>
      </c>
      <c r="AA619" t="s">
        <v>170</v>
      </c>
      <c r="AB619" t="s">
        <v>351</v>
      </c>
      <c r="AC619" t="s">
        <v>352</v>
      </c>
      <c r="AF619">
        <v>212</v>
      </c>
      <c r="AG619" t="s">
        <v>1735</v>
      </c>
      <c r="AH619" t="s">
        <v>1736</v>
      </c>
      <c r="AI619" t="s">
        <v>1742</v>
      </c>
      <c r="AJ619" t="s">
        <v>1743</v>
      </c>
      <c r="AK619" t="s">
        <v>170</v>
      </c>
      <c r="AL619" t="s">
        <v>177</v>
      </c>
      <c r="AQ619">
        <v>92</v>
      </c>
      <c r="AR619">
        <v>24</v>
      </c>
      <c r="AS619">
        <v>750</v>
      </c>
      <c r="AT619">
        <v>750</v>
      </c>
      <c r="BQ619">
        <v>5</v>
      </c>
      <c r="BR619" t="s">
        <v>672</v>
      </c>
      <c r="BS619" t="s">
        <v>180</v>
      </c>
      <c r="BT619" t="s">
        <v>1738</v>
      </c>
      <c r="BU619" s="1">
        <v>46828</v>
      </c>
      <c r="BV619">
        <v>35995</v>
      </c>
      <c r="BX619" t="s">
        <v>170</v>
      </c>
      <c r="BY619" t="s">
        <v>170</v>
      </c>
      <c r="CB619" t="s">
        <v>170</v>
      </c>
      <c r="CC619" t="s">
        <v>170</v>
      </c>
      <c r="CK619" t="s">
        <v>233</v>
      </c>
      <c r="CM619">
        <v>1</v>
      </c>
      <c r="CN619" t="s">
        <v>234</v>
      </c>
      <c r="CP619">
        <v>350</v>
      </c>
      <c r="CQ619">
        <v>173</v>
      </c>
      <c r="CR619">
        <v>137.6</v>
      </c>
      <c r="CS619" t="s">
        <v>235</v>
      </c>
      <c r="CV619" t="s">
        <v>341</v>
      </c>
      <c r="CX619" t="s">
        <v>729</v>
      </c>
      <c r="CY619" t="s">
        <v>170</v>
      </c>
      <c r="DD619">
        <v>1</v>
      </c>
      <c r="DE619" t="s">
        <v>663</v>
      </c>
      <c r="DG619">
        <v>160</v>
      </c>
      <c r="DL619" t="s">
        <v>170</v>
      </c>
      <c r="DM619" t="s">
        <v>169</v>
      </c>
      <c r="DP619" t="s">
        <v>170</v>
      </c>
      <c r="DQ619" t="s">
        <v>187</v>
      </c>
      <c r="EB619">
        <v>9</v>
      </c>
      <c r="EC619">
        <v>10</v>
      </c>
      <c r="EE619" t="s">
        <v>2421</v>
      </c>
      <c r="EF619">
        <v>10</v>
      </c>
      <c r="EU619">
        <v>5750</v>
      </c>
      <c r="EW619">
        <v>0</v>
      </c>
      <c r="EX619">
        <v>0</v>
      </c>
      <c r="EY619">
        <v>0</v>
      </c>
      <c r="FA619">
        <v>11</v>
      </c>
      <c r="FG619">
        <v>232</v>
      </c>
      <c r="FH619">
        <v>188</v>
      </c>
      <c r="FI619">
        <v>212</v>
      </c>
    </row>
    <row r="620" spans="1:165" x14ac:dyDescent="0.35">
      <c r="A620" s="25"/>
      <c r="B620" s="25"/>
      <c r="C620" s="25"/>
      <c r="D620" s="25"/>
      <c r="E620" s="25"/>
      <c r="F620" s="25" t="str">
        <f>_xlfn.CONCAT($A621," ",$B621," ",$D621)</f>
        <v>2025 Volvo Polestar 2 Dual Motor (19 Inch Wheels)</v>
      </c>
      <c r="G620" s="25"/>
      <c r="H620" s="25"/>
      <c r="I620" s="25"/>
      <c r="J620" s="25"/>
      <c r="K620" s="25"/>
      <c r="L620" s="25"/>
      <c r="M620" s="25"/>
      <c r="N620" s="25"/>
      <c r="O620" s="25"/>
      <c r="P620" s="25"/>
      <c r="Q620" s="25"/>
      <c r="R620" s="25"/>
      <c r="S620" s="25"/>
      <c r="T620" s="25"/>
      <c r="U620" s="25"/>
      <c r="V620" s="25"/>
      <c r="W620" s="25"/>
      <c r="X620" s="25"/>
      <c r="Y620" s="25"/>
      <c r="Z620" s="25"/>
      <c r="AA620" s="25"/>
      <c r="AB620" s="25"/>
      <c r="AC620" s="25"/>
      <c r="AD620" s="25" t="str">
        <f>_xlfn.CONCAT($A621," ",$B621," ",$D621)</f>
        <v>2025 Volvo Polestar 2 Dual Motor (19 Inch Wheels)</v>
      </c>
      <c r="AE620" s="25"/>
      <c r="AF620" s="25"/>
      <c r="AG620" s="25"/>
      <c r="AH620" s="25"/>
      <c r="AI620" s="25"/>
      <c r="AJ620" s="25"/>
      <c r="AK620" s="25"/>
      <c r="AL620" s="25"/>
      <c r="AM620" s="25"/>
      <c r="AN620" s="25"/>
      <c r="AO620" s="25"/>
      <c r="AP620" s="25"/>
      <c r="AQ620" s="25"/>
      <c r="AR620" s="25"/>
      <c r="AS620" s="25"/>
      <c r="AT620" s="25"/>
      <c r="AU620" s="25"/>
      <c r="AV620" s="25"/>
      <c r="AW620" s="25"/>
      <c r="AX620" s="25" t="str">
        <f>_xlfn.CONCAT($A621," ",$B621," ",$D621)</f>
        <v>2025 Volvo Polestar 2 Dual Motor (19 Inch Wheels)</v>
      </c>
      <c r="AY620" s="25"/>
      <c r="AZ620" s="25"/>
      <c r="BA620" s="25"/>
      <c r="BB620" s="25"/>
      <c r="BC620" s="25"/>
      <c r="BD620" s="25"/>
      <c r="BE620" s="25"/>
      <c r="BF620" s="25"/>
      <c r="BG620" s="25"/>
      <c r="BH620" s="25"/>
      <c r="BI620" s="25"/>
      <c r="BJ620" s="25"/>
      <c r="BK620" s="25"/>
      <c r="BL620" s="25"/>
      <c r="BM620" s="25"/>
      <c r="BN620" s="25"/>
      <c r="BO620" s="25"/>
      <c r="BP620" s="25"/>
      <c r="BQ620" s="25"/>
      <c r="BR620" s="25" t="str">
        <f>_xlfn.CONCAT($A621," ",$B621," ",$D621)</f>
        <v>2025 Volvo Polestar 2 Dual Motor (19 Inch Wheels)</v>
      </c>
      <c r="BS620" s="25"/>
      <c r="BT620" s="25"/>
      <c r="BU620" s="25"/>
      <c r="BV620" s="25"/>
      <c r="BX620" s="25"/>
      <c r="BY620" s="25"/>
      <c r="BZ620" s="25"/>
      <c r="CA620" s="25"/>
      <c r="CB620" s="25"/>
      <c r="CC620" s="25"/>
      <c r="CD620" s="25"/>
      <c r="CE620" s="25"/>
      <c r="CF620" s="25"/>
      <c r="CG620" s="25"/>
      <c r="CH620" s="25"/>
      <c r="CI620" s="25"/>
      <c r="CJ620" s="25"/>
      <c r="CK620" s="25"/>
      <c r="CL620" s="25"/>
      <c r="CM620" s="25"/>
      <c r="CN620" s="25"/>
      <c r="CO620" s="25"/>
      <c r="CP620" s="25" t="str">
        <f>_xlfn.CONCAT($A621," ",$B621," ",$D621)</f>
        <v>2025 Volvo Polestar 2 Dual Motor (19 Inch Wheels)</v>
      </c>
      <c r="CQ620" s="25"/>
      <c r="CR620" s="25"/>
      <c r="CS620" s="25"/>
      <c r="CT620" s="25"/>
      <c r="CU620" s="25"/>
      <c r="CV620" s="25"/>
      <c r="CW620" s="25"/>
      <c r="CX620" s="25"/>
      <c r="CY620" s="25"/>
      <c r="CZ620" s="25"/>
      <c r="DA620" s="25"/>
      <c r="DB620" s="25"/>
      <c r="DC620" s="25"/>
      <c r="DD620" s="25"/>
      <c r="DE620" s="25"/>
      <c r="DF620" s="25"/>
      <c r="DG620" s="25"/>
      <c r="DH620" s="25"/>
      <c r="DI620" s="25" t="str">
        <f>_xlfn.CONCAT($A621," ",$B621," ",$D621)</f>
        <v>2025 Volvo Polestar 2 Dual Motor (19 Inch Wheels)</v>
      </c>
      <c r="DJ620" s="25"/>
      <c r="DK620" s="25"/>
      <c r="DL620" s="25"/>
      <c r="DM620" s="25"/>
      <c r="DN620" s="25"/>
      <c r="DO620" s="25"/>
      <c r="DP620" s="25"/>
      <c r="DQ620" s="25"/>
      <c r="DR620" s="25"/>
      <c r="DS620" s="25"/>
      <c r="DT620" s="25"/>
      <c r="DU620" s="25"/>
      <c r="DV620" s="25"/>
      <c r="DW620" s="25"/>
      <c r="DX620" s="25"/>
      <c r="DY620" s="25"/>
      <c r="DZ620" s="25" t="str">
        <f>_xlfn.CONCAT($A621," ",$B621," ",$D621)</f>
        <v>2025 Volvo Polestar 2 Dual Motor (19 Inch Wheels)</v>
      </c>
      <c r="EB620" s="25"/>
      <c r="EC620" s="25"/>
      <c r="ED620" s="25"/>
      <c r="EE620" s="25"/>
      <c r="EF620" s="25"/>
      <c r="EG620" s="25"/>
      <c r="EH620" s="25"/>
      <c r="EI620" s="25"/>
      <c r="EJ620" s="25"/>
      <c r="EK620" s="25"/>
      <c r="EL620" s="25"/>
      <c r="EM620" s="25"/>
      <c r="EN620" s="25"/>
      <c r="EO620" s="25"/>
      <c r="EP620" s="25"/>
      <c r="EQ620" s="25"/>
      <c r="ER620" s="25"/>
      <c r="ES620" s="25"/>
      <c r="ET620" s="25"/>
      <c r="EU620" s="25"/>
      <c r="EV620" s="25" t="str">
        <f>_xlfn.CONCAT($A621," ",$B621," ",$D621)</f>
        <v>2025 Volvo Polestar 2 Dual Motor (19 Inch Wheels)</v>
      </c>
      <c r="EW620" s="25"/>
      <c r="EX620" s="25"/>
      <c r="EY620" s="25"/>
      <c r="EZ620" s="25"/>
      <c r="FA620" s="25"/>
      <c r="FB620" s="25"/>
      <c r="FC620" s="25"/>
      <c r="FD620" s="25"/>
      <c r="FE620" s="25"/>
      <c r="FF620" s="25"/>
      <c r="FG620" s="25"/>
    </row>
    <row r="621" spans="1:165" x14ac:dyDescent="0.35">
      <c r="A621">
        <v>2025</v>
      </c>
      <c r="B621" t="s">
        <v>658</v>
      </c>
      <c r="C621" t="s">
        <v>2145</v>
      </c>
      <c r="D621" t="s">
        <v>2146</v>
      </c>
      <c r="E621" t="s">
        <v>661</v>
      </c>
      <c r="F621">
        <v>248</v>
      </c>
      <c r="G621">
        <v>0</v>
      </c>
      <c r="I621" t="s">
        <v>1734</v>
      </c>
      <c r="J621">
        <v>105</v>
      </c>
      <c r="K621">
        <v>95</v>
      </c>
      <c r="L621">
        <v>101</v>
      </c>
      <c r="M621">
        <v>150.4</v>
      </c>
      <c r="N621">
        <v>136.19999999999999</v>
      </c>
      <c r="O621">
        <v>143.66</v>
      </c>
      <c r="P621">
        <v>105.28</v>
      </c>
      <c r="Q621">
        <v>95.34</v>
      </c>
      <c r="R621">
        <v>100.562</v>
      </c>
      <c r="V621" t="s">
        <v>167</v>
      </c>
      <c r="W621" t="s">
        <v>168</v>
      </c>
      <c r="Y621">
        <v>1</v>
      </c>
      <c r="Z621" t="s">
        <v>170</v>
      </c>
      <c r="AA621" t="s">
        <v>170</v>
      </c>
      <c r="AB621" t="s">
        <v>167</v>
      </c>
      <c r="AC621" t="s">
        <v>213</v>
      </c>
      <c r="AF621">
        <v>278</v>
      </c>
      <c r="AG621" t="s">
        <v>1735</v>
      </c>
      <c r="AH621" t="s">
        <v>1736</v>
      </c>
      <c r="AI621" t="s">
        <v>175</v>
      </c>
      <c r="AJ621" t="s">
        <v>176</v>
      </c>
      <c r="AK621">
        <v>4</v>
      </c>
      <c r="AL621" t="s">
        <v>1737</v>
      </c>
      <c r="AQ621">
        <v>89</v>
      </c>
      <c r="AR621">
        <v>26</v>
      </c>
      <c r="AS621">
        <v>800</v>
      </c>
      <c r="AT621">
        <v>800</v>
      </c>
      <c r="BQ621">
        <v>5</v>
      </c>
      <c r="BR621" t="s">
        <v>672</v>
      </c>
      <c r="BS621" t="s">
        <v>180</v>
      </c>
      <c r="BT621" t="s">
        <v>1769</v>
      </c>
      <c r="BU621" s="1">
        <v>45418</v>
      </c>
      <c r="BV621">
        <v>34738</v>
      </c>
      <c r="BX621" t="s">
        <v>170</v>
      </c>
      <c r="BY621" t="s">
        <v>170</v>
      </c>
      <c r="CB621" t="s">
        <v>170</v>
      </c>
      <c r="CC621" t="s">
        <v>170</v>
      </c>
      <c r="CK621" t="s">
        <v>233</v>
      </c>
      <c r="CM621">
        <v>1</v>
      </c>
      <c r="CN621" t="s">
        <v>234</v>
      </c>
      <c r="CP621">
        <v>404</v>
      </c>
      <c r="CQ621">
        <v>202</v>
      </c>
      <c r="CR621">
        <v>165</v>
      </c>
      <c r="CS621" t="s">
        <v>235</v>
      </c>
      <c r="CV621" t="s">
        <v>341</v>
      </c>
      <c r="CX621" t="s">
        <v>342</v>
      </c>
      <c r="CY621" t="s">
        <v>170</v>
      </c>
      <c r="DC621" t="s">
        <v>2147</v>
      </c>
      <c r="DD621">
        <v>2</v>
      </c>
      <c r="DE621" t="s">
        <v>404</v>
      </c>
      <c r="DF621" t="s">
        <v>427</v>
      </c>
      <c r="DG621" t="s">
        <v>2148</v>
      </c>
      <c r="DL621" t="s">
        <v>170</v>
      </c>
      <c r="DM621" t="s">
        <v>169</v>
      </c>
      <c r="DP621" t="s">
        <v>170</v>
      </c>
      <c r="DQ621" t="s">
        <v>187</v>
      </c>
      <c r="EB621">
        <v>9</v>
      </c>
      <c r="EC621">
        <v>10</v>
      </c>
      <c r="EE621" t="s">
        <v>2149</v>
      </c>
      <c r="EF621">
        <v>10</v>
      </c>
      <c r="EU621">
        <v>5500</v>
      </c>
      <c r="EW621">
        <v>0</v>
      </c>
      <c r="EX621">
        <v>0</v>
      </c>
      <c r="EY621">
        <v>0</v>
      </c>
      <c r="FA621">
        <v>8</v>
      </c>
      <c r="FG621">
        <v>290</v>
      </c>
      <c r="FH621">
        <v>263</v>
      </c>
      <c r="FI621">
        <v>278</v>
      </c>
    </row>
    <row r="622" spans="1:165" x14ac:dyDescent="0.35">
      <c r="A622">
        <v>2025</v>
      </c>
      <c r="B622" t="s">
        <v>658</v>
      </c>
      <c r="C622" t="s">
        <v>2145</v>
      </c>
      <c r="D622" t="s">
        <v>2146</v>
      </c>
      <c r="E622" t="s">
        <v>661</v>
      </c>
      <c r="F622">
        <v>248</v>
      </c>
      <c r="G622">
        <v>0</v>
      </c>
      <c r="I622" t="s">
        <v>1734</v>
      </c>
      <c r="J622">
        <v>32</v>
      </c>
      <c r="K622">
        <v>35</v>
      </c>
      <c r="L622">
        <v>34</v>
      </c>
      <c r="M622">
        <v>22.403199999999998</v>
      </c>
      <c r="N622">
        <v>24.742699999999999</v>
      </c>
      <c r="O622">
        <v>23.456</v>
      </c>
      <c r="P622">
        <v>32.014600000000002</v>
      </c>
      <c r="Q622">
        <v>35.352400000000003</v>
      </c>
      <c r="R622">
        <v>33.516599999999997</v>
      </c>
      <c r="V622" t="s">
        <v>167</v>
      </c>
      <c r="W622" t="s">
        <v>168</v>
      </c>
      <c r="Y622">
        <v>1</v>
      </c>
      <c r="Z622" t="s">
        <v>170</v>
      </c>
      <c r="AA622" t="s">
        <v>170</v>
      </c>
      <c r="AB622" t="s">
        <v>167</v>
      </c>
      <c r="AC622" t="s">
        <v>213</v>
      </c>
      <c r="AF622">
        <v>278</v>
      </c>
      <c r="AG622" t="s">
        <v>1735</v>
      </c>
      <c r="AH622" t="s">
        <v>1736</v>
      </c>
      <c r="AI622" t="s">
        <v>1742</v>
      </c>
      <c r="AJ622" t="s">
        <v>1743</v>
      </c>
      <c r="AK622">
        <v>4</v>
      </c>
      <c r="AL622" t="s">
        <v>1737</v>
      </c>
      <c r="AQ622">
        <v>89</v>
      </c>
      <c r="AR622">
        <v>26</v>
      </c>
      <c r="AS622">
        <v>800</v>
      </c>
      <c r="AT622">
        <v>800</v>
      </c>
      <c r="BQ622">
        <v>5</v>
      </c>
      <c r="BR622" t="s">
        <v>672</v>
      </c>
      <c r="BS622" t="s">
        <v>180</v>
      </c>
      <c r="BT622" t="s">
        <v>1769</v>
      </c>
      <c r="BU622" s="1">
        <v>45418</v>
      </c>
      <c r="BV622">
        <v>34738</v>
      </c>
      <c r="BX622" t="s">
        <v>170</v>
      </c>
      <c r="BY622" t="s">
        <v>170</v>
      </c>
      <c r="CB622" t="s">
        <v>170</v>
      </c>
      <c r="CC622" t="s">
        <v>170</v>
      </c>
      <c r="CK622" t="s">
        <v>233</v>
      </c>
      <c r="CM622">
        <v>1</v>
      </c>
      <c r="CN622" t="s">
        <v>234</v>
      </c>
      <c r="CP622">
        <v>404</v>
      </c>
      <c r="CQ622">
        <v>202</v>
      </c>
      <c r="CR622">
        <v>165</v>
      </c>
      <c r="CS622" t="s">
        <v>235</v>
      </c>
      <c r="CV622" t="s">
        <v>341</v>
      </c>
      <c r="CX622" t="s">
        <v>342</v>
      </c>
      <c r="CY622" t="s">
        <v>170</v>
      </c>
      <c r="DC622" t="s">
        <v>2147</v>
      </c>
      <c r="DD622">
        <v>2</v>
      </c>
      <c r="DE622" t="s">
        <v>404</v>
      </c>
      <c r="DF622" t="s">
        <v>427</v>
      </c>
      <c r="DG622" t="s">
        <v>2148</v>
      </c>
      <c r="DL622" t="s">
        <v>170</v>
      </c>
      <c r="DM622" t="s">
        <v>169</v>
      </c>
      <c r="DP622" t="s">
        <v>170</v>
      </c>
      <c r="DQ622" t="s">
        <v>187</v>
      </c>
      <c r="EB622">
        <v>9</v>
      </c>
      <c r="EC622">
        <v>10</v>
      </c>
      <c r="EE622" t="s">
        <v>2149</v>
      </c>
      <c r="EF622">
        <v>10</v>
      </c>
      <c r="EU622">
        <v>5500</v>
      </c>
      <c r="EW622">
        <v>0</v>
      </c>
      <c r="EX622">
        <v>0</v>
      </c>
      <c r="EY622">
        <v>0</v>
      </c>
      <c r="FA622">
        <v>8</v>
      </c>
      <c r="FG622">
        <v>290</v>
      </c>
      <c r="FH622">
        <v>263</v>
      </c>
      <c r="FI622">
        <v>278</v>
      </c>
    </row>
    <row r="623" spans="1:165" x14ac:dyDescent="0.35">
      <c r="A623" s="25"/>
      <c r="B623" s="25"/>
      <c r="C623" s="25"/>
      <c r="D623" s="25"/>
      <c r="E623" s="25"/>
      <c r="F623" s="25" t="str">
        <f>_xlfn.CONCAT($A624," ",$B624," ",$D624)</f>
        <v>2025 Volvo Polestar 2 Single Motor (19 Inch Wheels)</v>
      </c>
      <c r="G623" s="25"/>
      <c r="H623" s="25"/>
      <c r="I623" s="25"/>
      <c r="J623" s="25"/>
      <c r="K623" s="25"/>
      <c r="L623" s="25"/>
      <c r="M623" s="25"/>
      <c r="N623" s="25"/>
      <c r="O623" s="25"/>
      <c r="P623" s="25"/>
      <c r="Q623" s="25"/>
      <c r="R623" s="25"/>
      <c r="S623" s="25"/>
      <c r="T623" s="25"/>
      <c r="U623" s="25"/>
      <c r="V623" s="25"/>
      <c r="W623" s="25"/>
      <c r="X623" s="25"/>
      <c r="Y623" s="25"/>
      <c r="Z623" s="25"/>
      <c r="AA623" s="25"/>
      <c r="AB623" s="25"/>
      <c r="AC623" s="25"/>
      <c r="AD623" s="25" t="str">
        <f>_xlfn.CONCAT($A624," ",$B624," ",$D624)</f>
        <v>2025 Volvo Polestar 2 Single Motor (19 Inch Wheels)</v>
      </c>
      <c r="AE623" s="25"/>
      <c r="AF623" s="25"/>
      <c r="AG623" s="25"/>
      <c r="AH623" s="25"/>
      <c r="AI623" s="25"/>
      <c r="AJ623" s="25"/>
      <c r="AK623" s="25"/>
      <c r="AL623" s="25"/>
      <c r="AM623" s="25"/>
      <c r="AN623" s="25"/>
      <c r="AO623" s="25"/>
      <c r="AP623" s="25"/>
      <c r="AQ623" s="25"/>
      <c r="AR623" s="25"/>
      <c r="AS623" s="25"/>
      <c r="AT623" s="25"/>
      <c r="AU623" s="25"/>
      <c r="AV623" s="25"/>
      <c r="AW623" s="25"/>
      <c r="AX623" s="25" t="str">
        <f>_xlfn.CONCAT($A624," ",$B624," ",$D624)</f>
        <v>2025 Volvo Polestar 2 Single Motor (19 Inch Wheels)</v>
      </c>
      <c r="AY623" s="25"/>
      <c r="AZ623" s="25"/>
      <c r="BA623" s="25"/>
      <c r="BB623" s="25"/>
      <c r="BC623" s="25"/>
      <c r="BD623" s="25"/>
      <c r="BE623" s="25"/>
      <c r="BF623" s="25"/>
      <c r="BG623" s="25"/>
      <c r="BH623" s="25"/>
      <c r="BI623" s="25"/>
      <c r="BJ623" s="25"/>
      <c r="BK623" s="25"/>
      <c r="BL623" s="25"/>
      <c r="BM623" s="25"/>
      <c r="BN623" s="25"/>
      <c r="BO623" s="25"/>
      <c r="BP623" s="25"/>
      <c r="BQ623" s="25"/>
      <c r="BR623" s="25" t="str">
        <f>_xlfn.CONCAT($A624," ",$B624," ",$D624)</f>
        <v>2025 Volvo Polestar 2 Single Motor (19 Inch Wheels)</v>
      </c>
      <c r="BS623" s="25"/>
      <c r="BT623" s="25"/>
      <c r="BU623" s="25"/>
      <c r="BV623" s="25"/>
      <c r="BX623" s="25"/>
      <c r="BY623" s="25"/>
      <c r="BZ623" s="25"/>
      <c r="CA623" s="25"/>
      <c r="CB623" s="25"/>
      <c r="CC623" s="25"/>
      <c r="CD623" s="25"/>
      <c r="CE623" s="25"/>
      <c r="CF623" s="25"/>
      <c r="CG623" s="25"/>
      <c r="CH623" s="25"/>
      <c r="CI623" s="25"/>
      <c r="CJ623" s="25"/>
      <c r="CK623" s="25"/>
      <c r="CL623" s="25"/>
      <c r="CM623" s="25"/>
      <c r="CN623" s="25"/>
      <c r="CO623" s="25"/>
      <c r="CP623" s="25" t="str">
        <f>_xlfn.CONCAT($A624," ",$B624," ",$D624)</f>
        <v>2025 Volvo Polestar 2 Single Motor (19 Inch Wheels)</v>
      </c>
      <c r="CQ623" s="25"/>
      <c r="CR623" s="25"/>
      <c r="CS623" s="25"/>
      <c r="CT623" s="25"/>
      <c r="CU623" s="25"/>
      <c r="CV623" s="25"/>
      <c r="CW623" s="25"/>
      <c r="CX623" s="25"/>
      <c r="CY623" s="25"/>
      <c r="CZ623" s="25"/>
      <c r="DA623" s="25"/>
      <c r="DB623" s="25"/>
      <c r="DC623" s="25"/>
      <c r="DD623" s="25"/>
      <c r="DE623" s="25"/>
      <c r="DF623" s="25"/>
      <c r="DG623" s="25"/>
      <c r="DH623" s="25"/>
      <c r="DI623" s="25" t="str">
        <f>_xlfn.CONCAT($A624," ",$B624," ",$D624)</f>
        <v>2025 Volvo Polestar 2 Single Motor (19 Inch Wheels)</v>
      </c>
      <c r="DJ623" s="25"/>
      <c r="DK623" s="25"/>
      <c r="DL623" s="25"/>
      <c r="DM623" s="25"/>
      <c r="DN623" s="25"/>
      <c r="DO623" s="25"/>
      <c r="DP623" s="25"/>
      <c r="DQ623" s="25"/>
      <c r="DR623" s="25"/>
      <c r="DS623" s="25"/>
      <c r="DT623" s="25"/>
      <c r="DU623" s="25"/>
      <c r="DV623" s="25"/>
      <c r="DW623" s="25"/>
      <c r="DX623" s="25"/>
      <c r="DY623" s="25"/>
      <c r="DZ623" s="25" t="str">
        <f>_xlfn.CONCAT($A624," ",$B624," ",$D624)</f>
        <v>2025 Volvo Polestar 2 Single Motor (19 Inch Wheels)</v>
      </c>
      <c r="EB623" s="25"/>
      <c r="EC623" s="25"/>
      <c r="ED623" s="25"/>
      <c r="EE623" s="25"/>
      <c r="EF623" s="25"/>
      <c r="EG623" s="25"/>
      <c r="EH623" s="25"/>
      <c r="EI623" s="25"/>
      <c r="EJ623" s="25"/>
      <c r="EK623" s="25"/>
      <c r="EL623" s="25"/>
      <c r="EM623" s="25"/>
      <c r="EN623" s="25"/>
      <c r="EO623" s="25"/>
      <c r="EP623" s="25"/>
      <c r="EQ623" s="25"/>
      <c r="ER623" s="25"/>
      <c r="ES623" s="25"/>
      <c r="ET623" s="25"/>
      <c r="EU623" s="25"/>
      <c r="EV623" s="25" t="str">
        <f>_xlfn.CONCAT($A624," ",$B624," ",$D624)</f>
        <v>2025 Volvo Polestar 2 Single Motor (19 Inch Wheels)</v>
      </c>
      <c r="EW623" s="25"/>
      <c r="EX623" s="25"/>
      <c r="EY623" s="25"/>
      <c r="EZ623" s="25"/>
      <c r="FA623" s="25"/>
      <c r="FB623" s="25"/>
      <c r="FC623" s="25"/>
      <c r="FD623" s="25"/>
      <c r="FE623" s="25"/>
      <c r="FF623" s="25"/>
      <c r="FG623" s="25"/>
    </row>
    <row r="624" spans="1:165" x14ac:dyDescent="0.35">
      <c r="A624">
        <v>2025</v>
      </c>
      <c r="B624" t="s">
        <v>658</v>
      </c>
      <c r="C624" t="s">
        <v>2145</v>
      </c>
      <c r="D624" t="s">
        <v>2153</v>
      </c>
      <c r="E624" t="s">
        <v>661</v>
      </c>
      <c r="F624">
        <v>250</v>
      </c>
      <c r="G624">
        <v>0</v>
      </c>
      <c r="I624" t="s">
        <v>1734</v>
      </c>
      <c r="J624">
        <v>123</v>
      </c>
      <c r="K624">
        <v>104</v>
      </c>
      <c r="L624">
        <v>114</v>
      </c>
      <c r="M624">
        <v>175.6</v>
      </c>
      <c r="N624">
        <v>148.80000000000001</v>
      </c>
      <c r="O624">
        <v>162.4349</v>
      </c>
      <c r="P624">
        <v>122.92</v>
      </c>
      <c r="Q624">
        <v>104.16</v>
      </c>
      <c r="R624">
        <v>113.70440000000001</v>
      </c>
      <c r="V624" t="s">
        <v>167</v>
      </c>
      <c r="W624" t="s">
        <v>168</v>
      </c>
      <c r="Y624">
        <v>1</v>
      </c>
      <c r="Z624" t="s">
        <v>170</v>
      </c>
      <c r="AA624" t="s">
        <v>170</v>
      </c>
      <c r="AB624" t="s">
        <v>171</v>
      </c>
      <c r="AC624" t="s">
        <v>172</v>
      </c>
      <c r="AF624">
        <v>314</v>
      </c>
      <c r="AG624" t="s">
        <v>1735</v>
      </c>
      <c r="AH624" t="s">
        <v>1736</v>
      </c>
      <c r="AI624" t="s">
        <v>175</v>
      </c>
      <c r="AJ624" t="s">
        <v>176</v>
      </c>
      <c r="AK624">
        <v>4</v>
      </c>
      <c r="AL624" t="s">
        <v>1737</v>
      </c>
      <c r="AQ624">
        <v>89</v>
      </c>
      <c r="AR624">
        <v>26</v>
      </c>
      <c r="AS624">
        <v>700</v>
      </c>
      <c r="AT624">
        <v>700</v>
      </c>
      <c r="BQ624">
        <v>5</v>
      </c>
      <c r="BR624" t="s">
        <v>672</v>
      </c>
      <c r="BS624" t="s">
        <v>180</v>
      </c>
      <c r="BT624" t="s">
        <v>1769</v>
      </c>
      <c r="BU624" s="1">
        <v>45418</v>
      </c>
      <c r="BV624">
        <v>34744</v>
      </c>
      <c r="BX624" t="s">
        <v>170</v>
      </c>
      <c r="BY624" t="s">
        <v>170</v>
      </c>
      <c r="CB624" t="s">
        <v>170</v>
      </c>
      <c r="CC624" t="s">
        <v>170</v>
      </c>
      <c r="CK624" t="s">
        <v>233</v>
      </c>
      <c r="CM624">
        <v>1</v>
      </c>
      <c r="CN624" t="s">
        <v>234</v>
      </c>
      <c r="CP624">
        <v>404</v>
      </c>
      <c r="CQ624">
        <v>202</v>
      </c>
      <c r="CR624">
        <v>165</v>
      </c>
      <c r="CS624" t="s">
        <v>235</v>
      </c>
      <c r="CV624" t="s">
        <v>341</v>
      </c>
      <c r="CX624" t="s">
        <v>1012</v>
      </c>
      <c r="CY624" t="s">
        <v>170</v>
      </c>
      <c r="DC624" t="s">
        <v>2154</v>
      </c>
      <c r="DD624">
        <v>2</v>
      </c>
      <c r="DE624" t="s">
        <v>404</v>
      </c>
      <c r="DF624" t="s">
        <v>427</v>
      </c>
      <c r="DG624" t="s">
        <v>2155</v>
      </c>
      <c r="DL624" t="s">
        <v>170</v>
      </c>
      <c r="DM624" t="s">
        <v>169</v>
      </c>
      <c r="DP624" t="s">
        <v>170</v>
      </c>
      <c r="DQ624" t="s">
        <v>187</v>
      </c>
      <c r="EB624">
        <v>9</v>
      </c>
      <c r="EC624">
        <v>10</v>
      </c>
      <c r="EE624" t="s">
        <v>2156</v>
      </c>
      <c r="EF624">
        <v>10</v>
      </c>
      <c r="EU624">
        <v>6000</v>
      </c>
      <c r="EW624">
        <v>0</v>
      </c>
      <c r="EX624">
        <v>0</v>
      </c>
      <c r="EY624">
        <v>0</v>
      </c>
      <c r="FA624">
        <v>8</v>
      </c>
      <c r="FG624">
        <v>337</v>
      </c>
      <c r="FH624">
        <v>286</v>
      </c>
      <c r="FI624">
        <v>314</v>
      </c>
    </row>
    <row r="625" spans="1:165" x14ac:dyDescent="0.35">
      <c r="A625">
        <v>2025</v>
      </c>
      <c r="B625" t="s">
        <v>658</v>
      </c>
      <c r="C625" t="s">
        <v>2145</v>
      </c>
      <c r="D625" t="s">
        <v>2153</v>
      </c>
      <c r="E625" t="s">
        <v>661</v>
      </c>
      <c r="F625">
        <v>250</v>
      </c>
      <c r="G625">
        <v>0</v>
      </c>
      <c r="I625" t="s">
        <v>1734</v>
      </c>
      <c r="J625">
        <v>27</v>
      </c>
      <c r="K625">
        <v>32</v>
      </c>
      <c r="L625">
        <v>30</v>
      </c>
      <c r="M625">
        <v>19.197099999999999</v>
      </c>
      <c r="N625">
        <v>22.6571</v>
      </c>
      <c r="O625">
        <v>20.754100000000001</v>
      </c>
      <c r="P625">
        <v>27.420300000000001</v>
      </c>
      <c r="Q625">
        <v>32.358899999999998</v>
      </c>
      <c r="R625">
        <v>29.642600000000002</v>
      </c>
      <c r="V625" t="s">
        <v>167</v>
      </c>
      <c r="W625" t="s">
        <v>168</v>
      </c>
      <c r="Y625">
        <v>1</v>
      </c>
      <c r="Z625" t="s">
        <v>170</v>
      </c>
      <c r="AA625" t="s">
        <v>170</v>
      </c>
      <c r="AB625" t="s">
        <v>171</v>
      </c>
      <c r="AC625" t="s">
        <v>172</v>
      </c>
      <c r="AF625">
        <v>314</v>
      </c>
      <c r="AG625" t="s">
        <v>1735</v>
      </c>
      <c r="AH625" t="s">
        <v>1736</v>
      </c>
      <c r="AI625" t="s">
        <v>1742</v>
      </c>
      <c r="AJ625" t="s">
        <v>1743</v>
      </c>
      <c r="AK625">
        <v>4</v>
      </c>
      <c r="AL625" t="s">
        <v>1737</v>
      </c>
      <c r="AQ625">
        <v>89</v>
      </c>
      <c r="AR625">
        <v>26</v>
      </c>
      <c r="AS625">
        <v>700</v>
      </c>
      <c r="AT625">
        <v>700</v>
      </c>
      <c r="BQ625">
        <v>5</v>
      </c>
      <c r="BR625" t="s">
        <v>672</v>
      </c>
      <c r="BS625" t="s">
        <v>180</v>
      </c>
      <c r="BT625" t="s">
        <v>1769</v>
      </c>
      <c r="BU625" s="1">
        <v>45418</v>
      </c>
      <c r="BV625">
        <v>34744</v>
      </c>
      <c r="BX625" t="s">
        <v>170</v>
      </c>
      <c r="BY625" t="s">
        <v>170</v>
      </c>
      <c r="CB625" t="s">
        <v>170</v>
      </c>
      <c r="CC625" t="s">
        <v>170</v>
      </c>
      <c r="CK625" t="s">
        <v>233</v>
      </c>
      <c r="CM625">
        <v>1</v>
      </c>
      <c r="CN625" t="s">
        <v>234</v>
      </c>
      <c r="CP625">
        <v>404</v>
      </c>
      <c r="CQ625">
        <v>202</v>
      </c>
      <c r="CR625">
        <v>165</v>
      </c>
      <c r="CS625" t="s">
        <v>235</v>
      </c>
      <c r="CV625" t="s">
        <v>341</v>
      </c>
      <c r="CX625" t="s">
        <v>1012</v>
      </c>
      <c r="CY625" t="s">
        <v>170</v>
      </c>
      <c r="DC625" t="s">
        <v>2154</v>
      </c>
      <c r="DD625">
        <v>2</v>
      </c>
      <c r="DE625" t="s">
        <v>404</v>
      </c>
      <c r="DF625" t="s">
        <v>427</v>
      </c>
      <c r="DG625" t="s">
        <v>2155</v>
      </c>
      <c r="DL625" t="s">
        <v>170</v>
      </c>
      <c r="DM625" t="s">
        <v>169</v>
      </c>
      <c r="DP625" t="s">
        <v>170</v>
      </c>
      <c r="DQ625" t="s">
        <v>187</v>
      </c>
      <c r="EB625">
        <v>9</v>
      </c>
      <c r="EC625">
        <v>10</v>
      </c>
      <c r="EE625" t="s">
        <v>2156</v>
      </c>
      <c r="EF625">
        <v>10</v>
      </c>
      <c r="EU625">
        <v>6000</v>
      </c>
      <c r="EW625">
        <v>0</v>
      </c>
      <c r="EX625">
        <v>0</v>
      </c>
      <c r="EY625">
        <v>0</v>
      </c>
      <c r="FA625">
        <v>8</v>
      </c>
      <c r="FG625">
        <v>337</v>
      </c>
      <c r="FH625">
        <v>286</v>
      </c>
      <c r="FI625">
        <v>314</v>
      </c>
    </row>
    <row r="626" spans="1:165" x14ac:dyDescent="0.35">
      <c r="A626" s="25"/>
      <c r="B626" s="25"/>
      <c r="C626" s="25"/>
      <c r="D626" s="25"/>
      <c r="E626" s="25"/>
      <c r="F626" s="25" t="str">
        <f>_xlfn.CONCAT($A627," ",$B627," ",$D627)</f>
        <v>2025 Volvo Polestar 3 Long Range Dual Motor (21 Inch Wheels)</v>
      </c>
      <c r="G626" s="25"/>
      <c r="H626" s="25"/>
      <c r="I626" s="25"/>
      <c r="J626" s="25"/>
      <c r="K626" s="25"/>
      <c r="L626" s="25"/>
      <c r="M626" s="25"/>
      <c r="N626" s="25"/>
      <c r="O626" s="25"/>
      <c r="P626" s="25"/>
      <c r="Q626" s="25"/>
      <c r="R626" s="25"/>
      <c r="S626" s="25"/>
      <c r="T626" s="25"/>
      <c r="U626" s="25"/>
      <c r="V626" s="25"/>
      <c r="W626" s="25"/>
      <c r="X626" s="25"/>
      <c r="Y626" s="25"/>
      <c r="Z626" s="25"/>
      <c r="AA626" s="25"/>
      <c r="AB626" s="25"/>
      <c r="AC626" s="25"/>
      <c r="AD626" s="25" t="str">
        <f>_xlfn.CONCAT($A627," ",$B627," ",$D627)</f>
        <v>2025 Volvo Polestar 3 Long Range Dual Motor (21 Inch Wheels)</v>
      </c>
      <c r="AE626" s="25"/>
      <c r="AF626" s="25"/>
      <c r="AG626" s="25"/>
      <c r="AH626" s="25"/>
      <c r="AI626" s="25"/>
      <c r="AJ626" s="25"/>
      <c r="AK626" s="25"/>
      <c r="AL626" s="25"/>
      <c r="AM626" s="25"/>
      <c r="AN626" s="25"/>
      <c r="AO626" s="25"/>
      <c r="AP626" s="25"/>
      <c r="AQ626" s="25"/>
      <c r="AR626" s="25"/>
      <c r="AS626" s="25"/>
      <c r="AT626" s="25"/>
      <c r="AU626" s="25"/>
      <c r="AV626" s="25"/>
      <c r="AW626" s="25"/>
      <c r="AX626" s="25" t="str">
        <f>_xlfn.CONCAT($A627," ",$B627," ",$D627)</f>
        <v>2025 Volvo Polestar 3 Long Range Dual Motor (21 Inch Wheels)</v>
      </c>
      <c r="AY626" s="25"/>
      <c r="AZ626" s="25"/>
      <c r="BA626" s="25"/>
      <c r="BB626" s="25"/>
      <c r="BC626" s="25"/>
      <c r="BD626" s="25"/>
      <c r="BE626" s="25"/>
      <c r="BF626" s="25"/>
      <c r="BG626" s="25"/>
      <c r="BH626" s="25"/>
      <c r="BI626" s="25"/>
      <c r="BJ626" s="25"/>
      <c r="BK626" s="25"/>
      <c r="BL626" s="25"/>
      <c r="BM626" s="25"/>
      <c r="BN626" s="25"/>
      <c r="BO626" s="25"/>
      <c r="BP626" s="25"/>
      <c r="BQ626" s="25"/>
      <c r="BR626" s="25" t="str">
        <f>_xlfn.CONCAT($A627," ",$B627," ",$D627)</f>
        <v>2025 Volvo Polestar 3 Long Range Dual Motor (21 Inch Wheels)</v>
      </c>
      <c r="BS626" s="25"/>
      <c r="BT626" s="25"/>
      <c r="BU626" s="25"/>
      <c r="BV626" s="25"/>
      <c r="BX626" s="25"/>
      <c r="BY626" s="25"/>
      <c r="BZ626" s="25"/>
      <c r="CA626" s="25"/>
      <c r="CB626" s="25"/>
      <c r="CC626" s="25"/>
      <c r="CD626" s="25"/>
      <c r="CE626" s="25"/>
      <c r="CF626" s="25"/>
      <c r="CG626" s="25"/>
      <c r="CH626" s="25"/>
      <c r="CI626" s="25"/>
      <c r="CJ626" s="25"/>
      <c r="CK626" s="25"/>
      <c r="CL626" s="25"/>
      <c r="CM626" s="25"/>
      <c r="CN626" s="25"/>
      <c r="CO626" s="25"/>
      <c r="CP626" s="25" t="str">
        <f>_xlfn.CONCAT($A627," ",$B627," ",$D627)</f>
        <v>2025 Volvo Polestar 3 Long Range Dual Motor (21 Inch Wheels)</v>
      </c>
      <c r="CQ626" s="25"/>
      <c r="CR626" s="25"/>
      <c r="CS626" s="25"/>
      <c r="CT626" s="25"/>
      <c r="CU626" s="25"/>
      <c r="CV626" s="25"/>
      <c r="CW626" s="25"/>
      <c r="CX626" s="25"/>
      <c r="CY626" s="25"/>
      <c r="CZ626" s="25"/>
      <c r="DA626" s="25"/>
      <c r="DB626" s="25"/>
      <c r="DC626" s="25"/>
      <c r="DD626" s="25"/>
      <c r="DE626" s="25"/>
      <c r="DF626" s="25"/>
      <c r="DG626" s="25"/>
      <c r="DH626" s="25"/>
      <c r="DI626" s="25" t="str">
        <f>_xlfn.CONCAT($A627," ",$B627," ",$D627)</f>
        <v>2025 Volvo Polestar 3 Long Range Dual Motor (21 Inch Wheels)</v>
      </c>
      <c r="DJ626" s="25"/>
      <c r="DK626" s="25"/>
      <c r="DL626" s="25"/>
      <c r="DM626" s="25"/>
      <c r="DN626" s="25"/>
      <c r="DO626" s="25"/>
      <c r="DP626" s="25"/>
      <c r="DQ626" s="25"/>
      <c r="DR626" s="25"/>
      <c r="DS626" s="25"/>
      <c r="DT626" s="25"/>
      <c r="DU626" s="25"/>
      <c r="DV626" s="25"/>
      <c r="DW626" s="25"/>
      <c r="DX626" s="25"/>
      <c r="DY626" s="25"/>
      <c r="DZ626" s="25" t="str">
        <f>_xlfn.CONCAT($A627," ",$B627," ",$D627)</f>
        <v>2025 Volvo Polestar 3 Long Range Dual Motor (21 Inch Wheels)</v>
      </c>
      <c r="EB626" s="25"/>
      <c r="EC626" s="25"/>
      <c r="ED626" s="25"/>
      <c r="EE626" s="25"/>
      <c r="EF626" s="25"/>
      <c r="EG626" s="25"/>
      <c r="EH626" s="25"/>
      <c r="EI626" s="25"/>
      <c r="EJ626" s="25"/>
      <c r="EK626" s="25"/>
      <c r="EL626" s="25"/>
      <c r="EM626" s="25"/>
      <c r="EN626" s="25"/>
      <c r="EO626" s="25"/>
      <c r="EP626" s="25"/>
      <c r="EQ626" s="25"/>
      <c r="ER626" s="25"/>
      <c r="ES626" s="25"/>
      <c r="ET626" s="25"/>
      <c r="EU626" s="25"/>
      <c r="EV626" s="25" t="str">
        <f>_xlfn.CONCAT($A627," ",$B627," ",$D627)</f>
        <v>2025 Volvo Polestar 3 Long Range Dual Motor (21 Inch Wheels)</v>
      </c>
      <c r="EW626" s="25"/>
      <c r="EX626" s="25"/>
      <c r="EY626" s="25"/>
      <c r="EZ626" s="25"/>
      <c r="FA626" s="25"/>
      <c r="FB626" s="25"/>
      <c r="FC626" s="25"/>
      <c r="FD626" s="25"/>
      <c r="FE626" s="25"/>
      <c r="FF626" s="25"/>
      <c r="FG626" s="25"/>
    </row>
    <row r="627" spans="1:165" x14ac:dyDescent="0.35">
      <c r="A627">
        <v>2025</v>
      </c>
      <c r="B627" t="s">
        <v>658</v>
      </c>
      <c r="C627" t="s">
        <v>2145</v>
      </c>
      <c r="D627" t="s">
        <v>2162</v>
      </c>
      <c r="E627" t="s">
        <v>661</v>
      </c>
      <c r="F627">
        <v>253</v>
      </c>
      <c r="G627">
        <v>0</v>
      </c>
      <c r="I627" t="s">
        <v>1734</v>
      </c>
      <c r="J627">
        <v>92</v>
      </c>
      <c r="K627">
        <v>84</v>
      </c>
      <c r="L627">
        <v>88</v>
      </c>
      <c r="M627">
        <v>131.1</v>
      </c>
      <c r="N627">
        <v>119.3</v>
      </c>
      <c r="O627">
        <v>125.5134</v>
      </c>
      <c r="P627">
        <v>91.77</v>
      </c>
      <c r="Q627">
        <v>83.51</v>
      </c>
      <c r="R627">
        <v>87.859399999999994</v>
      </c>
      <c r="V627" t="s">
        <v>167</v>
      </c>
      <c r="W627" t="s">
        <v>168</v>
      </c>
      <c r="Y627">
        <v>1</v>
      </c>
      <c r="Z627" t="s">
        <v>170</v>
      </c>
      <c r="AA627" t="s">
        <v>170</v>
      </c>
      <c r="AB627" t="s">
        <v>167</v>
      </c>
      <c r="AC627" t="s">
        <v>213</v>
      </c>
      <c r="AF627">
        <v>315</v>
      </c>
      <c r="AG627" t="s">
        <v>1735</v>
      </c>
      <c r="AH627" t="s">
        <v>1736</v>
      </c>
      <c r="AI627" t="s">
        <v>175</v>
      </c>
      <c r="AJ627" t="s">
        <v>176</v>
      </c>
      <c r="AK627">
        <v>4</v>
      </c>
      <c r="AL627" t="s">
        <v>1737</v>
      </c>
      <c r="AS627">
        <v>900</v>
      </c>
      <c r="AT627">
        <v>900</v>
      </c>
      <c r="BQ627">
        <v>33</v>
      </c>
      <c r="BR627" t="s">
        <v>1497</v>
      </c>
      <c r="BT627" t="s">
        <v>1769</v>
      </c>
      <c r="BU627" s="1">
        <v>45413</v>
      </c>
      <c r="BV627">
        <v>34703</v>
      </c>
      <c r="BX627" t="s">
        <v>170</v>
      </c>
      <c r="BY627" t="s">
        <v>170</v>
      </c>
      <c r="CB627" t="s">
        <v>170</v>
      </c>
      <c r="CC627" t="s">
        <v>170</v>
      </c>
      <c r="CK627" t="s">
        <v>233</v>
      </c>
      <c r="CM627">
        <v>1</v>
      </c>
      <c r="CN627" t="s">
        <v>234</v>
      </c>
      <c r="CP627">
        <v>375</v>
      </c>
      <c r="CQ627">
        <v>296</v>
      </c>
      <c r="CR627">
        <v>167</v>
      </c>
      <c r="CS627" t="s">
        <v>235</v>
      </c>
      <c r="CV627" t="s">
        <v>341</v>
      </c>
      <c r="CX627" t="s">
        <v>342</v>
      </c>
      <c r="CY627" t="s">
        <v>170</v>
      </c>
      <c r="DC627" t="s">
        <v>2159</v>
      </c>
      <c r="DD627">
        <v>2</v>
      </c>
      <c r="DE627" t="s">
        <v>404</v>
      </c>
      <c r="DF627" t="s">
        <v>427</v>
      </c>
      <c r="DG627" t="s">
        <v>2163</v>
      </c>
      <c r="DL627" t="s">
        <v>170</v>
      </c>
      <c r="DM627" t="s">
        <v>169</v>
      </c>
      <c r="DP627" t="s">
        <v>170</v>
      </c>
      <c r="DQ627" t="s">
        <v>187</v>
      </c>
      <c r="EB627">
        <v>9</v>
      </c>
      <c r="EC627">
        <v>10</v>
      </c>
      <c r="EE627" t="s">
        <v>2161</v>
      </c>
      <c r="EF627">
        <v>10</v>
      </c>
      <c r="EU627">
        <v>5000</v>
      </c>
      <c r="EW627">
        <v>0</v>
      </c>
      <c r="EX627">
        <v>0</v>
      </c>
      <c r="EY627">
        <v>0</v>
      </c>
      <c r="FA627">
        <v>10</v>
      </c>
      <c r="FG627">
        <v>328</v>
      </c>
      <c r="FH627">
        <v>299</v>
      </c>
      <c r="FI627">
        <v>315</v>
      </c>
    </row>
    <row r="628" spans="1:165" x14ac:dyDescent="0.35">
      <c r="A628">
        <v>2025</v>
      </c>
      <c r="B628" t="s">
        <v>658</v>
      </c>
      <c r="C628" t="s">
        <v>2145</v>
      </c>
      <c r="D628" t="s">
        <v>2162</v>
      </c>
      <c r="E628" t="s">
        <v>661</v>
      </c>
      <c r="F628">
        <v>253</v>
      </c>
      <c r="G628">
        <v>0</v>
      </c>
      <c r="I628" t="s">
        <v>1734</v>
      </c>
      <c r="J628">
        <v>37</v>
      </c>
      <c r="K628">
        <v>40</v>
      </c>
      <c r="L628">
        <v>38</v>
      </c>
      <c r="M628">
        <v>25.718399999999999</v>
      </c>
      <c r="N628">
        <v>28.2545</v>
      </c>
      <c r="O628">
        <v>26.8596</v>
      </c>
      <c r="P628">
        <v>36.727699999999999</v>
      </c>
      <c r="Q628">
        <v>40.360399999999998</v>
      </c>
      <c r="R628">
        <v>38.362400000000001</v>
      </c>
      <c r="V628" t="s">
        <v>167</v>
      </c>
      <c r="W628" t="s">
        <v>168</v>
      </c>
      <c r="Y628">
        <v>1</v>
      </c>
      <c r="Z628" t="s">
        <v>170</v>
      </c>
      <c r="AA628" t="s">
        <v>170</v>
      </c>
      <c r="AB628" t="s">
        <v>167</v>
      </c>
      <c r="AC628" t="s">
        <v>213</v>
      </c>
      <c r="AF628">
        <v>315</v>
      </c>
      <c r="AG628" t="s">
        <v>1735</v>
      </c>
      <c r="AH628" t="s">
        <v>1736</v>
      </c>
      <c r="AI628" t="s">
        <v>1742</v>
      </c>
      <c r="AJ628" t="s">
        <v>1743</v>
      </c>
      <c r="AK628">
        <v>4</v>
      </c>
      <c r="AL628" t="s">
        <v>1737</v>
      </c>
      <c r="AS628">
        <v>900</v>
      </c>
      <c r="AT628">
        <v>900</v>
      </c>
      <c r="BQ628">
        <v>33</v>
      </c>
      <c r="BR628" t="s">
        <v>1497</v>
      </c>
      <c r="BT628" t="s">
        <v>1769</v>
      </c>
      <c r="BU628" s="1">
        <v>45413</v>
      </c>
      <c r="BV628">
        <v>34703</v>
      </c>
      <c r="BX628" t="s">
        <v>170</v>
      </c>
      <c r="BY628" t="s">
        <v>170</v>
      </c>
      <c r="CB628" t="s">
        <v>170</v>
      </c>
      <c r="CC628" t="s">
        <v>170</v>
      </c>
      <c r="CK628" t="s">
        <v>233</v>
      </c>
      <c r="CM628">
        <v>1</v>
      </c>
      <c r="CN628" t="s">
        <v>234</v>
      </c>
      <c r="CP628">
        <v>375</v>
      </c>
      <c r="CQ628">
        <v>296</v>
      </c>
      <c r="CR628">
        <v>167</v>
      </c>
      <c r="CS628" t="s">
        <v>235</v>
      </c>
      <c r="CV628" t="s">
        <v>341</v>
      </c>
      <c r="CX628" t="s">
        <v>342</v>
      </c>
      <c r="CY628" t="s">
        <v>170</v>
      </c>
      <c r="DC628" t="s">
        <v>2159</v>
      </c>
      <c r="DD628">
        <v>2</v>
      </c>
      <c r="DE628" t="s">
        <v>404</v>
      </c>
      <c r="DF628" t="s">
        <v>427</v>
      </c>
      <c r="DG628" t="s">
        <v>2163</v>
      </c>
      <c r="DL628" t="s">
        <v>170</v>
      </c>
      <c r="DM628" t="s">
        <v>169</v>
      </c>
      <c r="DP628" t="s">
        <v>170</v>
      </c>
      <c r="DQ628" t="s">
        <v>187</v>
      </c>
      <c r="EB628">
        <v>9</v>
      </c>
      <c r="EC628">
        <v>10</v>
      </c>
      <c r="EE628" t="s">
        <v>2161</v>
      </c>
      <c r="EF628">
        <v>10</v>
      </c>
      <c r="EU628">
        <v>5000</v>
      </c>
      <c r="EW628">
        <v>0</v>
      </c>
      <c r="EX628">
        <v>0</v>
      </c>
      <c r="EY628">
        <v>0</v>
      </c>
      <c r="FA628">
        <v>10</v>
      </c>
      <c r="FG628">
        <v>328</v>
      </c>
      <c r="FH628">
        <v>299</v>
      </c>
      <c r="FI628">
        <v>315</v>
      </c>
    </row>
    <row r="629" spans="1:165" x14ac:dyDescent="0.35">
      <c r="A629" s="25"/>
      <c r="B629" s="25"/>
      <c r="C629" s="25"/>
      <c r="D629" s="25"/>
      <c r="E629" s="25"/>
      <c r="F629" s="25" t="str">
        <f>_xlfn.CONCAT($A630," ",$B630," ",$D630)</f>
        <v>2025 Volvo Polestar 3 Long Range Dual Motor (22 Inch Wheels)</v>
      </c>
      <c r="G629" s="25"/>
      <c r="H629" s="25"/>
      <c r="I629" s="25"/>
      <c r="J629" s="25"/>
      <c r="K629" s="25"/>
      <c r="L629" s="25"/>
      <c r="M629" s="25"/>
      <c r="N629" s="25"/>
      <c r="O629" s="25"/>
      <c r="P629" s="25"/>
      <c r="Q629" s="25"/>
      <c r="R629" s="25"/>
      <c r="S629" s="25"/>
      <c r="T629" s="25"/>
      <c r="U629" s="25"/>
      <c r="V629" s="25"/>
      <c r="W629" s="25"/>
      <c r="X629" s="25"/>
      <c r="Y629" s="25"/>
      <c r="Z629" s="25"/>
      <c r="AA629" s="25"/>
      <c r="AB629" s="25"/>
      <c r="AC629" s="25"/>
      <c r="AD629" s="25" t="str">
        <f>_xlfn.CONCAT($A630," ",$B630," ",$D630)</f>
        <v>2025 Volvo Polestar 3 Long Range Dual Motor (22 Inch Wheels)</v>
      </c>
      <c r="AE629" s="25"/>
      <c r="AF629" s="25"/>
      <c r="AG629" s="25"/>
      <c r="AH629" s="25"/>
      <c r="AI629" s="25"/>
      <c r="AJ629" s="25"/>
      <c r="AK629" s="25"/>
      <c r="AL629" s="25"/>
      <c r="AM629" s="25"/>
      <c r="AN629" s="25"/>
      <c r="AO629" s="25"/>
      <c r="AP629" s="25"/>
      <c r="AQ629" s="25"/>
      <c r="AR629" s="25"/>
      <c r="AS629" s="25"/>
      <c r="AT629" s="25"/>
      <c r="AU629" s="25"/>
      <c r="AV629" s="25"/>
      <c r="AW629" s="25"/>
      <c r="AX629" s="25" t="str">
        <f>_xlfn.CONCAT($A630," ",$B630," ",$D630)</f>
        <v>2025 Volvo Polestar 3 Long Range Dual Motor (22 Inch Wheels)</v>
      </c>
      <c r="AY629" s="25"/>
      <c r="AZ629" s="25"/>
      <c r="BA629" s="25"/>
      <c r="BB629" s="25"/>
      <c r="BC629" s="25"/>
      <c r="BD629" s="25"/>
      <c r="BE629" s="25"/>
      <c r="BF629" s="25"/>
      <c r="BG629" s="25"/>
      <c r="BH629" s="25"/>
      <c r="BI629" s="25"/>
      <c r="BJ629" s="25"/>
      <c r="BK629" s="25"/>
      <c r="BL629" s="25"/>
      <c r="BM629" s="25"/>
      <c r="BN629" s="25"/>
      <c r="BO629" s="25"/>
      <c r="BP629" s="25"/>
      <c r="BQ629" s="25"/>
      <c r="BR629" s="25" t="str">
        <f>_xlfn.CONCAT($A630," ",$B630," ",$D630)</f>
        <v>2025 Volvo Polestar 3 Long Range Dual Motor (22 Inch Wheels)</v>
      </c>
      <c r="BS629" s="25"/>
      <c r="BT629" s="25"/>
      <c r="BU629" s="25"/>
      <c r="BV629" s="25"/>
      <c r="BX629" s="25"/>
      <c r="BY629" s="25"/>
      <c r="BZ629" s="25"/>
      <c r="CA629" s="25"/>
      <c r="CB629" s="25"/>
      <c r="CC629" s="25"/>
      <c r="CD629" s="25"/>
      <c r="CE629" s="25"/>
      <c r="CF629" s="25"/>
      <c r="CG629" s="25"/>
      <c r="CH629" s="25"/>
      <c r="CI629" s="25"/>
      <c r="CJ629" s="25"/>
      <c r="CK629" s="25"/>
      <c r="CL629" s="25"/>
      <c r="CM629" s="25"/>
      <c r="CN629" s="25"/>
      <c r="CO629" s="25"/>
      <c r="CP629" s="25" t="str">
        <f>_xlfn.CONCAT($A630," ",$B630," ",$D630)</f>
        <v>2025 Volvo Polestar 3 Long Range Dual Motor (22 Inch Wheels)</v>
      </c>
      <c r="CQ629" s="25"/>
      <c r="CR629" s="25"/>
      <c r="CS629" s="25"/>
      <c r="CT629" s="25"/>
      <c r="CU629" s="25"/>
      <c r="CV629" s="25"/>
      <c r="CW629" s="25"/>
      <c r="CX629" s="25"/>
      <c r="CY629" s="25"/>
      <c r="CZ629" s="25"/>
      <c r="DA629" s="25"/>
      <c r="DB629" s="25"/>
      <c r="DC629" s="25"/>
      <c r="DD629" s="25"/>
      <c r="DE629" s="25"/>
      <c r="DF629" s="25"/>
      <c r="DG629" s="25"/>
      <c r="DH629" s="25"/>
      <c r="DI629" s="25" t="str">
        <f>_xlfn.CONCAT($A630," ",$B630," ",$D630)</f>
        <v>2025 Volvo Polestar 3 Long Range Dual Motor (22 Inch Wheels)</v>
      </c>
      <c r="DJ629" s="25"/>
      <c r="DK629" s="25"/>
      <c r="DL629" s="25"/>
      <c r="DM629" s="25"/>
      <c r="DN629" s="25"/>
      <c r="DO629" s="25"/>
      <c r="DP629" s="25"/>
      <c r="DQ629" s="25"/>
      <c r="DR629" s="25"/>
      <c r="DS629" s="25"/>
      <c r="DT629" s="25"/>
      <c r="DU629" s="25"/>
      <c r="DV629" s="25"/>
      <c r="DW629" s="25"/>
      <c r="DX629" s="25"/>
      <c r="DY629" s="25"/>
      <c r="DZ629" s="25" t="str">
        <f>_xlfn.CONCAT($A630," ",$B630," ",$D630)</f>
        <v>2025 Volvo Polestar 3 Long Range Dual Motor (22 Inch Wheels)</v>
      </c>
      <c r="EB629" s="25"/>
      <c r="EC629" s="25"/>
      <c r="ED629" s="25"/>
      <c r="EE629" s="25"/>
      <c r="EF629" s="25"/>
      <c r="EG629" s="25"/>
      <c r="EH629" s="25"/>
      <c r="EI629" s="25"/>
      <c r="EJ629" s="25"/>
      <c r="EK629" s="25"/>
      <c r="EL629" s="25"/>
      <c r="EM629" s="25"/>
      <c r="EN629" s="25"/>
      <c r="EO629" s="25"/>
      <c r="EP629" s="25"/>
      <c r="EQ629" s="25"/>
      <c r="ER629" s="25"/>
      <c r="ES629" s="25"/>
      <c r="ET629" s="25"/>
      <c r="EU629" s="25"/>
      <c r="EV629" s="25" t="str">
        <f>_xlfn.CONCAT($A630," ",$B630," ",$D630)</f>
        <v>2025 Volvo Polestar 3 Long Range Dual Motor (22 Inch Wheels)</v>
      </c>
      <c r="EW629" s="25"/>
      <c r="EX629" s="25"/>
      <c r="EY629" s="25"/>
      <c r="EZ629" s="25"/>
      <c r="FA629" s="25"/>
      <c r="FB629" s="25"/>
      <c r="FC629" s="25"/>
      <c r="FD629" s="25"/>
      <c r="FE629" s="25"/>
      <c r="FF629" s="25"/>
      <c r="FG629" s="25"/>
    </row>
    <row r="630" spans="1:165" x14ac:dyDescent="0.35">
      <c r="A630">
        <v>2025</v>
      </c>
      <c r="B630" t="s">
        <v>658</v>
      </c>
      <c r="C630" t="s">
        <v>2145</v>
      </c>
      <c r="D630" t="s">
        <v>2164</v>
      </c>
      <c r="E630" t="s">
        <v>661</v>
      </c>
      <c r="F630">
        <v>255</v>
      </c>
      <c r="G630">
        <v>0</v>
      </c>
      <c r="I630" t="s">
        <v>1734</v>
      </c>
      <c r="J630">
        <v>84</v>
      </c>
      <c r="K630">
        <v>76</v>
      </c>
      <c r="L630">
        <v>80</v>
      </c>
      <c r="M630">
        <v>131.1</v>
      </c>
      <c r="N630">
        <v>119.3</v>
      </c>
      <c r="O630">
        <v>125.5134</v>
      </c>
      <c r="P630">
        <v>84</v>
      </c>
      <c r="Q630">
        <v>76</v>
      </c>
      <c r="R630">
        <v>80</v>
      </c>
      <c r="V630" t="s">
        <v>167</v>
      </c>
      <c r="W630" t="s">
        <v>168</v>
      </c>
      <c r="Y630">
        <v>1</v>
      </c>
      <c r="Z630" t="s">
        <v>170</v>
      </c>
      <c r="AA630" t="s">
        <v>170</v>
      </c>
      <c r="AB630" t="s">
        <v>167</v>
      </c>
      <c r="AC630" t="s">
        <v>213</v>
      </c>
      <c r="AF630">
        <v>287</v>
      </c>
      <c r="AG630" t="s">
        <v>1735</v>
      </c>
      <c r="AH630" t="s">
        <v>1736</v>
      </c>
      <c r="AI630" t="s">
        <v>175</v>
      </c>
      <c r="AJ630" t="s">
        <v>176</v>
      </c>
      <c r="AK630">
        <v>4</v>
      </c>
      <c r="AL630" t="s">
        <v>1737</v>
      </c>
      <c r="AS630">
        <v>1000</v>
      </c>
      <c r="AT630">
        <v>1000</v>
      </c>
      <c r="BQ630">
        <v>33</v>
      </c>
      <c r="BR630" t="s">
        <v>1497</v>
      </c>
      <c r="BT630" t="s">
        <v>1769</v>
      </c>
      <c r="BU630" s="1">
        <v>45413</v>
      </c>
      <c r="BV630">
        <v>34707</v>
      </c>
      <c r="BX630" t="s">
        <v>170</v>
      </c>
      <c r="BY630" t="s">
        <v>170</v>
      </c>
      <c r="CB630" t="s">
        <v>170</v>
      </c>
      <c r="CC630" t="s">
        <v>170</v>
      </c>
      <c r="CK630" t="s">
        <v>233</v>
      </c>
      <c r="CM630">
        <v>1</v>
      </c>
      <c r="CN630" t="s">
        <v>234</v>
      </c>
      <c r="CP630">
        <v>375</v>
      </c>
      <c r="CQ630">
        <v>296</v>
      </c>
      <c r="CR630">
        <v>167</v>
      </c>
      <c r="CS630" t="s">
        <v>235</v>
      </c>
      <c r="CV630" t="s">
        <v>341</v>
      </c>
      <c r="CX630" t="s">
        <v>342</v>
      </c>
      <c r="CY630" t="s">
        <v>170</v>
      </c>
      <c r="DC630" t="s">
        <v>2159</v>
      </c>
      <c r="DD630">
        <v>2</v>
      </c>
      <c r="DE630" t="s">
        <v>404</v>
      </c>
      <c r="DF630" t="s">
        <v>427</v>
      </c>
      <c r="DG630" t="s">
        <v>2165</v>
      </c>
      <c r="DL630" t="s">
        <v>170</v>
      </c>
      <c r="DM630" t="s">
        <v>169</v>
      </c>
      <c r="DP630" t="s">
        <v>170</v>
      </c>
      <c r="DQ630" t="s">
        <v>187</v>
      </c>
      <c r="EB630">
        <v>9</v>
      </c>
      <c r="EC630">
        <v>10</v>
      </c>
      <c r="EE630" t="s">
        <v>2161</v>
      </c>
      <c r="EF630">
        <v>10</v>
      </c>
      <c r="EU630">
        <v>4500</v>
      </c>
      <c r="EW630">
        <v>0</v>
      </c>
      <c r="EX630">
        <v>0</v>
      </c>
      <c r="EY630">
        <v>0</v>
      </c>
      <c r="FA630">
        <v>10</v>
      </c>
      <c r="FG630">
        <v>299</v>
      </c>
      <c r="FH630">
        <v>272</v>
      </c>
      <c r="FI630">
        <v>287</v>
      </c>
    </row>
    <row r="631" spans="1:165" x14ac:dyDescent="0.35">
      <c r="A631">
        <v>2025</v>
      </c>
      <c r="B631" t="s">
        <v>658</v>
      </c>
      <c r="C631" t="s">
        <v>2145</v>
      </c>
      <c r="D631" t="s">
        <v>2164</v>
      </c>
      <c r="E631" t="s">
        <v>661</v>
      </c>
      <c r="F631">
        <v>255</v>
      </c>
      <c r="G631">
        <v>0</v>
      </c>
      <c r="I631" t="s">
        <v>1734</v>
      </c>
      <c r="J631">
        <v>40</v>
      </c>
      <c r="K631">
        <v>44</v>
      </c>
      <c r="L631">
        <v>42</v>
      </c>
      <c r="M631">
        <v>25.718399999999999</v>
      </c>
      <c r="N631">
        <v>28.2545</v>
      </c>
      <c r="O631">
        <v>26.8596</v>
      </c>
      <c r="P631">
        <v>40</v>
      </c>
      <c r="Q631">
        <v>44</v>
      </c>
      <c r="R631">
        <v>42</v>
      </c>
      <c r="V631" t="s">
        <v>167</v>
      </c>
      <c r="W631" t="s">
        <v>168</v>
      </c>
      <c r="Y631">
        <v>1</v>
      </c>
      <c r="Z631" t="s">
        <v>170</v>
      </c>
      <c r="AA631" t="s">
        <v>170</v>
      </c>
      <c r="AB631" t="s">
        <v>167</v>
      </c>
      <c r="AC631" t="s">
        <v>213</v>
      </c>
      <c r="AF631">
        <v>287</v>
      </c>
      <c r="AG631" t="s">
        <v>1735</v>
      </c>
      <c r="AH631" t="s">
        <v>1736</v>
      </c>
      <c r="AI631" t="s">
        <v>1742</v>
      </c>
      <c r="AJ631" t="s">
        <v>1743</v>
      </c>
      <c r="AK631">
        <v>4</v>
      </c>
      <c r="AL631" t="s">
        <v>1737</v>
      </c>
      <c r="AS631">
        <v>1000</v>
      </c>
      <c r="AT631">
        <v>1000</v>
      </c>
      <c r="BQ631">
        <v>33</v>
      </c>
      <c r="BR631" t="s">
        <v>1497</v>
      </c>
      <c r="BT631" t="s">
        <v>1769</v>
      </c>
      <c r="BU631" s="1">
        <v>45413</v>
      </c>
      <c r="BV631">
        <v>34707</v>
      </c>
      <c r="BX631" t="s">
        <v>170</v>
      </c>
      <c r="BY631" t="s">
        <v>170</v>
      </c>
      <c r="CB631" t="s">
        <v>170</v>
      </c>
      <c r="CC631" t="s">
        <v>170</v>
      </c>
      <c r="CK631" t="s">
        <v>233</v>
      </c>
      <c r="CM631">
        <v>1</v>
      </c>
      <c r="CN631" t="s">
        <v>234</v>
      </c>
      <c r="CP631">
        <v>375</v>
      </c>
      <c r="CQ631">
        <v>296</v>
      </c>
      <c r="CR631">
        <v>167</v>
      </c>
      <c r="CS631" t="s">
        <v>235</v>
      </c>
      <c r="CV631" t="s">
        <v>341</v>
      </c>
      <c r="CX631" t="s">
        <v>342</v>
      </c>
      <c r="CY631" t="s">
        <v>170</v>
      </c>
      <c r="DC631" t="s">
        <v>2159</v>
      </c>
      <c r="DD631">
        <v>2</v>
      </c>
      <c r="DE631" t="s">
        <v>404</v>
      </c>
      <c r="DF631" t="s">
        <v>427</v>
      </c>
      <c r="DG631" t="s">
        <v>2165</v>
      </c>
      <c r="DL631" t="s">
        <v>170</v>
      </c>
      <c r="DM631" t="s">
        <v>169</v>
      </c>
      <c r="DP631" t="s">
        <v>170</v>
      </c>
      <c r="DQ631" t="s">
        <v>187</v>
      </c>
      <c r="EB631">
        <v>9</v>
      </c>
      <c r="EC631">
        <v>10</v>
      </c>
      <c r="EE631" t="s">
        <v>2161</v>
      </c>
      <c r="EF631">
        <v>10</v>
      </c>
      <c r="EU631">
        <v>4500</v>
      </c>
      <c r="EW631">
        <v>0</v>
      </c>
      <c r="EX631">
        <v>0</v>
      </c>
      <c r="EY631">
        <v>0</v>
      </c>
      <c r="FA631">
        <v>10</v>
      </c>
      <c r="FG631">
        <v>299</v>
      </c>
      <c r="FH631">
        <v>272</v>
      </c>
      <c r="FI631">
        <v>287</v>
      </c>
    </row>
    <row r="632" spans="1:165" x14ac:dyDescent="0.35">
      <c r="A632" s="25"/>
      <c r="B632" s="25"/>
      <c r="C632" s="25"/>
      <c r="D632" s="25"/>
      <c r="E632" s="25"/>
      <c r="F632" s="25" t="str">
        <f>_xlfn.CONCAT($A633," ",$B633," ",$D633)</f>
        <v>2025 Volvo Polestar 2 Dual Motor (20 Inch Wheels)</v>
      </c>
      <c r="G632" s="25"/>
      <c r="H632" s="25"/>
      <c r="I632" s="25"/>
      <c r="J632" s="25"/>
      <c r="K632" s="25"/>
      <c r="L632" s="25"/>
      <c r="M632" s="25"/>
      <c r="N632" s="25"/>
      <c r="O632" s="25"/>
      <c r="P632" s="25"/>
      <c r="Q632" s="25"/>
      <c r="R632" s="25"/>
      <c r="S632" s="25"/>
      <c r="T632" s="25"/>
      <c r="U632" s="25"/>
      <c r="V632" s="25"/>
      <c r="W632" s="25"/>
      <c r="X632" s="25"/>
      <c r="Y632" s="25"/>
      <c r="Z632" s="25"/>
      <c r="AA632" s="25"/>
      <c r="AB632" s="25"/>
      <c r="AC632" s="25"/>
      <c r="AD632" s="25" t="str">
        <f>_xlfn.CONCAT($A633," ",$B633," ",$D633)</f>
        <v>2025 Volvo Polestar 2 Dual Motor (20 Inch Wheels)</v>
      </c>
      <c r="AE632" s="25"/>
      <c r="AF632" s="25"/>
      <c r="AG632" s="25"/>
      <c r="AH632" s="25"/>
      <c r="AI632" s="25"/>
      <c r="AJ632" s="25"/>
      <c r="AK632" s="25"/>
      <c r="AL632" s="25"/>
      <c r="AM632" s="25"/>
      <c r="AN632" s="25"/>
      <c r="AO632" s="25"/>
      <c r="AP632" s="25"/>
      <c r="AQ632" s="25"/>
      <c r="AR632" s="25"/>
      <c r="AS632" s="25"/>
      <c r="AT632" s="25"/>
      <c r="AU632" s="25"/>
      <c r="AV632" s="25"/>
      <c r="AW632" s="25"/>
      <c r="AX632" s="25" t="str">
        <f>_xlfn.CONCAT($A633," ",$B633," ",$D633)</f>
        <v>2025 Volvo Polestar 2 Dual Motor (20 Inch Wheels)</v>
      </c>
      <c r="AY632" s="25"/>
      <c r="AZ632" s="25"/>
      <c r="BA632" s="25"/>
      <c r="BB632" s="25"/>
      <c r="BC632" s="25"/>
      <c r="BD632" s="25"/>
      <c r="BE632" s="25"/>
      <c r="BF632" s="25"/>
      <c r="BG632" s="25"/>
      <c r="BH632" s="25"/>
      <c r="BI632" s="25"/>
      <c r="BJ632" s="25"/>
      <c r="BK632" s="25"/>
      <c r="BL632" s="25"/>
      <c r="BM632" s="25"/>
      <c r="BN632" s="25"/>
      <c r="BO632" s="25"/>
      <c r="BP632" s="25"/>
      <c r="BQ632" s="25"/>
      <c r="BR632" s="25" t="str">
        <f>_xlfn.CONCAT($A633," ",$B633," ",$D633)</f>
        <v>2025 Volvo Polestar 2 Dual Motor (20 Inch Wheels)</v>
      </c>
      <c r="BS632" s="25"/>
      <c r="BT632" s="25"/>
      <c r="BU632" s="25"/>
      <c r="BV632" s="25"/>
      <c r="BX632" s="25"/>
      <c r="BY632" s="25"/>
      <c r="BZ632" s="25"/>
      <c r="CA632" s="25"/>
      <c r="CB632" s="25"/>
      <c r="CC632" s="25"/>
      <c r="CD632" s="25"/>
      <c r="CE632" s="25"/>
      <c r="CF632" s="25"/>
      <c r="CG632" s="25"/>
      <c r="CH632" s="25"/>
      <c r="CI632" s="25"/>
      <c r="CJ632" s="25"/>
      <c r="CK632" s="25"/>
      <c r="CL632" s="25"/>
      <c r="CM632" s="25"/>
      <c r="CN632" s="25"/>
      <c r="CO632" s="25"/>
      <c r="CP632" s="25" t="str">
        <f>_xlfn.CONCAT($A633," ",$B633," ",$D633)</f>
        <v>2025 Volvo Polestar 2 Dual Motor (20 Inch Wheels)</v>
      </c>
      <c r="CQ632" s="25"/>
      <c r="CR632" s="25"/>
      <c r="CS632" s="25"/>
      <c r="CT632" s="25"/>
      <c r="CU632" s="25"/>
      <c r="CV632" s="25"/>
      <c r="CW632" s="25"/>
      <c r="CX632" s="25"/>
      <c r="CY632" s="25"/>
      <c r="CZ632" s="25"/>
      <c r="DA632" s="25"/>
      <c r="DB632" s="25"/>
      <c r="DC632" s="25"/>
      <c r="DD632" s="25"/>
      <c r="DE632" s="25"/>
      <c r="DF632" s="25"/>
      <c r="DG632" s="25"/>
      <c r="DH632" s="25"/>
      <c r="DI632" s="25" t="str">
        <f>_xlfn.CONCAT($A633," ",$B633," ",$D633)</f>
        <v>2025 Volvo Polestar 2 Dual Motor (20 Inch Wheels)</v>
      </c>
      <c r="DJ632" s="25"/>
      <c r="DK632" s="25"/>
      <c r="DL632" s="25"/>
      <c r="DM632" s="25"/>
      <c r="DN632" s="25"/>
      <c r="DO632" s="25"/>
      <c r="DP632" s="25"/>
      <c r="DQ632" s="25"/>
      <c r="DR632" s="25"/>
      <c r="DS632" s="25"/>
      <c r="DT632" s="25"/>
      <c r="DU632" s="25"/>
      <c r="DV632" s="25"/>
      <c r="DW632" s="25"/>
      <c r="DX632" s="25"/>
      <c r="DY632" s="25"/>
      <c r="DZ632" s="25" t="str">
        <f>_xlfn.CONCAT($A633," ",$B633," ",$D633)</f>
        <v>2025 Volvo Polestar 2 Dual Motor (20 Inch Wheels)</v>
      </c>
      <c r="EB632" s="25"/>
      <c r="EC632" s="25"/>
      <c r="ED632" s="25"/>
      <c r="EE632" s="25"/>
      <c r="EF632" s="25"/>
      <c r="EG632" s="25"/>
      <c r="EH632" s="25"/>
      <c r="EI632" s="25"/>
      <c r="EJ632" s="25"/>
      <c r="EK632" s="25"/>
      <c r="EL632" s="25"/>
      <c r="EM632" s="25"/>
      <c r="EN632" s="25"/>
      <c r="EO632" s="25"/>
      <c r="EP632" s="25"/>
      <c r="EQ632" s="25"/>
      <c r="ER632" s="25"/>
      <c r="ES632" s="25"/>
      <c r="ET632" s="25"/>
      <c r="EU632" s="25"/>
      <c r="EV632" s="25" t="str">
        <f>_xlfn.CONCAT($A633," ",$B633," ",$D633)</f>
        <v>2025 Volvo Polestar 2 Dual Motor (20 Inch Wheels)</v>
      </c>
      <c r="EW632" s="25"/>
      <c r="EX632" s="25"/>
      <c r="EY632" s="25"/>
      <c r="EZ632" s="25"/>
      <c r="FA632" s="25"/>
      <c r="FB632" s="25"/>
      <c r="FC632" s="25"/>
      <c r="FD632" s="25"/>
      <c r="FE632" s="25"/>
      <c r="FF632" s="25"/>
      <c r="FG632" s="25"/>
    </row>
    <row r="633" spans="1:165" x14ac:dyDescent="0.35">
      <c r="A633">
        <v>2025</v>
      </c>
      <c r="B633" t="s">
        <v>658</v>
      </c>
      <c r="C633" t="s">
        <v>2145</v>
      </c>
      <c r="D633" t="s">
        <v>2150</v>
      </c>
      <c r="E633" t="s">
        <v>661</v>
      </c>
      <c r="F633">
        <v>257</v>
      </c>
      <c r="G633">
        <v>0</v>
      </c>
      <c r="I633" t="s">
        <v>1734</v>
      </c>
      <c r="J633">
        <v>101</v>
      </c>
      <c r="K633">
        <v>92</v>
      </c>
      <c r="L633">
        <v>97</v>
      </c>
      <c r="M633">
        <v>150.4</v>
      </c>
      <c r="N633">
        <v>136.19999999999999</v>
      </c>
      <c r="O633">
        <v>143.66</v>
      </c>
      <c r="P633">
        <v>101</v>
      </c>
      <c r="Q633">
        <v>92</v>
      </c>
      <c r="R633">
        <v>97</v>
      </c>
      <c r="V633" t="s">
        <v>167</v>
      </c>
      <c r="W633" t="s">
        <v>168</v>
      </c>
      <c r="Y633">
        <v>1</v>
      </c>
      <c r="Z633" t="s">
        <v>170</v>
      </c>
      <c r="AA633" t="s">
        <v>170</v>
      </c>
      <c r="AB633" t="s">
        <v>167</v>
      </c>
      <c r="AC633" t="s">
        <v>213</v>
      </c>
      <c r="AF633">
        <v>268</v>
      </c>
      <c r="AG633" t="s">
        <v>1735</v>
      </c>
      <c r="AH633" t="s">
        <v>1736</v>
      </c>
      <c r="AI633" t="s">
        <v>175</v>
      </c>
      <c r="AJ633" t="s">
        <v>176</v>
      </c>
      <c r="AK633">
        <v>4</v>
      </c>
      <c r="AL633" t="s">
        <v>1737</v>
      </c>
      <c r="AQ633">
        <v>89</v>
      </c>
      <c r="AR633">
        <v>26</v>
      </c>
      <c r="AS633">
        <v>850</v>
      </c>
      <c r="AT633">
        <v>850</v>
      </c>
      <c r="BQ633">
        <v>5</v>
      </c>
      <c r="BR633" t="s">
        <v>672</v>
      </c>
      <c r="BS633" t="s">
        <v>180</v>
      </c>
      <c r="BT633" t="s">
        <v>1769</v>
      </c>
      <c r="BU633" s="1">
        <v>45418</v>
      </c>
      <c r="BV633">
        <v>34742</v>
      </c>
      <c r="BX633" t="s">
        <v>170</v>
      </c>
      <c r="BY633" t="s">
        <v>170</v>
      </c>
      <c r="CB633" t="s">
        <v>170</v>
      </c>
      <c r="CC633" t="s">
        <v>170</v>
      </c>
      <c r="CK633" t="s">
        <v>233</v>
      </c>
      <c r="CM633">
        <v>1</v>
      </c>
      <c r="CN633" t="s">
        <v>234</v>
      </c>
      <c r="CP633">
        <v>404</v>
      </c>
      <c r="CQ633">
        <v>202</v>
      </c>
      <c r="CR633">
        <v>165</v>
      </c>
      <c r="CS633" t="s">
        <v>235</v>
      </c>
      <c r="CV633" t="s">
        <v>341</v>
      </c>
      <c r="CX633" t="s">
        <v>342</v>
      </c>
      <c r="CY633" t="s">
        <v>170</v>
      </c>
      <c r="DC633" t="s">
        <v>2147</v>
      </c>
      <c r="DD633">
        <v>2</v>
      </c>
      <c r="DE633" t="s">
        <v>404</v>
      </c>
      <c r="DF633" t="s">
        <v>427</v>
      </c>
      <c r="DG633" t="s">
        <v>2151</v>
      </c>
      <c r="DL633" t="s">
        <v>170</v>
      </c>
      <c r="DM633" t="s">
        <v>169</v>
      </c>
      <c r="DP633" t="s">
        <v>170</v>
      </c>
      <c r="DQ633" t="s">
        <v>187</v>
      </c>
      <c r="EB633">
        <v>9</v>
      </c>
      <c r="EC633">
        <v>10</v>
      </c>
      <c r="EE633" t="s">
        <v>2149</v>
      </c>
      <c r="EF633">
        <v>10</v>
      </c>
      <c r="EU633">
        <v>5250</v>
      </c>
      <c r="EW633">
        <v>0</v>
      </c>
      <c r="EX633">
        <v>0</v>
      </c>
      <c r="EY633">
        <v>0</v>
      </c>
      <c r="FA633">
        <v>8</v>
      </c>
      <c r="FG633">
        <v>282</v>
      </c>
      <c r="FH633">
        <v>251</v>
      </c>
      <c r="FI633">
        <v>268</v>
      </c>
    </row>
    <row r="634" spans="1:165" x14ac:dyDescent="0.35">
      <c r="A634">
        <v>2025</v>
      </c>
      <c r="B634" t="s">
        <v>658</v>
      </c>
      <c r="C634" t="s">
        <v>2145</v>
      </c>
      <c r="D634" t="s">
        <v>2150</v>
      </c>
      <c r="E634" t="s">
        <v>661</v>
      </c>
      <c r="F634">
        <v>257</v>
      </c>
      <c r="G634">
        <v>0</v>
      </c>
      <c r="I634" t="s">
        <v>1734</v>
      </c>
      <c r="J634">
        <v>33</v>
      </c>
      <c r="K634">
        <v>37</v>
      </c>
      <c r="L634">
        <v>35</v>
      </c>
      <c r="M634">
        <v>22.403199999999998</v>
      </c>
      <c r="N634">
        <v>24.742699999999999</v>
      </c>
      <c r="O634">
        <v>23.456</v>
      </c>
      <c r="P634">
        <v>33</v>
      </c>
      <c r="Q634">
        <v>37</v>
      </c>
      <c r="R634">
        <v>35</v>
      </c>
      <c r="V634" t="s">
        <v>167</v>
      </c>
      <c r="W634" t="s">
        <v>168</v>
      </c>
      <c r="Y634">
        <v>1</v>
      </c>
      <c r="Z634" t="s">
        <v>170</v>
      </c>
      <c r="AA634" t="s">
        <v>170</v>
      </c>
      <c r="AB634" t="s">
        <v>167</v>
      </c>
      <c r="AC634" t="s">
        <v>213</v>
      </c>
      <c r="AF634">
        <v>268</v>
      </c>
      <c r="AG634" t="s">
        <v>1735</v>
      </c>
      <c r="AH634" t="s">
        <v>1736</v>
      </c>
      <c r="AI634" t="s">
        <v>1742</v>
      </c>
      <c r="AJ634" t="s">
        <v>1743</v>
      </c>
      <c r="AK634">
        <v>4</v>
      </c>
      <c r="AL634" t="s">
        <v>1737</v>
      </c>
      <c r="AQ634">
        <v>89</v>
      </c>
      <c r="AR634">
        <v>26</v>
      </c>
      <c r="AS634">
        <v>850</v>
      </c>
      <c r="AT634">
        <v>850</v>
      </c>
      <c r="BQ634">
        <v>5</v>
      </c>
      <c r="BR634" t="s">
        <v>672</v>
      </c>
      <c r="BS634" t="s">
        <v>180</v>
      </c>
      <c r="BT634" t="s">
        <v>1769</v>
      </c>
      <c r="BU634" s="1">
        <v>45418</v>
      </c>
      <c r="BV634">
        <v>34742</v>
      </c>
      <c r="BX634" t="s">
        <v>170</v>
      </c>
      <c r="BY634" t="s">
        <v>170</v>
      </c>
      <c r="CB634" t="s">
        <v>170</v>
      </c>
      <c r="CC634" t="s">
        <v>170</v>
      </c>
      <c r="CK634" t="s">
        <v>233</v>
      </c>
      <c r="CM634">
        <v>1</v>
      </c>
      <c r="CN634" t="s">
        <v>234</v>
      </c>
      <c r="CP634">
        <v>404</v>
      </c>
      <c r="CQ634">
        <v>202</v>
      </c>
      <c r="CR634">
        <v>165</v>
      </c>
      <c r="CS634" t="s">
        <v>235</v>
      </c>
      <c r="CV634" t="s">
        <v>341</v>
      </c>
      <c r="CX634" t="s">
        <v>342</v>
      </c>
      <c r="CY634" t="s">
        <v>170</v>
      </c>
      <c r="DC634" t="s">
        <v>2147</v>
      </c>
      <c r="DD634">
        <v>2</v>
      </c>
      <c r="DE634" t="s">
        <v>404</v>
      </c>
      <c r="DF634" t="s">
        <v>427</v>
      </c>
      <c r="DG634" t="s">
        <v>2151</v>
      </c>
      <c r="DL634" t="s">
        <v>170</v>
      </c>
      <c r="DM634" t="s">
        <v>169</v>
      </c>
      <c r="DP634" t="s">
        <v>170</v>
      </c>
      <c r="DQ634" t="s">
        <v>187</v>
      </c>
      <c r="EB634">
        <v>9</v>
      </c>
      <c r="EC634">
        <v>10</v>
      </c>
      <c r="EE634" t="s">
        <v>2149</v>
      </c>
      <c r="EF634">
        <v>10</v>
      </c>
      <c r="EU634">
        <v>5250</v>
      </c>
      <c r="EW634">
        <v>0</v>
      </c>
      <c r="EX634">
        <v>0</v>
      </c>
      <c r="EY634">
        <v>0</v>
      </c>
      <c r="FA634">
        <v>8</v>
      </c>
      <c r="FG634">
        <v>282</v>
      </c>
      <c r="FH634">
        <v>251</v>
      </c>
      <c r="FI634">
        <v>268</v>
      </c>
    </row>
    <row r="635" spans="1:165" x14ac:dyDescent="0.35">
      <c r="A635" s="25"/>
      <c r="B635" s="25"/>
      <c r="C635" s="25"/>
      <c r="D635" s="25"/>
      <c r="E635" s="25"/>
      <c r="F635" s="25" t="str">
        <f>_xlfn.CONCAT($A636," ",$B636," ",$D636)</f>
        <v>2025 Volvo Polestar 2 Single Motor (20 Inch Wheels)</v>
      </c>
      <c r="G635" s="25"/>
      <c r="H635" s="25"/>
      <c r="I635" s="25"/>
      <c r="J635" s="25"/>
      <c r="K635" s="25"/>
      <c r="L635" s="25"/>
      <c r="M635" s="25"/>
      <c r="N635" s="25"/>
      <c r="O635" s="25"/>
      <c r="P635" s="25"/>
      <c r="Q635" s="25"/>
      <c r="R635" s="25"/>
      <c r="S635" s="25"/>
      <c r="T635" s="25"/>
      <c r="U635" s="25"/>
      <c r="V635" s="25"/>
      <c r="W635" s="25"/>
      <c r="X635" s="25"/>
      <c r="Y635" s="25"/>
      <c r="Z635" s="25"/>
      <c r="AA635" s="25"/>
      <c r="AB635" s="25"/>
      <c r="AC635" s="25"/>
      <c r="AD635" s="25" t="str">
        <f>_xlfn.CONCAT($A636," ",$B636," ",$D636)</f>
        <v>2025 Volvo Polestar 2 Single Motor (20 Inch Wheels)</v>
      </c>
      <c r="AE635" s="25"/>
      <c r="AF635" s="25"/>
      <c r="AG635" s="25"/>
      <c r="AH635" s="25"/>
      <c r="AI635" s="25"/>
      <c r="AJ635" s="25"/>
      <c r="AK635" s="25"/>
      <c r="AL635" s="25"/>
      <c r="AM635" s="25"/>
      <c r="AN635" s="25"/>
      <c r="AO635" s="25"/>
      <c r="AP635" s="25"/>
      <c r="AQ635" s="25"/>
      <c r="AR635" s="25"/>
      <c r="AS635" s="25"/>
      <c r="AT635" s="25"/>
      <c r="AU635" s="25"/>
      <c r="AV635" s="25"/>
      <c r="AW635" s="25"/>
      <c r="AX635" s="25" t="str">
        <f>_xlfn.CONCAT($A636," ",$B636," ",$D636)</f>
        <v>2025 Volvo Polestar 2 Single Motor (20 Inch Wheels)</v>
      </c>
      <c r="AY635" s="25"/>
      <c r="AZ635" s="25"/>
      <c r="BA635" s="25"/>
      <c r="BB635" s="25"/>
      <c r="BC635" s="25"/>
      <c r="BD635" s="25"/>
      <c r="BE635" s="25"/>
      <c r="BF635" s="25"/>
      <c r="BG635" s="25"/>
      <c r="BH635" s="25"/>
      <c r="BI635" s="25"/>
      <c r="BJ635" s="25"/>
      <c r="BK635" s="25"/>
      <c r="BL635" s="25"/>
      <c r="BM635" s="25"/>
      <c r="BN635" s="25"/>
      <c r="BO635" s="25"/>
      <c r="BP635" s="25"/>
      <c r="BQ635" s="25"/>
      <c r="BR635" s="25" t="str">
        <f>_xlfn.CONCAT($A636," ",$B636," ",$D636)</f>
        <v>2025 Volvo Polestar 2 Single Motor (20 Inch Wheels)</v>
      </c>
      <c r="BS635" s="25"/>
      <c r="BT635" s="25"/>
      <c r="BU635" s="25"/>
      <c r="BV635" s="25"/>
      <c r="BX635" s="25"/>
      <c r="BY635" s="25"/>
      <c r="BZ635" s="25"/>
      <c r="CA635" s="25"/>
      <c r="CB635" s="25"/>
      <c r="CC635" s="25"/>
      <c r="CD635" s="25"/>
      <c r="CE635" s="25"/>
      <c r="CF635" s="25"/>
      <c r="CG635" s="25"/>
      <c r="CH635" s="25"/>
      <c r="CI635" s="25"/>
      <c r="CJ635" s="25"/>
      <c r="CK635" s="25"/>
      <c r="CL635" s="25"/>
      <c r="CM635" s="25"/>
      <c r="CN635" s="25"/>
      <c r="CO635" s="25"/>
      <c r="CP635" s="25" t="str">
        <f>_xlfn.CONCAT($A636," ",$B636," ",$D636)</f>
        <v>2025 Volvo Polestar 2 Single Motor (20 Inch Wheels)</v>
      </c>
      <c r="CQ635" s="25"/>
      <c r="CR635" s="25"/>
      <c r="CS635" s="25"/>
      <c r="CT635" s="25"/>
      <c r="CU635" s="25"/>
      <c r="CV635" s="25"/>
      <c r="CW635" s="25"/>
      <c r="CX635" s="25"/>
      <c r="CY635" s="25"/>
      <c r="CZ635" s="25"/>
      <c r="DA635" s="25"/>
      <c r="DB635" s="25"/>
      <c r="DC635" s="25"/>
      <c r="DD635" s="25"/>
      <c r="DE635" s="25"/>
      <c r="DF635" s="25"/>
      <c r="DG635" s="25"/>
      <c r="DH635" s="25"/>
      <c r="DI635" s="25" t="str">
        <f>_xlfn.CONCAT($A636," ",$B636," ",$D636)</f>
        <v>2025 Volvo Polestar 2 Single Motor (20 Inch Wheels)</v>
      </c>
      <c r="DJ635" s="25"/>
      <c r="DK635" s="25"/>
      <c r="DL635" s="25"/>
      <c r="DM635" s="25"/>
      <c r="DN635" s="25"/>
      <c r="DO635" s="25"/>
      <c r="DP635" s="25"/>
      <c r="DQ635" s="25"/>
      <c r="DR635" s="25"/>
      <c r="DS635" s="25"/>
      <c r="DT635" s="25"/>
      <c r="DU635" s="25"/>
      <c r="DV635" s="25"/>
      <c r="DW635" s="25"/>
      <c r="DX635" s="25"/>
      <c r="DY635" s="25"/>
      <c r="DZ635" s="25" t="str">
        <f>_xlfn.CONCAT($A636," ",$B636," ",$D636)</f>
        <v>2025 Volvo Polestar 2 Single Motor (20 Inch Wheels)</v>
      </c>
      <c r="EB635" s="25"/>
      <c r="EC635" s="25"/>
      <c r="ED635" s="25"/>
      <c r="EE635" s="25"/>
      <c r="EF635" s="25"/>
      <c r="EG635" s="25"/>
      <c r="EH635" s="25"/>
      <c r="EI635" s="25"/>
      <c r="EJ635" s="25"/>
      <c r="EK635" s="25"/>
      <c r="EL635" s="25"/>
      <c r="EM635" s="25"/>
      <c r="EN635" s="25"/>
      <c r="EO635" s="25"/>
      <c r="EP635" s="25"/>
      <c r="EQ635" s="25"/>
      <c r="ER635" s="25"/>
      <c r="ES635" s="25"/>
      <c r="ET635" s="25"/>
      <c r="EU635" s="25"/>
      <c r="EV635" s="25" t="str">
        <f>_xlfn.CONCAT($A636," ",$B636," ",$D636)</f>
        <v>2025 Volvo Polestar 2 Single Motor (20 Inch Wheels)</v>
      </c>
      <c r="EW635" s="25"/>
      <c r="EX635" s="25"/>
      <c r="EY635" s="25"/>
      <c r="EZ635" s="25"/>
      <c r="FA635" s="25"/>
      <c r="FB635" s="25"/>
      <c r="FC635" s="25"/>
      <c r="FD635" s="25"/>
      <c r="FE635" s="25"/>
      <c r="FF635" s="25"/>
      <c r="FG635" s="25"/>
    </row>
    <row r="636" spans="1:165" x14ac:dyDescent="0.35">
      <c r="A636">
        <v>2025</v>
      </c>
      <c r="B636" t="s">
        <v>658</v>
      </c>
      <c r="C636" t="s">
        <v>2145</v>
      </c>
      <c r="D636" t="s">
        <v>2157</v>
      </c>
      <c r="E636" t="s">
        <v>661</v>
      </c>
      <c r="F636">
        <v>258</v>
      </c>
      <c r="G636">
        <v>0</v>
      </c>
      <c r="I636" t="s">
        <v>1734</v>
      </c>
      <c r="J636">
        <v>117</v>
      </c>
      <c r="K636">
        <v>101</v>
      </c>
      <c r="L636">
        <v>109</v>
      </c>
      <c r="M636">
        <v>167.6</v>
      </c>
      <c r="N636">
        <v>144.19999999999999</v>
      </c>
      <c r="O636">
        <v>156.19409999999999</v>
      </c>
      <c r="P636">
        <v>117.32</v>
      </c>
      <c r="Q636">
        <v>100.94</v>
      </c>
      <c r="R636">
        <v>109.3359</v>
      </c>
      <c r="V636" t="s">
        <v>167</v>
      </c>
      <c r="W636" t="s">
        <v>168</v>
      </c>
      <c r="Y636">
        <v>1</v>
      </c>
      <c r="Z636" t="s">
        <v>170</v>
      </c>
      <c r="AA636" t="s">
        <v>170</v>
      </c>
      <c r="AB636" t="s">
        <v>171</v>
      </c>
      <c r="AC636" t="s">
        <v>172</v>
      </c>
      <c r="AF636">
        <v>300</v>
      </c>
      <c r="AG636" t="s">
        <v>1735</v>
      </c>
      <c r="AH636" t="s">
        <v>1736</v>
      </c>
      <c r="AI636" t="s">
        <v>175</v>
      </c>
      <c r="AJ636" t="s">
        <v>176</v>
      </c>
      <c r="AK636">
        <v>4</v>
      </c>
      <c r="AL636" t="s">
        <v>1737</v>
      </c>
      <c r="AQ636">
        <v>89</v>
      </c>
      <c r="AR636">
        <v>26</v>
      </c>
      <c r="AS636">
        <v>750</v>
      </c>
      <c r="AT636">
        <v>750</v>
      </c>
      <c r="BQ636">
        <v>5</v>
      </c>
      <c r="BR636" t="s">
        <v>672</v>
      </c>
      <c r="BS636" t="s">
        <v>180</v>
      </c>
      <c r="BT636" t="s">
        <v>1769</v>
      </c>
      <c r="BU636" s="1">
        <v>45418</v>
      </c>
      <c r="BV636">
        <v>34743</v>
      </c>
      <c r="BX636" t="s">
        <v>170</v>
      </c>
      <c r="BY636" t="s">
        <v>170</v>
      </c>
      <c r="CB636" t="s">
        <v>170</v>
      </c>
      <c r="CC636" t="s">
        <v>170</v>
      </c>
      <c r="CK636" t="s">
        <v>233</v>
      </c>
      <c r="CM636">
        <v>1</v>
      </c>
      <c r="CN636" t="s">
        <v>234</v>
      </c>
      <c r="CP636">
        <v>404</v>
      </c>
      <c r="CQ636">
        <v>202</v>
      </c>
      <c r="CR636">
        <v>165</v>
      </c>
      <c r="CS636" t="s">
        <v>235</v>
      </c>
      <c r="CV636" t="s">
        <v>341</v>
      </c>
      <c r="CX636" t="s">
        <v>1012</v>
      </c>
      <c r="CY636" t="s">
        <v>170</v>
      </c>
      <c r="DC636" t="s">
        <v>2154</v>
      </c>
      <c r="DD636">
        <v>2</v>
      </c>
      <c r="DE636" t="s">
        <v>404</v>
      </c>
      <c r="DF636" t="s">
        <v>427</v>
      </c>
      <c r="DG636" t="s">
        <v>2155</v>
      </c>
      <c r="DL636" t="s">
        <v>170</v>
      </c>
      <c r="DM636" t="s">
        <v>169</v>
      </c>
      <c r="DP636" t="s">
        <v>170</v>
      </c>
      <c r="DQ636" t="s">
        <v>187</v>
      </c>
      <c r="EB636">
        <v>9</v>
      </c>
      <c r="EC636">
        <v>10</v>
      </c>
      <c r="EE636" t="s">
        <v>2156</v>
      </c>
      <c r="EF636">
        <v>10</v>
      </c>
      <c r="EU636">
        <v>5750</v>
      </c>
      <c r="EW636">
        <v>0</v>
      </c>
      <c r="EX636">
        <v>0</v>
      </c>
      <c r="EY636">
        <v>0</v>
      </c>
      <c r="FA636">
        <v>8</v>
      </c>
      <c r="FG636">
        <v>320</v>
      </c>
      <c r="FH636">
        <v>275</v>
      </c>
      <c r="FI636">
        <v>300</v>
      </c>
    </row>
    <row r="637" spans="1:165" x14ac:dyDescent="0.35">
      <c r="A637">
        <v>2025</v>
      </c>
      <c r="B637" t="s">
        <v>658</v>
      </c>
      <c r="C637" t="s">
        <v>2145</v>
      </c>
      <c r="D637" t="s">
        <v>2157</v>
      </c>
      <c r="E637" t="s">
        <v>661</v>
      </c>
      <c r="F637">
        <v>258</v>
      </c>
      <c r="G637">
        <v>0</v>
      </c>
      <c r="I637" t="s">
        <v>1734</v>
      </c>
      <c r="J637">
        <v>29</v>
      </c>
      <c r="K637">
        <v>33</v>
      </c>
      <c r="L637">
        <v>31</v>
      </c>
      <c r="M637">
        <v>20.113199999999999</v>
      </c>
      <c r="N637">
        <v>23.3703</v>
      </c>
      <c r="O637">
        <v>21.578900000000001</v>
      </c>
      <c r="P637">
        <v>28.729099999999999</v>
      </c>
      <c r="Q637">
        <v>33.391100000000002</v>
      </c>
      <c r="R637">
        <v>30.827000000000002</v>
      </c>
      <c r="V637" t="s">
        <v>167</v>
      </c>
      <c r="W637" t="s">
        <v>168</v>
      </c>
      <c r="Y637">
        <v>1</v>
      </c>
      <c r="Z637" t="s">
        <v>170</v>
      </c>
      <c r="AA637" t="s">
        <v>170</v>
      </c>
      <c r="AB637" t="s">
        <v>171</v>
      </c>
      <c r="AC637" t="s">
        <v>172</v>
      </c>
      <c r="AF637">
        <v>300</v>
      </c>
      <c r="AG637" t="s">
        <v>1735</v>
      </c>
      <c r="AH637" t="s">
        <v>1736</v>
      </c>
      <c r="AI637" t="s">
        <v>1742</v>
      </c>
      <c r="AJ637" t="s">
        <v>1743</v>
      </c>
      <c r="AK637">
        <v>4</v>
      </c>
      <c r="AL637" t="s">
        <v>1737</v>
      </c>
      <c r="AQ637">
        <v>89</v>
      </c>
      <c r="AR637">
        <v>26</v>
      </c>
      <c r="AS637">
        <v>750</v>
      </c>
      <c r="AT637">
        <v>750</v>
      </c>
      <c r="BQ637">
        <v>5</v>
      </c>
      <c r="BR637" t="s">
        <v>672</v>
      </c>
      <c r="BS637" t="s">
        <v>180</v>
      </c>
      <c r="BT637" t="s">
        <v>1769</v>
      </c>
      <c r="BU637" s="1">
        <v>45418</v>
      </c>
      <c r="BV637">
        <v>34743</v>
      </c>
      <c r="BX637" t="s">
        <v>170</v>
      </c>
      <c r="BY637" t="s">
        <v>170</v>
      </c>
      <c r="CB637" t="s">
        <v>170</v>
      </c>
      <c r="CC637" t="s">
        <v>170</v>
      </c>
      <c r="CK637" t="s">
        <v>233</v>
      </c>
      <c r="CM637">
        <v>1</v>
      </c>
      <c r="CN637" t="s">
        <v>234</v>
      </c>
      <c r="CP637">
        <v>404</v>
      </c>
      <c r="CQ637">
        <v>202</v>
      </c>
      <c r="CR637">
        <v>165</v>
      </c>
      <c r="CS637" t="s">
        <v>235</v>
      </c>
      <c r="CV637" t="s">
        <v>341</v>
      </c>
      <c r="CX637" t="s">
        <v>1012</v>
      </c>
      <c r="CY637" t="s">
        <v>170</v>
      </c>
      <c r="DC637" t="s">
        <v>2154</v>
      </c>
      <c r="DD637">
        <v>2</v>
      </c>
      <c r="DE637" t="s">
        <v>404</v>
      </c>
      <c r="DF637" t="s">
        <v>427</v>
      </c>
      <c r="DG637" t="s">
        <v>2155</v>
      </c>
      <c r="DL637" t="s">
        <v>170</v>
      </c>
      <c r="DM637" t="s">
        <v>169</v>
      </c>
      <c r="DP637" t="s">
        <v>170</v>
      </c>
      <c r="DQ637" t="s">
        <v>187</v>
      </c>
      <c r="EB637">
        <v>9</v>
      </c>
      <c r="EC637">
        <v>10</v>
      </c>
      <c r="EE637" t="s">
        <v>2156</v>
      </c>
      <c r="EF637">
        <v>10</v>
      </c>
      <c r="EU637">
        <v>5750</v>
      </c>
      <c r="EW637">
        <v>0</v>
      </c>
      <c r="EX637">
        <v>0</v>
      </c>
      <c r="EY637">
        <v>0</v>
      </c>
      <c r="FA637">
        <v>8</v>
      </c>
      <c r="FG637">
        <v>320</v>
      </c>
      <c r="FH637">
        <v>275</v>
      </c>
      <c r="FI637">
        <v>300</v>
      </c>
    </row>
    <row r="638" spans="1:165" x14ac:dyDescent="0.35">
      <c r="A638" s="25"/>
      <c r="B638" s="25"/>
      <c r="C638" s="25"/>
      <c r="D638" s="25"/>
      <c r="E638" s="25"/>
      <c r="F638" s="25" t="str">
        <f>_xlfn.CONCAT($A639," ",$B639," ",$D639)</f>
        <v>2025 Volvo Polestar 2 Dual Motor Performance Pack</v>
      </c>
      <c r="G638" s="25"/>
      <c r="H638" s="25"/>
      <c r="I638" s="25"/>
      <c r="J638" s="25"/>
      <c r="K638" s="25"/>
      <c r="L638" s="25"/>
      <c r="M638" s="25"/>
      <c r="N638" s="25"/>
      <c r="O638" s="25"/>
      <c r="P638" s="25"/>
      <c r="Q638" s="25"/>
      <c r="R638" s="25"/>
      <c r="S638" s="25"/>
      <c r="T638" s="25"/>
      <c r="U638" s="25"/>
      <c r="V638" s="25"/>
      <c r="W638" s="25"/>
      <c r="X638" s="25"/>
      <c r="Y638" s="25"/>
      <c r="Z638" s="25"/>
      <c r="AA638" s="25"/>
      <c r="AB638" s="25"/>
      <c r="AC638" s="25"/>
      <c r="AD638" s="25" t="str">
        <f>_xlfn.CONCAT($A639," ",$B639," ",$D639)</f>
        <v>2025 Volvo Polestar 2 Dual Motor Performance Pack</v>
      </c>
      <c r="AE638" s="25"/>
      <c r="AF638" s="25"/>
      <c r="AG638" s="25"/>
      <c r="AH638" s="25"/>
      <c r="AI638" s="25"/>
      <c r="AJ638" s="25"/>
      <c r="AK638" s="25"/>
      <c r="AL638" s="25"/>
      <c r="AM638" s="25"/>
      <c r="AN638" s="25"/>
      <c r="AO638" s="25"/>
      <c r="AP638" s="25"/>
      <c r="AQ638" s="25"/>
      <c r="AR638" s="25"/>
      <c r="AS638" s="25"/>
      <c r="AT638" s="25"/>
      <c r="AU638" s="25"/>
      <c r="AV638" s="25"/>
      <c r="AW638" s="25"/>
      <c r="AX638" s="25" t="str">
        <f>_xlfn.CONCAT($A639," ",$B639," ",$D639)</f>
        <v>2025 Volvo Polestar 2 Dual Motor Performance Pack</v>
      </c>
      <c r="AY638" s="25"/>
      <c r="AZ638" s="25"/>
      <c r="BA638" s="25"/>
      <c r="BB638" s="25"/>
      <c r="BC638" s="25"/>
      <c r="BD638" s="25"/>
      <c r="BE638" s="25"/>
      <c r="BF638" s="25"/>
      <c r="BG638" s="25"/>
      <c r="BH638" s="25"/>
      <c r="BI638" s="25"/>
      <c r="BJ638" s="25"/>
      <c r="BK638" s="25"/>
      <c r="BL638" s="25"/>
      <c r="BM638" s="25"/>
      <c r="BN638" s="25"/>
      <c r="BO638" s="25"/>
      <c r="BP638" s="25"/>
      <c r="BQ638" s="25"/>
      <c r="BR638" s="25" t="str">
        <f>_xlfn.CONCAT($A639," ",$B639," ",$D639)</f>
        <v>2025 Volvo Polestar 2 Dual Motor Performance Pack</v>
      </c>
      <c r="BS638" s="25"/>
      <c r="BT638" s="25"/>
      <c r="BU638" s="25"/>
      <c r="BV638" s="25"/>
      <c r="BX638" s="25"/>
      <c r="BY638" s="25"/>
      <c r="BZ638" s="25"/>
      <c r="CA638" s="25"/>
      <c r="CB638" s="25"/>
      <c r="CC638" s="25"/>
      <c r="CD638" s="25"/>
      <c r="CE638" s="25"/>
      <c r="CF638" s="25"/>
      <c r="CG638" s="25"/>
      <c r="CH638" s="25"/>
      <c r="CI638" s="25"/>
      <c r="CJ638" s="25"/>
      <c r="CK638" s="25"/>
      <c r="CL638" s="25"/>
      <c r="CM638" s="25"/>
      <c r="CN638" s="25"/>
      <c r="CO638" s="25"/>
      <c r="CP638" s="25" t="str">
        <f>_xlfn.CONCAT($A639," ",$B639," ",$D639)</f>
        <v>2025 Volvo Polestar 2 Dual Motor Performance Pack</v>
      </c>
      <c r="CQ638" s="25"/>
      <c r="CR638" s="25"/>
      <c r="CS638" s="25"/>
      <c r="CT638" s="25"/>
      <c r="CU638" s="25"/>
      <c r="CV638" s="25"/>
      <c r="CW638" s="25"/>
      <c r="CX638" s="25"/>
      <c r="CY638" s="25"/>
      <c r="CZ638" s="25"/>
      <c r="DA638" s="25"/>
      <c r="DB638" s="25"/>
      <c r="DC638" s="25"/>
      <c r="DD638" s="25"/>
      <c r="DE638" s="25"/>
      <c r="DF638" s="25"/>
      <c r="DG638" s="25"/>
      <c r="DH638" s="25"/>
      <c r="DI638" s="25" t="str">
        <f>_xlfn.CONCAT($A639," ",$B639," ",$D639)</f>
        <v>2025 Volvo Polestar 2 Dual Motor Performance Pack</v>
      </c>
      <c r="DJ638" s="25"/>
      <c r="DK638" s="25"/>
      <c r="DL638" s="25"/>
      <c r="DM638" s="25"/>
      <c r="DN638" s="25"/>
      <c r="DO638" s="25"/>
      <c r="DP638" s="25"/>
      <c r="DQ638" s="25"/>
      <c r="DR638" s="25"/>
      <c r="DS638" s="25"/>
      <c r="DT638" s="25"/>
      <c r="DU638" s="25"/>
      <c r="DV638" s="25"/>
      <c r="DW638" s="25"/>
      <c r="DX638" s="25"/>
      <c r="DY638" s="25"/>
      <c r="DZ638" s="25" t="str">
        <f>_xlfn.CONCAT($A639," ",$B639," ",$D639)</f>
        <v>2025 Volvo Polestar 2 Dual Motor Performance Pack</v>
      </c>
      <c r="EB638" s="25"/>
      <c r="EC638" s="25"/>
      <c r="ED638" s="25"/>
      <c r="EE638" s="25"/>
      <c r="EF638" s="25"/>
      <c r="EG638" s="25"/>
      <c r="EH638" s="25"/>
      <c r="EI638" s="25"/>
      <c r="EJ638" s="25"/>
      <c r="EK638" s="25"/>
      <c r="EL638" s="25"/>
      <c r="EM638" s="25"/>
      <c r="EN638" s="25"/>
      <c r="EO638" s="25"/>
      <c r="EP638" s="25"/>
      <c r="EQ638" s="25"/>
      <c r="ER638" s="25"/>
      <c r="ES638" s="25"/>
      <c r="ET638" s="25"/>
      <c r="EU638" s="25"/>
      <c r="EV638" s="25" t="str">
        <f>_xlfn.CONCAT($A639," ",$B639," ",$D639)</f>
        <v>2025 Volvo Polestar 2 Dual Motor Performance Pack</v>
      </c>
      <c r="EW638" s="25"/>
      <c r="EX638" s="25"/>
      <c r="EY638" s="25"/>
      <c r="EZ638" s="25"/>
      <c r="FA638" s="25"/>
      <c r="FB638" s="25"/>
      <c r="FC638" s="25"/>
      <c r="FD638" s="25"/>
      <c r="FE638" s="25"/>
      <c r="FF638" s="25"/>
      <c r="FG638" s="25"/>
    </row>
    <row r="639" spans="1:165" x14ac:dyDescent="0.35">
      <c r="A639">
        <v>2025</v>
      </c>
      <c r="B639" t="s">
        <v>658</v>
      </c>
      <c r="C639" t="s">
        <v>2145</v>
      </c>
      <c r="D639" t="s">
        <v>2152</v>
      </c>
      <c r="E639" t="s">
        <v>661</v>
      </c>
      <c r="F639">
        <v>267</v>
      </c>
      <c r="G639">
        <v>0</v>
      </c>
      <c r="I639" t="s">
        <v>1734</v>
      </c>
      <c r="J639">
        <v>95</v>
      </c>
      <c r="K639">
        <v>87</v>
      </c>
      <c r="L639">
        <v>91</v>
      </c>
      <c r="M639">
        <v>135.69999999999999</v>
      </c>
      <c r="N639">
        <v>124.8</v>
      </c>
      <c r="O639">
        <v>130.56829999999999</v>
      </c>
      <c r="P639">
        <v>94.99</v>
      </c>
      <c r="Q639">
        <v>87.36</v>
      </c>
      <c r="R639">
        <v>91.397800000000004</v>
      </c>
      <c r="V639" t="s">
        <v>167</v>
      </c>
      <c r="W639" t="s">
        <v>168</v>
      </c>
      <c r="Y639">
        <v>1</v>
      </c>
      <c r="Z639" t="s">
        <v>170</v>
      </c>
      <c r="AA639" t="s">
        <v>170</v>
      </c>
      <c r="AB639" t="s">
        <v>167</v>
      </c>
      <c r="AC639" t="s">
        <v>213</v>
      </c>
      <c r="AF639">
        <v>254</v>
      </c>
      <c r="AG639" t="s">
        <v>1735</v>
      </c>
      <c r="AH639" t="s">
        <v>1736</v>
      </c>
      <c r="AI639" t="s">
        <v>175</v>
      </c>
      <c r="AJ639" t="s">
        <v>176</v>
      </c>
      <c r="AK639">
        <v>4</v>
      </c>
      <c r="AL639" t="s">
        <v>1737</v>
      </c>
      <c r="AQ639">
        <v>89</v>
      </c>
      <c r="AR639">
        <v>26</v>
      </c>
      <c r="AS639">
        <v>900</v>
      </c>
      <c r="AT639">
        <v>900</v>
      </c>
      <c r="BQ639">
        <v>5</v>
      </c>
      <c r="BR639" t="s">
        <v>672</v>
      </c>
      <c r="BS639" t="s">
        <v>180</v>
      </c>
      <c r="BT639" t="s">
        <v>1769</v>
      </c>
      <c r="BU639" s="1">
        <v>45418</v>
      </c>
      <c r="BV639">
        <v>34741</v>
      </c>
      <c r="BX639" t="s">
        <v>170</v>
      </c>
      <c r="BY639" t="s">
        <v>170</v>
      </c>
      <c r="CB639" t="s">
        <v>170</v>
      </c>
      <c r="CC639" t="s">
        <v>170</v>
      </c>
      <c r="CK639" t="s">
        <v>233</v>
      </c>
      <c r="CM639">
        <v>1</v>
      </c>
      <c r="CN639" t="s">
        <v>234</v>
      </c>
      <c r="CP639">
        <v>404</v>
      </c>
      <c r="CQ639">
        <v>202</v>
      </c>
      <c r="CR639">
        <v>165</v>
      </c>
      <c r="CS639" t="s">
        <v>235</v>
      </c>
      <c r="CV639" t="s">
        <v>341</v>
      </c>
      <c r="CX639" t="s">
        <v>342</v>
      </c>
      <c r="CY639" t="s">
        <v>170</v>
      </c>
      <c r="DC639" t="s">
        <v>2147</v>
      </c>
      <c r="DD639">
        <v>5</v>
      </c>
      <c r="DE639" t="s">
        <v>404</v>
      </c>
      <c r="DF639" t="s">
        <v>427</v>
      </c>
      <c r="DG639" t="s">
        <v>2151</v>
      </c>
      <c r="DL639" t="s">
        <v>170</v>
      </c>
      <c r="DM639" t="s">
        <v>169</v>
      </c>
      <c r="DP639" t="s">
        <v>170</v>
      </c>
      <c r="DQ639" t="s">
        <v>187</v>
      </c>
      <c r="EB639">
        <v>9</v>
      </c>
      <c r="EC639">
        <v>10</v>
      </c>
      <c r="EE639" t="s">
        <v>2149</v>
      </c>
      <c r="EF639">
        <v>10</v>
      </c>
      <c r="EU639">
        <v>5000</v>
      </c>
      <c r="EW639">
        <v>0</v>
      </c>
      <c r="EX639">
        <v>0</v>
      </c>
      <c r="EY639">
        <v>0</v>
      </c>
      <c r="FA639">
        <v>8</v>
      </c>
      <c r="FG639">
        <v>264</v>
      </c>
      <c r="FH639">
        <v>242</v>
      </c>
      <c r="FI639">
        <v>254</v>
      </c>
    </row>
    <row r="640" spans="1:165" x14ac:dyDescent="0.35">
      <c r="A640">
        <v>2025</v>
      </c>
      <c r="B640" t="s">
        <v>658</v>
      </c>
      <c r="C640" t="s">
        <v>2145</v>
      </c>
      <c r="D640" t="s">
        <v>2152</v>
      </c>
      <c r="E640" t="s">
        <v>661</v>
      </c>
      <c r="F640">
        <v>267</v>
      </c>
      <c r="G640">
        <v>0</v>
      </c>
      <c r="I640" t="s">
        <v>1734</v>
      </c>
      <c r="J640">
        <v>35</v>
      </c>
      <c r="K640">
        <v>39</v>
      </c>
      <c r="L640">
        <v>37</v>
      </c>
      <c r="M640">
        <v>24.8338</v>
      </c>
      <c r="N640">
        <v>27.004200000000001</v>
      </c>
      <c r="O640">
        <v>25.810500000000001</v>
      </c>
      <c r="P640">
        <v>35.482700000000001</v>
      </c>
      <c r="Q640">
        <v>38.581699999999998</v>
      </c>
      <c r="R640">
        <v>36.877299999999998</v>
      </c>
      <c r="V640" t="s">
        <v>167</v>
      </c>
      <c r="W640" t="s">
        <v>168</v>
      </c>
      <c r="Y640">
        <v>1</v>
      </c>
      <c r="Z640" t="s">
        <v>170</v>
      </c>
      <c r="AA640" t="s">
        <v>170</v>
      </c>
      <c r="AB640" t="s">
        <v>167</v>
      </c>
      <c r="AC640" t="s">
        <v>213</v>
      </c>
      <c r="AF640">
        <v>254</v>
      </c>
      <c r="AG640" t="s">
        <v>1735</v>
      </c>
      <c r="AH640" t="s">
        <v>1736</v>
      </c>
      <c r="AI640" t="s">
        <v>1742</v>
      </c>
      <c r="AJ640" t="s">
        <v>1743</v>
      </c>
      <c r="AK640">
        <v>4</v>
      </c>
      <c r="AL640" t="s">
        <v>1737</v>
      </c>
      <c r="AQ640">
        <v>89</v>
      </c>
      <c r="AR640">
        <v>26</v>
      </c>
      <c r="AS640">
        <v>900</v>
      </c>
      <c r="AT640">
        <v>900</v>
      </c>
      <c r="BQ640">
        <v>5</v>
      </c>
      <c r="BR640" t="s">
        <v>672</v>
      </c>
      <c r="BS640" t="s">
        <v>180</v>
      </c>
      <c r="BT640" t="s">
        <v>1769</v>
      </c>
      <c r="BU640" s="1">
        <v>45418</v>
      </c>
      <c r="BV640">
        <v>34741</v>
      </c>
      <c r="BX640" t="s">
        <v>170</v>
      </c>
      <c r="BY640" t="s">
        <v>170</v>
      </c>
      <c r="CB640" t="s">
        <v>170</v>
      </c>
      <c r="CC640" t="s">
        <v>170</v>
      </c>
      <c r="CK640" t="s">
        <v>233</v>
      </c>
      <c r="CM640">
        <v>1</v>
      </c>
      <c r="CN640" t="s">
        <v>234</v>
      </c>
      <c r="CP640">
        <v>404</v>
      </c>
      <c r="CQ640">
        <v>202</v>
      </c>
      <c r="CR640">
        <v>165</v>
      </c>
      <c r="CS640" t="s">
        <v>235</v>
      </c>
      <c r="CV640" t="s">
        <v>341</v>
      </c>
      <c r="CX640" t="s">
        <v>342</v>
      </c>
      <c r="CY640" t="s">
        <v>170</v>
      </c>
      <c r="DC640" t="s">
        <v>2147</v>
      </c>
      <c r="DD640">
        <v>5</v>
      </c>
      <c r="DE640" t="s">
        <v>404</v>
      </c>
      <c r="DF640" t="s">
        <v>427</v>
      </c>
      <c r="DG640" t="s">
        <v>2151</v>
      </c>
      <c r="DL640" t="s">
        <v>170</v>
      </c>
      <c r="DM640" t="s">
        <v>169</v>
      </c>
      <c r="DP640" t="s">
        <v>170</v>
      </c>
      <c r="DQ640" t="s">
        <v>187</v>
      </c>
      <c r="EB640">
        <v>9</v>
      </c>
      <c r="EC640">
        <v>10</v>
      </c>
      <c r="EE640" t="s">
        <v>2149</v>
      </c>
      <c r="EF640">
        <v>10</v>
      </c>
      <c r="EU640">
        <v>5000</v>
      </c>
      <c r="EW640">
        <v>0</v>
      </c>
      <c r="EX640">
        <v>0</v>
      </c>
      <c r="EY640">
        <v>0</v>
      </c>
      <c r="FA640">
        <v>8</v>
      </c>
      <c r="FG640">
        <v>264</v>
      </c>
      <c r="FH640">
        <v>242</v>
      </c>
      <c r="FI640">
        <v>254</v>
      </c>
    </row>
    <row r="641" spans="1:165" x14ac:dyDescent="0.35">
      <c r="A641" s="25"/>
      <c r="B641" s="25"/>
      <c r="C641" s="25"/>
      <c r="D641" s="25"/>
      <c r="E641" s="25"/>
      <c r="F641" s="25" t="str">
        <f>_xlfn.CONCAT($A642," ",$B642," ",$D642)</f>
        <v>2025 Volvo Polestar 3 Long Range Dual Motor Performance Pack</v>
      </c>
      <c r="G641" s="25"/>
      <c r="H641" s="25"/>
      <c r="I641" s="25"/>
      <c r="J641" s="25"/>
      <c r="K641" s="25"/>
      <c r="L641" s="25"/>
      <c r="M641" s="25"/>
      <c r="N641" s="25"/>
      <c r="O641" s="25"/>
      <c r="P641" s="25"/>
      <c r="Q641" s="25"/>
      <c r="R641" s="25"/>
      <c r="S641" s="25"/>
      <c r="T641" s="25"/>
      <c r="U641" s="25"/>
      <c r="V641" s="25"/>
      <c r="W641" s="25"/>
      <c r="X641" s="25"/>
      <c r="Y641" s="25"/>
      <c r="Z641" s="25"/>
      <c r="AA641" s="25"/>
      <c r="AB641" s="25"/>
      <c r="AC641" s="25"/>
      <c r="AD641" s="25" t="str">
        <f>_xlfn.CONCAT($A642," ",$B642," ",$D642)</f>
        <v>2025 Volvo Polestar 3 Long Range Dual Motor Performance Pack</v>
      </c>
      <c r="AE641" s="25"/>
      <c r="AF641" s="25"/>
      <c r="AG641" s="25"/>
      <c r="AH641" s="25"/>
      <c r="AI641" s="25"/>
      <c r="AJ641" s="25"/>
      <c r="AK641" s="25"/>
      <c r="AL641" s="25"/>
      <c r="AM641" s="25"/>
      <c r="AN641" s="25"/>
      <c r="AO641" s="25"/>
      <c r="AP641" s="25"/>
      <c r="AQ641" s="25"/>
      <c r="AR641" s="25"/>
      <c r="AS641" s="25"/>
      <c r="AT641" s="25"/>
      <c r="AU641" s="25"/>
      <c r="AV641" s="25"/>
      <c r="AW641" s="25"/>
      <c r="AX641" s="25" t="str">
        <f>_xlfn.CONCAT($A642," ",$B642," ",$D642)</f>
        <v>2025 Volvo Polestar 3 Long Range Dual Motor Performance Pack</v>
      </c>
      <c r="AY641" s="25"/>
      <c r="AZ641" s="25"/>
      <c r="BA641" s="25"/>
      <c r="BB641" s="25"/>
      <c r="BC641" s="25"/>
      <c r="BD641" s="25"/>
      <c r="BE641" s="25"/>
      <c r="BF641" s="25"/>
      <c r="BG641" s="25"/>
      <c r="BH641" s="25"/>
      <c r="BI641" s="25"/>
      <c r="BJ641" s="25"/>
      <c r="BK641" s="25"/>
      <c r="BL641" s="25"/>
      <c r="BM641" s="25"/>
      <c r="BN641" s="25"/>
      <c r="BO641" s="25"/>
      <c r="BP641" s="25"/>
      <c r="BQ641" s="25"/>
      <c r="BR641" s="25" t="str">
        <f>_xlfn.CONCAT($A642," ",$B642," ",$D642)</f>
        <v>2025 Volvo Polestar 3 Long Range Dual Motor Performance Pack</v>
      </c>
      <c r="BS641" s="25"/>
      <c r="BT641" s="25"/>
      <c r="BU641" s="25"/>
      <c r="BV641" s="25"/>
      <c r="BX641" s="25"/>
      <c r="BY641" s="25"/>
      <c r="BZ641" s="25"/>
      <c r="CA641" s="25"/>
      <c r="CB641" s="25"/>
      <c r="CC641" s="25"/>
      <c r="CD641" s="25"/>
      <c r="CE641" s="25"/>
      <c r="CF641" s="25"/>
      <c r="CG641" s="25"/>
      <c r="CH641" s="25"/>
      <c r="CI641" s="25"/>
      <c r="CJ641" s="25"/>
      <c r="CK641" s="25"/>
      <c r="CL641" s="25"/>
      <c r="CM641" s="25"/>
      <c r="CN641" s="25"/>
      <c r="CO641" s="25"/>
      <c r="CP641" s="25" t="str">
        <f>_xlfn.CONCAT($A642," ",$B642," ",$D642)</f>
        <v>2025 Volvo Polestar 3 Long Range Dual Motor Performance Pack</v>
      </c>
      <c r="CQ641" s="25"/>
      <c r="CR641" s="25"/>
      <c r="CS641" s="25"/>
      <c r="CT641" s="25"/>
      <c r="CU641" s="25"/>
      <c r="CV641" s="25"/>
      <c r="CW641" s="25"/>
      <c r="CX641" s="25"/>
      <c r="CY641" s="25"/>
      <c r="CZ641" s="25"/>
      <c r="DA641" s="25"/>
      <c r="DB641" s="25"/>
      <c r="DC641" s="25"/>
      <c r="DD641" s="25"/>
      <c r="DE641" s="25"/>
      <c r="DF641" s="25"/>
      <c r="DG641" s="25"/>
      <c r="DH641" s="25"/>
      <c r="DI641" s="25" t="str">
        <f>_xlfn.CONCAT($A642," ",$B642," ",$D642)</f>
        <v>2025 Volvo Polestar 3 Long Range Dual Motor Performance Pack</v>
      </c>
      <c r="DJ641" s="25"/>
      <c r="DK641" s="25"/>
      <c r="DL641" s="25"/>
      <c r="DM641" s="25"/>
      <c r="DN641" s="25"/>
      <c r="DO641" s="25"/>
      <c r="DP641" s="25"/>
      <c r="DQ641" s="25"/>
      <c r="DR641" s="25"/>
      <c r="DS641" s="25"/>
      <c r="DT641" s="25"/>
      <c r="DU641" s="25"/>
      <c r="DV641" s="25"/>
      <c r="DW641" s="25"/>
      <c r="DX641" s="25"/>
      <c r="DY641" s="25"/>
      <c r="DZ641" s="25" t="str">
        <f>_xlfn.CONCAT($A642," ",$B642," ",$D642)</f>
        <v>2025 Volvo Polestar 3 Long Range Dual Motor Performance Pack</v>
      </c>
      <c r="EB641" s="25"/>
      <c r="EC641" s="25"/>
      <c r="ED641" s="25"/>
      <c r="EE641" s="25"/>
      <c r="EF641" s="25"/>
      <c r="EG641" s="25"/>
      <c r="EH641" s="25"/>
      <c r="EI641" s="25"/>
      <c r="EJ641" s="25"/>
      <c r="EK641" s="25"/>
      <c r="EL641" s="25"/>
      <c r="EM641" s="25"/>
      <c r="EN641" s="25"/>
      <c r="EO641" s="25"/>
      <c r="EP641" s="25"/>
      <c r="EQ641" s="25"/>
      <c r="ER641" s="25"/>
      <c r="ES641" s="25"/>
      <c r="ET641" s="25"/>
      <c r="EU641" s="25"/>
      <c r="EV641" s="25" t="str">
        <f>_xlfn.CONCAT($A642," ",$B642," ",$D642)</f>
        <v>2025 Volvo Polestar 3 Long Range Dual Motor Performance Pack</v>
      </c>
      <c r="EW641" s="25"/>
      <c r="EX641" s="25"/>
      <c r="EY641" s="25"/>
      <c r="EZ641" s="25"/>
      <c r="FA641" s="25"/>
      <c r="FB641" s="25"/>
      <c r="FC641" s="25"/>
      <c r="FD641" s="25"/>
      <c r="FE641" s="25"/>
      <c r="FF641" s="25"/>
      <c r="FG641" s="25"/>
    </row>
    <row r="642" spans="1:165" x14ac:dyDescent="0.35">
      <c r="A642">
        <v>2025</v>
      </c>
      <c r="B642" t="s">
        <v>658</v>
      </c>
      <c r="C642" t="s">
        <v>2145</v>
      </c>
      <c r="D642" t="s">
        <v>2166</v>
      </c>
      <c r="E642" t="s">
        <v>661</v>
      </c>
      <c r="F642">
        <v>268</v>
      </c>
      <c r="G642">
        <v>0</v>
      </c>
      <c r="I642" t="s">
        <v>1734</v>
      </c>
      <c r="J642">
        <v>81</v>
      </c>
      <c r="K642">
        <v>73</v>
      </c>
      <c r="L642">
        <v>77</v>
      </c>
      <c r="M642">
        <v>115.4</v>
      </c>
      <c r="N642">
        <v>104.2</v>
      </c>
      <c r="O642">
        <v>110.0758</v>
      </c>
      <c r="P642">
        <v>80.78</v>
      </c>
      <c r="Q642">
        <v>72.94</v>
      </c>
      <c r="R642">
        <v>77.053100000000001</v>
      </c>
      <c r="V642" t="s">
        <v>167</v>
      </c>
      <c r="W642" t="s">
        <v>168</v>
      </c>
      <c r="Y642">
        <v>1</v>
      </c>
      <c r="Z642" t="s">
        <v>170</v>
      </c>
      <c r="AA642" t="s">
        <v>170</v>
      </c>
      <c r="AB642" t="s">
        <v>167</v>
      </c>
      <c r="AC642" t="s">
        <v>213</v>
      </c>
      <c r="AF642">
        <v>279</v>
      </c>
      <c r="AG642" t="s">
        <v>1735</v>
      </c>
      <c r="AH642" t="s">
        <v>1736</v>
      </c>
      <c r="AI642" t="s">
        <v>175</v>
      </c>
      <c r="AJ642" t="s">
        <v>176</v>
      </c>
      <c r="AK642">
        <v>4</v>
      </c>
      <c r="AL642" t="s">
        <v>1737</v>
      </c>
      <c r="AS642">
        <v>1050</v>
      </c>
      <c r="AT642">
        <v>1050</v>
      </c>
      <c r="BQ642">
        <v>33</v>
      </c>
      <c r="BR642" t="s">
        <v>1497</v>
      </c>
      <c r="BT642" t="s">
        <v>1769</v>
      </c>
      <c r="BU642" s="1">
        <v>45413</v>
      </c>
      <c r="BV642">
        <v>34709</v>
      </c>
      <c r="BX642" t="s">
        <v>170</v>
      </c>
      <c r="BY642" t="s">
        <v>170</v>
      </c>
      <c r="CB642" t="s">
        <v>170</v>
      </c>
      <c r="CC642" t="s">
        <v>170</v>
      </c>
      <c r="CK642" t="s">
        <v>233</v>
      </c>
      <c r="CM642">
        <v>1</v>
      </c>
      <c r="CN642" t="s">
        <v>234</v>
      </c>
      <c r="CP642">
        <v>375</v>
      </c>
      <c r="CQ642">
        <v>296</v>
      </c>
      <c r="CR642">
        <v>167</v>
      </c>
      <c r="CS642" t="s">
        <v>235</v>
      </c>
      <c r="CV642" t="s">
        <v>341</v>
      </c>
      <c r="CX642" t="s">
        <v>342</v>
      </c>
      <c r="CY642" t="s">
        <v>170</v>
      </c>
      <c r="DC642" t="s">
        <v>2159</v>
      </c>
      <c r="DD642">
        <v>2</v>
      </c>
      <c r="DE642" t="s">
        <v>404</v>
      </c>
      <c r="DF642" t="s">
        <v>427</v>
      </c>
      <c r="DG642" t="s">
        <v>2167</v>
      </c>
      <c r="DL642" t="s">
        <v>170</v>
      </c>
      <c r="DM642" t="s">
        <v>169</v>
      </c>
      <c r="DP642" t="s">
        <v>170</v>
      </c>
      <c r="DQ642" t="s">
        <v>187</v>
      </c>
      <c r="EB642">
        <v>9</v>
      </c>
      <c r="EC642">
        <v>10</v>
      </c>
      <c r="EE642" t="s">
        <v>2161</v>
      </c>
      <c r="EF642">
        <v>10</v>
      </c>
      <c r="EU642">
        <v>4250</v>
      </c>
      <c r="EW642">
        <v>0</v>
      </c>
      <c r="EX642">
        <v>0</v>
      </c>
      <c r="EY642">
        <v>0</v>
      </c>
      <c r="FA642">
        <v>10</v>
      </c>
      <c r="FG642">
        <v>292</v>
      </c>
      <c r="FH642">
        <v>263</v>
      </c>
      <c r="FI642">
        <v>279</v>
      </c>
    </row>
    <row r="643" spans="1:165" x14ac:dyDescent="0.35">
      <c r="A643">
        <v>2025</v>
      </c>
      <c r="B643" t="s">
        <v>658</v>
      </c>
      <c r="C643" t="s">
        <v>2145</v>
      </c>
      <c r="D643" t="s">
        <v>2166</v>
      </c>
      <c r="E643" t="s">
        <v>661</v>
      </c>
      <c r="F643">
        <v>268</v>
      </c>
      <c r="G643">
        <v>0</v>
      </c>
      <c r="I643" t="s">
        <v>1734</v>
      </c>
      <c r="J643">
        <v>42</v>
      </c>
      <c r="K643">
        <v>46</v>
      </c>
      <c r="L643">
        <v>44</v>
      </c>
      <c r="M643">
        <v>29.2057</v>
      </c>
      <c r="N643">
        <v>32.339799999999997</v>
      </c>
      <c r="O643">
        <v>30.616099999999999</v>
      </c>
      <c r="P643">
        <v>41.724400000000003</v>
      </c>
      <c r="Q643">
        <v>46.209200000000003</v>
      </c>
      <c r="R643">
        <v>43.742600000000003</v>
      </c>
      <c r="V643" t="s">
        <v>167</v>
      </c>
      <c r="W643" t="s">
        <v>168</v>
      </c>
      <c r="Y643">
        <v>1</v>
      </c>
      <c r="Z643" t="s">
        <v>170</v>
      </c>
      <c r="AA643" t="s">
        <v>170</v>
      </c>
      <c r="AB643" t="s">
        <v>167</v>
      </c>
      <c r="AC643" t="s">
        <v>213</v>
      </c>
      <c r="AF643">
        <v>279</v>
      </c>
      <c r="AG643" t="s">
        <v>1735</v>
      </c>
      <c r="AH643" t="s">
        <v>1736</v>
      </c>
      <c r="AI643" t="s">
        <v>1742</v>
      </c>
      <c r="AJ643" t="s">
        <v>1743</v>
      </c>
      <c r="AK643">
        <v>4</v>
      </c>
      <c r="AL643" t="s">
        <v>1737</v>
      </c>
      <c r="AS643">
        <v>1050</v>
      </c>
      <c r="AT643">
        <v>1050</v>
      </c>
      <c r="BQ643">
        <v>33</v>
      </c>
      <c r="BR643" t="s">
        <v>1497</v>
      </c>
      <c r="BT643" t="s">
        <v>1769</v>
      </c>
      <c r="BU643" s="1">
        <v>45413</v>
      </c>
      <c r="BV643">
        <v>34709</v>
      </c>
      <c r="BX643" t="s">
        <v>170</v>
      </c>
      <c r="BY643" t="s">
        <v>170</v>
      </c>
      <c r="CB643" t="s">
        <v>170</v>
      </c>
      <c r="CC643" t="s">
        <v>170</v>
      </c>
      <c r="CK643" t="s">
        <v>233</v>
      </c>
      <c r="CM643">
        <v>1</v>
      </c>
      <c r="CN643" t="s">
        <v>234</v>
      </c>
      <c r="CP643">
        <v>375</v>
      </c>
      <c r="CQ643">
        <v>296</v>
      </c>
      <c r="CR643">
        <v>167</v>
      </c>
      <c r="CS643" t="s">
        <v>235</v>
      </c>
      <c r="CV643" t="s">
        <v>341</v>
      </c>
      <c r="CX643" t="s">
        <v>342</v>
      </c>
      <c r="CY643" t="s">
        <v>170</v>
      </c>
      <c r="DC643" t="s">
        <v>2159</v>
      </c>
      <c r="DD643">
        <v>2</v>
      </c>
      <c r="DE643" t="s">
        <v>404</v>
      </c>
      <c r="DF643" t="s">
        <v>427</v>
      </c>
      <c r="DG643" t="s">
        <v>2167</v>
      </c>
      <c r="DL643" t="s">
        <v>170</v>
      </c>
      <c r="DM643" t="s">
        <v>169</v>
      </c>
      <c r="DP643" t="s">
        <v>170</v>
      </c>
      <c r="DQ643" t="s">
        <v>187</v>
      </c>
      <c r="EB643">
        <v>9</v>
      </c>
      <c r="EC643">
        <v>10</v>
      </c>
      <c r="EE643" t="s">
        <v>2161</v>
      </c>
      <c r="EF643">
        <v>10</v>
      </c>
      <c r="EU643">
        <v>4250</v>
      </c>
      <c r="EW643">
        <v>0</v>
      </c>
      <c r="EX643">
        <v>0</v>
      </c>
      <c r="EY643">
        <v>0</v>
      </c>
      <c r="FA643">
        <v>10</v>
      </c>
      <c r="FG643">
        <v>292</v>
      </c>
      <c r="FH643">
        <v>263</v>
      </c>
      <c r="FI643">
        <v>279</v>
      </c>
    </row>
    <row r="644" spans="1:165" x14ac:dyDescent="0.35">
      <c r="A644" s="25"/>
      <c r="B644" s="25"/>
      <c r="C644" s="25"/>
      <c r="D644" s="25"/>
      <c r="E644" s="25"/>
      <c r="F644" s="25" t="str">
        <f>_xlfn.CONCAT($A645," ",$B645," ",$D645)</f>
        <v>2025 Volvo Polestar 3 Long Range Dual Motor (20 Inch Wheels)</v>
      </c>
      <c r="G644" s="25"/>
      <c r="H644" s="25"/>
      <c r="I644" s="25"/>
      <c r="J644" s="25"/>
      <c r="K644" s="25"/>
      <c r="L644" s="25"/>
      <c r="M644" s="25"/>
      <c r="N644" s="25"/>
      <c r="O644" s="25"/>
      <c r="P644" s="25"/>
      <c r="Q644" s="25"/>
      <c r="R644" s="25"/>
      <c r="S644" s="25"/>
      <c r="T644" s="25"/>
      <c r="U644" s="25"/>
      <c r="V644" s="25"/>
      <c r="W644" s="25"/>
      <c r="X644" s="25"/>
      <c r="Y644" s="25"/>
      <c r="Z644" s="25"/>
      <c r="AA644" s="25"/>
      <c r="AB644" s="25"/>
      <c r="AC644" s="25"/>
      <c r="AD644" s="25" t="str">
        <f>_xlfn.CONCAT($A645," ",$B645," ",$D645)</f>
        <v>2025 Volvo Polestar 3 Long Range Dual Motor (20 Inch Wheels)</v>
      </c>
      <c r="AE644" s="25"/>
      <c r="AF644" s="25"/>
      <c r="AG644" s="25"/>
      <c r="AH644" s="25"/>
      <c r="AI644" s="25"/>
      <c r="AJ644" s="25"/>
      <c r="AK644" s="25"/>
      <c r="AL644" s="25"/>
      <c r="AM644" s="25"/>
      <c r="AN644" s="25"/>
      <c r="AO644" s="25"/>
      <c r="AP644" s="25"/>
      <c r="AQ644" s="25"/>
      <c r="AR644" s="25"/>
      <c r="AS644" s="25"/>
      <c r="AT644" s="25"/>
      <c r="AU644" s="25"/>
      <c r="AV644" s="25"/>
      <c r="AW644" s="25"/>
      <c r="AX644" s="25" t="str">
        <f>_xlfn.CONCAT($A645," ",$B645," ",$D645)</f>
        <v>2025 Volvo Polestar 3 Long Range Dual Motor (20 Inch Wheels)</v>
      </c>
      <c r="AY644" s="25"/>
      <c r="AZ644" s="25"/>
      <c r="BA644" s="25"/>
      <c r="BB644" s="25"/>
      <c r="BC644" s="25"/>
      <c r="BD644" s="25"/>
      <c r="BE644" s="25"/>
      <c r="BF644" s="25"/>
      <c r="BG644" s="25"/>
      <c r="BH644" s="25"/>
      <c r="BI644" s="25"/>
      <c r="BJ644" s="25"/>
      <c r="BK644" s="25"/>
      <c r="BL644" s="25"/>
      <c r="BM644" s="25"/>
      <c r="BN644" s="25"/>
      <c r="BO644" s="25"/>
      <c r="BP644" s="25"/>
      <c r="BQ644" s="25"/>
      <c r="BR644" s="25" t="str">
        <f>_xlfn.CONCAT($A645," ",$B645," ",$D645)</f>
        <v>2025 Volvo Polestar 3 Long Range Dual Motor (20 Inch Wheels)</v>
      </c>
      <c r="BS644" s="25"/>
      <c r="BT644" s="25"/>
      <c r="BU644" s="25"/>
      <c r="BV644" s="25"/>
      <c r="BX644" s="25"/>
      <c r="BY644" s="25"/>
      <c r="BZ644" s="25"/>
      <c r="CA644" s="25"/>
      <c r="CB644" s="25"/>
      <c r="CC644" s="25"/>
      <c r="CD644" s="25"/>
      <c r="CE644" s="25"/>
      <c r="CF644" s="25"/>
      <c r="CG644" s="25"/>
      <c r="CH644" s="25"/>
      <c r="CI644" s="25"/>
      <c r="CJ644" s="25"/>
      <c r="CK644" s="25"/>
      <c r="CL644" s="25"/>
      <c r="CM644" s="25"/>
      <c r="CN644" s="25"/>
      <c r="CO644" s="25"/>
      <c r="CP644" s="25" t="str">
        <f>_xlfn.CONCAT($A645," ",$B645," ",$D645)</f>
        <v>2025 Volvo Polestar 3 Long Range Dual Motor (20 Inch Wheels)</v>
      </c>
      <c r="CQ644" s="25"/>
      <c r="CR644" s="25"/>
      <c r="CS644" s="25"/>
      <c r="CT644" s="25"/>
      <c r="CU644" s="25"/>
      <c r="CV644" s="25"/>
      <c r="CW644" s="25"/>
      <c r="CX644" s="25"/>
      <c r="CY644" s="25"/>
      <c r="CZ644" s="25"/>
      <c r="DA644" s="25"/>
      <c r="DB644" s="25"/>
      <c r="DC644" s="25"/>
      <c r="DD644" s="25"/>
      <c r="DE644" s="25"/>
      <c r="DF644" s="25"/>
      <c r="DG644" s="25"/>
      <c r="DH644" s="25"/>
      <c r="DI644" s="25" t="str">
        <f>_xlfn.CONCAT($A645," ",$B645," ",$D645)</f>
        <v>2025 Volvo Polestar 3 Long Range Dual Motor (20 Inch Wheels)</v>
      </c>
      <c r="DJ644" s="25"/>
      <c r="DK644" s="25"/>
      <c r="DL644" s="25"/>
      <c r="DM644" s="25"/>
      <c r="DN644" s="25"/>
      <c r="DO644" s="25"/>
      <c r="DP644" s="25"/>
      <c r="DQ644" s="25"/>
      <c r="DR644" s="25"/>
      <c r="DS644" s="25"/>
      <c r="DT644" s="25"/>
      <c r="DU644" s="25"/>
      <c r="DV644" s="25"/>
      <c r="DW644" s="25"/>
      <c r="DX644" s="25"/>
      <c r="DY644" s="25"/>
      <c r="DZ644" s="25" t="str">
        <f>_xlfn.CONCAT($A645," ",$B645," ",$D645)</f>
        <v>2025 Volvo Polestar 3 Long Range Dual Motor (20 Inch Wheels)</v>
      </c>
      <c r="EB644" s="25"/>
      <c r="EC644" s="25"/>
      <c r="ED644" s="25"/>
      <c r="EE644" s="25"/>
      <c r="EF644" s="25"/>
      <c r="EG644" s="25"/>
      <c r="EH644" s="25"/>
      <c r="EI644" s="25"/>
      <c r="EJ644" s="25"/>
      <c r="EK644" s="25"/>
      <c r="EL644" s="25"/>
      <c r="EM644" s="25"/>
      <c r="EN644" s="25"/>
      <c r="EO644" s="25"/>
      <c r="EP644" s="25"/>
      <c r="EQ644" s="25"/>
      <c r="ER644" s="25"/>
      <c r="ES644" s="25"/>
      <c r="ET644" s="25"/>
      <c r="EU644" s="25"/>
      <c r="EV644" s="25" t="str">
        <f>_xlfn.CONCAT($A645," ",$B645," ",$D645)</f>
        <v>2025 Volvo Polestar 3 Long Range Dual Motor (20 Inch Wheels)</v>
      </c>
      <c r="EW644" s="25"/>
      <c r="EX644" s="25"/>
      <c r="EY644" s="25"/>
      <c r="EZ644" s="25"/>
      <c r="FA644" s="25"/>
      <c r="FB644" s="25"/>
      <c r="FC644" s="25"/>
      <c r="FD644" s="25"/>
      <c r="FE644" s="25"/>
      <c r="FF644" s="25"/>
      <c r="FG644" s="25"/>
    </row>
    <row r="645" spans="1:165" x14ac:dyDescent="0.35">
      <c r="A645">
        <v>2025</v>
      </c>
      <c r="B645" t="s">
        <v>658</v>
      </c>
      <c r="C645" t="s">
        <v>2145</v>
      </c>
      <c r="D645" t="s">
        <v>2158</v>
      </c>
      <c r="E645" t="s">
        <v>661</v>
      </c>
      <c r="F645">
        <v>271</v>
      </c>
      <c r="G645">
        <v>0</v>
      </c>
      <c r="I645" t="s">
        <v>1734</v>
      </c>
      <c r="J645">
        <v>91</v>
      </c>
      <c r="K645">
        <v>82</v>
      </c>
      <c r="L645">
        <v>87</v>
      </c>
      <c r="M645">
        <v>131.1</v>
      </c>
      <c r="N645">
        <v>119.3</v>
      </c>
      <c r="O645">
        <v>125.5134</v>
      </c>
      <c r="P645">
        <v>91</v>
      </c>
      <c r="Q645">
        <v>82</v>
      </c>
      <c r="R645">
        <v>87</v>
      </c>
      <c r="V645" t="s">
        <v>167</v>
      </c>
      <c r="W645" t="s">
        <v>168</v>
      </c>
      <c r="Y645">
        <v>1</v>
      </c>
      <c r="Z645" t="s">
        <v>170</v>
      </c>
      <c r="AA645" t="s">
        <v>170</v>
      </c>
      <c r="AB645" t="s">
        <v>167</v>
      </c>
      <c r="AC645" t="s">
        <v>213</v>
      </c>
      <c r="AF645">
        <v>310</v>
      </c>
      <c r="AG645" t="s">
        <v>1735</v>
      </c>
      <c r="AH645" t="s">
        <v>1736</v>
      </c>
      <c r="AI645" t="s">
        <v>175</v>
      </c>
      <c r="AJ645" t="s">
        <v>176</v>
      </c>
      <c r="AK645">
        <v>4</v>
      </c>
      <c r="AL645" t="s">
        <v>1737</v>
      </c>
      <c r="AS645">
        <v>950</v>
      </c>
      <c r="AT645">
        <v>950</v>
      </c>
      <c r="BQ645">
        <v>33</v>
      </c>
      <c r="BR645" t="s">
        <v>1497</v>
      </c>
      <c r="BT645" t="s">
        <v>1769</v>
      </c>
      <c r="BU645" s="1">
        <v>45413</v>
      </c>
      <c r="BV645">
        <v>34708</v>
      </c>
      <c r="BX645" t="s">
        <v>170</v>
      </c>
      <c r="BY645" t="s">
        <v>170</v>
      </c>
      <c r="CB645" t="s">
        <v>170</v>
      </c>
      <c r="CC645" t="s">
        <v>170</v>
      </c>
      <c r="CK645" t="s">
        <v>233</v>
      </c>
      <c r="CM645">
        <v>1</v>
      </c>
      <c r="CN645" t="s">
        <v>234</v>
      </c>
      <c r="CP645">
        <v>375</v>
      </c>
      <c r="CQ645">
        <v>296</v>
      </c>
      <c r="CR645">
        <v>167</v>
      </c>
      <c r="CS645" t="s">
        <v>235</v>
      </c>
      <c r="CV645" t="s">
        <v>341</v>
      </c>
      <c r="CX645" t="s">
        <v>342</v>
      </c>
      <c r="CY645" t="s">
        <v>170</v>
      </c>
      <c r="DC645" t="s">
        <v>2159</v>
      </c>
      <c r="DD645">
        <v>2</v>
      </c>
      <c r="DE645" t="s">
        <v>404</v>
      </c>
      <c r="DF645" t="s">
        <v>427</v>
      </c>
      <c r="DG645" t="s">
        <v>2160</v>
      </c>
      <c r="DL645" t="s">
        <v>170</v>
      </c>
      <c r="DM645" t="s">
        <v>169</v>
      </c>
      <c r="DP645" t="s">
        <v>170</v>
      </c>
      <c r="DQ645" t="s">
        <v>187</v>
      </c>
      <c r="EB645">
        <v>9</v>
      </c>
      <c r="EC645">
        <v>10</v>
      </c>
      <c r="EE645" t="s">
        <v>2161</v>
      </c>
      <c r="EF645">
        <v>10</v>
      </c>
      <c r="EU645">
        <v>4750</v>
      </c>
      <c r="EW645">
        <v>0</v>
      </c>
      <c r="EX645">
        <v>0</v>
      </c>
      <c r="EY645">
        <v>0</v>
      </c>
      <c r="FA645">
        <v>10</v>
      </c>
      <c r="FG645">
        <v>321</v>
      </c>
      <c r="FH645">
        <v>297</v>
      </c>
      <c r="FI645">
        <v>310</v>
      </c>
    </row>
    <row r="646" spans="1:165" x14ac:dyDescent="0.35">
      <c r="A646">
        <v>2025</v>
      </c>
      <c r="B646" t="s">
        <v>658</v>
      </c>
      <c r="C646" t="s">
        <v>2145</v>
      </c>
      <c r="D646" t="s">
        <v>2158</v>
      </c>
      <c r="E646" t="s">
        <v>661</v>
      </c>
      <c r="F646">
        <v>271</v>
      </c>
      <c r="G646">
        <v>0</v>
      </c>
      <c r="I646" t="s">
        <v>1734</v>
      </c>
      <c r="J646">
        <v>38</v>
      </c>
      <c r="K646">
        <v>41</v>
      </c>
      <c r="L646">
        <v>39</v>
      </c>
      <c r="M646">
        <v>25.718399999999999</v>
      </c>
      <c r="N646">
        <v>28.2545</v>
      </c>
      <c r="O646">
        <v>26.8596</v>
      </c>
      <c r="P646">
        <v>38</v>
      </c>
      <c r="Q646">
        <v>41</v>
      </c>
      <c r="R646">
        <v>39</v>
      </c>
      <c r="V646" t="s">
        <v>167</v>
      </c>
      <c r="W646" t="s">
        <v>168</v>
      </c>
      <c r="Y646">
        <v>1</v>
      </c>
      <c r="Z646" t="s">
        <v>170</v>
      </c>
      <c r="AA646" t="s">
        <v>170</v>
      </c>
      <c r="AB646" t="s">
        <v>167</v>
      </c>
      <c r="AC646" t="s">
        <v>213</v>
      </c>
      <c r="AF646">
        <v>310</v>
      </c>
      <c r="AG646" t="s">
        <v>1735</v>
      </c>
      <c r="AH646" t="s">
        <v>1736</v>
      </c>
      <c r="AI646" t="s">
        <v>1742</v>
      </c>
      <c r="AJ646" t="s">
        <v>1743</v>
      </c>
      <c r="AK646">
        <v>4</v>
      </c>
      <c r="AL646" t="s">
        <v>1737</v>
      </c>
      <c r="AS646">
        <v>950</v>
      </c>
      <c r="AT646">
        <v>950</v>
      </c>
      <c r="BQ646">
        <v>33</v>
      </c>
      <c r="BR646" t="s">
        <v>1497</v>
      </c>
      <c r="BT646" t="s">
        <v>1769</v>
      </c>
      <c r="BU646" s="1">
        <v>45413</v>
      </c>
      <c r="BV646">
        <v>34708</v>
      </c>
      <c r="BX646" t="s">
        <v>170</v>
      </c>
      <c r="BY646" t="s">
        <v>170</v>
      </c>
      <c r="CB646" t="s">
        <v>170</v>
      </c>
      <c r="CC646" t="s">
        <v>170</v>
      </c>
      <c r="CK646" t="s">
        <v>233</v>
      </c>
      <c r="CM646">
        <v>1</v>
      </c>
      <c r="CN646" t="s">
        <v>234</v>
      </c>
      <c r="CP646">
        <v>375</v>
      </c>
      <c r="CQ646">
        <v>296</v>
      </c>
      <c r="CR646">
        <v>167</v>
      </c>
      <c r="CS646" t="s">
        <v>235</v>
      </c>
      <c r="CV646" t="s">
        <v>341</v>
      </c>
      <c r="CX646" t="s">
        <v>342</v>
      </c>
      <c r="CY646" t="s">
        <v>170</v>
      </c>
      <c r="DC646" t="s">
        <v>2159</v>
      </c>
      <c r="DD646">
        <v>2</v>
      </c>
      <c r="DE646" t="s">
        <v>404</v>
      </c>
      <c r="DF646" t="s">
        <v>427</v>
      </c>
      <c r="DG646" t="s">
        <v>2160</v>
      </c>
      <c r="DL646" t="s">
        <v>170</v>
      </c>
      <c r="DM646" t="s">
        <v>169</v>
      </c>
      <c r="DP646" t="s">
        <v>170</v>
      </c>
      <c r="DQ646" t="s">
        <v>187</v>
      </c>
      <c r="EB646">
        <v>9</v>
      </c>
      <c r="EC646">
        <v>10</v>
      </c>
      <c r="EE646" t="s">
        <v>2161</v>
      </c>
      <c r="EF646">
        <v>10</v>
      </c>
      <c r="EU646">
        <v>4750</v>
      </c>
      <c r="EW646">
        <v>0</v>
      </c>
      <c r="EX646">
        <v>0</v>
      </c>
      <c r="EY646">
        <v>0</v>
      </c>
      <c r="FA646">
        <v>10</v>
      </c>
      <c r="FG646">
        <v>321</v>
      </c>
      <c r="FH646">
        <v>297</v>
      </c>
      <c r="FI646">
        <v>310</v>
      </c>
    </row>
    <row r="647" spans="1:165" x14ac:dyDescent="0.35">
      <c r="A647" s="25"/>
      <c r="B647" s="25"/>
      <c r="C647" s="25"/>
      <c r="D647" s="25"/>
      <c r="E647" s="25"/>
      <c r="F647" s="25" t="str">
        <f>_xlfn.CONCAT($A648," ",$B648," ",$D648)</f>
        <v>2025 Volvo Polestar 4 Long Range Dual Motor</v>
      </c>
      <c r="G647" s="25"/>
      <c r="H647" s="25"/>
      <c r="I647" s="25"/>
      <c r="J647" s="25"/>
      <c r="K647" s="25"/>
      <c r="L647" s="25"/>
      <c r="M647" s="25"/>
      <c r="N647" s="25"/>
      <c r="O647" s="25"/>
      <c r="P647" s="25"/>
      <c r="Q647" s="25"/>
      <c r="R647" s="25"/>
      <c r="S647" s="25"/>
      <c r="T647" s="25"/>
      <c r="U647" s="25"/>
      <c r="V647" s="25"/>
      <c r="W647" s="25"/>
      <c r="X647" s="25"/>
      <c r="Y647" s="25"/>
      <c r="Z647" s="25"/>
      <c r="AA647" s="25"/>
      <c r="AB647" s="25"/>
      <c r="AC647" s="25"/>
      <c r="AD647" s="25" t="str">
        <f>_xlfn.CONCAT($A648," ",$B648," ",$D648)</f>
        <v>2025 Volvo Polestar 4 Long Range Dual Motor</v>
      </c>
      <c r="AE647" s="25"/>
      <c r="AF647" s="25"/>
      <c r="AG647" s="25"/>
      <c r="AH647" s="25"/>
      <c r="AI647" s="25"/>
      <c r="AJ647" s="25"/>
      <c r="AK647" s="25"/>
      <c r="AL647" s="25"/>
      <c r="AM647" s="25"/>
      <c r="AN647" s="25"/>
      <c r="AO647" s="25"/>
      <c r="AP647" s="25"/>
      <c r="AQ647" s="25"/>
      <c r="AR647" s="25"/>
      <c r="AS647" s="25"/>
      <c r="AT647" s="25"/>
      <c r="AU647" s="25"/>
      <c r="AV647" s="25"/>
      <c r="AW647" s="25"/>
      <c r="AX647" s="25" t="str">
        <f>_xlfn.CONCAT($A648," ",$B648," ",$D648)</f>
        <v>2025 Volvo Polestar 4 Long Range Dual Motor</v>
      </c>
      <c r="AY647" s="25"/>
      <c r="AZ647" s="25"/>
      <c r="BA647" s="25"/>
      <c r="BB647" s="25"/>
      <c r="BC647" s="25"/>
      <c r="BD647" s="25"/>
      <c r="BE647" s="25"/>
      <c r="BF647" s="25"/>
      <c r="BG647" s="25"/>
      <c r="BH647" s="25"/>
      <c r="BI647" s="25"/>
      <c r="BJ647" s="25"/>
      <c r="BK647" s="25"/>
      <c r="BL647" s="25"/>
      <c r="BM647" s="25"/>
      <c r="BN647" s="25"/>
      <c r="BO647" s="25"/>
      <c r="BP647" s="25"/>
      <c r="BQ647" s="25"/>
      <c r="BR647" s="25" t="str">
        <f>_xlfn.CONCAT($A648," ",$B648," ",$D648)</f>
        <v>2025 Volvo Polestar 4 Long Range Dual Motor</v>
      </c>
      <c r="BS647" s="25"/>
      <c r="BT647" s="25"/>
      <c r="BU647" s="25"/>
      <c r="BV647" s="25"/>
      <c r="BX647" s="25"/>
      <c r="BY647" s="25"/>
      <c r="BZ647" s="25"/>
      <c r="CA647" s="25"/>
      <c r="CB647" s="25"/>
      <c r="CC647" s="25"/>
      <c r="CD647" s="25"/>
      <c r="CE647" s="25"/>
      <c r="CF647" s="25"/>
      <c r="CG647" s="25"/>
      <c r="CH647" s="25"/>
      <c r="CI647" s="25"/>
      <c r="CJ647" s="25"/>
      <c r="CK647" s="25"/>
      <c r="CL647" s="25"/>
      <c r="CM647" s="25"/>
      <c r="CN647" s="25"/>
      <c r="CO647" s="25"/>
      <c r="CP647" s="25" t="str">
        <f>_xlfn.CONCAT($A648," ",$B648," ",$D648)</f>
        <v>2025 Volvo Polestar 4 Long Range Dual Motor</v>
      </c>
      <c r="CQ647" s="25"/>
      <c r="CR647" s="25"/>
      <c r="CS647" s="25"/>
      <c r="CT647" s="25"/>
      <c r="CU647" s="25"/>
      <c r="CV647" s="25"/>
      <c r="CW647" s="25"/>
      <c r="CX647" s="25"/>
      <c r="CY647" s="25"/>
      <c r="CZ647" s="25"/>
      <c r="DA647" s="25"/>
      <c r="DB647" s="25"/>
      <c r="DC647" s="25"/>
      <c r="DD647" s="25"/>
      <c r="DE647" s="25"/>
      <c r="DF647" s="25"/>
      <c r="DG647" s="25"/>
      <c r="DH647" s="25"/>
      <c r="DI647" s="25" t="str">
        <f>_xlfn.CONCAT($A648," ",$B648," ",$D648)</f>
        <v>2025 Volvo Polestar 4 Long Range Dual Motor</v>
      </c>
      <c r="DJ647" s="25"/>
      <c r="DK647" s="25"/>
      <c r="DL647" s="25"/>
      <c r="DM647" s="25"/>
      <c r="DN647" s="25"/>
      <c r="DO647" s="25"/>
      <c r="DP647" s="25"/>
      <c r="DQ647" s="25"/>
      <c r="DR647" s="25"/>
      <c r="DS647" s="25"/>
      <c r="DT647" s="25"/>
      <c r="DU647" s="25"/>
      <c r="DV647" s="25"/>
      <c r="DW647" s="25"/>
      <c r="DX647" s="25"/>
      <c r="DY647" s="25"/>
      <c r="DZ647" s="25" t="str">
        <f>_xlfn.CONCAT($A648," ",$B648," ",$D648)</f>
        <v>2025 Volvo Polestar 4 Long Range Dual Motor</v>
      </c>
      <c r="EB647" s="25"/>
      <c r="EC647" s="25"/>
      <c r="ED647" s="25"/>
      <c r="EE647" s="25"/>
      <c r="EF647" s="25"/>
      <c r="EG647" s="25"/>
      <c r="EH647" s="25"/>
      <c r="EI647" s="25"/>
      <c r="EJ647" s="25"/>
      <c r="EK647" s="25"/>
      <c r="EL647" s="25"/>
      <c r="EM647" s="25"/>
      <c r="EN647" s="25"/>
      <c r="EO647" s="25"/>
      <c r="EP647" s="25"/>
      <c r="EQ647" s="25"/>
      <c r="ER647" s="25"/>
      <c r="ES647" s="25"/>
      <c r="ET647" s="25"/>
      <c r="EU647" s="25"/>
      <c r="EV647" s="25" t="str">
        <f>_xlfn.CONCAT($A648," ",$B648," ",$D648)</f>
        <v>2025 Volvo Polestar 4 Long Range Dual Motor</v>
      </c>
      <c r="EW647" s="25"/>
      <c r="EX647" s="25"/>
      <c r="EY647" s="25"/>
      <c r="EZ647" s="25"/>
      <c r="FA647" s="25"/>
      <c r="FB647" s="25"/>
      <c r="FC647" s="25"/>
      <c r="FD647" s="25"/>
      <c r="FE647" s="25"/>
      <c r="FF647" s="25"/>
      <c r="FG647" s="25"/>
    </row>
    <row r="648" spans="1:165" x14ac:dyDescent="0.35">
      <c r="A648">
        <v>2025</v>
      </c>
      <c r="B648" t="s">
        <v>658</v>
      </c>
      <c r="C648" t="s">
        <v>2145</v>
      </c>
      <c r="D648" t="s">
        <v>2173</v>
      </c>
      <c r="E648" t="s">
        <v>661</v>
      </c>
      <c r="F648">
        <v>273</v>
      </c>
      <c r="G648">
        <v>0</v>
      </c>
      <c r="I648" t="s">
        <v>1734</v>
      </c>
      <c r="J648">
        <v>86</v>
      </c>
      <c r="K648">
        <v>80</v>
      </c>
      <c r="L648">
        <v>83</v>
      </c>
      <c r="M648">
        <v>125.1</v>
      </c>
      <c r="N648">
        <v>116.9</v>
      </c>
      <c r="O648">
        <v>121.27200000000001</v>
      </c>
      <c r="P648">
        <v>86</v>
      </c>
      <c r="Q648">
        <v>80</v>
      </c>
      <c r="R648">
        <v>83</v>
      </c>
      <c r="V648" t="s">
        <v>167</v>
      </c>
      <c r="W648" t="s">
        <v>168</v>
      </c>
      <c r="Y648">
        <v>1</v>
      </c>
      <c r="Z648" t="s">
        <v>170</v>
      </c>
      <c r="AA648" t="s">
        <v>170</v>
      </c>
      <c r="AB648" t="s">
        <v>167</v>
      </c>
      <c r="AC648" t="s">
        <v>213</v>
      </c>
      <c r="AF648">
        <v>272</v>
      </c>
      <c r="AG648" t="s">
        <v>1735</v>
      </c>
      <c r="AH648" t="s">
        <v>1736</v>
      </c>
      <c r="AI648" t="s">
        <v>175</v>
      </c>
      <c r="AJ648" t="s">
        <v>176</v>
      </c>
      <c r="AK648">
        <v>4</v>
      </c>
      <c r="AL648" t="s">
        <v>1737</v>
      </c>
      <c r="AQ648">
        <v>104</v>
      </c>
      <c r="AR648">
        <v>25</v>
      </c>
      <c r="AS648">
        <v>1000</v>
      </c>
      <c r="AT648">
        <v>50</v>
      </c>
      <c r="BQ648">
        <v>33</v>
      </c>
      <c r="BR648" t="s">
        <v>1497</v>
      </c>
      <c r="BT648" t="s">
        <v>1769</v>
      </c>
      <c r="BU648" s="1">
        <v>45519</v>
      </c>
      <c r="BV648">
        <v>35392</v>
      </c>
      <c r="BX648" t="s">
        <v>170</v>
      </c>
      <c r="BY648" t="s">
        <v>170</v>
      </c>
      <c r="CB648" t="s">
        <v>170</v>
      </c>
      <c r="CC648" t="s">
        <v>170</v>
      </c>
      <c r="CK648" t="s">
        <v>233</v>
      </c>
      <c r="CM648">
        <v>1</v>
      </c>
      <c r="CN648" t="s">
        <v>234</v>
      </c>
      <c r="CP648">
        <v>407</v>
      </c>
      <c r="CQ648">
        <v>246</v>
      </c>
      <c r="CR648">
        <v>172</v>
      </c>
      <c r="CS648" t="s">
        <v>235</v>
      </c>
      <c r="CV648" t="s">
        <v>341</v>
      </c>
      <c r="CX648" t="s">
        <v>342</v>
      </c>
      <c r="CY648" t="s">
        <v>170</v>
      </c>
      <c r="DC648" t="s">
        <v>2174</v>
      </c>
      <c r="DD648">
        <v>1</v>
      </c>
      <c r="DE648" t="s">
        <v>404</v>
      </c>
      <c r="DF648" t="s">
        <v>427</v>
      </c>
      <c r="DG648">
        <v>200</v>
      </c>
      <c r="DL648" t="s">
        <v>170</v>
      </c>
      <c r="DM648" t="s">
        <v>169</v>
      </c>
      <c r="DP648" t="s">
        <v>170</v>
      </c>
      <c r="DQ648" t="s">
        <v>187</v>
      </c>
      <c r="EB648">
        <v>9</v>
      </c>
      <c r="EC648">
        <v>10</v>
      </c>
      <c r="EE648" t="s">
        <v>2175</v>
      </c>
      <c r="EF648">
        <v>10</v>
      </c>
      <c r="EU648">
        <v>4500</v>
      </c>
      <c r="EW648">
        <v>0</v>
      </c>
      <c r="EX648">
        <v>0</v>
      </c>
      <c r="EY648">
        <v>0</v>
      </c>
      <c r="FA648">
        <v>11</v>
      </c>
      <c r="FG648">
        <v>281</v>
      </c>
      <c r="FH648">
        <v>261</v>
      </c>
      <c r="FI648">
        <v>272</v>
      </c>
    </row>
    <row r="649" spans="1:165" x14ac:dyDescent="0.35">
      <c r="A649">
        <v>2025</v>
      </c>
      <c r="B649" t="s">
        <v>658</v>
      </c>
      <c r="C649" t="s">
        <v>2145</v>
      </c>
      <c r="D649" t="s">
        <v>2173</v>
      </c>
      <c r="E649" t="s">
        <v>661</v>
      </c>
      <c r="F649">
        <v>273</v>
      </c>
      <c r="G649">
        <v>0</v>
      </c>
      <c r="I649" t="s">
        <v>1734</v>
      </c>
      <c r="J649">
        <v>39</v>
      </c>
      <c r="K649">
        <v>42</v>
      </c>
      <c r="L649">
        <v>41</v>
      </c>
      <c r="M649">
        <v>26.936</v>
      </c>
      <c r="N649">
        <v>28.8354</v>
      </c>
      <c r="O649">
        <v>27.790700000000001</v>
      </c>
      <c r="P649">
        <v>39</v>
      </c>
      <c r="Q649">
        <v>42</v>
      </c>
      <c r="R649">
        <v>41</v>
      </c>
      <c r="V649" t="s">
        <v>167</v>
      </c>
      <c r="W649" t="s">
        <v>168</v>
      </c>
      <c r="Y649">
        <v>1</v>
      </c>
      <c r="Z649" t="s">
        <v>170</v>
      </c>
      <c r="AA649" t="s">
        <v>170</v>
      </c>
      <c r="AB649" t="s">
        <v>167</v>
      </c>
      <c r="AC649" t="s">
        <v>213</v>
      </c>
      <c r="AF649">
        <v>272</v>
      </c>
      <c r="AG649" t="s">
        <v>1735</v>
      </c>
      <c r="AH649" t="s">
        <v>1736</v>
      </c>
      <c r="AI649" t="s">
        <v>1742</v>
      </c>
      <c r="AJ649" t="s">
        <v>1743</v>
      </c>
      <c r="AK649">
        <v>4</v>
      </c>
      <c r="AL649" t="s">
        <v>1737</v>
      </c>
      <c r="AQ649">
        <v>104</v>
      </c>
      <c r="AR649">
        <v>25</v>
      </c>
      <c r="AS649">
        <v>1000</v>
      </c>
      <c r="AT649">
        <v>1000</v>
      </c>
      <c r="BQ649">
        <v>33</v>
      </c>
      <c r="BR649" t="s">
        <v>1497</v>
      </c>
      <c r="BT649" t="s">
        <v>1769</v>
      </c>
      <c r="BU649" s="1">
        <v>45519</v>
      </c>
      <c r="BV649">
        <v>35392</v>
      </c>
      <c r="BX649" t="s">
        <v>170</v>
      </c>
      <c r="BY649" t="s">
        <v>170</v>
      </c>
      <c r="CB649" t="s">
        <v>170</v>
      </c>
      <c r="CC649" t="s">
        <v>170</v>
      </c>
      <c r="CK649" t="s">
        <v>233</v>
      </c>
      <c r="CM649">
        <v>1</v>
      </c>
      <c r="CN649" t="s">
        <v>234</v>
      </c>
      <c r="CP649">
        <v>407</v>
      </c>
      <c r="CQ649">
        <v>246</v>
      </c>
      <c r="CR649">
        <v>172</v>
      </c>
      <c r="CS649" t="s">
        <v>235</v>
      </c>
      <c r="CV649" t="s">
        <v>341</v>
      </c>
      <c r="CX649" t="s">
        <v>342</v>
      </c>
      <c r="CY649" t="s">
        <v>170</v>
      </c>
      <c r="DC649" t="s">
        <v>2174</v>
      </c>
      <c r="DD649">
        <v>1</v>
      </c>
      <c r="DE649" t="s">
        <v>404</v>
      </c>
      <c r="DF649" t="s">
        <v>427</v>
      </c>
      <c r="DG649">
        <v>200</v>
      </c>
      <c r="DL649" t="s">
        <v>170</v>
      </c>
      <c r="DM649" t="s">
        <v>169</v>
      </c>
      <c r="DP649" t="s">
        <v>170</v>
      </c>
      <c r="DQ649" t="s">
        <v>187</v>
      </c>
      <c r="EB649">
        <v>9</v>
      </c>
      <c r="EC649">
        <v>10</v>
      </c>
      <c r="EE649" t="s">
        <v>2175</v>
      </c>
      <c r="EF649">
        <v>10</v>
      </c>
      <c r="EU649">
        <v>4500</v>
      </c>
      <c r="EW649">
        <v>0</v>
      </c>
      <c r="EX649">
        <v>0</v>
      </c>
      <c r="EY649">
        <v>0</v>
      </c>
      <c r="FA649">
        <v>11</v>
      </c>
      <c r="FG649">
        <v>281</v>
      </c>
      <c r="FH649">
        <v>261</v>
      </c>
      <c r="FI649">
        <v>272</v>
      </c>
    </row>
    <row r="650" spans="1:165" x14ac:dyDescent="0.35">
      <c r="A650" s="25"/>
      <c r="B650" s="25"/>
      <c r="C650" s="25"/>
      <c r="D650" s="25"/>
      <c r="E650" s="25"/>
      <c r="F650" s="25" t="str">
        <f>_xlfn.CONCAT($A651," ",$B651," ",$D651)</f>
        <v>2025 Volvo Polestar 4 Long Range Single Motor</v>
      </c>
      <c r="G650" s="25"/>
      <c r="H650" s="25"/>
      <c r="I650" s="25"/>
      <c r="J650" s="25"/>
      <c r="K650" s="25"/>
      <c r="L650" s="25"/>
      <c r="M650" s="25"/>
      <c r="N650" s="25"/>
      <c r="O650" s="25"/>
      <c r="P650" s="25"/>
      <c r="Q650" s="25"/>
      <c r="R650" s="25"/>
      <c r="S650" s="25"/>
      <c r="T650" s="25"/>
      <c r="U650" s="25"/>
      <c r="V650" s="25"/>
      <c r="W650" s="25"/>
      <c r="X650" s="25"/>
      <c r="Y650" s="25"/>
      <c r="Z650" s="25"/>
      <c r="AA650" s="25"/>
      <c r="AB650" s="25"/>
      <c r="AC650" s="25"/>
      <c r="AD650" s="25" t="str">
        <f>_xlfn.CONCAT($A651," ",$B651," ",$D651)</f>
        <v>2025 Volvo Polestar 4 Long Range Single Motor</v>
      </c>
      <c r="AE650" s="25"/>
      <c r="AF650" s="25"/>
      <c r="AG650" s="25"/>
      <c r="AH650" s="25"/>
      <c r="AI650" s="25"/>
      <c r="AJ650" s="25"/>
      <c r="AK650" s="25"/>
      <c r="AL650" s="25"/>
      <c r="AM650" s="25"/>
      <c r="AN650" s="25"/>
      <c r="AO650" s="25"/>
      <c r="AP650" s="25"/>
      <c r="AQ650" s="25"/>
      <c r="AR650" s="25"/>
      <c r="AS650" s="25"/>
      <c r="AT650" s="25"/>
      <c r="AU650" s="25"/>
      <c r="AV650" s="25"/>
      <c r="AW650" s="25"/>
      <c r="AX650" s="25" t="str">
        <f>_xlfn.CONCAT($A651," ",$B651," ",$D651)</f>
        <v>2025 Volvo Polestar 4 Long Range Single Motor</v>
      </c>
      <c r="AY650" s="25"/>
      <c r="AZ650" s="25"/>
      <c r="BA650" s="25"/>
      <c r="BB650" s="25"/>
      <c r="BC650" s="25"/>
      <c r="BD650" s="25"/>
      <c r="BE650" s="25"/>
      <c r="BF650" s="25"/>
      <c r="BG650" s="25"/>
      <c r="BH650" s="25"/>
      <c r="BI650" s="25"/>
      <c r="BJ650" s="25"/>
      <c r="BK650" s="25"/>
      <c r="BL650" s="25"/>
      <c r="BM650" s="25"/>
      <c r="BN650" s="25"/>
      <c r="BO650" s="25"/>
      <c r="BP650" s="25"/>
      <c r="BQ650" s="25"/>
      <c r="BR650" s="25" t="str">
        <f>_xlfn.CONCAT($A651," ",$B651," ",$D651)</f>
        <v>2025 Volvo Polestar 4 Long Range Single Motor</v>
      </c>
      <c r="BS650" s="25"/>
      <c r="BT650" s="25"/>
      <c r="BU650" s="25"/>
      <c r="BV650" s="25"/>
      <c r="BX650" s="25"/>
      <c r="BY650" s="25"/>
      <c r="BZ650" s="25"/>
      <c r="CA650" s="25"/>
      <c r="CB650" s="25"/>
      <c r="CC650" s="25"/>
      <c r="CD650" s="25"/>
      <c r="CE650" s="25"/>
      <c r="CF650" s="25"/>
      <c r="CG650" s="25"/>
      <c r="CH650" s="25"/>
      <c r="CI650" s="25"/>
      <c r="CJ650" s="25"/>
      <c r="CK650" s="25"/>
      <c r="CL650" s="25"/>
      <c r="CM650" s="25"/>
      <c r="CN650" s="25"/>
      <c r="CO650" s="25"/>
      <c r="CP650" s="25" t="str">
        <f>_xlfn.CONCAT($A651," ",$B651," ",$D651)</f>
        <v>2025 Volvo Polestar 4 Long Range Single Motor</v>
      </c>
      <c r="CQ650" s="25"/>
      <c r="CR650" s="25"/>
      <c r="CS650" s="25"/>
      <c r="CT650" s="25"/>
      <c r="CU650" s="25"/>
      <c r="CV650" s="25"/>
      <c r="CW650" s="25"/>
      <c r="CX650" s="25"/>
      <c r="CY650" s="25"/>
      <c r="CZ650" s="25"/>
      <c r="DA650" s="25"/>
      <c r="DB650" s="25"/>
      <c r="DC650" s="25"/>
      <c r="DD650" s="25"/>
      <c r="DE650" s="25"/>
      <c r="DF650" s="25"/>
      <c r="DG650" s="25"/>
      <c r="DH650" s="25"/>
      <c r="DI650" s="25" t="str">
        <f>_xlfn.CONCAT($A651," ",$B651," ",$D651)</f>
        <v>2025 Volvo Polestar 4 Long Range Single Motor</v>
      </c>
      <c r="DJ650" s="25"/>
      <c r="DK650" s="25"/>
      <c r="DL650" s="25"/>
      <c r="DM650" s="25"/>
      <c r="DN650" s="25"/>
      <c r="DO650" s="25"/>
      <c r="DP650" s="25"/>
      <c r="DQ650" s="25"/>
      <c r="DR650" s="25"/>
      <c r="DS650" s="25"/>
      <c r="DT650" s="25"/>
      <c r="DU650" s="25"/>
      <c r="DV650" s="25"/>
      <c r="DW650" s="25"/>
      <c r="DX650" s="25"/>
      <c r="DY650" s="25"/>
      <c r="DZ650" s="25" t="str">
        <f>_xlfn.CONCAT($A651," ",$B651," ",$D651)</f>
        <v>2025 Volvo Polestar 4 Long Range Single Motor</v>
      </c>
      <c r="EB650" s="25"/>
      <c r="EC650" s="25"/>
      <c r="ED650" s="25"/>
      <c r="EE650" s="25"/>
      <c r="EF650" s="25"/>
      <c r="EG650" s="25"/>
      <c r="EH650" s="25"/>
      <c r="EI650" s="25"/>
      <c r="EJ650" s="25"/>
      <c r="EK650" s="25"/>
      <c r="EL650" s="25"/>
      <c r="EM650" s="25"/>
      <c r="EN650" s="25"/>
      <c r="EO650" s="25"/>
      <c r="EP650" s="25"/>
      <c r="EQ650" s="25"/>
      <c r="ER650" s="25"/>
      <c r="ES650" s="25"/>
      <c r="ET650" s="25"/>
      <c r="EU650" s="25"/>
      <c r="EV650" s="25" t="str">
        <f>_xlfn.CONCAT($A651," ",$B651," ",$D651)</f>
        <v>2025 Volvo Polestar 4 Long Range Single Motor</v>
      </c>
      <c r="EW650" s="25"/>
      <c r="EX650" s="25"/>
      <c r="EY650" s="25"/>
      <c r="EZ650" s="25"/>
      <c r="FA650" s="25"/>
      <c r="FB650" s="25"/>
      <c r="FC650" s="25"/>
      <c r="FD650" s="25"/>
      <c r="FE650" s="25"/>
      <c r="FF650" s="25"/>
      <c r="FG650" s="25"/>
    </row>
    <row r="651" spans="1:165" x14ac:dyDescent="0.35">
      <c r="A651">
        <v>2025</v>
      </c>
      <c r="B651" t="s">
        <v>658</v>
      </c>
      <c r="C651" t="s">
        <v>2145</v>
      </c>
      <c r="D651" t="s">
        <v>2176</v>
      </c>
      <c r="E651" t="s">
        <v>661</v>
      </c>
      <c r="F651">
        <v>274</v>
      </c>
      <c r="G651">
        <v>0</v>
      </c>
      <c r="I651" t="s">
        <v>1734</v>
      </c>
      <c r="J651">
        <v>93</v>
      </c>
      <c r="K651">
        <v>87</v>
      </c>
      <c r="L651">
        <v>90</v>
      </c>
      <c r="M651">
        <v>137.4</v>
      </c>
      <c r="N651">
        <v>128.30000000000001</v>
      </c>
      <c r="O651">
        <v>133.15020000000001</v>
      </c>
      <c r="P651">
        <v>93</v>
      </c>
      <c r="Q651">
        <v>87</v>
      </c>
      <c r="R651">
        <v>90</v>
      </c>
      <c r="V651" t="s">
        <v>167</v>
      </c>
      <c r="W651" t="s">
        <v>168</v>
      </c>
      <c r="Y651">
        <v>1</v>
      </c>
      <c r="Z651" t="s">
        <v>170</v>
      </c>
      <c r="AA651" t="s">
        <v>170</v>
      </c>
      <c r="AB651" t="s">
        <v>171</v>
      </c>
      <c r="AC651" t="s">
        <v>172</v>
      </c>
      <c r="AF651">
        <v>300</v>
      </c>
      <c r="AG651" t="s">
        <v>1735</v>
      </c>
      <c r="AH651" t="s">
        <v>1736</v>
      </c>
      <c r="AI651" t="s">
        <v>175</v>
      </c>
      <c r="AJ651" t="s">
        <v>176</v>
      </c>
      <c r="AK651">
        <v>4</v>
      </c>
      <c r="AL651" t="s">
        <v>1737</v>
      </c>
      <c r="AQ651">
        <v>104</v>
      </c>
      <c r="AR651">
        <v>25</v>
      </c>
      <c r="AS651">
        <v>900</v>
      </c>
      <c r="AT651">
        <v>50</v>
      </c>
      <c r="BQ651">
        <v>32</v>
      </c>
      <c r="BR651" t="s">
        <v>1453</v>
      </c>
      <c r="BT651" t="s">
        <v>1769</v>
      </c>
      <c r="BU651" s="1">
        <v>45519</v>
      </c>
      <c r="BV651">
        <v>35391</v>
      </c>
      <c r="BX651" t="s">
        <v>170</v>
      </c>
      <c r="BY651" t="s">
        <v>170</v>
      </c>
      <c r="CB651" t="s">
        <v>170</v>
      </c>
      <c r="CC651" t="s">
        <v>170</v>
      </c>
      <c r="CK651" t="s">
        <v>233</v>
      </c>
      <c r="CM651">
        <v>1</v>
      </c>
      <c r="CN651" t="s">
        <v>234</v>
      </c>
      <c r="CP651">
        <v>407</v>
      </c>
      <c r="CQ651">
        <v>246</v>
      </c>
      <c r="CR651">
        <v>172</v>
      </c>
      <c r="CS651" t="s">
        <v>235</v>
      </c>
      <c r="CV651" t="s">
        <v>341</v>
      </c>
      <c r="CX651" t="s">
        <v>1012</v>
      </c>
      <c r="CY651" t="s">
        <v>170</v>
      </c>
      <c r="DC651" t="s">
        <v>2177</v>
      </c>
      <c r="DD651">
        <v>1</v>
      </c>
      <c r="DE651" t="s">
        <v>404</v>
      </c>
      <c r="DF651" t="s">
        <v>427</v>
      </c>
      <c r="DG651">
        <v>200</v>
      </c>
      <c r="DL651" t="s">
        <v>170</v>
      </c>
      <c r="DM651" t="s">
        <v>169</v>
      </c>
      <c r="DP651" t="s">
        <v>170</v>
      </c>
      <c r="DQ651" t="s">
        <v>187</v>
      </c>
      <c r="EB651">
        <v>9</v>
      </c>
      <c r="EC651">
        <v>10</v>
      </c>
      <c r="EE651" t="s">
        <v>2178</v>
      </c>
      <c r="EF651">
        <v>10</v>
      </c>
      <c r="EU651">
        <v>5000</v>
      </c>
      <c r="EW651">
        <v>0</v>
      </c>
      <c r="EX651">
        <v>0</v>
      </c>
      <c r="EY651">
        <v>0</v>
      </c>
      <c r="FA651">
        <v>11</v>
      </c>
      <c r="FG651">
        <v>311</v>
      </c>
      <c r="FH651">
        <v>287</v>
      </c>
      <c r="FI651">
        <v>300</v>
      </c>
    </row>
    <row r="652" spans="1:165" x14ac:dyDescent="0.35">
      <c r="A652">
        <v>2025</v>
      </c>
      <c r="B652" t="s">
        <v>658</v>
      </c>
      <c r="C652" t="s">
        <v>2145</v>
      </c>
      <c r="D652" t="s">
        <v>2176</v>
      </c>
      <c r="E652" t="s">
        <v>661</v>
      </c>
      <c r="F652">
        <v>274</v>
      </c>
      <c r="G652">
        <v>0</v>
      </c>
      <c r="I652" t="s">
        <v>1734</v>
      </c>
      <c r="J652">
        <v>35</v>
      </c>
      <c r="K652">
        <v>38</v>
      </c>
      <c r="L652">
        <v>36</v>
      </c>
      <c r="M652">
        <v>24.538599999999999</v>
      </c>
      <c r="N652">
        <v>26.261399999999998</v>
      </c>
      <c r="O652">
        <v>25.3139</v>
      </c>
      <c r="P652">
        <v>35</v>
      </c>
      <c r="Q652">
        <v>38</v>
      </c>
      <c r="R652">
        <v>36</v>
      </c>
      <c r="V652" t="s">
        <v>167</v>
      </c>
      <c r="W652" t="s">
        <v>168</v>
      </c>
      <c r="Y652">
        <v>1</v>
      </c>
      <c r="Z652" t="s">
        <v>170</v>
      </c>
      <c r="AA652" t="s">
        <v>170</v>
      </c>
      <c r="AB652" t="s">
        <v>171</v>
      </c>
      <c r="AC652" t="s">
        <v>172</v>
      </c>
      <c r="AF652">
        <v>300</v>
      </c>
      <c r="AG652" t="s">
        <v>1735</v>
      </c>
      <c r="AH652" t="s">
        <v>1736</v>
      </c>
      <c r="AI652" t="s">
        <v>1742</v>
      </c>
      <c r="AJ652" t="s">
        <v>1743</v>
      </c>
      <c r="AK652">
        <v>4</v>
      </c>
      <c r="AL652" t="s">
        <v>1737</v>
      </c>
      <c r="AQ652">
        <v>104</v>
      </c>
      <c r="AR652">
        <v>25</v>
      </c>
      <c r="AS652">
        <v>900</v>
      </c>
      <c r="AT652">
        <v>900</v>
      </c>
      <c r="BQ652">
        <v>32</v>
      </c>
      <c r="BR652" t="s">
        <v>1453</v>
      </c>
      <c r="BT652" t="s">
        <v>1769</v>
      </c>
      <c r="BU652" s="1">
        <v>45519</v>
      </c>
      <c r="BV652">
        <v>35391</v>
      </c>
      <c r="BX652" t="s">
        <v>170</v>
      </c>
      <c r="BY652" t="s">
        <v>170</v>
      </c>
      <c r="CB652" t="s">
        <v>170</v>
      </c>
      <c r="CC652" t="s">
        <v>170</v>
      </c>
      <c r="CK652" t="s">
        <v>233</v>
      </c>
      <c r="CM652">
        <v>1</v>
      </c>
      <c r="CN652" t="s">
        <v>234</v>
      </c>
      <c r="CP652">
        <v>407</v>
      </c>
      <c r="CQ652">
        <v>246</v>
      </c>
      <c r="CR652">
        <v>172</v>
      </c>
      <c r="CS652" t="s">
        <v>235</v>
      </c>
      <c r="CV652" t="s">
        <v>341</v>
      </c>
      <c r="CX652" t="s">
        <v>1012</v>
      </c>
      <c r="CY652" t="s">
        <v>170</v>
      </c>
      <c r="DC652" t="s">
        <v>2177</v>
      </c>
      <c r="DD652">
        <v>1</v>
      </c>
      <c r="DE652" t="s">
        <v>404</v>
      </c>
      <c r="DF652" t="s">
        <v>427</v>
      </c>
      <c r="DG652">
        <v>200</v>
      </c>
      <c r="DL652" t="s">
        <v>170</v>
      </c>
      <c r="DM652" t="s">
        <v>169</v>
      </c>
      <c r="DP652" t="s">
        <v>170</v>
      </c>
      <c r="DQ652" t="s">
        <v>187</v>
      </c>
      <c r="EB652">
        <v>9</v>
      </c>
      <c r="EC652">
        <v>10</v>
      </c>
      <c r="EE652" t="s">
        <v>2178</v>
      </c>
      <c r="EF652">
        <v>10</v>
      </c>
      <c r="EU652">
        <v>5000</v>
      </c>
      <c r="EW652">
        <v>0</v>
      </c>
      <c r="EX652">
        <v>0</v>
      </c>
      <c r="EY652">
        <v>0</v>
      </c>
      <c r="FA652">
        <v>11</v>
      </c>
      <c r="FG652">
        <v>311</v>
      </c>
      <c r="FH652">
        <v>287</v>
      </c>
      <c r="FI652">
        <v>300</v>
      </c>
    </row>
    <row r="653" spans="1:165" x14ac:dyDescent="0.35">
      <c r="A653" s="25"/>
      <c r="B653" s="25"/>
      <c r="C653" s="25"/>
      <c r="D653" s="25"/>
      <c r="E653" s="25"/>
      <c r="F653" s="25" t="str">
        <f>_xlfn.CONCAT($A654," ",$B654," ",$D654)</f>
        <v>2025 Volvo Polestar 3 Long Range Single Motor 20 Inch Wheels</v>
      </c>
      <c r="G653" s="25"/>
      <c r="H653" s="25"/>
      <c r="I653" s="25"/>
      <c r="J653" s="25"/>
      <c r="K653" s="25"/>
      <c r="L653" s="25"/>
      <c r="M653" s="25"/>
      <c r="N653" s="25"/>
      <c r="O653" s="25"/>
      <c r="P653" s="25"/>
      <c r="Q653" s="25"/>
      <c r="R653" s="25"/>
      <c r="S653" s="25"/>
      <c r="T653" s="25"/>
      <c r="U653" s="25"/>
      <c r="V653" s="25"/>
      <c r="W653" s="25"/>
      <c r="X653" s="25"/>
      <c r="Y653" s="25"/>
      <c r="Z653" s="25"/>
      <c r="AA653" s="25"/>
      <c r="AB653" s="25"/>
      <c r="AC653" s="25"/>
      <c r="AD653" s="25" t="str">
        <f>_xlfn.CONCAT($A654," ",$B654," ",$D654)</f>
        <v>2025 Volvo Polestar 3 Long Range Single Motor 20 Inch Wheels</v>
      </c>
      <c r="AE653" s="25"/>
      <c r="AF653" s="25"/>
      <c r="AG653" s="25"/>
      <c r="AH653" s="25"/>
      <c r="AI653" s="25"/>
      <c r="AJ653" s="25"/>
      <c r="AK653" s="25"/>
      <c r="AL653" s="25"/>
      <c r="AM653" s="25"/>
      <c r="AN653" s="25"/>
      <c r="AO653" s="25"/>
      <c r="AP653" s="25"/>
      <c r="AQ653" s="25"/>
      <c r="AR653" s="25"/>
      <c r="AS653" s="25"/>
      <c r="AT653" s="25"/>
      <c r="AU653" s="25"/>
      <c r="AV653" s="25"/>
      <c r="AW653" s="25"/>
      <c r="AX653" s="25" t="str">
        <f>_xlfn.CONCAT($A654," ",$B654," ",$D654)</f>
        <v>2025 Volvo Polestar 3 Long Range Single Motor 20 Inch Wheels</v>
      </c>
      <c r="AY653" s="25"/>
      <c r="AZ653" s="25"/>
      <c r="BA653" s="25"/>
      <c r="BB653" s="25"/>
      <c r="BC653" s="25"/>
      <c r="BD653" s="25"/>
      <c r="BE653" s="25"/>
      <c r="BF653" s="25"/>
      <c r="BG653" s="25"/>
      <c r="BH653" s="25"/>
      <c r="BI653" s="25"/>
      <c r="BJ653" s="25"/>
      <c r="BK653" s="25"/>
      <c r="BL653" s="25"/>
      <c r="BM653" s="25"/>
      <c r="BN653" s="25"/>
      <c r="BO653" s="25"/>
      <c r="BP653" s="25"/>
      <c r="BQ653" s="25"/>
      <c r="BR653" s="25" t="str">
        <f>_xlfn.CONCAT($A654," ",$B654," ",$D654)</f>
        <v>2025 Volvo Polestar 3 Long Range Single Motor 20 Inch Wheels</v>
      </c>
      <c r="BS653" s="25"/>
      <c r="BT653" s="25"/>
      <c r="BU653" s="25"/>
      <c r="BV653" s="25"/>
      <c r="BX653" s="25"/>
      <c r="BY653" s="25"/>
      <c r="BZ653" s="25"/>
      <c r="CA653" s="25"/>
      <c r="CB653" s="25"/>
      <c r="CC653" s="25"/>
      <c r="CD653" s="25"/>
      <c r="CE653" s="25"/>
      <c r="CF653" s="25"/>
      <c r="CG653" s="25"/>
      <c r="CH653" s="25"/>
      <c r="CI653" s="25"/>
      <c r="CJ653" s="25"/>
      <c r="CK653" s="25"/>
      <c r="CL653" s="25"/>
      <c r="CM653" s="25"/>
      <c r="CN653" s="25"/>
      <c r="CO653" s="25"/>
      <c r="CP653" s="25" t="str">
        <f>_xlfn.CONCAT($A654," ",$B654," ",$D654)</f>
        <v>2025 Volvo Polestar 3 Long Range Single Motor 20 Inch Wheels</v>
      </c>
      <c r="CQ653" s="25"/>
      <c r="CR653" s="25"/>
      <c r="CS653" s="25"/>
      <c r="CT653" s="25"/>
      <c r="CU653" s="25"/>
      <c r="CV653" s="25"/>
      <c r="CW653" s="25"/>
      <c r="CX653" s="25"/>
      <c r="CY653" s="25"/>
      <c r="CZ653" s="25"/>
      <c r="DA653" s="25"/>
      <c r="DB653" s="25"/>
      <c r="DC653" s="25"/>
      <c r="DD653" s="25"/>
      <c r="DE653" s="25"/>
      <c r="DF653" s="25"/>
      <c r="DG653" s="25"/>
      <c r="DH653" s="25"/>
      <c r="DI653" s="25" t="str">
        <f>_xlfn.CONCAT($A654," ",$B654," ",$D654)</f>
        <v>2025 Volvo Polestar 3 Long Range Single Motor 20 Inch Wheels</v>
      </c>
      <c r="DJ653" s="25"/>
      <c r="DK653" s="25"/>
      <c r="DL653" s="25"/>
      <c r="DM653" s="25"/>
      <c r="DN653" s="25"/>
      <c r="DO653" s="25"/>
      <c r="DP653" s="25"/>
      <c r="DQ653" s="25"/>
      <c r="DR653" s="25"/>
      <c r="DS653" s="25"/>
      <c r="DT653" s="25"/>
      <c r="DU653" s="25"/>
      <c r="DV653" s="25"/>
      <c r="DW653" s="25"/>
      <c r="DX653" s="25"/>
      <c r="DY653" s="25"/>
      <c r="DZ653" s="25" t="str">
        <f>_xlfn.CONCAT($A654," ",$B654," ",$D654)</f>
        <v>2025 Volvo Polestar 3 Long Range Single Motor 20 Inch Wheels</v>
      </c>
      <c r="EB653" s="25"/>
      <c r="EC653" s="25"/>
      <c r="ED653" s="25"/>
      <c r="EE653" s="25"/>
      <c r="EF653" s="25"/>
      <c r="EG653" s="25"/>
      <c r="EH653" s="25"/>
      <c r="EI653" s="25"/>
      <c r="EJ653" s="25"/>
      <c r="EK653" s="25"/>
      <c r="EL653" s="25"/>
      <c r="EM653" s="25"/>
      <c r="EN653" s="25"/>
      <c r="EO653" s="25"/>
      <c r="EP653" s="25"/>
      <c r="EQ653" s="25"/>
      <c r="ER653" s="25"/>
      <c r="ES653" s="25"/>
      <c r="ET653" s="25"/>
      <c r="EU653" s="25"/>
      <c r="EV653" s="25" t="str">
        <f>_xlfn.CONCAT($A654," ",$B654," ",$D654)</f>
        <v>2025 Volvo Polestar 3 Long Range Single Motor 20 Inch Wheels</v>
      </c>
      <c r="EW653" s="25"/>
      <c r="EX653" s="25"/>
      <c r="EY653" s="25"/>
      <c r="EZ653" s="25"/>
      <c r="FA653" s="25"/>
      <c r="FB653" s="25"/>
      <c r="FC653" s="25"/>
      <c r="FD653" s="25"/>
      <c r="FE653" s="25"/>
      <c r="FF653" s="25"/>
      <c r="FG653" s="25"/>
    </row>
    <row r="654" spans="1:165" x14ac:dyDescent="0.35">
      <c r="A654">
        <v>2025</v>
      </c>
      <c r="B654" t="s">
        <v>658</v>
      </c>
      <c r="C654" t="s">
        <v>2145</v>
      </c>
      <c r="D654" t="s">
        <v>2168</v>
      </c>
      <c r="E654" t="s">
        <v>661</v>
      </c>
      <c r="F654">
        <v>277</v>
      </c>
      <c r="G654">
        <v>0</v>
      </c>
      <c r="I654" t="s">
        <v>1734</v>
      </c>
      <c r="J654">
        <v>103</v>
      </c>
      <c r="K654">
        <v>84</v>
      </c>
      <c r="L654">
        <v>94</v>
      </c>
      <c r="M654">
        <v>147.6</v>
      </c>
      <c r="N654">
        <v>119.9</v>
      </c>
      <c r="O654">
        <v>133.7003</v>
      </c>
      <c r="P654">
        <v>103.32</v>
      </c>
      <c r="Q654">
        <v>83.93</v>
      </c>
      <c r="R654">
        <v>93.590199999999996</v>
      </c>
      <c r="V654" t="s">
        <v>167</v>
      </c>
      <c r="W654" t="s">
        <v>168</v>
      </c>
      <c r="Y654">
        <v>1</v>
      </c>
      <c r="Z654" t="s">
        <v>170</v>
      </c>
      <c r="AA654" t="s">
        <v>170</v>
      </c>
      <c r="AB654" t="s">
        <v>171</v>
      </c>
      <c r="AC654" t="s">
        <v>172</v>
      </c>
      <c r="AF654">
        <v>342</v>
      </c>
      <c r="AG654" t="s">
        <v>1735</v>
      </c>
      <c r="AH654" t="s">
        <v>1736</v>
      </c>
      <c r="AI654" t="s">
        <v>175</v>
      </c>
      <c r="AJ654" t="s">
        <v>176</v>
      </c>
      <c r="AK654">
        <v>4</v>
      </c>
      <c r="AL654" t="s">
        <v>1737</v>
      </c>
      <c r="AS654">
        <v>850</v>
      </c>
      <c r="AT654">
        <v>850</v>
      </c>
      <c r="BQ654">
        <v>32</v>
      </c>
      <c r="BR654" t="s">
        <v>1453</v>
      </c>
      <c r="BT654" t="s">
        <v>1769</v>
      </c>
      <c r="BU654" s="1">
        <v>45595</v>
      </c>
      <c r="BV654">
        <v>35764</v>
      </c>
      <c r="BX654" t="s">
        <v>170</v>
      </c>
      <c r="BY654" t="s">
        <v>170</v>
      </c>
      <c r="CB654" t="s">
        <v>170</v>
      </c>
      <c r="CC654" t="s">
        <v>170</v>
      </c>
      <c r="CK654" t="s">
        <v>233</v>
      </c>
      <c r="CM654">
        <v>1</v>
      </c>
      <c r="CN654" t="s">
        <v>234</v>
      </c>
      <c r="CP654">
        <v>375</v>
      </c>
      <c r="CQ654">
        <v>296</v>
      </c>
      <c r="CR654">
        <v>167</v>
      </c>
      <c r="CS654" t="s">
        <v>235</v>
      </c>
      <c r="CV654" t="s">
        <v>341</v>
      </c>
      <c r="CX654" t="s">
        <v>1012</v>
      </c>
      <c r="CY654" t="s">
        <v>170</v>
      </c>
      <c r="DC654" t="s">
        <v>2169</v>
      </c>
      <c r="DD654">
        <v>1</v>
      </c>
      <c r="DE654" t="s">
        <v>404</v>
      </c>
      <c r="DF654" t="s">
        <v>427</v>
      </c>
      <c r="DG654">
        <v>220</v>
      </c>
      <c r="DL654" t="s">
        <v>170</v>
      </c>
      <c r="DM654" t="s">
        <v>169</v>
      </c>
      <c r="DP654" t="s">
        <v>170</v>
      </c>
      <c r="DQ654" t="s">
        <v>187</v>
      </c>
      <c r="EB654">
        <v>9</v>
      </c>
      <c r="EC654">
        <v>10</v>
      </c>
      <c r="EE654" t="s">
        <v>2170</v>
      </c>
      <c r="EF654">
        <v>10</v>
      </c>
      <c r="EU654">
        <v>5250</v>
      </c>
      <c r="EW654">
        <v>0</v>
      </c>
      <c r="EX654">
        <v>0</v>
      </c>
      <c r="EY654">
        <v>0</v>
      </c>
      <c r="FA654">
        <v>10</v>
      </c>
      <c r="FG654">
        <v>374</v>
      </c>
      <c r="FH654">
        <v>303</v>
      </c>
      <c r="FI654">
        <v>342</v>
      </c>
    </row>
    <row r="655" spans="1:165" x14ac:dyDescent="0.35">
      <c r="A655">
        <v>2025</v>
      </c>
      <c r="B655" t="s">
        <v>658</v>
      </c>
      <c r="C655" t="s">
        <v>2145</v>
      </c>
      <c r="D655" t="s">
        <v>2168</v>
      </c>
      <c r="E655" t="s">
        <v>661</v>
      </c>
      <c r="F655">
        <v>277</v>
      </c>
      <c r="G655">
        <v>0</v>
      </c>
      <c r="I655" t="s">
        <v>1734</v>
      </c>
      <c r="J655">
        <v>33</v>
      </c>
      <c r="K655">
        <v>40</v>
      </c>
      <c r="L655">
        <v>36</v>
      </c>
      <c r="M655">
        <v>22.836300000000001</v>
      </c>
      <c r="N655">
        <v>28.117799999999999</v>
      </c>
      <c r="O655">
        <v>25.212900000000001</v>
      </c>
      <c r="P655">
        <v>32.622</v>
      </c>
      <c r="Q655">
        <v>40.158499999999997</v>
      </c>
      <c r="R655">
        <v>36.013399999999997</v>
      </c>
      <c r="V655" t="s">
        <v>167</v>
      </c>
      <c r="W655" t="s">
        <v>168</v>
      </c>
      <c r="Y655">
        <v>1</v>
      </c>
      <c r="Z655" t="s">
        <v>170</v>
      </c>
      <c r="AA655" t="s">
        <v>170</v>
      </c>
      <c r="AB655" t="s">
        <v>171</v>
      </c>
      <c r="AC655" t="s">
        <v>172</v>
      </c>
      <c r="AF655">
        <v>342</v>
      </c>
      <c r="AG655" t="s">
        <v>1735</v>
      </c>
      <c r="AH655" t="s">
        <v>1736</v>
      </c>
      <c r="AI655" t="s">
        <v>1742</v>
      </c>
      <c r="AJ655" t="s">
        <v>1743</v>
      </c>
      <c r="AK655">
        <v>4</v>
      </c>
      <c r="AL655" t="s">
        <v>1737</v>
      </c>
      <c r="AS655">
        <v>850</v>
      </c>
      <c r="AT655">
        <v>850</v>
      </c>
      <c r="BQ655">
        <v>32</v>
      </c>
      <c r="BR655" t="s">
        <v>1453</v>
      </c>
      <c r="BT655" t="s">
        <v>1769</v>
      </c>
      <c r="BU655" s="1">
        <v>45595</v>
      </c>
      <c r="BV655">
        <v>35764</v>
      </c>
      <c r="BX655" t="s">
        <v>170</v>
      </c>
      <c r="BY655" t="s">
        <v>170</v>
      </c>
      <c r="CB655" t="s">
        <v>170</v>
      </c>
      <c r="CC655" t="s">
        <v>170</v>
      </c>
      <c r="CK655" t="s">
        <v>233</v>
      </c>
      <c r="CM655">
        <v>1</v>
      </c>
      <c r="CN655" t="s">
        <v>234</v>
      </c>
      <c r="CP655">
        <v>375</v>
      </c>
      <c r="CQ655">
        <v>296</v>
      </c>
      <c r="CR655">
        <v>167</v>
      </c>
      <c r="CS655" t="s">
        <v>235</v>
      </c>
      <c r="CV655" t="s">
        <v>341</v>
      </c>
      <c r="CX655" t="s">
        <v>1012</v>
      </c>
      <c r="CY655" t="s">
        <v>170</v>
      </c>
      <c r="DC655" t="s">
        <v>2169</v>
      </c>
      <c r="DD655">
        <v>1</v>
      </c>
      <c r="DE655" t="s">
        <v>404</v>
      </c>
      <c r="DF655" t="s">
        <v>427</v>
      </c>
      <c r="DG655">
        <v>220</v>
      </c>
      <c r="DL655" t="s">
        <v>170</v>
      </c>
      <c r="DM655" t="s">
        <v>169</v>
      </c>
      <c r="DP655" t="s">
        <v>170</v>
      </c>
      <c r="DQ655" t="s">
        <v>187</v>
      </c>
      <c r="EB655">
        <v>9</v>
      </c>
      <c r="EC655">
        <v>10</v>
      </c>
      <c r="EE655" t="s">
        <v>2170</v>
      </c>
      <c r="EF655">
        <v>10</v>
      </c>
      <c r="EU655">
        <v>5250</v>
      </c>
      <c r="EW655">
        <v>0</v>
      </c>
      <c r="EX655">
        <v>0</v>
      </c>
      <c r="EY655">
        <v>0</v>
      </c>
      <c r="FA655">
        <v>10</v>
      </c>
      <c r="FG655">
        <v>374</v>
      </c>
      <c r="FH655">
        <v>303</v>
      </c>
      <c r="FI655">
        <v>342</v>
      </c>
    </row>
    <row r="656" spans="1:165" x14ac:dyDescent="0.35">
      <c r="A656" s="25"/>
      <c r="B656" s="25"/>
      <c r="C656" s="25"/>
      <c r="D656" s="25"/>
      <c r="E656" s="25"/>
      <c r="F656" s="25" t="str">
        <f>_xlfn.CONCAT($A657," ",$B657," ",$D657)</f>
        <v>2025 Volvo Polestar 3 Long Range Single Motor 21 Inch Wheels</v>
      </c>
      <c r="G656" s="25"/>
      <c r="H656" s="25"/>
      <c r="I656" s="25"/>
      <c r="J656" s="25"/>
      <c r="K656" s="25"/>
      <c r="L656" s="25"/>
      <c r="M656" s="25"/>
      <c r="N656" s="25"/>
      <c r="O656" s="25"/>
      <c r="P656" s="25"/>
      <c r="Q656" s="25"/>
      <c r="R656" s="25"/>
      <c r="S656" s="25"/>
      <c r="T656" s="25"/>
      <c r="U656" s="25"/>
      <c r="V656" s="25"/>
      <c r="W656" s="25"/>
      <c r="X656" s="25"/>
      <c r="Y656" s="25"/>
      <c r="Z656" s="25"/>
      <c r="AA656" s="25"/>
      <c r="AB656" s="25"/>
      <c r="AC656" s="25"/>
      <c r="AD656" s="25" t="str">
        <f>_xlfn.CONCAT($A657," ",$B657," ",$D657)</f>
        <v>2025 Volvo Polestar 3 Long Range Single Motor 21 Inch Wheels</v>
      </c>
      <c r="AE656" s="25"/>
      <c r="AF656" s="25"/>
      <c r="AG656" s="25"/>
      <c r="AH656" s="25"/>
      <c r="AI656" s="25"/>
      <c r="AJ656" s="25"/>
      <c r="AK656" s="25"/>
      <c r="AL656" s="25"/>
      <c r="AM656" s="25"/>
      <c r="AN656" s="25"/>
      <c r="AO656" s="25"/>
      <c r="AP656" s="25"/>
      <c r="AQ656" s="25"/>
      <c r="AR656" s="25"/>
      <c r="AS656" s="25"/>
      <c r="AT656" s="25"/>
      <c r="AU656" s="25"/>
      <c r="AV656" s="25"/>
      <c r="AW656" s="25"/>
      <c r="AX656" s="25" t="str">
        <f>_xlfn.CONCAT($A657," ",$B657," ",$D657)</f>
        <v>2025 Volvo Polestar 3 Long Range Single Motor 21 Inch Wheels</v>
      </c>
      <c r="AY656" s="25"/>
      <c r="AZ656" s="25"/>
      <c r="BA656" s="25"/>
      <c r="BB656" s="25"/>
      <c r="BC656" s="25"/>
      <c r="BD656" s="25"/>
      <c r="BE656" s="25"/>
      <c r="BF656" s="25"/>
      <c r="BG656" s="25"/>
      <c r="BH656" s="25"/>
      <c r="BI656" s="25"/>
      <c r="BJ656" s="25"/>
      <c r="BK656" s="25"/>
      <c r="BL656" s="25"/>
      <c r="BM656" s="25"/>
      <c r="BN656" s="25"/>
      <c r="BO656" s="25"/>
      <c r="BP656" s="25"/>
      <c r="BQ656" s="25"/>
      <c r="BR656" s="25" t="str">
        <f>_xlfn.CONCAT($A657," ",$B657," ",$D657)</f>
        <v>2025 Volvo Polestar 3 Long Range Single Motor 21 Inch Wheels</v>
      </c>
      <c r="BS656" s="25"/>
      <c r="BT656" s="25"/>
      <c r="BU656" s="25"/>
      <c r="BV656" s="25"/>
      <c r="BX656" s="25"/>
      <c r="BY656" s="25"/>
      <c r="BZ656" s="25"/>
      <c r="CA656" s="25"/>
      <c r="CB656" s="25"/>
      <c r="CC656" s="25"/>
      <c r="CD656" s="25"/>
      <c r="CE656" s="25"/>
      <c r="CF656" s="25"/>
      <c r="CG656" s="25"/>
      <c r="CH656" s="25"/>
      <c r="CI656" s="25"/>
      <c r="CJ656" s="25"/>
      <c r="CK656" s="25"/>
      <c r="CL656" s="25"/>
      <c r="CM656" s="25"/>
      <c r="CN656" s="25"/>
      <c r="CO656" s="25"/>
      <c r="CP656" s="25" t="str">
        <f>_xlfn.CONCAT($A657," ",$B657," ",$D657)</f>
        <v>2025 Volvo Polestar 3 Long Range Single Motor 21 Inch Wheels</v>
      </c>
      <c r="CQ656" s="25"/>
      <c r="CR656" s="25"/>
      <c r="CS656" s="25"/>
      <c r="CT656" s="25"/>
      <c r="CU656" s="25"/>
      <c r="CV656" s="25"/>
      <c r="CW656" s="25"/>
      <c r="CX656" s="25"/>
      <c r="CY656" s="25"/>
      <c r="CZ656" s="25"/>
      <c r="DA656" s="25"/>
      <c r="DB656" s="25"/>
      <c r="DC656" s="25"/>
      <c r="DD656" s="25"/>
      <c r="DE656" s="25"/>
      <c r="DF656" s="25"/>
      <c r="DG656" s="25"/>
      <c r="DH656" s="25"/>
      <c r="DI656" s="25" t="str">
        <f>_xlfn.CONCAT($A657," ",$B657," ",$D657)</f>
        <v>2025 Volvo Polestar 3 Long Range Single Motor 21 Inch Wheels</v>
      </c>
      <c r="DJ656" s="25"/>
      <c r="DK656" s="25"/>
      <c r="DL656" s="25"/>
      <c r="DM656" s="25"/>
      <c r="DN656" s="25"/>
      <c r="DO656" s="25"/>
      <c r="DP656" s="25"/>
      <c r="DQ656" s="25"/>
      <c r="DR656" s="25"/>
      <c r="DS656" s="25"/>
      <c r="DT656" s="25"/>
      <c r="DU656" s="25"/>
      <c r="DV656" s="25"/>
      <c r="DW656" s="25"/>
      <c r="DX656" s="25"/>
      <c r="DY656" s="25"/>
      <c r="DZ656" s="25" t="str">
        <f>_xlfn.CONCAT($A657," ",$B657," ",$D657)</f>
        <v>2025 Volvo Polestar 3 Long Range Single Motor 21 Inch Wheels</v>
      </c>
      <c r="EB656" s="25"/>
      <c r="EC656" s="25"/>
      <c r="ED656" s="25"/>
      <c r="EE656" s="25"/>
      <c r="EF656" s="25"/>
      <c r="EG656" s="25"/>
      <c r="EH656" s="25"/>
      <c r="EI656" s="25"/>
      <c r="EJ656" s="25"/>
      <c r="EK656" s="25"/>
      <c r="EL656" s="25"/>
      <c r="EM656" s="25"/>
      <c r="EN656" s="25"/>
      <c r="EO656" s="25"/>
      <c r="EP656" s="25"/>
      <c r="EQ656" s="25"/>
      <c r="ER656" s="25"/>
      <c r="ES656" s="25"/>
      <c r="ET656" s="25"/>
      <c r="EU656" s="25"/>
      <c r="EV656" s="25" t="str">
        <f>_xlfn.CONCAT($A657," ",$B657," ",$D657)</f>
        <v>2025 Volvo Polestar 3 Long Range Single Motor 21 Inch Wheels</v>
      </c>
      <c r="EW656" s="25"/>
      <c r="EX656" s="25"/>
      <c r="EY656" s="25"/>
      <c r="EZ656" s="25"/>
      <c r="FA656" s="25"/>
      <c r="FB656" s="25"/>
      <c r="FC656" s="25"/>
      <c r="FD656" s="25"/>
      <c r="FE656" s="25"/>
      <c r="FF656" s="25"/>
      <c r="FG656" s="25"/>
    </row>
    <row r="657" spans="1:165" x14ac:dyDescent="0.35">
      <c r="A657">
        <v>2025</v>
      </c>
      <c r="B657" t="s">
        <v>658</v>
      </c>
      <c r="C657" t="s">
        <v>2145</v>
      </c>
      <c r="D657" t="s">
        <v>2171</v>
      </c>
      <c r="E657" t="s">
        <v>661</v>
      </c>
      <c r="F657">
        <v>278</v>
      </c>
      <c r="G657">
        <v>0</v>
      </c>
      <c r="I657" t="s">
        <v>1734</v>
      </c>
      <c r="J657">
        <v>105</v>
      </c>
      <c r="K657">
        <v>86</v>
      </c>
      <c r="L657">
        <v>95</v>
      </c>
      <c r="M657">
        <v>150.6</v>
      </c>
      <c r="N657">
        <v>122.3</v>
      </c>
      <c r="O657">
        <v>136.39709999999999</v>
      </c>
      <c r="P657">
        <v>105.42</v>
      </c>
      <c r="Q657">
        <v>85.61</v>
      </c>
      <c r="R657">
        <v>95.477999999999994</v>
      </c>
      <c r="V657" t="s">
        <v>167</v>
      </c>
      <c r="W657" t="s">
        <v>168</v>
      </c>
      <c r="Y657">
        <v>1</v>
      </c>
      <c r="Z657" t="s">
        <v>170</v>
      </c>
      <c r="AA657" t="s">
        <v>170</v>
      </c>
      <c r="AB657" t="s">
        <v>171</v>
      </c>
      <c r="AC657" t="s">
        <v>172</v>
      </c>
      <c r="AF657">
        <v>350</v>
      </c>
      <c r="AG657" t="s">
        <v>1735</v>
      </c>
      <c r="AH657" t="s">
        <v>1736</v>
      </c>
      <c r="AI657" t="s">
        <v>175</v>
      </c>
      <c r="AJ657" t="s">
        <v>176</v>
      </c>
      <c r="AK657">
        <v>4</v>
      </c>
      <c r="AL657" t="s">
        <v>1737</v>
      </c>
      <c r="AS657">
        <v>850</v>
      </c>
      <c r="AT657">
        <v>50</v>
      </c>
      <c r="BQ657">
        <v>32</v>
      </c>
      <c r="BR657" t="s">
        <v>1453</v>
      </c>
      <c r="BT657" t="s">
        <v>1769</v>
      </c>
      <c r="BU657" s="1">
        <v>45595</v>
      </c>
      <c r="BV657">
        <v>35767</v>
      </c>
      <c r="BX657" t="s">
        <v>170</v>
      </c>
      <c r="BY657" t="s">
        <v>170</v>
      </c>
      <c r="CB657" t="s">
        <v>170</v>
      </c>
      <c r="CC657" t="s">
        <v>170</v>
      </c>
      <c r="CK657" t="s">
        <v>233</v>
      </c>
      <c r="CM657">
        <v>1</v>
      </c>
      <c r="CN657" t="s">
        <v>234</v>
      </c>
      <c r="CP657">
        <v>375</v>
      </c>
      <c r="CQ657">
        <v>296</v>
      </c>
      <c r="CR657">
        <v>167</v>
      </c>
      <c r="CS657" t="s">
        <v>235</v>
      </c>
      <c r="CV657" t="s">
        <v>341</v>
      </c>
      <c r="CX657" t="s">
        <v>1012</v>
      </c>
      <c r="CY657" t="s">
        <v>170</v>
      </c>
      <c r="DC657" t="s">
        <v>2169</v>
      </c>
      <c r="DD657">
        <v>1</v>
      </c>
      <c r="DE657" t="s">
        <v>404</v>
      </c>
      <c r="DF657" t="s">
        <v>427</v>
      </c>
      <c r="DG657">
        <v>220</v>
      </c>
      <c r="DL657" t="s">
        <v>170</v>
      </c>
      <c r="DM657" t="s">
        <v>169</v>
      </c>
      <c r="DP657" t="s">
        <v>170</v>
      </c>
      <c r="DQ657" t="s">
        <v>187</v>
      </c>
      <c r="EB657">
        <v>9</v>
      </c>
      <c r="EC657">
        <v>10</v>
      </c>
      <c r="EE657" t="s">
        <v>2170</v>
      </c>
      <c r="EF657">
        <v>10</v>
      </c>
      <c r="EU657">
        <v>5250</v>
      </c>
      <c r="EW657">
        <v>0</v>
      </c>
      <c r="EX657">
        <v>0</v>
      </c>
      <c r="EY657">
        <v>0</v>
      </c>
      <c r="FA657">
        <v>10</v>
      </c>
      <c r="FG657">
        <v>317</v>
      </c>
      <c r="FH657">
        <v>390</v>
      </c>
      <c r="FI657">
        <v>350</v>
      </c>
    </row>
    <row r="658" spans="1:165" x14ac:dyDescent="0.35">
      <c r="A658">
        <v>2025</v>
      </c>
      <c r="B658" t="s">
        <v>658</v>
      </c>
      <c r="C658" t="s">
        <v>2145</v>
      </c>
      <c r="D658" t="s">
        <v>2171</v>
      </c>
      <c r="E658" t="s">
        <v>661</v>
      </c>
      <c r="F658">
        <v>278</v>
      </c>
      <c r="G658">
        <v>0</v>
      </c>
      <c r="I658" t="s">
        <v>1734</v>
      </c>
      <c r="J658">
        <v>32</v>
      </c>
      <c r="K658">
        <v>39</v>
      </c>
      <c r="L658">
        <v>35</v>
      </c>
      <c r="M658">
        <v>22.375599999999999</v>
      </c>
      <c r="N658">
        <v>27.553699999999999</v>
      </c>
      <c r="O658">
        <v>24.7058</v>
      </c>
      <c r="P658">
        <v>31.972100000000001</v>
      </c>
      <c r="Q658">
        <v>39.370399999999997</v>
      </c>
      <c r="R658">
        <v>35.301299999999998</v>
      </c>
      <c r="V658" t="s">
        <v>167</v>
      </c>
      <c r="W658" t="s">
        <v>168</v>
      </c>
      <c r="Y658">
        <v>1</v>
      </c>
      <c r="Z658" t="s">
        <v>170</v>
      </c>
      <c r="AA658" t="s">
        <v>170</v>
      </c>
      <c r="AB658" t="s">
        <v>171</v>
      </c>
      <c r="AC658" t="s">
        <v>172</v>
      </c>
      <c r="AF658">
        <v>350</v>
      </c>
      <c r="AG658" t="s">
        <v>1735</v>
      </c>
      <c r="AH658" t="s">
        <v>1736</v>
      </c>
      <c r="AI658" t="s">
        <v>1742</v>
      </c>
      <c r="AJ658" t="s">
        <v>1743</v>
      </c>
      <c r="AK658">
        <v>4</v>
      </c>
      <c r="AL658" t="s">
        <v>1737</v>
      </c>
      <c r="AS658">
        <v>850</v>
      </c>
      <c r="AT658">
        <v>850</v>
      </c>
      <c r="BQ658">
        <v>32</v>
      </c>
      <c r="BR658" t="s">
        <v>1453</v>
      </c>
      <c r="BT658" t="s">
        <v>1769</v>
      </c>
      <c r="BU658" s="1">
        <v>45595</v>
      </c>
      <c r="BV658">
        <v>35767</v>
      </c>
      <c r="BX658" t="s">
        <v>170</v>
      </c>
      <c r="BY658" t="s">
        <v>170</v>
      </c>
      <c r="CB658" t="s">
        <v>170</v>
      </c>
      <c r="CC658" t="s">
        <v>170</v>
      </c>
      <c r="CK658" t="s">
        <v>233</v>
      </c>
      <c r="CM658">
        <v>1</v>
      </c>
      <c r="CN658" t="s">
        <v>234</v>
      </c>
      <c r="CP658">
        <v>375</v>
      </c>
      <c r="CQ658">
        <v>296</v>
      </c>
      <c r="CR658">
        <v>167</v>
      </c>
      <c r="CS658" t="s">
        <v>235</v>
      </c>
      <c r="CV658" t="s">
        <v>341</v>
      </c>
      <c r="CX658" t="s">
        <v>1012</v>
      </c>
      <c r="CY658" t="s">
        <v>170</v>
      </c>
      <c r="DC658" t="s">
        <v>2169</v>
      </c>
      <c r="DD658">
        <v>1</v>
      </c>
      <c r="DE658" t="s">
        <v>404</v>
      </c>
      <c r="DF658" t="s">
        <v>427</v>
      </c>
      <c r="DG658">
        <v>220</v>
      </c>
      <c r="DL658" t="s">
        <v>170</v>
      </c>
      <c r="DM658" t="s">
        <v>169</v>
      </c>
      <c r="DP658" t="s">
        <v>170</v>
      </c>
      <c r="DQ658" t="s">
        <v>187</v>
      </c>
      <c r="EB658">
        <v>9</v>
      </c>
      <c r="EC658">
        <v>10</v>
      </c>
      <c r="EE658" t="s">
        <v>2170</v>
      </c>
      <c r="EF658">
        <v>10</v>
      </c>
      <c r="EU658">
        <v>5250</v>
      </c>
      <c r="EW658">
        <v>0</v>
      </c>
      <c r="EX658">
        <v>0</v>
      </c>
      <c r="EY658">
        <v>0</v>
      </c>
      <c r="FA658">
        <v>10</v>
      </c>
      <c r="FG658">
        <v>303</v>
      </c>
      <c r="FH658">
        <v>370</v>
      </c>
      <c r="FI658">
        <v>350</v>
      </c>
    </row>
    <row r="659" spans="1:165" x14ac:dyDescent="0.35">
      <c r="A659" s="25"/>
      <c r="B659" s="25"/>
      <c r="C659" s="25"/>
      <c r="D659" s="25"/>
      <c r="E659" s="25"/>
      <c r="F659" s="25" t="str">
        <f>_xlfn.CONCAT($A660," ",$B660," ",$D660)</f>
        <v>2025 Volvo Polestar 3 Long Range Single Motor 22 Inch Wheels</v>
      </c>
      <c r="G659" s="25"/>
      <c r="H659" s="25"/>
      <c r="I659" s="25"/>
      <c r="J659" s="25"/>
      <c r="K659" s="25"/>
      <c r="L659" s="25"/>
      <c r="M659" s="25"/>
      <c r="N659" s="25"/>
      <c r="O659" s="25"/>
      <c r="P659" s="25"/>
      <c r="Q659" s="25"/>
      <c r="R659" s="25"/>
      <c r="S659" s="25"/>
      <c r="T659" s="25"/>
      <c r="U659" s="25"/>
      <c r="V659" s="25"/>
      <c r="W659" s="25"/>
      <c r="X659" s="25"/>
      <c r="Y659" s="25"/>
      <c r="Z659" s="25"/>
      <c r="AA659" s="25"/>
      <c r="AB659" s="25"/>
      <c r="AC659" s="25"/>
      <c r="AD659" s="25" t="str">
        <f>_xlfn.CONCAT($A660," ",$B660," ",$D660)</f>
        <v>2025 Volvo Polestar 3 Long Range Single Motor 22 Inch Wheels</v>
      </c>
      <c r="AE659" s="25"/>
      <c r="AF659" s="25"/>
      <c r="AG659" s="25"/>
      <c r="AH659" s="25"/>
      <c r="AI659" s="25"/>
      <c r="AJ659" s="25"/>
      <c r="AK659" s="25"/>
      <c r="AL659" s="25"/>
      <c r="AM659" s="25"/>
      <c r="AN659" s="25"/>
      <c r="AO659" s="25"/>
      <c r="AP659" s="25"/>
      <c r="AQ659" s="25"/>
      <c r="AR659" s="25"/>
      <c r="AS659" s="25"/>
      <c r="AT659" s="25"/>
      <c r="AU659" s="25"/>
      <c r="AV659" s="25"/>
      <c r="AW659" s="25"/>
      <c r="AX659" s="25" t="str">
        <f>_xlfn.CONCAT($A660," ",$B660," ",$D660)</f>
        <v>2025 Volvo Polestar 3 Long Range Single Motor 22 Inch Wheels</v>
      </c>
      <c r="AY659" s="25"/>
      <c r="AZ659" s="25"/>
      <c r="BA659" s="25"/>
      <c r="BB659" s="25"/>
      <c r="BC659" s="25"/>
      <c r="BD659" s="25"/>
      <c r="BE659" s="25"/>
      <c r="BF659" s="25"/>
      <c r="BG659" s="25"/>
      <c r="BH659" s="25"/>
      <c r="BI659" s="25"/>
      <c r="BJ659" s="25"/>
      <c r="BK659" s="25"/>
      <c r="BL659" s="25"/>
      <c r="BM659" s="25"/>
      <c r="BN659" s="25"/>
      <c r="BO659" s="25"/>
      <c r="BP659" s="25"/>
      <c r="BQ659" s="25"/>
      <c r="BR659" s="25" t="str">
        <f>_xlfn.CONCAT($A660," ",$B660," ",$D660)</f>
        <v>2025 Volvo Polestar 3 Long Range Single Motor 22 Inch Wheels</v>
      </c>
      <c r="BS659" s="25"/>
      <c r="BT659" s="25"/>
      <c r="BU659" s="25"/>
      <c r="BV659" s="25"/>
      <c r="BX659" s="25"/>
      <c r="BY659" s="25"/>
      <c r="BZ659" s="25"/>
      <c r="CA659" s="25"/>
      <c r="CB659" s="25"/>
      <c r="CC659" s="25"/>
      <c r="CD659" s="25"/>
      <c r="CE659" s="25"/>
      <c r="CF659" s="25"/>
      <c r="CG659" s="25"/>
      <c r="CH659" s="25"/>
      <c r="CI659" s="25"/>
      <c r="CJ659" s="25"/>
      <c r="CK659" s="25"/>
      <c r="CL659" s="25"/>
      <c r="CM659" s="25"/>
      <c r="CN659" s="25"/>
      <c r="CO659" s="25"/>
      <c r="CP659" s="25" t="str">
        <f>_xlfn.CONCAT($A660," ",$B660," ",$D660)</f>
        <v>2025 Volvo Polestar 3 Long Range Single Motor 22 Inch Wheels</v>
      </c>
      <c r="CQ659" s="25"/>
      <c r="CR659" s="25"/>
      <c r="CS659" s="25"/>
      <c r="CT659" s="25"/>
      <c r="CU659" s="25"/>
      <c r="CV659" s="25"/>
      <c r="CW659" s="25"/>
      <c r="CX659" s="25"/>
      <c r="CY659" s="25"/>
      <c r="CZ659" s="25"/>
      <c r="DA659" s="25"/>
      <c r="DB659" s="25"/>
      <c r="DC659" s="25"/>
      <c r="DD659" s="25"/>
      <c r="DE659" s="25"/>
      <c r="DF659" s="25"/>
      <c r="DG659" s="25"/>
      <c r="DH659" s="25"/>
      <c r="DI659" s="25" t="str">
        <f>_xlfn.CONCAT($A660," ",$B660," ",$D660)</f>
        <v>2025 Volvo Polestar 3 Long Range Single Motor 22 Inch Wheels</v>
      </c>
      <c r="DJ659" s="25"/>
      <c r="DK659" s="25"/>
      <c r="DL659" s="25"/>
      <c r="DM659" s="25"/>
      <c r="DN659" s="25"/>
      <c r="DO659" s="25"/>
      <c r="DP659" s="25"/>
      <c r="DQ659" s="25"/>
      <c r="DR659" s="25"/>
      <c r="DS659" s="25"/>
      <c r="DT659" s="25"/>
      <c r="DU659" s="25"/>
      <c r="DV659" s="25"/>
      <c r="DW659" s="25"/>
      <c r="DX659" s="25"/>
      <c r="DY659" s="25"/>
      <c r="DZ659" s="25" t="str">
        <f>_xlfn.CONCAT($A660," ",$B660," ",$D660)</f>
        <v>2025 Volvo Polestar 3 Long Range Single Motor 22 Inch Wheels</v>
      </c>
      <c r="EB659" s="25"/>
      <c r="EC659" s="25"/>
      <c r="ED659" s="25"/>
      <c r="EE659" s="25"/>
      <c r="EF659" s="25"/>
      <c r="EG659" s="25"/>
      <c r="EH659" s="25"/>
      <c r="EI659" s="25"/>
      <c r="EJ659" s="25"/>
      <c r="EK659" s="25"/>
      <c r="EL659" s="25"/>
      <c r="EM659" s="25"/>
      <c r="EN659" s="25"/>
      <c r="EO659" s="25"/>
      <c r="EP659" s="25"/>
      <c r="EQ659" s="25"/>
      <c r="ER659" s="25"/>
      <c r="ES659" s="25"/>
      <c r="ET659" s="25"/>
      <c r="EU659" s="25"/>
      <c r="EV659" s="25" t="str">
        <f>_xlfn.CONCAT($A660," ",$B660," ",$D660)</f>
        <v>2025 Volvo Polestar 3 Long Range Single Motor 22 Inch Wheels</v>
      </c>
      <c r="EW659" s="25"/>
      <c r="EX659" s="25"/>
      <c r="EY659" s="25"/>
      <c r="EZ659" s="25"/>
      <c r="FA659" s="25"/>
      <c r="FB659" s="25"/>
      <c r="FC659" s="25"/>
      <c r="FD659" s="25"/>
      <c r="FE659" s="25"/>
      <c r="FF659" s="25"/>
      <c r="FG659" s="25"/>
    </row>
    <row r="660" spans="1:165" x14ac:dyDescent="0.35">
      <c r="A660">
        <v>2025</v>
      </c>
      <c r="B660" t="s">
        <v>658</v>
      </c>
      <c r="C660" t="s">
        <v>2145</v>
      </c>
      <c r="D660" t="s">
        <v>2172</v>
      </c>
      <c r="E660" t="s">
        <v>661</v>
      </c>
      <c r="F660">
        <v>279</v>
      </c>
      <c r="G660">
        <v>0</v>
      </c>
      <c r="I660" t="s">
        <v>1734</v>
      </c>
      <c r="J660">
        <v>100</v>
      </c>
      <c r="K660">
        <v>82</v>
      </c>
      <c r="L660">
        <v>91</v>
      </c>
      <c r="M660">
        <v>143.19999999999999</v>
      </c>
      <c r="N660">
        <v>117.4</v>
      </c>
      <c r="O660">
        <v>130.31299999999999</v>
      </c>
      <c r="P660">
        <v>100.24</v>
      </c>
      <c r="Q660">
        <v>82.18</v>
      </c>
      <c r="R660">
        <v>91.219099999999997</v>
      </c>
      <c r="V660" t="s">
        <v>167</v>
      </c>
      <c r="W660" t="s">
        <v>168</v>
      </c>
      <c r="Y660">
        <v>1</v>
      </c>
      <c r="Z660" t="s">
        <v>170</v>
      </c>
      <c r="AA660" t="s">
        <v>170</v>
      </c>
      <c r="AB660" t="s">
        <v>171</v>
      </c>
      <c r="AC660" t="s">
        <v>172</v>
      </c>
      <c r="AF660">
        <v>333</v>
      </c>
      <c r="AG660" t="s">
        <v>1735</v>
      </c>
      <c r="AH660" t="s">
        <v>1736</v>
      </c>
      <c r="AI660" t="s">
        <v>175</v>
      </c>
      <c r="AJ660" t="s">
        <v>176</v>
      </c>
      <c r="AK660">
        <v>4</v>
      </c>
      <c r="AL660" t="s">
        <v>1737</v>
      </c>
      <c r="AS660">
        <v>900</v>
      </c>
      <c r="AT660">
        <v>50</v>
      </c>
      <c r="BQ660">
        <v>32</v>
      </c>
      <c r="BR660" t="s">
        <v>1453</v>
      </c>
      <c r="BT660" t="s">
        <v>1769</v>
      </c>
      <c r="BU660" s="1">
        <v>45595</v>
      </c>
      <c r="BV660">
        <v>35766</v>
      </c>
      <c r="BX660" t="s">
        <v>170</v>
      </c>
      <c r="BY660" t="s">
        <v>170</v>
      </c>
      <c r="CB660" t="s">
        <v>170</v>
      </c>
      <c r="CC660" t="s">
        <v>170</v>
      </c>
      <c r="CK660" t="s">
        <v>233</v>
      </c>
      <c r="CM660">
        <v>1</v>
      </c>
      <c r="CN660" t="s">
        <v>234</v>
      </c>
      <c r="CP660">
        <v>375</v>
      </c>
      <c r="CQ660">
        <v>296</v>
      </c>
      <c r="CR660">
        <v>167</v>
      </c>
      <c r="CS660" t="s">
        <v>235</v>
      </c>
      <c r="CV660" t="s">
        <v>341</v>
      </c>
      <c r="CX660" t="s">
        <v>1012</v>
      </c>
      <c r="CY660" t="s">
        <v>170</v>
      </c>
      <c r="DC660" t="s">
        <v>2169</v>
      </c>
      <c r="DD660">
        <v>1</v>
      </c>
      <c r="DE660" t="s">
        <v>404</v>
      </c>
      <c r="DF660" t="s">
        <v>427</v>
      </c>
      <c r="DG660">
        <v>220</v>
      </c>
      <c r="DL660" t="s">
        <v>170</v>
      </c>
      <c r="DM660" t="s">
        <v>169</v>
      </c>
      <c r="DP660" t="s">
        <v>170</v>
      </c>
      <c r="DQ660" t="s">
        <v>187</v>
      </c>
      <c r="EB660">
        <v>9</v>
      </c>
      <c r="EC660">
        <v>10</v>
      </c>
      <c r="EE660" t="s">
        <v>2170</v>
      </c>
      <c r="EF660">
        <v>10</v>
      </c>
      <c r="EU660">
        <v>5000</v>
      </c>
      <c r="EW660">
        <v>0</v>
      </c>
      <c r="EX660">
        <v>0</v>
      </c>
      <c r="EY660">
        <v>0</v>
      </c>
      <c r="FA660">
        <v>10</v>
      </c>
      <c r="FG660">
        <v>362</v>
      </c>
      <c r="FH660">
        <v>297</v>
      </c>
      <c r="FI660">
        <v>333</v>
      </c>
    </row>
    <row r="661" spans="1:165" x14ac:dyDescent="0.35">
      <c r="A661">
        <v>2025</v>
      </c>
      <c r="B661" t="s">
        <v>658</v>
      </c>
      <c r="C661" t="s">
        <v>2145</v>
      </c>
      <c r="D661" t="s">
        <v>2172</v>
      </c>
      <c r="E661" t="s">
        <v>661</v>
      </c>
      <c r="F661">
        <v>279</v>
      </c>
      <c r="G661">
        <v>0</v>
      </c>
      <c r="I661" t="s">
        <v>1734</v>
      </c>
      <c r="J661">
        <v>34</v>
      </c>
      <c r="K661">
        <v>41</v>
      </c>
      <c r="L661">
        <v>37</v>
      </c>
      <c r="M661">
        <v>23.5306</v>
      </c>
      <c r="N661">
        <v>28.710599999999999</v>
      </c>
      <c r="O661">
        <v>25.861599999999999</v>
      </c>
      <c r="P661">
        <v>33.624299999999998</v>
      </c>
      <c r="Q661">
        <v>41.013599999999997</v>
      </c>
      <c r="R661">
        <v>36.9495</v>
      </c>
      <c r="V661" t="s">
        <v>167</v>
      </c>
      <c r="W661" t="s">
        <v>168</v>
      </c>
      <c r="Y661">
        <v>1</v>
      </c>
      <c r="Z661" t="s">
        <v>170</v>
      </c>
      <c r="AA661" t="s">
        <v>170</v>
      </c>
      <c r="AB661" t="s">
        <v>171</v>
      </c>
      <c r="AC661" t="s">
        <v>172</v>
      </c>
      <c r="AF661">
        <v>333</v>
      </c>
      <c r="AG661" t="s">
        <v>1735</v>
      </c>
      <c r="AH661" t="s">
        <v>1736</v>
      </c>
      <c r="AI661" t="s">
        <v>1742</v>
      </c>
      <c r="AJ661" t="s">
        <v>1743</v>
      </c>
      <c r="AK661">
        <v>4</v>
      </c>
      <c r="AL661" t="s">
        <v>1737</v>
      </c>
      <c r="AS661">
        <v>900</v>
      </c>
      <c r="AT661">
        <v>900</v>
      </c>
      <c r="BQ661">
        <v>32</v>
      </c>
      <c r="BR661" t="s">
        <v>1453</v>
      </c>
      <c r="BT661" t="s">
        <v>1769</v>
      </c>
      <c r="BU661" s="1">
        <v>45595</v>
      </c>
      <c r="BV661">
        <v>35766</v>
      </c>
      <c r="BX661" t="s">
        <v>170</v>
      </c>
      <c r="BY661" t="s">
        <v>170</v>
      </c>
      <c r="CB661" t="s">
        <v>170</v>
      </c>
      <c r="CC661" t="s">
        <v>170</v>
      </c>
      <c r="CK661" t="s">
        <v>233</v>
      </c>
      <c r="CM661">
        <v>1</v>
      </c>
      <c r="CN661" t="s">
        <v>234</v>
      </c>
      <c r="CP661">
        <v>375</v>
      </c>
      <c r="CQ661">
        <v>296</v>
      </c>
      <c r="CR661">
        <v>167</v>
      </c>
      <c r="CS661" t="s">
        <v>235</v>
      </c>
      <c r="CV661" t="s">
        <v>341</v>
      </c>
      <c r="CX661" t="s">
        <v>1012</v>
      </c>
      <c r="CY661" t="s">
        <v>170</v>
      </c>
      <c r="DC661" t="s">
        <v>2169</v>
      </c>
      <c r="DD661">
        <v>1</v>
      </c>
      <c r="DE661" t="s">
        <v>404</v>
      </c>
      <c r="DF661" t="s">
        <v>427</v>
      </c>
      <c r="DG661">
        <v>220</v>
      </c>
      <c r="DL661" t="s">
        <v>170</v>
      </c>
      <c r="DM661" t="s">
        <v>169</v>
      </c>
      <c r="DP661" t="s">
        <v>170</v>
      </c>
      <c r="DQ661" t="s">
        <v>187</v>
      </c>
      <c r="EB661">
        <v>9</v>
      </c>
      <c r="EC661">
        <v>10</v>
      </c>
      <c r="EE661" t="s">
        <v>2170</v>
      </c>
      <c r="EF661">
        <v>10</v>
      </c>
      <c r="EU661">
        <v>5000</v>
      </c>
      <c r="EW661">
        <v>0</v>
      </c>
      <c r="EX661">
        <v>0</v>
      </c>
      <c r="EY661">
        <v>0</v>
      </c>
      <c r="FA661">
        <v>10</v>
      </c>
      <c r="FG661">
        <v>362</v>
      </c>
      <c r="FH661">
        <v>297</v>
      </c>
      <c r="FI661">
        <v>333</v>
      </c>
    </row>
    <row r="662" spans="1:165" x14ac:dyDescent="0.35">
      <c r="A662" s="25"/>
      <c r="B662" s="25"/>
      <c r="C662" s="25"/>
      <c r="D662" s="25"/>
      <c r="E662" s="25"/>
      <c r="F662" s="25" t="str">
        <f>_xlfn.CONCAT($A663," ",$B663," ",$D663)</f>
        <v>2025 Porsche Macan Electric</v>
      </c>
      <c r="G662" s="25"/>
      <c r="H662" s="25"/>
      <c r="I662" s="25"/>
      <c r="J662" s="25"/>
      <c r="K662" s="25"/>
      <c r="L662" s="25"/>
      <c r="M662" s="25"/>
      <c r="N662" s="25"/>
      <c r="O662" s="25"/>
      <c r="P662" s="25"/>
      <c r="Q662" s="25"/>
      <c r="R662" s="25"/>
      <c r="S662" s="25"/>
      <c r="T662" s="25"/>
      <c r="U662" s="25"/>
      <c r="V662" s="25"/>
      <c r="W662" s="25"/>
      <c r="X662" s="25"/>
      <c r="Y662" s="25"/>
      <c r="Z662" s="25"/>
      <c r="AA662" s="25"/>
      <c r="AB662" s="25"/>
      <c r="AC662" s="25"/>
      <c r="AD662" s="25" t="str">
        <f>_xlfn.CONCAT($A663," ",$B663," ",$D663)</f>
        <v>2025 Porsche Macan Electric</v>
      </c>
      <c r="AE662" s="25"/>
      <c r="AF662" s="25"/>
      <c r="AG662" s="25"/>
      <c r="AH662" s="25"/>
      <c r="AI662" s="25"/>
      <c r="AJ662" s="25"/>
      <c r="AK662" s="25"/>
      <c r="AL662" s="25"/>
      <c r="AM662" s="25"/>
      <c r="AN662" s="25"/>
      <c r="AO662" s="25"/>
      <c r="AP662" s="25"/>
      <c r="AQ662" s="25"/>
      <c r="AR662" s="25"/>
      <c r="AS662" s="25"/>
      <c r="AT662" s="25"/>
      <c r="AU662" s="25"/>
      <c r="AV662" s="25"/>
      <c r="AW662" s="25"/>
      <c r="AX662" s="25" t="str">
        <f>_xlfn.CONCAT($A663," ",$B663," ",$D663)</f>
        <v>2025 Porsche Macan Electric</v>
      </c>
      <c r="AY662" s="25"/>
      <c r="AZ662" s="25"/>
      <c r="BA662" s="25"/>
      <c r="BB662" s="25"/>
      <c r="BC662" s="25"/>
      <c r="BD662" s="25"/>
      <c r="BE662" s="25"/>
      <c r="BF662" s="25"/>
      <c r="BG662" s="25"/>
      <c r="BH662" s="25"/>
      <c r="BI662" s="25"/>
      <c r="BJ662" s="25"/>
      <c r="BK662" s="25"/>
      <c r="BL662" s="25"/>
      <c r="BM662" s="25"/>
      <c r="BN662" s="25"/>
      <c r="BO662" s="25"/>
      <c r="BP662" s="25"/>
      <c r="BQ662" s="25"/>
      <c r="BR662" s="25" t="str">
        <f>_xlfn.CONCAT($A663," ",$B663," ",$D663)</f>
        <v>2025 Porsche Macan Electric</v>
      </c>
      <c r="BS662" s="25"/>
      <c r="BT662" s="25"/>
      <c r="BU662" s="25"/>
      <c r="BV662" s="25"/>
      <c r="BX662" s="25"/>
      <c r="BY662" s="25"/>
      <c r="BZ662" s="25"/>
      <c r="CA662" s="25"/>
      <c r="CB662" s="25"/>
      <c r="CC662" s="25"/>
      <c r="CD662" s="25"/>
      <c r="CE662" s="25"/>
      <c r="CF662" s="25"/>
      <c r="CG662" s="25"/>
      <c r="CH662" s="25"/>
      <c r="CI662" s="25"/>
      <c r="CJ662" s="25"/>
      <c r="CK662" s="25"/>
      <c r="CL662" s="25"/>
      <c r="CM662" s="25"/>
      <c r="CN662" s="25"/>
      <c r="CO662" s="25"/>
      <c r="CP662" s="25" t="str">
        <f>_xlfn.CONCAT($A663," ",$B663," ",$D663)</f>
        <v>2025 Porsche Macan Electric</v>
      </c>
      <c r="CQ662" s="25"/>
      <c r="CR662" s="25"/>
      <c r="CS662" s="25"/>
      <c r="CT662" s="25"/>
      <c r="CU662" s="25"/>
      <c r="CV662" s="25"/>
      <c r="CW662" s="25"/>
      <c r="CX662" s="25"/>
      <c r="CY662" s="25"/>
      <c r="CZ662" s="25"/>
      <c r="DA662" s="25"/>
      <c r="DB662" s="25"/>
      <c r="DC662" s="25"/>
      <c r="DD662" s="25"/>
      <c r="DE662" s="25"/>
      <c r="DF662" s="25"/>
      <c r="DG662" s="25"/>
      <c r="DH662" s="25"/>
      <c r="DI662" s="25" t="str">
        <f>_xlfn.CONCAT($A663," ",$B663," ",$D663)</f>
        <v>2025 Porsche Macan Electric</v>
      </c>
      <c r="DJ662" s="25"/>
      <c r="DK662" s="25"/>
      <c r="DL662" s="25"/>
      <c r="DM662" s="25"/>
      <c r="DN662" s="25"/>
      <c r="DO662" s="25"/>
      <c r="DP662" s="25"/>
      <c r="DQ662" s="25"/>
      <c r="DR662" s="25"/>
      <c r="DS662" s="25"/>
      <c r="DT662" s="25"/>
      <c r="DU662" s="25"/>
      <c r="DV662" s="25"/>
      <c r="DW662" s="25"/>
      <c r="DX662" s="25"/>
      <c r="DY662" s="25"/>
      <c r="DZ662" s="25" t="str">
        <f>_xlfn.CONCAT($A663," ",$B663," ",$D663)</f>
        <v>2025 Porsche Macan Electric</v>
      </c>
      <c r="EB662" s="25"/>
      <c r="EC662" s="25"/>
      <c r="ED662" s="25"/>
      <c r="EE662" s="25"/>
      <c r="EF662" s="25"/>
      <c r="EG662" s="25"/>
      <c r="EH662" s="25"/>
      <c r="EI662" s="25"/>
      <c r="EJ662" s="25"/>
      <c r="EK662" s="25"/>
      <c r="EL662" s="25"/>
      <c r="EM662" s="25"/>
      <c r="EN662" s="25"/>
      <c r="EO662" s="25"/>
      <c r="EP662" s="25"/>
      <c r="EQ662" s="25"/>
      <c r="ER662" s="25"/>
      <c r="ES662" s="25"/>
      <c r="ET662" s="25"/>
      <c r="EU662" s="25"/>
      <c r="EV662" s="25" t="str">
        <f>_xlfn.CONCAT($A663," ",$B663," ",$D663)</f>
        <v>2025 Porsche Macan Electric</v>
      </c>
      <c r="EW662" s="25"/>
      <c r="EX662" s="25"/>
      <c r="EY662" s="25"/>
      <c r="EZ662" s="25"/>
      <c r="FA662" s="25"/>
      <c r="FB662" s="25"/>
      <c r="FC662" s="25"/>
      <c r="FD662" s="25"/>
      <c r="FE662" s="25"/>
      <c r="FF662" s="25"/>
      <c r="FG662" s="25"/>
    </row>
    <row r="663" spans="1:165" x14ac:dyDescent="0.35">
      <c r="A663">
        <v>2025</v>
      </c>
      <c r="B663" t="s">
        <v>299</v>
      </c>
      <c r="C663" t="s">
        <v>299</v>
      </c>
      <c r="D663" t="s">
        <v>2186</v>
      </c>
      <c r="E663" t="s">
        <v>301</v>
      </c>
      <c r="F663">
        <v>302</v>
      </c>
      <c r="G663">
        <v>0</v>
      </c>
      <c r="I663" t="s">
        <v>1734</v>
      </c>
      <c r="J663">
        <v>108</v>
      </c>
      <c r="K663">
        <v>90</v>
      </c>
      <c r="L663">
        <v>99</v>
      </c>
      <c r="M663">
        <v>153.80000000000001</v>
      </c>
      <c r="N663">
        <v>128.69999999999999</v>
      </c>
      <c r="O663">
        <v>141.3912</v>
      </c>
      <c r="P663">
        <v>107.66</v>
      </c>
      <c r="Q663">
        <v>90.09</v>
      </c>
      <c r="R663">
        <v>98.973799999999997</v>
      </c>
      <c r="V663" t="s">
        <v>167</v>
      </c>
      <c r="W663" t="s">
        <v>168</v>
      </c>
      <c r="Y663">
        <v>1</v>
      </c>
      <c r="Z663" t="s">
        <v>170</v>
      </c>
      <c r="AA663" t="s">
        <v>170</v>
      </c>
      <c r="AB663" t="s">
        <v>171</v>
      </c>
      <c r="AC663" t="s">
        <v>172</v>
      </c>
      <c r="AF663">
        <v>315</v>
      </c>
      <c r="AG663" t="s">
        <v>1735</v>
      </c>
      <c r="AH663" t="s">
        <v>1736</v>
      </c>
      <c r="AI663" t="s">
        <v>175</v>
      </c>
      <c r="AJ663" t="s">
        <v>176</v>
      </c>
      <c r="AK663" t="s">
        <v>940</v>
      </c>
      <c r="AL663" t="s">
        <v>941</v>
      </c>
      <c r="AS663">
        <v>800</v>
      </c>
      <c r="AT663">
        <v>0</v>
      </c>
      <c r="BQ663">
        <v>31</v>
      </c>
      <c r="BR663" t="s">
        <v>1219</v>
      </c>
      <c r="BT663" t="s">
        <v>1738</v>
      </c>
      <c r="BU663" s="1">
        <v>45627</v>
      </c>
      <c r="BV663">
        <v>35970</v>
      </c>
      <c r="BX663" t="s">
        <v>170</v>
      </c>
      <c r="BY663" t="s">
        <v>170</v>
      </c>
      <c r="CB663" t="s">
        <v>170</v>
      </c>
      <c r="CC663" t="s">
        <v>170</v>
      </c>
      <c r="CK663" t="s">
        <v>233</v>
      </c>
      <c r="CM663">
        <v>1</v>
      </c>
      <c r="CN663" t="s">
        <v>234</v>
      </c>
      <c r="CP663">
        <v>916</v>
      </c>
      <c r="CQ663">
        <v>153</v>
      </c>
      <c r="CR663">
        <v>161</v>
      </c>
      <c r="CS663" t="s">
        <v>1739</v>
      </c>
      <c r="CV663" t="s">
        <v>341</v>
      </c>
      <c r="CX663" t="s">
        <v>342</v>
      </c>
      <c r="CY663" t="s">
        <v>170</v>
      </c>
      <c r="DC663" t="s">
        <v>2180</v>
      </c>
      <c r="DD663">
        <v>1</v>
      </c>
      <c r="DE663" t="s">
        <v>404</v>
      </c>
      <c r="DF663" t="s">
        <v>2181</v>
      </c>
      <c r="DG663">
        <v>280</v>
      </c>
      <c r="DL663" t="s">
        <v>170</v>
      </c>
      <c r="DM663" t="s">
        <v>169</v>
      </c>
      <c r="DP663" t="s">
        <v>170</v>
      </c>
      <c r="DQ663" t="s">
        <v>187</v>
      </c>
      <c r="EB663">
        <v>9</v>
      </c>
      <c r="EC663">
        <v>10</v>
      </c>
      <c r="EE663" t="s">
        <v>2187</v>
      </c>
      <c r="EF663">
        <v>10</v>
      </c>
      <c r="EU663">
        <v>5500</v>
      </c>
      <c r="EW663">
        <v>0</v>
      </c>
      <c r="EX663">
        <v>0</v>
      </c>
      <c r="EY663">
        <v>0</v>
      </c>
      <c r="FA663">
        <v>11.5</v>
      </c>
      <c r="FG663">
        <v>340</v>
      </c>
      <c r="FH663">
        <v>284</v>
      </c>
      <c r="FI663">
        <v>315</v>
      </c>
    </row>
    <row r="664" spans="1:165" x14ac:dyDescent="0.35">
      <c r="A664">
        <v>2025</v>
      </c>
      <c r="B664" t="s">
        <v>299</v>
      </c>
      <c r="C664" t="s">
        <v>299</v>
      </c>
      <c r="D664" t="s">
        <v>2186</v>
      </c>
      <c r="E664" t="s">
        <v>301</v>
      </c>
      <c r="F664">
        <v>302</v>
      </c>
      <c r="G664">
        <v>0</v>
      </c>
      <c r="I664" t="s">
        <v>1734</v>
      </c>
      <c r="J664">
        <v>31</v>
      </c>
      <c r="K664">
        <v>37</v>
      </c>
      <c r="L664">
        <v>34</v>
      </c>
      <c r="M664">
        <v>21.915500000000002</v>
      </c>
      <c r="N664">
        <v>26.180700000000002</v>
      </c>
      <c r="O664">
        <v>23.834800000000001</v>
      </c>
      <c r="P664">
        <v>31.306899999999999</v>
      </c>
      <c r="Q664">
        <v>37.412599999999998</v>
      </c>
      <c r="R664">
        <v>34.054499999999997</v>
      </c>
      <c r="V664" t="s">
        <v>167</v>
      </c>
      <c r="W664" t="s">
        <v>168</v>
      </c>
      <c r="Y664">
        <v>1</v>
      </c>
      <c r="Z664" t="s">
        <v>170</v>
      </c>
      <c r="AA664" t="s">
        <v>170</v>
      </c>
      <c r="AB664" t="s">
        <v>171</v>
      </c>
      <c r="AC664" t="s">
        <v>172</v>
      </c>
      <c r="AF664">
        <v>315</v>
      </c>
      <c r="AG664" t="s">
        <v>1735</v>
      </c>
      <c r="AH664" t="s">
        <v>1736</v>
      </c>
      <c r="AI664" t="s">
        <v>1742</v>
      </c>
      <c r="AJ664" t="s">
        <v>1743</v>
      </c>
      <c r="AK664" t="s">
        <v>940</v>
      </c>
      <c r="AL664" t="s">
        <v>941</v>
      </c>
      <c r="AS664">
        <v>800</v>
      </c>
      <c r="AT664">
        <v>800</v>
      </c>
      <c r="BQ664">
        <v>31</v>
      </c>
      <c r="BR664" t="s">
        <v>1219</v>
      </c>
      <c r="BT664" t="s">
        <v>1738</v>
      </c>
      <c r="BU664" s="1">
        <v>45627</v>
      </c>
      <c r="BV664">
        <v>35970</v>
      </c>
      <c r="BX664" t="s">
        <v>170</v>
      </c>
      <c r="BY664" t="s">
        <v>170</v>
      </c>
      <c r="CB664" t="s">
        <v>170</v>
      </c>
      <c r="CC664" t="s">
        <v>170</v>
      </c>
      <c r="CK664" t="s">
        <v>233</v>
      </c>
      <c r="CM664">
        <v>1</v>
      </c>
      <c r="CN664" t="s">
        <v>234</v>
      </c>
      <c r="CP664">
        <v>916</v>
      </c>
      <c r="CQ664">
        <v>153</v>
      </c>
      <c r="CR664">
        <v>161</v>
      </c>
      <c r="CS664" t="s">
        <v>1739</v>
      </c>
      <c r="CV664" t="s">
        <v>341</v>
      </c>
      <c r="CX664" t="s">
        <v>342</v>
      </c>
      <c r="CY664" t="s">
        <v>170</v>
      </c>
      <c r="DC664" t="s">
        <v>2180</v>
      </c>
      <c r="DD664">
        <v>1</v>
      </c>
      <c r="DE664" t="s">
        <v>404</v>
      </c>
      <c r="DF664" t="s">
        <v>2181</v>
      </c>
      <c r="DG664">
        <v>280</v>
      </c>
      <c r="DL664" t="s">
        <v>170</v>
      </c>
      <c r="DM664" t="s">
        <v>169</v>
      </c>
      <c r="DP664" t="s">
        <v>170</v>
      </c>
      <c r="DQ664" t="s">
        <v>187</v>
      </c>
      <c r="EB664">
        <v>9</v>
      </c>
      <c r="EC664">
        <v>10</v>
      </c>
      <c r="EE664" t="s">
        <v>2187</v>
      </c>
      <c r="EF664">
        <v>10</v>
      </c>
      <c r="EU664">
        <v>5500</v>
      </c>
      <c r="EW664">
        <v>0</v>
      </c>
      <c r="EX664">
        <v>0</v>
      </c>
      <c r="EY664">
        <v>0</v>
      </c>
      <c r="FA664">
        <v>11.5</v>
      </c>
      <c r="FG664">
        <v>340</v>
      </c>
      <c r="FH664">
        <v>284</v>
      </c>
      <c r="FI664">
        <v>315</v>
      </c>
    </row>
    <row r="665" spans="1:165" x14ac:dyDescent="0.35">
      <c r="A665" s="25"/>
      <c r="B665" s="25"/>
      <c r="C665" s="25"/>
      <c r="D665" s="25"/>
      <c r="E665" s="25"/>
      <c r="F665" s="25" t="str">
        <f>_xlfn.CONCAT($A666," ",$B666," ",$D666)</f>
        <v>2025 Porsche Macan 4S Electric</v>
      </c>
      <c r="G665" s="25"/>
      <c r="H665" s="25"/>
      <c r="I665" s="25"/>
      <c r="J665" s="25"/>
      <c r="K665" s="25"/>
      <c r="L665" s="25"/>
      <c r="M665" s="25"/>
      <c r="N665" s="25"/>
      <c r="O665" s="25"/>
      <c r="P665" s="25"/>
      <c r="Q665" s="25"/>
      <c r="R665" s="25"/>
      <c r="S665" s="25"/>
      <c r="T665" s="25"/>
      <c r="U665" s="25"/>
      <c r="V665" s="25"/>
      <c r="W665" s="25"/>
      <c r="X665" s="25"/>
      <c r="Y665" s="25"/>
      <c r="Z665" s="25"/>
      <c r="AA665" s="25"/>
      <c r="AB665" s="25"/>
      <c r="AC665" s="25"/>
      <c r="AD665" s="25" t="str">
        <f>_xlfn.CONCAT($A666," ",$B666," ",$D666)</f>
        <v>2025 Porsche Macan 4S Electric</v>
      </c>
      <c r="AE665" s="25"/>
      <c r="AF665" s="25"/>
      <c r="AG665" s="25"/>
      <c r="AH665" s="25"/>
      <c r="AI665" s="25"/>
      <c r="AJ665" s="25"/>
      <c r="AK665" s="25"/>
      <c r="AL665" s="25"/>
      <c r="AM665" s="25"/>
      <c r="AN665" s="25"/>
      <c r="AO665" s="25"/>
      <c r="AP665" s="25"/>
      <c r="AQ665" s="25"/>
      <c r="AR665" s="25"/>
      <c r="AS665" s="25"/>
      <c r="AT665" s="25"/>
      <c r="AU665" s="25"/>
      <c r="AV665" s="25"/>
      <c r="AW665" s="25"/>
      <c r="AX665" s="25" t="str">
        <f>_xlfn.CONCAT($A666," ",$B666," ",$D666)</f>
        <v>2025 Porsche Macan 4S Electric</v>
      </c>
      <c r="AY665" s="25"/>
      <c r="AZ665" s="25"/>
      <c r="BA665" s="25"/>
      <c r="BB665" s="25"/>
      <c r="BC665" s="25"/>
      <c r="BD665" s="25"/>
      <c r="BE665" s="25"/>
      <c r="BF665" s="25"/>
      <c r="BG665" s="25"/>
      <c r="BH665" s="25"/>
      <c r="BI665" s="25"/>
      <c r="BJ665" s="25"/>
      <c r="BK665" s="25"/>
      <c r="BL665" s="25"/>
      <c r="BM665" s="25"/>
      <c r="BN665" s="25"/>
      <c r="BO665" s="25"/>
      <c r="BP665" s="25"/>
      <c r="BQ665" s="25"/>
      <c r="BR665" s="25" t="str">
        <f>_xlfn.CONCAT($A666," ",$B666," ",$D666)</f>
        <v>2025 Porsche Macan 4S Electric</v>
      </c>
      <c r="BS665" s="25"/>
      <c r="BT665" s="25"/>
      <c r="BU665" s="25"/>
      <c r="BV665" s="25"/>
      <c r="BX665" s="25"/>
      <c r="BY665" s="25"/>
      <c r="BZ665" s="25"/>
      <c r="CA665" s="25"/>
      <c r="CB665" s="25"/>
      <c r="CC665" s="25"/>
      <c r="CD665" s="25"/>
      <c r="CE665" s="25"/>
      <c r="CF665" s="25"/>
      <c r="CG665" s="25"/>
      <c r="CH665" s="25"/>
      <c r="CI665" s="25"/>
      <c r="CJ665" s="25"/>
      <c r="CK665" s="25"/>
      <c r="CL665" s="25"/>
      <c r="CM665" s="25"/>
      <c r="CN665" s="25"/>
      <c r="CO665" s="25"/>
      <c r="CP665" s="25" t="str">
        <f>_xlfn.CONCAT($A666," ",$B666," ",$D666)</f>
        <v>2025 Porsche Macan 4S Electric</v>
      </c>
      <c r="CQ665" s="25"/>
      <c r="CR665" s="25"/>
      <c r="CS665" s="25"/>
      <c r="CT665" s="25"/>
      <c r="CU665" s="25"/>
      <c r="CV665" s="25"/>
      <c r="CW665" s="25"/>
      <c r="CX665" s="25"/>
      <c r="CY665" s="25"/>
      <c r="CZ665" s="25"/>
      <c r="DA665" s="25"/>
      <c r="DB665" s="25"/>
      <c r="DC665" s="25"/>
      <c r="DD665" s="25"/>
      <c r="DE665" s="25"/>
      <c r="DF665" s="25"/>
      <c r="DG665" s="25"/>
      <c r="DH665" s="25"/>
      <c r="DI665" s="25" t="str">
        <f>_xlfn.CONCAT($A666," ",$B666," ",$D666)</f>
        <v>2025 Porsche Macan 4S Electric</v>
      </c>
      <c r="DJ665" s="25"/>
      <c r="DK665" s="25"/>
      <c r="DL665" s="25"/>
      <c r="DM665" s="25"/>
      <c r="DN665" s="25"/>
      <c r="DO665" s="25"/>
      <c r="DP665" s="25"/>
      <c r="DQ665" s="25"/>
      <c r="DR665" s="25"/>
      <c r="DS665" s="25"/>
      <c r="DT665" s="25"/>
      <c r="DU665" s="25"/>
      <c r="DV665" s="25"/>
      <c r="DW665" s="25"/>
      <c r="DX665" s="25"/>
      <c r="DY665" s="25"/>
      <c r="DZ665" s="25" t="str">
        <f>_xlfn.CONCAT($A666," ",$B666," ",$D666)</f>
        <v>2025 Porsche Macan 4S Electric</v>
      </c>
      <c r="EB665" s="25"/>
      <c r="EC665" s="25"/>
      <c r="ED665" s="25"/>
      <c r="EE665" s="25"/>
      <c r="EF665" s="25"/>
      <c r="EG665" s="25"/>
      <c r="EH665" s="25"/>
      <c r="EI665" s="25"/>
      <c r="EJ665" s="25"/>
      <c r="EK665" s="25"/>
      <c r="EL665" s="25"/>
      <c r="EM665" s="25"/>
      <c r="EN665" s="25"/>
      <c r="EO665" s="25"/>
      <c r="EP665" s="25"/>
      <c r="EQ665" s="25"/>
      <c r="ER665" s="25"/>
      <c r="ES665" s="25"/>
      <c r="ET665" s="25"/>
      <c r="EU665" s="25"/>
      <c r="EV665" s="25" t="str">
        <f>_xlfn.CONCAT($A666," ",$B666," ",$D666)</f>
        <v>2025 Porsche Macan 4S Electric</v>
      </c>
      <c r="EW665" s="25"/>
      <c r="EX665" s="25"/>
      <c r="EY665" s="25"/>
      <c r="EZ665" s="25"/>
      <c r="FA665" s="25"/>
      <c r="FB665" s="25"/>
      <c r="FC665" s="25"/>
      <c r="FD665" s="25"/>
      <c r="FE665" s="25"/>
      <c r="FF665" s="25"/>
      <c r="FG665" s="25"/>
    </row>
    <row r="666" spans="1:165" x14ac:dyDescent="0.35">
      <c r="A666">
        <v>2025</v>
      </c>
      <c r="B666" t="s">
        <v>299</v>
      </c>
      <c r="C666" t="s">
        <v>299</v>
      </c>
      <c r="D666" t="s">
        <v>2184</v>
      </c>
      <c r="E666" t="s">
        <v>301</v>
      </c>
      <c r="F666">
        <v>320</v>
      </c>
      <c r="G666">
        <v>0</v>
      </c>
      <c r="I666" t="s">
        <v>1734</v>
      </c>
      <c r="J666">
        <v>98</v>
      </c>
      <c r="K666">
        <v>83</v>
      </c>
      <c r="L666">
        <v>91</v>
      </c>
      <c r="M666">
        <v>139.80000000000001</v>
      </c>
      <c r="N666">
        <v>118.9</v>
      </c>
      <c r="O666">
        <v>129.55240000000001</v>
      </c>
      <c r="P666">
        <v>97.86</v>
      </c>
      <c r="Q666">
        <v>83.23</v>
      </c>
      <c r="R666">
        <v>90.686700000000002</v>
      </c>
      <c r="V666" t="s">
        <v>167</v>
      </c>
      <c r="W666" t="s">
        <v>168</v>
      </c>
      <c r="Y666">
        <v>1</v>
      </c>
      <c r="Z666" t="s">
        <v>170</v>
      </c>
      <c r="AA666" t="s">
        <v>170</v>
      </c>
      <c r="AB666" t="s">
        <v>167</v>
      </c>
      <c r="AC666" t="s">
        <v>213</v>
      </c>
      <c r="AF666">
        <v>288</v>
      </c>
      <c r="AG666" t="s">
        <v>1735</v>
      </c>
      <c r="AH666" t="s">
        <v>1736</v>
      </c>
      <c r="AI666" t="s">
        <v>175</v>
      </c>
      <c r="AJ666" t="s">
        <v>176</v>
      </c>
      <c r="AK666" t="s">
        <v>940</v>
      </c>
      <c r="AL666" t="s">
        <v>941</v>
      </c>
      <c r="AS666">
        <v>900</v>
      </c>
      <c r="AT666">
        <v>900</v>
      </c>
      <c r="BQ666">
        <v>31</v>
      </c>
      <c r="BR666" t="s">
        <v>1219</v>
      </c>
      <c r="BT666" t="s">
        <v>1738</v>
      </c>
      <c r="BU666" s="1">
        <v>45565</v>
      </c>
      <c r="BV666">
        <v>35707</v>
      </c>
      <c r="BX666" t="s">
        <v>170</v>
      </c>
      <c r="BY666" t="s">
        <v>170</v>
      </c>
      <c r="CB666" t="s">
        <v>170</v>
      </c>
      <c r="CC666" t="s">
        <v>170</v>
      </c>
      <c r="CK666" t="s">
        <v>233</v>
      </c>
      <c r="CM666">
        <v>1</v>
      </c>
      <c r="CN666" t="s">
        <v>234</v>
      </c>
      <c r="CP666">
        <v>916</v>
      </c>
      <c r="CQ666">
        <v>153</v>
      </c>
      <c r="CR666">
        <v>161</v>
      </c>
      <c r="CS666" t="s">
        <v>1739</v>
      </c>
      <c r="CV666" t="s">
        <v>341</v>
      </c>
      <c r="CX666" t="s">
        <v>342</v>
      </c>
      <c r="CY666" t="s">
        <v>170</v>
      </c>
      <c r="DC666" t="s">
        <v>2180</v>
      </c>
      <c r="DD666">
        <v>3</v>
      </c>
      <c r="DE666" t="s">
        <v>404</v>
      </c>
      <c r="DF666" t="s">
        <v>2181</v>
      </c>
      <c r="DG666" t="s">
        <v>2185</v>
      </c>
      <c r="DL666" t="s">
        <v>170</v>
      </c>
      <c r="DM666" t="s">
        <v>169</v>
      </c>
      <c r="DP666" t="s">
        <v>170</v>
      </c>
      <c r="DQ666" t="s">
        <v>187</v>
      </c>
      <c r="EB666">
        <v>9</v>
      </c>
      <c r="EC666">
        <v>10</v>
      </c>
      <c r="EE666" t="s">
        <v>2183</v>
      </c>
      <c r="EF666">
        <v>10</v>
      </c>
      <c r="EU666">
        <v>5000</v>
      </c>
      <c r="EW666">
        <v>0</v>
      </c>
      <c r="EX666">
        <v>0</v>
      </c>
      <c r="EY666">
        <v>0</v>
      </c>
      <c r="FA666">
        <v>11.5</v>
      </c>
      <c r="FG666">
        <v>309</v>
      </c>
      <c r="FH666">
        <v>263</v>
      </c>
      <c r="FI666">
        <v>288</v>
      </c>
    </row>
    <row r="667" spans="1:165" x14ac:dyDescent="0.35">
      <c r="A667">
        <v>2025</v>
      </c>
      <c r="B667" t="s">
        <v>299</v>
      </c>
      <c r="C667" t="s">
        <v>299</v>
      </c>
      <c r="D667" t="s">
        <v>2184</v>
      </c>
      <c r="E667" t="s">
        <v>301</v>
      </c>
      <c r="F667">
        <v>320</v>
      </c>
      <c r="G667">
        <v>0</v>
      </c>
      <c r="I667" t="s">
        <v>1734</v>
      </c>
      <c r="J667">
        <v>34</v>
      </c>
      <c r="K667">
        <v>40</v>
      </c>
      <c r="L667">
        <v>37</v>
      </c>
      <c r="M667">
        <v>24.105499999999999</v>
      </c>
      <c r="N667">
        <v>28.352900000000002</v>
      </c>
      <c r="O667">
        <v>26.0168</v>
      </c>
      <c r="P667">
        <v>34.442100000000003</v>
      </c>
      <c r="Q667">
        <v>40.496200000000002</v>
      </c>
      <c r="R667">
        <v>37.166400000000003</v>
      </c>
      <c r="V667" t="s">
        <v>167</v>
      </c>
      <c r="W667" t="s">
        <v>168</v>
      </c>
      <c r="Y667">
        <v>1</v>
      </c>
      <c r="Z667" t="s">
        <v>170</v>
      </c>
      <c r="AA667" t="s">
        <v>170</v>
      </c>
      <c r="AB667" t="s">
        <v>167</v>
      </c>
      <c r="AC667" t="s">
        <v>213</v>
      </c>
      <c r="AF667">
        <v>288</v>
      </c>
      <c r="AG667" t="s">
        <v>1735</v>
      </c>
      <c r="AH667" t="s">
        <v>1736</v>
      </c>
      <c r="AI667" t="s">
        <v>1742</v>
      </c>
      <c r="AJ667" t="s">
        <v>1743</v>
      </c>
      <c r="AK667" t="s">
        <v>940</v>
      </c>
      <c r="AL667" t="s">
        <v>941</v>
      </c>
      <c r="AS667">
        <v>900</v>
      </c>
      <c r="AT667">
        <v>900</v>
      </c>
      <c r="BQ667">
        <v>31</v>
      </c>
      <c r="BR667" t="s">
        <v>1219</v>
      </c>
      <c r="BT667" t="s">
        <v>1738</v>
      </c>
      <c r="BU667" s="1">
        <v>45565</v>
      </c>
      <c r="BV667">
        <v>35707</v>
      </c>
      <c r="BX667" t="s">
        <v>170</v>
      </c>
      <c r="BY667" t="s">
        <v>170</v>
      </c>
      <c r="CB667" t="s">
        <v>170</v>
      </c>
      <c r="CC667" t="s">
        <v>170</v>
      </c>
      <c r="CK667" t="s">
        <v>233</v>
      </c>
      <c r="CM667">
        <v>1</v>
      </c>
      <c r="CN667" t="s">
        <v>234</v>
      </c>
      <c r="CP667">
        <v>916</v>
      </c>
      <c r="CQ667">
        <v>153</v>
      </c>
      <c r="CR667">
        <v>161</v>
      </c>
      <c r="CS667" t="s">
        <v>1739</v>
      </c>
      <c r="CV667" t="s">
        <v>341</v>
      </c>
      <c r="CX667" t="s">
        <v>342</v>
      </c>
      <c r="CY667" t="s">
        <v>170</v>
      </c>
      <c r="DC667" t="s">
        <v>2180</v>
      </c>
      <c r="DD667">
        <v>3</v>
      </c>
      <c r="DE667" t="s">
        <v>404</v>
      </c>
      <c r="DF667" t="s">
        <v>2181</v>
      </c>
      <c r="DG667" t="s">
        <v>2185</v>
      </c>
      <c r="DL667" t="s">
        <v>170</v>
      </c>
      <c r="DM667" t="s">
        <v>169</v>
      </c>
      <c r="DP667" t="s">
        <v>170</v>
      </c>
      <c r="DQ667" t="s">
        <v>187</v>
      </c>
      <c r="EB667">
        <v>9</v>
      </c>
      <c r="EC667">
        <v>10</v>
      </c>
      <c r="EE667" t="s">
        <v>2183</v>
      </c>
      <c r="EF667">
        <v>10</v>
      </c>
      <c r="EU667">
        <v>5000</v>
      </c>
      <c r="EW667">
        <v>0</v>
      </c>
      <c r="EX667">
        <v>0</v>
      </c>
      <c r="EY667">
        <v>0</v>
      </c>
      <c r="FA667">
        <v>11.5</v>
      </c>
      <c r="FG667">
        <v>309</v>
      </c>
      <c r="FH667">
        <v>263</v>
      </c>
      <c r="FI667">
        <v>288</v>
      </c>
    </row>
    <row r="668" spans="1:165" x14ac:dyDescent="0.35">
      <c r="A668" s="25"/>
      <c r="B668" s="25"/>
      <c r="C668" s="25"/>
      <c r="D668" s="25"/>
      <c r="E668" s="25"/>
      <c r="F668" s="25" t="str">
        <f>_xlfn.CONCAT($A669," ",$B669," ",$D669)</f>
        <v>2025 Porsche Macan 4 Electric</v>
      </c>
      <c r="G668" s="25"/>
      <c r="H668" s="25"/>
      <c r="I668" s="25"/>
      <c r="J668" s="25"/>
      <c r="K668" s="25"/>
      <c r="L668" s="25"/>
      <c r="M668" s="25"/>
      <c r="N668" s="25"/>
      <c r="O668" s="25"/>
      <c r="P668" s="25"/>
      <c r="Q668" s="25"/>
      <c r="R668" s="25"/>
      <c r="S668" s="25"/>
      <c r="T668" s="25"/>
      <c r="U668" s="25"/>
      <c r="V668" s="25"/>
      <c r="W668" s="25"/>
      <c r="X668" s="25"/>
      <c r="Y668" s="25"/>
      <c r="Z668" s="25"/>
      <c r="AA668" s="25"/>
      <c r="AB668" s="25"/>
      <c r="AC668" s="25"/>
      <c r="AD668" s="25" t="str">
        <f>_xlfn.CONCAT($A669," ",$B669," ",$D669)</f>
        <v>2025 Porsche Macan 4 Electric</v>
      </c>
      <c r="AE668" s="25"/>
      <c r="AF668" s="25"/>
      <c r="AG668" s="25"/>
      <c r="AH668" s="25"/>
      <c r="AI668" s="25"/>
      <c r="AJ668" s="25"/>
      <c r="AK668" s="25"/>
      <c r="AL668" s="25"/>
      <c r="AM668" s="25"/>
      <c r="AN668" s="25"/>
      <c r="AO668" s="25"/>
      <c r="AP668" s="25"/>
      <c r="AQ668" s="25"/>
      <c r="AR668" s="25"/>
      <c r="AS668" s="25"/>
      <c r="AT668" s="25"/>
      <c r="AU668" s="25"/>
      <c r="AV668" s="25"/>
      <c r="AW668" s="25"/>
      <c r="AX668" s="25" t="str">
        <f>_xlfn.CONCAT($A669," ",$B669," ",$D669)</f>
        <v>2025 Porsche Macan 4 Electric</v>
      </c>
      <c r="AY668" s="25"/>
      <c r="AZ668" s="25"/>
      <c r="BA668" s="25"/>
      <c r="BB668" s="25"/>
      <c r="BC668" s="25"/>
      <c r="BD668" s="25"/>
      <c r="BE668" s="25"/>
      <c r="BF668" s="25"/>
      <c r="BG668" s="25"/>
      <c r="BH668" s="25"/>
      <c r="BI668" s="25"/>
      <c r="BJ668" s="25"/>
      <c r="BK668" s="25"/>
      <c r="BL668" s="25"/>
      <c r="BM668" s="25"/>
      <c r="BN668" s="25"/>
      <c r="BO668" s="25"/>
      <c r="BP668" s="25"/>
      <c r="BQ668" s="25"/>
      <c r="BR668" s="25" t="str">
        <f>_xlfn.CONCAT($A669," ",$B669," ",$D669)</f>
        <v>2025 Porsche Macan 4 Electric</v>
      </c>
      <c r="BS668" s="25"/>
      <c r="BT668" s="25"/>
      <c r="BU668" s="25"/>
      <c r="BV668" s="25"/>
      <c r="BX668" s="25"/>
      <c r="BY668" s="25"/>
      <c r="BZ668" s="25"/>
      <c r="CA668" s="25"/>
      <c r="CB668" s="25"/>
      <c r="CC668" s="25"/>
      <c r="CD668" s="25"/>
      <c r="CE668" s="25"/>
      <c r="CF668" s="25"/>
      <c r="CG668" s="25"/>
      <c r="CH668" s="25"/>
      <c r="CI668" s="25"/>
      <c r="CJ668" s="25"/>
      <c r="CK668" s="25"/>
      <c r="CL668" s="25"/>
      <c r="CM668" s="25"/>
      <c r="CN668" s="25"/>
      <c r="CO668" s="25"/>
      <c r="CP668" s="25" t="str">
        <f>_xlfn.CONCAT($A669," ",$B669," ",$D669)</f>
        <v>2025 Porsche Macan 4 Electric</v>
      </c>
      <c r="CQ668" s="25"/>
      <c r="CR668" s="25"/>
      <c r="CS668" s="25"/>
      <c r="CT668" s="25"/>
      <c r="CU668" s="25"/>
      <c r="CV668" s="25"/>
      <c r="CW668" s="25"/>
      <c r="CX668" s="25"/>
      <c r="CY668" s="25"/>
      <c r="CZ668" s="25"/>
      <c r="DA668" s="25"/>
      <c r="DB668" s="25"/>
      <c r="DC668" s="25"/>
      <c r="DD668" s="25"/>
      <c r="DE668" s="25"/>
      <c r="DF668" s="25"/>
      <c r="DG668" s="25"/>
      <c r="DH668" s="25"/>
      <c r="DI668" s="25" t="str">
        <f>_xlfn.CONCAT($A669," ",$B669," ",$D669)</f>
        <v>2025 Porsche Macan 4 Electric</v>
      </c>
      <c r="DJ668" s="25"/>
      <c r="DK668" s="25"/>
      <c r="DL668" s="25"/>
      <c r="DM668" s="25"/>
      <c r="DN668" s="25"/>
      <c r="DO668" s="25"/>
      <c r="DP668" s="25"/>
      <c r="DQ668" s="25"/>
      <c r="DR668" s="25"/>
      <c r="DS668" s="25"/>
      <c r="DT668" s="25"/>
      <c r="DU668" s="25"/>
      <c r="DV668" s="25"/>
      <c r="DW668" s="25"/>
      <c r="DX668" s="25"/>
      <c r="DY668" s="25"/>
      <c r="DZ668" s="25" t="str">
        <f>_xlfn.CONCAT($A669," ",$B669," ",$D669)</f>
        <v>2025 Porsche Macan 4 Electric</v>
      </c>
      <c r="EB668" s="25"/>
      <c r="EC668" s="25"/>
      <c r="ED668" s="25"/>
      <c r="EE668" s="25"/>
      <c r="EF668" s="25"/>
      <c r="EG668" s="25"/>
      <c r="EH668" s="25"/>
      <c r="EI668" s="25"/>
      <c r="EJ668" s="25"/>
      <c r="EK668" s="25"/>
      <c r="EL668" s="25"/>
      <c r="EM668" s="25"/>
      <c r="EN668" s="25"/>
      <c r="EO668" s="25"/>
      <c r="EP668" s="25"/>
      <c r="EQ668" s="25"/>
      <c r="ER668" s="25"/>
      <c r="ES668" s="25"/>
      <c r="ET668" s="25"/>
      <c r="EU668" s="25"/>
      <c r="EV668" s="25" t="str">
        <f>_xlfn.CONCAT($A669," ",$B669," ",$D669)</f>
        <v>2025 Porsche Macan 4 Electric</v>
      </c>
      <c r="EW668" s="25"/>
      <c r="EX668" s="25"/>
      <c r="EY668" s="25"/>
      <c r="EZ668" s="25"/>
      <c r="FA668" s="25"/>
      <c r="FB668" s="25"/>
      <c r="FC668" s="25"/>
      <c r="FD668" s="25"/>
      <c r="FE668" s="25"/>
      <c r="FF668" s="25"/>
      <c r="FG668" s="25"/>
    </row>
    <row r="669" spans="1:165" x14ac:dyDescent="0.35">
      <c r="A669">
        <v>2025</v>
      </c>
      <c r="B669" t="s">
        <v>299</v>
      </c>
      <c r="C669" t="s">
        <v>299</v>
      </c>
      <c r="D669" t="s">
        <v>2179</v>
      </c>
      <c r="E669" t="s">
        <v>301</v>
      </c>
      <c r="F669">
        <v>330</v>
      </c>
      <c r="G669">
        <v>0</v>
      </c>
      <c r="I669" t="s">
        <v>1734</v>
      </c>
      <c r="J669">
        <v>107</v>
      </c>
      <c r="K669">
        <v>89</v>
      </c>
      <c r="L669">
        <v>98</v>
      </c>
      <c r="M669">
        <v>152.30000000000001</v>
      </c>
      <c r="N669">
        <v>126.9</v>
      </c>
      <c r="O669">
        <v>139.7157</v>
      </c>
      <c r="P669">
        <v>106.61</v>
      </c>
      <c r="Q669">
        <v>88.83</v>
      </c>
      <c r="R669">
        <v>97.801000000000002</v>
      </c>
      <c r="V669" t="s">
        <v>167</v>
      </c>
      <c r="W669" t="s">
        <v>168</v>
      </c>
      <c r="Y669">
        <v>1</v>
      </c>
      <c r="Z669" t="s">
        <v>170</v>
      </c>
      <c r="AA669" t="s">
        <v>170</v>
      </c>
      <c r="AB669" t="s">
        <v>167</v>
      </c>
      <c r="AC669" t="s">
        <v>213</v>
      </c>
      <c r="AF669">
        <v>308</v>
      </c>
      <c r="AG669" t="s">
        <v>1735</v>
      </c>
      <c r="AH669" t="s">
        <v>1736</v>
      </c>
      <c r="AI669" t="s">
        <v>175</v>
      </c>
      <c r="AJ669" t="s">
        <v>176</v>
      </c>
      <c r="AK669" t="s">
        <v>940</v>
      </c>
      <c r="AL669" t="s">
        <v>941</v>
      </c>
      <c r="AS669">
        <v>800</v>
      </c>
      <c r="AT669">
        <v>0</v>
      </c>
      <c r="BQ669">
        <v>31</v>
      </c>
      <c r="BR669" t="s">
        <v>1219</v>
      </c>
      <c r="BT669" t="s">
        <v>1738</v>
      </c>
      <c r="BU669" s="1">
        <v>45565</v>
      </c>
      <c r="BV669">
        <v>35648</v>
      </c>
      <c r="BX669" t="s">
        <v>170</v>
      </c>
      <c r="BY669" t="s">
        <v>170</v>
      </c>
      <c r="CB669" t="s">
        <v>170</v>
      </c>
      <c r="CC669" t="s">
        <v>170</v>
      </c>
      <c r="CK669" t="s">
        <v>233</v>
      </c>
      <c r="CM669">
        <v>1</v>
      </c>
      <c r="CN669" t="s">
        <v>234</v>
      </c>
      <c r="CP669">
        <v>916</v>
      </c>
      <c r="CQ669">
        <v>153</v>
      </c>
      <c r="CR669">
        <v>161</v>
      </c>
      <c r="CS669" t="s">
        <v>1739</v>
      </c>
      <c r="CV669" t="s">
        <v>341</v>
      </c>
      <c r="CX669" t="s">
        <v>342</v>
      </c>
      <c r="CY669" t="s">
        <v>170</v>
      </c>
      <c r="DC669" t="s">
        <v>2180</v>
      </c>
      <c r="DD669">
        <v>3</v>
      </c>
      <c r="DE669" t="s">
        <v>404</v>
      </c>
      <c r="DF669" t="s">
        <v>2181</v>
      </c>
      <c r="DG669" t="s">
        <v>2182</v>
      </c>
      <c r="DL669" t="s">
        <v>170</v>
      </c>
      <c r="DM669" t="s">
        <v>169</v>
      </c>
      <c r="DP669" t="s">
        <v>170</v>
      </c>
      <c r="DQ669" t="s">
        <v>187</v>
      </c>
      <c r="EB669">
        <v>9</v>
      </c>
      <c r="EC669">
        <v>10</v>
      </c>
      <c r="EE669" t="s">
        <v>2183</v>
      </c>
      <c r="EF669">
        <v>10</v>
      </c>
      <c r="EU669">
        <v>5500</v>
      </c>
      <c r="EW669">
        <v>0</v>
      </c>
      <c r="EX669">
        <v>0</v>
      </c>
      <c r="EY669">
        <v>0</v>
      </c>
      <c r="FA669">
        <v>11.5</v>
      </c>
      <c r="FG669">
        <v>333</v>
      </c>
      <c r="FH669">
        <v>277</v>
      </c>
      <c r="FI669">
        <v>308</v>
      </c>
    </row>
    <row r="670" spans="1:165" x14ac:dyDescent="0.35">
      <c r="A670">
        <v>2025</v>
      </c>
      <c r="B670" t="s">
        <v>299</v>
      </c>
      <c r="C670" t="s">
        <v>299</v>
      </c>
      <c r="D670" t="s">
        <v>2179</v>
      </c>
      <c r="E670" t="s">
        <v>301</v>
      </c>
      <c r="F670">
        <v>330</v>
      </c>
      <c r="G670">
        <v>0</v>
      </c>
      <c r="I670" t="s">
        <v>1734</v>
      </c>
      <c r="J670">
        <v>32</v>
      </c>
      <c r="K670">
        <v>38</v>
      </c>
      <c r="L670">
        <v>34</v>
      </c>
      <c r="M670">
        <v>22.125900000000001</v>
      </c>
      <c r="N670">
        <v>26.557600000000001</v>
      </c>
      <c r="O670">
        <v>24.120200000000001</v>
      </c>
      <c r="P670">
        <v>31.615200000000002</v>
      </c>
      <c r="Q670">
        <v>37.943300000000001</v>
      </c>
      <c r="R670">
        <v>34.462800000000001</v>
      </c>
      <c r="V670" t="s">
        <v>167</v>
      </c>
      <c r="W670" t="s">
        <v>168</v>
      </c>
      <c r="Y670">
        <v>1</v>
      </c>
      <c r="Z670" t="s">
        <v>170</v>
      </c>
      <c r="AA670" t="s">
        <v>170</v>
      </c>
      <c r="AB670" t="s">
        <v>167</v>
      </c>
      <c r="AC670" t="s">
        <v>213</v>
      </c>
      <c r="AF670">
        <v>308</v>
      </c>
      <c r="AG670" t="s">
        <v>1735</v>
      </c>
      <c r="AH670" t="s">
        <v>1736</v>
      </c>
      <c r="AI670" t="s">
        <v>1742</v>
      </c>
      <c r="AJ670" t="s">
        <v>1743</v>
      </c>
      <c r="AK670" t="s">
        <v>940</v>
      </c>
      <c r="AL670" t="s">
        <v>941</v>
      </c>
      <c r="AS670">
        <v>800</v>
      </c>
      <c r="AT670">
        <v>800</v>
      </c>
      <c r="BQ670">
        <v>31</v>
      </c>
      <c r="BR670" t="s">
        <v>1219</v>
      </c>
      <c r="BT670" t="s">
        <v>1738</v>
      </c>
      <c r="BU670" s="1">
        <v>45565</v>
      </c>
      <c r="BV670">
        <v>35648</v>
      </c>
      <c r="BX670" t="s">
        <v>170</v>
      </c>
      <c r="BY670" t="s">
        <v>170</v>
      </c>
      <c r="CB670" t="s">
        <v>170</v>
      </c>
      <c r="CC670" t="s">
        <v>170</v>
      </c>
      <c r="CK670" t="s">
        <v>233</v>
      </c>
      <c r="CM670">
        <v>1</v>
      </c>
      <c r="CN670" t="s">
        <v>234</v>
      </c>
      <c r="CP670">
        <v>916</v>
      </c>
      <c r="CQ670">
        <v>153</v>
      </c>
      <c r="CR670">
        <v>161</v>
      </c>
      <c r="CS670" t="s">
        <v>1739</v>
      </c>
      <c r="CV670" t="s">
        <v>341</v>
      </c>
      <c r="CX670" t="s">
        <v>342</v>
      </c>
      <c r="CY670" t="s">
        <v>170</v>
      </c>
      <c r="DC670" t="s">
        <v>2180</v>
      </c>
      <c r="DD670">
        <v>3</v>
      </c>
      <c r="DE670" t="s">
        <v>404</v>
      </c>
      <c r="DF670" t="s">
        <v>2181</v>
      </c>
      <c r="DG670" t="s">
        <v>2182</v>
      </c>
      <c r="DL670" t="s">
        <v>170</v>
      </c>
      <c r="DM670" t="s">
        <v>169</v>
      </c>
      <c r="DP670" t="s">
        <v>170</v>
      </c>
      <c r="DQ670" t="s">
        <v>187</v>
      </c>
      <c r="EB670">
        <v>9</v>
      </c>
      <c r="EC670">
        <v>10</v>
      </c>
      <c r="EE670" t="s">
        <v>2183</v>
      </c>
      <c r="EF670">
        <v>10</v>
      </c>
      <c r="EU670">
        <v>5500</v>
      </c>
      <c r="EW670">
        <v>0</v>
      </c>
      <c r="EX670">
        <v>0</v>
      </c>
      <c r="EY670">
        <v>0</v>
      </c>
      <c r="FA670">
        <v>11.5</v>
      </c>
      <c r="FG670">
        <v>333</v>
      </c>
      <c r="FH670">
        <v>277</v>
      </c>
      <c r="FI670">
        <v>308</v>
      </c>
    </row>
    <row r="671" spans="1:165" x14ac:dyDescent="0.35">
      <c r="A671" s="25"/>
      <c r="B671" s="25"/>
      <c r="C671" s="25"/>
      <c r="D671" s="25"/>
      <c r="E671" s="25"/>
      <c r="F671" s="25" t="str">
        <f>_xlfn.CONCAT($A672," ",$B672," ",$D672)</f>
        <v>2025 Porsche Macan Turbo Electric</v>
      </c>
      <c r="G671" s="25"/>
      <c r="H671" s="25"/>
      <c r="I671" s="25"/>
      <c r="J671" s="25"/>
      <c r="K671" s="25"/>
      <c r="L671" s="25"/>
      <c r="M671" s="25"/>
      <c r="N671" s="25"/>
      <c r="O671" s="25"/>
      <c r="P671" s="25"/>
      <c r="Q671" s="25"/>
      <c r="R671" s="25"/>
      <c r="S671" s="25"/>
      <c r="T671" s="25"/>
      <c r="U671" s="25"/>
      <c r="V671" s="25"/>
      <c r="W671" s="25"/>
      <c r="X671" s="25"/>
      <c r="Y671" s="25"/>
      <c r="Z671" s="25"/>
      <c r="AA671" s="25"/>
      <c r="AB671" s="25"/>
      <c r="AC671" s="25"/>
      <c r="AD671" s="25" t="str">
        <f>_xlfn.CONCAT($A672," ",$B672," ",$D672)</f>
        <v>2025 Porsche Macan Turbo Electric</v>
      </c>
      <c r="AE671" s="25"/>
      <c r="AF671" s="25"/>
      <c r="AG671" s="25"/>
      <c r="AH671" s="25"/>
      <c r="AI671" s="25"/>
      <c r="AJ671" s="25"/>
      <c r="AK671" s="25"/>
      <c r="AL671" s="25"/>
      <c r="AM671" s="25"/>
      <c r="AN671" s="25"/>
      <c r="AO671" s="25"/>
      <c r="AP671" s="25"/>
      <c r="AQ671" s="25"/>
      <c r="AR671" s="25"/>
      <c r="AS671" s="25"/>
      <c r="AT671" s="25"/>
      <c r="AU671" s="25"/>
      <c r="AV671" s="25"/>
      <c r="AW671" s="25"/>
      <c r="AX671" s="25" t="str">
        <f>_xlfn.CONCAT($A672," ",$B672," ",$D672)</f>
        <v>2025 Porsche Macan Turbo Electric</v>
      </c>
      <c r="AY671" s="25"/>
      <c r="AZ671" s="25"/>
      <c r="BA671" s="25"/>
      <c r="BB671" s="25"/>
      <c r="BC671" s="25"/>
      <c r="BD671" s="25"/>
      <c r="BE671" s="25"/>
      <c r="BF671" s="25"/>
      <c r="BG671" s="25"/>
      <c r="BH671" s="25"/>
      <c r="BI671" s="25"/>
      <c r="BJ671" s="25"/>
      <c r="BK671" s="25"/>
      <c r="BL671" s="25"/>
      <c r="BM671" s="25"/>
      <c r="BN671" s="25"/>
      <c r="BO671" s="25"/>
      <c r="BP671" s="25"/>
      <c r="BQ671" s="25"/>
      <c r="BR671" s="25" t="str">
        <f>_xlfn.CONCAT($A672," ",$B672," ",$D672)</f>
        <v>2025 Porsche Macan Turbo Electric</v>
      </c>
      <c r="BS671" s="25"/>
      <c r="BT671" s="25"/>
      <c r="BU671" s="25"/>
      <c r="BV671" s="25"/>
      <c r="BX671" s="25"/>
      <c r="BY671" s="25"/>
      <c r="BZ671" s="25"/>
      <c r="CA671" s="25"/>
      <c r="CB671" s="25"/>
      <c r="CC671" s="25"/>
      <c r="CD671" s="25"/>
      <c r="CE671" s="25"/>
      <c r="CF671" s="25"/>
      <c r="CG671" s="25"/>
      <c r="CH671" s="25"/>
      <c r="CI671" s="25"/>
      <c r="CJ671" s="25"/>
      <c r="CK671" s="25"/>
      <c r="CL671" s="25"/>
      <c r="CM671" s="25"/>
      <c r="CN671" s="25"/>
      <c r="CO671" s="25"/>
      <c r="CP671" s="25" t="str">
        <f>_xlfn.CONCAT($A672," ",$B672," ",$D672)</f>
        <v>2025 Porsche Macan Turbo Electric</v>
      </c>
      <c r="CQ671" s="25"/>
      <c r="CR671" s="25"/>
      <c r="CS671" s="25"/>
      <c r="CT671" s="25"/>
      <c r="CU671" s="25"/>
      <c r="CV671" s="25"/>
      <c r="CW671" s="25"/>
      <c r="CX671" s="25"/>
      <c r="CY671" s="25"/>
      <c r="CZ671" s="25"/>
      <c r="DA671" s="25"/>
      <c r="DB671" s="25"/>
      <c r="DC671" s="25"/>
      <c r="DD671" s="25"/>
      <c r="DE671" s="25"/>
      <c r="DF671" s="25"/>
      <c r="DG671" s="25"/>
      <c r="DH671" s="25"/>
      <c r="DI671" s="25" t="str">
        <f>_xlfn.CONCAT($A672," ",$B672," ",$D672)</f>
        <v>2025 Porsche Macan Turbo Electric</v>
      </c>
      <c r="DJ671" s="25"/>
      <c r="DK671" s="25"/>
      <c r="DL671" s="25"/>
      <c r="DM671" s="25"/>
      <c r="DN671" s="25"/>
      <c r="DO671" s="25"/>
      <c r="DP671" s="25"/>
      <c r="DQ671" s="25"/>
      <c r="DR671" s="25"/>
      <c r="DS671" s="25"/>
      <c r="DT671" s="25"/>
      <c r="DU671" s="25"/>
      <c r="DV671" s="25"/>
      <c r="DW671" s="25"/>
      <c r="DX671" s="25"/>
      <c r="DY671" s="25"/>
      <c r="DZ671" s="25" t="str">
        <f>_xlfn.CONCAT($A672," ",$B672," ",$D672)</f>
        <v>2025 Porsche Macan Turbo Electric</v>
      </c>
      <c r="EB671" s="25"/>
      <c r="EC671" s="25"/>
      <c r="ED671" s="25"/>
      <c r="EE671" s="25"/>
      <c r="EF671" s="25"/>
      <c r="EG671" s="25"/>
      <c r="EH671" s="25"/>
      <c r="EI671" s="25"/>
      <c r="EJ671" s="25"/>
      <c r="EK671" s="25"/>
      <c r="EL671" s="25"/>
      <c r="EM671" s="25"/>
      <c r="EN671" s="25"/>
      <c r="EO671" s="25"/>
      <c r="EP671" s="25"/>
      <c r="EQ671" s="25"/>
      <c r="ER671" s="25"/>
      <c r="ES671" s="25"/>
      <c r="ET671" s="25"/>
      <c r="EU671" s="25"/>
      <c r="EV671" s="25" t="str">
        <f>_xlfn.CONCAT($A672," ",$B672," ",$D672)</f>
        <v>2025 Porsche Macan Turbo Electric</v>
      </c>
      <c r="EW671" s="25"/>
      <c r="EX671" s="25"/>
      <c r="EY671" s="25"/>
      <c r="EZ671" s="25"/>
      <c r="FA671" s="25"/>
      <c r="FB671" s="25"/>
      <c r="FC671" s="25"/>
      <c r="FD671" s="25"/>
      <c r="FE671" s="25"/>
      <c r="FF671" s="25"/>
      <c r="FG671" s="25"/>
    </row>
    <row r="672" spans="1:165" x14ac:dyDescent="0.35">
      <c r="A672">
        <v>2025</v>
      </c>
      <c r="B672" t="s">
        <v>299</v>
      </c>
      <c r="C672" t="s">
        <v>299</v>
      </c>
      <c r="D672" t="s">
        <v>2188</v>
      </c>
      <c r="E672" t="s">
        <v>301</v>
      </c>
      <c r="F672">
        <v>341</v>
      </c>
      <c r="G672">
        <v>0</v>
      </c>
      <c r="I672" t="s">
        <v>1734</v>
      </c>
      <c r="J672">
        <v>99</v>
      </c>
      <c r="K672">
        <v>84</v>
      </c>
      <c r="L672">
        <v>91</v>
      </c>
      <c r="M672">
        <v>141</v>
      </c>
      <c r="N672">
        <v>119.5</v>
      </c>
      <c r="O672">
        <v>130.4393</v>
      </c>
      <c r="P672">
        <v>98.7</v>
      </c>
      <c r="Q672">
        <v>83.65</v>
      </c>
      <c r="R672">
        <v>91.307500000000005</v>
      </c>
      <c r="V672" t="s">
        <v>167</v>
      </c>
      <c r="W672" t="s">
        <v>168</v>
      </c>
      <c r="Y672">
        <v>1</v>
      </c>
      <c r="Z672" t="s">
        <v>170</v>
      </c>
      <c r="AA672" t="s">
        <v>170</v>
      </c>
      <c r="AB672" t="s">
        <v>167</v>
      </c>
      <c r="AC672" t="s">
        <v>213</v>
      </c>
      <c r="AF672">
        <v>288</v>
      </c>
      <c r="AG672" t="s">
        <v>1735</v>
      </c>
      <c r="AH672" t="s">
        <v>1736</v>
      </c>
      <c r="AI672" t="s">
        <v>175</v>
      </c>
      <c r="AJ672" t="s">
        <v>176</v>
      </c>
      <c r="AK672" t="s">
        <v>940</v>
      </c>
      <c r="AL672" t="s">
        <v>941</v>
      </c>
      <c r="AS672">
        <v>900</v>
      </c>
      <c r="AT672">
        <v>900</v>
      </c>
      <c r="BQ672">
        <v>31</v>
      </c>
      <c r="BR672" t="s">
        <v>1219</v>
      </c>
      <c r="BT672" t="s">
        <v>1738</v>
      </c>
      <c r="BU672" s="1">
        <v>45565</v>
      </c>
      <c r="BV672">
        <v>35647</v>
      </c>
      <c r="BX672" t="s">
        <v>170</v>
      </c>
      <c r="BY672" t="s">
        <v>170</v>
      </c>
      <c r="CB672" t="s">
        <v>170</v>
      </c>
      <c r="CC672" t="s">
        <v>170</v>
      </c>
      <c r="CK672" t="s">
        <v>233</v>
      </c>
      <c r="CM672">
        <v>1</v>
      </c>
      <c r="CN672" t="s">
        <v>234</v>
      </c>
      <c r="CP672">
        <v>916</v>
      </c>
      <c r="CQ672">
        <v>153</v>
      </c>
      <c r="CR672">
        <v>161</v>
      </c>
      <c r="CS672" t="s">
        <v>1739</v>
      </c>
      <c r="CV672" t="s">
        <v>341</v>
      </c>
      <c r="CX672" t="s">
        <v>342</v>
      </c>
      <c r="CY672" t="s">
        <v>170</v>
      </c>
      <c r="DC672" t="s">
        <v>2180</v>
      </c>
      <c r="DD672">
        <v>3</v>
      </c>
      <c r="DE672" t="s">
        <v>404</v>
      </c>
      <c r="DF672" t="s">
        <v>2181</v>
      </c>
      <c r="DG672" t="s">
        <v>2185</v>
      </c>
      <c r="DL672" t="s">
        <v>170</v>
      </c>
      <c r="DM672" t="s">
        <v>169</v>
      </c>
      <c r="DP672" t="s">
        <v>170</v>
      </c>
      <c r="DQ672" t="s">
        <v>187</v>
      </c>
      <c r="EB672">
        <v>9</v>
      </c>
      <c r="EC672">
        <v>10</v>
      </c>
      <c r="EE672" t="s">
        <v>2183</v>
      </c>
      <c r="EF672">
        <v>10</v>
      </c>
      <c r="EU672">
        <v>5000</v>
      </c>
      <c r="EW672">
        <v>0</v>
      </c>
      <c r="EX672">
        <v>0</v>
      </c>
      <c r="EY672">
        <v>0</v>
      </c>
      <c r="FA672">
        <v>11.5</v>
      </c>
      <c r="FG672">
        <v>309</v>
      </c>
      <c r="FH672">
        <v>262</v>
      </c>
      <c r="FI672">
        <v>288</v>
      </c>
    </row>
    <row r="673" spans="1:165" x14ac:dyDescent="0.35">
      <c r="A673">
        <v>2025</v>
      </c>
      <c r="B673" t="s">
        <v>299</v>
      </c>
      <c r="C673" t="s">
        <v>299</v>
      </c>
      <c r="D673" t="s">
        <v>2188</v>
      </c>
      <c r="E673" t="s">
        <v>301</v>
      </c>
      <c r="F673">
        <v>341</v>
      </c>
      <c r="G673">
        <v>0</v>
      </c>
      <c r="I673" t="s">
        <v>1734</v>
      </c>
      <c r="J673">
        <v>34</v>
      </c>
      <c r="K673">
        <v>40</v>
      </c>
      <c r="L673">
        <v>37</v>
      </c>
      <c r="M673">
        <v>23.911000000000001</v>
      </c>
      <c r="N673">
        <v>28.193200000000001</v>
      </c>
      <c r="O673">
        <v>25.838000000000001</v>
      </c>
      <c r="P673">
        <v>34.148899999999998</v>
      </c>
      <c r="Q673">
        <v>40.292900000000003</v>
      </c>
      <c r="R673">
        <v>36.913699999999999</v>
      </c>
      <c r="V673" t="s">
        <v>167</v>
      </c>
      <c r="W673" t="s">
        <v>168</v>
      </c>
      <c r="Y673">
        <v>1</v>
      </c>
      <c r="Z673" t="s">
        <v>170</v>
      </c>
      <c r="AA673" t="s">
        <v>170</v>
      </c>
      <c r="AB673" t="s">
        <v>167</v>
      </c>
      <c r="AC673" t="s">
        <v>213</v>
      </c>
      <c r="AF673">
        <v>288</v>
      </c>
      <c r="AG673" t="s">
        <v>1735</v>
      </c>
      <c r="AH673" t="s">
        <v>1736</v>
      </c>
      <c r="AI673" t="s">
        <v>1742</v>
      </c>
      <c r="AJ673" t="s">
        <v>1743</v>
      </c>
      <c r="AK673" t="s">
        <v>940</v>
      </c>
      <c r="AL673" t="s">
        <v>941</v>
      </c>
      <c r="AS673">
        <v>900</v>
      </c>
      <c r="AT673">
        <v>900</v>
      </c>
      <c r="BQ673">
        <v>31</v>
      </c>
      <c r="BR673" t="s">
        <v>1219</v>
      </c>
      <c r="BT673" t="s">
        <v>1738</v>
      </c>
      <c r="BU673" s="1">
        <v>45565</v>
      </c>
      <c r="BV673">
        <v>35647</v>
      </c>
      <c r="BX673" t="s">
        <v>170</v>
      </c>
      <c r="BY673" t="s">
        <v>170</v>
      </c>
      <c r="CB673" t="s">
        <v>170</v>
      </c>
      <c r="CC673" t="s">
        <v>170</v>
      </c>
      <c r="CK673" t="s">
        <v>233</v>
      </c>
      <c r="CM673">
        <v>1</v>
      </c>
      <c r="CN673" t="s">
        <v>234</v>
      </c>
      <c r="CP673">
        <v>916</v>
      </c>
      <c r="CQ673">
        <v>153</v>
      </c>
      <c r="CR673">
        <v>161</v>
      </c>
      <c r="CS673" t="s">
        <v>1739</v>
      </c>
      <c r="CV673" t="s">
        <v>341</v>
      </c>
      <c r="CX673" t="s">
        <v>342</v>
      </c>
      <c r="CY673" t="s">
        <v>170</v>
      </c>
      <c r="DC673" t="s">
        <v>2180</v>
      </c>
      <c r="DD673">
        <v>3</v>
      </c>
      <c r="DE673" t="s">
        <v>404</v>
      </c>
      <c r="DF673" t="s">
        <v>2181</v>
      </c>
      <c r="DG673" t="s">
        <v>2185</v>
      </c>
      <c r="DL673" t="s">
        <v>170</v>
      </c>
      <c r="DM673" t="s">
        <v>169</v>
      </c>
      <c r="DP673" t="s">
        <v>170</v>
      </c>
      <c r="DQ673" t="s">
        <v>187</v>
      </c>
      <c r="EB673">
        <v>9</v>
      </c>
      <c r="EC673">
        <v>10</v>
      </c>
      <c r="EE673" t="s">
        <v>2183</v>
      </c>
      <c r="EF673">
        <v>10</v>
      </c>
      <c r="EU673">
        <v>5000</v>
      </c>
      <c r="EW673">
        <v>0</v>
      </c>
      <c r="EX673">
        <v>0</v>
      </c>
      <c r="EY673">
        <v>0</v>
      </c>
      <c r="FA673">
        <v>11.5</v>
      </c>
      <c r="FG673">
        <v>309</v>
      </c>
      <c r="FH673">
        <v>262</v>
      </c>
      <c r="FI673">
        <v>288</v>
      </c>
    </row>
    <row r="674" spans="1:165" x14ac:dyDescent="0.35">
      <c r="A674" s="25"/>
      <c r="B674" s="25"/>
      <c r="C674" s="25"/>
      <c r="D674" s="25"/>
      <c r="E674" s="25"/>
      <c r="F674" s="25" t="str">
        <f>_xlfn.CONCAT($A675," ",$B675," ",$D675)</f>
        <v>2025 Porsche Taycan Performance Battery</v>
      </c>
      <c r="G674" s="25"/>
      <c r="H674" s="25"/>
      <c r="I674" s="25"/>
      <c r="J674" s="25"/>
      <c r="K674" s="25"/>
      <c r="L674" s="25"/>
      <c r="M674" s="25"/>
      <c r="N674" s="25"/>
      <c r="O674" s="25"/>
      <c r="P674" s="25"/>
      <c r="Q674" s="25"/>
      <c r="R674" s="25"/>
      <c r="S674" s="25"/>
      <c r="T674" s="25"/>
      <c r="U674" s="25"/>
      <c r="V674" s="25"/>
      <c r="W674" s="25"/>
      <c r="X674" s="25"/>
      <c r="Y674" s="25"/>
      <c r="Z674" s="25"/>
      <c r="AA674" s="25"/>
      <c r="AB674" s="25"/>
      <c r="AC674" s="25"/>
      <c r="AD674" s="25" t="str">
        <f>_xlfn.CONCAT($A675," ",$B675," ",$D675)</f>
        <v>2025 Porsche Taycan Performance Battery</v>
      </c>
      <c r="AE674" s="25"/>
      <c r="AF674" s="25"/>
      <c r="AG674" s="25"/>
      <c r="AH674" s="25"/>
      <c r="AI674" s="25"/>
      <c r="AJ674" s="25"/>
      <c r="AK674" s="25"/>
      <c r="AL674" s="25"/>
      <c r="AM674" s="25"/>
      <c r="AN674" s="25"/>
      <c r="AO674" s="25"/>
      <c r="AP674" s="25"/>
      <c r="AQ674" s="25"/>
      <c r="AR674" s="25"/>
      <c r="AS674" s="25"/>
      <c r="AT674" s="25"/>
      <c r="AU674" s="25"/>
      <c r="AV674" s="25"/>
      <c r="AW674" s="25"/>
      <c r="AX674" s="25" t="str">
        <f>_xlfn.CONCAT($A675," ",$B675," ",$D675)</f>
        <v>2025 Porsche Taycan Performance Battery</v>
      </c>
      <c r="AY674" s="25"/>
      <c r="AZ674" s="25"/>
      <c r="BA674" s="25"/>
      <c r="BB674" s="25"/>
      <c r="BC674" s="25"/>
      <c r="BD674" s="25"/>
      <c r="BE674" s="25"/>
      <c r="BF674" s="25"/>
      <c r="BG674" s="25"/>
      <c r="BH674" s="25"/>
      <c r="BI674" s="25"/>
      <c r="BJ674" s="25"/>
      <c r="BK674" s="25"/>
      <c r="BL674" s="25"/>
      <c r="BM674" s="25"/>
      <c r="BN674" s="25"/>
      <c r="BO674" s="25"/>
      <c r="BP674" s="25"/>
      <c r="BQ674" s="25"/>
      <c r="BR674" s="25" t="str">
        <f>_xlfn.CONCAT($A675," ",$B675," ",$D675)</f>
        <v>2025 Porsche Taycan Performance Battery</v>
      </c>
      <c r="BS674" s="25"/>
      <c r="BT674" s="25"/>
      <c r="BU674" s="25"/>
      <c r="BV674" s="25"/>
      <c r="BX674" s="25"/>
      <c r="BY674" s="25"/>
      <c r="BZ674" s="25"/>
      <c r="CA674" s="25"/>
      <c r="CB674" s="25"/>
      <c r="CC674" s="25"/>
      <c r="CD674" s="25"/>
      <c r="CE674" s="25"/>
      <c r="CF674" s="25"/>
      <c r="CG674" s="25"/>
      <c r="CH674" s="25"/>
      <c r="CI674" s="25"/>
      <c r="CJ674" s="25"/>
      <c r="CK674" s="25"/>
      <c r="CL674" s="25"/>
      <c r="CM674" s="25"/>
      <c r="CN674" s="25"/>
      <c r="CO674" s="25"/>
      <c r="CP674" s="25" t="str">
        <f>_xlfn.CONCAT($A675," ",$B675," ",$D675)</f>
        <v>2025 Porsche Taycan Performance Battery</v>
      </c>
      <c r="CQ674" s="25"/>
      <c r="CR674" s="25"/>
      <c r="CS674" s="25"/>
      <c r="CT674" s="25"/>
      <c r="CU674" s="25"/>
      <c r="CV674" s="25"/>
      <c r="CW674" s="25"/>
      <c r="CX674" s="25"/>
      <c r="CY674" s="25"/>
      <c r="CZ674" s="25"/>
      <c r="DA674" s="25"/>
      <c r="DB674" s="25"/>
      <c r="DC674" s="25"/>
      <c r="DD674" s="25"/>
      <c r="DE674" s="25"/>
      <c r="DF674" s="25"/>
      <c r="DG674" s="25"/>
      <c r="DH674" s="25"/>
      <c r="DI674" s="25" t="str">
        <f>_xlfn.CONCAT($A675," ",$B675," ",$D675)</f>
        <v>2025 Porsche Taycan Performance Battery</v>
      </c>
      <c r="DJ674" s="25"/>
      <c r="DK674" s="25"/>
      <c r="DL674" s="25"/>
      <c r="DM674" s="25"/>
      <c r="DN674" s="25"/>
      <c r="DO674" s="25"/>
      <c r="DP674" s="25"/>
      <c r="DQ674" s="25"/>
      <c r="DR674" s="25"/>
      <c r="DS674" s="25"/>
      <c r="DT674" s="25"/>
      <c r="DU674" s="25"/>
      <c r="DV674" s="25"/>
      <c r="DW674" s="25"/>
      <c r="DX674" s="25"/>
      <c r="DY674" s="25"/>
      <c r="DZ674" s="25" t="str">
        <f>_xlfn.CONCAT($A675," ",$B675," ",$D675)</f>
        <v>2025 Porsche Taycan Performance Battery</v>
      </c>
      <c r="EB674" s="25"/>
      <c r="EC674" s="25"/>
      <c r="ED674" s="25"/>
      <c r="EE674" s="25"/>
      <c r="EF674" s="25"/>
      <c r="EG674" s="25"/>
      <c r="EH674" s="25"/>
      <c r="EI674" s="25"/>
      <c r="EJ674" s="25"/>
      <c r="EK674" s="25"/>
      <c r="EL674" s="25"/>
      <c r="EM674" s="25"/>
      <c r="EN674" s="25"/>
      <c r="EO674" s="25"/>
      <c r="EP674" s="25"/>
      <c r="EQ674" s="25"/>
      <c r="ER674" s="25"/>
      <c r="ES674" s="25"/>
      <c r="ET674" s="25"/>
      <c r="EU674" s="25"/>
      <c r="EV674" s="25" t="str">
        <f>_xlfn.CONCAT($A675," ",$B675," ",$D675)</f>
        <v>2025 Porsche Taycan Performance Battery</v>
      </c>
      <c r="EW674" s="25"/>
      <c r="EX674" s="25"/>
      <c r="EY674" s="25"/>
      <c r="EZ674" s="25"/>
      <c r="FA674" s="25"/>
      <c r="FB674" s="25"/>
      <c r="FC674" s="25"/>
      <c r="FD674" s="25"/>
      <c r="FE674" s="25"/>
      <c r="FF674" s="25"/>
      <c r="FG674" s="25"/>
    </row>
    <row r="675" spans="1:165" x14ac:dyDescent="0.35">
      <c r="A675">
        <v>2025</v>
      </c>
      <c r="B675" t="s">
        <v>299</v>
      </c>
      <c r="C675" t="s">
        <v>299</v>
      </c>
      <c r="D675" t="s">
        <v>2209</v>
      </c>
      <c r="E675" t="s">
        <v>301</v>
      </c>
      <c r="F675">
        <v>701</v>
      </c>
      <c r="G675">
        <v>0</v>
      </c>
      <c r="I675" t="s">
        <v>2128</v>
      </c>
      <c r="J675">
        <v>94</v>
      </c>
      <c r="K675">
        <v>88</v>
      </c>
      <c r="L675">
        <v>91</v>
      </c>
      <c r="M675">
        <v>133.80000000000001</v>
      </c>
      <c r="N675">
        <v>125.4</v>
      </c>
      <c r="O675">
        <v>129.88480000000001</v>
      </c>
      <c r="P675">
        <v>93.66</v>
      </c>
      <c r="Q675">
        <v>87.78</v>
      </c>
      <c r="R675">
        <v>90.919399999999996</v>
      </c>
      <c r="V675" t="s">
        <v>167</v>
      </c>
      <c r="W675" t="s">
        <v>168</v>
      </c>
      <c r="Y675">
        <v>2</v>
      </c>
      <c r="Z675" t="s">
        <v>170</v>
      </c>
      <c r="AA675" t="s">
        <v>170</v>
      </c>
      <c r="AB675" t="s">
        <v>171</v>
      </c>
      <c r="AC675" t="s">
        <v>172</v>
      </c>
      <c r="AF675">
        <v>274</v>
      </c>
      <c r="AG675" t="s">
        <v>1735</v>
      </c>
      <c r="AH675" t="s">
        <v>1736</v>
      </c>
      <c r="AI675" t="s">
        <v>175</v>
      </c>
      <c r="AJ675" t="s">
        <v>176</v>
      </c>
      <c r="AK675" t="s">
        <v>170</v>
      </c>
      <c r="AL675" t="s">
        <v>177</v>
      </c>
      <c r="AO675">
        <v>90</v>
      </c>
      <c r="AP675">
        <v>12</v>
      </c>
      <c r="AS675">
        <v>900</v>
      </c>
      <c r="AT675">
        <v>900</v>
      </c>
      <c r="BQ675">
        <v>4</v>
      </c>
      <c r="BR675" t="s">
        <v>521</v>
      </c>
      <c r="BS675" t="s">
        <v>180</v>
      </c>
      <c r="BT675" t="s">
        <v>1738</v>
      </c>
      <c r="BU675" s="1">
        <v>45471</v>
      </c>
      <c r="BV675">
        <v>35063</v>
      </c>
      <c r="BX675" t="s">
        <v>170</v>
      </c>
      <c r="BY675" t="s">
        <v>170</v>
      </c>
      <c r="CB675" t="s">
        <v>170</v>
      </c>
      <c r="CC675" t="s">
        <v>170</v>
      </c>
      <c r="CK675" t="s">
        <v>233</v>
      </c>
      <c r="CM675">
        <v>1</v>
      </c>
      <c r="CN675" t="s">
        <v>234</v>
      </c>
      <c r="CP675">
        <v>850</v>
      </c>
      <c r="CQ675">
        <v>144</v>
      </c>
      <c r="CR675">
        <v>163</v>
      </c>
      <c r="CS675" t="s">
        <v>1752</v>
      </c>
      <c r="CV675" t="s">
        <v>341</v>
      </c>
      <c r="CX675" t="s">
        <v>342</v>
      </c>
      <c r="CY675" t="s">
        <v>170</v>
      </c>
      <c r="DC675" t="s">
        <v>2206</v>
      </c>
      <c r="DD675">
        <v>2</v>
      </c>
      <c r="DE675" t="s">
        <v>404</v>
      </c>
      <c r="DF675" t="s">
        <v>2181</v>
      </c>
      <c r="DG675" t="s">
        <v>2207</v>
      </c>
      <c r="DL675" t="s">
        <v>170</v>
      </c>
      <c r="DM675" t="s">
        <v>169</v>
      </c>
      <c r="DP675" t="s">
        <v>170</v>
      </c>
      <c r="DQ675" t="s">
        <v>187</v>
      </c>
      <c r="EB675">
        <v>9</v>
      </c>
      <c r="EC675">
        <v>10</v>
      </c>
      <c r="EE675" t="s">
        <v>2208</v>
      </c>
      <c r="EF675">
        <v>10</v>
      </c>
      <c r="EU675">
        <v>5000</v>
      </c>
      <c r="EW675">
        <v>0</v>
      </c>
      <c r="EX675">
        <v>0</v>
      </c>
      <c r="EY675">
        <v>0</v>
      </c>
      <c r="FA675">
        <v>11.5</v>
      </c>
      <c r="FG675">
        <v>282</v>
      </c>
      <c r="FH675">
        <v>264</v>
      </c>
      <c r="FI675">
        <v>274</v>
      </c>
    </row>
    <row r="676" spans="1:165" x14ac:dyDescent="0.35">
      <c r="A676">
        <v>2025</v>
      </c>
      <c r="B676" t="s">
        <v>299</v>
      </c>
      <c r="C676" t="s">
        <v>299</v>
      </c>
      <c r="D676" t="s">
        <v>2209</v>
      </c>
      <c r="E676" t="s">
        <v>301</v>
      </c>
      <c r="F676">
        <v>701</v>
      </c>
      <c r="G676">
        <v>0</v>
      </c>
      <c r="I676" t="s">
        <v>2128</v>
      </c>
      <c r="J676">
        <v>36</v>
      </c>
      <c r="K676">
        <v>38</v>
      </c>
      <c r="L676">
        <v>37</v>
      </c>
      <c r="M676">
        <v>25.198</v>
      </c>
      <c r="N676">
        <v>26.8779</v>
      </c>
      <c r="O676">
        <v>25.954000000000001</v>
      </c>
      <c r="P676">
        <v>35.986499999999999</v>
      </c>
      <c r="Q676">
        <v>38.397100000000002</v>
      </c>
      <c r="R676">
        <v>37.071300000000001</v>
      </c>
      <c r="V676" t="s">
        <v>167</v>
      </c>
      <c r="W676" t="s">
        <v>168</v>
      </c>
      <c r="Y676">
        <v>2</v>
      </c>
      <c r="Z676" t="s">
        <v>170</v>
      </c>
      <c r="AA676" t="s">
        <v>170</v>
      </c>
      <c r="AB676" t="s">
        <v>171</v>
      </c>
      <c r="AC676" t="s">
        <v>172</v>
      </c>
      <c r="AF676">
        <v>274</v>
      </c>
      <c r="AG676" t="s">
        <v>1735</v>
      </c>
      <c r="AH676" t="s">
        <v>1736</v>
      </c>
      <c r="AI676" t="s">
        <v>1742</v>
      </c>
      <c r="AJ676" t="s">
        <v>1743</v>
      </c>
      <c r="AK676" t="s">
        <v>170</v>
      </c>
      <c r="AL676" t="s">
        <v>177</v>
      </c>
      <c r="AO676">
        <v>90</v>
      </c>
      <c r="AP676">
        <v>12</v>
      </c>
      <c r="AS676">
        <v>900</v>
      </c>
      <c r="AT676">
        <v>900</v>
      </c>
      <c r="BQ676">
        <v>4</v>
      </c>
      <c r="BR676" t="s">
        <v>521</v>
      </c>
      <c r="BS676" t="s">
        <v>180</v>
      </c>
      <c r="BT676" t="s">
        <v>1738</v>
      </c>
      <c r="BU676" s="1">
        <v>45471</v>
      </c>
      <c r="BV676">
        <v>35063</v>
      </c>
      <c r="BX676" t="s">
        <v>170</v>
      </c>
      <c r="BY676" t="s">
        <v>170</v>
      </c>
      <c r="CB676" t="s">
        <v>170</v>
      </c>
      <c r="CC676" t="s">
        <v>170</v>
      </c>
      <c r="CK676" t="s">
        <v>233</v>
      </c>
      <c r="CM676">
        <v>1</v>
      </c>
      <c r="CN676" t="s">
        <v>234</v>
      </c>
      <c r="CP676">
        <v>850</v>
      </c>
      <c r="CQ676">
        <v>144</v>
      </c>
      <c r="CR676">
        <v>163</v>
      </c>
      <c r="CS676" t="s">
        <v>1752</v>
      </c>
      <c r="CV676" t="s">
        <v>341</v>
      </c>
      <c r="CX676" t="s">
        <v>342</v>
      </c>
      <c r="CY676" t="s">
        <v>170</v>
      </c>
      <c r="DC676" t="s">
        <v>2206</v>
      </c>
      <c r="DD676">
        <v>2</v>
      </c>
      <c r="DE676" t="s">
        <v>404</v>
      </c>
      <c r="DF676" t="s">
        <v>2181</v>
      </c>
      <c r="DG676" t="s">
        <v>2207</v>
      </c>
      <c r="DL676" t="s">
        <v>170</v>
      </c>
      <c r="DM676" t="s">
        <v>169</v>
      </c>
      <c r="DP676" t="s">
        <v>170</v>
      </c>
      <c r="DQ676" t="s">
        <v>187</v>
      </c>
      <c r="EB676">
        <v>9</v>
      </c>
      <c r="EC676">
        <v>10</v>
      </c>
      <c r="EE676" t="s">
        <v>2208</v>
      </c>
      <c r="EF676">
        <v>10</v>
      </c>
      <c r="EU676">
        <v>5000</v>
      </c>
      <c r="EW676">
        <v>0</v>
      </c>
      <c r="EX676">
        <v>0</v>
      </c>
      <c r="EY676">
        <v>0</v>
      </c>
      <c r="FA676">
        <v>11.5</v>
      </c>
      <c r="FG676">
        <v>282</v>
      </c>
      <c r="FH676">
        <v>264</v>
      </c>
      <c r="FI676">
        <v>274</v>
      </c>
    </row>
    <row r="677" spans="1:165" x14ac:dyDescent="0.35">
      <c r="A677" s="25"/>
      <c r="B677" s="25"/>
      <c r="C677" s="25"/>
      <c r="D677" s="25"/>
      <c r="E677" s="25"/>
      <c r="F677" s="25" t="str">
        <f>_xlfn.CONCAT($A678," ",$B678," ",$D678)</f>
        <v>2025 Porsche Taycan Perf Battery Plus</v>
      </c>
      <c r="G677" s="25"/>
      <c r="H677" s="25"/>
      <c r="I677" s="25"/>
      <c r="J677" s="25"/>
      <c r="K677" s="25"/>
      <c r="L677" s="25"/>
      <c r="M677" s="25"/>
      <c r="N677" s="25"/>
      <c r="O677" s="25"/>
      <c r="P677" s="25"/>
      <c r="Q677" s="25"/>
      <c r="R677" s="25"/>
      <c r="S677" s="25"/>
      <c r="T677" s="25"/>
      <c r="U677" s="25"/>
      <c r="V677" s="25"/>
      <c r="W677" s="25"/>
      <c r="X677" s="25"/>
      <c r="Y677" s="25"/>
      <c r="Z677" s="25"/>
      <c r="AA677" s="25"/>
      <c r="AB677" s="25"/>
      <c r="AC677" s="25"/>
      <c r="AD677" s="25" t="str">
        <f>_xlfn.CONCAT($A678," ",$B678," ",$D678)</f>
        <v>2025 Porsche Taycan Perf Battery Plus</v>
      </c>
      <c r="AE677" s="25"/>
      <c r="AF677" s="25"/>
      <c r="AG677" s="25"/>
      <c r="AH677" s="25"/>
      <c r="AI677" s="25"/>
      <c r="AJ677" s="25"/>
      <c r="AK677" s="25"/>
      <c r="AL677" s="25"/>
      <c r="AM677" s="25"/>
      <c r="AN677" s="25"/>
      <c r="AO677" s="25"/>
      <c r="AP677" s="25"/>
      <c r="AQ677" s="25"/>
      <c r="AR677" s="25"/>
      <c r="AS677" s="25"/>
      <c r="AT677" s="25"/>
      <c r="AU677" s="25"/>
      <c r="AV677" s="25"/>
      <c r="AW677" s="25"/>
      <c r="AX677" s="25" t="str">
        <f>_xlfn.CONCAT($A678," ",$B678," ",$D678)</f>
        <v>2025 Porsche Taycan Perf Battery Plus</v>
      </c>
      <c r="AY677" s="25"/>
      <c r="AZ677" s="25"/>
      <c r="BA677" s="25"/>
      <c r="BB677" s="25"/>
      <c r="BC677" s="25"/>
      <c r="BD677" s="25"/>
      <c r="BE677" s="25"/>
      <c r="BF677" s="25"/>
      <c r="BG677" s="25"/>
      <c r="BH677" s="25"/>
      <c r="BI677" s="25"/>
      <c r="BJ677" s="25"/>
      <c r="BK677" s="25"/>
      <c r="BL677" s="25"/>
      <c r="BM677" s="25"/>
      <c r="BN677" s="25"/>
      <c r="BO677" s="25"/>
      <c r="BP677" s="25"/>
      <c r="BQ677" s="25"/>
      <c r="BR677" s="25" t="str">
        <f>_xlfn.CONCAT($A678," ",$B678," ",$D678)</f>
        <v>2025 Porsche Taycan Perf Battery Plus</v>
      </c>
      <c r="BS677" s="25"/>
      <c r="BT677" s="25"/>
      <c r="BU677" s="25"/>
      <c r="BV677" s="25"/>
      <c r="BX677" s="25"/>
      <c r="BY677" s="25"/>
      <c r="BZ677" s="25"/>
      <c r="CA677" s="25"/>
      <c r="CB677" s="25"/>
      <c r="CC677" s="25"/>
      <c r="CD677" s="25"/>
      <c r="CE677" s="25"/>
      <c r="CF677" s="25"/>
      <c r="CG677" s="25"/>
      <c r="CH677" s="25"/>
      <c r="CI677" s="25"/>
      <c r="CJ677" s="25"/>
      <c r="CK677" s="25"/>
      <c r="CL677" s="25"/>
      <c r="CM677" s="25"/>
      <c r="CN677" s="25"/>
      <c r="CO677" s="25"/>
      <c r="CP677" s="25" t="str">
        <f>_xlfn.CONCAT($A678," ",$B678," ",$D678)</f>
        <v>2025 Porsche Taycan Perf Battery Plus</v>
      </c>
      <c r="CQ677" s="25"/>
      <c r="CR677" s="25"/>
      <c r="CS677" s="25"/>
      <c r="CT677" s="25"/>
      <c r="CU677" s="25"/>
      <c r="CV677" s="25"/>
      <c r="CW677" s="25"/>
      <c r="CX677" s="25"/>
      <c r="CY677" s="25"/>
      <c r="CZ677" s="25"/>
      <c r="DA677" s="25"/>
      <c r="DB677" s="25"/>
      <c r="DC677" s="25"/>
      <c r="DD677" s="25"/>
      <c r="DE677" s="25"/>
      <c r="DF677" s="25"/>
      <c r="DG677" s="25"/>
      <c r="DH677" s="25"/>
      <c r="DI677" s="25" t="str">
        <f>_xlfn.CONCAT($A678," ",$B678," ",$D678)</f>
        <v>2025 Porsche Taycan Perf Battery Plus</v>
      </c>
      <c r="DJ677" s="25"/>
      <c r="DK677" s="25"/>
      <c r="DL677" s="25"/>
      <c r="DM677" s="25"/>
      <c r="DN677" s="25"/>
      <c r="DO677" s="25"/>
      <c r="DP677" s="25"/>
      <c r="DQ677" s="25"/>
      <c r="DR677" s="25"/>
      <c r="DS677" s="25"/>
      <c r="DT677" s="25"/>
      <c r="DU677" s="25"/>
      <c r="DV677" s="25"/>
      <c r="DW677" s="25"/>
      <c r="DX677" s="25"/>
      <c r="DY677" s="25"/>
      <c r="DZ677" s="25" t="str">
        <f>_xlfn.CONCAT($A678," ",$B678," ",$D678)</f>
        <v>2025 Porsche Taycan Perf Battery Plus</v>
      </c>
      <c r="EB677" s="25"/>
      <c r="EC677" s="25"/>
      <c r="ED677" s="25"/>
      <c r="EE677" s="25"/>
      <c r="EF677" s="25"/>
      <c r="EG677" s="25"/>
      <c r="EH677" s="25"/>
      <c r="EI677" s="25"/>
      <c r="EJ677" s="25"/>
      <c r="EK677" s="25"/>
      <c r="EL677" s="25"/>
      <c r="EM677" s="25"/>
      <c r="EN677" s="25"/>
      <c r="EO677" s="25"/>
      <c r="EP677" s="25"/>
      <c r="EQ677" s="25"/>
      <c r="ER677" s="25"/>
      <c r="ES677" s="25"/>
      <c r="ET677" s="25"/>
      <c r="EU677" s="25"/>
      <c r="EV677" s="25" t="str">
        <f>_xlfn.CONCAT($A678," ",$B678," ",$D678)</f>
        <v>2025 Porsche Taycan Perf Battery Plus</v>
      </c>
      <c r="EW677" s="25"/>
      <c r="EX677" s="25"/>
      <c r="EY677" s="25"/>
      <c r="EZ677" s="25"/>
      <c r="FA677" s="25"/>
      <c r="FB677" s="25"/>
      <c r="FC677" s="25"/>
      <c r="FD677" s="25"/>
      <c r="FE677" s="25"/>
      <c r="FF677" s="25"/>
      <c r="FG677" s="25"/>
    </row>
    <row r="678" spans="1:165" x14ac:dyDescent="0.35">
      <c r="A678">
        <v>2025</v>
      </c>
      <c r="B678" t="s">
        <v>299</v>
      </c>
      <c r="C678" t="s">
        <v>299</v>
      </c>
      <c r="D678" t="s">
        <v>2205</v>
      </c>
      <c r="E678" t="s">
        <v>301</v>
      </c>
      <c r="F678">
        <v>702</v>
      </c>
      <c r="G678">
        <v>0</v>
      </c>
      <c r="I678" t="s">
        <v>2128</v>
      </c>
      <c r="J678">
        <v>94</v>
      </c>
      <c r="K678">
        <v>90</v>
      </c>
      <c r="L678">
        <v>92</v>
      </c>
      <c r="M678">
        <v>134.5</v>
      </c>
      <c r="N678">
        <v>128.1</v>
      </c>
      <c r="O678">
        <v>131.54259999999999</v>
      </c>
      <c r="P678">
        <v>94.15</v>
      </c>
      <c r="Q678">
        <v>89.67</v>
      </c>
      <c r="R678">
        <v>92.079800000000006</v>
      </c>
      <c r="V678" t="s">
        <v>167</v>
      </c>
      <c r="W678" t="s">
        <v>168</v>
      </c>
      <c r="Y678">
        <v>2</v>
      </c>
      <c r="Z678" t="s">
        <v>170</v>
      </c>
      <c r="AA678" t="s">
        <v>170</v>
      </c>
      <c r="AB678" t="s">
        <v>171</v>
      </c>
      <c r="AC678" t="s">
        <v>172</v>
      </c>
      <c r="AF678">
        <v>318</v>
      </c>
      <c r="AG678" t="s">
        <v>1735</v>
      </c>
      <c r="AH678" t="s">
        <v>1736</v>
      </c>
      <c r="AI678" t="s">
        <v>175</v>
      </c>
      <c r="AJ678" t="s">
        <v>176</v>
      </c>
      <c r="AK678" t="s">
        <v>170</v>
      </c>
      <c r="AL678" t="s">
        <v>177</v>
      </c>
      <c r="AO678">
        <v>90</v>
      </c>
      <c r="AP678">
        <v>12</v>
      </c>
      <c r="AS678">
        <v>900</v>
      </c>
      <c r="AT678">
        <v>900</v>
      </c>
      <c r="BQ678">
        <v>4</v>
      </c>
      <c r="BR678" t="s">
        <v>521</v>
      </c>
      <c r="BS678" t="s">
        <v>180</v>
      </c>
      <c r="BT678" t="s">
        <v>1738</v>
      </c>
      <c r="BU678" s="1">
        <v>45471</v>
      </c>
      <c r="BV678">
        <v>35062</v>
      </c>
      <c r="BX678" t="s">
        <v>170</v>
      </c>
      <c r="BY678" t="s">
        <v>170</v>
      </c>
      <c r="CB678" t="s">
        <v>170</v>
      </c>
      <c r="CC678" t="s">
        <v>170</v>
      </c>
      <c r="CK678" t="s">
        <v>233</v>
      </c>
      <c r="CM678">
        <v>1</v>
      </c>
      <c r="CN678" t="s">
        <v>234</v>
      </c>
      <c r="CP678">
        <v>850</v>
      </c>
      <c r="CQ678">
        <v>144</v>
      </c>
      <c r="CR678">
        <v>163</v>
      </c>
      <c r="CS678" t="s">
        <v>1752</v>
      </c>
      <c r="CV678" t="s">
        <v>341</v>
      </c>
      <c r="CX678" t="s">
        <v>342</v>
      </c>
      <c r="CY678" t="s">
        <v>170</v>
      </c>
      <c r="DC678" t="s">
        <v>2206</v>
      </c>
      <c r="DD678">
        <v>2</v>
      </c>
      <c r="DE678" t="s">
        <v>404</v>
      </c>
      <c r="DF678" t="s">
        <v>2181</v>
      </c>
      <c r="DG678" t="s">
        <v>2207</v>
      </c>
      <c r="DL678" t="s">
        <v>170</v>
      </c>
      <c r="DM678" t="s">
        <v>169</v>
      </c>
      <c r="DP678" t="s">
        <v>170</v>
      </c>
      <c r="DQ678" t="s">
        <v>187</v>
      </c>
      <c r="EB678">
        <v>9</v>
      </c>
      <c r="EC678">
        <v>10</v>
      </c>
      <c r="EE678" t="s">
        <v>2208</v>
      </c>
      <c r="EF678">
        <v>10</v>
      </c>
      <c r="EU678">
        <v>5000</v>
      </c>
      <c r="EW678">
        <v>0</v>
      </c>
      <c r="EX678">
        <v>0</v>
      </c>
      <c r="EY678">
        <v>0</v>
      </c>
      <c r="FA678">
        <v>13</v>
      </c>
      <c r="FG678">
        <v>325</v>
      </c>
      <c r="FH678">
        <v>309</v>
      </c>
      <c r="FI678">
        <v>318</v>
      </c>
    </row>
    <row r="679" spans="1:165" x14ac:dyDescent="0.35">
      <c r="A679">
        <v>2025</v>
      </c>
      <c r="B679" t="s">
        <v>299</v>
      </c>
      <c r="C679" t="s">
        <v>299</v>
      </c>
      <c r="D679" t="s">
        <v>2205</v>
      </c>
      <c r="E679" t="s">
        <v>301</v>
      </c>
      <c r="F679">
        <v>702</v>
      </c>
      <c r="G679">
        <v>0</v>
      </c>
      <c r="I679" t="s">
        <v>2128</v>
      </c>
      <c r="J679">
        <v>36</v>
      </c>
      <c r="K679">
        <v>38</v>
      </c>
      <c r="L679">
        <v>37</v>
      </c>
      <c r="M679">
        <v>25.0593</v>
      </c>
      <c r="N679">
        <v>26.3019</v>
      </c>
      <c r="O679">
        <v>25.618500000000001</v>
      </c>
      <c r="P679">
        <v>35.799300000000002</v>
      </c>
      <c r="Q679">
        <v>37.587800000000001</v>
      </c>
      <c r="R679">
        <v>36.604100000000003</v>
      </c>
      <c r="V679" t="s">
        <v>167</v>
      </c>
      <c r="W679" t="s">
        <v>168</v>
      </c>
      <c r="Y679">
        <v>2</v>
      </c>
      <c r="Z679" t="s">
        <v>170</v>
      </c>
      <c r="AA679" t="s">
        <v>170</v>
      </c>
      <c r="AB679" t="s">
        <v>171</v>
      </c>
      <c r="AC679" t="s">
        <v>172</v>
      </c>
      <c r="AF679">
        <v>318</v>
      </c>
      <c r="AG679" t="s">
        <v>1735</v>
      </c>
      <c r="AH679" t="s">
        <v>1736</v>
      </c>
      <c r="AI679" t="s">
        <v>1742</v>
      </c>
      <c r="AJ679" t="s">
        <v>1743</v>
      </c>
      <c r="AK679" t="s">
        <v>170</v>
      </c>
      <c r="AL679" t="s">
        <v>177</v>
      </c>
      <c r="AO679">
        <v>90</v>
      </c>
      <c r="AP679">
        <v>12</v>
      </c>
      <c r="AS679">
        <v>900</v>
      </c>
      <c r="AT679">
        <v>900</v>
      </c>
      <c r="BQ679">
        <v>4</v>
      </c>
      <c r="BR679" t="s">
        <v>521</v>
      </c>
      <c r="BS679" t="s">
        <v>180</v>
      </c>
      <c r="BT679" t="s">
        <v>1738</v>
      </c>
      <c r="BU679" s="1">
        <v>45471</v>
      </c>
      <c r="BV679">
        <v>35062</v>
      </c>
      <c r="BX679" t="s">
        <v>170</v>
      </c>
      <c r="BY679" t="s">
        <v>170</v>
      </c>
      <c r="CB679" t="s">
        <v>170</v>
      </c>
      <c r="CC679" t="s">
        <v>170</v>
      </c>
      <c r="CK679" t="s">
        <v>233</v>
      </c>
      <c r="CM679">
        <v>1</v>
      </c>
      <c r="CN679" t="s">
        <v>234</v>
      </c>
      <c r="CP679">
        <v>850</v>
      </c>
      <c r="CQ679">
        <v>144</v>
      </c>
      <c r="CR679">
        <v>163</v>
      </c>
      <c r="CS679" t="s">
        <v>1752</v>
      </c>
      <c r="CV679" t="s">
        <v>341</v>
      </c>
      <c r="CX679" t="s">
        <v>342</v>
      </c>
      <c r="CY679" t="s">
        <v>170</v>
      </c>
      <c r="DC679" t="s">
        <v>2206</v>
      </c>
      <c r="DD679">
        <v>2</v>
      </c>
      <c r="DE679" t="s">
        <v>404</v>
      </c>
      <c r="DF679" t="s">
        <v>2181</v>
      </c>
      <c r="DG679" t="s">
        <v>2207</v>
      </c>
      <c r="DL679" t="s">
        <v>170</v>
      </c>
      <c r="DM679" t="s">
        <v>169</v>
      </c>
      <c r="DP679" t="s">
        <v>170</v>
      </c>
      <c r="DQ679" t="s">
        <v>187</v>
      </c>
      <c r="EB679">
        <v>9</v>
      </c>
      <c r="EC679">
        <v>10</v>
      </c>
      <c r="EE679" t="s">
        <v>2208</v>
      </c>
      <c r="EF679">
        <v>10</v>
      </c>
      <c r="EU679">
        <v>5000</v>
      </c>
      <c r="EW679">
        <v>0</v>
      </c>
      <c r="EX679">
        <v>0</v>
      </c>
      <c r="EY679">
        <v>0</v>
      </c>
      <c r="FA679">
        <v>13</v>
      </c>
      <c r="FG679">
        <v>325</v>
      </c>
      <c r="FH679">
        <v>309</v>
      </c>
      <c r="FI679">
        <v>318</v>
      </c>
    </row>
    <row r="680" spans="1:165" x14ac:dyDescent="0.35">
      <c r="A680" s="25"/>
      <c r="B680" s="25"/>
      <c r="C680" s="25"/>
      <c r="D680" s="25"/>
      <c r="E680" s="25"/>
      <c r="F680" s="25" t="str">
        <f>_xlfn.CONCAT($A681," ",$B681," ",$D681)</f>
        <v>2025 Porsche Taycan 4 Perf Battery Plus</v>
      </c>
      <c r="G680" s="25"/>
      <c r="H680" s="25"/>
      <c r="I680" s="25"/>
      <c r="J680" s="25"/>
      <c r="K680" s="25"/>
      <c r="L680" s="25"/>
      <c r="M680" s="25"/>
      <c r="N680" s="25"/>
      <c r="O680" s="25"/>
      <c r="P680" s="25"/>
      <c r="Q680" s="25"/>
      <c r="R680" s="25"/>
      <c r="S680" s="25"/>
      <c r="T680" s="25"/>
      <c r="U680" s="25"/>
      <c r="V680" s="25"/>
      <c r="W680" s="25"/>
      <c r="X680" s="25"/>
      <c r="Y680" s="25"/>
      <c r="Z680" s="25"/>
      <c r="AA680" s="25"/>
      <c r="AB680" s="25"/>
      <c r="AC680" s="25"/>
      <c r="AD680" s="25" t="str">
        <f>_xlfn.CONCAT($A681," ",$B681," ",$D681)</f>
        <v>2025 Porsche Taycan 4 Perf Battery Plus</v>
      </c>
      <c r="AE680" s="25"/>
      <c r="AF680" s="25"/>
      <c r="AG680" s="25"/>
      <c r="AH680" s="25"/>
      <c r="AI680" s="25"/>
      <c r="AJ680" s="25"/>
      <c r="AK680" s="25"/>
      <c r="AL680" s="25"/>
      <c r="AM680" s="25"/>
      <c r="AN680" s="25"/>
      <c r="AO680" s="25"/>
      <c r="AP680" s="25"/>
      <c r="AQ680" s="25"/>
      <c r="AR680" s="25"/>
      <c r="AS680" s="25"/>
      <c r="AT680" s="25"/>
      <c r="AU680" s="25"/>
      <c r="AV680" s="25"/>
      <c r="AW680" s="25"/>
      <c r="AX680" s="25" t="str">
        <f>_xlfn.CONCAT($A681," ",$B681," ",$D681)</f>
        <v>2025 Porsche Taycan 4 Perf Battery Plus</v>
      </c>
      <c r="AY680" s="25"/>
      <c r="AZ680" s="25"/>
      <c r="BA680" s="25"/>
      <c r="BB680" s="25"/>
      <c r="BC680" s="25"/>
      <c r="BD680" s="25"/>
      <c r="BE680" s="25"/>
      <c r="BF680" s="25"/>
      <c r="BG680" s="25"/>
      <c r="BH680" s="25"/>
      <c r="BI680" s="25"/>
      <c r="BJ680" s="25"/>
      <c r="BK680" s="25"/>
      <c r="BL680" s="25"/>
      <c r="BM680" s="25"/>
      <c r="BN680" s="25"/>
      <c r="BO680" s="25"/>
      <c r="BP680" s="25"/>
      <c r="BQ680" s="25"/>
      <c r="BR680" s="25" t="str">
        <f>_xlfn.CONCAT($A681," ",$B681," ",$D681)</f>
        <v>2025 Porsche Taycan 4 Perf Battery Plus</v>
      </c>
      <c r="BS680" s="25"/>
      <c r="BT680" s="25"/>
      <c r="BU680" s="25"/>
      <c r="BV680" s="25"/>
      <c r="BX680" s="25"/>
      <c r="BY680" s="25"/>
      <c r="BZ680" s="25"/>
      <c r="CA680" s="25"/>
      <c r="CB680" s="25"/>
      <c r="CC680" s="25"/>
      <c r="CD680" s="25"/>
      <c r="CE680" s="25"/>
      <c r="CF680" s="25"/>
      <c r="CG680" s="25"/>
      <c r="CH680" s="25"/>
      <c r="CI680" s="25"/>
      <c r="CJ680" s="25"/>
      <c r="CK680" s="25"/>
      <c r="CL680" s="25"/>
      <c r="CM680" s="25"/>
      <c r="CN680" s="25"/>
      <c r="CO680" s="25"/>
      <c r="CP680" s="25" t="str">
        <f>_xlfn.CONCAT($A681," ",$B681," ",$D681)</f>
        <v>2025 Porsche Taycan 4 Perf Battery Plus</v>
      </c>
      <c r="CQ680" s="25"/>
      <c r="CR680" s="25"/>
      <c r="CS680" s="25"/>
      <c r="CT680" s="25"/>
      <c r="CU680" s="25"/>
      <c r="CV680" s="25"/>
      <c r="CW680" s="25"/>
      <c r="CX680" s="25"/>
      <c r="CY680" s="25"/>
      <c r="CZ680" s="25"/>
      <c r="DA680" s="25"/>
      <c r="DB680" s="25"/>
      <c r="DC680" s="25"/>
      <c r="DD680" s="25"/>
      <c r="DE680" s="25"/>
      <c r="DF680" s="25"/>
      <c r="DG680" s="25"/>
      <c r="DH680" s="25"/>
      <c r="DI680" s="25" t="str">
        <f>_xlfn.CONCAT($A681," ",$B681," ",$D681)</f>
        <v>2025 Porsche Taycan 4 Perf Battery Plus</v>
      </c>
      <c r="DJ680" s="25"/>
      <c r="DK680" s="25"/>
      <c r="DL680" s="25"/>
      <c r="DM680" s="25"/>
      <c r="DN680" s="25"/>
      <c r="DO680" s="25"/>
      <c r="DP680" s="25"/>
      <c r="DQ680" s="25"/>
      <c r="DR680" s="25"/>
      <c r="DS680" s="25"/>
      <c r="DT680" s="25"/>
      <c r="DU680" s="25"/>
      <c r="DV680" s="25"/>
      <c r="DW680" s="25"/>
      <c r="DX680" s="25"/>
      <c r="DY680" s="25"/>
      <c r="DZ680" s="25" t="str">
        <f>_xlfn.CONCAT($A681," ",$B681," ",$D681)</f>
        <v>2025 Porsche Taycan 4 Perf Battery Plus</v>
      </c>
      <c r="EB680" s="25"/>
      <c r="EC680" s="25"/>
      <c r="ED680" s="25"/>
      <c r="EE680" s="25"/>
      <c r="EF680" s="25"/>
      <c r="EG680" s="25"/>
      <c r="EH680" s="25"/>
      <c r="EI680" s="25"/>
      <c r="EJ680" s="25"/>
      <c r="EK680" s="25"/>
      <c r="EL680" s="25"/>
      <c r="EM680" s="25"/>
      <c r="EN680" s="25"/>
      <c r="EO680" s="25"/>
      <c r="EP680" s="25"/>
      <c r="EQ680" s="25"/>
      <c r="ER680" s="25"/>
      <c r="ES680" s="25"/>
      <c r="ET680" s="25"/>
      <c r="EU680" s="25"/>
      <c r="EV680" s="25" t="str">
        <f>_xlfn.CONCAT($A681," ",$B681," ",$D681)</f>
        <v>2025 Porsche Taycan 4 Perf Battery Plus</v>
      </c>
      <c r="EW680" s="25"/>
      <c r="EX680" s="25"/>
      <c r="EY680" s="25"/>
      <c r="EZ680" s="25"/>
      <c r="FA680" s="25"/>
      <c r="FB680" s="25"/>
      <c r="FC680" s="25"/>
      <c r="FD680" s="25"/>
      <c r="FE680" s="25"/>
      <c r="FF680" s="25"/>
      <c r="FG680" s="25"/>
    </row>
    <row r="681" spans="1:165" x14ac:dyDescent="0.35">
      <c r="A681">
        <v>2025</v>
      </c>
      <c r="B681" t="s">
        <v>299</v>
      </c>
      <c r="C681" t="s">
        <v>299</v>
      </c>
      <c r="D681" t="s">
        <v>2193</v>
      </c>
      <c r="E681" t="s">
        <v>301</v>
      </c>
      <c r="F681">
        <v>704</v>
      </c>
      <c r="G681">
        <v>0</v>
      </c>
      <c r="I681" t="s">
        <v>2128</v>
      </c>
      <c r="J681">
        <v>89</v>
      </c>
      <c r="K681">
        <v>85</v>
      </c>
      <c r="L681">
        <v>87</v>
      </c>
      <c r="M681">
        <v>127</v>
      </c>
      <c r="N681">
        <v>121.2</v>
      </c>
      <c r="O681">
        <v>124.3228</v>
      </c>
      <c r="P681">
        <v>88.9</v>
      </c>
      <c r="Q681">
        <v>84.84</v>
      </c>
      <c r="R681">
        <v>87.025999999999996</v>
      </c>
      <c r="V681" t="s">
        <v>167</v>
      </c>
      <c r="W681" t="s">
        <v>168</v>
      </c>
      <c r="Y681">
        <v>2</v>
      </c>
      <c r="Z681" t="s">
        <v>170</v>
      </c>
      <c r="AA681" t="s">
        <v>170</v>
      </c>
      <c r="AB681" t="s">
        <v>167</v>
      </c>
      <c r="AC681" t="s">
        <v>213</v>
      </c>
      <c r="AF681">
        <v>294</v>
      </c>
      <c r="AG681" t="s">
        <v>1735</v>
      </c>
      <c r="AH681" t="s">
        <v>1736</v>
      </c>
      <c r="AI681" t="s">
        <v>175</v>
      </c>
      <c r="AJ681" t="s">
        <v>176</v>
      </c>
      <c r="AK681" t="s">
        <v>170</v>
      </c>
      <c r="AL681" t="s">
        <v>177</v>
      </c>
      <c r="AO681">
        <v>89</v>
      </c>
      <c r="AP681">
        <v>11</v>
      </c>
      <c r="AS681">
        <v>950</v>
      </c>
      <c r="AT681">
        <v>50</v>
      </c>
      <c r="BQ681">
        <v>4</v>
      </c>
      <c r="BR681" t="s">
        <v>521</v>
      </c>
      <c r="BS681" t="s">
        <v>180</v>
      </c>
      <c r="BT681" t="s">
        <v>1738</v>
      </c>
      <c r="BU681" s="1">
        <v>45716</v>
      </c>
      <c r="BV681">
        <v>36164</v>
      </c>
      <c r="BX681" t="s">
        <v>170</v>
      </c>
      <c r="BY681" t="s">
        <v>170</v>
      </c>
      <c r="CB681" t="s">
        <v>170</v>
      </c>
      <c r="CC681" t="s">
        <v>170</v>
      </c>
      <c r="CK681" t="s">
        <v>233</v>
      </c>
      <c r="CM681">
        <v>1</v>
      </c>
      <c r="CN681" t="s">
        <v>234</v>
      </c>
      <c r="CP681">
        <v>850</v>
      </c>
      <c r="CQ681">
        <v>129</v>
      </c>
      <c r="CR681">
        <v>148</v>
      </c>
      <c r="CS681" t="s">
        <v>1739</v>
      </c>
      <c r="CV681" t="s">
        <v>341</v>
      </c>
      <c r="CX681" t="s">
        <v>342</v>
      </c>
      <c r="CY681" t="s">
        <v>170</v>
      </c>
      <c r="DC681" t="s">
        <v>2190</v>
      </c>
      <c r="DD681">
        <v>9</v>
      </c>
      <c r="DE681" t="s">
        <v>404</v>
      </c>
      <c r="DF681" t="s">
        <v>2181</v>
      </c>
      <c r="DG681" t="s">
        <v>2194</v>
      </c>
      <c r="DL681" t="s">
        <v>170</v>
      </c>
      <c r="DM681" t="s">
        <v>169</v>
      </c>
      <c r="DP681" t="s">
        <v>170</v>
      </c>
      <c r="DQ681" t="s">
        <v>187</v>
      </c>
      <c r="EB681">
        <v>9</v>
      </c>
      <c r="EC681">
        <v>10</v>
      </c>
      <c r="EE681" t="s">
        <v>2192</v>
      </c>
      <c r="EF681">
        <v>10</v>
      </c>
      <c r="EU681">
        <v>4750</v>
      </c>
      <c r="EW681">
        <v>0</v>
      </c>
      <c r="EX681">
        <v>0</v>
      </c>
      <c r="EY681">
        <v>0</v>
      </c>
      <c r="FA681">
        <v>13</v>
      </c>
      <c r="FG681">
        <v>300</v>
      </c>
      <c r="FH681">
        <v>286</v>
      </c>
      <c r="FI681">
        <v>294</v>
      </c>
    </row>
    <row r="682" spans="1:165" x14ac:dyDescent="0.35">
      <c r="A682">
        <v>2025</v>
      </c>
      <c r="B682" t="s">
        <v>299</v>
      </c>
      <c r="C682" t="s">
        <v>299</v>
      </c>
      <c r="D682" t="s">
        <v>2193</v>
      </c>
      <c r="E682" t="s">
        <v>301</v>
      </c>
      <c r="F682">
        <v>704</v>
      </c>
      <c r="G682">
        <v>0</v>
      </c>
      <c r="I682" t="s">
        <v>2128</v>
      </c>
      <c r="J682">
        <v>38</v>
      </c>
      <c r="K682">
        <v>40</v>
      </c>
      <c r="L682">
        <v>39</v>
      </c>
      <c r="M682">
        <v>26.5352</v>
      </c>
      <c r="N682">
        <v>27.809100000000001</v>
      </c>
      <c r="O682">
        <v>27.108499999999999</v>
      </c>
      <c r="P682">
        <v>37.913400000000003</v>
      </c>
      <c r="Q682">
        <v>39.727699999999999</v>
      </c>
      <c r="R682">
        <v>38.729799999999997</v>
      </c>
      <c r="V682" t="s">
        <v>167</v>
      </c>
      <c r="W682" t="s">
        <v>168</v>
      </c>
      <c r="Y682">
        <v>2</v>
      </c>
      <c r="Z682" t="s">
        <v>170</v>
      </c>
      <c r="AA682" t="s">
        <v>170</v>
      </c>
      <c r="AB682" t="s">
        <v>167</v>
      </c>
      <c r="AC682" t="s">
        <v>213</v>
      </c>
      <c r="AF682">
        <v>294</v>
      </c>
      <c r="AG682" t="s">
        <v>1735</v>
      </c>
      <c r="AH682" t="s">
        <v>1736</v>
      </c>
      <c r="AI682" t="s">
        <v>1742</v>
      </c>
      <c r="AJ682" t="s">
        <v>1743</v>
      </c>
      <c r="AK682" t="s">
        <v>170</v>
      </c>
      <c r="AL682" t="s">
        <v>177</v>
      </c>
      <c r="AO682">
        <v>89</v>
      </c>
      <c r="AP682">
        <v>11</v>
      </c>
      <c r="AS682">
        <v>950</v>
      </c>
      <c r="AT682">
        <v>950</v>
      </c>
      <c r="BQ682">
        <v>4</v>
      </c>
      <c r="BR682" t="s">
        <v>521</v>
      </c>
      <c r="BS682" t="s">
        <v>180</v>
      </c>
      <c r="BT682" t="s">
        <v>1738</v>
      </c>
      <c r="BU682" s="1">
        <v>45716</v>
      </c>
      <c r="BV682">
        <v>36164</v>
      </c>
      <c r="BX682" t="s">
        <v>170</v>
      </c>
      <c r="BY682" t="s">
        <v>170</v>
      </c>
      <c r="CB682" t="s">
        <v>170</v>
      </c>
      <c r="CC682" t="s">
        <v>170</v>
      </c>
      <c r="CK682" t="s">
        <v>233</v>
      </c>
      <c r="CM682">
        <v>1</v>
      </c>
      <c r="CN682" t="s">
        <v>234</v>
      </c>
      <c r="CP682">
        <v>850</v>
      </c>
      <c r="CQ682">
        <v>129</v>
      </c>
      <c r="CR682">
        <v>148</v>
      </c>
      <c r="CS682" t="s">
        <v>1739</v>
      </c>
      <c r="CV682" t="s">
        <v>341</v>
      </c>
      <c r="CX682" t="s">
        <v>342</v>
      </c>
      <c r="CY682" t="s">
        <v>170</v>
      </c>
      <c r="DC682" t="s">
        <v>2190</v>
      </c>
      <c r="DD682">
        <v>9</v>
      </c>
      <c r="DE682" t="s">
        <v>404</v>
      </c>
      <c r="DF682" t="s">
        <v>2181</v>
      </c>
      <c r="DG682" t="s">
        <v>2194</v>
      </c>
      <c r="DL682" t="s">
        <v>170</v>
      </c>
      <c r="DM682" t="s">
        <v>169</v>
      </c>
      <c r="DP682" t="s">
        <v>170</v>
      </c>
      <c r="DQ682" t="s">
        <v>187</v>
      </c>
      <c r="EB682">
        <v>9</v>
      </c>
      <c r="EC682">
        <v>10</v>
      </c>
      <c r="EE682" t="s">
        <v>2192</v>
      </c>
      <c r="EF682">
        <v>10</v>
      </c>
      <c r="EU682">
        <v>4750</v>
      </c>
      <c r="EW682">
        <v>0</v>
      </c>
      <c r="EX682">
        <v>0</v>
      </c>
      <c r="EY682">
        <v>0</v>
      </c>
      <c r="FA682">
        <v>13</v>
      </c>
      <c r="FG682">
        <v>300</v>
      </c>
      <c r="FH682">
        <v>286</v>
      </c>
      <c r="FI682">
        <v>294</v>
      </c>
    </row>
    <row r="683" spans="1:165" x14ac:dyDescent="0.35">
      <c r="A683" s="25"/>
      <c r="B683" s="25"/>
      <c r="C683" s="25"/>
      <c r="D683" s="25"/>
      <c r="E683" s="25"/>
      <c r="F683" s="25" t="str">
        <f>_xlfn.CONCAT($A684," ",$B684," ",$D684)</f>
        <v>2025 Porsche Taycan 4 Cross Turismo</v>
      </c>
      <c r="G683" s="25"/>
      <c r="H683" s="25"/>
      <c r="I683" s="25"/>
      <c r="J683" s="25"/>
      <c r="K683" s="25"/>
      <c r="L683" s="25"/>
      <c r="M683" s="25"/>
      <c r="N683" s="25"/>
      <c r="O683" s="25"/>
      <c r="P683" s="25"/>
      <c r="Q683" s="25"/>
      <c r="R683" s="25"/>
      <c r="S683" s="25"/>
      <c r="T683" s="25"/>
      <c r="U683" s="25"/>
      <c r="V683" s="25"/>
      <c r="W683" s="25"/>
      <c r="X683" s="25"/>
      <c r="Y683" s="25"/>
      <c r="Z683" s="25"/>
      <c r="AA683" s="25"/>
      <c r="AB683" s="25"/>
      <c r="AC683" s="25"/>
      <c r="AD683" s="25" t="str">
        <f>_xlfn.CONCAT($A684," ",$B684," ",$D684)</f>
        <v>2025 Porsche Taycan 4 Cross Turismo</v>
      </c>
      <c r="AE683" s="25"/>
      <c r="AF683" s="25"/>
      <c r="AG683" s="25"/>
      <c r="AH683" s="25"/>
      <c r="AI683" s="25"/>
      <c r="AJ683" s="25"/>
      <c r="AK683" s="25"/>
      <c r="AL683" s="25"/>
      <c r="AM683" s="25"/>
      <c r="AN683" s="25"/>
      <c r="AO683" s="25"/>
      <c r="AP683" s="25"/>
      <c r="AQ683" s="25"/>
      <c r="AR683" s="25"/>
      <c r="AS683" s="25"/>
      <c r="AT683" s="25"/>
      <c r="AU683" s="25"/>
      <c r="AV683" s="25"/>
      <c r="AW683" s="25"/>
      <c r="AX683" s="25" t="str">
        <f>_xlfn.CONCAT($A684," ",$B684," ",$D684)</f>
        <v>2025 Porsche Taycan 4 Cross Turismo</v>
      </c>
      <c r="AY683" s="25"/>
      <c r="AZ683" s="25"/>
      <c r="BA683" s="25"/>
      <c r="BB683" s="25"/>
      <c r="BC683" s="25"/>
      <c r="BD683" s="25"/>
      <c r="BE683" s="25"/>
      <c r="BF683" s="25"/>
      <c r="BG683" s="25"/>
      <c r="BH683" s="25"/>
      <c r="BI683" s="25"/>
      <c r="BJ683" s="25"/>
      <c r="BK683" s="25"/>
      <c r="BL683" s="25"/>
      <c r="BM683" s="25"/>
      <c r="BN683" s="25"/>
      <c r="BO683" s="25"/>
      <c r="BP683" s="25"/>
      <c r="BQ683" s="25"/>
      <c r="BR683" s="25" t="str">
        <f>_xlfn.CONCAT($A684," ",$B684," ",$D684)</f>
        <v>2025 Porsche Taycan 4 Cross Turismo</v>
      </c>
      <c r="BS683" s="25"/>
      <c r="BT683" s="25"/>
      <c r="BU683" s="25"/>
      <c r="BV683" s="25"/>
      <c r="BX683" s="25"/>
      <c r="BY683" s="25"/>
      <c r="BZ683" s="25"/>
      <c r="CA683" s="25"/>
      <c r="CB683" s="25"/>
      <c r="CC683" s="25"/>
      <c r="CD683" s="25"/>
      <c r="CE683" s="25"/>
      <c r="CF683" s="25"/>
      <c r="CG683" s="25"/>
      <c r="CH683" s="25"/>
      <c r="CI683" s="25"/>
      <c r="CJ683" s="25"/>
      <c r="CK683" s="25"/>
      <c r="CL683" s="25"/>
      <c r="CM683" s="25"/>
      <c r="CN683" s="25"/>
      <c r="CO683" s="25"/>
      <c r="CP683" s="25" t="str">
        <f>_xlfn.CONCAT($A684," ",$B684," ",$D684)</f>
        <v>2025 Porsche Taycan 4 Cross Turismo</v>
      </c>
      <c r="CQ683" s="25"/>
      <c r="CR683" s="25"/>
      <c r="CS683" s="25"/>
      <c r="CT683" s="25"/>
      <c r="CU683" s="25"/>
      <c r="CV683" s="25"/>
      <c r="CW683" s="25"/>
      <c r="CX683" s="25"/>
      <c r="CY683" s="25"/>
      <c r="CZ683" s="25"/>
      <c r="DA683" s="25"/>
      <c r="DB683" s="25"/>
      <c r="DC683" s="25"/>
      <c r="DD683" s="25"/>
      <c r="DE683" s="25"/>
      <c r="DF683" s="25"/>
      <c r="DG683" s="25"/>
      <c r="DH683" s="25"/>
      <c r="DI683" s="25" t="str">
        <f>_xlfn.CONCAT($A684," ",$B684," ",$D684)</f>
        <v>2025 Porsche Taycan 4 Cross Turismo</v>
      </c>
      <c r="DJ683" s="25"/>
      <c r="DK683" s="25"/>
      <c r="DL683" s="25"/>
      <c r="DM683" s="25"/>
      <c r="DN683" s="25"/>
      <c r="DO683" s="25"/>
      <c r="DP683" s="25"/>
      <c r="DQ683" s="25"/>
      <c r="DR683" s="25"/>
      <c r="DS683" s="25"/>
      <c r="DT683" s="25"/>
      <c r="DU683" s="25"/>
      <c r="DV683" s="25"/>
      <c r="DW683" s="25"/>
      <c r="DX683" s="25"/>
      <c r="DY683" s="25"/>
      <c r="DZ683" s="25" t="str">
        <f>_xlfn.CONCAT($A684," ",$B684," ",$D684)</f>
        <v>2025 Porsche Taycan 4 Cross Turismo</v>
      </c>
      <c r="EB683" s="25"/>
      <c r="EC683" s="25"/>
      <c r="ED683" s="25"/>
      <c r="EE683" s="25"/>
      <c r="EF683" s="25"/>
      <c r="EG683" s="25"/>
      <c r="EH683" s="25"/>
      <c r="EI683" s="25"/>
      <c r="EJ683" s="25"/>
      <c r="EK683" s="25"/>
      <c r="EL683" s="25"/>
      <c r="EM683" s="25"/>
      <c r="EN683" s="25"/>
      <c r="EO683" s="25"/>
      <c r="EP683" s="25"/>
      <c r="EQ683" s="25"/>
      <c r="ER683" s="25"/>
      <c r="ES683" s="25"/>
      <c r="ET683" s="25"/>
      <c r="EU683" s="25"/>
      <c r="EV683" s="25" t="str">
        <f>_xlfn.CONCAT($A684," ",$B684," ",$D684)</f>
        <v>2025 Porsche Taycan 4 Cross Turismo</v>
      </c>
      <c r="EW683" s="25"/>
      <c r="EX683" s="25"/>
      <c r="EY683" s="25"/>
      <c r="EZ683" s="25"/>
      <c r="FA683" s="25"/>
      <c r="FB683" s="25"/>
      <c r="FC683" s="25"/>
      <c r="FD683" s="25"/>
      <c r="FE683" s="25"/>
      <c r="FF683" s="25"/>
      <c r="FG683" s="25"/>
    </row>
    <row r="684" spans="1:165" x14ac:dyDescent="0.35">
      <c r="A684">
        <v>2025</v>
      </c>
      <c r="B684" t="s">
        <v>299</v>
      </c>
      <c r="C684" t="s">
        <v>299</v>
      </c>
      <c r="D684" t="s">
        <v>2189</v>
      </c>
      <c r="E684" t="s">
        <v>301</v>
      </c>
      <c r="F684">
        <v>705</v>
      </c>
      <c r="G684">
        <v>0</v>
      </c>
      <c r="I684" t="s">
        <v>2128</v>
      </c>
      <c r="J684">
        <v>84</v>
      </c>
      <c r="K684">
        <v>79</v>
      </c>
      <c r="L684">
        <v>81</v>
      </c>
      <c r="M684">
        <v>119.3</v>
      </c>
      <c r="N684">
        <v>112.2</v>
      </c>
      <c r="O684">
        <v>115.9969</v>
      </c>
      <c r="P684">
        <v>83.51</v>
      </c>
      <c r="Q684">
        <v>78.540000000000006</v>
      </c>
      <c r="R684">
        <v>81.197800000000001</v>
      </c>
      <c r="V684" t="s">
        <v>167</v>
      </c>
      <c r="W684" t="s">
        <v>168</v>
      </c>
      <c r="Y684">
        <v>2</v>
      </c>
      <c r="Z684" t="s">
        <v>170</v>
      </c>
      <c r="AA684" t="s">
        <v>170</v>
      </c>
      <c r="AB684" t="s">
        <v>167</v>
      </c>
      <c r="AC684" t="s">
        <v>213</v>
      </c>
      <c r="AF684">
        <v>277</v>
      </c>
      <c r="AG684" t="s">
        <v>1735</v>
      </c>
      <c r="AH684" t="s">
        <v>1736</v>
      </c>
      <c r="AI684" t="s">
        <v>175</v>
      </c>
      <c r="AJ684" t="s">
        <v>176</v>
      </c>
      <c r="AK684" t="s">
        <v>170</v>
      </c>
      <c r="AL684" t="s">
        <v>177</v>
      </c>
      <c r="AQ684">
        <v>90</v>
      </c>
      <c r="AR684">
        <v>24</v>
      </c>
      <c r="AS684">
        <v>1000</v>
      </c>
      <c r="AT684">
        <v>1000</v>
      </c>
      <c r="BQ684">
        <v>5</v>
      </c>
      <c r="BR684" t="s">
        <v>672</v>
      </c>
      <c r="BS684" t="s">
        <v>180</v>
      </c>
      <c r="BT684" t="s">
        <v>1738</v>
      </c>
      <c r="BU684" s="1">
        <v>45471</v>
      </c>
      <c r="BV684">
        <v>35436</v>
      </c>
      <c r="BX684" t="s">
        <v>170</v>
      </c>
      <c r="BY684" t="s">
        <v>170</v>
      </c>
      <c r="CB684" t="s">
        <v>170</v>
      </c>
      <c r="CC684" t="s">
        <v>170</v>
      </c>
      <c r="CK684" t="s">
        <v>233</v>
      </c>
      <c r="CM684">
        <v>1</v>
      </c>
      <c r="CN684" t="s">
        <v>234</v>
      </c>
      <c r="CP684">
        <v>850</v>
      </c>
      <c r="CQ684">
        <v>129</v>
      </c>
      <c r="CR684">
        <v>148</v>
      </c>
      <c r="CS684" t="s">
        <v>1739</v>
      </c>
      <c r="CV684" t="s">
        <v>341</v>
      </c>
      <c r="CX684" t="s">
        <v>342</v>
      </c>
      <c r="CY684" t="s">
        <v>170</v>
      </c>
      <c r="DC684" t="s">
        <v>2190</v>
      </c>
      <c r="DD684">
        <v>7</v>
      </c>
      <c r="DE684" t="s">
        <v>404</v>
      </c>
      <c r="DF684" t="s">
        <v>2181</v>
      </c>
      <c r="DG684" t="s">
        <v>2191</v>
      </c>
      <c r="DL684" t="s">
        <v>170</v>
      </c>
      <c r="DM684" t="s">
        <v>169</v>
      </c>
      <c r="DP684" t="s">
        <v>170</v>
      </c>
      <c r="DQ684" t="s">
        <v>187</v>
      </c>
      <c r="EB684">
        <v>9</v>
      </c>
      <c r="EC684">
        <v>10</v>
      </c>
      <c r="EE684" t="s">
        <v>2192</v>
      </c>
      <c r="EF684">
        <v>10</v>
      </c>
      <c r="EU684">
        <v>4500</v>
      </c>
      <c r="EW684">
        <v>0</v>
      </c>
      <c r="EX684">
        <v>0</v>
      </c>
      <c r="EY684">
        <v>0</v>
      </c>
      <c r="FA684">
        <v>13</v>
      </c>
      <c r="FG684">
        <v>285</v>
      </c>
      <c r="FH684">
        <v>268</v>
      </c>
      <c r="FI684">
        <v>277</v>
      </c>
    </row>
    <row r="685" spans="1:165" x14ac:dyDescent="0.35">
      <c r="A685">
        <v>2025</v>
      </c>
      <c r="B685" t="s">
        <v>299</v>
      </c>
      <c r="C685" t="s">
        <v>299</v>
      </c>
      <c r="D685" t="s">
        <v>2189</v>
      </c>
      <c r="E685" t="s">
        <v>301</v>
      </c>
      <c r="F685">
        <v>705</v>
      </c>
      <c r="G685">
        <v>0</v>
      </c>
      <c r="I685" t="s">
        <v>2128</v>
      </c>
      <c r="J685">
        <v>40</v>
      </c>
      <c r="K685">
        <v>43</v>
      </c>
      <c r="L685">
        <v>42</v>
      </c>
      <c r="M685">
        <v>28.2622</v>
      </c>
      <c r="N685">
        <v>30.040400000000002</v>
      </c>
      <c r="O685">
        <v>29.0624</v>
      </c>
      <c r="P685">
        <v>40.360399999999998</v>
      </c>
      <c r="Q685">
        <v>42.914400000000001</v>
      </c>
      <c r="R685">
        <v>41.509700000000002</v>
      </c>
      <c r="V685" t="s">
        <v>167</v>
      </c>
      <c r="W685" t="s">
        <v>168</v>
      </c>
      <c r="Y685">
        <v>2</v>
      </c>
      <c r="Z685" t="s">
        <v>170</v>
      </c>
      <c r="AA685" t="s">
        <v>170</v>
      </c>
      <c r="AB685" t="s">
        <v>167</v>
      </c>
      <c r="AC685" t="s">
        <v>213</v>
      </c>
      <c r="AF685">
        <v>277</v>
      </c>
      <c r="AG685" t="s">
        <v>1735</v>
      </c>
      <c r="AH685" t="s">
        <v>1736</v>
      </c>
      <c r="AI685" t="s">
        <v>1742</v>
      </c>
      <c r="AJ685" t="s">
        <v>1743</v>
      </c>
      <c r="AK685" t="s">
        <v>170</v>
      </c>
      <c r="AL685" t="s">
        <v>177</v>
      </c>
      <c r="AQ685">
        <v>90</v>
      </c>
      <c r="AR685">
        <v>24</v>
      </c>
      <c r="AS685">
        <v>1000</v>
      </c>
      <c r="AT685">
        <v>1000</v>
      </c>
      <c r="BQ685">
        <v>5</v>
      </c>
      <c r="BR685" t="s">
        <v>672</v>
      </c>
      <c r="BS685" t="s">
        <v>180</v>
      </c>
      <c r="BT685" t="s">
        <v>1738</v>
      </c>
      <c r="BU685" s="1">
        <v>45471</v>
      </c>
      <c r="BV685">
        <v>35436</v>
      </c>
      <c r="BX685" t="s">
        <v>170</v>
      </c>
      <c r="BY685" t="s">
        <v>170</v>
      </c>
      <c r="CB685" t="s">
        <v>170</v>
      </c>
      <c r="CC685" t="s">
        <v>170</v>
      </c>
      <c r="CK685" t="s">
        <v>233</v>
      </c>
      <c r="CM685">
        <v>1</v>
      </c>
      <c r="CN685" t="s">
        <v>234</v>
      </c>
      <c r="CP685">
        <v>850</v>
      </c>
      <c r="CQ685">
        <v>129</v>
      </c>
      <c r="CR685">
        <v>148</v>
      </c>
      <c r="CS685" t="s">
        <v>1739</v>
      </c>
      <c r="CV685" t="s">
        <v>341</v>
      </c>
      <c r="CX685" t="s">
        <v>342</v>
      </c>
      <c r="CY685" t="s">
        <v>170</v>
      </c>
      <c r="DC685" t="s">
        <v>2190</v>
      </c>
      <c r="DD685">
        <v>7</v>
      </c>
      <c r="DE685" t="s">
        <v>404</v>
      </c>
      <c r="DF685" t="s">
        <v>2181</v>
      </c>
      <c r="DG685" t="s">
        <v>2191</v>
      </c>
      <c r="DL685" t="s">
        <v>170</v>
      </c>
      <c r="DM685" t="s">
        <v>169</v>
      </c>
      <c r="DP685" t="s">
        <v>170</v>
      </c>
      <c r="DQ685" t="s">
        <v>187</v>
      </c>
      <c r="EB685">
        <v>9</v>
      </c>
      <c r="EC685">
        <v>10</v>
      </c>
      <c r="EE685" t="s">
        <v>2192</v>
      </c>
      <c r="EF685">
        <v>10</v>
      </c>
      <c r="EU685">
        <v>4500</v>
      </c>
      <c r="EW685">
        <v>0</v>
      </c>
      <c r="EX685">
        <v>0</v>
      </c>
      <c r="EY685">
        <v>0</v>
      </c>
      <c r="FA685">
        <v>13</v>
      </c>
      <c r="FG685">
        <v>285</v>
      </c>
      <c r="FH685">
        <v>268</v>
      </c>
      <c r="FI685">
        <v>277</v>
      </c>
    </row>
    <row r="686" spans="1:165" x14ac:dyDescent="0.35">
      <c r="A686" s="25"/>
      <c r="B686" s="25"/>
      <c r="C686" s="25"/>
      <c r="D686" s="25"/>
      <c r="E686" s="25"/>
      <c r="F686" s="25" t="str">
        <f>_xlfn.CONCAT($A687," ",$B687," ",$D687)</f>
        <v>2025 Porsche Taycan 4S Performance Battery</v>
      </c>
      <c r="G686" s="25"/>
      <c r="H686" s="25"/>
      <c r="I686" s="25"/>
      <c r="J686" s="25"/>
      <c r="K686" s="25"/>
      <c r="L686" s="25"/>
      <c r="M686" s="25"/>
      <c r="N686" s="25"/>
      <c r="O686" s="25"/>
      <c r="P686" s="25"/>
      <c r="Q686" s="25"/>
      <c r="R686" s="25"/>
      <c r="S686" s="25"/>
      <c r="T686" s="25"/>
      <c r="U686" s="25"/>
      <c r="V686" s="25"/>
      <c r="W686" s="25"/>
      <c r="X686" s="25"/>
      <c r="Y686" s="25"/>
      <c r="Z686" s="25"/>
      <c r="AA686" s="25"/>
      <c r="AB686" s="25"/>
      <c r="AC686" s="25"/>
      <c r="AD686" s="25" t="str">
        <f>_xlfn.CONCAT($A687," ",$B687," ",$D687)</f>
        <v>2025 Porsche Taycan 4S Performance Battery</v>
      </c>
      <c r="AE686" s="25"/>
      <c r="AF686" s="25"/>
      <c r="AG686" s="25"/>
      <c r="AH686" s="25"/>
      <c r="AI686" s="25"/>
      <c r="AJ686" s="25"/>
      <c r="AK686" s="25"/>
      <c r="AL686" s="25"/>
      <c r="AM686" s="25"/>
      <c r="AN686" s="25"/>
      <c r="AO686" s="25"/>
      <c r="AP686" s="25"/>
      <c r="AQ686" s="25"/>
      <c r="AR686" s="25"/>
      <c r="AS686" s="25"/>
      <c r="AT686" s="25"/>
      <c r="AU686" s="25"/>
      <c r="AV686" s="25"/>
      <c r="AW686" s="25"/>
      <c r="AX686" s="25" t="str">
        <f>_xlfn.CONCAT($A687," ",$B687," ",$D687)</f>
        <v>2025 Porsche Taycan 4S Performance Battery</v>
      </c>
      <c r="AY686" s="25"/>
      <c r="AZ686" s="25"/>
      <c r="BA686" s="25"/>
      <c r="BB686" s="25"/>
      <c r="BC686" s="25"/>
      <c r="BD686" s="25"/>
      <c r="BE686" s="25"/>
      <c r="BF686" s="25"/>
      <c r="BG686" s="25"/>
      <c r="BH686" s="25"/>
      <c r="BI686" s="25"/>
      <c r="BJ686" s="25"/>
      <c r="BK686" s="25"/>
      <c r="BL686" s="25"/>
      <c r="BM686" s="25"/>
      <c r="BN686" s="25"/>
      <c r="BO686" s="25"/>
      <c r="BP686" s="25"/>
      <c r="BQ686" s="25"/>
      <c r="BR686" s="25" t="str">
        <f>_xlfn.CONCAT($A687," ",$B687," ",$D687)</f>
        <v>2025 Porsche Taycan 4S Performance Battery</v>
      </c>
      <c r="BS686" s="25"/>
      <c r="BT686" s="25"/>
      <c r="BU686" s="25"/>
      <c r="BV686" s="25"/>
      <c r="BX686" s="25"/>
      <c r="BY686" s="25"/>
      <c r="BZ686" s="25"/>
      <c r="CA686" s="25"/>
      <c r="CB686" s="25"/>
      <c r="CC686" s="25"/>
      <c r="CD686" s="25"/>
      <c r="CE686" s="25"/>
      <c r="CF686" s="25"/>
      <c r="CG686" s="25"/>
      <c r="CH686" s="25"/>
      <c r="CI686" s="25"/>
      <c r="CJ686" s="25"/>
      <c r="CK686" s="25"/>
      <c r="CL686" s="25"/>
      <c r="CM686" s="25"/>
      <c r="CN686" s="25"/>
      <c r="CO686" s="25"/>
      <c r="CP686" s="25" t="str">
        <f>_xlfn.CONCAT($A687," ",$B687," ",$D687)</f>
        <v>2025 Porsche Taycan 4S Performance Battery</v>
      </c>
      <c r="CQ686" s="25"/>
      <c r="CR686" s="25"/>
      <c r="CS686" s="25"/>
      <c r="CT686" s="25"/>
      <c r="CU686" s="25"/>
      <c r="CV686" s="25"/>
      <c r="CW686" s="25"/>
      <c r="CX686" s="25"/>
      <c r="CY686" s="25"/>
      <c r="CZ686" s="25"/>
      <c r="DA686" s="25"/>
      <c r="DB686" s="25"/>
      <c r="DC686" s="25"/>
      <c r="DD686" s="25"/>
      <c r="DE686" s="25"/>
      <c r="DF686" s="25"/>
      <c r="DG686" s="25"/>
      <c r="DH686" s="25"/>
      <c r="DI686" s="25" t="str">
        <f>_xlfn.CONCAT($A687," ",$B687," ",$D687)</f>
        <v>2025 Porsche Taycan 4S Performance Battery</v>
      </c>
      <c r="DJ686" s="25"/>
      <c r="DK686" s="25"/>
      <c r="DL686" s="25"/>
      <c r="DM686" s="25"/>
      <c r="DN686" s="25"/>
      <c r="DO686" s="25"/>
      <c r="DP686" s="25"/>
      <c r="DQ686" s="25"/>
      <c r="DR686" s="25"/>
      <c r="DS686" s="25"/>
      <c r="DT686" s="25"/>
      <c r="DU686" s="25"/>
      <c r="DV686" s="25"/>
      <c r="DW686" s="25"/>
      <c r="DX686" s="25"/>
      <c r="DY686" s="25"/>
      <c r="DZ686" s="25" t="str">
        <f>_xlfn.CONCAT($A687," ",$B687," ",$D687)</f>
        <v>2025 Porsche Taycan 4S Performance Battery</v>
      </c>
      <c r="EB686" s="25"/>
      <c r="EC686" s="25"/>
      <c r="ED686" s="25"/>
      <c r="EE686" s="25"/>
      <c r="EF686" s="25"/>
      <c r="EG686" s="25"/>
      <c r="EH686" s="25"/>
      <c r="EI686" s="25"/>
      <c r="EJ686" s="25"/>
      <c r="EK686" s="25"/>
      <c r="EL686" s="25"/>
      <c r="EM686" s="25"/>
      <c r="EN686" s="25"/>
      <c r="EO686" s="25"/>
      <c r="EP686" s="25"/>
      <c r="EQ686" s="25"/>
      <c r="ER686" s="25"/>
      <c r="ES686" s="25"/>
      <c r="ET686" s="25"/>
      <c r="EU686" s="25"/>
      <c r="EV686" s="25" t="str">
        <f>_xlfn.CONCAT($A687," ",$B687," ",$D687)</f>
        <v>2025 Porsche Taycan 4S Performance Battery</v>
      </c>
      <c r="EW686" s="25"/>
      <c r="EX686" s="25"/>
      <c r="EY686" s="25"/>
      <c r="EZ686" s="25"/>
      <c r="FA686" s="25"/>
      <c r="FB686" s="25"/>
      <c r="FC686" s="25"/>
      <c r="FD686" s="25"/>
      <c r="FE686" s="25"/>
      <c r="FF686" s="25"/>
      <c r="FG686" s="25"/>
    </row>
    <row r="687" spans="1:165" x14ac:dyDescent="0.35">
      <c r="A687">
        <v>2025</v>
      </c>
      <c r="B687" t="s">
        <v>299</v>
      </c>
      <c r="C687" t="s">
        <v>299</v>
      </c>
      <c r="D687" t="s">
        <v>2201</v>
      </c>
      <c r="E687" t="s">
        <v>301</v>
      </c>
      <c r="F687">
        <v>720</v>
      </c>
      <c r="G687">
        <v>0</v>
      </c>
      <c r="I687" t="s">
        <v>2128</v>
      </c>
      <c r="J687">
        <v>90</v>
      </c>
      <c r="K687">
        <v>85</v>
      </c>
      <c r="L687">
        <v>88</v>
      </c>
      <c r="M687">
        <v>129.1</v>
      </c>
      <c r="N687">
        <v>120.8</v>
      </c>
      <c r="O687">
        <v>125.2281</v>
      </c>
      <c r="P687">
        <v>90.37</v>
      </c>
      <c r="Q687">
        <v>84.56</v>
      </c>
      <c r="R687">
        <v>87.659700000000001</v>
      </c>
      <c r="V687" t="s">
        <v>167</v>
      </c>
      <c r="W687" t="s">
        <v>168</v>
      </c>
      <c r="Y687">
        <v>2</v>
      </c>
      <c r="Z687" t="s">
        <v>170</v>
      </c>
      <c r="AA687" t="s">
        <v>170</v>
      </c>
      <c r="AB687" t="s">
        <v>167</v>
      </c>
      <c r="AC687" t="s">
        <v>213</v>
      </c>
      <c r="AF687">
        <v>252</v>
      </c>
      <c r="AG687" t="s">
        <v>1735</v>
      </c>
      <c r="AH687" t="s">
        <v>1736</v>
      </c>
      <c r="AI687" t="s">
        <v>175</v>
      </c>
      <c r="AJ687" t="s">
        <v>176</v>
      </c>
      <c r="AK687" t="s">
        <v>170</v>
      </c>
      <c r="AL687" t="s">
        <v>177</v>
      </c>
      <c r="AO687">
        <v>89</v>
      </c>
      <c r="AP687">
        <v>12</v>
      </c>
      <c r="AS687">
        <v>900</v>
      </c>
      <c r="AT687">
        <v>900</v>
      </c>
      <c r="BQ687">
        <v>4</v>
      </c>
      <c r="BR687" t="s">
        <v>521</v>
      </c>
      <c r="BS687" t="s">
        <v>180</v>
      </c>
      <c r="BT687" t="s">
        <v>1738</v>
      </c>
      <c r="BU687" s="1">
        <v>45471</v>
      </c>
      <c r="BV687">
        <v>35444</v>
      </c>
      <c r="BX687" t="s">
        <v>170</v>
      </c>
      <c r="BY687" t="s">
        <v>170</v>
      </c>
      <c r="CB687" t="s">
        <v>170</v>
      </c>
      <c r="CC687" t="s">
        <v>170</v>
      </c>
      <c r="CK687" t="s">
        <v>233</v>
      </c>
      <c r="CM687">
        <v>1</v>
      </c>
      <c r="CN687" t="s">
        <v>234</v>
      </c>
      <c r="CP687">
        <v>850</v>
      </c>
      <c r="CQ687">
        <v>129</v>
      </c>
      <c r="CR687">
        <v>148</v>
      </c>
      <c r="CS687" t="s">
        <v>1739</v>
      </c>
      <c r="CV687" t="s">
        <v>341</v>
      </c>
      <c r="CX687" t="s">
        <v>342</v>
      </c>
      <c r="CY687" t="s">
        <v>170</v>
      </c>
      <c r="DC687" t="s">
        <v>2190</v>
      </c>
      <c r="DD687">
        <v>7</v>
      </c>
      <c r="DE687" t="s">
        <v>404</v>
      </c>
      <c r="DF687" t="s">
        <v>2181</v>
      </c>
      <c r="DG687" t="s">
        <v>2202</v>
      </c>
      <c r="DL687" t="s">
        <v>170</v>
      </c>
      <c r="DM687" t="s">
        <v>169</v>
      </c>
      <c r="DP687" t="s">
        <v>170</v>
      </c>
      <c r="DQ687" t="s">
        <v>187</v>
      </c>
      <c r="EB687">
        <v>9</v>
      </c>
      <c r="EC687">
        <v>10</v>
      </c>
      <c r="EE687" t="s">
        <v>2192</v>
      </c>
      <c r="EF687">
        <v>10</v>
      </c>
      <c r="EU687">
        <v>5000</v>
      </c>
      <c r="EW687">
        <v>0</v>
      </c>
      <c r="EX687">
        <v>0</v>
      </c>
      <c r="EY687">
        <v>0</v>
      </c>
      <c r="FA687">
        <v>11.5</v>
      </c>
      <c r="FG687">
        <v>260</v>
      </c>
      <c r="FH687">
        <v>243</v>
      </c>
      <c r="FI687">
        <v>252</v>
      </c>
    </row>
    <row r="688" spans="1:165" x14ac:dyDescent="0.35">
      <c r="A688">
        <v>2025</v>
      </c>
      <c r="B688" t="s">
        <v>299</v>
      </c>
      <c r="C688" t="s">
        <v>299</v>
      </c>
      <c r="D688" t="s">
        <v>2201</v>
      </c>
      <c r="E688" t="s">
        <v>301</v>
      </c>
      <c r="F688">
        <v>720</v>
      </c>
      <c r="G688">
        <v>0</v>
      </c>
      <c r="I688" t="s">
        <v>2128</v>
      </c>
      <c r="J688">
        <v>37</v>
      </c>
      <c r="K688">
        <v>40</v>
      </c>
      <c r="L688">
        <v>38</v>
      </c>
      <c r="M688">
        <v>26.114999999999998</v>
      </c>
      <c r="N688">
        <v>27.894500000000001</v>
      </c>
      <c r="O688">
        <v>26.915800000000001</v>
      </c>
      <c r="P688">
        <v>37.296700000000001</v>
      </c>
      <c r="Q688">
        <v>39.859299999999998</v>
      </c>
      <c r="R688">
        <v>38.449800000000003</v>
      </c>
      <c r="V688" t="s">
        <v>167</v>
      </c>
      <c r="W688" t="s">
        <v>168</v>
      </c>
      <c r="Y688">
        <v>2</v>
      </c>
      <c r="Z688" t="s">
        <v>170</v>
      </c>
      <c r="AA688" t="s">
        <v>170</v>
      </c>
      <c r="AB688" t="s">
        <v>167</v>
      </c>
      <c r="AC688" t="s">
        <v>213</v>
      </c>
      <c r="AF688">
        <v>252</v>
      </c>
      <c r="AG688" t="s">
        <v>1735</v>
      </c>
      <c r="AH688" t="s">
        <v>1736</v>
      </c>
      <c r="AI688" t="s">
        <v>1742</v>
      </c>
      <c r="AJ688" t="s">
        <v>1743</v>
      </c>
      <c r="AK688" t="s">
        <v>170</v>
      </c>
      <c r="AL688" t="s">
        <v>177</v>
      </c>
      <c r="AO688">
        <v>89</v>
      </c>
      <c r="AP688">
        <v>12</v>
      </c>
      <c r="AS688">
        <v>900</v>
      </c>
      <c r="AT688">
        <v>900</v>
      </c>
      <c r="BQ688">
        <v>4</v>
      </c>
      <c r="BR688" t="s">
        <v>521</v>
      </c>
      <c r="BS688" t="s">
        <v>180</v>
      </c>
      <c r="BT688" t="s">
        <v>1738</v>
      </c>
      <c r="BU688" s="1">
        <v>45471</v>
      </c>
      <c r="BV688">
        <v>35444</v>
      </c>
      <c r="BX688" t="s">
        <v>170</v>
      </c>
      <c r="BY688" t="s">
        <v>170</v>
      </c>
      <c r="CB688" t="s">
        <v>170</v>
      </c>
      <c r="CC688" t="s">
        <v>170</v>
      </c>
      <c r="CK688" t="s">
        <v>233</v>
      </c>
      <c r="CM688">
        <v>1</v>
      </c>
      <c r="CN688" t="s">
        <v>234</v>
      </c>
      <c r="CP688">
        <v>850</v>
      </c>
      <c r="CQ688">
        <v>129</v>
      </c>
      <c r="CR688">
        <v>148</v>
      </c>
      <c r="CS688" t="s">
        <v>1739</v>
      </c>
      <c r="CV688" t="s">
        <v>341</v>
      </c>
      <c r="CX688" t="s">
        <v>342</v>
      </c>
      <c r="CY688" t="s">
        <v>170</v>
      </c>
      <c r="DC688" t="s">
        <v>2190</v>
      </c>
      <c r="DD688">
        <v>7</v>
      </c>
      <c r="DE688" t="s">
        <v>404</v>
      </c>
      <c r="DF688" t="s">
        <v>2181</v>
      </c>
      <c r="DG688" t="s">
        <v>2202</v>
      </c>
      <c r="DL688" t="s">
        <v>170</v>
      </c>
      <c r="DM688" t="s">
        <v>169</v>
      </c>
      <c r="DP688" t="s">
        <v>170</v>
      </c>
      <c r="DQ688" t="s">
        <v>187</v>
      </c>
      <c r="EB688">
        <v>9</v>
      </c>
      <c r="EC688">
        <v>10</v>
      </c>
      <c r="EE688" t="s">
        <v>2192</v>
      </c>
      <c r="EF688">
        <v>10</v>
      </c>
      <c r="EU688">
        <v>5000</v>
      </c>
      <c r="EW688">
        <v>0</v>
      </c>
      <c r="EX688">
        <v>0</v>
      </c>
      <c r="EY688">
        <v>0</v>
      </c>
      <c r="FA688">
        <v>11.5</v>
      </c>
      <c r="FG688">
        <v>260</v>
      </c>
      <c r="FH688">
        <v>243</v>
      </c>
      <c r="FI688">
        <v>252</v>
      </c>
    </row>
    <row r="689" spans="1:165" x14ac:dyDescent="0.35">
      <c r="A689" s="25"/>
      <c r="B689" s="25"/>
      <c r="C689" s="25"/>
      <c r="D689" s="25"/>
      <c r="E689" s="25"/>
      <c r="F689" s="25" t="str">
        <f>_xlfn.CONCAT($A690," ",$B690," ",$D690)</f>
        <v>2025 Porsche Taycan 4S Perf Battery Plus</v>
      </c>
      <c r="G689" s="25"/>
      <c r="H689" s="25"/>
      <c r="I689" s="25"/>
      <c r="J689" s="25"/>
      <c r="K689" s="25"/>
      <c r="L689" s="25"/>
      <c r="M689" s="25"/>
      <c r="N689" s="25"/>
      <c r="O689" s="25"/>
      <c r="P689" s="25"/>
      <c r="Q689" s="25"/>
      <c r="R689" s="25"/>
      <c r="S689" s="25"/>
      <c r="T689" s="25"/>
      <c r="U689" s="25"/>
      <c r="V689" s="25"/>
      <c r="W689" s="25"/>
      <c r="X689" s="25"/>
      <c r="Y689" s="25"/>
      <c r="Z689" s="25"/>
      <c r="AA689" s="25"/>
      <c r="AB689" s="25"/>
      <c r="AC689" s="25"/>
      <c r="AD689" s="25" t="str">
        <f>_xlfn.CONCAT($A690," ",$B690," ",$D690)</f>
        <v>2025 Porsche Taycan 4S Perf Battery Plus</v>
      </c>
      <c r="AE689" s="25"/>
      <c r="AF689" s="25"/>
      <c r="AG689" s="25"/>
      <c r="AH689" s="25"/>
      <c r="AI689" s="25"/>
      <c r="AJ689" s="25"/>
      <c r="AK689" s="25"/>
      <c r="AL689" s="25"/>
      <c r="AM689" s="25"/>
      <c r="AN689" s="25"/>
      <c r="AO689" s="25"/>
      <c r="AP689" s="25"/>
      <c r="AQ689" s="25"/>
      <c r="AR689" s="25"/>
      <c r="AS689" s="25"/>
      <c r="AT689" s="25"/>
      <c r="AU689" s="25"/>
      <c r="AV689" s="25"/>
      <c r="AW689" s="25"/>
      <c r="AX689" s="25" t="str">
        <f>_xlfn.CONCAT($A690," ",$B690," ",$D690)</f>
        <v>2025 Porsche Taycan 4S Perf Battery Plus</v>
      </c>
      <c r="AY689" s="25"/>
      <c r="AZ689" s="25"/>
      <c r="BA689" s="25"/>
      <c r="BB689" s="25"/>
      <c r="BC689" s="25"/>
      <c r="BD689" s="25"/>
      <c r="BE689" s="25"/>
      <c r="BF689" s="25"/>
      <c r="BG689" s="25"/>
      <c r="BH689" s="25"/>
      <c r="BI689" s="25"/>
      <c r="BJ689" s="25"/>
      <c r="BK689" s="25"/>
      <c r="BL689" s="25"/>
      <c r="BM689" s="25"/>
      <c r="BN689" s="25"/>
      <c r="BO689" s="25"/>
      <c r="BP689" s="25"/>
      <c r="BQ689" s="25"/>
      <c r="BR689" s="25" t="str">
        <f>_xlfn.CONCAT($A690," ",$B690," ",$D690)</f>
        <v>2025 Porsche Taycan 4S Perf Battery Plus</v>
      </c>
      <c r="BS689" s="25"/>
      <c r="BT689" s="25"/>
      <c r="BU689" s="25"/>
      <c r="BV689" s="25"/>
      <c r="BX689" s="25"/>
      <c r="BY689" s="25"/>
      <c r="BZ689" s="25"/>
      <c r="CA689" s="25"/>
      <c r="CB689" s="25"/>
      <c r="CC689" s="25"/>
      <c r="CD689" s="25"/>
      <c r="CE689" s="25"/>
      <c r="CF689" s="25"/>
      <c r="CG689" s="25"/>
      <c r="CH689" s="25"/>
      <c r="CI689" s="25"/>
      <c r="CJ689" s="25"/>
      <c r="CK689" s="25"/>
      <c r="CL689" s="25"/>
      <c r="CM689" s="25"/>
      <c r="CN689" s="25"/>
      <c r="CO689" s="25"/>
      <c r="CP689" s="25" t="str">
        <f>_xlfn.CONCAT($A690," ",$B690," ",$D690)</f>
        <v>2025 Porsche Taycan 4S Perf Battery Plus</v>
      </c>
      <c r="CQ689" s="25"/>
      <c r="CR689" s="25"/>
      <c r="CS689" s="25"/>
      <c r="CT689" s="25"/>
      <c r="CU689" s="25"/>
      <c r="CV689" s="25"/>
      <c r="CW689" s="25"/>
      <c r="CX689" s="25"/>
      <c r="CY689" s="25"/>
      <c r="CZ689" s="25"/>
      <c r="DA689" s="25"/>
      <c r="DB689" s="25"/>
      <c r="DC689" s="25"/>
      <c r="DD689" s="25"/>
      <c r="DE689" s="25"/>
      <c r="DF689" s="25"/>
      <c r="DG689" s="25"/>
      <c r="DH689" s="25"/>
      <c r="DI689" s="25" t="str">
        <f>_xlfn.CONCAT($A690," ",$B690," ",$D690)</f>
        <v>2025 Porsche Taycan 4S Perf Battery Plus</v>
      </c>
      <c r="DJ689" s="25"/>
      <c r="DK689" s="25"/>
      <c r="DL689" s="25"/>
      <c r="DM689" s="25"/>
      <c r="DN689" s="25"/>
      <c r="DO689" s="25"/>
      <c r="DP689" s="25"/>
      <c r="DQ689" s="25"/>
      <c r="DR689" s="25"/>
      <c r="DS689" s="25"/>
      <c r="DT689" s="25"/>
      <c r="DU689" s="25"/>
      <c r="DV689" s="25"/>
      <c r="DW689" s="25"/>
      <c r="DX689" s="25"/>
      <c r="DY689" s="25"/>
      <c r="DZ689" s="25" t="str">
        <f>_xlfn.CONCAT($A690," ",$B690," ",$D690)</f>
        <v>2025 Porsche Taycan 4S Perf Battery Plus</v>
      </c>
      <c r="EB689" s="25"/>
      <c r="EC689" s="25"/>
      <c r="ED689" s="25"/>
      <c r="EE689" s="25"/>
      <c r="EF689" s="25"/>
      <c r="EG689" s="25"/>
      <c r="EH689" s="25"/>
      <c r="EI689" s="25"/>
      <c r="EJ689" s="25"/>
      <c r="EK689" s="25"/>
      <c r="EL689" s="25"/>
      <c r="EM689" s="25"/>
      <c r="EN689" s="25"/>
      <c r="EO689" s="25"/>
      <c r="EP689" s="25"/>
      <c r="EQ689" s="25"/>
      <c r="ER689" s="25"/>
      <c r="ES689" s="25"/>
      <c r="ET689" s="25"/>
      <c r="EU689" s="25"/>
      <c r="EV689" s="25" t="str">
        <f>_xlfn.CONCAT($A690," ",$B690," ",$D690)</f>
        <v>2025 Porsche Taycan 4S Perf Battery Plus</v>
      </c>
      <c r="EW689" s="25"/>
      <c r="EX689" s="25"/>
      <c r="EY689" s="25"/>
      <c r="EZ689" s="25"/>
      <c r="FA689" s="25"/>
      <c r="FB689" s="25"/>
      <c r="FC689" s="25"/>
      <c r="FD689" s="25"/>
      <c r="FE689" s="25"/>
      <c r="FF689" s="25"/>
      <c r="FG689" s="25"/>
    </row>
    <row r="690" spans="1:165" x14ac:dyDescent="0.35">
      <c r="A690">
        <v>2025</v>
      </c>
      <c r="B690" t="s">
        <v>299</v>
      </c>
      <c r="C690" t="s">
        <v>299</v>
      </c>
      <c r="D690" t="s">
        <v>2197</v>
      </c>
      <c r="E690" t="s">
        <v>301</v>
      </c>
      <c r="F690">
        <v>721</v>
      </c>
      <c r="G690">
        <v>0</v>
      </c>
      <c r="I690" t="s">
        <v>2128</v>
      </c>
      <c r="J690">
        <v>89</v>
      </c>
      <c r="K690">
        <v>85</v>
      </c>
      <c r="L690">
        <v>87</v>
      </c>
      <c r="M690">
        <v>127.6</v>
      </c>
      <c r="N690">
        <v>121.8</v>
      </c>
      <c r="O690">
        <v>124.92310000000001</v>
      </c>
      <c r="P690">
        <v>89.32</v>
      </c>
      <c r="Q690">
        <v>85.26</v>
      </c>
      <c r="R690">
        <v>87.446200000000005</v>
      </c>
      <c r="V690" t="s">
        <v>167</v>
      </c>
      <c r="W690" t="s">
        <v>168</v>
      </c>
      <c r="Y690">
        <v>2</v>
      </c>
      <c r="Z690" t="s">
        <v>170</v>
      </c>
      <c r="AA690" t="s">
        <v>170</v>
      </c>
      <c r="AB690" t="s">
        <v>167</v>
      </c>
      <c r="AC690" t="s">
        <v>213</v>
      </c>
      <c r="AF690">
        <v>295</v>
      </c>
      <c r="AG690" t="s">
        <v>1735</v>
      </c>
      <c r="AH690" t="s">
        <v>1736</v>
      </c>
      <c r="AI690" t="s">
        <v>175</v>
      </c>
      <c r="AJ690" t="s">
        <v>176</v>
      </c>
      <c r="AK690" t="s">
        <v>170</v>
      </c>
      <c r="AL690" t="s">
        <v>177</v>
      </c>
      <c r="AO690">
        <v>89</v>
      </c>
      <c r="AP690">
        <v>12</v>
      </c>
      <c r="AS690">
        <v>950</v>
      </c>
      <c r="AT690">
        <v>950</v>
      </c>
      <c r="BQ690">
        <v>4</v>
      </c>
      <c r="BR690" t="s">
        <v>521</v>
      </c>
      <c r="BS690" t="s">
        <v>180</v>
      </c>
      <c r="BT690" t="s">
        <v>1738</v>
      </c>
      <c r="BU690" s="1">
        <v>45471</v>
      </c>
      <c r="BV690">
        <v>35438</v>
      </c>
      <c r="BX690" t="s">
        <v>170</v>
      </c>
      <c r="BY690" t="s">
        <v>170</v>
      </c>
      <c r="CB690" t="s">
        <v>170</v>
      </c>
      <c r="CC690" t="s">
        <v>170</v>
      </c>
      <c r="CK690" t="s">
        <v>233</v>
      </c>
      <c r="CM690">
        <v>1</v>
      </c>
      <c r="CN690" t="s">
        <v>234</v>
      </c>
      <c r="CP690">
        <v>850</v>
      </c>
      <c r="CQ690">
        <v>129</v>
      </c>
      <c r="CR690">
        <v>148</v>
      </c>
      <c r="CS690" t="s">
        <v>1739</v>
      </c>
      <c r="CV690" t="s">
        <v>341</v>
      </c>
      <c r="CX690" t="s">
        <v>342</v>
      </c>
      <c r="CY690" t="s">
        <v>170</v>
      </c>
      <c r="DC690" t="s">
        <v>2190</v>
      </c>
      <c r="DD690">
        <v>7</v>
      </c>
      <c r="DE690" t="s">
        <v>404</v>
      </c>
      <c r="DF690" t="s">
        <v>2181</v>
      </c>
      <c r="DG690" t="s">
        <v>2198</v>
      </c>
      <c r="DL690" t="s">
        <v>170</v>
      </c>
      <c r="DM690" t="s">
        <v>169</v>
      </c>
      <c r="DP690" t="s">
        <v>170</v>
      </c>
      <c r="DQ690" t="s">
        <v>187</v>
      </c>
      <c r="EB690">
        <v>9</v>
      </c>
      <c r="EC690">
        <v>10</v>
      </c>
      <c r="EE690" t="s">
        <v>2192</v>
      </c>
      <c r="EF690">
        <v>10</v>
      </c>
      <c r="EU690">
        <v>4750</v>
      </c>
      <c r="EW690">
        <v>0</v>
      </c>
      <c r="EX690">
        <v>0</v>
      </c>
      <c r="EY690">
        <v>0</v>
      </c>
      <c r="FA690">
        <v>13</v>
      </c>
      <c r="FG690">
        <v>301</v>
      </c>
      <c r="FH690">
        <v>287</v>
      </c>
      <c r="FI690">
        <v>295</v>
      </c>
    </row>
    <row r="691" spans="1:165" x14ac:dyDescent="0.35">
      <c r="A691">
        <v>2025</v>
      </c>
      <c r="B691" t="s">
        <v>299</v>
      </c>
      <c r="C691" t="s">
        <v>299</v>
      </c>
      <c r="D691" t="s">
        <v>2197</v>
      </c>
      <c r="E691" t="s">
        <v>301</v>
      </c>
      <c r="F691">
        <v>721</v>
      </c>
      <c r="G691">
        <v>0</v>
      </c>
      <c r="I691" t="s">
        <v>2128</v>
      </c>
      <c r="J691">
        <v>38</v>
      </c>
      <c r="K691">
        <v>40</v>
      </c>
      <c r="L691">
        <v>39</v>
      </c>
      <c r="M691">
        <v>26.424099999999999</v>
      </c>
      <c r="N691">
        <v>27.678599999999999</v>
      </c>
      <c r="O691">
        <v>26.988600000000002</v>
      </c>
      <c r="P691">
        <v>37.735100000000003</v>
      </c>
      <c r="Q691">
        <v>39.531999999999996</v>
      </c>
      <c r="R691">
        <v>38.543700000000001</v>
      </c>
      <c r="V691" t="s">
        <v>167</v>
      </c>
      <c r="W691" t="s">
        <v>168</v>
      </c>
      <c r="Y691">
        <v>2</v>
      </c>
      <c r="Z691" t="s">
        <v>170</v>
      </c>
      <c r="AA691" t="s">
        <v>170</v>
      </c>
      <c r="AB691" t="s">
        <v>167</v>
      </c>
      <c r="AC691" t="s">
        <v>213</v>
      </c>
      <c r="AF691">
        <v>295</v>
      </c>
      <c r="AG691" t="s">
        <v>1735</v>
      </c>
      <c r="AH691" t="s">
        <v>1736</v>
      </c>
      <c r="AI691" t="s">
        <v>1742</v>
      </c>
      <c r="AJ691" t="s">
        <v>1743</v>
      </c>
      <c r="AK691" t="s">
        <v>170</v>
      </c>
      <c r="AL691" t="s">
        <v>177</v>
      </c>
      <c r="AO691">
        <v>89</v>
      </c>
      <c r="AP691">
        <v>12</v>
      </c>
      <c r="AS691">
        <v>950</v>
      </c>
      <c r="AT691">
        <v>950</v>
      </c>
      <c r="BQ691">
        <v>4</v>
      </c>
      <c r="BR691" t="s">
        <v>521</v>
      </c>
      <c r="BS691" t="s">
        <v>180</v>
      </c>
      <c r="BT691" t="s">
        <v>1738</v>
      </c>
      <c r="BU691" s="1">
        <v>45471</v>
      </c>
      <c r="BV691">
        <v>35438</v>
      </c>
      <c r="BX691" t="s">
        <v>170</v>
      </c>
      <c r="BY691" t="s">
        <v>170</v>
      </c>
      <c r="CB691" t="s">
        <v>170</v>
      </c>
      <c r="CC691" t="s">
        <v>170</v>
      </c>
      <c r="CK691" t="s">
        <v>233</v>
      </c>
      <c r="CM691">
        <v>1</v>
      </c>
      <c r="CN691" t="s">
        <v>234</v>
      </c>
      <c r="CP691">
        <v>850</v>
      </c>
      <c r="CQ691">
        <v>129</v>
      </c>
      <c r="CR691">
        <v>148</v>
      </c>
      <c r="CS691" t="s">
        <v>1739</v>
      </c>
      <c r="CV691" t="s">
        <v>341</v>
      </c>
      <c r="CX691" t="s">
        <v>342</v>
      </c>
      <c r="CY691" t="s">
        <v>170</v>
      </c>
      <c r="DC691" t="s">
        <v>2190</v>
      </c>
      <c r="DD691">
        <v>7</v>
      </c>
      <c r="DE691" t="s">
        <v>404</v>
      </c>
      <c r="DF691" t="s">
        <v>2181</v>
      </c>
      <c r="DG691" t="s">
        <v>2198</v>
      </c>
      <c r="DL691" t="s">
        <v>170</v>
      </c>
      <c r="DM691" t="s">
        <v>169</v>
      </c>
      <c r="DP691" t="s">
        <v>170</v>
      </c>
      <c r="DQ691" t="s">
        <v>187</v>
      </c>
      <c r="EB691">
        <v>9</v>
      </c>
      <c r="EC691">
        <v>10</v>
      </c>
      <c r="EE691" t="s">
        <v>2192</v>
      </c>
      <c r="EF691">
        <v>10</v>
      </c>
      <c r="EU691">
        <v>4750</v>
      </c>
      <c r="EW691">
        <v>0</v>
      </c>
      <c r="EX691">
        <v>0</v>
      </c>
      <c r="EY691">
        <v>0</v>
      </c>
      <c r="FA691">
        <v>13</v>
      </c>
      <c r="FG691">
        <v>301</v>
      </c>
      <c r="FH691">
        <v>287</v>
      </c>
      <c r="FI691">
        <v>295</v>
      </c>
    </row>
    <row r="692" spans="1:165" x14ac:dyDescent="0.35">
      <c r="A692" s="25"/>
      <c r="B692" s="25"/>
      <c r="C692" s="25"/>
      <c r="D692" s="25"/>
      <c r="E692" s="25"/>
      <c r="F692" s="25" t="str">
        <f>_xlfn.CONCAT($A693," ",$B693," ",$D693)</f>
        <v>2025 Porsche Taycan 4S Perf Battery Plus 19in All-Season (M+S)</v>
      </c>
      <c r="G692" s="25"/>
      <c r="H692" s="25"/>
      <c r="I692" s="25"/>
      <c r="J692" s="25"/>
      <c r="K692" s="25"/>
      <c r="L692" s="25"/>
      <c r="M692" s="25"/>
      <c r="N692" s="25"/>
      <c r="O692" s="25"/>
      <c r="P692" s="25"/>
      <c r="Q692" s="25"/>
      <c r="R692" s="25"/>
      <c r="S692" s="25"/>
      <c r="T692" s="25"/>
      <c r="U692" s="25"/>
      <c r="V692" s="25"/>
      <c r="W692" s="25"/>
      <c r="X692" s="25"/>
      <c r="Y692" s="25"/>
      <c r="Z692" s="25"/>
      <c r="AA692" s="25"/>
      <c r="AB692" s="25"/>
      <c r="AC692" s="25"/>
      <c r="AD692" s="25" t="str">
        <f>_xlfn.CONCAT($A693," ",$B693," ",$D693)</f>
        <v>2025 Porsche Taycan 4S Perf Battery Plus 19in All-Season (M+S)</v>
      </c>
      <c r="AE692" s="25"/>
      <c r="AF692" s="25"/>
      <c r="AG692" s="25"/>
      <c r="AH692" s="25"/>
      <c r="AI692" s="25"/>
      <c r="AJ692" s="25"/>
      <c r="AK692" s="25"/>
      <c r="AL692" s="25"/>
      <c r="AM692" s="25"/>
      <c r="AN692" s="25"/>
      <c r="AO692" s="25"/>
      <c r="AP692" s="25"/>
      <c r="AQ692" s="25"/>
      <c r="AR692" s="25"/>
      <c r="AS692" s="25"/>
      <c r="AT692" s="25"/>
      <c r="AU692" s="25"/>
      <c r="AV692" s="25"/>
      <c r="AW692" s="25"/>
      <c r="AX692" s="25" t="str">
        <f>_xlfn.CONCAT($A693," ",$B693," ",$D693)</f>
        <v>2025 Porsche Taycan 4S Perf Battery Plus 19in All-Season (M+S)</v>
      </c>
      <c r="AY692" s="25"/>
      <c r="AZ692" s="25"/>
      <c r="BA692" s="25"/>
      <c r="BB692" s="25"/>
      <c r="BC692" s="25"/>
      <c r="BD692" s="25"/>
      <c r="BE692" s="25"/>
      <c r="BF692" s="25"/>
      <c r="BG692" s="25"/>
      <c r="BH692" s="25"/>
      <c r="BI692" s="25"/>
      <c r="BJ692" s="25"/>
      <c r="BK692" s="25"/>
      <c r="BL692" s="25"/>
      <c r="BM692" s="25"/>
      <c r="BN692" s="25"/>
      <c r="BO692" s="25"/>
      <c r="BP692" s="25"/>
      <c r="BQ692" s="25"/>
      <c r="BR692" s="25" t="str">
        <f>_xlfn.CONCAT($A693," ",$B693," ",$D693)</f>
        <v>2025 Porsche Taycan 4S Perf Battery Plus 19in All-Season (M+S)</v>
      </c>
      <c r="BS692" s="25"/>
      <c r="BT692" s="25"/>
      <c r="BU692" s="25"/>
      <c r="BV692" s="25"/>
      <c r="BX692" s="25"/>
      <c r="BY692" s="25"/>
      <c r="BZ692" s="25"/>
      <c r="CA692" s="25"/>
      <c r="CB692" s="25"/>
      <c r="CC692" s="25"/>
      <c r="CD692" s="25"/>
      <c r="CE692" s="25"/>
      <c r="CF692" s="25"/>
      <c r="CG692" s="25"/>
      <c r="CH692" s="25"/>
      <c r="CI692" s="25"/>
      <c r="CJ692" s="25"/>
      <c r="CK692" s="25"/>
      <c r="CL692" s="25"/>
      <c r="CM692" s="25"/>
      <c r="CN692" s="25"/>
      <c r="CO692" s="25"/>
      <c r="CP692" s="25" t="str">
        <f>_xlfn.CONCAT($A693," ",$B693," ",$D693)</f>
        <v>2025 Porsche Taycan 4S Perf Battery Plus 19in All-Season (M+S)</v>
      </c>
      <c r="CQ692" s="25"/>
      <c r="CR692" s="25"/>
      <c r="CS692" s="25"/>
      <c r="CT692" s="25"/>
      <c r="CU692" s="25"/>
      <c r="CV692" s="25"/>
      <c r="CW692" s="25"/>
      <c r="CX692" s="25"/>
      <c r="CY692" s="25"/>
      <c r="CZ692" s="25"/>
      <c r="DA692" s="25"/>
      <c r="DB692" s="25"/>
      <c r="DC692" s="25"/>
      <c r="DD692" s="25"/>
      <c r="DE692" s="25"/>
      <c r="DF692" s="25"/>
      <c r="DG692" s="25"/>
      <c r="DH692" s="25"/>
      <c r="DI692" s="25" t="str">
        <f>_xlfn.CONCAT($A693," ",$B693," ",$D693)</f>
        <v>2025 Porsche Taycan 4S Perf Battery Plus 19in All-Season (M+S)</v>
      </c>
      <c r="DJ692" s="25"/>
      <c r="DK692" s="25"/>
      <c r="DL692" s="25"/>
      <c r="DM692" s="25"/>
      <c r="DN692" s="25"/>
      <c r="DO692" s="25"/>
      <c r="DP692" s="25"/>
      <c r="DQ692" s="25"/>
      <c r="DR692" s="25"/>
      <c r="DS692" s="25"/>
      <c r="DT692" s="25"/>
      <c r="DU692" s="25"/>
      <c r="DV692" s="25"/>
      <c r="DW692" s="25"/>
      <c r="DX692" s="25"/>
      <c r="DY692" s="25"/>
      <c r="DZ692" s="25" t="str">
        <f>_xlfn.CONCAT($A693," ",$B693," ",$D693)</f>
        <v>2025 Porsche Taycan 4S Perf Battery Plus 19in All-Season (M+S)</v>
      </c>
      <c r="EB692" s="25"/>
      <c r="EC692" s="25"/>
      <c r="ED692" s="25"/>
      <c r="EE692" s="25"/>
      <c r="EF692" s="25"/>
      <c r="EG692" s="25"/>
      <c r="EH692" s="25"/>
      <c r="EI692" s="25"/>
      <c r="EJ692" s="25"/>
      <c r="EK692" s="25"/>
      <c r="EL692" s="25"/>
      <c r="EM692" s="25"/>
      <c r="EN692" s="25"/>
      <c r="EO692" s="25"/>
      <c r="EP692" s="25"/>
      <c r="EQ692" s="25"/>
      <c r="ER692" s="25"/>
      <c r="ES692" s="25"/>
      <c r="ET692" s="25"/>
      <c r="EU692" s="25"/>
      <c r="EV692" s="25" t="str">
        <f>_xlfn.CONCAT($A693," ",$B693," ",$D693)</f>
        <v>2025 Porsche Taycan 4S Perf Battery Plus 19in All-Season (M+S)</v>
      </c>
      <c r="EW692" s="25"/>
      <c r="EX692" s="25"/>
      <c r="EY692" s="25"/>
      <c r="EZ692" s="25"/>
      <c r="FA692" s="25"/>
      <c r="FB692" s="25"/>
      <c r="FC692" s="25"/>
      <c r="FD692" s="25"/>
      <c r="FE692" s="25"/>
      <c r="FF692" s="25"/>
      <c r="FG692" s="25"/>
    </row>
    <row r="693" spans="1:165" x14ac:dyDescent="0.35">
      <c r="A693">
        <v>2025</v>
      </c>
      <c r="B693" t="s">
        <v>299</v>
      </c>
      <c r="C693" t="s">
        <v>299</v>
      </c>
      <c r="D693" t="s">
        <v>2199</v>
      </c>
      <c r="E693" t="s">
        <v>301</v>
      </c>
      <c r="F693">
        <v>722</v>
      </c>
      <c r="G693">
        <v>0</v>
      </c>
      <c r="I693" t="s">
        <v>2128</v>
      </c>
      <c r="J693">
        <v>94</v>
      </c>
      <c r="K693">
        <v>92</v>
      </c>
      <c r="L693">
        <v>93</v>
      </c>
      <c r="M693">
        <v>134.6</v>
      </c>
      <c r="N693">
        <v>130.80000000000001</v>
      </c>
      <c r="O693">
        <v>132.863</v>
      </c>
      <c r="P693">
        <v>94.22</v>
      </c>
      <c r="Q693">
        <v>91.56</v>
      </c>
      <c r="R693">
        <v>93.004099999999994</v>
      </c>
      <c r="V693" t="s">
        <v>167</v>
      </c>
      <c r="W693" t="s">
        <v>168</v>
      </c>
      <c r="Y693">
        <v>2</v>
      </c>
      <c r="Z693" t="s">
        <v>170</v>
      </c>
      <c r="AA693" t="s">
        <v>170</v>
      </c>
      <c r="AB693" t="s">
        <v>167</v>
      </c>
      <c r="AC693" t="s">
        <v>213</v>
      </c>
      <c r="AF693">
        <v>315</v>
      </c>
      <c r="AG693" t="s">
        <v>1735</v>
      </c>
      <c r="AH693" t="s">
        <v>1736</v>
      </c>
      <c r="AI693" t="s">
        <v>175</v>
      </c>
      <c r="AJ693" t="s">
        <v>176</v>
      </c>
      <c r="AK693" t="s">
        <v>170</v>
      </c>
      <c r="AL693" t="s">
        <v>177</v>
      </c>
      <c r="AO693">
        <v>89</v>
      </c>
      <c r="AP693">
        <v>12</v>
      </c>
      <c r="AS693">
        <v>850</v>
      </c>
      <c r="AT693">
        <v>850</v>
      </c>
      <c r="BQ693">
        <v>4</v>
      </c>
      <c r="BR693" t="s">
        <v>521</v>
      </c>
      <c r="BS693" t="s">
        <v>180</v>
      </c>
      <c r="BT693" t="s">
        <v>1738</v>
      </c>
      <c r="BU693" s="1">
        <v>45471</v>
      </c>
      <c r="BV693">
        <v>35064</v>
      </c>
      <c r="BX693" t="s">
        <v>170</v>
      </c>
      <c r="BY693" t="s">
        <v>170</v>
      </c>
      <c r="CB693" t="s">
        <v>170</v>
      </c>
      <c r="CC693" t="s">
        <v>170</v>
      </c>
      <c r="CK693" t="s">
        <v>233</v>
      </c>
      <c r="CM693">
        <v>1</v>
      </c>
      <c r="CN693" t="s">
        <v>234</v>
      </c>
      <c r="CP693">
        <v>850</v>
      </c>
      <c r="CQ693">
        <v>129</v>
      </c>
      <c r="CR693">
        <v>148</v>
      </c>
      <c r="CS693" t="s">
        <v>1739</v>
      </c>
      <c r="CV693" t="s">
        <v>341</v>
      </c>
      <c r="CX693" t="s">
        <v>342</v>
      </c>
      <c r="CY693" t="s">
        <v>170</v>
      </c>
      <c r="DC693" t="s">
        <v>2190</v>
      </c>
      <c r="DD693">
        <v>2</v>
      </c>
      <c r="DE693" t="s">
        <v>404</v>
      </c>
      <c r="DF693" t="s">
        <v>2181</v>
      </c>
      <c r="DG693" t="s">
        <v>2200</v>
      </c>
      <c r="DL693" t="s">
        <v>170</v>
      </c>
      <c r="DM693" t="s">
        <v>169</v>
      </c>
      <c r="DP693" t="s">
        <v>170</v>
      </c>
      <c r="DQ693" t="s">
        <v>187</v>
      </c>
      <c r="EB693">
        <v>9</v>
      </c>
      <c r="EC693">
        <v>10</v>
      </c>
      <c r="EE693" t="s">
        <v>2192</v>
      </c>
      <c r="EF693">
        <v>10</v>
      </c>
      <c r="EU693">
        <v>5000</v>
      </c>
      <c r="EW693">
        <v>0</v>
      </c>
      <c r="EX693">
        <v>0</v>
      </c>
      <c r="EY693">
        <v>0</v>
      </c>
      <c r="FA693">
        <v>13</v>
      </c>
      <c r="FG693">
        <v>319</v>
      </c>
      <c r="FH693">
        <v>310</v>
      </c>
      <c r="FI693">
        <v>315</v>
      </c>
    </row>
    <row r="694" spans="1:165" x14ac:dyDescent="0.35">
      <c r="A694">
        <v>2025</v>
      </c>
      <c r="B694" t="s">
        <v>299</v>
      </c>
      <c r="C694" t="s">
        <v>299</v>
      </c>
      <c r="D694" t="s">
        <v>2199</v>
      </c>
      <c r="E694" t="s">
        <v>301</v>
      </c>
      <c r="F694">
        <v>722</v>
      </c>
      <c r="G694">
        <v>0</v>
      </c>
      <c r="I694" t="s">
        <v>2128</v>
      </c>
      <c r="J694">
        <v>36</v>
      </c>
      <c r="K694">
        <v>37</v>
      </c>
      <c r="L694">
        <v>36</v>
      </c>
      <c r="M694">
        <v>25.035399999999999</v>
      </c>
      <c r="N694">
        <v>25.767700000000001</v>
      </c>
      <c r="O694">
        <v>25.364899999999999</v>
      </c>
      <c r="P694">
        <v>35.7727</v>
      </c>
      <c r="Q694">
        <v>36.811900000000001</v>
      </c>
      <c r="R694">
        <v>36.240299999999998</v>
      </c>
      <c r="V694" t="s">
        <v>167</v>
      </c>
      <c r="W694" t="s">
        <v>168</v>
      </c>
      <c r="Y694">
        <v>2</v>
      </c>
      <c r="Z694" t="s">
        <v>170</v>
      </c>
      <c r="AA694" t="s">
        <v>170</v>
      </c>
      <c r="AB694" t="s">
        <v>167</v>
      </c>
      <c r="AC694" t="s">
        <v>213</v>
      </c>
      <c r="AF694">
        <v>315</v>
      </c>
      <c r="AG694" t="s">
        <v>1735</v>
      </c>
      <c r="AH694" t="s">
        <v>1736</v>
      </c>
      <c r="AI694" t="s">
        <v>1742</v>
      </c>
      <c r="AJ694" t="s">
        <v>1743</v>
      </c>
      <c r="AK694" t="s">
        <v>170</v>
      </c>
      <c r="AL694" t="s">
        <v>177</v>
      </c>
      <c r="AO694">
        <v>89</v>
      </c>
      <c r="AP694">
        <v>12</v>
      </c>
      <c r="AS694">
        <v>850</v>
      </c>
      <c r="AT694">
        <v>850</v>
      </c>
      <c r="BQ694">
        <v>4</v>
      </c>
      <c r="BR694" t="s">
        <v>521</v>
      </c>
      <c r="BS694" t="s">
        <v>180</v>
      </c>
      <c r="BT694" t="s">
        <v>1738</v>
      </c>
      <c r="BU694" s="1">
        <v>45471</v>
      </c>
      <c r="BV694">
        <v>35064</v>
      </c>
      <c r="BX694" t="s">
        <v>170</v>
      </c>
      <c r="BY694" t="s">
        <v>170</v>
      </c>
      <c r="CB694" t="s">
        <v>170</v>
      </c>
      <c r="CC694" t="s">
        <v>170</v>
      </c>
      <c r="CK694" t="s">
        <v>233</v>
      </c>
      <c r="CM694">
        <v>1</v>
      </c>
      <c r="CN694" t="s">
        <v>234</v>
      </c>
      <c r="CP694">
        <v>850</v>
      </c>
      <c r="CQ694">
        <v>129</v>
      </c>
      <c r="CR694">
        <v>148</v>
      </c>
      <c r="CS694" t="s">
        <v>1739</v>
      </c>
      <c r="CV694" t="s">
        <v>341</v>
      </c>
      <c r="CX694" t="s">
        <v>342</v>
      </c>
      <c r="CY694" t="s">
        <v>170</v>
      </c>
      <c r="DC694" t="s">
        <v>2190</v>
      </c>
      <c r="DD694">
        <v>2</v>
      </c>
      <c r="DE694" t="s">
        <v>404</v>
      </c>
      <c r="DF694" t="s">
        <v>2181</v>
      </c>
      <c r="DG694" t="s">
        <v>2200</v>
      </c>
      <c r="DL694" t="s">
        <v>170</v>
      </c>
      <c r="DM694" t="s">
        <v>169</v>
      </c>
      <c r="DP694" t="s">
        <v>170</v>
      </c>
      <c r="DQ694" t="s">
        <v>187</v>
      </c>
      <c r="EB694">
        <v>9</v>
      </c>
      <c r="EC694">
        <v>10</v>
      </c>
      <c r="EE694" t="s">
        <v>2192</v>
      </c>
      <c r="EF694">
        <v>10</v>
      </c>
      <c r="EU694">
        <v>5000</v>
      </c>
      <c r="EW694">
        <v>0</v>
      </c>
      <c r="EX694">
        <v>0</v>
      </c>
      <c r="EY694">
        <v>0</v>
      </c>
      <c r="FA694">
        <v>13</v>
      </c>
      <c r="FG694">
        <v>319</v>
      </c>
      <c r="FH694">
        <v>310</v>
      </c>
      <c r="FI694">
        <v>315</v>
      </c>
    </row>
    <row r="695" spans="1:165" x14ac:dyDescent="0.35">
      <c r="A695" s="25"/>
      <c r="B695" s="25"/>
      <c r="C695" s="25"/>
      <c r="D695" s="25"/>
      <c r="E695" s="25"/>
      <c r="F695" s="25" t="str">
        <f>_xlfn.CONCAT($A696," ",$B696," ",$D696)</f>
        <v>2025 Porsche Taycan 4S Cross Turismo</v>
      </c>
      <c r="G695" s="25"/>
      <c r="H695" s="25"/>
      <c r="I695" s="25"/>
      <c r="J695" s="25"/>
      <c r="K695" s="25"/>
      <c r="L695" s="25"/>
      <c r="M695" s="25"/>
      <c r="N695" s="25"/>
      <c r="O695" s="25"/>
      <c r="P695" s="25"/>
      <c r="Q695" s="25"/>
      <c r="R695" s="25"/>
      <c r="S695" s="25"/>
      <c r="T695" s="25"/>
      <c r="U695" s="25"/>
      <c r="V695" s="25"/>
      <c r="W695" s="25"/>
      <c r="X695" s="25"/>
      <c r="Y695" s="25"/>
      <c r="Z695" s="25"/>
      <c r="AA695" s="25"/>
      <c r="AB695" s="25"/>
      <c r="AC695" s="25"/>
      <c r="AD695" s="25" t="str">
        <f>_xlfn.CONCAT($A696," ",$B696," ",$D696)</f>
        <v>2025 Porsche Taycan 4S Cross Turismo</v>
      </c>
      <c r="AE695" s="25"/>
      <c r="AF695" s="25"/>
      <c r="AG695" s="25"/>
      <c r="AH695" s="25"/>
      <c r="AI695" s="25"/>
      <c r="AJ695" s="25"/>
      <c r="AK695" s="25"/>
      <c r="AL695" s="25"/>
      <c r="AM695" s="25"/>
      <c r="AN695" s="25"/>
      <c r="AO695" s="25"/>
      <c r="AP695" s="25"/>
      <c r="AQ695" s="25"/>
      <c r="AR695" s="25"/>
      <c r="AS695" s="25"/>
      <c r="AT695" s="25"/>
      <c r="AU695" s="25"/>
      <c r="AV695" s="25"/>
      <c r="AW695" s="25"/>
      <c r="AX695" s="25" t="str">
        <f>_xlfn.CONCAT($A696," ",$B696," ",$D696)</f>
        <v>2025 Porsche Taycan 4S Cross Turismo</v>
      </c>
      <c r="AY695" s="25"/>
      <c r="AZ695" s="25"/>
      <c r="BA695" s="25"/>
      <c r="BB695" s="25"/>
      <c r="BC695" s="25"/>
      <c r="BD695" s="25"/>
      <c r="BE695" s="25"/>
      <c r="BF695" s="25"/>
      <c r="BG695" s="25"/>
      <c r="BH695" s="25"/>
      <c r="BI695" s="25"/>
      <c r="BJ695" s="25"/>
      <c r="BK695" s="25"/>
      <c r="BL695" s="25"/>
      <c r="BM695" s="25"/>
      <c r="BN695" s="25"/>
      <c r="BO695" s="25"/>
      <c r="BP695" s="25"/>
      <c r="BQ695" s="25"/>
      <c r="BR695" s="25" t="str">
        <f>_xlfn.CONCAT($A696," ",$B696," ",$D696)</f>
        <v>2025 Porsche Taycan 4S Cross Turismo</v>
      </c>
      <c r="BS695" s="25"/>
      <c r="BT695" s="25"/>
      <c r="BU695" s="25"/>
      <c r="BV695" s="25"/>
      <c r="BX695" s="25"/>
      <c r="BY695" s="25"/>
      <c r="BZ695" s="25"/>
      <c r="CA695" s="25"/>
      <c r="CB695" s="25"/>
      <c r="CC695" s="25"/>
      <c r="CD695" s="25"/>
      <c r="CE695" s="25"/>
      <c r="CF695" s="25"/>
      <c r="CG695" s="25"/>
      <c r="CH695" s="25"/>
      <c r="CI695" s="25"/>
      <c r="CJ695" s="25"/>
      <c r="CK695" s="25"/>
      <c r="CL695" s="25"/>
      <c r="CM695" s="25"/>
      <c r="CN695" s="25"/>
      <c r="CO695" s="25"/>
      <c r="CP695" s="25" t="str">
        <f>_xlfn.CONCAT($A696," ",$B696," ",$D696)</f>
        <v>2025 Porsche Taycan 4S Cross Turismo</v>
      </c>
      <c r="CQ695" s="25"/>
      <c r="CR695" s="25"/>
      <c r="CS695" s="25"/>
      <c r="CT695" s="25"/>
      <c r="CU695" s="25"/>
      <c r="CV695" s="25"/>
      <c r="CW695" s="25"/>
      <c r="CX695" s="25"/>
      <c r="CY695" s="25"/>
      <c r="CZ695" s="25"/>
      <c r="DA695" s="25"/>
      <c r="DB695" s="25"/>
      <c r="DC695" s="25"/>
      <c r="DD695" s="25"/>
      <c r="DE695" s="25"/>
      <c r="DF695" s="25"/>
      <c r="DG695" s="25"/>
      <c r="DH695" s="25"/>
      <c r="DI695" s="25" t="str">
        <f>_xlfn.CONCAT($A696," ",$B696," ",$D696)</f>
        <v>2025 Porsche Taycan 4S Cross Turismo</v>
      </c>
      <c r="DJ695" s="25"/>
      <c r="DK695" s="25"/>
      <c r="DL695" s="25"/>
      <c r="DM695" s="25"/>
      <c r="DN695" s="25"/>
      <c r="DO695" s="25"/>
      <c r="DP695" s="25"/>
      <c r="DQ695" s="25"/>
      <c r="DR695" s="25"/>
      <c r="DS695" s="25"/>
      <c r="DT695" s="25"/>
      <c r="DU695" s="25"/>
      <c r="DV695" s="25"/>
      <c r="DW695" s="25"/>
      <c r="DX695" s="25"/>
      <c r="DY695" s="25"/>
      <c r="DZ695" s="25" t="str">
        <f>_xlfn.CONCAT($A696," ",$B696," ",$D696)</f>
        <v>2025 Porsche Taycan 4S Cross Turismo</v>
      </c>
      <c r="EB695" s="25"/>
      <c r="EC695" s="25"/>
      <c r="ED695" s="25"/>
      <c r="EE695" s="25"/>
      <c r="EF695" s="25"/>
      <c r="EG695" s="25"/>
      <c r="EH695" s="25"/>
      <c r="EI695" s="25"/>
      <c r="EJ695" s="25"/>
      <c r="EK695" s="25"/>
      <c r="EL695" s="25"/>
      <c r="EM695" s="25"/>
      <c r="EN695" s="25"/>
      <c r="EO695" s="25"/>
      <c r="EP695" s="25"/>
      <c r="EQ695" s="25"/>
      <c r="ER695" s="25"/>
      <c r="ES695" s="25"/>
      <c r="ET695" s="25"/>
      <c r="EU695" s="25"/>
      <c r="EV695" s="25" t="str">
        <f>_xlfn.CONCAT($A696," ",$B696," ",$D696)</f>
        <v>2025 Porsche Taycan 4S Cross Turismo</v>
      </c>
      <c r="EW695" s="25"/>
      <c r="EX695" s="25"/>
      <c r="EY695" s="25"/>
      <c r="EZ695" s="25"/>
      <c r="FA695" s="25"/>
      <c r="FB695" s="25"/>
      <c r="FC695" s="25"/>
      <c r="FD695" s="25"/>
      <c r="FE695" s="25"/>
      <c r="FF695" s="25"/>
      <c r="FG695" s="25"/>
    </row>
    <row r="696" spans="1:165" x14ac:dyDescent="0.35">
      <c r="A696">
        <v>2025</v>
      </c>
      <c r="B696" t="s">
        <v>299</v>
      </c>
      <c r="C696" t="s">
        <v>299</v>
      </c>
      <c r="D696" t="s">
        <v>2195</v>
      </c>
      <c r="E696" t="s">
        <v>301</v>
      </c>
      <c r="F696">
        <v>725</v>
      </c>
      <c r="G696">
        <v>0</v>
      </c>
      <c r="I696" t="s">
        <v>2128</v>
      </c>
      <c r="J696">
        <v>82</v>
      </c>
      <c r="K696">
        <v>77</v>
      </c>
      <c r="L696">
        <v>80</v>
      </c>
      <c r="M696">
        <v>117.1</v>
      </c>
      <c r="N696">
        <v>110.4</v>
      </c>
      <c r="O696">
        <v>113.98699999999999</v>
      </c>
      <c r="P696">
        <v>81.97</v>
      </c>
      <c r="Q696">
        <v>77.28</v>
      </c>
      <c r="R696">
        <v>79.790899999999993</v>
      </c>
      <c r="V696" t="s">
        <v>167</v>
      </c>
      <c r="W696" t="s">
        <v>168</v>
      </c>
      <c r="Y696">
        <v>2</v>
      </c>
      <c r="Z696" t="s">
        <v>170</v>
      </c>
      <c r="AA696" t="s">
        <v>170</v>
      </c>
      <c r="AB696" t="s">
        <v>167</v>
      </c>
      <c r="AC696" t="s">
        <v>213</v>
      </c>
      <c r="AF696">
        <v>272</v>
      </c>
      <c r="AG696" t="s">
        <v>1735</v>
      </c>
      <c r="AH696" t="s">
        <v>1736</v>
      </c>
      <c r="AI696" t="s">
        <v>175</v>
      </c>
      <c r="AJ696" t="s">
        <v>176</v>
      </c>
      <c r="AK696" t="s">
        <v>170</v>
      </c>
      <c r="AL696" t="s">
        <v>177</v>
      </c>
      <c r="AQ696">
        <v>91</v>
      </c>
      <c r="AR696">
        <v>24</v>
      </c>
      <c r="AS696">
        <v>1000</v>
      </c>
      <c r="AT696">
        <v>1000</v>
      </c>
      <c r="BQ696">
        <v>5</v>
      </c>
      <c r="BR696" t="s">
        <v>672</v>
      </c>
      <c r="BS696" t="s">
        <v>180</v>
      </c>
      <c r="BT696" t="s">
        <v>1738</v>
      </c>
      <c r="BU696" s="1">
        <v>45471</v>
      </c>
      <c r="BV696">
        <v>35437</v>
      </c>
      <c r="BX696" t="s">
        <v>170</v>
      </c>
      <c r="BY696" t="s">
        <v>170</v>
      </c>
      <c r="CB696" t="s">
        <v>170</v>
      </c>
      <c r="CC696" t="s">
        <v>170</v>
      </c>
      <c r="CK696" t="s">
        <v>233</v>
      </c>
      <c r="CM696">
        <v>1</v>
      </c>
      <c r="CN696" t="s">
        <v>234</v>
      </c>
      <c r="CP696">
        <v>850</v>
      </c>
      <c r="CQ696">
        <v>129</v>
      </c>
      <c r="CR696">
        <v>148</v>
      </c>
      <c r="CS696" t="s">
        <v>1739</v>
      </c>
      <c r="CV696" t="s">
        <v>341</v>
      </c>
      <c r="CX696" t="s">
        <v>342</v>
      </c>
      <c r="CY696" t="s">
        <v>170</v>
      </c>
      <c r="DC696" t="s">
        <v>2190</v>
      </c>
      <c r="DD696">
        <v>7</v>
      </c>
      <c r="DE696" t="s">
        <v>404</v>
      </c>
      <c r="DF696" t="s">
        <v>2181</v>
      </c>
      <c r="DG696" t="s">
        <v>2196</v>
      </c>
      <c r="DL696" t="s">
        <v>170</v>
      </c>
      <c r="DM696" t="s">
        <v>169</v>
      </c>
      <c r="DP696" t="s">
        <v>170</v>
      </c>
      <c r="DQ696" t="s">
        <v>187</v>
      </c>
      <c r="EB696">
        <v>9</v>
      </c>
      <c r="EC696">
        <v>10</v>
      </c>
      <c r="EE696" t="s">
        <v>2192</v>
      </c>
      <c r="EF696">
        <v>10</v>
      </c>
      <c r="EU696">
        <v>4500</v>
      </c>
      <c r="EW696">
        <v>0</v>
      </c>
      <c r="EX696">
        <v>0</v>
      </c>
      <c r="EY696">
        <v>0</v>
      </c>
      <c r="FA696">
        <v>13</v>
      </c>
      <c r="FG696">
        <v>279</v>
      </c>
      <c r="FH696">
        <v>263</v>
      </c>
      <c r="FI696">
        <v>272</v>
      </c>
    </row>
    <row r="697" spans="1:165" x14ac:dyDescent="0.35">
      <c r="A697">
        <v>2025</v>
      </c>
      <c r="B697" t="s">
        <v>299</v>
      </c>
      <c r="C697" t="s">
        <v>299</v>
      </c>
      <c r="D697" t="s">
        <v>2195</v>
      </c>
      <c r="E697" t="s">
        <v>301</v>
      </c>
      <c r="F697">
        <v>725</v>
      </c>
      <c r="G697">
        <v>0</v>
      </c>
      <c r="I697" t="s">
        <v>2128</v>
      </c>
      <c r="J697">
        <v>41</v>
      </c>
      <c r="K697">
        <v>44</v>
      </c>
      <c r="L697">
        <v>42</v>
      </c>
      <c r="M697">
        <v>28.793700000000001</v>
      </c>
      <c r="N697">
        <v>30.542100000000001</v>
      </c>
      <c r="O697">
        <v>29.580500000000001</v>
      </c>
      <c r="P697">
        <v>41.118699999999997</v>
      </c>
      <c r="Q697">
        <v>43.614100000000001</v>
      </c>
      <c r="R697">
        <v>42.241700000000002</v>
      </c>
      <c r="V697" t="s">
        <v>167</v>
      </c>
      <c r="W697" t="s">
        <v>168</v>
      </c>
      <c r="Y697">
        <v>2</v>
      </c>
      <c r="Z697" t="s">
        <v>170</v>
      </c>
      <c r="AA697" t="s">
        <v>170</v>
      </c>
      <c r="AB697" t="s">
        <v>167</v>
      </c>
      <c r="AC697" t="s">
        <v>213</v>
      </c>
      <c r="AF697">
        <v>272</v>
      </c>
      <c r="AG697" t="s">
        <v>1735</v>
      </c>
      <c r="AH697" t="s">
        <v>1736</v>
      </c>
      <c r="AI697" t="s">
        <v>1742</v>
      </c>
      <c r="AJ697" t="s">
        <v>1743</v>
      </c>
      <c r="AK697" t="s">
        <v>170</v>
      </c>
      <c r="AL697" t="s">
        <v>177</v>
      </c>
      <c r="AQ697">
        <v>91</v>
      </c>
      <c r="AR697">
        <v>24</v>
      </c>
      <c r="AS697">
        <v>1000</v>
      </c>
      <c r="AT697">
        <v>1000</v>
      </c>
      <c r="BQ697">
        <v>5</v>
      </c>
      <c r="BR697" t="s">
        <v>672</v>
      </c>
      <c r="BS697" t="s">
        <v>180</v>
      </c>
      <c r="BT697" t="s">
        <v>1738</v>
      </c>
      <c r="BU697" s="1">
        <v>45471</v>
      </c>
      <c r="BV697">
        <v>35437</v>
      </c>
      <c r="BX697" t="s">
        <v>170</v>
      </c>
      <c r="BY697" t="s">
        <v>170</v>
      </c>
      <c r="CB697" t="s">
        <v>170</v>
      </c>
      <c r="CC697" t="s">
        <v>170</v>
      </c>
      <c r="CK697" t="s">
        <v>233</v>
      </c>
      <c r="CM697">
        <v>1</v>
      </c>
      <c r="CN697" t="s">
        <v>234</v>
      </c>
      <c r="CP697">
        <v>850</v>
      </c>
      <c r="CQ697">
        <v>129</v>
      </c>
      <c r="CR697">
        <v>148</v>
      </c>
      <c r="CS697" t="s">
        <v>1739</v>
      </c>
      <c r="CV697" t="s">
        <v>341</v>
      </c>
      <c r="CX697" t="s">
        <v>342</v>
      </c>
      <c r="CY697" t="s">
        <v>170</v>
      </c>
      <c r="DC697" t="s">
        <v>2190</v>
      </c>
      <c r="DD697">
        <v>7</v>
      </c>
      <c r="DE697" t="s">
        <v>404</v>
      </c>
      <c r="DF697" t="s">
        <v>2181</v>
      </c>
      <c r="DG697" t="s">
        <v>2196</v>
      </c>
      <c r="DL697" t="s">
        <v>170</v>
      </c>
      <c r="DM697" t="s">
        <v>169</v>
      </c>
      <c r="DP697" t="s">
        <v>170</v>
      </c>
      <c r="DQ697" t="s">
        <v>187</v>
      </c>
      <c r="EB697">
        <v>9</v>
      </c>
      <c r="EC697">
        <v>10</v>
      </c>
      <c r="EE697" t="s">
        <v>2192</v>
      </c>
      <c r="EF697">
        <v>10</v>
      </c>
      <c r="EU697">
        <v>4500</v>
      </c>
      <c r="EW697">
        <v>0</v>
      </c>
      <c r="EX697">
        <v>0</v>
      </c>
      <c r="EY697">
        <v>0</v>
      </c>
      <c r="FA697">
        <v>13</v>
      </c>
      <c r="FG697">
        <v>279</v>
      </c>
      <c r="FH697">
        <v>263</v>
      </c>
      <c r="FI697">
        <v>272</v>
      </c>
    </row>
    <row r="698" spans="1:165" x14ac:dyDescent="0.35">
      <c r="A698" s="25"/>
      <c r="B698" s="25"/>
      <c r="C698" s="25"/>
      <c r="D698" s="25"/>
      <c r="E698" s="25"/>
      <c r="F698" s="25" t="str">
        <f>_xlfn.CONCAT($A699," ",$B699," ",$D699)</f>
        <v>2025 Porsche Taycan Turbo</v>
      </c>
      <c r="G698" s="25"/>
      <c r="H698" s="25"/>
      <c r="I698" s="25"/>
      <c r="J698" s="25"/>
      <c r="K698" s="25"/>
      <c r="L698" s="25"/>
      <c r="M698" s="25"/>
      <c r="N698" s="25"/>
      <c r="O698" s="25"/>
      <c r="P698" s="25"/>
      <c r="Q698" s="25"/>
      <c r="R698" s="25"/>
      <c r="S698" s="25"/>
      <c r="T698" s="25"/>
      <c r="U698" s="25"/>
      <c r="V698" s="25"/>
      <c r="W698" s="25"/>
      <c r="X698" s="25"/>
      <c r="Y698" s="25"/>
      <c r="Z698" s="25"/>
      <c r="AA698" s="25"/>
      <c r="AB698" s="25"/>
      <c r="AC698" s="25"/>
      <c r="AD698" s="25" t="str">
        <f>_xlfn.CONCAT($A699," ",$B699," ",$D699)</f>
        <v>2025 Porsche Taycan Turbo</v>
      </c>
      <c r="AE698" s="25"/>
      <c r="AF698" s="25"/>
      <c r="AG698" s="25"/>
      <c r="AH698" s="25"/>
      <c r="AI698" s="25"/>
      <c r="AJ698" s="25"/>
      <c r="AK698" s="25"/>
      <c r="AL698" s="25"/>
      <c r="AM698" s="25"/>
      <c r="AN698" s="25"/>
      <c r="AO698" s="25"/>
      <c r="AP698" s="25"/>
      <c r="AQ698" s="25"/>
      <c r="AR698" s="25"/>
      <c r="AS698" s="25"/>
      <c r="AT698" s="25"/>
      <c r="AU698" s="25"/>
      <c r="AV698" s="25"/>
      <c r="AW698" s="25"/>
      <c r="AX698" s="25" t="str">
        <f>_xlfn.CONCAT($A699," ",$B699," ",$D699)</f>
        <v>2025 Porsche Taycan Turbo</v>
      </c>
      <c r="AY698" s="25"/>
      <c r="AZ698" s="25"/>
      <c r="BA698" s="25"/>
      <c r="BB698" s="25"/>
      <c r="BC698" s="25"/>
      <c r="BD698" s="25"/>
      <c r="BE698" s="25"/>
      <c r="BF698" s="25"/>
      <c r="BG698" s="25"/>
      <c r="BH698" s="25"/>
      <c r="BI698" s="25"/>
      <c r="BJ698" s="25"/>
      <c r="BK698" s="25"/>
      <c r="BL698" s="25"/>
      <c r="BM698" s="25"/>
      <c r="BN698" s="25"/>
      <c r="BO698" s="25"/>
      <c r="BP698" s="25"/>
      <c r="BQ698" s="25"/>
      <c r="BR698" s="25" t="str">
        <f>_xlfn.CONCAT($A699," ",$B699," ",$D699)</f>
        <v>2025 Porsche Taycan Turbo</v>
      </c>
      <c r="BS698" s="25"/>
      <c r="BT698" s="25"/>
      <c r="BU698" s="25"/>
      <c r="BV698" s="25"/>
      <c r="BX698" s="25"/>
      <c r="BY698" s="25"/>
      <c r="BZ698" s="25"/>
      <c r="CA698" s="25"/>
      <c r="CB698" s="25"/>
      <c r="CC698" s="25"/>
      <c r="CD698" s="25"/>
      <c r="CE698" s="25"/>
      <c r="CF698" s="25"/>
      <c r="CG698" s="25"/>
      <c r="CH698" s="25"/>
      <c r="CI698" s="25"/>
      <c r="CJ698" s="25"/>
      <c r="CK698" s="25"/>
      <c r="CL698" s="25"/>
      <c r="CM698" s="25"/>
      <c r="CN698" s="25"/>
      <c r="CO698" s="25"/>
      <c r="CP698" s="25" t="str">
        <f>_xlfn.CONCAT($A699," ",$B699," ",$D699)</f>
        <v>2025 Porsche Taycan Turbo</v>
      </c>
      <c r="CQ698" s="25"/>
      <c r="CR698" s="25"/>
      <c r="CS698" s="25"/>
      <c r="CT698" s="25"/>
      <c r="CU698" s="25"/>
      <c r="CV698" s="25"/>
      <c r="CW698" s="25"/>
      <c r="CX698" s="25"/>
      <c r="CY698" s="25"/>
      <c r="CZ698" s="25"/>
      <c r="DA698" s="25"/>
      <c r="DB698" s="25"/>
      <c r="DC698" s="25"/>
      <c r="DD698" s="25"/>
      <c r="DE698" s="25"/>
      <c r="DF698" s="25"/>
      <c r="DG698" s="25"/>
      <c r="DH698" s="25"/>
      <c r="DI698" s="25" t="str">
        <f>_xlfn.CONCAT($A699," ",$B699," ",$D699)</f>
        <v>2025 Porsche Taycan Turbo</v>
      </c>
      <c r="DJ698" s="25"/>
      <c r="DK698" s="25"/>
      <c r="DL698" s="25"/>
      <c r="DM698" s="25"/>
      <c r="DN698" s="25"/>
      <c r="DO698" s="25"/>
      <c r="DP698" s="25"/>
      <c r="DQ698" s="25"/>
      <c r="DR698" s="25"/>
      <c r="DS698" s="25"/>
      <c r="DT698" s="25"/>
      <c r="DU698" s="25"/>
      <c r="DV698" s="25"/>
      <c r="DW698" s="25"/>
      <c r="DX698" s="25"/>
      <c r="DY698" s="25"/>
      <c r="DZ698" s="25" t="str">
        <f>_xlfn.CONCAT($A699," ",$B699," ",$D699)</f>
        <v>2025 Porsche Taycan Turbo</v>
      </c>
      <c r="EB698" s="25"/>
      <c r="EC698" s="25"/>
      <c r="ED698" s="25"/>
      <c r="EE698" s="25"/>
      <c r="EF698" s="25"/>
      <c r="EG698" s="25"/>
      <c r="EH698" s="25"/>
      <c r="EI698" s="25"/>
      <c r="EJ698" s="25"/>
      <c r="EK698" s="25"/>
      <c r="EL698" s="25"/>
      <c r="EM698" s="25"/>
      <c r="EN698" s="25"/>
      <c r="EO698" s="25"/>
      <c r="EP698" s="25"/>
      <c r="EQ698" s="25"/>
      <c r="ER698" s="25"/>
      <c r="ES698" s="25"/>
      <c r="ET698" s="25"/>
      <c r="EU698" s="25"/>
      <c r="EV698" s="25" t="str">
        <f>_xlfn.CONCAT($A699," ",$B699," ",$D699)</f>
        <v>2025 Porsche Taycan Turbo</v>
      </c>
      <c r="EW698" s="25"/>
      <c r="EX698" s="25"/>
      <c r="EY698" s="25"/>
      <c r="EZ698" s="25"/>
      <c r="FA698" s="25"/>
      <c r="FB698" s="25"/>
      <c r="FC698" s="25"/>
      <c r="FD698" s="25"/>
      <c r="FE698" s="25"/>
      <c r="FF698" s="25"/>
      <c r="FG698" s="25"/>
    </row>
    <row r="699" spans="1:165" x14ac:dyDescent="0.35">
      <c r="A699">
        <v>2025</v>
      </c>
      <c r="B699" t="s">
        <v>299</v>
      </c>
      <c r="C699" t="s">
        <v>299</v>
      </c>
      <c r="D699" t="s">
        <v>2210</v>
      </c>
      <c r="E699" t="s">
        <v>301</v>
      </c>
      <c r="F699">
        <v>740</v>
      </c>
      <c r="G699">
        <v>0</v>
      </c>
      <c r="I699" t="s">
        <v>2128</v>
      </c>
      <c r="J699">
        <v>88</v>
      </c>
      <c r="K699">
        <v>83</v>
      </c>
      <c r="L699">
        <v>86</v>
      </c>
      <c r="M699">
        <v>125.3</v>
      </c>
      <c r="N699">
        <v>119</v>
      </c>
      <c r="O699">
        <v>122.3844</v>
      </c>
      <c r="P699">
        <v>87.71</v>
      </c>
      <c r="Q699">
        <v>83.3</v>
      </c>
      <c r="R699">
        <v>85.6691</v>
      </c>
      <c r="V699" t="s">
        <v>167</v>
      </c>
      <c r="W699" t="s">
        <v>168</v>
      </c>
      <c r="Y699">
        <v>2</v>
      </c>
      <c r="Z699" t="s">
        <v>170</v>
      </c>
      <c r="AA699" t="s">
        <v>170</v>
      </c>
      <c r="AB699" t="s">
        <v>167</v>
      </c>
      <c r="AC699" t="s">
        <v>213</v>
      </c>
      <c r="AF699">
        <v>292</v>
      </c>
      <c r="AG699" t="s">
        <v>1735</v>
      </c>
      <c r="AH699" t="s">
        <v>1736</v>
      </c>
      <c r="AI699" t="s">
        <v>175</v>
      </c>
      <c r="AJ699" t="s">
        <v>176</v>
      </c>
      <c r="AK699" t="s">
        <v>170</v>
      </c>
      <c r="AL699" t="s">
        <v>177</v>
      </c>
      <c r="AO699">
        <v>89</v>
      </c>
      <c r="AP699">
        <v>11</v>
      </c>
      <c r="AS699">
        <v>950</v>
      </c>
      <c r="AT699">
        <v>950</v>
      </c>
      <c r="BQ699">
        <v>4</v>
      </c>
      <c r="BR699" t="s">
        <v>521</v>
      </c>
      <c r="BS699" t="s">
        <v>180</v>
      </c>
      <c r="BT699" t="s">
        <v>1738</v>
      </c>
      <c r="BU699" s="1">
        <v>45471</v>
      </c>
      <c r="BV699">
        <v>35449</v>
      </c>
      <c r="BX699" t="s">
        <v>170</v>
      </c>
      <c r="BY699" t="s">
        <v>170</v>
      </c>
      <c r="CB699" t="s">
        <v>170</v>
      </c>
      <c r="CC699" t="s">
        <v>170</v>
      </c>
      <c r="CK699" t="s">
        <v>233</v>
      </c>
      <c r="CM699">
        <v>1</v>
      </c>
      <c r="CN699" t="s">
        <v>234</v>
      </c>
      <c r="CP699">
        <v>850</v>
      </c>
      <c r="CQ699">
        <v>129</v>
      </c>
      <c r="CR699">
        <v>148</v>
      </c>
      <c r="CS699" t="s">
        <v>1739</v>
      </c>
      <c r="CV699" t="s">
        <v>341</v>
      </c>
      <c r="CX699" t="s">
        <v>342</v>
      </c>
      <c r="CY699" t="s">
        <v>170</v>
      </c>
      <c r="DC699" t="s">
        <v>2190</v>
      </c>
      <c r="DD699">
        <v>7</v>
      </c>
      <c r="DE699" t="s">
        <v>404</v>
      </c>
      <c r="DF699" t="s">
        <v>2181</v>
      </c>
      <c r="DG699" t="s">
        <v>2211</v>
      </c>
      <c r="DL699" t="s">
        <v>170</v>
      </c>
      <c r="DM699" t="s">
        <v>169</v>
      </c>
      <c r="DP699" t="s">
        <v>170</v>
      </c>
      <c r="DQ699" t="s">
        <v>187</v>
      </c>
      <c r="EB699">
        <v>9</v>
      </c>
      <c r="EC699">
        <v>10</v>
      </c>
      <c r="EE699" t="s">
        <v>2192</v>
      </c>
      <c r="EF699">
        <v>10</v>
      </c>
      <c r="EU699">
        <v>4750</v>
      </c>
      <c r="EW699">
        <v>0</v>
      </c>
      <c r="EX699">
        <v>0</v>
      </c>
      <c r="EY699">
        <v>0</v>
      </c>
      <c r="FA699">
        <v>13</v>
      </c>
      <c r="FG699">
        <v>299</v>
      </c>
      <c r="FH699">
        <v>284</v>
      </c>
      <c r="FI699">
        <v>292</v>
      </c>
    </row>
    <row r="700" spans="1:165" x14ac:dyDescent="0.35">
      <c r="A700">
        <v>2025</v>
      </c>
      <c r="B700" t="s">
        <v>299</v>
      </c>
      <c r="C700" t="s">
        <v>299</v>
      </c>
      <c r="D700" t="s">
        <v>2210</v>
      </c>
      <c r="E700" t="s">
        <v>301</v>
      </c>
      <c r="F700">
        <v>740</v>
      </c>
      <c r="G700">
        <v>0</v>
      </c>
      <c r="I700" t="s">
        <v>2128</v>
      </c>
      <c r="J700">
        <v>38</v>
      </c>
      <c r="K700">
        <v>40</v>
      </c>
      <c r="L700">
        <v>39</v>
      </c>
      <c r="M700">
        <v>26.898399999999999</v>
      </c>
      <c r="N700">
        <v>28.319500000000001</v>
      </c>
      <c r="O700">
        <v>27.5379</v>
      </c>
      <c r="P700">
        <v>38.427799999999998</v>
      </c>
      <c r="Q700">
        <v>40.462200000000003</v>
      </c>
      <c r="R700">
        <v>39.343200000000003</v>
      </c>
      <c r="V700" t="s">
        <v>167</v>
      </c>
      <c r="W700" t="s">
        <v>168</v>
      </c>
      <c r="Y700">
        <v>2</v>
      </c>
      <c r="Z700" t="s">
        <v>170</v>
      </c>
      <c r="AA700" t="s">
        <v>170</v>
      </c>
      <c r="AB700" t="s">
        <v>167</v>
      </c>
      <c r="AC700" t="s">
        <v>213</v>
      </c>
      <c r="AF700">
        <v>292</v>
      </c>
      <c r="AG700" t="s">
        <v>1735</v>
      </c>
      <c r="AH700" t="s">
        <v>1736</v>
      </c>
      <c r="AI700" t="s">
        <v>1742</v>
      </c>
      <c r="AJ700" t="s">
        <v>1743</v>
      </c>
      <c r="AK700" t="s">
        <v>170</v>
      </c>
      <c r="AL700" t="s">
        <v>177</v>
      </c>
      <c r="AO700">
        <v>89</v>
      </c>
      <c r="AP700">
        <v>11</v>
      </c>
      <c r="AS700">
        <v>950</v>
      </c>
      <c r="AT700">
        <v>950</v>
      </c>
      <c r="BQ700">
        <v>4</v>
      </c>
      <c r="BR700" t="s">
        <v>521</v>
      </c>
      <c r="BS700" t="s">
        <v>180</v>
      </c>
      <c r="BT700" t="s">
        <v>1738</v>
      </c>
      <c r="BU700" s="1">
        <v>45471</v>
      </c>
      <c r="BV700">
        <v>35449</v>
      </c>
      <c r="BX700" t="s">
        <v>170</v>
      </c>
      <c r="BY700" t="s">
        <v>170</v>
      </c>
      <c r="CB700" t="s">
        <v>170</v>
      </c>
      <c r="CC700" t="s">
        <v>170</v>
      </c>
      <c r="CK700" t="s">
        <v>233</v>
      </c>
      <c r="CM700">
        <v>1</v>
      </c>
      <c r="CN700" t="s">
        <v>234</v>
      </c>
      <c r="CP700">
        <v>850</v>
      </c>
      <c r="CQ700">
        <v>129</v>
      </c>
      <c r="CR700">
        <v>148</v>
      </c>
      <c r="CS700" t="s">
        <v>1739</v>
      </c>
      <c r="CV700" t="s">
        <v>341</v>
      </c>
      <c r="CX700" t="s">
        <v>342</v>
      </c>
      <c r="CY700" t="s">
        <v>170</v>
      </c>
      <c r="DC700" t="s">
        <v>2190</v>
      </c>
      <c r="DD700">
        <v>7</v>
      </c>
      <c r="DE700" t="s">
        <v>404</v>
      </c>
      <c r="DF700" t="s">
        <v>2181</v>
      </c>
      <c r="DG700" t="s">
        <v>2211</v>
      </c>
      <c r="DL700" t="s">
        <v>170</v>
      </c>
      <c r="DM700" t="s">
        <v>169</v>
      </c>
      <c r="DP700" t="s">
        <v>170</v>
      </c>
      <c r="DQ700" t="s">
        <v>187</v>
      </c>
      <c r="EB700">
        <v>9</v>
      </c>
      <c r="EC700">
        <v>10</v>
      </c>
      <c r="EE700" t="s">
        <v>2192</v>
      </c>
      <c r="EF700">
        <v>10</v>
      </c>
      <c r="EU700">
        <v>4750</v>
      </c>
      <c r="EW700">
        <v>0</v>
      </c>
      <c r="EX700">
        <v>0</v>
      </c>
      <c r="EY700">
        <v>0</v>
      </c>
      <c r="FA700">
        <v>13</v>
      </c>
      <c r="FG700">
        <v>299</v>
      </c>
      <c r="FH700">
        <v>284</v>
      </c>
      <c r="FI700">
        <v>292</v>
      </c>
    </row>
    <row r="701" spans="1:165" x14ac:dyDescent="0.35">
      <c r="A701" s="25"/>
      <c r="B701" s="25"/>
      <c r="C701" s="25"/>
      <c r="D701" s="25"/>
      <c r="E701" s="25"/>
      <c r="F701" s="25" t="str">
        <f>_xlfn.CONCAT($A702," ",$B702," ",$D702)</f>
        <v>2025 Porsche Taycan Turbo 21in Aero-Design wheel (285/35)</v>
      </c>
      <c r="G701" s="25"/>
      <c r="H701" s="25"/>
      <c r="I701" s="25"/>
      <c r="J701" s="25"/>
      <c r="K701" s="25"/>
      <c r="L701" s="25"/>
      <c r="M701" s="25"/>
      <c r="N701" s="25"/>
      <c r="O701" s="25"/>
      <c r="P701" s="25"/>
      <c r="Q701" s="25"/>
      <c r="R701" s="25"/>
      <c r="S701" s="25"/>
      <c r="T701" s="25"/>
      <c r="U701" s="25"/>
      <c r="V701" s="25"/>
      <c r="W701" s="25"/>
      <c r="X701" s="25"/>
      <c r="Y701" s="25"/>
      <c r="Z701" s="25"/>
      <c r="AA701" s="25"/>
      <c r="AB701" s="25"/>
      <c r="AC701" s="25"/>
      <c r="AD701" s="25" t="str">
        <f>_xlfn.CONCAT($A702," ",$B702," ",$D702)</f>
        <v>2025 Porsche Taycan Turbo 21in Aero-Design wheel (285/35)</v>
      </c>
      <c r="AE701" s="25"/>
      <c r="AF701" s="25"/>
      <c r="AG701" s="25"/>
      <c r="AH701" s="25"/>
      <c r="AI701" s="25"/>
      <c r="AJ701" s="25"/>
      <c r="AK701" s="25"/>
      <c r="AL701" s="25"/>
      <c r="AM701" s="25"/>
      <c r="AN701" s="25"/>
      <c r="AO701" s="25"/>
      <c r="AP701" s="25"/>
      <c r="AQ701" s="25"/>
      <c r="AR701" s="25"/>
      <c r="AS701" s="25"/>
      <c r="AT701" s="25"/>
      <c r="AU701" s="25"/>
      <c r="AV701" s="25"/>
      <c r="AW701" s="25"/>
      <c r="AX701" s="25" t="str">
        <f>_xlfn.CONCAT($A702," ",$B702," ",$D702)</f>
        <v>2025 Porsche Taycan Turbo 21in Aero-Design wheel (285/35)</v>
      </c>
      <c r="AY701" s="25"/>
      <c r="AZ701" s="25"/>
      <c r="BA701" s="25"/>
      <c r="BB701" s="25"/>
      <c r="BC701" s="25"/>
      <c r="BD701" s="25"/>
      <c r="BE701" s="25"/>
      <c r="BF701" s="25"/>
      <c r="BG701" s="25"/>
      <c r="BH701" s="25"/>
      <c r="BI701" s="25"/>
      <c r="BJ701" s="25"/>
      <c r="BK701" s="25"/>
      <c r="BL701" s="25"/>
      <c r="BM701" s="25"/>
      <c r="BN701" s="25"/>
      <c r="BO701" s="25"/>
      <c r="BP701" s="25"/>
      <c r="BQ701" s="25"/>
      <c r="BR701" s="25" t="str">
        <f>_xlfn.CONCAT($A702," ",$B702," ",$D702)</f>
        <v>2025 Porsche Taycan Turbo 21in Aero-Design wheel (285/35)</v>
      </c>
      <c r="BS701" s="25"/>
      <c r="BT701" s="25"/>
      <c r="BU701" s="25"/>
      <c r="BV701" s="25"/>
      <c r="BX701" s="25"/>
      <c r="BY701" s="25"/>
      <c r="BZ701" s="25"/>
      <c r="CA701" s="25"/>
      <c r="CB701" s="25"/>
      <c r="CC701" s="25"/>
      <c r="CD701" s="25"/>
      <c r="CE701" s="25"/>
      <c r="CF701" s="25"/>
      <c r="CG701" s="25"/>
      <c r="CH701" s="25"/>
      <c r="CI701" s="25"/>
      <c r="CJ701" s="25"/>
      <c r="CK701" s="25"/>
      <c r="CL701" s="25"/>
      <c r="CM701" s="25"/>
      <c r="CN701" s="25"/>
      <c r="CO701" s="25"/>
      <c r="CP701" s="25" t="str">
        <f>_xlfn.CONCAT($A702," ",$B702," ",$D702)</f>
        <v>2025 Porsche Taycan Turbo 21in Aero-Design wheel (285/35)</v>
      </c>
      <c r="CQ701" s="25"/>
      <c r="CR701" s="25"/>
      <c r="CS701" s="25"/>
      <c r="CT701" s="25"/>
      <c r="CU701" s="25"/>
      <c r="CV701" s="25"/>
      <c r="CW701" s="25"/>
      <c r="CX701" s="25"/>
      <c r="CY701" s="25"/>
      <c r="CZ701" s="25"/>
      <c r="DA701" s="25"/>
      <c r="DB701" s="25"/>
      <c r="DC701" s="25"/>
      <c r="DD701" s="25"/>
      <c r="DE701" s="25"/>
      <c r="DF701" s="25"/>
      <c r="DG701" s="25"/>
      <c r="DH701" s="25"/>
      <c r="DI701" s="25" t="str">
        <f>_xlfn.CONCAT($A702," ",$B702," ",$D702)</f>
        <v>2025 Porsche Taycan Turbo 21in Aero-Design wheel (285/35)</v>
      </c>
      <c r="DJ701" s="25"/>
      <c r="DK701" s="25"/>
      <c r="DL701" s="25"/>
      <c r="DM701" s="25"/>
      <c r="DN701" s="25"/>
      <c r="DO701" s="25"/>
      <c r="DP701" s="25"/>
      <c r="DQ701" s="25"/>
      <c r="DR701" s="25"/>
      <c r="DS701" s="25"/>
      <c r="DT701" s="25"/>
      <c r="DU701" s="25"/>
      <c r="DV701" s="25"/>
      <c r="DW701" s="25"/>
      <c r="DX701" s="25"/>
      <c r="DY701" s="25"/>
      <c r="DZ701" s="25" t="str">
        <f>_xlfn.CONCAT($A702," ",$B702," ",$D702)</f>
        <v>2025 Porsche Taycan Turbo 21in Aero-Design wheel (285/35)</v>
      </c>
      <c r="EB701" s="25"/>
      <c r="EC701" s="25"/>
      <c r="ED701" s="25"/>
      <c r="EE701" s="25"/>
      <c r="EF701" s="25"/>
      <c r="EG701" s="25"/>
      <c r="EH701" s="25"/>
      <c r="EI701" s="25"/>
      <c r="EJ701" s="25"/>
      <c r="EK701" s="25"/>
      <c r="EL701" s="25"/>
      <c r="EM701" s="25"/>
      <c r="EN701" s="25"/>
      <c r="EO701" s="25"/>
      <c r="EP701" s="25"/>
      <c r="EQ701" s="25"/>
      <c r="ER701" s="25"/>
      <c r="ES701" s="25"/>
      <c r="ET701" s="25"/>
      <c r="EU701" s="25"/>
      <c r="EV701" s="25" t="str">
        <f>_xlfn.CONCAT($A702," ",$B702," ",$D702)</f>
        <v>2025 Porsche Taycan Turbo 21in Aero-Design wheel (285/35)</v>
      </c>
      <c r="EW701" s="25"/>
      <c r="EX701" s="25"/>
      <c r="EY701" s="25"/>
      <c r="EZ701" s="25"/>
      <c r="FA701" s="25"/>
      <c r="FB701" s="25"/>
      <c r="FC701" s="25"/>
      <c r="FD701" s="25"/>
      <c r="FE701" s="25"/>
      <c r="FF701" s="25"/>
      <c r="FG701" s="25"/>
    </row>
    <row r="702" spans="1:165" x14ac:dyDescent="0.35">
      <c r="A702">
        <v>2025</v>
      </c>
      <c r="B702" t="s">
        <v>299</v>
      </c>
      <c r="C702" t="s">
        <v>299</v>
      </c>
      <c r="D702" t="s">
        <v>2212</v>
      </c>
      <c r="E702" t="s">
        <v>301</v>
      </c>
      <c r="F702">
        <v>741</v>
      </c>
      <c r="G702">
        <v>0</v>
      </c>
      <c r="I702" t="s">
        <v>2128</v>
      </c>
      <c r="J702">
        <v>94</v>
      </c>
      <c r="K702">
        <v>92</v>
      </c>
      <c r="L702">
        <v>93</v>
      </c>
      <c r="M702">
        <v>134.1</v>
      </c>
      <c r="N702">
        <v>131.80000000000001</v>
      </c>
      <c r="O702">
        <v>133.05510000000001</v>
      </c>
      <c r="P702">
        <v>93.87</v>
      </c>
      <c r="Q702">
        <v>92.26</v>
      </c>
      <c r="R702">
        <v>93.138599999999997</v>
      </c>
      <c r="V702" t="s">
        <v>167</v>
      </c>
      <c r="W702" t="s">
        <v>168</v>
      </c>
      <c r="Y702">
        <v>2</v>
      </c>
      <c r="Z702" t="s">
        <v>170</v>
      </c>
      <c r="AA702" t="s">
        <v>170</v>
      </c>
      <c r="AB702" t="s">
        <v>167</v>
      </c>
      <c r="AC702" t="s">
        <v>213</v>
      </c>
      <c r="AF702">
        <v>317</v>
      </c>
      <c r="AG702" t="s">
        <v>1735</v>
      </c>
      <c r="AH702" t="s">
        <v>1736</v>
      </c>
      <c r="AI702" t="s">
        <v>175</v>
      </c>
      <c r="AJ702" t="s">
        <v>176</v>
      </c>
      <c r="AK702" t="s">
        <v>170</v>
      </c>
      <c r="AL702" t="s">
        <v>177</v>
      </c>
      <c r="AO702">
        <v>89</v>
      </c>
      <c r="AP702">
        <v>11</v>
      </c>
      <c r="AS702">
        <v>850</v>
      </c>
      <c r="AT702">
        <v>850</v>
      </c>
      <c r="BQ702">
        <v>4</v>
      </c>
      <c r="BR702" t="s">
        <v>521</v>
      </c>
      <c r="BS702" t="s">
        <v>180</v>
      </c>
      <c r="BT702" t="s">
        <v>1738</v>
      </c>
      <c r="BU702" s="1">
        <v>45593</v>
      </c>
      <c r="BV702">
        <v>35450</v>
      </c>
      <c r="BX702" t="s">
        <v>170</v>
      </c>
      <c r="BY702" t="s">
        <v>170</v>
      </c>
      <c r="CB702" t="s">
        <v>170</v>
      </c>
      <c r="CC702" t="s">
        <v>170</v>
      </c>
      <c r="CK702" t="s">
        <v>233</v>
      </c>
      <c r="CM702">
        <v>1</v>
      </c>
      <c r="CN702" t="s">
        <v>234</v>
      </c>
      <c r="CP702">
        <v>850</v>
      </c>
      <c r="CQ702">
        <v>129</v>
      </c>
      <c r="CR702">
        <v>148</v>
      </c>
      <c r="CS702" t="s">
        <v>1739</v>
      </c>
      <c r="CV702" t="s">
        <v>341</v>
      </c>
      <c r="CX702" t="s">
        <v>342</v>
      </c>
      <c r="CY702" t="s">
        <v>170</v>
      </c>
      <c r="DC702" t="s">
        <v>2190</v>
      </c>
      <c r="DD702">
        <v>7</v>
      </c>
      <c r="DE702" t="s">
        <v>404</v>
      </c>
      <c r="DF702" t="s">
        <v>2181</v>
      </c>
      <c r="DG702" t="s">
        <v>2211</v>
      </c>
      <c r="DL702" t="s">
        <v>170</v>
      </c>
      <c r="DM702" t="s">
        <v>169</v>
      </c>
      <c r="DP702" t="s">
        <v>170</v>
      </c>
      <c r="DQ702" t="s">
        <v>187</v>
      </c>
      <c r="EB702">
        <v>9</v>
      </c>
      <c r="EC702">
        <v>10</v>
      </c>
      <c r="EE702" t="s">
        <v>2192</v>
      </c>
      <c r="EF702">
        <v>10</v>
      </c>
      <c r="EU702">
        <v>5250</v>
      </c>
      <c r="EW702">
        <v>0</v>
      </c>
      <c r="EX702">
        <v>0</v>
      </c>
      <c r="EY702">
        <v>0</v>
      </c>
      <c r="FA702">
        <v>13</v>
      </c>
      <c r="FG702">
        <v>319</v>
      </c>
      <c r="FH702">
        <v>314</v>
      </c>
      <c r="FI702">
        <v>317</v>
      </c>
    </row>
    <row r="703" spans="1:165" x14ac:dyDescent="0.35">
      <c r="A703">
        <v>2025</v>
      </c>
      <c r="B703" t="s">
        <v>299</v>
      </c>
      <c r="C703" t="s">
        <v>299</v>
      </c>
      <c r="D703" t="s">
        <v>2212</v>
      </c>
      <c r="E703" t="s">
        <v>301</v>
      </c>
      <c r="F703">
        <v>741</v>
      </c>
      <c r="G703">
        <v>0</v>
      </c>
      <c r="I703" t="s">
        <v>2128</v>
      </c>
      <c r="J703">
        <v>36</v>
      </c>
      <c r="K703">
        <v>37</v>
      </c>
      <c r="L703">
        <v>36</v>
      </c>
      <c r="M703">
        <v>25.139900000000001</v>
      </c>
      <c r="N703">
        <v>25.5794</v>
      </c>
      <c r="O703">
        <v>25.337700000000002</v>
      </c>
      <c r="P703">
        <v>35.905999999999999</v>
      </c>
      <c r="Q703">
        <v>36.532600000000002</v>
      </c>
      <c r="R703">
        <v>36.188000000000002</v>
      </c>
      <c r="V703" t="s">
        <v>167</v>
      </c>
      <c r="W703" t="s">
        <v>168</v>
      </c>
      <c r="Y703">
        <v>2</v>
      </c>
      <c r="Z703" t="s">
        <v>170</v>
      </c>
      <c r="AA703" t="s">
        <v>170</v>
      </c>
      <c r="AB703" t="s">
        <v>167</v>
      </c>
      <c r="AC703" t="s">
        <v>213</v>
      </c>
      <c r="AF703">
        <v>317</v>
      </c>
      <c r="AG703" t="s">
        <v>1735</v>
      </c>
      <c r="AH703" t="s">
        <v>1736</v>
      </c>
      <c r="AI703" t="s">
        <v>1742</v>
      </c>
      <c r="AJ703" t="s">
        <v>1743</v>
      </c>
      <c r="AK703" t="s">
        <v>170</v>
      </c>
      <c r="AL703" t="s">
        <v>177</v>
      </c>
      <c r="AO703">
        <v>89</v>
      </c>
      <c r="AP703">
        <v>11</v>
      </c>
      <c r="AS703">
        <v>850</v>
      </c>
      <c r="AT703">
        <v>850</v>
      </c>
      <c r="BQ703">
        <v>4</v>
      </c>
      <c r="BR703" t="s">
        <v>521</v>
      </c>
      <c r="BS703" t="s">
        <v>180</v>
      </c>
      <c r="BT703" t="s">
        <v>1738</v>
      </c>
      <c r="BU703" s="1">
        <v>45593</v>
      </c>
      <c r="BV703">
        <v>35450</v>
      </c>
      <c r="BX703" t="s">
        <v>170</v>
      </c>
      <c r="BY703" t="s">
        <v>170</v>
      </c>
      <c r="CB703" t="s">
        <v>170</v>
      </c>
      <c r="CC703" t="s">
        <v>170</v>
      </c>
      <c r="CK703" t="s">
        <v>233</v>
      </c>
      <c r="CM703">
        <v>1</v>
      </c>
      <c r="CN703" t="s">
        <v>234</v>
      </c>
      <c r="CP703">
        <v>850</v>
      </c>
      <c r="CQ703">
        <v>129</v>
      </c>
      <c r="CR703">
        <v>148</v>
      </c>
      <c r="CS703" t="s">
        <v>1739</v>
      </c>
      <c r="CV703" t="s">
        <v>341</v>
      </c>
      <c r="CX703" t="s">
        <v>342</v>
      </c>
      <c r="CY703" t="s">
        <v>170</v>
      </c>
      <c r="DC703" t="s">
        <v>2190</v>
      </c>
      <c r="DD703">
        <v>7</v>
      </c>
      <c r="DE703" t="s">
        <v>404</v>
      </c>
      <c r="DF703" t="s">
        <v>2181</v>
      </c>
      <c r="DG703" t="s">
        <v>2211</v>
      </c>
      <c r="DL703" t="s">
        <v>170</v>
      </c>
      <c r="DM703" t="s">
        <v>169</v>
      </c>
      <c r="DP703" t="s">
        <v>170</v>
      </c>
      <c r="DQ703" t="s">
        <v>187</v>
      </c>
      <c r="EB703">
        <v>9</v>
      </c>
      <c r="EC703">
        <v>10</v>
      </c>
      <c r="EE703" t="s">
        <v>2192</v>
      </c>
      <c r="EF703">
        <v>10</v>
      </c>
      <c r="EU703">
        <v>5250</v>
      </c>
      <c r="EW703">
        <v>0</v>
      </c>
      <c r="EX703">
        <v>0</v>
      </c>
      <c r="EY703">
        <v>0</v>
      </c>
      <c r="FA703">
        <v>13</v>
      </c>
      <c r="FG703">
        <v>319</v>
      </c>
      <c r="FH703">
        <v>314</v>
      </c>
      <c r="FI703">
        <v>317</v>
      </c>
    </row>
    <row r="704" spans="1:165" x14ac:dyDescent="0.35">
      <c r="A704" s="25"/>
      <c r="B704" s="25"/>
      <c r="C704" s="25"/>
      <c r="D704" s="25"/>
      <c r="E704" s="25"/>
      <c r="F704" s="25" t="str">
        <f>_xlfn.CONCAT($A705," ",$B705," ",$D705)</f>
        <v>2025 Porsche Taycan Turbo Cross Turismo</v>
      </c>
      <c r="G704" s="25"/>
      <c r="H704" s="25"/>
      <c r="I704" s="25"/>
      <c r="J704" s="25"/>
      <c r="K704" s="25"/>
      <c r="L704" s="25"/>
      <c r="M704" s="25"/>
      <c r="N704" s="25"/>
      <c r="O704" s="25"/>
      <c r="P704" s="25"/>
      <c r="Q704" s="25"/>
      <c r="R704" s="25"/>
      <c r="S704" s="25"/>
      <c r="T704" s="25"/>
      <c r="U704" s="25"/>
      <c r="V704" s="25"/>
      <c r="W704" s="25"/>
      <c r="X704" s="25"/>
      <c r="Y704" s="25"/>
      <c r="Z704" s="25"/>
      <c r="AA704" s="25"/>
      <c r="AB704" s="25"/>
      <c r="AC704" s="25"/>
      <c r="AD704" s="25" t="str">
        <f>_xlfn.CONCAT($A705," ",$B705," ",$D705)</f>
        <v>2025 Porsche Taycan Turbo Cross Turismo</v>
      </c>
      <c r="AE704" s="25"/>
      <c r="AF704" s="25"/>
      <c r="AG704" s="25"/>
      <c r="AH704" s="25"/>
      <c r="AI704" s="25"/>
      <c r="AJ704" s="25"/>
      <c r="AK704" s="25"/>
      <c r="AL704" s="25"/>
      <c r="AM704" s="25"/>
      <c r="AN704" s="25"/>
      <c r="AO704" s="25"/>
      <c r="AP704" s="25"/>
      <c r="AQ704" s="25"/>
      <c r="AR704" s="25"/>
      <c r="AS704" s="25"/>
      <c r="AT704" s="25"/>
      <c r="AU704" s="25"/>
      <c r="AV704" s="25"/>
      <c r="AW704" s="25"/>
      <c r="AX704" s="25" t="str">
        <f>_xlfn.CONCAT($A705," ",$B705," ",$D705)</f>
        <v>2025 Porsche Taycan Turbo Cross Turismo</v>
      </c>
      <c r="AY704" s="25"/>
      <c r="AZ704" s="25"/>
      <c r="BA704" s="25"/>
      <c r="BB704" s="25"/>
      <c r="BC704" s="25"/>
      <c r="BD704" s="25"/>
      <c r="BE704" s="25"/>
      <c r="BF704" s="25"/>
      <c r="BG704" s="25"/>
      <c r="BH704" s="25"/>
      <c r="BI704" s="25"/>
      <c r="BJ704" s="25"/>
      <c r="BK704" s="25"/>
      <c r="BL704" s="25"/>
      <c r="BM704" s="25"/>
      <c r="BN704" s="25"/>
      <c r="BO704" s="25"/>
      <c r="BP704" s="25"/>
      <c r="BQ704" s="25"/>
      <c r="BR704" s="25" t="str">
        <f>_xlfn.CONCAT($A705," ",$B705," ",$D705)</f>
        <v>2025 Porsche Taycan Turbo Cross Turismo</v>
      </c>
      <c r="BS704" s="25"/>
      <c r="BT704" s="25"/>
      <c r="BU704" s="25"/>
      <c r="BV704" s="25"/>
      <c r="BX704" s="25"/>
      <c r="BY704" s="25"/>
      <c r="BZ704" s="25"/>
      <c r="CA704" s="25"/>
      <c r="CB704" s="25"/>
      <c r="CC704" s="25"/>
      <c r="CD704" s="25"/>
      <c r="CE704" s="25"/>
      <c r="CF704" s="25"/>
      <c r="CG704" s="25"/>
      <c r="CH704" s="25"/>
      <c r="CI704" s="25"/>
      <c r="CJ704" s="25"/>
      <c r="CK704" s="25"/>
      <c r="CL704" s="25"/>
      <c r="CM704" s="25"/>
      <c r="CN704" s="25"/>
      <c r="CO704" s="25"/>
      <c r="CP704" s="25" t="str">
        <f>_xlfn.CONCAT($A705," ",$B705," ",$D705)</f>
        <v>2025 Porsche Taycan Turbo Cross Turismo</v>
      </c>
      <c r="CQ704" s="25"/>
      <c r="CR704" s="25"/>
      <c r="CS704" s="25"/>
      <c r="CT704" s="25"/>
      <c r="CU704" s="25"/>
      <c r="CV704" s="25"/>
      <c r="CW704" s="25"/>
      <c r="CX704" s="25"/>
      <c r="CY704" s="25"/>
      <c r="CZ704" s="25"/>
      <c r="DA704" s="25"/>
      <c r="DB704" s="25"/>
      <c r="DC704" s="25"/>
      <c r="DD704" s="25"/>
      <c r="DE704" s="25"/>
      <c r="DF704" s="25"/>
      <c r="DG704" s="25"/>
      <c r="DH704" s="25"/>
      <c r="DI704" s="25" t="str">
        <f>_xlfn.CONCAT($A705," ",$B705," ",$D705)</f>
        <v>2025 Porsche Taycan Turbo Cross Turismo</v>
      </c>
      <c r="DJ704" s="25"/>
      <c r="DK704" s="25"/>
      <c r="DL704" s="25"/>
      <c r="DM704" s="25"/>
      <c r="DN704" s="25"/>
      <c r="DO704" s="25"/>
      <c r="DP704" s="25"/>
      <c r="DQ704" s="25"/>
      <c r="DR704" s="25"/>
      <c r="DS704" s="25"/>
      <c r="DT704" s="25"/>
      <c r="DU704" s="25"/>
      <c r="DV704" s="25"/>
      <c r="DW704" s="25"/>
      <c r="DX704" s="25"/>
      <c r="DY704" s="25"/>
      <c r="DZ704" s="25" t="str">
        <f>_xlfn.CONCAT($A705," ",$B705," ",$D705)</f>
        <v>2025 Porsche Taycan Turbo Cross Turismo</v>
      </c>
      <c r="EB704" s="25"/>
      <c r="EC704" s="25"/>
      <c r="ED704" s="25"/>
      <c r="EE704" s="25"/>
      <c r="EF704" s="25"/>
      <c r="EG704" s="25"/>
      <c r="EH704" s="25"/>
      <c r="EI704" s="25"/>
      <c r="EJ704" s="25"/>
      <c r="EK704" s="25"/>
      <c r="EL704" s="25"/>
      <c r="EM704" s="25"/>
      <c r="EN704" s="25"/>
      <c r="EO704" s="25"/>
      <c r="EP704" s="25"/>
      <c r="EQ704" s="25"/>
      <c r="ER704" s="25"/>
      <c r="ES704" s="25"/>
      <c r="ET704" s="25"/>
      <c r="EU704" s="25"/>
      <c r="EV704" s="25" t="str">
        <f>_xlfn.CONCAT($A705," ",$B705," ",$D705)</f>
        <v>2025 Porsche Taycan Turbo Cross Turismo</v>
      </c>
      <c r="EW704" s="25"/>
      <c r="EX704" s="25"/>
      <c r="EY704" s="25"/>
      <c r="EZ704" s="25"/>
      <c r="FA704" s="25"/>
      <c r="FB704" s="25"/>
      <c r="FC704" s="25"/>
      <c r="FD704" s="25"/>
      <c r="FE704" s="25"/>
      <c r="FF704" s="25"/>
      <c r="FG704" s="25"/>
    </row>
    <row r="705" spans="1:165" x14ac:dyDescent="0.35">
      <c r="A705">
        <v>2025</v>
      </c>
      <c r="B705" t="s">
        <v>299</v>
      </c>
      <c r="C705" t="s">
        <v>299</v>
      </c>
      <c r="D705" t="s">
        <v>2213</v>
      </c>
      <c r="E705" t="s">
        <v>301</v>
      </c>
      <c r="F705">
        <v>745</v>
      </c>
      <c r="G705">
        <v>0</v>
      </c>
      <c r="I705" t="s">
        <v>2128</v>
      </c>
      <c r="J705">
        <v>80</v>
      </c>
      <c r="K705">
        <v>76</v>
      </c>
      <c r="L705">
        <v>78</v>
      </c>
      <c r="M705">
        <v>114.7</v>
      </c>
      <c r="N705">
        <v>109.1</v>
      </c>
      <c r="O705">
        <v>112.1105</v>
      </c>
      <c r="P705">
        <v>80.290000000000006</v>
      </c>
      <c r="Q705">
        <v>76.37</v>
      </c>
      <c r="R705">
        <v>78.477400000000003</v>
      </c>
      <c r="V705" t="s">
        <v>167</v>
      </c>
      <c r="W705" t="s">
        <v>168</v>
      </c>
      <c r="Y705">
        <v>2</v>
      </c>
      <c r="Z705" t="s">
        <v>170</v>
      </c>
      <c r="AA705" t="s">
        <v>170</v>
      </c>
      <c r="AB705" t="s">
        <v>167</v>
      </c>
      <c r="AC705" t="s">
        <v>213</v>
      </c>
      <c r="AF705">
        <v>265</v>
      </c>
      <c r="AG705" t="s">
        <v>1735</v>
      </c>
      <c r="AH705" t="s">
        <v>1736</v>
      </c>
      <c r="AI705" t="s">
        <v>175</v>
      </c>
      <c r="AJ705" t="s">
        <v>176</v>
      </c>
      <c r="AK705" t="s">
        <v>170</v>
      </c>
      <c r="AL705" t="s">
        <v>177</v>
      </c>
      <c r="AQ705">
        <v>92</v>
      </c>
      <c r="AR705">
        <v>24</v>
      </c>
      <c r="AS705">
        <v>1050</v>
      </c>
      <c r="AT705">
        <v>1050</v>
      </c>
      <c r="BQ705">
        <v>5</v>
      </c>
      <c r="BR705" t="s">
        <v>672</v>
      </c>
      <c r="BS705" t="s">
        <v>180</v>
      </c>
      <c r="BT705" t="s">
        <v>1738</v>
      </c>
      <c r="BU705" s="1">
        <v>45471</v>
      </c>
      <c r="BV705">
        <v>35448</v>
      </c>
      <c r="BX705" t="s">
        <v>170</v>
      </c>
      <c r="BY705" t="s">
        <v>170</v>
      </c>
      <c r="CB705" t="s">
        <v>170</v>
      </c>
      <c r="CC705" t="s">
        <v>170</v>
      </c>
      <c r="CK705" t="s">
        <v>233</v>
      </c>
      <c r="CM705">
        <v>1</v>
      </c>
      <c r="CN705" t="s">
        <v>234</v>
      </c>
      <c r="CP705">
        <v>850</v>
      </c>
      <c r="CQ705">
        <v>129</v>
      </c>
      <c r="CR705">
        <v>148</v>
      </c>
      <c r="CS705" t="s">
        <v>1739</v>
      </c>
      <c r="CV705" t="s">
        <v>341</v>
      </c>
      <c r="CX705" t="s">
        <v>342</v>
      </c>
      <c r="CY705" t="s">
        <v>170</v>
      </c>
      <c r="DC705" t="s">
        <v>2190</v>
      </c>
      <c r="DD705">
        <v>7</v>
      </c>
      <c r="DE705" t="s">
        <v>404</v>
      </c>
      <c r="DF705" t="s">
        <v>2181</v>
      </c>
      <c r="DG705" t="s">
        <v>2214</v>
      </c>
      <c r="DL705" t="s">
        <v>170</v>
      </c>
      <c r="DM705" t="s">
        <v>169</v>
      </c>
      <c r="DP705" t="s">
        <v>170</v>
      </c>
      <c r="DQ705" t="s">
        <v>187</v>
      </c>
      <c r="EB705">
        <v>9</v>
      </c>
      <c r="EC705">
        <v>10</v>
      </c>
      <c r="EE705" t="s">
        <v>2192</v>
      </c>
      <c r="EF705">
        <v>10</v>
      </c>
      <c r="EU705">
        <v>4250</v>
      </c>
      <c r="EW705">
        <v>0</v>
      </c>
      <c r="EX705">
        <v>0</v>
      </c>
      <c r="EY705">
        <v>0</v>
      </c>
      <c r="FA705">
        <v>13</v>
      </c>
      <c r="FG705">
        <v>271</v>
      </c>
      <c r="FH705">
        <v>258</v>
      </c>
      <c r="FI705">
        <v>265</v>
      </c>
    </row>
    <row r="706" spans="1:165" x14ac:dyDescent="0.35">
      <c r="A706">
        <v>2025</v>
      </c>
      <c r="B706" t="s">
        <v>299</v>
      </c>
      <c r="C706" t="s">
        <v>299</v>
      </c>
      <c r="D706" t="s">
        <v>2213</v>
      </c>
      <c r="E706" t="s">
        <v>301</v>
      </c>
      <c r="F706">
        <v>745</v>
      </c>
      <c r="G706">
        <v>0</v>
      </c>
      <c r="I706" t="s">
        <v>2128</v>
      </c>
      <c r="J706">
        <v>42</v>
      </c>
      <c r="K706">
        <v>44</v>
      </c>
      <c r="L706">
        <v>43</v>
      </c>
      <c r="M706">
        <v>29.375800000000002</v>
      </c>
      <c r="N706">
        <v>30.8809</v>
      </c>
      <c r="O706">
        <v>30.053100000000001</v>
      </c>
      <c r="P706">
        <v>41.979100000000003</v>
      </c>
      <c r="Q706">
        <v>44.133800000000001</v>
      </c>
      <c r="R706">
        <v>42.948700000000002</v>
      </c>
      <c r="V706" t="s">
        <v>167</v>
      </c>
      <c r="W706" t="s">
        <v>168</v>
      </c>
      <c r="Y706">
        <v>2</v>
      </c>
      <c r="Z706" t="s">
        <v>170</v>
      </c>
      <c r="AA706" t="s">
        <v>170</v>
      </c>
      <c r="AB706" t="s">
        <v>167</v>
      </c>
      <c r="AC706" t="s">
        <v>213</v>
      </c>
      <c r="AF706">
        <v>265</v>
      </c>
      <c r="AG706" t="s">
        <v>1735</v>
      </c>
      <c r="AH706" t="s">
        <v>1736</v>
      </c>
      <c r="AI706" t="s">
        <v>1742</v>
      </c>
      <c r="AJ706" t="s">
        <v>1743</v>
      </c>
      <c r="AK706" t="s">
        <v>170</v>
      </c>
      <c r="AL706" t="s">
        <v>177</v>
      </c>
      <c r="AQ706">
        <v>92</v>
      </c>
      <c r="AR706">
        <v>24</v>
      </c>
      <c r="AS706">
        <v>1050</v>
      </c>
      <c r="AT706">
        <v>1050</v>
      </c>
      <c r="BQ706">
        <v>5</v>
      </c>
      <c r="BR706" t="s">
        <v>672</v>
      </c>
      <c r="BS706" t="s">
        <v>180</v>
      </c>
      <c r="BT706" t="s">
        <v>1738</v>
      </c>
      <c r="BU706" s="1">
        <v>45471</v>
      </c>
      <c r="BV706">
        <v>35448</v>
      </c>
      <c r="BX706" t="s">
        <v>170</v>
      </c>
      <c r="BY706" t="s">
        <v>170</v>
      </c>
      <c r="CB706" t="s">
        <v>170</v>
      </c>
      <c r="CC706" t="s">
        <v>170</v>
      </c>
      <c r="CK706" t="s">
        <v>233</v>
      </c>
      <c r="CM706">
        <v>1</v>
      </c>
      <c r="CN706" t="s">
        <v>234</v>
      </c>
      <c r="CP706">
        <v>850</v>
      </c>
      <c r="CQ706">
        <v>129</v>
      </c>
      <c r="CR706">
        <v>148</v>
      </c>
      <c r="CS706" t="s">
        <v>1739</v>
      </c>
      <c r="CV706" t="s">
        <v>341</v>
      </c>
      <c r="CX706" t="s">
        <v>342</v>
      </c>
      <c r="CY706" t="s">
        <v>170</v>
      </c>
      <c r="DC706" t="s">
        <v>2190</v>
      </c>
      <c r="DD706">
        <v>7</v>
      </c>
      <c r="DE706" t="s">
        <v>404</v>
      </c>
      <c r="DF706" t="s">
        <v>2181</v>
      </c>
      <c r="DG706" t="s">
        <v>2214</v>
      </c>
      <c r="DL706" t="s">
        <v>170</v>
      </c>
      <c r="DM706" t="s">
        <v>169</v>
      </c>
      <c r="DP706" t="s">
        <v>170</v>
      </c>
      <c r="DQ706" t="s">
        <v>187</v>
      </c>
      <c r="EB706">
        <v>9</v>
      </c>
      <c r="EC706">
        <v>10</v>
      </c>
      <c r="EE706" t="s">
        <v>2192</v>
      </c>
      <c r="EF706">
        <v>10</v>
      </c>
      <c r="EU706">
        <v>4250</v>
      </c>
      <c r="EW706">
        <v>0</v>
      </c>
      <c r="EX706">
        <v>0</v>
      </c>
      <c r="EY706">
        <v>0</v>
      </c>
      <c r="FA706">
        <v>13</v>
      </c>
      <c r="FG706">
        <v>271</v>
      </c>
      <c r="FH706">
        <v>258</v>
      </c>
      <c r="FI706">
        <v>265</v>
      </c>
    </row>
    <row r="707" spans="1:165" x14ac:dyDescent="0.35">
      <c r="A707" s="25"/>
      <c r="B707" s="25"/>
      <c r="C707" s="25"/>
      <c r="D707" s="25"/>
      <c r="E707" s="25"/>
      <c r="F707" s="25" t="str">
        <f>_xlfn.CONCAT($A708," ",$B708," ",$D708)</f>
        <v>2025 Porsche Taycan Turbo S</v>
      </c>
      <c r="G707" s="25"/>
      <c r="H707" s="25"/>
      <c r="I707" s="25"/>
      <c r="J707" s="25"/>
      <c r="K707" s="25"/>
      <c r="L707" s="25"/>
      <c r="M707" s="25"/>
      <c r="N707" s="25"/>
      <c r="O707" s="25"/>
      <c r="P707" s="25"/>
      <c r="Q707" s="25"/>
      <c r="R707" s="25"/>
      <c r="S707" s="25"/>
      <c r="T707" s="25"/>
      <c r="U707" s="25"/>
      <c r="V707" s="25"/>
      <c r="W707" s="25"/>
      <c r="X707" s="25"/>
      <c r="Y707" s="25"/>
      <c r="Z707" s="25"/>
      <c r="AA707" s="25"/>
      <c r="AB707" s="25"/>
      <c r="AC707" s="25"/>
      <c r="AD707" s="25" t="str">
        <f>_xlfn.CONCAT($A708," ",$B708," ",$D708)</f>
        <v>2025 Porsche Taycan Turbo S</v>
      </c>
      <c r="AE707" s="25"/>
      <c r="AF707" s="25"/>
      <c r="AG707" s="25"/>
      <c r="AH707" s="25"/>
      <c r="AI707" s="25"/>
      <c r="AJ707" s="25"/>
      <c r="AK707" s="25"/>
      <c r="AL707" s="25"/>
      <c r="AM707" s="25"/>
      <c r="AN707" s="25"/>
      <c r="AO707" s="25"/>
      <c r="AP707" s="25"/>
      <c r="AQ707" s="25"/>
      <c r="AR707" s="25"/>
      <c r="AS707" s="25"/>
      <c r="AT707" s="25"/>
      <c r="AU707" s="25"/>
      <c r="AV707" s="25"/>
      <c r="AW707" s="25"/>
      <c r="AX707" s="25" t="str">
        <f>_xlfn.CONCAT($A708," ",$B708," ",$D708)</f>
        <v>2025 Porsche Taycan Turbo S</v>
      </c>
      <c r="AY707" s="25"/>
      <c r="AZ707" s="25"/>
      <c r="BA707" s="25"/>
      <c r="BB707" s="25"/>
      <c r="BC707" s="25"/>
      <c r="BD707" s="25"/>
      <c r="BE707" s="25"/>
      <c r="BF707" s="25"/>
      <c r="BG707" s="25"/>
      <c r="BH707" s="25"/>
      <c r="BI707" s="25"/>
      <c r="BJ707" s="25"/>
      <c r="BK707" s="25"/>
      <c r="BL707" s="25"/>
      <c r="BM707" s="25"/>
      <c r="BN707" s="25"/>
      <c r="BO707" s="25"/>
      <c r="BP707" s="25"/>
      <c r="BQ707" s="25"/>
      <c r="BR707" s="25" t="str">
        <f>_xlfn.CONCAT($A708," ",$B708," ",$D708)</f>
        <v>2025 Porsche Taycan Turbo S</v>
      </c>
      <c r="BS707" s="25"/>
      <c r="BT707" s="25"/>
      <c r="BU707" s="25"/>
      <c r="BV707" s="25"/>
      <c r="BX707" s="25"/>
      <c r="BY707" s="25"/>
      <c r="BZ707" s="25"/>
      <c r="CA707" s="25"/>
      <c r="CB707" s="25"/>
      <c r="CC707" s="25"/>
      <c r="CD707" s="25"/>
      <c r="CE707" s="25"/>
      <c r="CF707" s="25"/>
      <c r="CG707" s="25"/>
      <c r="CH707" s="25"/>
      <c r="CI707" s="25"/>
      <c r="CJ707" s="25"/>
      <c r="CK707" s="25"/>
      <c r="CL707" s="25"/>
      <c r="CM707" s="25"/>
      <c r="CN707" s="25"/>
      <c r="CO707" s="25"/>
      <c r="CP707" s="25" t="str">
        <f>_xlfn.CONCAT($A708," ",$B708," ",$D708)</f>
        <v>2025 Porsche Taycan Turbo S</v>
      </c>
      <c r="CQ707" s="25"/>
      <c r="CR707" s="25"/>
      <c r="CS707" s="25"/>
      <c r="CT707" s="25"/>
      <c r="CU707" s="25"/>
      <c r="CV707" s="25"/>
      <c r="CW707" s="25"/>
      <c r="CX707" s="25"/>
      <c r="CY707" s="25"/>
      <c r="CZ707" s="25"/>
      <c r="DA707" s="25"/>
      <c r="DB707" s="25"/>
      <c r="DC707" s="25"/>
      <c r="DD707" s="25"/>
      <c r="DE707" s="25"/>
      <c r="DF707" s="25"/>
      <c r="DG707" s="25"/>
      <c r="DH707" s="25"/>
      <c r="DI707" s="25" t="str">
        <f>_xlfn.CONCAT($A708," ",$B708," ",$D708)</f>
        <v>2025 Porsche Taycan Turbo S</v>
      </c>
      <c r="DJ707" s="25"/>
      <c r="DK707" s="25"/>
      <c r="DL707" s="25"/>
      <c r="DM707" s="25"/>
      <c r="DN707" s="25"/>
      <c r="DO707" s="25"/>
      <c r="DP707" s="25"/>
      <c r="DQ707" s="25"/>
      <c r="DR707" s="25"/>
      <c r="DS707" s="25"/>
      <c r="DT707" s="25"/>
      <c r="DU707" s="25"/>
      <c r="DV707" s="25"/>
      <c r="DW707" s="25"/>
      <c r="DX707" s="25"/>
      <c r="DY707" s="25"/>
      <c r="DZ707" s="25" t="str">
        <f>_xlfn.CONCAT($A708," ",$B708," ",$D708)</f>
        <v>2025 Porsche Taycan Turbo S</v>
      </c>
      <c r="EB707" s="25"/>
      <c r="EC707" s="25"/>
      <c r="ED707" s="25"/>
      <c r="EE707" s="25"/>
      <c r="EF707" s="25"/>
      <c r="EG707" s="25"/>
      <c r="EH707" s="25"/>
      <c r="EI707" s="25"/>
      <c r="EJ707" s="25"/>
      <c r="EK707" s="25"/>
      <c r="EL707" s="25"/>
      <c r="EM707" s="25"/>
      <c r="EN707" s="25"/>
      <c r="EO707" s="25"/>
      <c r="EP707" s="25"/>
      <c r="EQ707" s="25"/>
      <c r="ER707" s="25"/>
      <c r="ES707" s="25"/>
      <c r="ET707" s="25"/>
      <c r="EU707" s="25"/>
      <c r="EV707" s="25" t="str">
        <f>_xlfn.CONCAT($A708," ",$B708," ",$D708)</f>
        <v>2025 Porsche Taycan Turbo S</v>
      </c>
      <c r="EW707" s="25"/>
      <c r="EX707" s="25"/>
      <c r="EY707" s="25"/>
      <c r="EZ707" s="25"/>
      <c r="FA707" s="25"/>
      <c r="FB707" s="25"/>
      <c r="FC707" s="25"/>
      <c r="FD707" s="25"/>
      <c r="FE707" s="25"/>
      <c r="FF707" s="25"/>
      <c r="FG707" s="25"/>
    </row>
    <row r="708" spans="1:165" x14ac:dyDescent="0.35">
      <c r="A708">
        <v>2025</v>
      </c>
      <c r="B708" t="s">
        <v>299</v>
      </c>
      <c r="C708" t="s">
        <v>299</v>
      </c>
      <c r="D708" t="s">
        <v>2218</v>
      </c>
      <c r="E708" t="s">
        <v>301</v>
      </c>
      <c r="F708">
        <v>750</v>
      </c>
      <c r="G708">
        <v>0</v>
      </c>
      <c r="I708" t="s">
        <v>2128</v>
      </c>
      <c r="J708">
        <v>80</v>
      </c>
      <c r="K708">
        <v>78</v>
      </c>
      <c r="L708">
        <v>79</v>
      </c>
      <c r="M708">
        <v>114.1</v>
      </c>
      <c r="N708">
        <v>110.8</v>
      </c>
      <c r="O708">
        <v>112.59099999999999</v>
      </c>
      <c r="P708">
        <v>79.87</v>
      </c>
      <c r="Q708">
        <v>77.56</v>
      </c>
      <c r="R708">
        <v>78.813699999999997</v>
      </c>
      <c r="V708" t="s">
        <v>167</v>
      </c>
      <c r="W708" t="s">
        <v>168</v>
      </c>
      <c r="Y708">
        <v>2</v>
      </c>
      <c r="Z708" t="s">
        <v>170</v>
      </c>
      <c r="AA708" t="s">
        <v>170</v>
      </c>
      <c r="AB708" t="s">
        <v>167</v>
      </c>
      <c r="AC708" t="s">
        <v>213</v>
      </c>
      <c r="AF708">
        <v>266</v>
      </c>
      <c r="AG708" t="s">
        <v>1735</v>
      </c>
      <c r="AH708" t="s">
        <v>1736</v>
      </c>
      <c r="AI708" t="s">
        <v>175</v>
      </c>
      <c r="AJ708" t="s">
        <v>176</v>
      </c>
      <c r="AK708" t="s">
        <v>170</v>
      </c>
      <c r="AL708" t="s">
        <v>177</v>
      </c>
      <c r="AO708">
        <v>89</v>
      </c>
      <c r="AP708">
        <v>11</v>
      </c>
      <c r="AS708">
        <v>1050</v>
      </c>
      <c r="AT708">
        <v>50</v>
      </c>
      <c r="BQ708">
        <v>4</v>
      </c>
      <c r="BR708" t="s">
        <v>521</v>
      </c>
      <c r="BS708" t="s">
        <v>180</v>
      </c>
      <c r="BT708" t="s">
        <v>1738</v>
      </c>
      <c r="BU708" s="1">
        <v>45471</v>
      </c>
      <c r="BV708">
        <v>35445</v>
      </c>
      <c r="BX708" t="s">
        <v>170</v>
      </c>
      <c r="BY708" t="s">
        <v>170</v>
      </c>
      <c r="CB708" t="s">
        <v>170</v>
      </c>
      <c r="CC708" t="s">
        <v>170</v>
      </c>
      <c r="CK708" t="s">
        <v>233</v>
      </c>
      <c r="CM708">
        <v>1</v>
      </c>
      <c r="CN708" t="s">
        <v>234</v>
      </c>
      <c r="CP708">
        <v>850</v>
      </c>
      <c r="CQ708">
        <v>129</v>
      </c>
      <c r="CR708">
        <v>148</v>
      </c>
      <c r="CS708" t="s">
        <v>1739</v>
      </c>
      <c r="CV708" t="s">
        <v>341</v>
      </c>
      <c r="CX708" t="s">
        <v>342</v>
      </c>
      <c r="CY708" t="s">
        <v>170</v>
      </c>
      <c r="DC708" t="s">
        <v>2190</v>
      </c>
      <c r="DD708">
        <v>9</v>
      </c>
      <c r="DE708" t="s">
        <v>404</v>
      </c>
      <c r="DF708" t="s">
        <v>2181</v>
      </c>
      <c r="DG708" t="s">
        <v>2194</v>
      </c>
      <c r="DL708" t="s">
        <v>170</v>
      </c>
      <c r="DM708" t="s">
        <v>169</v>
      </c>
      <c r="DP708" t="s">
        <v>170</v>
      </c>
      <c r="DQ708" t="s">
        <v>187</v>
      </c>
      <c r="EB708">
        <v>9</v>
      </c>
      <c r="EC708">
        <v>10</v>
      </c>
      <c r="EE708" t="s">
        <v>2192</v>
      </c>
      <c r="EF708">
        <v>10</v>
      </c>
      <c r="EU708">
        <v>4250</v>
      </c>
      <c r="EW708">
        <v>0</v>
      </c>
      <c r="EX708">
        <v>0</v>
      </c>
      <c r="EY708">
        <v>0</v>
      </c>
      <c r="FA708">
        <v>13</v>
      </c>
      <c r="FG708">
        <v>270</v>
      </c>
      <c r="FH708">
        <v>262</v>
      </c>
      <c r="FI708">
        <v>266</v>
      </c>
    </row>
    <row r="709" spans="1:165" x14ac:dyDescent="0.35">
      <c r="A709">
        <v>2025</v>
      </c>
      <c r="B709" t="s">
        <v>299</v>
      </c>
      <c r="C709" t="s">
        <v>299</v>
      </c>
      <c r="D709" t="s">
        <v>2218</v>
      </c>
      <c r="E709" t="s">
        <v>301</v>
      </c>
      <c r="F709">
        <v>750</v>
      </c>
      <c r="G709">
        <v>0</v>
      </c>
      <c r="I709" t="s">
        <v>2128</v>
      </c>
      <c r="J709">
        <v>42</v>
      </c>
      <c r="K709">
        <v>43</v>
      </c>
      <c r="L709">
        <v>43</v>
      </c>
      <c r="M709">
        <v>29.540199999999999</v>
      </c>
      <c r="N709">
        <v>30.407900000000001</v>
      </c>
      <c r="O709">
        <v>29.930700000000002</v>
      </c>
      <c r="P709">
        <v>42.199800000000003</v>
      </c>
      <c r="Q709">
        <v>43.456699999999998</v>
      </c>
      <c r="R709">
        <v>42.7654</v>
      </c>
      <c r="V709" t="s">
        <v>167</v>
      </c>
      <c r="W709" t="s">
        <v>168</v>
      </c>
      <c r="Y709">
        <v>2</v>
      </c>
      <c r="Z709" t="s">
        <v>170</v>
      </c>
      <c r="AA709" t="s">
        <v>170</v>
      </c>
      <c r="AB709" t="s">
        <v>167</v>
      </c>
      <c r="AC709" t="s">
        <v>213</v>
      </c>
      <c r="AF709">
        <v>266</v>
      </c>
      <c r="AG709" t="s">
        <v>1735</v>
      </c>
      <c r="AH709" t="s">
        <v>1736</v>
      </c>
      <c r="AI709" t="s">
        <v>1742</v>
      </c>
      <c r="AJ709" t="s">
        <v>1743</v>
      </c>
      <c r="AK709" t="s">
        <v>170</v>
      </c>
      <c r="AL709" t="s">
        <v>177</v>
      </c>
      <c r="AO709">
        <v>89</v>
      </c>
      <c r="AP709">
        <v>11</v>
      </c>
      <c r="AS709">
        <v>1050</v>
      </c>
      <c r="AT709">
        <v>1050</v>
      </c>
      <c r="BQ709">
        <v>4</v>
      </c>
      <c r="BR709" t="s">
        <v>521</v>
      </c>
      <c r="BS709" t="s">
        <v>180</v>
      </c>
      <c r="BT709" t="s">
        <v>1738</v>
      </c>
      <c r="BU709" s="1">
        <v>45471</v>
      </c>
      <c r="BV709">
        <v>35445</v>
      </c>
      <c r="BX709" t="s">
        <v>170</v>
      </c>
      <c r="BY709" t="s">
        <v>170</v>
      </c>
      <c r="CB709" t="s">
        <v>170</v>
      </c>
      <c r="CC709" t="s">
        <v>170</v>
      </c>
      <c r="CK709" t="s">
        <v>233</v>
      </c>
      <c r="CM709">
        <v>1</v>
      </c>
      <c r="CN709" t="s">
        <v>234</v>
      </c>
      <c r="CP709">
        <v>850</v>
      </c>
      <c r="CQ709">
        <v>129</v>
      </c>
      <c r="CR709">
        <v>148</v>
      </c>
      <c r="CS709" t="s">
        <v>1739</v>
      </c>
      <c r="CV709" t="s">
        <v>341</v>
      </c>
      <c r="CX709" t="s">
        <v>342</v>
      </c>
      <c r="CY709" t="s">
        <v>170</v>
      </c>
      <c r="DC709" t="s">
        <v>2190</v>
      </c>
      <c r="DD709">
        <v>9</v>
      </c>
      <c r="DE709" t="s">
        <v>404</v>
      </c>
      <c r="DF709" t="s">
        <v>2181</v>
      </c>
      <c r="DG709" t="s">
        <v>2194</v>
      </c>
      <c r="DL709" t="s">
        <v>170</v>
      </c>
      <c r="DM709" t="s">
        <v>169</v>
      </c>
      <c r="DP709" t="s">
        <v>170</v>
      </c>
      <c r="DQ709" t="s">
        <v>187</v>
      </c>
      <c r="EB709">
        <v>9</v>
      </c>
      <c r="EC709">
        <v>10</v>
      </c>
      <c r="EE709" t="s">
        <v>2192</v>
      </c>
      <c r="EF709">
        <v>10</v>
      </c>
      <c r="EU709">
        <v>4250</v>
      </c>
      <c r="EW709">
        <v>0</v>
      </c>
      <c r="EX709">
        <v>0</v>
      </c>
      <c r="EY709">
        <v>0</v>
      </c>
      <c r="FA709">
        <v>13</v>
      </c>
      <c r="FG709">
        <v>270</v>
      </c>
      <c r="FH709">
        <v>262</v>
      </c>
      <c r="FI709">
        <v>266</v>
      </c>
    </row>
    <row r="710" spans="1:165" x14ac:dyDescent="0.35">
      <c r="A710" s="25"/>
      <c r="B710" s="25"/>
      <c r="C710" s="25"/>
      <c r="D710" s="25"/>
      <c r="E710" s="25"/>
      <c r="F710" s="25" t="str">
        <f>_xlfn.CONCAT($A711," ",$B711," ",$D711)</f>
        <v>2025 Porsche Taycan Turbo S 21in Aero-Design wheel (285/35)</v>
      </c>
      <c r="G710" s="25"/>
      <c r="H710" s="25"/>
      <c r="I710" s="25"/>
      <c r="J710" s="25"/>
      <c r="K710" s="25"/>
      <c r="L710" s="25"/>
      <c r="M710" s="25"/>
      <c r="N710" s="25"/>
      <c r="O710" s="25"/>
      <c r="P710" s="25"/>
      <c r="Q710" s="25"/>
      <c r="R710" s="25"/>
      <c r="S710" s="25"/>
      <c r="T710" s="25"/>
      <c r="U710" s="25"/>
      <c r="V710" s="25"/>
      <c r="W710" s="25"/>
      <c r="X710" s="25"/>
      <c r="Y710" s="25"/>
      <c r="Z710" s="25"/>
      <c r="AA710" s="25"/>
      <c r="AB710" s="25"/>
      <c r="AC710" s="25"/>
      <c r="AD710" s="25" t="str">
        <f>_xlfn.CONCAT($A711," ",$B711," ",$D711)</f>
        <v>2025 Porsche Taycan Turbo S 21in Aero-Design wheel (285/35)</v>
      </c>
      <c r="AE710" s="25"/>
      <c r="AF710" s="25"/>
      <c r="AG710" s="25"/>
      <c r="AH710" s="25"/>
      <c r="AI710" s="25"/>
      <c r="AJ710" s="25"/>
      <c r="AK710" s="25"/>
      <c r="AL710" s="25"/>
      <c r="AM710" s="25"/>
      <c r="AN710" s="25"/>
      <c r="AO710" s="25"/>
      <c r="AP710" s="25"/>
      <c r="AQ710" s="25"/>
      <c r="AR710" s="25"/>
      <c r="AS710" s="25"/>
      <c r="AT710" s="25"/>
      <c r="AU710" s="25"/>
      <c r="AV710" s="25"/>
      <c r="AW710" s="25"/>
      <c r="AX710" s="25" t="str">
        <f>_xlfn.CONCAT($A711," ",$B711," ",$D711)</f>
        <v>2025 Porsche Taycan Turbo S 21in Aero-Design wheel (285/35)</v>
      </c>
      <c r="AY710" s="25"/>
      <c r="AZ710" s="25"/>
      <c r="BA710" s="25"/>
      <c r="BB710" s="25"/>
      <c r="BC710" s="25"/>
      <c r="BD710" s="25"/>
      <c r="BE710" s="25"/>
      <c r="BF710" s="25"/>
      <c r="BG710" s="25"/>
      <c r="BH710" s="25"/>
      <c r="BI710" s="25"/>
      <c r="BJ710" s="25"/>
      <c r="BK710" s="25"/>
      <c r="BL710" s="25"/>
      <c r="BM710" s="25"/>
      <c r="BN710" s="25"/>
      <c r="BO710" s="25"/>
      <c r="BP710" s="25"/>
      <c r="BQ710" s="25"/>
      <c r="BR710" s="25" t="str">
        <f>_xlfn.CONCAT($A711," ",$B711," ",$D711)</f>
        <v>2025 Porsche Taycan Turbo S 21in Aero-Design wheel (285/35)</v>
      </c>
      <c r="BS710" s="25"/>
      <c r="BT710" s="25"/>
      <c r="BU710" s="25"/>
      <c r="BV710" s="25"/>
      <c r="BX710" s="25"/>
      <c r="BY710" s="25"/>
      <c r="BZ710" s="25"/>
      <c r="CA710" s="25"/>
      <c r="CB710" s="25"/>
      <c r="CC710" s="25"/>
      <c r="CD710" s="25"/>
      <c r="CE710" s="25"/>
      <c r="CF710" s="25"/>
      <c r="CG710" s="25"/>
      <c r="CH710" s="25"/>
      <c r="CI710" s="25"/>
      <c r="CJ710" s="25"/>
      <c r="CK710" s="25"/>
      <c r="CL710" s="25"/>
      <c r="CM710" s="25"/>
      <c r="CN710" s="25"/>
      <c r="CO710" s="25"/>
      <c r="CP710" s="25" t="str">
        <f>_xlfn.CONCAT($A711," ",$B711," ",$D711)</f>
        <v>2025 Porsche Taycan Turbo S 21in Aero-Design wheel (285/35)</v>
      </c>
      <c r="CQ710" s="25"/>
      <c r="CR710" s="25"/>
      <c r="CS710" s="25"/>
      <c r="CT710" s="25"/>
      <c r="CU710" s="25"/>
      <c r="CV710" s="25"/>
      <c r="CW710" s="25"/>
      <c r="CX710" s="25"/>
      <c r="CY710" s="25"/>
      <c r="CZ710" s="25"/>
      <c r="DA710" s="25"/>
      <c r="DB710" s="25"/>
      <c r="DC710" s="25"/>
      <c r="DD710" s="25"/>
      <c r="DE710" s="25"/>
      <c r="DF710" s="25"/>
      <c r="DG710" s="25"/>
      <c r="DH710" s="25"/>
      <c r="DI710" s="25" t="str">
        <f>_xlfn.CONCAT($A711," ",$B711," ",$D711)</f>
        <v>2025 Porsche Taycan Turbo S 21in Aero-Design wheel (285/35)</v>
      </c>
      <c r="DJ710" s="25"/>
      <c r="DK710" s="25"/>
      <c r="DL710" s="25"/>
      <c r="DM710" s="25"/>
      <c r="DN710" s="25"/>
      <c r="DO710" s="25"/>
      <c r="DP710" s="25"/>
      <c r="DQ710" s="25"/>
      <c r="DR710" s="25"/>
      <c r="DS710" s="25"/>
      <c r="DT710" s="25"/>
      <c r="DU710" s="25"/>
      <c r="DV710" s="25"/>
      <c r="DW710" s="25"/>
      <c r="DX710" s="25"/>
      <c r="DY710" s="25"/>
      <c r="DZ710" s="25" t="str">
        <f>_xlfn.CONCAT($A711," ",$B711," ",$D711)</f>
        <v>2025 Porsche Taycan Turbo S 21in Aero-Design wheel (285/35)</v>
      </c>
      <c r="EB710" s="25"/>
      <c r="EC710" s="25"/>
      <c r="ED710" s="25"/>
      <c r="EE710" s="25"/>
      <c r="EF710" s="25"/>
      <c r="EG710" s="25"/>
      <c r="EH710" s="25"/>
      <c r="EI710" s="25"/>
      <c r="EJ710" s="25"/>
      <c r="EK710" s="25"/>
      <c r="EL710" s="25"/>
      <c r="EM710" s="25"/>
      <c r="EN710" s="25"/>
      <c r="EO710" s="25"/>
      <c r="EP710" s="25"/>
      <c r="EQ710" s="25"/>
      <c r="ER710" s="25"/>
      <c r="ES710" s="25"/>
      <c r="ET710" s="25"/>
      <c r="EU710" s="25"/>
      <c r="EV710" s="25" t="str">
        <f>_xlfn.CONCAT($A711," ",$B711," ",$D711)</f>
        <v>2025 Porsche Taycan Turbo S 21in Aero-Design wheel (285/35)</v>
      </c>
      <c r="EW710" s="25"/>
      <c r="EX710" s="25"/>
      <c r="EY710" s="25"/>
      <c r="EZ710" s="25"/>
      <c r="FA710" s="25"/>
      <c r="FB710" s="25"/>
      <c r="FC710" s="25"/>
      <c r="FD710" s="25"/>
      <c r="FE710" s="25"/>
      <c r="FF710" s="25"/>
      <c r="FG710" s="25"/>
    </row>
    <row r="711" spans="1:165" x14ac:dyDescent="0.35">
      <c r="A711">
        <v>2025</v>
      </c>
      <c r="B711" t="s">
        <v>299</v>
      </c>
      <c r="C711" t="s">
        <v>299</v>
      </c>
      <c r="D711" t="s">
        <v>2219</v>
      </c>
      <c r="E711" t="s">
        <v>301</v>
      </c>
      <c r="F711">
        <v>751</v>
      </c>
      <c r="G711">
        <v>0</v>
      </c>
      <c r="I711" t="s">
        <v>2128</v>
      </c>
      <c r="J711">
        <v>90</v>
      </c>
      <c r="K711">
        <v>90</v>
      </c>
      <c r="L711">
        <v>90</v>
      </c>
      <c r="M711">
        <v>128.4</v>
      </c>
      <c r="N711">
        <v>128</v>
      </c>
      <c r="O711">
        <v>128.21969999999999</v>
      </c>
      <c r="P711">
        <v>89.88</v>
      </c>
      <c r="Q711">
        <v>89.6</v>
      </c>
      <c r="R711">
        <v>89.753799999999998</v>
      </c>
      <c r="V711" t="s">
        <v>167</v>
      </c>
      <c r="W711" t="s">
        <v>168</v>
      </c>
      <c r="Y711">
        <v>2</v>
      </c>
      <c r="Z711" t="s">
        <v>170</v>
      </c>
      <c r="AA711" t="s">
        <v>170</v>
      </c>
      <c r="AB711" t="s">
        <v>167</v>
      </c>
      <c r="AC711" t="s">
        <v>213</v>
      </c>
      <c r="AF711">
        <v>298</v>
      </c>
      <c r="AG711" t="s">
        <v>1735</v>
      </c>
      <c r="AH711" t="s">
        <v>1736</v>
      </c>
      <c r="AI711" t="s">
        <v>175</v>
      </c>
      <c r="AJ711" t="s">
        <v>176</v>
      </c>
      <c r="AK711" t="s">
        <v>170</v>
      </c>
      <c r="AL711" t="s">
        <v>177</v>
      </c>
      <c r="AO711">
        <v>89</v>
      </c>
      <c r="AP711">
        <v>11</v>
      </c>
      <c r="AS711">
        <v>900</v>
      </c>
      <c r="AT711">
        <v>900</v>
      </c>
      <c r="BQ711">
        <v>4</v>
      </c>
      <c r="BR711" t="s">
        <v>521</v>
      </c>
      <c r="BS711" t="s">
        <v>180</v>
      </c>
      <c r="BT711" t="s">
        <v>1738</v>
      </c>
      <c r="BU711" s="1">
        <v>45471</v>
      </c>
      <c r="BV711">
        <v>35446</v>
      </c>
      <c r="BX711" t="s">
        <v>170</v>
      </c>
      <c r="BY711" t="s">
        <v>170</v>
      </c>
      <c r="CB711" t="s">
        <v>170</v>
      </c>
      <c r="CC711" t="s">
        <v>170</v>
      </c>
      <c r="CK711" t="s">
        <v>233</v>
      </c>
      <c r="CM711">
        <v>1</v>
      </c>
      <c r="CN711" t="s">
        <v>234</v>
      </c>
      <c r="CP711">
        <v>850</v>
      </c>
      <c r="CQ711">
        <v>129</v>
      </c>
      <c r="CR711">
        <v>148</v>
      </c>
      <c r="CS711" t="s">
        <v>1739</v>
      </c>
      <c r="CV711" t="s">
        <v>341</v>
      </c>
      <c r="CX711" t="s">
        <v>342</v>
      </c>
      <c r="CY711" t="s">
        <v>170</v>
      </c>
      <c r="DC711" t="s">
        <v>2190</v>
      </c>
      <c r="DD711">
        <v>7</v>
      </c>
      <c r="DE711" t="s">
        <v>404</v>
      </c>
      <c r="DF711" t="s">
        <v>2181</v>
      </c>
      <c r="DG711" t="s">
        <v>2220</v>
      </c>
      <c r="DL711" t="s">
        <v>170</v>
      </c>
      <c r="DM711" t="s">
        <v>169</v>
      </c>
      <c r="DP711" t="s">
        <v>170</v>
      </c>
      <c r="DQ711" t="s">
        <v>187</v>
      </c>
      <c r="EB711">
        <v>9</v>
      </c>
      <c r="EC711">
        <v>10</v>
      </c>
      <c r="EE711" t="s">
        <v>2192</v>
      </c>
      <c r="EF711">
        <v>10</v>
      </c>
      <c r="EU711">
        <v>5000</v>
      </c>
      <c r="EW711">
        <v>0</v>
      </c>
      <c r="EX711">
        <v>0</v>
      </c>
      <c r="EY711">
        <v>0</v>
      </c>
      <c r="FA711">
        <v>13</v>
      </c>
      <c r="FG711">
        <v>298</v>
      </c>
      <c r="FH711">
        <v>297</v>
      </c>
      <c r="FI711">
        <v>298</v>
      </c>
    </row>
    <row r="712" spans="1:165" x14ac:dyDescent="0.35">
      <c r="A712">
        <v>2025</v>
      </c>
      <c r="B712" t="s">
        <v>299</v>
      </c>
      <c r="C712" t="s">
        <v>299</v>
      </c>
      <c r="D712" t="s">
        <v>2219</v>
      </c>
      <c r="E712" t="s">
        <v>301</v>
      </c>
      <c r="F712">
        <v>751</v>
      </c>
      <c r="G712">
        <v>0</v>
      </c>
      <c r="I712" t="s">
        <v>2128</v>
      </c>
      <c r="J712">
        <v>38</v>
      </c>
      <c r="K712">
        <v>38</v>
      </c>
      <c r="L712">
        <v>38</v>
      </c>
      <c r="M712">
        <v>26.2517</v>
      </c>
      <c r="N712">
        <v>26.3307</v>
      </c>
      <c r="O712">
        <v>26.287299999999998</v>
      </c>
      <c r="P712">
        <v>37.5</v>
      </c>
      <c r="Q712">
        <v>37.617199999999997</v>
      </c>
      <c r="R712">
        <v>37.552700000000002</v>
      </c>
      <c r="V712" t="s">
        <v>167</v>
      </c>
      <c r="W712" t="s">
        <v>168</v>
      </c>
      <c r="Y712">
        <v>2</v>
      </c>
      <c r="Z712" t="s">
        <v>170</v>
      </c>
      <c r="AA712" t="s">
        <v>170</v>
      </c>
      <c r="AB712" t="s">
        <v>167</v>
      </c>
      <c r="AC712" t="s">
        <v>213</v>
      </c>
      <c r="AF712">
        <v>298</v>
      </c>
      <c r="AG712" t="s">
        <v>1735</v>
      </c>
      <c r="AH712" t="s">
        <v>1736</v>
      </c>
      <c r="AI712" t="s">
        <v>1742</v>
      </c>
      <c r="AJ712" t="s">
        <v>1743</v>
      </c>
      <c r="AK712" t="s">
        <v>170</v>
      </c>
      <c r="AL712" t="s">
        <v>177</v>
      </c>
      <c r="AO712">
        <v>89</v>
      </c>
      <c r="AP712">
        <v>11</v>
      </c>
      <c r="AS712">
        <v>900</v>
      </c>
      <c r="AT712">
        <v>900</v>
      </c>
      <c r="BQ712">
        <v>4</v>
      </c>
      <c r="BR712" t="s">
        <v>521</v>
      </c>
      <c r="BS712" t="s">
        <v>180</v>
      </c>
      <c r="BT712" t="s">
        <v>1738</v>
      </c>
      <c r="BU712" s="1">
        <v>45471</v>
      </c>
      <c r="BV712">
        <v>35446</v>
      </c>
      <c r="BX712" t="s">
        <v>170</v>
      </c>
      <c r="BY712" t="s">
        <v>170</v>
      </c>
      <c r="CB712" t="s">
        <v>170</v>
      </c>
      <c r="CC712" t="s">
        <v>170</v>
      </c>
      <c r="CK712" t="s">
        <v>233</v>
      </c>
      <c r="CM712">
        <v>1</v>
      </c>
      <c r="CN712" t="s">
        <v>234</v>
      </c>
      <c r="CP712">
        <v>850</v>
      </c>
      <c r="CQ712">
        <v>129</v>
      </c>
      <c r="CR712">
        <v>148</v>
      </c>
      <c r="CS712" t="s">
        <v>1739</v>
      </c>
      <c r="CV712" t="s">
        <v>341</v>
      </c>
      <c r="CX712" t="s">
        <v>342</v>
      </c>
      <c r="CY712" t="s">
        <v>170</v>
      </c>
      <c r="DC712" t="s">
        <v>2190</v>
      </c>
      <c r="DD712">
        <v>7</v>
      </c>
      <c r="DE712" t="s">
        <v>404</v>
      </c>
      <c r="DF712" t="s">
        <v>2181</v>
      </c>
      <c r="DG712" t="s">
        <v>2220</v>
      </c>
      <c r="DL712" t="s">
        <v>170</v>
      </c>
      <c r="DM712" t="s">
        <v>169</v>
      </c>
      <c r="DP712" t="s">
        <v>170</v>
      </c>
      <c r="DQ712" t="s">
        <v>187</v>
      </c>
      <c r="EB712">
        <v>9</v>
      </c>
      <c r="EC712">
        <v>10</v>
      </c>
      <c r="EE712" t="s">
        <v>2192</v>
      </c>
      <c r="EF712">
        <v>10</v>
      </c>
      <c r="EU712">
        <v>5000</v>
      </c>
      <c r="EW712">
        <v>0</v>
      </c>
      <c r="EX712">
        <v>0</v>
      </c>
      <c r="EY712">
        <v>0</v>
      </c>
      <c r="FA712">
        <v>13</v>
      </c>
      <c r="FG712">
        <v>298</v>
      </c>
      <c r="FH712">
        <v>297</v>
      </c>
      <c r="FI712">
        <v>298</v>
      </c>
    </row>
    <row r="713" spans="1:165" x14ac:dyDescent="0.35">
      <c r="A713" s="25"/>
      <c r="B713" s="25"/>
      <c r="C713" s="25"/>
      <c r="D713" s="25"/>
      <c r="E713" s="25"/>
      <c r="F713" s="25" t="str">
        <f>_xlfn.CONCAT($A714," ",$B714," ",$D714)</f>
        <v>2025 Porsche Taycan Turbo S Cross Turismo</v>
      </c>
      <c r="G713" s="25"/>
      <c r="H713" s="25"/>
      <c r="I713" s="25"/>
      <c r="J713" s="25"/>
      <c r="K713" s="25"/>
      <c r="L713" s="25"/>
      <c r="M713" s="25"/>
      <c r="N713" s="25"/>
      <c r="O713" s="25"/>
      <c r="P713" s="25"/>
      <c r="Q713" s="25"/>
      <c r="R713" s="25"/>
      <c r="S713" s="25"/>
      <c r="T713" s="25"/>
      <c r="U713" s="25"/>
      <c r="V713" s="25"/>
      <c r="W713" s="25"/>
      <c r="X713" s="25"/>
      <c r="Y713" s="25"/>
      <c r="Z713" s="25"/>
      <c r="AA713" s="25"/>
      <c r="AB713" s="25"/>
      <c r="AC713" s="25"/>
      <c r="AD713" s="25" t="str">
        <f>_xlfn.CONCAT($A714," ",$B714," ",$D714)</f>
        <v>2025 Porsche Taycan Turbo S Cross Turismo</v>
      </c>
      <c r="AE713" s="25"/>
      <c r="AF713" s="25"/>
      <c r="AG713" s="25"/>
      <c r="AH713" s="25"/>
      <c r="AI713" s="25"/>
      <c r="AJ713" s="25"/>
      <c r="AK713" s="25"/>
      <c r="AL713" s="25"/>
      <c r="AM713" s="25"/>
      <c r="AN713" s="25"/>
      <c r="AO713" s="25"/>
      <c r="AP713" s="25"/>
      <c r="AQ713" s="25"/>
      <c r="AR713" s="25"/>
      <c r="AS713" s="25"/>
      <c r="AT713" s="25"/>
      <c r="AU713" s="25"/>
      <c r="AV713" s="25"/>
      <c r="AW713" s="25"/>
      <c r="AX713" s="25" t="str">
        <f>_xlfn.CONCAT($A714," ",$B714," ",$D714)</f>
        <v>2025 Porsche Taycan Turbo S Cross Turismo</v>
      </c>
      <c r="AY713" s="25"/>
      <c r="AZ713" s="25"/>
      <c r="BA713" s="25"/>
      <c r="BB713" s="25"/>
      <c r="BC713" s="25"/>
      <c r="BD713" s="25"/>
      <c r="BE713" s="25"/>
      <c r="BF713" s="25"/>
      <c r="BG713" s="25"/>
      <c r="BH713" s="25"/>
      <c r="BI713" s="25"/>
      <c r="BJ713" s="25"/>
      <c r="BK713" s="25"/>
      <c r="BL713" s="25"/>
      <c r="BM713" s="25"/>
      <c r="BN713" s="25"/>
      <c r="BO713" s="25"/>
      <c r="BP713" s="25"/>
      <c r="BQ713" s="25"/>
      <c r="BR713" s="25" t="str">
        <f>_xlfn.CONCAT($A714," ",$B714," ",$D714)</f>
        <v>2025 Porsche Taycan Turbo S Cross Turismo</v>
      </c>
      <c r="BS713" s="25"/>
      <c r="BT713" s="25"/>
      <c r="BU713" s="25"/>
      <c r="BV713" s="25"/>
      <c r="BX713" s="25"/>
      <c r="BY713" s="25"/>
      <c r="BZ713" s="25"/>
      <c r="CA713" s="25"/>
      <c r="CB713" s="25"/>
      <c r="CC713" s="25"/>
      <c r="CD713" s="25"/>
      <c r="CE713" s="25"/>
      <c r="CF713" s="25"/>
      <c r="CG713" s="25"/>
      <c r="CH713" s="25"/>
      <c r="CI713" s="25"/>
      <c r="CJ713" s="25"/>
      <c r="CK713" s="25"/>
      <c r="CL713" s="25"/>
      <c r="CM713" s="25"/>
      <c r="CN713" s="25"/>
      <c r="CO713" s="25"/>
      <c r="CP713" s="25" t="str">
        <f>_xlfn.CONCAT($A714," ",$B714," ",$D714)</f>
        <v>2025 Porsche Taycan Turbo S Cross Turismo</v>
      </c>
      <c r="CQ713" s="25"/>
      <c r="CR713" s="25"/>
      <c r="CS713" s="25"/>
      <c r="CT713" s="25"/>
      <c r="CU713" s="25"/>
      <c r="CV713" s="25"/>
      <c r="CW713" s="25"/>
      <c r="CX713" s="25"/>
      <c r="CY713" s="25"/>
      <c r="CZ713" s="25"/>
      <c r="DA713" s="25"/>
      <c r="DB713" s="25"/>
      <c r="DC713" s="25"/>
      <c r="DD713" s="25"/>
      <c r="DE713" s="25"/>
      <c r="DF713" s="25"/>
      <c r="DG713" s="25"/>
      <c r="DH713" s="25"/>
      <c r="DI713" s="25" t="str">
        <f>_xlfn.CONCAT($A714," ",$B714," ",$D714)</f>
        <v>2025 Porsche Taycan Turbo S Cross Turismo</v>
      </c>
      <c r="DJ713" s="25"/>
      <c r="DK713" s="25"/>
      <c r="DL713" s="25"/>
      <c r="DM713" s="25"/>
      <c r="DN713" s="25"/>
      <c r="DO713" s="25"/>
      <c r="DP713" s="25"/>
      <c r="DQ713" s="25"/>
      <c r="DR713" s="25"/>
      <c r="DS713" s="25"/>
      <c r="DT713" s="25"/>
      <c r="DU713" s="25"/>
      <c r="DV713" s="25"/>
      <c r="DW713" s="25"/>
      <c r="DX713" s="25"/>
      <c r="DY713" s="25"/>
      <c r="DZ713" s="25" t="str">
        <f>_xlfn.CONCAT($A714," ",$B714," ",$D714)</f>
        <v>2025 Porsche Taycan Turbo S Cross Turismo</v>
      </c>
      <c r="EB713" s="25"/>
      <c r="EC713" s="25"/>
      <c r="ED713" s="25"/>
      <c r="EE713" s="25"/>
      <c r="EF713" s="25"/>
      <c r="EG713" s="25"/>
      <c r="EH713" s="25"/>
      <c r="EI713" s="25"/>
      <c r="EJ713" s="25"/>
      <c r="EK713" s="25"/>
      <c r="EL713" s="25"/>
      <c r="EM713" s="25"/>
      <c r="EN713" s="25"/>
      <c r="EO713" s="25"/>
      <c r="EP713" s="25"/>
      <c r="EQ713" s="25"/>
      <c r="ER713" s="25"/>
      <c r="ES713" s="25"/>
      <c r="ET713" s="25"/>
      <c r="EU713" s="25"/>
      <c r="EV713" s="25" t="str">
        <f>_xlfn.CONCAT($A714," ",$B714," ",$D714)</f>
        <v>2025 Porsche Taycan Turbo S Cross Turismo</v>
      </c>
      <c r="EW713" s="25"/>
      <c r="EX713" s="25"/>
      <c r="EY713" s="25"/>
      <c r="EZ713" s="25"/>
      <c r="FA713" s="25"/>
      <c r="FB713" s="25"/>
      <c r="FC713" s="25"/>
      <c r="FD713" s="25"/>
      <c r="FE713" s="25"/>
      <c r="FF713" s="25"/>
      <c r="FG713" s="25"/>
    </row>
    <row r="714" spans="1:165" x14ac:dyDescent="0.35">
      <c r="A714">
        <v>2025</v>
      </c>
      <c r="B714" t="s">
        <v>299</v>
      </c>
      <c r="C714" t="s">
        <v>299</v>
      </c>
      <c r="D714" t="s">
        <v>2221</v>
      </c>
      <c r="E714" t="s">
        <v>301</v>
      </c>
      <c r="F714">
        <v>755</v>
      </c>
      <c r="G714">
        <v>0</v>
      </c>
      <c r="I714" t="s">
        <v>2128</v>
      </c>
      <c r="J714">
        <v>79</v>
      </c>
      <c r="K714">
        <v>75</v>
      </c>
      <c r="L714">
        <v>77</v>
      </c>
      <c r="M714">
        <v>112.8</v>
      </c>
      <c r="N714">
        <v>107.6</v>
      </c>
      <c r="O714">
        <v>110.3991</v>
      </c>
      <c r="P714">
        <v>78.959999999999994</v>
      </c>
      <c r="Q714">
        <v>75.319999999999993</v>
      </c>
      <c r="R714">
        <v>77.279399999999995</v>
      </c>
      <c r="V714" t="s">
        <v>167</v>
      </c>
      <c r="W714" t="s">
        <v>168</v>
      </c>
      <c r="Y714">
        <v>2</v>
      </c>
      <c r="Z714" t="s">
        <v>170</v>
      </c>
      <c r="AA714" t="s">
        <v>170</v>
      </c>
      <c r="AB714" t="s">
        <v>167</v>
      </c>
      <c r="AC714" t="s">
        <v>213</v>
      </c>
      <c r="AF714">
        <v>261</v>
      </c>
      <c r="AG714" t="s">
        <v>1735</v>
      </c>
      <c r="AH714" t="s">
        <v>1736</v>
      </c>
      <c r="AI714" t="s">
        <v>175</v>
      </c>
      <c r="AJ714" t="s">
        <v>176</v>
      </c>
      <c r="AK714" t="s">
        <v>170</v>
      </c>
      <c r="AL714" t="s">
        <v>177</v>
      </c>
      <c r="AQ714">
        <v>93</v>
      </c>
      <c r="AR714">
        <v>24</v>
      </c>
      <c r="AS714">
        <v>1050</v>
      </c>
      <c r="AT714">
        <v>1050</v>
      </c>
      <c r="BQ714">
        <v>5</v>
      </c>
      <c r="BR714" t="s">
        <v>672</v>
      </c>
      <c r="BS714" t="s">
        <v>180</v>
      </c>
      <c r="BT714" t="s">
        <v>1738</v>
      </c>
      <c r="BU714" s="1">
        <v>45471</v>
      </c>
      <c r="BV714">
        <v>35443</v>
      </c>
      <c r="BX714" t="s">
        <v>170</v>
      </c>
      <c r="BY714" t="s">
        <v>170</v>
      </c>
      <c r="CB714" t="s">
        <v>170</v>
      </c>
      <c r="CC714" t="s">
        <v>170</v>
      </c>
      <c r="CK714" t="s">
        <v>233</v>
      </c>
      <c r="CM714">
        <v>1</v>
      </c>
      <c r="CN714" t="s">
        <v>234</v>
      </c>
      <c r="CP714">
        <v>850</v>
      </c>
      <c r="CQ714">
        <v>129</v>
      </c>
      <c r="CR714">
        <v>148</v>
      </c>
      <c r="CS714" t="s">
        <v>1739</v>
      </c>
      <c r="CV714" t="s">
        <v>341</v>
      </c>
      <c r="CX714" t="s">
        <v>342</v>
      </c>
      <c r="CY714" t="s">
        <v>170</v>
      </c>
      <c r="DC714" t="s">
        <v>2190</v>
      </c>
      <c r="DD714">
        <v>7</v>
      </c>
      <c r="DE714" t="s">
        <v>404</v>
      </c>
      <c r="DF714" t="s">
        <v>2181</v>
      </c>
      <c r="DG714" t="s">
        <v>2216</v>
      </c>
      <c r="DL714" t="s">
        <v>170</v>
      </c>
      <c r="DM714" t="s">
        <v>169</v>
      </c>
      <c r="DP714" t="s">
        <v>170</v>
      </c>
      <c r="DQ714" t="s">
        <v>187</v>
      </c>
      <c r="EB714">
        <v>9</v>
      </c>
      <c r="EC714">
        <v>10</v>
      </c>
      <c r="EE714" t="s">
        <v>2192</v>
      </c>
      <c r="EF714">
        <v>10</v>
      </c>
      <c r="EU714">
        <v>4250</v>
      </c>
      <c r="EW714">
        <v>0</v>
      </c>
      <c r="EX714">
        <v>0</v>
      </c>
      <c r="EY714">
        <v>0</v>
      </c>
      <c r="FA714">
        <v>13</v>
      </c>
      <c r="FG714">
        <v>255</v>
      </c>
      <c r="FH714">
        <v>268</v>
      </c>
      <c r="FI714">
        <v>261</v>
      </c>
    </row>
    <row r="715" spans="1:165" x14ac:dyDescent="0.35">
      <c r="A715">
        <v>2025</v>
      </c>
      <c r="B715" t="s">
        <v>299</v>
      </c>
      <c r="C715" t="s">
        <v>299</v>
      </c>
      <c r="D715" t="s">
        <v>2221</v>
      </c>
      <c r="E715" t="s">
        <v>301</v>
      </c>
      <c r="F715">
        <v>755</v>
      </c>
      <c r="G715">
        <v>0</v>
      </c>
      <c r="I715" t="s">
        <v>2128</v>
      </c>
      <c r="J715">
        <v>43</v>
      </c>
      <c r="K715">
        <v>45</v>
      </c>
      <c r="L715">
        <v>44</v>
      </c>
      <c r="M715">
        <v>29.867799999999999</v>
      </c>
      <c r="N715">
        <v>31.321000000000002</v>
      </c>
      <c r="O715">
        <v>30.521799999999999</v>
      </c>
      <c r="P715">
        <v>42.686199999999999</v>
      </c>
      <c r="Q715">
        <v>44.749099999999999</v>
      </c>
      <c r="R715">
        <v>43.6145</v>
      </c>
      <c r="V715" t="s">
        <v>167</v>
      </c>
      <c r="W715" t="s">
        <v>168</v>
      </c>
      <c r="Y715">
        <v>2</v>
      </c>
      <c r="Z715" t="s">
        <v>170</v>
      </c>
      <c r="AA715" t="s">
        <v>170</v>
      </c>
      <c r="AB715" t="s">
        <v>167</v>
      </c>
      <c r="AC715" t="s">
        <v>213</v>
      </c>
      <c r="AF715">
        <v>261</v>
      </c>
      <c r="AG715" t="s">
        <v>1735</v>
      </c>
      <c r="AH715" t="s">
        <v>1736</v>
      </c>
      <c r="AI715" t="s">
        <v>1742</v>
      </c>
      <c r="AJ715" t="s">
        <v>1743</v>
      </c>
      <c r="AK715" t="s">
        <v>170</v>
      </c>
      <c r="AL715" t="s">
        <v>177</v>
      </c>
      <c r="AQ715">
        <v>93</v>
      </c>
      <c r="AR715">
        <v>24</v>
      </c>
      <c r="AS715">
        <v>1050</v>
      </c>
      <c r="AT715">
        <v>1050</v>
      </c>
      <c r="BQ715">
        <v>5</v>
      </c>
      <c r="BR715" t="s">
        <v>672</v>
      </c>
      <c r="BS715" t="s">
        <v>180</v>
      </c>
      <c r="BT715" t="s">
        <v>1738</v>
      </c>
      <c r="BU715" s="1">
        <v>45471</v>
      </c>
      <c r="BV715">
        <v>35443</v>
      </c>
      <c r="BX715" t="s">
        <v>170</v>
      </c>
      <c r="BY715" t="s">
        <v>170</v>
      </c>
      <c r="CB715" t="s">
        <v>170</v>
      </c>
      <c r="CC715" t="s">
        <v>170</v>
      </c>
      <c r="CK715" t="s">
        <v>233</v>
      </c>
      <c r="CM715">
        <v>1</v>
      </c>
      <c r="CN715" t="s">
        <v>234</v>
      </c>
      <c r="CP715">
        <v>850</v>
      </c>
      <c r="CQ715">
        <v>129</v>
      </c>
      <c r="CR715">
        <v>148</v>
      </c>
      <c r="CS715" t="s">
        <v>1739</v>
      </c>
      <c r="CV715" t="s">
        <v>341</v>
      </c>
      <c r="CX715" t="s">
        <v>342</v>
      </c>
      <c r="CY715" t="s">
        <v>170</v>
      </c>
      <c r="DC715" t="s">
        <v>2190</v>
      </c>
      <c r="DD715">
        <v>7</v>
      </c>
      <c r="DE715" t="s">
        <v>404</v>
      </c>
      <c r="DF715" t="s">
        <v>2181</v>
      </c>
      <c r="DG715" t="s">
        <v>2216</v>
      </c>
      <c r="DL715" t="s">
        <v>170</v>
      </c>
      <c r="DM715" t="s">
        <v>169</v>
      </c>
      <c r="DP715" t="s">
        <v>170</v>
      </c>
      <c r="DQ715" t="s">
        <v>187</v>
      </c>
      <c r="EB715">
        <v>9</v>
      </c>
      <c r="EC715">
        <v>10</v>
      </c>
      <c r="EE715" t="s">
        <v>2192</v>
      </c>
      <c r="EF715">
        <v>10</v>
      </c>
      <c r="EU715">
        <v>4250</v>
      </c>
      <c r="EW715">
        <v>0</v>
      </c>
      <c r="EX715">
        <v>0</v>
      </c>
      <c r="EY715">
        <v>0</v>
      </c>
      <c r="FA715">
        <v>13</v>
      </c>
      <c r="FG715">
        <v>268</v>
      </c>
      <c r="FH715">
        <v>315</v>
      </c>
      <c r="FI715">
        <v>261</v>
      </c>
    </row>
    <row r="716" spans="1:165" x14ac:dyDescent="0.35">
      <c r="A716" s="25"/>
      <c r="B716" s="25"/>
      <c r="C716" s="25"/>
      <c r="D716" s="25"/>
      <c r="E716" s="25"/>
      <c r="F716" s="25" t="str">
        <f>_xlfn.CONCAT($A717," ",$B717," ",$D717)</f>
        <v>2025 Porsche Taycan Turbo GT</v>
      </c>
      <c r="G716" s="25"/>
      <c r="H716" s="25"/>
      <c r="I716" s="25"/>
      <c r="J716" s="25"/>
      <c r="K716" s="25"/>
      <c r="L716" s="25"/>
      <c r="M716" s="25"/>
      <c r="N716" s="25"/>
      <c r="O716" s="25"/>
      <c r="P716" s="25"/>
      <c r="Q716" s="25"/>
      <c r="R716" s="25"/>
      <c r="S716" s="25"/>
      <c r="T716" s="25"/>
      <c r="U716" s="25"/>
      <c r="V716" s="25"/>
      <c r="W716" s="25"/>
      <c r="X716" s="25"/>
      <c r="Y716" s="25"/>
      <c r="Z716" s="25"/>
      <c r="AA716" s="25"/>
      <c r="AB716" s="25"/>
      <c r="AC716" s="25"/>
      <c r="AD716" s="25" t="str">
        <f>_xlfn.CONCAT($A717," ",$B717," ",$D717)</f>
        <v>2025 Porsche Taycan Turbo GT</v>
      </c>
      <c r="AE716" s="25"/>
      <c r="AF716" s="25"/>
      <c r="AG716" s="25"/>
      <c r="AH716" s="25"/>
      <c r="AI716" s="25"/>
      <c r="AJ716" s="25"/>
      <c r="AK716" s="25"/>
      <c r="AL716" s="25"/>
      <c r="AM716" s="25"/>
      <c r="AN716" s="25"/>
      <c r="AO716" s="25"/>
      <c r="AP716" s="25"/>
      <c r="AQ716" s="25"/>
      <c r="AR716" s="25"/>
      <c r="AS716" s="25"/>
      <c r="AT716" s="25"/>
      <c r="AU716" s="25"/>
      <c r="AV716" s="25"/>
      <c r="AW716" s="25"/>
      <c r="AX716" s="25" t="str">
        <f>_xlfn.CONCAT($A717," ",$B717," ",$D717)</f>
        <v>2025 Porsche Taycan Turbo GT</v>
      </c>
      <c r="AY716" s="25"/>
      <c r="AZ716" s="25"/>
      <c r="BA716" s="25"/>
      <c r="BB716" s="25"/>
      <c r="BC716" s="25"/>
      <c r="BD716" s="25"/>
      <c r="BE716" s="25"/>
      <c r="BF716" s="25"/>
      <c r="BG716" s="25"/>
      <c r="BH716" s="25"/>
      <c r="BI716" s="25"/>
      <c r="BJ716" s="25"/>
      <c r="BK716" s="25"/>
      <c r="BL716" s="25"/>
      <c r="BM716" s="25"/>
      <c r="BN716" s="25"/>
      <c r="BO716" s="25"/>
      <c r="BP716" s="25"/>
      <c r="BQ716" s="25"/>
      <c r="BR716" s="25" t="str">
        <f>_xlfn.CONCAT($A717," ",$B717," ",$D717)</f>
        <v>2025 Porsche Taycan Turbo GT</v>
      </c>
      <c r="BS716" s="25"/>
      <c r="BT716" s="25"/>
      <c r="BU716" s="25"/>
      <c r="BV716" s="25"/>
      <c r="BX716" s="25"/>
      <c r="BY716" s="25"/>
      <c r="BZ716" s="25"/>
      <c r="CA716" s="25"/>
      <c r="CB716" s="25"/>
      <c r="CC716" s="25"/>
      <c r="CD716" s="25"/>
      <c r="CE716" s="25"/>
      <c r="CF716" s="25"/>
      <c r="CG716" s="25"/>
      <c r="CH716" s="25"/>
      <c r="CI716" s="25"/>
      <c r="CJ716" s="25"/>
      <c r="CK716" s="25"/>
      <c r="CL716" s="25"/>
      <c r="CM716" s="25"/>
      <c r="CN716" s="25"/>
      <c r="CO716" s="25"/>
      <c r="CP716" s="25" t="str">
        <f>_xlfn.CONCAT($A717," ",$B717," ",$D717)</f>
        <v>2025 Porsche Taycan Turbo GT</v>
      </c>
      <c r="CQ716" s="25"/>
      <c r="CR716" s="25"/>
      <c r="CS716" s="25"/>
      <c r="CT716" s="25"/>
      <c r="CU716" s="25"/>
      <c r="CV716" s="25"/>
      <c r="CW716" s="25"/>
      <c r="CX716" s="25"/>
      <c r="CY716" s="25"/>
      <c r="CZ716" s="25"/>
      <c r="DA716" s="25"/>
      <c r="DB716" s="25"/>
      <c r="DC716" s="25"/>
      <c r="DD716" s="25"/>
      <c r="DE716" s="25"/>
      <c r="DF716" s="25"/>
      <c r="DG716" s="25"/>
      <c r="DH716" s="25"/>
      <c r="DI716" s="25" t="str">
        <f>_xlfn.CONCAT($A717," ",$B717," ",$D717)</f>
        <v>2025 Porsche Taycan Turbo GT</v>
      </c>
      <c r="DJ716" s="25"/>
      <c r="DK716" s="25"/>
      <c r="DL716" s="25"/>
      <c r="DM716" s="25"/>
      <c r="DN716" s="25"/>
      <c r="DO716" s="25"/>
      <c r="DP716" s="25"/>
      <c r="DQ716" s="25"/>
      <c r="DR716" s="25"/>
      <c r="DS716" s="25"/>
      <c r="DT716" s="25"/>
      <c r="DU716" s="25"/>
      <c r="DV716" s="25"/>
      <c r="DW716" s="25"/>
      <c r="DX716" s="25"/>
      <c r="DY716" s="25"/>
      <c r="DZ716" s="25" t="str">
        <f>_xlfn.CONCAT($A717," ",$B717," ",$D717)</f>
        <v>2025 Porsche Taycan Turbo GT</v>
      </c>
      <c r="EB716" s="25"/>
      <c r="EC716" s="25"/>
      <c r="ED716" s="25"/>
      <c r="EE716" s="25"/>
      <c r="EF716" s="25"/>
      <c r="EG716" s="25"/>
      <c r="EH716" s="25"/>
      <c r="EI716" s="25"/>
      <c r="EJ716" s="25"/>
      <c r="EK716" s="25"/>
      <c r="EL716" s="25"/>
      <c r="EM716" s="25"/>
      <c r="EN716" s="25"/>
      <c r="EO716" s="25"/>
      <c r="EP716" s="25"/>
      <c r="EQ716" s="25"/>
      <c r="ER716" s="25"/>
      <c r="ES716" s="25"/>
      <c r="ET716" s="25"/>
      <c r="EU716" s="25"/>
      <c r="EV716" s="25" t="str">
        <f>_xlfn.CONCAT($A717," ",$B717," ",$D717)</f>
        <v>2025 Porsche Taycan Turbo GT</v>
      </c>
      <c r="EW716" s="25"/>
      <c r="EX716" s="25"/>
      <c r="EY716" s="25"/>
      <c r="EZ716" s="25"/>
      <c r="FA716" s="25"/>
      <c r="FB716" s="25"/>
      <c r="FC716" s="25"/>
      <c r="FD716" s="25"/>
      <c r="FE716" s="25"/>
      <c r="FF716" s="25"/>
      <c r="FG716" s="25"/>
    </row>
    <row r="717" spans="1:165" x14ac:dyDescent="0.35">
      <c r="A717">
        <v>2025</v>
      </c>
      <c r="B717" t="s">
        <v>299</v>
      </c>
      <c r="C717" t="s">
        <v>299</v>
      </c>
      <c r="D717" t="s">
        <v>2215</v>
      </c>
      <c r="E717" t="s">
        <v>301</v>
      </c>
      <c r="F717">
        <v>756</v>
      </c>
      <c r="G717">
        <v>0</v>
      </c>
      <c r="I717" t="s">
        <v>2128</v>
      </c>
      <c r="J717">
        <v>86</v>
      </c>
      <c r="K717">
        <v>78</v>
      </c>
      <c r="L717">
        <v>82</v>
      </c>
      <c r="M717">
        <v>123.2</v>
      </c>
      <c r="N717">
        <v>111.8</v>
      </c>
      <c r="O717">
        <v>117.7949</v>
      </c>
      <c r="P717">
        <v>86.24</v>
      </c>
      <c r="Q717">
        <v>78.260000000000005</v>
      </c>
      <c r="R717">
        <v>82.456400000000002</v>
      </c>
      <c r="V717" t="s">
        <v>167</v>
      </c>
      <c r="W717" t="s">
        <v>168</v>
      </c>
      <c r="Y717">
        <v>2</v>
      </c>
      <c r="Z717" t="s">
        <v>170</v>
      </c>
      <c r="AA717" t="s">
        <v>170</v>
      </c>
      <c r="AB717" t="s">
        <v>167</v>
      </c>
      <c r="AC717" t="s">
        <v>213</v>
      </c>
      <c r="AF717">
        <v>276</v>
      </c>
      <c r="AG717" t="s">
        <v>1735</v>
      </c>
      <c r="AH717" t="s">
        <v>1736</v>
      </c>
      <c r="AI717" t="s">
        <v>175</v>
      </c>
      <c r="AJ717" t="s">
        <v>176</v>
      </c>
      <c r="AK717" t="s">
        <v>170</v>
      </c>
      <c r="AL717" t="s">
        <v>177</v>
      </c>
      <c r="AO717">
        <v>89</v>
      </c>
      <c r="AP717">
        <v>11</v>
      </c>
      <c r="AS717">
        <v>1000</v>
      </c>
      <c r="AT717">
        <v>1000</v>
      </c>
      <c r="BQ717">
        <v>4</v>
      </c>
      <c r="BR717" t="s">
        <v>521</v>
      </c>
      <c r="BS717" t="s">
        <v>180</v>
      </c>
      <c r="BT717" t="s">
        <v>1738</v>
      </c>
      <c r="BU717" s="1">
        <v>45471</v>
      </c>
      <c r="BV717">
        <v>35441</v>
      </c>
      <c r="BX717" t="s">
        <v>170</v>
      </c>
      <c r="BY717" t="s">
        <v>170</v>
      </c>
      <c r="CB717" t="s">
        <v>170</v>
      </c>
      <c r="CC717" t="s">
        <v>170</v>
      </c>
      <c r="CK717" t="s">
        <v>233</v>
      </c>
      <c r="CM717">
        <v>1</v>
      </c>
      <c r="CN717" t="s">
        <v>234</v>
      </c>
      <c r="CP717">
        <v>850</v>
      </c>
      <c r="CQ717">
        <v>129</v>
      </c>
      <c r="CR717">
        <v>148</v>
      </c>
      <c r="CS717" t="s">
        <v>1739</v>
      </c>
      <c r="CV717" t="s">
        <v>341</v>
      </c>
      <c r="CX717" t="s">
        <v>342</v>
      </c>
      <c r="CY717" t="s">
        <v>170</v>
      </c>
      <c r="DC717" t="s">
        <v>2190</v>
      </c>
      <c r="DD717">
        <v>7</v>
      </c>
      <c r="DE717" t="s">
        <v>404</v>
      </c>
      <c r="DF717" t="s">
        <v>2181</v>
      </c>
      <c r="DG717" t="s">
        <v>2216</v>
      </c>
      <c r="DL717" t="s">
        <v>170</v>
      </c>
      <c r="DM717" t="s">
        <v>169</v>
      </c>
      <c r="DP717" t="s">
        <v>170</v>
      </c>
      <c r="DQ717" t="s">
        <v>187</v>
      </c>
      <c r="EB717">
        <v>9</v>
      </c>
      <c r="EC717">
        <v>10</v>
      </c>
      <c r="EE717" t="s">
        <v>2192</v>
      </c>
      <c r="EF717">
        <v>10</v>
      </c>
      <c r="EU717">
        <v>4500</v>
      </c>
      <c r="EW717">
        <v>0</v>
      </c>
      <c r="EX717">
        <v>0</v>
      </c>
      <c r="EY717">
        <v>0</v>
      </c>
      <c r="FA717">
        <v>13</v>
      </c>
      <c r="FG717">
        <v>288</v>
      </c>
      <c r="FH717">
        <v>261</v>
      </c>
      <c r="FI717">
        <v>276</v>
      </c>
    </row>
    <row r="718" spans="1:165" x14ac:dyDescent="0.35">
      <c r="A718">
        <v>2025</v>
      </c>
      <c r="B718" t="s">
        <v>299</v>
      </c>
      <c r="C718" t="s">
        <v>299</v>
      </c>
      <c r="D718" t="s">
        <v>2215</v>
      </c>
      <c r="E718" t="s">
        <v>301</v>
      </c>
      <c r="F718">
        <v>756</v>
      </c>
      <c r="G718">
        <v>0</v>
      </c>
      <c r="I718" t="s">
        <v>2128</v>
      </c>
      <c r="J718">
        <v>39</v>
      </c>
      <c r="K718">
        <v>43</v>
      </c>
      <c r="L718">
        <v>41</v>
      </c>
      <c r="M718">
        <v>27.3581</v>
      </c>
      <c r="N718">
        <v>30.151900000000001</v>
      </c>
      <c r="O718">
        <v>28.615300000000001</v>
      </c>
      <c r="P718">
        <v>39.082799999999999</v>
      </c>
      <c r="Q718">
        <v>43.067999999999998</v>
      </c>
      <c r="R718">
        <v>40.876100000000001</v>
      </c>
      <c r="V718" t="s">
        <v>167</v>
      </c>
      <c r="W718" t="s">
        <v>168</v>
      </c>
      <c r="Y718">
        <v>2</v>
      </c>
      <c r="Z718" t="s">
        <v>170</v>
      </c>
      <c r="AA718" t="s">
        <v>170</v>
      </c>
      <c r="AB718" t="s">
        <v>167</v>
      </c>
      <c r="AC718" t="s">
        <v>213</v>
      </c>
      <c r="AF718">
        <v>276</v>
      </c>
      <c r="AG718" t="s">
        <v>1735</v>
      </c>
      <c r="AH718" t="s">
        <v>1736</v>
      </c>
      <c r="AI718" t="s">
        <v>1742</v>
      </c>
      <c r="AJ718" t="s">
        <v>1743</v>
      </c>
      <c r="AK718" t="s">
        <v>170</v>
      </c>
      <c r="AL718" t="s">
        <v>177</v>
      </c>
      <c r="AO718">
        <v>89</v>
      </c>
      <c r="AP718">
        <v>11</v>
      </c>
      <c r="AS718">
        <v>1000</v>
      </c>
      <c r="AT718">
        <v>1000</v>
      </c>
      <c r="BQ718">
        <v>4</v>
      </c>
      <c r="BR718" t="s">
        <v>521</v>
      </c>
      <c r="BS718" t="s">
        <v>180</v>
      </c>
      <c r="BT718" t="s">
        <v>1738</v>
      </c>
      <c r="BU718" s="1">
        <v>45471</v>
      </c>
      <c r="BV718">
        <v>35441</v>
      </c>
      <c r="BX718" t="s">
        <v>170</v>
      </c>
      <c r="BY718" t="s">
        <v>170</v>
      </c>
      <c r="CB718" t="s">
        <v>170</v>
      </c>
      <c r="CC718" t="s">
        <v>170</v>
      </c>
      <c r="CK718" t="s">
        <v>233</v>
      </c>
      <c r="CM718">
        <v>1</v>
      </c>
      <c r="CN718" t="s">
        <v>234</v>
      </c>
      <c r="CP718">
        <v>850</v>
      </c>
      <c r="CQ718">
        <v>129</v>
      </c>
      <c r="CR718">
        <v>148</v>
      </c>
      <c r="CS718" t="s">
        <v>1739</v>
      </c>
      <c r="CV718" t="s">
        <v>341</v>
      </c>
      <c r="CX718" t="s">
        <v>342</v>
      </c>
      <c r="CY718" t="s">
        <v>170</v>
      </c>
      <c r="DC718" t="s">
        <v>2190</v>
      </c>
      <c r="DD718">
        <v>7</v>
      </c>
      <c r="DE718" t="s">
        <v>404</v>
      </c>
      <c r="DF718" t="s">
        <v>2181</v>
      </c>
      <c r="DG718" t="s">
        <v>2216</v>
      </c>
      <c r="DL718" t="s">
        <v>170</v>
      </c>
      <c r="DM718" t="s">
        <v>169</v>
      </c>
      <c r="DP718" t="s">
        <v>170</v>
      </c>
      <c r="DQ718" t="s">
        <v>187</v>
      </c>
      <c r="EB718">
        <v>9</v>
      </c>
      <c r="EC718">
        <v>10</v>
      </c>
      <c r="EE718" t="s">
        <v>2192</v>
      </c>
      <c r="EF718">
        <v>10</v>
      </c>
      <c r="EU718">
        <v>4500</v>
      </c>
      <c r="EW718">
        <v>0</v>
      </c>
      <c r="EX718">
        <v>0</v>
      </c>
      <c r="EY718">
        <v>0</v>
      </c>
      <c r="FA718">
        <v>13</v>
      </c>
      <c r="FG718">
        <v>288</v>
      </c>
      <c r="FH718">
        <v>261</v>
      </c>
      <c r="FI718">
        <v>276</v>
      </c>
    </row>
    <row r="719" spans="1:165" x14ac:dyDescent="0.35">
      <c r="A719" s="25"/>
      <c r="B719" s="25"/>
      <c r="C719" s="25"/>
      <c r="D719" s="25"/>
      <c r="E719" s="25"/>
      <c r="F719" s="25" t="str">
        <f>_xlfn.CONCAT($A720," ",$B720," ",$D720)</f>
        <v>2025 Porsche Taycan Turbo GT with Weissach Package</v>
      </c>
      <c r="G719" s="25"/>
      <c r="H719" s="25"/>
      <c r="I719" s="25"/>
      <c r="J719" s="25"/>
      <c r="K719" s="25"/>
      <c r="L719" s="25"/>
      <c r="M719" s="25"/>
      <c r="N719" s="25"/>
      <c r="O719" s="25"/>
      <c r="P719" s="25"/>
      <c r="Q719" s="25"/>
      <c r="R719" s="25"/>
      <c r="S719" s="25"/>
      <c r="T719" s="25"/>
      <c r="U719" s="25"/>
      <c r="V719" s="25"/>
      <c r="W719" s="25"/>
      <c r="X719" s="25"/>
      <c r="Y719" s="25"/>
      <c r="Z719" s="25"/>
      <c r="AA719" s="25"/>
      <c r="AB719" s="25"/>
      <c r="AC719" s="25"/>
      <c r="AD719" s="25" t="str">
        <f>_xlfn.CONCAT($A720," ",$B720," ",$D720)</f>
        <v>2025 Porsche Taycan Turbo GT with Weissach Package</v>
      </c>
      <c r="AE719" s="25"/>
      <c r="AF719" s="25"/>
      <c r="AG719" s="25"/>
      <c r="AH719" s="25"/>
      <c r="AI719" s="25"/>
      <c r="AJ719" s="25"/>
      <c r="AK719" s="25"/>
      <c r="AL719" s="25"/>
      <c r="AM719" s="25"/>
      <c r="AN719" s="25"/>
      <c r="AO719" s="25"/>
      <c r="AP719" s="25"/>
      <c r="AQ719" s="25"/>
      <c r="AR719" s="25"/>
      <c r="AS719" s="25"/>
      <c r="AT719" s="25"/>
      <c r="AU719" s="25"/>
      <c r="AV719" s="25"/>
      <c r="AW719" s="25"/>
      <c r="AX719" s="25" t="str">
        <f>_xlfn.CONCAT($A720," ",$B720," ",$D720)</f>
        <v>2025 Porsche Taycan Turbo GT with Weissach Package</v>
      </c>
      <c r="AY719" s="25"/>
      <c r="AZ719" s="25"/>
      <c r="BA719" s="25"/>
      <c r="BB719" s="25"/>
      <c r="BC719" s="25"/>
      <c r="BD719" s="25"/>
      <c r="BE719" s="25"/>
      <c r="BF719" s="25"/>
      <c r="BG719" s="25"/>
      <c r="BH719" s="25"/>
      <c r="BI719" s="25"/>
      <c r="BJ719" s="25"/>
      <c r="BK719" s="25"/>
      <c r="BL719" s="25"/>
      <c r="BM719" s="25"/>
      <c r="BN719" s="25"/>
      <c r="BO719" s="25"/>
      <c r="BP719" s="25"/>
      <c r="BQ719" s="25"/>
      <c r="BR719" s="25" t="str">
        <f>_xlfn.CONCAT($A720," ",$B720," ",$D720)</f>
        <v>2025 Porsche Taycan Turbo GT with Weissach Package</v>
      </c>
      <c r="BS719" s="25"/>
      <c r="BT719" s="25"/>
      <c r="BU719" s="25"/>
      <c r="BV719" s="25"/>
      <c r="BX719" s="25"/>
      <c r="BY719" s="25"/>
      <c r="BZ719" s="25"/>
      <c r="CA719" s="25"/>
      <c r="CB719" s="25"/>
      <c r="CC719" s="25"/>
      <c r="CD719" s="25"/>
      <c r="CE719" s="25"/>
      <c r="CF719" s="25"/>
      <c r="CG719" s="25"/>
      <c r="CH719" s="25"/>
      <c r="CI719" s="25"/>
      <c r="CJ719" s="25"/>
      <c r="CK719" s="25"/>
      <c r="CL719" s="25"/>
      <c r="CM719" s="25"/>
      <c r="CN719" s="25"/>
      <c r="CO719" s="25"/>
      <c r="CP719" s="25" t="str">
        <f>_xlfn.CONCAT($A720," ",$B720," ",$D720)</f>
        <v>2025 Porsche Taycan Turbo GT with Weissach Package</v>
      </c>
      <c r="CQ719" s="25"/>
      <c r="CR719" s="25"/>
      <c r="CS719" s="25"/>
      <c r="CT719" s="25"/>
      <c r="CU719" s="25"/>
      <c r="CV719" s="25"/>
      <c r="CW719" s="25"/>
      <c r="CX719" s="25"/>
      <c r="CY719" s="25"/>
      <c r="CZ719" s="25"/>
      <c r="DA719" s="25"/>
      <c r="DB719" s="25"/>
      <c r="DC719" s="25"/>
      <c r="DD719" s="25"/>
      <c r="DE719" s="25"/>
      <c r="DF719" s="25"/>
      <c r="DG719" s="25"/>
      <c r="DH719" s="25"/>
      <c r="DI719" s="25" t="str">
        <f>_xlfn.CONCAT($A720," ",$B720," ",$D720)</f>
        <v>2025 Porsche Taycan Turbo GT with Weissach Package</v>
      </c>
      <c r="DJ719" s="25"/>
      <c r="DK719" s="25"/>
      <c r="DL719" s="25"/>
      <c r="DM719" s="25"/>
      <c r="DN719" s="25"/>
      <c r="DO719" s="25"/>
      <c r="DP719" s="25"/>
      <c r="DQ719" s="25"/>
      <c r="DR719" s="25"/>
      <c r="DS719" s="25"/>
      <c r="DT719" s="25"/>
      <c r="DU719" s="25"/>
      <c r="DV719" s="25"/>
      <c r="DW719" s="25"/>
      <c r="DX719" s="25"/>
      <c r="DY719" s="25"/>
      <c r="DZ719" s="25" t="str">
        <f>_xlfn.CONCAT($A720," ",$B720," ",$D720)</f>
        <v>2025 Porsche Taycan Turbo GT with Weissach Package</v>
      </c>
      <c r="EB719" s="25"/>
      <c r="EC719" s="25"/>
      <c r="ED719" s="25"/>
      <c r="EE719" s="25"/>
      <c r="EF719" s="25"/>
      <c r="EG719" s="25"/>
      <c r="EH719" s="25"/>
      <c r="EI719" s="25"/>
      <c r="EJ719" s="25"/>
      <c r="EK719" s="25"/>
      <c r="EL719" s="25"/>
      <c r="EM719" s="25"/>
      <c r="EN719" s="25"/>
      <c r="EO719" s="25"/>
      <c r="EP719" s="25"/>
      <c r="EQ719" s="25"/>
      <c r="ER719" s="25"/>
      <c r="ES719" s="25"/>
      <c r="ET719" s="25"/>
      <c r="EU719" s="25"/>
      <c r="EV719" s="25" t="str">
        <f>_xlfn.CONCAT($A720," ",$B720," ",$D720)</f>
        <v>2025 Porsche Taycan Turbo GT with Weissach Package</v>
      </c>
      <c r="EW719" s="25"/>
      <c r="EX719" s="25"/>
      <c r="EY719" s="25"/>
      <c r="EZ719" s="25"/>
      <c r="FA719" s="25"/>
      <c r="FB719" s="25"/>
      <c r="FC719" s="25"/>
      <c r="FD719" s="25"/>
      <c r="FE719" s="25"/>
      <c r="FF719" s="25"/>
      <c r="FG719" s="25"/>
    </row>
    <row r="720" spans="1:165" x14ac:dyDescent="0.35">
      <c r="A720">
        <v>2025</v>
      </c>
      <c r="B720" t="s">
        <v>299</v>
      </c>
      <c r="C720" t="s">
        <v>299</v>
      </c>
      <c r="D720" t="s">
        <v>2217</v>
      </c>
      <c r="E720" t="s">
        <v>301</v>
      </c>
      <c r="F720">
        <v>757</v>
      </c>
      <c r="G720">
        <v>0</v>
      </c>
      <c r="I720" t="s">
        <v>2128</v>
      </c>
      <c r="J720">
        <v>85</v>
      </c>
      <c r="K720">
        <v>76</v>
      </c>
      <c r="L720">
        <v>81</v>
      </c>
      <c r="M720">
        <v>121.2</v>
      </c>
      <c r="N720">
        <v>108.9</v>
      </c>
      <c r="O720">
        <v>115.3378</v>
      </c>
      <c r="P720">
        <v>84.84</v>
      </c>
      <c r="Q720">
        <v>76.23</v>
      </c>
      <c r="R720">
        <v>80.736500000000007</v>
      </c>
      <c r="V720" t="s">
        <v>167</v>
      </c>
      <c r="W720" t="s">
        <v>168</v>
      </c>
      <c r="Y720">
        <v>2</v>
      </c>
      <c r="Z720" t="s">
        <v>170</v>
      </c>
      <c r="AA720" t="s">
        <v>170</v>
      </c>
      <c r="AB720" t="s">
        <v>167</v>
      </c>
      <c r="AC720" t="s">
        <v>213</v>
      </c>
      <c r="AF720">
        <v>269</v>
      </c>
      <c r="AG720" t="s">
        <v>1735</v>
      </c>
      <c r="AH720" t="s">
        <v>1736</v>
      </c>
      <c r="AI720" t="s">
        <v>175</v>
      </c>
      <c r="AJ720" t="s">
        <v>176</v>
      </c>
      <c r="AK720" t="s">
        <v>170</v>
      </c>
      <c r="AL720" t="s">
        <v>177</v>
      </c>
      <c r="AO720">
        <v>89</v>
      </c>
      <c r="AP720">
        <v>11</v>
      </c>
      <c r="AS720">
        <v>1000</v>
      </c>
      <c r="AT720">
        <v>1000</v>
      </c>
      <c r="BQ720">
        <v>4</v>
      </c>
      <c r="BR720" t="s">
        <v>521</v>
      </c>
      <c r="BS720" t="s">
        <v>180</v>
      </c>
      <c r="BT720" t="s">
        <v>1738</v>
      </c>
      <c r="BU720" s="1">
        <v>45471</v>
      </c>
      <c r="BV720">
        <v>35442</v>
      </c>
      <c r="BX720" t="s">
        <v>170</v>
      </c>
      <c r="BY720" t="s">
        <v>170</v>
      </c>
      <c r="CB720" t="s">
        <v>170</v>
      </c>
      <c r="CC720" t="s">
        <v>170</v>
      </c>
      <c r="CK720" t="s">
        <v>233</v>
      </c>
      <c r="CM720">
        <v>1</v>
      </c>
      <c r="CN720" t="s">
        <v>234</v>
      </c>
      <c r="CP720">
        <v>850</v>
      </c>
      <c r="CQ720">
        <v>129</v>
      </c>
      <c r="CR720">
        <v>148</v>
      </c>
      <c r="CS720" t="s">
        <v>1739</v>
      </c>
      <c r="CV720" t="s">
        <v>341</v>
      </c>
      <c r="CX720" t="s">
        <v>342</v>
      </c>
      <c r="CY720" t="s">
        <v>170</v>
      </c>
      <c r="DC720" t="s">
        <v>2190</v>
      </c>
      <c r="DD720">
        <v>7</v>
      </c>
      <c r="DE720" t="s">
        <v>404</v>
      </c>
      <c r="DF720" t="s">
        <v>2181</v>
      </c>
      <c r="DG720" t="s">
        <v>2211</v>
      </c>
      <c r="DL720" t="s">
        <v>170</v>
      </c>
      <c r="DM720" t="s">
        <v>169</v>
      </c>
      <c r="DP720" t="s">
        <v>170</v>
      </c>
      <c r="DQ720" t="s">
        <v>187</v>
      </c>
      <c r="EB720">
        <v>9</v>
      </c>
      <c r="EC720">
        <v>10</v>
      </c>
      <c r="EE720" t="s">
        <v>2192</v>
      </c>
      <c r="EF720">
        <v>10</v>
      </c>
      <c r="EU720">
        <v>4500</v>
      </c>
      <c r="EW720">
        <v>0</v>
      </c>
      <c r="EX720">
        <v>0</v>
      </c>
      <c r="EY720">
        <v>0</v>
      </c>
      <c r="FA720">
        <v>13</v>
      </c>
      <c r="FG720">
        <v>282</v>
      </c>
      <c r="FH720">
        <v>253</v>
      </c>
      <c r="FI720">
        <v>269</v>
      </c>
    </row>
    <row r="721" spans="1:165" x14ac:dyDescent="0.35">
      <c r="A721">
        <v>2025</v>
      </c>
      <c r="B721" t="s">
        <v>299</v>
      </c>
      <c r="C721" t="s">
        <v>299</v>
      </c>
      <c r="D721" t="s">
        <v>2217</v>
      </c>
      <c r="E721" t="s">
        <v>301</v>
      </c>
      <c r="F721">
        <v>757</v>
      </c>
      <c r="G721">
        <v>0</v>
      </c>
      <c r="I721" t="s">
        <v>2128</v>
      </c>
      <c r="J721">
        <v>40</v>
      </c>
      <c r="K721">
        <v>44</v>
      </c>
      <c r="L721">
        <v>42</v>
      </c>
      <c r="M721">
        <v>27.8002</v>
      </c>
      <c r="N721">
        <v>30.943999999999999</v>
      </c>
      <c r="O721">
        <v>29.2149</v>
      </c>
      <c r="P721">
        <v>39.727699999999999</v>
      </c>
      <c r="Q721">
        <v>44.2149</v>
      </c>
      <c r="R721">
        <v>41.746899999999997</v>
      </c>
      <c r="V721" t="s">
        <v>167</v>
      </c>
      <c r="W721" t="s">
        <v>168</v>
      </c>
      <c r="Y721">
        <v>2</v>
      </c>
      <c r="Z721" t="s">
        <v>170</v>
      </c>
      <c r="AA721" t="s">
        <v>170</v>
      </c>
      <c r="AB721" t="s">
        <v>167</v>
      </c>
      <c r="AC721" t="s">
        <v>213</v>
      </c>
      <c r="AF721">
        <v>269</v>
      </c>
      <c r="AG721" t="s">
        <v>1735</v>
      </c>
      <c r="AH721" t="s">
        <v>1736</v>
      </c>
      <c r="AI721" t="s">
        <v>1742</v>
      </c>
      <c r="AJ721" t="s">
        <v>1743</v>
      </c>
      <c r="AK721" t="s">
        <v>170</v>
      </c>
      <c r="AL721" t="s">
        <v>177</v>
      </c>
      <c r="AO721">
        <v>89</v>
      </c>
      <c r="AP721">
        <v>11</v>
      </c>
      <c r="AS721">
        <v>1000</v>
      </c>
      <c r="AT721">
        <v>1000</v>
      </c>
      <c r="BQ721">
        <v>4</v>
      </c>
      <c r="BR721" t="s">
        <v>521</v>
      </c>
      <c r="BS721" t="s">
        <v>180</v>
      </c>
      <c r="BT721" t="s">
        <v>1738</v>
      </c>
      <c r="BU721" s="1">
        <v>45471</v>
      </c>
      <c r="BV721">
        <v>35442</v>
      </c>
      <c r="BX721" t="s">
        <v>170</v>
      </c>
      <c r="BY721" t="s">
        <v>170</v>
      </c>
      <c r="CB721" t="s">
        <v>170</v>
      </c>
      <c r="CC721" t="s">
        <v>170</v>
      </c>
      <c r="CK721" t="s">
        <v>233</v>
      </c>
      <c r="CM721">
        <v>1</v>
      </c>
      <c r="CN721" t="s">
        <v>234</v>
      </c>
      <c r="CP721">
        <v>850</v>
      </c>
      <c r="CQ721">
        <v>129</v>
      </c>
      <c r="CR721">
        <v>148</v>
      </c>
      <c r="CS721" t="s">
        <v>1739</v>
      </c>
      <c r="CV721" t="s">
        <v>341</v>
      </c>
      <c r="CX721" t="s">
        <v>342</v>
      </c>
      <c r="CY721" t="s">
        <v>170</v>
      </c>
      <c r="DC721" t="s">
        <v>2190</v>
      </c>
      <c r="DD721">
        <v>7</v>
      </c>
      <c r="DE721" t="s">
        <v>404</v>
      </c>
      <c r="DF721" t="s">
        <v>2181</v>
      </c>
      <c r="DG721" t="s">
        <v>2211</v>
      </c>
      <c r="DL721" t="s">
        <v>170</v>
      </c>
      <c r="DM721" t="s">
        <v>169</v>
      </c>
      <c r="DP721" t="s">
        <v>170</v>
      </c>
      <c r="DQ721" t="s">
        <v>187</v>
      </c>
      <c r="EB721">
        <v>9</v>
      </c>
      <c r="EC721">
        <v>10</v>
      </c>
      <c r="EE721" t="s">
        <v>2192</v>
      </c>
      <c r="EF721">
        <v>10</v>
      </c>
      <c r="EU721">
        <v>4500</v>
      </c>
      <c r="EW721">
        <v>0</v>
      </c>
      <c r="EX721">
        <v>0</v>
      </c>
      <c r="EY721">
        <v>0</v>
      </c>
      <c r="FA721">
        <v>13</v>
      </c>
      <c r="FG721">
        <v>282</v>
      </c>
      <c r="FH721">
        <v>253</v>
      </c>
      <c r="FI721">
        <v>269</v>
      </c>
    </row>
    <row r="722" spans="1:165" x14ac:dyDescent="0.35">
      <c r="A722" s="25"/>
      <c r="B722" s="25"/>
      <c r="C722" s="25"/>
      <c r="D722" s="25"/>
      <c r="E722" s="25"/>
      <c r="F722" s="25" t="str">
        <f>_xlfn.CONCAT($A723," ",$B723," ",$D723)</f>
        <v>2025 Porsche Taycan GTS</v>
      </c>
      <c r="G722" s="25"/>
      <c r="H722" s="25"/>
      <c r="I722" s="25"/>
      <c r="J722" s="25"/>
      <c r="K722" s="25"/>
      <c r="L722" s="25"/>
      <c r="M722" s="25"/>
      <c r="N722" s="25"/>
      <c r="O722" s="25"/>
      <c r="P722" s="25"/>
      <c r="Q722" s="25"/>
      <c r="R722" s="25"/>
      <c r="S722" s="25"/>
      <c r="T722" s="25"/>
      <c r="U722" s="25"/>
      <c r="V722" s="25"/>
      <c r="W722" s="25"/>
      <c r="X722" s="25"/>
      <c r="Y722" s="25"/>
      <c r="Z722" s="25"/>
      <c r="AA722" s="25"/>
      <c r="AB722" s="25"/>
      <c r="AC722" s="25"/>
      <c r="AD722" s="25" t="str">
        <f>_xlfn.CONCAT($A723," ",$B723," ",$D723)</f>
        <v>2025 Porsche Taycan GTS</v>
      </c>
      <c r="AE722" s="25"/>
      <c r="AF722" s="25"/>
      <c r="AG722" s="25"/>
      <c r="AH722" s="25"/>
      <c r="AI722" s="25"/>
      <c r="AJ722" s="25"/>
      <c r="AK722" s="25"/>
      <c r="AL722" s="25"/>
      <c r="AM722" s="25"/>
      <c r="AN722" s="25"/>
      <c r="AO722" s="25"/>
      <c r="AP722" s="25"/>
      <c r="AQ722" s="25"/>
      <c r="AR722" s="25"/>
      <c r="AS722" s="25"/>
      <c r="AT722" s="25"/>
      <c r="AU722" s="25"/>
      <c r="AV722" s="25"/>
      <c r="AW722" s="25"/>
      <c r="AX722" s="25" t="str">
        <f>_xlfn.CONCAT($A723," ",$B723," ",$D723)</f>
        <v>2025 Porsche Taycan GTS</v>
      </c>
      <c r="AY722" s="25"/>
      <c r="AZ722" s="25"/>
      <c r="BA722" s="25"/>
      <c r="BB722" s="25"/>
      <c r="BC722" s="25"/>
      <c r="BD722" s="25"/>
      <c r="BE722" s="25"/>
      <c r="BF722" s="25"/>
      <c r="BG722" s="25"/>
      <c r="BH722" s="25"/>
      <c r="BI722" s="25"/>
      <c r="BJ722" s="25"/>
      <c r="BK722" s="25"/>
      <c r="BL722" s="25"/>
      <c r="BM722" s="25"/>
      <c r="BN722" s="25"/>
      <c r="BO722" s="25"/>
      <c r="BP722" s="25"/>
      <c r="BQ722" s="25"/>
      <c r="BR722" s="25" t="str">
        <f>_xlfn.CONCAT($A723," ",$B723," ",$D723)</f>
        <v>2025 Porsche Taycan GTS</v>
      </c>
      <c r="BS722" s="25"/>
      <c r="BT722" s="25"/>
      <c r="BU722" s="25"/>
      <c r="BV722" s="25"/>
      <c r="BX722" s="25"/>
      <c r="BY722" s="25"/>
      <c r="BZ722" s="25"/>
      <c r="CA722" s="25"/>
      <c r="CB722" s="25"/>
      <c r="CC722" s="25"/>
      <c r="CD722" s="25"/>
      <c r="CE722" s="25"/>
      <c r="CF722" s="25"/>
      <c r="CG722" s="25"/>
      <c r="CH722" s="25"/>
      <c r="CI722" s="25"/>
      <c r="CJ722" s="25"/>
      <c r="CK722" s="25"/>
      <c r="CL722" s="25"/>
      <c r="CM722" s="25"/>
      <c r="CN722" s="25"/>
      <c r="CO722" s="25"/>
      <c r="CP722" s="25" t="str">
        <f>_xlfn.CONCAT($A723," ",$B723," ",$D723)</f>
        <v>2025 Porsche Taycan GTS</v>
      </c>
      <c r="CQ722" s="25"/>
      <c r="CR722" s="25"/>
      <c r="CS722" s="25"/>
      <c r="CT722" s="25"/>
      <c r="CU722" s="25"/>
      <c r="CV722" s="25"/>
      <c r="CW722" s="25"/>
      <c r="CX722" s="25"/>
      <c r="CY722" s="25"/>
      <c r="CZ722" s="25"/>
      <c r="DA722" s="25"/>
      <c r="DB722" s="25"/>
      <c r="DC722" s="25"/>
      <c r="DD722" s="25"/>
      <c r="DE722" s="25"/>
      <c r="DF722" s="25"/>
      <c r="DG722" s="25"/>
      <c r="DH722" s="25"/>
      <c r="DI722" s="25" t="str">
        <f>_xlfn.CONCAT($A723," ",$B723," ",$D723)</f>
        <v>2025 Porsche Taycan GTS</v>
      </c>
      <c r="DJ722" s="25"/>
      <c r="DK722" s="25"/>
      <c r="DL722" s="25"/>
      <c r="DM722" s="25"/>
      <c r="DN722" s="25"/>
      <c r="DO722" s="25"/>
      <c r="DP722" s="25"/>
      <c r="DQ722" s="25"/>
      <c r="DR722" s="25"/>
      <c r="DS722" s="25"/>
      <c r="DT722" s="25"/>
      <c r="DU722" s="25"/>
      <c r="DV722" s="25"/>
      <c r="DW722" s="25"/>
      <c r="DX722" s="25"/>
      <c r="DY722" s="25"/>
      <c r="DZ722" s="25" t="str">
        <f>_xlfn.CONCAT($A723," ",$B723," ",$D723)</f>
        <v>2025 Porsche Taycan GTS</v>
      </c>
      <c r="EB722" s="25"/>
      <c r="EC722" s="25"/>
      <c r="ED722" s="25"/>
      <c r="EE722" s="25"/>
      <c r="EF722" s="25"/>
      <c r="EG722" s="25"/>
      <c r="EH722" s="25"/>
      <c r="EI722" s="25"/>
      <c r="EJ722" s="25"/>
      <c r="EK722" s="25"/>
      <c r="EL722" s="25"/>
      <c r="EM722" s="25"/>
      <c r="EN722" s="25"/>
      <c r="EO722" s="25"/>
      <c r="EP722" s="25"/>
      <c r="EQ722" s="25"/>
      <c r="ER722" s="25"/>
      <c r="ES722" s="25"/>
      <c r="ET722" s="25"/>
      <c r="EU722" s="25"/>
      <c r="EV722" s="25" t="str">
        <f>_xlfn.CONCAT($A723," ",$B723," ",$D723)</f>
        <v>2025 Porsche Taycan GTS</v>
      </c>
      <c r="EW722" s="25"/>
      <c r="EX722" s="25"/>
      <c r="EY722" s="25"/>
      <c r="EZ722" s="25"/>
      <c r="FA722" s="25"/>
      <c r="FB722" s="25"/>
      <c r="FC722" s="25"/>
      <c r="FD722" s="25"/>
      <c r="FE722" s="25"/>
      <c r="FF722" s="25"/>
      <c r="FG722" s="25"/>
    </row>
    <row r="723" spans="1:165" x14ac:dyDescent="0.35">
      <c r="A723">
        <v>2025</v>
      </c>
      <c r="B723" t="s">
        <v>299</v>
      </c>
      <c r="C723" t="s">
        <v>299</v>
      </c>
      <c r="D723" t="s">
        <v>2203</v>
      </c>
      <c r="E723" t="s">
        <v>301</v>
      </c>
      <c r="F723">
        <v>770</v>
      </c>
      <c r="G723">
        <v>0</v>
      </c>
      <c r="I723" t="s">
        <v>2128</v>
      </c>
      <c r="J723">
        <v>88</v>
      </c>
      <c r="K723">
        <v>85</v>
      </c>
      <c r="L723">
        <v>86</v>
      </c>
      <c r="M723">
        <v>125.6</v>
      </c>
      <c r="N723">
        <v>121.1</v>
      </c>
      <c r="O723">
        <v>123.5343</v>
      </c>
      <c r="P723">
        <v>87.92</v>
      </c>
      <c r="Q723">
        <v>84.77</v>
      </c>
      <c r="R723">
        <v>86.474000000000004</v>
      </c>
      <c r="V723" t="s">
        <v>167</v>
      </c>
      <c r="W723" t="s">
        <v>168</v>
      </c>
      <c r="Y723">
        <v>2</v>
      </c>
      <c r="Z723" t="s">
        <v>170</v>
      </c>
      <c r="AA723" t="s">
        <v>170</v>
      </c>
      <c r="AB723" t="s">
        <v>167</v>
      </c>
      <c r="AC723" t="s">
        <v>213</v>
      </c>
      <c r="AF723">
        <v>293</v>
      </c>
      <c r="AG723" t="s">
        <v>1735</v>
      </c>
      <c r="AH723" t="s">
        <v>1736</v>
      </c>
      <c r="AI723" t="s">
        <v>175</v>
      </c>
      <c r="AJ723" t="s">
        <v>176</v>
      </c>
      <c r="AK723" t="s">
        <v>170</v>
      </c>
      <c r="AL723" t="s">
        <v>177</v>
      </c>
      <c r="AO723">
        <v>89</v>
      </c>
      <c r="AP723">
        <v>11</v>
      </c>
      <c r="AS723">
        <v>950</v>
      </c>
      <c r="AT723">
        <v>50</v>
      </c>
      <c r="BQ723">
        <v>4</v>
      </c>
      <c r="BR723" t="s">
        <v>521</v>
      </c>
      <c r="BS723" t="s">
        <v>180</v>
      </c>
      <c r="BT723" t="s">
        <v>1738</v>
      </c>
      <c r="BU723" s="1">
        <v>45731</v>
      </c>
      <c r="BV723">
        <v>36138</v>
      </c>
      <c r="BX723" t="s">
        <v>170</v>
      </c>
      <c r="BY723" t="s">
        <v>170</v>
      </c>
      <c r="CB723" t="s">
        <v>170</v>
      </c>
      <c r="CC723" t="s">
        <v>170</v>
      </c>
      <c r="CK723" t="s">
        <v>233</v>
      </c>
      <c r="CM723">
        <v>1</v>
      </c>
      <c r="CN723" t="s">
        <v>234</v>
      </c>
      <c r="CP723">
        <v>850</v>
      </c>
      <c r="CQ723">
        <v>129</v>
      </c>
      <c r="CR723">
        <v>148</v>
      </c>
      <c r="CS723" t="s">
        <v>1739</v>
      </c>
      <c r="CV723" t="s">
        <v>341</v>
      </c>
      <c r="CX723" t="s">
        <v>342</v>
      </c>
      <c r="CY723" t="s">
        <v>170</v>
      </c>
      <c r="DC723" t="s">
        <v>2190</v>
      </c>
      <c r="DD723">
        <v>9</v>
      </c>
      <c r="DE723" t="s">
        <v>404</v>
      </c>
      <c r="DF723" t="s">
        <v>2181</v>
      </c>
      <c r="DG723" t="s">
        <v>2194</v>
      </c>
      <c r="DL723" t="s">
        <v>170</v>
      </c>
      <c r="DM723" t="s">
        <v>169</v>
      </c>
      <c r="DP723" t="s">
        <v>170</v>
      </c>
      <c r="DQ723" t="s">
        <v>187</v>
      </c>
      <c r="EB723">
        <v>9</v>
      </c>
      <c r="EC723">
        <v>10</v>
      </c>
      <c r="EE723" t="s">
        <v>2192</v>
      </c>
      <c r="EF723">
        <v>10</v>
      </c>
      <c r="EU723">
        <v>4750</v>
      </c>
      <c r="EW723">
        <v>0</v>
      </c>
      <c r="EX723">
        <v>0</v>
      </c>
      <c r="EY723">
        <v>0</v>
      </c>
      <c r="FA723">
        <v>13</v>
      </c>
      <c r="FG723">
        <v>298</v>
      </c>
      <c r="FH723">
        <v>287</v>
      </c>
      <c r="FI723">
        <v>293</v>
      </c>
    </row>
    <row r="724" spans="1:165" x14ac:dyDescent="0.35">
      <c r="A724">
        <v>2025</v>
      </c>
      <c r="B724" t="s">
        <v>299</v>
      </c>
      <c r="C724" t="s">
        <v>299</v>
      </c>
      <c r="D724" t="s">
        <v>2203</v>
      </c>
      <c r="E724" t="s">
        <v>301</v>
      </c>
      <c r="F724">
        <v>770</v>
      </c>
      <c r="G724">
        <v>0</v>
      </c>
      <c r="I724" t="s">
        <v>2128</v>
      </c>
      <c r="J724">
        <v>38</v>
      </c>
      <c r="K724">
        <v>40</v>
      </c>
      <c r="L724">
        <v>39</v>
      </c>
      <c r="M724">
        <v>26.831199999999999</v>
      </c>
      <c r="N724">
        <v>27.826599999999999</v>
      </c>
      <c r="O724">
        <v>27.2791</v>
      </c>
      <c r="P724">
        <v>38.335999999999999</v>
      </c>
      <c r="Q724">
        <v>39.7605</v>
      </c>
      <c r="R724">
        <v>38.976999999999997</v>
      </c>
      <c r="V724" t="s">
        <v>167</v>
      </c>
      <c r="W724" t="s">
        <v>168</v>
      </c>
      <c r="Y724">
        <v>2</v>
      </c>
      <c r="Z724" t="s">
        <v>170</v>
      </c>
      <c r="AA724" t="s">
        <v>170</v>
      </c>
      <c r="AB724" t="s">
        <v>167</v>
      </c>
      <c r="AC724" t="s">
        <v>213</v>
      </c>
      <c r="AF724">
        <v>293</v>
      </c>
      <c r="AG724" t="s">
        <v>1735</v>
      </c>
      <c r="AH724" t="s">
        <v>1736</v>
      </c>
      <c r="AI724" t="s">
        <v>1742</v>
      </c>
      <c r="AJ724" t="s">
        <v>1743</v>
      </c>
      <c r="AK724" t="s">
        <v>170</v>
      </c>
      <c r="AL724" t="s">
        <v>177</v>
      </c>
      <c r="AO724">
        <v>89</v>
      </c>
      <c r="AP724">
        <v>11</v>
      </c>
      <c r="AS724">
        <v>950</v>
      </c>
      <c r="AT724">
        <v>950</v>
      </c>
      <c r="BQ724">
        <v>4</v>
      </c>
      <c r="BR724" t="s">
        <v>521</v>
      </c>
      <c r="BS724" t="s">
        <v>180</v>
      </c>
      <c r="BT724" t="s">
        <v>1738</v>
      </c>
      <c r="BU724" s="1">
        <v>45731</v>
      </c>
      <c r="BV724">
        <v>36138</v>
      </c>
      <c r="BX724" t="s">
        <v>170</v>
      </c>
      <c r="BY724" t="s">
        <v>170</v>
      </c>
      <c r="CB724" t="s">
        <v>170</v>
      </c>
      <c r="CC724" t="s">
        <v>170</v>
      </c>
      <c r="CK724" t="s">
        <v>233</v>
      </c>
      <c r="CM724">
        <v>1</v>
      </c>
      <c r="CN724" t="s">
        <v>234</v>
      </c>
      <c r="CP724">
        <v>850</v>
      </c>
      <c r="CQ724">
        <v>129</v>
      </c>
      <c r="CR724">
        <v>148</v>
      </c>
      <c r="CS724" t="s">
        <v>1739</v>
      </c>
      <c r="CV724" t="s">
        <v>341</v>
      </c>
      <c r="CX724" t="s">
        <v>342</v>
      </c>
      <c r="CY724" t="s">
        <v>170</v>
      </c>
      <c r="DC724" t="s">
        <v>2190</v>
      </c>
      <c r="DD724">
        <v>9</v>
      </c>
      <c r="DE724" t="s">
        <v>404</v>
      </c>
      <c r="DF724" t="s">
        <v>2181</v>
      </c>
      <c r="DG724" t="s">
        <v>2194</v>
      </c>
      <c r="DL724" t="s">
        <v>170</v>
      </c>
      <c r="DM724" t="s">
        <v>169</v>
      </c>
      <c r="DP724" t="s">
        <v>170</v>
      </c>
      <c r="DQ724" t="s">
        <v>187</v>
      </c>
      <c r="EB724">
        <v>9</v>
      </c>
      <c r="EC724">
        <v>10</v>
      </c>
      <c r="EE724" t="s">
        <v>2192</v>
      </c>
      <c r="EF724">
        <v>10</v>
      </c>
      <c r="EU724">
        <v>4750</v>
      </c>
      <c r="EW724">
        <v>0</v>
      </c>
      <c r="EX724">
        <v>0</v>
      </c>
      <c r="EY724">
        <v>0</v>
      </c>
      <c r="FA724">
        <v>13</v>
      </c>
      <c r="FG724">
        <v>298</v>
      </c>
      <c r="FH724">
        <v>287</v>
      </c>
      <c r="FI724">
        <v>293</v>
      </c>
    </row>
    <row r="725" spans="1:165" x14ac:dyDescent="0.35">
      <c r="A725" s="25"/>
      <c r="B725" s="25"/>
      <c r="C725" s="25"/>
      <c r="D725" s="25"/>
      <c r="E725" s="25"/>
      <c r="F725" s="25" t="str">
        <f>_xlfn.CONCAT($A726," ",$B726," ",$D726)</f>
        <v>2025 Porsche Taycan GTS Sport Turismo</v>
      </c>
      <c r="G725" s="25"/>
      <c r="H725" s="25"/>
      <c r="I725" s="25"/>
      <c r="J725" s="25"/>
      <c r="K725" s="25"/>
      <c r="L725" s="25"/>
      <c r="M725" s="25"/>
      <c r="N725" s="25"/>
      <c r="O725" s="25"/>
      <c r="P725" s="25"/>
      <c r="Q725" s="25"/>
      <c r="R725" s="25"/>
      <c r="S725" s="25"/>
      <c r="T725" s="25"/>
      <c r="U725" s="25"/>
      <c r="V725" s="25"/>
      <c r="W725" s="25"/>
      <c r="X725" s="25"/>
      <c r="Y725" s="25"/>
      <c r="Z725" s="25"/>
      <c r="AA725" s="25"/>
      <c r="AB725" s="25"/>
      <c r="AC725" s="25"/>
      <c r="AD725" s="25" t="str">
        <f>_xlfn.CONCAT($A726," ",$B726," ",$D726)</f>
        <v>2025 Porsche Taycan GTS Sport Turismo</v>
      </c>
      <c r="AE725" s="25"/>
      <c r="AF725" s="25"/>
      <c r="AG725" s="25"/>
      <c r="AH725" s="25"/>
      <c r="AI725" s="25"/>
      <c r="AJ725" s="25"/>
      <c r="AK725" s="25"/>
      <c r="AL725" s="25"/>
      <c r="AM725" s="25"/>
      <c r="AN725" s="25"/>
      <c r="AO725" s="25"/>
      <c r="AP725" s="25"/>
      <c r="AQ725" s="25"/>
      <c r="AR725" s="25"/>
      <c r="AS725" s="25"/>
      <c r="AT725" s="25"/>
      <c r="AU725" s="25"/>
      <c r="AV725" s="25"/>
      <c r="AW725" s="25"/>
      <c r="AX725" s="25" t="str">
        <f>_xlfn.CONCAT($A726," ",$B726," ",$D726)</f>
        <v>2025 Porsche Taycan GTS Sport Turismo</v>
      </c>
      <c r="AY725" s="25"/>
      <c r="AZ725" s="25"/>
      <c r="BA725" s="25"/>
      <c r="BB725" s="25"/>
      <c r="BC725" s="25"/>
      <c r="BD725" s="25"/>
      <c r="BE725" s="25"/>
      <c r="BF725" s="25"/>
      <c r="BG725" s="25"/>
      <c r="BH725" s="25"/>
      <c r="BI725" s="25"/>
      <c r="BJ725" s="25"/>
      <c r="BK725" s="25"/>
      <c r="BL725" s="25"/>
      <c r="BM725" s="25"/>
      <c r="BN725" s="25"/>
      <c r="BO725" s="25"/>
      <c r="BP725" s="25"/>
      <c r="BQ725" s="25"/>
      <c r="BR725" s="25" t="str">
        <f>_xlfn.CONCAT($A726," ",$B726," ",$D726)</f>
        <v>2025 Porsche Taycan GTS Sport Turismo</v>
      </c>
      <c r="BS725" s="25"/>
      <c r="BT725" s="25"/>
      <c r="BU725" s="25"/>
      <c r="BV725" s="25"/>
      <c r="BX725" s="25"/>
      <c r="BY725" s="25"/>
      <c r="BZ725" s="25"/>
      <c r="CA725" s="25"/>
      <c r="CB725" s="25"/>
      <c r="CC725" s="25"/>
      <c r="CD725" s="25"/>
      <c r="CE725" s="25"/>
      <c r="CF725" s="25"/>
      <c r="CG725" s="25"/>
      <c r="CH725" s="25"/>
      <c r="CI725" s="25"/>
      <c r="CJ725" s="25"/>
      <c r="CK725" s="25"/>
      <c r="CL725" s="25"/>
      <c r="CM725" s="25"/>
      <c r="CN725" s="25"/>
      <c r="CO725" s="25"/>
      <c r="CP725" s="25" t="str">
        <f>_xlfn.CONCAT($A726," ",$B726," ",$D726)</f>
        <v>2025 Porsche Taycan GTS Sport Turismo</v>
      </c>
      <c r="CQ725" s="25"/>
      <c r="CR725" s="25"/>
      <c r="CS725" s="25"/>
      <c r="CT725" s="25"/>
      <c r="CU725" s="25"/>
      <c r="CV725" s="25"/>
      <c r="CW725" s="25"/>
      <c r="CX725" s="25"/>
      <c r="CY725" s="25"/>
      <c r="CZ725" s="25"/>
      <c r="DA725" s="25"/>
      <c r="DB725" s="25"/>
      <c r="DC725" s="25"/>
      <c r="DD725" s="25"/>
      <c r="DE725" s="25"/>
      <c r="DF725" s="25"/>
      <c r="DG725" s="25"/>
      <c r="DH725" s="25"/>
      <c r="DI725" s="25" t="str">
        <f>_xlfn.CONCAT($A726," ",$B726," ",$D726)</f>
        <v>2025 Porsche Taycan GTS Sport Turismo</v>
      </c>
      <c r="DJ725" s="25"/>
      <c r="DK725" s="25"/>
      <c r="DL725" s="25"/>
      <c r="DM725" s="25"/>
      <c r="DN725" s="25"/>
      <c r="DO725" s="25"/>
      <c r="DP725" s="25"/>
      <c r="DQ725" s="25"/>
      <c r="DR725" s="25"/>
      <c r="DS725" s="25"/>
      <c r="DT725" s="25"/>
      <c r="DU725" s="25"/>
      <c r="DV725" s="25"/>
      <c r="DW725" s="25"/>
      <c r="DX725" s="25"/>
      <c r="DY725" s="25"/>
      <c r="DZ725" s="25" t="str">
        <f>_xlfn.CONCAT($A726," ",$B726," ",$D726)</f>
        <v>2025 Porsche Taycan GTS Sport Turismo</v>
      </c>
      <c r="EB725" s="25"/>
      <c r="EC725" s="25"/>
      <c r="ED725" s="25"/>
      <c r="EE725" s="25"/>
      <c r="EF725" s="25"/>
      <c r="EG725" s="25"/>
      <c r="EH725" s="25"/>
      <c r="EI725" s="25"/>
      <c r="EJ725" s="25"/>
      <c r="EK725" s="25"/>
      <c r="EL725" s="25"/>
      <c r="EM725" s="25"/>
      <c r="EN725" s="25"/>
      <c r="EO725" s="25"/>
      <c r="EP725" s="25"/>
      <c r="EQ725" s="25"/>
      <c r="ER725" s="25"/>
      <c r="ES725" s="25"/>
      <c r="ET725" s="25"/>
      <c r="EU725" s="25"/>
      <c r="EV725" s="25" t="str">
        <f>_xlfn.CONCAT($A726," ",$B726," ",$D726)</f>
        <v>2025 Porsche Taycan GTS Sport Turismo</v>
      </c>
      <c r="EW725" s="25"/>
      <c r="EX725" s="25"/>
      <c r="EY725" s="25"/>
      <c r="EZ725" s="25"/>
      <c r="FA725" s="25"/>
      <c r="FB725" s="25"/>
      <c r="FC725" s="25"/>
      <c r="FD725" s="25"/>
      <c r="FE725" s="25"/>
      <c r="FF725" s="25"/>
      <c r="FG725" s="25"/>
    </row>
    <row r="726" spans="1:165" x14ac:dyDescent="0.35">
      <c r="A726">
        <v>2025</v>
      </c>
      <c r="B726" t="s">
        <v>299</v>
      </c>
      <c r="C726" t="s">
        <v>299</v>
      </c>
      <c r="D726" t="s">
        <v>2204</v>
      </c>
      <c r="E726" t="s">
        <v>301</v>
      </c>
      <c r="F726">
        <v>772</v>
      </c>
      <c r="G726">
        <v>0</v>
      </c>
      <c r="I726" t="s">
        <v>2128</v>
      </c>
      <c r="J726">
        <v>84</v>
      </c>
      <c r="K726">
        <v>80</v>
      </c>
      <c r="L726">
        <v>82</v>
      </c>
      <c r="M726">
        <v>119.6</v>
      </c>
      <c r="N726">
        <v>114.6</v>
      </c>
      <c r="O726">
        <v>117.297</v>
      </c>
      <c r="P726">
        <v>83.72</v>
      </c>
      <c r="Q726">
        <v>80.22</v>
      </c>
      <c r="R726">
        <v>82.107900000000001</v>
      </c>
      <c r="V726" t="s">
        <v>167</v>
      </c>
      <c r="W726" t="s">
        <v>168</v>
      </c>
      <c r="Y726">
        <v>2</v>
      </c>
      <c r="Z726" t="s">
        <v>170</v>
      </c>
      <c r="AA726" t="s">
        <v>170</v>
      </c>
      <c r="AB726" t="s">
        <v>167</v>
      </c>
      <c r="AC726" t="s">
        <v>213</v>
      </c>
      <c r="AF726">
        <v>279</v>
      </c>
      <c r="AG726" t="s">
        <v>1735</v>
      </c>
      <c r="AH726" t="s">
        <v>1736</v>
      </c>
      <c r="AI726" t="s">
        <v>175</v>
      </c>
      <c r="AJ726" t="s">
        <v>176</v>
      </c>
      <c r="AK726" t="s">
        <v>170</v>
      </c>
      <c r="AL726" t="s">
        <v>177</v>
      </c>
      <c r="AQ726">
        <v>90</v>
      </c>
      <c r="AR726">
        <v>12</v>
      </c>
      <c r="AS726">
        <v>1000</v>
      </c>
      <c r="AT726">
        <v>50</v>
      </c>
      <c r="BQ726">
        <v>4</v>
      </c>
      <c r="BR726" t="s">
        <v>521</v>
      </c>
      <c r="BS726" t="s">
        <v>180</v>
      </c>
      <c r="BT726" t="s">
        <v>1738</v>
      </c>
      <c r="BU726" s="1">
        <v>45731</v>
      </c>
      <c r="BV726">
        <v>36139</v>
      </c>
      <c r="BX726" t="s">
        <v>170</v>
      </c>
      <c r="BY726" t="s">
        <v>170</v>
      </c>
      <c r="CB726" t="s">
        <v>170</v>
      </c>
      <c r="CC726" t="s">
        <v>170</v>
      </c>
      <c r="CK726" t="s">
        <v>233</v>
      </c>
      <c r="CM726">
        <v>1</v>
      </c>
      <c r="CN726" t="s">
        <v>234</v>
      </c>
      <c r="CP726">
        <v>850</v>
      </c>
      <c r="CQ726">
        <v>129</v>
      </c>
      <c r="CR726">
        <v>148</v>
      </c>
      <c r="CS726" t="s">
        <v>1739</v>
      </c>
      <c r="CV726" t="s">
        <v>341</v>
      </c>
      <c r="CX726" t="s">
        <v>342</v>
      </c>
      <c r="CY726" t="s">
        <v>170</v>
      </c>
      <c r="DC726" t="s">
        <v>2190</v>
      </c>
      <c r="DD726">
        <v>9</v>
      </c>
      <c r="DE726" t="s">
        <v>404</v>
      </c>
      <c r="DF726" t="s">
        <v>2181</v>
      </c>
      <c r="DG726" t="s">
        <v>2194</v>
      </c>
      <c r="DL726" t="s">
        <v>170</v>
      </c>
      <c r="DM726" t="s">
        <v>169</v>
      </c>
      <c r="DP726" t="s">
        <v>170</v>
      </c>
      <c r="DQ726" t="s">
        <v>187</v>
      </c>
      <c r="EB726">
        <v>9</v>
      </c>
      <c r="EC726">
        <v>10</v>
      </c>
      <c r="EE726" t="s">
        <v>2192</v>
      </c>
      <c r="EF726">
        <v>10</v>
      </c>
      <c r="EU726">
        <v>4500</v>
      </c>
      <c r="EW726">
        <v>0</v>
      </c>
      <c r="EX726">
        <v>0</v>
      </c>
      <c r="EY726">
        <v>0</v>
      </c>
      <c r="FA726">
        <v>13</v>
      </c>
      <c r="FG726">
        <v>284</v>
      </c>
      <c r="FH726">
        <v>272</v>
      </c>
      <c r="FI726">
        <v>279</v>
      </c>
    </row>
    <row r="727" spans="1:165" x14ac:dyDescent="0.35">
      <c r="A727">
        <v>2025</v>
      </c>
      <c r="B727" t="s">
        <v>299</v>
      </c>
      <c r="C727" t="s">
        <v>299</v>
      </c>
      <c r="D727" t="s">
        <v>2204</v>
      </c>
      <c r="E727" t="s">
        <v>301</v>
      </c>
      <c r="F727">
        <v>772</v>
      </c>
      <c r="G727">
        <v>0</v>
      </c>
      <c r="I727" t="s">
        <v>2128</v>
      </c>
      <c r="J727">
        <v>40</v>
      </c>
      <c r="K727">
        <v>42</v>
      </c>
      <c r="L727">
        <v>41</v>
      </c>
      <c r="M727">
        <v>28.1738</v>
      </c>
      <c r="N727">
        <v>29.4194</v>
      </c>
      <c r="O727">
        <v>28.734300000000001</v>
      </c>
      <c r="P727">
        <v>40.2592</v>
      </c>
      <c r="Q727">
        <v>42.015700000000002</v>
      </c>
      <c r="R727">
        <v>41.049599999999998</v>
      </c>
      <c r="V727" t="s">
        <v>167</v>
      </c>
      <c r="W727" t="s">
        <v>168</v>
      </c>
      <c r="Y727">
        <v>2</v>
      </c>
      <c r="Z727" t="s">
        <v>170</v>
      </c>
      <c r="AA727" t="s">
        <v>170</v>
      </c>
      <c r="AB727" t="s">
        <v>167</v>
      </c>
      <c r="AC727" t="s">
        <v>213</v>
      </c>
      <c r="AF727">
        <v>279</v>
      </c>
      <c r="AG727" t="s">
        <v>1735</v>
      </c>
      <c r="AH727" t="s">
        <v>1736</v>
      </c>
      <c r="AI727" t="s">
        <v>1742</v>
      </c>
      <c r="AJ727" t="s">
        <v>1743</v>
      </c>
      <c r="AK727" t="s">
        <v>170</v>
      </c>
      <c r="AL727" t="s">
        <v>177</v>
      </c>
      <c r="AQ727">
        <v>90</v>
      </c>
      <c r="AR727">
        <v>12</v>
      </c>
      <c r="AS727">
        <v>1000</v>
      </c>
      <c r="AT727">
        <v>1000</v>
      </c>
      <c r="BQ727">
        <v>4</v>
      </c>
      <c r="BR727" t="s">
        <v>521</v>
      </c>
      <c r="BS727" t="s">
        <v>180</v>
      </c>
      <c r="BT727" t="s">
        <v>1738</v>
      </c>
      <c r="BU727" s="1">
        <v>45731</v>
      </c>
      <c r="BV727">
        <v>36139</v>
      </c>
      <c r="BX727" t="s">
        <v>170</v>
      </c>
      <c r="BY727" t="s">
        <v>170</v>
      </c>
      <c r="CB727" t="s">
        <v>170</v>
      </c>
      <c r="CC727" t="s">
        <v>170</v>
      </c>
      <c r="CK727" t="s">
        <v>233</v>
      </c>
      <c r="CM727">
        <v>1</v>
      </c>
      <c r="CN727" t="s">
        <v>234</v>
      </c>
      <c r="CP727">
        <v>850</v>
      </c>
      <c r="CQ727">
        <v>129</v>
      </c>
      <c r="CR727">
        <v>148</v>
      </c>
      <c r="CS727" t="s">
        <v>1739</v>
      </c>
      <c r="CV727" t="s">
        <v>341</v>
      </c>
      <c r="CX727" t="s">
        <v>342</v>
      </c>
      <c r="CY727" t="s">
        <v>170</v>
      </c>
      <c r="DC727" t="s">
        <v>2190</v>
      </c>
      <c r="DD727">
        <v>9</v>
      </c>
      <c r="DE727" t="s">
        <v>404</v>
      </c>
      <c r="DF727" t="s">
        <v>2181</v>
      </c>
      <c r="DG727" t="s">
        <v>2194</v>
      </c>
      <c r="DL727" t="s">
        <v>170</v>
      </c>
      <c r="DM727" t="s">
        <v>169</v>
      </c>
      <c r="DP727" t="s">
        <v>170</v>
      </c>
      <c r="DQ727" t="s">
        <v>187</v>
      </c>
      <c r="EB727">
        <v>9</v>
      </c>
      <c r="EC727">
        <v>10</v>
      </c>
      <c r="EE727" t="s">
        <v>2192</v>
      </c>
      <c r="EF727">
        <v>10</v>
      </c>
      <c r="EU727">
        <v>4500</v>
      </c>
      <c r="EW727">
        <v>0</v>
      </c>
      <c r="EX727">
        <v>0</v>
      </c>
      <c r="EY727">
        <v>0</v>
      </c>
      <c r="FA727">
        <v>13</v>
      </c>
      <c r="FG727">
        <v>284</v>
      </c>
      <c r="FH727">
        <v>272</v>
      </c>
      <c r="FI727">
        <v>279</v>
      </c>
    </row>
    <row r="728" spans="1:165" x14ac:dyDescent="0.35">
      <c r="A728" s="25"/>
      <c r="B728" s="25"/>
      <c r="C728" s="25"/>
      <c r="D728" s="25"/>
      <c r="E728" s="25"/>
      <c r="F728" s="25" t="str">
        <f>_xlfn.CONCAT($A729," ",$B729," ",$D729)</f>
        <v>2025 Rivian Automotive L R1T Dual Standard (22in)</v>
      </c>
      <c r="G728" s="25"/>
      <c r="H728" s="25"/>
      <c r="I728" s="25"/>
      <c r="J728" s="25"/>
      <c r="K728" s="25"/>
      <c r="L728" s="25"/>
      <c r="M728" s="25"/>
      <c r="N728" s="25"/>
      <c r="O728" s="25"/>
      <c r="P728" s="25"/>
      <c r="Q728" s="25"/>
      <c r="R728" s="25"/>
      <c r="S728" s="25"/>
      <c r="T728" s="25"/>
      <c r="U728" s="25"/>
      <c r="V728" s="25"/>
      <c r="W728" s="25"/>
      <c r="X728" s="25"/>
      <c r="Y728" s="25"/>
      <c r="Z728" s="25"/>
      <c r="AA728" s="25"/>
      <c r="AB728" s="25"/>
      <c r="AC728" s="25"/>
      <c r="AD728" s="25" t="str">
        <f>_xlfn.CONCAT($A729," ",$B729," ",$D729)</f>
        <v>2025 Rivian Automotive L R1T Dual Standard (22in)</v>
      </c>
      <c r="AE728" s="25"/>
      <c r="AF728" s="25"/>
      <c r="AG728" s="25"/>
      <c r="AH728" s="25"/>
      <c r="AI728" s="25"/>
      <c r="AJ728" s="25"/>
      <c r="AK728" s="25"/>
      <c r="AL728" s="25"/>
      <c r="AM728" s="25"/>
      <c r="AN728" s="25"/>
      <c r="AO728" s="25"/>
      <c r="AP728" s="25"/>
      <c r="AQ728" s="25"/>
      <c r="AR728" s="25"/>
      <c r="AS728" s="25"/>
      <c r="AT728" s="25"/>
      <c r="AU728" s="25"/>
      <c r="AV728" s="25"/>
      <c r="AW728" s="25"/>
      <c r="AX728" s="25" t="str">
        <f>_xlfn.CONCAT($A729," ",$B729," ",$D729)</f>
        <v>2025 Rivian Automotive L R1T Dual Standard (22in)</v>
      </c>
      <c r="AY728" s="25"/>
      <c r="AZ728" s="25"/>
      <c r="BA728" s="25"/>
      <c r="BB728" s="25"/>
      <c r="BC728" s="25"/>
      <c r="BD728" s="25"/>
      <c r="BE728" s="25"/>
      <c r="BF728" s="25"/>
      <c r="BG728" s="25"/>
      <c r="BH728" s="25"/>
      <c r="BI728" s="25"/>
      <c r="BJ728" s="25"/>
      <c r="BK728" s="25"/>
      <c r="BL728" s="25"/>
      <c r="BM728" s="25"/>
      <c r="BN728" s="25"/>
      <c r="BO728" s="25"/>
      <c r="BP728" s="25"/>
      <c r="BQ728" s="25"/>
      <c r="BR728" s="25" t="str">
        <f>_xlfn.CONCAT($A729," ",$B729," ",$D729)</f>
        <v>2025 Rivian Automotive L R1T Dual Standard (22in)</v>
      </c>
      <c r="BS728" s="25"/>
      <c r="BT728" s="25"/>
      <c r="BU728" s="25"/>
      <c r="BV728" s="25"/>
      <c r="BX728" s="25"/>
      <c r="BY728" s="25"/>
      <c r="BZ728" s="25"/>
      <c r="CA728" s="25"/>
      <c r="CB728" s="25"/>
      <c r="CC728" s="25"/>
      <c r="CD728" s="25"/>
      <c r="CE728" s="25"/>
      <c r="CF728" s="25"/>
      <c r="CG728" s="25"/>
      <c r="CH728" s="25"/>
      <c r="CI728" s="25"/>
      <c r="CJ728" s="25"/>
      <c r="CK728" s="25"/>
      <c r="CL728" s="25"/>
      <c r="CM728" s="25"/>
      <c r="CN728" s="25"/>
      <c r="CO728" s="25"/>
      <c r="CP728" s="25" t="str">
        <f>_xlfn.CONCAT($A729," ",$B729," ",$D729)</f>
        <v>2025 Rivian Automotive L R1T Dual Standard (22in)</v>
      </c>
      <c r="CQ728" s="25"/>
      <c r="CR728" s="25"/>
      <c r="CS728" s="25"/>
      <c r="CT728" s="25"/>
      <c r="CU728" s="25"/>
      <c r="CV728" s="25"/>
      <c r="CW728" s="25"/>
      <c r="CX728" s="25"/>
      <c r="CY728" s="25"/>
      <c r="CZ728" s="25"/>
      <c r="DA728" s="25"/>
      <c r="DB728" s="25"/>
      <c r="DC728" s="25"/>
      <c r="DD728" s="25"/>
      <c r="DE728" s="25"/>
      <c r="DF728" s="25"/>
      <c r="DG728" s="25"/>
      <c r="DH728" s="25"/>
      <c r="DI728" s="25" t="str">
        <f>_xlfn.CONCAT($A729," ",$B729," ",$D729)</f>
        <v>2025 Rivian Automotive L R1T Dual Standard (22in)</v>
      </c>
      <c r="DJ728" s="25"/>
      <c r="DK728" s="25"/>
      <c r="DL728" s="25"/>
      <c r="DM728" s="25"/>
      <c r="DN728" s="25"/>
      <c r="DO728" s="25"/>
      <c r="DP728" s="25"/>
      <c r="DQ728" s="25"/>
      <c r="DR728" s="25"/>
      <c r="DS728" s="25"/>
      <c r="DT728" s="25"/>
      <c r="DU728" s="25"/>
      <c r="DV728" s="25"/>
      <c r="DW728" s="25"/>
      <c r="DX728" s="25"/>
      <c r="DY728" s="25"/>
      <c r="DZ728" s="25" t="str">
        <f>_xlfn.CONCAT($A729," ",$B729," ",$D729)</f>
        <v>2025 Rivian Automotive L R1T Dual Standard (22in)</v>
      </c>
      <c r="EB728" s="25"/>
      <c r="EC728" s="25"/>
      <c r="ED728" s="25"/>
      <c r="EE728" s="25"/>
      <c r="EF728" s="25"/>
      <c r="EG728" s="25"/>
      <c r="EH728" s="25"/>
      <c r="EI728" s="25"/>
      <c r="EJ728" s="25"/>
      <c r="EK728" s="25"/>
      <c r="EL728" s="25"/>
      <c r="EM728" s="25"/>
      <c r="EN728" s="25"/>
      <c r="EO728" s="25"/>
      <c r="EP728" s="25"/>
      <c r="EQ728" s="25"/>
      <c r="ER728" s="25"/>
      <c r="ES728" s="25"/>
      <c r="ET728" s="25"/>
      <c r="EU728" s="25"/>
      <c r="EV728" s="25" t="str">
        <f>_xlfn.CONCAT($A729," ",$B729," ",$D729)</f>
        <v>2025 Rivian Automotive L R1T Dual Standard (22in)</v>
      </c>
      <c r="EW728" s="25"/>
      <c r="EX728" s="25"/>
      <c r="EY728" s="25"/>
      <c r="EZ728" s="25"/>
      <c r="FA728" s="25"/>
      <c r="FB728" s="25"/>
      <c r="FC728" s="25"/>
      <c r="FD728" s="25"/>
      <c r="FE728" s="25"/>
      <c r="FF728" s="25"/>
      <c r="FG728" s="25"/>
    </row>
    <row r="729" spans="1:165" x14ac:dyDescent="0.35">
      <c r="A729">
        <v>2025</v>
      </c>
      <c r="B729" t="s">
        <v>2222</v>
      </c>
      <c r="C729" t="s">
        <v>2223</v>
      </c>
      <c r="D729" t="s">
        <v>2285</v>
      </c>
      <c r="E729" t="s">
        <v>2225</v>
      </c>
      <c r="F729">
        <v>59</v>
      </c>
      <c r="G729">
        <v>0</v>
      </c>
      <c r="I729" t="s">
        <v>1734</v>
      </c>
      <c r="J729">
        <v>92</v>
      </c>
      <c r="K729">
        <v>77</v>
      </c>
      <c r="L729">
        <v>85</v>
      </c>
      <c r="M729">
        <v>127.7</v>
      </c>
      <c r="N729">
        <v>107.1</v>
      </c>
      <c r="O729">
        <v>117.5275</v>
      </c>
      <c r="P729">
        <v>91.818899999999999</v>
      </c>
      <c r="Q729">
        <v>77.007000000000005</v>
      </c>
      <c r="R729">
        <v>84.504599999999996</v>
      </c>
      <c r="V729" t="s">
        <v>167</v>
      </c>
      <c r="W729" t="s">
        <v>168</v>
      </c>
      <c r="Y729">
        <v>1</v>
      </c>
      <c r="Z729" t="s">
        <v>170</v>
      </c>
      <c r="AA729" t="s">
        <v>170</v>
      </c>
      <c r="AB729" t="s">
        <v>809</v>
      </c>
      <c r="AC729" t="s">
        <v>810</v>
      </c>
      <c r="AF729">
        <v>270</v>
      </c>
      <c r="AG729" t="s">
        <v>1735</v>
      </c>
      <c r="AH729" t="s">
        <v>1736</v>
      </c>
      <c r="AI729" t="s">
        <v>175</v>
      </c>
      <c r="AJ729" t="s">
        <v>176</v>
      </c>
      <c r="AK729">
        <v>4</v>
      </c>
      <c r="AL729" t="s">
        <v>1737</v>
      </c>
      <c r="AS729">
        <v>950</v>
      </c>
      <c r="AT729">
        <v>950</v>
      </c>
      <c r="BQ729">
        <v>13</v>
      </c>
      <c r="BR729" t="s">
        <v>1016</v>
      </c>
      <c r="BT729" t="s">
        <v>1769</v>
      </c>
      <c r="BU729" s="1">
        <v>45416</v>
      </c>
      <c r="BV729">
        <v>34689</v>
      </c>
      <c r="BY729" t="s">
        <v>170</v>
      </c>
      <c r="CB729" t="s">
        <v>170</v>
      </c>
      <c r="CC729" t="s">
        <v>170</v>
      </c>
      <c r="CK729" t="s">
        <v>233</v>
      </c>
      <c r="CM729">
        <v>1</v>
      </c>
      <c r="CN729" t="s">
        <v>404</v>
      </c>
      <c r="CO729" t="s">
        <v>2250</v>
      </c>
      <c r="CP729">
        <v>403</v>
      </c>
      <c r="CQ729">
        <v>235</v>
      </c>
      <c r="CR729">
        <v>130</v>
      </c>
      <c r="CS729" t="s">
        <v>1752</v>
      </c>
      <c r="CV729" t="s">
        <v>341</v>
      </c>
      <c r="CX729" t="s">
        <v>342</v>
      </c>
      <c r="CY729" t="s">
        <v>169</v>
      </c>
      <c r="DC729" t="s">
        <v>2226</v>
      </c>
      <c r="DD729">
        <v>2</v>
      </c>
      <c r="DE729" t="s">
        <v>404</v>
      </c>
      <c r="DF729" t="s">
        <v>1860</v>
      </c>
      <c r="DG729" t="s">
        <v>2251</v>
      </c>
      <c r="DL729" t="s">
        <v>170</v>
      </c>
      <c r="DM729" t="s">
        <v>169</v>
      </c>
      <c r="DP729" t="s">
        <v>170</v>
      </c>
      <c r="DQ729" t="s">
        <v>187</v>
      </c>
      <c r="DR729" t="s">
        <v>2286</v>
      </c>
      <c r="EB729">
        <v>9</v>
      </c>
      <c r="EC729">
        <v>10</v>
      </c>
      <c r="EE729" t="s">
        <v>2253</v>
      </c>
      <c r="EF729">
        <v>10</v>
      </c>
      <c r="EU729">
        <v>4750</v>
      </c>
      <c r="EW729">
        <v>0</v>
      </c>
      <c r="EX729">
        <v>0</v>
      </c>
      <c r="EY729">
        <v>0</v>
      </c>
      <c r="FA729">
        <v>9.5</v>
      </c>
      <c r="FG729">
        <v>291</v>
      </c>
      <c r="FH729">
        <v>244</v>
      </c>
      <c r="FI729">
        <v>270</v>
      </c>
    </row>
    <row r="730" spans="1:165" x14ac:dyDescent="0.35">
      <c r="A730">
        <v>2025</v>
      </c>
      <c r="B730" t="s">
        <v>2222</v>
      </c>
      <c r="C730" t="s">
        <v>2223</v>
      </c>
      <c r="D730" t="s">
        <v>2285</v>
      </c>
      <c r="E730" t="s">
        <v>2225</v>
      </c>
      <c r="F730">
        <v>59</v>
      </c>
      <c r="G730">
        <v>0</v>
      </c>
      <c r="I730" t="s">
        <v>1734</v>
      </c>
      <c r="J730">
        <v>37</v>
      </c>
      <c r="K730">
        <v>44</v>
      </c>
      <c r="L730">
        <v>40</v>
      </c>
      <c r="M730">
        <v>26.3842</v>
      </c>
      <c r="N730">
        <v>31.461099999999998</v>
      </c>
      <c r="O730">
        <v>28.668800000000001</v>
      </c>
      <c r="P730">
        <v>36.708100000000002</v>
      </c>
      <c r="Q730">
        <v>43.768700000000003</v>
      </c>
      <c r="R730">
        <v>39.885399999999997</v>
      </c>
      <c r="V730" t="s">
        <v>167</v>
      </c>
      <c r="W730" t="s">
        <v>168</v>
      </c>
      <c r="Y730">
        <v>1</v>
      </c>
      <c r="Z730" t="s">
        <v>170</v>
      </c>
      <c r="AA730" t="s">
        <v>170</v>
      </c>
      <c r="AB730" t="s">
        <v>809</v>
      </c>
      <c r="AC730" t="s">
        <v>810</v>
      </c>
      <c r="AF730">
        <v>270</v>
      </c>
      <c r="AG730" t="s">
        <v>1735</v>
      </c>
      <c r="AH730" t="s">
        <v>1736</v>
      </c>
      <c r="AI730" t="s">
        <v>1742</v>
      </c>
      <c r="AJ730" t="s">
        <v>1743</v>
      </c>
      <c r="AK730">
        <v>4</v>
      </c>
      <c r="AL730" t="s">
        <v>1737</v>
      </c>
      <c r="AS730">
        <v>950</v>
      </c>
      <c r="AT730">
        <v>950</v>
      </c>
      <c r="BQ730">
        <v>13</v>
      </c>
      <c r="BR730" t="s">
        <v>1016</v>
      </c>
      <c r="BT730" t="s">
        <v>1769</v>
      </c>
      <c r="BU730" s="1">
        <v>45416</v>
      </c>
      <c r="BV730">
        <v>34689</v>
      </c>
      <c r="BY730" t="s">
        <v>170</v>
      </c>
      <c r="CB730" t="s">
        <v>170</v>
      </c>
      <c r="CC730" t="s">
        <v>170</v>
      </c>
      <c r="CK730" t="s">
        <v>233</v>
      </c>
      <c r="CM730">
        <v>1</v>
      </c>
      <c r="CN730" t="s">
        <v>404</v>
      </c>
      <c r="CO730" t="s">
        <v>2250</v>
      </c>
      <c r="CP730">
        <v>403</v>
      </c>
      <c r="CQ730">
        <v>235</v>
      </c>
      <c r="CR730">
        <v>130</v>
      </c>
      <c r="CS730" t="s">
        <v>1752</v>
      </c>
      <c r="CV730" t="s">
        <v>341</v>
      </c>
      <c r="CX730" t="s">
        <v>342</v>
      </c>
      <c r="CY730" t="s">
        <v>169</v>
      </c>
      <c r="DC730" t="s">
        <v>2226</v>
      </c>
      <c r="DD730">
        <v>2</v>
      </c>
      <c r="DE730" t="s">
        <v>404</v>
      </c>
      <c r="DF730" t="s">
        <v>1860</v>
      </c>
      <c r="DG730" t="s">
        <v>2251</v>
      </c>
      <c r="DL730" t="s">
        <v>170</v>
      </c>
      <c r="DM730" t="s">
        <v>169</v>
      </c>
      <c r="DP730" t="s">
        <v>170</v>
      </c>
      <c r="DQ730" t="s">
        <v>187</v>
      </c>
      <c r="DR730" t="s">
        <v>2286</v>
      </c>
      <c r="EB730">
        <v>9</v>
      </c>
      <c r="EC730">
        <v>10</v>
      </c>
      <c r="EE730" t="s">
        <v>2253</v>
      </c>
      <c r="EF730">
        <v>10</v>
      </c>
      <c r="EU730">
        <v>4750</v>
      </c>
      <c r="EW730">
        <v>0</v>
      </c>
      <c r="EX730">
        <v>0</v>
      </c>
      <c r="EY730">
        <v>0</v>
      </c>
      <c r="FA730">
        <v>9.5</v>
      </c>
      <c r="FG730">
        <v>291</v>
      </c>
      <c r="FH730">
        <v>244</v>
      </c>
      <c r="FI730">
        <v>270</v>
      </c>
    </row>
    <row r="731" spans="1:165" x14ac:dyDescent="0.35">
      <c r="A731" s="25"/>
      <c r="B731" s="25"/>
      <c r="C731" s="25"/>
      <c r="D731" s="25"/>
      <c r="E731" s="25"/>
      <c r="F731" s="25" t="str">
        <f>_xlfn.CONCAT($A732," ",$B732," ",$D732)</f>
        <v>2025 Rivian Automotive L R1S Dual Standard (22in)</v>
      </c>
      <c r="G731" s="25"/>
      <c r="H731" s="25"/>
      <c r="I731" s="25"/>
      <c r="J731" s="25"/>
      <c r="K731" s="25"/>
      <c r="L731" s="25"/>
      <c r="M731" s="25"/>
      <c r="N731" s="25"/>
      <c r="O731" s="25"/>
      <c r="P731" s="25"/>
      <c r="Q731" s="25"/>
      <c r="R731" s="25"/>
      <c r="S731" s="25"/>
      <c r="T731" s="25"/>
      <c r="U731" s="25"/>
      <c r="V731" s="25"/>
      <c r="W731" s="25"/>
      <c r="X731" s="25"/>
      <c r="Y731" s="25"/>
      <c r="Z731" s="25"/>
      <c r="AA731" s="25"/>
      <c r="AB731" s="25"/>
      <c r="AC731" s="25"/>
      <c r="AD731" s="25" t="str">
        <f>_xlfn.CONCAT($A732," ",$B732," ",$D732)</f>
        <v>2025 Rivian Automotive L R1S Dual Standard (22in)</v>
      </c>
      <c r="AE731" s="25"/>
      <c r="AF731" s="25"/>
      <c r="AG731" s="25"/>
      <c r="AH731" s="25"/>
      <c r="AI731" s="25"/>
      <c r="AJ731" s="25"/>
      <c r="AK731" s="25"/>
      <c r="AL731" s="25"/>
      <c r="AM731" s="25"/>
      <c r="AN731" s="25"/>
      <c r="AO731" s="25"/>
      <c r="AP731" s="25"/>
      <c r="AQ731" s="25"/>
      <c r="AR731" s="25"/>
      <c r="AS731" s="25"/>
      <c r="AT731" s="25"/>
      <c r="AU731" s="25"/>
      <c r="AV731" s="25"/>
      <c r="AW731" s="25"/>
      <c r="AX731" s="25" t="str">
        <f>_xlfn.CONCAT($A732," ",$B732," ",$D732)</f>
        <v>2025 Rivian Automotive L R1S Dual Standard (22in)</v>
      </c>
      <c r="AY731" s="25"/>
      <c r="AZ731" s="25"/>
      <c r="BA731" s="25"/>
      <c r="BB731" s="25"/>
      <c r="BC731" s="25"/>
      <c r="BD731" s="25"/>
      <c r="BE731" s="25"/>
      <c r="BF731" s="25"/>
      <c r="BG731" s="25"/>
      <c r="BH731" s="25"/>
      <c r="BI731" s="25"/>
      <c r="BJ731" s="25"/>
      <c r="BK731" s="25"/>
      <c r="BL731" s="25"/>
      <c r="BM731" s="25"/>
      <c r="BN731" s="25"/>
      <c r="BO731" s="25"/>
      <c r="BP731" s="25"/>
      <c r="BQ731" s="25"/>
      <c r="BR731" s="25" t="str">
        <f>_xlfn.CONCAT($A732," ",$B732," ",$D732)</f>
        <v>2025 Rivian Automotive L R1S Dual Standard (22in)</v>
      </c>
      <c r="BS731" s="25"/>
      <c r="BT731" s="25"/>
      <c r="BU731" s="25"/>
      <c r="BV731" s="25"/>
      <c r="BX731" s="25"/>
      <c r="BY731" s="25"/>
      <c r="BZ731" s="25"/>
      <c r="CA731" s="25"/>
      <c r="CB731" s="25"/>
      <c r="CC731" s="25"/>
      <c r="CD731" s="25"/>
      <c r="CE731" s="25"/>
      <c r="CF731" s="25"/>
      <c r="CG731" s="25"/>
      <c r="CH731" s="25"/>
      <c r="CI731" s="25"/>
      <c r="CJ731" s="25"/>
      <c r="CK731" s="25"/>
      <c r="CL731" s="25"/>
      <c r="CM731" s="25"/>
      <c r="CN731" s="25"/>
      <c r="CO731" s="25"/>
      <c r="CP731" s="25" t="str">
        <f>_xlfn.CONCAT($A732," ",$B732," ",$D732)</f>
        <v>2025 Rivian Automotive L R1S Dual Standard (22in)</v>
      </c>
      <c r="CQ731" s="25"/>
      <c r="CR731" s="25"/>
      <c r="CS731" s="25"/>
      <c r="CT731" s="25"/>
      <c r="CU731" s="25"/>
      <c r="CV731" s="25"/>
      <c r="CW731" s="25"/>
      <c r="CX731" s="25"/>
      <c r="CY731" s="25"/>
      <c r="CZ731" s="25"/>
      <c r="DA731" s="25"/>
      <c r="DB731" s="25"/>
      <c r="DC731" s="25"/>
      <c r="DD731" s="25"/>
      <c r="DE731" s="25"/>
      <c r="DF731" s="25"/>
      <c r="DG731" s="25"/>
      <c r="DH731" s="25"/>
      <c r="DI731" s="25" t="str">
        <f>_xlfn.CONCAT($A732," ",$B732," ",$D732)</f>
        <v>2025 Rivian Automotive L R1S Dual Standard (22in)</v>
      </c>
      <c r="DJ731" s="25"/>
      <c r="DK731" s="25"/>
      <c r="DL731" s="25"/>
      <c r="DM731" s="25"/>
      <c r="DN731" s="25"/>
      <c r="DO731" s="25"/>
      <c r="DP731" s="25"/>
      <c r="DQ731" s="25"/>
      <c r="DR731" s="25"/>
      <c r="DS731" s="25"/>
      <c r="DT731" s="25"/>
      <c r="DU731" s="25"/>
      <c r="DV731" s="25"/>
      <c r="DW731" s="25"/>
      <c r="DX731" s="25"/>
      <c r="DY731" s="25"/>
      <c r="DZ731" s="25" t="str">
        <f>_xlfn.CONCAT($A732," ",$B732," ",$D732)</f>
        <v>2025 Rivian Automotive L R1S Dual Standard (22in)</v>
      </c>
      <c r="EB731" s="25"/>
      <c r="EC731" s="25"/>
      <c r="ED731" s="25"/>
      <c r="EE731" s="25"/>
      <c r="EF731" s="25"/>
      <c r="EG731" s="25"/>
      <c r="EH731" s="25"/>
      <c r="EI731" s="25"/>
      <c r="EJ731" s="25"/>
      <c r="EK731" s="25"/>
      <c r="EL731" s="25"/>
      <c r="EM731" s="25"/>
      <c r="EN731" s="25"/>
      <c r="EO731" s="25"/>
      <c r="EP731" s="25"/>
      <c r="EQ731" s="25"/>
      <c r="ER731" s="25"/>
      <c r="ES731" s="25"/>
      <c r="ET731" s="25"/>
      <c r="EU731" s="25"/>
      <c r="EV731" s="25" t="str">
        <f>_xlfn.CONCAT($A732," ",$B732," ",$D732)</f>
        <v>2025 Rivian Automotive L R1S Dual Standard (22in)</v>
      </c>
      <c r="EW731" s="25"/>
      <c r="EX731" s="25"/>
      <c r="EY731" s="25"/>
      <c r="EZ731" s="25"/>
      <c r="FA731" s="25"/>
      <c r="FB731" s="25"/>
      <c r="FC731" s="25"/>
      <c r="FD731" s="25"/>
      <c r="FE731" s="25"/>
      <c r="FF731" s="25"/>
      <c r="FG731" s="25"/>
    </row>
    <row r="732" spans="1:165" x14ac:dyDescent="0.35">
      <c r="A732">
        <v>2025</v>
      </c>
      <c r="B732" t="s">
        <v>2222</v>
      </c>
      <c r="C732" t="s">
        <v>2223</v>
      </c>
      <c r="D732" t="s">
        <v>2254</v>
      </c>
      <c r="E732" t="s">
        <v>2225</v>
      </c>
      <c r="F732">
        <v>60</v>
      </c>
      <c r="G732">
        <v>0</v>
      </c>
      <c r="I732" t="s">
        <v>1734</v>
      </c>
      <c r="J732">
        <v>92</v>
      </c>
      <c r="K732">
        <v>77</v>
      </c>
      <c r="L732">
        <v>85</v>
      </c>
      <c r="M732">
        <v>127.7</v>
      </c>
      <c r="N732">
        <v>107.1</v>
      </c>
      <c r="O732">
        <v>117.5275</v>
      </c>
      <c r="P732">
        <v>91.818899999999999</v>
      </c>
      <c r="Q732">
        <v>77.007000000000005</v>
      </c>
      <c r="R732">
        <v>84.504599999999996</v>
      </c>
      <c r="V732" t="s">
        <v>167</v>
      </c>
      <c r="W732" t="s">
        <v>168</v>
      </c>
      <c r="Y732">
        <v>1</v>
      </c>
      <c r="Z732" t="s">
        <v>170</v>
      </c>
      <c r="AA732" t="s">
        <v>170</v>
      </c>
      <c r="AB732" t="s">
        <v>809</v>
      </c>
      <c r="AC732" t="s">
        <v>810</v>
      </c>
      <c r="AF732">
        <v>270</v>
      </c>
      <c r="AG732" t="s">
        <v>1735</v>
      </c>
      <c r="AH732" t="s">
        <v>1736</v>
      </c>
      <c r="AI732" t="s">
        <v>175</v>
      </c>
      <c r="AJ732" t="s">
        <v>176</v>
      </c>
      <c r="AK732">
        <v>4</v>
      </c>
      <c r="AL732" t="s">
        <v>1737</v>
      </c>
      <c r="AS732">
        <v>950</v>
      </c>
      <c r="AT732">
        <v>950</v>
      </c>
      <c r="BQ732">
        <v>33</v>
      </c>
      <c r="BR732" t="s">
        <v>1497</v>
      </c>
      <c r="BT732" t="s">
        <v>1769</v>
      </c>
      <c r="BU732" s="1">
        <v>45416</v>
      </c>
      <c r="BV732">
        <v>34698</v>
      </c>
      <c r="BY732" t="s">
        <v>170</v>
      </c>
      <c r="CB732" t="s">
        <v>170</v>
      </c>
      <c r="CC732" t="s">
        <v>170</v>
      </c>
      <c r="CK732" t="s">
        <v>233</v>
      </c>
      <c r="CM732">
        <v>1</v>
      </c>
      <c r="CN732" t="s">
        <v>404</v>
      </c>
      <c r="CO732" t="s">
        <v>2250</v>
      </c>
      <c r="CP732">
        <v>403</v>
      </c>
      <c r="CQ732">
        <v>235</v>
      </c>
      <c r="CR732">
        <v>130</v>
      </c>
      <c r="CS732" t="s">
        <v>1752</v>
      </c>
      <c r="CV732" t="s">
        <v>341</v>
      </c>
      <c r="CX732" t="s">
        <v>342</v>
      </c>
      <c r="CY732" t="s">
        <v>169</v>
      </c>
      <c r="DC732" t="s">
        <v>2226</v>
      </c>
      <c r="DD732">
        <v>2</v>
      </c>
      <c r="DE732" t="s">
        <v>404</v>
      </c>
      <c r="DF732" t="s">
        <v>1860</v>
      </c>
      <c r="DG732" t="s">
        <v>2251</v>
      </c>
      <c r="DL732" t="s">
        <v>170</v>
      </c>
      <c r="DM732" t="s">
        <v>169</v>
      </c>
      <c r="DP732" t="s">
        <v>170</v>
      </c>
      <c r="DQ732" t="s">
        <v>187</v>
      </c>
      <c r="DR732" t="s">
        <v>2255</v>
      </c>
      <c r="EB732">
        <v>9</v>
      </c>
      <c r="EC732">
        <v>10</v>
      </c>
      <c r="EE732" t="s">
        <v>2253</v>
      </c>
      <c r="EF732">
        <v>10</v>
      </c>
      <c r="EU732">
        <v>4750</v>
      </c>
      <c r="EW732">
        <v>0</v>
      </c>
      <c r="EX732">
        <v>0</v>
      </c>
      <c r="EY732">
        <v>0</v>
      </c>
      <c r="FA732">
        <v>9.5</v>
      </c>
      <c r="FG732">
        <v>291</v>
      </c>
      <c r="FH732">
        <v>244</v>
      </c>
      <c r="FI732">
        <v>270</v>
      </c>
    </row>
    <row r="733" spans="1:165" x14ac:dyDescent="0.35">
      <c r="A733">
        <v>2025</v>
      </c>
      <c r="B733" t="s">
        <v>2222</v>
      </c>
      <c r="C733" t="s">
        <v>2223</v>
      </c>
      <c r="D733" t="s">
        <v>2254</v>
      </c>
      <c r="E733" t="s">
        <v>2225</v>
      </c>
      <c r="F733">
        <v>60</v>
      </c>
      <c r="G733">
        <v>0</v>
      </c>
      <c r="I733" t="s">
        <v>1734</v>
      </c>
      <c r="J733">
        <v>37</v>
      </c>
      <c r="K733">
        <v>44</v>
      </c>
      <c r="L733">
        <v>40</v>
      </c>
      <c r="M733">
        <v>26.3842</v>
      </c>
      <c r="N733">
        <v>31.461099999999998</v>
      </c>
      <c r="O733">
        <v>28.668800000000001</v>
      </c>
      <c r="P733">
        <v>36.708100000000002</v>
      </c>
      <c r="Q733">
        <v>43.768700000000003</v>
      </c>
      <c r="R733">
        <v>39.885399999999997</v>
      </c>
      <c r="V733" t="s">
        <v>167</v>
      </c>
      <c r="W733" t="s">
        <v>168</v>
      </c>
      <c r="Y733">
        <v>1</v>
      </c>
      <c r="Z733" t="s">
        <v>170</v>
      </c>
      <c r="AA733" t="s">
        <v>170</v>
      </c>
      <c r="AB733" t="s">
        <v>809</v>
      </c>
      <c r="AC733" t="s">
        <v>810</v>
      </c>
      <c r="AF733">
        <v>270</v>
      </c>
      <c r="AG733" t="s">
        <v>1735</v>
      </c>
      <c r="AH733" t="s">
        <v>1736</v>
      </c>
      <c r="AI733" t="s">
        <v>1742</v>
      </c>
      <c r="AJ733" t="s">
        <v>1743</v>
      </c>
      <c r="AK733">
        <v>4</v>
      </c>
      <c r="AL733" t="s">
        <v>1737</v>
      </c>
      <c r="AS733">
        <v>950</v>
      </c>
      <c r="AT733">
        <v>950</v>
      </c>
      <c r="BQ733">
        <v>33</v>
      </c>
      <c r="BR733" t="s">
        <v>1497</v>
      </c>
      <c r="BT733" t="s">
        <v>1769</v>
      </c>
      <c r="BU733" s="1">
        <v>45416</v>
      </c>
      <c r="BV733">
        <v>34698</v>
      </c>
      <c r="BY733" t="s">
        <v>170</v>
      </c>
      <c r="CB733" t="s">
        <v>170</v>
      </c>
      <c r="CC733" t="s">
        <v>170</v>
      </c>
      <c r="CK733" t="s">
        <v>233</v>
      </c>
      <c r="CM733">
        <v>1</v>
      </c>
      <c r="CN733" t="s">
        <v>404</v>
      </c>
      <c r="CO733" t="s">
        <v>2250</v>
      </c>
      <c r="CP733">
        <v>403</v>
      </c>
      <c r="CQ733">
        <v>235</v>
      </c>
      <c r="CR733">
        <v>130</v>
      </c>
      <c r="CS733" t="s">
        <v>1752</v>
      </c>
      <c r="CV733" t="s">
        <v>341</v>
      </c>
      <c r="CX733" t="s">
        <v>342</v>
      </c>
      <c r="CY733" t="s">
        <v>169</v>
      </c>
      <c r="DC733" t="s">
        <v>2226</v>
      </c>
      <c r="DD733">
        <v>2</v>
      </c>
      <c r="DE733" t="s">
        <v>404</v>
      </c>
      <c r="DF733" t="s">
        <v>1860</v>
      </c>
      <c r="DG733" t="s">
        <v>2251</v>
      </c>
      <c r="DL733" t="s">
        <v>170</v>
      </c>
      <c r="DM733" t="s">
        <v>169</v>
      </c>
      <c r="DP733" t="s">
        <v>170</v>
      </c>
      <c r="DQ733" t="s">
        <v>187</v>
      </c>
      <c r="DR733" t="s">
        <v>2255</v>
      </c>
      <c r="EB733">
        <v>9</v>
      </c>
      <c r="EC733">
        <v>10</v>
      </c>
      <c r="EE733" t="s">
        <v>2253</v>
      </c>
      <c r="EF733">
        <v>10</v>
      </c>
      <c r="EU733">
        <v>4750</v>
      </c>
      <c r="EW733">
        <v>0</v>
      </c>
      <c r="EX733">
        <v>0</v>
      </c>
      <c r="EY733">
        <v>0</v>
      </c>
      <c r="FA733">
        <v>9.5</v>
      </c>
      <c r="FG733">
        <v>291</v>
      </c>
      <c r="FH733">
        <v>244</v>
      </c>
      <c r="FI733">
        <v>270</v>
      </c>
    </row>
    <row r="734" spans="1:165" x14ac:dyDescent="0.35">
      <c r="A734" s="25"/>
      <c r="B734" s="25"/>
      <c r="C734" s="25"/>
      <c r="D734" s="25"/>
      <c r="E734" s="25"/>
      <c r="F734" s="25" t="str">
        <f>_xlfn.CONCAT($A735," ",$B735," ",$D735)</f>
        <v>2025 Rivian Automotive L R1T Dual Standard (20in)</v>
      </c>
      <c r="G734" s="25"/>
      <c r="H734" s="25"/>
      <c r="I734" s="25"/>
      <c r="J734" s="25"/>
      <c r="K734" s="25"/>
      <c r="L734" s="25"/>
      <c r="M734" s="25"/>
      <c r="N734" s="25"/>
      <c r="O734" s="25"/>
      <c r="P734" s="25"/>
      <c r="Q734" s="25"/>
      <c r="R734" s="25"/>
      <c r="S734" s="25"/>
      <c r="T734" s="25"/>
      <c r="U734" s="25"/>
      <c r="V734" s="25"/>
      <c r="W734" s="25"/>
      <c r="X734" s="25"/>
      <c r="Y734" s="25"/>
      <c r="Z734" s="25"/>
      <c r="AA734" s="25"/>
      <c r="AB734" s="25"/>
      <c r="AC734" s="25"/>
      <c r="AD734" s="25" t="str">
        <f>_xlfn.CONCAT($A735," ",$B735," ",$D735)</f>
        <v>2025 Rivian Automotive L R1T Dual Standard (20in)</v>
      </c>
      <c r="AE734" s="25"/>
      <c r="AF734" s="25"/>
      <c r="AG734" s="25"/>
      <c r="AH734" s="25"/>
      <c r="AI734" s="25"/>
      <c r="AJ734" s="25"/>
      <c r="AK734" s="25"/>
      <c r="AL734" s="25"/>
      <c r="AM734" s="25"/>
      <c r="AN734" s="25"/>
      <c r="AO734" s="25"/>
      <c r="AP734" s="25"/>
      <c r="AQ734" s="25"/>
      <c r="AR734" s="25"/>
      <c r="AS734" s="25"/>
      <c r="AT734" s="25"/>
      <c r="AU734" s="25"/>
      <c r="AV734" s="25"/>
      <c r="AW734" s="25"/>
      <c r="AX734" s="25" t="str">
        <f>_xlfn.CONCAT($A735," ",$B735," ",$D735)</f>
        <v>2025 Rivian Automotive L R1T Dual Standard (20in)</v>
      </c>
      <c r="AY734" s="25"/>
      <c r="AZ734" s="25"/>
      <c r="BA734" s="25"/>
      <c r="BB734" s="25"/>
      <c r="BC734" s="25"/>
      <c r="BD734" s="25"/>
      <c r="BE734" s="25"/>
      <c r="BF734" s="25"/>
      <c r="BG734" s="25"/>
      <c r="BH734" s="25"/>
      <c r="BI734" s="25"/>
      <c r="BJ734" s="25"/>
      <c r="BK734" s="25"/>
      <c r="BL734" s="25"/>
      <c r="BM734" s="25"/>
      <c r="BN734" s="25"/>
      <c r="BO734" s="25"/>
      <c r="BP734" s="25"/>
      <c r="BQ734" s="25"/>
      <c r="BR734" s="25" t="str">
        <f>_xlfn.CONCAT($A735," ",$B735," ",$D735)</f>
        <v>2025 Rivian Automotive L R1T Dual Standard (20in)</v>
      </c>
      <c r="BS734" s="25"/>
      <c r="BT734" s="25"/>
      <c r="BU734" s="25"/>
      <c r="BV734" s="25"/>
      <c r="BX734" s="25"/>
      <c r="BY734" s="25"/>
      <c r="BZ734" s="25"/>
      <c r="CA734" s="25"/>
      <c r="CB734" s="25"/>
      <c r="CC734" s="25"/>
      <c r="CD734" s="25"/>
      <c r="CE734" s="25"/>
      <c r="CF734" s="25"/>
      <c r="CG734" s="25"/>
      <c r="CH734" s="25"/>
      <c r="CI734" s="25"/>
      <c r="CJ734" s="25"/>
      <c r="CK734" s="25"/>
      <c r="CL734" s="25"/>
      <c r="CM734" s="25"/>
      <c r="CN734" s="25"/>
      <c r="CO734" s="25"/>
      <c r="CP734" s="25" t="str">
        <f>_xlfn.CONCAT($A735," ",$B735," ",$D735)</f>
        <v>2025 Rivian Automotive L R1T Dual Standard (20in)</v>
      </c>
      <c r="CQ734" s="25"/>
      <c r="CR734" s="25"/>
      <c r="CS734" s="25"/>
      <c r="CT734" s="25"/>
      <c r="CU734" s="25"/>
      <c r="CV734" s="25"/>
      <c r="CW734" s="25"/>
      <c r="CX734" s="25"/>
      <c r="CY734" s="25"/>
      <c r="CZ734" s="25"/>
      <c r="DA734" s="25"/>
      <c r="DB734" s="25"/>
      <c r="DC734" s="25"/>
      <c r="DD734" s="25"/>
      <c r="DE734" s="25"/>
      <c r="DF734" s="25"/>
      <c r="DG734" s="25"/>
      <c r="DH734" s="25"/>
      <c r="DI734" s="25" t="str">
        <f>_xlfn.CONCAT($A735," ",$B735," ",$D735)</f>
        <v>2025 Rivian Automotive L R1T Dual Standard (20in)</v>
      </c>
      <c r="DJ734" s="25"/>
      <c r="DK734" s="25"/>
      <c r="DL734" s="25"/>
      <c r="DM734" s="25"/>
      <c r="DN734" s="25"/>
      <c r="DO734" s="25"/>
      <c r="DP734" s="25"/>
      <c r="DQ734" s="25"/>
      <c r="DR734" s="25"/>
      <c r="DS734" s="25"/>
      <c r="DT734" s="25"/>
      <c r="DU734" s="25"/>
      <c r="DV734" s="25"/>
      <c r="DW734" s="25"/>
      <c r="DX734" s="25"/>
      <c r="DY734" s="25"/>
      <c r="DZ734" s="25" t="str">
        <f>_xlfn.CONCAT($A735," ",$B735," ",$D735)</f>
        <v>2025 Rivian Automotive L R1T Dual Standard (20in)</v>
      </c>
      <c r="EB734" s="25"/>
      <c r="EC734" s="25"/>
      <c r="ED734" s="25"/>
      <c r="EE734" s="25"/>
      <c r="EF734" s="25"/>
      <c r="EG734" s="25"/>
      <c r="EH734" s="25"/>
      <c r="EI734" s="25"/>
      <c r="EJ734" s="25"/>
      <c r="EK734" s="25"/>
      <c r="EL734" s="25"/>
      <c r="EM734" s="25"/>
      <c r="EN734" s="25"/>
      <c r="EO734" s="25"/>
      <c r="EP734" s="25"/>
      <c r="EQ734" s="25"/>
      <c r="ER734" s="25"/>
      <c r="ES734" s="25"/>
      <c r="ET734" s="25"/>
      <c r="EU734" s="25"/>
      <c r="EV734" s="25" t="str">
        <f>_xlfn.CONCAT($A735," ",$B735," ",$D735)</f>
        <v>2025 Rivian Automotive L R1T Dual Standard (20in)</v>
      </c>
      <c r="EW734" s="25"/>
      <c r="EX734" s="25"/>
      <c r="EY734" s="25"/>
      <c r="EZ734" s="25"/>
      <c r="FA734" s="25"/>
      <c r="FB734" s="25"/>
      <c r="FC734" s="25"/>
      <c r="FD734" s="25"/>
      <c r="FE734" s="25"/>
      <c r="FF734" s="25"/>
      <c r="FG734" s="25"/>
    </row>
    <row r="735" spans="1:165" x14ac:dyDescent="0.35">
      <c r="A735">
        <v>2025</v>
      </c>
      <c r="B735" t="s">
        <v>2222</v>
      </c>
      <c r="C735" t="s">
        <v>2223</v>
      </c>
      <c r="D735" t="s">
        <v>2283</v>
      </c>
      <c r="E735" t="s">
        <v>2225</v>
      </c>
      <c r="F735">
        <v>61</v>
      </c>
      <c r="G735">
        <v>0</v>
      </c>
      <c r="I735" t="s">
        <v>1734</v>
      </c>
      <c r="J735">
        <v>85</v>
      </c>
      <c r="K735">
        <v>72</v>
      </c>
      <c r="L735">
        <v>79</v>
      </c>
      <c r="M735">
        <v>116.8</v>
      </c>
      <c r="N735">
        <v>98.9</v>
      </c>
      <c r="O735">
        <v>108.00360000000001</v>
      </c>
      <c r="P735">
        <v>85.028099999999995</v>
      </c>
      <c r="Q735">
        <v>71.997200000000007</v>
      </c>
      <c r="R735">
        <v>78.624499999999998</v>
      </c>
      <c r="V735" t="s">
        <v>167</v>
      </c>
      <c r="W735" t="s">
        <v>168</v>
      </c>
      <c r="Y735">
        <v>1</v>
      </c>
      <c r="Z735" t="s">
        <v>170</v>
      </c>
      <c r="AA735" t="s">
        <v>170</v>
      </c>
      <c r="AB735" t="s">
        <v>809</v>
      </c>
      <c r="AC735" t="s">
        <v>810</v>
      </c>
      <c r="AF735">
        <v>258</v>
      </c>
      <c r="AG735" t="s">
        <v>1735</v>
      </c>
      <c r="AH735" t="s">
        <v>1736</v>
      </c>
      <c r="AI735" t="s">
        <v>175</v>
      </c>
      <c r="AJ735" t="s">
        <v>176</v>
      </c>
      <c r="AK735">
        <v>4</v>
      </c>
      <c r="AL735" t="s">
        <v>1737</v>
      </c>
      <c r="AS735">
        <v>1050</v>
      </c>
      <c r="AT735">
        <v>1050</v>
      </c>
      <c r="BQ735">
        <v>13</v>
      </c>
      <c r="BR735" t="s">
        <v>1016</v>
      </c>
      <c r="BT735" t="s">
        <v>1769</v>
      </c>
      <c r="BU735" s="1">
        <v>45416</v>
      </c>
      <c r="BV735">
        <v>34705</v>
      </c>
      <c r="BY735" t="s">
        <v>170</v>
      </c>
      <c r="CB735" t="s">
        <v>170</v>
      </c>
      <c r="CC735" t="s">
        <v>170</v>
      </c>
      <c r="CK735" t="s">
        <v>233</v>
      </c>
      <c r="CM735">
        <v>1</v>
      </c>
      <c r="CN735" t="s">
        <v>404</v>
      </c>
      <c r="CO735" t="s">
        <v>2250</v>
      </c>
      <c r="CP735">
        <v>403</v>
      </c>
      <c r="CQ735">
        <v>235</v>
      </c>
      <c r="CR735">
        <v>130</v>
      </c>
      <c r="CS735" t="s">
        <v>1752</v>
      </c>
      <c r="CV735" t="s">
        <v>341</v>
      </c>
      <c r="CX735" t="s">
        <v>342</v>
      </c>
      <c r="CY735" t="s">
        <v>169</v>
      </c>
      <c r="DC735" t="s">
        <v>2226</v>
      </c>
      <c r="DD735">
        <v>2</v>
      </c>
      <c r="DE735" t="s">
        <v>404</v>
      </c>
      <c r="DF735" t="s">
        <v>1860</v>
      </c>
      <c r="DG735" t="s">
        <v>2251</v>
      </c>
      <c r="DL735" t="s">
        <v>170</v>
      </c>
      <c r="DM735" t="s">
        <v>169</v>
      </c>
      <c r="DP735" t="s">
        <v>170</v>
      </c>
      <c r="DQ735" t="s">
        <v>187</v>
      </c>
      <c r="DR735" t="s">
        <v>2284</v>
      </c>
      <c r="EB735">
        <v>9</v>
      </c>
      <c r="EC735">
        <v>10</v>
      </c>
      <c r="EE735" t="s">
        <v>2253</v>
      </c>
      <c r="EF735">
        <v>10</v>
      </c>
      <c r="EU735">
        <v>4250</v>
      </c>
      <c r="EW735">
        <v>0</v>
      </c>
      <c r="EX735">
        <v>0</v>
      </c>
      <c r="EY735">
        <v>0</v>
      </c>
      <c r="FA735">
        <v>9.5</v>
      </c>
      <c r="FG735">
        <v>277</v>
      </c>
      <c r="FH735">
        <v>235</v>
      </c>
      <c r="FI735">
        <v>258</v>
      </c>
    </row>
    <row r="736" spans="1:165" x14ac:dyDescent="0.35">
      <c r="A736">
        <v>2025</v>
      </c>
      <c r="B736" t="s">
        <v>2222</v>
      </c>
      <c r="C736" t="s">
        <v>2223</v>
      </c>
      <c r="D736" t="s">
        <v>2283</v>
      </c>
      <c r="E736" t="s">
        <v>2225</v>
      </c>
      <c r="F736">
        <v>61</v>
      </c>
      <c r="G736">
        <v>0</v>
      </c>
      <c r="I736" t="s">
        <v>1734</v>
      </c>
      <c r="J736">
        <v>40</v>
      </c>
      <c r="K736">
        <v>47</v>
      </c>
      <c r="L736">
        <v>43</v>
      </c>
      <c r="M736">
        <v>28.861499999999999</v>
      </c>
      <c r="N736">
        <v>34.089100000000002</v>
      </c>
      <c r="O736">
        <v>31.213899999999999</v>
      </c>
      <c r="P736">
        <v>39.639899999999997</v>
      </c>
      <c r="Q736">
        <v>46.814300000000003</v>
      </c>
      <c r="R736">
        <v>42.868299999999998</v>
      </c>
      <c r="V736" t="s">
        <v>167</v>
      </c>
      <c r="W736" t="s">
        <v>168</v>
      </c>
      <c r="Y736">
        <v>1</v>
      </c>
      <c r="Z736" t="s">
        <v>170</v>
      </c>
      <c r="AA736" t="s">
        <v>170</v>
      </c>
      <c r="AB736" t="s">
        <v>809</v>
      </c>
      <c r="AC736" t="s">
        <v>810</v>
      </c>
      <c r="AF736">
        <v>258</v>
      </c>
      <c r="AG736" t="s">
        <v>1735</v>
      </c>
      <c r="AH736" t="s">
        <v>1736</v>
      </c>
      <c r="AI736" t="s">
        <v>1742</v>
      </c>
      <c r="AJ736" t="s">
        <v>1743</v>
      </c>
      <c r="AK736">
        <v>4</v>
      </c>
      <c r="AL736" t="s">
        <v>1737</v>
      </c>
      <c r="AS736">
        <v>1050</v>
      </c>
      <c r="AT736">
        <v>1050</v>
      </c>
      <c r="BQ736">
        <v>13</v>
      </c>
      <c r="BR736" t="s">
        <v>1016</v>
      </c>
      <c r="BT736" t="s">
        <v>1769</v>
      </c>
      <c r="BU736" s="1">
        <v>45416</v>
      </c>
      <c r="BV736">
        <v>34705</v>
      </c>
      <c r="BY736" t="s">
        <v>170</v>
      </c>
      <c r="CB736" t="s">
        <v>170</v>
      </c>
      <c r="CC736" t="s">
        <v>170</v>
      </c>
      <c r="CK736" t="s">
        <v>233</v>
      </c>
      <c r="CM736">
        <v>1</v>
      </c>
      <c r="CN736" t="s">
        <v>404</v>
      </c>
      <c r="CO736" t="s">
        <v>2250</v>
      </c>
      <c r="CP736">
        <v>403</v>
      </c>
      <c r="CQ736">
        <v>235</v>
      </c>
      <c r="CR736">
        <v>130</v>
      </c>
      <c r="CS736" t="s">
        <v>1752</v>
      </c>
      <c r="CV736" t="s">
        <v>341</v>
      </c>
      <c r="CX736" t="s">
        <v>342</v>
      </c>
      <c r="CY736" t="s">
        <v>169</v>
      </c>
      <c r="DC736" t="s">
        <v>2226</v>
      </c>
      <c r="DD736">
        <v>2</v>
      </c>
      <c r="DE736" t="s">
        <v>404</v>
      </c>
      <c r="DF736" t="s">
        <v>1860</v>
      </c>
      <c r="DG736" t="s">
        <v>2251</v>
      </c>
      <c r="DL736" t="s">
        <v>170</v>
      </c>
      <c r="DM736" t="s">
        <v>169</v>
      </c>
      <c r="DP736" t="s">
        <v>170</v>
      </c>
      <c r="DQ736" t="s">
        <v>187</v>
      </c>
      <c r="DR736" t="s">
        <v>2284</v>
      </c>
      <c r="EB736">
        <v>9</v>
      </c>
      <c r="EC736">
        <v>10</v>
      </c>
      <c r="EE736" t="s">
        <v>2253</v>
      </c>
      <c r="EF736">
        <v>10</v>
      </c>
      <c r="EU736">
        <v>4250</v>
      </c>
      <c r="EW736">
        <v>0</v>
      </c>
      <c r="EX736">
        <v>0</v>
      </c>
      <c r="EY736">
        <v>0</v>
      </c>
      <c r="FA736">
        <v>9.5</v>
      </c>
      <c r="FG736">
        <v>277</v>
      </c>
      <c r="FH736">
        <v>235</v>
      </c>
      <c r="FI736">
        <v>258</v>
      </c>
    </row>
    <row r="737" spans="1:165" x14ac:dyDescent="0.35">
      <c r="A737" s="25"/>
      <c r="B737" s="25"/>
      <c r="C737" s="25"/>
      <c r="D737" s="25"/>
      <c r="E737" s="25"/>
      <c r="F737" s="25" t="str">
        <f>_xlfn.CONCAT($A738," ",$B738," ",$D738)</f>
        <v>2025 Rivian Automotive L R1S Dual Standard (20in)</v>
      </c>
      <c r="G737" s="25"/>
      <c r="H737" s="25"/>
      <c r="I737" s="25"/>
      <c r="J737" s="25"/>
      <c r="K737" s="25"/>
      <c r="L737" s="25"/>
      <c r="M737" s="25"/>
      <c r="N737" s="25"/>
      <c r="O737" s="25"/>
      <c r="P737" s="25"/>
      <c r="Q737" s="25"/>
      <c r="R737" s="25"/>
      <c r="S737" s="25"/>
      <c r="T737" s="25"/>
      <c r="U737" s="25"/>
      <c r="V737" s="25"/>
      <c r="W737" s="25"/>
      <c r="X737" s="25"/>
      <c r="Y737" s="25"/>
      <c r="Z737" s="25"/>
      <c r="AA737" s="25"/>
      <c r="AB737" s="25"/>
      <c r="AC737" s="25"/>
      <c r="AD737" s="25" t="str">
        <f>_xlfn.CONCAT($A738," ",$B738," ",$D738)</f>
        <v>2025 Rivian Automotive L R1S Dual Standard (20in)</v>
      </c>
      <c r="AE737" s="25"/>
      <c r="AF737" s="25"/>
      <c r="AG737" s="25"/>
      <c r="AH737" s="25"/>
      <c r="AI737" s="25"/>
      <c r="AJ737" s="25"/>
      <c r="AK737" s="25"/>
      <c r="AL737" s="25"/>
      <c r="AM737" s="25"/>
      <c r="AN737" s="25"/>
      <c r="AO737" s="25"/>
      <c r="AP737" s="25"/>
      <c r="AQ737" s="25"/>
      <c r="AR737" s="25"/>
      <c r="AS737" s="25"/>
      <c r="AT737" s="25"/>
      <c r="AU737" s="25"/>
      <c r="AV737" s="25"/>
      <c r="AW737" s="25"/>
      <c r="AX737" s="25" t="str">
        <f>_xlfn.CONCAT($A738," ",$B738," ",$D738)</f>
        <v>2025 Rivian Automotive L R1S Dual Standard (20in)</v>
      </c>
      <c r="AY737" s="25"/>
      <c r="AZ737" s="25"/>
      <c r="BA737" s="25"/>
      <c r="BB737" s="25"/>
      <c r="BC737" s="25"/>
      <c r="BD737" s="25"/>
      <c r="BE737" s="25"/>
      <c r="BF737" s="25"/>
      <c r="BG737" s="25"/>
      <c r="BH737" s="25"/>
      <c r="BI737" s="25"/>
      <c r="BJ737" s="25"/>
      <c r="BK737" s="25"/>
      <c r="BL737" s="25"/>
      <c r="BM737" s="25"/>
      <c r="BN737" s="25"/>
      <c r="BO737" s="25"/>
      <c r="BP737" s="25"/>
      <c r="BQ737" s="25"/>
      <c r="BR737" s="25" t="str">
        <f>_xlfn.CONCAT($A738," ",$B738," ",$D738)</f>
        <v>2025 Rivian Automotive L R1S Dual Standard (20in)</v>
      </c>
      <c r="BS737" s="25"/>
      <c r="BT737" s="25"/>
      <c r="BU737" s="25"/>
      <c r="BV737" s="25"/>
      <c r="BX737" s="25"/>
      <c r="BY737" s="25"/>
      <c r="BZ737" s="25"/>
      <c r="CA737" s="25"/>
      <c r="CB737" s="25"/>
      <c r="CC737" s="25"/>
      <c r="CD737" s="25"/>
      <c r="CE737" s="25"/>
      <c r="CF737" s="25"/>
      <c r="CG737" s="25"/>
      <c r="CH737" s="25"/>
      <c r="CI737" s="25"/>
      <c r="CJ737" s="25"/>
      <c r="CK737" s="25"/>
      <c r="CL737" s="25"/>
      <c r="CM737" s="25"/>
      <c r="CN737" s="25"/>
      <c r="CO737" s="25"/>
      <c r="CP737" s="25" t="str">
        <f>_xlfn.CONCAT($A738," ",$B738," ",$D738)</f>
        <v>2025 Rivian Automotive L R1S Dual Standard (20in)</v>
      </c>
      <c r="CQ737" s="25"/>
      <c r="CR737" s="25"/>
      <c r="CS737" s="25"/>
      <c r="CT737" s="25"/>
      <c r="CU737" s="25"/>
      <c r="CV737" s="25"/>
      <c r="CW737" s="25"/>
      <c r="CX737" s="25"/>
      <c r="CY737" s="25"/>
      <c r="CZ737" s="25"/>
      <c r="DA737" s="25"/>
      <c r="DB737" s="25"/>
      <c r="DC737" s="25"/>
      <c r="DD737" s="25"/>
      <c r="DE737" s="25"/>
      <c r="DF737" s="25"/>
      <c r="DG737" s="25"/>
      <c r="DH737" s="25"/>
      <c r="DI737" s="25" t="str">
        <f>_xlfn.CONCAT($A738," ",$B738," ",$D738)</f>
        <v>2025 Rivian Automotive L R1S Dual Standard (20in)</v>
      </c>
      <c r="DJ737" s="25"/>
      <c r="DK737" s="25"/>
      <c r="DL737" s="25"/>
      <c r="DM737" s="25"/>
      <c r="DN737" s="25"/>
      <c r="DO737" s="25"/>
      <c r="DP737" s="25"/>
      <c r="DQ737" s="25"/>
      <c r="DR737" s="25"/>
      <c r="DS737" s="25"/>
      <c r="DT737" s="25"/>
      <c r="DU737" s="25"/>
      <c r="DV737" s="25"/>
      <c r="DW737" s="25"/>
      <c r="DX737" s="25"/>
      <c r="DY737" s="25"/>
      <c r="DZ737" s="25" t="str">
        <f>_xlfn.CONCAT($A738," ",$B738," ",$D738)</f>
        <v>2025 Rivian Automotive L R1S Dual Standard (20in)</v>
      </c>
      <c r="EB737" s="25"/>
      <c r="EC737" s="25"/>
      <c r="ED737" s="25"/>
      <c r="EE737" s="25"/>
      <c r="EF737" s="25"/>
      <c r="EG737" s="25"/>
      <c r="EH737" s="25"/>
      <c r="EI737" s="25"/>
      <c r="EJ737" s="25"/>
      <c r="EK737" s="25"/>
      <c r="EL737" s="25"/>
      <c r="EM737" s="25"/>
      <c r="EN737" s="25"/>
      <c r="EO737" s="25"/>
      <c r="EP737" s="25"/>
      <c r="EQ737" s="25"/>
      <c r="ER737" s="25"/>
      <c r="ES737" s="25"/>
      <c r="ET737" s="25"/>
      <c r="EU737" s="25"/>
      <c r="EV737" s="25" t="str">
        <f>_xlfn.CONCAT($A738," ",$B738," ",$D738)</f>
        <v>2025 Rivian Automotive L R1S Dual Standard (20in)</v>
      </c>
      <c r="EW737" s="25"/>
      <c r="EX737" s="25"/>
      <c r="EY737" s="25"/>
      <c r="EZ737" s="25"/>
      <c r="FA737" s="25"/>
      <c r="FB737" s="25"/>
      <c r="FC737" s="25"/>
      <c r="FD737" s="25"/>
      <c r="FE737" s="25"/>
      <c r="FF737" s="25"/>
      <c r="FG737" s="25"/>
    </row>
    <row r="738" spans="1:165" x14ac:dyDescent="0.35">
      <c r="A738">
        <v>2025</v>
      </c>
      <c r="B738" t="s">
        <v>2222</v>
      </c>
      <c r="C738" t="s">
        <v>2223</v>
      </c>
      <c r="D738" t="s">
        <v>2249</v>
      </c>
      <c r="E738" t="s">
        <v>2225</v>
      </c>
      <c r="F738">
        <v>62</v>
      </c>
      <c r="G738">
        <v>0</v>
      </c>
      <c r="I738" t="s">
        <v>1734</v>
      </c>
      <c r="J738">
        <v>85</v>
      </c>
      <c r="K738">
        <v>72</v>
      </c>
      <c r="L738">
        <v>79</v>
      </c>
      <c r="M738">
        <v>116.8</v>
      </c>
      <c r="N738">
        <v>98.9</v>
      </c>
      <c r="O738">
        <v>108.00360000000001</v>
      </c>
      <c r="P738">
        <v>85.028099999999995</v>
      </c>
      <c r="Q738">
        <v>71.997200000000007</v>
      </c>
      <c r="R738">
        <v>78.624499999999998</v>
      </c>
      <c r="V738" t="s">
        <v>167</v>
      </c>
      <c r="W738" t="s">
        <v>168</v>
      </c>
      <c r="Y738">
        <v>1</v>
      </c>
      <c r="Z738" t="s">
        <v>170</v>
      </c>
      <c r="AA738" t="s">
        <v>170</v>
      </c>
      <c r="AB738" t="s">
        <v>809</v>
      </c>
      <c r="AC738" t="s">
        <v>810</v>
      </c>
      <c r="AF738">
        <v>258</v>
      </c>
      <c r="AG738" t="s">
        <v>1735</v>
      </c>
      <c r="AH738" t="s">
        <v>1736</v>
      </c>
      <c r="AI738" t="s">
        <v>175</v>
      </c>
      <c r="AJ738" t="s">
        <v>176</v>
      </c>
      <c r="AK738">
        <v>4</v>
      </c>
      <c r="AL738" t="s">
        <v>1737</v>
      </c>
      <c r="AS738">
        <v>1050</v>
      </c>
      <c r="AT738">
        <v>1050</v>
      </c>
      <c r="BQ738">
        <v>33</v>
      </c>
      <c r="BR738" t="s">
        <v>1497</v>
      </c>
      <c r="BT738" t="s">
        <v>1769</v>
      </c>
      <c r="BU738" s="1">
        <v>45416</v>
      </c>
      <c r="BV738">
        <v>34691</v>
      </c>
      <c r="BY738" t="s">
        <v>170</v>
      </c>
      <c r="CB738" t="s">
        <v>170</v>
      </c>
      <c r="CC738" t="s">
        <v>170</v>
      </c>
      <c r="CK738" t="s">
        <v>233</v>
      </c>
      <c r="CM738">
        <v>1</v>
      </c>
      <c r="CN738" t="s">
        <v>404</v>
      </c>
      <c r="CO738" t="s">
        <v>2250</v>
      </c>
      <c r="CP738">
        <v>403</v>
      </c>
      <c r="CQ738">
        <v>235</v>
      </c>
      <c r="CR738">
        <v>130</v>
      </c>
      <c r="CS738" t="s">
        <v>1752</v>
      </c>
      <c r="CV738" t="s">
        <v>341</v>
      </c>
      <c r="CX738" t="s">
        <v>342</v>
      </c>
      <c r="CY738" t="s">
        <v>169</v>
      </c>
      <c r="DC738" t="s">
        <v>2226</v>
      </c>
      <c r="DD738">
        <v>2</v>
      </c>
      <c r="DE738" t="s">
        <v>404</v>
      </c>
      <c r="DF738" t="s">
        <v>1860</v>
      </c>
      <c r="DG738" t="s">
        <v>2251</v>
      </c>
      <c r="DL738" t="s">
        <v>170</v>
      </c>
      <c r="DM738" t="s">
        <v>169</v>
      </c>
      <c r="DP738" t="s">
        <v>170</v>
      </c>
      <c r="DQ738" t="s">
        <v>187</v>
      </c>
      <c r="DR738" t="s">
        <v>2252</v>
      </c>
      <c r="EB738">
        <v>9</v>
      </c>
      <c r="EC738">
        <v>10</v>
      </c>
      <c r="EE738" t="s">
        <v>2253</v>
      </c>
      <c r="EF738">
        <v>10</v>
      </c>
      <c r="EU738">
        <v>4250</v>
      </c>
      <c r="EW738">
        <v>0</v>
      </c>
      <c r="EX738">
        <v>0</v>
      </c>
      <c r="EY738">
        <v>0</v>
      </c>
      <c r="FA738">
        <v>9.5</v>
      </c>
      <c r="FG738">
        <v>277</v>
      </c>
      <c r="FH738">
        <v>235</v>
      </c>
      <c r="FI738">
        <v>258</v>
      </c>
    </row>
    <row r="739" spans="1:165" x14ac:dyDescent="0.35">
      <c r="A739">
        <v>2025</v>
      </c>
      <c r="B739" t="s">
        <v>2222</v>
      </c>
      <c r="C739" t="s">
        <v>2223</v>
      </c>
      <c r="D739" t="s">
        <v>2249</v>
      </c>
      <c r="E739" t="s">
        <v>2225</v>
      </c>
      <c r="F739">
        <v>62</v>
      </c>
      <c r="G739">
        <v>0</v>
      </c>
      <c r="I739" t="s">
        <v>1734</v>
      </c>
      <c r="J739">
        <v>40</v>
      </c>
      <c r="K739">
        <v>47</v>
      </c>
      <c r="L739">
        <v>43</v>
      </c>
      <c r="M739">
        <v>28.861499999999999</v>
      </c>
      <c r="N739">
        <v>34.089100000000002</v>
      </c>
      <c r="O739">
        <v>31.213899999999999</v>
      </c>
      <c r="P739">
        <v>39.639899999999997</v>
      </c>
      <c r="Q739">
        <v>46.814300000000003</v>
      </c>
      <c r="R739">
        <v>42.868299999999998</v>
      </c>
      <c r="V739" t="s">
        <v>167</v>
      </c>
      <c r="W739" t="s">
        <v>168</v>
      </c>
      <c r="Y739">
        <v>1</v>
      </c>
      <c r="Z739" t="s">
        <v>170</v>
      </c>
      <c r="AA739" t="s">
        <v>170</v>
      </c>
      <c r="AB739" t="s">
        <v>809</v>
      </c>
      <c r="AC739" t="s">
        <v>810</v>
      </c>
      <c r="AF739">
        <v>258</v>
      </c>
      <c r="AG739" t="s">
        <v>1735</v>
      </c>
      <c r="AH739" t="s">
        <v>1736</v>
      </c>
      <c r="AI739" t="s">
        <v>1742</v>
      </c>
      <c r="AJ739" t="s">
        <v>1743</v>
      </c>
      <c r="AK739">
        <v>4</v>
      </c>
      <c r="AL739" t="s">
        <v>1737</v>
      </c>
      <c r="AS739">
        <v>1050</v>
      </c>
      <c r="AT739">
        <v>1050</v>
      </c>
      <c r="BQ739">
        <v>33</v>
      </c>
      <c r="BR739" t="s">
        <v>1497</v>
      </c>
      <c r="BT739" t="s">
        <v>1769</v>
      </c>
      <c r="BU739" s="1">
        <v>45416</v>
      </c>
      <c r="BV739">
        <v>34691</v>
      </c>
      <c r="BY739" t="s">
        <v>170</v>
      </c>
      <c r="CB739" t="s">
        <v>170</v>
      </c>
      <c r="CC739" t="s">
        <v>170</v>
      </c>
      <c r="CK739" t="s">
        <v>233</v>
      </c>
      <c r="CM739">
        <v>1</v>
      </c>
      <c r="CN739" t="s">
        <v>404</v>
      </c>
      <c r="CO739" t="s">
        <v>2250</v>
      </c>
      <c r="CP739">
        <v>403</v>
      </c>
      <c r="CQ739">
        <v>235</v>
      </c>
      <c r="CR739">
        <v>130</v>
      </c>
      <c r="CS739" t="s">
        <v>1752</v>
      </c>
      <c r="CV739" t="s">
        <v>341</v>
      </c>
      <c r="CX739" t="s">
        <v>342</v>
      </c>
      <c r="CY739" t="s">
        <v>169</v>
      </c>
      <c r="DC739" t="s">
        <v>2226</v>
      </c>
      <c r="DD739">
        <v>2</v>
      </c>
      <c r="DE739" t="s">
        <v>404</v>
      </c>
      <c r="DF739" t="s">
        <v>1860</v>
      </c>
      <c r="DG739" t="s">
        <v>2251</v>
      </c>
      <c r="DL739" t="s">
        <v>170</v>
      </c>
      <c r="DM739" t="s">
        <v>169</v>
      </c>
      <c r="DP739" t="s">
        <v>170</v>
      </c>
      <c r="DQ739" t="s">
        <v>187</v>
      </c>
      <c r="DR739" t="s">
        <v>2252</v>
      </c>
      <c r="EB739">
        <v>9</v>
      </c>
      <c r="EC739">
        <v>10</v>
      </c>
      <c r="EE739" t="s">
        <v>2253</v>
      </c>
      <c r="EF739">
        <v>10</v>
      </c>
      <c r="EU739">
        <v>4250</v>
      </c>
      <c r="EW739">
        <v>0</v>
      </c>
      <c r="EX739">
        <v>0</v>
      </c>
      <c r="EY739">
        <v>0</v>
      </c>
      <c r="FA739">
        <v>9.5</v>
      </c>
      <c r="FG739">
        <v>277</v>
      </c>
      <c r="FH739">
        <v>235</v>
      </c>
      <c r="FI739">
        <v>258</v>
      </c>
    </row>
    <row r="740" spans="1:165" x14ac:dyDescent="0.35">
      <c r="A740" s="25"/>
      <c r="B740" s="25"/>
      <c r="C740" s="25"/>
      <c r="D740" s="25"/>
      <c r="E740" s="25"/>
      <c r="F740" s="25" t="str">
        <f>_xlfn.CONCAT($A741," ",$B741," ",$D741)</f>
        <v>2025 Rivian Automotive L R1T Dual Max (20in)</v>
      </c>
      <c r="G740" s="25"/>
      <c r="H740" s="25"/>
      <c r="I740" s="25"/>
      <c r="J740" s="25"/>
      <c r="K740" s="25"/>
      <c r="L740" s="25"/>
      <c r="M740" s="25"/>
      <c r="N740" s="25"/>
      <c r="O740" s="25"/>
      <c r="P740" s="25"/>
      <c r="Q740" s="25"/>
      <c r="R740" s="25"/>
      <c r="S740" s="25"/>
      <c r="T740" s="25"/>
      <c r="U740" s="25"/>
      <c r="V740" s="25"/>
      <c r="W740" s="25"/>
      <c r="X740" s="25"/>
      <c r="Y740" s="25"/>
      <c r="Z740" s="25"/>
      <c r="AA740" s="25"/>
      <c r="AB740" s="25"/>
      <c r="AC740" s="25"/>
      <c r="AD740" s="25" t="str">
        <f>_xlfn.CONCAT($A741," ",$B741," ",$D741)</f>
        <v>2025 Rivian Automotive L R1T Dual Max (20in)</v>
      </c>
      <c r="AE740" s="25"/>
      <c r="AF740" s="25"/>
      <c r="AG740" s="25"/>
      <c r="AH740" s="25"/>
      <c r="AI740" s="25"/>
      <c r="AJ740" s="25"/>
      <c r="AK740" s="25"/>
      <c r="AL740" s="25"/>
      <c r="AM740" s="25"/>
      <c r="AN740" s="25"/>
      <c r="AO740" s="25"/>
      <c r="AP740" s="25"/>
      <c r="AQ740" s="25"/>
      <c r="AR740" s="25"/>
      <c r="AS740" s="25"/>
      <c r="AT740" s="25"/>
      <c r="AU740" s="25"/>
      <c r="AV740" s="25"/>
      <c r="AW740" s="25"/>
      <c r="AX740" s="25" t="str">
        <f>_xlfn.CONCAT($A741," ",$B741," ",$D741)</f>
        <v>2025 Rivian Automotive L R1T Dual Max (20in)</v>
      </c>
      <c r="AY740" s="25"/>
      <c r="AZ740" s="25"/>
      <c r="BA740" s="25"/>
      <c r="BB740" s="25"/>
      <c r="BC740" s="25"/>
      <c r="BD740" s="25"/>
      <c r="BE740" s="25"/>
      <c r="BF740" s="25"/>
      <c r="BG740" s="25"/>
      <c r="BH740" s="25"/>
      <c r="BI740" s="25"/>
      <c r="BJ740" s="25"/>
      <c r="BK740" s="25"/>
      <c r="BL740" s="25"/>
      <c r="BM740" s="25"/>
      <c r="BN740" s="25"/>
      <c r="BO740" s="25"/>
      <c r="BP740" s="25"/>
      <c r="BQ740" s="25"/>
      <c r="BR740" s="25" t="str">
        <f>_xlfn.CONCAT($A741," ",$B741," ",$D741)</f>
        <v>2025 Rivian Automotive L R1T Dual Max (20in)</v>
      </c>
      <c r="BS740" s="25"/>
      <c r="BT740" s="25"/>
      <c r="BU740" s="25"/>
      <c r="BV740" s="25"/>
      <c r="BX740" s="25"/>
      <c r="BY740" s="25"/>
      <c r="BZ740" s="25"/>
      <c r="CA740" s="25"/>
      <c r="CB740" s="25"/>
      <c r="CC740" s="25"/>
      <c r="CD740" s="25"/>
      <c r="CE740" s="25"/>
      <c r="CF740" s="25"/>
      <c r="CG740" s="25"/>
      <c r="CH740" s="25"/>
      <c r="CI740" s="25"/>
      <c r="CJ740" s="25"/>
      <c r="CK740" s="25"/>
      <c r="CL740" s="25"/>
      <c r="CM740" s="25"/>
      <c r="CN740" s="25"/>
      <c r="CO740" s="25"/>
      <c r="CP740" s="25" t="str">
        <f>_xlfn.CONCAT($A741," ",$B741," ",$D741)</f>
        <v>2025 Rivian Automotive L R1T Dual Max (20in)</v>
      </c>
      <c r="CQ740" s="25"/>
      <c r="CR740" s="25"/>
      <c r="CS740" s="25"/>
      <c r="CT740" s="25"/>
      <c r="CU740" s="25"/>
      <c r="CV740" s="25"/>
      <c r="CW740" s="25"/>
      <c r="CX740" s="25"/>
      <c r="CY740" s="25"/>
      <c r="CZ740" s="25"/>
      <c r="DA740" s="25"/>
      <c r="DB740" s="25"/>
      <c r="DC740" s="25"/>
      <c r="DD740" s="25"/>
      <c r="DE740" s="25"/>
      <c r="DF740" s="25"/>
      <c r="DG740" s="25"/>
      <c r="DH740" s="25"/>
      <c r="DI740" s="25" t="str">
        <f>_xlfn.CONCAT($A741," ",$B741," ",$D741)</f>
        <v>2025 Rivian Automotive L R1T Dual Max (20in)</v>
      </c>
      <c r="DJ740" s="25"/>
      <c r="DK740" s="25"/>
      <c r="DL740" s="25"/>
      <c r="DM740" s="25"/>
      <c r="DN740" s="25"/>
      <c r="DO740" s="25"/>
      <c r="DP740" s="25"/>
      <c r="DQ740" s="25"/>
      <c r="DR740" s="25"/>
      <c r="DS740" s="25"/>
      <c r="DT740" s="25"/>
      <c r="DU740" s="25"/>
      <c r="DV740" s="25"/>
      <c r="DW740" s="25"/>
      <c r="DX740" s="25"/>
      <c r="DY740" s="25"/>
      <c r="DZ740" s="25" t="str">
        <f>_xlfn.CONCAT($A741," ",$B741," ",$D741)</f>
        <v>2025 Rivian Automotive L R1T Dual Max (20in)</v>
      </c>
      <c r="EB740" s="25"/>
      <c r="EC740" s="25"/>
      <c r="ED740" s="25"/>
      <c r="EE740" s="25"/>
      <c r="EF740" s="25"/>
      <c r="EG740" s="25"/>
      <c r="EH740" s="25"/>
      <c r="EI740" s="25"/>
      <c r="EJ740" s="25"/>
      <c r="EK740" s="25"/>
      <c r="EL740" s="25"/>
      <c r="EM740" s="25"/>
      <c r="EN740" s="25"/>
      <c r="EO740" s="25"/>
      <c r="EP740" s="25"/>
      <c r="EQ740" s="25"/>
      <c r="ER740" s="25"/>
      <c r="ES740" s="25"/>
      <c r="ET740" s="25"/>
      <c r="EU740" s="25"/>
      <c r="EV740" s="25" t="str">
        <f>_xlfn.CONCAT($A741," ",$B741," ",$D741)</f>
        <v>2025 Rivian Automotive L R1T Dual Max (20in)</v>
      </c>
      <c r="EW740" s="25"/>
      <c r="EX740" s="25"/>
      <c r="EY740" s="25"/>
      <c r="EZ740" s="25"/>
      <c r="FA740" s="25"/>
      <c r="FB740" s="25"/>
      <c r="FC740" s="25"/>
      <c r="FD740" s="25"/>
      <c r="FE740" s="25"/>
      <c r="FF740" s="25"/>
      <c r="FG740" s="25"/>
    </row>
    <row r="741" spans="1:165" x14ac:dyDescent="0.35">
      <c r="A741">
        <v>2025</v>
      </c>
      <c r="B741" t="s">
        <v>2222</v>
      </c>
      <c r="C741" t="s">
        <v>2223</v>
      </c>
      <c r="D741" t="s">
        <v>2279</v>
      </c>
      <c r="E741" t="s">
        <v>2225</v>
      </c>
      <c r="F741">
        <v>63</v>
      </c>
      <c r="G741">
        <v>0</v>
      </c>
      <c r="I741" t="s">
        <v>1734</v>
      </c>
      <c r="J741">
        <v>86</v>
      </c>
      <c r="K741">
        <v>74</v>
      </c>
      <c r="L741">
        <v>80</v>
      </c>
      <c r="M741">
        <v>121.3</v>
      </c>
      <c r="N741">
        <v>103.7</v>
      </c>
      <c r="O741">
        <v>112.6932</v>
      </c>
      <c r="P741">
        <v>86.434700000000007</v>
      </c>
      <c r="Q741">
        <v>73.893500000000003</v>
      </c>
      <c r="R741">
        <v>80.3018</v>
      </c>
      <c r="V741" t="s">
        <v>167</v>
      </c>
      <c r="W741" t="s">
        <v>168</v>
      </c>
      <c r="Y741">
        <v>1</v>
      </c>
      <c r="Z741" t="s">
        <v>170</v>
      </c>
      <c r="AA741" t="s">
        <v>170</v>
      </c>
      <c r="AB741" t="s">
        <v>809</v>
      </c>
      <c r="AC741" t="s">
        <v>810</v>
      </c>
      <c r="AF741">
        <v>380</v>
      </c>
      <c r="AG741" t="s">
        <v>1735</v>
      </c>
      <c r="AH741" t="s">
        <v>1736</v>
      </c>
      <c r="AI741" t="s">
        <v>175</v>
      </c>
      <c r="AJ741" t="s">
        <v>176</v>
      </c>
      <c r="AK741">
        <v>4</v>
      </c>
      <c r="AL741" t="s">
        <v>1737</v>
      </c>
      <c r="AS741">
        <v>1000</v>
      </c>
      <c r="AT741">
        <v>1000</v>
      </c>
      <c r="BQ741">
        <v>13</v>
      </c>
      <c r="BR741" t="s">
        <v>1016</v>
      </c>
      <c r="BT741" t="s">
        <v>1769</v>
      </c>
      <c r="BU741" s="1">
        <v>45448</v>
      </c>
      <c r="BV741">
        <v>34878</v>
      </c>
      <c r="BY741" t="s">
        <v>170</v>
      </c>
      <c r="CB741" t="s">
        <v>170</v>
      </c>
      <c r="CC741" t="s">
        <v>170</v>
      </c>
      <c r="CK741" t="s">
        <v>233</v>
      </c>
      <c r="CM741">
        <v>1</v>
      </c>
      <c r="CN741" t="s">
        <v>234</v>
      </c>
      <c r="CP741">
        <v>392</v>
      </c>
      <c r="CQ741">
        <v>382</v>
      </c>
      <c r="CR741">
        <v>190</v>
      </c>
      <c r="CS741" t="s">
        <v>1752</v>
      </c>
      <c r="CV741" t="s">
        <v>341</v>
      </c>
      <c r="CX741" t="s">
        <v>342</v>
      </c>
      <c r="CY741" t="s">
        <v>169</v>
      </c>
      <c r="DC741" t="s">
        <v>2226</v>
      </c>
      <c r="DD741">
        <v>2</v>
      </c>
      <c r="DE741" t="s">
        <v>404</v>
      </c>
      <c r="DF741" t="s">
        <v>1860</v>
      </c>
      <c r="DG741" t="s">
        <v>2227</v>
      </c>
      <c r="DL741" t="s">
        <v>170</v>
      </c>
      <c r="DM741" t="s">
        <v>169</v>
      </c>
      <c r="DP741" t="s">
        <v>170</v>
      </c>
      <c r="DQ741" t="s">
        <v>187</v>
      </c>
      <c r="DR741" t="s">
        <v>2280</v>
      </c>
      <c r="EB741">
        <v>9</v>
      </c>
      <c r="EC741">
        <v>10</v>
      </c>
      <c r="EE741" t="s">
        <v>2229</v>
      </c>
      <c r="EF741">
        <v>10</v>
      </c>
      <c r="EU741">
        <v>4500</v>
      </c>
      <c r="EW741">
        <v>0</v>
      </c>
      <c r="EX741">
        <v>0</v>
      </c>
      <c r="EY741">
        <v>0</v>
      </c>
      <c r="FA741">
        <v>15</v>
      </c>
      <c r="FG741">
        <v>407</v>
      </c>
      <c r="FH741">
        <v>348</v>
      </c>
      <c r="FI741">
        <v>380</v>
      </c>
    </row>
    <row r="742" spans="1:165" x14ac:dyDescent="0.35">
      <c r="A742">
        <v>2025</v>
      </c>
      <c r="B742" t="s">
        <v>2222</v>
      </c>
      <c r="C742" t="s">
        <v>2223</v>
      </c>
      <c r="D742" t="s">
        <v>2279</v>
      </c>
      <c r="E742" t="s">
        <v>2225</v>
      </c>
      <c r="F742">
        <v>63</v>
      </c>
      <c r="G742">
        <v>0</v>
      </c>
      <c r="I742" t="s">
        <v>1734</v>
      </c>
      <c r="J742">
        <v>39</v>
      </c>
      <c r="K742">
        <v>46</v>
      </c>
      <c r="L742">
        <v>42</v>
      </c>
      <c r="M742">
        <v>27.785599999999999</v>
      </c>
      <c r="N742">
        <v>32.517400000000002</v>
      </c>
      <c r="O742">
        <v>29.914899999999999</v>
      </c>
      <c r="P742">
        <v>38.994700000000002</v>
      </c>
      <c r="Q742">
        <v>45.612900000000003</v>
      </c>
      <c r="R742">
        <v>41.972900000000003</v>
      </c>
      <c r="V742" t="s">
        <v>167</v>
      </c>
      <c r="W742" t="s">
        <v>168</v>
      </c>
      <c r="Y742">
        <v>1</v>
      </c>
      <c r="Z742" t="s">
        <v>170</v>
      </c>
      <c r="AA742" t="s">
        <v>170</v>
      </c>
      <c r="AB742" t="s">
        <v>809</v>
      </c>
      <c r="AC742" t="s">
        <v>810</v>
      </c>
      <c r="AF742">
        <v>380</v>
      </c>
      <c r="AG742" t="s">
        <v>1735</v>
      </c>
      <c r="AH742" t="s">
        <v>1736</v>
      </c>
      <c r="AI742" t="s">
        <v>1742</v>
      </c>
      <c r="AJ742" t="s">
        <v>1743</v>
      </c>
      <c r="AK742">
        <v>4</v>
      </c>
      <c r="AL742" t="s">
        <v>1737</v>
      </c>
      <c r="AS742">
        <v>1000</v>
      </c>
      <c r="AT742">
        <v>1000</v>
      </c>
      <c r="BQ742">
        <v>13</v>
      </c>
      <c r="BR742" t="s">
        <v>1016</v>
      </c>
      <c r="BT742" t="s">
        <v>1769</v>
      </c>
      <c r="BU742" s="1">
        <v>45448</v>
      </c>
      <c r="BV742">
        <v>34878</v>
      </c>
      <c r="BY742" t="s">
        <v>170</v>
      </c>
      <c r="CB742" t="s">
        <v>170</v>
      </c>
      <c r="CC742" t="s">
        <v>170</v>
      </c>
      <c r="CK742" t="s">
        <v>233</v>
      </c>
      <c r="CM742">
        <v>1</v>
      </c>
      <c r="CN742" t="s">
        <v>234</v>
      </c>
      <c r="CP742">
        <v>392</v>
      </c>
      <c r="CQ742">
        <v>382</v>
      </c>
      <c r="CR742">
        <v>190</v>
      </c>
      <c r="CS742" t="s">
        <v>1752</v>
      </c>
      <c r="CV742" t="s">
        <v>341</v>
      </c>
      <c r="CX742" t="s">
        <v>342</v>
      </c>
      <c r="CY742" t="s">
        <v>169</v>
      </c>
      <c r="DC742" t="s">
        <v>2226</v>
      </c>
      <c r="DD742">
        <v>2</v>
      </c>
      <c r="DE742" t="s">
        <v>404</v>
      </c>
      <c r="DF742" t="s">
        <v>1860</v>
      </c>
      <c r="DG742" t="s">
        <v>2227</v>
      </c>
      <c r="DL742" t="s">
        <v>170</v>
      </c>
      <c r="DM742" t="s">
        <v>169</v>
      </c>
      <c r="DP742" t="s">
        <v>170</v>
      </c>
      <c r="DQ742" t="s">
        <v>187</v>
      </c>
      <c r="DR742" t="s">
        <v>2280</v>
      </c>
      <c r="EB742">
        <v>9</v>
      </c>
      <c r="EC742">
        <v>10</v>
      </c>
      <c r="EE742" t="s">
        <v>2229</v>
      </c>
      <c r="EF742">
        <v>10</v>
      </c>
      <c r="EU742">
        <v>4500</v>
      </c>
      <c r="EW742">
        <v>0</v>
      </c>
      <c r="EX742">
        <v>0</v>
      </c>
      <c r="EY742">
        <v>0</v>
      </c>
      <c r="FA742">
        <v>15</v>
      </c>
      <c r="FG742">
        <v>407</v>
      </c>
      <c r="FH742">
        <v>348</v>
      </c>
      <c r="FI742">
        <v>380</v>
      </c>
    </row>
    <row r="743" spans="1:165" x14ac:dyDescent="0.35">
      <c r="A743" s="25"/>
      <c r="B743" s="25"/>
      <c r="C743" s="25"/>
      <c r="D743" s="25"/>
      <c r="E743" s="25"/>
      <c r="F743" s="25" t="str">
        <f>_xlfn.CONCAT($A744," ",$B744," ",$D744)</f>
        <v>2025 Rivian Automotive L R1S Dual Max (20in)</v>
      </c>
      <c r="G743" s="25"/>
      <c r="H743" s="25"/>
      <c r="I743" s="25"/>
      <c r="J743" s="25"/>
      <c r="K743" s="25"/>
      <c r="L743" s="25"/>
      <c r="M743" s="25"/>
      <c r="N743" s="25"/>
      <c r="O743" s="25"/>
      <c r="P743" s="25"/>
      <c r="Q743" s="25"/>
      <c r="R743" s="25"/>
      <c r="S743" s="25"/>
      <c r="T743" s="25"/>
      <c r="U743" s="25"/>
      <c r="V743" s="25"/>
      <c r="W743" s="25"/>
      <c r="X743" s="25"/>
      <c r="Y743" s="25"/>
      <c r="Z743" s="25"/>
      <c r="AA743" s="25"/>
      <c r="AB743" s="25"/>
      <c r="AC743" s="25"/>
      <c r="AD743" s="25" t="str">
        <f>_xlfn.CONCAT($A744," ",$B744," ",$D744)</f>
        <v>2025 Rivian Automotive L R1S Dual Max (20in)</v>
      </c>
      <c r="AE743" s="25"/>
      <c r="AF743" s="25"/>
      <c r="AG743" s="25"/>
      <c r="AH743" s="25"/>
      <c r="AI743" s="25"/>
      <c r="AJ743" s="25"/>
      <c r="AK743" s="25"/>
      <c r="AL743" s="25"/>
      <c r="AM743" s="25"/>
      <c r="AN743" s="25"/>
      <c r="AO743" s="25"/>
      <c r="AP743" s="25"/>
      <c r="AQ743" s="25"/>
      <c r="AR743" s="25"/>
      <c r="AS743" s="25"/>
      <c r="AT743" s="25"/>
      <c r="AU743" s="25"/>
      <c r="AV743" s="25"/>
      <c r="AW743" s="25"/>
      <c r="AX743" s="25" t="str">
        <f>_xlfn.CONCAT($A744," ",$B744," ",$D744)</f>
        <v>2025 Rivian Automotive L R1S Dual Max (20in)</v>
      </c>
      <c r="AY743" s="25"/>
      <c r="AZ743" s="25"/>
      <c r="BA743" s="25"/>
      <c r="BB743" s="25"/>
      <c r="BC743" s="25"/>
      <c r="BD743" s="25"/>
      <c r="BE743" s="25"/>
      <c r="BF743" s="25"/>
      <c r="BG743" s="25"/>
      <c r="BH743" s="25"/>
      <c r="BI743" s="25"/>
      <c r="BJ743" s="25"/>
      <c r="BK743" s="25"/>
      <c r="BL743" s="25"/>
      <c r="BM743" s="25"/>
      <c r="BN743" s="25"/>
      <c r="BO743" s="25"/>
      <c r="BP743" s="25"/>
      <c r="BQ743" s="25"/>
      <c r="BR743" s="25" t="str">
        <f>_xlfn.CONCAT($A744," ",$B744," ",$D744)</f>
        <v>2025 Rivian Automotive L R1S Dual Max (20in)</v>
      </c>
      <c r="BS743" s="25"/>
      <c r="BT743" s="25"/>
      <c r="BU743" s="25"/>
      <c r="BV743" s="25"/>
      <c r="BX743" s="25"/>
      <c r="BY743" s="25"/>
      <c r="BZ743" s="25"/>
      <c r="CA743" s="25"/>
      <c r="CB743" s="25"/>
      <c r="CC743" s="25"/>
      <c r="CD743" s="25"/>
      <c r="CE743" s="25"/>
      <c r="CF743" s="25"/>
      <c r="CG743" s="25"/>
      <c r="CH743" s="25"/>
      <c r="CI743" s="25"/>
      <c r="CJ743" s="25"/>
      <c r="CK743" s="25"/>
      <c r="CL743" s="25"/>
      <c r="CM743" s="25"/>
      <c r="CN743" s="25"/>
      <c r="CO743" s="25"/>
      <c r="CP743" s="25" t="str">
        <f>_xlfn.CONCAT($A744," ",$B744," ",$D744)</f>
        <v>2025 Rivian Automotive L R1S Dual Max (20in)</v>
      </c>
      <c r="CQ743" s="25"/>
      <c r="CR743" s="25"/>
      <c r="CS743" s="25"/>
      <c r="CT743" s="25"/>
      <c r="CU743" s="25"/>
      <c r="CV743" s="25"/>
      <c r="CW743" s="25"/>
      <c r="CX743" s="25"/>
      <c r="CY743" s="25"/>
      <c r="CZ743" s="25"/>
      <c r="DA743" s="25"/>
      <c r="DB743" s="25"/>
      <c r="DC743" s="25"/>
      <c r="DD743" s="25"/>
      <c r="DE743" s="25"/>
      <c r="DF743" s="25"/>
      <c r="DG743" s="25"/>
      <c r="DH743" s="25"/>
      <c r="DI743" s="25" t="str">
        <f>_xlfn.CONCAT($A744," ",$B744," ",$D744)</f>
        <v>2025 Rivian Automotive L R1S Dual Max (20in)</v>
      </c>
      <c r="DJ743" s="25"/>
      <c r="DK743" s="25"/>
      <c r="DL743" s="25"/>
      <c r="DM743" s="25"/>
      <c r="DN743" s="25"/>
      <c r="DO743" s="25"/>
      <c r="DP743" s="25"/>
      <c r="DQ743" s="25"/>
      <c r="DR743" s="25"/>
      <c r="DS743" s="25"/>
      <c r="DT743" s="25"/>
      <c r="DU743" s="25"/>
      <c r="DV743" s="25"/>
      <c r="DW743" s="25"/>
      <c r="DX743" s="25"/>
      <c r="DY743" s="25"/>
      <c r="DZ743" s="25" t="str">
        <f>_xlfn.CONCAT($A744," ",$B744," ",$D744)</f>
        <v>2025 Rivian Automotive L R1S Dual Max (20in)</v>
      </c>
      <c r="EB743" s="25"/>
      <c r="EC743" s="25"/>
      <c r="ED743" s="25"/>
      <c r="EE743" s="25"/>
      <c r="EF743" s="25"/>
      <c r="EG743" s="25"/>
      <c r="EH743" s="25"/>
      <c r="EI743" s="25"/>
      <c r="EJ743" s="25"/>
      <c r="EK743" s="25"/>
      <c r="EL743" s="25"/>
      <c r="EM743" s="25"/>
      <c r="EN743" s="25"/>
      <c r="EO743" s="25"/>
      <c r="EP743" s="25"/>
      <c r="EQ743" s="25"/>
      <c r="ER743" s="25"/>
      <c r="ES743" s="25"/>
      <c r="ET743" s="25"/>
      <c r="EU743" s="25"/>
      <c r="EV743" s="25" t="str">
        <f>_xlfn.CONCAT($A744," ",$B744," ",$D744)</f>
        <v>2025 Rivian Automotive L R1S Dual Max (20in)</v>
      </c>
      <c r="EW743" s="25"/>
      <c r="EX743" s="25"/>
      <c r="EY743" s="25"/>
      <c r="EZ743" s="25"/>
      <c r="FA743" s="25"/>
      <c r="FB743" s="25"/>
      <c r="FC743" s="25"/>
      <c r="FD743" s="25"/>
      <c r="FE743" s="25"/>
      <c r="FF743" s="25"/>
      <c r="FG743" s="25"/>
    </row>
    <row r="744" spans="1:165" x14ac:dyDescent="0.35">
      <c r="A744">
        <v>2025</v>
      </c>
      <c r="B744" t="s">
        <v>2222</v>
      </c>
      <c r="C744" t="s">
        <v>2223</v>
      </c>
      <c r="D744" t="s">
        <v>2245</v>
      </c>
      <c r="E744" t="s">
        <v>2225</v>
      </c>
      <c r="F744">
        <v>64</v>
      </c>
      <c r="G744">
        <v>0</v>
      </c>
      <c r="I744" t="s">
        <v>1734</v>
      </c>
      <c r="J744">
        <v>86</v>
      </c>
      <c r="K744">
        <v>74</v>
      </c>
      <c r="L744">
        <v>80</v>
      </c>
      <c r="M744">
        <v>121.3</v>
      </c>
      <c r="N744">
        <v>103.7</v>
      </c>
      <c r="O744">
        <v>112.6932</v>
      </c>
      <c r="P744">
        <v>86.434700000000007</v>
      </c>
      <c r="Q744">
        <v>73.893500000000003</v>
      </c>
      <c r="R744">
        <v>80.3018</v>
      </c>
      <c r="V744" t="s">
        <v>167</v>
      </c>
      <c r="W744" t="s">
        <v>168</v>
      </c>
      <c r="Y744">
        <v>1</v>
      </c>
      <c r="Z744" t="s">
        <v>170</v>
      </c>
      <c r="AA744" t="s">
        <v>170</v>
      </c>
      <c r="AB744" t="s">
        <v>809</v>
      </c>
      <c r="AC744" t="s">
        <v>810</v>
      </c>
      <c r="AF744">
        <v>380</v>
      </c>
      <c r="AG744" t="s">
        <v>1735</v>
      </c>
      <c r="AH744" t="s">
        <v>1736</v>
      </c>
      <c r="AI744" t="s">
        <v>175</v>
      </c>
      <c r="AJ744" t="s">
        <v>176</v>
      </c>
      <c r="AK744">
        <v>4</v>
      </c>
      <c r="AL744" t="s">
        <v>1737</v>
      </c>
      <c r="AS744">
        <v>1000</v>
      </c>
      <c r="AT744">
        <v>1000</v>
      </c>
      <c r="BQ744">
        <v>33</v>
      </c>
      <c r="BR744" t="s">
        <v>1497</v>
      </c>
      <c r="BT744" t="s">
        <v>1769</v>
      </c>
      <c r="BU744" s="1">
        <v>45448</v>
      </c>
      <c r="BV744">
        <v>34893</v>
      </c>
      <c r="BY744" t="s">
        <v>170</v>
      </c>
      <c r="CB744" t="s">
        <v>170</v>
      </c>
      <c r="CC744" t="s">
        <v>170</v>
      </c>
      <c r="CK744" t="s">
        <v>233</v>
      </c>
      <c r="CM744">
        <v>1</v>
      </c>
      <c r="CN744" t="s">
        <v>234</v>
      </c>
      <c r="CP744">
        <v>392</v>
      </c>
      <c r="CQ744">
        <v>382</v>
      </c>
      <c r="CR744">
        <v>190</v>
      </c>
      <c r="CS744" t="s">
        <v>1752</v>
      </c>
      <c r="CV744" t="s">
        <v>341</v>
      </c>
      <c r="CX744" t="s">
        <v>342</v>
      </c>
      <c r="CY744" t="s">
        <v>169</v>
      </c>
      <c r="DC744" t="s">
        <v>2226</v>
      </c>
      <c r="DD744">
        <v>2</v>
      </c>
      <c r="DE744" t="s">
        <v>404</v>
      </c>
      <c r="DF744" t="s">
        <v>1860</v>
      </c>
      <c r="DG744" t="s">
        <v>2227</v>
      </c>
      <c r="DL744" t="s">
        <v>170</v>
      </c>
      <c r="DM744" t="s">
        <v>169</v>
      </c>
      <c r="DP744" t="s">
        <v>170</v>
      </c>
      <c r="DQ744" t="s">
        <v>187</v>
      </c>
      <c r="DR744" t="s">
        <v>2246</v>
      </c>
      <c r="EB744">
        <v>9</v>
      </c>
      <c r="EC744">
        <v>10</v>
      </c>
      <c r="EE744" t="s">
        <v>2229</v>
      </c>
      <c r="EF744">
        <v>10</v>
      </c>
      <c r="EU744">
        <v>4500</v>
      </c>
      <c r="EW744">
        <v>0</v>
      </c>
      <c r="EX744">
        <v>0</v>
      </c>
      <c r="EY744">
        <v>0</v>
      </c>
      <c r="FA744">
        <v>15</v>
      </c>
      <c r="FG744">
        <v>407</v>
      </c>
      <c r="FH744">
        <v>348</v>
      </c>
      <c r="FI744">
        <v>380</v>
      </c>
    </row>
    <row r="745" spans="1:165" x14ac:dyDescent="0.35">
      <c r="A745">
        <v>2025</v>
      </c>
      <c r="B745" t="s">
        <v>2222</v>
      </c>
      <c r="C745" t="s">
        <v>2223</v>
      </c>
      <c r="D745" t="s">
        <v>2245</v>
      </c>
      <c r="E745" t="s">
        <v>2225</v>
      </c>
      <c r="F745">
        <v>64</v>
      </c>
      <c r="G745">
        <v>0</v>
      </c>
      <c r="I745" t="s">
        <v>1734</v>
      </c>
      <c r="J745">
        <v>39</v>
      </c>
      <c r="K745">
        <v>46</v>
      </c>
      <c r="L745">
        <v>42</v>
      </c>
      <c r="M745">
        <v>27.785599999999999</v>
      </c>
      <c r="N745">
        <v>32.517400000000002</v>
      </c>
      <c r="O745">
        <v>29.914899999999999</v>
      </c>
      <c r="P745">
        <v>38.994700000000002</v>
      </c>
      <c r="Q745">
        <v>45.612900000000003</v>
      </c>
      <c r="R745">
        <v>41.972900000000003</v>
      </c>
      <c r="V745" t="s">
        <v>167</v>
      </c>
      <c r="W745" t="s">
        <v>168</v>
      </c>
      <c r="Y745">
        <v>1</v>
      </c>
      <c r="Z745" t="s">
        <v>170</v>
      </c>
      <c r="AA745" t="s">
        <v>170</v>
      </c>
      <c r="AB745" t="s">
        <v>809</v>
      </c>
      <c r="AC745" t="s">
        <v>810</v>
      </c>
      <c r="AF745">
        <v>380</v>
      </c>
      <c r="AG745" t="s">
        <v>1735</v>
      </c>
      <c r="AH745" t="s">
        <v>1736</v>
      </c>
      <c r="AI745" t="s">
        <v>1742</v>
      </c>
      <c r="AJ745" t="s">
        <v>1743</v>
      </c>
      <c r="AK745">
        <v>4</v>
      </c>
      <c r="AL745" t="s">
        <v>1737</v>
      </c>
      <c r="AS745">
        <v>1000</v>
      </c>
      <c r="AT745">
        <v>1000</v>
      </c>
      <c r="BQ745">
        <v>33</v>
      </c>
      <c r="BR745" t="s">
        <v>1497</v>
      </c>
      <c r="BT745" t="s">
        <v>1769</v>
      </c>
      <c r="BU745" s="1">
        <v>45448</v>
      </c>
      <c r="BV745">
        <v>34893</v>
      </c>
      <c r="BY745" t="s">
        <v>170</v>
      </c>
      <c r="CB745" t="s">
        <v>170</v>
      </c>
      <c r="CC745" t="s">
        <v>170</v>
      </c>
      <c r="CK745" t="s">
        <v>233</v>
      </c>
      <c r="CM745">
        <v>1</v>
      </c>
      <c r="CN745" t="s">
        <v>234</v>
      </c>
      <c r="CP745">
        <v>392</v>
      </c>
      <c r="CQ745">
        <v>382</v>
      </c>
      <c r="CR745">
        <v>190</v>
      </c>
      <c r="CS745" t="s">
        <v>1752</v>
      </c>
      <c r="CV745" t="s">
        <v>341</v>
      </c>
      <c r="CX745" t="s">
        <v>342</v>
      </c>
      <c r="CY745" t="s">
        <v>169</v>
      </c>
      <c r="DC745" t="s">
        <v>2226</v>
      </c>
      <c r="DD745">
        <v>2</v>
      </c>
      <c r="DE745" t="s">
        <v>404</v>
      </c>
      <c r="DF745" t="s">
        <v>1860</v>
      </c>
      <c r="DG745" t="s">
        <v>2227</v>
      </c>
      <c r="DL745" t="s">
        <v>170</v>
      </c>
      <c r="DM745" t="s">
        <v>169</v>
      </c>
      <c r="DP745" t="s">
        <v>170</v>
      </c>
      <c r="DQ745" t="s">
        <v>187</v>
      </c>
      <c r="DR745" t="s">
        <v>2246</v>
      </c>
      <c r="EB745">
        <v>9</v>
      </c>
      <c r="EC745">
        <v>10</v>
      </c>
      <c r="EE745" t="s">
        <v>2229</v>
      </c>
      <c r="EF745">
        <v>10</v>
      </c>
      <c r="EU745">
        <v>4500</v>
      </c>
      <c r="EW745">
        <v>0</v>
      </c>
      <c r="EX745">
        <v>0</v>
      </c>
      <c r="EY745">
        <v>0</v>
      </c>
      <c r="FA745">
        <v>15</v>
      </c>
      <c r="FG745">
        <v>407</v>
      </c>
      <c r="FH745">
        <v>348</v>
      </c>
      <c r="FI745">
        <v>380</v>
      </c>
    </row>
    <row r="746" spans="1:165" x14ac:dyDescent="0.35">
      <c r="A746" s="25"/>
      <c r="B746" s="25"/>
      <c r="C746" s="25"/>
      <c r="D746" s="25"/>
      <c r="E746" s="25"/>
      <c r="F746" s="25" t="str">
        <f>_xlfn.CONCAT($A747," ",$B747," ",$D747)</f>
        <v>2025 Rivian Automotive L R1T Dual Max (22in)</v>
      </c>
      <c r="G746" s="25"/>
      <c r="H746" s="25"/>
      <c r="I746" s="25"/>
      <c r="J746" s="25"/>
      <c r="K746" s="25"/>
      <c r="L746" s="25"/>
      <c r="M746" s="25"/>
      <c r="N746" s="25"/>
      <c r="O746" s="25"/>
      <c r="P746" s="25"/>
      <c r="Q746" s="25"/>
      <c r="R746" s="25"/>
      <c r="S746" s="25"/>
      <c r="T746" s="25"/>
      <c r="U746" s="25"/>
      <c r="V746" s="25"/>
      <c r="W746" s="25"/>
      <c r="X746" s="25"/>
      <c r="Y746" s="25"/>
      <c r="Z746" s="25"/>
      <c r="AA746" s="25"/>
      <c r="AB746" s="25"/>
      <c r="AC746" s="25"/>
      <c r="AD746" s="25" t="str">
        <f>_xlfn.CONCAT($A747," ",$B747," ",$D747)</f>
        <v>2025 Rivian Automotive L R1T Dual Max (22in)</v>
      </c>
      <c r="AE746" s="25"/>
      <c r="AF746" s="25"/>
      <c r="AG746" s="25"/>
      <c r="AH746" s="25"/>
      <c r="AI746" s="25"/>
      <c r="AJ746" s="25"/>
      <c r="AK746" s="25"/>
      <c r="AL746" s="25"/>
      <c r="AM746" s="25"/>
      <c r="AN746" s="25"/>
      <c r="AO746" s="25"/>
      <c r="AP746" s="25"/>
      <c r="AQ746" s="25"/>
      <c r="AR746" s="25"/>
      <c r="AS746" s="25"/>
      <c r="AT746" s="25"/>
      <c r="AU746" s="25"/>
      <c r="AV746" s="25"/>
      <c r="AW746" s="25"/>
      <c r="AX746" s="25" t="str">
        <f>_xlfn.CONCAT($A747," ",$B747," ",$D747)</f>
        <v>2025 Rivian Automotive L R1T Dual Max (22in)</v>
      </c>
      <c r="AY746" s="25"/>
      <c r="AZ746" s="25"/>
      <c r="BA746" s="25"/>
      <c r="BB746" s="25"/>
      <c r="BC746" s="25"/>
      <c r="BD746" s="25"/>
      <c r="BE746" s="25"/>
      <c r="BF746" s="25"/>
      <c r="BG746" s="25"/>
      <c r="BH746" s="25"/>
      <c r="BI746" s="25"/>
      <c r="BJ746" s="25"/>
      <c r="BK746" s="25"/>
      <c r="BL746" s="25"/>
      <c r="BM746" s="25"/>
      <c r="BN746" s="25"/>
      <c r="BO746" s="25"/>
      <c r="BP746" s="25"/>
      <c r="BQ746" s="25"/>
      <c r="BR746" s="25" t="str">
        <f>_xlfn.CONCAT($A747," ",$B747," ",$D747)</f>
        <v>2025 Rivian Automotive L R1T Dual Max (22in)</v>
      </c>
      <c r="BS746" s="25"/>
      <c r="BT746" s="25"/>
      <c r="BU746" s="25"/>
      <c r="BV746" s="25"/>
      <c r="BX746" s="25"/>
      <c r="BY746" s="25"/>
      <c r="BZ746" s="25"/>
      <c r="CA746" s="25"/>
      <c r="CB746" s="25"/>
      <c r="CC746" s="25"/>
      <c r="CD746" s="25"/>
      <c r="CE746" s="25"/>
      <c r="CF746" s="25"/>
      <c r="CG746" s="25"/>
      <c r="CH746" s="25"/>
      <c r="CI746" s="25"/>
      <c r="CJ746" s="25"/>
      <c r="CK746" s="25"/>
      <c r="CL746" s="25"/>
      <c r="CM746" s="25"/>
      <c r="CN746" s="25"/>
      <c r="CO746" s="25"/>
      <c r="CP746" s="25" t="str">
        <f>_xlfn.CONCAT($A747," ",$B747," ",$D747)</f>
        <v>2025 Rivian Automotive L R1T Dual Max (22in)</v>
      </c>
      <c r="CQ746" s="25"/>
      <c r="CR746" s="25"/>
      <c r="CS746" s="25"/>
      <c r="CT746" s="25"/>
      <c r="CU746" s="25"/>
      <c r="CV746" s="25"/>
      <c r="CW746" s="25"/>
      <c r="CX746" s="25"/>
      <c r="CY746" s="25"/>
      <c r="CZ746" s="25"/>
      <c r="DA746" s="25"/>
      <c r="DB746" s="25"/>
      <c r="DC746" s="25"/>
      <c r="DD746" s="25"/>
      <c r="DE746" s="25"/>
      <c r="DF746" s="25"/>
      <c r="DG746" s="25"/>
      <c r="DH746" s="25"/>
      <c r="DI746" s="25" t="str">
        <f>_xlfn.CONCAT($A747," ",$B747," ",$D747)</f>
        <v>2025 Rivian Automotive L R1T Dual Max (22in)</v>
      </c>
      <c r="DJ746" s="25"/>
      <c r="DK746" s="25"/>
      <c r="DL746" s="25"/>
      <c r="DM746" s="25"/>
      <c r="DN746" s="25"/>
      <c r="DO746" s="25"/>
      <c r="DP746" s="25"/>
      <c r="DQ746" s="25"/>
      <c r="DR746" s="25"/>
      <c r="DS746" s="25"/>
      <c r="DT746" s="25"/>
      <c r="DU746" s="25"/>
      <c r="DV746" s="25"/>
      <c r="DW746" s="25"/>
      <c r="DX746" s="25"/>
      <c r="DY746" s="25"/>
      <c r="DZ746" s="25" t="str">
        <f>_xlfn.CONCAT($A747," ",$B747," ",$D747)</f>
        <v>2025 Rivian Automotive L R1T Dual Max (22in)</v>
      </c>
      <c r="EB746" s="25"/>
      <c r="EC746" s="25"/>
      <c r="ED746" s="25"/>
      <c r="EE746" s="25"/>
      <c r="EF746" s="25"/>
      <c r="EG746" s="25"/>
      <c r="EH746" s="25"/>
      <c r="EI746" s="25"/>
      <c r="EJ746" s="25"/>
      <c r="EK746" s="25"/>
      <c r="EL746" s="25"/>
      <c r="EM746" s="25"/>
      <c r="EN746" s="25"/>
      <c r="EO746" s="25"/>
      <c r="EP746" s="25"/>
      <c r="EQ746" s="25"/>
      <c r="ER746" s="25"/>
      <c r="ES746" s="25"/>
      <c r="ET746" s="25"/>
      <c r="EU746" s="25"/>
      <c r="EV746" s="25" t="str">
        <f>_xlfn.CONCAT($A747," ",$B747," ",$D747)</f>
        <v>2025 Rivian Automotive L R1T Dual Max (22in)</v>
      </c>
      <c r="EW746" s="25"/>
      <c r="EX746" s="25"/>
      <c r="EY746" s="25"/>
      <c r="EZ746" s="25"/>
      <c r="FA746" s="25"/>
      <c r="FB746" s="25"/>
      <c r="FC746" s="25"/>
      <c r="FD746" s="25"/>
      <c r="FE746" s="25"/>
      <c r="FF746" s="25"/>
      <c r="FG746" s="25"/>
    </row>
    <row r="747" spans="1:165" x14ac:dyDescent="0.35">
      <c r="A747">
        <v>2025</v>
      </c>
      <c r="B747" t="s">
        <v>2222</v>
      </c>
      <c r="C747" t="s">
        <v>2223</v>
      </c>
      <c r="D747" t="s">
        <v>2281</v>
      </c>
      <c r="E747" t="s">
        <v>2225</v>
      </c>
      <c r="F747">
        <v>65</v>
      </c>
      <c r="G747">
        <v>0</v>
      </c>
      <c r="I747" t="s">
        <v>1734</v>
      </c>
      <c r="J747">
        <v>93</v>
      </c>
      <c r="K747">
        <v>80</v>
      </c>
      <c r="L747">
        <v>87</v>
      </c>
      <c r="M747">
        <v>131</v>
      </c>
      <c r="N747">
        <v>113</v>
      </c>
      <c r="O747">
        <v>122.23779999999999</v>
      </c>
      <c r="P747">
        <v>92.998199999999997</v>
      </c>
      <c r="Q747">
        <v>80.219800000000006</v>
      </c>
      <c r="R747">
        <v>86.777799999999999</v>
      </c>
      <c r="V747" t="s">
        <v>167</v>
      </c>
      <c r="W747" t="s">
        <v>168</v>
      </c>
      <c r="Y747">
        <v>1</v>
      </c>
      <c r="Z747" t="s">
        <v>170</v>
      </c>
      <c r="AA747" t="s">
        <v>170</v>
      </c>
      <c r="AB747" t="s">
        <v>809</v>
      </c>
      <c r="AC747" t="s">
        <v>810</v>
      </c>
      <c r="AF747">
        <v>420</v>
      </c>
      <c r="AG747" t="s">
        <v>1735</v>
      </c>
      <c r="AH747" t="s">
        <v>1736</v>
      </c>
      <c r="AI747" t="s">
        <v>175</v>
      </c>
      <c r="AJ747" t="s">
        <v>176</v>
      </c>
      <c r="AK747">
        <v>4</v>
      </c>
      <c r="AL747" t="s">
        <v>1737</v>
      </c>
      <c r="AS747">
        <v>950</v>
      </c>
      <c r="AT747">
        <v>950</v>
      </c>
      <c r="BQ747">
        <v>13</v>
      </c>
      <c r="BR747" t="s">
        <v>1016</v>
      </c>
      <c r="BT747" t="s">
        <v>1769</v>
      </c>
      <c r="BU747" s="1">
        <v>45488</v>
      </c>
      <c r="BV747">
        <v>35184</v>
      </c>
      <c r="BY747" t="s">
        <v>170</v>
      </c>
      <c r="CB747" t="s">
        <v>170</v>
      </c>
      <c r="CC747" t="s">
        <v>170</v>
      </c>
      <c r="CK747" t="s">
        <v>233</v>
      </c>
      <c r="CM747">
        <v>1</v>
      </c>
      <c r="CN747" t="s">
        <v>234</v>
      </c>
      <c r="CP747">
        <v>392</v>
      </c>
      <c r="CQ747">
        <v>382</v>
      </c>
      <c r="CR747">
        <v>190</v>
      </c>
      <c r="CS747" t="s">
        <v>1752</v>
      </c>
      <c r="CV747" t="s">
        <v>341</v>
      </c>
      <c r="CX747" t="s">
        <v>342</v>
      </c>
      <c r="CY747" t="s">
        <v>169</v>
      </c>
      <c r="DC747" t="s">
        <v>2226</v>
      </c>
      <c r="DD747">
        <v>2</v>
      </c>
      <c r="DE747" t="s">
        <v>404</v>
      </c>
      <c r="DF747" t="s">
        <v>1860</v>
      </c>
      <c r="DG747" t="s">
        <v>2227</v>
      </c>
      <c r="DL747" t="s">
        <v>170</v>
      </c>
      <c r="DM747" t="s">
        <v>169</v>
      </c>
      <c r="DP747" t="s">
        <v>170</v>
      </c>
      <c r="DQ747" t="s">
        <v>187</v>
      </c>
      <c r="DR747" t="s">
        <v>2282</v>
      </c>
      <c r="EB747">
        <v>9</v>
      </c>
      <c r="EC747">
        <v>10</v>
      </c>
      <c r="EE747" t="s">
        <v>2229</v>
      </c>
      <c r="EF747">
        <v>10</v>
      </c>
      <c r="EU747">
        <v>4750</v>
      </c>
      <c r="EW747">
        <v>0</v>
      </c>
      <c r="EX747">
        <v>0</v>
      </c>
      <c r="EY747">
        <v>0</v>
      </c>
      <c r="FA747">
        <v>15</v>
      </c>
      <c r="FG747">
        <v>448</v>
      </c>
      <c r="FH747">
        <v>386</v>
      </c>
      <c r="FI747">
        <v>420</v>
      </c>
    </row>
    <row r="748" spans="1:165" x14ac:dyDescent="0.35">
      <c r="A748">
        <v>2025</v>
      </c>
      <c r="B748" t="s">
        <v>2222</v>
      </c>
      <c r="C748" t="s">
        <v>2223</v>
      </c>
      <c r="D748" t="s">
        <v>2281</v>
      </c>
      <c r="E748" t="s">
        <v>2225</v>
      </c>
      <c r="F748">
        <v>65</v>
      </c>
      <c r="G748">
        <v>0</v>
      </c>
      <c r="I748" t="s">
        <v>1734</v>
      </c>
      <c r="J748">
        <v>36</v>
      </c>
      <c r="K748">
        <v>42</v>
      </c>
      <c r="L748">
        <v>39</v>
      </c>
      <c r="M748">
        <v>25.728400000000001</v>
      </c>
      <c r="N748">
        <v>29.815799999999999</v>
      </c>
      <c r="O748">
        <v>27.567699999999999</v>
      </c>
      <c r="P748">
        <v>36.242600000000003</v>
      </c>
      <c r="Q748">
        <v>42.015799999999999</v>
      </c>
      <c r="R748">
        <v>38.840600000000002</v>
      </c>
      <c r="V748" t="s">
        <v>167</v>
      </c>
      <c r="W748" t="s">
        <v>168</v>
      </c>
      <c r="Y748">
        <v>1</v>
      </c>
      <c r="Z748" t="s">
        <v>170</v>
      </c>
      <c r="AA748" t="s">
        <v>170</v>
      </c>
      <c r="AB748" t="s">
        <v>809</v>
      </c>
      <c r="AC748" t="s">
        <v>810</v>
      </c>
      <c r="AF748">
        <v>420</v>
      </c>
      <c r="AG748" t="s">
        <v>1735</v>
      </c>
      <c r="AH748" t="s">
        <v>1736</v>
      </c>
      <c r="AI748" t="s">
        <v>1742</v>
      </c>
      <c r="AJ748" t="s">
        <v>1743</v>
      </c>
      <c r="AK748">
        <v>4</v>
      </c>
      <c r="AL748" t="s">
        <v>1737</v>
      </c>
      <c r="AS748">
        <v>950</v>
      </c>
      <c r="AT748">
        <v>950</v>
      </c>
      <c r="BQ748">
        <v>13</v>
      </c>
      <c r="BR748" t="s">
        <v>1016</v>
      </c>
      <c r="BT748" t="s">
        <v>1769</v>
      </c>
      <c r="BU748" s="1">
        <v>45488</v>
      </c>
      <c r="BV748">
        <v>35184</v>
      </c>
      <c r="BY748" t="s">
        <v>170</v>
      </c>
      <c r="CB748" t="s">
        <v>170</v>
      </c>
      <c r="CC748" t="s">
        <v>170</v>
      </c>
      <c r="CK748" t="s">
        <v>233</v>
      </c>
      <c r="CM748">
        <v>1</v>
      </c>
      <c r="CN748" t="s">
        <v>234</v>
      </c>
      <c r="CP748">
        <v>392</v>
      </c>
      <c r="CQ748">
        <v>382</v>
      </c>
      <c r="CR748">
        <v>190</v>
      </c>
      <c r="CS748" t="s">
        <v>1752</v>
      </c>
      <c r="CV748" t="s">
        <v>341</v>
      </c>
      <c r="CX748" t="s">
        <v>342</v>
      </c>
      <c r="CY748" t="s">
        <v>169</v>
      </c>
      <c r="DC748" t="s">
        <v>2226</v>
      </c>
      <c r="DD748">
        <v>2</v>
      </c>
      <c r="DE748" t="s">
        <v>404</v>
      </c>
      <c r="DF748" t="s">
        <v>1860</v>
      </c>
      <c r="DG748" t="s">
        <v>2227</v>
      </c>
      <c r="DL748" t="s">
        <v>170</v>
      </c>
      <c r="DM748" t="s">
        <v>169</v>
      </c>
      <c r="DP748" t="s">
        <v>170</v>
      </c>
      <c r="DQ748" t="s">
        <v>187</v>
      </c>
      <c r="DR748" t="s">
        <v>2282</v>
      </c>
      <c r="EB748">
        <v>9</v>
      </c>
      <c r="EC748">
        <v>10</v>
      </c>
      <c r="EE748" t="s">
        <v>2229</v>
      </c>
      <c r="EF748">
        <v>10</v>
      </c>
      <c r="EU748">
        <v>4750</v>
      </c>
      <c r="EW748">
        <v>0</v>
      </c>
      <c r="EX748">
        <v>0</v>
      </c>
      <c r="EY748">
        <v>0</v>
      </c>
      <c r="FA748">
        <v>15</v>
      </c>
      <c r="FG748">
        <v>448</v>
      </c>
      <c r="FH748">
        <v>386</v>
      </c>
      <c r="FI748">
        <v>420</v>
      </c>
    </row>
    <row r="749" spans="1:165" x14ac:dyDescent="0.35">
      <c r="A749" s="25"/>
      <c r="B749" s="25"/>
      <c r="C749" s="25"/>
      <c r="D749" s="25"/>
      <c r="E749" s="25"/>
      <c r="F749" s="25" t="str">
        <f>_xlfn.CONCAT($A750," ",$B750," ",$D750)</f>
        <v>2025 Rivian Automotive L R1S Dual Max (22in)</v>
      </c>
      <c r="G749" s="25"/>
      <c r="H749" s="25"/>
      <c r="I749" s="25"/>
      <c r="J749" s="25"/>
      <c r="K749" s="25"/>
      <c r="L749" s="25"/>
      <c r="M749" s="25"/>
      <c r="N749" s="25"/>
      <c r="O749" s="25"/>
      <c r="P749" s="25"/>
      <c r="Q749" s="25"/>
      <c r="R749" s="25"/>
      <c r="S749" s="25"/>
      <c r="T749" s="25"/>
      <c r="U749" s="25"/>
      <c r="V749" s="25"/>
      <c r="W749" s="25"/>
      <c r="X749" s="25"/>
      <c r="Y749" s="25"/>
      <c r="Z749" s="25"/>
      <c r="AA749" s="25"/>
      <c r="AB749" s="25"/>
      <c r="AC749" s="25"/>
      <c r="AD749" s="25" t="str">
        <f>_xlfn.CONCAT($A750," ",$B750," ",$D750)</f>
        <v>2025 Rivian Automotive L R1S Dual Max (22in)</v>
      </c>
      <c r="AE749" s="25"/>
      <c r="AF749" s="25"/>
      <c r="AG749" s="25"/>
      <c r="AH749" s="25"/>
      <c r="AI749" s="25"/>
      <c r="AJ749" s="25"/>
      <c r="AK749" s="25"/>
      <c r="AL749" s="25"/>
      <c r="AM749" s="25"/>
      <c r="AN749" s="25"/>
      <c r="AO749" s="25"/>
      <c r="AP749" s="25"/>
      <c r="AQ749" s="25"/>
      <c r="AR749" s="25"/>
      <c r="AS749" s="25"/>
      <c r="AT749" s="25"/>
      <c r="AU749" s="25"/>
      <c r="AV749" s="25"/>
      <c r="AW749" s="25"/>
      <c r="AX749" s="25" t="str">
        <f>_xlfn.CONCAT($A750," ",$B750," ",$D750)</f>
        <v>2025 Rivian Automotive L R1S Dual Max (22in)</v>
      </c>
      <c r="AY749" s="25"/>
      <c r="AZ749" s="25"/>
      <c r="BA749" s="25"/>
      <c r="BB749" s="25"/>
      <c r="BC749" s="25"/>
      <c r="BD749" s="25"/>
      <c r="BE749" s="25"/>
      <c r="BF749" s="25"/>
      <c r="BG749" s="25"/>
      <c r="BH749" s="25"/>
      <c r="BI749" s="25"/>
      <c r="BJ749" s="25"/>
      <c r="BK749" s="25"/>
      <c r="BL749" s="25"/>
      <c r="BM749" s="25"/>
      <c r="BN749" s="25"/>
      <c r="BO749" s="25"/>
      <c r="BP749" s="25"/>
      <c r="BQ749" s="25"/>
      <c r="BR749" s="25" t="str">
        <f>_xlfn.CONCAT($A750," ",$B750," ",$D750)</f>
        <v>2025 Rivian Automotive L R1S Dual Max (22in)</v>
      </c>
      <c r="BS749" s="25"/>
      <c r="BT749" s="25"/>
      <c r="BU749" s="25"/>
      <c r="BV749" s="25"/>
      <c r="BX749" s="25"/>
      <c r="BY749" s="25"/>
      <c r="BZ749" s="25"/>
      <c r="CA749" s="25"/>
      <c r="CB749" s="25"/>
      <c r="CC749" s="25"/>
      <c r="CD749" s="25"/>
      <c r="CE749" s="25"/>
      <c r="CF749" s="25"/>
      <c r="CG749" s="25"/>
      <c r="CH749" s="25"/>
      <c r="CI749" s="25"/>
      <c r="CJ749" s="25"/>
      <c r="CK749" s="25"/>
      <c r="CL749" s="25"/>
      <c r="CM749" s="25"/>
      <c r="CN749" s="25"/>
      <c r="CO749" s="25"/>
      <c r="CP749" s="25" t="str">
        <f>_xlfn.CONCAT($A750," ",$B750," ",$D750)</f>
        <v>2025 Rivian Automotive L R1S Dual Max (22in)</v>
      </c>
      <c r="CQ749" s="25"/>
      <c r="CR749" s="25"/>
      <c r="CS749" s="25"/>
      <c r="CT749" s="25"/>
      <c r="CU749" s="25"/>
      <c r="CV749" s="25"/>
      <c r="CW749" s="25"/>
      <c r="CX749" s="25"/>
      <c r="CY749" s="25"/>
      <c r="CZ749" s="25"/>
      <c r="DA749" s="25"/>
      <c r="DB749" s="25"/>
      <c r="DC749" s="25"/>
      <c r="DD749" s="25"/>
      <c r="DE749" s="25"/>
      <c r="DF749" s="25"/>
      <c r="DG749" s="25"/>
      <c r="DH749" s="25"/>
      <c r="DI749" s="25" t="str">
        <f>_xlfn.CONCAT($A750," ",$B750," ",$D750)</f>
        <v>2025 Rivian Automotive L R1S Dual Max (22in)</v>
      </c>
      <c r="DJ749" s="25"/>
      <c r="DK749" s="25"/>
      <c r="DL749" s="25"/>
      <c r="DM749" s="25"/>
      <c r="DN749" s="25"/>
      <c r="DO749" s="25"/>
      <c r="DP749" s="25"/>
      <c r="DQ749" s="25"/>
      <c r="DR749" s="25"/>
      <c r="DS749" s="25"/>
      <c r="DT749" s="25"/>
      <c r="DU749" s="25"/>
      <c r="DV749" s="25"/>
      <c r="DW749" s="25"/>
      <c r="DX749" s="25"/>
      <c r="DY749" s="25"/>
      <c r="DZ749" s="25" t="str">
        <f>_xlfn.CONCAT($A750," ",$B750," ",$D750)</f>
        <v>2025 Rivian Automotive L R1S Dual Max (22in)</v>
      </c>
      <c r="EB749" s="25"/>
      <c r="EC749" s="25"/>
      <c r="ED749" s="25"/>
      <c r="EE749" s="25"/>
      <c r="EF749" s="25"/>
      <c r="EG749" s="25"/>
      <c r="EH749" s="25"/>
      <c r="EI749" s="25"/>
      <c r="EJ749" s="25"/>
      <c r="EK749" s="25"/>
      <c r="EL749" s="25"/>
      <c r="EM749" s="25"/>
      <c r="EN749" s="25"/>
      <c r="EO749" s="25"/>
      <c r="EP749" s="25"/>
      <c r="EQ749" s="25"/>
      <c r="ER749" s="25"/>
      <c r="ES749" s="25"/>
      <c r="ET749" s="25"/>
      <c r="EU749" s="25"/>
      <c r="EV749" s="25" t="str">
        <f>_xlfn.CONCAT($A750," ",$B750," ",$D750)</f>
        <v>2025 Rivian Automotive L R1S Dual Max (22in)</v>
      </c>
      <c r="EW749" s="25"/>
      <c r="EX749" s="25"/>
      <c r="EY749" s="25"/>
      <c r="EZ749" s="25"/>
      <c r="FA749" s="25"/>
      <c r="FB749" s="25"/>
      <c r="FC749" s="25"/>
      <c r="FD749" s="25"/>
      <c r="FE749" s="25"/>
      <c r="FF749" s="25"/>
      <c r="FG749" s="25"/>
    </row>
    <row r="750" spans="1:165" x14ac:dyDescent="0.35">
      <c r="A750">
        <v>2025</v>
      </c>
      <c r="B750" t="s">
        <v>2222</v>
      </c>
      <c r="C750" t="s">
        <v>2223</v>
      </c>
      <c r="D750" t="s">
        <v>2247</v>
      </c>
      <c r="E750" t="s">
        <v>2225</v>
      </c>
      <c r="F750">
        <v>66</v>
      </c>
      <c r="G750">
        <v>0</v>
      </c>
      <c r="I750" t="s">
        <v>1734</v>
      </c>
      <c r="J750">
        <v>91</v>
      </c>
      <c r="K750">
        <v>77</v>
      </c>
      <c r="L750">
        <v>84</v>
      </c>
      <c r="M750">
        <v>129</v>
      </c>
      <c r="N750">
        <v>109.1</v>
      </c>
      <c r="O750">
        <v>119.2148</v>
      </c>
      <c r="P750">
        <v>91.319100000000006</v>
      </c>
      <c r="Q750">
        <v>77.231899999999996</v>
      </c>
      <c r="R750">
        <v>84.392200000000003</v>
      </c>
      <c r="V750" t="s">
        <v>167</v>
      </c>
      <c r="W750" t="s">
        <v>168</v>
      </c>
      <c r="Y750">
        <v>1</v>
      </c>
      <c r="Z750" t="s">
        <v>170</v>
      </c>
      <c r="AA750" t="s">
        <v>170</v>
      </c>
      <c r="AB750" t="s">
        <v>809</v>
      </c>
      <c r="AC750" t="s">
        <v>810</v>
      </c>
      <c r="AF750">
        <v>410</v>
      </c>
      <c r="AG750" t="s">
        <v>1735</v>
      </c>
      <c r="AH750" t="s">
        <v>1736</v>
      </c>
      <c r="AI750" t="s">
        <v>175</v>
      </c>
      <c r="AJ750" t="s">
        <v>176</v>
      </c>
      <c r="AK750">
        <v>4</v>
      </c>
      <c r="AL750" t="s">
        <v>1737</v>
      </c>
      <c r="AS750">
        <v>950</v>
      </c>
      <c r="AT750">
        <v>950</v>
      </c>
      <c r="BQ750">
        <v>33</v>
      </c>
      <c r="BR750" t="s">
        <v>1497</v>
      </c>
      <c r="BT750" t="s">
        <v>1769</v>
      </c>
      <c r="BU750" s="1">
        <v>45448</v>
      </c>
      <c r="BV750">
        <v>34897</v>
      </c>
      <c r="BY750" t="s">
        <v>170</v>
      </c>
      <c r="CB750" t="s">
        <v>170</v>
      </c>
      <c r="CC750" t="s">
        <v>170</v>
      </c>
      <c r="CK750" t="s">
        <v>233</v>
      </c>
      <c r="CM750">
        <v>1</v>
      </c>
      <c r="CN750" t="s">
        <v>234</v>
      </c>
      <c r="CP750">
        <v>392</v>
      </c>
      <c r="CQ750">
        <v>382</v>
      </c>
      <c r="CR750">
        <v>190</v>
      </c>
      <c r="CS750" t="s">
        <v>1752</v>
      </c>
      <c r="CV750" t="s">
        <v>341</v>
      </c>
      <c r="CX750" t="s">
        <v>342</v>
      </c>
      <c r="CY750" t="s">
        <v>169</v>
      </c>
      <c r="DC750" t="s">
        <v>2226</v>
      </c>
      <c r="DD750">
        <v>2</v>
      </c>
      <c r="DE750" t="s">
        <v>404</v>
      </c>
      <c r="DF750" t="s">
        <v>1860</v>
      </c>
      <c r="DG750" t="s">
        <v>2227</v>
      </c>
      <c r="DL750" t="s">
        <v>170</v>
      </c>
      <c r="DM750" t="s">
        <v>169</v>
      </c>
      <c r="DP750" t="s">
        <v>170</v>
      </c>
      <c r="DQ750" t="s">
        <v>187</v>
      </c>
      <c r="DR750" t="s">
        <v>2248</v>
      </c>
      <c r="EB750">
        <v>9</v>
      </c>
      <c r="EC750">
        <v>10</v>
      </c>
      <c r="EE750" t="s">
        <v>2229</v>
      </c>
      <c r="EF750">
        <v>10</v>
      </c>
      <c r="EU750">
        <v>4750</v>
      </c>
      <c r="EW750">
        <v>0</v>
      </c>
      <c r="EX750">
        <v>0</v>
      </c>
      <c r="EY750">
        <v>0</v>
      </c>
      <c r="FA750">
        <v>15</v>
      </c>
      <c r="FG750">
        <v>441</v>
      </c>
      <c r="FH750">
        <v>373</v>
      </c>
      <c r="FI750">
        <v>410</v>
      </c>
    </row>
    <row r="751" spans="1:165" x14ac:dyDescent="0.35">
      <c r="A751">
        <v>2025</v>
      </c>
      <c r="B751" t="s">
        <v>2222</v>
      </c>
      <c r="C751" t="s">
        <v>2223</v>
      </c>
      <c r="D751" t="s">
        <v>2247</v>
      </c>
      <c r="E751" t="s">
        <v>2225</v>
      </c>
      <c r="F751">
        <v>66</v>
      </c>
      <c r="G751">
        <v>0</v>
      </c>
      <c r="I751" t="s">
        <v>1734</v>
      </c>
      <c r="J751">
        <v>37</v>
      </c>
      <c r="K751">
        <v>44</v>
      </c>
      <c r="L751">
        <v>40</v>
      </c>
      <c r="M751">
        <v>26.118500000000001</v>
      </c>
      <c r="N751">
        <v>30.8856</v>
      </c>
      <c r="O751">
        <v>28.2637</v>
      </c>
      <c r="P751">
        <v>36.908999999999999</v>
      </c>
      <c r="Q751">
        <v>43.641300000000001</v>
      </c>
      <c r="R751">
        <v>39.938499999999998</v>
      </c>
      <c r="V751" t="s">
        <v>167</v>
      </c>
      <c r="W751" t="s">
        <v>168</v>
      </c>
      <c r="Y751">
        <v>1</v>
      </c>
      <c r="Z751" t="s">
        <v>170</v>
      </c>
      <c r="AA751" t="s">
        <v>170</v>
      </c>
      <c r="AB751" t="s">
        <v>809</v>
      </c>
      <c r="AC751" t="s">
        <v>810</v>
      </c>
      <c r="AF751">
        <v>410</v>
      </c>
      <c r="AG751" t="s">
        <v>1735</v>
      </c>
      <c r="AH751" t="s">
        <v>1736</v>
      </c>
      <c r="AI751" t="s">
        <v>1742</v>
      </c>
      <c r="AJ751" t="s">
        <v>1743</v>
      </c>
      <c r="AK751">
        <v>4</v>
      </c>
      <c r="AL751" t="s">
        <v>1737</v>
      </c>
      <c r="AS751">
        <v>950</v>
      </c>
      <c r="AT751">
        <v>950</v>
      </c>
      <c r="BQ751">
        <v>33</v>
      </c>
      <c r="BR751" t="s">
        <v>1497</v>
      </c>
      <c r="BT751" t="s">
        <v>1769</v>
      </c>
      <c r="BU751" s="1">
        <v>45448</v>
      </c>
      <c r="BV751">
        <v>34897</v>
      </c>
      <c r="BY751" t="s">
        <v>170</v>
      </c>
      <c r="CB751" t="s">
        <v>170</v>
      </c>
      <c r="CC751" t="s">
        <v>170</v>
      </c>
      <c r="CK751" t="s">
        <v>233</v>
      </c>
      <c r="CM751">
        <v>1</v>
      </c>
      <c r="CN751" t="s">
        <v>234</v>
      </c>
      <c r="CP751">
        <v>392</v>
      </c>
      <c r="CQ751">
        <v>382</v>
      </c>
      <c r="CR751">
        <v>190</v>
      </c>
      <c r="CS751" t="s">
        <v>1752</v>
      </c>
      <c r="CV751" t="s">
        <v>341</v>
      </c>
      <c r="CX751" t="s">
        <v>342</v>
      </c>
      <c r="CY751" t="s">
        <v>169</v>
      </c>
      <c r="DC751" t="s">
        <v>2226</v>
      </c>
      <c r="DD751">
        <v>2</v>
      </c>
      <c r="DE751" t="s">
        <v>404</v>
      </c>
      <c r="DF751" t="s">
        <v>1860</v>
      </c>
      <c r="DG751" t="s">
        <v>2227</v>
      </c>
      <c r="DL751" t="s">
        <v>170</v>
      </c>
      <c r="DM751" t="s">
        <v>169</v>
      </c>
      <c r="DP751" t="s">
        <v>170</v>
      </c>
      <c r="DQ751" t="s">
        <v>187</v>
      </c>
      <c r="DR751" t="s">
        <v>2248</v>
      </c>
      <c r="EB751">
        <v>9</v>
      </c>
      <c r="EC751">
        <v>10</v>
      </c>
      <c r="EE751" t="s">
        <v>2229</v>
      </c>
      <c r="EF751">
        <v>10</v>
      </c>
      <c r="EU751">
        <v>4750</v>
      </c>
      <c r="EW751">
        <v>0</v>
      </c>
      <c r="EX751">
        <v>0</v>
      </c>
      <c r="EY751">
        <v>0</v>
      </c>
      <c r="FA751">
        <v>15</v>
      </c>
      <c r="FG751">
        <v>441</v>
      </c>
      <c r="FH751">
        <v>373</v>
      </c>
      <c r="FI751">
        <v>410</v>
      </c>
    </row>
    <row r="752" spans="1:165" x14ac:dyDescent="0.35">
      <c r="A752" s="25"/>
      <c r="B752" s="25"/>
      <c r="C752" s="25"/>
      <c r="D752" s="25"/>
      <c r="E752" s="25"/>
      <c r="F752" s="25" t="str">
        <f>_xlfn.CONCAT($A753," ",$B753," ",$D753)</f>
        <v>2025 Rivian Automotive L R1T All-Terrain Dual Max (20in)</v>
      </c>
      <c r="G752" s="25"/>
      <c r="H752" s="25"/>
      <c r="I752" s="25"/>
      <c r="J752" s="25"/>
      <c r="K752" s="25"/>
      <c r="L752" s="25"/>
      <c r="M752" s="25"/>
      <c r="N752" s="25"/>
      <c r="O752" s="25"/>
      <c r="P752" s="25"/>
      <c r="Q752" s="25"/>
      <c r="R752" s="25"/>
      <c r="S752" s="25"/>
      <c r="T752" s="25"/>
      <c r="U752" s="25"/>
      <c r="V752" s="25"/>
      <c r="W752" s="25"/>
      <c r="X752" s="25"/>
      <c r="Y752" s="25"/>
      <c r="Z752" s="25"/>
      <c r="AA752" s="25"/>
      <c r="AB752" s="25"/>
      <c r="AC752" s="25"/>
      <c r="AD752" s="25" t="str">
        <f>_xlfn.CONCAT($A753," ",$B753," ",$D753)</f>
        <v>2025 Rivian Automotive L R1T All-Terrain Dual Max (20in)</v>
      </c>
      <c r="AE752" s="25"/>
      <c r="AF752" s="25"/>
      <c r="AG752" s="25"/>
      <c r="AH752" s="25"/>
      <c r="AI752" s="25"/>
      <c r="AJ752" s="25"/>
      <c r="AK752" s="25"/>
      <c r="AL752" s="25"/>
      <c r="AM752" s="25"/>
      <c r="AN752" s="25"/>
      <c r="AO752" s="25"/>
      <c r="AP752" s="25"/>
      <c r="AQ752" s="25"/>
      <c r="AR752" s="25"/>
      <c r="AS752" s="25"/>
      <c r="AT752" s="25"/>
      <c r="AU752" s="25"/>
      <c r="AV752" s="25"/>
      <c r="AW752" s="25"/>
      <c r="AX752" s="25" t="str">
        <f>_xlfn.CONCAT($A753," ",$B753," ",$D753)</f>
        <v>2025 Rivian Automotive L R1T All-Terrain Dual Max (20in)</v>
      </c>
      <c r="AY752" s="25"/>
      <c r="AZ752" s="25"/>
      <c r="BA752" s="25"/>
      <c r="BB752" s="25"/>
      <c r="BC752" s="25"/>
      <c r="BD752" s="25"/>
      <c r="BE752" s="25"/>
      <c r="BF752" s="25"/>
      <c r="BG752" s="25"/>
      <c r="BH752" s="25"/>
      <c r="BI752" s="25"/>
      <c r="BJ752" s="25"/>
      <c r="BK752" s="25"/>
      <c r="BL752" s="25"/>
      <c r="BM752" s="25"/>
      <c r="BN752" s="25"/>
      <c r="BO752" s="25"/>
      <c r="BP752" s="25"/>
      <c r="BQ752" s="25"/>
      <c r="BR752" s="25" t="str">
        <f>_xlfn.CONCAT($A753," ",$B753," ",$D753)</f>
        <v>2025 Rivian Automotive L R1T All-Terrain Dual Max (20in)</v>
      </c>
      <c r="BS752" s="25"/>
      <c r="BT752" s="25"/>
      <c r="BU752" s="25"/>
      <c r="BV752" s="25"/>
      <c r="BX752" s="25"/>
      <c r="BY752" s="25"/>
      <c r="BZ752" s="25"/>
      <c r="CA752" s="25"/>
      <c r="CB752" s="25"/>
      <c r="CC752" s="25"/>
      <c r="CD752" s="25"/>
      <c r="CE752" s="25"/>
      <c r="CF752" s="25"/>
      <c r="CG752" s="25"/>
      <c r="CH752" s="25"/>
      <c r="CI752" s="25"/>
      <c r="CJ752" s="25"/>
      <c r="CK752" s="25"/>
      <c r="CL752" s="25"/>
      <c r="CM752" s="25"/>
      <c r="CN752" s="25"/>
      <c r="CO752" s="25"/>
      <c r="CP752" s="25" t="str">
        <f>_xlfn.CONCAT($A753," ",$B753," ",$D753)</f>
        <v>2025 Rivian Automotive L R1T All-Terrain Dual Max (20in)</v>
      </c>
      <c r="CQ752" s="25"/>
      <c r="CR752" s="25"/>
      <c r="CS752" s="25"/>
      <c r="CT752" s="25"/>
      <c r="CU752" s="25"/>
      <c r="CV752" s="25"/>
      <c r="CW752" s="25"/>
      <c r="CX752" s="25"/>
      <c r="CY752" s="25"/>
      <c r="CZ752" s="25"/>
      <c r="DA752" s="25"/>
      <c r="DB752" s="25"/>
      <c r="DC752" s="25"/>
      <c r="DD752" s="25"/>
      <c r="DE752" s="25"/>
      <c r="DF752" s="25"/>
      <c r="DG752" s="25"/>
      <c r="DH752" s="25"/>
      <c r="DI752" s="25" t="str">
        <f>_xlfn.CONCAT($A753," ",$B753," ",$D753)</f>
        <v>2025 Rivian Automotive L R1T All-Terrain Dual Max (20in)</v>
      </c>
      <c r="DJ752" s="25"/>
      <c r="DK752" s="25"/>
      <c r="DL752" s="25"/>
      <c r="DM752" s="25"/>
      <c r="DN752" s="25"/>
      <c r="DO752" s="25"/>
      <c r="DP752" s="25"/>
      <c r="DQ752" s="25"/>
      <c r="DR752" s="25"/>
      <c r="DS752" s="25"/>
      <c r="DT752" s="25"/>
      <c r="DU752" s="25"/>
      <c r="DV752" s="25"/>
      <c r="DW752" s="25"/>
      <c r="DX752" s="25"/>
      <c r="DY752" s="25"/>
      <c r="DZ752" s="25" t="str">
        <f>_xlfn.CONCAT($A753," ",$B753," ",$D753)</f>
        <v>2025 Rivian Automotive L R1T All-Terrain Dual Max (20in)</v>
      </c>
      <c r="EB752" s="25"/>
      <c r="EC752" s="25"/>
      <c r="ED752" s="25"/>
      <c r="EE752" s="25"/>
      <c r="EF752" s="25"/>
      <c r="EG752" s="25"/>
      <c r="EH752" s="25"/>
      <c r="EI752" s="25"/>
      <c r="EJ752" s="25"/>
      <c r="EK752" s="25"/>
      <c r="EL752" s="25"/>
      <c r="EM752" s="25"/>
      <c r="EN752" s="25"/>
      <c r="EO752" s="25"/>
      <c r="EP752" s="25"/>
      <c r="EQ752" s="25"/>
      <c r="ER752" s="25"/>
      <c r="ES752" s="25"/>
      <c r="ET752" s="25"/>
      <c r="EU752" s="25"/>
      <c r="EV752" s="25" t="str">
        <f>_xlfn.CONCAT($A753," ",$B753," ",$D753)</f>
        <v>2025 Rivian Automotive L R1T All-Terrain Dual Max (20in)</v>
      </c>
      <c r="EW752" s="25"/>
      <c r="EX752" s="25"/>
      <c r="EY752" s="25"/>
      <c r="EZ752" s="25"/>
      <c r="FA752" s="25"/>
      <c r="FB752" s="25"/>
      <c r="FC752" s="25"/>
      <c r="FD752" s="25"/>
      <c r="FE752" s="25"/>
      <c r="FF752" s="25"/>
      <c r="FG752" s="25"/>
    </row>
    <row r="753" spans="1:165" x14ac:dyDescent="0.35">
      <c r="A753">
        <v>2025</v>
      </c>
      <c r="B753" t="s">
        <v>2222</v>
      </c>
      <c r="C753" t="s">
        <v>2223</v>
      </c>
      <c r="D753" t="s">
        <v>2266</v>
      </c>
      <c r="E753" t="s">
        <v>2225</v>
      </c>
      <c r="F753">
        <v>67</v>
      </c>
      <c r="G753">
        <v>0</v>
      </c>
      <c r="I753" t="s">
        <v>1734</v>
      </c>
      <c r="J753">
        <v>82</v>
      </c>
      <c r="K753">
        <v>73</v>
      </c>
      <c r="L753">
        <v>78</v>
      </c>
      <c r="M753">
        <v>112</v>
      </c>
      <c r="N753">
        <v>100.1</v>
      </c>
      <c r="O753">
        <v>106.3126</v>
      </c>
      <c r="P753">
        <v>82.147499999999994</v>
      </c>
      <c r="Q753">
        <v>73.419300000000007</v>
      </c>
      <c r="R753">
        <v>77.975999999999999</v>
      </c>
      <c r="V753" t="s">
        <v>167</v>
      </c>
      <c r="W753" t="s">
        <v>168</v>
      </c>
      <c r="Y753">
        <v>1</v>
      </c>
      <c r="Z753" t="s">
        <v>170</v>
      </c>
      <c r="AA753" t="s">
        <v>170</v>
      </c>
      <c r="AB753" t="s">
        <v>809</v>
      </c>
      <c r="AC753" t="s">
        <v>810</v>
      </c>
      <c r="AF753">
        <v>370</v>
      </c>
      <c r="AG753" t="s">
        <v>1735</v>
      </c>
      <c r="AH753" t="s">
        <v>1736</v>
      </c>
      <c r="AI753" t="s">
        <v>175</v>
      </c>
      <c r="AJ753" t="s">
        <v>176</v>
      </c>
      <c r="AK753">
        <v>4</v>
      </c>
      <c r="AL753" t="s">
        <v>1737</v>
      </c>
      <c r="AS753">
        <v>1050</v>
      </c>
      <c r="AT753">
        <v>1050</v>
      </c>
      <c r="BQ753">
        <v>13</v>
      </c>
      <c r="BR753" t="s">
        <v>1016</v>
      </c>
      <c r="BT753" t="s">
        <v>1769</v>
      </c>
      <c r="BU753" s="1">
        <v>45448</v>
      </c>
      <c r="BV753">
        <v>34900</v>
      </c>
      <c r="BY753" t="s">
        <v>170</v>
      </c>
      <c r="CB753" t="s">
        <v>170</v>
      </c>
      <c r="CC753" t="s">
        <v>170</v>
      </c>
      <c r="CK753" t="s">
        <v>233</v>
      </c>
      <c r="CM753">
        <v>1</v>
      </c>
      <c r="CN753" t="s">
        <v>234</v>
      </c>
      <c r="CP753">
        <v>392</v>
      </c>
      <c r="CQ753">
        <v>382</v>
      </c>
      <c r="CR753">
        <v>190</v>
      </c>
      <c r="CS753" t="s">
        <v>1752</v>
      </c>
      <c r="CV753" t="s">
        <v>341</v>
      </c>
      <c r="CX753" t="s">
        <v>342</v>
      </c>
      <c r="CY753" t="s">
        <v>169</v>
      </c>
      <c r="DC753" t="s">
        <v>2226</v>
      </c>
      <c r="DD753">
        <v>2</v>
      </c>
      <c r="DE753" t="s">
        <v>404</v>
      </c>
      <c r="DF753" t="s">
        <v>1860</v>
      </c>
      <c r="DG753" t="s">
        <v>2227</v>
      </c>
      <c r="DL753" t="s">
        <v>170</v>
      </c>
      <c r="DM753" t="s">
        <v>169</v>
      </c>
      <c r="DP753" t="s">
        <v>170</v>
      </c>
      <c r="DQ753" t="s">
        <v>187</v>
      </c>
      <c r="DR753" t="s">
        <v>2267</v>
      </c>
      <c r="EB753">
        <v>9</v>
      </c>
      <c r="EC753">
        <v>10</v>
      </c>
      <c r="EE753" t="s">
        <v>2229</v>
      </c>
      <c r="EF753">
        <v>10</v>
      </c>
      <c r="EU753">
        <v>4250</v>
      </c>
      <c r="EW753">
        <v>0</v>
      </c>
      <c r="EX753">
        <v>0</v>
      </c>
      <c r="EY753">
        <v>0</v>
      </c>
      <c r="FA753">
        <v>15</v>
      </c>
      <c r="FG753">
        <v>389</v>
      </c>
      <c r="FH753">
        <v>347</v>
      </c>
      <c r="FI753">
        <v>370</v>
      </c>
    </row>
    <row r="754" spans="1:165" x14ac:dyDescent="0.35">
      <c r="A754">
        <v>2025</v>
      </c>
      <c r="B754" t="s">
        <v>2222</v>
      </c>
      <c r="C754" t="s">
        <v>2223</v>
      </c>
      <c r="D754" t="s">
        <v>2266</v>
      </c>
      <c r="E754" t="s">
        <v>2225</v>
      </c>
      <c r="F754">
        <v>67</v>
      </c>
      <c r="G754">
        <v>0</v>
      </c>
      <c r="I754" t="s">
        <v>1734</v>
      </c>
      <c r="J754">
        <v>41</v>
      </c>
      <c r="K754">
        <v>46</v>
      </c>
      <c r="L754">
        <v>43</v>
      </c>
      <c r="M754">
        <v>30.099299999999999</v>
      </c>
      <c r="N754">
        <v>33.672800000000002</v>
      </c>
      <c r="O754">
        <v>31.7074</v>
      </c>
      <c r="P754">
        <v>41.029800000000002</v>
      </c>
      <c r="Q754">
        <v>45.907499999999999</v>
      </c>
      <c r="R754">
        <v>43.224800000000002</v>
      </c>
      <c r="V754" t="s">
        <v>167</v>
      </c>
      <c r="W754" t="s">
        <v>168</v>
      </c>
      <c r="Y754">
        <v>1</v>
      </c>
      <c r="Z754" t="s">
        <v>170</v>
      </c>
      <c r="AA754" t="s">
        <v>170</v>
      </c>
      <c r="AB754" t="s">
        <v>809</v>
      </c>
      <c r="AC754" t="s">
        <v>810</v>
      </c>
      <c r="AF754">
        <v>370</v>
      </c>
      <c r="AG754" t="s">
        <v>1735</v>
      </c>
      <c r="AH754" t="s">
        <v>1736</v>
      </c>
      <c r="AI754" t="s">
        <v>1742</v>
      </c>
      <c r="AJ754" t="s">
        <v>1743</v>
      </c>
      <c r="AK754">
        <v>4</v>
      </c>
      <c r="AL754" t="s">
        <v>1737</v>
      </c>
      <c r="AS754">
        <v>1050</v>
      </c>
      <c r="AT754">
        <v>1050</v>
      </c>
      <c r="BQ754">
        <v>13</v>
      </c>
      <c r="BR754" t="s">
        <v>1016</v>
      </c>
      <c r="BT754" t="s">
        <v>1769</v>
      </c>
      <c r="BU754" s="1">
        <v>45448</v>
      </c>
      <c r="BV754">
        <v>34900</v>
      </c>
      <c r="BY754" t="s">
        <v>170</v>
      </c>
      <c r="CB754" t="s">
        <v>170</v>
      </c>
      <c r="CC754" t="s">
        <v>170</v>
      </c>
      <c r="CK754" t="s">
        <v>233</v>
      </c>
      <c r="CM754">
        <v>1</v>
      </c>
      <c r="CN754" t="s">
        <v>234</v>
      </c>
      <c r="CP754">
        <v>392</v>
      </c>
      <c r="CQ754">
        <v>382</v>
      </c>
      <c r="CR754">
        <v>190</v>
      </c>
      <c r="CS754" t="s">
        <v>1752</v>
      </c>
      <c r="CV754" t="s">
        <v>341</v>
      </c>
      <c r="CX754" t="s">
        <v>342</v>
      </c>
      <c r="CY754" t="s">
        <v>169</v>
      </c>
      <c r="DC754" t="s">
        <v>2226</v>
      </c>
      <c r="DD754">
        <v>2</v>
      </c>
      <c r="DE754" t="s">
        <v>404</v>
      </c>
      <c r="DF754" t="s">
        <v>1860</v>
      </c>
      <c r="DG754" t="s">
        <v>2227</v>
      </c>
      <c r="DL754" t="s">
        <v>170</v>
      </c>
      <c r="DM754" t="s">
        <v>169</v>
      </c>
      <c r="DP754" t="s">
        <v>170</v>
      </c>
      <c r="DQ754" t="s">
        <v>187</v>
      </c>
      <c r="DR754" t="s">
        <v>2267</v>
      </c>
      <c r="EB754">
        <v>9</v>
      </c>
      <c r="EC754">
        <v>10</v>
      </c>
      <c r="EE754" t="s">
        <v>2229</v>
      </c>
      <c r="EF754">
        <v>10</v>
      </c>
      <c r="EU754">
        <v>4250</v>
      </c>
      <c r="EW754">
        <v>0</v>
      </c>
      <c r="EX754">
        <v>0</v>
      </c>
      <c r="EY754">
        <v>0</v>
      </c>
      <c r="FA754">
        <v>15</v>
      </c>
      <c r="FG754">
        <v>389</v>
      </c>
      <c r="FH754">
        <v>347</v>
      </c>
      <c r="FI754">
        <v>370</v>
      </c>
    </row>
    <row r="755" spans="1:165" x14ac:dyDescent="0.35">
      <c r="A755" s="25"/>
      <c r="B755" s="25"/>
      <c r="C755" s="25"/>
      <c r="D755" s="25"/>
      <c r="E755" s="25"/>
      <c r="F755" s="25" t="str">
        <f>_xlfn.CONCAT($A756," ",$B756," ",$D756)</f>
        <v>2025 Rivian Automotive L R1S All-Terrain Dual Max (20in)</v>
      </c>
      <c r="G755" s="25"/>
      <c r="H755" s="25"/>
      <c r="I755" s="25"/>
      <c r="J755" s="25"/>
      <c r="K755" s="25"/>
      <c r="L755" s="25"/>
      <c r="M755" s="25"/>
      <c r="N755" s="25"/>
      <c r="O755" s="25"/>
      <c r="P755" s="25"/>
      <c r="Q755" s="25"/>
      <c r="R755" s="25"/>
      <c r="S755" s="25"/>
      <c r="T755" s="25"/>
      <c r="U755" s="25"/>
      <c r="V755" s="25"/>
      <c r="W755" s="25"/>
      <c r="X755" s="25"/>
      <c r="Y755" s="25"/>
      <c r="Z755" s="25"/>
      <c r="AA755" s="25"/>
      <c r="AB755" s="25"/>
      <c r="AC755" s="25"/>
      <c r="AD755" s="25" t="str">
        <f>_xlfn.CONCAT($A756," ",$B756," ",$D756)</f>
        <v>2025 Rivian Automotive L R1S All-Terrain Dual Max (20in)</v>
      </c>
      <c r="AE755" s="25"/>
      <c r="AF755" s="25"/>
      <c r="AG755" s="25"/>
      <c r="AH755" s="25"/>
      <c r="AI755" s="25"/>
      <c r="AJ755" s="25"/>
      <c r="AK755" s="25"/>
      <c r="AL755" s="25"/>
      <c r="AM755" s="25"/>
      <c r="AN755" s="25"/>
      <c r="AO755" s="25"/>
      <c r="AP755" s="25"/>
      <c r="AQ755" s="25"/>
      <c r="AR755" s="25"/>
      <c r="AS755" s="25"/>
      <c r="AT755" s="25"/>
      <c r="AU755" s="25"/>
      <c r="AV755" s="25"/>
      <c r="AW755" s="25"/>
      <c r="AX755" s="25" t="str">
        <f>_xlfn.CONCAT($A756," ",$B756," ",$D756)</f>
        <v>2025 Rivian Automotive L R1S All-Terrain Dual Max (20in)</v>
      </c>
      <c r="AY755" s="25"/>
      <c r="AZ755" s="25"/>
      <c r="BA755" s="25"/>
      <c r="BB755" s="25"/>
      <c r="BC755" s="25"/>
      <c r="BD755" s="25"/>
      <c r="BE755" s="25"/>
      <c r="BF755" s="25"/>
      <c r="BG755" s="25"/>
      <c r="BH755" s="25"/>
      <c r="BI755" s="25"/>
      <c r="BJ755" s="25"/>
      <c r="BK755" s="25"/>
      <c r="BL755" s="25"/>
      <c r="BM755" s="25"/>
      <c r="BN755" s="25"/>
      <c r="BO755" s="25"/>
      <c r="BP755" s="25"/>
      <c r="BQ755" s="25"/>
      <c r="BR755" s="25" t="str">
        <f>_xlfn.CONCAT($A756," ",$B756," ",$D756)</f>
        <v>2025 Rivian Automotive L R1S All-Terrain Dual Max (20in)</v>
      </c>
      <c r="BS755" s="25"/>
      <c r="BT755" s="25"/>
      <c r="BU755" s="25"/>
      <c r="BV755" s="25"/>
      <c r="BX755" s="25"/>
      <c r="BY755" s="25"/>
      <c r="BZ755" s="25"/>
      <c r="CA755" s="25"/>
      <c r="CB755" s="25"/>
      <c r="CC755" s="25"/>
      <c r="CD755" s="25"/>
      <c r="CE755" s="25"/>
      <c r="CF755" s="25"/>
      <c r="CG755" s="25"/>
      <c r="CH755" s="25"/>
      <c r="CI755" s="25"/>
      <c r="CJ755" s="25"/>
      <c r="CK755" s="25"/>
      <c r="CL755" s="25"/>
      <c r="CM755" s="25"/>
      <c r="CN755" s="25"/>
      <c r="CO755" s="25"/>
      <c r="CP755" s="25" t="str">
        <f>_xlfn.CONCAT($A756," ",$B756," ",$D756)</f>
        <v>2025 Rivian Automotive L R1S All-Terrain Dual Max (20in)</v>
      </c>
      <c r="CQ755" s="25"/>
      <c r="CR755" s="25"/>
      <c r="CS755" s="25"/>
      <c r="CT755" s="25"/>
      <c r="CU755" s="25"/>
      <c r="CV755" s="25"/>
      <c r="CW755" s="25"/>
      <c r="CX755" s="25"/>
      <c r="CY755" s="25"/>
      <c r="CZ755" s="25"/>
      <c r="DA755" s="25"/>
      <c r="DB755" s="25"/>
      <c r="DC755" s="25"/>
      <c r="DD755" s="25"/>
      <c r="DE755" s="25"/>
      <c r="DF755" s="25"/>
      <c r="DG755" s="25"/>
      <c r="DH755" s="25"/>
      <c r="DI755" s="25" t="str">
        <f>_xlfn.CONCAT($A756," ",$B756," ",$D756)</f>
        <v>2025 Rivian Automotive L R1S All-Terrain Dual Max (20in)</v>
      </c>
      <c r="DJ755" s="25"/>
      <c r="DK755" s="25"/>
      <c r="DL755" s="25"/>
      <c r="DM755" s="25"/>
      <c r="DN755" s="25"/>
      <c r="DO755" s="25"/>
      <c r="DP755" s="25"/>
      <c r="DQ755" s="25"/>
      <c r="DR755" s="25"/>
      <c r="DS755" s="25"/>
      <c r="DT755" s="25"/>
      <c r="DU755" s="25"/>
      <c r="DV755" s="25"/>
      <c r="DW755" s="25"/>
      <c r="DX755" s="25"/>
      <c r="DY755" s="25"/>
      <c r="DZ755" s="25" t="str">
        <f>_xlfn.CONCAT($A756," ",$B756," ",$D756)</f>
        <v>2025 Rivian Automotive L R1S All-Terrain Dual Max (20in)</v>
      </c>
      <c r="EB755" s="25"/>
      <c r="EC755" s="25"/>
      <c r="ED755" s="25"/>
      <c r="EE755" s="25"/>
      <c r="EF755" s="25"/>
      <c r="EG755" s="25"/>
      <c r="EH755" s="25"/>
      <c r="EI755" s="25"/>
      <c r="EJ755" s="25"/>
      <c r="EK755" s="25"/>
      <c r="EL755" s="25"/>
      <c r="EM755" s="25"/>
      <c r="EN755" s="25"/>
      <c r="EO755" s="25"/>
      <c r="EP755" s="25"/>
      <c r="EQ755" s="25"/>
      <c r="ER755" s="25"/>
      <c r="ES755" s="25"/>
      <c r="ET755" s="25"/>
      <c r="EU755" s="25"/>
      <c r="EV755" s="25" t="str">
        <f>_xlfn.CONCAT($A756," ",$B756," ",$D756)</f>
        <v>2025 Rivian Automotive L R1S All-Terrain Dual Max (20in)</v>
      </c>
      <c r="EW755" s="25"/>
      <c r="EX755" s="25"/>
      <c r="EY755" s="25"/>
      <c r="EZ755" s="25"/>
      <c r="FA755" s="25"/>
      <c r="FB755" s="25"/>
      <c r="FC755" s="25"/>
      <c r="FD755" s="25"/>
      <c r="FE755" s="25"/>
      <c r="FF755" s="25"/>
      <c r="FG755" s="25"/>
    </row>
    <row r="756" spans="1:165" x14ac:dyDescent="0.35">
      <c r="A756">
        <v>2025</v>
      </c>
      <c r="B756" t="s">
        <v>2222</v>
      </c>
      <c r="C756" t="s">
        <v>2223</v>
      </c>
      <c r="D756" t="s">
        <v>2230</v>
      </c>
      <c r="E756" t="s">
        <v>2225</v>
      </c>
      <c r="F756">
        <v>68</v>
      </c>
      <c r="G756">
        <v>0</v>
      </c>
      <c r="I756" t="s">
        <v>1734</v>
      </c>
      <c r="J756">
        <v>82</v>
      </c>
      <c r="K756">
        <v>73</v>
      </c>
      <c r="L756">
        <v>78</v>
      </c>
      <c r="M756">
        <v>112</v>
      </c>
      <c r="N756">
        <v>100.1</v>
      </c>
      <c r="O756">
        <v>106.3126</v>
      </c>
      <c r="P756">
        <v>82.147499999999994</v>
      </c>
      <c r="Q756">
        <v>73.419300000000007</v>
      </c>
      <c r="R756">
        <v>77.975999999999999</v>
      </c>
      <c r="V756" t="s">
        <v>167</v>
      </c>
      <c r="W756" t="s">
        <v>168</v>
      </c>
      <c r="Y756">
        <v>1</v>
      </c>
      <c r="Z756" t="s">
        <v>170</v>
      </c>
      <c r="AA756" t="s">
        <v>170</v>
      </c>
      <c r="AB756" t="s">
        <v>809</v>
      </c>
      <c r="AC756" t="s">
        <v>810</v>
      </c>
      <c r="AF756">
        <v>370</v>
      </c>
      <c r="AG756" t="s">
        <v>1735</v>
      </c>
      <c r="AH756" t="s">
        <v>1736</v>
      </c>
      <c r="AI756" t="s">
        <v>175</v>
      </c>
      <c r="AJ756" t="s">
        <v>176</v>
      </c>
      <c r="AK756">
        <v>4</v>
      </c>
      <c r="AL756" t="s">
        <v>1737</v>
      </c>
      <c r="AS756">
        <v>1050</v>
      </c>
      <c r="AT756">
        <v>1050</v>
      </c>
      <c r="BQ756">
        <v>33</v>
      </c>
      <c r="BR756" t="s">
        <v>1497</v>
      </c>
      <c r="BT756" t="s">
        <v>1769</v>
      </c>
      <c r="BU756" s="1">
        <v>45448</v>
      </c>
      <c r="BV756">
        <v>34901</v>
      </c>
      <c r="BY756" t="s">
        <v>170</v>
      </c>
      <c r="CB756" t="s">
        <v>170</v>
      </c>
      <c r="CC756" t="s">
        <v>170</v>
      </c>
      <c r="CK756" t="s">
        <v>233</v>
      </c>
      <c r="CM756">
        <v>1</v>
      </c>
      <c r="CN756" t="s">
        <v>234</v>
      </c>
      <c r="CP756">
        <v>392</v>
      </c>
      <c r="CQ756">
        <v>382</v>
      </c>
      <c r="CR756">
        <v>190</v>
      </c>
      <c r="CS756" t="s">
        <v>1752</v>
      </c>
      <c r="CV756" t="s">
        <v>341</v>
      </c>
      <c r="CX756" t="s">
        <v>342</v>
      </c>
      <c r="CY756" t="s">
        <v>169</v>
      </c>
      <c r="DC756" t="s">
        <v>2226</v>
      </c>
      <c r="DD756">
        <v>2</v>
      </c>
      <c r="DE756" t="s">
        <v>404</v>
      </c>
      <c r="DF756" t="s">
        <v>1860</v>
      </c>
      <c r="DG756" t="s">
        <v>2227</v>
      </c>
      <c r="DL756" t="s">
        <v>170</v>
      </c>
      <c r="DM756" t="s">
        <v>169</v>
      </c>
      <c r="DP756" t="s">
        <v>170</v>
      </c>
      <c r="DQ756" t="s">
        <v>187</v>
      </c>
      <c r="DR756" t="s">
        <v>2231</v>
      </c>
      <c r="EB756">
        <v>9</v>
      </c>
      <c r="EC756">
        <v>10</v>
      </c>
      <c r="EE756" t="s">
        <v>2229</v>
      </c>
      <c r="EF756">
        <v>10</v>
      </c>
      <c r="EU756">
        <v>4250</v>
      </c>
      <c r="EW756">
        <v>0</v>
      </c>
      <c r="EX756">
        <v>0</v>
      </c>
      <c r="EY756">
        <v>0</v>
      </c>
      <c r="FA756">
        <v>15</v>
      </c>
      <c r="FG756">
        <v>389</v>
      </c>
      <c r="FH756">
        <v>347</v>
      </c>
      <c r="FI756">
        <v>370</v>
      </c>
    </row>
    <row r="757" spans="1:165" x14ac:dyDescent="0.35">
      <c r="A757">
        <v>2025</v>
      </c>
      <c r="B757" t="s">
        <v>2222</v>
      </c>
      <c r="C757" t="s">
        <v>2223</v>
      </c>
      <c r="D757" t="s">
        <v>2230</v>
      </c>
      <c r="E757" t="s">
        <v>2225</v>
      </c>
      <c r="F757">
        <v>68</v>
      </c>
      <c r="G757">
        <v>0</v>
      </c>
      <c r="I757" t="s">
        <v>1734</v>
      </c>
      <c r="J757">
        <v>41</v>
      </c>
      <c r="K757">
        <v>46</v>
      </c>
      <c r="L757">
        <v>43</v>
      </c>
      <c r="M757">
        <v>30.099299999999999</v>
      </c>
      <c r="N757">
        <v>33.672800000000002</v>
      </c>
      <c r="O757">
        <v>31.7074</v>
      </c>
      <c r="P757">
        <v>41.029800000000002</v>
      </c>
      <c r="Q757">
        <v>45.907499999999999</v>
      </c>
      <c r="R757">
        <v>43.224800000000002</v>
      </c>
      <c r="V757" t="s">
        <v>167</v>
      </c>
      <c r="W757" t="s">
        <v>168</v>
      </c>
      <c r="Y757">
        <v>1</v>
      </c>
      <c r="Z757" t="s">
        <v>170</v>
      </c>
      <c r="AA757" t="s">
        <v>170</v>
      </c>
      <c r="AB757" t="s">
        <v>809</v>
      </c>
      <c r="AC757" t="s">
        <v>810</v>
      </c>
      <c r="AF757">
        <v>370</v>
      </c>
      <c r="AG757" t="s">
        <v>1735</v>
      </c>
      <c r="AH757" t="s">
        <v>1736</v>
      </c>
      <c r="AI757" t="s">
        <v>1742</v>
      </c>
      <c r="AJ757" t="s">
        <v>1743</v>
      </c>
      <c r="AK757">
        <v>4</v>
      </c>
      <c r="AL757" t="s">
        <v>1737</v>
      </c>
      <c r="AS757">
        <v>1050</v>
      </c>
      <c r="AT757">
        <v>1050</v>
      </c>
      <c r="BQ757">
        <v>33</v>
      </c>
      <c r="BR757" t="s">
        <v>1497</v>
      </c>
      <c r="BT757" t="s">
        <v>1769</v>
      </c>
      <c r="BU757" s="1">
        <v>45448</v>
      </c>
      <c r="BV757">
        <v>34901</v>
      </c>
      <c r="BY757" t="s">
        <v>170</v>
      </c>
      <c r="CB757" t="s">
        <v>170</v>
      </c>
      <c r="CC757" t="s">
        <v>170</v>
      </c>
      <c r="CK757" t="s">
        <v>233</v>
      </c>
      <c r="CM757">
        <v>1</v>
      </c>
      <c r="CN757" t="s">
        <v>234</v>
      </c>
      <c r="CP757">
        <v>392</v>
      </c>
      <c r="CQ757">
        <v>382</v>
      </c>
      <c r="CR757">
        <v>190</v>
      </c>
      <c r="CS757" t="s">
        <v>1752</v>
      </c>
      <c r="CV757" t="s">
        <v>341</v>
      </c>
      <c r="CX757" t="s">
        <v>342</v>
      </c>
      <c r="CY757" t="s">
        <v>169</v>
      </c>
      <c r="DC757" t="s">
        <v>2226</v>
      </c>
      <c r="DD757">
        <v>2</v>
      </c>
      <c r="DE757" t="s">
        <v>404</v>
      </c>
      <c r="DF757" t="s">
        <v>1860</v>
      </c>
      <c r="DG757" t="s">
        <v>2227</v>
      </c>
      <c r="DL757" t="s">
        <v>170</v>
      </c>
      <c r="DM757" t="s">
        <v>169</v>
      </c>
      <c r="DP757" t="s">
        <v>170</v>
      </c>
      <c r="DQ757" t="s">
        <v>187</v>
      </c>
      <c r="DR757" t="s">
        <v>2231</v>
      </c>
      <c r="EB757">
        <v>9</v>
      </c>
      <c r="EC757">
        <v>10</v>
      </c>
      <c r="EE757" t="s">
        <v>2229</v>
      </c>
      <c r="EF757">
        <v>10</v>
      </c>
      <c r="EU757">
        <v>4250</v>
      </c>
      <c r="EW757">
        <v>0</v>
      </c>
      <c r="EX757">
        <v>0</v>
      </c>
      <c r="EY757">
        <v>0</v>
      </c>
      <c r="FA757">
        <v>15</v>
      </c>
      <c r="FG757">
        <v>389</v>
      </c>
      <c r="FH757">
        <v>347</v>
      </c>
      <c r="FI757">
        <v>370</v>
      </c>
    </row>
    <row r="758" spans="1:165" x14ac:dyDescent="0.35">
      <c r="A758" s="25"/>
      <c r="B758" s="25"/>
      <c r="C758" s="25"/>
      <c r="D758" s="25"/>
      <c r="E758" s="25"/>
      <c r="F758" s="25" t="str">
        <f>_xlfn.CONCAT($A759," ",$B759," ",$D759)</f>
        <v>2025 Rivian Automotive L R1T Performance Dual Max (20in)</v>
      </c>
      <c r="G758" s="25"/>
      <c r="H758" s="25"/>
      <c r="I758" s="25"/>
      <c r="J758" s="25"/>
      <c r="K758" s="25"/>
      <c r="L758" s="25"/>
      <c r="M758" s="25"/>
      <c r="N758" s="25"/>
      <c r="O758" s="25"/>
      <c r="P758" s="25"/>
      <c r="Q758" s="25"/>
      <c r="R758" s="25"/>
      <c r="S758" s="25"/>
      <c r="T758" s="25"/>
      <c r="U758" s="25"/>
      <c r="V758" s="25"/>
      <c r="W758" s="25"/>
      <c r="X758" s="25"/>
      <c r="Y758" s="25"/>
      <c r="Z758" s="25"/>
      <c r="AA758" s="25"/>
      <c r="AB758" s="25"/>
      <c r="AC758" s="25"/>
      <c r="AD758" s="25" t="str">
        <f>_xlfn.CONCAT($A759," ",$B759," ",$D759)</f>
        <v>2025 Rivian Automotive L R1T Performance Dual Max (20in)</v>
      </c>
      <c r="AE758" s="25"/>
      <c r="AF758" s="25"/>
      <c r="AG758" s="25"/>
      <c r="AH758" s="25"/>
      <c r="AI758" s="25"/>
      <c r="AJ758" s="25"/>
      <c r="AK758" s="25"/>
      <c r="AL758" s="25"/>
      <c r="AM758" s="25"/>
      <c r="AN758" s="25"/>
      <c r="AO758" s="25"/>
      <c r="AP758" s="25"/>
      <c r="AQ758" s="25"/>
      <c r="AR758" s="25"/>
      <c r="AS758" s="25"/>
      <c r="AT758" s="25"/>
      <c r="AU758" s="25"/>
      <c r="AV758" s="25"/>
      <c r="AW758" s="25"/>
      <c r="AX758" s="25" t="str">
        <f>_xlfn.CONCAT($A759," ",$B759," ",$D759)</f>
        <v>2025 Rivian Automotive L R1T Performance Dual Max (20in)</v>
      </c>
      <c r="AY758" s="25"/>
      <c r="AZ758" s="25"/>
      <c r="BA758" s="25"/>
      <c r="BB758" s="25"/>
      <c r="BC758" s="25"/>
      <c r="BD758" s="25"/>
      <c r="BE758" s="25"/>
      <c r="BF758" s="25"/>
      <c r="BG758" s="25"/>
      <c r="BH758" s="25"/>
      <c r="BI758" s="25"/>
      <c r="BJ758" s="25"/>
      <c r="BK758" s="25"/>
      <c r="BL758" s="25"/>
      <c r="BM758" s="25"/>
      <c r="BN758" s="25"/>
      <c r="BO758" s="25"/>
      <c r="BP758" s="25"/>
      <c r="BQ758" s="25"/>
      <c r="BR758" s="25" t="str">
        <f>_xlfn.CONCAT($A759," ",$B759," ",$D759)</f>
        <v>2025 Rivian Automotive L R1T Performance Dual Max (20in)</v>
      </c>
      <c r="BS758" s="25"/>
      <c r="BT758" s="25"/>
      <c r="BU758" s="25"/>
      <c r="BV758" s="25"/>
      <c r="BX758" s="25"/>
      <c r="BY758" s="25"/>
      <c r="BZ758" s="25"/>
      <c r="CA758" s="25"/>
      <c r="CB758" s="25"/>
      <c r="CC758" s="25"/>
      <c r="CD758" s="25"/>
      <c r="CE758" s="25"/>
      <c r="CF758" s="25"/>
      <c r="CG758" s="25"/>
      <c r="CH758" s="25"/>
      <c r="CI758" s="25"/>
      <c r="CJ758" s="25"/>
      <c r="CK758" s="25"/>
      <c r="CL758" s="25"/>
      <c r="CM758" s="25"/>
      <c r="CN758" s="25"/>
      <c r="CO758" s="25"/>
      <c r="CP758" s="25" t="str">
        <f>_xlfn.CONCAT($A759," ",$B759," ",$D759)</f>
        <v>2025 Rivian Automotive L R1T Performance Dual Max (20in)</v>
      </c>
      <c r="CQ758" s="25"/>
      <c r="CR758" s="25"/>
      <c r="CS758" s="25"/>
      <c r="CT758" s="25"/>
      <c r="CU758" s="25"/>
      <c r="CV758" s="25"/>
      <c r="CW758" s="25"/>
      <c r="CX758" s="25"/>
      <c r="CY758" s="25"/>
      <c r="CZ758" s="25"/>
      <c r="DA758" s="25"/>
      <c r="DB758" s="25"/>
      <c r="DC758" s="25"/>
      <c r="DD758" s="25"/>
      <c r="DE758" s="25"/>
      <c r="DF758" s="25"/>
      <c r="DG758" s="25"/>
      <c r="DH758" s="25"/>
      <c r="DI758" s="25" t="str">
        <f>_xlfn.CONCAT($A759," ",$B759," ",$D759)</f>
        <v>2025 Rivian Automotive L R1T Performance Dual Max (20in)</v>
      </c>
      <c r="DJ758" s="25"/>
      <c r="DK758" s="25"/>
      <c r="DL758" s="25"/>
      <c r="DM758" s="25"/>
      <c r="DN758" s="25"/>
      <c r="DO758" s="25"/>
      <c r="DP758" s="25"/>
      <c r="DQ758" s="25"/>
      <c r="DR758" s="25"/>
      <c r="DS758" s="25"/>
      <c r="DT758" s="25"/>
      <c r="DU758" s="25"/>
      <c r="DV758" s="25"/>
      <c r="DW758" s="25"/>
      <c r="DX758" s="25"/>
      <c r="DY758" s="25"/>
      <c r="DZ758" s="25" t="str">
        <f>_xlfn.CONCAT($A759," ",$B759," ",$D759)</f>
        <v>2025 Rivian Automotive L R1T Performance Dual Max (20in)</v>
      </c>
      <c r="EB758" s="25"/>
      <c r="EC758" s="25"/>
      <c r="ED758" s="25"/>
      <c r="EE758" s="25"/>
      <c r="EF758" s="25"/>
      <c r="EG758" s="25"/>
      <c r="EH758" s="25"/>
      <c r="EI758" s="25"/>
      <c r="EJ758" s="25"/>
      <c r="EK758" s="25"/>
      <c r="EL758" s="25"/>
      <c r="EM758" s="25"/>
      <c r="EN758" s="25"/>
      <c r="EO758" s="25"/>
      <c r="EP758" s="25"/>
      <c r="EQ758" s="25"/>
      <c r="ER758" s="25"/>
      <c r="ES758" s="25"/>
      <c r="ET758" s="25"/>
      <c r="EU758" s="25"/>
      <c r="EV758" s="25" t="str">
        <f>_xlfn.CONCAT($A759," ",$B759," ",$D759)</f>
        <v>2025 Rivian Automotive L R1T Performance Dual Max (20in)</v>
      </c>
      <c r="EW758" s="25"/>
      <c r="EX758" s="25"/>
      <c r="EY758" s="25"/>
      <c r="EZ758" s="25"/>
      <c r="FA758" s="25"/>
      <c r="FB758" s="25"/>
      <c r="FC758" s="25"/>
      <c r="FD758" s="25"/>
      <c r="FE758" s="25"/>
      <c r="FF758" s="25"/>
      <c r="FG758" s="25"/>
    </row>
    <row r="759" spans="1:165" x14ac:dyDescent="0.35">
      <c r="A759">
        <v>2025</v>
      </c>
      <c r="B759" t="s">
        <v>2222</v>
      </c>
      <c r="C759" t="s">
        <v>2223</v>
      </c>
      <c r="D759" t="s">
        <v>2291</v>
      </c>
      <c r="E759" t="s">
        <v>2225</v>
      </c>
      <c r="F759">
        <v>69</v>
      </c>
      <c r="G759">
        <v>0</v>
      </c>
      <c r="I759" t="s">
        <v>1734</v>
      </c>
      <c r="J759">
        <v>86</v>
      </c>
      <c r="K759">
        <v>74</v>
      </c>
      <c r="L759">
        <v>80</v>
      </c>
      <c r="M759">
        <v>121.3</v>
      </c>
      <c r="N759">
        <v>103.7</v>
      </c>
      <c r="O759">
        <v>112.6932</v>
      </c>
      <c r="P759">
        <v>86.434700000000007</v>
      </c>
      <c r="Q759">
        <v>73.893500000000003</v>
      </c>
      <c r="R759">
        <v>80.3018</v>
      </c>
      <c r="V759" t="s">
        <v>167</v>
      </c>
      <c r="W759" t="s">
        <v>168</v>
      </c>
      <c r="Y759">
        <v>1</v>
      </c>
      <c r="Z759" t="s">
        <v>170</v>
      </c>
      <c r="AA759" t="s">
        <v>170</v>
      </c>
      <c r="AB759" t="s">
        <v>809</v>
      </c>
      <c r="AC759" t="s">
        <v>810</v>
      </c>
      <c r="AF759">
        <v>380</v>
      </c>
      <c r="AG759" t="s">
        <v>1735</v>
      </c>
      <c r="AH759" t="s">
        <v>1736</v>
      </c>
      <c r="AI759" t="s">
        <v>175</v>
      </c>
      <c r="AJ759" t="s">
        <v>176</v>
      </c>
      <c r="AK759">
        <v>4</v>
      </c>
      <c r="AL759" t="s">
        <v>1737</v>
      </c>
      <c r="AS759">
        <v>1000</v>
      </c>
      <c r="AT759">
        <v>1000</v>
      </c>
      <c r="BQ759">
        <v>13</v>
      </c>
      <c r="BR759" t="s">
        <v>1016</v>
      </c>
      <c r="BT759" t="s">
        <v>1769</v>
      </c>
      <c r="BU759" s="1">
        <v>45450</v>
      </c>
      <c r="BV759">
        <v>34892</v>
      </c>
      <c r="BY759" t="s">
        <v>170</v>
      </c>
      <c r="CB759" t="s">
        <v>170</v>
      </c>
      <c r="CC759" t="s">
        <v>170</v>
      </c>
      <c r="CK759" t="s">
        <v>233</v>
      </c>
      <c r="CM759">
        <v>1</v>
      </c>
      <c r="CN759" t="s">
        <v>234</v>
      </c>
      <c r="CP759">
        <v>392</v>
      </c>
      <c r="CQ759">
        <v>382</v>
      </c>
      <c r="CR759">
        <v>190</v>
      </c>
      <c r="CS759" t="s">
        <v>1752</v>
      </c>
      <c r="CV759" t="s">
        <v>341</v>
      </c>
      <c r="CX759" t="s">
        <v>342</v>
      </c>
      <c r="CY759" t="s">
        <v>169</v>
      </c>
      <c r="DC759" t="s">
        <v>2226</v>
      </c>
      <c r="DD759">
        <v>2</v>
      </c>
      <c r="DE759" t="s">
        <v>404</v>
      </c>
      <c r="DF759" t="s">
        <v>1860</v>
      </c>
      <c r="DG759" t="s">
        <v>2227</v>
      </c>
      <c r="DL759" t="s">
        <v>170</v>
      </c>
      <c r="DM759" t="s">
        <v>169</v>
      </c>
      <c r="DP759" t="s">
        <v>170</v>
      </c>
      <c r="DQ759" t="s">
        <v>187</v>
      </c>
      <c r="DR759" t="s">
        <v>2292</v>
      </c>
      <c r="EB759">
        <v>9</v>
      </c>
      <c r="EC759">
        <v>10</v>
      </c>
      <c r="EE759" t="s">
        <v>2229</v>
      </c>
      <c r="EF759">
        <v>10</v>
      </c>
      <c r="EU759">
        <v>4500</v>
      </c>
      <c r="EW759">
        <v>0</v>
      </c>
      <c r="EX759">
        <v>0</v>
      </c>
      <c r="EY759">
        <v>0</v>
      </c>
      <c r="FA759">
        <v>15</v>
      </c>
      <c r="FG759">
        <v>407</v>
      </c>
      <c r="FH759">
        <v>348</v>
      </c>
      <c r="FI759">
        <v>380</v>
      </c>
    </row>
    <row r="760" spans="1:165" x14ac:dyDescent="0.35">
      <c r="A760">
        <v>2025</v>
      </c>
      <c r="B760" t="s">
        <v>2222</v>
      </c>
      <c r="C760" t="s">
        <v>2223</v>
      </c>
      <c r="D760" t="s">
        <v>2291</v>
      </c>
      <c r="E760" t="s">
        <v>2225</v>
      </c>
      <c r="F760">
        <v>69</v>
      </c>
      <c r="G760">
        <v>0</v>
      </c>
      <c r="I760" t="s">
        <v>1734</v>
      </c>
      <c r="J760">
        <v>39</v>
      </c>
      <c r="K760">
        <v>46</v>
      </c>
      <c r="L760">
        <v>42</v>
      </c>
      <c r="M760">
        <v>27.785599999999999</v>
      </c>
      <c r="N760">
        <v>32.517400000000002</v>
      </c>
      <c r="O760">
        <v>29.914899999999999</v>
      </c>
      <c r="P760">
        <v>38.994700000000002</v>
      </c>
      <c r="Q760">
        <v>45.612900000000003</v>
      </c>
      <c r="R760">
        <v>41.972900000000003</v>
      </c>
      <c r="V760" t="s">
        <v>167</v>
      </c>
      <c r="W760" t="s">
        <v>168</v>
      </c>
      <c r="Y760">
        <v>1</v>
      </c>
      <c r="Z760" t="s">
        <v>170</v>
      </c>
      <c r="AA760" t="s">
        <v>170</v>
      </c>
      <c r="AB760" t="s">
        <v>809</v>
      </c>
      <c r="AC760" t="s">
        <v>810</v>
      </c>
      <c r="AF760">
        <v>380</v>
      </c>
      <c r="AG760" t="s">
        <v>1735</v>
      </c>
      <c r="AH760" t="s">
        <v>1736</v>
      </c>
      <c r="AI760" t="s">
        <v>1742</v>
      </c>
      <c r="AJ760" t="s">
        <v>1743</v>
      </c>
      <c r="AK760">
        <v>4</v>
      </c>
      <c r="AL760" t="s">
        <v>1737</v>
      </c>
      <c r="AS760">
        <v>1000</v>
      </c>
      <c r="AT760">
        <v>1000</v>
      </c>
      <c r="BQ760">
        <v>13</v>
      </c>
      <c r="BR760" t="s">
        <v>1016</v>
      </c>
      <c r="BT760" t="s">
        <v>1769</v>
      </c>
      <c r="BU760" s="1">
        <v>45450</v>
      </c>
      <c r="BV760">
        <v>34892</v>
      </c>
      <c r="BY760" t="s">
        <v>170</v>
      </c>
      <c r="CB760" t="s">
        <v>170</v>
      </c>
      <c r="CC760" t="s">
        <v>170</v>
      </c>
      <c r="CK760" t="s">
        <v>233</v>
      </c>
      <c r="CM760">
        <v>1</v>
      </c>
      <c r="CN760" t="s">
        <v>234</v>
      </c>
      <c r="CP760">
        <v>392</v>
      </c>
      <c r="CQ760">
        <v>382</v>
      </c>
      <c r="CR760">
        <v>190</v>
      </c>
      <c r="CS760" t="s">
        <v>1752</v>
      </c>
      <c r="CV760" t="s">
        <v>341</v>
      </c>
      <c r="CX760" t="s">
        <v>342</v>
      </c>
      <c r="CY760" t="s">
        <v>169</v>
      </c>
      <c r="DC760" t="s">
        <v>2226</v>
      </c>
      <c r="DD760">
        <v>2</v>
      </c>
      <c r="DE760" t="s">
        <v>404</v>
      </c>
      <c r="DF760" t="s">
        <v>1860</v>
      </c>
      <c r="DG760" t="s">
        <v>2227</v>
      </c>
      <c r="DL760" t="s">
        <v>170</v>
      </c>
      <c r="DM760" t="s">
        <v>169</v>
      </c>
      <c r="DP760" t="s">
        <v>170</v>
      </c>
      <c r="DQ760" t="s">
        <v>187</v>
      </c>
      <c r="DR760" t="s">
        <v>2292</v>
      </c>
      <c r="EB760">
        <v>9</v>
      </c>
      <c r="EC760">
        <v>10</v>
      </c>
      <c r="EE760" t="s">
        <v>2229</v>
      </c>
      <c r="EF760">
        <v>10</v>
      </c>
      <c r="EU760">
        <v>4500</v>
      </c>
      <c r="EW760">
        <v>0</v>
      </c>
      <c r="EX760">
        <v>0</v>
      </c>
      <c r="EY760">
        <v>0</v>
      </c>
      <c r="FA760">
        <v>15</v>
      </c>
      <c r="FG760">
        <v>407</v>
      </c>
      <c r="FH760">
        <v>348</v>
      </c>
      <c r="FI760">
        <v>380</v>
      </c>
    </row>
    <row r="761" spans="1:165" x14ac:dyDescent="0.35">
      <c r="A761" s="25"/>
      <c r="B761" s="25"/>
      <c r="C761" s="25"/>
      <c r="D761" s="25"/>
      <c r="E761" s="25"/>
      <c r="F761" s="25" t="str">
        <f>_xlfn.CONCAT($A762," ",$B762," ",$D762)</f>
        <v>2025 Rivian Automotive L R1S Performance Dual Max (20in)</v>
      </c>
      <c r="G761" s="25"/>
      <c r="H761" s="25"/>
      <c r="I761" s="25"/>
      <c r="J761" s="25"/>
      <c r="K761" s="25"/>
      <c r="L761" s="25"/>
      <c r="M761" s="25"/>
      <c r="N761" s="25"/>
      <c r="O761" s="25"/>
      <c r="P761" s="25"/>
      <c r="Q761" s="25"/>
      <c r="R761" s="25"/>
      <c r="S761" s="25"/>
      <c r="T761" s="25"/>
      <c r="U761" s="25"/>
      <c r="V761" s="25"/>
      <c r="W761" s="25"/>
      <c r="X761" s="25"/>
      <c r="Y761" s="25"/>
      <c r="Z761" s="25"/>
      <c r="AA761" s="25"/>
      <c r="AB761" s="25"/>
      <c r="AC761" s="25"/>
      <c r="AD761" s="25" t="str">
        <f>_xlfn.CONCAT($A762," ",$B762," ",$D762)</f>
        <v>2025 Rivian Automotive L R1S Performance Dual Max (20in)</v>
      </c>
      <c r="AE761" s="25"/>
      <c r="AF761" s="25"/>
      <c r="AG761" s="25"/>
      <c r="AH761" s="25"/>
      <c r="AI761" s="25"/>
      <c r="AJ761" s="25"/>
      <c r="AK761" s="25"/>
      <c r="AL761" s="25"/>
      <c r="AM761" s="25"/>
      <c r="AN761" s="25"/>
      <c r="AO761" s="25"/>
      <c r="AP761" s="25"/>
      <c r="AQ761" s="25"/>
      <c r="AR761" s="25"/>
      <c r="AS761" s="25"/>
      <c r="AT761" s="25"/>
      <c r="AU761" s="25"/>
      <c r="AV761" s="25"/>
      <c r="AW761" s="25"/>
      <c r="AX761" s="25" t="str">
        <f>_xlfn.CONCAT($A762," ",$B762," ",$D762)</f>
        <v>2025 Rivian Automotive L R1S Performance Dual Max (20in)</v>
      </c>
      <c r="AY761" s="25"/>
      <c r="AZ761" s="25"/>
      <c r="BA761" s="25"/>
      <c r="BB761" s="25"/>
      <c r="BC761" s="25"/>
      <c r="BD761" s="25"/>
      <c r="BE761" s="25"/>
      <c r="BF761" s="25"/>
      <c r="BG761" s="25"/>
      <c r="BH761" s="25"/>
      <c r="BI761" s="25"/>
      <c r="BJ761" s="25"/>
      <c r="BK761" s="25"/>
      <c r="BL761" s="25"/>
      <c r="BM761" s="25"/>
      <c r="BN761" s="25"/>
      <c r="BO761" s="25"/>
      <c r="BP761" s="25"/>
      <c r="BQ761" s="25"/>
      <c r="BR761" s="25" t="str">
        <f>_xlfn.CONCAT($A762," ",$B762," ",$D762)</f>
        <v>2025 Rivian Automotive L R1S Performance Dual Max (20in)</v>
      </c>
      <c r="BS761" s="25"/>
      <c r="BT761" s="25"/>
      <c r="BU761" s="25"/>
      <c r="BV761" s="25"/>
      <c r="BX761" s="25"/>
      <c r="BY761" s="25"/>
      <c r="BZ761" s="25"/>
      <c r="CA761" s="25"/>
      <c r="CB761" s="25"/>
      <c r="CC761" s="25"/>
      <c r="CD761" s="25"/>
      <c r="CE761" s="25"/>
      <c r="CF761" s="25"/>
      <c r="CG761" s="25"/>
      <c r="CH761" s="25"/>
      <c r="CI761" s="25"/>
      <c r="CJ761" s="25"/>
      <c r="CK761" s="25"/>
      <c r="CL761" s="25"/>
      <c r="CM761" s="25"/>
      <c r="CN761" s="25"/>
      <c r="CO761" s="25"/>
      <c r="CP761" s="25" t="str">
        <f>_xlfn.CONCAT($A762," ",$B762," ",$D762)</f>
        <v>2025 Rivian Automotive L R1S Performance Dual Max (20in)</v>
      </c>
      <c r="CQ761" s="25"/>
      <c r="CR761" s="25"/>
      <c r="CS761" s="25"/>
      <c r="CT761" s="25"/>
      <c r="CU761" s="25"/>
      <c r="CV761" s="25"/>
      <c r="CW761" s="25"/>
      <c r="CX761" s="25"/>
      <c r="CY761" s="25"/>
      <c r="CZ761" s="25"/>
      <c r="DA761" s="25"/>
      <c r="DB761" s="25"/>
      <c r="DC761" s="25"/>
      <c r="DD761" s="25"/>
      <c r="DE761" s="25"/>
      <c r="DF761" s="25"/>
      <c r="DG761" s="25"/>
      <c r="DH761" s="25"/>
      <c r="DI761" s="25" t="str">
        <f>_xlfn.CONCAT($A762," ",$B762," ",$D762)</f>
        <v>2025 Rivian Automotive L R1S Performance Dual Max (20in)</v>
      </c>
      <c r="DJ761" s="25"/>
      <c r="DK761" s="25"/>
      <c r="DL761" s="25"/>
      <c r="DM761" s="25"/>
      <c r="DN761" s="25"/>
      <c r="DO761" s="25"/>
      <c r="DP761" s="25"/>
      <c r="DQ761" s="25"/>
      <c r="DR761" s="25"/>
      <c r="DS761" s="25"/>
      <c r="DT761" s="25"/>
      <c r="DU761" s="25"/>
      <c r="DV761" s="25"/>
      <c r="DW761" s="25"/>
      <c r="DX761" s="25"/>
      <c r="DY761" s="25"/>
      <c r="DZ761" s="25" t="str">
        <f>_xlfn.CONCAT($A762," ",$B762," ",$D762)</f>
        <v>2025 Rivian Automotive L R1S Performance Dual Max (20in)</v>
      </c>
      <c r="EB761" s="25"/>
      <c r="EC761" s="25"/>
      <c r="ED761" s="25"/>
      <c r="EE761" s="25"/>
      <c r="EF761" s="25"/>
      <c r="EG761" s="25"/>
      <c r="EH761" s="25"/>
      <c r="EI761" s="25"/>
      <c r="EJ761" s="25"/>
      <c r="EK761" s="25"/>
      <c r="EL761" s="25"/>
      <c r="EM761" s="25"/>
      <c r="EN761" s="25"/>
      <c r="EO761" s="25"/>
      <c r="EP761" s="25"/>
      <c r="EQ761" s="25"/>
      <c r="ER761" s="25"/>
      <c r="ES761" s="25"/>
      <c r="ET761" s="25"/>
      <c r="EU761" s="25"/>
      <c r="EV761" s="25" t="str">
        <f>_xlfn.CONCAT($A762," ",$B762," ",$D762)</f>
        <v>2025 Rivian Automotive L R1S Performance Dual Max (20in)</v>
      </c>
      <c r="EW761" s="25"/>
      <c r="EX761" s="25"/>
      <c r="EY761" s="25"/>
      <c r="EZ761" s="25"/>
      <c r="FA761" s="25"/>
      <c r="FB761" s="25"/>
      <c r="FC761" s="25"/>
      <c r="FD761" s="25"/>
      <c r="FE761" s="25"/>
      <c r="FF761" s="25"/>
      <c r="FG761" s="25"/>
    </row>
    <row r="762" spans="1:165" x14ac:dyDescent="0.35">
      <c r="A762">
        <v>2025</v>
      </c>
      <c r="B762" t="s">
        <v>2222</v>
      </c>
      <c r="C762" t="s">
        <v>2223</v>
      </c>
      <c r="D762" t="s">
        <v>2260</v>
      </c>
      <c r="E762" t="s">
        <v>2225</v>
      </c>
      <c r="F762">
        <v>70</v>
      </c>
      <c r="G762">
        <v>0</v>
      </c>
      <c r="I762" t="s">
        <v>1734</v>
      </c>
      <c r="J762">
        <v>86</v>
      </c>
      <c r="K762">
        <v>74</v>
      </c>
      <c r="L762">
        <v>80</v>
      </c>
      <c r="M762">
        <v>121.3</v>
      </c>
      <c r="N762">
        <v>103.7</v>
      </c>
      <c r="O762">
        <v>112.6932</v>
      </c>
      <c r="P762">
        <v>86.434700000000007</v>
      </c>
      <c r="Q762">
        <v>73.893500000000003</v>
      </c>
      <c r="R762">
        <v>80.3018</v>
      </c>
      <c r="V762" t="s">
        <v>167</v>
      </c>
      <c r="W762" t="s">
        <v>168</v>
      </c>
      <c r="Y762">
        <v>1</v>
      </c>
      <c r="Z762" t="s">
        <v>170</v>
      </c>
      <c r="AA762" t="s">
        <v>170</v>
      </c>
      <c r="AB762" t="s">
        <v>809</v>
      </c>
      <c r="AC762" t="s">
        <v>810</v>
      </c>
      <c r="AF762">
        <v>380</v>
      </c>
      <c r="AG762" t="s">
        <v>1735</v>
      </c>
      <c r="AH762" t="s">
        <v>1736</v>
      </c>
      <c r="AI762" t="s">
        <v>175</v>
      </c>
      <c r="AJ762" t="s">
        <v>176</v>
      </c>
      <c r="AK762">
        <v>4</v>
      </c>
      <c r="AL762" t="s">
        <v>1737</v>
      </c>
      <c r="AS762">
        <v>1000</v>
      </c>
      <c r="AT762">
        <v>1000</v>
      </c>
      <c r="BQ762">
        <v>33</v>
      </c>
      <c r="BR762" t="s">
        <v>1497</v>
      </c>
      <c r="BT762" t="s">
        <v>1769</v>
      </c>
      <c r="BU762" s="1">
        <v>45448</v>
      </c>
      <c r="BV762">
        <v>34894</v>
      </c>
      <c r="BY762" t="s">
        <v>170</v>
      </c>
      <c r="CB762" t="s">
        <v>170</v>
      </c>
      <c r="CC762" t="s">
        <v>170</v>
      </c>
      <c r="CK762" t="s">
        <v>233</v>
      </c>
      <c r="CM762">
        <v>1</v>
      </c>
      <c r="CN762" t="s">
        <v>234</v>
      </c>
      <c r="CP762">
        <v>392</v>
      </c>
      <c r="CQ762">
        <v>382</v>
      </c>
      <c r="CR762">
        <v>190</v>
      </c>
      <c r="CS762" t="s">
        <v>1752</v>
      </c>
      <c r="CV762" t="s">
        <v>341</v>
      </c>
      <c r="CX762" t="s">
        <v>342</v>
      </c>
      <c r="CY762" t="s">
        <v>169</v>
      </c>
      <c r="DC762" t="s">
        <v>2226</v>
      </c>
      <c r="DD762">
        <v>2</v>
      </c>
      <c r="DE762" t="s">
        <v>404</v>
      </c>
      <c r="DF762" t="s">
        <v>1860</v>
      </c>
      <c r="DG762" t="s">
        <v>2251</v>
      </c>
      <c r="DL762" t="s">
        <v>170</v>
      </c>
      <c r="DM762" t="s">
        <v>169</v>
      </c>
      <c r="DP762" t="s">
        <v>170</v>
      </c>
      <c r="DQ762" t="s">
        <v>187</v>
      </c>
      <c r="DR762" t="s">
        <v>2261</v>
      </c>
      <c r="EB762">
        <v>9</v>
      </c>
      <c r="EC762">
        <v>10</v>
      </c>
      <c r="EE762" t="s">
        <v>2229</v>
      </c>
      <c r="EF762">
        <v>10</v>
      </c>
      <c r="EU762">
        <v>4500</v>
      </c>
      <c r="EW762">
        <v>0</v>
      </c>
      <c r="EX762">
        <v>0</v>
      </c>
      <c r="EY762">
        <v>0</v>
      </c>
      <c r="FA762">
        <v>15</v>
      </c>
      <c r="FG762">
        <v>407</v>
      </c>
      <c r="FH762">
        <v>348</v>
      </c>
      <c r="FI762">
        <v>380</v>
      </c>
    </row>
    <row r="763" spans="1:165" x14ac:dyDescent="0.35">
      <c r="A763">
        <v>2025</v>
      </c>
      <c r="B763" t="s">
        <v>2222</v>
      </c>
      <c r="C763" t="s">
        <v>2223</v>
      </c>
      <c r="D763" t="s">
        <v>2260</v>
      </c>
      <c r="E763" t="s">
        <v>2225</v>
      </c>
      <c r="F763">
        <v>70</v>
      </c>
      <c r="G763">
        <v>0</v>
      </c>
      <c r="I763" t="s">
        <v>1734</v>
      </c>
      <c r="J763">
        <v>39</v>
      </c>
      <c r="K763">
        <v>46</v>
      </c>
      <c r="L763">
        <v>42</v>
      </c>
      <c r="M763">
        <v>27.785599999999999</v>
      </c>
      <c r="N763">
        <v>32.517400000000002</v>
      </c>
      <c r="O763">
        <v>29.914899999999999</v>
      </c>
      <c r="P763">
        <v>38.994700000000002</v>
      </c>
      <c r="Q763">
        <v>45.612900000000003</v>
      </c>
      <c r="R763">
        <v>41.972900000000003</v>
      </c>
      <c r="V763" t="s">
        <v>167</v>
      </c>
      <c r="W763" t="s">
        <v>168</v>
      </c>
      <c r="Y763">
        <v>1</v>
      </c>
      <c r="Z763" t="s">
        <v>170</v>
      </c>
      <c r="AA763" t="s">
        <v>170</v>
      </c>
      <c r="AB763" t="s">
        <v>809</v>
      </c>
      <c r="AC763" t="s">
        <v>810</v>
      </c>
      <c r="AF763">
        <v>380</v>
      </c>
      <c r="AG763" t="s">
        <v>1735</v>
      </c>
      <c r="AH763" t="s">
        <v>1736</v>
      </c>
      <c r="AI763" t="s">
        <v>1742</v>
      </c>
      <c r="AJ763" t="s">
        <v>1743</v>
      </c>
      <c r="AK763">
        <v>4</v>
      </c>
      <c r="AL763" t="s">
        <v>1737</v>
      </c>
      <c r="AS763">
        <v>1000</v>
      </c>
      <c r="AT763">
        <v>1000</v>
      </c>
      <c r="BQ763">
        <v>33</v>
      </c>
      <c r="BR763" t="s">
        <v>1497</v>
      </c>
      <c r="BT763" t="s">
        <v>1769</v>
      </c>
      <c r="BU763" s="1">
        <v>45448</v>
      </c>
      <c r="BV763">
        <v>34894</v>
      </c>
      <c r="BY763" t="s">
        <v>170</v>
      </c>
      <c r="CB763" t="s">
        <v>170</v>
      </c>
      <c r="CC763" t="s">
        <v>170</v>
      </c>
      <c r="CK763" t="s">
        <v>233</v>
      </c>
      <c r="CM763">
        <v>1</v>
      </c>
      <c r="CN763" t="s">
        <v>234</v>
      </c>
      <c r="CP763">
        <v>392</v>
      </c>
      <c r="CQ763">
        <v>382</v>
      </c>
      <c r="CR763">
        <v>190</v>
      </c>
      <c r="CS763" t="s">
        <v>1752</v>
      </c>
      <c r="CV763" t="s">
        <v>341</v>
      </c>
      <c r="CX763" t="s">
        <v>342</v>
      </c>
      <c r="CY763" t="s">
        <v>169</v>
      </c>
      <c r="DC763" t="s">
        <v>2226</v>
      </c>
      <c r="DD763">
        <v>2</v>
      </c>
      <c r="DE763" t="s">
        <v>404</v>
      </c>
      <c r="DF763" t="s">
        <v>1860</v>
      </c>
      <c r="DG763" t="s">
        <v>2251</v>
      </c>
      <c r="DL763" t="s">
        <v>170</v>
      </c>
      <c r="DM763" t="s">
        <v>169</v>
      </c>
      <c r="DP763" t="s">
        <v>170</v>
      </c>
      <c r="DQ763" t="s">
        <v>187</v>
      </c>
      <c r="DR763" t="s">
        <v>2261</v>
      </c>
      <c r="EB763">
        <v>9</v>
      </c>
      <c r="EC763">
        <v>10</v>
      </c>
      <c r="EE763" t="s">
        <v>2229</v>
      </c>
      <c r="EF763">
        <v>10</v>
      </c>
      <c r="EU763">
        <v>4500</v>
      </c>
      <c r="EW763">
        <v>0</v>
      </c>
      <c r="EX763">
        <v>0</v>
      </c>
      <c r="EY763">
        <v>0</v>
      </c>
      <c r="FA763">
        <v>15</v>
      </c>
      <c r="FG763">
        <v>407</v>
      </c>
      <c r="FH763">
        <v>348</v>
      </c>
      <c r="FI763">
        <v>380</v>
      </c>
    </row>
    <row r="764" spans="1:165" x14ac:dyDescent="0.35">
      <c r="A764" s="25"/>
      <c r="B764" s="25"/>
      <c r="C764" s="25"/>
      <c r="D764" s="25"/>
      <c r="E764" s="25"/>
      <c r="F764" s="25" t="str">
        <f>_xlfn.CONCAT($A765," ",$B765," ",$D765)</f>
        <v>2025 Rivian Automotive L R1T Performance Dual Max (22in)</v>
      </c>
      <c r="G764" s="25"/>
      <c r="H764" s="25"/>
      <c r="I764" s="25"/>
      <c r="J764" s="25"/>
      <c r="K764" s="25"/>
      <c r="L764" s="25"/>
      <c r="M764" s="25"/>
      <c r="N764" s="25"/>
      <c r="O764" s="25"/>
      <c r="P764" s="25"/>
      <c r="Q764" s="25"/>
      <c r="R764" s="25"/>
      <c r="S764" s="25"/>
      <c r="T764" s="25"/>
      <c r="U764" s="25"/>
      <c r="V764" s="25"/>
      <c r="W764" s="25"/>
      <c r="X764" s="25"/>
      <c r="Y764" s="25"/>
      <c r="Z764" s="25"/>
      <c r="AA764" s="25"/>
      <c r="AB764" s="25"/>
      <c r="AC764" s="25"/>
      <c r="AD764" s="25" t="str">
        <f>_xlfn.CONCAT($A765," ",$B765," ",$D765)</f>
        <v>2025 Rivian Automotive L R1T Performance Dual Max (22in)</v>
      </c>
      <c r="AE764" s="25"/>
      <c r="AF764" s="25"/>
      <c r="AG764" s="25"/>
      <c r="AH764" s="25"/>
      <c r="AI764" s="25"/>
      <c r="AJ764" s="25"/>
      <c r="AK764" s="25"/>
      <c r="AL764" s="25"/>
      <c r="AM764" s="25"/>
      <c r="AN764" s="25"/>
      <c r="AO764" s="25"/>
      <c r="AP764" s="25"/>
      <c r="AQ764" s="25"/>
      <c r="AR764" s="25"/>
      <c r="AS764" s="25"/>
      <c r="AT764" s="25"/>
      <c r="AU764" s="25"/>
      <c r="AV764" s="25"/>
      <c r="AW764" s="25"/>
      <c r="AX764" s="25" t="str">
        <f>_xlfn.CONCAT($A765," ",$B765," ",$D765)</f>
        <v>2025 Rivian Automotive L R1T Performance Dual Max (22in)</v>
      </c>
      <c r="AY764" s="25"/>
      <c r="AZ764" s="25"/>
      <c r="BA764" s="25"/>
      <c r="BB764" s="25"/>
      <c r="BC764" s="25"/>
      <c r="BD764" s="25"/>
      <c r="BE764" s="25"/>
      <c r="BF764" s="25"/>
      <c r="BG764" s="25"/>
      <c r="BH764" s="25"/>
      <c r="BI764" s="25"/>
      <c r="BJ764" s="25"/>
      <c r="BK764" s="25"/>
      <c r="BL764" s="25"/>
      <c r="BM764" s="25"/>
      <c r="BN764" s="25"/>
      <c r="BO764" s="25"/>
      <c r="BP764" s="25"/>
      <c r="BQ764" s="25"/>
      <c r="BR764" s="25" t="str">
        <f>_xlfn.CONCAT($A765," ",$B765," ",$D765)</f>
        <v>2025 Rivian Automotive L R1T Performance Dual Max (22in)</v>
      </c>
      <c r="BS764" s="25"/>
      <c r="BT764" s="25"/>
      <c r="BU764" s="25"/>
      <c r="BV764" s="25"/>
      <c r="BX764" s="25"/>
      <c r="BY764" s="25"/>
      <c r="BZ764" s="25"/>
      <c r="CA764" s="25"/>
      <c r="CB764" s="25"/>
      <c r="CC764" s="25"/>
      <c r="CD764" s="25"/>
      <c r="CE764" s="25"/>
      <c r="CF764" s="25"/>
      <c r="CG764" s="25"/>
      <c r="CH764" s="25"/>
      <c r="CI764" s="25"/>
      <c r="CJ764" s="25"/>
      <c r="CK764" s="25"/>
      <c r="CL764" s="25"/>
      <c r="CM764" s="25"/>
      <c r="CN764" s="25"/>
      <c r="CO764" s="25"/>
      <c r="CP764" s="25" t="str">
        <f>_xlfn.CONCAT($A765," ",$B765," ",$D765)</f>
        <v>2025 Rivian Automotive L R1T Performance Dual Max (22in)</v>
      </c>
      <c r="CQ764" s="25"/>
      <c r="CR764" s="25"/>
      <c r="CS764" s="25"/>
      <c r="CT764" s="25"/>
      <c r="CU764" s="25"/>
      <c r="CV764" s="25"/>
      <c r="CW764" s="25"/>
      <c r="CX764" s="25"/>
      <c r="CY764" s="25"/>
      <c r="CZ764" s="25"/>
      <c r="DA764" s="25"/>
      <c r="DB764" s="25"/>
      <c r="DC764" s="25"/>
      <c r="DD764" s="25"/>
      <c r="DE764" s="25"/>
      <c r="DF764" s="25"/>
      <c r="DG764" s="25"/>
      <c r="DH764" s="25"/>
      <c r="DI764" s="25" t="str">
        <f>_xlfn.CONCAT($A765," ",$B765," ",$D765)</f>
        <v>2025 Rivian Automotive L R1T Performance Dual Max (22in)</v>
      </c>
      <c r="DJ764" s="25"/>
      <c r="DK764" s="25"/>
      <c r="DL764" s="25"/>
      <c r="DM764" s="25"/>
      <c r="DN764" s="25"/>
      <c r="DO764" s="25"/>
      <c r="DP764" s="25"/>
      <c r="DQ764" s="25"/>
      <c r="DR764" s="25"/>
      <c r="DS764" s="25"/>
      <c r="DT764" s="25"/>
      <c r="DU764" s="25"/>
      <c r="DV764" s="25"/>
      <c r="DW764" s="25"/>
      <c r="DX764" s="25"/>
      <c r="DY764" s="25"/>
      <c r="DZ764" s="25" t="str">
        <f>_xlfn.CONCAT($A765," ",$B765," ",$D765)</f>
        <v>2025 Rivian Automotive L R1T Performance Dual Max (22in)</v>
      </c>
      <c r="EB764" s="25"/>
      <c r="EC764" s="25"/>
      <c r="ED764" s="25"/>
      <c r="EE764" s="25"/>
      <c r="EF764" s="25"/>
      <c r="EG764" s="25"/>
      <c r="EH764" s="25"/>
      <c r="EI764" s="25"/>
      <c r="EJ764" s="25"/>
      <c r="EK764" s="25"/>
      <c r="EL764" s="25"/>
      <c r="EM764" s="25"/>
      <c r="EN764" s="25"/>
      <c r="EO764" s="25"/>
      <c r="EP764" s="25"/>
      <c r="EQ764" s="25"/>
      <c r="ER764" s="25"/>
      <c r="ES764" s="25"/>
      <c r="ET764" s="25"/>
      <c r="EU764" s="25"/>
      <c r="EV764" s="25" t="str">
        <f>_xlfn.CONCAT($A765," ",$B765," ",$D765)</f>
        <v>2025 Rivian Automotive L R1T Performance Dual Max (22in)</v>
      </c>
      <c r="EW764" s="25"/>
      <c r="EX764" s="25"/>
      <c r="EY764" s="25"/>
      <c r="EZ764" s="25"/>
      <c r="FA764" s="25"/>
      <c r="FB764" s="25"/>
      <c r="FC764" s="25"/>
      <c r="FD764" s="25"/>
      <c r="FE764" s="25"/>
      <c r="FF764" s="25"/>
      <c r="FG764" s="25"/>
    </row>
    <row r="765" spans="1:165" x14ac:dyDescent="0.35">
      <c r="A765">
        <v>2025</v>
      </c>
      <c r="B765" t="s">
        <v>2222</v>
      </c>
      <c r="C765" t="s">
        <v>2223</v>
      </c>
      <c r="D765" t="s">
        <v>2293</v>
      </c>
      <c r="E765" t="s">
        <v>2225</v>
      </c>
      <c r="F765">
        <v>71</v>
      </c>
      <c r="G765">
        <v>0</v>
      </c>
      <c r="I765" t="s">
        <v>1734</v>
      </c>
      <c r="J765">
        <v>93</v>
      </c>
      <c r="K765">
        <v>80</v>
      </c>
      <c r="L765">
        <v>87</v>
      </c>
      <c r="M765">
        <v>131</v>
      </c>
      <c r="N765">
        <v>113</v>
      </c>
      <c r="O765">
        <v>122.23779999999999</v>
      </c>
      <c r="P765">
        <v>92.998199999999997</v>
      </c>
      <c r="Q765">
        <v>80.219800000000006</v>
      </c>
      <c r="R765">
        <v>86.777799999999999</v>
      </c>
      <c r="V765" t="s">
        <v>167</v>
      </c>
      <c r="W765" t="s">
        <v>168</v>
      </c>
      <c r="Y765">
        <v>1</v>
      </c>
      <c r="Z765" t="s">
        <v>170</v>
      </c>
      <c r="AA765" t="s">
        <v>170</v>
      </c>
      <c r="AB765" t="s">
        <v>809</v>
      </c>
      <c r="AC765" t="s">
        <v>810</v>
      </c>
      <c r="AF765">
        <v>420</v>
      </c>
      <c r="AG765" t="s">
        <v>1735</v>
      </c>
      <c r="AH765" t="s">
        <v>1736</v>
      </c>
      <c r="AI765" t="s">
        <v>175</v>
      </c>
      <c r="AJ765" t="s">
        <v>176</v>
      </c>
      <c r="AK765">
        <v>4</v>
      </c>
      <c r="AL765" t="s">
        <v>1737</v>
      </c>
      <c r="AS765">
        <v>950</v>
      </c>
      <c r="AT765">
        <v>950</v>
      </c>
      <c r="BQ765">
        <v>13</v>
      </c>
      <c r="BR765" t="s">
        <v>1016</v>
      </c>
      <c r="BT765" t="s">
        <v>1769</v>
      </c>
      <c r="BU765" s="1">
        <v>45488</v>
      </c>
      <c r="BV765">
        <v>35185</v>
      </c>
      <c r="BY765" t="s">
        <v>170</v>
      </c>
      <c r="CB765" t="s">
        <v>170</v>
      </c>
      <c r="CC765" t="s">
        <v>170</v>
      </c>
      <c r="CK765" t="s">
        <v>233</v>
      </c>
      <c r="CM765">
        <v>1</v>
      </c>
      <c r="CN765" t="s">
        <v>234</v>
      </c>
      <c r="CP765">
        <v>392</v>
      </c>
      <c r="CQ765">
        <v>382</v>
      </c>
      <c r="CR765">
        <v>190</v>
      </c>
      <c r="CS765" t="s">
        <v>1752</v>
      </c>
      <c r="CV765" t="s">
        <v>341</v>
      </c>
      <c r="CX765" t="s">
        <v>342</v>
      </c>
      <c r="CY765" t="s">
        <v>169</v>
      </c>
      <c r="DC765" t="s">
        <v>2226</v>
      </c>
      <c r="DD765">
        <v>2</v>
      </c>
      <c r="DE765" t="s">
        <v>404</v>
      </c>
      <c r="DF765" t="s">
        <v>1860</v>
      </c>
      <c r="DG765" t="s">
        <v>2227</v>
      </c>
      <c r="DL765" t="s">
        <v>170</v>
      </c>
      <c r="DM765" t="s">
        <v>169</v>
      </c>
      <c r="DP765" t="s">
        <v>170</v>
      </c>
      <c r="DQ765" t="s">
        <v>187</v>
      </c>
      <c r="DR765" t="s">
        <v>2294</v>
      </c>
      <c r="EB765">
        <v>9</v>
      </c>
      <c r="EC765">
        <v>10</v>
      </c>
      <c r="EE765" t="s">
        <v>2229</v>
      </c>
      <c r="EF765">
        <v>10</v>
      </c>
      <c r="EU765">
        <v>4750</v>
      </c>
      <c r="EW765">
        <v>0</v>
      </c>
      <c r="EX765">
        <v>0</v>
      </c>
      <c r="EY765">
        <v>0</v>
      </c>
      <c r="FA765">
        <v>15</v>
      </c>
      <c r="FG765">
        <v>448</v>
      </c>
      <c r="FH765">
        <v>386</v>
      </c>
      <c r="FI765">
        <v>420</v>
      </c>
    </row>
    <row r="766" spans="1:165" x14ac:dyDescent="0.35">
      <c r="A766">
        <v>2025</v>
      </c>
      <c r="B766" t="s">
        <v>2222</v>
      </c>
      <c r="C766" t="s">
        <v>2223</v>
      </c>
      <c r="D766" t="s">
        <v>2293</v>
      </c>
      <c r="E766" t="s">
        <v>2225</v>
      </c>
      <c r="F766">
        <v>71</v>
      </c>
      <c r="G766">
        <v>0</v>
      </c>
      <c r="I766" t="s">
        <v>1734</v>
      </c>
      <c r="J766">
        <v>36</v>
      </c>
      <c r="K766">
        <v>42</v>
      </c>
      <c r="L766">
        <v>39</v>
      </c>
      <c r="M766">
        <v>25.728400000000001</v>
      </c>
      <c r="N766">
        <v>29.815799999999999</v>
      </c>
      <c r="O766">
        <v>27.567699999999999</v>
      </c>
      <c r="P766">
        <v>36.242600000000003</v>
      </c>
      <c r="Q766">
        <v>42.015799999999999</v>
      </c>
      <c r="R766">
        <v>38.840600000000002</v>
      </c>
      <c r="V766" t="s">
        <v>167</v>
      </c>
      <c r="W766" t="s">
        <v>168</v>
      </c>
      <c r="Y766">
        <v>1</v>
      </c>
      <c r="Z766" t="s">
        <v>170</v>
      </c>
      <c r="AA766" t="s">
        <v>170</v>
      </c>
      <c r="AB766" t="s">
        <v>809</v>
      </c>
      <c r="AC766" t="s">
        <v>810</v>
      </c>
      <c r="AF766">
        <v>420</v>
      </c>
      <c r="AG766" t="s">
        <v>1735</v>
      </c>
      <c r="AH766" t="s">
        <v>1736</v>
      </c>
      <c r="AI766" t="s">
        <v>1742</v>
      </c>
      <c r="AJ766" t="s">
        <v>1743</v>
      </c>
      <c r="AK766">
        <v>4</v>
      </c>
      <c r="AL766" t="s">
        <v>1737</v>
      </c>
      <c r="AS766">
        <v>950</v>
      </c>
      <c r="AT766">
        <v>950</v>
      </c>
      <c r="BQ766">
        <v>13</v>
      </c>
      <c r="BR766" t="s">
        <v>1016</v>
      </c>
      <c r="BT766" t="s">
        <v>1769</v>
      </c>
      <c r="BU766" s="1">
        <v>45488</v>
      </c>
      <c r="BV766">
        <v>35185</v>
      </c>
      <c r="BY766" t="s">
        <v>170</v>
      </c>
      <c r="CB766" t="s">
        <v>170</v>
      </c>
      <c r="CC766" t="s">
        <v>170</v>
      </c>
      <c r="CK766" t="s">
        <v>233</v>
      </c>
      <c r="CM766">
        <v>1</v>
      </c>
      <c r="CN766" t="s">
        <v>234</v>
      </c>
      <c r="CP766">
        <v>392</v>
      </c>
      <c r="CQ766">
        <v>382</v>
      </c>
      <c r="CR766">
        <v>190</v>
      </c>
      <c r="CS766" t="s">
        <v>1752</v>
      </c>
      <c r="CV766" t="s">
        <v>341</v>
      </c>
      <c r="CX766" t="s">
        <v>342</v>
      </c>
      <c r="CY766" t="s">
        <v>169</v>
      </c>
      <c r="DC766" t="s">
        <v>2226</v>
      </c>
      <c r="DD766">
        <v>2</v>
      </c>
      <c r="DE766" t="s">
        <v>404</v>
      </c>
      <c r="DF766" t="s">
        <v>1860</v>
      </c>
      <c r="DG766" t="s">
        <v>2227</v>
      </c>
      <c r="DL766" t="s">
        <v>170</v>
      </c>
      <c r="DM766" t="s">
        <v>169</v>
      </c>
      <c r="DP766" t="s">
        <v>170</v>
      </c>
      <c r="DQ766" t="s">
        <v>187</v>
      </c>
      <c r="DR766" t="s">
        <v>2294</v>
      </c>
      <c r="EB766">
        <v>9</v>
      </c>
      <c r="EC766">
        <v>10</v>
      </c>
      <c r="EE766" t="s">
        <v>2229</v>
      </c>
      <c r="EF766">
        <v>10</v>
      </c>
      <c r="EU766">
        <v>4750</v>
      </c>
      <c r="EW766">
        <v>0</v>
      </c>
      <c r="EX766">
        <v>0</v>
      </c>
      <c r="EY766">
        <v>0</v>
      </c>
      <c r="FA766">
        <v>15</v>
      </c>
      <c r="FG766">
        <v>448</v>
      </c>
      <c r="FH766">
        <v>386</v>
      </c>
      <c r="FI766">
        <v>420</v>
      </c>
    </row>
    <row r="767" spans="1:165" x14ac:dyDescent="0.35">
      <c r="A767" s="25"/>
      <c r="B767" s="25"/>
      <c r="C767" s="25"/>
      <c r="D767" s="25"/>
      <c r="E767" s="25"/>
      <c r="F767" s="25" t="str">
        <f>_xlfn.CONCAT($A768," ",$B768," ",$D768)</f>
        <v>2025 Rivian Automotive L R1S Performance Dual Max (22in)</v>
      </c>
      <c r="G767" s="25"/>
      <c r="H767" s="25"/>
      <c r="I767" s="25"/>
      <c r="J767" s="25"/>
      <c r="K767" s="25"/>
      <c r="L767" s="25"/>
      <c r="M767" s="25"/>
      <c r="N767" s="25"/>
      <c r="O767" s="25"/>
      <c r="P767" s="25"/>
      <c r="Q767" s="25"/>
      <c r="R767" s="25"/>
      <c r="S767" s="25"/>
      <c r="T767" s="25"/>
      <c r="U767" s="25"/>
      <c r="V767" s="25"/>
      <c r="W767" s="25"/>
      <c r="X767" s="25"/>
      <c r="Y767" s="25"/>
      <c r="Z767" s="25"/>
      <c r="AA767" s="25"/>
      <c r="AB767" s="25"/>
      <c r="AC767" s="25"/>
      <c r="AD767" s="25" t="str">
        <f>_xlfn.CONCAT($A768," ",$B768," ",$D768)</f>
        <v>2025 Rivian Automotive L R1S Performance Dual Max (22in)</v>
      </c>
      <c r="AE767" s="25"/>
      <c r="AF767" s="25"/>
      <c r="AG767" s="25"/>
      <c r="AH767" s="25"/>
      <c r="AI767" s="25"/>
      <c r="AJ767" s="25"/>
      <c r="AK767" s="25"/>
      <c r="AL767" s="25"/>
      <c r="AM767" s="25"/>
      <c r="AN767" s="25"/>
      <c r="AO767" s="25"/>
      <c r="AP767" s="25"/>
      <c r="AQ767" s="25"/>
      <c r="AR767" s="25"/>
      <c r="AS767" s="25"/>
      <c r="AT767" s="25"/>
      <c r="AU767" s="25"/>
      <c r="AV767" s="25"/>
      <c r="AW767" s="25"/>
      <c r="AX767" s="25" t="str">
        <f>_xlfn.CONCAT($A768," ",$B768," ",$D768)</f>
        <v>2025 Rivian Automotive L R1S Performance Dual Max (22in)</v>
      </c>
      <c r="AY767" s="25"/>
      <c r="AZ767" s="25"/>
      <c r="BA767" s="25"/>
      <c r="BB767" s="25"/>
      <c r="BC767" s="25"/>
      <c r="BD767" s="25"/>
      <c r="BE767" s="25"/>
      <c r="BF767" s="25"/>
      <c r="BG767" s="25"/>
      <c r="BH767" s="25"/>
      <c r="BI767" s="25"/>
      <c r="BJ767" s="25"/>
      <c r="BK767" s="25"/>
      <c r="BL767" s="25"/>
      <c r="BM767" s="25"/>
      <c r="BN767" s="25"/>
      <c r="BO767" s="25"/>
      <c r="BP767" s="25"/>
      <c r="BQ767" s="25"/>
      <c r="BR767" s="25" t="str">
        <f>_xlfn.CONCAT($A768," ",$B768," ",$D768)</f>
        <v>2025 Rivian Automotive L R1S Performance Dual Max (22in)</v>
      </c>
      <c r="BS767" s="25"/>
      <c r="BT767" s="25"/>
      <c r="BU767" s="25"/>
      <c r="BV767" s="25"/>
      <c r="BX767" s="25"/>
      <c r="BY767" s="25"/>
      <c r="BZ767" s="25"/>
      <c r="CA767" s="25"/>
      <c r="CB767" s="25"/>
      <c r="CC767" s="25"/>
      <c r="CD767" s="25"/>
      <c r="CE767" s="25"/>
      <c r="CF767" s="25"/>
      <c r="CG767" s="25"/>
      <c r="CH767" s="25"/>
      <c r="CI767" s="25"/>
      <c r="CJ767" s="25"/>
      <c r="CK767" s="25"/>
      <c r="CL767" s="25"/>
      <c r="CM767" s="25"/>
      <c r="CN767" s="25"/>
      <c r="CO767" s="25"/>
      <c r="CP767" s="25" t="str">
        <f>_xlfn.CONCAT($A768," ",$B768," ",$D768)</f>
        <v>2025 Rivian Automotive L R1S Performance Dual Max (22in)</v>
      </c>
      <c r="CQ767" s="25"/>
      <c r="CR767" s="25"/>
      <c r="CS767" s="25"/>
      <c r="CT767" s="25"/>
      <c r="CU767" s="25"/>
      <c r="CV767" s="25"/>
      <c r="CW767" s="25"/>
      <c r="CX767" s="25"/>
      <c r="CY767" s="25"/>
      <c r="CZ767" s="25"/>
      <c r="DA767" s="25"/>
      <c r="DB767" s="25"/>
      <c r="DC767" s="25"/>
      <c r="DD767" s="25"/>
      <c r="DE767" s="25"/>
      <c r="DF767" s="25"/>
      <c r="DG767" s="25"/>
      <c r="DH767" s="25"/>
      <c r="DI767" s="25" t="str">
        <f>_xlfn.CONCAT($A768," ",$B768," ",$D768)</f>
        <v>2025 Rivian Automotive L R1S Performance Dual Max (22in)</v>
      </c>
      <c r="DJ767" s="25"/>
      <c r="DK767" s="25"/>
      <c r="DL767" s="25"/>
      <c r="DM767" s="25"/>
      <c r="DN767" s="25"/>
      <c r="DO767" s="25"/>
      <c r="DP767" s="25"/>
      <c r="DQ767" s="25"/>
      <c r="DR767" s="25"/>
      <c r="DS767" s="25"/>
      <c r="DT767" s="25"/>
      <c r="DU767" s="25"/>
      <c r="DV767" s="25"/>
      <c r="DW767" s="25"/>
      <c r="DX767" s="25"/>
      <c r="DY767" s="25"/>
      <c r="DZ767" s="25" t="str">
        <f>_xlfn.CONCAT($A768," ",$B768," ",$D768)</f>
        <v>2025 Rivian Automotive L R1S Performance Dual Max (22in)</v>
      </c>
      <c r="EB767" s="25"/>
      <c r="EC767" s="25"/>
      <c r="ED767" s="25"/>
      <c r="EE767" s="25"/>
      <c r="EF767" s="25"/>
      <c r="EG767" s="25"/>
      <c r="EH767" s="25"/>
      <c r="EI767" s="25"/>
      <c r="EJ767" s="25"/>
      <c r="EK767" s="25"/>
      <c r="EL767" s="25"/>
      <c r="EM767" s="25"/>
      <c r="EN767" s="25"/>
      <c r="EO767" s="25"/>
      <c r="EP767" s="25"/>
      <c r="EQ767" s="25"/>
      <c r="ER767" s="25"/>
      <c r="ES767" s="25"/>
      <c r="ET767" s="25"/>
      <c r="EU767" s="25"/>
      <c r="EV767" s="25" t="str">
        <f>_xlfn.CONCAT($A768," ",$B768," ",$D768)</f>
        <v>2025 Rivian Automotive L R1S Performance Dual Max (22in)</v>
      </c>
      <c r="EW767" s="25"/>
      <c r="EX767" s="25"/>
      <c r="EY767" s="25"/>
      <c r="EZ767" s="25"/>
      <c r="FA767" s="25"/>
      <c r="FB767" s="25"/>
      <c r="FC767" s="25"/>
      <c r="FD767" s="25"/>
      <c r="FE767" s="25"/>
      <c r="FF767" s="25"/>
      <c r="FG767" s="25"/>
    </row>
    <row r="768" spans="1:165" x14ac:dyDescent="0.35">
      <c r="A768">
        <v>2025</v>
      </c>
      <c r="B768" t="s">
        <v>2222</v>
      </c>
      <c r="C768" t="s">
        <v>2223</v>
      </c>
      <c r="D768" t="s">
        <v>2262</v>
      </c>
      <c r="E768" t="s">
        <v>2225</v>
      </c>
      <c r="F768">
        <v>72</v>
      </c>
      <c r="G768">
        <v>0</v>
      </c>
      <c r="I768" t="s">
        <v>1734</v>
      </c>
      <c r="J768">
        <v>91</v>
      </c>
      <c r="K768">
        <v>77</v>
      </c>
      <c r="L768">
        <v>84</v>
      </c>
      <c r="M768">
        <v>129</v>
      </c>
      <c r="N768">
        <v>109.1</v>
      </c>
      <c r="O768">
        <v>119.2148</v>
      </c>
      <c r="P768">
        <v>91.319100000000006</v>
      </c>
      <c r="Q768">
        <v>77.231899999999996</v>
      </c>
      <c r="R768">
        <v>84.392200000000003</v>
      </c>
      <c r="V768" t="s">
        <v>167</v>
      </c>
      <c r="W768" t="s">
        <v>168</v>
      </c>
      <c r="Y768">
        <v>1</v>
      </c>
      <c r="Z768" t="s">
        <v>170</v>
      </c>
      <c r="AA768" t="s">
        <v>170</v>
      </c>
      <c r="AB768" t="s">
        <v>809</v>
      </c>
      <c r="AC768" t="s">
        <v>810</v>
      </c>
      <c r="AF768">
        <v>410</v>
      </c>
      <c r="AG768" t="s">
        <v>1735</v>
      </c>
      <c r="AH768" t="s">
        <v>1736</v>
      </c>
      <c r="AI768" t="s">
        <v>175</v>
      </c>
      <c r="AJ768" t="s">
        <v>176</v>
      </c>
      <c r="AK768">
        <v>4</v>
      </c>
      <c r="AL768" t="s">
        <v>1737</v>
      </c>
      <c r="AS768">
        <v>950</v>
      </c>
      <c r="AT768">
        <v>950</v>
      </c>
      <c r="BQ768">
        <v>33</v>
      </c>
      <c r="BR768" t="s">
        <v>1497</v>
      </c>
      <c r="BT768" t="s">
        <v>1769</v>
      </c>
      <c r="BU768" s="1">
        <v>45448</v>
      </c>
      <c r="BV768">
        <v>34899</v>
      </c>
      <c r="BY768" t="s">
        <v>170</v>
      </c>
      <c r="CB768" t="s">
        <v>170</v>
      </c>
      <c r="CC768" t="s">
        <v>170</v>
      </c>
      <c r="CK768" t="s">
        <v>233</v>
      </c>
      <c r="CM768">
        <v>1</v>
      </c>
      <c r="CN768" t="s">
        <v>234</v>
      </c>
      <c r="CP768">
        <v>392</v>
      </c>
      <c r="CQ768">
        <v>382</v>
      </c>
      <c r="CR768">
        <v>190</v>
      </c>
      <c r="CS768" t="s">
        <v>1752</v>
      </c>
      <c r="CV768" t="s">
        <v>341</v>
      </c>
      <c r="CX768" t="s">
        <v>342</v>
      </c>
      <c r="CY768" t="s">
        <v>169</v>
      </c>
      <c r="DC768" t="s">
        <v>2226</v>
      </c>
      <c r="DD768">
        <v>2</v>
      </c>
      <c r="DE768" t="s">
        <v>404</v>
      </c>
      <c r="DF768" t="s">
        <v>1860</v>
      </c>
      <c r="DG768" t="s">
        <v>2251</v>
      </c>
      <c r="DL768" t="s">
        <v>170</v>
      </c>
      <c r="DM768" t="s">
        <v>169</v>
      </c>
      <c r="DP768" t="s">
        <v>170</v>
      </c>
      <c r="DQ768" t="s">
        <v>187</v>
      </c>
      <c r="DR768" t="s">
        <v>2263</v>
      </c>
      <c r="EB768">
        <v>9</v>
      </c>
      <c r="EC768">
        <v>10</v>
      </c>
      <c r="EE768" t="s">
        <v>2229</v>
      </c>
      <c r="EF768">
        <v>10</v>
      </c>
      <c r="EU768">
        <v>4750</v>
      </c>
      <c r="EW768">
        <v>0</v>
      </c>
      <c r="EX768">
        <v>0</v>
      </c>
      <c r="EY768">
        <v>0</v>
      </c>
      <c r="FA768">
        <v>15</v>
      </c>
      <c r="FG768">
        <v>441</v>
      </c>
      <c r="FH768">
        <v>373</v>
      </c>
      <c r="FI768">
        <v>410</v>
      </c>
    </row>
    <row r="769" spans="1:165" x14ac:dyDescent="0.35">
      <c r="A769">
        <v>2025</v>
      </c>
      <c r="B769" t="s">
        <v>2222</v>
      </c>
      <c r="C769" t="s">
        <v>2223</v>
      </c>
      <c r="D769" t="s">
        <v>2262</v>
      </c>
      <c r="E769" t="s">
        <v>2225</v>
      </c>
      <c r="F769">
        <v>72</v>
      </c>
      <c r="G769">
        <v>0</v>
      </c>
      <c r="I769" t="s">
        <v>1734</v>
      </c>
      <c r="J769">
        <v>37</v>
      </c>
      <c r="K769">
        <v>44</v>
      </c>
      <c r="L769">
        <v>40</v>
      </c>
      <c r="M769">
        <v>26.118500000000001</v>
      </c>
      <c r="N769">
        <v>30.8856</v>
      </c>
      <c r="O769">
        <v>28.2637</v>
      </c>
      <c r="P769">
        <v>36.908999999999999</v>
      </c>
      <c r="Q769">
        <v>43.641300000000001</v>
      </c>
      <c r="R769">
        <v>39.938499999999998</v>
      </c>
      <c r="V769" t="s">
        <v>167</v>
      </c>
      <c r="W769" t="s">
        <v>168</v>
      </c>
      <c r="Y769">
        <v>1</v>
      </c>
      <c r="Z769" t="s">
        <v>170</v>
      </c>
      <c r="AA769" t="s">
        <v>170</v>
      </c>
      <c r="AB769" t="s">
        <v>809</v>
      </c>
      <c r="AC769" t="s">
        <v>810</v>
      </c>
      <c r="AF769">
        <v>410</v>
      </c>
      <c r="AG769" t="s">
        <v>1735</v>
      </c>
      <c r="AH769" t="s">
        <v>1736</v>
      </c>
      <c r="AI769" t="s">
        <v>1742</v>
      </c>
      <c r="AJ769" t="s">
        <v>1743</v>
      </c>
      <c r="AK769">
        <v>4</v>
      </c>
      <c r="AL769" t="s">
        <v>1737</v>
      </c>
      <c r="AS769">
        <v>950</v>
      </c>
      <c r="AT769">
        <v>950</v>
      </c>
      <c r="BQ769">
        <v>33</v>
      </c>
      <c r="BR769" t="s">
        <v>1497</v>
      </c>
      <c r="BT769" t="s">
        <v>1769</v>
      </c>
      <c r="BU769" s="1">
        <v>45448</v>
      </c>
      <c r="BV769">
        <v>34899</v>
      </c>
      <c r="BY769" t="s">
        <v>170</v>
      </c>
      <c r="CB769" t="s">
        <v>170</v>
      </c>
      <c r="CC769" t="s">
        <v>170</v>
      </c>
      <c r="CK769" t="s">
        <v>233</v>
      </c>
      <c r="CM769">
        <v>1</v>
      </c>
      <c r="CN769" t="s">
        <v>234</v>
      </c>
      <c r="CP769">
        <v>392</v>
      </c>
      <c r="CQ769">
        <v>382</v>
      </c>
      <c r="CR769">
        <v>190</v>
      </c>
      <c r="CS769" t="s">
        <v>1752</v>
      </c>
      <c r="CV769" t="s">
        <v>341</v>
      </c>
      <c r="CX769" t="s">
        <v>342</v>
      </c>
      <c r="CY769" t="s">
        <v>169</v>
      </c>
      <c r="DC769" t="s">
        <v>2226</v>
      </c>
      <c r="DD769">
        <v>2</v>
      </c>
      <c r="DE769" t="s">
        <v>404</v>
      </c>
      <c r="DF769" t="s">
        <v>1860</v>
      </c>
      <c r="DG769" t="s">
        <v>2251</v>
      </c>
      <c r="DL769" t="s">
        <v>170</v>
      </c>
      <c r="DM769" t="s">
        <v>169</v>
      </c>
      <c r="DP769" t="s">
        <v>170</v>
      </c>
      <c r="DQ769" t="s">
        <v>187</v>
      </c>
      <c r="DR769" t="s">
        <v>2263</v>
      </c>
      <c r="EB769">
        <v>9</v>
      </c>
      <c r="EC769">
        <v>10</v>
      </c>
      <c r="EE769" t="s">
        <v>2229</v>
      </c>
      <c r="EF769">
        <v>10</v>
      </c>
      <c r="EU769">
        <v>4750</v>
      </c>
      <c r="EW769">
        <v>0</v>
      </c>
      <c r="EX769">
        <v>0</v>
      </c>
      <c r="EY769">
        <v>0</v>
      </c>
      <c r="FA769">
        <v>15</v>
      </c>
      <c r="FG769">
        <v>441</v>
      </c>
      <c r="FH769">
        <v>373</v>
      </c>
      <c r="FI769">
        <v>410</v>
      </c>
    </row>
    <row r="770" spans="1:165" x14ac:dyDescent="0.35">
      <c r="A770" s="25"/>
      <c r="B770" s="25"/>
      <c r="C770" s="25"/>
      <c r="D770" s="25"/>
      <c r="E770" s="25"/>
      <c r="F770" s="25" t="str">
        <f>_xlfn.CONCAT($A771," ",$B771," ",$D771)</f>
        <v>2025 Rivian Automotive L R1T All-Terrain Performance Dual Max (20in)</v>
      </c>
      <c r="G770" s="25"/>
      <c r="H770" s="25"/>
      <c r="I770" s="25"/>
      <c r="J770" s="25"/>
      <c r="K770" s="25"/>
      <c r="L770" s="25"/>
      <c r="M770" s="25"/>
      <c r="N770" s="25"/>
      <c r="O770" s="25"/>
      <c r="P770" s="25"/>
      <c r="Q770" s="25"/>
      <c r="R770" s="25"/>
      <c r="S770" s="25"/>
      <c r="T770" s="25"/>
      <c r="U770" s="25"/>
      <c r="V770" s="25"/>
      <c r="W770" s="25"/>
      <c r="X770" s="25"/>
      <c r="Y770" s="25"/>
      <c r="Z770" s="25"/>
      <c r="AA770" s="25"/>
      <c r="AB770" s="25"/>
      <c r="AC770" s="25"/>
      <c r="AD770" s="25" t="str">
        <f>_xlfn.CONCAT($A771," ",$B771," ",$D771)</f>
        <v>2025 Rivian Automotive L R1T All-Terrain Performance Dual Max (20in)</v>
      </c>
      <c r="AE770" s="25"/>
      <c r="AF770" s="25"/>
      <c r="AG770" s="25"/>
      <c r="AH770" s="25"/>
      <c r="AI770" s="25"/>
      <c r="AJ770" s="25"/>
      <c r="AK770" s="25"/>
      <c r="AL770" s="25"/>
      <c r="AM770" s="25"/>
      <c r="AN770" s="25"/>
      <c r="AO770" s="25"/>
      <c r="AP770" s="25"/>
      <c r="AQ770" s="25"/>
      <c r="AR770" s="25"/>
      <c r="AS770" s="25"/>
      <c r="AT770" s="25"/>
      <c r="AU770" s="25"/>
      <c r="AV770" s="25"/>
      <c r="AW770" s="25"/>
      <c r="AX770" s="25" t="str">
        <f>_xlfn.CONCAT($A771," ",$B771," ",$D771)</f>
        <v>2025 Rivian Automotive L R1T All-Terrain Performance Dual Max (20in)</v>
      </c>
      <c r="AY770" s="25"/>
      <c r="AZ770" s="25"/>
      <c r="BA770" s="25"/>
      <c r="BB770" s="25"/>
      <c r="BC770" s="25"/>
      <c r="BD770" s="25"/>
      <c r="BE770" s="25"/>
      <c r="BF770" s="25"/>
      <c r="BG770" s="25"/>
      <c r="BH770" s="25"/>
      <c r="BI770" s="25"/>
      <c r="BJ770" s="25"/>
      <c r="BK770" s="25"/>
      <c r="BL770" s="25"/>
      <c r="BM770" s="25"/>
      <c r="BN770" s="25"/>
      <c r="BO770" s="25"/>
      <c r="BP770" s="25"/>
      <c r="BQ770" s="25"/>
      <c r="BR770" s="25" t="str">
        <f>_xlfn.CONCAT($A771," ",$B771," ",$D771)</f>
        <v>2025 Rivian Automotive L R1T All-Terrain Performance Dual Max (20in)</v>
      </c>
      <c r="BS770" s="25"/>
      <c r="BT770" s="25"/>
      <c r="BU770" s="25"/>
      <c r="BV770" s="25"/>
      <c r="BX770" s="25"/>
      <c r="BY770" s="25"/>
      <c r="BZ770" s="25"/>
      <c r="CA770" s="25"/>
      <c r="CB770" s="25"/>
      <c r="CC770" s="25"/>
      <c r="CD770" s="25"/>
      <c r="CE770" s="25"/>
      <c r="CF770" s="25"/>
      <c r="CG770" s="25"/>
      <c r="CH770" s="25"/>
      <c r="CI770" s="25"/>
      <c r="CJ770" s="25"/>
      <c r="CK770" s="25"/>
      <c r="CL770" s="25"/>
      <c r="CM770" s="25"/>
      <c r="CN770" s="25"/>
      <c r="CO770" s="25"/>
      <c r="CP770" s="25" t="str">
        <f>_xlfn.CONCAT($A771," ",$B771," ",$D771)</f>
        <v>2025 Rivian Automotive L R1T All-Terrain Performance Dual Max (20in)</v>
      </c>
      <c r="CQ770" s="25"/>
      <c r="CR770" s="25"/>
      <c r="CS770" s="25"/>
      <c r="CT770" s="25"/>
      <c r="CU770" s="25"/>
      <c r="CV770" s="25"/>
      <c r="CW770" s="25"/>
      <c r="CX770" s="25"/>
      <c r="CY770" s="25"/>
      <c r="CZ770" s="25"/>
      <c r="DA770" s="25"/>
      <c r="DB770" s="25"/>
      <c r="DC770" s="25"/>
      <c r="DD770" s="25"/>
      <c r="DE770" s="25"/>
      <c r="DF770" s="25"/>
      <c r="DG770" s="25"/>
      <c r="DH770" s="25"/>
      <c r="DI770" s="25" t="str">
        <f>_xlfn.CONCAT($A771," ",$B771," ",$D771)</f>
        <v>2025 Rivian Automotive L R1T All-Terrain Performance Dual Max (20in)</v>
      </c>
      <c r="DJ770" s="25"/>
      <c r="DK770" s="25"/>
      <c r="DL770" s="25"/>
      <c r="DM770" s="25"/>
      <c r="DN770" s="25"/>
      <c r="DO770" s="25"/>
      <c r="DP770" s="25"/>
      <c r="DQ770" s="25"/>
      <c r="DR770" s="25"/>
      <c r="DS770" s="25"/>
      <c r="DT770" s="25"/>
      <c r="DU770" s="25"/>
      <c r="DV770" s="25"/>
      <c r="DW770" s="25"/>
      <c r="DX770" s="25"/>
      <c r="DY770" s="25"/>
      <c r="DZ770" s="25" t="str">
        <f>_xlfn.CONCAT($A771," ",$B771," ",$D771)</f>
        <v>2025 Rivian Automotive L R1T All-Terrain Performance Dual Max (20in)</v>
      </c>
      <c r="EB770" s="25"/>
      <c r="EC770" s="25"/>
      <c r="ED770" s="25"/>
      <c r="EE770" s="25"/>
      <c r="EF770" s="25"/>
      <c r="EG770" s="25"/>
      <c r="EH770" s="25"/>
      <c r="EI770" s="25"/>
      <c r="EJ770" s="25"/>
      <c r="EK770" s="25"/>
      <c r="EL770" s="25"/>
      <c r="EM770" s="25"/>
      <c r="EN770" s="25"/>
      <c r="EO770" s="25"/>
      <c r="EP770" s="25"/>
      <c r="EQ770" s="25"/>
      <c r="ER770" s="25"/>
      <c r="ES770" s="25"/>
      <c r="ET770" s="25"/>
      <c r="EU770" s="25"/>
      <c r="EV770" s="25" t="str">
        <f>_xlfn.CONCAT($A771," ",$B771," ",$D771)</f>
        <v>2025 Rivian Automotive L R1T All-Terrain Performance Dual Max (20in)</v>
      </c>
      <c r="EW770" s="25"/>
      <c r="EX770" s="25"/>
      <c r="EY770" s="25"/>
      <c r="EZ770" s="25"/>
      <c r="FA770" s="25"/>
      <c r="FB770" s="25"/>
      <c r="FC770" s="25"/>
      <c r="FD770" s="25"/>
      <c r="FE770" s="25"/>
      <c r="FF770" s="25"/>
      <c r="FG770" s="25"/>
    </row>
    <row r="771" spans="1:165" x14ac:dyDescent="0.35">
      <c r="A771">
        <v>2025</v>
      </c>
      <c r="B771" t="s">
        <v>2222</v>
      </c>
      <c r="C771" t="s">
        <v>2223</v>
      </c>
      <c r="D771" t="s">
        <v>2270</v>
      </c>
      <c r="E771" t="s">
        <v>2225</v>
      </c>
      <c r="F771">
        <v>73</v>
      </c>
      <c r="G771">
        <v>0</v>
      </c>
      <c r="I771" t="s">
        <v>1734</v>
      </c>
      <c r="J771">
        <v>82</v>
      </c>
      <c r="K771">
        <v>73</v>
      </c>
      <c r="L771">
        <v>78</v>
      </c>
      <c r="M771">
        <v>112</v>
      </c>
      <c r="N771">
        <v>100.1</v>
      </c>
      <c r="O771">
        <v>106.3126</v>
      </c>
      <c r="P771">
        <v>82.147499999999994</v>
      </c>
      <c r="Q771">
        <v>73.419300000000007</v>
      </c>
      <c r="R771">
        <v>77.975999999999999</v>
      </c>
      <c r="V771" t="s">
        <v>167</v>
      </c>
      <c r="W771" t="s">
        <v>168</v>
      </c>
      <c r="Y771">
        <v>1</v>
      </c>
      <c r="Z771" t="s">
        <v>170</v>
      </c>
      <c r="AA771" t="s">
        <v>170</v>
      </c>
      <c r="AB771" t="s">
        <v>809</v>
      </c>
      <c r="AC771" t="s">
        <v>810</v>
      </c>
      <c r="AF771">
        <v>370</v>
      </c>
      <c r="AG771" t="s">
        <v>1735</v>
      </c>
      <c r="AH771" t="s">
        <v>1736</v>
      </c>
      <c r="AI771" t="s">
        <v>175</v>
      </c>
      <c r="AJ771" t="s">
        <v>176</v>
      </c>
      <c r="AK771">
        <v>4</v>
      </c>
      <c r="AL771" t="s">
        <v>1737</v>
      </c>
      <c r="AS771">
        <v>1050</v>
      </c>
      <c r="AT771">
        <v>1050</v>
      </c>
      <c r="BQ771">
        <v>13</v>
      </c>
      <c r="BR771" t="s">
        <v>1016</v>
      </c>
      <c r="BT771" t="s">
        <v>1769</v>
      </c>
      <c r="BU771" s="1">
        <v>45448</v>
      </c>
      <c r="BV771">
        <v>34902</v>
      </c>
      <c r="BY771" t="s">
        <v>170</v>
      </c>
      <c r="CB771" t="s">
        <v>170</v>
      </c>
      <c r="CC771" t="s">
        <v>170</v>
      </c>
      <c r="CK771" t="s">
        <v>233</v>
      </c>
      <c r="CM771">
        <v>1</v>
      </c>
      <c r="CN771" t="s">
        <v>234</v>
      </c>
      <c r="CP771">
        <v>392</v>
      </c>
      <c r="CQ771">
        <v>382</v>
      </c>
      <c r="CR771">
        <v>190</v>
      </c>
      <c r="CS771" t="s">
        <v>1752</v>
      </c>
      <c r="CV771" t="s">
        <v>341</v>
      </c>
      <c r="CX771" t="s">
        <v>342</v>
      </c>
      <c r="CY771" t="s">
        <v>169</v>
      </c>
      <c r="DC771" t="s">
        <v>2226</v>
      </c>
      <c r="DD771">
        <v>2</v>
      </c>
      <c r="DE771" t="s">
        <v>404</v>
      </c>
      <c r="DF771" t="s">
        <v>1860</v>
      </c>
      <c r="DG771" t="s">
        <v>2227</v>
      </c>
      <c r="DL771" t="s">
        <v>170</v>
      </c>
      <c r="DM771" t="s">
        <v>169</v>
      </c>
      <c r="DP771" t="s">
        <v>170</v>
      </c>
      <c r="DQ771" t="s">
        <v>187</v>
      </c>
      <c r="DR771" t="s">
        <v>2271</v>
      </c>
      <c r="EB771">
        <v>9</v>
      </c>
      <c r="EC771">
        <v>10</v>
      </c>
      <c r="EE771" t="s">
        <v>2229</v>
      </c>
      <c r="EF771">
        <v>10</v>
      </c>
      <c r="EU771">
        <v>4250</v>
      </c>
      <c r="EW771">
        <v>0</v>
      </c>
      <c r="EX771">
        <v>0</v>
      </c>
      <c r="EY771">
        <v>0</v>
      </c>
      <c r="FA771">
        <v>15</v>
      </c>
      <c r="FG771">
        <v>389</v>
      </c>
      <c r="FH771">
        <v>347</v>
      </c>
      <c r="FI771">
        <v>370</v>
      </c>
    </row>
    <row r="772" spans="1:165" x14ac:dyDescent="0.35">
      <c r="A772">
        <v>2025</v>
      </c>
      <c r="B772" t="s">
        <v>2222</v>
      </c>
      <c r="C772" t="s">
        <v>2223</v>
      </c>
      <c r="D772" t="s">
        <v>2270</v>
      </c>
      <c r="E772" t="s">
        <v>2225</v>
      </c>
      <c r="F772">
        <v>73</v>
      </c>
      <c r="G772">
        <v>0</v>
      </c>
      <c r="I772" t="s">
        <v>1734</v>
      </c>
      <c r="J772">
        <v>41</v>
      </c>
      <c r="K772">
        <v>46</v>
      </c>
      <c r="L772">
        <v>43</v>
      </c>
      <c r="M772">
        <v>30.099299999999999</v>
      </c>
      <c r="N772">
        <v>33.672800000000002</v>
      </c>
      <c r="O772">
        <v>31.7074</v>
      </c>
      <c r="P772">
        <v>41.029800000000002</v>
      </c>
      <c r="Q772">
        <v>45.907499999999999</v>
      </c>
      <c r="R772">
        <v>43.224800000000002</v>
      </c>
      <c r="V772" t="s">
        <v>167</v>
      </c>
      <c r="W772" t="s">
        <v>168</v>
      </c>
      <c r="Y772">
        <v>1</v>
      </c>
      <c r="Z772" t="s">
        <v>170</v>
      </c>
      <c r="AA772" t="s">
        <v>170</v>
      </c>
      <c r="AB772" t="s">
        <v>809</v>
      </c>
      <c r="AC772" t="s">
        <v>810</v>
      </c>
      <c r="AF772">
        <v>370</v>
      </c>
      <c r="AG772" t="s">
        <v>1735</v>
      </c>
      <c r="AH772" t="s">
        <v>1736</v>
      </c>
      <c r="AI772" t="s">
        <v>1742</v>
      </c>
      <c r="AJ772" t="s">
        <v>1743</v>
      </c>
      <c r="AK772">
        <v>4</v>
      </c>
      <c r="AL772" t="s">
        <v>1737</v>
      </c>
      <c r="AS772">
        <v>1050</v>
      </c>
      <c r="AT772">
        <v>1050</v>
      </c>
      <c r="BQ772">
        <v>13</v>
      </c>
      <c r="BR772" t="s">
        <v>1016</v>
      </c>
      <c r="BT772" t="s">
        <v>1769</v>
      </c>
      <c r="BU772" s="1">
        <v>45448</v>
      </c>
      <c r="BV772">
        <v>34902</v>
      </c>
      <c r="BY772" t="s">
        <v>170</v>
      </c>
      <c r="CB772" t="s">
        <v>170</v>
      </c>
      <c r="CC772" t="s">
        <v>170</v>
      </c>
      <c r="CK772" t="s">
        <v>233</v>
      </c>
      <c r="CM772">
        <v>1</v>
      </c>
      <c r="CN772" t="s">
        <v>234</v>
      </c>
      <c r="CP772">
        <v>392</v>
      </c>
      <c r="CQ772">
        <v>382</v>
      </c>
      <c r="CR772">
        <v>190</v>
      </c>
      <c r="CS772" t="s">
        <v>1752</v>
      </c>
      <c r="CV772" t="s">
        <v>341</v>
      </c>
      <c r="CX772" t="s">
        <v>342</v>
      </c>
      <c r="CY772" t="s">
        <v>169</v>
      </c>
      <c r="DC772" t="s">
        <v>2226</v>
      </c>
      <c r="DD772">
        <v>2</v>
      </c>
      <c r="DE772" t="s">
        <v>404</v>
      </c>
      <c r="DF772" t="s">
        <v>1860</v>
      </c>
      <c r="DG772" t="s">
        <v>2227</v>
      </c>
      <c r="DL772" t="s">
        <v>170</v>
      </c>
      <c r="DM772" t="s">
        <v>169</v>
      </c>
      <c r="DP772" t="s">
        <v>170</v>
      </c>
      <c r="DQ772" t="s">
        <v>187</v>
      </c>
      <c r="DR772" t="s">
        <v>2271</v>
      </c>
      <c r="EB772">
        <v>9</v>
      </c>
      <c r="EC772">
        <v>10</v>
      </c>
      <c r="EE772" t="s">
        <v>2229</v>
      </c>
      <c r="EF772">
        <v>10</v>
      </c>
      <c r="EU772">
        <v>4250</v>
      </c>
      <c r="EW772">
        <v>0</v>
      </c>
      <c r="EX772">
        <v>0</v>
      </c>
      <c r="EY772">
        <v>0</v>
      </c>
      <c r="FA772">
        <v>15</v>
      </c>
      <c r="FG772">
        <v>389</v>
      </c>
      <c r="FH772">
        <v>347</v>
      </c>
      <c r="FI772">
        <v>370</v>
      </c>
    </row>
    <row r="773" spans="1:165" x14ac:dyDescent="0.35">
      <c r="A773" s="25"/>
      <c r="B773" s="25"/>
      <c r="C773" s="25"/>
      <c r="D773" s="25"/>
      <c r="E773" s="25"/>
      <c r="F773" s="25" t="str">
        <f>_xlfn.CONCAT($A774," ",$B774," ",$D774)</f>
        <v>2025 Rivian Automotive L R1S All-Terrain Performance  Dual Max (20in)</v>
      </c>
      <c r="G773" s="25"/>
      <c r="H773" s="25"/>
      <c r="I773" s="25"/>
      <c r="J773" s="25"/>
      <c r="K773" s="25"/>
      <c r="L773" s="25"/>
      <c r="M773" s="25"/>
      <c r="N773" s="25"/>
      <c r="O773" s="25"/>
      <c r="P773" s="25"/>
      <c r="Q773" s="25"/>
      <c r="R773" s="25"/>
      <c r="S773" s="25"/>
      <c r="T773" s="25"/>
      <c r="U773" s="25"/>
      <c r="V773" s="25"/>
      <c r="W773" s="25"/>
      <c r="X773" s="25"/>
      <c r="Y773" s="25"/>
      <c r="Z773" s="25"/>
      <c r="AA773" s="25"/>
      <c r="AB773" s="25"/>
      <c r="AC773" s="25"/>
      <c r="AD773" s="25" t="str">
        <f>_xlfn.CONCAT($A774," ",$B774," ",$D774)</f>
        <v>2025 Rivian Automotive L R1S All-Terrain Performance  Dual Max (20in)</v>
      </c>
      <c r="AE773" s="25"/>
      <c r="AF773" s="25"/>
      <c r="AG773" s="25"/>
      <c r="AH773" s="25"/>
      <c r="AI773" s="25"/>
      <c r="AJ773" s="25"/>
      <c r="AK773" s="25"/>
      <c r="AL773" s="25"/>
      <c r="AM773" s="25"/>
      <c r="AN773" s="25"/>
      <c r="AO773" s="25"/>
      <c r="AP773" s="25"/>
      <c r="AQ773" s="25"/>
      <c r="AR773" s="25"/>
      <c r="AS773" s="25"/>
      <c r="AT773" s="25"/>
      <c r="AU773" s="25"/>
      <c r="AV773" s="25"/>
      <c r="AW773" s="25"/>
      <c r="AX773" s="25" t="str">
        <f>_xlfn.CONCAT($A774," ",$B774," ",$D774)</f>
        <v>2025 Rivian Automotive L R1S All-Terrain Performance  Dual Max (20in)</v>
      </c>
      <c r="AY773" s="25"/>
      <c r="AZ773" s="25"/>
      <c r="BA773" s="25"/>
      <c r="BB773" s="25"/>
      <c r="BC773" s="25"/>
      <c r="BD773" s="25"/>
      <c r="BE773" s="25"/>
      <c r="BF773" s="25"/>
      <c r="BG773" s="25"/>
      <c r="BH773" s="25"/>
      <c r="BI773" s="25"/>
      <c r="BJ773" s="25"/>
      <c r="BK773" s="25"/>
      <c r="BL773" s="25"/>
      <c r="BM773" s="25"/>
      <c r="BN773" s="25"/>
      <c r="BO773" s="25"/>
      <c r="BP773" s="25"/>
      <c r="BQ773" s="25"/>
      <c r="BR773" s="25" t="str">
        <f>_xlfn.CONCAT($A774," ",$B774," ",$D774)</f>
        <v>2025 Rivian Automotive L R1S All-Terrain Performance  Dual Max (20in)</v>
      </c>
      <c r="BS773" s="25"/>
      <c r="BT773" s="25"/>
      <c r="BU773" s="25"/>
      <c r="BV773" s="25"/>
      <c r="BX773" s="25"/>
      <c r="BY773" s="25"/>
      <c r="BZ773" s="25"/>
      <c r="CA773" s="25"/>
      <c r="CB773" s="25"/>
      <c r="CC773" s="25"/>
      <c r="CD773" s="25"/>
      <c r="CE773" s="25"/>
      <c r="CF773" s="25"/>
      <c r="CG773" s="25"/>
      <c r="CH773" s="25"/>
      <c r="CI773" s="25"/>
      <c r="CJ773" s="25"/>
      <c r="CK773" s="25"/>
      <c r="CL773" s="25"/>
      <c r="CM773" s="25"/>
      <c r="CN773" s="25"/>
      <c r="CO773" s="25"/>
      <c r="CP773" s="25" t="str">
        <f>_xlfn.CONCAT($A774," ",$B774," ",$D774)</f>
        <v>2025 Rivian Automotive L R1S All-Terrain Performance  Dual Max (20in)</v>
      </c>
      <c r="CQ773" s="25"/>
      <c r="CR773" s="25"/>
      <c r="CS773" s="25"/>
      <c r="CT773" s="25"/>
      <c r="CU773" s="25"/>
      <c r="CV773" s="25"/>
      <c r="CW773" s="25"/>
      <c r="CX773" s="25"/>
      <c r="CY773" s="25"/>
      <c r="CZ773" s="25"/>
      <c r="DA773" s="25"/>
      <c r="DB773" s="25"/>
      <c r="DC773" s="25"/>
      <c r="DD773" s="25"/>
      <c r="DE773" s="25"/>
      <c r="DF773" s="25"/>
      <c r="DG773" s="25"/>
      <c r="DH773" s="25"/>
      <c r="DI773" s="25" t="str">
        <f>_xlfn.CONCAT($A774," ",$B774," ",$D774)</f>
        <v>2025 Rivian Automotive L R1S All-Terrain Performance  Dual Max (20in)</v>
      </c>
      <c r="DJ773" s="25"/>
      <c r="DK773" s="25"/>
      <c r="DL773" s="25"/>
      <c r="DM773" s="25"/>
      <c r="DN773" s="25"/>
      <c r="DO773" s="25"/>
      <c r="DP773" s="25"/>
      <c r="DQ773" s="25"/>
      <c r="DR773" s="25"/>
      <c r="DS773" s="25"/>
      <c r="DT773" s="25"/>
      <c r="DU773" s="25"/>
      <c r="DV773" s="25"/>
      <c r="DW773" s="25"/>
      <c r="DX773" s="25"/>
      <c r="DY773" s="25"/>
      <c r="DZ773" s="25" t="str">
        <f>_xlfn.CONCAT($A774," ",$B774," ",$D774)</f>
        <v>2025 Rivian Automotive L R1S All-Terrain Performance  Dual Max (20in)</v>
      </c>
      <c r="EB773" s="25"/>
      <c r="EC773" s="25"/>
      <c r="ED773" s="25"/>
      <c r="EE773" s="25"/>
      <c r="EF773" s="25"/>
      <c r="EG773" s="25"/>
      <c r="EH773" s="25"/>
      <c r="EI773" s="25"/>
      <c r="EJ773" s="25"/>
      <c r="EK773" s="25"/>
      <c r="EL773" s="25"/>
      <c r="EM773" s="25"/>
      <c r="EN773" s="25"/>
      <c r="EO773" s="25"/>
      <c r="EP773" s="25"/>
      <c r="EQ773" s="25"/>
      <c r="ER773" s="25"/>
      <c r="ES773" s="25"/>
      <c r="ET773" s="25"/>
      <c r="EU773" s="25"/>
      <c r="EV773" s="25" t="str">
        <f>_xlfn.CONCAT($A774," ",$B774," ",$D774)</f>
        <v>2025 Rivian Automotive L R1S All-Terrain Performance  Dual Max (20in)</v>
      </c>
      <c r="EW773" s="25"/>
      <c r="EX773" s="25"/>
      <c r="EY773" s="25"/>
      <c r="EZ773" s="25"/>
      <c r="FA773" s="25"/>
      <c r="FB773" s="25"/>
      <c r="FC773" s="25"/>
      <c r="FD773" s="25"/>
      <c r="FE773" s="25"/>
      <c r="FF773" s="25"/>
      <c r="FG773" s="25"/>
    </row>
    <row r="774" spans="1:165" x14ac:dyDescent="0.35">
      <c r="A774">
        <v>2025</v>
      </c>
      <c r="B774" t="s">
        <v>2222</v>
      </c>
      <c r="C774" t="s">
        <v>2223</v>
      </c>
      <c r="D774" t="s">
        <v>2232</v>
      </c>
      <c r="E774" t="s">
        <v>2225</v>
      </c>
      <c r="F774">
        <v>74</v>
      </c>
      <c r="G774">
        <v>0</v>
      </c>
      <c r="I774" t="s">
        <v>1734</v>
      </c>
      <c r="J774">
        <v>82</v>
      </c>
      <c r="K774">
        <v>73</v>
      </c>
      <c r="L774">
        <v>78</v>
      </c>
      <c r="M774">
        <v>112</v>
      </c>
      <c r="N774">
        <v>100.1</v>
      </c>
      <c r="O774">
        <v>106.3126</v>
      </c>
      <c r="P774">
        <v>82.147499999999994</v>
      </c>
      <c r="Q774">
        <v>73.419300000000007</v>
      </c>
      <c r="R774">
        <v>77.975999999999999</v>
      </c>
      <c r="V774" t="s">
        <v>167</v>
      </c>
      <c r="W774" t="s">
        <v>168</v>
      </c>
      <c r="Y774">
        <v>1</v>
      </c>
      <c r="Z774" t="s">
        <v>170</v>
      </c>
      <c r="AA774" t="s">
        <v>170</v>
      </c>
      <c r="AB774" t="s">
        <v>809</v>
      </c>
      <c r="AC774" t="s">
        <v>810</v>
      </c>
      <c r="AF774">
        <v>370</v>
      </c>
      <c r="AG774" t="s">
        <v>1735</v>
      </c>
      <c r="AH774" t="s">
        <v>1736</v>
      </c>
      <c r="AI774" t="s">
        <v>175</v>
      </c>
      <c r="AJ774" t="s">
        <v>176</v>
      </c>
      <c r="AK774">
        <v>4</v>
      </c>
      <c r="AL774" t="s">
        <v>1737</v>
      </c>
      <c r="AS774">
        <v>1050</v>
      </c>
      <c r="AT774">
        <v>1050</v>
      </c>
      <c r="BQ774">
        <v>33</v>
      </c>
      <c r="BR774" t="s">
        <v>1497</v>
      </c>
      <c r="BT774" t="s">
        <v>1769</v>
      </c>
      <c r="BU774" s="1">
        <v>45448</v>
      </c>
      <c r="BV774">
        <v>34903</v>
      </c>
      <c r="BY774" t="s">
        <v>170</v>
      </c>
      <c r="CB774" t="s">
        <v>170</v>
      </c>
      <c r="CC774" t="s">
        <v>170</v>
      </c>
      <c r="CK774" t="s">
        <v>233</v>
      </c>
      <c r="CM774">
        <v>1</v>
      </c>
      <c r="CN774" t="s">
        <v>234</v>
      </c>
      <c r="CP774">
        <v>392</v>
      </c>
      <c r="CQ774">
        <v>382</v>
      </c>
      <c r="CR774">
        <v>190</v>
      </c>
      <c r="CS774" t="s">
        <v>1752</v>
      </c>
      <c r="CV774" t="s">
        <v>341</v>
      </c>
      <c r="CX774" t="s">
        <v>342</v>
      </c>
      <c r="CY774" t="s">
        <v>169</v>
      </c>
      <c r="DC774" t="s">
        <v>2226</v>
      </c>
      <c r="DD774">
        <v>2</v>
      </c>
      <c r="DE774" t="s">
        <v>404</v>
      </c>
      <c r="DF774" t="s">
        <v>1860</v>
      </c>
      <c r="DG774" t="s">
        <v>2227</v>
      </c>
      <c r="DL774" t="s">
        <v>170</v>
      </c>
      <c r="DM774" t="s">
        <v>169</v>
      </c>
      <c r="DP774" t="s">
        <v>170</v>
      </c>
      <c r="DQ774" t="s">
        <v>187</v>
      </c>
      <c r="DR774" t="s">
        <v>2233</v>
      </c>
      <c r="EB774">
        <v>9</v>
      </c>
      <c r="EC774">
        <v>10</v>
      </c>
      <c r="EE774" t="s">
        <v>2229</v>
      </c>
      <c r="EF774">
        <v>10</v>
      </c>
      <c r="EU774">
        <v>4250</v>
      </c>
      <c r="EW774">
        <v>0</v>
      </c>
      <c r="EX774">
        <v>0</v>
      </c>
      <c r="EY774">
        <v>0</v>
      </c>
      <c r="FA774">
        <v>15</v>
      </c>
      <c r="FG774">
        <v>389</v>
      </c>
      <c r="FH774">
        <v>347</v>
      </c>
      <c r="FI774">
        <v>370</v>
      </c>
    </row>
    <row r="775" spans="1:165" x14ac:dyDescent="0.35">
      <c r="A775">
        <v>2025</v>
      </c>
      <c r="B775" t="s">
        <v>2222</v>
      </c>
      <c r="C775" t="s">
        <v>2223</v>
      </c>
      <c r="D775" t="s">
        <v>2232</v>
      </c>
      <c r="E775" t="s">
        <v>2225</v>
      </c>
      <c r="F775">
        <v>74</v>
      </c>
      <c r="G775">
        <v>0</v>
      </c>
      <c r="I775" t="s">
        <v>1734</v>
      </c>
      <c r="J775">
        <v>41</v>
      </c>
      <c r="K775">
        <v>46</v>
      </c>
      <c r="L775">
        <v>43</v>
      </c>
      <c r="M775">
        <v>30.099299999999999</v>
      </c>
      <c r="N775">
        <v>33.672800000000002</v>
      </c>
      <c r="O775">
        <v>31.7074</v>
      </c>
      <c r="P775">
        <v>41.029800000000002</v>
      </c>
      <c r="Q775">
        <v>45.907499999999999</v>
      </c>
      <c r="R775">
        <v>43.224800000000002</v>
      </c>
      <c r="V775" t="s">
        <v>167</v>
      </c>
      <c r="W775" t="s">
        <v>168</v>
      </c>
      <c r="Y775">
        <v>1</v>
      </c>
      <c r="Z775" t="s">
        <v>170</v>
      </c>
      <c r="AA775" t="s">
        <v>170</v>
      </c>
      <c r="AB775" t="s">
        <v>809</v>
      </c>
      <c r="AC775" t="s">
        <v>810</v>
      </c>
      <c r="AF775">
        <v>370</v>
      </c>
      <c r="AG775" t="s">
        <v>1735</v>
      </c>
      <c r="AH775" t="s">
        <v>1736</v>
      </c>
      <c r="AI775" t="s">
        <v>1742</v>
      </c>
      <c r="AJ775" t="s">
        <v>1743</v>
      </c>
      <c r="AK775">
        <v>4</v>
      </c>
      <c r="AL775" t="s">
        <v>1737</v>
      </c>
      <c r="AS775">
        <v>1050</v>
      </c>
      <c r="AT775">
        <v>1050</v>
      </c>
      <c r="BQ775">
        <v>33</v>
      </c>
      <c r="BR775" t="s">
        <v>1497</v>
      </c>
      <c r="BT775" t="s">
        <v>1769</v>
      </c>
      <c r="BU775" s="1">
        <v>45448</v>
      </c>
      <c r="BV775">
        <v>34903</v>
      </c>
      <c r="BY775" t="s">
        <v>170</v>
      </c>
      <c r="CB775" t="s">
        <v>170</v>
      </c>
      <c r="CC775" t="s">
        <v>170</v>
      </c>
      <c r="CK775" t="s">
        <v>233</v>
      </c>
      <c r="CM775">
        <v>1</v>
      </c>
      <c r="CN775" t="s">
        <v>234</v>
      </c>
      <c r="CP775">
        <v>392</v>
      </c>
      <c r="CQ775">
        <v>382</v>
      </c>
      <c r="CR775">
        <v>190</v>
      </c>
      <c r="CS775" t="s">
        <v>1752</v>
      </c>
      <c r="CV775" t="s">
        <v>341</v>
      </c>
      <c r="CX775" t="s">
        <v>342</v>
      </c>
      <c r="CY775" t="s">
        <v>169</v>
      </c>
      <c r="DC775" t="s">
        <v>2226</v>
      </c>
      <c r="DD775">
        <v>2</v>
      </c>
      <c r="DE775" t="s">
        <v>404</v>
      </c>
      <c r="DF775" t="s">
        <v>1860</v>
      </c>
      <c r="DG775" t="s">
        <v>2227</v>
      </c>
      <c r="DL775" t="s">
        <v>170</v>
      </c>
      <c r="DM775" t="s">
        <v>169</v>
      </c>
      <c r="DP775" t="s">
        <v>170</v>
      </c>
      <c r="DQ775" t="s">
        <v>187</v>
      </c>
      <c r="DR775" t="s">
        <v>2233</v>
      </c>
      <c r="EB775">
        <v>9</v>
      </c>
      <c r="EC775">
        <v>10</v>
      </c>
      <c r="EE775" t="s">
        <v>2229</v>
      </c>
      <c r="EF775">
        <v>10</v>
      </c>
      <c r="EU775">
        <v>4250</v>
      </c>
      <c r="EW775">
        <v>0</v>
      </c>
      <c r="EX775">
        <v>0</v>
      </c>
      <c r="EY775">
        <v>0</v>
      </c>
      <c r="FA775">
        <v>15</v>
      </c>
      <c r="FG775">
        <v>389</v>
      </c>
      <c r="FH775">
        <v>347</v>
      </c>
      <c r="FI775">
        <v>370</v>
      </c>
    </row>
    <row r="776" spans="1:165" x14ac:dyDescent="0.35">
      <c r="A776" s="25"/>
      <c r="B776" s="25"/>
      <c r="C776" s="25"/>
      <c r="D776" s="25"/>
      <c r="E776" s="25"/>
      <c r="F776" s="25" t="str">
        <f>_xlfn.CONCAT($A777," ",$B777," ",$D777)</f>
        <v>2025 Rivian Automotive L R1T Dual Large Plus (22in)</v>
      </c>
      <c r="G776" s="25"/>
      <c r="H776" s="25"/>
      <c r="I776" s="25"/>
      <c r="J776" s="25"/>
      <c r="K776" s="25"/>
      <c r="L776" s="25"/>
      <c r="M776" s="25"/>
      <c r="N776" s="25"/>
      <c r="O776" s="25"/>
      <c r="P776" s="25"/>
      <c r="Q776" s="25"/>
      <c r="R776" s="25"/>
      <c r="S776" s="25"/>
      <c r="T776" s="25"/>
      <c r="U776" s="25"/>
      <c r="V776" s="25"/>
      <c r="W776" s="25"/>
      <c r="X776" s="25"/>
      <c r="Y776" s="25"/>
      <c r="Z776" s="25"/>
      <c r="AA776" s="25"/>
      <c r="AB776" s="25"/>
      <c r="AC776" s="25"/>
      <c r="AD776" s="25" t="str">
        <f>_xlfn.CONCAT($A777," ",$B777," ",$D777)</f>
        <v>2025 Rivian Automotive L R1T Dual Large Plus (22in)</v>
      </c>
      <c r="AE776" s="25"/>
      <c r="AF776" s="25"/>
      <c r="AG776" s="25"/>
      <c r="AH776" s="25"/>
      <c r="AI776" s="25"/>
      <c r="AJ776" s="25"/>
      <c r="AK776" s="25"/>
      <c r="AL776" s="25"/>
      <c r="AM776" s="25"/>
      <c r="AN776" s="25"/>
      <c r="AO776" s="25"/>
      <c r="AP776" s="25"/>
      <c r="AQ776" s="25"/>
      <c r="AR776" s="25"/>
      <c r="AS776" s="25"/>
      <c r="AT776" s="25"/>
      <c r="AU776" s="25"/>
      <c r="AV776" s="25"/>
      <c r="AW776" s="25"/>
      <c r="AX776" s="25" t="str">
        <f>_xlfn.CONCAT($A777," ",$B777," ",$D777)</f>
        <v>2025 Rivian Automotive L R1T Dual Large Plus (22in)</v>
      </c>
      <c r="AY776" s="25"/>
      <c r="AZ776" s="25"/>
      <c r="BA776" s="25"/>
      <c r="BB776" s="25"/>
      <c r="BC776" s="25"/>
      <c r="BD776" s="25"/>
      <c r="BE776" s="25"/>
      <c r="BF776" s="25"/>
      <c r="BG776" s="25"/>
      <c r="BH776" s="25"/>
      <c r="BI776" s="25"/>
      <c r="BJ776" s="25"/>
      <c r="BK776" s="25"/>
      <c r="BL776" s="25"/>
      <c r="BM776" s="25"/>
      <c r="BN776" s="25"/>
      <c r="BO776" s="25"/>
      <c r="BP776" s="25"/>
      <c r="BQ776" s="25"/>
      <c r="BR776" s="25" t="str">
        <f>_xlfn.CONCAT($A777," ",$B777," ",$D777)</f>
        <v>2025 Rivian Automotive L R1T Dual Large Plus (22in)</v>
      </c>
      <c r="BS776" s="25"/>
      <c r="BT776" s="25"/>
      <c r="BU776" s="25"/>
      <c r="BV776" s="25"/>
      <c r="BX776" s="25"/>
      <c r="BY776" s="25"/>
      <c r="BZ776" s="25"/>
      <c r="CA776" s="25"/>
      <c r="CB776" s="25"/>
      <c r="CC776" s="25"/>
      <c r="CD776" s="25"/>
      <c r="CE776" s="25"/>
      <c r="CF776" s="25"/>
      <c r="CG776" s="25"/>
      <c r="CH776" s="25"/>
      <c r="CI776" s="25"/>
      <c r="CJ776" s="25"/>
      <c r="CK776" s="25"/>
      <c r="CL776" s="25"/>
      <c r="CM776" s="25"/>
      <c r="CN776" s="25"/>
      <c r="CO776" s="25"/>
      <c r="CP776" s="25" t="str">
        <f>_xlfn.CONCAT($A777," ",$B777," ",$D777)</f>
        <v>2025 Rivian Automotive L R1T Dual Large Plus (22in)</v>
      </c>
      <c r="CQ776" s="25"/>
      <c r="CR776" s="25"/>
      <c r="CS776" s="25"/>
      <c r="CT776" s="25"/>
      <c r="CU776" s="25"/>
      <c r="CV776" s="25"/>
      <c r="CW776" s="25"/>
      <c r="CX776" s="25"/>
      <c r="CY776" s="25"/>
      <c r="CZ776" s="25"/>
      <c r="DA776" s="25"/>
      <c r="DB776" s="25"/>
      <c r="DC776" s="25"/>
      <c r="DD776" s="25"/>
      <c r="DE776" s="25"/>
      <c r="DF776" s="25"/>
      <c r="DG776" s="25"/>
      <c r="DH776" s="25"/>
      <c r="DI776" s="25" t="str">
        <f>_xlfn.CONCAT($A777," ",$B777," ",$D777)</f>
        <v>2025 Rivian Automotive L R1T Dual Large Plus (22in)</v>
      </c>
      <c r="DJ776" s="25"/>
      <c r="DK776" s="25"/>
      <c r="DL776" s="25"/>
      <c r="DM776" s="25"/>
      <c r="DN776" s="25"/>
      <c r="DO776" s="25"/>
      <c r="DP776" s="25"/>
      <c r="DQ776" s="25"/>
      <c r="DR776" s="25"/>
      <c r="DS776" s="25"/>
      <c r="DT776" s="25"/>
      <c r="DU776" s="25"/>
      <c r="DV776" s="25"/>
      <c r="DW776" s="25"/>
      <c r="DX776" s="25"/>
      <c r="DY776" s="25"/>
      <c r="DZ776" s="25" t="str">
        <f>_xlfn.CONCAT($A777," ",$B777," ",$D777)</f>
        <v>2025 Rivian Automotive L R1T Dual Large Plus (22in)</v>
      </c>
      <c r="EB776" s="25"/>
      <c r="EC776" s="25"/>
      <c r="ED776" s="25"/>
      <c r="EE776" s="25"/>
      <c r="EF776" s="25"/>
      <c r="EG776" s="25"/>
      <c r="EH776" s="25"/>
      <c r="EI776" s="25"/>
      <c r="EJ776" s="25"/>
      <c r="EK776" s="25"/>
      <c r="EL776" s="25"/>
      <c r="EM776" s="25"/>
      <c r="EN776" s="25"/>
      <c r="EO776" s="25"/>
      <c r="EP776" s="25"/>
      <c r="EQ776" s="25"/>
      <c r="ER776" s="25"/>
      <c r="ES776" s="25"/>
      <c r="ET776" s="25"/>
      <c r="EU776" s="25"/>
      <c r="EV776" s="25" t="str">
        <f>_xlfn.CONCAT($A777," ",$B777," ",$D777)</f>
        <v>2025 Rivian Automotive L R1T Dual Large Plus (22in)</v>
      </c>
      <c r="EW776" s="25"/>
      <c r="EX776" s="25"/>
      <c r="EY776" s="25"/>
      <c r="EZ776" s="25"/>
      <c r="FA776" s="25"/>
      <c r="FB776" s="25"/>
      <c r="FC776" s="25"/>
      <c r="FD776" s="25"/>
      <c r="FE776" s="25"/>
      <c r="FF776" s="25"/>
      <c r="FG776" s="25"/>
    </row>
    <row r="777" spans="1:165" x14ac:dyDescent="0.35">
      <c r="A777">
        <v>2025</v>
      </c>
      <c r="B777" t="s">
        <v>2222</v>
      </c>
      <c r="C777" t="s">
        <v>2223</v>
      </c>
      <c r="D777" t="s">
        <v>2277</v>
      </c>
      <c r="E777" t="s">
        <v>2225</v>
      </c>
      <c r="F777">
        <v>75</v>
      </c>
      <c r="G777">
        <v>0</v>
      </c>
      <c r="I777" t="s">
        <v>1734</v>
      </c>
      <c r="J777">
        <v>89</v>
      </c>
      <c r="K777">
        <v>75</v>
      </c>
      <c r="L777">
        <v>82</v>
      </c>
      <c r="M777">
        <v>127.3</v>
      </c>
      <c r="N777">
        <v>107.8</v>
      </c>
      <c r="O777">
        <v>117.71769999999999</v>
      </c>
      <c r="P777">
        <v>89.11</v>
      </c>
      <c r="Q777">
        <v>75.459999999999994</v>
      </c>
      <c r="R777">
        <v>82.4024</v>
      </c>
      <c r="V777" t="s">
        <v>167</v>
      </c>
      <c r="W777" t="s">
        <v>168</v>
      </c>
      <c r="Y777">
        <v>1</v>
      </c>
      <c r="Z777" t="s">
        <v>170</v>
      </c>
      <c r="AA777" t="s">
        <v>170</v>
      </c>
      <c r="AB777">
        <v>4</v>
      </c>
      <c r="AC777" t="s">
        <v>601</v>
      </c>
      <c r="AF777">
        <v>330</v>
      </c>
      <c r="AG777" t="s">
        <v>1735</v>
      </c>
      <c r="AH777" t="s">
        <v>1736</v>
      </c>
      <c r="AI777" t="s">
        <v>175</v>
      </c>
      <c r="AJ777" t="s">
        <v>176</v>
      </c>
      <c r="AK777">
        <v>4</v>
      </c>
      <c r="AL777" t="s">
        <v>1737</v>
      </c>
      <c r="AS777">
        <v>1000</v>
      </c>
      <c r="AT777">
        <v>50</v>
      </c>
      <c r="BQ777">
        <v>13</v>
      </c>
      <c r="BR777" t="s">
        <v>1016</v>
      </c>
      <c r="BT777" t="s">
        <v>1769</v>
      </c>
      <c r="BU777" s="1">
        <v>45488</v>
      </c>
      <c r="BV777">
        <v>35249</v>
      </c>
      <c r="BY777" t="s">
        <v>170</v>
      </c>
      <c r="CB777" t="s">
        <v>170</v>
      </c>
      <c r="CC777" t="s">
        <v>170</v>
      </c>
      <c r="CK777" t="s">
        <v>233</v>
      </c>
      <c r="CM777">
        <v>1</v>
      </c>
      <c r="CN777" t="s">
        <v>234</v>
      </c>
      <c r="CP777">
        <v>392</v>
      </c>
      <c r="CQ777">
        <v>382</v>
      </c>
      <c r="CR777">
        <v>190</v>
      </c>
      <c r="CS777" t="s">
        <v>1752</v>
      </c>
      <c r="CV777" t="s">
        <v>341</v>
      </c>
      <c r="CX777" t="s">
        <v>342</v>
      </c>
      <c r="CY777" t="s">
        <v>169</v>
      </c>
      <c r="DC777" t="s">
        <v>2226</v>
      </c>
      <c r="DD777">
        <v>2</v>
      </c>
      <c r="DE777" t="s">
        <v>404</v>
      </c>
      <c r="DF777" t="s">
        <v>1860</v>
      </c>
      <c r="DG777">
        <v>264</v>
      </c>
      <c r="DL777" t="s">
        <v>170</v>
      </c>
      <c r="DM777" t="s">
        <v>169</v>
      </c>
      <c r="DP777" t="s">
        <v>170</v>
      </c>
      <c r="DQ777" t="s">
        <v>187</v>
      </c>
      <c r="DR777" t="s">
        <v>2278</v>
      </c>
      <c r="EB777">
        <v>9</v>
      </c>
      <c r="EC777">
        <v>10</v>
      </c>
      <c r="EE777" t="s">
        <v>2229</v>
      </c>
      <c r="EF777">
        <v>10</v>
      </c>
      <c r="EU777">
        <v>4500</v>
      </c>
      <c r="EW777">
        <v>0</v>
      </c>
      <c r="EX777">
        <v>0</v>
      </c>
      <c r="EY777">
        <v>0</v>
      </c>
      <c r="FA777">
        <v>12</v>
      </c>
      <c r="FG777">
        <v>354</v>
      </c>
      <c r="FH777">
        <v>300</v>
      </c>
      <c r="FI777">
        <v>330</v>
      </c>
    </row>
    <row r="778" spans="1:165" x14ac:dyDescent="0.35">
      <c r="A778">
        <v>2025</v>
      </c>
      <c r="B778" t="s">
        <v>2222</v>
      </c>
      <c r="C778" t="s">
        <v>2223</v>
      </c>
      <c r="D778" t="s">
        <v>2277</v>
      </c>
      <c r="E778" t="s">
        <v>2225</v>
      </c>
      <c r="F778">
        <v>75</v>
      </c>
      <c r="G778">
        <v>0</v>
      </c>
      <c r="I778" t="s">
        <v>1734</v>
      </c>
      <c r="J778">
        <v>38</v>
      </c>
      <c r="K778">
        <v>45</v>
      </c>
      <c r="L778">
        <v>41</v>
      </c>
      <c r="M778">
        <v>26.478100000000001</v>
      </c>
      <c r="N778">
        <v>31.275300000000001</v>
      </c>
      <c r="O778">
        <v>28.636900000000001</v>
      </c>
      <c r="P778">
        <v>37.823999999999998</v>
      </c>
      <c r="Q778">
        <v>44.665999999999997</v>
      </c>
      <c r="R778">
        <v>40.902900000000002</v>
      </c>
      <c r="V778" t="s">
        <v>167</v>
      </c>
      <c r="W778" t="s">
        <v>168</v>
      </c>
      <c r="Y778">
        <v>1</v>
      </c>
      <c r="Z778" t="s">
        <v>170</v>
      </c>
      <c r="AA778" t="s">
        <v>170</v>
      </c>
      <c r="AB778">
        <v>4</v>
      </c>
      <c r="AC778" t="s">
        <v>601</v>
      </c>
      <c r="AF778">
        <v>330</v>
      </c>
      <c r="AG778" t="s">
        <v>1735</v>
      </c>
      <c r="AH778" t="s">
        <v>1736</v>
      </c>
      <c r="AI778" t="s">
        <v>1742</v>
      </c>
      <c r="AJ778" t="s">
        <v>1743</v>
      </c>
      <c r="AK778">
        <v>4</v>
      </c>
      <c r="AL778" t="s">
        <v>1737</v>
      </c>
      <c r="AS778">
        <v>1000</v>
      </c>
      <c r="AT778">
        <v>1000</v>
      </c>
      <c r="BQ778">
        <v>13</v>
      </c>
      <c r="BR778" t="s">
        <v>1016</v>
      </c>
      <c r="BT778" t="s">
        <v>1769</v>
      </c>
      <c r="BU778" s="1">
        <v>45488</v>
      </c>
      <c r="BV778">
        <v>35249</v>
      </c>
      <c r="BY778" t="s">
        <v>170</v>
      </c>
      <c r="CB778" t="s">
        <v>170</v>
      </c>
      <c r="CC778" t="s">
        <v>170</v>
      </c>
      <c r="CK778" t="s">
        <v>233</v>
      </c>
      <c r="CM778">
        <v>1</v>
      </c>
      <c r="CN778" t="s">
        <v>234</v>
      </c>
      <c r="CP778">
        <v>392</v>
      </c>
      <c r="CQ778">
        <v>382</v>
      </c>
      <c r="CR778">
        <v>190</v>
      </c>
      <c r="CS778" t="s">
        <v>1752</v>
      </c>
      <c r="CV778" t="s">
        <v>341</v>
      </c>
      <c r="CX778" t="s">
        <v>342</v>
      </c>
      <c r="CY778" t="s">
        <v>169</v>
      </c>
      <c r="DC778" t="s">
        <v>2226</v>
      </c>
      <c r="DD778">
        <v>2</v>
      </c>
      <c r="DE778" t="s">
        <v>404</v>
      </c>
      <c r="DF778" t="s">
        <v>1860</v>
      </c>
      <c r="DG778">
        <v>264</v>
      </c>
      <c r="DL778" t="s">
        <v>170</v>
      </c>
      <c r="DM778" t="s">
        <v>169</v>
      </c>
      <c r="DP778" t="s">
        <v>170</v>
      </c>
      <c r="DQ778" t="s">
        <v>187</v>
      </c>
      <c r="DR778" t="s">
        <v>2278</v>
      </c>
      <c r="EB778">
        <v>9</v>
      </c>
      <c r="EC778">
        <v>10</v>
      </c>
      <c r="EE778" t="s">
        <v>2229</v>
      </c>
      <c r="EF778">
        <v>10</v>
      </c>
      <c r="EU778">
        <v>4500</v>
      </c>
      <c r="EW778">
        <v>0</v>
      </c>
      <c r="EX778">
        <v>0</v>
      </c>
      <c r="EY778">
        <v>0</v>
      </c>
      <c r="FA778">
        <v>12</v>
      </c>
      <c r="FG778">
        <v>354</v>
      </c>
      <c r="FH778">
        <v>300</v>
      </c>
      <c r="FI778">
        <v>330</v>
      </c>
    </row>
    <row r="779" spans="1:165" x14ac:dyDescent="0.35">
      <c r="A779" s="25"/>
      <c r="B779" s="25"/>
      <c r="C779" s="25"/>
      <c r="D779" s="25"/>
      <c r="E779" s="25"/>
      <c r="F779" s="25" t="str">
        <f>_xlfn.CONCAT($A780," ",$B780," ",$D780)</f>
        <v>2025 Rivian Automotive L R1S Dual Large Plus (22in)</v>
      </c>
      <c r="G779" s="25"/>
      <c r="H779" s="25"/>
      <c r="I779" s="25"/>
      <c r="J779" s="25"/>
      <c r="K779" s="25"/>
      <c r="L779" s="25"/>
      <c r="M779" s="25"/>
      <c r="N779" s="25"/>
      <c r="O779" s="25"/>
      <c r="P779" s="25"/>
      <c r="Q779" s="25"/>
      <c r="R779" s="25"/>
      <c r="S779" s="25"/>
      <c r="T779" s="25"/>
      <c r="U779" s="25"/>
      <c r="V779" s="25"/>
      <c r="W779" s="25"/>
      <c r="X779" s="25"/>
      <c r="Y779" s="25"/>
      <c r="Z779" s="25"/>
      <c r="AA779" s="25"/>
      <c r="AB779" s="25"/>
      <c r="AC779" s="25"/>
      <c r="AD779" s="25" t="str">
        <f>_xlfn.CONCAT($A780," ",$B780," ",$D780)</f>
        <v>2025 Rivian Automotive L R1S Dual Large Plus (22in)</v>
      </c>
      <c r="AE779" s="25"/>
      <c r="AF779" s="25"/>
      <c r="AG779" s="25"/>
      <c r="AH779" s="25"/>
      <c r="AI779" s="25"/>
      <c r="AJ779" s="25"/>
      <c r="AK779" s="25"/>
      <c r="AL779" s="25"/>
      <c r="AM779" s="25"/>
      <c r="AN779" s="25"/>
      <c r="AO779" s="25"/>
      <c r="AP779" s="25"/>
      <c r="AQ779" s="25"/>
      <c r="AR779" s="25"/>
      <c r="AS779" s="25"/>
      <c r="AT779" s="25"/>
      <c r="AU779" s="25"/>
      <c r="AV779" s="25"/>
      <c r="AW779" s="25"/>
      <c r="AX779" s="25" t="str">
        <f>_xlfn.CONCAT($A780," ",$B780," ",$D780)</f>
        <v>2025 Rivian Automotive L R1S Dual Large Plus (22in)</v>
      </c>
      <c r="AY779" s="25"/>
      <c r="AZ779" s="25"/>
      <c r="BA779" s="25"/>
      <c r="BB779" s="25"/>
      <c r="BC779" s="25"/>
      <c r="BD779" s="25"/>
      <c r="BE779" s="25"/>
      <c r="BF779" s="25"/>
      <c r="BG779" s="25"/>
      <c r="BH779" s="25"/>
      <c r="BI779" s="25"/>
      <c r="BJ779" s="25"/>
      <c r="BK779" s="25"/>
      <c r="BL779" s="25"/>
      <c r="BM779" s="25"/>
      <c r="BN779" s="25"/>
      <c r="BO779" s="25"/>
      <c r="BP779" s="25"/>
      <c r="BQ779" s="25"/>
      <c r="BR779" s="25" t="str">
        <f>_xlfn.CONCAT($A780," ",$B780," ",$D780)</f>
        <v>2025 Rivian Automotive L R1S Dual Large Plus (22in)</v>
      </c>
      <c r="BS779" s="25"/>
      <c r="BT779" s="25"/>
      <c r="BU779" s="25"/>
      <c r="BV779" s="25"/>
      <c r="BX779" s="25"/>
      <c r="BY779" s="25"/>
      <c r="BZ779" s="25"/>
      <c r="CA779" s="25"/>
      <c r="CB779" s="25"/>
      <c r="CC779" s="25"/>
      <c r="CD779" s="25"/>
      <c r="CE779" s="25"/>
      <c r="CF779" s="25"/>
      <c r="CG779" s="25"/>
      <c r="CH779" s="25"/>
      <c r="CI779" s="25"/>
      <c r="CJ779" s="25"/>
      <c r="CK779" s="25"/>
      <c r="CL779" s="25"/>
      <c r="CM779" s="25"/>
      <c r="CN779" s="25"/>
      <c r="CO779" s="25"/>
      <c r="CP779" s="25" t="str">
        <f>_xlfn.CONCAT($A780," ",$B780," ",$D780)</f>
        <v>2025 Rivian Automotive L R1S Dual Large Plus (22in)</v>
      </c>
      <c r="CQ779" s="25"/>
      <c r="CR779" s="25"/>
      <c r="CS779" s="25"/>
      <c r="CT779" s="25"/>
      <c r="CU779" s="25"/>
      <c r="CV779" s="25"/>
      <c r="CW779" s="25"/>
      <c r="CX779" s="25"/>
      <c r="CY779" s="25"/>
      <c r="CZ779" s="25"/>
      <c r="DA779" s="25"/>
      <c r="DB779" s="25"/>
      <c r="DC779" s="25"/>
      <c r="DD779" s="25"/>
      <c r="DE779" s="25"/>
      <c r="DF779" s="25"/>
      <c r="DG779" s="25"/>
      <c r="DH779" s="25"/>
      <c r="DI779" s="25" t="str">
        <f>_xlfn.CONCAT($A780," ",$B780," ",$D780)</f>
        <v>2025 Rivian Automotive L R1S Dual Large Plus (22in)</v>
      </c>
      <c r="DJ779" s="25"/>
      <c r="DK779" s="25"/>
      <c r="DL779" s="25"/>
      <c r="DM779" s="25"/>
      <c r="DN779" s="25"/>
      <c r="DO779" s="25"/>
      <c r="DP779" s="25"/>
      <c r="DQ779" s="25"/>
      <c r="DR779" s="25"/>
      <c r="DS779" s="25"/>
      <c r="DT779" s="25"/>
      <c r="DU779" s="25"/>
      <c r="DV779" s="25"/>
      <c r="DW779" s="25"/>
      <c r="DX779" s="25"/>
      <c r="DY779" s="25"/>
      <c r="DZ779" s="25" t="str">
        <f>_xlfn.CONCAT($A780," ",$B780," ",$D780)</f>
        <v>2025 Rivian Automotive L R1S Dual Large Plus (22in)</v>
      </c>
      <c r="EB779" s="25"/>
      <c r="EC779" s="25"/>
      <c r="ED779" s="25"/>
      <c r="EE779" s="25"/>
      <c r="EF779" s="25"/>
      <c r="EG779" s="25"/>
      <c r="EH779" s="25"/>
      <c r="EI779" s="25"/>
      <c r="EJ779" s="25"/>
      <c r="EK779" s="25"/>
      <c r="EL779" s="25"/>
      <c r="EM779" s="25"/>
      <c r="EN779" s="25"/>
      <c r="EO779" s="25"/>
      <c r="EP779" s="25"/>
      <c r="EQ779" s="25"/>
      <c r="ER779" s="25"/>
      <c r="ES779" s="25"/>
      <c r="ET779" s="25"/>
      <c r="EU779" s="25"/>
      <c r="EV779" s="25" t="str">
        <f>_xlfn.CONCAT($A780," ",$B780," ",$D780)</f>
        <v>2025 Rivian Automotive L R1S Dual Large Plus (22in)</v>
      </c>
      <c r="EW779" s="25"/>
      <c r="EX779" s="25"/>
      <c r="EY779" s="25"/>
      <c r="EZ779" s="25"/>
      <c r="FA779" s="25"/>
      <c r="FB779" s="25"/>
      <c r="FC779" s="25"/>
      <c r="FD779" s="25"/>
      <c r="FE779" s="25"/>
      <c r="FF779" s="25"/>
      <c r="FG779" s="25"/>
    </row>
    <row r="780" spans="1:165" x14ac:dyDescent="0.35">
      <c r="A780">
        <v>2025</v>
      </c>
      <c r="B780" t="s">
        <v>2222</v>
      </c>
      <c r="C780" t="s">
        <v>2223</v>
      </c>
      <c r="D780" t="s">
        <v>2243</v>
      </c>
      <c r="E780" t="s">
        <v>2225</v>
      </c>
      <c r="F780">
        <v>76</v>
      </c>
      <c r="G780">
        <v>0</v>
      </c>
      <c r="I780" t="s">
        <v>1734</v>
      </c>
      <c r="J780">
        <v>89</v>
      </c>
      <c r="K780">
        <v>75</v>
      </c>
      <c r="L780">
        <v>82</v>
      </c>
      <c r="M780">
        <v>127.3</v>
      </c>
      <c r="N780">
        <v>107.8</v>
      </c>
      <c r="O780">
        <v>117.71769999999999</v>
      </c>
      <c r="P780">
        <v>89.11</v>
      </c>
      <c r="Q780">
        <v>75.459999999999994</v>
      </c>
      <c r="R780">
        <v>82.4024</v>
      </c>
      <c r="V780" t="s">
        <v>167</v>
      </c>
      <c r="W780" t="s">
        <v>168</v>
      </c>
      <c r="Y780">
        <v>1</v>
      </c>
      <c r="Z780" t="s">
        <v>170</v>
      </c>
      <c r="AA780" t="s">
        <v>170</v>
      </c>
      <c r="AB780">
        <v>4</v>
      </c>
      <c r="AC780" t="s">
        <v>601</v>
      </c>
      <c r="AF780">
        <v>330</v>
      </c>
      <c r="AG780" t="s">
        <v>1735</v>
      </c>
      <c r="AH780" t="s">
        <v>1736</v>
      </c>
      <c r="AI780" t="s">
        <v>175</v>
      </c>
      <c r="AJ780" t="s">
        <v>176</v>
      </c>
      <c r="AK780">
        <v>4</v>
      </c>
      <c r="AL780" t="s">
        <v>1737</v>
      </c>
      <c r="AS780">
        <v>1000</v>
      </c>
      <c r="AT780">
        <v>50</v>
      </c>
      <c r="BQ780">
        <v>33</v>
      </c>
      <c r="BR780" t="s">
        <v>1497</v>
      </c>
      <c r="BT780" t="s">
        <v>1769</v>
      </c>
      <c r="BU780" s="1">
        <v>45488</v>
      </c>
      <c r="BV780">
        <v>35245</v>
      </c>
      <c r="BY780" t="s">
        <v>170</v>
      </c>
      <c r="CB780" t="s">
        <v>170</v>
      </c>
      <c r="CC780" t="s">
        <v>170</v>
      </c>
      <c r="CK780" t="s">
        <v>233</v>
      </c>
      <c r="CM780">
        <v>1</v>
      </c>
      <c r="CN780" t="s">
        <v>234</v>
      </c>
      <c r="CP780">
        <v>392</v>
      </c>
      <c r="CQ780">
        <v>382</v>
      </c>
      <c r="CR780">
        <v>190</v>
      </c>
      <c r="CS780" t="s">
        <v>1752</v>
      </c>
      <c r="CV780" t="s">
        <v>341</v>
      </c>
      <c r="CX780" t="s">
        <v>342</v>
      </c>
      <c r="CY780" t="s">
        <v>169</v>
      </c>
      <c r="DC780" t="s">
        <v>2226</v>
      </c>
      <c r="DD780">
        <v>2</v>
      </c>
      <c r="DE780" t="s">
        <v>404</v>
      </c>
      <c r="DF780" t="s">
        <v>1860</v>
      </c>
      <c r="DG780">
        <v>264</v>
      </c>
      <c r="DL780" t="s">
        <v>170</v>
      </c>
      <c r="DM780" t="s">
        <v>169</v>
      </c>
      <c r="DP780" t="s">
        <v>170</v>
      </c>
      <c r="DQ780" t="s">
        <v>187</v>
      </c>
      <c r="DR780" t="s">
        <v>2244</v>
      </c>
      <c r="EB780">
        <v>9</v>
      </c>
      <c r="EC780">
        <v>10</v>
      </c>
      <c r="EE780" t="s">
        <v>2229</v>
      </c>
      <c r="EF780">
        <v>10</v>
      </c>
      <c r="EU780">
        <v>4500</v>
      </c>
      <c r="EW780">
        <v>0</v>
      </c>
      <c r="EX780">
        <v>0</v>
      </c>
      <c r="EY780">
        <v>0</v>
      </c>
      <c r="FA780">
        <v>12</v>
      </c>
      <c r="FG780">
        <v>354</v>
      </c>
      <c r="FH780">
        <v>300</v>
      </c>
      <c r="FI780">
        <v>330</v>
      </c>
    </row>
    <row r="781" spans="1:165" x14ac:dyDescent="0.35">
      <c r="A781">
        <v>2025</v>
      </c>
      <c r="B781" t="s">
        <v>2222</v>
      </c>
      <c r="C781" t="s">
        <v>2223</v>
      </c>
      <c r="D781" t="s">
        <v>2243</v>
      </c>
      <c r="E781" t="s">
        <v>2225</v>
      </c>
      <c r="F781">
        <v>76</v>
      </c>
      <c r="G781">
        <v>0</v>
      </c>
      <c r="I781" t="s">
        <v>1734</v>
      </c>
      <c r="J781">
        <v>38</v>
      </c>
      <c r="K781">
        <v>45</v>
      </c>
      <c r="L781">
        <v>41</v>
      </c>
      <c r="M781">
        <v>26.478100000000001</v>
      </c>
      <c r="N781">
        <v>31.275300000000001</v>
      </c>
      <c r="O781">
        <v>28.636900000000001</v>
      </c>
      <c r="P781">
        <v>37.823999999999998</v>
      </c>
      <c r="Q781">
        <v>44.665999999999997</v>
      </c>
      <c r="R781">
        <v>40.902900000000002</v>
      </c>
      <c r="V781" t="s">
        <v>167</v>
      </c>
      <c r="W781" t="s">
        <v>168</v>
      </c>
      <c r="Y781">
        <v>1</v>
      </c>
      <c r="Z781" t="s">
        <v>170</v>
      </c>
      <c r="AA781" t="s">
        <v>170</v>
      </c>
      <c r="AB781">
        <v>4</v>
      </c>
      <c r="AC781" t="s">
        <v>601</v>
      </c>
      <c r="AF781">
        <v>330</v>
      </c>
      <c r="AG781" t="s">
        <v>1735</v>
      </c>
      <c r="AH781" t="s">
        <v>1736</v>
      </c>
      <c r="AI781" t="s">
        <v>1742</v>
      </c>
      <c r="AJ781" t="s">
        <v>1743</v>
      </c>
      <c r="AK781">
        <v>4</v>
      </c>
      <c r="AL781" t="s">
        <v>1737</v>
      </c>
      <c r="AS781">
        <v>1000</v>
      </c>
      <c r="AT781">
        <v>1000</v>
      </c>
      <c r="BQ781">
        <v>33</v>
      </c>
      <c r="BR781" t="s">
        <v>1497</v>
      </c>
      <c r="BT781" t="s">
        <v>1769</v>
      </c>
      <c r="BU781" s="1">
        <v>45488</v>
      </c>
      <c r="BV781">
        <v>35245</v>
      </c>
      <c r="BY781" t="s">
        <v>170</v>
      </c>
      <c r="CB781" t="s">
        <v>170</v>
      </c>
      <c r="CC781" t="s">
        <v>170</v>
      </c>
      <c r="CK781" t="s">
        <v>233</v>
      </c>
      <c r="CM781">
        <v>1</v>
      </c>
      <c r="CN781" t="s">
        <v>234</v>
      </c>
      <c r="CP781">
        <v>392</v>
      </c>
      <c r="CQ781">
        <v>382</v>
      </c>
      <c r="CR781">
        <v>190</v>
      </c>
      <c r="CS781" t="s">
        <v>1752</v>
      </c>
      <c r="CV781" t="s">
        <v>341</v>
      </c>
      <c r="CX781" t="s">
        <v>342</v>
      </c>
      <c r="CY781" t="s">
        <v>169</v>
      </c>
      <c r="DC781" t="s">
        <v>2226</v>
      </c>
      <c r="DD781">
        <v>2</v>
      </c>
      <c r="DE781" t="s">
        <v>404</v>
      </c>
      <c r="DF781" t="s">
        <v>1860</v>
      </c>
      <c r="DG781">
        <v>264</v>
      </c>
      <c r="DL781" t="s">
        <v>170</v>
      </c>
      <c r="DM781" t="s">
        <v>169</v>
      </c>
      <c r="DP781" t="s">
        <v>170</v>
      </c>
      <c r="DQ781" t="s">
        <v>187</v>
      </c>
      <c r="DR781" t="s">
        <v>2244</v>
      </c>
      <c r="EB781">
        <v>9</v>
      </c>
      <c r="EC781">
        <v>10</v>
      </c>
      <c r="EE781" t="s">
        <v>2229</v>
      </c>
      <c r="EF781">
        <v>10</v>
      </c>
      <c r="EU781">
        <v>4500</v>
      </c>
      <c r="EW781">
        <v>0</v>
      </c>
      <c r="EX781">
        <v>0</v>
      </c>
      <c r="EY781">
        <v>0</v>
      </c>
      <c r="FA781">
        <v>12</v>
      </c>
      <c r="FG781">
        <v>354</v>
      </c>
      <c r="FH781">
        <v>300</v>
      </c>
      <c r="FI781">
        <v>330</v>
      </c>
    </row>
    <row r="782" spans="1:165" x14ac:dyDescent="0.35">
      <c r="A782" s="25"/>
      <c r="B782" s="25"/>
      <c r="C782" s="25"/>
      <c r="D782" s="25"/>
      <c r="E782" s="25"/>
      <c r="F782" s="25" t="str">
        <f>_xlfn.CONCAT($A783," ",$B783," ",$D783)</f>
        <v>2025 Rivian Automotive L R1T All-Terrain Dual Large Plus (20in)</v>
      </c>
      <c r="G782" s="25"/>
      <c r="H782" s="25"/>
      <c r="I782" s="25"/>
      <c r="J782" s="25"/>
      <c r="K782" s="25"/>
      <c r="L782" s="25"/>
      <c r="M782" s="25"/>
      <c r="N782" s="25"/>
      <c r="O782" s="25"/>
      <c r="P782" s="25"/>
      <c r="Q782" s="25"/>
      <c r="R782" s="25"/>
      <c r="S782" s="25"/>
      <c r="T782" s="25"/>
      <c r="U782" s="25"/>
      <c r="V782" s="25"/>
      <c r="W782" s="25"/>
      <c r="X782" s="25"/>
      <c r="Y782" s="25"/>
      <c r="Z782" s="25"/>
      <c r="AA782" s="25"/>
      <c r="AB782" s="25"/>
      <c r="AC782" s="25"/>
      <c r="AD782" s="25" t="str">
        <f>_xlfn.CONCAT($A783," ",$B783," ",$D783)</f>
        <v>2025 Rivian Automotive L R1T All-Terrain Dual Large Plus (20in)</v>
      </c>
      <c r="AE782" s="25"/>
      <c r="AF782" s="25"/>
      <c r="AG782" s="25"/>
      <c r="AH782" s="25"/>
      <c r="AI782" s="25"/>
      <c r="AJ782" s="25"/>
      <c r="AK782" s="25"/>
      <c r="AL782" s="25"/>
      <c r="AM782" s="25"/>
      <c r="AN782" s="25"/>
      <c r="AO782" s="25"/>
      <c r="AP782" s="25"/>
      <c r="AQ782" s="25"/>
      <c r="AR782" s="25"/>
      <c r="AS782" s="25"/>
      <c r="AT782" s="25"/>
      <c r="AU782" s="25"/>
      <c r="AV782" s="25"/>
      <c r="AW782" s="25"/>
      <c r="AX782" s="25" t="str">
        <f>_xlfn.CONCAT($A783," ",$B783," ",$D783)</f>
        <v>2025 Rivian Automotive L R1T All-Terrain Dual Large Plus (20in)</v>
      </c>
      <c r="AY782" s="25"/>
      <c r="AZ782" s="25"/>
      <c r="BA782" s="25"/>
      <c r="BB782" s="25"/>
      <c r="BC782" s="25"/>
      <c r="BD782" s="25"/>
      <c r="BE782" s="25"/>
      <c r="BF782" s="25"/>
      <c r="BG782" s="25"/>
      <c r="BH782" s="25"/>
      <c r="BI782" s="25"/>
      <c r="BJ782" s="25"/>
      <c r="BK782" s="25"/>
      <c r="BL782" s="25"/>
      <c r="BM782" s="25"/>
      <c r="BN782" s="25"/>
      <c r="BO782" s="25"/>
      <c r="BP782" s="25"/>
      <c r="BQ782" s="25"/>
      <c r="BR782" s="25" t="str">
        <f>_xlfn.CONCAT($A783," ",$B783," ",$D783)</f>
        <v>2025 Rivian Automotive L R1T All-Terrain Dual Large Plus (20in)</v>
      </c>
      <c r="BS782" s="25"/>
      <c r="BT782" s="25"/>
      <c r="BU782" s="25"/>
      <c r="BV782" s="25"/>
      <c r="BX782" s="25"/>
      <c r="BY782" s="25"/>
      <c r="BZ782" s="25"/>
      <c r="CA782" s="25"/>
      <c r="CB782" s="25"/>
      <c r="CC782" s="25"/>
      <c r="CD782" s="25"/>
      <c r="CE782" s="25"/>
      <c r="CF782" s="25"/>
      <c r="CG782" s="25"/>
      <c r="CH782" s="25"/>
      <c r="CI782" s="25"/>
      <c r="CJ782" s="25"/>
      <c r="CK782" s="25"/>
      <c r="CL782" s="25"/>
      <c r="CM782" s="25"/>
      <c r="CN782" s="25"/>
      <c r="CO782" s="25"/>
      <c r="CP782" s="25" t="str">
        <f>_xlfn.CONCAT($A783," ",$B783," ",$D783)</f>
        <v>2025 Rivian Automotive L R1T All-Terrain Dual Large Plus (20in)</v>
      </c>
      <c r="CQ782" s="25"/>
      <c r="CR782" s="25"/>
      <c r="CS782" s="25"/>
      <c r="CT782" s="25"/>
      <c r="CU782" s="25"/>
      <c r="CV782" s="25"/>
      <c r="CW782" s="25"/>
      <c r="CX782" s="25"/>
      <c r="CY782" s="25"/>
      <c r="CZ782" s="25"/>
      <c r="DA782" s="25"/>
      <c r="DB782" s="25"/>
      <c r="DC782" s="25"/>
      <c r="DD782" s="25"/>
      <c r="DE782" s="25"/>
      <c r="DF782" s="25"/>
      <c r="DG782" s="25"/>
      <c r="DH782" s="25"/>
      <c r="DI782" s="25" t="str">
        <f>_xlfn.CONCAT($A783," ",$B783," ",$D783)</f>
        <v>2025 Rivian Automotive L R1T All-Terrain Dual Large Plus (20in)</v>
      </c>
      <c r="DJ782" s="25"/>
      <c r="DK782" s="25"/>
      <c r="DL782" s="25"/>
      <c r="DM782" s="25"/>
      <c r="DN782" s="25"/>
      <c r="DO782" s="25"/>
      <c r="DP782" s="25"/>
      <c r="DQ782" s="25"/>
      <c r="DR782" s="25"/>
      <c r="DS782" s="25"/>
      <c r="DT782" s="25"/>
      <c r="DU782" s="25"/>
      <c r="DV782" s="25"/>
      <c r="DW782" s="25"/>
      <c r="DX782" s="25"/>
      <c r="DY782" s="25"/>
      <c r="DZ782" s="25" t="str">
        <f>_xlfn.CONCAT($A783," ",$B783," ",$D783)</f>
        <v>2025 Rivian Automotive L R1T All-Terrain Dual Large Plus (20in)</v>
      </c>
      <c r="EB782" s="25"/>
      <c r="EC782" s="25"/>
      <c r="ED782" s="25"/>
      <c r="EE782" s="25"/>
      <c r="EF782" s="25"/>
      <c r="EG782" s="25"/>
      <c r="EH782" s="25"/>
      <c r="EI782" s="25"/>
      <c r="EJ782" s="25"/>
      <c r="EK782" s="25"/>
      <c r="EL782" s="25"/>
      <c r="EM782" s="25"/>
      <c r="EN782" s="25"/>
      <c r="EO782" s="25"/>
      <c r="EP782" s="25"/>
      <c r="EQ782" s="25"/>
      <c r="ER782" s="25"/>
      <c r="ES782" s="25"/>
      <c r="ET782" s="25"/>
      <c r="EU782" s="25"/>
      <c r="EV782" s="25" t="str">
        <f>_xlfn.CONCAT($A783," ",$B783," ",$D783)</f>
        <v>2025 Rivian Automotive L R1T All-Terrain Dual Large Plus (20in)</v>
      </c>
      <c r="EW782" s="25"/>
      <c r="EX782" s="25"/>
      <c r="EY782" s="25"/>
      <c r="EZ782" s="25"/>
      <c r="FA782" s="25"/>
      <c r="FB782" s="25"/>
      <c r="FC782" s="25"/>
      <c r="FD782" s="25"/>
      <c r="FE782" s="25"/>
      <c r="FF782" s="25"/>
      <c r="FG782" s="25"/>
    </row>
    <row r="783" spans="1:165" x14ac:dyDescent="0.35">
      <c r="A783">
        <v>2025</v>
      </c>
      <c r="B783" t="s">
        <v>2222</v>
      </c>
      <c r="C783" t="s">
        <v>2223</v>
      </c>
      <c r="D783" t="s">
        <v>2264</v>
      </c>
      <c r="E783" t="s">
        <v>2225</v>
      </c>
      <c r="F783">
        <v>77</v>
      </c>
      <c r="G783">
        <v>0</v>
      </c>
      <c r="I783" t="s">
        <v>1734</v>
      </c>
      <c r="J783">
        <v>76</v>
      </c>
      <c r="K783">
        <v>67</v>
      </c>
      <c r="L783">
        <v>72</v>
      </c>
      <c r="M783">
        <v>108.8</v>
      </c>
      <c r="N783">
        <v>96.1</v>
      </c>
      <c r="O783">
        <v>102.69289999999999</v>
      </c>
      <c r="P783">
        <v>76.16</v>
      </c>
      <c r="Q783">
        <v>67.27</v>
      </c>
      <c r="R783">
        <v>71.885000000000005</v>
      </c>
      <c r="V783" t="s">
        <v>167</v>
      </c>
      <c r="W783" t="s">
        <v>168</v>
      </c>
      <c r="Y783">
        <v>1</v>
      </c>
      <c r="Z783" t="s">
        <v>170</v>
      </c>
      <c r="AA783" t="s">
        <v>170</v>
      </c>
      <c r="AB783">
        <v>4</v>
      </c>
      <c r="AC783" t="s">
        <v>601</v>
      </c>
      <c r="AF783">
        <v>292</v>
      </c>
      <c r="AG783" t="s">
        <v>1735</v>
      </c>
      <c r="AH783" t="s">
        <v>1736</v>
      </c>
      <c r="AI783" t="s">
        <v>175</v>
      </c>
      <c r="AJ783" t="s">
        <v>176</v>
      </c>
      <c r="AK783">
        <v>4</v>
      </c>
      <c r="AL783" t="s">
        <v>1737</v>
      </c>
      <c r="AS783">
        <v>1150</v>
      </c>
      <c r="AT783">
        <v>1150</v>
      </c>
      <c r="BQ783">
        <v>13</v>
      </c>
      <c r="BR783" t="s">
        <v>1016</v>
      </c>
      <c r="BT783" t="s">
        <v>1769</v>
      </c>
      <c r="BU783" s="1">
        <v>45488</v>
      </c>
      <c r="BV783">
        <v>35247</v>
      </c>
      <c r="BY783" t="s">
        <v>170</v>
      </c>
      <c r="CB783" t="s">
        <v>170</v>
      </c>
      <c r="CC783" t="s">
        <v>170</v>
      </c>
      <c r="CK783" t="s">
        <v>233</v>
      </c>
      <c r="CM783">
        <v>1</v>
      </c>
      <c r="CN783" t="s">
        <v>234</v>
      </c>
      <c r="CP783">
        <v>392</v>
      </c>
      <c r="CQ783">
        <v>382</v>
      </c>
      <c r="CR783">
        <v>190</v>
      </c>
      <c r="CS783" t="s">
        <v>1752</v>
      </c>
      <c r="CV783" t="s">
        <v>341</v>
      </c>
      <c r="CX783" t="s">
        <v>342</v>
      </c>
      <c r="CY783" t="s">
        <v>169</v>
      </c>
      <c r="DC783" t="s">
        <v>2226</v>
      </c>
      <c r="DD783">
        <v>2</v>
      </c>
      <c r="DE783" t="s">
        <v>404</v>
      </c>
      <c r="DF783" t="s">
        <v>1860</v>
      </c>
      <c r="DG783" t="s">
        <v>2227</v>
      </c>
      <c r="DL783" t="s">
        <v>170</v>
      </c>
      <c r="DM783" t="s">
        <v>169</v>
      </c>
      <c r="DP783" t="s">
        <v>170</v>
      </c>
      <c r="DQ783" t="s">
        <v>187</v>
      </c>
      <c r="DR783" t="s">
        <v>2265</v>
      </c>
      <c r="EB783">
        <v>9</v>
      </c>
      <c r="EC783">
        <v>10</v>
      </c>
      <c r="EE783" t="s">
        <v>2229</v>
      </c>
      <c r="EF783">
        <v>10</v>
      </c>
      <c r="EU783">
        <v>3750</v>
      </c>
      <c r="EW783">
        <v>0</v>
      </c>
      <c r="EX783">
        <v>0</v>
      </c>
      <c r="EY783">
        <v>0</v>
      </c>
      <c r="FA783">
        <v>12</v>
      </c>
      <c r="FG783">
        <v>308</v>
      </c>
      <c r="FH783">
        <v>272</v>
      </c>
      <c r="FI783">
        <v>292</v>
      </c>
    </row>
    <row r="784" spans="1:165" x14ac:dyDescent="0.35">
      <c r="A784">
        <v>2025</v>
      </c>
      <c r="B784" t="s">
        <v>2222</v>
      </c>
      <c r="C784" t="s">
        <v>2223</v>
      </c>
      <c r="D784" t="s">
        <v>2264</v>
      </c>
      <c r="E784" t="s">
        <v>2225</v>
      </c>
      <c r="F784">
        <v>77</v>
      </c>
      <c r="G784">
        <v>0</v>
      </c>
      <c r="I784" t="s">
        <v>1734</v>
      </c>
      <c r="J784">
        <v>44</v>
      </c>
      <c r="K784">
        <v>50</v>
      </c>
      <c r="L784">
        <v>47</v>
      </c>
      <c r="M784">
        <v>30.986000000000001</v>
      </c>
      <c r="N784">
        <v>35.058500000000002</v>
      </c>
      <c r="O784">
        <v>32.818600000000004</v>
      </c>
      <c r="P784">
        <v>44.255499999999998</v>
      </c>
      <c r="Q784">
        <v>50.104100000000003</v>
      </c>
      <c r="R784">
        <v>46.8874</v>
      </c>
      <c r="V784" t="s">
        <v>167</v>
      </c>
      <c r="W784" t="s">
        <v>168</v>
      </c>
      <c r="Y784">
        <v>1</v>
      </c>
      <c r="Z784" t="s">
        <v>170</v>
      </c>
      <c r="AA784" t="s">
        <v>170</v>
      </c>
      <c r="AB784">
        <v>4</v>
      </c>
      <c r="AC784" t="s">
        <v>601</v>
      </c>
      <c r="AF784">
        <v>292</v>
      </c>
      <c r="AG784" t="s">
        <v>1735</v>
      </c>
      <c r="AH784" t="s">
        <v>1736</v>
      </c>
      <c r="AI784" t="s">
        <v>1742</v>
      </c>
      <c r="AJ784" t="s">
        <v>1743</v>
      </c>
      <c r="AK784">
        <v>4</v>
      </c>
      <c r="AL784" t="s">
        <v>1737</v>
      </c>
      <c r="AS784">
        <v>1150</v>
      </c>
      <c r="AT784">
        <v>1150</v>
      </c>
      <c r="BQ784">
        <v>13</v>
      </c>
      <c r="BR784" t="s">
        <v>1016</v>
      </c>
      <c r="BT784" t="s">
        <v>1769</v>
      </c>
      <c r="BU784" s="1">
        <v>45488</v>
      </c>
      <c r="BV784">
        <v>35247</v>
      </c>
      <c r="BY784" t="s">
        <v>170</v>
      </c>
      <c r="CB784" t="s">
        <v>170</v>
      </c>
      <c r="CC784" t="s">
        <v>170</v>
      </c>
      <c r="CK784" t="s">
        <v>233</v>
      </c>
      <c r="CM784">
        <v>1</v>
      </c>
      <c r="CN784" t="s">
        <v>234</v>
      </c>
      <c r="CP784">
        <v>392</v>
      </c>
      <c r="CQ784">
        <v>382</v>
      </c>
      <c r="CR784">
        <v>190</v>
      </c>
      <c r="CS784" t="s">
        <v>1752</v>
      </c>
      <c r="CV784" t="s">
        <v>341</v>
      </c>
      <c r="CX784" t="s">
        <v>342</v>
      </c>
      <c r="CY784" t="s">
        <v>169</v>
      </c>
      <c r="DC784" t="s">
        <v>2226</v>
      </c>
      <c r="DD784">
        <v>2</v>
      </c>
      <c r="DE784" t="s">
        <v>404</v>
      </c>
      <c r="DF784" t="s">
        <v>1860</v>
      </c>
      <c r="DG784" t="s">
        <v>2227</v>
      </c>
      <c r="DL784" t="s">
        <v>170</v>
      </c>
      <c r="DM784" t="s">
        <v>169</v>
      </c>
      <c r="DP784" t="s">
        <v>170</v>
      </c>
      <c r="DQ784" t="s">
        <v>187</v>
      </c>
      <c r="DR784" t="s">
        <v>2265</v>
      </c>
      <c r="EB784">
        <v>9</v>
      </c>
      <c r="EC784">
        <v>10</v>
      </c>
      <c r="EE784" t="s">
        <v>2229</v>
      </c>
      <c r="EF784">
        <v>10</v>
      </c>
      <c r="EU784">
        <v>3750</v>
      </c>
      <c r="EW784">
        <v>0</v>
      </c>
      <c r="EX784">
        <v>0</v>
      </c>
      <c r="EY784">
        <v>0</v>
      </c>
      <c r="FA784">
        <v>12</v>
      </c>
      <c r="FG784">
        <v>308</v>
      </c>
      <c r="FH784">
        <v>272</v>
      </c>
      <c r="FI784">
        <v>292</v>
      </c>
    </row>
    <row r="785" spans="1:165" x14ac:dyDescent="0.35">
      <c r="A785" s="25"/>
      <c r="B785" s="25"/>
      <c r="C785" s="25"/>
      <c r="D785" s="25"/>
      <c r="E785" s="25"/>
      <c r="F785" s="25" t="str">
        <f>_xlfn.CONCAT($A786," ",$B786," ",$D786)</f>
        <v>2025 Rivian Automotive L R1S All-Terrain Dual Large Plus (20in)</v>
      </c>
      <c r="G785" s="25"/>
      <c r="H785" s="25"/>
      <c r="I785" s="25"/>
      <c r="J785" s="25"/>
      <c r="K785" s="25"/>
      <c r="L785" s="25"/>
      <c r="M785" s="25"/>
      <c r="N785" s="25"/>
      <c r="O785" s="25"/>
      <c r="P785" s="25"/>
      <c r="Q785" s="25"/>
      <c r="R785" s="25"/>
      <c r="S785" s="25"/>
      <c r="T785" s="25"/>
      <c r="U785" s="25"/>
      <c r="V785" s="25"/>
      <c r="W785" s="25"/>
      <c r="X785" s="25"/>
      <c r="Y785" s="25"/>
      <c r="Z785" s="25"/>
      <c r="AA785" s="25"/>
      <c r="AB785" s="25"/>
      <c r="AC785" s="25"/>
      <c r="AD785" s="25" t="str">
        <f>_xlfn.CONCAT($A786," ",$B786," ",$D786)</f>
        <v>2025 Rivian Automotive L R1S All-Terrain Dual Large Plus (20in)</v>
      </c>
      <c r="AE785" s="25"/>
      <c r="AF785" s="25"/>
      <c r="AG785" s="25"/>
      <c r="AH785" s="25"/>
      <c r="AI785" s="25"/>
      <c r="AJ785" s="25"/>
      <c r="AK785" s="25"/>
      <c r="AL785" s="25"/>
      <c r="AM785" s="25"/>
      <c r="AN785" s="25"/>
      <c r="AO785" s="25"/>
      <c r="AP785" s="25"/>
      <c r="AQ785" s="25"/>
      <c r="AR785" s="25"/>
      <c r="AS785" s="25"/>
      <c r="AT785" s="25"/>
      <c r="AU785" s="25"/>
      <c r="AV785" s="25"/>
      <c r="AW785" s="25"/>
      <c r="AX785" s="25" t="str">
        <f>_xlfn.CONCAT($A786," ",$B786," ",$D786)</f>
        <v>2025 Rivian Automotive L R1S All-Terrain Dual Large Plus (20in)</v>
      </c>
      <c r="AY785" s="25"/>
      <c r="AZ785" s="25"/>
      <c r="BA785" s="25"/>
      <c r="BB785" s="25"/>
      <c r="BC785" s="25"/>
      <c r="BD785" s="25"/>
      <c r="BE785" s="25"/>
      <c r="BF785" s="25"/>
      <c r="BG785" s="25"/>
      <c r="BH785" s="25"/>
      <c r="BI785" s="25"/>
      <c r="BJ785" s="25"/>
      <c r="BK785" s="25"/>
      <c r="BL785" s="25"/>
      <c r="BM785" s="25"/>
      <c r="BN785" s="25"/>
      <c r="BO785" s="25"/>
      <c r="BP785" s="25"/>
      <c r="BQ785" s="25"/>
      <c r="BR785" s="25" t="str">
        <f>_xlfn.CONCAT($A786," ",$B786," ",$D786)</f>
        <v>2025 Rivian Automotive L R1S All-Terrain Dual Large Plus (20in)</v>
      </c>
      <c r="BS785" s="25"/>
      <c r="BT785" s="25"/>
      <c r="BU785" s="25"/>
      <c r="BV785" s="25"/>
      <c r="BX785" s="25"/>
      <c r="BY785" s="25"/>
      <c r="BZ785" s="25"/>
      <c r="CA785" s="25"/>
      <c r="CB785" s="25"/>
      <c r="CC785" s="25"/>
      <c r="CD785" s="25"/>
      <c r="CE785" s="25"/>
      <c r="CF785" s="25"/>
      <c r="CG785" s="25"/>
      <c r="CH785" s="25"/>
      <c r="CI785" s="25"/>
      <c r="CJ785" s="25"/>
      <c r="CK785" s="25"/>
      <c r="CL785" s="25"/>
      <c r="CM785" s="25"/>
      <c r="CN785" s="25"/>
      <c r="CO785" s="25"/>
      <c r="CP785" s="25" t="str">
        <f>_xlfn.CONCAT($A786," ",$B786," ",$D786)</f>
        <v>2025 Rivian Automotive L R1S All-Terrain Dual Large Plus (20in)</v>
      </c>
      <c r="CQ785" s="25"/>
      <c r="CR785" s="25"/>
      <c r="CS785" s="25"/>
      <c r="CT785" s="25"/>
      <c r="CU785" s="25"/>
      <c r="CV785" s="25"/>
      <c r="CW785" s="25"/>
      <c r="CX785" s="25"/>
      <c r="CY785" s="25"/>
      <c r="CZ785" s="25"/>
      <c r="DA785" s="25"/>
      <c r="DB785" s="25"/>
      <c r="DC785" s="25"/>
      <c r="DD785" s="25"/>
      <c r="DE785" s="25"/>
      <c r="DF785" s="25"/>
      <c r="DG785" s="25"/>
      <c r="DH785" s="25"/>
      <c r="DI785" s="25" t="str">
        <f>_xlfn.CONCAT($A786," ",$B786," ",$D786)</f>
        <v>2025 Rivian Automotive L R1S All-Terrain Dual Large Plus (20in)</v>
      </c>
      <c r="DJ785" s="25"/>
      <c r="DK785" s="25"/>
      <c r="DL785" s="25"/>
      <c r="DM785" s="25"/>
      <c r="DN785" s="25"/>
      <c r="DO785" s="25"/>
      <c r="DP785" s="25"/>
      <c r="DQ785" s="25"/>
      <c r="DR785" s="25"/>
      <c r="DS785" s="25"/>
      <c r="DT785" s="25"/>
      <c r="DU785" s="25"/>
      <c r="DV785" s="25"/>
      <c r="DW785" s="25"/>
      <c r="DX785" s="25"/>
      <c r="DY785" s="25"/>
      <c r="DZ785" s="25" t="str">
        <f>_xlfn.CONCAT($A786," ",$B786," ",$D786)</f>
        <v>2025 Rivian Automotive L R1S All-Terrain Dual Large Plus (20in)</v>
      </c>
      <c r="EB785" s="25"/>
      <c r="EC785" s="25"/>
      <c r="ED785" s="25"/>
      <c r="EE785" s="25"/>
      <c r="EF785" s="25"/>
      <c r="EG785" s="25"/>
      <c r="EH785" s="25"/>
      <c r="EI785" s="25"/>
      <c r="EJ785" s="25"/>
      <c r="EK785" s="25"/>
      <c r="EL785" s="25"/>
      <c r="EM785" s="25"/>
      <c r="EN785" s="25"/>
      <c r="EO785" s="25"/>
      <c r="EP785" s="25"/>
      <c r="EQ785" s="25"/>
      <c r="ER785" s="25"/>
      <c r="ES785" s="25"/>
      <c r="ET785" s="25"/>
      <c r="EU785" s="25"/>
      <c r="EV785" s="25" t="str">
        <f>_xlfn.CONCAT($A786," ",$B786," ",$D786)</f>
        <v>2025 Rivian Automotive L R1S All-Terrain Dual Large Plus (20in)</v>
      </c>
      <c r="EW785" s="25"/>
      <c r="EX785" s="25"/>
      <c r="EY785" s="25"/>
      <c r="EZ785" s="25"/>
      <c r="FA785" s="25"/>
      <c r="FB785" s="25"/>
      <c r="FC785" s="25"/>
      <c r="FD785" s="25"/>
      <c r="FE785" s="25"/>
      <c r="FF785" s="25"/>
      <c r="FG785" s="25"/>
    </row>
    <row r="786" spans="1:165" x14ac:dyDescent="0.35">
      <c r="A786">
        <v>2025</v>
      </c>
      <c r="B786" t="s">
        <v>2222</v>
      </c>
      <c r="C786" t="s">
        <v>2223</v>
      </c>
      <c r="D786" t="s">
        <v>2224</v>
      </c>
      <c r="E786" t="s">
        <v>2225</v>
      </c>
      <c r="F786">
        <v>78</v>
      </c>
      <c r="G786">
        <v>0</v>
      </c>
      <c r="I786" t="s">
        <v>1734</v>
      </c>
      <c r="J786">
        <v>76</v>
      </c>
      <c r="K786">
        <v>67</v>
      </c>
      <c r="L786">
        <v>72</v>
      </c>
      <c r="M786">
        <v>108.8</v>
      </c>
      <c r="N786">
        <v>96.1</v>
      </c>
      <c r="O786">
        <v>102.69289999999999</v>
      </c>
      <c r="P786">
        <v>76.16</v>
      </c>
      <c r="Q786">
        <v>67.27</v>
      </c>
      <c r="R786">
        <v>71.885000000000005</v>
      </c>
      <c r="V786" t="s">
        <v>167</v>
      </c>
      <c r="W786" t="s">
        <v>168</v>
      </c>
      <c r="Y786">
        <v>1</v>
      </c>
      <c r="Z786" t="s">
        <v>170</v>
      </c>
      <c r="AA786" t="s">
        <v>170</v>
      </c>
      <c r="AB786">
        <v>4</v>
      </c>
      <c r="AC786" t="s">
        <v>601</v>
      </c>
      <c r="AF786">
        <v>292</v>
      </c>
      <c r="AG786" t="s">
        <v>1735</v>
      </c>
      <c r="AH786" t="s">
        <v>1736</v>
      </c>
      <c r="AI786" t="s">
        <v>175</v>
      </c>
      <c r="AJ786" t="s">
        <v>176</v>
      </c>
      <c r="AK786">
        <v>4</v>
      </c>
      <c r="AL786" t="s">
        <v>1737</v>
      </c>
      <c r="AS786">
        <v>1150</v>
      </c>
      <c r="AT786">
        <v>1150</v>
      </c>
      <c r="BQ786">
        <v>33</v>
      </c>
      <c r="BR786" t="s">
        <v>1497</v>
      </c>
      <c r="BT786" t="s">
        <v>1769</v>
      </c>
      <c r="BU786" s="1">
        <v>45488</v>
      </c>
      <c r="BV786">
        <v>35243</v>
      </c>
      <c r="BY786" t="s">
        <v>170</v>
      </c>
      <c r="CB786" t="s">
        <v>170</v>
      </c>
      <c r="CC786" t="s">
        <v>170</v>
      </c>
      <c r="CK786" t="s">
        <v>233</v>
      </c>
      <c r="CM786">
        <v>1</v>
      </c>
      <c r="CN786" t="s">
        <v>234</v>
      </c>
      <c r="CP786">
        <v>392</v>
      </c>
      <c r="CQ786">
        <v>382</v>
      </c>
      <c r="CR786">
        <v>190</v>
      </c>
      <c r="CS786" t="s">
        <v>1752</v>
      </c>
      <c r="CV786" t="s">
        <v>341</v>
      </c>
      <c r="CX786" t="s">
        <v>342</v>
      </c>
      <c r="CY786" t="s">
        <v>169</v>
      </c>
      <c r="DC786" t="s">
        <v>2226</v>
      </c>
      <c r="DD786">
        <v>2</v>
      </c>
      <c r="DE786" t="s">
        <v>404</v>
      </c>
      <c r="DF786" t="s">
        <v>1860</v>
      </c>
      <c r="DG786" t="s">
        <v>2227</v>
      </c>
      <c r="DL786" t="s">
        <v>170</v>
      </c>
      <c r="DM786" t="s">
        <v>169</v>
      </c>
      <c r="DP786" t="s">
        <v>170</v>
      </c>
      <c r="DQ786" t="s">
        <v>187</v>
      </c>
      <c r="DR786" t="s">
        <v>2228</v>
      </c>
      <c r="EB786">
        <v>9</v>
      </c>
      <c r="EC786">
        <v>10</v>
      </c>
      <c r="EE786" t="s">
        <v>2229</v>
      </c>
      <c r="EF786">
        <v>10</v>
      </c>
      <c r="EU786">
        <v>3750</v>
      </c>
      <c r="EW786">
        <v>0</v>
      </c>
      <c r="EX786">
        <v>0</v>
      </c>
      <c r="EY786">
        <v>0</v>
      </c>
      <c r="FA786">
        <v>12</v>
      </c>
      <c r="FG786">
        <v>308</v>
      </c>
      <c r="FH786">
        <v>272</v>
      </c>
      <c r="FI786">
        <v>292</v>
      </c>
    </row>
    <row r="787" spans="1:165" x14ac:dyDescent="0.35">
      <c r="A787">
        <v>2025</v>
      </c>
      <c r="B787" t="s">
        <v>2222</v>
      </c>
      <c r="C787" t="s">
        <v>2223</v>
      </c>
      <c r="D787" t="s">
        <v>2224</v>
      </c>
      <c r="E787" t="s">
        <v>2225</v>
      </c>
      <c r="F787">
        <v>78</v>
      </c>
      <c r="G787">
        <v>0</v>
      </c>
      <c r="I787" t="s">
        <v>1734</v>
      </c>
      <c r="J787">
        <v>44</v>
      </c>
      <c r="K787">
        <v>50</v>
      </c>
      <c r="L787">
        <v>47</v>
      </c>
      <c r="M787">
        <v>30.986000000000001</v>
      </c>
      <c r="N787">
        <v>35.058500000000002</v>
      </c>
      <c r="O787">
        <v>32.818600000000004</v>
      </c>
      <c r="P787">
        <v>44.255499999999998</v>
      </c>
      <c r="Q787">
        <v>50.104100000000003</v>
      </c>
      <c r="R787">
        <v>46.8874</v>
      </c>
      <c r="V787" t="s">
        <v>167</v>
      </c>
      <c r="W787" t="s">
        <v>168</v>
      </c>
      <c r="Y787">
        <v>1</v>
      </c>
      <c r="Z787" t="s">
        <v>170</v>
      </c>
      <c r="AA787" t="s">
        <v>170</v>
      </c>
      <c r="AB787">
        <v>4</v>
      </c>
      <c r="AC787" t="s">
        <v>601</v>
      </c>
      <c r="AF787">
        <v>292</v>
      </c>
      <c r="AG787" t="s">
        <v>1735</v>
      </c>
      <c r="AH787" t="s">
        <v>1736</v>
      </c>
      <c r="AI787" t="s">
        <v>1742</v>
      </c>
      <c r="AJ787" t="s">
        <v>1743</v>
      </c>
      <c r="AK787">
        <v>4</v>
      </c>
      <c r="AL787" t="s">
        <v>1737</v>
      </c>
      <c r="AS787">
        <v>1150</v>
      </c>
      <c r="AT787">
        <v>1150</v>
      </c>
      <c r="BQ787">
        <v>33</v>
      </c>
      <c r="BR787" t="s">
        <v>1497</v>
      </c>
      <c r="BT787" t="s">
        <v>1769</v>
      </c>
      <c r="BU787" s="1">
        <v>45488</v>
      </c>
      <c r="BV787">
        <v>35243</v>
      </c>
      <c r="BY787" t="s">
        <v>170</v>
      </c>
      <c r="CB787" t="s">
        <v>170</v>
      </c>
      <c r="CC787" t="s">
        <v>170</v>
      </c>
      <c r="CK787" t="s">
        <v>233</v>
      </c>
      <c r="CM787">
        <v>1</v>
      </c>
      <c r="CN787" t="s">
        <v>234</v>
      </c>
      <c r="CP787">
        <v>392</v>
      </c>
      <c r="CQ787">
        <v>382</v>
      </c>
      <c r="CR787">
        <v>190</v>
      </c>
      <c r="CS787" t="s">
        <v>1752</v>
      </c>
      <c r="CV787" t="s">
        <v>341</v>
      </c>
      <c r="CX787" t="s">
        <v>342</v>
      </c>
      <c r="CY787" t="s">
        <v>169</v>
      </c>
      <c r="DC787" t="s">
        <v>2226</v>
      </c>
      <c r="DD787">
        <v>2</v>
      </c>
      <c r="DE787" t="s">
        <v>404</v>
      </c>
      <c r="DF787" t="s">
        <v>1860</v>
      </c>
      <c r="DG787" t="s">
        <v>2227</v>
      </c>
      <c r="DL787" t="s">
        <v>170</v>
      </c>
      <c r="DM787" t="s">
        <v>169</v>
      </c>
      <c r="DP787" t="s">
        <v>170</v>
      </c>
      <c r="DQ787" t="s">
        <v>187</v>
      </c>
      <c r="DR787" t="s">
        <v>2228</v>
      </c>
      <c r="EB787">
        <v>9</v>
      </c>
      <c r="EC787">
        <v>10</v>
      </c>
      <c r="EE787" t="s">
        <v>2229</v>
      </c>
      <c r="EF787">
        <v>10</v>
      </c>
      <c r="EU787">
        <v>3750</v>
      </c>
      <c r="EW787">
        <v>0</v>
      </c>
      <c r="EX787">
        <v>0</v>
      </c>
      <c r="EY787">
        <v>0</v>
      </c>
      <c r="FA787">
        <v>12</v>
      </c>
      <c r="FG787">
        <v>308</v>
      </c>
      <c r="FH787">
        <v>272</v>
      </c>
      <c r="FI787">
        <v>292</v>
      </c>
    </row>
    <row r="788" spans="1:165" x14ac:dyDescent="0.35">
      <c r="A788" s="25"/>
      <c r="B788" s="25"/>
      <c r="C788" s="25"/>
      <c r="D788" s="25"/>
      <c r="E788" s="25"/>
      <c r="F788" s="25" t="str">
        <f>_xlfn.CONCAT($A789," ",$B789," ",$D789)</f>
        <v>2025 Rivian Automotive L R1T Performance Dual Large Plus (22in)</v>
      </c>
      <c r="G788" s="25"/>
      <c r="H788" s="25"/>
      <c r="I788" s="25"/>
      <c r="J788" s="25"/>
      <c r="K788" s="25"/>
      <c r="L788" s="25"/>
      <c r="M788" s="25"/>
      <c r="N788" s="25"/>
      <c r="O788" s="25"/>
      <c r="P788" s="25"/>
      <c r="Q788" s="25"/>
      <c r="R788" s="25"/>
      <c r="S788" s="25"/>
      <c r="T788" s="25"/>
      <c r="U788" s="25"/>
      <c r="V788" s="25"/>
      <c r="W788" s="25"/>
      <c r="X788" s="25"/>
      <c r="Y788" s="25"/>
      <c r="Z788" s="25"/>
      <c r="AA788" s="25"/>
      <c r="AB788" s="25"/>
      <c r="AC788" s="25"/>
      <c r="AD788" s="25" t="str">
        <f>_xlfn.CONCAT($A789," ",$B789," ",$D789)</f>
        <v>2025 Rivian Automotive L R1T Performance Dual Large Plus (22in)</v>
      </c>
      <c r="AE788" s="25"/>
      <c r="AF788" s="25"/>
      <c r="AG788" s="25"/>
      <c r="AH788" s="25"/>
      <c r="AI788" s="25"/>
      <c r="AJ788" s="25"/>
      <c r="AK788" s="25"/>
      <c r="AL788" s="25"/>
      <c r="AM788" s="25"/>
      <c r="AN788" s="25"/>
      <c r="AO788" s="25"/>
      <c r="AP788" s="25"/>
      <c r="AQ788" s="25"/>
      <c r="AR788" s="25"/>
      <c r="AS788" s="25"/>
      <c r="AT788" s="25"/>
      <c r="AU788" s="25"/>
      <c r="AV788" s="25"/>
      <c r="AW788" s="25"/>
      <c r="AX788" s="25" t="str">
        <f>_xlfn.CONCAT($A789," ",$B789," ",$D789)</f>
        <v>2025 Rivian Automotive L R1T Performance Dual Large Plus (22in)</v>
      </c>
      <c r="AY788" s="25"/>
      <c r="AZ788" s="25"/>
      <c r="BA788" s="25"/>
      <c r="BB788" s="25"/>
      <c r="BC788" s="25"/>
      <c r="BD788" s="25"/>
      <c r="BE788" s="25"/>
      <c r="BF788" s="25"/>
      <c r="BG788" s="25"/>
      <c r="BH788" s="25"/>
      <c r="BI788" s="25"/>
      <c r="BJ788" s="25"/>
      <c r="BK788" s="25"/>
      <c r="BL788" s="25"/>
      <c r="BM788" s="25"/>
      <c r="BN788" s="25"/>
      <c r="BO788" s="25"/>
      <c r="BP788" s="25"/>
      <c r="BQ788" s="25"/>
      <c r="BR788" s="25" t="str">
        <f>_xlfn.CONCAT($A789," ",$B789," ",$D789)</f>
        <v>2025 Rivian Automotive L R1T Performance Dual Large Plus (22in)</v>
      </c>
      <c r="BS788" s="25"/>
      <c r="BT788" s="25"/>
      <c r="BU788" s="25"/>
      <c r="BV788" s="25"/>
      <c r="BX788" s="25"/>
      <c r="BY788" s="25"/>
      <c r="BZ788" s="25"/>
      <c r="CA788" s="25"/>
      <c r="CB788" s="25"/>
      <c r="CC788" s="25"/>
      <c r="CD788" s="25"/>
      <c r="CE788" s="25"/>
      <c r="CF788" s="25"/>
      <c r="CG788" s="25"/>
      <c r="CH788" s="25"/>
      <c r="CI788" s="25"/>
      <c r="CJ788" s="25"/>
      <c r="CK788" s="25"/>
      <c r="CL788" s="25"/>
      <c r="CM788" s="25"/>
      <c r="CN788" s="25"/>
      <c r="CO788" s="25"/>
      <c r="CP788" s="25" t="str">
        <f>_xlfn.CONCAT($A789," ",$B789," ",$D789)</f>
        <v>2025 Rivian Automotive L R1T Performance Dual Large Plus (22in)</v>
      </c>
      <c r="CQ788" s="25"/>
      <c r="CR788" s="25"/>
      <c r="CS788" s="25"/>
      <c r="CT788" s="25"/>
      <c r="CU788" s="25"/>
      <c r="CV788" s="25"/>
      <c r="CW788" s="25"/>
      <c r="CX788" s="25"/>
      <c r="CY788" s="25"/>
      <c r="CZ788" s="25"/>
      <c r="DA788" s="25"/>
      <c r="DB788" s="25"/>
      <c r="DC788" s="25"/>
      <c r="DD788" s="25"/>
      <c r="DE788" s="25"/>
      <c r="DF788" s="25"/>
      <c r="DG788" s="25"/>
      <c r="DH788" s="25"/>
      <c r="DI788" s="25" t="str">
        <f>_xlfn.CONCAT($A789," ",$B789," ",$D789)</f>
        <v>2025 Rivian Automotive L R1T Performance Dual Large Plus (22in)</v>
      </c>
      <c r="DJ788" s="25"/>
      <c r="DK788" s="25"/>
      <c r="DL788" s="25"/>
      <c r="DM788" s="25"/>
      <c r="DN788" s="25"/>
      <c r="DO788" s="25"/>
      <c r="DP788" s="25"/>
      <c r="DQ788" s="25"/>
      <c r="DR788" s="25"/>
      <c r="DS788" s="25"/>
      <c r="DT788" s="25"/>
      <c r="DU788" s="25"/>
      <c r="DV788" s="25"/>
      <c r="DW788" s="25"/>
      <c r="DX788" s="25"/>
      <c r="DY788" s="25"/>
      <c r="DZ788" s="25" t="str">
        <f>_xlfn.CONCAT($A789," ",$B789," ",$D789)</f>
        <v>2025 Rivian Automotive L R1T Performance Dual Large Plus (22in)</v>
      </c>
      <c r="EB788" s="25"/>
      <c r="EC788" s="25"/>
      <c r="ED788" s="25"/>
      <c r="EE788" s="25"/>
      <c r="EF788" s="25"/>
      <c r="EG788" s="25"/>
      <c r="EH788" s="25"/>
      <c r="EI788" s="25"/>
      <c r="EJ788" s="25"/>
      <c r="EK788" s="25"/>
      <c r="EL788" s="25"/>
      <c r="EM788" s="25"/>
      <c r="EN788" s="25"/>
      <c r="EO788" s="25"/>
      <c r="EP788" s="25"/>
      <c r="EQ788" s="25"/>
      <c r="ER788" s="25"/>
      <c r="ES788" s="25"/>
      <c r="ET788" s="25"/>
      <c r="EU788" s="25"/>
      <c r="EV788" s="25" t="str">
        <f>_xlfn.CONCAT($A789," ",$B789," ",$D789)</f>
        <v>2025 Rivian Automotive L R1T Performance Dual Large Plus (22in)</v>
      </c>
      <c r="EW788" s="25"/>
      <c r="EX788" s="25"/>
      <c r="EY788" s="25"/>
      <c r="EZ788" s="25"/>
      <c r="FA788" s="25"/>
      <c r="FB788" s="25"/>
      <c r="FC788" s="25"/>
      <c r="FD788" s="25"/>
      <c r="FE788" s="25"/>
      <c r="FF788" s="25"/>
      <c r="FG788" s="25"/>
    </row>
    <row r="789" spans="1:165" x14ac:dyDescent="0.35">
      <c r="A789">
        <v>2025</v>
      </c>
      <c r="B789" t="s">
        <v>2222</v>
      </c>
      <c r="C789" t="s">
        <v>2223</v>
      </c>
      <c r="D789" t="s">
        <v>2289</v>
      </c>
      <c r="E789" t="s">
        <v>2225</v>
      </c>
      <c r="F789">
        <v>79</v>
      </c>
      <c r="G789">
        <v>0</v>
      </c>
      <c r="I789" t="s">
        <v>1734</v>
      </c>
      <c r="J789">
        <v>89</v>
      </c>
      <c r="K789">
        <v>75</v>
      </c>
      <c r="L789">
        <v>82</v>
      </c>
      <c r="M789">
        <v>127.3</v>
      </c>
      <c r="N789">
        <v>107.8</v>
      </c>
      <c r="O789">
        <v>117.71769999999999</v>
      </c>
      <c r="P789">
        <v>89.11</v>
      </c>
      <c r="Q789">
        <v>75.459999999999994</v>
      </c>
      <c r="R789">
        <v>82.4024</v>
      </c>
      <c r="V789" t="s">
        <v>167</v>
      </c>
      <c r="W789" t="s">
        <v>168</v>
      </c>
      <c r="Y789">
        <v>1</v>
      </c>
      <c r="Z789" t="s">
        <v>170</v>
      </c>
      <c r="AA789" t="s">
        <v>170</v>
      </c>
      <c r="AB789">
        <v>4</v>
      </c>
      <c r="AC789" t="s">
        <v>601</v>
      </c>
      <c r="AF789">
        <v>330</v>
      </c>
      <c r="AG789" t="s">
        <v>1735</v>
      </c>
      <c r="AH789" t="s">
        <v>1736</v>
      </c>
      <c r="AI789" t="s">
        <v>175</v>
      </c>
      <c r="AJ789" t="s">
        <v>176</v>
      </c>
      <c r="AK789">
        <v>4</v>
      </c>
      <c r="AL789" t="s">
        <v>1737</v>
      </c>
      <c r="AS789">
        <v>1000</v>
      </c>
      <c r="AT789">
        <v>1000</v>
      </c>
      <c r="BQ789">
        <v>13</v>
      </c>
      <c r="BR789" t="s">
        <v>1016</v>
      </c>
      <c r="BT789" t="s">
        <v>1769</v>
      </c>
      <c r="BU789" s="1">
        <v>45488</v>
      </c>
      <c r="BV789">
        <v>35250</v>
      </c>
      <c r="BY789" t="s">
        <v>170</v>
      </c>
      <c r="CB789" t="s">
        <v>170</v>
      </c>
      <c r="CC789" t="s">
        <v>170</v>
      </c>
      <c r="CK789" t="s">
        <v>233</v>
      </c>
      <c r="CM789">
        <v>1</v>
      </c>
      <c r="CN789" t="s">
        <v>234</v>
      </c>
      <c r="CP789">
        <v>392</v>
      </c>
      <c r="CQ789">
        <v>382</v>
      </c>
      <c r="CR789">
        <v>190</v>
      </c>
      <c r="CS789" t="s">
        <v>1752</v>
      </c>
      <c r="CV789" t="s">
        <v>341</v>
      </c>
      <c r="CX789" t="s">
        <v>342</v>
      </c>
      <c r="CY789" t="s">
        <v>169</v>
      </c>
      <c r="DC789" t="s">
        <v>2226</v>
      </c>
      <c r="DD789">
        <v>2</v>
      </c>
      <c r="DE789" t="s">
        <v>404</v>
      </c>
      <c r="DF789" t="s">
        <v>1860</v>
      </c>
      <c r="DG789" t="s">
        <v>2227</v>
      </c>
      <c r="DL789" t="s">
        <v>170</v>
      </c>
      <c r="DM789" t="s">
        <v>169</v>
      </c>
      <c r="DP789" t="s">
        <v>170</v>
      </c>
      <c r="DQ789" t="s">
        <v>187</v>
      </c>
      <c r="DR789" t="s">
        <v>2290</v>
      </c>
      <c r="EB789">
        <v>9</v>
      </c>
      <c r="EC789">
        <v>10</v>
      </c>
      <c r="EE789" t="s">
        <v>2229</v>
      </c>
      <c r="EF789">
        <v>10</v>
      </c>
      <c r="EU789">
        <v>4500</v>
      </c>
      <c r="EW789">
        <v>0</v>
      </c>
      <c r="EX789">
        <v>0</v>
      </c>
      <c r="EY789">
        <v>0</v>
      </c>
      <c r="FA789">
        <v>12</v>
      </c>
      <c r="FG789">
        <v>354</v>
      </c>
      <c r="FH789">
        <v>300</v>
      </c>
      <c r="FI789">
        <v>330</v>
      </c>
    </row>
    <row r="790" spans="1:165" x14ac:dyDescent="0.35">
      <c r="A790">
        <v>2025</v>
      </c>
      <c r="B790" t="s">
        <v>2222</v>
      </c>
      <c r="C790" t="s">
        <v>2223</v>
      </c>
      <c r="D790" t="s">
        <v>2289</v>
      </c>
      <c r="E790" t="s">
        <v>2225</v>
      </c>
      <c r="F790">
        <v>79</v>
      </c>
      <c r="G790">
        <v>0</v>
      </c>
      <c r="I790" t="s">
        <v>1734</v>
      </c>
      <c r="J790">
        <v>38</v>
      </c>
      <c r="K790">
        <v>45</v>
      </c>
      <c r="L790">
        <v>41</v>
      </c>
      <c r="M790">
        <v>26.478100000000001</v>
      </c>
      <c r="N790">
        <v>31.275300000000001</v>
      </c>
      <c r="O790">
        <v>28.636900000000001</v>
      </c>
      <c r="P790">
        <v>37.823999999999998</v>
      </c>
      <c r="Q790">
        <v>44.665999999999997</v>
      </c>
      <c r="R790">
        <v>40.902900000000002</v>
      </c>
      <c r="V790" t="s">
        <v>167</v>
      </c>
      <c r="W790" t="s">
        <v>168</v>
      </c>
      <c r="Y790">
        <v>1</v>
      </c>
      <c r="Z790" t="s">
        <v>170</v>
      </c>
      <c r="AA790" t="s">
        <v>170</v>
      </c>
      <c r="AB790">
        <v>4</v>
      </c>
      <c r="AC790" t="s">
        <v>601</v>
      </c>
      <c r="AF790">
        <v>330</v>
      </c>
      <c r="AG790" t="s">
        <v>1735</v>
      </c>
      <c r="AH790" t="s">
        <v>1736</v>
      </c>
      <c r="AI790" t="s">
        <v>1742</v>
      </c>
      <c r="AJ790" t="s">
        <v>1743</v>
      </c>
      <c r="AK790">
        <v>4</v>
      </c>
      <c r="AL790" t="s">
        <v>1737</v>
      </c>
      <c r="AS790">
        <v>1000</v>
      </c>
      <c r="AT790">
        <v>1000</v>
      </c>
      <c r="BQ790">
        <v>13</v>
      </c>
      <c r="BR790" t="s">
        <v>1016</v>
      </c>
      <c r="BT790" t="s">
        <v>1769</v>
      </c>
      <c r="BU790" s="1">
        <v>45488</v>
      </c>
      <c r="BV790">
        <v>35250</v>
      </c>
      <c r="BY790" t="s">
        <v>170</v>
      </c>
      <c r="CB790" t="s">
        <v>170</v>
      </c>
      <c r="CC790" t="s">
        <v>170</v>
      </c>
      <c r="CK790" t="s">
        <v>233</v>
      </c>
      <c r="CM790">
        <v>1</v>
      </c>
      <c r="CN790" t="s">
        <v>234</v>
      </c>
      <c r="CP790">
        <v>392</v>
      </c>
      <c r="CQ790">
        <v>382</v>
      </c>
      <c r="CR790">
        <v>190</v>
      </c>
      <c r="CS790" t="s">
        <v>1752</v>
      </c>
      <c r="CV790" t="s">
        <v>341</v>
      </c>
      <c r="CX790" t="s">
        <v>342</v>
      </c>
      <c r="CY790" t="s">
        <v>169</v>
      </c>
      <c r="DC790" t="s">
        <v>2226</v>
      </c>
      <c r="DD790">
        <v>2</v>
      </c>
      <c r="DE790" t="s">
        <v>404</v>
      </c>
      <c r="DF790" t="s">
        <v>1860</v>
      </c>
      <c r="DG790" t="s">
        <v>2227</v>
      </c>
      <c r="DL790" t="s">
        <v>170</v>
      </c>
      <c r="DM790" t="s">
        <v>169</v>
      </c>
      <c r="DP790" t="s">
        <v>170</v>
      </c>
      <c r="DQ790" t="s">
        <v>187</v>
      </c>
      <c r="DR790" t="s">
        <v>2290</v>
      </c>
      <c r="EB790">
        <v>9</v>
      </c>
      <c r="EC790">
        <v>10</v>
      </c>
      <c r="EE790" t="s">
        <v>2229</v>
      </c>
      <c r="EF790">
        <v>10</v>
      </c>
      <c r="EU790">
        <v>4500</v>
      </c>
      <c r="EW790">
        <v>0</v>
      </c>
      <c r="EX790">
        <v>0</v>
      </c>
      <c r="EY790">
        <v>0</v>
      </c>
      <c r="FA790">
        <v>12</v>
      </c>
      <c r="FG790">
        <v>354</v>
      </c>
      <c r="FH790">
        <v>300</v>
      </c>
      <c r="FI790">
        <v>330</v>
      </c>
    </row>
    <row r="791" spans="1:165" x14ac:dyDescent="0.35">
      <c r="A791" s="25"/>
      <c r="B791" s="25"/>
      <c r="C791" s="25"/>
      <c r="D791" s="25"/>
      <c r="E791" s="25"/>
      <c r="F791" s="25" t="str">
        <f>_xlfn.CONCAT($A792," ",$B792," ",$D792)</f>
        <v>2025 Rivian Automotive L R1S Performance Dual Large Plus (22in)</v>
      </c>
      <c r="G791" s="25"/>
      <c r="H791" s="25"/>
      <c r="I791" s="25"/>
      <c r="J791" s="25"/>
      <c r="K791" s="25"/>
      <c r="L791" s="25"/>
      <c r="M791" s="25"/>
      <c r="N791" s="25"/>
      <c r="O791" s="25"/>
      <c r="P791" s="25"/>
      <c r="Q791" s="25"/>
      <c r="R791" s="25"/>
      <c r="S791" s="25"/>
      <c r="T791" s="25"/>
      <c r="U791" s="25"/>
      <c r="V791" s="25"/>
      <c r="W791" s="25"/>
      <c r="X791" s="25"/>
      <c r="Y791" s="25"/>
      <c r="Z791" s="25"/>
      <c r="AA791" s="25"/>
      <c r="AB791" s="25"/>
      <c r="AC791" s="25"/>
      <c r="AD791" s="25" t="str">
        <f>_xlfn.CONCAT($A792," ",$B792," ",$D792)</f>
        <v>2025 Rivian Automotive L R1S Performance Dual Large Plus (22in)</v>
      </c>
      <c r="AE791" s="25"/>
      <c r="AF791" s="25"/>
      <c r="AG791" s="25"/>
      <c r="AH791" s="25"/>
      <c r="AI791" s="25"/>
      <c r="AJ791" s="25"/>
      <c r="AK791" s="25"/>
      <c r="AL791" s="25"/>
      <c r="AM791" s="25"/>
      <c r="AN791" s="25"/>
      <c r="AO791" s="25"/>
      <c r="AP791" s="25"/>
      <c r="AQ791" s="25"/>
      <c r="AR791" s="25"/>
      <c r="AS791" s="25"/>
      <c r="AT791" s="25"/>
      <c r="AU791" s="25"/>
      <c r="AV791" s="25"/>
      <c r="AW791" s="25"/>
      <c r="AX791" s="25" t="str">
        <f>_xlfn.CONCAT($A792," ",$B792," ",$D792)</f>
        <v>2025 Rivian Automotive L R1S Performance Dual Large Plus (22in)</v>
      </c>
      <c r="AY791" s="25"/>
      <c r="AZ791" s="25"/>
      <c r="BA791" s="25"/>
      <c r="BB791" s="25"/>
      <c r="BC791" s="25"/>
      <c r="BD791" s="25"/>
      <c r="BE791" s="25"/>
      <c r="BF791" s="25"/>
      <c r="BG791" s="25"/>
      <c r="BH791" s="25"/>
      <c r="BI791" s="25"/>
      <c r="BJ791" s="25"/>
      <c r="BK791" s="25"/>
      <c r="BL791" s="25"/>
      <c r="BM791" s="25"/>
      <c r="BN791" s="25"/>
      <c r="BO791" s="25"/>
      <c r="BP791" s="25"/>
      <c r="BQ791" s="25"/>
      <c r="BR791" s="25" t="str">
        <f>_xlfn.CONCAT($A792," ",$B792," ",$D792)</f>
        <v>2025 Rivian Automotive L R1S Performance Dual Large Plus (22in)</v>
      </c>
      <c r="BS791" s="25"/>
      <c r="BT791" s="25"/>
      <c r="BU791" s="25"/>
      <c r="BV791" s="25"/>
      <c r="BX791" s="25"/>
      <c r="BY791" s="25"/>
      <c r="BZ791" s="25"/>
      <c r="CA791" s="25"/>
      <c r="CB791" s="25"/>
      <c r="CC791" s="25"/>
      <c r="CD791" s="25"/>
      <c r="CE791" s="25"/>
      <c r="CF791" s="25"/>
      <c r="CG791" s="25"/>
      <c r="CH791" s="25"/>
      <c r="CI791" s="25"/>
      <c r="CJ791" s="25"/>
      <c r="CK791" s="25"/>
      <c r="CL791" s="25"/>
      <c r="CM791" s="25"/>
      <c r="CN791" s="25"/>
      <c r="CO791" s="25"/>
      <c r="CP791" s="25" t="str">
        <f>_xlfn.CONCAT($A792," ",$B792," ",$D792)</f>
        <v>2025 Rivian Automotive L R1S Performance Dual Large Plus (22in)</v>
      </c>
      <c r="CQ791" s="25"/>
      <c r="CR791" s="25"/>
      <c r="CS791" s="25"/>
      <c r="CT791" s="25"/>
      <c r="CU791" s="25"/>
      <c r="CV791" s="25"/>
      <c r="CW791" s="25"/>
      <c r="CX791" s="25"/>
      <c r="CY791" s="25"/>
      <c r="CZ791" s="25"/>
      <c r="DA791" s="25"/>
      <c r="DB791" s="25"/>
      <c r="DC791" s="25"/>
      <c r="DD791" s="25"/>
      <c r="DE791" s="25"/>
      <c r="DF791" s="25"/>
      <c r="DG791" s="25"/>
      <c r="DH791" s="25"/>
      <c r="DI791" s="25" t="str">
        <f>_xlfn.CONCAT($A792," ",$B792," ",$D792)</f>
        <v>2025 Rivian Automotive L R1S Performance Dual Large Plus (22in)</v>
      </c>
      <c r="DJ791" s="25"/>
      <c r="DK791" s="25"/>
      <c r="DL791" s="25"/>
      <c r="DM791" s="25"/>
      <c r="DN791" s="25"/>
      <c r="DO791" s="25"/>
      <c r="DP791" s="25"/>
      <c r="DQ791" s="25"/>
      <c r="DR791" s="25"/>
      <c r="DS791" s="25"/>
      <c r="DT791" s="25"/>
      <c r="DU791" s="25"/>
      <c r="DV791" s="25"/>
      <c r="DW791" s="25"/>
      <c r="DX791" s="25"/>
      <c r="DY791" s="25"/>
      <c r="DZ791" s="25" t="str">
        <f>_xlfn.CONCAT($A792," ",$B792," ",$D792)</f>
        <v>2025 Rivian Automotive L R1S Performance Dual Large Plus (22in)</v>
      </c>
      <c r="EB791" s="25"/>
      <c r="EC791" s="25"/>
      <c r="ED791" s="25"/>
      <c r="EE791" s="25"/>
      <c r="EF791" s="25"/>
      <c r="EG791" s="25"/>
      <c r="EH791" s="25"/>
      <c r="EI791" s="25"/>
      <c r="EJ791" s="25"/>
      <c r="EK791" s="25"/>
      <c r="EL791" s="25"/>
      <c r="EM791" s="25"/>
      <c r="EN791" s="25"/>
      <c r="EO791" s="25"/>
      <c r="EP791" s="25"/>
      <c r="EQ791" s="25"/>
      <c r="ER791" s="25"/>
      <c r="ES791" s="25"/>
      <c r="ET791" s="25"/>
      <c r="EU791" s="25"/>
      <c r="EV791" s="25" t="str">
        <f>_xlfn.CONCAT($A792," ",$B792," ",$D792)</f>
        <v>2025 Rivian Automotive L R1S Performance Dual Large Plus (22in)</v>
      </c>
      <c r="EW791" s="25"/>
      <c r="EX791" s="25"/>
      <c r="EY791" s="25"/>
      <c r="EZ791" s="25"/>
      <c r="FA791" s="25"/>
      <c r="FB791" s="25"/>
      <c r="FC791" s="25"/>
      <c r="FD791" s="25"/>
      <c r="FE791" s="25"/>
      <c r="FF791" s="25"/>
      <c r="FG791" s="25"/>
    </row>
    <row r="792" spans="1:165" x14ac:dyDescent="0.35">
      <c r="A792">
        <v>2025</v>
      </c>
      <c r="B792" t="s">
        <v>2222</v>
      </c>
      <c r="C792" t="s">
        <v>2223</v>
      </c>
      <c r="D792" t="s">
        <v>2258</v>
      </c>
      <c r="E792" t="s">
        <v>2225</v>
      </c>
      <c r="F792">
        <v>80</v>
      </c>
      <c r="G792">
        <v>0</v>
      </c>
      <c r="I792" t="s">
        <v>1734</v>
      </c>
      <c r="J792">
        <v>89</v>
      </c>
      <c r="K792">
        <v>75</v>
      </c>
      <c r="L792">
        <v>82</v>
      </c>
      <c r="M792">
        <v>127.3</v>
      </c>
      <c r="N792">
        <v>107.8</v>
      </c>
      <c r="O792">
        <v>117.71769999999999</v>
      </c>
      <c r="P792">
        <v>89.11</v>
      </c>
      <c r="Q792">
        <v>75.459999999999994</v>
      </c>
      <c r="R792">
        <v>82.4024</v>
      </c>
      <c r="V792" t="s">
        <v>167</v>
      </c>
      <c r="W792" t="s">
        <v>168</v>
      </c>
      <c r="Y792">
        <v>1</v>
      </c>
      <c r="Z792" t="s">
        <v>170</v>
      </c>
      <c r="AA792" t="s">
        <v>170</v>
      </c>
      <c r="AB792">
        <v>4</v>
      </c>
      <c r="AC792" t="s">
        <v>601</v>
      </c>
      <c r="AF792">
        <v>330</v>
      </c>
      <c r="AG792" t="s">
        <v>1735</v>
      </c>
      <c r="AH792" t="s">
        <v>1736</v>
      </c>
      <c r="AI792" t="s">
        <v>175</v>
      </c>
      <c r="AJ792" t="s">
        <v>176</v>
      </c>
      <c r="AK792">
        <v>4</v>
      </c>
      <c r="AL792" t="s">
        <v>1737</v>
      </c>
      <c r="AS792">
        <v>1000</v>
      </c>
      <c r="AT792">
        <v>50</v>
      </c>
      <c r="BQ792">
        <v>33</v>
      </c>
      <c r="BR792" t="s">
        <v>1497</v>
      </c>
      <c r="BT792" t="s">
        <v>1769</v>
      </c>
      <c r="BU792" s="1">
        <v>45488</v>
      </c>
      <c r="BV792">
        <v>35246</v>
      </c>
      <c r="BY792" t="s">
        <v>170</v>
      </c>
      <c r="CB792" t="s">
        <v>170</v>
      </c>
      <c r="CC792" t="s">
        <v>170</v>
      </c>
      <c r="CK792" t="s">
        <v>233</v>
      </c>
      <c r="CM792">
        <v>1</v>
      </c>
      <c r="CN792" t="s">
        <v>234</v>
      </c>
      <c r="CP792">
        <v>392</v>
      </c>
      <c r="CQ792">
        <v>382</v>
      </c>
      <c r="CR792">
        <v>190</v>
      </c>
      <c r="CS792" t="s">
        <v>1752</v>
      </c>
      <c r="CV792" t="s">
        <v>341</v>
      </c>
      <c r="CX792" t="s">
        <v>342</v>
      </c>
      <c r="CY792" t="s">
        <v>169</v>
      </c>
      <c r="DC792" t="s">
        <v>2226</v>
      </c>
      <c r="DD792">
        <v>2</v>
      </c>
      <c r="DE792" t="s">
        <v>404</v>
      </c>
      <c r="DF792" t="s">
        <v>1860</v>
      </c>
      <c r="DG792">
        <v>264</v>
      </c>
      <c r="DL792" t="s">
        <v>170</v>
      </c>
      <c r="DM792" t="s">
        <v>169</v>
      </c>
      <c r="DP792" t="s">
        <v>170</v>
      </c>
      <c r="DQ792" t="s">
        <v>187</v>
      </c>
      <c r="DR792" t="s">
        <v>2259</v>
      </c>
      <c r="EB792">
        <v>9</v>
      </c>
      <c r="EC792">
        <v>10</v>
      </c>
      <c r="EE792" t="s">
        <v>2229</v>
      </c>
      <c r="EF792">
        <v>10</v>
      </c>
      <c r="EU792">
        <v>4500</v>
      </c>
      <c r="EW792">
        <v>0</v>
      </c>
      <c r="EX792">
        <v>0</v>
      </c>
      <c r="EY792">
        <v>0</v>
      </c>
      <c r="FA792">
        <v>12</v>
      </c>
      <c r="FG792">
        <v>305</v>
      </c>
      <c r="FH792">
        <v>360</v>
      </c>
      <c r="FI792">
        <v>330</v>
      </c>
    </row>
    <row r="793" spans="1:165" x14ac:dyDescent="0.35">
      <c r="A793">
        <v>2025</v>
      </c>
      <c r="B793" t="s">
        <v>2222</v>
      </c>
      <c r="C793" t="s">
        <v>2223</v>
      </c>
      <c r="D793" t="s">
        <v>2258</v>
      </c>
      <c r="E793" t="s">
        <v>2225</v>
      </c>
      <c r="F793">
        <v>80</v>
      </c>
      <c r="G793">
        <v>0</v>
      </c>
      <c r="I793" t="s">
        <v>1734</v>
      </c>
      <c r="J793">
        <v>38</v>
      </c>
      <c r="K793">
        <v>45</v>
      </c>
      <c r="L793">
        <v>41</v>
      </c>
      <c r="M793">
        <v>26.478100000000001</v>
      </c>
      <c r="N793">
        <v>31.275300000000001</v>
      </c>
      <c r="O793">
        <v>28.636900000000001</v>
      </c>
      <c r="P793">
        <v>37.823999999999998</v>
      </c>
      <c r="Q793">
        <v>44.665999999999997</v>
      </c>
      <c r="R793">
        <v>40.902900000000002</v>
      </c>
      <c r="V793" t="s">
        <v>167</v>
      </c>
      <c r="W793" t="s">
        <v>168</v>
      </c>
      <c r="Y793">
        <v>1</v>
      </c>
      <c r="Z793" t="s">
        <v>170</v>
      </c>
      <c r="AA793" t="s">
        <v>170</v>
      </c>
      <c r="AB793">
        <v>4</v>
      </c>
      <c r="AC793" t="s">
        <v>601</v>
      </c>
      <c r="AF793">
        <v>330</v>
      </c>
      <c r="AG793" t="s">
        <v>1735</v>
      </c>
      <c r="AH793" t="s">
        <v>1736</v>
      </c>
      <c r="AI793" t="s">
        <v>1742</v>
      </c>
      <c r="AJ793" t="s">
        <v>1743</v>
      </c>
      <c r="AK793">
        <v>4</v>
      </c>
      <c r="AL793" t="s">
        <v>1737</v>
      </c>
      <c r="AS793">
        <v>1000</v>
      </c>
      <c r="AT793">
        <v>1000</v>
      </c>
      <c r="BQ793">
        <v>33</v>
      </c>
      <c r="BR793" t="s">
        <v>1497</v>
      </c>
      <c r="BT793" t="s">
        <v>1769</v>
      </c>
      <c r="BU793" s="1">
        <v>45488</v>
      </c>
      <c r="BV793">
        <v>35246</v>
      </c>
      <c r="BY793" t="s">
        <v>170</v>
      </c>
      <c r="CB793" t="s">
        <v>170</v>
      </c>
      <c r="CC793" t="s">
        <v>170</v>
      </c>
      <c r="CK793" t="s">
        <v>233</v>
      </c>
      <c r="CM793">
        <v>1</v>
      </c>
      <c r="CN793" t="s">
        <v>234</v>
      </c>
      <c r="CP793">
        <v>392</v>
      </c>
      <c r="CQ793">
        <v>382</v>
      </c>
      <c r="CR793">
        <v>190</v>
      </c>
      <c r="CS793" t="s">
        <v>1752</v>
      </c>
      <c r="CV793" t="s">
        <v>341</v>
      </c>
      <c r="CX793" t="s">
        <v>342</v>
      </c>
      <c r="CY793" t="s">
        <v>169</v>
      </c>
      <c r="DC793" t="s">
        <v>2226</v>
      </c>
      <c r="DD793">
        <v>2</v>
      </c>
      <c r="DE793" t="s">
        <v>404</v>
      </c>
      <c r="DF793" t="s">
        <v>1860</v>
      </c>
      <c r="DG793">
        <v>264</v>
      </c>
      <c r="DL793" t="s">
        <v>170</v>
      </c>
      <c r="DM793" t="s">
        <v>169</v>
      </c>
      <c r="DP793" t="s">
        <v>170</v>
      </c>
      <c r="DQ793" t="s">
        <v>187</v>
      </c>
      <c r="DR793" t="s">
        <v>2259</v>
      </c>
      <c r="EB793">
        <v>9</v>
      </c>
      <c r="EC793">
        <v>10</v>
      </c>
      <c r="EE793" t="s">
        <v>2229</v>
      </c>
      <c r="EF793">
        <v>10</v>
      </c>
      <c r="EU793">
        <v>4500</v>
      </c>
      <c r="EW793">
        <v>0</v>
      </c>
      <c r="EX793">
        <v>0</v>
      </c>
      <c r="EY793">
        <v>0</v>
      </c>
      <c r="FA793">
        <v>12</v>
      </c>
      <c r="FG793">
        <v>353</v>
      </c>
      <c r="FH793">
        <v>413</v>
      </c>
      <c r="FI793">
        <v>330</v>
      </c>
    </row>
    <row r="794" spans="1:165" x14ac:dyDescent="0.35">
      <c r="A794" s="25"/>
      <c r="B794" s="25"/>
      <c r="C794" s="25"/>
      <c r="D794" s="25"/>
      <c r="E794" s="25"/>
      <c r="F794" s="25" t="str">
        <f>_xlfn.CONCAT($A795," ",$B795," ",$D795)</f>
        <v>2025 Rivian Automotive L R1T All-Terrain Performance Dual Large Plus (20in)</v>
      </c>
      <c r="G794" s="25"/>
      <c r="H794" s="25"/>
      <c r="I794" s="25"/>
      <c r="J794" s="25"/>
      <c r="K794" s="25"/>
      <c r="L794" s="25"/>
      <c r="M794" s="25"/>
      <c r="N794" s="25"/>
      <c r="O794" s="25"/>
      <c r="P794" s="25"/>
      <c r="Q794" s="25"/>
      <c r="R794" s="25"/>
      <c r="S794" s="25"/>
      <c r="T794" s="25"/>
      <c r="U794" s="25"/>
      <c r="V794" s="25"/>
      <c r="W794" s="25"/>
      <c r="X794" s="25"/>
      <c r="Y794" s="25"/>
      <c r="Z794" s="25"/>
      <c r="AA794" s="25"/>
      <c r="AB794" s="25"/>
      <c r="AC794" s="25"/>
      <c r="AD794" s="25" t="str">
        <f>_xlfn.CONCAT($A795," ",$B795," ",$D795)</f>
        <v>2025 Rivian Automotive L R1T All-Terrain Performance Dual Large Plus (20in)</v>
      </c>
      <c r="AE794" s="25"/>
      <c r="AF794" s="25"/>
      <c r="AG794" s="25"/>
      <c r="AH794" s="25"/>
      <c r="AI794" s="25"/>
      <c r="AJ794" s="25"/>
      <c r="AK794" s="25"/>
      <c r="AL794" s="25"/>
      <c r="AM794" s="25"/>
      <c r="AN794" s="25"/>
      <c r="AO794" s="25"/>
      <c r="AP794" s="25"/>
      <c r="AQ794" s="25"/>
      <c r="AR794" s="25"/>
      <c r="AS794" s="25"/>
      <c r="AT794" s="25"/>
      <c r="AU794" s="25"/>
      <c r="AV794" s="25"/>
      <c r="AW794" s="25"/>
      <c r="AX794" s="25" t="str">
        <f>_xlfn.CONCAT($A795," ",$B795," ",$D795)</f>
        <v>2025 Rivian Automotive L R1T All-Terrain Performance Dual Large Plus (20in)</v>
      </c>
      <c r="AY794" s="25"/>
      <c r="AZ794" s="25"/>
      <c r="BA794" s="25"/>
      <c r="BB794" s="25"/>
      <c r="BC794" s="25"/>
      <c r="BD794" s="25"/>
      <c r="BE794" s="25"/>
      <c r="BF794" s="25"/>
      <c r="BG794" s="25"/>
      <c r="BH794" s="25"/>
      <c r="BI794" s="25"/>
      <c r="BJ794" s="25"/>
      <c r="BK794" s="25"/>
      <c r="BL794" s="25"/>
      <c r="BM794" s="25"/>
      <c r="BN794" s="25"/>
      <c r="BO794" s="25"/>
      <c r="BP794" s="25"/>
      <c r="BQ794" s="25"/>
      <c r="BR794" s="25" t="str">
        <f>_xlfn.CONCAT($A795," ",$B795," ",$D795)</f>
        <v>2025 Rivian Automotive L R1T All-Terrain Performance Dual Large Plus (20in)</v>
      </c>
      <c r="BS794" s="25"/>
      <c r="BT794" s="25"/>
      <c r="BU794" s="25"/>
      <c r="BV794" s="25"/>
      <c r="BX794" s="25"/>
      <c r="BY794" s="25"/>
      <c r="BZ794" s="25"/>
      <c r="CA794" s="25"/>
      <c r="CB794" s="25"/>
      <c r="CC794" s="25"/>
      <c r="CD794" s="25"/>
      <c r="CE794" s="25"/>
      <c r="CF794" s="25"/>
      <c r="CG794" s="25"/>
      <c r="CH794" s="25"/>
      <c r="CI794" s="25"/>
      <c r="CJ794" s="25"/>
      <c r="CK794" s="25"/>
      <c r="CL794" s="25"/>
      <c r="CM794" s="25"/>
      <c r="CN794" s="25"/>
      <c r="CO794" s="25"/>
      <c r="CP794" s="25" t="str">
        <f>_xlfn.CONCAT($A795," ",$B795," ",$D795)</f>
        <v>2025 Rivian Automotive L R1T All-Terrain Performance Dual Large Plus (20in)</v>
      </c>
      <c r="CQ794" s="25"/>
      <c r="CR794" s="25"/>
      <c r="CS794" s="25"/>
      <c r="CT794" s="25"/>
      <c r="CU794" s="25"/>
      <c r="CV794" s="25"/>
      <c r="CW794" s="25"/>
      <c r="CX794" s="25"/>
      <c r="CY794" s="25"/>
      <c r="CZ794" s="25"/>
      <c r="DA794" s="25"/>
      <c r="DB794" s="25"/>
      <c r="DC794" s="25"/>
      <c r="DD794" s="25"/>
      <c r="DE794" s="25"/>
      <c r="DF794" s="25"/>
      <c r="DG794" s="25"/>
      <c r="DH794" s="25"/>
      <c r="DI794" s="25" t="str">
        <f>_xlfn.CONCAT($A795," ",$B795," ",$D795)</f>
        <v>2025 Rivian Automotive L R1T All-Terrain Performance Dual Large Plus (20in)</v>
      </c>
      <c r="DJ794" s="25"/>
      <c r="DK794" s="25"/>
      <c r="DL794" s="25"/>
      <c r="DM794" s="25"/>
      <c r="DN794" s="25"/>
      <c r="DO794" s="25"/>
      <c r="DP794" s="25"/>
      <c r="DQ794" s="25"/>
      <c r="DR794" s="25"/>
      <c r="DS794" s="25"/>
      <c r="DT794" s="25"/>
      <c r="DU794" s="25"/>
      <c r="DV794" s="25"/>
      <c r="DW794" s="25"/>
      <c r="DX794" s="25"/>
      <c r="DY794" s="25"/>
      <c r="DZ794" s="25" t="str">
        <f>_xlfn.CONCAT($A795," ",$B795," ",$D795)</f>
        <v>2025 Rivian Automotive L R1T All-Terrain Performance Dual Large Plus (20in)</v>
      </c>
      <c r="EB794" s="25"/>
      <c r="EC794" s="25"/>
      <c r="ED794" s="25"/>
      <c r="EE794" s="25"/>
      <c r="EF794" s="25"/>
      <c r="EG794" s="25"/>
      <c r="EH794" s="25"/>
      <c r="EI794" s="25"/>
      <c r="EJ794" s="25"/>
      <c r="EK794" s="25"/>
      <c r="EL794" s="25"/>
      <c r="EM794" s="25"/>
      <c r="EN794" s="25"/>
      <c r="EO794" s="25"/>
      <c r="EP794" s="25"/>
      <c r="EQ794" s="25"/>
      <c r="ER794" s="25"/>
      <c r="ES794" s="25"/>
      <c r="ET794" s="25"/>
      <c r="EU794" s="25"/>
      <c r="EV794" s="25" t="str">
        <f>_xlfn.CONCAT($A795," ",$B795," ",$D795)</f>
        <v>2025 Rivian Automotive L R1T All-Terrain Performance Dual Large Plus (20in)</v>
      </c>
      <c r="EW794" s="25"/>
      <c r="EX794" s="25"/>
      <c r="EY794" s="25"/>
      <c r="EZ794" s="25"/>
      <c r="FA794" s="25"/>
      <c r="FB794" s="25"/>
      <c r="FC794" s="25"/>
      <c r="FD794" s="25"/>
      <c r="FE794" s="25"/>
      <c r="FF794" s="25"/>
      <c r="FG794" s="25"/>
    </row>
    <row r="795" spans="1:165" x14ac:dyDescent="0.35">
      <c r="A795">
        <v>2025</v>
      </c>
      <c r="B795" t="s">
        <v>2222</v>
      </c>
      <c r="C795" t="s">
        <v>2223</v>
      </c>
      <c r="D795" t="s">
        <v>2268</v>
      </c>
      <c r="E795" t="s">
        <v>2225</v>
      </c>
      <c r="F795">
        <v>81</v>
      </c>
      <c r="G795">
        <v>0</v>
      </c>
      <c r="I795" t="s">
        <v>1734</v>
      </c>
      <c r="J795">
        <v>76</v>
      </c>
      <c r="K795">
        <v>67</v>
      </c>
      <c r="L795">
        <v>72</v>
      </c>
      <c r="M795">
        <v>108.8</v>
      </c>
      <c r="N795">
        <v>96.1</v>
      </c>
      <c r="O795">
        <v>102.69289999999999</v>
      </c>
      <c r="P795">
        <v>76.16</v>
      </c>
      <c r="Q795">
        <v>67.27</v>
      </c>
      <c r="R795">
        <v>71.885000000000005</v>
      </c>
      <c r="V795" t="s">
        <v>167</v>
      </c>
      <c r="W795" t="s">
        <v>168</v>
      </c>
      <c r="Y795">
        <v>1</v>
      </c>
      <c r="Z795" t="s">
        <v>170</v>
      </c>
      <c r="AA795" t="s">
        <v>170</v>
      </c>
      <c r="AB795">
        <v>4</v>
      </c>
      <c r="AC795" t="s">
        <v>601</v>
      </c>
      <c r="AF795">
        <v>292</v>
      </c>
      <c r="AG795" t="s">
        <v>1735</v>
      </c>
      <c r="AH795" t="s">
        <v>1736</v>
      </c>
      <c r="AI795" t="s">
        <v>175</v>
      </c>
      <c r="AJ795" t="s">
        <v>176</v>
      </c>
      <c r="AK795">
        <v>4</v>
      </c>
      <c r="AL795" t="s">
        <v>1737</v>
      </c>
      <c r="AS795">
        <v>1150</v>
      </c>
      <c r="AT795">
        <v>1150</v>
      </c>
      <c r="BQ795">
        <v>13</v>
      </c>
      <c r="BR795" t="s">
        <v>1016</v>
      </c>
      <c r="BT795" t="s">
        <v>1769</v>
      </c>
      <c r="BU795" s="1">
        <v>45488</v>
      </c>
      <c r="BV795">
        <v>35248</v>
      </c>
      <c r="BY795" t="s">
        <v>170</v>
      </c>
      <c r="CB795" t="s">
        <v>170</v>
      </c>
      <c r="CC795" t="s">
        <v>170</v>
      </c>
      <c r="CK795" t="s">
        <v>233</v>
      </c>
      <c r="CM795">
        <v>1</v>
      </c>
      <c r="CN795" t="s">
        <v>234</v>
      </c>
      <c r="CP795">
        <v>392</v>
      </c>
      <c r="CQ795">
        <v>382</v>
      </c>
      <c r="CR795">
        <v>190</v>
      </c>
      <c r="CS795" t="s">
        <v>1752</v>
      </c>
      <c r="CV795" t="s">
        <v>341</v>
      </c>
      <c r="CX795" t="s">
        <v>342</v>
      </c>
      <c r="CY795" t="s">
        <v>169</v>
      </c>
      <c r="DC795" t="s">
        <v>2226</v>
      </c>
      <c r="DD795">
        <v>2</v>
      </c>
      <c r="DE795" t="s">
        <v>404</v>
      </c>
      <c r="DF795" t="s">
        <v>1860</v>
      </c>
      <c r="DG795" t="s">
        <v>2227</v>
      </c>
      <c r="DL795" t="s">
        <v>170</v>
      </c>
      <c r="DM795" t="s">
        <v>169</v>
      </c>
      <c r="DP795" t="s">
        <v>170</v>
      </c>
      <c r="DQ795" t="s">
        <v>187</v>
      </c>
      <c r="DR795" t="s">
        <v>2269</v>
      </c>
      <c r="EB795">
        <v>9</v>
      </c>
      <c r="EC795">
        <v>10</v>
      </c>
      <c r="EE795" t="s">
        <v>2229</v>
      </c>
      <c r="EF795">
        <v>10</v>
      </c>
      <c r="EU795">
        <v>3750</v>
      </c>
      <c r="EW795">
        <v>0</v>
      </c>
      <c r="EX795">
        <v>0</v>
      </c>
      <c r="EY795">
        <v>0</v>
      </c>
      <c r="FA795">
        <v>12</v>
      </c>
      <c r="FG795">
        <v>308</v>
      </c>
      <c r="FH795">
        <v>272</v>
      </c>
      <c r="FI795">
        <v>292</v>
      </c>
    </row>
    <row r="796" spans="1:165" x14ac:dyDescent="0.35">
      <c r="A796">
        <v>2025</v>
      </c>
      <c r="B796" t="s">
        <v>2222</v>
      </c>
      <c r="C796" t="s">
        <v>2223</v>
      </c>
      <c r="D796" t="s">
        <v>2268</v>
      </c>
      <c r="E796" t="s">
        <v>2225</v>
      </c>
      <c r="F796">
        <v>81</v>
      </c>
      <c r="G796">
        <v>0</v>
      </c>
      <c r="I796" t="s">
        <v>1734</v>
      </c>
      <c r="J796">
        <v>44</v>
      </c>
      <c r="K796">
        <v>50</v>
      </c>
      <c r="L796">
        <v>47</v>
      </c>
      <c r="M796">
        <v>30.986000000000001</v>
      </c>
      <c r="N796">
        <v>35.058500000000002</v>
      </c>
      <c r="O796">
        <v>32.818600000000004</v>
      </c>
      <c r="P796">
        <v>44.255499999999998</v>
      </c>
      <c r="Q796">
        <v>50.104100000000003</v>
      </c>
      <c r="R796">
        <v>46.8874</v>
      </c>
      <c r="V796" t="s">
        <v>167</v>
      </c>
      <c r="W796" t="s">
        <v>168</v>
      </c>
      <c r="Y796">
        <v>1</v>
      </c>
      <c r="Z796" t="s">
        <v>170</v>
      </c>
      <c r="AA796" t="s">
        <v>170</v>
      </c>
      <c r="AB796">
        <v>4</v>
      </c>
      <c r="AC796" t="s">
        <v>601</v>
      </c>
      <c r="AF796">
        <v>292</v>
      </c>
      <c r="AG796" t="s">
        <v>1735</v>
      </c>
      <c r="AH796" t="s">
        <v>1736</v>
      </c>
      <c r="AI796" t="s">
        <v>1742</v>
      </c>
      <c r="AJ796" t="s">
        <v>1743</v>
      </c>
      <c r="AK796">
        <v>4</v>
      </c>
      <c r="AL796" t="s">
        <v>1737</v>
      </c>
      <c r="AS796">
        <v>1150</v>
      </c>
      <c r="AT796">
        <v>1150</v>
      </c>
      <c r="BQ796">
        <v>13</v>
      </c>
      <c r="BR796" t="s">
        <v>1016</v>
      </c>
      <c r="BT796" t="s">
        <v>1769</v>
      </c>
      <c r="BU796" s="1">
        <v>45488</v>
      </c>
      <c r="BV796">
        <v>35248</v>
      </c>
      <c r="BY796" t="s">
        <v>170</v>
      </c>
      <c r="CB796" t="s">
        <v>170</v>
      </c>
      <c r="CC796" t="s">
        <v>170</v>
      </c>
      <c r="CK796" t="s">
        <v>233</v>
      </c>
      <c r="CM796">
        <v>1</v>
      </c>
      <c r="CN796" t="s">
        <v>234</v>
      </c>
      <c r="CP796">
        <v>392</v>
      </c>
      <c r="CQ796">
        <v>382</v>
      </c>
      <c r="CR796">
        <v>190</v>
      </c>
      <c r="CS796" t="s">
        <v>1752</v>
      </c>
      <c r="CV796" t="s">
        <v>341</v>
      </c>
      <c r="CX796" t="s">
        <v>342</v>
      </c>
      <c r="CY796" t="s">
        <v>169</v>
      </c>
      <c r="DC796" t="s">
        <v>2226</v>
      </c>
      <c r="DD796">
        <v>2</v>
      </c>
      <c r="DE796" t="s">
        <v>404</v>
      </c>
      <c r="DF796" t="s">
        <v>1860</v>
      </c>
      <c r="DG796" t="s">
        <v>2227</v>
      </c>
      <c r="DL796" t="s">
        <v>170</v>
      </c>
      <c r="DM796" t="s">
        <v>169</v>
      </c>
      <c r="DP796" t="s">
        <v>170</v>
      </c>
      <c r="DQ796" t="s">
        <v>187</v>
      </c>
      <c r="DR796" t="s">
        <v>2269</v>
      </c>
      <c r="EB796">
        <v>9</v>
      </c>
      <c r="EC796">
        <v>10</v>
      </c>
      <c r="EE796" t="s">
        <v>2229</v>
      </c>
      <c r="EF796">
        <v>10</v>
      </c>
      <c r="EU796">
        <v>3750</v>
      </c>
      <c r="EW796">
        <v>0</v>
      </c>
      <c r="EX796">
        <v>0</v>
      </c>
      <c r="EY796">
        <v>0</v>
      </c>
      <c r="FA796">
        <v>12</v>
      </c>
      <c r="FG796">
        <v>308</v>
      </c>
      <c r="FH796">
        <v>272</v>
      </c>
      <c r="FI796">
        <v>292</v>
      </c>
    </row>
    <row r="797" spans="1:165" x14ac:dyDescent="0.35">
      <c r="A797" s="25"/>
      <c r="B797" s="25"/>
      <c r="C797" s="25"/>
      <c r="D797" s="25"/>
      <c r="E797" s="25"/>
      <c r="F797" s="25" t="str">
        <f>_xlfn.CONCAT($A798," ",$B798," ",$D798)</f>
        <v>2025 Rivian Automotive L R1S All-Terrain Performance Dual Large Plus (20in)</v>
      </c>
      <c r="G797" s="25"/>
      <c r="H797" s="25"/>
      <c r="I797" s="25"/>
      <c r="J797" s="25"/>
      <c r="K797" s="25"/>
      <c r="L797" s="25"/>
      <c r="M797" s="25"/>
      <c r="N797" s="25"/>
      <c r="O797" s="25"/>
      <c r="P797" s="25"/>
      <c r="Q797" s="25"/>
      <c r="R797" s="25"/>
      <c r="S797" s="25"/>
      <c r="T797" s="25"/>
      <c r="U797" s="25"/>
      <c r="V797" s="25"/>
      <c r="W797" s="25"/>
      <c r="X797" s="25"/>
      <c r="Y797" s="25"/>
      <c r="Z797" s="25"/>
      <c r="AA797" s="25"/>
      <c r="AB797" s="25"/>
      <c r="AC797" s="25"/>
      <c r="AD797" s="25" t="str">
        <f>_xlfn.CONCAT($A798," ",$B798," ",$D798)</f>
        <v>2025 Rivian Automotive L R1S All-Terrain Performance Dual Large Plus (20in)</v>
      </c>
      <c r="AE797" s="25"/>
      <c r="AF797" s="25"/>
      <c r="AG797" s="25"/>
      <c r="AH797" s="25"/>
      <c r="AI797" s="25"/>
      <c r="AJ797" s="25"/>
      <c r="AK797" s="25"/>
      <c r="AL797" s="25"/>
      <c r="AM797" s="25"/>
      <c r="AN797" s="25"/>
      <c r="AO797" s="25"/>
      <c r="AP797" s="25"/>
      <c r="AQ797" s="25"/>
      <c r="AR797" s="25"/>
      <c r="AS797" s="25"/>
      <c r="AT797" s="25"/>
      <c r="AU797" s="25"/>
      <c r="AV797" s="25"/>
      <c r="AW797" s="25"/>
      <c r="AX797" s="25" t="str">
        <f>_xlfn.CONCAT($A798," ",$B798," ",$D798)</f>
        <v>2025 Rivian Automotive L R1S All-Terrain Performance Dual Large Plus (20in)</v>
      </c>
      <c r="AY797" s="25"/>
      <c r="AZ797" s="25"/>
      <c r="BA797" s="25"/>
      <c r="BB797" s="25"/>
      <c r="BC797" s="25"/>
      <c r="BD797" s="25"/>
      <c r="BE797" s="25"/>
      <c r="BF797" s="25"/>
      <c r="BG797" s="25"/>
      <c r="BH797" s="25"/>
      <c r="BI797" s="25"/>
      <c r="BJ797" s="25"/>
      <c r="BK797" s="25"/>
      <c r="BL797" s="25"/>
      <c r="BM797" s="25"/>
      <c r="BN797" s="25"/>
      <c r="BO797" s="25"/>
      <c r="BP797" s="25"/>
      <c r="BQ797" s="25"/>
      <c r="BR797" s="25" t="str">
        <f>_xlfn.CONCAT($A798," ",$B798," ",$D798)</f>
        <v>2025 Rivian Automotive L R1S All-Terrain Performance Dual Large Plus (20in)</v>
      </c>
      <c r="BS797" s="25"/>
      <c r="BT797" s="25"/>
      <c r="BU797" s="25"/>
      <c r="BV797" s="25"/>
      <c r="BX797" s="25"/>
      <c r="BY797" s="25"/>
      <c r="BZ797" s="25"/>
      <c r="CA797" s="25"/>
      <c r="CB797" s="25"/>
      <c r="CC797" s="25"/>
      <c r="CD797" s="25"/>
      <c r="CE797" s="25"/>
      <c r="CF797" s="25"/>
      <c r="CG797" s="25"/>
      <c r="CH797" s="25"/>
      <c r="CI797" s="25"/>
      <c r="CJ797" s="25"/>
      <c r="CK797" s="25"/>
      <c r="CL797" s="25"/>
      <c r="CM797" s="25"/>
      <c r="CN797" s="25"/>
      <c r="CO797" s="25"/>
      <c r="CP797" s="25" t="str">
        <f>_xlfn.CONCAT($A798," ",$B798," ",$D798)</f>
        <v>2025 Rivian Automotive L R1S All-Terrain Performance Dual Large Plus (20in)</v>
      </c>
      <c r="CQ797" s="25"/>
      <c r="CR797" s="25"/>
      <c r="CS797" s="25"/>
      <c r="CT797" s="25"/>
      <c r="CU797" s="25"/>
      <c r="CV797" s="25"/>
      <c r="CW797" s="25"/>
      <c r="CX797" s="25"/>
      <c r="CY797" s="25"/>
      <c r="CZ797" s="25"/>
      <c r="DA797" s="25"/>
      <c r="DB797" s="25"/>
      <c r="DC797" s="25"/>
      <c r="DD797" s="25"/>
      <c r="DE797" s="25"/>
      <c r="DF797" s="25"/>
      <c r="DG797" s="25"/>
      <c r="DH797" s="25"/>
      <c r="DI797" s="25" t="str">
        <f>_xlfn.CONCAT($A798," ",$B798," ",$D798)</f>
        <v>2025 Rivian Automotive L R1S All-Terrain Performance Dual Large Plus (20in)</v>
      </c>
      <c r="DJ797" s="25"/>
      <c r="DK797" s="25"/>
      <c r="DL797" s="25"/>
      <c r="DM797" s="25"/>
      <c r="DN797" s="25"/>
      <c r="DO797" s="25"/>
      <c r="DP797" s="25"/>
      <c r="DQ797" s="25"/>
      <c r="DR797" s="25"/>
      <c r="DS797" s="25"/>
      <c r="DT797" s="25"/>
      <c r="DU797" s="25"/>
      <c r="DV797" s="25"/>
      <c r="DW797" s="25"/>
      <c r="DX797" s="25"/>
      <c r="DY797" s="25"/>
      <c r="DZ797" s="25" t="str">
        <f>_xlfn.CONCAT($A798," ",$B798," ",$D798)</f>
        <v>2025 Rivian Automotive L R1S All-Terrain Performance Dual Large Plus (20in)</v>
      </c>
      <c r="EB797" s="25"/>
      <c r="EC797" s="25"/>
      <c r="ED797" s="25"/>
      <c r="EE797" s="25"/>
      <c r="EF797" s="25"/>
      <c r="EG797" s="25"/>
      <c r="EH797" s="25"/>
      <c r="EI797" s="25"/>
      <c r="EJ797" s="25"/>
      <c r="EK797" s="25"/>
      <c r="EL797" s="25"/>
      <c r="EM797" s="25"/>
      <c r="EN797" s="25"/>
      <c r="EO797" s="25"/>
      <c r="EP797" s="25"/>
      <c r="EQ797" s="25"/>
      <c r="ER797" s="25"/>
      <c r="ES797" s="25"/>
      <c r="ET797" s="25"/>
      <c r="EU797" s="25"/>
      <c r="EV797" s="25" t="str">
        <f>_xlfn.CONCAT($A798," ",$B798," ",$D798)</f>
        <v>2025 Rivian Automotive L R1S All-Terrain Performance Dual Large Plus (20in)</v>
      </c>
      <c r="EW797" s="25"/>
      <c r="EX797" s="25"/>
      <c r="EY797" s="25"/>
      <c r="EZ797" s="25"/>
      <c r="FA797" s="25"/>
      <c r="FB797" s="25"/>
      <c r="FC797" s="25"/>
      <c r="FD797" s="25"/>
      <c r="FE797" s="25"/>
      <c r="FF797" s="25"/>
      <c r="FG797" s="25"/>
    </row>
    <row r="798" spans="1:165" x14ac:dyDescent="0.35">
      <c r="A798">
        <v>2025</v>
      </c>
      <c r="B798" t="s">
        <v>2222</v>
      </c>
      <c r="C798" t="s">
        <v>2223</v>
      </c>
      <c r="D798" t="s">
        <v>2234</v>
      </c>
      <c r="E798" t="s">
        <v>2225</v>
      </c>
      <c r="F798">
        <v>82</v>
      </c>
      <c r="G798">
        <v>0</v>
      </c>
      <c r="I798" t="s">
        <v>1734</v>
      </c>
      <c r="J798">
        <v>76</v>
      </c>
      <c r="K798">
        <v>67</v>
      </c>
      <c r="L798">
        <v>72</v>
      </c>
      <c r="M798">
        <v>108.8</v>
      </c>
      <c r="N798">
        <v>96.1</v>
      </c>
      <c r="O798">
        <v>102.69289999999999</v>
      </c>
      <c r="P798">
        <v>76.16</v>
      </c>
      <c r="Q798">
        <v>67.27</v>
      </c>
      <c r="R798">
        <v>71.885000000000005</v>
      </c>
      <c r="V798" t="s">
        <v>167</v>
      </c>
      <c r="W798" t="s">
        <v>168</v>
      </c>
      <c r="Y798">
        <v>1</v>
      </c>
      <c r="Z798" t="s">
        <v>170</v>
      </c>
      <c r="AA798" t="s">
        <v>170</v>
      </c>
      <c r="AB798">
        <v>4</v>
      </c>
      <c r="AC798" t="s">
        <v>601</v>
      </c>
      <c r="AF798">
        <v>292</v>
      </c>
      <c r="AG798" t="s">
        <v>1735</v>
      </c>
      <c r="AH798" t="s">
        <v>1736</v>
      </c>
      <c r="AI798" t="s">
        <v>175</v>
      </c>
      <c r="AJ798" t="s">
        <v>176</v>
      </c>
      <c r="AK798">
        <v>4</v>
      </c>
      <c r="AL798" t="s">
        <v>1737</v>
      </c>
      <c r="AS798">
        <v>1150</v>
      </c>
      <c r="AT798">
        <v>1150</v>
      </c>
      <c r="BQ798">
        <v>33</v>
      </c>
      <c r="BR798" t="s">
        <v>1497</v>
      </c>
      <c r="BT798" t="s">
        <v>1769</v>
      </c>
      <c r="BU798" s="1">
        <v>45488</v>
      </c>
      <c r="BV798">
        <v>35244</v>
      </c>
      <c r="BY798" t="s">
        <v>170</v>
      </c>
      <c r="CB798" t="s">
        <v>170</v>
      </c>
      <c r="CC798" t="s">
        <v>170</v>
      </c>
      <c r="CK798" t="s">
        <v>233</v>
      </c>
      <c r="CM798">
        <v>1</v>
      </c>
      <c r="CN798" t="s">
        <v>234</v>
      </c>
      <c r="CP798">
        <v>392</v>
      </c>
      <c r="CQ798">
        <v>382</v>
      </c>
      <c r="CR798">
        <v>190</v>
      </c>
      <c r="CS798" t="s">
        <v>1752</v>
      </c>
      <c r="CV798" t="s">
        <v>341</v>
      </c>
      <c r="CX798" t="s">
        <v>342</v>
      </c>
      <c r="CY798" t="s">
        <v>169</v>
      </c>
      <c r="DC798" t="s">
        <v>2226</v>
      </c>
      <c r="DD798">
        <v>2</v>
      </c>
      <c r="DE798" t="s">
        <v>404</v>
      </c>
      <c r="DF798" t="s">
        <v>1860</v>
      </c>
      <c r="DG798" t="s">
        <v>2227</v>
      </c>
      <c r="DL798" t="s">
        <v>170</v>
      </c>
      <c r="DM798" t="s">
        <v>169</v>
      </c>
      <c r="DP798" t="s">
        <v>170</v>
      </c>
      <c r="DQ798" t="s">
        <v>187</v>
      </c>
      <c r="DR798" t="s">
        <v>2235</v>
      </c>
      <c r="EB798">
        <v>9</v>
      </c>
      <c r="EC798">
        <v>10</v>
      </c>
      <c r="EE798" t="s">
        <v>2229</v>
      </c>
      <c r="EF798">
        <v>10</v>
      </c>
      <c r="EU798">
        <v>3750</v>
      </c>
      <c r="EW798">
        <v>0</v>
      </c>
      <c r="EX798">
        <v>0</v>
      </c>
      <c r="EY798">
        <v>0</v>
      </c>
      <c r="FA798">
        <v>12</v>
      </c>
      <c r="FG798">
        <v>308</v>
      </c>
      <c r="FH798">
        <v>272</v>
      </c>
      <c r="FI798">
        <v>292</v>
      </c>
    </row>
    <row r="799" spans="1:165" x14ac:dyDescent="0.35">
      <c r="A799">
        <v>2025</v>
      </c>
      <c r="B799" t="s">
        <v>2222</v>
      </c>
      <c r="C799" t="s">
        <v>2223</v>
      </c>
      <c r="D799" t="s">
        <v>2234</v>
      </c>
      <c r="E799" t="s">
        <v>2225</v>
      </c>
      <c r="F799">
        <v>82</v>
      </c>
      <c r="G799">
        <v>0</v>
      </c>
      <c r="I799" t="s">
        <v>1734</v>
      </c>
      <c r="J799">
        <v>44</v>
      </c>
      <c r="K799">
        <v>50</v>
      </c>
      <c r="L799">
        <v>47</v>
      </c>
      <c r="M799">
        <v>30.986000000000001</v>
      </c>
      <c r="N799">
        <v>35.058500000000002</v>
      </c>
      <c r="O799">
        <v>32.818600000000004</v>
      </c>
      <c r="P799">
        <v>44.255499999999998</v>
      </c>
      <c r="Q799">
        <v>50.104100000000003</v>
      </c>
      <c r="R799">
        <v>46.8874</v>
      </c>
      <c r="V799" t="s">
        <v>167</v>
      </c>
      <c r="W799" t="s">
        <v>168</v>
      </c>
      <c r="Y799">
        <v>1</v>
      </c>
      <c r="Z799" t="s">
        <v>170</v>
      </c>
      <c r="AA799" t="s">
        <v>170</v>
      </c>
      <c r="AB799">
        <v>4</v>
      </c>
      <c r="AC799" t="s">
        <v>601</v>
      </c>
      <c r="AF799">
        <v>292</v>
      </c>
      <c r="AG799" t="s">
        <v>1735</v>
      </c>
      <c r="AH799" t="s">
        <v>1736</v>
      </c>
      <c r="AI799" t="s">
        <v>1742</v>
      </c>
      <c r="AJ799" t="s">
        <v>1743</v>
      </c>
      <c r="AK799">
        <v>4</v>
      </c>
      <c r="AL799" t="s">
        <v>1737</v>
      </c>
      <c r="AS799">
        <v>1150</v>
      </c>
      <c r="AT799">
        <v>1150</v>
      </c>
      <c r="BQ799">
        <v>33</v>
      </c>
      <c r="BR799" t="s">
        <v>1497</v>
      </c>
      <c r="BT799" t="s">
        <v>1769</v>
      </c>
      <c r="BU799" s="1">
        <v>45488</v>
      </c>
      <c r="BV799">
        <v>35244</v>
      </c>
      <c r="BY799" t="s">
        <v>170</v>
      </c>
      <c r="CB799" t="s">
        <v>170</v>
      </c>
      <c r="CC799" t="s">
        <v>170</v>
      </c>
      <c r="CK799" t="s">
        <v>233</v>
      </c>
      <c r="CM799">
        <v>1</v>
      </c>
      <c r="CN799" t="s">
        <v>234</v>
      </c>
      <c r="CP799">
        <v>392</v>
      </c>
      <c r="CQ799">
        <v>382</v>
      </c>
      <c r="CR799">
        <v>190</v>
      </c>
      <c r="CS799" t="s">
        <v>1752</v>
      </c>
      <c r="CV799" t="s">
        <v>341</v>
      </c>
      <c r="CX799" t="s">
        <v>342</v>
      </c>
      <c r="CY799" t="s">
        <v>169</v>
      </c>
      <c r="DC799" t="s">
        <v>2226</v>
      </c>
      <c r="DD799">
        <v>2</v>
      </c>
      <c r="DE799" t="s">
        <v>404</v>
      </c>
      <c r="DF799" t="s">
        <v>1860</v>
      </c>
      <c r="DG799" t="s">
        <v>2227</v>
      </c>
      <c r="DL799" t="s">
        <v>170</v>
      </c>
      <c r="DM799" t="s">
        <v>169</v>
      </c>
      <c r="DP799" t="s">
        <v>170</v>
      </c>
      <c r="DQ799" t="s">
        <v>187</v>
      </c>
      <c r="DR799" t="s">
        <v>2235</v>
      </c>
      <c r="EB799">
        <v>9</v>
      </c>
      <c r="EC799">
        <v>10</v>
      </c>
      <c r="EE799" t="s">
        <v>2229</v>
      </c>
      <c r="EF799">
        <v>10</v>
      </c>
      <c r="EU799">
        <v>3750</v>
      </c>
      <c r="EW799">
        <v>0</v>
      </c>
      <c r="EX799">
        <v>0</v>
      </c>
      <c r="EY799">
        <v>0</v>
      </c>
      <c r="FA799">
        <v>12</v>
      </c>
      <c r="FG799">
        <v>308</v>
      </c>
      <c r="FH799">
        <v>272</v>
      </c>
      <c r="FI799">
        <v>292</v>
      </c>
    </row>
    <row r="800" spans="1:165" x14ac:dyDescent="0.35">
      <c r="A800" s="25"/>
      <c r="B800" s="25"/>
      <c r="C800" s="25"/>
      <c r="D800" s="25"/>
      <c r="E800" s="25"/>
      <c r="F800" s="25" t="str">
        <f>_xlfn.CONCAT($A801," ",$B801," ",$D801)</f>
        <v>2025 Rivian Automotive L R1T Dual Large Plus (20in)</v>
      </c>
      <c r="G800" s="25"/>
      <c r="H800" s="25"/>
      <c r="I800" s="25"/>
      <c r="J800" s="25"/>
      <c r="K800" s="25"/>
      <c r="L800" s="25"/>
      <c r="M800" s="25"/>
      <c r="N800" s="25"/>
      <c r="O800" s="25"/>
      <c r="P800" s="25"/>
      <c r="Q800" s="25"/>
      <c r="R800" s="25"/>
      <c r="S800" s="25"/>
      <c r="T800" s="25"/>
      <c r="U800" s="25"/>
      <c r="V800" s="25"/>
      <c r="W800" s="25"/>
      <c r="X800" s="25"/>
      <c r="Y800" s="25"/>
      <c r="Z800" s="25"/>
      <c r="AA800" s="25"/>
      <c r="AB800" s="25"/>
      <c r="AC800" s="25"/>
      <c r="AD800" s="25" t="str">
        <f>_xlfn.CONCAT($A801," ",$B801," ",$D801)</f>
        <v>2025 Rivian Automotive L R1T Dual Large Plus (20in)</v>
      </c>
      <c r="AE800" s="25"/>
      <c r="AF800" s="25"/>
      <c r="AG800" s="25"/>
      <c r="AH800" s="25"/>
      <c r="AI800" s="25"/>
      <c r="AJ800" s="25"/>
      <c r="AK800" s="25"/>
      <c r="AL800" s="25"/>
      <c r="AM800" s="25"/>
      <c r="AN800" s="25"/>
      <c r="AO800" s="25"/>
      <c r="AP800" s="25"/>
      <c r="AQ800" s="25"/>
      <c r="AR800" s="25"/>
      <c r="AS800" s="25"/>
      <c r="AT800" s="25"/>
      <c r="AU800" s="25"/>
      <c r="AV800" s="25"/>
      <c r="AW800" s="25"/>
      <c r="AX800" s="25" t="str">
        <f>_xlfn.CONCAT($A801," ",$B801," ",$D801)</f>
        <v>2025 Rivian Automotive L R1T Dual Large Plus (20in)</v>
      </c>
      <c r="AY800" s="25"/>
      <c r="AZ800" s="25"/>
      <c r="BA800" s="25"/>
      <c r="BB800" s="25"/>
      <c r="BC800" s="25"/>
      <c r="BD800" s="25"/>
      <c r="BE800" s="25"/>
      <c r="BF800" s="25"/>
      <c r="BG800" s="25"/>
      <c r="BH800" s="25"/>
      <c r="BI800" s="25"/>
      <c r="BJ800" s="25"/>
      <c r="BK800" s="25"/>
      <c r="BL800" s="25"/>
      <c r="BM800" s="25"/>
      <c r="BN800" s="25"/>
      <c r="BO800" s="25"/>
      <c r="BP800" s="25"/>
      <c r="BQ800" s="25"/>
      <c r="BR800" s="25" t="str">
        <f>_xlfn.CONCAT($A801," ",$B801," ",$D801)</f>
        <v>2025 Rivian Automotive L R1T Dual Large Plus (20in)</v>
      </c>
      <c r="BS800" s="25"/>
      <c r="BT800" s="25"/>
      <c r="BU800" s="25"/>
      <c r="BV800" s="25"/>
      <c r="BX800" s="25"/>
      <c r="BY800" s="25"/>
      <c r="BZ800" s="25"/>
      <c r="CA800" s="25"/>
      <c r="CB800" s="25"/>
      <c r="CC800" s="25"/>
      <c r="CD800" s="25"/>
      <c r="CE800" s="25"/>
      <c r="CF800" s="25"/>
      <c r="CG800" s="25"/>
      <c r="CH800" s="25"/>
      <c r="CI800" s="25"/>
      <c r="CJ800" s="25"/>
      <c r="CK800" s="25"/>
      <c r="CL800" s="25"/>
      <c r="CM800" s="25"/>
      <c r="CN800" s="25"/>
      <c r="CO800" s="25"/>
      <c r="CP800" s="25" t="str">
        <f>_xlfn.CONCAT($A801," ",$B801," ",$D801)</f>
        <v>2025 Rivian Automotive L R1T Dual Large Plus (20in)</v>
      </c>
      <c r="CQ800" s="25"/>
      <c r="CR800" s="25"/>
      <c r="CS800" s="25"/>
      <c r="CT800" s="25"/>
      <c r="CU800" s="25"/>
      <c r="CV800" s="25"/>
      <c r="CW800" s="25"/>
      <c r="CX800" s="25"/>
      <c r="CY800" s="25"/>
      <c r="CZ800" s="25"/>
      <c r="DA800" s="25"/>
      <c r="DB800" s="25"/>
      <c r="DC800" s="25"/>
      <c r="DD800" s="25"/>
      <c r="DE800" s="25"/>
      <c r="DF800" s="25"/>
      <c r="DG800" s="25"/>
      <c r="DH800" s="25"/>
      <c r="DI800" s="25" t="str">
        <f>_xlfn.CONCAT($A801," ",$B801," ",$D801)</f>
        <v>2025 Rivian Automotive L R1T Dual Large Plus (20in)</v>
      </c>
      <c r="DJ800" s="25"/>
      <c r="DK800" s="25"/>
      <c r="DL800" s="25"/>
      <c r="DM800" s="25"/>
      <c r="DN800" s="25"/>
      <c r="DO800" s="25"/>
      <c r="DP800" s="25"/>
      <c r="DQ800" s="25"/>
      <c r="DR800" s="25"/>
      <c r="DS800" s="25"/>
      <c r="DT800" s="25"/>
      <c r="DU800" s="25"/>
      <c r="DV800" s="25"/>
      <c r="DW800" s="25"/>
      <c r="DX800" s="25"/>
      <c r="DY800" s="25"/>
      <c r="DZ800" s="25" t="str">
        <f>_xlfn.CONCAT($A801," ",$B801," ",$D801)</f>
        <v>2025 Rivian Automotive L R1T Dual Large Plus (20in)</v>
      </c>
      <c r="EB800" s="25"/>
      <c r="EC800" s="25"/>
      <c r="ED800" s="25"/>
      <c r="EE800" s="25"/>
      <c r="EF800" s="25"/>
      <c r="EG800" s="25"/>
      <c r="EH800" s="25"/>
      <c r="EI800" s="25"/>
      <c r="EJ800" s="25"/>
      <c r="EK800" s="25"/>
      <c r="EL800" s="25"/>
      <c r="EM800" s="25"/>
      <c r="EN800" s="25"/>
      <c r="EO800" s="25"/>
      <c r="EP800" s="25"/>
      <c r="EQ800" s="25"/>
      <c r="ER800" s="25"/>
      <c r="ES800" s="25"/>
      <c r="ET800" s="25"/>
      <c r="EU800" s="25"/>
      <c r="EV800" s="25" t="str">
        <f>_xlfn.CONCAT($A801," ",$B801," ",$D801)</f>
        <v>2025 Rivian Automotive L R1T Dual Large Plus (20in)</v>
      </c>
      <c r="EW800" s="25"/>
      <c r="EX800" s="25"/>
      <c r="EY800" s="25"/>
      <c r="EZ800" s="25"/>
      <c r="FA800" s="25"/>
      <c r="FB800" s="25"/>
      <c r="FC800" s="25"/>
      <c r="FD800" s="25"/>
      <c r="FE800" s="25"/>
      <c r="FF800" s="25"/>
      <c r="FG800" s="25"/>
    </row>
    <row r="801" spans="1:165" x14ac:dyDescent="0.35">
      <c r="A801">
        <v>2025</v>
      </c>
      <c r="B801" t="s">
        <v>2222</v>
      </c>
      <c r="C801" t="s">
        <v>2223</v>
      </c>
      <c r="D801" t="s">
        <v>2275</v>
      </c>
      <c r="E801" t="s">
        <v>2225</v>
      </c>
      <c r="F801">
        <v>83</v>
      </c>
      <c r="G801">
        <v>0</v>
      </c>
      <c r="I801" t="s">
        <v>1734</v>
      </c>
      <c r="J801">
        <v>85</v>
      </c>
      <c r="K801">
        <v>72</v>
      </c>
      <c r="L801">
        <v>78</v>
      </c>
      <c r="M801">
        <v>120.8</v>
      </c>
      <c r="N801">
        <v>102.2</v>
      </c>
      <c r="O801">
        <v>111.65560000000001</v>
      </c>
      <c r="P801">
        <v>84.56</v>
      </c>
      <c r="Q801">
        <v>71.540000000000006</v>
      </c>
      <c r="R801">
        <v>78.158900000000003</v>
      </c>
      <c r="V801" t="s">
        <v>167</v>
      </c>
      <c r="W801" t="s">
        <v>168</v>
      </c>
      <c r="Y801">
        <v>1</v>
      </c>
      <c r="Z801" t="s">
        <v>170</v>
      </c>
      <c r="AA801" t="s">
        <v>170</v>
      </c>
      <c r="AB801">
        <v>4</v>
      </c>
      <c r="AC801" t="s">
        <v>601</v>
      </c>
      <c r="AF801">
        <v>317</v>
      </c>
      <c r="AG801" t="s">
        <v>1735</v>
      </c>
      <c r="AH801" t="s">
        <v>1736</v>
      </c>
      <c r="AI801" t="s">
        <v>175</v>
      </c>
      <c r="AJ801" t="s">
        <v>176</v>
      </c>
      <c r="AK801">
        <v>4</v>
      </c>
      <c r="AL801" t="s">
        <v>1737</v>
      </c>
      <c r="AS801">
        <v>1050</v>
      </c>
      <c r="AT801">
        <v>50</v>
      </c>
      <c r="BQ801">
        <v>13</v>
      </c>
      <c r="BR801" t="s">
        <v>1016</v>
      </c>
      <c r="BT801" t="s">
        <v>1769</v>
      </c>
      <c r="BU801" s="1">
        <v>45545</v>
      </c>
      <c r="BV801">
        <v>35510</v>
      </c>
      <c r="BY801" t="s">
        <v>170</v>
      </c>
      <c r="CB801" t="s">
        <v>170</v>
      </c>
      <c r="CC801" t="s">
        <v>170</v>
      </c>
      <c r="CK801" t="s">
        <v>233</v>
      </c>
      <c r="CM801">
        <v>1</v>
      </c>
      <c r="CN801" t="s">
        <v>234</v>
      </c>
      <c r="CP801">
        <v>392</v>
      </c>
      <c r="CQ801">
        <v>382</v>
      </c>
      <c r="CR801">
        <v>190</v>
      </c>
      <c r="CS801" t="s">
        <v>1752</v>
      </c>
      <c r="CV801" t="s">
        <v>341</v>
      </c>
      <c r="CX801" t="s">
        <v>342</v>
      </c>
      <c r="CY801" t="s">
        <v>169</v>
      </c>
      <c r="DC801" t="s">
        <v>2226</v>
      </c>
      <c r="DD801">
        <v>2</v>
      </c>
      <c r="DE801" t="s">
        <v>404</v>
      </c>
      <c r="DF801" t="s">
        <v>1860</v>
      </c>
      <c r="DG801">
        <v>264</v>
      </c>
      <c r="DL801" t="s">
        <v>170</v>
      </c>
      <c r="DM801" t="s">
        <v>169</v>
      </c>
      <c r="DP801" t="s">
        <v>170</v>
      </c>
      <c r="DQ801" t="s">
        <v>187</v>
      </c>
      <c r="DR801" t="s">
        <v>2276</v>
      </c>
      <c r="EB801">
        <v>9</v>
      </c>
      <c r="EC801">
        <v>10</v>
      </c>
      <c r="EE801" t="s">
        <v>2229</v>
      </c>
      <c r="EF801">
        <v>10</v>
      </c>
      <c r="EU801">
        <v>4250</v>
      </c>
      <c r="EW801">
        <v>0</v>
      </c>
      <c r="EX801">
        <v>0</v>
      </c>
      <c r="EY801">
        <v>0</v>
      </c>
      <c r="FA801">
        <v>12</v>
      </c>
      <c r="FG801">
        <v>341</v>
      </c>
      <c r="FH801">
        <v>288</v>
      </c>
      <c r="FI801">
        <v>317</v>
      </c>
    </row>
    <row r="802" spans="1:165" x14ac:dyDescent="0.35">
      <c r="A802">
        <v>2025</v>
      </c>
      <c r="B802" t="s">
        <v>2222</v>
      </c>
      <c r="C802" t="s">
        <v>2223</v>
      </c>
      <c r="D802" t="s">
        <v>2275</v>
      </c>
      <c r="E802" t="s">
        <v>2225</v>
      </c>
      <c r="F802">
        <v>83</v>
      </c>
      <c r="G802">
        <v>0</v>
      </c>
      <c r="I802" t="s">
        <v>1734</v>
      </c>
      <c r="J802">
        <v>40</v>
      </c>
      <c r="K802">
        <v>47</v>
      </c>
      <c r="L802">
        <v>43</v>
      </c>
      <c r="M802">
        <v>27.901399999999999</v>
      </c>
      <c r="N802">
        <v>32.988999999999997</v>
      </c>
      <c r="O802">
        <v>30.190799999999999</v>
      </c>
      <c r="P802">
        <v>39.859299999999998</v>
      </c>
      <c r="Q802">
        <v>47.113500000000002</v>
      </c>
      <c r="R802">
        <v>43.123699999999999</v>
      </c>
      <c r="V802" t="s">
        <v>167</v>
      </c>
      <c r="W802" t="s">
        <v>168</v>
      </c>
      <c r="Y802">
        <v>1</v>
      </c>
      <c r="Z802" t="s">
        <v>170</v>
      </c>
      <c r="AA802" t="s">
        <v>170</v>
      </c>
      <c r="AB802">
        <v>4</v>
      </c>
      <c r="AC802" t="s">
        <v>601</v>
      </c>
      <c r="AF802">
        <v>317</v>
      </c>
      <c r="AG802" t="s">
        <v>1735</v>
      </c>
      <c r="AH802" t="s">
        <v>1736</v>
      </c>
      <c r="AI802" t="s">
        <v>1742</v>
      </c>
      <c r="AJ802" t="s">
        <v>1743</v>
      </c>
      <c r="AK802">
        <v>4</v>
      </c>
      <c r="AL802" t="s">
        <v>1737</v>
      </c>
      <c r="AS802">
        <v>1050</v>
      </c>
      <c r="AT802">
        <v>1050</v>
      </c>
      <c r="BQ802">
        <v>13</v>
      </c>
      <c r="BR802" t="s">
        <v>1016</v>
      </c>
      <c r="BT802" t="s">
        <v>1769</v>
      </c>
      <c r="BU802" s="1">
        <v>45545</v>
      </c>
      <c r="BV802">
        <v>35510</v>
      </c>
      <c r="BY802" t="s">
        <v>170</v>
      </c>
      <c r="CB802" t="s">
        <v>170</v>
      </c>
      <c r="CC802" t="s">
        <v>170</v>
      </c>
      <c r="CK802" t="s">
        <v>233</v>
      </c>
      <c r="CM802">
        <v>1</v>
      </c>
      <c r="CN802" t="s">
        <v>234</v>
      </c>
      <c r="CP802">
        <v>392</v>
      </c>
      <c r="CQ802">
        <v>382</v>
      </c>
      <c r="CR802">
        <v>190</v>
      </c>
      <c r="CS802" t="s">
        <v>1752</v>
      </c>
      <c r="CV802" t="s">
        <v>341</v>
      </c>
      <c r="CX802" t="s">
        <v>342</v>
      </c>
      <c r="CY802" t="s">
        <v>169</v>
      </c>
      <c r="DC802" t="s">
        <v>2226</v>
      </c>
      <c r="DD802">
        <v>2</v>
      </c>
      <c r="DE802" t="s">
        <v>404</v>
      </c>
      <c r="DF802" t="s">
        <v>1860</v>
      </c>
      <c r="DG802">
        <v>264</v>
      </c>
      <c r="DL802" t="s">
        <v>170</v>
      </c>
      <c r="DM802" t="s">
        <v>169</v>
      </c>
      <c r="DP802" t="s">
        <v>170</v>
      </c>
      <c r="DQ802" t="s">
        <v>187</v>
      </c>
      <c r="DR802" t="s">
        <v>2276</v>
      </c>
      <c r="EB802">
        <v>9</v>
      </c>
      <c r="EC802">
        <v>10</v>
      </c>
      <c r="EE802" t="s">
        <v>2229</v>
      </c>
      <c r="EF802">
        <v>10</v>
      </c>
      <c r="EU802">
        <v>4250</v>
      </c>
      <c r="EW802">
        <v>0</v>
      </c>
      <c r="EX802">
        <v>0</v>
      </c>
      <c r="EY802">
        <v>0</v>
      </c>
      <c r="FA802">
        <v>12</v>
      </c>
      <c r="FG802">
        <v>341</v>
      </c>
      <c r="FH802">
        <v>288</v>
      </c>
      <c r="FI802">
        <v>317</v>
      </c>
    </row>
    <row r="803" spans="1:165" x14ac:dyDescent="0.35">
      <c r="A803" s="25"/>
      <c r="B803" s="25"/>
      <c r="C803" s="25"/>
      <c r="D803" s="25"/>
      <c r="E803" s="25"/>
      <c r="F803" s="25" t="str">
        <f>_xlfn.CONCAT($A804," ",$B804," ",$D804)</f>
        <v>2025 Rivian Automotive L R1S Dual Large Plus (20in)</v>
      </c>
      <c r="G803" s="25"/>
      <c r="H803" s="25"/>
      <c r="I803" s="25"/>
      <c r="J803" s="25"/>
      <c r="K803" s="25"/>
      <c r="L803" s="25"/>
      <c r="M803" s="25"/>
      <c r="N803" s="25"/>
      <c r="O803" s="25"/>
      <c r="P803" s="25"/>
      <c r="Q803" s="25"/>
      <c r="R803" s="25"/>
      <c r="S803" s="25"/>
      <c r="T803" s="25"/>
      <c r="U803" s="25"/>
      <c r="V803" s="25"/>
      <c r="W803" s="25"/>
      <c r="X803" s="25"/>
      <c r="Y803" s="25"/>
      <c r="Z803" s="25"/>
      <c r="AA803" s="25"/>
      <c r="AB803" s="25"/>
      <c r="AC803" s="25"/>
      <c r="AD803" s="25" t="str">
        <f>_xlfn.CONCAT($A804," ",$B804," ",$D804)</f>
        <v>2025 Rivian Automotive L R1S Dual Large Plus (20in)</v>
      </c>
      <c r="AE803" s="25"/>
      <c r="AF803" s="25"/>
      <c r="AG803" s="25"/>
      <c r="AH803" s="25"/>
      <c r="AI803" s="25"/>
      <c r="AJ803" s="25"/>
      <c r="AK803" s="25"/>
      <c r="AL803" s="25"/>
      <c r="AM803" s="25"/>
      <c r="AN803" s="25"/>
      <c r="AO803" s="25"/>
      <c r="AP803" s="25"/>
      <c r="AQ803" s="25"/>
      <c r="AR803" s="25"/>
      <c r="AS803" s="25"/>
      <c r="AT803" s="25"/>
      <c r="AU803" s="25"/>
      <c r="AV803" s="25"/>
      <c r="AW803" s="25"/>
      <c r="AX803" s="25" t="str">
        <f>_xlfn.CONCAT($A804," ",$B804," ",$D804)</f>
        <v>2025 Rivian Automotive L R1S Dual Large Plus (20in)</v>
      </c>
      <c r="AY803" s="25"/>
      <c r="AZ803" s="25"/>
      <c r="BA803" s="25"/>
      <c r="BB803" s="25"/>
      <c r="BC803" s="25"/>
      <c r="BD803" s="25"/>
      <c r="BE803" s="25"/>
      <c r="BF803" s="25"/>
      <c r="BG803" s="25"/>
      <c r="BH803" s="25"/>
      <c r="BI803" s="25"/>
      <c r="BJ803" s="25"/>
      <c r="BK803" s="25"/>
      <c r="BL803" s="25"/>
      <c r="BM803" s="25"/>
      <c r="BN803" s="25"/>
      <c r="BO803" s="25"/>
      <c r="BP803" s="25"/>
      <c r="BQ803" s="25"/>
      <c r="BR803" s="25" t="str">
        <f>_xlfn.CONCAT($A804," ",$B804," ",$D804)</f>
        <v>2025 Rivian Automotive L R1S Dual Large Plus (20in)</v>
      </c>
      <c r="BS803" s="25"/>
      <c r="BT803" s="25"/>
      <c r="BU803" s="25"/>
      <c r="BV803" s="25"/>
      <c r="BX803" s="25"/>
      <c r="BY803" s="25"/>
      <c r="BZ803" s="25"/>
      <c r="CA803" s="25"/>
      <c r="CB803" s="25"/>
      <c r="CC803" s="25"/>
      <c r="CD803" s="25"/>
      <c r="CE803" s="25"/>
      <c r="CF803" s="25"/>
      <c r="CG803" s="25"/>
      <c r="CH803" s="25"/>
      <c r="CI803" s="25"/>
      <c r="CJ803" s="25"/>
      <c r="CK803" s="25"/>
      <c r="CL803" s="25"/>
      <c r="CM803" s="25"/>
      <c r="CN803" s="25"/>
      <c r="CO803" s="25"/>
      <c r="CP803" s="25" t="str">
        <f>_xlfn.CONCAT($A804," ",$B804," ",$D804)</f>
        <v>2025 Rivian Automotive L R1S Dual Large Plus (20in)</v>
      </c>
      <c r="CQ803" s="25"/>
      <c r="CR803" s="25"/>
      <c r="CS803" s="25"/>
      <c r="CT803" s="25"/>
      <c r="CU803" s="25"/>
      <c r="CV803" s="25"/>
      <c r="CW803" s="25"/>
      <c r="CX803" s="25"/>
      <c r="CY803" s="25"/>
      <c r="CZ803" s="25"/>
      <c r="DA803" s="25"/>
      <c r="DB803" s="25"/>
      <c r="DC803" s="25"/>
      <c r="DD803" s="25"/>
      <c r="DE803" s="25"/>
      <c r="DF803" s="25"/>
      <c r="DG803" s="25"/>
      <c r="DH803" s="25"/>
      <c r="DI803" s="25" t="str">
        <f>_xlfn.CONCAT($A804," ",$B804," ",$D804)</f>
        <v>2025 Rivian Automotive L R1S Dual Large Plus (20in)</v>
      </c>
      <c r="DJ803" s="25"/>
      <c r="DK803" s="25"/>
      <c r="DL803" s="25"/>
      <c r="DM803" s="25"/>
      <c r="DN803" s="25"/>
      <c r="DO803" s="25"/>
      <c r="DP803" s="25"/>
      <c r="DQ803" s="25"/>
      <c r="DR803" s="25"/>
      <c r="DS803" s="25"/>
      <c r="DT803" s="25"/>
      <c r="DU803" s="25"/>
      <c r="DV803" s="25"/>
      <c r="DW803" s="25"/>
      <c r="DX803" s="25"/>
      <c r="DY803" s="25"/>
      <c r="DZ803" s="25" t="str">
        <f>_xlfn.CONCAT($A804," ",$B804," ",$D804)</f>
        <v>2025 Rivian Automotive L R1S Dual Large Plus (20in)</v>
      </c>
      <c r="EB803" s="25"/>
      <c r="EC803" s="25"/>
      <c r="ED803" s="25"/>
      <c r="EE803" s="25"/>
      <c r="EF803" s="25"/>
      <c r="EG803" s="25"/>
      <c r="EH803" s="25"/>
      <c r="EI803" s="25"/>
      <c r="EJ803" s="25"/>
      <c r="EK803" s="25"/>
      <c r="EL803" s="25"/>
      <c r="EM803" s="25"/>
      <c r="EN803" s="25"/>
      <c r="EO803" s="25"/>
      <c r="EP803" s="25"/>
      <c r="EQ803" s="25"/>
      <c r="ER803" s="25"/>
      <c r="ES803" s="25"/>
      <c r="ET803" s="25"/>
      <c r="EU803" s="25"/>
      <c r="EV803" s="25" t="str">
        <f>_xlfn.CONCAT($A804," ",$B804," ",$D804)</f>
        <v>2025 Rivian Automotive L R1S Dual Large Plus (20in)</v>
      </c>
      <c r="EW803" s="25"/>
      <c r="EX803" s="25"/>
      <c r="EY803" s="25"/>
      <c r="EZ803" s="25"/>
      <c r="FA803" s="25"/>
      <c r="FB803" s="25"/>
      <c r="FC803" s="25"/>
      <c r="FD803" s="25"/>
      <c r="FE803" s="25"/>
      <c r="FF803" s="25"/>
      <c r="FG803" s="25"/>
    </row>
    <row r="804" spans="1:165" x14ac:dyDescent="0.35">
      <c r="A804">
        <v>2025</v>
      </c>
      <c r="B804" t="s">
        <v>2222</v>
      </c>
      <c r="C804" t="s">
        <v>2223</v>
      </c>
      <c r="D804" t="s">
        <v>2241</v>
      </c>
      <c r="E804" t="s">
        <v>2225</v>
      </c>
      <c r="F804">
        <v>84</v>
      </c>
      <c r="G804">
        <v>0</v>
      </c>
      <c r="I804" t="s">
        <v>1734</v>
      </c>
      <c r="J804">
        <v>85</v>
      </c>
      <c r="K804">
        <v>72</v>
      </c>
      <c r="L804">
        <v>78</v>
      </c>
      <c r="M804">
        <v>120.8</v>
      </c>
      <c r="N804">
        <v>102.2</v>
      </c>
      <c r="O804">
        <v>111.65560000000001</v>
      </c>
      <c r="P804">
        <v>84.56</v>
      </c>
      <c r="Q804">
        <v>71.540000000000006</v>
      </c>
      <c r="R804">
        <v>78.158900000000003</v>
      </c>
      <c r="V804" t="s">
        <v>167</v>
      </c>
      <c r="W804" t="s">
        <v>168</v>
      </c>
      <c r="Y804">
        <v>1</v>
      </c>
      <c r="Z804" t="s">
        <v>170</v>
      </c>
      <c r="AA804" t="s">
        <v>170</v>
      </c>
      <c r="AB804">
        <v>4</v>
      </c>
      <c r="AC804" t="s">
        <v>601</v>
      </c>
      <c r="AF804">
        <v>317</v>
      </c>
      <c r="AG804" t="s">
        <v>1735</v>
      </c>
      <c r="AH804" t="s">
        <v>1736</v>
      </c>
      <c r="AI804" t="s">
        <v>175</v>
      </c>
      <c r="AJ804" t="s">
        <v>176</v>
      </c>
      <c r="AK804">
        <v>4</v>
      </c>
      <c r="AL804" t="s">
        <v>1737</v>
      </c>
      <c r="AS804">
        <v>1050</v>
      </c>
      <c r="AT804">
        <v>50</v>
      </c>
      <c r="BQ804">
        <v>33</v>
      </c>
      <c r="BR804" t="s">
        <v>1497</v>
      </c>
      <c r="BT804" t="s">
        <v>1769</v>
      </c>
      <c r="BU804" s="1">
        <v>45545</v>
      </c>
      <c r="BV804">
        <v>35507</v>
      </c>
      <c r="BY804" t="s">
        <v>170</v>
      </c>
      <c r="CB804" t="s">
        <v>170</v>
      </c>
      <c r="CC804" t="s">
        <v>170</v>
      </c>
      <c r="CK804" t="s">
        <v>233</v>
      </c>
      <c r="CM804">
        <v>1</v>
      </c>
      <c r="CN804" t="s">
        <v>234</v>
      </c>
      <c r="CP804">
        <v>392</v>
      </c>
      <c r="CQ804">
        <v>382</v>
      </c>
      <c r="CR804">
        <v>190</v>
      </c>
      <c r="CS804" t="s">
        <v>1752</v>
      </c>
      <c r="CV804" t="s">
        <v>341</v>
      </c>
      <c r="CX804" t="s">
        <v>342</v>
      </c>
      <c r="CY804" t="s">
        <v>169</v>
      </c>
      <c r="DC804" t="s">
        <v>2226</v>
      </c>
      <c r="DD804">
        <v>2</v>
      </c>
      <c r="DE804" t="s">
        <v>404</v>
      </c>
      <c r="DF804" t="s">
        <v>1860</v>
      </c>
      <c r="DG804">
        <v>264</v>
      </c>
      <c r="DL804" t="s">
        <v>170</v>
      </c>
      <c r="DM804" t="s">
        <v>169</v>
      </c>
      <c r="DP804" t="s">
        <v>170</v>
      </c>
      <c r="DQ804" t="s">
        <v>187</v>
      </c>
      <c r="DR804" t="s">
        <v>2242</v>
      </c>
      <c r="EB804">
        <v>9</v>
      </c>
      <c r="EC804">
        <v>10</v>
      </c>
      <c r="EE804" t="s">
        <v>2229</v>
      </c>
      <c r="EF804">
        <v>10</v>
      </c>
      <c r="EU804">
        <v>4250</v>
      </c>
      <c r="EW804">
        <v>0</v>
      </c>
      <c r="EX804">
        <v>0</v>
      </c>
      <c r="EY804">
        <v>0</v>
      </c>
      <c r="FA804">
        <v>12</v>
      </c>
      <c r="FG804">
        <v>341</v>
      </c>
      <c r="FH804">
        <v>288</v>
      </c>
      <c r="FI804">
        <v>317</v>
      </c>
    </row>
    <row r="805" spans="1:165" x14ac:dyDescent="0.35">
      <c r="A805">
        <v>2025</v>
      </c>
      <c r="B805" t="s">
        <v>2222</v>
      </c>
      <c r="C805" t="s">
        <v>2223</v>
      </c>
      <c r="D805" t="s">
        <v>2241</v>
      </c>
      <c r="E805" t="s">
        <v>2225</v>
      </c>
      <c r="F805">
        <v>84</v>
      </c>
      <c r="G805">
        <v>0</v>
      </c>
      <c r="I805" t="s">
        <v>1734</v>
      </c>
      <c r="J805">
        <v>40</v>
      </c>
      <c r="K805">
        <v>47</v>
      </c>
      <c r="L805">
        <v>43</v>
      </c>
      <c r="M805">
        <v>27.901399999999999</v>
      </c>
      <c r="N805">
        <v>32.988999999999997</v>
      </c>
      <c r="O805">
        <v>30.190799999999999</v>
      </c>
      <c r="P805">
        <v>39.859299999999998</v>
      </c>
      <c r="Q805">
        <v>47.113500000000002</v>
      </c>
      <c r="R805">
        <v>43.123699999999999</v>
      </c>
      <c r="V805" t="s">
        <v>167</v>
      </c>
      <c r="W805" t="s">
        <v>168</v>
      </c>
      <c r="Y805">
        <v>1</v>
      </c>
      <c r="Z805" t="s">
        <v>170</v>
      </c>
      <c r="AA805" t="s">
        <v>170</v>
      </c>
      <c r="AB805">
        <v>4</v>
      </c>
      <c r="AC805" t="s">
        <v>601</v>
      </c>
      <c r="AF805">
        <v>317</v>
      </c>
      <c r="AG805" t="s">
        <v>1735</v>
      </c>
      <c r="AH805" t="s">
        <v>1736</v>
      </c>
      <c r="AI805" t="s">
        <v>1742</v>
      </c>
      <c r="AJ805" t="s">
        <v>1743</v>
      </c>
      <c r="AK805">
        <v>4</v>
      </c>
      <c r="AL805" t="s">
        <v>1737</v>
      </c>
      <c r="AS805">
        <v>1050</v>
      </c>
      <c r="AT805">
        <v>1050</v>
      </c>
      <c r="BQ805">
        <v>33</v>
      </c>
      <c r="BR805" t="s">
        <v>1497</v>
      </c>
      <c r="BT805" t="s">
        <v>1769</v>
      </c>
      <c r="BU805" s="1">
        <v>45545</v>
      </c>
      <c r="BV805">
        <v>35507</v>
      </c>
      <c r="BY805" t="s">
        <v>170</v>
      </c>
      <c r="CB805" t="s">
        <v>170</v>
      </c>
      <c r="CC805" t="s">
        <v>170</v>
      </c>
      <c r="CK805" t="s">
        <v>233</v>
      </c>
      <c r="CM805">
        <v>1</v>
      </c>
      <c r="CN805" t="s">
        <v>234</v>
      </c>
      <c r="CP805">
        <v>392</v>
      </c>
      <c r="CQ805">
        <v>382</v>
      </c>
      <c r="CR805">
        <v>190</v>
      </c>
      <c r="CS805" t="s">
        <v>1752</v>
      </c>
      <c r="CV805" t="s">
        <v>341</v>
      </c>
      <c r="CX805" t="s">
        <v>342</v>
      </c>
      <c r="CY805" t="s">
        <v>169</v>
      </c>
      <c r="DC805" t="s">
        <v>2226</v>
      </c>
      <c r="DD805">
        <v>2</v>
      </c>
      <c r="DE805" t="s">
        <v>404</v>
      </c>
      <c r="DF805" t="s">
        <v>1860</v>
      </c>
      <c r="DG805">
        <v>264</v>
      </c>
      <c r="DL805" t="s">
        <v>170</v>
      </c>
      <c r="DM805" t="s">
        <v>169</v>
      </c>
      <c r="DP805" t="s">
        <v>170</v>
      </c>
      <c r="DQ805" t="s">
        <v>187</v>
      </c>
      <c r="DR805" t="s">
        <v>2242</v>
      </c>
      <c r="EB805">
        <v>9</v>
      </c>
      <c r="EC805">
        <v>10</v>
      </c>
      <c r="EE805" t="s">
        <v>2229</v>
      </c>
      <c r="EF805">
        <v>10</v>
      </c>
      <c r="EU805">
        <v>4250</v>
      </c>
      <c r="EW805">
        <v>0</v>
      </c>
      <c r="EX805">
        <v>0</v>
      </c>
      <c r="EY805">
        <v>0</v>
      </c>
      <c r="FA805">
        <v>12</v>
      </c>
      <c r="FG805">
        <v>341</v>
      </c>
      <c r="FH805">
        <v>288</v>
      </c>
      <c r="FI805">
        <v>317</v>
      </c>
    </row>
    <row r="806" spans="1:165" x14ac:dyDescent="0.35">
      <c r="A806" s="25"/>
      <c r="B806" s="25"/>
      <c r="C806" s="25"/>
      <c r="D806" s="25"/>
      <c r="E806" s="25"/>
      <c r="F806" s="25" t="str">
        <f>_xlfn.CONCAT($A807," ",$B807," ",$D807)</f>
        <v>2025 Rivian Automotive L R1T Performance Dual Large Plus (20in)</v>
      </c>
      <c r="G806" s="25"/>
      <c r="H806" s="25"/>
      <c r="I806" s="25"/>
      <c r="J806" s="25"/>
      <c r="K806" s="25"/>
      <c r="L806" s="25"/>
      <c r="M806" s="25"/>
      <c r="N806" s="25"/>
      <c r="O806" s="25"/>
      <c r="P806" s="25"/>
      <c r="Q806" s="25"/>
      <c r="R806" s="25"/>
      <c r="S806" s="25"/>
      <c r="T806" s="25"/>
      <c r="U806" s="25"/>
      <c r="V806" s="25"/>
      <c r="W806" s="25"/>
      <c r="X806" s="25"/>
      <c r="Y806" s="25"/>
      <c r="Z806" s="25"/>
      <c r="AA806" s="25"/>
      <c r="AB806" s="25"/>
      <c r="AC806" s="25"/>
      <c r="AD806" s="25" t="str">
        <f>_xlfn.CONCAT($A807," ",$B807," ",$D807)</f>
        <v>2025 Rivian Automotive L R1T Performance Dual Large Plus (20in)</v>
      </c>
      <c r="AE806" s="25"/>
      <c r="AF806" s="25"/>
      <c r="AG806" s="25"/>
      <c r="AH806" s="25"/>
      <c r="AI806" s="25"/>
      <c r="AJ806" s="25"/>
      <c r="AK806" s="25"/>
      <c r="AL806" s="25"/>
      <c r="AM806" s="25"/>
      <c r="AN806" s="25"/>
      <c r="AO806" s="25"/>
      <c r="AP806" s="25"/>
      <c r="AQ806" s="25"/>
      <c r="AR806" s="25"/>
      <c r="AS806" s="25"/>
      <c r="AT806" s="25"/>
      <c r="AU806" s="25"/>
      <c r="AV806" s="25"/>
      <c r="AW806" s="25"/>
      <c r="AX806" s="25" t="str">
        <f>_xlfn.CONCAT($A807," ",$B807," ",$D807)</f>
        <v>2025 Rivian Automotive L R1T Performance Dual Large Plus (20in)</v>
      </c>
      <c r="AY806" s="25"/>
      <c r="AZ806" s="25"/>
      <c r="BA806" s="25"/>
      <c r="BB806" s="25"/>
      <c r="BC806" s="25"/>
      <c r="BD806" s="25"/>
      <c r="BE806" s="25"/>
      <c r="BF806" s="25"/>
      <c r="BG806" s="25"/>
      <c r="BH806" s="25"/>
      <c r="BI806" s="25"/>
      <c r="BJ806" s="25"/>
      <c r="BK806" s="25"/>
      <c r="BL806" s="25"/>
      <c r="BM806" s="25"/>
      <c r="BN806" s="25"/>
      <c r="BO806" s="25"/>
      <c r="BP806" s="25"/>
      <c r="BQ806" s="25"/>
      <c r="BR806" s="25" t="str">
        <f>_xlfn.CONCAT($A807," ",$B807," ",$D807)</f>
        <v>2025 Rivian Automotive L R1T Performance Dual Large Plus (20in)</v>
      </c>
      <c r="BS806" s="25"/>
      <c r="BT806" s="25"/>
      <c r="BU806" s="25"/>
      <c r="BV806" s="25"/>
      <c r="BX806" s="25"/>
      <c r="BY806" s="25"/>
      <c r="BZ806" s="25"/>
      <c r="CA806" s="25"/>
      <c r="CB806" s="25"/>
      <c r="CC806" s="25"/>
      <c r="CD806" s="25"/>
      <c r="CE806" s="25"/>
      <c r="CF806" s="25"/>
      <c r="CG806" s="25"/>
      <c r="CH806" s="25"/>
      <c r="CI806" s="25"/>
      <c r="CJ806" s="25"/>
      <c r="CK806" s="25"/>
      <c r="CL806" s="25"/>
      <c r="CM806" s="25"/>
      <c r="CN806" s="25"/>
      <c r="CO806" s="25"/>
      <c r="CP806" s="25" t="str">
        <f>_xlfn.CONCAT($A807," ",$B807," ",$D807)</f>
        <v>2025 Rivian Automotive L R1T Performance Dual Large Plus (20in)</v>
      </c>
      <c r="CQ806" s="25"/>
      <c r="CR806" s="25"/>
      <c r="CS806" s="25"/>
      <c r="CT806" s="25"/>
      <c r="CU806" s="25"/>
      <c r="CV806" s="25"/>
      <c r="CW806" s="25"/>
      <c r="CX806" s="25"/>
      <c r="CY806" s="25"/>
      <c r="CZ806" s="25"/>
      <c r="DA806" s="25"/>
      <c r="DB806" s="25"/>
      <c r="DC806" s="25"/>
      <c r="DD806" s="25"/>
      <c r="DE806" s="25"/>
      <c r="DF806" s="25"/>
      <c r="DG806" s="25"/>
      <c r="DH806" s="25"/>
      <c r="DI806" s="25" t="str">
        <f>_xlfn.CONCAT($A807," ",$B807," ",$D807)</f>
        <v>2025 Rivian Automotive L R1T Performance Dual Large Plus (20in)</v>
      </c>
      <c r="DJ806" s="25"/>
      <c r="DK806" s="25"/>
      <c r="DL806" s="25"/>
      <c r="DM806" s="25"/>
      <c r="DN806" s="25"/>
      <c r="DO806" s="25"/>
      <c r="DP806" s="25"/>
      <c r="DQ806" s="25"/>
      <c r="DR806" s="25"/>
      <c r="DS806" s="25"/>
      <c r="DT806" s="25"/>
      <c r="DU806" s="25"/>
      <c r="DV806" s="25"/>
      <c r="DW806" s="25"/>
      <c r="DX806" s="25"/>
      <c r="DY806" s="25"/>
      <c r="DZ806" s="25" t="str">
        <f>_xlfn.CONCAT($A807," ",$B807," ",$D807)</f>
        <v>2025 Rivian Automotive L R1T Performance Dual Large Plus (20in)</v>
      </c>
      <c r="EB806" s="25"/>
      <c r="EC806" s="25"/>
      <c r="ED806" s="25"/>
      <c r="EE806" s="25"/>
      <c r="EF806" s="25"/>
      <c r="EG806" s="25"/>
      <c r="EH806" s="25"/>
      <c r="EI806" s="25"/>
      <c r="EJ806" s="25"/>
      <c r="EK806" s="25"/>
      <c r="EL806" s="25"/>
      <c r="EM806" s="25"/>
      <c r="EN806" s="25"/>
      <c r="EO806" s="25"/>
      <c r="EP806" s="25"/>
      <c r="EQ806" s="25"/>
      <c r="ER806" s="25"/>
      <c r="ES806" s="25"/>
      <c r="ET806" s="25"/>
      <c r="EU806" s="25"/>
      <c r="EV806" s="25" t="str">
        <f>_xlfn.CONCAT($A807," ",$B807," ",$D807)</f>
        <v>2025 Rivian Automotive L R1T Performance Dual Large Plus (20in)</v>
      </c>
      <c r="EW806" s="25"/>
      <c r="EX806" s="25"/>
      <c r="EY806" s="25"/>
      <c r="EZ806" s="25"/>
      <c r="FA806" s="25"/>
      <c r="FB806" s="25"/>
      <c r="FC806" s="25"/>
      <c r="FD806" s="25"/>
      <c r="FE806" s="25"/>
      <c r="FF806" s="25"/>
      <c r="FG806" s="25"/>
    </row>
    <row r="807" spans="1:165" x14ac:dyDescent="0.35">
      <c r="A807">
        <v>2025</v>
      </c>
      <c r="B807" t="s">
        <v>2222</v>
      </c>
      <c r="C807" t="s">
        <v>2223</v>
      </c>
      <c r="D807" t="s">
        <v>2287</v>
      </c>
      <c r="E807" t="s">
        <v>2225</v>
      </c>
      <c r="F807">
        <v>85</v>
      </c>
      <c r="G807">
        <v>0</v>
      </c>
      <c r="I807" t="s">
        <v>1734</v>
      </c>
      <c r="J807">
        <v>85</v>
      </c>
      <c r="K807">
        <v>72</v>
      </c>
      <c r="L807">
        <v>78</v>
      </c>
      <c r="M807">
        <v>120.8</v>
      </c>
      <c r="N807">
        <v>102.2</v>
      </c>
      <c r="O807">
        <v>111.65560000000001</v>
      </c>
      <c r="P807">
        <v>84.56</v>
      </c>
      <c r="Q807">
        <v>71.540000000000006</v>
      </c>
      <c r="R807">
        <v>78.158900000000003</v>
      </c>
      <c r="V807" t="s">
        <v>167</v>
      </c>
      <c r="W807" t="s">
        <v>168</v>
      </c>
      <c r="Y807">
        <v>1</v>
      </c>
      <c r="Z807" t="s">
        <v>170</v>
      </c>
      <c r="AA807" t="s">
        <v>170</v>
      </c>
      <c r="AB807">
        <v>4</v>
      </c>
      <c r="AC807" t="s">
        <v>601</v>
      </c>
      <c r="AF807">
        <v>317</v>
      </c>
      <c r="AG807" t="s">
        <v>1735</v>
      </c>
      <c r="AH807" t="s">
        <v>1736</v>
      </c>
      <c r="AI807" t="s">
        <v>175</v>
      </c>
      <c r="AJ807" t="s">
        <v>176</v>
      </c>
      <c r="AK807">
        <v>4</v>
      </c>
      <c r="AL807" t="s">
        <v>1737</v>
      </c>
      <c r="AS807">
        <v>1050</v>
      </c>
      <c r="AT807">
        <v>1050</v>
      </c>
      <c r="BQ807">
        <v>13</v>
      </c>
      <c r="BR807" t="s">
        <v>1016</v>
      </c>
      <c r="BT807" t="s">
        <v>1769</v>
      </c>
      <c r="BU807" s="1">
        <v>45545</v>
      </c>
      <c r="BV807">
        <v>35509</v>
      </c>
      <c r="BY807" t="s">
        <v>170</v>
      </c>
      <c r="CB807" t="s">
        <v>170</v>
      </c>
      <c r="CC807" t="s">
        <v>170</v>
      </c>
      <c r="CK807" t="s">
        <v>233</v>
      </c>
      <c r="CM807">
        <v>1</v>
      </c>
      <c r="CN807" t="s">
        <v>234</v>
      </c>
      <c r="CP807">
        <v>392</v>
      </c>
      <c r="CQ807">
        <v>382</v>
      </c>
      <c r="CR807">
        <v>190</v>
      </c>
      <c r="CS807" t="s">
        <v>1752</v>
      </c>
      <c r="CV807" t="s">
        <v>341</v>
      </c>
      <c r="CX807" t="s">
        <v>342</v>
      </c>
      <c r="CY807" t="s">
        <v>169</v>
      </c>
      <c r="DC807" t="s">
        <v>2226</v>
      </c>
      <c r="DD807">
        <v>2</v>
      </c>
      <c r="DE807" t="s">
        <v>404</v>
      </c>
      <c r="DF807" t="s">
        <v>1860</v>
      </c>
      <c r="DG807" t="s">
        <v>2227</v>
      </c>
      <c r="DL807" t="s">
        <v>170</v>
      </c>
      <c r="DM807" t="s">
        <v>169</v>
      </c>
      <c r="DP807" t="s">
        <v>170</v>
      </c>
      <c r="DQ807" t="s">
        <v>187</v>
      </c>
      <c r="DR807" t="s">
        <v>2288</v>
      </c>
      <c r="EB807">
        <v>9</v>
      </c>
      <c r="EC807">
        <v>10</v>
      </c>
      <c r="EE807" t="s">
        <v>2229</v>
      </c>
      <c r="EF807">
        <v>10</v>
      </c>
      <c r="EU807">
        <v>4250</v>
      </c>
      <c r="EW807">
        <v>0</v>
      </c>
      <c r="EX807">
        <v>0</v>
      </c>
      <c r="EY807">
        <v>0</v>
      </c>
      <c r="FA807">
        <v>12</v>
      </c>
      <c r="FG807">
        <v>341</v>
      </c>
      <c r="FH807">
        <v>288</v>
      </c>
      <c r="FI807">
        <v>317</v>
      </c>
    </row>
    <row r="808" spans="1:165" x14ac:dyDescent="0.35">
      <c r="A808">
        <v>2025</v>
      </c>
      <c r="B808" t="s">
        <v>2222</v>
      </c>
      <c r="C808" t="s">
        <v>2223</v>
      </c>
      <c r="D808" t="s">
        <v>2287</v>
      </c>
      <c r="E808" t="s">
        <v>2225</v>
      </c>
      <c r="F808">
        <v>85</v>
      </c>
      <c r="G808">
        <v>0</v>
      </c>
      <c r="I808" t="s">
        <v>1734</v>
      </c>
      <c r="J808">
        <v>40</v>
      </c>
      <c r="K808">
        <v>47</v>
      </c>
      <c r="L808">
        <v>43</v>
      </c>
      <c r="M808">
        <v>27.901399999999999</v>
      </c>
      <c r="N808">
        <v>32.988999999999997</v>
      </c>
      <c r="O808">
        <v>30.190799999999999</v>
      </c>
      <c r="P808">
        <v>39.859299999999998</v>
      </c>
      <c r="Q808">
        <v>47.113500000000002</v>
      </c>
      <c r="R808">
        <v>43.123699999999999</v>
      </c>
      <c r="V808" t="s">
        <v>167</v>
      </c>
      <c r="W808" t="s">
        <v>168</v>
      </c>
      <c r="Y808">
        <v>1</v>
      </c>
      <c r="Z808" t="s">
        <v>170</v>
      </c>
      <c r="AA808" t="s">
        <v>170</v>
      </c>
      <c r="AB808">
        <v>4</v>
      </c>
      <c r="AC808" t="s">
        <v>601</v>
      </c>
      <c r="AF808">
        <v>317</v>
      </c>
      <c r="AG808" t="s">
        <v>1735</v>
      </c>
      <c r="AH808" t="s">
        <v>1736</v>
      </c>
      <c r="AI808" t="s">
        <v>1742</v>
      </c>
      <c r="AJ808" t="s">
        <v>1743</v>
      </c>
      <c r="AK808">
        <v>4</v>
      </c>
      <c r="AL808" t="s">
        <v>1737</v>
      </c>
      <c r="AS808">
        <v>1050</v>
      </c>
      <c r="AT808">
        <v>1050</v>
      </c>
      <c r="BQ808">
        <v>13</v>
      </c>
      <c r="BR808" t="s">
        <v>1016</v>
      </c>
      <c r="BT808" t="s">
        <v>1769</v>
      </c>
      <c r="BU808" s="1">
        <v>45545</v>
      </c>
      <c r="BV808">
        <v>35509</v>
      </c>
      <c r="BY808" t="s">
        <v>170</v>
      </c>
      <c r="CB808" t="s">
        <v>170</v>
      </c>
      <c r="CC808" t="s">
        <v>170</v>
      </c>
      <c r="CK808" t="s">
        <v>233</v>
      </c>
      <c r="CM808">
        <v>1</v>
      </c>
      <c r="CN808" t="s">
        <v>234</v>
      </c>
      <c r="CP808">
        <v>392</v>
      </c>
      <c r="CQ808">
        <v>382</v>
      </c>
      <c r="CR808">
        <v>190</v>
      </c>
      <c r="CS808" t="s">
        <v>1752</v>
      </c>
      <c r="CV808" t="s">
        <v>341</v>
      </c>
      <c r="CX808" t="s">
        <v>342</v>
      </c>
      <c r="CY808" t="s">
        <v>169</v>
      </c>
      <c r="DC808" t="s">
        <v>2226</v>
      </c>
      <c r="DD808">
        <v>2</v>
      </c>
      <c r="DE808" t="s">
        <v>404</v>
      </c>
      <c r="DF808" t="s">
        <v>1860</v>
      </c>
      <c r="DG808" t="s">
        <v>2227</v>
      </c>
      <c r="DL808" t="s">
        <v>170</v>
      </c>
      <c r="DM808" t="s">
        <v>169</v>
      </c>
      <c r="DP808" t="s">
        <v>170</v>
      </c>
      <c r="DQ808" t="s">
        <v>187</v>
      </c>
      <c r="DR808" t="s">
        <v>2288</v>
      </c>
      <c r="EB808">
        <v>9</v>
      </c>
      <c r="EC808">
        <v>10</v>
      </c>
      <c r="EE808" t="s">
        <v>2229</v>
      </c>
      <c r="EF808">
        <v>10</v>
      </c>
      <c r="EU808">
        <v>4250</v>
      </c>
      <c r="EW808">
        <v>0</v>
      </c>
      <c r="EX808">
        <v>0</v>
      </c>
      <c r="EY808">
        <v>0</v>
      </c>
      <c r="FA808">
        <v>12</v>
      </c>
      <c r="FG808">
        <v>341</v>
      </c>
      <c r="FH808">
        <v>288</v>
      </c>
      <c r="FI808">
        <v>317</v>
      </c>
    </row>
    <row r="809" spans="1:165" x14ac:dyDescent="0.35">
      <c r="A809" s="25"/>
      <c r="B809" s="25"/>
      <c r="C809" s="25"/>
      <c r="D809" s="25"/>
      <c r="E809" s="25"/>
      <c r="F809" s="25" t="str">
        <f>_xlfn.CONCAT($A810," ",$B810," ",$D810)</f>
        <v>2025 Rivian Automotive L R1S Performance Dual Large Plus (20in)</v>
      </c>
      <c r="G809" s="25"/>
      <c r="H809" s="25"/>
      <c r="I809" s="25"/>
      <c r="J809" s="25"/>
      <c r="K809" s="25"/>
      <c r="L809" s="25"/>
      <c r="M809" s="25"/>
      <c r="N809" s="25"/>
      <c r="O809" s="25"/>
      <c r="P809" s="25"/>
      <c r="Q809" s="25"/>
      <c r="R809" s="25"/>
      <c r="S809" s="25"/>
      <c r="T809" s="25"/>
      <c r="U809" s="25"/>
      <c r="V809" s="25"/>
      <c r="W809" s="25"/>
      <c r="X809" s="25"/>
      <c r="Y809" s="25"/>
      <c r="Z809" s="25"/>
      <c r="AA809" s="25"/>
      <c r="AB809" s="25"/>
      <c r="AC809" s="25"/>
      <c r="AD809" s="25" t="str">
        <f>_xlfn.CONCAT($A810," ",$B810," ",$D810)</f>
        <v>2025 Rivian Automotive L R1S Performance Dual Large Plus (20in)</v>
      </c>
      <c r="AE809" s="25"/>
      <c r="AF809" s="25"/>
      <c r="AG809" s="25"/>
      <c r="AH809" s="25"/>
      <c r="AI809" s="25"/>
      <c r="AJ809" s="25"/>
      <c r="AK809" s="25"/>
      <c r="AL809" s="25"/>
      <c r="AM809" s="25"/>
      <c r="AN809" s="25"/>
      <c r="AO809" s="25"/>
      <c r="AP809" s="25"/>
      <c r="AQ809" s="25"/>
      <c r="AR809" s="25"/>
      <c r="AS809" s="25"/>
      <c r="AT809" s="25"/>
      <c r="AU809" s="25"/>
      <c r="AV809" s="25"/>
      <c r="AW809" s="25"/>
      <c r="AX809" s="25" t="str">
        <f>_xlfn.CONCAT($A810," ",$B810," ",$D810)</f>
        <v>2025 Rivian Automotive L R1S Performance Dual Large Plus (20in)</v>
      </c>
      <c r="AY809" s="25"/>
      <c r="AZ809" s="25"/>
      <c r="BA809" s="25"/>
      <c r="BB809" s="25"/>
      <c r="BC809" s="25"/>
      <c r="BD809" s="25"/>
      <c r="BE809" s="25"/>
      <c r="BF809" s="25"/>
      <c r="BG809" s="25"/>
      <c r="BH809" s="25"/>
      <c r="BI809" s="25"/>
      <c r="BJ809" s="25"/>
      <c r="BK809" s="25"/>
      <c r="BL809" s="25"/>
      <c r="BM809" s="25"/>
      <c r="BN809" s="25"/>
      <c r="BO809" s="25"/>
      <c r="BP809" s="25"/>
      <c r="BQ809" s="25"/>
      <c r="BR809" s="25" t="str">
        <f>_xlfn.CONCAT($A810," ",$B810," ",$D810)</f>
        <v>2025 Rivian Automotive L R1S Performance Dual Large Plus (20in)</v>
      </c>
      <c r="BS809" s="25"/>
      <c r="BT809" s="25"/>
      <c r="BU809" s="25"/>
      <c r="BV809" s="25"/>
      <c r="BX809" s="25"/>
      <c r="BY809" s="25"/>
      <c r="BZ809" s="25"/>
      <c r="CA809" s="25"/>
      <c r="CB809" s="25"/>
      <c r="CC809" s="25"/>
      <c r="CD809" s="25"/>
      <c r="CE809" s="25"/>
      <c r="CF809" s="25"/>
      <c r="CG809" s="25"/>
      <c r="CH809" s="25"/>
      <c r="CI809" s="25"/>
      <c r="CJ809" s="25"/>
      <c r="CK809" s="25"/>
      <c r="CL809" s="25"/>
      <c r="CM809" s="25"/>
      <c r="CN809" s="25"/>
      <c r="CO809" s="25"/>
      <c r="CP809" s="25" t="str">
        <f>_xlfn.CONCAT($A810," ",$B810," ",$D810)</f>
        <v>2025 Rivian Automotive L R1S Performance Dual Large Plus (20in)</v>
      </c>
      <c r="CQ809" s="25"/>
      <c r="CR809" s="25"/>
      <c r="CS809" s="25"/>
      <c r="CT809" s="25"/>
      <c r="CU809" s="25"/>
      <c r="CV809" s="25"/>
      <c r="CW809" s="25"/>
      <c r="CX809" s="25"/>
      <c r="CY809" s="25"/>
      <c r="CZ809" s="25"/>
      <c r="DA809" s="25"/>
      <c r="DB809" s="25"/>
      <c r="DC809" s="25"/>
      <c r="DD809" s="25"/>
      <c r="DE809" s="25"/>
      <c r="DF809" s="25"/>
      <c r="DG809" s="25"/>
      <c r="DH809" s="25"/>
      <c r="DI809" s="25" t="str">
        <f>_xlfn.CONCAT($A810," ",$B810," ",$D810)</f>
        <v>2025 Rivian Automotive L R1S Performance Dual Large Plus (20in)</v>
      </c>
      <c r="DJ809" s="25"/>
      <c r="DK809" s="25"/>
      <c r="DL809" s="25"/>
      <c r="DM809" s="25"/>
      <c r="DN809" s="25"/>
      <c r="DO809" s="25"/>
      <c r="DP809" s="25"/>
      <c r="DQ809" s="25"/>
      <c r="DR809" s="25"/>
      <c r="DS809" s="25"/>
      <c r="DT809" s="25"/>
      <c r="DU809" s="25"/>
      <c r="DV809" s="25"/>
      <c r="DW809" s="25"/>
      <c r="DX809" s="25"/>
      <c r="DY809" s="25"/>
      <c r="DZ809" s="25" t="str">
        <f>_xlfn.CONCAT($A810," ",$B810," ",$D810)</f>
        <v>2025 Rivian Automotive L R1S Performance Dual Large Plus (20in)</v>
      </c>
      <c r="EB809" s="25"/>
      <c r="EC809" s="25"/>
      <c r="ED809" s="25"/>
      <c r="EE809" s="25"/>
      <c r="EF809" s="25"/>
      <c r="EG809" s="25"/>
      <c r="EH809" s="25"/>
      <c r="EI809" s="25"/>
      <c r="EJ809" s="25"/>
      <c r="EK809" s="25"/>
      <c r="EL809" s="25"/>
      <c r="EM809" s="25"/>
      <c r="EN809" s="25"/>
      <c r="EO809" s="25"/>
      <c r="EP809" s="25"/>
      <c r="EQ809" s="25"/>
      <c r="ER809" s="25"/>
      <c r="ES809" s="25"/>
      <c r="ET809" s="25"/>
      <c r="EU809" s="25"/>
      <c r="EV809" s="25" t="str">
        <f>_xlfn.CONCAT($A810," ",$B810," ",$D810)</f>
        <v>2025 Rivian Automotive L R1S Performance Dual Large Plus (20in)</v>
      </c>
      <c r="EW809" s="25"/>
      <c r="EX809" s="25"/>
      <c r="EY809" s="25"/>
      <c r="EZ809" s="25"/>
      <c r="FA809" s="25"/>
      <c r="FB809" s="25"/>
      <c r="FC809" s="25"/>
      <c r="FD809" s="25"/>
      <c r="FE809" s="25"/>
      <c r="FF809" s="25"/>
      <c r="FG809" s="25"/>
    </row>
    <row r="810" spans="1:165" x14ac:dyDescent="0.35">
      <c r="A810">
        <v>2025</v>
      </c>
      <c r="B810" t="s">
        <v>2222</v>
      </c>
      <c r="C810" t="s">
        <v>2223</v>
      </c>
      <c r="D810" t="s">
        <v>2256</v>
      </c>
      <c r="E810" t="s">
        <v>2225</v>
      </c>
      <c r="F810">
        <v>86</v>
      </c>
      <c r="G810">
        <v>0</v>
      </c>
      <c r="I810" t="s">
        <v>1734</v>
      </c>
      <c r="J810">
        <v>85</v>
      </c>
      <c r="K810">
        <v>72</v>
      </c>
      <c r="L810">
        <v>78</v>
      </c>
      <c r="M810">
        <v>120.8</v>
      </c>
      <c r="N810">
        <v>102.2</v>
      </c>
      <c r="O810">
        <v>111.65560000000001</v>
      </c>
      <c r="P810">
        <v>84.56</v>
      </c>
      <c r="Q810">
        <v>71.540000000000006</v>
      </c>
      <c r="R810">
        <v>78.158900000000003</v>
      </c>
      <c r="V810" t="s">
        <v>167</v>
      </c>
      <c r="W810" t="s">
        <v>168</v>
      </c>
      <c r="Y810">
        <v>1</v>
      </c>
      <c r="Z810" t="s">
        <v>170</v>
      </c>
      <c r="AA810" t="s">
        <v>170</v>
      </c>
      <c r="AB810">
        <v>4</v>
      </c>
      <c r="AC810" t="s">
        <v>601</v>
      </c>
      <c r="AF810">
        <v>317</v>
      </c>
      <c r="AG810" t="s">
        <v>1735</v>
      </c>
      <c r="AH810" t="s">
        <v>1736</v>
      </c>
      <c r="AI810" t="s">
        <v>175</v>
      </c>
      <c r="AJ810" t="s">
        <v>176</v>
      </c>
      <c r="AK810">
        <v>4</v>
      </c>
      <c r="AL810" t="s">
        <v>1737</v>
      </c>
      <c r="AS810">
        <v>1050</v>
      </c>
      <c r="AT810">
        <v>50</v>
      </c>
      <c r="BQ810">
        <v>33</v>
      </c>
      <c r="BR810" t="s">
        <v>1497</v>
      </c>
      <c r="BT810" t="s">
        <v>1769</v>
      </c>
      <c r="BU810" s="1">
        <v>45545</v>
      </c>
      <c r="BV810">
        <v>35508</v>
      </c>
      <c r="BY810" t="s">
        <v>170</v>
      </c>
      <c r="CB810" t="s">
        <v>170</v>
      </c>
      <c r="CC810" t="s">
        <v>170</v>
      </c>
      <c r="CK810" t="s">
        <v>233</v>
      </c>
      <c r="CM810">
        <v>1</v>
      </c>
      <c r="CN810" t="s">
        <v>234</v>
      </c>
      <c r="CP810">
        <v>392</v>
      </c>
      <c r="CQ810">
        <v>382</v>
      </c>
      <c r="CR810">
        <v>190</v>
      </c>
      <c r="CS810" t="s">
        <v>1752</v>
      </c>
      <c r="CV810" t="s">
        <v>341</v>
      </c>
      <c r="CX810" t="s">
        <v>342</v>
      </c>
      <c r="CY810" t="s">
        <v>169</v>
      </c>
      <c r="DC810" t="s">
        <v>2226</v>
      </c>
      <c r="DD810">
        <v>2</v>
      </c>
      <c r="DE810" t="s">
        <v>404</v>
      </c>
      <c r="DF810" t="s">
        <v>1860</v>
      </c>
      <c r="DG810">
        <v>264</v>
      </c>
      <c r="DL810" t="s">
        <v>170</v>
      </c>
      <c r="DM810" t="s">
        <v>169</v>
      </c>
      <c r="DP810" t="s">
        <v>170</v>
      </c>
      <c r="DQ810" t="s">
        <v>187</v>
      </c>
      <c r="DR810" t="s">
        <v>2257</v>
      </c>
      <c r="EB810">
        <v>9</v>
      </c>
      <c r="EC810">
        <v>10</v>
      </c>
      <c r="EE810" t="s">
        <v>2229</v>
      </c>
      <c r="EF810">
        <v>10</v>
      </c>
      <c r="EU810">
        <v>4250</v>
      </c>
      <c r="EW810">
        <v>0</v>
      </c>
      <c r="EX810">
        <v>0</v>
      </c>
      <c r="EY810">
        <v>0</v>
      </c>
      <c r="FA810">
        <v>12</v>
      </c>
      <c r="FG810">
        <v>341</v>
      </c>
      <c r="FH810">
        <v>288</v>
      </c>
      <c r="FI810">
        <v>317</v>
      </c>
    </row>
    <row r="811" spans="1:165" x14ac:dyDescent="0.35">
      <c r="A811">
        <v>2025</v>
      </c>
      <c r="B811" t="s">
        <v>2222</v>
      </c>
      <c r="C811" t="s">
        <v>2223</v>
      </c>
      <c r="D811" t="s">
        <v>2256</v>
      </c>
      <c r="E811" t="s">
        <v>2225</v>
      </c>
      <c r="F811">
        <v>86</v>
      </c>
      <c r="G811">
        <v>0</v>
      </c>
      <c r="I811" t="s">
        <v>1734</v>
      </c>
      <c r="J811">
        <v>40</v>
      </c>
      <c r="K811">
        <v>47</v>
      </c>
      <c r="L811">
        <v>43</v>
      </c>
      <c r="M811">
        <v>27.901399999999999</v>
      </c>
      <c r="N811">
        <v>32.988999999999997</v>
      </c>
      <c r="O811">
        <v>30.190799999999999</v>
      </c>
      <c r="P811">
        <v>39.859299999999998</v>
      </c>
      <c r="Q811">
        <v>47.113500000000002</v>
      </c>
      <c r="R811">
        <v>43.123699999999999</v>
      </c>
      <c r="V811" t="s">
        <v>167</v>
      </c>
      <c r="W811" t="s">
        <v>168</v>
      </c>
      <c r="Y811">
        <v>1</v>
      </c>
      <c r="Z811" t="s">
        <v>170</v>
      </c>
      <c r="AA811" t="s">
        <v>170</v>
      </c>
      <c r="AB811">
        <v>4</v>
      </c>
      <c r="AC811" t="s">
        <v>601</v>
      </c>
      <c r="AF811">
        <v>317</v>
      </c>
      <c r="AG811" t="s">
        <v>1735</v>
      </c>
      <c r="AH811" t="s">
        <v>1736</v>
      </c>
      <c r="AI811" t="s">
        <v>1742</v>
      </c>
      <c r="AJ811" t="s">
        <v>1743</v>
      </c>
      <c r="AK811">
        <v>4</v>
      </c>
      <c r="AL811" t="s">
        <v>1737</v>
      </c>
      <c r="AS811">
        <v>1050</v>
      </c>
      <c r="AT811">
        <v>1050</v>
      </c>
      <c r="BQ811">
        <v>33</v>
      </c>
      <c r="BR811" t="s">
        <v>1497</v>
      </c>
      <c r="BT811" t="s">
        <v>1769</v>
      </c>
      <c r="BU811" s="1">
        <v>45545</v>
      </c>
      <c r="BV811">
        <v>35508</v>
      </c>
      <c r="BY811" t="s">
        <v>170</v>
      </c>
      <c r="CB811" t="s">
        <v>170</v>
      </c>
      <c r="CC811" t="s">
        <v>170</v>
      </c>
      <c r="CK811" t="s">
        <v>233</v>
      </c>
      <c r="CM811">
        <v>1</v>
      </c>
      <c r="CN811" t="s">
        <v>234</v>
      </c>
      <c r="CP811">
        <v>392</v>
      </c>
      <c r="CQ811">
        <v>382</v>
      </c>
      <c r="CR811">
        <v>190</v>
      </c>
      <c r="CS811" t="s">
        <v>1752</v>
      </c>
      <c r="CV811" t="s">
        <v>341</v>
      </c>
      <c r="CX811" t="s">
        <v>342</v>
      </c>
      <c r="CY811" t="s">
        <v>169</v>
      </c>
      <c r="DC811" t="s">
        <v>2226</v>
      </c>
      <c r="DD811">
        <v>2</v>
      </c>
      <c r="DE811" t="s">
        <v>404</v>
      </c>
      <c r="DF811" t="s">
        <v>1860</v>
      </c>
      <c r="DG811">
        <v>264</v>
      </c>
      <c r="DL811" t="s">
        <v>170</v>
      </c>
      <c r="DM811" t="s">
        <v>169</v>
      </c>
      <c r="DP811" t="s">
        <v>170</v>
      </c>
      <c r="DQ811" t="s">
        <v>187</v>
      </c>
      <c r="DR811" t="s">
        <v>2257</v>
      </c>
      <c r="EB811">
        <v>9</v>
      </c>
      <c r="EC811">
        <v>10</v>
      </c>
      <c r="EE811" t="s">
        <v>2229</v>
      </c>
      <c r="EF811">
        <v>10</v>
      </c>
      <c r="EU811">
        <v>4250</v>
      </c>
      <c r="EW811">
        <v>0</v>
      </c>
      <c r="EX811">
        <v>0</v>
      </c>
      <c r="EY811">
        <v>0</v>
      </c>
      <c r="FA811">
        <v>12</v>
      </c>
      <c r="FG811">
        <v>341</v>
      </c>
      <c r="FH811">
        <v>288</v>
      </c>
      <c r="FI811">
        <v>317</v>
      </c>
    </row>
    <row r="812" spans="1:165" x14ac:dyDescent="0.35">
      <c r="A812" s="25"/>
      <c r="B812" s="25"/>
      <c r="C812" s="25"/>
      <c r="D812" s="25"/>
      <c r="E812" s="25"/>
      <c r="F812" s="25" t="str">
        <f>_xlfn.CONCAT($A813," ",$B813," ",$D813)</f>
        <v>2025 Rivian Automotive L R1T Tri Max (22in)</v>
      </c>
      <c r="G812" s="25"/>
      <c r="H812" s="25"/>
      <c r="I812" s="25"/>
      <c r="J812" s="25"/>
      <c r="K812" s="25"/>
      <c r="L812" s="25"/>
      <c r="M812" s="25"/>
      <c r="N812" s="25"/>
      <c r="O812" s="25"/>
      <c r="P812" s="25"/>
      <c r="Q812" s="25"/>
      <c r="R812" s="25"/>
      <c r="S812" s="25"/>
      <c r="T812" s="25"/>
      <c r="U812" s="25"/>
      <c r="V812" s="25"/>
      <c r="W812" s="25"/>
      <c r="X812" s="25"/>
      <c r="Y812" s="25"/>
      <c r="Z812" s="25"/>
      <c r="AA812" s="25"/>
      <c r="AB812" s="25"/>
      <c r="AC812" s="25"/>
      <c r="AD812" s="25" t="str">
        <f>_xlfn.CONCAT($A813," ",$B813," ",$D813)</f>
        <v>2025 Rivian Automotive L R1T Tri Max (22in)</v>
      </c>
      <c r="AE812" s="25"/>
      <c r="AF812" s="25"/>
      <c r="AG812" s="25"/>
      <c r="AH812" s="25"/>
      <c r="AI812" s="25"/>
      <c r="AJ812" s="25"/>
      <c r="AK812" s="25"/>
      <c r="AL812" s="25"/>
      <c r="AM812" s="25"/>
      <c r="AN812" s="25"/>
      <c r="AO812" s="25"/>
      <c r="AP812" s="25"/>
      <c r="AQ812" s="25"/>
      <c r="AR812" s="25"/>
      <c r="AS812" s="25"/>
      <c r="AT812" s="25"/>
      <c r="AU812" s="25"/>
      <c r="AV812" s="25"/>
      <c r="AW812" s="25"/>
      <c r="AX812" s="25" t="str">
        <f>_xlfn.CONCAT($A813," ",$B813," ",$D813)</f>
        <v>2025 Rivian Automotive L R1T Tri Max (22in)</v>
      </c>
      <c r="AY812" s="25"/>
      <c r="AZ812" s="25"/>
      <c r="BA812" s="25"/>
      <c r="BB812" s="25"/>
      <c r="BC812" s="25"/>
      <c r="BD812" s="25"/>
      <c r="BE812" s="25"/>
      <c r="BF812" s="25"/>
      <c r="BG812" s="25"/>
      <c r="BH812" s="25"/>
      <c r="BI812" s="25"/>
      <c r="BJ812" s="25"/>
      <c r="BK812" s="25"/>
      <c r="BL812" s="25"/>
      <c r="BM812" s="25"/>
      <c r="BN812" s="25"/>
      <c r="BO812" s="25"/>
      <c r="BP812" s="25"/>
      <c r="BQ812" s="25"/>
      <c r="BR812" s="25" t="str">
        <f>_xlfn.CONCAT($A813," ",$B813," ",$D813)</f>
        <v>2025 Rivian Automotive L R1T Tri Max (22in)</v>
      </c>
      <c r="BS812" s="25"/>
      <c r="BT812" s="25"/>
      <c r="BU812" s="25"/>
      <c r="BV812" s="25"/>
      <c r="BX812" s="25"/>
      <c r="BY812" s="25"/>
      <c r="BZ812" s="25"/>
      <c r="CA812" s="25"/>
      <c r="CB812" s="25"/>
      <c r="CC812" s="25"/>
      <c r="CD812" s="25"/>
      <c r="CE812" s="25"/>
      <c r="CF812" s="25"/>
      <c r="CG812" s="25"/>
      <c r="CH812" s="25"/>
      <c r="CI812" s="25"/>
      <c r="CJ812" s="25"/>
      <c r="CK812" s="25"/>
      <c r="CL812" s="25"/>
      <c r="CM812" s="25"/>
      <c r="CN812" s="25"/>
      <c r="CO812" s="25"/>
      <c r="CP812" s="25" t="str">
        <f>_xlfn.CONCAT($A813," ",$B813," ",$D813)</f>
        <v>2025 Rivian Automotive L R1T Tri Max (22in)</v>
      </c>
      <c r="CQ812" s="25"/>
      <c r="CR812" s="25"/>
      <c r="CS812" s="25"/>
      <c r="CT812" s="25"/>
      <c r="CU812" s="25"/>
      <c r="CV812" s="25"/>
      <c r="CW812" s="25"/>
      <c r="CX812" s="25"/>
      <c r="CY812" s="25"/>
      <c r="CZ812" s="25"/>
      <c r="DA812" s="25"/>
      <c r="DB812" s="25"/>
      <c r="DC812" s="25"/>
      <c r="DD812" s="25"/>
      <c r="DE812" s="25"/>
      <c r="DF812" s="25"/>
      <c r="DG812" s="25"/>
      <c r="DH812" s="25"/>
      <c r="DI812" s="25" t="str">
        <f>_xlfn.CONCAT($A813," ",$B813," ",$D813)</f>
        <v>2025 Rivian Automotive L R1T Tri Max (22in)</v>
      </c>
      <c r="DJ812" s="25"/>
      <c r="DK812" s="25"/>
      <c r="DL812" s="25"/>
      <c r="DM812" s="25"/>
      <c r="DN812" s="25"/>
      <c r="DO812" s="25"/>
      <c r="DP812" s="25"/>
      <c r="DQ812" s="25"/>
      <c r="DR812" s="25"/>
      <c r="DS812" s="25"/>
      <c r="DT812" s="25"/>
      <c r="DU812" s="25"/>
      <c r="DV812" s="25"/>
      <c r="DW812" s="25"/>
      <c r="DX812" s="25"/>
      <c r="DY812" s="25"/>
      <c r="DZ812" s="25" t="str">
        <f>_xlfn.CONCAT($A813," ",$B813," ",$D813)</f>
        <v>2025 Rivian Automotive L R1T Tri Max (22in)</v>
      </c>
      <c r="EB812" s="25"/>
      <c r="EC812" s="25"/>
      <c r="ED812" s="25"/>
      <c r="EE812" s="25"/>
      <c r="EF812" s="25"/>
      <c r="EG812" s="25"/>
      <c r="EH812" s="25"/>
      <c r="EI812" s="25"/>
      <c r="EJ812" s="25"/>
      <c r="EK812" s="25"/>
      <c r="EL812" s="25"/>
      <c r="EM812" s="25"/>
      <c r="EN812" s="25"/>
      <c r="EO812" s="25"/>
      <c r="EP812" s="25"/>
      <c r="EQ812" s="25"/>
      <c r="ER812" s="25"/>
      <c r="ES812" s="25"/>
      <c r="ET812" s="25"/>
      <c r="EU812" s="25"/>
      <c r="EV812" s="25" t="str">
        <f>_xlfn.CONCAT($A813," ",$B813," ",$D813)</f>
        <v>2025 Rivian Automotive L R1T Tri Max (22in)</v>
      </c>
      <c r="EW812" s="25"/>
      <c r="EX812" s="25"/>
      <c r="EY812" s="25"/>
      <c r="EZ812" s="25"/>
      <c r="FA812" s="25"/>
      <c r="FB812" s="25"/>
      <c r="FC812" s="25"/>
      <c r="FD812" s="25"/>
      <c r="FE812" s="25"/>
      <c r="FF812" s="25"/>
      <c r="FG812" s="25"/>
    </row>
    <row r="813" spans="1:165" x14ac:dyDescent="0.35">
      <c r="A813">
        <v>2025</v>
      </c>
      <c r="B813" t="s">
        <v>2222</v>
      </c>
      <c r="C813" t="s">
        <v>2223</v>
      </c>
      <c r="D813" t="s">
        <v>2426</v>
      </c>
      <c r="E813" t="s">
        <v>2225</v>
      </c>
      <c r="F813">
        <v>87</v>
      </c>
      <c r="G813">
        <v>0</v>
      </c>
      <c r="I813" t="s">
        <v>1734</v>
      </c>
      <c r="J813">
        <v>81</v>
      </c>
      <c r="K813">
        <v>70</v>
      </c>
      <c r="L813">
        <v>76</v>
      </c>
      <c r="M813">
        <v>113.6</v>
      </c>
      <c r="N813">
        <v>98</v>
      </c>
      <c r="O813">
        <v>106.0065</v>
      </c>
      <c r="P813">
        <v>81.036600000000007</v>
      </c>
      <c r="Q813">
        <v>69.908299999999997</v>
      </c>
      <c r="R813">
        <v>75.619699999999995</v>
      </c>
      <c r="V813" t="s">
        <v>167</v>
      </c>
      <c r="W813" t="s">
        <v>168</v>
      </c>
      <c r="Y813">
        <v>1</v>
      </c>
      <c r="Z813" t="s">
        <v>170</v>
      </c>
      <c r="AA813" t="s">
        <v>170</v>
      </c>
      <c r="AB813">
        <v>4</v>
      </c>
      <c r="AC813" t="s">
        <v>601</v>
      </c>
      <c r="AF813">
        <v>371</v>
      </c>
      <c r="AG813" t="s">
        <v>1735</v>
      </c>
      <c r="AH813" t="s">
        <v>1736</v>
      </c>
      <c r="AI813" t="s">
        <v>175</v>
      </c>
      <c r="AJ813" t="s">
        <v>176</v>
      </c>
      <c r="AK813">
        <v>4</v>
      </c>
      <c r="AL813" t="s">
        <v>1737</v>
      </c>
      <c r="AS813">
        <v>11000</v>
      </c>
      <c r="AT813">
        <v>50</v>
      </c>
      <c r="BQ813">
        <v>13</v>
      </c>
      <c r="BR813" t="s">
        <v>1016</v>
      </c>
      <c r="BT813" t="s">
        <v>1769</v>
      </c>
      <c r="BU813" s="1">
        <v>46999</v>
      </c>
      <c r="BV813">
        <v>36605</v>
      </c>
      <c r="BY813" t="s">
        <v>170</v>
      </c>
      <c r="CB813" t="s">
        <v>170</v>
      </c>
      <c r="CC813" t="s">
        <v>170</v>
      </c>
      <c r="CK813" t="s">
        <v>233</v>
      </c>
      <c r="CM813">
        <v>1</v>
      </c>
      <c r="CN813" t="s">
        <v>234</v>
      </c>
      <c r="CP813">
        <v>392</v>
      </c>
      <c r="CQ813">
        <v>382</v>
      </c>
      <c r="CR813">
        <v>190</v>
      </c>
      <c r="CS813" t="s">
        <v>1752</v>
      </c>
      <c r="CV813" t="s">
        <v>341</v>
      </c>
      <c r="CX813" t="s">
        <v>342</v>
      </c>
      <c r="CY813" t="s">
        <v>169</v>
      </c>
      <c r="DC813" t="s">
        <v>2237</v>
      </c>
      <c r="DD813">
        <v>3</v>
      </c>
      <c r="DE813" t="s">
        <v>404</v>
      </c>
      <c r="DF813" t="s">
        <v>1860</v>
      </c>
      <c r="DG813" t="s">
        <v>2238</v>
      </c>
      <c r="DL813" t="s">
        <v>170</v>
      </c>
      <c r="DM813" t="s">
        <v>169</v>
      </c>
      <c r="DP813" t="s">
        <v>170</v>
      </c>
      <c r="DQ813" t="s">
        <v>187</v>
      </c>
      <c r="DR813" t="s">
        <v>2427</v>
      </c>
      <c r="EB813">
        <v>9</v>
      </c>
      <c r="EC813">
        <v>10</v>
      </c>
      <c r="EE813" t="s">
        <v>2240</v>
      </c>
      <c r="EF813">
        <v>10</v>
      </c>
      <c r="EU813">
        <v>4000</v>
      </c>
      <c r="EW813">
        <v>0</v>
      </c>
      <c r="EX813">
        <v>0</v>
      </c>
      <c r="EY813">
        <v>0</v>
      </c>
      <c r="FA813">
        <v>15</v>
      </c>
      <c r="FG813">
        <v>395</v>
      </c>
      <c r="FH813">
        <v>341</v>
      </c>
      <c r="FI813">
        <v>371</v>
      </c>
    </row>
    <row r="814" spans="1:165" x14ac:dyDescent="0.35">
      <c r="A814">
        <v>2025</v>
      </c>
      <c r="B814" t="s">
        <v>2222</v>
      </c>
      <c r="C814" t="s">
        <v>2223</v>
      </c>
      <c r="D814" t="s">
        <v>2426</v>
      </c>
      <c r="E814" t="s">
        <v>2225</v>
      </c>
      <c r="F814">
        <v>87</v>
      </c>
      <c r="G814">
        <v>0</v>
      </c>
      <c r="I814" t="s">
        <v>1734</v>
      </c>
      <c r="J814">
        <v>42</v>
      </c>
      <c r="K814">
        <v>48</v>
      </c>
      <c r="L814">
        <v>45</v>
      </c>
      <c r="M814">
        <v>29.672999999999998</v>
      </c>
      <c r="N814">
        <v>34.404600000000002</v>
      </c>
      <c r="O814">
        <v>31.802199999999999</v>
      </c>
      <c r="P814">
        <v>41.592300000000002</v>
      </c>
      <c r="Q814">
        <v>48.213200000000001</v>
      </c>
      <c r="R814">
        <v>44.5717</v>
      </c>
      <c r="V814" t="s">
        <v>167</v>
      </c>
      <c r="W814" t="s">
        <v>168</v>
      </c>
      <c r="Y814">
        <v>1</v>
      </c>
      <c r="Z814" t="s">
        <v>170</v>
      </c>
      <c r="AA814" t="s">
        <v>170</v>
      </c>
      <c r="AB814">
        <v>4</v>
      </c>
      <c r="AC814" t="s">
        <v>601</v>
      </c>
      <c r="AF814">
        <v>371</v>
      </c>
      <c r="AG814" t="s">
        <v>1735</v>
      </c>
      <c r="AH814" t="s">
        <v>1736</v>
      </c>
      <c r="AI814" t="s">
        <v>1742</v>
      </c>
      <c r="AJ814" t="s">
        <v>1743</v>
      </c>
      <c r="AK814">
        <v>4</v>
      </c>
      <c r="AL814" t="s">
        <v>1737</v>
      </c>
      <c r="AS814">
        <v>1000</v>
      </c>
      <c r="AT814">
        <v>1100</v>
      </c>
      <c r="BQ814">
        <v>13</v>
      </c>
      <c r="BR814" t="s">
        <v>1016</v>
      </c>
      <c r="BT814" t="s">
        <v>1769</v>
      </c>
      <c r="BU814" s="1">
        <v>46999</v>
      </c>
      <c r="BV814">
        <v>36605</v>
      </c>
      <c r="BY814" t="s">
        <v>170</v>
      </c>
      <c r="CB814" t="s">
        <v>170</v>
      </c>
      <c r="CC814" t="s">
        <v>170</v>
      </c>
      <c r="CK814" t="s">
        <v>233</v>
      </c>
      <c r="CM814">
        <v>1</v>
      </c>
      <c r="CN814" t="s">
        <v>234</v>
      </c>
      <c r="CP814">
        <v>392</v>
      </c>
      <c r="CQ814">
        <v>382</v>
      </c>
      <c r="CR814">
        <v>190</v>
      </c>
      <c r="CS814" t="s">
        <v>1752</v>
      </c>
      <c r="CV814" t="s">
        <v>341</v>
      </c>
      <c r="CX814" t="s">
        <v>342</v>
      </c>
      <c r="CY814" t="s">
        <v>169</v>
      </c>
      <c r="DC814" t="s">
        <v>2237</v>
      </c>
      <c r="DD814">
        <v>3</v>
      </c>
      <c r="DE814" t="s">
        <v>404</v>
      </c>
      <c r="DF814" t="s">
        <v>1860</v>
      </c>
      <c r="DG814" t="s">
        <v>2238</v>
      </c>
      <c r="DL814" t="s">
        <v>170</v>
      </c>
      <c r="DM814" t="s">
        <v>169</v>
      </c>
      <c r="DP814" t="s">
        <v>170</v>
      </c>
      <c r="DQ814" t="s">
        <v>187</v>
      </c>
      <c r="DR814" t="s">
        <v>2427</v>
      </c>
      <c r="EB814">
        <v>9</v>
      </c>
      <c r="EC814">
        <v>10</v>
      </c>
      <c r="EE814" t="s">
        <v>2240</v>
      </c>
      <c r="EF814">
        <v>10</v>
      </c>
      <c r="EU814">
        <v>4000</v>
      </c>
      <c r="EW814">
        <v>0</v>
      </c>
      <c r="EX814">
        <v>0</v>
      </c>
      <c r="EY814">
        <v>0</v>
      </c>
      <c r="FA814">
        <v>15</v>
      </c>
      <c r="FG814">
        <v>395</v>
      </c>
      <c r="FH814">
        <v>341</v>
      </c>
      <c r="FI814">
        <v>371</v>
      </c>
    </row>
    <row r="815" spans="1:165" x14ac:dyDescent="0.35">
      <c r="A815" s="25"/>
      <c r="B815" s="25"/>
      <c r="C815" s="25"/>
      <c r="D815" s="25"/>
      <c r="E815" s="25"/>
      <c r="F815" s="25" t="str">
        <f>_xlfn.CONCAT($A816," ",$B816," ",$D816)</f>
        <v>2025 Rivian Automotive L R1S Tri Max (22in)</v>
      </c>
      <c r="G815" s="25"/>
      <c r="H815" s="25"/>
      <c r="I815" s="25"/>
      <c r="J815" s="25"/>
      <c r="K815" s="25"/>
      <c r="L815" s="25"/>
      <c r="M815" s="25"/>
      <c r="N815" s="25"/>
      <c r="O815" s="25"/>
      <c r="P815" s="25"/>
      <c r="Q815" s="25"/>
      <c r="R815" s="25"/>
      <c r="S815" s="25"/>
      <c r="T815" s="25"/>
      <c r="U815" s="25"/>
      <c r="V815" s="25"/>
      <c r="W815" s="25"/>
      <c r="X815" s="25"/>
      <c r="Y815" s="25"/>
      <c r="Z815" s="25"/>
      <c r="AA815" s="25"/>
      <c r="AB815" s="25"/>
      <c r="AC815" s="25"/>
      <c r="AD815" s="25" t="str">
        <f>_xlfn.CONCAT($A816," ",$B816," ",$D816)</f>
        <v>2025 Rivian Automotive L R1S Tri Max (22in)</v>
      </c>
      <c r="AE815" s="25"/>
      <c r="AF815" s="25"/>
      <c r="AG815" s="25"/>
      <c r="AH815" s="25"/>
      <c r="AI815" s="25"/>
      <c r="AJ815" s="25"/>
      <c r="AK815" s="25"/>
      <c r="AL815" s="25"/>
      <c r="AM815" s="25"/>
      <c r="AN815" s="25"/>
      <c r="AO815" s="25"/>
      <c r="AP815" s="25"/>
      <c r="AQ815" s="25"/>
      <c r="AR815" s="25"/>
      <c r="AS815" s="25"/>
      <c r="AT815" s="25"/>
      <c r="AU815" s="25"/>
      <c r="AV815" s="25"/>
      <c r="AW815" s="25"/>
      <c r="AX815" s="25" t="str">
        <f>_xlfn.CONCAT($A816," ",$B816," ",$D816)</f>
        <v>2025 Rivian Automotive L R1S Tri Max (22in)</v>
      </c>
      <c r="AY815" s="25"/>
      <c r="AZ815" s="25"/>
      <c r="BA815" s="25"/>
      <c r="BB815" s="25"/>
      <c r="BC815" s="25"/>
      <c r="BD815" s="25"/>
      <c r="BE815" s="25"/>
      <c r="BF815" s="25"/>
      <c r="BG815" s="25"/>
      <c r="BH815" s="25"/>
      <c r="BI815" s="25"/>
      <c r="BJ815" s="25"/>
      <c r="BK815" s="25"/>
      <c r="BL815" s="25"/>
      <c r="BM815" s="25"/>
      <c r="BN815" s="25"/>
      <c r="BO815" s="25"/>
      <c r="BP815" s="25"/>
      <c r="BQ815" s="25"/>
      <c r="BR815" s="25" t="str">
        <f>_xlfn.CONCAT($A816," ",$B816," ",$D816)</f>
        <v>2025 Rivian Automotive L R1S Tri Max (22in)</v>
      </c>
      <c r="BS815" s="25"/>
      <c r="BT815" s="25"/>
      <c r="BU815" s="25"/>
      <c r="BV815" s="25"/>
      <c r="BX815" s="25"/>
      <c r="BY815" s="25"/>
      <c r="BZ815" s="25"/>
      <c r="CA815" s="25"/>
      <c r="CB815" s="25"/>
      <c r="CC815" s="25"/>
      <c r="CD815" s="25"/>
      <c r="CE815" s="25"/>
      <c r="CF815" s="25"/>
      <c r="CG815" s="25"/>
      <c r="CH815" s="25"/>
      <c r="CI815" s="25"/>
      <c r="CJ815" s="25"/>
      <c r="CK815" s="25"/>
      <c r="CL815" s="25"/>
      <c r="CM815" s="25"/>
      <c r="CN815" s="25"/>
      <c r="CO815" s="25"/>
      <c r="CP815" s="25" t="str">
        <f>_xlfn.CONCAT($A816," ",$B816," ",$D816)</f>
        <v>2025 Rivian Automotive L R1S Tri Max (22in)</v>
      </c>
      <c r="CQ815" s="25"/>
      <c r="CR815" s="25"/>
      <c r="CS815" s="25"/>
      <c r="CT815" s="25"/>
      <c r="CU815" s="25"/>
      <c r="CV815" s="25"/>
      <c r="CW815" s="25"/>
      <c r="CX815" s="25"/>
      <c r="CY815" s="25"/>
      <c r="CZ815" s="25"/>
      <c r="DA815" s="25"/>
      <c r="DB815" s="25"/>
      <c r="DC815" s="25"/>
      <c r="DD815" s="25"/>
      <c r="DE815" s="25"/>
      <c r="DF815" s="25"/>
      <c r="DG815" s="25"/>
      <c r="DH815" s="25"/>
      <c r="DI815" s="25" t="str">
        <f>_xlfn.CONCAT($A816," ",$B816," ",$D816)</f>
        <v>2025 Rivian Automotive L R1S Tri Max (22in)</v>
      </c>
      <c r="DJ815" s="25"/>
      <c r="DK815" s="25"/>
      <c r="DL815" s="25"/>
      <c r="DM815" s="25"/>
      <c r="DN815" s="25"/>
      <c r="DO815" s="25"/>
      <c r="DP815" s="25"/>
      <c r="DQ815" s="25"/>
      <c r="DR815" s="25"/>
      <c r="DS815" s="25"/>
      <c r="DT815" s="25"/>
      <c r="DU815" s="25"/>
      <c r="DV815" s="25"/>
      <c r="DW815" s="25"/>
      <c r="DX815" s="25"/>
      <c r="DY815" s="25"/>
      <c r="DZ815" s="25" t="str">
        <f>_xlfn.CONCAT($A816," ",$B816," ",$D816)</f>
        <v>2025 Rivian Automotive L R1S Tri Max (22in)</v>
      </c>
      <c r="EB815" s="25"/>
      <c r="EC815" s="25"/>
      <c r="ED815" s="25"/>
      <c r="EE815" s="25"/>
      <c r="EF815" s="25"/>
      <c r="EG815" s="25"/>
      <c r="EH815" s="25"/>
      <c r="EI815" s="25"/>
      <c r="EJ815" s="25"/>
      <c r="EK815" s="25"/>
      <c r="EL815" s="25"/>
      <c r="EM815" s="25"/>
      <c r="EN815" s="25"/>
      <c r="EO815" s="25"/>
      <c r="EP815" s="25"/>
      <c r="EQ815" s="25"/>
      <c r="ER815" s="25"/>
      <c r="ES815" s="25"/>
      <c r="ET815" s="25"/>
      <c r="EU815" s="25"/>
      <c r="EV815" s="25" t="str">
        <f>_xlfn.CONCAT($A816," ",$B816," ",$D816)</f>
        <v>2025 Rivian Automotive L R1S Tri Max (22in)</v>
      </c>
      <c r="EW815" s="25"/>
      <c r="EX815" s="25"/>
      <c r="EY815" s="25"/>
      <c r="EZ815" s="25"/>
      <c r="FA815" s="25"/>
      <c r="FB815" s="25"/>
      <c r="FC815" s="25"/>
      <c r="FD815" s="25"/>
      <c r="FE815" s="25"/>
      <c r="FF815" s="25"/>
      <c r="FG815" s="25"/>
    </row>
    <row r="816" spans="1:165" x14ac:dyDescent="0.35">
      <c r="A816">
        <v>2025</v>
      </c>
      <c r="B816" t="s">
        <v>2222</v>
      </c>
      <c r="C816" t="s">
        <v>2223</v>
      </c>
      <c r="D816" t="s">
        <v>2434</v>
      </c>
      <c r="E816" t="s">
        <v>2225</v>
      </c>
      <c r="F816">
        <v>88</v>
      </c>
      <c r="G816">
        <v>0</v>
      </c>
      <c r="I816" t="s">
        <v>1734</v>
      </c>
      <c r="J816">
        <v>81</v>
      </c>
      <c r="K816">
        <v>70</v>
      </c>
      <c r="L816">
        <v>76</v>
      </c>
      <c r="M816">
        <v>113.6</v>
      </c>
      <c r="N816">
        <v>98</v>
      </c>
      <c r="O816">
        <v>106.0065</v>
      </c>
      <c r="P816">
        <v>81.036600000000007</v>
      </c>
      <c r="Q816">
        <v>69.908299999999997</v>
      </c>
      <c r="R816">
        <v>75.619699999999995</v>
      </c>
      <c r="V816" t="s">
        <v>167</v>
      </c>
      <c r="W816" t="s">
        <v>168</v>
      </c>
      <c r="Y816">
        <v>1</v>
      </c>
      <c r="Z816" t="s">
        <v>170</v>
      </c>
      <c r="AA816" t="s">
        <v>170</v>
      </c>
      <c r="AB816">
        <v>4</v>
      </c>
      <c r="AC816" t="s">
        <v>601</v>
      </c>
      <c r="AF816">
        <v>371</v>
      </c>
      <c r="AG816" t="s">
        <v>1735</v>
      </c>
      <c r="AH816" t="s">
        <v>1736</v>
      </c>
      <c r="AI816" t="s">
        <v>175</v>
      </c>
      <c r="AJ816" t="s">
        <v>176</v>
      </c>
      <c r="AK816">
        <v>4</v>
      </c>
      <c r="AL816" t="s">
        <v>1737</v>
      </c>
      <c r="AS816">
        <v>1100</v>
      </c>
      <c r="AT816">
        <v>50</v>
      </c>
      <c r="BQ816">
        <v>33</v>
      </c>
      <c r="BR816" t="s">
        <v>1497</v>
      </c>
      <c r="BT816" t="s">
        <v>1769</v>
      </c>
      <c r="BU816" s="1">
        <v>46999</v>
      </c>
      <c r="BV816">
        <v>36606</v>
      </c>
      <c r="BY816" t="s">
        <v>170</v>
      </c>
      <c r="CB816" t="s">
        <v>170</v>
      </c>
      <c r="CC816" t="s">
        <v>170</v>
      </c>
      <c r="CK816" t="s">
        <v>233</v>
      </c>
      <c r="CM816">
        <v>1</v>
      </c>
      <c r="CN816" t="s">
        <v>234</v>
      </c>
      <c r="CP816">
        <v>392</v>
      </c>
      <c r="CQ816">
        <v>382</v>
      </c>
      <c r="CR816">
        <v>190</v>
      </c>
      <c r="CS816" t="s">
        <v>1752</v>
      </c>
      <c r="CV816" t="s">
        <v>341</v>
      </c>
      <c r="CX816" t="s">
        <v>342</v>
      </c>
      <c r="CY816" t="s">
        <v>169</v>
      </c>
      <c r="DC816" t="s">
        <v>2237</v>
      </c>
      <c r="DD816">
        <v>3</v>
      </c>
      <c r="DE816" t="s">
        <v>404</v>
      </c>
      <c r="DF816" t="s">
        <v>1860</v>
      </c>
      <c r="DG816" t="s">
        <v>2238</v>
      </c>
      <c r="DL816" t="s">
        <v>170</v>
      </c>
      <c r="DM816" t="s">
        <v>169</v>
      </c>
      <c r="DP816" t="s">
        <v>170</v>
      </c>
      <c r="DQ816" t="s">
        <v>187</v>
      </c>
      <c r="DR816" t="s">
        <v>2435</v>
      </c>
      <c r="EB816">
        <v>9</v>
      </c>
      <c r="EC816">
        <v>10</v>
      </c>
      <c r="EE816" t="s">
        <v>2240</v>
      </c>
      <c r="EF816">
        <v>10</v>
      </c>
      <c r="EU816">
        <v>4000</v>
      </c>
      <c r="EW816">
        <v>0</v>
      </c>
      <c r="EX816">
        <v>0</v>
      </c>
      <c r="EY816">
        <v>0</v>
      </c>
      <c r="FA816">
        <v>15</v>
      </c>
      <c r="FG816">
        <v>395</v>
      </c>
      <c r="FH816">
        <v>341</v>
      </c>
      <c r="FI816">
        <v>371</v>
      </c>
    </row>
    <row r="817" spans="1:165" x14ac:dyDescent="0.35">
      <c r="A817">
        <v>2025</v>
      </c>
      <c r="B817" t="s">
        <v>2222</v>
      </c>
      <c r="C817" t="s">
        <v>2223</v>
      </c>
      <c r="D817" t="s">
        <v>2434</v>
      </c>
      <c r="E817" t="s">
        <v>2225</v>
      </c>
      <c r="F817">
        <v>88</v>
      </c>
      <c r="G817">
        <v>0</v>
      </c>
      <c r="I817" t="s">
        <v>1734</v>
      </c>
      <c r="J817">
        <v>42</v>
      </c>
      <c r="K817">
        <v>48</v>
      </c>
      <c r="L817">
        <v>45</v>
      </c>
      <c r="M817">
        <v>29.672999999999998</v>
      </c>
      <c r="N817">
        <v>34.404600000000002</v>
      </c>
      <c r="O817">
        <v>31.802199999999999</v>
      </c>
      <c r="P817">
        <v>41.592300000000002</v>
      </c>
      <c r="Q817">
        <v>48.213200000000001</v>
      </c>
      <c r="R817">
        <v>44.5717</v>
      </c>
      <c r="V817" t="s">
        <v>167</v>
      </c>
      <c r="W817" t="s">
        <v>168</v>
      </c>
      <c r="Y817">
        <v>1</v>
      </c>
      <c r="Z817" t="s">
        <v>170</v>
      </c>
      <c r="AA817" t="s">
        <v>170</v>
      </c>
      <c r="AB817">
        <v>4</v>
      </c>
      <c r="AC817" t="s">
        <v>601</v>
      </c>
      <c r="AF817">
        <v>371</v>
      </c>
      <c r="AG817" t="s">
        <v>1735</v>
      </c>
      <c r="AH817" t="s">
        <v>1736</v>
      </c>
      <c r="AI817" t="s">
        <v>1742</v>
      </c>
      <c r="AJ817" t="s">
        <v>1743</v>
      </c>
      <c r="AK817">
        <v>4</v>
      </c>
      <c r="AL817" t="s">
        <v>1737</v>
      </c>
      <c r="AS817">
        <v>1100</v>
      </c>
      <c r="AT817">
        <v>1100</v>
      </c>
      <c r="BQ817">
        <v>33</v>
      </c>
      <c r="BR817" t="s">
        <v>1497</v>
      </c>
      <c r="BT817" t="s">
        <v>1769</v>
      </c>
      <c r="BU817" s="1">
        <v>46999</v>
      </c>
      <c r="BV817">
        <v>36606</v>
      </c>
      <c r="BY817" t="s">
        <v>170</v>
      </c>
      <c r="CB817" t="s">
        <v>170</v>
      </c>
      <c r="CC817" t="s">
        <v>170</v>
      </c>
      <c r="CK817" t="s">
        <v>233</v>
      </c>
      <c r="CM817">
        <v>1</v>
      </c>
      <c r="CN817" t="s">
        <v>234</v>
      </c>
      <c r="CP817">
        <v>392</v>
      </c>
      <c r="CQ817">
        <v>382</v>
      </c>
      <c r="CR817">
        <v>190</v>
      </c>
      <c r="CS817" t="s">
        <v>1752</v>
      </c>
      <c r="CV817" t="s">
        <v>341</v>
      </c>
      <c r="CX817" t="s">
        <v>342</v>
      </c>
      <c r="CY817" t="s">
        <v>169</v>
      </c>
      <c r="DC817" t="s">
        <v>2237</v>
      </c>
      <c r="DD817">
        <v>3</v>
      </c>
      <c r="DE817" t="s">
        <v>404</v>
      </c>
      <c r="DF817" t="s">
        <v>1860</v>
      </c>
      <c r="DG817" t="s">
        <v>2238</v>
      </c>
      <c r="DL817" t="s">
        <v>170</v>
      </c>
      <c r="DM817" t="s">
        <v>169</v>
      </c>
      <c r="DP817" t="s">
        <v>170</v>
      </c>
      <c r="DQ817" t="s">
        <v>187</v>
      </c>
      <c r="DR817" t="s">
        <v>2435</v>
      </c>
      <c r="EB817">
        <v>9</v>
      </c>
      <c r="EC817">
        <v>10</v>
      </c>
      <c r="EE817" t="s">
        <v>2240</v>
      </c>
      <c r="EF817">
        <v>10</v>
      </c>
      <c r="EU817">
        <v>4000</v>
      </c>
      <c r="EW817">
        <v>0</v>
      </c>
      <c r="EX817">
        <v>0</v>
      </c>
      <c r="EY817">
        <v>0</v>
      </c>
      <c r="FA817">
        <v>15</v>
      </c>
      <c r="FG817">
        <v>395</v>
      </c>
      <c r="FH817">
        <v>341</v>
      </c>
      <c r="FI817">
        <v>371</v>
      </c>
    </row>
    <row r="818" spans="1:165" x14ac:dyDescent="0.35">
      <c r="A818" s="25"/>
      <c r="B818" s="25"/>
      <c r="C818" s="25"/>
      <c r="D818" s="25"/>
      <c r="E818" s="25"/>
      <c r="F818" s="25" t="str">
        <f>_xlfn.CONCAT($A819," ",$B819," ",$D819)</f>
        <v>2025 Rivian Automotive L R1T All-Terrain Tri Max (20in)</v>
      </c>
      <c r="G818" s="25"/>
      <c r="H818" s="25"/>
      <c r="I818" s="25"/>
      <c r="J818" s="25"/>
      <c r="K818" s="25"/>
      <c r="L818" s="25"/>
      <c r="M818" s="25"/>
      <c r="N818" s="25"/>
      <c r="O818" s="25"/>
      <c r="P818" s="25"/>
      <c r="Q818" s="25"/>
      <c r="R818" s="25"/>
      <c r="S818" s="25"/>
      <c r="T818" s="25"/>
      <c r="U818" s="25"/>
      <c r="V818" s="25"/>
      <c r="W818" s="25"/>
      <c r="X818" s="25"/>
      <c r="Y818" s="25"/>
      <c r="Z818" s="25"/>
      <c r="AA818" s="25"/>
      <c r="AB818" s="25"/>
      <c r="AC818" s="25"/>
      <c r="AD818" s="25" t="str">
        <f>_xlfn.CONCAT($A819," ",$B819," ",$D819)</f>
        <v>2025 Rivian Automotive L R1T All-Terrain Tri Max (20in)</v>
      </c>
      <c r="AE818" s="25"/>
      <c r="AF818" s="25"/>
      <c r="AG818" s="25"/>
      <c r="AH818" s="25"/>
      <c r="AI818" s="25"/>
      <c r="AJ818" s="25"/>
      <c r="AK818" s="25"/>
      <c r="AL818" s="25"/>
      <c r="AM818" s="25"/>
      <c r="AN818" s="25"/>
      <c r="AO818" s="25"/>
      <c r="AP818" s="25"/>
      <c r="AQ818" s="25"/>
      <c r="AR818" s="25"/>
      <c r="AS818" s="25"/>
      <c r="AT818" s="25"/>
      <c r="AU818" s="25"/>
      <c r="AV818" s="25"/>
      <c r="AW818" s="25"/>
      <c r="AX818" s="25" t="str">
        <f>_xlfn.CONCAT($A819," ",$B819," ",$D819)</f>
        <v>2025 Rivian Automotive L R1T All-Terrain Tri Max (20in)</v>
      </c>
      <c r="AY818" s="25"/>
      <c r="AZ818" s="25"/>
      <c r="BA818" s="25"/>
      <c r="BB818" s="25"/>
      <c r="BC818" s="25"/>
      <c r="BD818" s="25"/>
      <c r="BE818" s="25"/>
      <c r="BF818" s="25"/>
      <c r="BG818" s="25"/>
      <c r="BH818" s="25"/>
      <c r="BI818" s="25"/>
      <c r="BJ818" s="25"/>
      <c r="BK818" s="25"/>
      <c r="BL818" s="25"/>
      <c r="BM818" s="25"/>
      <c r="BN818" s="25"/>
      <c r="BO818" s="25"/>
      <c r="BP818" s="25"/>
      <c r="BQ818" s="25"/>
      <c r="BR818" s="25" t="str">
        <f>_xlfn.CONCAT($A819," ",$B819," ",$D819)</f>
        <v>2025 Rivian Automotive L R1T All-Terrain Tri Max (20in)</v>
      </c>
      <c r="BS818" s="25"/>
      <c r="BT818" s="25"/>
      <c r="BU818" s="25"/>
      <c r="BV818" s="25"/>
      <c r="BX818" s="25"/>
      <c r="BY818" s="25"/>
      <c r="BZ818" s="25"/>
      <c r="CA818" s="25"/>
      <c r="CB818" s="25"/>
      <c r="CC818" s="25"/>
      <c r="CD818" s="25"/>
      <c r="CE818" s="25"/>
      <c r="CF818" s="25"/>
      <c r="CG818" s="25"/>
      <c r="CH818" s="25"/>
      <c r="CI818" s="25"/>
      <c r="CJ818" s="25"/>
      <c r="CK818" s="25"/>
      <c r="CL818" s="25"/>
      <c r="CM818" s="25"/>
      <c r="CN818" s="25"/>
      <c r="CO818" s="25"/>
      <c r="CP818" s="25" t="str">
        <f>_xlfn.CONCAT($A819," ",$B819," ",$D819)</f>
        <v>2025 Rivian Automotive L R1T All-Terrain Tri Max (20in)</v>
      </c>
      <c r="CQ818" s="25"/>
      <c r="CR818" s="25"/>
      <c r="CS818" s="25"/>
      <c r="CT818" s="25"/>
      <c r="CU818" s="25"/>
      <c r="CV818" s="25"/>
      <c r="CW818" s="25"/>
      <c r="CX818" s="25"/>
      <c r="CY818" s="25"/>
      <c r="CZ818" s="25"/>
      <c r="DA818" s="25"/>
      <c r="DB818" s="25"/>
      <c r="DC818" s="25"/>
      <c r="DD818" s="25"/>
      <c r="DE818" s="25"/>
      <c r="DF818" s="25"/>
      <c r="DG818" s="25"/>
      <c r="DH818" s="25"/>
      <c r="DI818" s="25" t="str">
        <f>_xlfn.CONCAT($A819," ",$B819," ",$D819)</f>
        <v>2025 Rivian Automotive L R1T All-Terrain Tri Max (20in)</v>
      </c>
      <c r="DJ818" s="25"/>
      <c r="DK818" s="25"/>
      <c r="DL818" s="25"/>
      <c r="DM818" s="25"/>
      <c r="DN818" s="25"/>
      <c r="DO818" s="25"/>
      <c r="DP818" s="25"/>
      <c r="DQ818" s="25"/>
      <c r="DR818" s="25"/>
      <c r="DS818" s="25"/>
      <c r="DT818" s="25"/>
      <c r="DU818" s="25"/>
      <c r="DV818" s="25"/>
      <c r="DW818" s="25"/>
      <c r="DX818" s="25"/>
      <c r="DY818" s="25"/>
      <c r="DZ818" s="25" t="str">
        <f>_xlfn.CONCAT($A819," ",$B819," ",$D819)</f>
        <v>2025 Rivian Automotive L R1T All-Terrain Tri Max (20in)</v>
      </c>
      <c r="EB818" s="25"/>
      <c r="EC818" s="25"/>
      <c r="ED818" s="25"/>
      <c r="EE818" s="25"/>
      <c r="EF818" s="25"/>
      <c r="EG818" s="25"/>
      <c r="EH818" s="25"/>
      <c r="EI818" s="25"/>
      <c r="EJ818" s="25"/>
      <c r="EK818" s="25"/>
      <c r="EL818" s="25"/>
      <c r="EM818" s="25"/>
      <c r="EN818" s="25"/>
      <c r="EO818" s="25"/>
      <c r="EP818" s="25"/>
      <c r="EQ818" s="25"/>
      <c r="ER818" s="25"/>
      <c r="ES818" s="25"/>
      <c r="ET818" s="25"/>
      <c r="EU818" s="25"/>
      <c r="EV818" s="25" t="str">
        <f>_xlfn.CONCAT($A819," ",$B819," ",$D819)</f>
        <v>2025 Rivian Automotive L R1T All-Terrain Tri Max (20in)</v>
      </c>
      <c r="EW818" s="25"/>
      <c r="EX818" s="25"/>
      <c r="EY818" s="25"/>
      <c r="EZ818" s="25"/>
      <c r="FA818" s="25"/>
      <c r="FB818" s="25"/>
      <c r="FC818" s="25"/>
      <c r="FD818" s="25"/>
      <c r="FE818" s="25"/>
      <c r="FF818" s="25"/>
      <c r="FG818" s="25"/>
    </row>
    <row r="819" spans="1:165" x14ac:dyDescent="0.35">
      <c r="A819">
        <v>2025</v>
      </c>
      <c r="B819" t="s">
        <v>2222</v>
      </c>
      <c r="C819" t="s">
        <v>2223</v>
      </c>
      <c r="D819" t="s">
        <v>2272</v>
      </c>
      <c r="E819" t="s">
        <v>2225</v>
      </c>
      <c r="F819">
        <v>89</v>
      </c>
      <c r="G819">
        <v>0</v>
      </c>
      <c r="I819" t="s">
        <v>1734</v>
      </c>
      <c r="J819">
        <v>72</v>
      </c>
      <c r="K819">
        <v>63</v>
      </c>
      <c r="L819">
        <v>68</v>
      </c>
      <c r="M819">
        <v>97.3</v>
      </c>
      <c r="N819">
        <v>85.6</v>
      </c>
      <c r="O819">
        <v>91.662099999999995</v>
      </c>
      <c r="P819">
        <v>71.793800000000005</v>
      </c>
      <c r="Q819">
        <v>63.160800000000002</v>
      </c>
      <c r="R819">
        <v>67.633799999999994</v>
      </c>
      <c r="V819" t="s">
        <v>167</v>
      </c>
      <c r="W819" t="s">
        <v>168</v>
      </c>
      <c r="Y819">
        <v>1</v>
      </c>
      <c r="Z819" t="s">
        <v>170</v>
      </c>
      <c r="AA819" t="s">
        <v>170</v>
      </c>
      <c r="AB819">
        <v>4</v>
      </c>
      <c r="AC819" t="s">
        <v>601</v>
      </c>
      <c r="AF819">
        <v>329</v>
      </c>
      <c r="AG819" t="s">
        <v>1735</v>
      </c>
      <c r="AH819" t="s">
        <v>1736</v>
      </c>
      <c r="AI819" t="s">
        <v>175</v>
      </c>
      <c r="AJ819" t="s">
        <v>176</v>
      </c>
      <c r="AK819">
        <v>4</v>
      </c>
      <c r="AL819" t="s">
        <v>1737</v>
      </c>
      <c r="AS819">
        <v>1200</v>
      </c>
      <c r="AT819">
        <v>1200</v>
      </c>
      <c r="BQ819">
        <v>13</v>
      </c>
      <c r="BR819" t="s">
        <v>1016</v>
      </c>
      <c r="BT819" t="s">
        <v>1769</v>
      </c>
      <c r="BU819" s="1">
        <v>45537</v>
      </c>
      <c r="BV819">
        <v>35459</v>
      </c>
      <c r="BY819" t="s">
        <v>170</v>
      </c>
      <c r="CB819" t="s">
        <v>170</v>
      </c>
      <c r="CC819" t="s">
        <v>170</v>
      </c>
      <c r="CK819" t="s">
        <v>233</v>
      </c>
      <c r="CM819">
        <v>1</v>
      </c>
      <c r="CN819" t="s">
        <v>234</v>
      </c>
      <c r="CP819">
        <v>392</v>
      </c>
      <c r="CQ819">
        <v>382</v>
      </c>
      <c r="CR819">
        <v>190</v>
      </c>
      <c r="CS819" t="s">
        <v>1752</v>
      </c>
      <c r="CV819" t="s">
        <v>341</v>
      </c>
      <c r="CX819" t="s">
        <v>342</v>
      </c>
      <c r="CY819" t="s">
        <v>169</v>
      </c>
      <c r="DC819" t="s">
        <v>2237</v>
      </c>
      <c r="DD819">
        <v>3</v>
      </c>
      <c r="DE819" t="s">
        <v>404</v>
      </c>
      <c r="DF819" t="s">
        <v>1860</v>
      </c>
      <c r="DG819" t="s">
        <v>2273</v>
      </c>
      <c r="DL819" t="s">
        <v>170</v>
      </c>
      <c r="DM819" t="s">
        <v>169</v>
      </c>
      <c r="DP819" t="s">
        <v>170</v>
      </c>
      <c r="DQ819" t="s">
        <v>187</v>
      </c>
      <c r="DR819" t="s">
        <v>2274</v>
      </c>
      <c r="EB819">
        <v>9</v>
      </c>
      <c r="EC819">
        <v>10</v>
      </c>
      <c r="EE819" t="s">
        <v>2240</v>
      </c>
      <c r="EF819">
        <v>10</v>
      </c>
      <c r="EU819">
        <v>3500</v>
      </c>
      <c r="EW819">
        <v>0</v>
      </c>
      <c r="EX819">
        <v>0</v>
      </c>
      <c r="EY819">
        <v>0</v>
      </c>
      <c r="FA819">
        <v>15</v>
      </c>
      <c r="FG819">
        <v>348</v>
      </c>
      <c r="FH819">
        <v>306</v>
      </c>
      <c r="FI819">
        <v>329</v>
      </c>
    </row>
    <row r="820" spans="1:165" x14ac:dyDescent="0.35">
      <c r="A820">
        <v>2025</v>
      </c>
      <c r="B820" t="s">
        <v>2222</v>
      </c>
      <c r="C820" t="s">
        <v>2223</v>
      </c>
      <c r="D820" t="s">
        <v>2272</v>
      </c>
      <c r="E820" t="s">
        <v>2225</v>
      </c>
      <c r="F820">
        <v>89</v>
      </c>
      <c r="G820">
        <v>0</v>
      </c>
      <c r="I820" t="s">
        <v>1734</v>
      </c>
      <c r="J820">
        <v>47</v>
      </c>
      <c r="K820">
        <v>53</v>
      </c>
      <c r="L820">
        <v>50</v>
      </c>
      <c r="M820">
        <v>34.642800000000001</v>
      </c>
      <c r="N820">
        <v>39.365000000000002</v>
      </c>
      <c r="O820">
        <v>36.767800000000001</v>
      </c>
      <c r="P820">
        <v>46.947000000000003</v>
      </c>
      <c r="Q820">
        <v>53.363799999999998</v>
      </c>
      <c r="R820">
        <v>49.834600000000002</v>
      </c>
      <c r="V820" t="s">
        <v>167</v>
      </c>
      <c r="W820" t="s">
        <v>168</v>
      </c>
      <c r="Y820">
        <v>1</v>
      </c>
      <c r="Z820" t="s">
        <v>170</v>
      </c>
      <c r="AA820" t="s">
        <v>170</v>
      </c>
      <c r="AB820">
        <v>4</v>
      </c>
      <c r="AC820" t="s">
        <v>601</v>
      </c>
      <c r="AF820">
        <v>329</v>
      </c>
      <c r="AG820" t="s">
        <v>1735</v>
      </c>
      <c r="AH820" t="s">
        <v>1736</v>
      </c>
      <c r="AI820" t="s">
        <v>1742</v>
      </c>
      <c r="AJ820" t="s">
        <v>1743</v>
      </c>
      <c r="AK820">
        <v>4</v>
      </c>
      <c r="AL820" t="s">
        <v>1737</v>
      </c>
      <c r="AS820">
        <v>1200</v>
      </c>
      <c r="AT820">
        <v>1200</v>
      </c>
      <c r="BQ820">
        <v>13</v>
      </c>
      <c r="BR820" t="s">
        <v>1016</v>
      </c>
      <c r="BT820" t="s">
        <v>1769</v>
      </c>
      <c r="BU820" s="1">
        <v>45537</v>
      </c>
      <c r="BV820">
        <v>35459</v>
      </c>
      <c r="BY820" t="s">
        <v>170</v>
      </c>
      <c r="CB820" t="s">
        <v>170</v>
      </c>
      <c r="CC820" t="s">
        <v>170</v>
      </c>
      <c r="CK820" t="s">
        <v>233</v>
      </c>
      <c r="CM820">
        <v>1</v>
      </c>
      <c r="CN820" t="s">
        <v>234</v>
      </c>
      <c r="CP820">
        <v>392</v>
      </c>
      <c r="CQ820">
        <v>382</v>
      </c>
      <c r="CR820">
        <v>190</v>
      </c>
      <c r="CS820" t="s">
        <v>1752</v>
      </c>
      <c r="CV820" t="s">
        <v>341</v>
      </c>
      <c r="CX820" t="s">
        <v>342</v>
      </c>
      <c r="CY820" t="s">
        <v>169</v>
      </c>
      <c r="DC820" t="s">
        <v>2237</v>
      </c>
      <c r="DD820">
        <v>3</v>
      </c>
      <c r="DE820" t="s">
        <v>404</v>
      </c>
      <c r="DF820" t="s">
        <v>1860</v>
      </c>
      <c r="DG820" t="s">
        <v>2273</v>
      </c>
      <c r="DL820" t="s">
        <v>170</v>
      </c>
      <c r="DM820" t="s">
        <v>169</v>
      </c>
      <c r="DP820" t="s">
        <v>170</v>
      </c>
      <c r="DQ820" t="s">
        <v>187</v>
      </c>
      <c r="DR820" t="s">
        <v>2274</v>
      </c>
      <c r="EB820">
        <v>9</v>
      </c>
      <c r="EC820">
        <v>10</v>
      </c>
      <c r="EE820" t="s">
        <v>2240</v>
      </c>
      <c r="EF820">
        <v>10</v>
      </c>
      <c r="EU820">
        <v>3500</v>
      </c>
      <c r="EW820">
        <v>0</v>
      </c>
      <c r="EX820">
        <v>0</v>
      </c>
      <c r="EY820">
        <v>0</v>
      </c>
      <c r="FA820">
        <v>15</v>
      </c>
      <c r="FG820">
        <v>348</v>
      </c>
      <c r="FH820">
        <v>306</v>
      </c>
      <c r="FI820">
        <v>329</v>
      </c>
    </row>
    <row r="821" spans="1:165" x14ac:dyDescent="0.35">
      <c r="A821" s="25"/>
      <c r="B821" s="25"/>
      <c r="C821" s="25"/>
      <c r="D821" s="25"/>
      <c r="E821" s="25"/>
      <c r="F821" s="25" t="str">
        <f>_xlfn.CONCAT($A822," ",$B822," ",$D822)</f>
        <v>2025 Rivian Automotive L R1S All-Terrain Tri Max (20in)</v>
      </c>
      <c r="G821" s="25"/>
      <c r="H821" s="25"/>
      <c r="I821" s="25"/>
      <c r="J821" s="25"/>
      <c r="K821" s="25"/>
      <c r="L821" s="25"/>
      <c r="M821" s="25"/>
      <c r="N821" s="25"/>
      <c r="O821" s="25"/>
      <c r="P821" s="25"/>
      <c r="Q821" s="25"/>
      <c r="R821" s="25"/>
      <c r="S821" s="25"/>
      <c r="T821" s="25"/>
      <c r="U821" s="25"/>
      <c r="V821" s="25"/>
      <c r="W821" s="25"/>
      <c r="X821" s="25"/>
      <c r="Y821" s="25"/>
      <c r="Z821" s="25"/>
      <c r="AA821" s="25"/>
      <c r="AB821" s="25"/>
      <c r="AC821" s="25"/>
      <c r="AD821" s="25" t="str">
        <f>_xlfn.CONCAT($A822," ",$B822," ",$D822)</f>
        <v>2025 Rivian Automotive L R1S All-Terrain Tri Max (20in)</v>
      </c>
      <c r="AE821" s="25"/>
      <c r="AF821" s="25"/>
      <c r="AG821" s="25"/>
      <c r="AH821" s="25"/>
      <c r="AI821" s="25"/>
      <c r="AJ821" s="25"/>
      <c r="AK821" s="25"/>
      <c r="AL821" s="25"/>
      <c r="AM821" s="25"/>
      <c r="AN821" s="25"/>
      <c r="AO821" s="25"/>
      <c r="AP821" s="25"/>
      <c r="AQ821" s="25"/>
      <c r="AR821" s="25"/>
      <c r="AS821" s="25"/>
      <c r="AT821" s="25"/>
      <c r="AU821" s="25"/>
      <c r="AV821" s="25"/>
      <c r="AW821" s="25"/>
      <c r="AX821" s="25" t="str">
        <f>_xlfn.CONCAT($A822," ",$B822," ",$D822)</f>
        <v>2025 Rivian Automotive L R1S All-Terrain Tri Max (20in)</v>
      </c>
      <c r="AY821" s="25"/>
      <c r="AZ821" s="25"/>
      <c r="BA821" s="25"/>
      <c r="BB821" s="25"/>
      <c r="BC821" s="25"/>
      <c r="BD821" s="25"/>
      <c r="BE821" s="25"/>
      <c r="BF821" s="25"/>
      <c r="BG821" s="25"/>
      <c r="BH821" s="25"/>
      <c r="BI821" s="25"/>
      <c r="BJ821" s="25"/>
      <c r="BK821" s="25"/>
      <c r="BL821" s="25"/>
      <c r="BM821" s="25"/>
      <c r="BN821" s="25"/>
      <c r="BO821" s="25"/>
      <c r="BP821" s="25"/>
      <c r="BQ821" s="25"/>
      <c r="BR821" s="25" t="str">
        <f>_xlfn.CONCAT($A822," ",$B822," ",$D822)</f>
        <v>2025 Rivian Automotive L R1S All-Terrain Tri Max (20in)</v>
      </c>
      <c r="BS821" s="25"/>
      <c r="BT821" s="25"/>
      <c r="BU821" s="25"/>
      <c r="BV821" s="25"/>
      <c r="BX821" s="25"/>
      <c r="BY821" s="25"/>
      <c r="BZ821" s="25"/>
      <c r="CA821" s="25"/>
      <c r="CB821" s="25"/>
      <c r="CC821" s="25"/>
      <c r="CD821" s="25"/>
      <c r="CE821" s="25"/>
      <c r="CF821" s="25"/>
      <c r="CG821" s="25"/>
      <c r="CH821" s="25"/>
      <c r="CI821" s="25"/>
      <c r="CJ821" s="25"/>
      <c r="CK821" s="25"/>
      <c r="CL821" s="25"/>
      <c r="CM821" s="25"/>
      <c r="CN821" s="25"/>
      <c r="CO821" s="25"/>
      <c r="CP821" s="25" t="str">
        <f>_xlfn.CONCAT($A822," ",$B822," ",$D822)</f>
        <v>2025 Rivian Automotive L R1S All-Terrain Tri Max (20in)</v>
      </c>
      <c r="CQ821" s="25"/>
      <c r="CR821" s="25"/>
      <c r="CS821" s="25"/>
      <c r="CT821" s="25"/>
      <c r="CU821" s="25"/>
      <c r="CV821" s="25"/>
      <c r="CW821" s="25"/>
      <c r="CX821" s="25"/>
      <c r="CY821" s="25"/>
      <c r="CZ821" s="25"/>
      <c r="DA821" s="25"/>
      <c r="DB821" s="25"/>
      <c r="DC821" s="25"/>
      <c r="DD821" s="25"/>
      <c r="DE821" s="25"/>
      <c r="DF821" s="25"/>
      <c r="DG821" s="25"/>
      <c r="DH821" s="25"/>
      <c r="DI821" s="25" t="str">
        <f>_xlfn.CONCAT($A822," ",$B822," ",$D822)</f>
        <v>2025 Rivian Automotive L R1S All-Terrain Tri Max (20in)</v>
      </c>
      <c r="DJ821" s="25"/>
      <c r="DK821" s="25"/>
      <c r="DL821" s="25"/>
      <c r="DM821" s="25"/>
      <c r="DN821" s="25"/>
      <c r="DO821" s="25"/>
      <c r="DP821" s="25"/>
      <c r="DQ821" s="25"/>
      <c r="DR821" s="25"/>
      <c r="DS821" s="25"/>
      <c r="DT821" s="25"/>
      <c r="DU821" s="25"/>
      <c r="DV821" s="25"/>
      <c r="DW821" s="25"/>
      <c r="DX821" s="25"/>
      <c r="DY821" s="25"/>
      <c r="DZ821" s="25" t="str">
        <f>_xlfn.CONCAT($A822," ",$B822," ",$D822)</f>
        <v>2025 Rivian Automotive L R1S All-Terrain Tri Max (20in)</v>
      </c>
      <c r="EB821" s="25"/>
      <c r="EC821" s="25"/>
      <c r="ED821" s="25"/>
      <c r="EE821" s="25"/>
      <c r="EF821" s="25"/>
      <c r="EG821" s="25"/>
      <c r="EH821" s="25"/>
      <c r="EI821" s="25"/>
      <c r="EJ821" s="25"/>
      <c r="EK821" s="25"/>
      <c r="EL821" s="25"/>
      <c r="EM821" s="25"/>
      <c r="EN821" s="25"/>
      <c r="EO821" s="25"/>
      <c r="EP821" s="25"/>
      <c r="EQ821" s="25"/>
      <c r="ER821" s="25"/>
      <c r="ES821" s="25"/>
      <c r="ET821" s="25"/>
      <c r="EU821" s="25"/>
      <c r="EV821" s="25" t="str">
        <f>_xlfn.CONCAT($A822," ",$B822," ",$D822)</f>
        <v>2025 Rivian Automotive L R1S All-Terrain Tri Max (20in)</v>
      </c>
      <c r="EW821" s="25"/>
      <c r="EX821" s="25"/>
      <c r="EY821" s="25"/>
      <c r="EZ821" s="25"/>
      <c r="FA821" s="25"/>
      <c r="FB821" s="25"/>
      <c r="FC821" s="25"/>
      <c r="FD821" s="25"/>
      <c r="FE821" s="25"/>
      <c r="FF821" s="25"/>
      <c r="FG821" s="25"/>
    </row>
    <row r="822" spans="1:165" x14ac:dyDescent="0.35">
      <c r="A822">
        <v>2025</v>
      </c>
      <c r="B822" t="s">
        <v>2222</v>
      </c>
      <c r="C822" t="s">
        <v>2223</v>
      </c>
      <c r="D822" t="s">
        <v>2236</v>
      </c>
      <c r="E822" t="s">
        <v>2225</v>
      </c>
      <c r="F822">
        <v>90</v>
      </c>
      <c r="G822">
        <v>0</v>
      </c>
      <c r="I822" t="s">
        <v>1734</v>
      </c>
      <c r="J822">
        <v>72</v>
      </c>
      <c r="K822">
        <v>63</v>
      </c>
      <c r="L822">
        <v>68</v>
      </c>
      <c r="M822">
        <v>97.3</v>
      </c>
      <c r="N822">
        <v>85.6</v>
      </c>
      <c r="O822">
        <v>91.662099999999995</v>
      </c>
      <c r="P822">
        <v>71.793800000000005</v>
      </c>
      <c r="Q822">
        <v>63.160800000000002</v>
      </c>
      <c r="R822">
        <v>67.633799999999994</v>
      </c>
      <c r="V822" t="s">
        <v>167</v>
      </c>
      <c r="W822" t="s">
        <v>168</v>
      </c>
      <c r="Y822">
        <v>1</v>
      </c>
      <c r="Z822" t="s">
        <v>170</v>
      </c>
      <c r="AA822" t="s">
        <v>170</v>
      </c>
      <c r="AB822">
        <v>4</v>
      </c>
      <c r="AC822" t="s">
        <v>601</v>
      </c>
      <c r="AF822">
        <v>329</v>
      </c>
      <c r="AG822" t="s">
        <v>1735</v>
      </c>
      <c r="AH822" t="s">
        <v>1736</v>
      </c>
      <c r="AI822" t="s">
        <v>175</v>
      </c>
      <c r="AJ822" t="s">
        <v>176</v>
      </c>
      <c r="AK822">
        <v>4</v>
      </c>
      <c r="AL822" t="s">
        <v>1737</v>
      </c>
      <c r="AS822">
        <v>1200</v>
      </c>
      <c r="AT822">
        <v>1200</v>
      </c>
      <c r="BQ822">
        <v>33</v>
      </c>
      <c r="BR822" t="s">
        <v>1497</v>
      </c>
      <c r="BT822" t="s">
        <v>1769</v>
      </c>
      <c r="BU822" s="1">
        <v>45537</v>
      </c>
      <c r="BV822">
        <v>35460</v>
      </c>
      <c r="BY822" t="s">
        <v>170</v>
      </c>
      <c r="CB822" t="s">
        <v>170</v>
      </c>
      <c r="CC822" t="s">
        <v>170</v>
      </c>
      <c r="CK822" t="s">
        <v>233</v>
      </c>
      <c r="CM822">
        <v>1</v>
      </c>
      <c r="CN822" t="s">
        <v>234</v>
      </c>
      <c r="CP822">
        <v>392</v>
      </c>
      <c r="CQ822">
        <v>382</v>
      </c>
      <c r="CR822">
        <v>190</v>
      </c>
      <c r="CS822" t="s">
        <v>1752</v>
      </c>
      <c r="CV822" t="s">
        <v>341</v>
      </c>
      <c r="CX822" t="s">
        <v>342</v>
      </c>
      <c r="CY822" t="s">
        <v>169</v>
      </c>
      <c r="DC822" t="s">
        <v>2237</v>
      </c>
      <c r="DD822">
        <v>3</v>
      </c>
      <c r="DE822" t="s">
        <v>404</v>
      </c>
      <c r="DF822" t="s">
        <v>1860</v>
      </c>
      <c r="DG822" t="s">
        <v>2238</v>
      </c>
      <c r="DL822" t="s">
        <v>170</v>
      </c>
      <c r="DM822" t="s">
        <v>169</v>
      </c>
      <c r="DP822" t="s">
        <v>170</v>
      </c>
      <c r="DQ822" t="s">
        <v>187</v>
      </c>
      <c r="DR822" t="s">
        <v>2239</v>
      </c>
      <c r="EB822">
        <v>9</v>
      </c>
      <c r="EC822">
        <v>10</v>
      </c>
      <c r="EE822" t="s">
        <v>2240</v>
      </c>
      <c r="EF822">
        <v>10</v>
      </c>
      <c r="EU822">
        <v>3500</v>
      </c>
      <c r="EW822">
        <v>0</v>
      </c>
      <c r="EX822">
        <v>0</v>
      </c>
      <c r="EY822">
        <v>0</v>
      </c>
      <c r="FA822">
        <v>15</v>
      </c>
      <c r="FG822">
        <v>348</v>
      </c>
      <c r="FH822">
        <v>306</v>
      </c>
      <c r="FI822">
        <v>329</v>
      </c>
    </row>
    <row r="823" spans="1:165" x14ac:dyDescent="0.35">
      <c r="A823">
        <v>2025</v>
      </c>
      <c r="B823" t="s">
        <v>2222</v>
      </c>
      <c r="C823" t="s">
        <v>2223</v>
      </c>
      <c r="D823" t="s">
        <v>2236</v>
      </c>
      <c r="E823" t="s">
        <v>2225</v>
      </c>
      <c r="F823">
        <v>90</v>
      </c>
      <c r="G823">
        <v>0</v>
      </c>
      <c r="I823" t="s">
        <v>1734</v>
      </c>
      <c r="J823">
        <v>47</v>
      </c>
      <c r="K823">
        <v>53</v>
      </c>
      <c r="L823">
        <v>50</v>
      </c>
      <c r="M823">
        <v>34.642800000000001</v>
      </c>
      <c r="N823">
        <v>39.365000000000002</v>
      </c>
      <c r="O823">
        <v>36.767800000000001</v>
      </c>
      <c r="P823">
        <v>46.947000000000003</v>
      </c>
      <c r="Q823">
        <v>53.363799999999998</v>
      </c>
      <c r="R823">
        <v>49.834600000000002</v>
      </c>
      <c r="V823" t="s">
        <v>167</v>
      </c>
      <c r="W823" t="s">
        <v>168</v>
      </c>
      <c r="Y823">
        <v>1</v>
      </c>
      <c r="Z823" t="s">
        <v>170</v>
      </c>
      <c r="AA823" t="s">
        <v>170</v>
      </c>
      <c r="AB823">
        <v>4</v>
      </c>
      <c r="AC823" t="s">
        <v>601</v>
      </c>
      <c r="AF823">
        <v>329</v>
      </c>
      <c r="AG823" t="s">
        <v>1735</v>
      </c>
      <c r="AH823" t="s">
        <v>1736</v>
      </c>
      <c r="AI823" t="s">
        <v>1742</v>
      </c>
      <c r="AJ823" t="s">
        <v>1743</v>
      </c>
      <c r="AK823">
        <v>4</v>
      </c>
      <c r="AL823" t="s">
        <v>1737</v>
      </c>
      <c r="AS823">
        <v>1200</v>
      </c>
      <c r="AT823">
        <v>1200</v>
      </c>
      <c r="BQ823">
        <v>33</v>
      </c>
      <c r="BR823" t="s">
        <v>1497</v>
      </c>
      <c r="BT823" t="s">
        <v>1769</v>
      </c>
      <c r="BU823" s="1">
        <v>45537</v>
      </c>
      <c r="BV823">
        <v>35460</v>
      </c>
      <c r="BY823" t="s">
        <v>170</v>
      </c>
      <c r="CB823" t="s">
        <v>170</v>
      </c>
      <c r="CC823" t="s">
        <v>170</v>
      </c>
      <c r="CK823" t="s">
        <v>233</v>
      </c>
      <c r="CM823">
        <v>1</v>
      </c>
      <c r="CN823" t="s">
        <v>234</v>
      </c>
      <c r="CP823">
        <v>392</v>
      </c>
      <c r="CQ823">
        <v>382</v>
      </c>
      <c r="CR823">
        <v>190</v>
      </c>
      <c r="CS823" t="s">
        <v>1752</v>
      </c>
      <c r="CV823" t="s">
        <v>341</v>
      </c>
      <c r="CX823" t="s">
        <v>342</v>
      </c>
      <c r="CY823" t="s">
        <v>169</v>
      </c>
      <c r="DC823" t="s">
        <v>2237</v>
      </c>
      <c r="DD823">
        <v>3</v>
      </c>
      <c r="DE823" t="s">
        <v>404</v>
      </c>
      <c r="DF823" t="s">
        <v>1860</v>
      </c>
      <c r="DG823" t="s">
        <v>2238</v>
      </c>
      <c r="DL823" t="s">
        <v>170</v>
      </c>
      <c r="DM823" t="s">
        <v>169</v>
      </c>
      <c r="DP823" t="s">
        <v>170</v>
      </c>
      <c r="DQ823" t="s">
        <v>187</v>
      </c>
      <c r="DR823" t="s">
        <v>2239</v>
      </c>
      <c r="EB823">
        <v>9</v>
      </c>
      <c r="EC823">
        <v>10</v>
      </c>
      <c r="EE823" t="s">
        <v>2240</v>
      </c>
      <c r="EF823">
        <v>10</v>
      </c>
      <c r="EU823">
        <v>3500</v>
      </c>
      <c r="EW823">
        <v>0</v>
      </c>
      <c r="EX823">
        <v>0</v>
      </c>
      <c r="EY823">
        <v>0</v>
      </c>
      <c r="FA823">
        <v>15</v>
      </c>
      <c r="FG823">
        <v>348</v>
      </c>
      <c r="FH823">
        <v>306</v>
      </c>
      <c r="FI823">
        <v>329</v>
      </c>
    </row>
    <row r="824" spans="1:165" x14ac:dyDescent="0.35">
      <c r="A824" s="25"/>
      <c r="B824" s="25"/>
      <c r="C824" s="25"/>
      <c r="D824" s="25"/>
      <c r="E824" s="25"/>
      <c r="F824" s="25" t="str">
        <f>_xlfn.CONCAT($A825," ",$B825," ",$D825)</f>
        <v>2025 Rivian Automotive L R1T Dual Large (22in)</v>
      </c>
      <c r="G824" s="25"/>
      <c r="H824" s="25"/>
      <c r="I824" s="25"/>
      <c r="J824" s="25"/>
      <c r="K824" s="25"/>
      <c r="L824" s="25"/>
      <c r="M824" s="25"/>
      <c r="N824" s="25"/>
      <c r="O824" s="25"/>
      <c r="P824" s="25"/>
      <c r="Q824" s="25"/>
      <c r="R824" s="25"/>
      <c r="S824" s="25"/>
      <c r="T824" s="25"/>
      <c r="U824" s="25"/>
      <c r="V824" s="25"/>
      <c r="W824" s="25"/>
      <c r="X824" s="25"/>
      <c r="Y824" s="25"/>
      <c r="Z824" s="25"/>
      <c r="AA824" s="25"/>
      <c r="AB824" s="25"/>
      <c r="AC824" s="25"/>
      <c r="AD824" s="25" t="str">
        <f>_xlfn.CONCAT($A825," ",$B825," ",$D825)</f>
        <v>2025 Rivian Automotive L R1T Dual Large (22in)</v>
      </c>
      <c r="AE824" s="25"/>
      <c r="AF824" s="25"/>
      <c r="AG824" s="25"/>
      <c r="AH824" s="25"/>
      <c r="AI824" s="25"/>
      <c r="AJ824" s="25"/>
      <c r="AK824" s="25"/>
      <c r="AL824" s="25"/>
      <c r="AM824" s="25"/>
      <c r="AN824" s="25"/>
      <c r="AO824" s="25"/>
      <c r="AP824" s="25"/>
      <c r="AQ824" s="25"/>
      <c r="AR824" s="25"/>
      <c r="AS824" s="25"/>
      <c r="AT824" s="25"/>
      <c r="AU824" s="25"/>
      <c r="AV824" s="25"/>
      <c r="AW824" s="25"/>
      <c r="AX824" s="25" t="str">
        <f>_xlfn.CONCAT($A825," ",$B825," ",$D825)</f>
        <v>2025 Rivian Automotive L R1T Dual Large (22in)</v>
      </c>
      <c r="AY824" s="25"/>
      <c r="AZ824" s="25"/>
      <c r="BA824" s="25"/>
      <c r="BB824" s="25"/>
      <c r="BC824" s="25"/>
      <c r="BD824" s="25"/>
      <c r="BE824" s="25"/>
      <c r="BF824" s="25"/>
      <c r="BG824" s="25"/>
      <c r="BH824" s="25"/>
      <c r="BI824" s="25"/>
      <c r="BJ824" s="25"/>
      <c r="BK824" s="25"/>
      <c r="BL824" s="25"/>
      <c r="BM824" s="25"/>
      <c r="BN824" s="25"/>
      <c r="BO824" s="25"/>
      <c r="BP824" s="25"/>
      <c r="BQ824" s="25"/>
      <c r="BR824" s="25" t="str">
        <f>_xlfn.CONCAT($A825," ",$B825," ",$D825)</f>
        <v>2025 Rivian Automotive L R1T Dual Large (22in)</v>
      </c>
      <c r="BS824" s="25"/>
      <c r="BT824" s="25"/>
      <c r="BU824" s="25"/>
      <c r="BV824" s="25"/>
      <c r="BX824" s="25"/>
      <c r="BY824" s="25"/>
      <c r="BZ824" s="25"/>
      <c r="CA824" s="25"/>
      <c r="CB824" s="25"/>
      <c r="CC824" s="25"/>
      <c r="CD824" s="25"/>
      <c r="CE824" s="25"/>
      <c r="CF824" s="25"/>
      <c r="CG824" s="25"/>
      <c r="CH824" s="25"/>
      <c r="CI824" s="25"/>
      <c r="CJ824" s="25"/>
      <c r="CK824" s="25"/>
      <c r="CL824" s="25"/>
      <c r="CM824" s="25"/>
      <c r="CN824" s="25"/>
      <c r="CO824" s="25"/>
      <c r="CP824" s="25" t="str">
        <f>_xlfn.CONCAT($A825," ",$B825," ",$D825)</f>
        <v>2025 Rivian Automotive L R1T Dual Large (22in)</v>
      </c>
      <c r="CQ824" s="25"/>
      <c r="CR824" s="25"/>
      <c r="CS824" s="25"/>
      <c r="CT824" s="25"/>
      <c r="CU824" s="25"/>
      <c r="CV824" s="25"/>
      <c r="CW824" s="25"/>
      <c r="CX824" s="25"/>
      <c r="CY824" s="25"/>
      <c r="CZ824" s="25"/>
      <c r="DA824" s="25"/>
      <c r="DB824" s="25"/>
      <c r="DC824" s="25"/>
      <c r="DD824" s="25"/>
      <c r="DE824" s="25"/>
      <c r="DF824" s="25"/>
      <c r="DG824" s="25"/>
      <c r="DH824" s="25"/>
      <c r="DI824" s="25" t="str">
        <f>_xlfn.CONCAT($A825," ",$B825," ",$D825)</f>
        <v>2025 Rivian Automotive L R1T Dual Large (22in)</v>
      </c>
      <c r="DJ824" s="25"/>
      <c r="DK824" s="25"/>
      <c r="DL824" s="25"/>
      <c r="DM824" s="25"/>
      <c r="DN824" s="25"/>
      <c r="DO824" s="25"/>
      <c r="DP824" s="25"/>
      <c r="DQ824" s="25"/>
      <c r="DR824" s="25"/>
      <c r="DS824" s="25"/>
      <c r="DT824" s="25"/>
      <c r="DU824" s="25"/>
      <c r="DV824" s="25"/>
      <c r="DW824" s="25"/>
      <c r="DX824" s="25"/>
      <c r="DY824" s="25"/>
      <c r="DZ824" s="25" t="str">
        <f>_xlfn.CONCAT($A825," ",$B825," ",$D825)</f>
        <v>2025 Rivian Automotive L R1T Dual Large (22in)</v>
      </c>
      <c r="EB824" s="25"/>
      <c r="EC824" s="25"/>
      <c r="ED824" s="25"/>
      <c r="EE824" s="25"/>
      <c r="EF824" s="25"/>
      <c r="EG824" s="25"/>
      <c r="EH824" s="25"/>
      <c r="EI824" s="25"/>
      <c r="EJ824" s="25"/>
      <c r="EK824" s="25"/>
      <c r="EL824" s="25"/>
      <c r="EM824" s="25"/>
      <c r="EN824" s="25"/>
      <c r="EO824" s="25"/>
      <c r="EP824" s="25"/>
      <c r="EQ824" s="25"/>
      <c r="ER824" s="25"/>
      <c r="ES824" s="25"/>
      <c r="ET824" s="25"/>
      <c r="EU824" s="25"/>
      <c r="EV824" s="25" t="str">
        <f>_xlfn.CONCAT($A825," ",$B825," ",$D825)</f>
        <v>2025 Rivian Automotive L R1T Dual Large (22in)</v>
      </c>
      <c r="EW824" s="25"/>
      <c r="EX824" s="25"/>
      <c r="EY824" s="25"/>
      <c r="EZ824" s="25"/>
      <c r="FA824" s="25"/>
      <c r="FB824" s="25"/>
      <c r="FC824" s="25"/>
      <c r="FD824" s="25"/>
      <c r="FE824" s="25"/>
      <c r="FF824" s="25"/>
      <c r="FG824" s="25"/>
    </row>
    <row r="825" spans="1:165" x14ac:dyDescent="0.35">
      <c r="A825">
        <v>2025</v>
      </c>
      <c r="B825" t="s">
        <v>2222</v>
      </c>
      <c r="C825" t="s">
        <v>2223</v>
      </c>
      <c r="D825" t="s">
        <v>2441</v>
      </c>
      <c r="E825" t="s">
        <v>2225</v>
      </c>
      <c r="F825">
        <v>91</v>
      </c>
      <c r="G825">
        <v>0</v>
      </c>
      <c r="I825" t="s">
        <v>1734</v>
      </c>
      <c r="J825">
        <v>94</v>
      </c>
      <c r="K825">
        <v>77</v>
      </c>
      <c r="L825">
        <v>85</v>
      </c>
      <c r="M825">
        <v>133.19999999999999</v>
      </c>
      <c r="N825">
        <v>109</v>
      </c>
      <c r="O825">
        <v>121.101</v>
      </c>
      <c r="P825">
        <v>93.919300000000007</v>
      </c>
      <c r="Q825">
        <v>76.855900000000005</v>
      </c>
      <c r="R825">
        <v>85.388300000000001</v>
      </c>
      <c r="V825" t="s">
        <v>167</v>
      </c>
      <c r="W825" t="s">
        <v>168</v>
      </c>
      <c r="Y825">
        <v>1</v>
      </c>
      <c r="Z825" t="s">
        <v>170</v>
      </c>
      <c r="AA825" t="s">
        <v>170</v>
      </c>
      <c r="AB825">
        <v>4</v>
      </c>
      <c r="AC825" t="s">
        <v>601</v>
      </c>
      <c r="AF825">
        <v>329</v>
      </c>
      <c r="AG825" t="s">
        <v>1735</v>
      </c>
      <c r="AH825" t="s">
        <v>1736</v>
      </c>
      <c r="AI825" t="s">
        <v>175</v>
      </c>
      <c r="AJ825" t="s">
        <v>176</v>
      </c>
      <c r="AK825">
        <v>4</v>
      </c>
      <c r="AL825" t="s">
        <v>1737</v>
      </c>
      <c r="AS825">
        <v>950</v>
      </c>
      <c r="AT825">
        <v>50</v>
      </c>
      <c r="BQ825">
        <v>13</v>
      </c>
      <c r="BR825" t="s">
        <v>1016</v>
      </c>
      <c r="BT825" t="s">
        <v>1769</v>
      </c>
      <c r="BU825" s="1">
        <v>47048</v>
      </c>
      <c r="BV825">
        <v>36691</v>
      </c>
      <c r="BY825" t="s">
        <v>170</v>
      </c>
      <c r="CB825" t="s">
        <v>170</v>
      </c>
      <c r="CC825" t="s">
        <v>170</v>
      </c>
      <c r="CK825" t="s">
        <v>233</v>
      </c>
      <c r="CM825">
        <v>1</v>
      </c>
      <c r="CN825" t="s">
        <v>234</v>
      </c>
      <c r="CP825">
        <v>406</v>
      </c>
      <c r="CQ825">
        <v>286</v>
      </c>
      <c r="CR825">
        <v>273</v>
      </c>
      <c r="CS825" t="s">
        <v>1752</v>
      </c>
      <c r="CV825" t="s">
        <v>341</v>
      </c>
      <c r="CX825" t="s">
        <v>342</v>
      </c>
      <c r="CY825" t="s">
        <v>169</v>
      </c>
      <c r="DC825" t="s">
        <v>2409</v>
      </c>
      <c r="DD825">
        <v>2</v>
      </c>
      <c r="DE825" t="s">
        <v>404</v>
      </c>
      <c r="DF825" t="s">
        <v>1860</v>
      </c>
      <c r="DG825">
        <v>264</v>
      </c>
      <c r="DL825" t="s">
        <v>170</v>
      </c>
      <c r="DM825" t="s">
        <v>169</v>
      </c>
      <c r="DP825" t="s">
        <v>170</v>
      </c>
      <c r="DQ825" t="s">
        <v>187</v>
      </c>
      <c r="DR825" t="s">
        <v>2442</v>
      </c>
      <c r="EB825">
        <v>9</v>
      </c>
      <c r="EC825">
        <v>10</v>
      </c>
      <c r="EE825" t="s">
        <v>2411</v>
      </c>
      <c r="EF825">
        <v>10</v>
      </c>
      <c r="EU825">
        <v>4750</v>
      </c>
      <c r="EW825">
        <v>0</v>
      </c>
      <c r="EX825">
        <v>0</v>
      </c>
      <c r="EY825">
        <v>0</v>
      </c>
      <c r="FA825">
        <v>12</v>
      </c>
      <c r="FG825">
        <v>358</v>
      </c>
      <c r="FH825">
        <v>293</v>
      </c>
      <c r="FI825">
        <v>329</v>
      </c>
    </row>
    <row r="826" spans="1:165" x14ac:dyDescent="0.35">
      <c r="A826">
        <v>2025</v>
      </c>
      <c r="B826" t="s">
        <v>2222</v>
      </c>
      <c r="C826" t="s">
        <v>2223</v>
      </c>
      <c r="D826" t="s">
        <v>2441</v>
      </c>
      <c r="E826" t="s">
        <v>2225</v>
      </c>
      <c r="F826">
        <v>91</v>
      </c>
      <c r="G826">
        <v>0</v>
      </c>
      <c r="I826" t="s">
        <v>1734</v>
      </c>
      <c r="J826">
        <v>36</v>
      </c>
      <c r="K826">
        <v>44</v>
      </c>
      <c r="L826">
        <v>39</v>
      </c>
      <c r="M826">
        <v>25.3094</v>
      </c>
      <c r="N826">
        <v>30.915800000000001</v>
      </c>
      <c r="O826">
        <v>27.8323</v>
      </c>
      <c r="P826">
        <v>35.8872</v>
      </c>
      <c r="Q826">
        <v>43.854799999999997</v>
      </c>
      <c r="R826">
        <v>39.4726</v>
      </c>
      <c r="V826" t="s">
        <v>167</v>
      </c>
      <c r="W826" t="s">
        <v>168</v>
      </c>
      <c r="Y826">
        <v>1</v>
      </c>
      <c r="Z826" t="s">
        <v>170</v>
      </c>
      <c r="AA826" t="s">
        <v>170</v>
      </c>
      <c r="AB826">
        <v>4</v>
      </c>
      <c r="AC826" t="s">
        <v>601</v>
      </c>
      <c r="AF826">
        <v>329</v>
      </c>
      <c r="AG826" t="s">
        <v>1735</v>
      </c>
      <c r="AH826" t="s">
        <v>1736</v>
      </c>
      <c r="AI826" t="s">
        <v>1742</v>
      </c>
      <c r="AJ826" t="s">
        <v>1743</v>
      </c>
      <c r="AK826">
        <v>4</v>
      </c>
      <c r="AL826" t="s">
        <v>1737</v>
      </c>
      <c r="AS826">
        <v>950</v>
      </c>
      <c r="AT826">
        <v>950</v>
      </c>
      <c r="BQ826">
        <v>13</v>
      </c>
      <c r="BR826" t="s">
        <v>1016</v>
      </c>
      <c r="BT826" t="s">
        <v>1769</v>
      </c>
      <c r="BU826" s="1">
        <v>47048</v>
      </c>
      <c r="BV826">
        <v>36691</v>
      </c>
      <c r="BY826" t="s">
        <v>170</v>
      </c>
      <c r="CB826" t="s">
        <v>170</v>
      </c>
      <c r="CC826" t="s">
        <v>170</v>
      </c>
      <c r="CK826" t="s">
        <v>233</v>
      </c>
      <c r="CM826">
        <v>1</v>
      </c>
      <c r="CN826" t="s">
        <v>234</v>
      </c>
      <c r="CP826">
        <v>406</v>
      </c>
      <c r="CQ826">
        <v>286</v>
      </c>
      <c r="CR826">
        <v>273</v>
      </c>
      <c r="CS826" t="s">
        <v>1752</v>
      </c>
      <c r="CV826" t="s">
        <v>341</v>
      </c>
      <c r="CX826" t="s">
        <v>342</v>
      </c>
      <c r="CY826" t="s">
        <v>169</v>
      </c>
      <c r="DC826" t="s">
        <v>2409</v>
      </c>
      <c r="DD826">
        <v>2</v>
      </c>
      <c r="DE826" t="s">
        <v>404</v>
      </c>
      <c r="DF826" t="s">
        <v>1860</v>
      </c>
      <c r="DG826">
        <v>264</v>
      </c>
      <c r="DL826" t="s">
        <v>170</v>
      </c>
      <c r="DM826" t="s">
        <v>169</v>
      </c>
      <c r="DP826" t="s">
        <v>170</v>
      </c>
      <c r="DQ826" t="s">
        <v>187</v>
      </c>
      <c r="DR826" t="s">
        <v>2442</v>
      </c>
      <c r="EB826">
        <v>9</v>
      </c>
      <c r="EC826">
        <v>10</v>
      </c>
      <c r="EE826" t="s">
        <v>2411</v>
      </c>
      <c r="EF826">
        <v>10</v>
      </c>
      <c r="EU826">
        <v>4750</v>
      </c>
      <c r="EW826">
        <v>0</v>
      </c>
      <c r="EX826">
        <v>0</v>
      </c>
      <c r="EY826">
        <v>0</v>
      </c>
      <c r="FA826">
        <v>12</v>
      </c>
      <c r="FG826">
        <v>358</v>
      </c>
      <c r="FH826">
        <v>293</v>
      </c>
      <c r="FI826">
        <v>329</v>
      </c>
    </row>
    <row r="827" spans="1:165" x14ac:dyDescent="0.35">
      <c r="A827" s="25"/>
      <c r="B827" s="25"/>
      <c r="C827" s="25"/>
      <c r="D827" s="25"/>
      <c r="E827" s="25"/>
      <c r="F827" s="25" t="str">
        <f>_xlfn.CONCAT($A828," ",$B828," ",$D828)</f>
        <v>2025 Rivian Automotive L R1S Dual Large (22in)</v>
      </c>
      <c r="G827" s="25"/>
      <c r="H827" s="25"/>
      <c r="I827" s="25"/>
      <c r="J827" s="25"/>
      <c r="K827" s="25"/>
      <c r="L827" s="25"/>
      <c r="M827" s="25"/>
      <c r="N827" s="25"/>
      <c r="O827" s="25"/>
      <c r="P827" s="25"/>
      <c r="Q827" s="25"/>
      <c r="R827" s="25"/>
      <c r="S827" s="25"/>
      <c r="T827" s="25"/>
      <c r="U827" s="25"/>
      <c r="V827" s="25"/>
      <c r="W827" s="25"/>
      <c r="X827" s="25"/>
      <c r="Y827" s="25"/>
      <c r="Z827" s="25"/>
      <c r="AA827" s="25"/>
      <c r="AB827" s="25"/>
      <c r="AC827" s="25"/>
      <c r="AD827" s="25" t="str">
        <f>_xlfn.CONCAT($A828," ",$B828," ",$D828)</f>
        <v>2025 Rivian Automotive L R1S Dual Large (22in)</v>
      </c>
      <c r="AE827" s="25"/>
      <c r="AF827" s="25"/>
      <c r="AG827" s="25"/>
      <c r="AH827" s="25"/>
      <c r="AI827" s="25"/>
      <c r="AJ827" s="25"/>
      <c r="AK827" s="25"/>
      <c r="AL827" s="25"/>
      <c r="AM827" s="25"/>
      <c r="AN827" s="25"/>
      <c r="AO827" s="25"/>
      <c r="AP827" s="25"/>
      <c r="AQ827" s="25"/>
      <c r="AR827" s="25"/>
      <c r="AS827" s="25"/>
      <c r="AT827" s="25"/>
      <c r="AU827" s="25"/>
      <c r="AV827" s="25"/>
      <c r="AW827" s="25"/>
      <c r="AX827" s="25" t="str">
        <f>_xlfn.CONCAT($A828," ",$B828," ",$D828)</f>
        <v>2025 Rivian Automotive L R1S Dual Large (22in)</v>
      </c>
      <c r="AY827" s="25"/>
      <c r="AZ827" s="25"/>
      <c r="BA827" s="25"/>
      <c r="BB827" s="25"/>
      <c r="BC827" s="25"/>
      <c r="BD827" s="25"/>
      <c r="BE827" s="25"/>
      <c r="BF827" s="25"/>
      <c r="BG827" s="25"/>
      <c r="BH827" s="25"/>
      <c r="BI827" s="25"/>
      <c r="BJ827" s="25"/>
      <c r="BK827" s="25"/>
      <c r="BL827" s="25"/>
      <c r="BM827" s="25"/>
      <c r="BN827" s="25"/>
      <c r="BO827" s="25"/>
      <c r="BP827" s="25"/>
      <c r="BQ827" s="25"/>
      <c r="BR827" s="25" t="str">
        <f>_xlfn.CONCAT($A828," ",$B828," ",$D828)</f>
        <v>2025 Rivian Automotive L R1S Dual Large (22in)</v>
      </c>
      <c r="BS827" s="25"/>
      <c r="BT827" s="25"/>
      <c r="BU827" s="25"/>
      <c r="BV827" s="25"/>
      <c r="BX827" s="25"/>
      <c r="BY827" s="25"/>
      <c r="BZ827" s="25"/>
      <c r="CA827" s="25"/>
      <c r="CB827" s="25"/>
      <c r="CC827" s="25"/>
      <c r="CD827" s="25"/>
      <c r="CE827" s="25"/>
      <c r="CF827" s="25"/>
      <c r="CG827" s="25"/>
      <c r="CH827" s="25"/>
      <c r="CI827" s="25"/>
      <c r="CJ827" s="25"/>
      <c r="CK827" s="25"/>
      <c r="CL827" s="25"/>
      <c r="CM827" s="25"/>
      <c r="CN827" s="25"/>
      <c r="CO827" s="25"/>
      <c r="CP827" s="25" t="str">
        <f>_xlfn.CONCAT($A828," ",$B828," ",$D828)</f>
        <v>2025 Rivian Automotive L R1S Dual Large (22in)</v>
      </c>
      <c r="CQ827" s="25"/>
      <c r="CR827" s="25"/>
      <c r="CS827" s="25"/>
      <c r="CT827" s="25"/>
      <c r="CU827" s="25"/>
      <c r="CV827" s="25"/>
      <c r="CW827" s="25"/>
      <c r="CX827" s="25"/>
      <c r="CY827" s="25"/>
      <c r="CZ827" s="25"/>
      <c r="DA827" s="25"/>
      <c r="DB827" s="25"/>
      <c r="DC827" s="25"/>
      <c r="DD827" s="25"/>
      <c r="DE827" s="25"/>
      <c r="DF827" s="25"/>
      <c r="DG827" s="25"/>
      <c r="DH827" s="25"/>
      <c r="DI827" s="25" t="str">
        <f>_xlfn.CONCAT($A828," ",$B828," ",$D828)</f>
        <v>2025 Rivian Automotive L R1S Dual Large (22in)</v>
      </c>
      <c r="DJ827" s="25"/>
      <c r="DK827" s="25"/>
      <c r="DL827" s="25"/>
      <c r="DM827" s="25"/>
      <c r="DN827" s="25"/>
      <c r="DO827" s="25"/>
      <c r="DP827" s="25"/>
      <c r="DQ827" s="25"/>
      <c r="DR827" s="25"/>
      <c r="DS827" s="25"/>
      <c r="DT827" s="25"/>
      <c r="DU827" s="25"/>
      <c r="DV827" s="25"/>
      <c r="DW827" s="25"/>
      <c r="DX827" s="25"/>
      <c r="DY827" s="25"/>
      <c r="DZ827" s="25" t="str">
        <f>_xlfn.CONCAT($A828," ",$B828," ",$D828)</f>
        <v>2025 Rivian Automotive L R1S Dual Large (22in)</v>
      </c>
      <c r="EB827" s="25"/>
      <c r="EC827" s="25"/>
      <c r="ED827" s="25"/>
      <c r="EE827" s="25"/>
      <c r="EF827" s="25"/>
      <c r="EG827" s="25"/>
      <c r="EH827" s="25"/>
      <c r="EI827" s="25"/>
      <c r="EJ827" s="25"/>
      <c r="EK827" s="25"/>
      <c r="EL827" s="25"/>
      <c r="EM827" s="25"/>
      <c r="EN827" s="25"/>
      <c r="EO827" s="25"/>
      <c r="EP827" s="25"/>
      <c r="EQ827" s="25"/>
      <c r="ER827" s="25"/>
      <c r="ES827" s="25"/>
      <c r="ET827" s="25"/>
      <c r="EU827" s="25"/>
      <c r="EV827" s="25" t="str">
        <f>_xlfn.CONCAT($A828," ",$B828," ",$D828)</f>
        <v>2025 Rivian Automotive L R1S Dual Large (22in)</v>
      </c>
      <c r="EW827" s="25"/>
      <c r="EX827" s="25"/>
      <c r="EY827" s="25"/>
      <c r="EZ827" s="25"/>
      <c r="FA827" s="25"/>
      <c r="FB827" s="25"/>
      <c r="FC827" s="25"/>
      <c r="FD827" s="25"/>
      <c r="FE827" s="25"/>
      <c r="FF827" s="25"/>
      <c r="FG827" s="25"/>
    </row>
    <row r="828" spans="1:165" x14ac:dyDescent="0.35">
      <c r="A828">
        <v>2025</v>
      </c>
      <c r="B828" t="s">
        <v>2222</v>
      </c>
      <c r="C828" t="s">
        <v>2223</v>
      </c>
      <c r="D828" t="s">
        <v>2428</v>
      </c>
      <c r="E828" t="s">
        <v>2225</v>
      </c>
      <c r="F828">
        <v>92</v>
      </c>
      <c r="G828">
        <v>0</v>
      </c>
      <c r="I828" t="s">
        <v>1734</v>
      </c>
      <c r="J828">
        <v>94</v>
      </c>
      <c r="K828">
        <v>77</v>
      </c>
      <c r="L828">
        <v>85</v>
      </c>
      <c r="M828">
        <v>133.19999999999999</v>
      </c>
      <c r="N828">
        <v>109</v>
      </c>
      <c r="O828">
        <v>121.101</v>
      </c>
      <c r="P828">
        <v>93.919300000000007</v>
      </c>
      <c r="Q828">
        <v>76.855900000000005</v>
      </c>
      <c r="R828">
        <v>85.388300000000001</v>
      </c>
      <c r="V828" t="s">
        <v>167</v>
      </c>
      <c r="W828" t="s">
        <v>168</v>
      </c>
      <c r="Y828">
        <v>1</v>
      </c>
      <c r="Z828" t="s">
        <v>170</v>
      </c>
      <c r="AA828" t="s">
        <v>170</v>
      </c>
      <c r="AB828">
        <v>4</v>
      </c>
      <c r="AC828" t="s">
        <v>601</v>
      </c>
      <c r="AF828">
        <v>329</v>
      </c>
      <c r="AG828" t="s">
        <v>1735</v>
      </c>
      <c r="AH828" t="s">
        <v>1736</v>
      </c>
      <c r="AI828" t="s">
        <v>175</v>
      </c>
      <c r="AJ828" t="s">
        <v>176</v>
      </c>
      <c r="AK828">
        <v>4</v>
      </c>
      <c r="AL828" t="s">
        <v>1737</v>
      </c>
      <c r="AS828">
        <v>950</v>
      </c>
      <c r="AT828">
        <v>50</v>
      </c>
      <c r="BQ828">
        <v>33</v>
      </c>
      <c r="BR828" t="s">
        <v>1497</v>
      </c>
      <c r="BT828" t="s">
        <v>1769</v>
      </c>
      <c r="BU828" s="1">
        <v>47048</v>
      </c>
      <c r="BV828">
        <v>36690</v>
      </c>
      <c r="BY828" t="s">
        <v>170</v>
      </c>
      <c r="CB828" t="s">
        <v>170</v>
      </c>
      <c r="CC828" t="s">
        <v>170</v>
      </c>
      <c r="CK828" t="s">
        <v>233</v>
      </c>
      <c r="CM828">
        <v>1</v>
      </c>
      <c r="CN828" t="s">
        <v>234</v>
      </c>
      <c r="CP828">
        <v>406</v>
      </c>
      <c r="CQ828">
        <v>286</v>
      </c>
      <c r="CR828">
        <v>273</v>
      </c>
      <c r="CS828" t="s">
        <v>1752</v>
      </c>
      <c r="CV828" t="s">
        <v>341</v>
      </c>
      <c r="CX828" t="s">
        <v>342</v>
      </c>
      <c r="CY828" t="s">
        <v>169</v>
      </c>
      <c r="DC828" t="s">
        <v>2409</v>
      </c>
      <c r="DD828">
        <v>2</v>
      </c>
      <c r="DE828" t="s">
        <v>404</v>
      </c>
      <c r="DF828" t="s">
        <v>1860</v>
      </c>
      <c r="DG828">
        <v>264</v>
      </c>
      <c r="DL828" t="s">
        <v>170</v>
      </c>
      <c r="DM828" t="s">
        <v>169</v>
      </c>
      <c r="DP828" t="s">
        <v>170</v>
      </c>
      <c r="DQ828" t="s">
        <v>187</v>
      </c>
      <c r="DR828" t="s">
        <v>2429</v>
      </c>
      <c r="EB828">
        <v>9</v>
      </c>
      <c r="EC828">
        <v>10</v>
      </c>
      <c r="EE828" t="s">
        <v>2411</v>
      </c>
      <c r="EF828">
        <v>10</v>
      </c>
      <c r="EU828">
        <v>4750</v>
      </c>
      <c r="EW828">
        <v>0</v>
      </c>
      <c r="EX828">
        <v>0</v>
      </c>
      <c r="EY828">
        <v>0</v>
      </c>
      <c r="FA828">
        <v>12</v>
      </c>
      <c r="FG828">
        <v>358</v>
      </c>
      <c r="FH828">
        <v>293</v>
      </c>
      <c r="FI828">
        <v>329</v>
      </c>
    </row>
    <row r="829" spans="1:165" x14ac:dyDescent="0.35">
      <c r="A829">
        <v>2025</v>
      </c>
      <c r="B829" t="s">
        <v>2222</v>
      </c>
      <c r="C829" t="s">
        <v>2223</v>
      </c>
      <c r="D829" t="s">
        <v>2428</v>
      </c>
      <c r="E829" t="s">
        <v>2225</v>
      </c>
      <c r="F829">
        <v>92</v>
      </c>
      <c r="G829">
        <v>0</v>
      </c>
      <c r="I829" t="s">
        <v>1734</v>
      </c>
      <c r="J829">
        <v>36</v>
      </c>
      <c r="K829">
        <v>44</v>
      </c>
      <c r="L829">
        <v>39</v>
      </c>
      <c r="M829">
        <v>25.3094</v>
      </c>
      <c r="N829">
        <v>30.915800000000001</v>
      </c>
      <c r="O829">
        <v>27.8323</v>
      </c>
      <c r="P829">
        <v>35.8872</v>
      </c>
      <c r="Q829">
        <v>43.854799999999997</v>
      </c>
      <c r="R829">
        <v>39.4726</v>
      </c>
      <c r="V829" t="s">
        <v>167</v>
      </c>
      <c r="W829" t="s">
        <v>168</v>
      </c>
      <c r="Y829">
        <v>1</v>
      </c>
      <c r="Z829" t="s">
        <v>170</v>
      </c>
      <c r="AA829" t="s">
        <v>170</v>
      </c>
      <c r="AB829">
        <v>4</v>
      </c>
      <c r="AC829" t="s">
        <v>601</v>
      </c>
      <c r="AF829">
        <v>329</v>
      </c>
      <c r="AG829" t="s">
        <v>1735</v>
      </c>
      <c r="AH829" t="s">
        <v>1736</v>
      </c>
      <c r="AI829" t="s">
        <v>1742</v>
      </c>
      <c r="AJ829" t="s">
        <v>1743</v>
      </c>
      <c r="AK829">
        <v>4</v>
      </c>
      <c r="AL829" t="s">
        <v>1737</v>
      </c>
      <c r="AS829">
        <v>950</v>
      </c>
      <c r="AT829">
        <v>950</v>
      </c>
      <c r="BQ829">
        <v>33</v>
      </c>
      <c r="BR829" t="s">
        <v>1497</v>
      </c>
      <c r="BT829" t="s">
        <v>1769</v>
      </c>
      <c r="BU829" s="1">
        <v>47048</v>
      </c>
      <c r="BV829">
        <v>36690</v>
      </c>
      <c r="BY829" t="s">
        <v>170</v>
      </c>
      <c r="CB829" t="s">
        <v>170</v>
      </c>
      <c r="CC829" t="s">
        <v>170</v>
      </c>
      <c r="CK829" t="s">
        <v>233</v>
      </c>
      <c r="CM829">
        <v>1</v>
      </c>
      <c r="CN829" t="s">
        <v>234</v>
      </c>
      <c r="CP829">
        <v>406</v>
      </c>
      <c r="CQ829">
        <v>286</v>
      </c>
      <c r="CR829">
        <v>273</v>
      </c>
      <c r="CS829" t="s">
        <v>1752</v>
      </c>
      <c r="CV829" t="s">
        <v>341</v>
      </c>
      <c r="CX829" t="s">
        <v>342</v>
      </c>
      <c r="CY829" t="s">
        <v>169</v>
      </c>
      <c r="DC829" t="s">
        <v>2409</v>
      </c>
      <c r="DD829">
        <v>2</v>
      </c>
      <c r="DE829" t="s">
        <v>404</v>
      </c>
      <c r="DF829" t="s">
        <v>1860</v>
      </c>
      <c r="DG829">
        <v>264</v>
      </c>
      <c r="DL829" t="s">
        <v>170</v>
      </c>
      <c r="DM829" t="s">
        <v>169</v>
      </c>
      <c r="DP829" t="s">
        <v>170</v>
      </c>
      <c r="DQ829" t="s">
        <v>187</v>
      </c>
      <c r="DR829" t="s">
        <v>2429</v>
      </c>
      <c r="EB829">
        <v>9</v>
      </c>
      <c r="EC829">
        <v>10</v>
      </c>
      <c r="EE829" t="s">
        <v>2411</v>
      </c>
      <c r="EF829">
        <v>10</v>
      </c>
      <c r="EU829">
        <v>4750</v>
      </c>
      <c r="EW829">
        <v>0</v>
      </c>
      <c r="EX829">
        <v>0</v>
      </c>
      <c r="EY829">
        <v>0</v>
      </c>
      <c r="FA829">
        <v>12</v>
      </c>
      <c r="FG829">
        <v>358</v>
      </c>
      <c r="FH829">
        <v>293</v>
      </c>
      <c r="FI829">
        <v>329</v>
      </c>
    </row>
    <row r="830" spans="1:165" x14ac:dyDescent="0.35">
      <c r="A830" s="25"/>
      <c r="B830" s="25"/>
      <c r="C830" s="25"/>
      <c r="D830" s="25"/>
      <c r="E830" s="25"/>
      <c r="F830" s="25" t="str">
        <f>_xlfn.CONCAT($A831," ",$B831," ",$D831)</f>
        <v>2025 Rivian Automotive L R1T Dual Large (20in)</v>
      </c>
      <c r="G830" s="25"/>
      <c r="H830" s="25"/>
      <c r="I830" s="25"/>
      <c r="J830" s="25"/>
      <c r="K830" s="25"/>
      <c r="L830" s="25"/>
      <c r="M830" s="25"/>
      <c r="N830" s="25"/>
      <c r="O830" s="25"/>
      <c r="P830" s="25"/>
      <c r="Q830" s="25"/>
      <c r="R830" s="25"/>
      <c r="S830" s="25"/>
      <c r="T830" s="25"/>
      <c r="U830" s="25"/>
      <c r="V830" s="25"/>
      <c r="W830" s="25"/>
      <c r="X830" s="25"/>
      <c r="Y830" s="25"/>
      <c r="Z830" s="25"/>
      <c r="AA830" s="25"/>
      <c r="AB830" s="25"/>
      <c r="AC830" s="25"/>
      <c r="AD830" s="25" t="str">
        <f>_xlfn.CONCAT($A831," ",$B831," ",$D831)</f>
        <v>2025 Rivian Automotive L R1T Dual Large (20in)</v>
      </c>
      <c r="AE830" s="25"/>
      <c r="AF830" s="25"/>
      <c r="AG830" s="25"/>
      <c r="AH830" s="25"/>
      <c r="AI830" s="25"/>
      <c r="AJ830" s="25"/>
      <c r="AK830" s="25"/>
      <c r="AL830" s="25"/>
      <c r="AM830" s="25"/>
      <c r="AN830" s="25"/>
      <c r="AO830" s="25"/>
      <c r="AP830" s="25"/>
      <c r="AQ830" s="25"/>
      <c r="AR830" s="25"/>
      <c r="AS830" s="25"/>
      <c r="AT830" s="25"/>
      <c r="AU830" s="25"/>
      <c r="AV830" s="25"/>
      <c r="AW830" s="25"/>
      <c r="AX830" s="25" t="str">
        <f>_xlfn.CONCAT($A831," ",$B831," ",$D831)</f>
        <v>2025 Rivian Automotive L R1T Dual Large (20in)</v>
      </c>
      <c r="AY830" s="25"/>
      <c r="AZ830" s="25"/>
      <c r="BA830" s="25"/>
      <c r="BB830" s="25"/>
      <c r="BC830" s="25"/>
      <c r="BD830" s="25"/>
      <c r="BE830" s="25"/>
      <c r="BF830" s="25"/>
      <c r="BG830" s="25"/>
      <c r="BH830" s="25"/>
      <c r="BI830" s="25"/>
      <c r="BJ830" s="25"/>
      <c r="BK830" s="25"/>
      <c r="BL830" s="25"/>
      <c r="BM830" s="25"/>
      <c r="BN830" s="25"/>
      <c r="BO830" s="25"/>
      <c r="BP830" s="25"/>
      <c r="BQ830" s="25"/>
      <c r="BR830" s="25" t="str">
        <f>_xlfn.CONCAT($A831," ",$B831," ",$D831)</f>
        <v>2025 Rivian Automotive L R1T Dual Large (20in)</v>
      </c>
      <c r="BS830" s="25"/>
      <c r="BT830" s="25"/>
      <c r="BU830" s="25"/>
      <c r="BV830" s="25"/>
      <c r="BX830" s="25"/>
      <c r="BY830" s="25"/>
      <c r="BZ830" s="25"/>
      <c r="CA830" s="25"/>
      <c r="CB830" s="25"/>
      <c r="CC830" s="25"/>
      <c r="CD830" s="25"/>
      <c r="CE830" s="25"/>
      <c r="CF830" s="25"/>
      <c r="CG830" s="25"/>
      <c r="CH830" s="25"/>
      <c r="CI830" s="25"/>
      <c r="CJ830" s="25"/>
      <c r="CK830" s="25"/>
      <c r="CL830" s="25"/>
      <c r="CM830" s="25"/>
      <c r="CN830" s="25"/>
      <c r="CO830" s="25"/>
      <c r="CP830" s="25" t="str">
        <f>_xlfn.CONCAT($A831," ",$B831," ",$D831)</f>
        <v>2025 Rivian Automotive L R1T Dual Large (20in)</v>
      </c>
      <c r="CQ830" s="25"/>
      <c r="CR830" s="25"/>
      <c r="CS830" s="25"/>
      <c r="CT830" s="25"/>
      <c r="CU830" s="25"/>
      <c r="CV830" s="25"/>
      <c r="CW830" s="25"/>
      <c r="CX830" s="25"/>
      <c r="CY830" s="25"/>
      <c r="CZ830" s="25"/>
      <c r="DA830" s="25"/>
      <c r="DB830" s="25"/>
      <c r="DC830" s="25"/>
      <c r="DD830" s="25"/>
      <c r="DE830" s="25"/>
      <c r="DF830" s="25"/>
      <c r="DG830" s="25"/>
      <c r="DH830" s="25"/>
      <c r="DI830" s="25" t="str">
        <f>_xlfn.CONCAT($A831," ",$B831," ",$D831)</f>
        <v>2025 Rivian Automotive L R1T Dual Large (20in)</v>
      </c>
      <c r="DJ830" s="25"/>
      <c r="DK830" s="25"/>
      <c r="DL830" s="25"/>
      <c r="DM830" s="25"/>
      <c r="DN830" s="25"/>
      <c r="DO830" s="25"/>
      <c r="DP830" s="25"/>
      <c r="DQ830" s="25"/>
      <c r="DR830" s="25"/>
      <c r="DS830" s="25"/>
      <c r="DT830" s="25"/>
      <c r="DU830" s="25"/>
      <c r="DV830" s="25"/>
      <c r="DW830" s="25"/>
      <c r="DX830" s="25"/>
      <c r="DY830" s="25"/>
      <c r="DZ830" s="25" t="str">
        <f>_xlfn.CONCAT($A831," ",$B831," ",$D831)</f>
        <v>2025 Rivian Automotive L R1T Dual Large (20in)</v>
      </c>
      <c r="EB830" s="25"/>
      <c r="EC830" s="25"/>
      <c r="ED830" s="25"/>
      <c r="EE830" s="25"/>
      <c r="EF830" s="25"/>
      <c r="EG830" s="25"/>
      <c r="EH830" s="25"/>
      <c r="EI830" s="25"/>
      <c r="EJ830" s="25"/>
      <c r="EK830" s="25"/>
      <c r="EL830" s="25"/>
      <c r="EM830" s="25"/>
      <c r="EN830" s="25"/>
      <c r="EO830" s="25"/>
      <c r="EP830" s="25"/>
      <c r="EQ830" s="25"/>
      <c r="ER830" s="25"/>
      <c r="ES830" s="25"/>
      <c r="ET830" s="25"/>
      <c r="EU830" s="25"/>
      <c r="EV830" s="25" t="str">
        <f>_xlfn.CONCAT($A831," ",$B831," ",$D831)</f>
        <v>2025 Rivian Automotive L R1T Dual Large (20in)</v>
      </c>
      <c r="EW830" s="25"/>
      <c r="EX830" s="25"/>
      <c r="EY830" s="25"/>
      <c r="EZ830" s="25"/>
      <c r="FA830" s="25"/>
      <c r="FB830" s="25"/>
      <c r="FC830" s="25"/>
      <c r="FD830" s="25"/>
      <c r="FE830" s="25"/>
      <c r="FF830" s="25"/>
      <c r="FG830" s="25"/>
    </row>
    <row r="831" spans="1:165" x14ac:dyDescent="0.35">
      <c r="A831">
        <v>2025</v>
      </c>
      <c r="B831" t="s">
        <v>2222</v>
      </c>
      <c r="C831" t="s">
        <v>2223</v>
      </c>
      <c r="D831" t="s">
        <v>2408</v>
      </c>
      <c r="E831" t="s">
        <v>2225</v>
      </c>
      <c r="F831">
        <v>93</v>
      </c>
      <c r="G831">
        <v>0</v>
      </c>
      <c r="I831" t="s">
        <v>1734</v>
      </c>
      <c r="J831">
        <v>85</v>
      </c>
      <c r="K831">
        <v>72</v>
      </c>
      <c r="L831">
        <v>79</v>
      </c>
      <c r="M831">
        <v>121.4</v>
      </c>
      <c r="N831">
        <v>102.9</v>
      </c>
      <c r="O831">
        <v>112.3134</v>
      </c>
      <c r="P831">
        <v>84.98</v>
      </c>
      <c r="Q831">
        <v>72.03</v>
      </c>
      <c r="R831">
        <v>78.619399999999999</v>
      </c>
      <c r="V831" t="s">
        <v>167</v>
      </c>
      <c r="W831" t="s">
        <v>168</v>
      </c>
      <c r="Y831">
        <v>1</v>
      </c>
      <c r="Z831" t="s">
        <v>170</v>
      </c>
      <c r="AA831" t="s">
        <v>170</v>
      </c>
      <c r="AB831">
        <v>4</v>
      </c>
      <c r="AC831" t="s">
        <v>601</v>
      </c>
      <c r="AF831">
        <v>300</v>
      </c>
      <c r="AG831" t="s">
        <v>1735</v>
      </c>
      <c r="AH831" t="s">
        <v>1736</v>
      </c>
      <c r="AI831" t="s">
        <v>175</v>
      </c>
      <c r="AJ831" t="s">
        <v>176</v>
      </c>
      <c r="AK831">
        <v>4</v>
      </c>
      <c r="AL831" t="s">
        <v>1737</v>
      </c>
      <c r="AS831">
        <v>1050</v>
      </c>
      <c r="AT831">
        <v>50</v>
      </c>
      <c r="BQ831">
        <v>13</v>
      </c>
      <c r="BR831" t="s">
        <v>1016</v>
      </c>
      <c r="BT831" t="s">
        <v>1769</v>
      </c>
      <c r="BU831" s="1">
        <v>47048</v>
      </c>
      <c r="BV831">
        <v>36694</v>
      </c>
      <c r="BY831" t="s">
        <v>170</v>
      </c>
      <c r="CB831" t="s">
        <v>170</v>
      </c>
      <c r="CC831" t="s">
        <v>170</v>
      </c>
      <c r="CK831" t="s">
        <v>233</v>
      </c>
      <c r="CM831">
        <v>1</v>
      </c>
      <c r="CN831" t="s">
        <v>234</v>
      </c>
      <c r="CP831">
        <v>406</v>
      </c>
      <c r="CQ831">
        <v>286</v>
      </c>
      <c r="CR831">
        <v>273</v>
      </c>
      <c r="CS831" t="s">
        <v>1752</v>
      </c>
      <c r="CV831" t="s">
        <v>341</v>
      </c>
      <c r="CX831" t="s">
        <v>342</v>
      </c>
      <c r="CY831" t="s">
        <v>169</v>
      </c>
      <c r="DC831" t="s">
        <v>2409</v>
      </c>
      <c r="DD831">
        <v>2</v>
      </c>
      <c r="DE831" t="s">
        <v>404</v>
      </c>
      <c r="DF831" t="s">
        <v>1860</v>
      </c>
      <c r="DG831">
        <v>264</v>
      </c>
      <c r="DL831" t="s">
        <v>170</v>
      </c>
      <c r="DM831" t="s">
        <v>169</v>
      </c>
      <c r="DP831" t="s">
        <v>170</v>
      </c>
      <c r="DQ831" t="s">
        <v>187</v>
      </c>
      <c r="DR831" t="s">
        <v>2410</v>
      </c>
      <c r="EB831">
        <v>9</v>
      </c>
      <c r="EC831">
        <v>10</v>
      </c>
      <c r="EE831" t="s">
        <v>2411</v>
      </c>
      <c r="EF831">
        <v>10</v>
      </c>
      <c r="EU831">
        <v>4250</v>
      </c>
      <c r="EW831">
        <v>0</v>
      </c>
      <c r="EX831">
        <v>0</v>
      </c>
      <c r="EY831">
        <v>0</v>
      </c>
      <c r="FA831">
        <v>12</v>
      </c>
      <c r="FG831">
        <v>322</v>
      </c>
      <c r="FH831">
        <v>273</v>
      </c>
      <c r="FI831">
        <v>300</v>
      </c>
    </row>
    <row r="832" spans="1:165" x14ac:dyDescent="0.35">
      <c r="A832">
        <v>2025</v>
      </c>
      <c r="B832" t="s">
        <v>2222</v>
      </c>
      <c r="C832" t="s">
        <v>2223</v>
      </c>
      <c r="D832" t="s">
        <v>2408</v>
      </c>
      <c r="E832" t="s">
        <v>2225</v>
      </c>
      <c r="F832">
        <v>93</v>
      </c>
      <c r="G832">
        <v>0</v>
      </c>
      <c r="I832" t="s">
        <v>1734</v>
      </c>
      <c r="J832">
        <v>40</v>
      </c>
      <c r="K832">
        <v>47</v>
      </c>
      <c r="L832">
        <v>43</v>
      </c>
      <c r="M832">
        <v>27.772099999999998</v>
      </c>
      <c r="N832">
        <v>32.760199999999998</v>
      </c>
      <c r="O832">
        <v>30.0167</v>
      </c>
      <c r="P832">
        <v>39.662300000000002</v>
      </c>
      <c r="Q832">
        <v>46.792999999999999</v>
      </c>
      <c r="R832">
        <v>42.871099999999998</v>
      </c>
      <c r="V832" t="s">
        <v>167</v>
      </c>
      <c r="W832" t="s">
        <v>168</v>
      </c>
      <c r="Y832">
        <v>1</v>
      </c>
      <c r="Z832" t="s">
        <v>170</v>
      </c>
      <c r="AA832" t="s">
        <v>170</v>
      </c>
      <c r="AB832">
        <v>4</v>
      </c>
      <c r="AC832" t="s">
        <v>601</v>
      </c>
      <c r="AF832">
        <v>300</v>
      </c>
      <c r="AG832" t="s">
        <v>1735</v>
      </c>
      <c r="AH832" t="s">
        <v>1736</v>
      </c>
      <c r="AI832" t="s">
        <v>1742</v>
      </c>
      <c r="AJ832" t="s">
        <v>1743</v>
      </c>
      <c r="AK832">
        <v>4</v>
      </c>
      <c r="AL832" t="s">
        <v>1737</v>
      </c>
      <c r="AS832">
        <v>1050</v>
      </c>
      <c r="AT832">
        <v>1050</v>
      </c>
      <c r="BQ832">
        <v>13</v>
      </c>
      <c r="BR832" t="s">
        <v>1016</v>
      </c>
      <c r="BT832" t="s">
        <v>1769</v>
      </c>
      <c r="BU832" s="1">
        <v>47048</v>
      </c>
      <c r="BV832">
        <v>36694</v>
      </c>
      <c r="BY832" t="s">
        <v>170</v>
      </c>
      <c r="CB832" t="s">
        <v>170</v>
      </c>
      <c r="CC832" t="s">
        <v>170</v>
      </c>
      <c r="CK832" t="s">
        <v>233</v>
      </c>
      <c r="CM832">
        <v>1</v>
      </c>
      <c r="CN832" t="s">
        <v>234</v>
      </c>
      <c r="CP832">
        <v>406</v>
      </c>
      <c r="CQ832">
        <v>286</v>
      </c>
      <c r="CR832">
        <v>273</v>
      </c>
      <c r="CS832" t="s">
        <v>1752</v>
      </c>
      <c r="CV832" t="s">
        <v>341</v>
      </c>
      <c r="CX832" t="s">
        <v>342</v>
      </c>
      <c r="CY832" t="s">
        <v>169</v>
      </c>
      <c r="DC832" t="s">
        <v>2409</v>
      </c>
      <c r="DD832">
        <v>2</v>
      </c>
      <c r="DE832" t="s">
        <v>404</v>
      </c>
      <c r="DF832" t="s">
        <v>1860</v>
      </c>
      <c r="DG832">
        <v>264</v>
      </c>
      <c r="DL832" t="s">
        <v>170</v>
      </c>
      <c r="DM832" t="s">
        <v>169</v>
      </c>
      <c r="DP832" t="s">
        <v>170</v>
      </c>
      <c r="DQ832" t="s">
        <v>187</v>
      </c>
      <c r="DR832" t="s">
        <v>2410</v>
      </c>
      <c r="EB832">
        <v>9</v>
      </c>
      <c r="EC832">
        <v>10</v>
      </c>
      <c r="EE832" t="s">
        <v>2411</v>
      </c>
      <c r="EF832">
        <v>10</v>
      </c>
      <c r="EU832">
        <v>4250</v>
      </c>
      <c r="EW832">
        <v>0</v>
      </c>
      <c r="EX832">
        <v>0</v>
      </c>
      <c r="EY832">
        <v>0</v>
      </c>
      <c r="FA832">
        <v>12</v>
      </c>
      <c r="FG832">
        <v>322</v>
      </c>
      <c r="FH832">
        <v>273</v>
      </c>
      <c r="FI832">
        <v>300</v>
      </c>
    </row>
    <row r="833" spans="1:165" x14ac:dyDescent="0.35">
      <c r="A833" s="25"/>
      <c r="B833" s="25"/>
      <c r="C833" s="25"/>
      <c r="D833" s="25"/>
      <c r="E833" s="25"/>
      <c r="F833" s="25" t="str">
        <f>_xlfn.CONCAT($A834," ",$B834," ",$D834)</f>
        <v>2025 Rivian Automotive L R1S Dual Large (20in)</v>
      </c>
      <c r="G833" s="25"/>
      <c r="H833" s="25"/>
      <c r="I833" s="25"/>
      <c r="J833" s="25"/>
      <c r="K833" s="25"/>
      <c r="L833" s="25"/>
      <c r="M833" s="25"/>
      <c r="N833" s="25"/>
      <c r="O833" s="25"/>
      <c r="P833" s="25"/>
      <c r="Q833" s="25"/>
      <c r="R833" s="25"/>
      <c r="S833" s="25"/>
      <c r="T833" s="25"/>
      <c r="U833" s="25"/>
      <c r="V833" s="25"/>
      <c r="W833" s="25"/>
      <c r="X833" s="25"/>
      <c r="Y833" s="25"/>
      <c r="Z833" s="25"/>
      <c r="AA833" s="25"/>
      <c r="AB833" s="25"/>
      <c r="AC833" s="25"/>
      <c r="AD833" s="25" t="str">
        <f>_xlfn.CONCAT($A834," ",$B834," ",$D834)</f>
        <v>2025 Rivian Automotive L R1S Dual Large (20in)</v>
      </c>
      <c r="AE833" s="25"/>
      <c r="AF833" s="25"/>
      <c r="AG833" s="25"/>
      <c r="AH833" s="25"/>
      <c r="AI833" s="25"/>
      <c r="AJ833" s="25"/>
      <c r="AK833" s="25"/>
      <c r="AL833" s="25"/>
      <c r="AM833" s="25"/>
      <c r="AN833" s="25"/>
      <c r="AO833" s="25"/>
      <c r="AP833" s="25"/>
      <c r="AQ833" s="25"/>
      <c r="AR833" s="25"/>
      <c r="AS833" s="25"/>
      <c r="AT833" s="25"/>
      <c r="AU833" s="25"/>
      <c r="AV833" s="25"/>
      <c r="AW833" s="25"/>
      <c r="AX833" s="25" t="str">
        <f>_xlfn.CONCAT($A834," ",$B834," ",$D834)</f>
        <v>2025 Rivian Automotive L R1S Dual Large (20in)</v>
      </c>
      <c r="AY833" s="25"/>
      <c r="AZ833" s="25"/>
      <c r="BA833" s="25"/>
      <c r="BB833" s="25"/>
      <c r="BC833" s="25"/>
      <c r="BD833" s="25"/>
      <c r="BE833" s="25"/>
      <c r="BF833" s="25"/>
      <c r="BG833" s="25"/>
      <c r="BH833" s="25"/>
      <c r="BI833" s="25"/>
      <c r="BJ833" s="25"/>
      <c r="BK833" s="25"/>
      <c r="BL833" s="25"/>
      <c r="BM833" s="25"/>
      <c r="BN833" s="25"/>
      <c r="BO833" s="25"/>
      <c r="BP833" s="25"/>
      <c r="BQ833" s="25"/>
      <c r="BR833" s="25" t="str">
        <f>_xlfn.CONCAT($A834," ",$B834," ",$D834)</f>
        <v>2025 Rivian Automotive L R1S Dual Large (20in)</v>
      </c>
      <c r="BS833" s="25"/>
      <c r="BT833" s="25"/>
      <c r="BU833" s="25"/>
      <c r="BV833" s="25"/>
      <c r="BX833" s="25"/>
      <c r="BY833" s="25"/>
      <c r="BZ833" s="25"/>
      <c r="CA833" s="25"/>
      <c r="CB833" s="25"/>
      <c r="CC833" s="25"/>
      <c r="CD833" s="25"/>
      <c r="CE833" s="25"/>
      <c r="CF833" s="25"/>
      <c r="CG833" s="25"/>
      <c r="CH833" s="25"/>
      <c r="CI833" s="25"/>
      <c r="CJ833" s="25"/>
      <c r="CK833" s="25"/>
      <c r="CL833" s="25"/>
      <c r="CM833" s="25"/>
      <c r="CN833" s="25"/>
      <c r="CO833" s="25"/>
      <c r="CP833" s="25" t="str">
        <f>_xlfn.CONCAT($A834," ",$B834," ",$D834)</f>
        <v>2025 Rivian Automotive L R1S Dual Large (20in)</v>
      </c>
      <c r="CQ833" s="25"/>
      <c r="CR833" s="25"/>
      <c r="CS833" s="25"/>
      <c r="CT833" s="25"/>
      <c r="CU833" s="25"/>
      <c r="CV833" s="25"/>
      <c r="CW833" s="25"/>
      <c r="CX833" s="25"/>
      <c r="CY833" s="25"/>
      <c r="CZ833" s="25"/>
      <c r="DA833" s="25"/>
      <c r="DB833" s="25"/>
      <c r="DC833" s="25"/>
      <c r="DD833" s="25"/>
      <c r="DE833" s="25"/>
      <c r="DF833" s="25"/>
      <c r="DG833" s="25"/>
      <c r="DH833" s="25"/>
      <c r="DI833" s="25" t="str">
        <f>_xlfn.CONCAT($A834," ",$B834," ",$D834)</f>
        <v>2025 Rivian Automotive L R1S Dual Large (20in)</v>
      </c>
      <c r="DJ833" s="25"/>
      <c r="DK833" s="25"/>
      <c r="DL833" s="25"/>
      <c r="DM833" s="25"/>
      <c r="DN833" s="25"/>
      <c r="DO833" s="25"/>
      <c r="DP833" s="25"/>
      <c r="DQ833" s="25"/>
      <c r="DR833" s="25"/>
      <c r="DS833" s="25"/>
      <c r="DT833" s="25"/>
      <c r="DU833" s="25"/>
      <c r="DV833" s="25"/>
      <c r="DW833" s="25"/>
      <c r="DX833" s="25"/>
      <c r="DY833" s="25"/>
      <c r="DZ833" s="25" t="str">
        <f>_xlfn.CONCAT($A834," ",$B834," ",$D834)</f>
        <v>2025 Rivian Automotive L R1S Dual Large (20in)</v>
      </c>
      <c r="EB833" s="25"/>
      <c r="EC833" s="25"/>
      <c r="ED833" s="25"/>
      <c r="EE833" s="25"/>
      <c r="EF833" s="25"/>
      <c r="EG833" s="25"/>
      <c r="EH833" s="25"/>
      <c r="EI833" s="25"/>
      <c r="EJ833" s="25"/>
      <c r="EK833" s="25"/>
      <c r="EL833" s="25"/>
      <c r="EM833" s="25"/>
      <c r="EN833" s="25"/>
      <c r="EO833" s="25"/>
      <c r="EP833" s="25"/>
      <c r="EQ833" s="25"/>
      <c r="ER833" s="25"/>
      <c r="ES833" s="25"/>
      <c r="ET833" s="25"/>
      <c r="EU833" s="25"/>
      <c r="EV833" s="25" t="str">
        <f>_xlfn.CONCAT($A834," ",$B834," ",$D834)</f>
        <v>2025 Rivian Automotive L R1S Dual Large (20in)</v>
      </c>
      <c r="EW833" s="25"/>
      <c r="EX833" s="25"/>
      <c r="EY833" s="25"/>
      <c r="EZ833" s="25"/>
      <c r="FA833" s="25"/>
      <c r="FB833" s="25"/>
      <c r="FC833" s="25"/>
      <c r="FD833" s="25"/>
      <c r="FE833" s="25"/>
      <c r="FF833" s="25"/>
      <c r="FG833" s="25"/>
    </row>
    <row r="834" spans="1:165" x14ac:dyDescent="0.35">
      <c r="A834">
        <v>2025</v>
      </c>
      <c r="B834" t="s">
        <v>2222</v>
      </c>
      <c r="C834" t="s">
        <v>2223</v>
      </c>
      <c r="D834" t="s">
        <v>2416</v>
      </c>
      <c r="E834" t="s">
        <v>2225</v>
      </c>
      <c r="F834">
        <v>94</v>
      </c>
      <c r="G834">
        <v>0</v>
      </c>
      <c r="I834" t="s">
        <v>1734</v>
      </c>
      <c r="J834">
        <v>85</v>
      </c>
      <c r="K834">
        <v>72</v>
      </c>
      <c r="L834">
        <v>79</v>
      </c>
      <c r="M834">
        <v>121.4</v>
      </c>
      <c r="N834">
        <v>102.9</v>
      </c>
      <c r="O834">
        <v>112.3134</v>
      </c>
      <c r="P834">
        <v>84.98</v>
      </c>
      <c r="Q834">
        <v>72.03</v>
      </c>
      <c r="R834">
        <v>78.619399999999999</v>
      </c>
      <c r="V834" t="s">
        <v>167</v>
      </c>
      <c r="W834" t="s">
        <v>168</v>
      </c>
      <c r="Y834">
        <v>1</v>
      </c>
      <c r="Z834" t="s">
        <v>170</v>
      </c>
      <c r="AA834" t="s">
        <v>170</v>
      </c>
      <c r="AB834">
        <v>4</v>
      </c>
      <c r="AC834" t="s">
        <v>601</v>
      </c>
      <c r="AF834">
        <v>300</v>
      </c>
      <c r="AG834" t="s">
        <v>1735</v>
      </c>
      <c r="AH834" t="s">
        <v>1736</v>
      </c>
      <c r="AI834" t="s">
        <v>175</v>
      </c>
      <c r="AJ834" t="s">
        <v>176</v>
      </c>
      <c r="AK834">
        <v>4</v>
      </c>
      <c r="AL834" t="s">
        <v>1737</v>
      </c>
      <c r="AS834">
        <v>1050</v>
      </c>
      <c r="AT834">
        <v>50</v>
      </c>
      <c r="BQ834">
        <v>33</v>
      </c>
      <c r="BR834" t="s">
        <v>1497</v>
      </c>
      <c r="BT834" t="s">
        <v>1769</v>
      </c>
      <c r="BU834" s="1">
        <v>47048</v>
      </c>
      <c r="BV834">
        <v>36695</v>
      </c>
      <c r="BY834" t="s">
        <v>170</v>
      </c>
      <c r="CB834" t="s">
        <v>170</v>
      </c>
      <c r="CC834" t="s">
        <v>170</v>
      </c>
      <c r="CK834" t="s">
        <v>233</v>
      </c>
      <c r="CM834">
        <v>1</v>
      </c>
      <c r="CN834" t="s">
        <v>234</v>
      </c>
      <c r="CP834">
        <v>406</v>
      </c>
      <c r="CQ834">
        <v>286</v>
      </c>
      <c r="CR834">
        <v>273</v>
      </c>
      <c r="CS834" t="s">
        <v>1752</v>
      </c>
      <c r="CV834" t="s">
        <v>341</v>
      </c>
      <c r="CX834" t="s">
        <v>342</v>
      </c>
      <c r="CY834" t="s">
        <v>169</v>
      </c>
      <c r="DC834" t="s">
        <v>2409</v>
      </c>
      <c r="DD834">
        <v>2</v>
      </c>
      <c r="DE834" t="s">
        <v>404</v>
      </c>
      <c r="DF834" t="s">
        <v>1860</v>
      </c>
      <c r="DG834">
        <v>264</v>
      </c>
      <c r="DL834" t="s">
        <v>170</v>
      </c>
      <c r="DM834" t="s">
        <v>169</v>
      </c>
      <c r="DP834" t="s">
        <v>170</v>
      </c>
      <c r="DQ834" t="s">
        <v>187</v>
      </c>
      <c r="DR834" t="s">
        <v>2417</v>
      </c>
      <c r="EB834">
        <v>9</v>
      </c>
      <c r="EC834">
        <v>10</v>
      </c>
      <c r="EE834" t="s">
        <v>2411</v>
      </c>
      <c r="EF834">
        <v>10</v>
      </c>
      <c r="EU834">
        <v>4250</v>
      </c>
      <c r="EW834">
        <v>0</v>
      </c>
      <c r="EX834">
        <v>0</v>
      </c>
      <c r="EY834">
        <v>0</v>
      </c>
      <c r="FA834">
        <v>12</v>
      </c>
      <c r="FG834">
        <v>322</v>
      </c>
      <c r="FH834">
        <v>273</v>
      </c>
      <c r="FI834">
        <v>300</v>
      </c>
    </row>
    <row r="835" spans="1:165" x14ac:dyDescent="0.35">
      <c r="A835">
        <v>2025</v>
      </c>
      <c r="B835" t="s">
        <v>2222</v>
      </c>
      <c r="C835" t="s">
        <v>2223</v>
      </c>
      <c r="D835" t="s">
        <v>2416</v>
      </c>
      <c r="E835" t="s">
        <v>2225</v>
      </c>
      <c r="F835">
        <v>94</v>
      </c>
      <c r="G835">
        <v>0</v>
      </c>
      <c r="I835" t="s">
        <v>1734</v>
      </c>
      <c r="J835">
        <v>40</v>
      </c>
      <c r="K835">
        <v>47</v>
      </c>
      <c r="L835">
        <v>43</v>
      </c>
      <c r="M835">
        <v>27.772099999999998</v>
      </c>
      <c r="N835">
        <v>32.760199999999998</v>
      </c>
      <c r="O835">
        <v>30.0167</v>
      </c>
      <c r="P835">
        <v>39.662300000000002</v>
      </c>
      <c r="Q835">
        <v>46.792999999999999</v>
      </c>
      <c r="R835">
        <v>42.871099999999998</v>
      </c>
      <c r="V835" t="s">
        <v>167</v>
      </c>
      <c r="W835" t="s">
        <v>168</v>
      </c>
      <c r="Y835">
        <v>1</v>
      </c>
      <c r="Z835" t="s">
        <v>170</v>
      </c>
      <c r="AA835" t="s">
        <v>170</v>
      </c>
      <c r="AB835">
        <v>4</v>
      </c>
      <c r="AC835" t="s">
        <v>601</v>
      </c>
      <c r="AF835">
        <v>300</v>
      </c>
      <c r="AG835" t="s">
        <v>1735</v>
      </c>
      <c r="AH835" t="s">
        <v>1736</v>
      </c>
      <c r="AI835" t="s">
        <v>1742</v>
      </c>
      <c r="AJ835" t="s">
        <v>1743</v>
      </c>
      <c r="AK835">
        <v>4</v>
      </c>
      <c r="AL835" t="s">
        <v>1737</v>
      </c>
      <c r="AS835">
        <v>1050</v>
      </c>
      <c r="AT835">
        <v>1050</v>
      </c>
      <c r="BQ835">
        <v>33</v>
      </c>
      <c r="BR835" t="s">
        <v>1497</v>
      </c>
      <c r="BT835" t="s">
        <v>1769</v>
      </c>
      <c r="BU835" s="1">
        <v>47048</v>
      </c>
      <c r="BV835">
        <v>36695</v>
      </c>
      <c r="BY835" t="s">
        <v>170</v>
      </c>
      <c r="CB835" t="s">
        <v>170</v>
      </c>
      <c r="CC835" t="s">
        <v>170</v>
      </c>
      <c r="CK835" t="s">
        <v>233</v>
      </c>
      <c r="CM835">
        <v>1</v>
      </c>
      <c r="CN835" t="s">
        <v>234</v>
      </c>
      <c r="CP835">
        <v>406</v>
      </c>
      <c r="CQ835">
        <v>286</v>
      </c>
      <c r="CR835">
        <v>273</v>
      </c>
      <c r="CS835" t="s">
        <v>1752</v>
      </c>
      <c r="CV835" t="s">
        <v>341</v>
      </c>
      <c r="CX835" t="s">
        <v>342</v>
      </c>
      <c r="CY835" t="s">
        <v>169</v>
      </c>
      <c r="DC835" t="s">
        <v>2409</v>
      </c>
      <c r="DD835">
        <v>2</v>
      </c>
      <c r="DE835" t="s">
        <v>404</v>
      </c>
      <c r="DF835" t="s">
        <v>1860</v>
      </c>
      <c r="DG835">
        <v>264</v>
      </c>
      <c r="DL835" t="s">
        <v>170</v>
      </c>
      <c r="DM835" t="s">
        <v>169</v>
      </c>
      <c r="DP835" t="s">
        <v>170</v>
      </c>
      <c r="DQ835" t="s">
        <v>187</v>
      </c>
      <c r="DR835" t="s">
        <v>2417</v>
      </c>
      <c r="EB835">
        <v>9</v>
      </c>
      <c r="EC835">
        <v>10</v>
      </c>
      <c r="EE835" t="s">
        <v>2411</v>
      </c>
      <c r="EF835">
        <v>10</v>
      </c>
      <c r="EU835">
        <v>4250</v>
      </c>
      <c r="EW835">
        <v>0</v>
      </c>
      <c r="EX835">
        <v>0</v>
      </c>
      <c r="EY835">
        <v>0</v>
      </c>
      <c r="FA835">
        <v>12</v>
      </c>
      <c r="FG835">
        <v>322</v>
      </c>
      <c r="FH835">
        <v>273</v>
      </c>
      <c r="FI835">
        <v>300</v>
      </c>
    </row>
    <row r="836" spans="1:165" x14ac:dyDescent="0.35">
      <c r="A836" s="25"/>
      <c r="B836" s="25"/>
      <c r="C836" s="25"/>
      <c r="D836" s="25"/>
      <c r="E836" s="25"/>
      <c r="F836" s="25" t="str">
        <f>_xlfn.CONCAT($A837," ",$B837," ",$D837)</f>
        <v>2025 Rivian Automotive L R1T All-Terrain Dual Large (20in)</v>
      </c>
      <c r="G836" s="25"/>
      <c r="H836" s="25"/>
      <c r="I836" s="25"/>
      <c r="J836" s="25"/>
      <c r="K836" s="25"/>
      <c r="L836" s="25"/>
      <c r="M836" s="25"/>
      <c r="N836" s="25"/>
      <c r="O836" s="25"/>
      <c r="P836" s="25"/>
      <c r="Q836" s="25"/>
      <c r="R836" s="25"/>
      <c r="S836" s="25"/>
      <c r="T836" s="25"/>
      <c r="U836" s="25"/>
      <c r="V836" s="25"/>
      <c r="W836" s="25"/>
      <c r="X836" s="25"/>
      <c r="Y836" s="25"/>
      <c r="Z836" s="25"/>
      <c r="AA836" s="25"/>
      <c r="AB836" s="25"/>
      <c r="AC836" s="25"/>
      <c r="AD836" s="25" t="str">
        <f>_xlfn.CONCAT($A837," ",$B837," ",$D837)</f>
        <v>2025 Rivian Automotive L R1T All-Terrain Dual Large (20in)</v>
      </c>
      <c r="AE836" s="25"/>
      <c r="AF836" s="25"/>
      <c r="AG836" s="25"/>
      <c r="AH836" s="25"/>
      <c r="AI836" s="25"/>
      <c r="AJ836" s="25"/>
      <c r="AK836" s="25"/>
      <c r="AL836" s="25"/>
      <c r="AM836" s="25"/>
      <c r="AN836" s="25"/>
      <c r="AO836" s="25"/>
      <c r="AP836" s="25"/>
      <c r="AQ836" s="25"/>
      <c r="AR836" s="25"/>
      <c r="AS836" s="25"/>
      <c r="AT836" s="25"/>
      <c r="AU836" s="25"/>
      <c r="AV836" s="25"/>
      <c r="AW836" s="25"/>
      <c r="AX836" s="25" t="str">
        <f>_xlfn.CONCAT($A837," ",$B837," ",$D837)</f>
        <v>2025 Rivian Automotive L R1T All-Terrain Dual Large (20in)</v>
      </c>
      <c r="AY836" s="25"/>
      <c r="AZ836" s="25"/>
      <c r="BA836" s="25"/>
      <c r="BB836" s="25"/>
      <c r="BC836" s="25"/>
      <c r="BD836" s="25"/>
      <c r="BE836" s="25"/>
      <c r="BF836" s="25"/>
      <c r="BG836" s="25"/>
      <c r="BH836" s="25"/>
      <c r="BI836" s="25"/>
      <c r="BJ836" s="25"/>
      <c r="BK836" s="25"/>
      <c r="BL836" s="25"/>
      <c r="BM836" s="25"/>
      <c r="BN836" s="25"/>
      <c r="BO836" s="25"/>
      <c r="BP836" s="25"/>
      <c r="BQ836" s="25"/>
      <c r="BR836" s="25" t="str">
        <f>_xlfn.CONCAT($A837," ",$B837," ",$D837)</f>
        <v>2025 Rivian Automotive L R1T All-Terrain Dual Large (20in)</v>
      </c>
      <c r="BS836" s="25"/>
      <c r="BT836" s="25"/>
      <c r="BU836" s="25"/>
      <c r="BV836" s="25"/>
      <c r="BX836" s="25"/>
      <c r="BY836" s="25"/>
      <c r="BZ836" s="25"/>
      <c r="CA836" s="25"/>
      <c r="CB836" s="25"/>
      <c r="CC836" s="25"/>
      <c r="CD836" s="25"/>
      <c r="CE836" s="25"/>
      <c r="CF836" s="25"/>
      <c r="CG836" s="25"/>
      <c r="CH836" s="25"/>
      <c r="CI836" s="25"/>
      <c r="CJ836" s="25"/>
      <c r="CK836" s="25"/>
      <c r="CL836" s="25"/>
      <c r="CM836" s="25"/>
      <c r="CN836" s="25"/>
      <c r="CO836" s="25"/>
      <c r="CP836" s="25" t="str">
        <f>_xlfn.CONCAT($A837," ",$B837," ",$D837)</f>
        <v>2025 Rivian Automotive L R1T All-Terrain Dual Large (20in)</v>
      </c>
      <c r="CQ836" s="25"/>
      <c r="CR836" s="25"/>
      <c r="CS836" s="25"/>
      <c r="CT836" s="25"/>
      <c r="CU836" s="25"/>
      <c r="CV836" s="25"/>
      <c r="CW836" s="25"/>
      <c r="CX836" s="25"/>
      <c r="CY836" s="25"/>
      <c r="CZ836" s="25"/>
      <c r="DA836" s="25"/>
      <c r="DB836" s="25"/>
      <c r="DC836" s="25"/>
      <c r="DD836" s="25"/>
      <c r="DE836" s="25"/>
      <c r="DF836" s="25"/>
      <c r="DG836" s="25"/>
      <c r="DH836" s="25"/>
      <c r="DI836" s="25" t="str">
        <f>_xlfn.CONCAT($A837," ",$B837," ",$D837)</f>
        <v>2025 Rivian Automotive L R1T All-Terrain Dual Large (20in)</v>
      </c>
      <c r="DJ836" s="25"/>
      <c r="DK836" s="25"/>
      <c r="DL836" s="25"/>
      <c r="DM836" s="25"/>
      <c r="DN836" s="25"/>
      <c r="DO836" s="25"/>
      <c r="DP836" s="25"/>
      <c r="DQ836" s="25"/>
      <c r="DR836" s="25"/>
      <c r="DS836" s="25"/>
      <c r="DT836" s="25"/>
      <c r="DU836" s="25"/>
      <c r="DV836" s="25"/>
      <c r="DW836" s="25"/>
      <c r="DX836" s="25"/>
      <c r="DY836" s="25"/>
      <c r="DZ836" s="25" t="str">
        <f>_xlfn.CONCAT($A837," ",$B837," ",$D837)</f>
        <v>2025 Rivian Automotive L R1T All-Terrain Dual Large (20in)</v>
      </c>
      <c r="EB836" s="25"/>
      <c r="EC836" s="25"/>
      <c r="ED836" s="25"/>
      <c r="EE836" s="25"/>
      <c r="EF836" s="25"/>
      <c r="EG836" s="25"/>
      <c r="EH836" s="25"/>
      <c r="EI836" s="25"/>
      <c r="EJ836" s="25"/>
      <c r="EK836" s="25"/>
      <c r="EL836" s="25"/>
      <c r="EM836" s="25"/>
      <c r="EN836" s="25"/>
      <c r="EO836" s="25"/>
      <c r="EP836" s="25"/>
      <c r="EQ836" s="25"/>
      <c r="ER836" s="25"/>
      <c r="ES836" s="25"/>
      <c r="ET836" s="25"/>
      <c r="EU836" s="25"/>
      <c r="EV836" s="25" t="str">
        <f>_xlfn.CONCAT($A837," ",$B837," ",$D837)</f>
        <v>2025 Rivian Automotive L R1T All-Terrain Dual Large (20in)</v>
      </c>
      <c r="EW836" s="25"/>
      <c r="EX836" s="25"/>
      <c r="EY836" s="25"/>
      <c r="EZ836" s="25"/>
      <c r="FA836" s="25"/>
      <c r="FB836" s="25"/>
      <c r="FC836" s="25"/>
      <c r="FD836" s="25"/>
      <c r="FE836" s="25"/>
      <c r="FF836" s="25"/>
      <c r="FG836" s="25"/>
    </row>
    <row r="837" spans="1:165" x14ac:dyDescent="0.35">
      <c r="A837">
        <v>2025</v>
      </c>
      <c r="B837" t="s">
        <v>2222</v>
      </c>
      <c r="C837" t="s">
        <v>2223</v>
      </c>
      <c r="D837" t="s">
        <v>2424</v>
      </c>
      <c r="E837" t="s">
        <v>2225</v>
      </c>
      <c r="F837">
        <v>95</v>
      </c>
      <c r="G837">
        <v>0</v>
      </c>
      <c r="I837" t="s">
        <v>1734</v>
      </c>
      <c r="J837">
        <v>82</v>
      </c>
      <c r="K837">
        <v>70</v>
      </c>
      <c r="L837">
        <v>76</v>
      </c>
      <c r="M837">
        <v>113.8</v>
      </c>
      <c r="N837">
        <v>97</v>
      </c>
      <c r="O837">
        <v>105.5719</v>
      </c>
      <c r="P837">
        <v>81.898399999999995</v>
      </c>
      <c r="Q837">
        <v>69.808000000000007</v>
      </c>
      <c r="R837">
        <v>75.976900000000001</v>
      </c>
      <c r="V837" t="s">
        <v>167</v>
      </c>
      <c r="W837" t="s">
        <v>168</v>
      </c>
      <c r="Y837">
        <v>1</v>
      </c>
      <c r="Z837" t="s">
        <v>170</v>
      </c>
      <c r="AA837" t="s">
        <v>170</v>
      </c>
      <c r="AB837">
        <v>4</v>
      </c>
      <c r="AC837" t="s">
        <v>601</v>
      </c>
      <c r="AF837">
        <v>289</v>
      </c>
      <c r="AG837" t="s">
        <v>1735</v>
      </c>
      <c r="AH837" t="s">
        <v>1736</v>
      </c>
      <c r="AI837" t="s">
        <v>175</v>
      </c>
      <c r="AJ837" t="s">
        <v>176</v>
      </c>
      <c r="AK837">
        <v>4</v>
      </c>
      <c r="AL837" t="s">
        <v>1737</v>
      </c>
      <c r="AS837">
        <v>1050</v>
      </c>
      <c r="AT837">
        <v>50</v>
      </c>
      <c r="BQ837">
        <v>13</v>
      </c>
      <c r="BR837" t="s">
        <v>1016</v>
      </c>
      <c r="BT837" t="s">
        <v>1769</v>
      </c>
      <c r="BU837" s="1">
        <v>47070</v>
      </c>
      <c r="BV837">
        <v>36707</v>
      </c>
      <c r="BY837" t="s">
        <v>170</v>
      </c>
      <c r="CB837" t="s">
        <v>170</v>
      </c>
      <c r="CC837" t="s">
        <v>170</v>
      </c>
      <c r="CK837" t="s">
        <v>233</v>
      </c>
      <c r="CM837">
        <v>1</v>
      </c>
      <c r="CN837" t="s">
        <v>234</v>
      </c>
      <c r="CP837">
        <v>406</v>
      </c>
      <c r="CQ837">
        <v>286</v>
      </c>
      <c r="CR837">
        <v>273</v>
      </c>
      <c r="CS837" t="s">
        <v>1752</v>
      </c>
      <c r="CV837" t="s">
        <v>341</v>
      </c>
      <c r="CX837" t="s">
        <v>342</v>
      </c>
      <c r="CY837" t="s">
        <v>169</v>
      </c>
      <c r="DC837" t="s">
        <v>2409</v>
      </c>
      <c r="DD837">
        <v>2</v>
      </c>
      <c r="DE837" t="s">
        <v>404</v>
      </c>
      <c r="DF837" t="s">
        <v>1860</v>
      </c>
      <c r="DG837">
        <v>264</v>
      </c>
      <c r="DL837" t="s">
        <v>170</v>
      </c>
      <c r="DM837" t="s">
        <v>169</v>
      </c>
      <c r="DP837" t="s">
        <v>170</v>
      </c>
      <c r="DQ837" t="s">
        <v>187</v>
      </c>
      <c r="DR837" t="s">
        <v>2425</v>
      </c>
      <c r="EB837">
        <v>9</v>
      </c>
      <c r="EC837">
        <v>10</v>
      </c>
      <c r="EE837" t="s">
        <v>2411</v>
      </c>
      <c r="EF837">
        <v>10</v>
      </c>
      <c r="EU837">
        <v>4250</v>
      </c>
      <c r="EW837">
        <v>0</v>
      </c>
      <c r="EX837">
        <v>0</v>
      </c>
      <c r="EY837">
        <v>0</v>
      </c>
      <c r="FA837">
        <v>12</v>
      </c>
      <c r="FG837">
        <v>310</v>
      </c>
      <c r="FH837">
        <v>264</v>
      </c>
      <c r="FI837">
        <v>289</v>
      </c>
    </row>
    <row r="838" spans="1:165" x14ac:dyDescent="0.35">
      <c r="A838">
        <v>2025</v>
      </c>
      <c r="B838" t="s">
        <v>2222</v>
      </c>
      <c r="C838" t="s">
        <v>2223</v>
      </c>
      <c r="D838" t="s">
        <v>2424</v>
      </c>
      <c r="E838" t="s">
        <v>2225</v>
      </c>
      <c r="F838">
        <v>95</v>
      </c>
      <c r="G838">
        <v>0</v>
      </c>
      <c r="I838" t="s">
        <v>1734</v>
      </c>
      <c r="J838">
        <v>41</v>
      </c>
      <c r="K838">
        <v>48</v>
      </c>
      <c r="L838">
        <v>44</v>
      </c>
      <c r="M838">
        <v>29.616800000000001</v>
      </c>
      <c r="N838">
        <v>34.755899999999997</v>
      </c>
      <c r="O838">
        <v>31.929400000000001</v>
      </c>
      <c r="P838">
        <v>41.154600000000002</v>
      </c>
      <c r="Q838">
        <v>48.282400000000003</v>
      </c>
      <c r="R838">
        <v>44.362200000000001</v>
      </c>
      <c r="V838" t="s">
        <v>167</v>
      </c>
      <c r="W838" t="s">
        <v>168</v>
      </c>
      <c r="Y838">
        <v>1</v>
      </c>
      <c r="Z838" t="s">
        <v>170</v>
      </c>
      <c r="AA838" t="s">
        <v>170</v>
      </c>
      <c r="AB838">
        <v>4</v>
      </c>
      <c r="AC838" t="s">
        <v>601</v>
      </c>
      <c r="AF838">
        <v>289</v>
      </c>
      <c r="AG838" t="s">
        <v>1735</v>
      </c>
      <c r="AH838" t="s">
        <v>1736</v>
      </c>
      <c r="AI838" t="s">
        <v>1742</v>
      </c>
      <c r="AJ838" t="s">
        <v>1743</v>
      </c>
      <c r="AK838">
        <v>4</v>
      </c>
      <c r="AL838" t="s">
        <v>1737</v>
      </c>
      <c r="AS838">
        <v>1050</v>
      </c>
      <c r="AT838">
        <v>1050</v>
      </c>
      <c r="BQ838">
        <v>13</v>
      </c>
      <c r="BR838" t="s">
        <v>1016</v>
      </c>
      <c r="BT838" t="s">
        <v>1769</v>
      </c>
      <c r="BU838" s="1">
        <v>47070</v>
      </c>
      <c r="BV838">
        <v>36707</v>
      </c>
      <c r="BY838" t="s">
        <v>170</v>
      </c>
      <c r="CB838" t="s">
        <v>170</v>
      </c>
      <c r="CC838" t="s">
        <v>170</v>
      </c>
      <c r="CK838" t="s">
        <v>233</v>
      </c>
      <c r="CM838">
        <v>1</v>
      </c>
      <c r="CN838" t="s">
        <v>234</v>
      </c>
      <c r="CP838">
        <v>406</v>
      </c>
      <c r="CQ838">
        <v>286</v>
      </c>
      <c r="CR838">
        <v>273</v>
      </c>
      <c r="CS838" t="s">
        <v>1752</v>
      </c>
      <c r="CV838" t="s">
        <v>341</v>
      </c>
      <c r="CX838" t="s">
        <v>342</v>
      </c>
      <c r="CY838" t="s">
        <v>169</v>
      </c>
      <c r="DC838" t="s">
        <v>2409</v>
      </c>
      <c r="DD838">
        <v>2</v>
      </c>
      <c r="DE838" t="s">
        <v>404</v>
      </c>
      <c r="DF838" t="s">
        <v>1860</v>
      </c>
      <c r="DG838">
        <v>264</v>
      </c>
      <c r="DL838" t="s">
        <v>170</v>
      </c>
      <c r="DM838" t="s">
        <v>169</v>
      </c>
      <c r="DP838" t="s">
        <v>170</v>
      </c>
      <c r="DQ838" t="s">
        <v>187</v>
      </c>
      <c r="DR838" t="s">
        <v>2425</v>
      </c>
      <c r="EB838">
        <v>9</v>
      </c>
      <c r="EC838">
        <v>10</v>
      </c>
      <c r="EE838" t="s">
        <v>2411</v>
      </c>
      <c r="EF838">
        <v>10</v>
      </c>
      <c r="EU838">
        <v>4250</v>
      </c>
      <c r="EW838">
        <v>0</v>
      </c>
      <c r="EX838">
        <v>0</v>
      </c>
      <c r="EY838">
        <v>0</v>
      </c>
      <c r="FA838">
        <v>12</v>
      </c>
      <c r="FG838">
        <v>310</v>
      </c>
      <c r="FH838">
        <v>264</v>
      </c>
      <c r="FI838">
        <v>289</v>
      </c>
    </row>
    <row r="839" spans="1:165" x14ac:dyDescent="0.35">
      <c r="A839" s="25"/>
      <c r="B839" s="25"/>
      <c r="C839" s="25"/>
      <c r="D839" s="25"/>
      <c r="E839" s="25"/>
      <c r="F839" s="25" t="str">
        <f>_xlfn.CONCAT($A840," ",$B840," ",$D840)</f>
        <v>2025 Rivian Automotive L R1S All-Terrain Dual Large (20in)</v>
      </c>
      <c r="G839" s="25"/>
      <c r="H839" s="25"/>
      <c r="I839" s="25"/>
      <c r="J839" s="25"/>
      <c r="K839" s="25"/>
      <c r="L839" s="25"/>
      <c r="M839" s="25"/>
      <c r="N839" s="25"/>
      <c r="O839" s="25"/>
      <c r="P839" s="25"/>
      <c r="Q839" s="25"/>
      <c r="R839" s="25"/>
      <c r="S839" s="25"/>
      <c r="T839" s="25"/>
      <c r="U839" s="25"/>
      <c r="V839" s="25"/>
      <c r="W839" s="25"/>
      <c r="X839" s="25"/>
      <c r="Y839" s="25"/>
      <c r="Z839" s="25"/>
      <c r="AA839" s="25"/>
      <c r="AB839" s="25"/>
      <c r="AC839" s="25"/>
      <c r="AD839" s="25" t="str">
        <f>_xlfn.CONCAT($A840," ",$B840," ",$D840)</f>
        <v>2025 Rivian Automotive L R1S All-Terrain Dual Large (20in)</v>
      </c>
      <c r="AE839" s="25"/>
      <c r="AF839" s="25"/>
      <c r="AG839" s="25"/>
      <c r="AH839" s="25"/>
      <c r="AI839" s="25"/>
      <c r="AJ839" s="25"/>
      <c r="AK839" s="25"/>
      <c r="AL839" s="25"/>
      <c r="AM839" s="25"/>
      <c r="AN839" s="25"/>
      <c r="AO839" s="25"/>
      <c r="AP839" s="25"/>
      <c r="AQ839" s="25"/>
      <c r="AR839" s="25"/>
      <c r="AS839" s="25"/>
      <c r="AT839" s="25"/>
      <c r="AU839" s="25"/>
      <c r="AV839" s="25"/>
      <c r="AW839" s="25"/>
      <c r="AX839" s="25" t="str">
        <f>_xlfn.CONCAT($A840," ",$B840," ",$D840)</f>
        <v>2025 Rivian Automotive L R1S All-Terrain Dual Large (20in)</v>
      </c>
      <c r="AY839" s="25"/>
      <c r="AZ839" s="25"/>
      <c r="BA839" s="25"/>
      <c r="BB839" s="25"/>
      <c r="BC839" s="25"/>
      <c r="BD839" s="25"/>
      <c r="BE839" s="25"/>
      <c r="BF839" s="25"/>
      <c r="BG839" s="25"/>
      <c r="BH839" s="25"/>
      <c r="BI839" s="25"/>
      <c r="BJ839" s="25"/>
      <c r="BK839" s="25"/>
      <c r="BL839" s="25"/>
      <c r="BM839" s="25"/>
      <c r="BN839" s="25"/>
      <c r="BO839" s="25"/>
      <c r="BP839" s="25"/>
      <c r="BQ839" s="25"/>
      <c r="BR839" s="25" t="str">
        <f>_xlfn.CONCAT($A840," ",$B840," ",$D840)</f>
        <v>2025 Rivian Automotive L R1S All-Terrain Dual Large (20in)</v>
      </c>
      <c r="BS839" s="25"/>
      <c r="BT839" s="25"/>
      <c r="BU839" s="25"/>
      <c r="BV839" s="25"/>
      <c r="BX839" s="25"/>
      <c r="BY839" s="25"/>
      <c r="BZ839" s="25"/>
      <c r="CA839" s="25"/>
      <c r="CB839" s="25"/>
      <c r="CC839" s="25"/>
      <c r="CD839" s="25"/>
      <c r="CE839" s="25"/>
      <c r="CF839" s="25"/>
      <c r="CG839" s="25"/>
      <c r="CH839" s="25"/>
      <c r="CI839" s="25"/>
      <c r="CJ839" s="25"/>
      <c r="CK839" s="25"/>
      <c r="CL839" s="25"/>
      <c r="CM839" s="25"/>
      <c r="CN839" s="25"/>
      <c r="CO839" s="25"/>
      <c r="CP839" s="25" t="str">
        <f>_xlfn.CONCAT($A840," ",$B840," ",$D840)</f>
        <v>2025 Rivian Automotive L R1S All-Terrain Dual Large (20in)</v>
      </c>
      <c r="CQ839" s="25"/>
      <c r="CR839" s="25"/>
      <c r="CS839" s="25"/>
      <c r="CT839" s="25"/>
      <c r="CU839" s="25"/>
      <c r="CV839" s="25"/>
      <c r="CW839" s="25"/>
      <c r="CX839" s="25"/>
      <c r="CY839" s="25"/>
      <c r="CZ839" s="25"/>
      <c r="DA839" s="25"/>
      <c r="DB839" s="25"/>
      <c r="DC839" s="25"/>
      <c r="DD839" s="25"/>
      <c r="DE839" s="25"/>
      <c r="DF839" s="25"/>
      <c r="DG839" s="25"/>
      <c r="DH839" s="25"/>
      <c r="DI839" s="25" t="str">
        <f>_xlfn.CONCAT($A840," ",$B840," ",$D840)</f>
        <v>2025 Rivian Automotive L R1S All-Terrain Dual Large (20in)</v>
      </c>
      <c r="DJ839" s="25"/>
      <c r="DK839" s="25"/>
      <c r="DL839" s="25"/>
      <c r="DM839" s="25"/>
      <c r="DN839" s="25"/>
      <c r="DO839" s="25"/>
      <c r="DP839" s="25"/>
      <c r="DQ839" s="25"/>
      <c r="DR839" s="25"/>
      <c r="DS839" s="25"/>
      <c r="DT839" s="25"/>
      <c r="DU839" s="25"/>
      <c r="DV839" s="25"/>
      <c r="DW839" s="25"/>
      <c r="DX839" s="25"/>
      <c r="DY839" s="25"/>
      <c r="DZ839" s="25" t="str">
        <f>_xlfn.CONCAT($A840," ",$B840," ",$D840)</f>
        <v>2025 Rivian Automotive L R1S All-Terrain Dual Large (20in)</v>
      </c>
      <c r="EB839" s="25"/>
      <c r="EC839" s="25"/>
      <c r="ED839" s="25"/>
      <c r="EE839" s="25"/>
      <c r="EF839" s="25"/>
      <c r="EG839" s="25"/>
      <c r="EH839" s="25"/>
      <c r="EI839" s="25"/>
      <c r="EJ839" s="25"/>
      <c r="EK839" s="25"/>
      <c r="EL839" s="25"/>
      <c r="EM839" s="25"/>
      <c r="EN839" s="25"/>
      <c r="EO839" s="25"/>
      <c r="EP839" s="25"/>
      <c r="EQ839" s="25"/>
      <c r="ER839" s="25"/>
      <c r="ES839" s="25"/>
      <c r="ET839" s="25"/>
      <c r="EU839" s="25"/>
      <c r="EV839" s="25" t="str">
        <f>_xlfn.CONCAT($A840," ",$B840," ",$D840)</f>
        <v>2025 Rivian Automotive L R1S All-Terrain Dual Large (20in)</v>
      </c>
      <c r="EW839" s="25"/>
      <c r="EX839" s="25"/>
      <c r="EY839" s="25"/>
      <c r="EZ839" s="25"/>
      <c r="FA839" s="25"/>
      <c r="FB839" s="25"/>
      <c r="FC839" s="25"/>
      <c r="FD839" s="25"/>
      <c r="FE839" s="25"/>
      <c r="FF839" s="25"/>
      <c r="FG839" s="25"/>
    </row>
    <row r="840" spans="1:165" x14ac:dyDescent="0.35">
      <c r="A840">
        <v>2025</v>
      </c>
      <c r="B840" t="s">
        <v>2222</v>
      </c>
      <c r="C840" t="s">
        <v>2223</v>
      </c>
      <c r="D840" t="s">
        <v>2436</v>
      </c>
      <c r="E840" t="s">
        <v>2225</v>
      </c>
      <c r="F840">
        <v>96</v>
      </c>
      <c r="G840">
        <v>0</v>
      </c>
      <c r="I840" t="s">
        <v>1734</v>
      </c>
      <c r="J840">
        <v>82</v>
      </c>
      <c r="K840">
        <v>70</v>
      </c>
      <c r="L840">
        <v>76</v>
      </c>
      <c r="M840">
        <v>113.8</v>
      </c>
      <c r="N840">
        <v>97</v>
      </c>
      <c r="O840">
        <v>105.5719</v>
      </c>
      <c r="P840">
        <v>81.898399999999995</v>
      </c>
      <c r="Q840">
        <v>69.808000000000007</v>
      </c>
      <c r="R840">
        <v>75.976900000000001</v>
      </c>
      <c r="V840" t="s">
        <v>167</v>
      </c>
      <c r="W840" t="s">
        <v>168</v>
      </c>
      <c r="Y840">
        <v>1</v>
      </c>
      <c r="Z840" t="s">
        <v>170</v>
      </c>
      <c r="AA840" t="s">
        <v>170</v>
      </c>
      <c r="AB840">
        <v>4</v>
      </c>
      <c r="AC840" t="s">
        <v>601</v>
      </c>
      <c r="AF840">
        <v>289</v>
      </c>
      <c r="AG840" t="s">
        <v>1735</v>
      </c>
      <c r="AH840" t="s">
        <v>1736</v>
      </c>
      <c r="AI840" t="s">
        <v>175</v>
      </c>
      <c r="AJ840" t="s">
        <v>176</v>
      </c>
      <c r="AK840">
        <v>4</v>
      </c>
      <c r="AL840" t="s">
        <v>1737</v>
      </c>
      <c r="AS840">
        <v>1050</v>
      </c>
      <c r="AT840">
        <v>50</v>
      </c>
      <c r="BQ840">
        <v>33</v>
      </c>
      <c r="BR840" t="s">
        <v>1497</v>
      </c>
      <c r="BT840" t="s">
        <v>1769</v>
      </c>
      <c r="BU840" s="1">
        <v>47070</v>
      </c>
      <c r="BV840">
        <v>36708</v>
      </c>
      <c r="BY840" t="s">
        <v>170</v>
      </c>
      <c r="CB840" t="s">
        <v>170</v>
      </c>
      <c r="CC840" t="s">
        <v>170</v>
      </c>
      <c r="CK840" t="s">
        <v>233</v>
      </c>
      <c r="CM840">
        <v>1</v>
      </c>
      <c r="CN840" t="s">
        <v>234</v>
      </c>
      <c r="CP840">
        <v>406</v>
      </c>
      <c r="CQ840">
        <v>286</v>
      </c>
      <c r="CR840">
        <v>273</v>
      </c>
      <c r="CS840" t="s">
        <v>1752</v>
      </c>
      <c r="CV840" t="s">
        <v>341</v>
      </c>
      <c r="CX840" t="s">
        <v>342</v>
      </c>
      <c r="CY840" t="s">
        <v>169</v>
      </c>
      <c r="DC840" t="s">
        <v>2409</v>
      </c>
      <c r="DD840">
        <v>2</v>
      </c>
      <c r="DE840" t="s">
        <v>404</v>
      </c>
      <c r="DF840" t="s">
        <v>1860</v>
      </c>
      <c r="DG840">
        <v>264</v>
      </c>
      <c r="DL840" t="s">
        <v>170</v>
      </c>
      <c r="DM840" t="s">
        <v>169</v>
      </c>
      <c r="DP840" t="s">
        <v>170</v>
      </c>
      <c r="DQ840" t="s">
        <v>187</v>
      </c>
      <c r="DR840" t="s">
        <v>2437</v>
      </c>
      <c r="EB840">
        <v>9</v>
      </c>
      <c r="EC840">
        <v>10</v>
      </c>
      <c r="EE840" t="s">
        <v>2411</v>
      </c>
      <c r="EF840">
        <v>10</v>
      </c>
      <c r="EU840">
        <v>4250</v>
      </c>
      <c r="EW840">
        <v>0</v>
      </c>
      <c r="EX840">
        <v>0</v>
      </c>
      <c r="EY840">
        <v>0</v>
      </c>
      <c r="FA840">
        <v>12</v>
      </c>
      <c r="FG840">
        <v>310</v>
      </c>
      <c r="FH840">
        <v>264</v>
      </c>
      <c r="FI840">
        <v>289</v>
      </c>
    </row>
    <row r="841" spans="1:165" x14ac:dyDescent="0.35">
      <c r="A841">
        <v>2025</v>
      </c>
      <c r="B841" t="s">
        <v>2222</v>
      </c>
      <c r="C841" t="s">
        <v>2223</v>
      </c>
      <c r="D841" t="s">
        <v>2436</v>
      </c>
      <c r="E841" t="s">
        <v>2225</v>
      </c>
      <c r="F841">
        <v>96</v>
      </c>
      <c r="G841">
        <v>0</v>
      </c>
      <c r="I841" t="s">
        <v>1734</v>
      </c>
      <c r="J841">
        <v>41</v>
      </c>
      <c r="K841">
        <v>48</v>
      </c>
      <c r="L841">
        <v>44</v>
      </c>
      <c r="M841">
        <v>29.616800000000001</v>
      </c>
      <c r="N841">
        <v>34.755899999999997</v>
      </c>
      <c r="O841">
        <v>31.929400000000001</v>
      </c>
      <c r="P841">
        <v>41.154600000000002</v>
      </c>
      <c r="Q841">
        <v>48.282400000000003</v>
      </c>
      <c r="R841">
        <v>44.362200000000001</v>
      </c>
      <c r="V841" t="s">
        <v>167</v>
      </c>
      <c r="W841" t="s">
        <v>168</v>
      </c>
      <c r="Y841">
        <v>1</v>
      </c>
      <c r="Z841" t="s">
        <v>170</v>
      </c>
      <c r="AA841" t="s">
        <v>170</v>
      </c>
      <c r="AB841">
        <v>4</v>
      </c>
      <c r="AC841" t="s">
        <v>601</v>
      </c>
      <c r="AF841">
        <v>289</v>
      </c>
      <c r="AG841" t="s">
        <v>1735</v>
      </c>
      <c r="AH841" t="s">
        <v>1736</v>
      </c>
      <c r="AI841" t="s">
        <v>1742</v>
      </c>
      <c r="AJ841" t="s">
        <v>1743</v>
      </c>
      <c r="AK841">
        <v>4</v>
      </c>
      <c r="AL841" t="s">
        <v>1737</v>
      </c>
      <c r="AS841">
        <v>1050</v>
      </c>
      <c r="AT841">
        <v>1050</v>
      </c>
      <c r="BQ841">
        <v>33</v>
      </c>
      <c r="BR841" t="s">
        <v>1497</v>
      </c>
      <c r="BT841" t="s">
        <v>1769</v>
      </c>
      <c r="BU841" s="1">
        <v>47070</v>
      </c>
      <c r="BV841">
        <v>36708</v>
      </c>
      <c r="BY841" t="s">
        <v>170</v>
      </c>
      <c r="CB841" t="s">
        <v>170</v>
      </c>
      <c r="CC841" t="s">
        <v>170</v>
      </c>
      <c r="CK841" t="s">
        <v>233</v>
      </c>
      <c r="CM841">
        <v>1</v>
      </c>
      <c r="CN841" t="s">
        <v>234</v>
      </c>
      <c r="CP841">
        <v>406</v>
      </c>
      <c r="CQ841">
        <v>286</v>
      </c>
      <c r="CR841">
        <v>273</v>
      </c>
      <c r="CS841" t="s">
        <v>1752</v>
      </c>
      <c r="CV841" t="s">
        <v>341</v>
      </c>
      <c r="CX841" t="s">
        <v>342</v>
      </c>
      <c r="CY841" t="s">
        <v>169</v>
      </c>
      <c r="DC841" t="s">
        <v>2409</v>
      </c>
      <c r="DD841">
        <v>2</v>
      </c>
      <c r="DE841" t="s">
        <v>404</v>
      </c>
      <c r="DF841" t="s">
        <v>1860</v>
      </c>
      <c r="DG841">
        <v>264</v>
      </c>
      <c r="DL841" t="s">
        <v>170</v>
      </c>
      <c r="DM841" t="s">
        <v>169</v>
      </c>
      <c r="DP841" t="s">
        <v>170</v>
      </c>
      <c r="DQ841" t="s">
        <v>187</v>
      </c>
      <c r="DR841" t="s">
        <v>2437</v>
      </c>
      <c r="EB841">
        <v>9</v>
      </c>
      <c r="EC841">
        <v>10</v>
      </c>
      <c r="EE841" t="s">
        <v>2411</v>
      </c>
      <c r="EF841">
        <v>10</v>
      </c>
      <c r="EU841">
        <v>4250</v>
      </c>
      <c r="EW841">
        <v>0</v>
      </c>
      <c r="EX841">
        <v>0</v>
      </c>
      <c r="EY841">
        <v>0</v>
      </c>
      <c r="FA841">
        <v>12</v>
      </c>
      <c r="FG841">
        <v>310</v>
      </c>
      <c r="FH841">
        <v>264</v>
      </c>
      <c r="FI841">
        <v>289</v>
      </c>
    </row>
    <row r="842" spans="1:165" x14ac:dyDescent="0.35">
      <c r="A842" s="25"/>
      <c r="B842" s="25"/>
      <c r="C842" s="25"/>
      <c r="D842" s="25"/>
      <c r="E842" s="25"/>
      <c r="F842" s="25" t="str">
        <f>_xlfn.CONCAT($A843," ",$B843," ",$D843)</f>
        <v>2025 Rivian Automotive L R1T Performance Dual Large (22in)</v>
      </c>
      <c r="G842" s="25"/>
      <c r="H842" s="25"/>
      <c r="I842" s="25"/>
      <c r="J842" s="25"/>
      <c r="K842" s="25"/>
      <c r="L842" s="25"/>
      <c r="M842" s="25"/>
      <c r="N842" s="25"/>
      <c r="O842" s="25"/>
      <c r="P842" s="25"/>
      <c r="Q842" s="25"/>
      <c r="R842" s="25"/>
      <c r="S842" s="25"/>
      <c r="T842" s="25"/>
      <c r="U842" s="25"/>
      <c r="V842" s="25"/>
      <c r="W842" s="25"/>
      <c r="X842" s="25"/>
      <c r="Y842" s="25"/>
      <c r="Z842" s="25"/>
      <c r="AA842" s="25"/>
      <c r="AB842" s="25"/>
      <c r="AC842" s="25"/>
      <c r="AD842" s="25" t="str">
        <f>_xlfn.CONCAT($A843," ",$B843," ",$D843)</f>
        <v>2025 Rivian Automotive L R1T Performance Dual Large (22in)</v>
      </c>
      <c r="AE842" s="25"/>
      <c r="AF842" s="25"/>
      <c r="AG842" s="25"/>
      <c r="AH842" s="25"/>
      <c r="AI842" s="25"/>
      <c r="AJ842" s="25"/>
      <c r="AK842" s="25"/>
      <c r="AL842" s="25"/>
      <c r="AM842" s="25"/>
      <c r="AN842" s="25"/>
      <c r="AO842" s="25"/>
      <c r="AP842" s="25"/>
      <c r="AQ842" s="25"/>
      <c r="AR842" s="25"/>
      <c r="AS842" s="25"/>
      <c r="AT842" s="25"/>
      <c r="AU842" s="25"/>
      <c r="AV842" s="25"/>
      <c r="AW842" s="25"/>
      <c r="AX842" s="25" t="str">
        <f>_xlfn.CONCAT($A843," ",$B843," ",$D843)</f>
        <v>2025 Rivian Automotive L R1T Performance Dual Large (22in)</v>
      </c>
      <c r="AY842" s="25"/>
      <c r="AZ842" s="25"/>
      <c r="BA842" s="25"/>
      <c r="BB842" s="25"/>
      <c r="BC842" s="25"/>
      <c r="BD842" s="25"/>
      <c r="BE842" s="25"/>
      <c r="BF842" s="25"/>
      <c r="BG842" s="25"/>
      <c r="BH842" s="25"/>
      <c r="BI842" s="25"/>
      <c r="BJ842" s="25"/>
      <c r="BK842" s="25"/>
      <c r="BL842" s="25"/>
      <c r="BM842" s="25"/>
      <c r="BN842" s="25"/>
      <c r="BO842" s="25"/>
      <c r="BP842" s="25"/>
      <c r="BQ842" s="25"/>
      <c r="BR842" s="25" t="str">
        <f>_xlfn.CONCAT($A843," ",$B843," ",$D843)</f>
        <v>2025 Rivian Automotive L R1T Performance Dual Large (22in)</v>
      </c>
      <c r="BS842" s="25"/>
      <c r="BT842" s="25"/>
      <c r="BU842" s="25"/>
      <c r="BV842" s="25"/>
      <c r="BX842" s="25"/>
      <c r="BY842" s="25"/>
      <c r="BZ842" s="25"/>
      <c r="CA842" s="25"/>
      <c r="CB842" s="25"/>
      <c r="CC842" s="25"/>
      <c r="CD842" s="25"/>
      <c r="CE842" s="25"/>
      <c r="CF842" s="25"/>
      <c r="CG842" s="25"/>
      <c r="CH842" s="25"/>
      <c r="CI842" s="25"/>
      <c r="CJ842" s="25"/>
      <c r="CK842" s="25"/>
      <c r="CL842" s="25"/>
      <c r="CM842" s="25"/>
      <c r="CN842" s="25"/>
      <c r="CO842" s="25"/>
      <c r="CP842" s="25" t="str">
        <f>_xlfn.CONCAT($A843," ",$B843," ",$D843)</f>
        <v>2025 Rivian Automotive L R1T Performance Dual Large (22in)</v>
      </c>
      <c r="CQ842" s="25"/>
      <c r="CR842" s="25"/>
      <c r="CS842" s="25"/>
      <c r="CT842" s="25"/>
      <c r="CU842" s="25"/>
      <c r="CV842" s="25"/>
      <c r="CW842" s="25"/>
      <c r="CX842" s="25"/>
      <c r="CY842" s="25"/>
      <c r="CZ842" s="25"/>
      <c r="DA842" s="25"/>
      <c r="DB842" s="25"/>
      <c r="DC842" s="25"/>
      <c r="DD842" s="25"/>
      <c r="DE842" s="25"/>
      <c r="DF842" s="25"/>
      <c r="DG842" s="25"/>
      <c r="DH842" s="25"/>
      <c r="DI842" s="25" t="str">
        <f>_xlfn.CONCAT($A843," ",$B843," ",$D843)</f>
        <v>2025 Rivian Automotive L R1T Performance Dual Large (22in)</v>
      </c>
      <c r="DJ842" s="25"/>
      <c r="DK842" s="25"/>
      <c r="DL842" s="25"/>
      <c r="DM842" s="25"/>
      <c r="DN842" s="25"/>
      <c r="DO842" s="25"/>
      <c r="DP842" s="25"/>
      <c r="DQ842" s="25"/>
      <c r="DR842" s="25"/>
      <c r="DS842" s="25"/>
      <c r="DT842" s="25"/>
      <c r="DU842" s="25"/>
      <c r="DV842" s="25"/>
      <c r="DW842" s="25"/>
      <c r="DX842" s="25"/>
      <c r="DY842" s="25"/>
      <c r="DZ842" s="25" t="str">
        <f>_xlfn.CONCAT($A843," ",$B843," ",$D843)</f>
        <v>2025 Rivian Automotive L R1T Performance Dual Large (22in)</v>
      </c>
      <c r="EB842" s="25"/>
      <c r="EC842" s="25"/>
      <c r="ED842" s="25"/>
      <c r="EE842" s="25"/>
      <c r="EF842" s="25"/>
      <c r="EG842" s="25"/>
      <c r="EH842" s="25"/>
      <c r="EI842" s="25"/>
      <c r="EJ842" s="25"/>
      <c r="EK842" s="25"/>
      <c r="EL842" s="25"/>
      <c r="EM842" s="25"/>
      <c r="EN842" s="25"/>
      <c r="EO842" s="25"/>
      <c r="EP842" s="25"/>
      <c r="EQ842" s="25"/>
      <c r="ER842" s="25"/>
      <c r="ES842" s="25"/>
      <c r="ET842" s="25"/>
      <c r="EU842" s="25"/>
      <c r="EV842" s="25" t="str">
        <f>_xlfn.CONCAT($A843," ",$B843," ",$D843)</f>
        <v>2025 Rivian Automotive L R1T Performance Dual Large (22in)</v>
      </c>
      <c r="EW842" s="25"/>
      <c r="EX842" s="25"/>
      <c r="EY842" s="25"/>
      <c r="EZ842" s="25"/>
      <c r="FA842" s="25"/>
      <c r="FB842" s="25"/>
      <c r="FC842" s="25"/>
      <c r="FD842" s="25"/>
      <c r="FE842" s="25"/>
      <c r="FF842" s="25"/>
      <c r="FG842" s="25"/>
    </row>
    <row r="843" spans="1:165" x14ac:dyDescent="0.35">
      <c r="A843">
        <v>2025</v>
      </c>
      <c r="B843" t="s">
        <v>2222</v>
      </c>
      <c r="C843" t="s">
        <v>2223</v>
      </c>
      <c r="D843" t="s">
        <v>2422</v>
      </c>
      <c r="E843" t="s">
        <v>2225</v>
      </c>
      <c r="F843">
        <v>97</v>
      </c>
      <c r="G843">
        <v>0</v>
      </c>
      <c r="I843" t="s">
        <v>1734</v>
      </c>
      <c r="J843">
        <v>94</v>
      </c>
      <c r="K843">
        <v>77</v>
      </c>
      <c r="L843">
        <v>85</v>
      </c>
      <c r="M843">
        <v>133.19999999999999</v>
      </c>
      <c r="N843">
        <v>109</v>
      </c>
      <c r="O843">
        <v>121.101</v>
      </c>
      <c r="P843">
        <v>93.919300000000007</v>
      </c>
      <c r="Q843">
        <v>76.855900000000005</v>
      </c>
      <c r="R843">
        <v>85.388300000000001</v>
      </c>
      <c r="V843" t="s">
        <v>167</v>
      </c>
      <c r="W843" t="s">
        <v>168</v>
      </c>
      <c r="Y843">
        <v>1</v>
      </c>
      <c r="Z843" t="s">
        <v>170</v>
      </c>
      <c r="AA843" t="s">
        <v>170</v>
      </c>
      <c r="AB843">
        <v>4</v>
      </c>
      <c r="AC843" t="s">
        <v>601</v>
      </c>
      <c r="AF843">
        <v>329</v>
      </c>
      <c r="AG843" t="s">
        <v>1735</v>
      </c>
      <c r="AH843" t="s">
        <v>1736</v>
      </c>
      <c r="AI843" t="s">
        <v>175</v>
      </c>
      <c r="AJ843" t="s">
        <v>176</v>
      </c>
      <c r="AK843">
        <v>4</v>
      </c>
      <c r="AL843" t="s">
        <v>1737</v>
      </c>
      <c r="AS843">
        <v>950</v>
      </c>
      <c r="AT843">
        <v>50</v>
      </c>
      <c r="BQ843">
        <v>13</v>
      </c>
      <c r="BR843" t="s">
        <v>1016</v>
      </c>
      <c r="BT843" t="s">
        <v>1769</v>
      </c>
      <c r="BU843" s="1">
        <v>47048</v>
      </c>
      <c r="BV843">
        <v>36692</v>
      </c>
      <c r="BY843" t="s">
        <v>170</v>
      </c>
      <c r="CB843" t="s">
        <v>170</v>
      </c>
      <c r="CC843" t="s">
        <v>170</v>
      </c>
      <c r="CK843" t="s">
        <v>233</v>
      </c>
      <c r="CM843">
        <v>1</v>
      </c>
      <c r="CN843" t="s">
        <v>234</v>
      </c>
      <c r="CP843">
        <v>406</v>
      </c>
      <c r="CQ843">
        <v>286</v>
      </c>
      <c r="CR843">
        <v>273</v>
      </c>
      <c r="CS843" t="s">
        <v>1752</v>
      </c>
      <c r="CV843" t="s">
        <v>341</v>
      </c>
      <c r="CX843" t="s">
        <v>342</v>
      </c>
      <c r="CY843" t="s">
        <v>169</v>
      </c>
      <c r="DC843" t="s">
        <v>2409</v>
      </c>
      <c r="DD843">
        <v>2</v>
      </c>
      <c r="DE843" t="s">
        <v>404</v>
      </c>
      <c r="DF843" t="s">
        <v>1860</v>
      </c>
      <c r="DG843">
        <v>264</v>
      </c>
      <c r="DL843" t="s">
        <v>170</v>
      </c>
      <c r="DM843" t="s">
        <v>169</v>
      </c>
      <c r="DP843" t="s">
        <v>170</v>
      </c>
      <c r="DQ843" t="s">
        <v>187</v>
      </c>
      <c r="DR843" t="s">
        <v>2423</v>
      </c>
      <c r="EB843">
        <v>9</v>
      </c>
      <c r="EC843">
        <v>10</v>
      </c>
      <c r="EE843" t="s">
        <v>2411</v>
      </c>
      <c r="EF843">
        <v>10</v>
      </c>
      <c r="EU843">
        <v>4750</v>
      </c>
      <c r="EW843">
        <v>0</v>
      </c>
      <c r="EX843">
        <v>0</v>
      </c>
      <c r="EY843">
        <v>0</v>
      </c>
      <c r="FA843">
        <v>12</v>
      </c>
      <c r="FG843">
        <v>358</v>
      </c>
      <c r="FH843">
        <v>293</v>
      </c>
      <c r="FI843">
        <v>329</v>
      </c>
    </row>
    <row r="844" spans="1:165" x14ac:dyDescent="0.35">
      <c r="A844">
        <v>2025</v>
      </c>
      <c r="B844" t="s">
        <v>2222</v>
      </c>
      <c r="C844" t="s">
        <v>2223</v>
      </c>
      <c r="D844" t="s">
        <v>2422</v>
      </c>
      <c r="E844" t="s">
        <v>2225</v>
      </c>
      <c r="F844">
        <v>97</v>
      </c>
      <c r="G844">
        <v>0</v>
      </c>
      <c r="I844" t="s">
        <v>1734</v>
      </c>
      <c r="J844">
        <v>36</v>
      </c>
      <c r="K844">
        <v>44</v>
      </c>
      <c r="L844">
        <v>39</v>
      </c>
      <c r="M844">
        <v>25.3094</v>
      </c>
      <c r="N844">
        <v>30.915800000000001</v>
      </c>
      <c r="O844">
        <v>27.8323</v>
      </c>
      <c r="P844">
        <v>35.8872</v>
      </c>
      <c r="Q844">
        <v>43.854799999999997</v>
      </c>
      <c r="R844">
        <v>39.4726</v>
      </c>
      <c r="V844" t="s">
        <v>167</v>
      </c>
      <c r="W844" t="s">
        <v>168</v>
      </c>
      <c r="Y844">
        <v>1</v>
      </c>
      <c r="Z844" t="s">
        <v>170</v>
      </c>
      <c r="AA844" t="s">
        <v>170</v>
      </c>
      <c r="AB844">
        <v>4</v>
      </c>
      <c r="AC844" t="s">
        <v>601</v>
      </c>
      <c r="AF844">
        <v>329</v>
      </c>
      <c r="AG844" t="s">
        <v>1735</v>
      </c>
      <c r="AH844" t="s">
        <v>1736</v>
      </c>
      <c r="AI844" t="s">
        <v>1742</v>
      </c>
      <c r="AJ844" t="s">
        <v>1743</v>
      </c>
      <c r="AK844">
        <v>4</v>
      </c>
      <c r="AL844" t="s">
        <v>1737</v>
      </c>
      <c r="AS844">
        <v>950</v>
      </c>
      <c r="AT844">
        <v>950</v>
      </c>
      <c r="BQ844">
        <v>13</v>
      </c>
      <c r="BR844" t="s">
        <v>1016</v>
      </c>
      <c r="BT844" t="s">
        <v>1769</v>
      </c>
      <c r="BU844" s="1">
        <v>47048</v>
      </c>
      <c r="BV844">
        <v>36692</v>
      </c>
      <c r="BY844" t="s">
        <v>170</v>
      </c>
      <c r="CB844" t="s">
        <v>170</v>
      </c>
      <c r="CC844" t="s">
        <v>170</v>
      </c>
      <c r="CK844" t="s">
        <v>233</v>
      </c>
      <c r="CM844">
        <v>1</v>
      </c>
      <c r="CN844" t="s">
        <v>234</v>
      </c>
      <c r="CP844">
        <v>406</v>
      </c>
      <c r="CQ844">
        <v>286</v>
      </c>
      <c r="CR844">
        <v>273</v>
      </c>
      <c r="CS844" t="s">
        <v>1752</v>
      </c>
      <c r="CV844" t="s">
        <v>341</v>
      </c>
      <c r="CX844" t="s">
        <v>342</v>
      </c>
      <c r="CY844" t="s">
        <v>169</v>
      </c>
      <c r="DC844" t="s">
        <v>2409</v>
      </c>
      <c r="DD844">
        <v>2</v>
      </c>
      <c r="DE844" t="s">
        <v>404</v>
      </c>
      <c r="DF844" t="s">
        <v>1860</v>
      </c>
      <c r="DG844">
        <v>264</v>
      </c>
      <c r="DL844" t="s">
        <v>170</v>
      </c>
      <c r="DM844" t="s">
        <v>169</v>
      </c>
      <c r="DP844" t="s">
        <v>170</v>
      </c>
      <c r="DQ844" t="s">
        <v>187</v>
      </c>
      <c r="DR844" t="s">
        <v>2423</v>
      </c>
      <c r="EB844">
        <v>9</v>
      </c>
      <c r="EC844">
        <v>10</v>
      </c>
      <c r="EE844" t="s">
        <v>2411</v>
      </c>
      <c r="EF844">
        <v>10</v>
      </c>
      <c r="EU844">
        <v>4750</v>
      </c>
      <c r="EW844">
        <v>0</v>
      </c>
      <c r="EX844">
        <v>0</v>
      </c>
      <c r="EY844">
        <v>0</v>
      </c>
      <c r="FA844">
        <v>12</v>
      </c>
      <c r="FG844">
        <v>358</v>
      </c>
      <c r="FH844">
        <v>293</v>
      </c>
      <c r="FI844">
        <v>329</v>
      </c>
    </row>
    <row r="845" spans="1:165" x14ac:dyDescent="0.35">
      <c r="A845" s="25"/>
      <c r="B845" s="25"/>
      <c r="C845" s="25"/>
      <c r="D845" s="25"/>
      <c r="E845" s="25"/>
      <c r="F845" s="25" t="str">
        <f>_xlfn.CONCAT($A846," ",$B846," ",$D846)</f>
        <v>2025 Rivian Automotive L R1S Performance Dual Large (22in)</v>
      </c>
      <c r="G845" s="25"/>
      <c r="H845" s="25"/>
      <c r="I845" s="25"/>
      <c r="J845" s="25"/>
      <c r="K845" s="25"/>
      <c r="L845" s="25"/>
      <c r="M845" s="25"/>
      <c r="N845" s="25"/>
      <c r="O845" s="25"/>
      <c r="P845" s="25"/>
      <c r="Q845" s="25"/>
      <c r="R845" s="25"/>
      <c r="S845" s="25"/>
      <c r="T845" s="25"/>
      <c r="U845" s="25"/>
      <c r="V845" s="25"/>
      <c r="W845" s="25"/>
      <c r="X845" s="25"/>
      <c r="Y845" s="25"/>
      <c r="Z845" s="25"/>
      <c r="AA845" s="25"/>
      <c r="AB845" s="25"/>
      <c r="AC845" s="25"/>
      <c r="AD845" s="25" t="str">
        <f>_xlfn.CONCAT($A846," ",$B846," ",$D846)</f>
        <v>2025 Rivian Automotive L R1S Performance Dual Large (22in)</v>
      </c>
      <c r="AE845" s="25"/>
      <c r="AF845" s="25"/>
      <c r="AG845" s="25"/>
      <c r="AH845" s="25"/>
      <c r="AI845" s="25"/>
      <c r="AJ845" s="25"/>
      <c r="AK845" s="25"/>
      <c r="AL845" s="25"/>
      <c r="AM845" s="25"/>
      <c r="AN845" s="25"/>
      <c r="AO845" s="25"/>
      <c r="AP845" s="25"/>
      <c r="AQ845" s="25"/>
      <c r="AR845" s="25"/>
      <c r="AS845" s="25"/>
      <c r="AT845" s="25"/>
      <c r="AU845" s="25"/>
      <c r="AV845" s="25"/>
      <c r="AW845" s="25"/>
      <c r="AX845" s="25" t="str">
        <f>_xlfn.CONCAT($A846," ",$B846," ",$D846)</f>
        <v>2025 Rivian Automotive L R1S Performance Dual Large (22in)</v>
      </c>
      <c r="AY845" s="25"/>
      <c r="AZ845" s="25"/>
      <c r="BA845" s="25"/>
      <c r="BB845" s="25"/>
      <c r="BC845" s="25"/>
      <c r="BD845" s="25"/>
      <c r="BE845" s="25"/>
      <c r="BF845" s="25"/>
      <c r="BG845" s="25"/>
      <c r="BH845" s="25"/>
      <c r="BI845" s="25"/>
      <c r="BJ845" s="25"/>
      <c r="BK845" s="25"/>
      <c r="BL845" s="25"/>
      <c r="BM845" s="25"/>
      <c r="BN845" s="25"/>
      <c r="BO845" s="25"/>
      <c r="BP845" s="25"/>
      <c r="BQ845" s="25"/>
      <c r="BR845" s="25" t="str">
        <f>_xlfn.CONCAT($A846," ",$B846," ",$D846)</f>
        <v>2025 Rivian Automotive L R1S Performance Dual Large (22in)</v>
      </c>
      <c r="BS845" s="25"/>
      <c r="BT845" s="25"/>
      <c r="BU845" s="25"/>
      <c r="BV845" s="25"/>
      <c r="BX845" s="25"/>
      <c r="BY845" s="25"/>
      <c r="BZ845" s="25"/>
      <c r="CA845" s="25"/>
      <c r="CB845" s="25"/>
      <c r="CC845" s="25"/>
      <c r="CD845" s="25"/>
      <c r="CE845" s="25"/>
      <c r="CF845" s="25"/>
      <c r="CG845" s="25"/>
      <c r="CH845" s="25"/>
      <c r="CI845" s="25"/>
      <c r="CJ845" s="25"/>
      <c r="CK845" s="25"/>
      <c r="CL845" s="25"/>
      <c r="CM845" s="25"/>
      <c r="CN845" s="25"/>
      <c r="CO845" s="25"/>
      <c r="CP845" s="25" t="str">
        <f>_xlfn.CONCAT($A846," ",$B846," ",$D846)</f>
        <v>2025 Rivian Automotive L R1S Performance Dual Large (22in)</v>
      </c>
      <c r="CQ845" s="25"/>
      <c r="CR845" s="25"/>
      <c r="CS845" s="25"/>
      <c r="CT845" s="25"/>
      <c r="CU845" s="25"/>
      <c r="CV845" s="25"/>
      <c r="CW845" s="25"/>
      <c r="CX845" s="25"/>
      <c r="CY845" s="25"/>
      <c r="CZ845" s="25"/>
      <c r="DA845" s="25"/>
      <c r="DB845" s="25"/>
      <c r="DC845" s="25"/>
      <c r="DD845" s="25"/>
      <c r="DE845" s="25"/>
      <c r="DF845" s="25"/>
      <c r="DG845" s="25"/>
      <c r="DH845" s="25"/>
      <c r="DI845" s="25" t="str">
        <f>_xlfn.CONCAT($A846," ",$B846," ",$D846)</f>
        <v>2025 Rivian Automotive L R1S Performance Dual Large (22in)</v>
      </c>
      <c r="DJ845" s="25"/>
      <c r="DK845" s="25"/>
      <c r="DL845" s="25"/>
      <c r="DM845" s="25"/>
      <c r="DN845" s="25"/>
      <c r="DO845" s="25"/>
      <c r="DP845" s="25"/>
      <c r="DQ845" s="25"/>
      <c r="DR845" s="25"/>
      <c r="DS845" s="25"/>
      <c r="DT845" s="25"/>
      <c r="DU845" s="25"/>
      <c r="DV845" s="25"/>
      <c r="DW845" s="25"/>
      <c r="DX845" s="25"/>
      <c r="DY845" s="25"/>
      <c r="DZ845" s="25" t="str">
        <f>_xlfn.CONCAT($A846," ",$B846," ",$D846)</f>
        <v>2025 Rivian Automotive L R1S Performance Dual Large (22in)</v>
      </c>
      <c r="EB845" s="25"/>
      <c r="EC845" s="25"/>
      <c r="ED845" s="25"/>
      <c r="EE845" s="25"/>
      <c r="EF845" s="25"/>
      <c r="EG845" s="25"/>
      <c r="EH845" s="25"/>
      <c r="EI845" s="25"/>
      <c r="EJ845" s="25"/>
      <c r="EK845" s="25"/>
      <c r="EL845" s="25"/>
      <c r="EM845" s="25"/>
      <c r="EN845" s="25"/>
      <c r="EO845" s="25"/>
      <c r="EP845" s="25"/>
      <c r="EQ845" s="25"/>
      <c r="ER845" s="25"/>
      <c r="ES845" s="25"/>
      <c r="ET845" s="25"/>
      <c r="EU845" s="25"/>
      <c r="EV845" s="25" t="str">
        <f>_xlfn.CONCAT($A846," ",$B846," ",$D846)</f>
        <v>2025 Rivian Automotive L R1S Performance Dual Large (22in)</v>
      </c>
      <c r="EW845" s="25"/>
      <c r="EX845" s="25"/>
      <c r="EY845" s="25"/>
      <c r="EZ845" s="25"/>
      <c r="FA845" s="25"/>
      <c r="FB845" s="25"/>
      <c r="FC845" s="25"/>
      <c r="FD845" s="25"/>
      <c r="FE845" s="25"/>
      <c r="FF845" s="25"/>
      <c r="FG845" s="25"/>
    </row>
    <row r="846" spans="1:165" x14ac:dyDescent="0.35">
      <c r="A846">
        <v>2025</v>
      </c>
      <c r="B846" t="s">
        <v>2222</v>
      </c>
      <c r="C846" t="s">
        <v>2223</v>
      </c>
      <c r="D846" t="s">
        <v>2418</v>
      </c>
      <c r="E846" t="s">
        <v>2225</v>
      </c>
      <c r="F846">
        <v>98</v>
      </c>
      <c r="G846">
        <v>0</v>
      </c>
      <c r="I846" t="s">
        <v>1734</v>
      </c>
      <c r="J846">
        <v>94</v>
      </c>
      <c r="K846">
        <v>77</v>
      </c>
      <c r="L846">
        <v>85</v>
      </c>
      <c r="M846">
        <v>133.19999999999999</v>
      </c>
      <c r="N846">
        <v>109</v>
      </c>
      <c r="O846">
        <v>121.101</v>
      </c>
      <c r="P846">
        <v>93.919300000000007</v>
      </c>
      <c r="Q846">
        <v>76.855900000000005</v>
      </c>
      <c r="R846">
        <v>85.388300000000001</v>
      </c>
      <c r="V846" t="s">
        <v>167</v>
      </c>
      <c r="W846" t="s">
        <v>168</v>
      </c>
      <c r="Y846">
        <v>1</v>
      </c>
      <c r="Z846" t="s">
        <v>170</v>
      </c>
      <c r="AA846" t="s">
        <v>170</v>
      </c>
      <c r="AB846">
        <v>4</v>
      </c>
      <c r="AC846" t="s">
        <v>601</v>
      </c>
      <c r="AF846">
        <v>329</v>
      </c>
      <c r="AG846" t="s">
        <v>1735</v>
      </c>
      <c r="AH846" t="s">
        <v>1736</v>
      </c>
      <c r="AI846" t="s">
        <v>175</v>
      </c>
      <c r="AJ846" t="s">
        <v>176</v>
      </c>
      <c r="AK846">
        <v>4</v>
      </c>
      <c r="AL846" t="s">
        <v>1737</v>
      </c>
      <c r="AS846">
        <v>950</v>
      </c>
      <c r="AT846">
        <v>50</v>
      </c>
      <c r="BQ846">
        <v>33</v>
      </c>
      <c r="BR846" t="s">
        <v>1497</v>
      </c>
      <c r="BT846" t="s">
        <v>1769</v>
      </c>
      <c r="BU846" s="1">
        <v>47048</v>
      </c>
      <c r="BV846">
        <v>36693</v>
      </c>
      <c r="BY846" t="s">
        <v>170</v>
      </c>
      <c r="CB846" t="s">
        <v>170</v>
      </c>
      <c r="CC846" t="s">
        <v>170</v>
      </c>
      <c r="CK846" t="s">
        <v>233</v>
      </c>
      <c r="CM846">
        <v>1</v>
      </c>
      <c r="CN846" t="s">
        <v>234</v>
      </c>
      <c r="CP846">
        <v>406</v>
      </c>
      <c r="CQ846">
        <v>286</v>
      </c>
      <c r="CR846">
        <v>273</v>
      </c>
      <c r="CS846" t="s">
        <v>1752</v>
      </c>
      <c r="CV846" t="s">
        <v>341</v>
      </c>
      <c r="CX846" t="s">
        <v>342</v>
      </c>
      <c r="CY846" t="s">
        <v>169</v>
      </c>
      <c r="DC846" t="s">
        <v>2409</v>
      </c>
      <c r="DD846">
        <v>2</v>
      </c>
      <c r="DE846" t="s">
        <v>404</v>
      </c>
      <c r="DF846" t="s">
        <v>1860</v>
      </c>
      <c r="DG846">
        <v>264</v>
      </c>
      <c r="DL846" t="s">
        <v>170</v>
      </c>
      <c r="DM846" t="s">
        <v>169</v>
      </c>
      <c r="DP846" t="s">
        <v>170</v>
      </c>
      <c r="DQ846" t="s">
        <v>187</v>
      </c>
      <c r="DR846" t="s">
        <v>2419</v>
      </c>
      <c r="EB846">
        <v>9</v>
      </c>
      <c r="EC846">
        <v>10</v>
      </c>
      <c r="EE846" t="s">
        <v>2411</v>
      </c>
      <c r="EF846">
        <v>10</v>
      </c>
      <c r="EU846">
        <v>4750</v>
      </c>
      <c r="EW846">
        <v>0</v>
      </c>
      <c r="EX846">
        <v>0</v>
      </c>
      <c r="EY846">
        <v>0</v>
      </c>
      <c r="FA846">
        <v>12</v>
      </c>
      <c r="FG846">
        <v>358</v>
      </c>
      <c r="FH846">
        <v>293</v>
      </c>
      <c r="FI846">
        <v>329</v>
      </c>
    </row>
    <row r="847" spans="1:165" x14ac:dyDescent="0.35">
      <c r="A847">
        <v>2025</v>
      </c>
      <c r="B847" t="s">
        <v>2222</v>
      </c>
      <c r="C847" t="s">
        <v>2223</v>
      </c>
      <c r="D847" t="s">
        <v>2418</v>
      </c>
      <c r="E847" t="s">
        <v>2225</v>
      </c>
      <c r="F847">
        <v>98</v>
      </c>
      <c r="G847">
        <v>0</v>
      </c>
      <c r="I847" t="s">
        <v>1734</v>
      </c>
      <c r="J847">
        <v>36</v>
      </c>
      <c r="K847">
        <v>44</v>
      </c>
      <c r="L847">
        <v>39</v>
      </c>
      <c r="M847">
        <v>25.3094</v>
      </c>
      <c r="N847">
        <v>30.915800000000001</v>
      </c>
      <c r="O847">
        <v>27.8323</v>
      </c>
      <c r="P847">
        <v>35.8872</v>
      </c>
      <c r="Q847">
        <v>43.854799999999997</v>
      </c>
      <c r="R847">
        <v>39.4726</v>
      </c>
      <c r="V847" t="s">
        <v>167</v>
      </c>
      <c r="W847" t="s">
        <v>168</v>
      </c>
      <c r="Y847">
        <v>1</v>
      </c>
      <c r="Z847" t="s">
        <v>170</v>
      </c>
      <c r="AA847" t="s">
        <v>170</v>
      </c>
      <c r="AB847">
        <v>4</v>
      </c>
      <c r="AC847" t="s">
        <v>601</v>
      </c>
      <c r="AF847">
        <v>329</v>
      </c>
      <c r="AG847" t="s">
        <v>1735</v>
      </c>
      <c r="AH847" t="s">
        <v>1736</v>
      </c>
      <c r="AI847" t="s">
        <v>1742</v>
      </c>
      <c r="AJ847" t="s">
        <v>1743</v>
      </c>
      <c r="AK847">
        <v>4</v>
      </c>
      <c r="AL847" t="s">
        <v>1737</v>
      </c>
      <c r="AS847">
        <v>950</v>
      </c>
      <c r="AT847">
        <v>950</v>
      </c>
      <c r="BQ847">
        <v>33</v>
      </c>
      <c r="BR847" t="s">
        <v>1497</v>
      </c>
      <c r="BT847" t="s">
        <v>1769</v>
      </c>
      <c r="BU847" s="1">
        <v>47048</v>
      </c>
      <c r="BV847">
        <v>36693</v>
      </c>
      <c r="BY847" t="s">
        <v>170</v>
      </c>
      <c r="CB847" t="s">
        <v>170</v>
      </c>
      <c r="CC847" t="s">
        <v>170</v>
      </c>
      <c r="CK847" t="s">
        <v>233</v>
      </c>
      <c r="CM847">
        <v>1</v>
      </c>
      <c r="CN847" t="s">
        <v>234</v>
      </c>
      <c r="CP847">
        <v>406</v>
      </c>
      <c r="CQ847">
        <v>286</v>
      </c>
      <c r="CR847">
        <v>273</v>
      </c>
      <c r="CS847" t="s">
        <v>1752</v>
      </c>
      <c r="CV847" t="s">
        <v>341</v>
      </c>
      <c r="CX847" t="s">
        <v>342</v>
      </c>
      <c r="CY847" t="s">
        <v>169</v>
      </c>
      <c r="DC847" t="s">
        <v>2409</v>
      </c>
      <c r="DD847">
        <v>2</v>
      </c>
      <c r="DE847" t="s">
        <v>404</v>
      </c>
      <c r="DF847" t="s">
        <v>1860</v>
      </c>
      <c r="DG847">
        <v>264</v>
      </c>
      <c r="DL847" t="s">
        <v>170</v>
      </c>
      <c r="DM847" t="s">
        <v>169</v>
      </c>
      <c r="DP847" t="s">
        <v>170</v>
      </c>
      <c r="DQ847" t="s">
        <v>187</v>
      </c>
      <c r="DR847" t="s">
        <v>2419</v>
      </c>
      <c r="EB847">
        <v>9</v>
      </c>
      <c r="EC847">
        <v>10</v>
      </c>
      <c r="EE847" t="s">
        <v>2411</v>
      </c>
      <c r="EF847">
        <v>10</v>
      </c>
      <c r="EU847">
        <v>4750</v>
      </c>
      <c r="EW847">
        <v>0</v>
      </c>
      <c r="EX847">
        <v>0</v>
      </c>
      <c r="EY847">
        <v>0</v>
      </c>
      <c r="FA847">
        <v>12</v>
      </c>
      <c r="FG847">
        <v>358</v>
      </c>
      <c r="FH847">
        <v>293</v>
      </c>
      <c r="FI847">
        <v>329</v>
      </c>
    </row>
    <row r="848" spans="1:165" x14ac:dyDescent="0.35">
      <c r="A848" s="25"/>
      <c r="B848" s="25"/>
      <c r="C848" s="25"/>
      <c r="D848" s="25"/>
      <c r="E848" s="25"/>
      <c r="F848" s="25" t="str">
        <f>_xlfn.CONCAT($A849," ",$B849," ",$D849)</f>
        <v>2025 Rivian Automotive L R1T Performance Dual Large (20in)</v>
      </c>
      <c r="G848" s="25"/>
      <c r="H848" s="25"/>
      <c r="I848" s="25"/>
      <c r="J848" s="25"/>
      <c r="K848" s="25"/>
      <c r="L848" s="25"/>
      <c r="M848" s="25"/>
      <c r="N848" s="25"/>
      <c r="O848" s="25"/>
      <c r="P848" s="25"/>
      <c r="Q848" s="25"/>
      <c r="R848" s="25"/>
      <c r="S848" s="25"/>
      <c r="T848" s="25"/>
      <c r="U848" s="25"/>
      <c r="V848" s="25"/>
      <c r="W848" s="25"/>
      <c r="X848" s="25"/>
      <c r="Y848" s="25"/>
      <c r="Z848" s="25"/>
      <c r="AA848" s="25"/>
      <c r="AB848" s="25"/>
      <c r="AC848" s="25"/>
      <c r="AD848" s="25" t="str">
        <f>_xlfn.CONCAT($A849," ",$B849," ",$D849)</f>
        <v>2025 Rivian Automotive L R1T Performance Dual Large (20in)</v>
      </c>
      <c r="AE848" s="25"/>
      <c r="AF848" s="25"/>
      <c r="AG848" s="25"/>
      <c r="AH848" s="25"/>
      <c r="AI848" s="25"/>
      <c r="AJ848" s="25"/>
      <c r="AK848" s="25"/>
      <c r="AL848" s="25"/>
      <c r="AM848" s="25"/>
      <c r="AN848" s="25"/>
      <c r="AO848" s="25"/>
      <c r="AP848" s="25"/>
      <c r="AQ848" s="25"/>
      <c r="AR848" s="25"/>
      <c r="AS848" s="25"/>
      <c r="AT848" s="25"/>
      <c r="AU848" s="25"/>
      <c r="AV848" s="25"/>
      <c r="AW848" s="25"/>
      <c r="AX848" s="25" t="str">
        <f>_xlfn.CONCAT($A849," ",$B849," ",$D849)</f>
        <v>2025 Rivian Automotive L R1T Performance Dual Large (20in)</v>
      </c>
      <c r="AY848" s="25"/>
      <c r="AZ848" s="25"/>
      <c r="BA848" s="25"/>
      <c r="BB848" s="25"/>
      <c r="BC848" s="25"/>
      <c r="BD848" s="25"/>
      <c r="BE848" s="25"/>
      <c r="BF848" s="25"/>
      <c r="BG848" s="25"/>
      <c r="BH848" s="25"/>
      <c r="BI848" s="25"/>
      <c r="BJ848" s="25"/>
      <c r="BK848" s="25"/>
      <c r="BL848" s="25"/>
      <c r="BM848" s="25"/>
      <c r="BN848" s="25"/>
      <c r="BO848" s="25"/>
      <c r="BP848" s="25"/>
      <c r="BQ848" s="25"/>
      <c r="BR848" s="25" t="str">
        <f>_xlfn.CONCAT($A849," ",$B849," ",$D849)</f>
        <v>2025 Rivian Automotive L R1T Performance Dual Large (20in)</v>
      </c>
      <c r="BS848" s="25"/>
      <c r="BT848" s="25"/>
      <c r="BU848" s="25"/>
      <c r="BV848" s="25"/>
      <c r="BX848" s="25"/>
      <c r="BY848" s="25"/>
      <c r="BZ848" s="25"/>
      <c r="CA848" s="25"/>
      <c r="CB848" s="25"/>
      <c r="CC848" s="25"/>
      <c r="CD848" s="25"/>
      <c r="CE848" s="25"/>
      <c r="CF848" s="25"/>
      <c r="CG848" s="25"/>
      <c r="CH848" s="25"/>
      <c r="CI848" s="25"/>
      <c r="CJ848" s="25"/>
      <c r="CK848" s="25"/>
      <c r="CL848" s="25"/>
      <c r="CM848" s="25"/>
      <c r="CN848" s="25"/>
      <c r="CO848" s="25"/>
      <c r="CP848" s="25" t="str">
        <f>_xlfn.CONCAT($A849," ",$B849," ",$D849)</f>
        <v>2025 Rivian Automotive L R1T Performance Dual Large (20in)</v>
      </c>
      <c r="CQ848" s="25"/>
      <c r="CR848" s="25"/>
      <c r="CS848" s="25"/>
      <c r="CT848" s="25"/>
      <c r="CU848" s="25"/>
      <c r="CV848" s="25"/>
      <c r="CW848" s="25"/>
      <c r="CX848" s="25"/>
      <c r="CY848" s="25"/>
      <c r="CZ848" s="25"/>
      <c r="DA848" s="25"/>
      <c r="DB848" s="25"/>
      <c r="DC848" s="25"/>
      <c r="DD848" s="25"/>
      <c r="DE848" s="25"/>
      <c r="DF848" s="25"/>
      <c r="DG848" s="25"/>
      <c r="DH848" s="25"/>
      <c r="DI848" s="25" t="str">
        <f>_xlfn.CONCAT($A849," ",$B849," ",$D849)</f>
        <v>2025 Rivian Automotive L R1T Performance Dual Large (20in)</v>
      </c>
      <c r="DJ848" s="25"/>
      <c r="DK848" s="25"/>
      <c r="DL848" s="25"/>
      <c r="DM848" s="25"/>
      <c r="DN848" s="25"/>
      <c r="DO848" s="25"/>
      <c r="DP848" s="25"/>
      <c r="DQ848" s="25"/>
      <c r="DR848" s="25"/>
      <c r="DS848" s="25"/>
      <c r="DT848" s="25"/>
      <c r="DU848" s="25"/>
      <c r="DV848" s="25"/>
      <c r="DW848" s="25"/>
      <c r="DX848" s="25"/>
      <c r="DY848" s="25"/>
      <c r="DZ848" s="25" t="str">
        <f>_xlfn.CONCAT($A849," ",$B849," ",$D849)</f>
        <v>2025 Rivian Automotive L R1T Performance Dual Large (20in)</v>
      </c>
      <c r="EB848" s="25"/>
      <c r="EC848" s="25"/>
      <c r="ED848" s="25"/>
      <c r="EE848" s="25"/>
      <c r="EF848" s="25"/>
      <c r="EG848" s="25"/>
      <c r="EH848" s="25"/>
      <c r="EI848" s="25"/>
      <c r="EJ848" s="25"/>
      <c r="EK848" s="25"/>
      <c r="EL848" s="25"/>
      <c r="EM848" s="25"/>
      <c r="EN848" s="25"/>
      <c r="EO848" s="25"/>
      <c r="EP848" s="25"/>
      <c r="EQ848" s="25"/>
      <c r="ER848" s="25"/>
      <c r="ES848" s="25"/>
      <c r="ET848" s="25"/>
      <c r="EU848" s="25"/>
      <c r="EV848" s="25" t="str">
        <f>_xlfn.CONCAT($A849," ",$B849," ",$D849)</f>
        <v>2025 Rivian Automotive L R1T Performance Dual Large (20in)</v>
      </c>
      <c r="EW848" s="25"/>
      <c r="EX848" s="25"/>
      <c r="EY848" s="25"/>
      <c r="EZ848" s="25"/>
      <c r="FA848" s="25"/>
      <c r="FB848" s="25"/>
      <c r="FC848" s="25"/>
      <c r="FD848" s="25"/>
      <c r="FE848" s="25"/>
      <c r="FF848" s="25"/>
      <c r="FG848" s="25"/>
    </row>
    <row r="849" spans="1:165" x14ac:dyDescent="0.35">
      <c r="A849">
        <v>2025</v>
      </c>
      <c r="B849" t="s">
        <v>2222</v>
      </c>
      <c r="C849" t="s">
        <v>2223</v>
      </c>
      <c r="D849" t="s">
        <v>2438</v>
      </c>
      <c r="E849" t="s">
        <v>2225</v>
      </c>
      <c r="F849">
        <v>99</v>
      </c>
      <c r="G849">
        <v>0</v>
      </c>
      <c r="I849" t="s">
        <v>1734</v>
      </c>
      <c r="J849">
        <v>85</v>
      </c>
      <c r="K849">
        <v>72</v>
      </c>
      <c r="L849">
        <v>79</v>
      </c>
      <c r="M849">
        <v>121.4</v>
      </c>
      <c r="N849">
        <v>102.9</v>
      </c>
      <c r="O849">
        <v>112.3134</v>
      </c>
      <c r="P849">
        <v>84.98</v>
      </c>
      <c r="Q849">
        <v>72.03</v>
      </c>
      <c r="R849">
        <v>78.619399999999999</v>
      </c>
      <c r="V849" t="s">
        <v>167</v>
      </c>
      <c r="W849" t="s">
        <v>168</v>
      </c>
      <c r="Y849">
        <v>1</v>
      </c>
      <c r="Z849" t="s">
        <v>170</v>
      </c>
      <c r="AA849" t="s">
        <v>170</v>
      </c>
      <c r="AB849">
        <v>4</v>
      </c>
      <c r="AC849" t="s">
        <v>601</v>
      </c>
      <c r="AF849">
        <v>300</v>
      </c>
      <c r="AG849" t="s">
        <v>1735</v>
      </c>
      <c r="AH849" t="s">
        <v>1736</v>
      </c>
      <c r="AI849" t="s">
        <v>175</v>
      </c>
      <c r="AJ849" t="s">
        <v>176</v>
      </c>
      <c r="AK849">
        <v>4</v>
      </c>
      <c r="AL849" t="s">
        <v>1737</v>
      </c>
      <c r="AS849">
        <v>1050</v>
      </c>
      <c r="AT849">
        <v>50</v>
      </c>
      <c r="BQ849">
        <v>13</v>
      </c>
      <c r="BR849" t="s">
        <v>1016</v>
      </c>
      <c r="BT849" t="s">
        <v>1769</v>
      </c>
      <c r="BU849" s="1">
        <v>47048</v>
      </c>
      <c r="BV849">
        <v>36696</v>
      </c>
      <c r="BY849" t="s">
        <v>170</v>
      </c>
      <c r="CB849" t="s">
        <v>170</v>
      </c>
      <c r="CC849" t="s">
        <v>170</v>
      </c>
      <c r="CK849" t="s">
        <v>233</v>
      </c>
      <c r="CM849">
        <v>1</v>
      </c>
      <c r="CN849" t="s">
        <v>234</v>
      </c>
      <c r="CP849">
        <v>406</v>
      </c>
      <c r="CQ849">
        <v>286</v>
      </c>
      <c r="CR849">
        <v>273</v>
      </c>
      <c r="CS849" t="s">
        <v>1752</v>
      </c>
      <c r="CV849" t="s">
        <v>341</v>
      </c>
      <c r="CX849" t="s">
        <v>342</v>
      </c>
      <c r="CY849" t="s">
        <v>169</v>
      </c>
      <c r="DC849" t="s">
        <v>2409</v>
      </c>
      <c r="DD849">
        <v>2</v>
      </c>
      <c r="DE849" t="s">
        <v>404</v>
      </c>
      <c r="DF849" t="s">
        <v>1860</v>
      </c>
      <c r="DG849">
        <v>264</v>
      </c>
      <c r="DL849" t="s">
        <v>170</v>
      </c>
      <c r="DM849" t="s">
        <v>169</v>
      </c>
      <c r="DP849" t="s">
        <v>170</v>
      </c>
      <c r="DQ849" t="s">
        <v>187</v>
      </c>
      <c r="DR849" t="s">
        <v>2439</v>
      </c>
      <c r="EB849">
        <v>9</v>
      </c>
      <c r="EC849">
        <v>10</v>
      </c>
      <c r="EE849" t="s">
        <v>2411</v>
      </c>
      <c r="EF849">
        <v>10</v>
      </c>
      <c r="EU849">
        <v>4250</v>
      </c>
      <c r="EW849">
        <v>0</v>
      </c>
      <c r="EX849">
        <v>0</v>
      </c>
      <c r="EY849">
        <v>0</v>
      </c>
      <c r="FA849">
        <v>12</v>
      </c>
      <c r="FG849">
        <v>322</v>
      </c>
      <c r="FH849">
        <v>273</v>
      </c>
      <c r="FI849">
        <v>300</v>
      </c>
    </row>
    <row r="850" spans="1:165" x14ac:dyDescent="0.35">
      <c r="A850">
        <v>2025</v>
      </c>
      <c r="B850" t="s">
        <v>2222</v>
      </c>
      <c r="C850" t="s">
        <v>2223</v>
      </c>
      <c r="D850" t="s">
        <v>2438</v>
      </c>
      <c r="E850" t="s">
        <v>2225</v>
      </c>
      <c r="F850">
        <v>99</v>
      </c>
      <c r="G850">
        <v>0</v>
      </c>
      <c r="I850" t="s">
        <v>1734</v>
      </c>
      <c r="J850">
        <v>40</v>
      </c>
      <c r="K850">
        <v>47</v>
      </c>
      <c r="L850">
        <v>43</v>
      </c>
      <c r="M850">
        <v>27.772099999999998</v>
      </c>
      <c r="N850">
        <v>32.760199999999998</v>
      </c>
      <c r="O850">
        <v>30.0167</v>
      </c>
      <c r="P850">
        <v>39.662300000000002</v>
      </c>
      <c r="Q850">
        <v>46.792999999999999</v>
      </c>
      <c r="R850">
        <v>42.871099999999998</v>
      </c>
      <c r="V850" t="s">
        <v>167</v>
      </c>
      <c r="W850" t="s">
        <v>168</v>
      </c>
      <c r="Y850">
        <v>1</v>
      </c>
      <c r="Z850" t="s">
        <v>170</v>
      </c>
      <c r="AA850" t="s">
        <v>170</v>
      </c>
      <c r="AB850">
        <v>4</v>
      </c>
      <c r="AC850" t="s">
        <v>601</v>
      </c>
      <c r="AF850">
        <v>300</v>
      </c>
      <c r="AG850" t="s">
        <v>1735</v>
      </c>
      <c r="AH850" t="s">
        <v>1736</v>
      </c>
      <c r="AI850" t="s">
        <v>1742</v>
      </c>
      <c r="AJ850" t="s">
        <v>1743</v>
      </c>
      <c r="AK850">
        <v>4</v>
      </c>
      <c r="AL850" t="s">
        <v>1737</v>
      </c>
      <c r="AS850">
        <v>1050</v>
      </c>
      <c r="AT850">
        <v>1050</v>
      </c>
      <c r="BQ850">
        <v>13</v>
      </c>
      <c r="BR850" t="s">
        <v>1016</v>
      </c>
      <c r="BT850" t="s">
        <v>1769</v>
      </c>
      <c r="BU850" s="1">
        <v>47048</v>
      </c>
      <c r="BV850">
        <v>36696</v>
      </c>
      <c r="BY850" t="s">
        <v>170</v>
      </c>
      <c r="CB850" t="s">
        <v>170</v>
      </c>
      <c r="CC850" t="s">
        <v>170</v>
      </c>
      <c r="CK850" t="s">
        <v>233</v>
      </c>
      <c r="CM850">
        <v>1</v>
      </c>
      <c r="CN850" t="s">
        <v>234</v>
      </c>
      <c r="CP850">
        <v>406</v>
      </c>
      <c r="CQ850">
        <v>286</v>
      </c>
      <c r="CR850">
        <v>273</v>
      </c>
      <c r="CS850" t="s">
        <v>1752</v>
      </c>
      <c r="CV850" t="s">
        <v>341</v>
      </c>
      <c r="CX850" t="s">
        <v>342</v>
      </c>
      <c r="CY850" t="s">
        <v>169</v>
      </c>
      <c r="DC850" t="s">
        <v>2409</v>
      </c>
      <c r="DD850">
        <v>2</v>
      </c>
      <c r="DE850" t="s">
        <v>404</v>
      </c>
      <c r="DF850" t="s">
        <v>1860</v>
      </c>
      <c r="DG850">
        <v>264</v>
      </c>
      <c r="DL850" t="s">
        <v>170</v>
      </c>
      <c r="DM850" t="s">
        <v>169</v>
      </c>
      <c r="DP850" t="s">
        <v>170</v>
      </c>
      <c r="DQ850" t="s">
        <v>187</v>
      </c>
      <c r="DR850" t="s">
        <v>2439</v>
      </c>
      <c r="EB850">
        <v>9</v>
      </c>
      <c r="EC850">
        <v>10</v>
      </c>
      <c r="EE850" t="s">
        <v>2411</v>
      </c>
      <c r="EF850">
        <v>10</v>
      </c>
      <c r="EU850">
        <v>4250</v>
      </c>
      <c r="EW850">
        <v>0</v>
      </c>
      <c r="EX850">
        <v>0</v>
      </c>
      <c r="EY850">
        <v>0</v>
      </c>
      <c r="FA850">
        <v>12</v>
      </c>
      <c r="FG850">
        <v>322</v>
      </c>
      <c r="FH850">
        <v>273</v>
      </c>
      <c r="FI850">
        <v>300</v>
      </c>
    </row>
    <row r="851" spans="1:165" x14ac:dyDescent="0.35">
      <c r="A851" s="25"/>
      <c r="B851" s="25"/>
      <c r="C851" s="25"/>
      <c r="D851" s="25"/>
      <c r="E851" s="25"/>
      <c r="F851" s="25" t="str">
        <f>_xlfn.CONCAT($A852," ",$B852," ",$D852)</f>
        <v>2025 Rivian Automotive L R1S Performance Dual Large (20in)</v>
      </c>
      <c r="G851" s="25"/>
      <c r="H851" s="25"/>
      <c r="I851" s="25"/>
      <c r="J851" s="25"/>
      <c r="K851" s="25"/>
      <c r="L851" s="25"/>
      <c r="M851" s="25"/>
      <c r="N851" s="25"/>
      <c r="O851" s="25"/>
      <c r="P851" s="25"/>
      <c r="Q851" s="25"/>
      <c r="R851" s="25"/>
      <c r="S851" s="25"/>
      <c r="T851" s="25"/>
      <c r="U851" s="25"/>
      <c r="V851" s="25"/>
      <c r="W851" s="25"/>
      <c r="X851" s="25"/>
      <c r="Y851" s="25"/>
      <c r="Z851" s="25"/>
      <c r="AA851" s="25"/>
      <c r="AB851" s="25"/>
      <c r="AC851" s="25"/>
      <c r="AD851" s="25" t="str">
        <f>_xlfn.CONCAT($A852," ",$B852," ",$D852)</f>
        <v>2025 Rivian Automotive L R1S Performance Dual Large (20in)</v>
      </c>
      <c r="AE851" s="25"/>
      <c r="AF851" s="25"/>
      <c r="AG851" s="25"/>
      <c r="AH851" s="25"/>
      <c r="AI851" s="25"/>
      <c r="AJ851" s="25"/>
      <c r="AK851" s="25"/>
      <c r="AL851" s="25"/>
      <c r="AM851" s="25"/>
      <c r="AN851" s="25"/>
      <c r="AO851" s="25"/>
      <c r="AP851" s="25"/>
      <c r="AQ851" s="25"/>
      <c r="AR851" s="25"/>
      <c r="AS851" s="25"/>
      <c r="AT851" s="25"/>
      <c r="AU851" s="25"/>
      <c r="AV851" s="25"/>
      <c r="AW851" s="25"/>
      <c r="AX851" s="25" t="str">
        <f>_xlfn.CONCAT($A852," ",$B852," ",$D852)</f>
        <v>2025 Rivian Automotive L R1S Performance Dual Large (20in)</v>
      </c>
      <c r="AY851" s="25"/>
      <c r="AZ851" s="25"/>
      <c r="BA851" s="25"/>
      <c r="BB851" s="25"/>
      <c r="BC851" s="25"/>
      <c r="BD851" s="25"/>
      <c r="BE851" s="25"/>
      <c r="BF851" s="25"/>
      <c r="BG851" s="25"/>
      <c r="BH851" s="25"/>
      <c r="BI851" s="25"/>
      <c r="BJ851" s="25"/>
      <c r="BK851" s="25"/>
      <c r="BL851" s="25"/>
      <c r="BM851" s="25"/>
      <c r="BN851" s="25"/>
      <c r="BO851" s="25"/>
      <c r="BP851" s="25"/>
      <c r="BQ851" s="25"/>
      <c r="BR851" s="25" t="str">
        <f>_xlfn.CONCAT($A852," ",$B852," ",$D852)</f>
        <v>2025 Rivian Automotive L R1S Performance Dual Large (20in)</v>
      </c>
      <c r="BS851" s="25"/>
      <c r="BT851" s="25"/>
      <c r="BU851" s="25"/>
      <c r="BV851" s="25"/>
      <c r="BX851" s="25"/>
      <c r="BY851" s="25"/>
      <c r="BZ851" s="25"/>
      <c r="CA851" s="25"/>
      <c r="CB851" s="25"/>
      <c r="CC851" s="25"/>
      <c r="CD851" s="25"/>
      <c r="CE851" s="25"/>
      <c r="CF851" s="25"/>
      <c r="CG851" s="25"/>
      <c r="CH851" s="25"/>
      <c r="CI851" s="25"/>
      <c r="CJ851" s="25"/>
      <c r="CK851" s="25"/>
      <c r="CL851" s="25"/>
      <c r="CM851" s="25"/>
      <c r="CN851" s="25"/>
      <c r="CO851" s="25"/>
      <c r="CP851" s="25" t="str">
        <f>_xlfn.CONCAT($A852," ",$B852," ",$D852)</f>
        <v>2025 Rivian Automotive L R1S Performance Dual Large (20in)</v>
      </c>
      <c r="CQ851" s="25"/>
      <c r="CR851" s="25"/>
      <c r="CS851" s="25"/>
      <c r="CT851" s="25"/>
      <c r="CU851" s="25"/>
      <c r="CV851" s="25"/>
      <c r="CW851" s="25"/>
      <c r="CX851" s="25"/>
      <c r="CY851" s="25"/>
      <c r="CZ851" s="25"/>
      <c r="DA851" s="25"/>
      <c r="DB851" s="25"/>
      <c r="DC851" s="25"/>
      <c r="DD851" s="25"/>
      <c r="DE851" s="25"/>
      <c r="DF851" s="25"/>
      <c r="DG851" s="25"/>
      <c r="DH851" s="25"/>
      <c r="DI851" s="25" t="str">
        <f>_xlfn.CONCAT($A852," ",$B852," ",$D852)</f>
        <v>2025 Rivian Automotive L R1S Performance Dual Large (20in)</v>
      </c>
      <c r="DJ851" s="25"/>
      <c r="DK851" s="25"/>
      <c r="DL851" s="25"/>
      <c r="DM851" s="25"/>
      <c r="DN851" s="25"/>
      <c r="DO851" s="25"/>
      <c r="DP851" s="25"/>
      <c r="DQ851" s="25"/>
      <c r="DR851" s="25"/>
      <c r="DS851" s="25"/>
      <c r="DT851" s="25"/>
      <c r="DU851" s="25"/>
      <c r="DV851" s="25"/>
      <c r="DW851" s="25"/>
      <c r="DX851" s="25"/>
      <c r="DY851" s="25"/>
      <c r="DZ851" s="25" t="str">
        <f>_xlfn.CONCAT($A852," ",$B852," ",$D852)</f>
        <v>2025 Rivian Automotive L R1S Performance Dual Large (20in)</v>
      </c>
      <c r="EB851" s="25"/>
      <c r="EC851" s="25"/>
      <c r="ED851" s="25"/>
      <c r="EE851" s="25"/>
      <c r="EF851" s="25"/>
      <c r="EG851" s="25"/>
      <c r="EH851" s="25"/>
      <c r="EI851" s="25"/>
      <c r="EJ851" s="25"/>
      <c r="EK851" s="25"/>
      <c r="EL851" s="25"/>
      <c r="EM851" s="25"/>
      <c r="EN851" s="25"/>
      <c r="EO851" s="25"/>
      <c r="EP851" s="25"/>
      <c r="EQ851" s="25"/>
      <c r="ER851" s="25"/>
      <c r="ES851" s="25"/>
      <c r="ET851" s="25"/>
      <c r="EU851" s="25"/>
      <c r="EV851" s="25" t="str">
        <f>_xlfn.CONCAT($A852," ",$B852," ",$D852)</f>
        <v>2025 Rivian Automotive L R1S Performance Dual Large (20in)</v>
      </c>
      <c r="EW851" s="25"/>
      <c r="EX851" s="25"/>
      <c r="EY851" s="25"/>
      <c r="EZ851" s="25"/>
      <c r="FA851" s="25"/>
      <c r="FB851" s="25"/>
      <c r="FC851" s="25"/>
      <c r="FD851" s="25"/>
      <c r="FE851" s="25"/>
      <c r="FF851" s="25"/>
      <c r="FG851" s="25"/>
    </row>
    <row r="852" spans="1:165" x14ac:dyDescent="0.35">
      <c r="A852">
        <v>2025</v>
      </c>
      <c r="B852" t="s">
        <v>2222</v>
      </c>
      <c r="C852" t="s">
        <v>2223</v>
      </c>
      <c r="D852" t="s">
        <v>2414</v>
      </c>
      <c r="E852" t="s">
        <v>2225</v>
      </c>
      <c r="F852">
        <v>100</v>
      </c>
      <c r="G852">
        <v>0</v>
      </c>
      <c r="I852" t="s">
        <v>1734</v>
      </c>
      <c r="J852">
        <v>85</v>
      </c>
      <c r="K852">
        <v>72</v>
      </c>
      <c r="L852">
        <v>79</v>
      </c>
      <c r="M852">
        <v>121.4</v>
      </c>
      <c r="N852">
        <v>102.9</v>
      </c>
      <c r="O852">
        <v>112.3134</v>
      </c>
      <c r="P852">
        <v>84.98</v>
      </c>
      <c r="Q852">
        <v>72.03</v>
      </c>
      <c r="R852">
        <v>78.619399999999999</v>
      </c>
      <c r="V852" t="s">
        <v>167</v>
      </c>
      <c r="W852" t="s">
        <v>168</v>
      </c>
      <c r="Y852">
        <v>1</v>
      </c>
      <c r="Z852" t="s">
        <v>170</v>
      </c>
      <c r="AA852" t="s">
        <v>170</v>
      </c>
      <c r="AB852">
        <v>4</v>
      </c>
      <c r="AC852" t="s">
        <v>601</v>
      </c>
      <c r="AF852">
        <v>300</v>
      </c>
      <c r="AG852" t="s">
        <v>1735</v>
      </c>
      <c r="AH852" t="s">
        <v>1736</v>
      </c>
      <c r="AI852" t="s">
        <v>175</v>
      </c>
      <c r="AJ852" t="s">
        <v>176</v>
      </c>
      <c r="AK852">
        <v>4</v>
      </c>
      <c r="AL852" t="s">
        <v>1737</v>
      </c>
      <c r="AS852">
        <v>1050</v>
      </c>
      <c r="AT852">
        <v>50</v>
      </c>
      <c r="BQ852">
        <v>33</v>
      </c>
      <c r="BR852" t="s">
        <v>1497</v>
      </c>
      <c r="BT852" t="s">
        <v>1769</v>
      </c>
      <c r="BU852" s="1">
        <v>47048</v>
      </c>
      <c r="BV852">
        <v>36697</v>
      </c>
      <c r="BY852" t="s">
        <v>170</v>
      </c>
      <c r="CB852" t="s">
        <v>170</v>
      </c>
      <c r="CC852" t="s">
        <v>170</v>
      </c>
      <c r="CK852" t="s">
        <v>233</v>
      </c>
      <c r="CM852">
        <v>1</v>
      </c>
      <c r="CN852" t="s">
        <v>234</v>
      </c>
      <c r="CP852">
        <v>406</v>
      </c>
      <c r="CQ852">
        <v>286</v>
      </c>
      <c r="CR852">
        <v>273</v>
      </c>
      <c r="CS852" t="s">
        <v>1752</v>
      </c>
      <c r="CV852" t="s">
        <v>341</v>
      </c>
      <c r="CX852" t="s">
        <v>342</v>
      </c>
      <c r="CY852" t="s">
        <v>169</v>
      </c>
      <c r="DC852" t="s">
        <v>2409</v>
      </c>
      <c r="DD852">
        <v>2</v>
      </c>
      <c r="DE852" t="s">
        <v>404</v>
      </c>
      <c r="DF852" t="s">
        <v>1860</v>
      </c>
      <c r="DG852">
        <v>264</v>
      </c>
      <c r="DL852" t="s">
        <v>170</v>
      </c>
      <c r="DM852" t="s">
        <v>169</v>
      </c>
      <c r="DP852" t="s">
        <v>170</v>
      </c>
      <c r="DQ852" t="s">
        <v>187</v>
      </c>
      <c r="DR852" t="s">
        <v>2415</v>
      </c>
      <c r="EB852">
        <v>9</v>
      </c>
      <c r="EC852">
        <v>10</v>
      </c>
      <c r="EE852" t="s">
        <v>2411</v>
      </c>
      <c r="EF852">
        <v>10</v>
      </c>
      <c r="EU852">
        <v>4250</v>
      </c>
      <c r="EW852">
        <v>0</v>
      </c>
      <c r="EX852">
        <v>0</v>
      </c>
      <c r="EY852">
        <v>0</v>
      </c>
      <c r="FA852">
        <v>12</v>
      </c>
      <c r="FG852">
        <v>322</v>
      </c>
      <c r="FH852">
        <v>273</v>
      </c>
      <c r="FI852">
        <v>300</v>
      </c>
    </row>
    <row r="853" spans="1:165" x14ac:dyDescent="0.35">
      <c r="A853">
        <v>2025</v>
      </c>
      <c r="B853" t="s">
        <v>2222</v>
      </c>
      <c r="C853" t="s">
        <v>2223</v>
      </c>
      <c r="D853" t="s">
        <v>2414</v>
      </c>
      <c r="E853" t="s">
        <v>2225</v>
      </c>
      <c r="F853">
        <v>100</v>
      </c>
      <c r="G853">
        <v>0</v>
      </c>
      <c r="I853" t="s">
        <v>1734</v>
      </c>
      <c r="J853">
        <v>40</v>
      </c>
      <c r="K853">
        <v>47</v>
      </c>
      <c r="L853">
        <v>43</v>
      </c>
      <c r="M853">
        <v>27.772099999999998</v>
      </c>
      <c r="N853">
        <v>32.760199999999998</v>
      </c>
      <c r="O853">
        <v>30.0167</v>
      </c>
      <c r="P853">
        <v>39.662300000000002</v>
      </c>
      <c r="Q853">
        <v>46.792999999999999</v>
      </c>
      <c r="R853">
        <v>42.871099999999998</v>
      </c>
      <c r="V853" t="s">
        <v>167</v>
      </c>
      <c r="W853" t="s">
        <v>168</v>
      </c>
      <c r="Y853">
        <v>1</v>
      </c>
      <c r="Z853" t="s">
        <v>170</v>
      </c>
      <c r="AA853" t="s">
        <v>170</v>
      </c>
      <c r="AB853">
        <v>4</v>
      </c>
      <c r="AC853" t="s">
        <v>601</v>
      </c>
      <c r="AF853">
        <v>300</v>
      </c>
      <c r="AG853" t="s">
        <v>1735</v>
      </c>
      <c r="AH853" t="s">
        <v>1736</v>
      </c>
      <c r="AI853" t="s">
        <v>1742</v>
      </c>
      <c r="AJ853" t="s">
        <v>1743</v>
      </c>
      <c r="AK853">
        <v>4</v>
      </c>
      <c r="AL853" t="s">
        <v>1737</v>
      </c>
      <c r="AS853">
        <v>1050</v>
      </c>
      <c r="AT853">
        <v>1050</v>
      </c>
      <c r="BQ853">
        <v>33</v>
      </c>
      <c r="BR853" t="s">
        <v>1497</v>
      </c>
      <c r="BT853" t="s">
        <v>1769</v>
      </c>
      <c r="BU853" s="1">
        <v>47048</v>
      </c>
      <c r="BV853">
        <v>36697</v>
      </c>
      <c r="BY853" t="s">
        <v>170</v>
      </c>
      <c r="CB853" t="s">
        <v>170</v>
      </c>
      <c r="CC853" t="s">
        <v>170</v>
      </c>
      <c r="CK853" t="s">
        <v>233</v>
      </c>
      <c r="CM853">
        <v>1</v>
      </c>
      <c r="CN853" t="s">
        <v>234</v>
      </c>
      <c r="CP853">
        <v>406</v>
      </c>
      <c r="CQ853">
        <v>286</v>
      </c>
      <c r="CR853">
        <v>273</v>
      </c>
      <c r="CS853" t="s">
        <v>1752</v>
      </c>
      <c r="CV853" t="s">
        <v>341</v>
      </c>
      <c r="CX853" t="s">
        <v>342</v>
      </c>
      <c r="CY853" t="s">
        <v>169</v>
      </c>
      <c r="DC853" t="s">
        <v>2409</v>
      </c>
      <c r="DD853">
        <v>2</v>
      </c>
      <c r="DE853" t="s">
        <v>404</v>
      </c>
      <c r="DF853" t="s">
        <v>1860</v>
      </c>
      <c r="DG853">
        <v>264</v>
      </c>
      <c r="DL853" t="s">
        <v>170</v>
      </c>
      <c r="DM853" t="s">
        <v>169</v>
      </c>
      <c r="DP853" t="s">
        <v>170</v>
      </c>
      <c r="DQ853" t="s">
        <v>187</v>
      </c>
      <c r="DR853" t="s">
        <v>2415</v>
      </c>
      <c r="EB853">
        <v>9</v>
      </c>
      <c r="EC853">
        <v>10</v>
      </c>
      <c r="EE853" t="s">
        <v>2411</v>
      </c>
      <c r="EF853">
        <v>10</v>
      </c>
      <c r="EU853">
        <v>4250</v>
      </c>
      <c r="EW853">
        <v>0</v>
      </c>
      <c r="EX853">
        <v>0</v>
      </c>
      <c r="EY853">
        <v>0</v>
      </c>
      <c r="FA853">
        <v>12</v>
      </c>
      <c r="FG853">
        <v>322</v>
      </c>
      <c r="FH853">
        <v>273</v>
      </c>
      <c r="FI853">
        <v>300</v>
      </c>
    </row>
    <row r="854" spans="1:165" x14ac:dyDescent="0.35">
      <c r="A854" s="25"/>
      <c r="B854" s="25"/>
      <c r="C854" s="25"/>
      <c r="D854" s="25"/>
      <c r="E854" s="25"/>
      <c r="F854" s="25" t="str">
        <f>_xlfn.CONCAT($A855," ",$B855," ",$D855)</f>
        <v>2025 Rivian Automotive L R1T All-Terrain Performance Dual Large (20in)</v>
      </c>
      <c r="G854" s="25"/>
      <c r="H854" s="25"/>
      <c r="I854" s="25"/>
      <c r="J854" s="25"/>
      <c r="K854" s="25"/>
      <c r="L854" s="25"/>
      <c r="M854" s="25"/>
      <c r="N854" s="25"/>
      <c r="O854" s="25"/>
      <c r="P854" s="25"/>
      <c r="Q854" s="25"/>
      <c r="R854" s="25"/>
      <c r="S854" s="25"/>
      <c r="T854" s="25"/>
      <c r="U854" s="25"/>
      <c r="V854" s="25"/>
      <c r="W854" s="25"/>
      <c r="X854" s="25"/>
      <c r="Y854" s="25"/>
      <c r="Z854" s="25"/>
      <c r="AA854" s="25"/>
      <c r="AB854" s="25"/>
      <c r="AC854" s="25"/>
      <c r="AD854" s="25" t="str">
        <f>_xlfn.CONCAT($A855," ",$B855," ",$D855)</f>
        <v>2025 Rivian Automotive L R1T All-Terrain Performance Dual Large (20in)</v>
      </c>
      <c r="AE854" s="25"/>
      <c r="AF854" s="25"/>
      <c r="AG854" s="25"/>
      <c r="AH854" s="25"/>
      <c r="AI854" s="25"/>
      <c r="AJ854" s="25"/>
      <c r="AK854" s="25"/>
      <c r="AL854" s="25"/>
      <c r="AM854" s="25"/>
      <c r="AN854" s="25"/>
      <c r="AO854" s="25"/>
      <c r="AP854" s="25"/>
      <c r="AQ854" s="25"/>
      <c r="AR854" s="25"/>
      <c r="AS854" s="25"/>
      <c r="AT854" s="25"/>
      <c r="AU854" s="25"/>
      <c r="AV854" s="25"/>
      <c r="AW854" s="25"/>
      <c r="AX854" s="25" t="str">
        <f>_xlfn.CONCAT($A855," ",$B855," ",$D855)</f>
        <v>2025 Rivian Automotive L R1T All-Terrain Performance Dual Large (20in)</v>
      </c>
      <c r="AY854" s="25"/>
      <c r="AZ854" s="25"/>
      <c r="BA854" s="25"/>
      <c r="BB854" s="25"/>
      <c r="BC854" s="25"/>
      <c r="BD854" s="25"/>
      <c r="BE854" s="25"/>
      <c r="BF854" s="25"/>
      <c r="BG854" s="25"/>
      <c r="BH854" s="25"/>
      <c r="BI854" s="25"/>
      <c r="BJ854" s="25"/>
      <c r="BK854" s="25"/>
      <c r="BL854" s="25"/>
      <c r="BM854" s="25"/>
      <c r="BN854" s="25"/>
      <c r="BO854" s="25"/>
      <c r="BP854" s="25"/>
      <c r="BQ854" s="25"/>
      <c r="BR854" s="25" t="str">
        <f>_xlfn.CONCAT($A855," ",$B855," ",$D855)</f>
        <v>2025 Rivian Automotive L R1T All-Terrain Performance Dual Large (20in)</v>
      </c>
      <c r="BS854" s="25"/>
      <c r="BT854" s="25"/>
      <c r="BU854" s="25"/>
      <c r="BV854" s="25"/>
      <c r="BX854" s="25"/>
      <c r="BY854" s="25"/>
      <c r="BZ854" s="25"/>
      <c r="CA854" s="25"/>
      <c r="CB854" s="25"/>
      <c r="CC854" s="25"/>
      <c r="CD854" s="25"/>
      <c r="CE854" s="25"/>
      <c r="CF854" s="25"/>
      <c r="CG854" s="25"/>
      <c r="CH854" s="25"/>
      <c r="CI854" s="25"/>
      <c r="CJ854" s="25"/>
      <c r="CK854" s="25"/>
      <c r="CL854" s="25"/>
      <c r="CM854" s="25"/>
      <c r="CN854" s="25"/>
      <c r="CO854" s="25"/>
      <c r="CP854" s="25" t="str">
        <f>_xlfn.CONCAT($A855," ",$B855," ",$D855)</f>
        <v>2025 Rivian Automotive L R1T All-Terrain Performance Dual Large (20in)</v>
      </c>
      <c r="CQ854" s="25"/>
      <c r="CR854" s="25"/>
      <c r="CS854" s="25"/>
      <c r="CT854" s="25"/>
      <c r="CU854" s="25"/>
      <c r="CV854" s="25"/>
      <c r="CW854" s="25"/>
      <c r="CX854" s="25"/>
      <c r="CY854" s="25"/>
      <c r="CZ854" s="25"/>
      <c r="DA854" s="25"/>
      <c r="DB854" s="25"/>
      <c r="DC854" s="25"/>
      <c r="DD854" s="25"/>
      <c r="DE854" s="25"/>
      <c r="DF854" s="25"/>
      <c r="DG854" s="25"/>
      <c r="DH854" s="25"/>
      <c r="DI854" s="25" t="str">
        <f>_xlfn.CONCAT($A855," ",$B855," ",$D855)</f>
        <v>2025 Rivian Automotive L R1T All-Terrain Performance Dual Large (20in)</v>
      </c>
      <c r="DJ854" s="25"/>
      <c r="DK854" s="25"/>
      <c r="DL854" s="25"/>
      <c r="DM854" s="25"/>
      <c r="DN854" s="25"/>
      <c r="DO854" s="25"/>
      <c r="DP854" s="25"/>
      <c r="DQ854" s="25"/>
      <c r="DR854" s="25"/>
      <c r="DS854" s="25"/>
      <c r="DT854" s="25"/>
      <c r="DU854" s="25"/>
      <c r="DV854" s="25"/>
      <c r="DW854" s="25"/>
      <c r="DX854" s="25"/>
      <c r="DY854" s="25"/>
      <c r="DZ854" s="25" t="str">
        <f>_xlfn.CONCAT($A855," ",$B855," ",$D855)</f>
        <v>2025 Rivian Automotive L R1T All-Terrain Performance Dual Large (20in)</v>
      </c>
      <c r="EB854" s="25"/>
      <c r="EC854" s="25"/>
      <c r="ED854" s="25"/>
      <c r="EE854" s="25"/>
      <c r="EF854" s="25"/>
      <c r="EG854" s="25"/>
      <c r="EH854" s="25"/>
      <c r="EI854" s="25"/>
      <c r="EJ854" s="25"/>
      <c r="EK854" s="25"/>
      <c r="EL854" s="25"/>
      <c r="EM854" s="25"/>
      <c r="EN854" s="25"/>
      <c r="EO854" s="25"/>
      <c r="EP854" s="25"/>
      <c r="EQ854" s="25"/>
      <c r="ER854" s="25"/>
      <c r="ES854" s="25"/>
      <c r="ET854" s="25"/>
      <c r="EU854" s="25"/>
      <c r="EV854" s="25" t="str">
        <f>_xlfn.CONCAT($A855," ",$B855," ",$D855)</f>
        <v>2025 Rivian Automotive L R1T All-Terrain Performance Dual Large (20in)</v>
      </c>
      <c r="EW854" s="25"/>
      <c r="EX854" s="25"/>
      <c r="EY854" s="25"/>
      <c r="EZ854" s="25"/>
      <c r="FA854" s="25"/>
      <c r="FB854" s="25"/>
      <c r="FC854" s="25"/>
      <c r="FD854" s="25"/>
      <c r="FE854" s="25"/>
      <c r="FF854" s="25"/>
      <c r="FG854" s="25"/>
    </row>
    <row r="855" spans="1:165" x14ac:dyDescent="0.35">
      <c r="A855">
        <v>2025</v>
      </c>
      <c r="B855" t="s">
        <v>2222</v>
      </c>
      <c r="C855" t="s">
        <v>2223</v>
      </c>
      <c r="D855" t="s">
        <v>2430</v>
      </c>
      <c r="E855" t="s">
        <v>2225</v>
      </c>
      <c r="F855">
        <v>101</v>
      </c>
      <c r="G855">
        <v>0</v>
      </c>
      <c r="I855" t="s">
        <v>1734</v>
      </c>
      <c r="J855">
        <v>82</v>
      </c>
      <c r="K855">
        <v>70</v>
      </c>
      <c r="L855">
        <v>76</v>
      </c>
      <c r="M855">
        <v>113.8</v>
      </c>
      <c r="N855">
        <v>97</v>
      </c>
      <c r="O855">
        <v>105.5719</v>
      </c>
      <c r="P855">
        <v>81.898399999999995</v>
      </c>
      <c r="Q855">
        <v>69.808000000000007</v>
      </c>
      <c r="R855">
        <v>75.976900000000001</v>
      </c>
      <c r="V855" t="s">
        <v>167</v>
      </c>
      <c r="W855" t="s">
        <v>168</v>
      </c>
      <c r="Y855">
        <v>1</v>
      </c>
      <c r="Z855" t="s">
        <v>170</v>
      </c>
      <c r="AA855" t="s">
        <v>170</v>
      </c>
      <c r="AB855">
        <v>4</v>
      </c>
      <c r="AC855" t="s">
        <v>601</v>
      </c>
      <c r="AF855">
        <v>289</v>
      </c>
      <c r="AG855" t="s">
        <v>1735</v>
      </c>
      <c r="AH855" t="s">
        <v>1736</v>
      </c>
      <c r="AI855" t="s">
        <v>175</v>
      </c>
      <c r="AJ855" t="s">
        <v>176</v>
      </c>
      <c r="AK855">
        <v>4</v>
      </c>
      <c r="AL855" t="s">
        <v>1737</v>
      </c>
      <c r="AS855">
        <v>1050</v>
      </c>
      <c r="AT855">
        <v>50</v>
      </c>
      <c r="BQ855">
        <v>13</v>
      </c>
      <c r="BR855" t="s">
        <v>1016</v>
      </c>
      <c r="BT855" t="s">
        <v>1769</v>
      </c>
      <c r="BU855" s="1">
        <v>47070</v>
      </c>
      <c r="BV855">
        <v>36709</v>
      </c>
      <c r="BY855" t="s">
        <v>170</v>
      </c>
      <c r="CB855" t="s">
        <v>170</v>
      </c>
      <c r="CC855" t="s">
        <v>170</v>
      </c>
      <c r="CK855" t="s">
        <v>233</v>
      </c>
      <c r="CM855">
        <v>1</v>
      </c>
      <c r="CN855" t="s">
        <v>234</v>
      </c>
      <c r="CP855">
        <v>406</v>
      </c>
      <c r="CQ855">
        <v>286</v>
      </c>
      <c r="CR855">
        <v>273</v>
      </c>
      <c r="CS855" t="s">
        <v>1752</v>
      </c>
      <c r="CV855" t="s">
        <v>341</v>
      </c>
      <c r="CX855" t="s">
        <v>342</v>
      </c>
      <c r="CY855" t="s">
        <v>169</v>
      </c>
      <c r="DC855" t="s">
        <v>2409</v>
      </c>
      <c r="DD855">
        <v>2</v>
      </c>
      <c r="DE855" t="s">
        <v>404</v>
      </c>
      <c r="DF855" t="s">
        <v>1860</v>
      </c>
      <c r="DG855">
        <v>264</v>
      </c>
      <c r="DL855" t="s">
        <v>170</v>
      </c>
      <c r="DM855" t="s">
        <v>169</v>
      </c>
      <c r="DP855" t="s">
        <v>170</v>
      </c>
      <c r="DQ855" t="s">
        <v>187</v>
      </c>
      <c r="DR855" t="s">
        <v>2431</v>
      </c>
      <c r="EB855">
        <v>9</v>
      </c>
      <c r="EC855">
        <v>10</v>
      </c>
      <c r="EE855" t="s">
        <v>2411</v>
      </c>
      <c r="EF855">
        <v>10</v>
      </c>
      <c r="EU855">
        <v>4250</v>
      </c>
      <c r="EW855">
        <v>0</v>
      </c>
      <c r="EX855">
        <v>0</v>
      </c>
      <c r="EY855">
        <v>0</v>
      </c>
      <c r="FA855">
        <v>12</v>
      </c>
      <c r="FG855">
        <v>310</v>
      </c>
      <c r="FH855">
        <v>264</v>
      </c>
      <c r="FI855">
        <v>289</v>
      </c>
    </row>
    <row r="856" spans="1:165" x14ac:dyDescent="0.35">
      <c r="A856">
        <v>2025</v>
      </c>
      <c r="B856" t="s">
        <v>2222</v>
      </c>
      <c r="C856" t="s">
        <v>2223</v>
      </c>
      <c r="D856" t="s">
        <v>2430</v>
      </c>
      <c r="E856" t="s">
        <v>2225</v>
      </c>
      <c r="F856">
        <v>101</v>
      </c>
      <c r="G856">
        <v>0</v>
      </c>
      <c r="I856" t="s">
        <v>1734</v>
      </c>
      <c r="J856">
        <v>41</v>
      </c>
      <c r="K856">
        <v>48</v>
      </c>
      <c r="L856">
        <v>44</v>
      </c>
      <c r="M856">
        <v>29.616800000000001</v>
      </c>
      <c r="N856">
        <v>34.755899999999997</v>
      </c>
      <c r="O856">
        <v>31.929400000000001</v>
      </c>
      <c r="P856">
        <v>41.154600000000002</v>
      </c>
      <c r="Q856">
        <v>48.282400000000003</v>
      </c>
      <c r="R856">
        <v>44.362200000000001</v>
      </c>
      <c r="V856" t="s">
        <v>167</v>
      </c>
      <c r="W856" t="s">
        <v>168</v>
      </c>
      <c r="Y856">
        <v>1</v>
      </c>
      <c r="Z856" t="s">
        <v>170</v>
      </c>
      <c r="AA856" t="s">
        <v>170</v>
      </c>
      <c r="AB856">
        <v>4</v>
      </c>
      <c r="AC856" t="s">
        <v>601</v>
      </c>
      <c r="AF856">
        <v>289</v>
      </c>
      <c r="AG856" t="s">
        <v>1735</v>
      </c>
      <c r="AH856" t="s">
        <v>1736</v>
      </c>
      <c r="AI856" t="s">
        <v>1742</v>
      </c>
      <c r="AJ856" t="s">
        <v>1743</v>
      </c>
      <c r="AK856">
        <v>4</v>
      </c>
      <c r="AL856" t="s">
        <v>1737</v>
      </c>
      <c r="AS856">
        <v>1050</v>
      </c>
      <c r="AT856">
        <v>1050</v>
      </c>
      <c r="BQ856">
        <v>13</v>
      </c>
      <c r="BR856" t="s">
        <v>1016</v>
      </c>
      <c r="BT856" t="s">
        <v>1769</v>
      </c>
      <c r="BU856" s="1">
        <v>47070</v>
      </c>
      <c r="BV856">
        <v>36709</v>
      </c>
      <c r="BY856" t="s">
        <v>170</v>
      </c>
      <c r="CB856" t="s">
        <v>170</v>
      </c>
      <c r="CC856" t="s">
        <v>170</v>
      </c>
      <c r="CK856" t="s">
        <v>233</v>
      </c>
      <c r="CM856">
        <v>1</v>
      </c>
      <c r="CN856" t="s">
        <v>234</v>
      </c>
      <c r="CP856">
        <v>406</v>
      </c>
      <c r="CQ856">
        <v>286</v>
      </c>
      <c r="CR856">
        <v>273</v>
      </c>
      <c r="CS856" t="s">
        <v>1752</v>
      </c>
      <c r="CV856" t="s">
        <v>341</v>
      </c>
      <c r="CX856" t="s">
        <v>342</v>
      </c>
      <c r="CY856" t="s">
        <v>169</v>
      </c>
      <c r="DC856" t="s">
        <v>2409</v>
      </c>
      <c r="DD856">
        <v>2</v>
      </c>
      <c r="DE856" t="s">
        <v>404</v>
      </c>
      <c r="DF856" t="s">
        <v>1860</v>
      </c>
      <c r="DG856">
        <v>264</v>
      </c>
      <c r="DL856" t="s">
        <v>170</v>
      </c>
      <c r="DM856" t="s">
        <v>169</v>
      </c>
      <c r="DP856" t="s">
        <v>170</v>
      </c>
      <c r="DQ856" t="s">
        <v>187</v>
      </c>
      <c r="DR856" t="s">
        <v>2431</v>
      </c>
      <c r="EB856">
        <v>9</v>
      </c>
      <c r="EC856">
        <v>10</v>
      </c>
      <c r="EE856" t="s">
        <v>2411</v>
      </c>
      <c r="EF856">
        <v>10</v>
      </c>
      <c r="EU856">
        <v>4250</v>
      </c>
      <c r="EW856">
        <v>0</v>
      </c>
      <c r="EX856">
        <v>0</v>
      </c>
      <c r="EY856">
        <v>0</v>
      </c>
      <c r="FA856">
        <v>12</v>
      </c>
      <c r="FG856">
        <v>310</v>
      </c>
      <c r="FH856">
        <v>264</v>
      </c>
      <c r="FI856">
        <v>289</v>
      </c>
    </row>
    <row r="857" spans="1:165" x14ac:dyDescent="0.35">
      <c r="A857" s="25"/>
      <c r="B857" s="25"/>
      <c r="C857" s="25"/>
      <c r="D857" s="25"/>
      <c r="E857" s="25"/>
      <c r="F857" s="25" t="str">
        <f>_xlfn.CONCAT($A858," ",$B858," ",$D858)</f>
        <v>2025 Rivian Automotive L R1S All-Terrain Performance Dual Large (20in)</v>
      </c>
      <c r="G857" s="25"/>
      <c r="H857" s="25"/>
      <c r="I857" s="25"/>
      <c r="J857" s="25"/>
      <c r="K857" s="25"/>
      <c r="L857" s="25"/>
      <c r="M857" s="25"/>
      <c r="N857" s="25"/>
      <c r="O857" s="25"/>
      <c r="P857" s="25"/>
      <c r="Q857" s="25"/>
      <c r="R857" s="25"/>
      <c r="S857" s="25"/>
      <c r="T857" s="25"/>
      <c r="U857" s="25"/>
      <c r="V857" s="25"/>
      <c r="W857" s="25"/>
      <c r="X857" s="25"/>
      <c r="Y857" s="25"/>
      <c r="Z857" s="25"/>
      <c r="AA857" s="25"/>
      <c r="AB857" s="25"/>
      <c r="AC857" s="25"/>
      <c r="AD857" s="25" t="str">
        <f>_xlfn.CONCAT($A858," ",$B858," ",$D858)</f>
        <v>2025 Rivian Automotive L R1S All-Terrain Performance Dual Large (20in)</v>
      </c>
      <c r="AE857" s="25"/>
      <c r="AF857" s="25"/>
      <c r="AG857" s="25"/>
      <c r="AH857" s="25"/>
      <c r="AI857" s="25"/>
      <c r="AJ857" s="25"/>
      <c r="AK857" s="25"/>
      <c r="AL857" s="25"/>
      <c r="AM857" s="25"/>
      <c r="AN857" s="25"/>
      <c r="AO857" s="25"/>
      <c r="AP857" s="25"/>
      <c r="AQ857" s="25"/>
      <c r="AR857" s="25"/>
      <c r="AS857" s="25"/>
      <c r="AT857" s="25"/>
      <c r="AU857" s="25"/>
      <c r="AV857" s="25"/>
      <c r="AW857" s="25"/>
      <c r="AX857" s="25" t="str">
        <f>_xlfn.CONCAT($A858," ",$B858," ",$D858)</f>
        <v>2025 Rivian Automotive L R1S All-Terrain Performance Dual Large (20in)</v>
      </c>
      <c r="AY857" s="25"/>
      <c r="AZ857" s="25"/>
      <c r="BA857" s="25"/>
      <c r="BB857" s="25"/>
      <c r="BC857" s="25"/>
      <c r="BD857" s="25"/>
      <c r="BE857" s="25"/>
      <c r="BF857" s="25"/>
      <c r="BG857" s="25"/>
      <c r="BH857" s="25"/>
      <c r="BI857" s="25"/>
      <c r="BJ857" s="25"/>
      <c r="BK857" s="25"/>
      <c r="BL857" s="25"/>
      <c r="BM857" s="25"/>
      <c r="BN857" s="25"/>
      <c r="BO857" s="25"/>
      <c r="BP857" s="25"/>
      <c r="BQ857" s="25"/>
      <c r="BR857" s="25" t="str">
        <f>_xlfn.CONCAT($A858," ",$B858," ",$D858)</f>
        <v>2025 Rivian Automotive L R1S All-Terrain Performance Dual Large (20in)</v>
      </c>
      <c r="BS857" s="25"/>
      <c r="BT857" s="25"/>
      <c r="BU857" s="25"/>
      <c r="BV857" s="25"/>
      <c r="BX857" s="25"/>
      <c r="BY857" s="25"/>
      <c r="BZ857" s="25"/>
      <c r="CA857" s="25"/>
      <c r="CB857" s="25"/>
      <c r="CC857" s="25"/>
      <c r="CD857" s="25"/>
      <c r="CE857" s="25"/>
      <c r="CF857" s="25"/>
      <c r="CG857" s="25"/>
      <c r="CH857" s="25"/>
      <c r="CI857" s="25"/>
      <c r="CJ857" s="25"/>
      <c r="CK857" s="25"/>
      <c r="CL857" s="25"/>
      <c r="CM857" s="25"/>
      <c r="CN857" s="25"/>
      <c r="CO857" s="25"/>
      <c r="CP857" s="25" t="str">
        <f>_xlfn.CONCAT($A858," ",$B858," ",$D858)</f>
        <v>2025 Rivian Automotive L R1S All-Terrain Performance Dual Large (20in)</v>
      </c>
      <c r="CQ857" s="25"/>
      <c r="CR857" s="25"/>
      <c r="CS857" s="25"/>
      <c r="CT857" s="25"/>
      <c r="CU857" s="25"/>
      <c r="CV857" s="25"/>
      <c r="CW857" s="25"/>
      <c r="CX857" s="25"/>
      <c r="CY857" s="25"/>
      <c r="CZ857" s="25"/>
      <c r="DA857" s="25"/>
      <c r="DB857" s="25"/>
      <c r="DC857" s="25"/>
      <c r="DD857" s="25"/>
      <c r="DE857" s="25"/>
      <c r="DF857" s="25"/>
      <c r="DG857" s="25"/>
      <c r="DH857" s="25"/>
      <c r="DI857" s="25" t="str">
        <f>_xlfn.CONCAT($A858," ",$B858," ",$D858)</f>
        <v>2025 Rivian Automotive L R1S All-Terrain Performance Dual Large (20in)</v>
      </c>
      <c r="DJ857" s="25"/>
      <c r="DK857" s="25"/>
      <c r="DL857" s="25"/>
      <c r="DM857" s="25"/>
      <c r="DN857" s="25"/>
      <c r="DO857" s="25"/>
      <c r="DP857" s="25"/>
      <c r="DQ857" s="25"/>
      <c r="DR857" s="25"/>
      <c r="DS857" s="25"/>
      <c r="DT857" s="25"/>
      <c r="DU857" s="25"/>
      <c r="DV857" s="25"/>
      <c r="DW857" s="25"/>
      <c r="DX857" s="25"/>
      <c r="DY857" s="25"/>
      <c r="DZ857" s="25" t="str">
        <f>_xlfn.CONCAT($A858," ",$B858," ",$D858)</f>
        <v>2025 Rivian Automotive L R1S All-Terrain Performance Dual Large (20in)</v>
      </c>
      <c r="EB857" s="25"/>
      <c r="EC857" s="25"/>
      <c r="ED857" s="25"/>
      <c r="EE857" s="25"/>
      <c r="EF857" s="25"/>
      <c r="EG857" s="25"/>
      <c r="EH857" s="25"/>
      <c r="EI857" s="25"/>
      <c r="EJ857" s="25"/>
      <c r="EK857" s="25"/>
      <c r="EL857" s="25"/>
      <c r="EM857" s="25"/>
      <c r="EN857" s="25"/>
      <c r="EO857" s="25"/>
      <c r="EP857" s="25"/>
      <c r="EQ857" s="25"/>
      <c r="ER857" s="25"/>
      <c r="ES857" s="25"/>
      <c r="ET857" s="25"/>
      <c r="EU857" s="25"/>
      <c r="EV857" s="25" t="str">
        <f>_xlfn.CONCAT($A858," ",$B858," ",$D858)</f>
        <v>2025 Rivian Automotive L R1S All-Terrain Performance Dual Large (20in)</v>
      </c>
      <c r="EW857" s="25"/>
      <c r="EX857" s="25"/>
      <c r="EY857" s="25"/>
      <c r="EZ857" s="25"/>
      <c r="FA857" s="25"/>
      <c r="FB857" s="25"/>
      <c r="FC857" s="25"/>
      <c r="FD857" s="25"/>
      <c r="FE857" s="25"/>
      <c r="FF857" s="25"/>
      <c r="FG857" s="25"/>
    </row>
    <row r="858" spans="1:165" x14ac:dyDescent="0.35">
      <c r="A858">
        <v>2025</v>
      </c>
      <c r="B858" t="s">
        <v>2222</v>
      </c>
      <c r="C858" t="s">
        <v>2223</v>
      </c>
      <c r="D858" t="s">
        <v>2412</v>
      </c>
      <c r="E858" t="s">
        <v>2225</v>
      </c>
      <c r="F858">
        <v>102</v>
      </c>
      <c r="G858">
        <v>0</v>
      </c>
      <c r="I858" t="s">
        <v>1734</v>
      </c>
      <c r="J858">
        <v>82</v>
      </c>
      <c r="K858">
        <v>70</v>
      </c>
      <c r="L858">
        <v>76</v>
      </c>
      <c r="M858">
        <v>113.8</v>
      </c>
      <c r="N858">
        <v>97</v>
      </c>
      <c r="O858">
        <v>105.5719</v>
      </c>
      <c r="P858">
        <v>81.898399999999995</v>
      </c>
      <c r="Q858">
        <v>69.808000000000007</v>
      </c>
      <c r="R858">
        <v>75.976900000000001</v>
      </c>
      <c r="V858" t="s">
        <v>167</v>
      </c>
      <c r="W858" t="s">
        <v>168</v>
      </c>
      <c r="Y858">
        <v>1</v>
      </c>
      <c r="Z858" t="s">
        <v>170</v>
      </c>
      <c r="AA858" t="s">
        <v>170</v>
      </c>
      <c r="AB858">
        <v>4</v>
      </c>
      <c r="AC858" t="s">
        <v>601</v>
      </c>
      <c r="AF858">
        <v>289</v>
      </c>
      <c r="AG858" t="s">
        <v>1735</v>
      </c>
      <c r="AH858" t="s">
        <v>1736</v>
      </c>
      <c r="AI858" t="s">
        <v>175</v>
      </c>
      <c r="AJ858" t="s">
        <v>176</v>
      </c>
      <c r="AK858">
        <v>4</v>
      </c>
      <c r="AL858" t="s">
        <v>1737</v>
      </c>
      <c r="AS858">
        <v>1050</v>
      </c>
      <c r="AT858">
        <v>50</v>
      </c>
      <c r="BQ858">
        <v>33</v>
      </c>
      <c r="BR858" t="s">
        <v>1497</v>
      </c>
      <c r="BT858" t="s">
        <v>1769</v>
      </c>
      <c r="BU858" s="1">
        <v>47048</v>
      </c>
      <c r="BV858">
        <v>36710</v>
      </c>
      <c r="BY858" t="s">
        <v>170</v>
      </c>
      <c r="CB858" t="s">
        <v>170</v>
      </c>
      <c r="CC858" t="s">
        <v>170</v>
      </c>
      <c r="CK858" t="s">
        <v>233</v>
      </c>
      <c r="CM858">
        <v>1</v>
      </c>
      <c r="CN858" t="s">
        <v>234</v>
      </c>
      <c r="CP858">
        <v>406</v>
      </c>
      <c r="CQ858">
        <v>286</v>
      </c>
      <c r="CR858">
        <v>273</v>
      </c>
      <c r="CS858" t="s">
        <v>1752</v>
      </c>
      <c r="CV858" t="s">
        <v>341</v>
      </c>
      <c r="CX858" t="s">
        <v>342</v>
      </c>
      <c r="CY858" t="s">
        <v>169</v>
      </c>
      <c r="DC858" t="s">
        <v>2409</v>
      </c>
      <c r="DD858">
        <v>2</v>
      </c>
      <c r="DE858" t="s">
        <v>404</v>
      </c>
      <c r="DF858" t="s">
        <v>1860</v>
      </c>
      <c r="DG858">
        <v>264</v>
      </c>
      <c r="DL858" t="s">
        <v>170</v>
      </c>
      <c r="DM858" t="s">
        <v>169</v>
      </c>
      <c r="DP858" t="s">
        <v>170</v>
      </c>
      <c r="DQ858" t="s">
        <v>187</v>
      </c>
      <c r="DR858" t="s">
        <v>2413</v>
      </c>
      <c r="EB858">
        <v>9</v>
      </c>
      <c r="EC858">
        <v>10</v>
      </c>
      <c r="EE858" t="s">
        <v>2411</v>
      </c>
      <c r="EF858">
        <v>10</v>
      </c>
      <c r="EU858">
        <v>4250</v>
      </c>
      <c r="EW858">
        <v>0</v>
      </c>
      <c r="EX858">
        <v>0</v>
      </c>
      <c r="EY858">
        <v>0</v>
      </c>
      <c r="FA858">
        <v>12</v>
      </c>
      <c r="FG858">
        <v>310</v>
      </c>
      <c r="FH858">
        <v>264</v>
      </c>
      <c r="FI858">
        <v>289</v>
      </c>
    </row>
    <row r="859" spans="1:165" x14ac:dyDescent="0.35">
      <c r="A859">
        <v>2025</v>
      </c>
      <c r="B859" t="s">
        <v>2222</v>
      </c>
      <c r="C859" t="s">
        <v>2223</v>
      </c>
      <c r="D859" t="s">
        <v>2412</v>
      </c>
      <c r="E859" t="s">
        <v>2225</v>
      </c>
      <c r="F859">
        <v>102</v>
      </c>
      <c r="G859">
        <v>0</v>
      </c>
      <c r="I859" t="s">
        <v>1734</v>
      </c>
      <c r="J859">
        <v>41</v>
      </c>
      <c r="K859">
        <v>48</v>
      </c>
      <c r="L859">
        <v>44</v>
      </c>
      <c r="M859">
        <v>29.616800000000001</v>
      </c>
      <c r="N859">
        <v>34.755899999999997</v>
      </c>
      <c r="O859">
        <v>31.929400000000001</v>
      </c>
      <c r="P859">
        <v>41.154600000000002</v>
      </c>
      <c r="Q859">
        <v>48.282400000000003</v>
      </c>
      <c r="R859">
        <v>44.362200000000001</v>
      </c>
      <c r="V859" t="s">
        <v>167</v>
      </c>
      <c r="W859" t="s">
        <v>168</v>
      </c>
      <c r="Y859">
        <v>1</v>
      </c>
      <c r="Z859" t="s">
        <v>170</v>
      </c>
      <c r="AA859" t="s">
        <v>170</v>
      </c>
      <c r="AB859">
        <v>4</v>
      </c>
      <c r="AC859" t="s">
        <v>601</v>
      </c>
      <c r="AF859">
        <v>289</v>
      </c>
      <c r="AG859" t="s">
        <v>1735</v>
      </c>
      <c r="AH859" t="s">
        <v>1736</v>
      </c>
      <c r="AI859" t="s">
        <v>1742</v>
      </c>
      <c r="AJ859" t="s">
        <v>1743</v>
      </c>
      <c r="AK859">
        <v>4</v>
      </c>
      <c r="AL859" t="s">
        <v>1737</v>
      </c>
      <c r="AS859">
        <v>1050</v>
      </c>
      <c r="AT859">
        <v>1050</v>
      </c>
      <c r="BQ859">
        <v>33</v>
      </c>
      <c r="BR859" t="s">
        <v>1497</v>
      </c>
      <c r="BT859" t="s">
        <v>1769</v>
      </c>
      <c r="BU859" s="1">
        <v>47048</v>
      </c>
      <c r="BV859">
        <v>36710</v>
      </c>
      <c r="BY859" t="s">
        <v>170</v>
      </c>
      <c r="CB859" t="s">
        <v>170</v>
      </c>
      <c r="CC859" t="s">
        <v>170</v>
      </c>
      <c r="CK859" t="s">
        <v>233</v>
      </c>
      <c r="CM859">
        <v>1</v>
      </c>
      <c r="CN859" t="s">
        <v>234</v>
      </c>
      <c r="CP859">
        <v>406</v>
      </c>
      <c r="CQ859">
        <v>286</v>
      </c>
      <c r="CR859">
        <v>273</v>
      </c>
      <c r="CS859" t="s">
        <v>1752</v>
      </c>
      <c r="CV859" t="s">
        <v>341</v>
      </c>
      <c r="CX859" t="s">
        <v>342</v>
      </c>
      <c r="CY859" t="s">
        <v>169</v>
      </c>
      <c r="DC859" t="s">
        <v>2409</v>
      </c>
      <c r="DD859">
        <v>2</v>
      </c>
      <c r="DE859" t="s">
        <v>404</v>
      </c>
      <c r="DF859" t="s">
        <v>1860</v>
      </c>
      <c r="DG859">
        <v>264</v>
      </c>
      <c r="DL859" t="s">
        <v>170</v>
      </c>
      <c r="DM859" t="s">
        <v>169</v>
      </c>
      <c r="DP859" t="s">
        <v>170</v>
      </c>
      <c r="DQ859" t="s">
        <v>187</v>
      </c>
      <c r="DR859" t="s">
        <v>2413</v>
      </c>
      <c r="EB859">
        <v>9</v>
      </c>
      <c r="EC859">
        <v>10</v>
      </c>
      <c r="EE859" t="s">
        <v>2411</v>
      </c>
      <c r="EF859">
        <v>10</v>
      </c>
      <c r="EU859">
        <v>4250</v>
      </c>
      <c r="EW859">
        <v>0</v>
      </c>
      <c r="EX859">
        <v>0</v>
      </c>
      <c r="EY859">
        <v>0</v>
      </c>
      <c r="FA859">
        <v>12</v>
      </c>
      <c r="FG859">
        <v>310</v>
      </c>
      <c r="FH859">
        <v>264</v>
      </c>
      <c r="FI859">
        <v>289</v>
      </c>
    </row>
    <row r="860" spans="1:165" x14ac:dyDescent="0.35">
      <c r="A860" s="25"/>
      <c r="B860" s="25"/>
      <c r="C860" s="25"/>
      <c r="D860" s="25"/>
      <c r="E860" s="25"/>
      <c r="F860" s="25" t="str">
        <f>_xlfn.CONCAT($A861," ",$B861," ",$D861)</f>
        <v>2025 Rolls-Royce Spectre (22'' Wheels)</v>
      </c>
      <c r="G860" s="25"/>
      <c r="H860" s="25"/>
      <c r="I860" s="25"/>
      <c r="J860" s="25"/>
      <c r="K860" s="25"/>
      <c r="L860" s="25"/>
      <c r="M860" s="25"/>
      <c r="N860" s="25"/>
      <c r="O860" s="25"/>
      <c r="P860" s="25"/>
      <c r="Q860" s="25"/>
      <c r="R860" s="25"/>
      <c r="S860" s="25"/>
      <c r="T860" s="25"/>
      <c r="U860" s="25"/>
      <c r="V860" s="25"/>
      <c r="W860" s="25"/>
      <c r="X860" s="25"/>
      <c r="Y860" s="25"/>
      <c r="Z860" s="25"/>
      <c r="AA860" s="25"/>
      <c r="AB860" s="25"/>
      <c r="AC860" s="25"/>
      <c r="AD860" s="25" t="str">
        <f>_xlfn.CONCAT($A861," ",$B861," ",$D861)</f>
        <v>2025 Rolls-Royce Spectre (22'' Wheels)</v>
      </c>
      <c r="AE860" s="25"/>
      <c r="AF860" s="25"/>
      <c r="AG860" s="25"/>
      <c r="AH860" s="25"/>
      <c r="AI860" s="25"/>
      <c r="AJ860" s="25"/>
      <c r="AK860" s="25"/>
      <c r="AL860" s="25"/>
      <c r="AM860" s="25"/>
      <c r="AN860" s="25"/>
      <c r="AO860" s="25"/>
      <c r="AP860" s="25"/>
      <c r="AQ860" s="25"/>
      <c r="AR860" s="25"/>
      <c r="AS860" s="25"/>
      <c r="AT860" s="25"/>
      <c r="AU860" s="25"/>
      <c r="AV860" s="25"/>
      <c r="AW860" s="25"/>
      <c r="AX860" s="25" t="str">
        <f>_xlfn.CONCAT($A861," ",$B861," ",$D861)</f>
        <v>2025 Rolls-Royce Spectre (22'' Wheels)</v>
      </c>
      <c r="AY860" s="25"/>
      <c r="AZ860" s="25"/>
      <c r="BA860" s="25"/>
      <c r="BB860" s="25"/>
      <c r="BC860" s="25"/>
      <c r="BD860" s="25"/>
      <c r="BE860" s="25"/>
      <c r="BF860" s="25"/>
      <c r="BG860" s="25"/>
      <c r="BH860" s="25"/>
      <c r="BI860" s="25"/>
      <c r="BJ860" s="25"/>
      <c r="BK860" s="25"/>
      <c r="BL860" s="25"/>
      <c r="BM860" s="25"/>
      <c r="BN860" s="25"/>
      <c r="BO860" s="25"/>
      <c r="BP860" s="25"/>
      <c r="BQ860" s="25"/>
      <c r="BR860" s="25" t="str">
        <f>_xlfn.CONCAT($A861," ",$B861," ",$D861)</f>
        <v>2025 Rolls-Royce Spectre (22'' Wheels)</v>
      </c>
      <c r="BS860" s="25"/>
      <c r="BT860" s="25"/>
      <c r="BU860" s="25"/>
      <c r="BV860" s="25"/>
      <c r="BX860" s="25"/>
      <c r="BY860" s="25"/>
      <c r="BZ860" s="25"/>
      <c r="CA860" s="25"/>
      <c r="CB860" s="25"/>
      <c r="CC860" s="25"/>
      <c r="CD860" s="25"/>
      <c r="CE860" s="25"/>
      <c r="CF860" s="25"/>
      <c r="CG860" s="25"/>
      <c r="CH860" s="25"/>
      <c r="CI860" s="25"/>
      <c r="CJ860" s="25"/>
      <c r="CK860" s="25"/>
      <c r="CL860" s="25"/>
      <c r="CM860" s="25"/>
      <c r="CN860" s="25"/>
      <c r="CO860" s="25"/>
      <c r="CP860" s="25" t="str">
        <f>_xlfn.CONCAT($A861," ",$B861," ",$D861)</f>
        <v>2025 Rolls-Royce Spectre (22'' Wheels)</v>
      </c>
      <c r="CQ860" s="25"/>
      <c r="CR860" s="25"/>
      <c r="CS860" s="25"/>
      <c r="CT860" s="25"/>
      <c r="CU860" s="25"/>
      <c r="CV860" s="25"/>
      <c r="CW860" s="25"/>
      <c r="CX860" s="25"/>
      <c r="CY860" s="25"/>
      <c r="CZ860" s="25"/>
      <c r="DA860" s="25"/>
      <c r="DB860" s="25"/>
      <c r="DC860" s="25"/>
      <c r="DD860" s="25"/>
      <c r="DE860" s="25"/>
      <c r="DF860" s="25"/>
      <c r="DG860" s="25"/>
      <c r="DH860" s="25"/>
      <c r="DI860" s="25" t="str">
        <f>_xlfn.CONCAT($A861," ",$B861," ",$D861)</f>
        <v>2025 Rolls-Royce Spectre (22'' Wheels)</v>
      </c>
      <c r="DJ860" s="25"/>
      <c r="DK860" s="25"/>
      <c r="DL860" s="25"/>
      <c r="DM860" s="25"/>
      <c r="DN860" s="25"/>
      <c r="DO860" s="25"/>
      <c r="DP860" s="25"/>
      <c r="DQ860" s="25"/>
      <c r="DR860" s="25"/>
      <c r="DS860" s="25"/>
      <c r="DT860" s="25"/>
      <c r="DU860" s="25"/>
      <c r="DV860" s="25"/>
      <c r="DW860" s="25"/>
      <c r="DX860" s="25"/>
      <c r="DY860" s="25"/>
      <c r="DZ860" s="25" t="str">
        <f>_xlfn.CONCAT($A861," ",$B861," ",$D861)</f>
        <v>2025 Rolls-Royce Spectre (22'' Wheels)</v>
      </c>
      <c r="EB860" s="25"/>
      <c r="EC860" s="25"/>
      <c r="ED860" s="25"/>
      <c r="EE860" s="25"/>
      <c r="EF860" s="25"/>
      <c r="EG860" s="25"/>
      <c r="EH860" s="25"/>
      <c r="EI860" s="25"/>
      <c r="EJ860" s="25"/>
      <c r="EK860" s="25"/>
      <c r="EL860" s="25"/>
      <c r="EM860" s="25"/>
      <c r="EN860" s="25"/>
      <c r="EO860" s="25"/>
      <c r="EP860" s="25"/>
      <c r="EQ860" s="25"/>
      <c r="ER860" s="25"/>
      <c r="ES860" s="25"/>
      <c r="ET860" s="25"/>
      <c r="EU860" s="25"/>
      <c r="EV860" s="25" t="str">
        <f>_xlfn.CONCAT($A861," ",$B861," ",$D861)</f>
        <v>2025 Rolls-Royce Spectre (22'' Wheels)</v>
      </c>
      <c r="EW860" s="25"/>
      <c r="EX860" s="25"/>
      <c r="EY860" s="25"/>
      <c r="EZ860" s="25"/>
      <c r="FA860" s="25"/>
      <c r="FB860" s="25"/>
      <c r="FC860" s="25"/>
      <c r="FD860" s="25"/>
      <c r="FE860" s="25"/>
      <c r="FF860" s="25"/>
      <c r="FG860" s="25"/>
    </row>
    <row r="861" spans="1:165" x14ac:dyDescent="0.35">
      <c r="A861">
        <v>2025</v>
      </c>
      <c r="B861" t="s">
        <v>885</v>
      </c>
      <c r="C861" t="s">
        <v>886</v>
      </c>
      <c r="D861" t="s">
        <v>2298</v>
      </c>
      <c r="E861" t="s">
        <v>888</v>
      </c>
      <c r="F861">
        <v>17</v>
      </c>
      <c r="G861">
        <v>0</v>
      </c>
      <c r="I861" t="s">
        <v>1734</v>
      </c>
      <c r="J861">
        <v>74</v>
      </c>
      <c r="K861">
        <v>82</v>
      </c>
      <c r="L861">
        <v>77</v>
      </c>
      <c r="M861">
        <v>105.2</v>
      </c>
      <c r="N861">
        <v>117.3</v>
      </c>
      <c r="O861">
        <v>110.321</v>
      </c>
      <c r="P861">
        <v>73.64</v>
      </c>
      <c r="Q861">
        <v>82.11</v>
      </c>
      <c r="R861">
        <v>77.224699999999999</v>
      </c>
      <c r="V861" t="s">
        <v>167</v>
      </c>
      <c r="W861" t="s">
        <v>168</v>
      </c>
      <c r="Y861">
        <v>1</v>
      </c>
      <c r="Z861" t="s">
        <v>170</v>
      </c>
      <c r="AA861" t="s">
        <v>170</v>
      </c>
      <c r="AB861" t="s">
        <v>167</v>
      </c>
      <c r="AC861" t="s">
        <v>213</v>
      </c>
      <c r="AF861">
        <v>277</v>
      </c>
      <c r="AG861" t="s">
        <v>1735</v>
      </c>
      <c r="AH861" t="s">
        <v>1736</v>
      </c>
      <c r="AI861" t="s">
        <v>175</v>
      </c>
      <c r="AJ861" t="s">
        <v>176</v>
      </c>
      <c r="AK861" t="s">
        <v>170</v>
      </c>
      <c r="AL861" t="s">
        <v>177</v>
      </c>
      <c r="AM861">
        <v>94</v>
      </c>
      <c r="AN861">
        <v>10</v>
      </c>
      <c r="AS861">
        <v>1050</v>
      </c>
      <c r="AT861">
        <v>1050</v>
      </c>
      <c r="BQ861">
        <v>4</v>
      </c>
      <c r="BR861" t="s">
        <v>521</v>
      </c>
      <c r="BS861" t="s">
        <v>180</v>
      </c>
      <c r="BT861" t="s">
        <v>1769</v>
      </c>
      <c r="BU861" s="1">
        <v>45505</v>
      </c>
      <c r="BV861">
        <v>35047</v>
      </c>
      <c r="BX861" t="s">
        <v>170</v>
      </c>
      <c r="BY861" t="s">
        <v>170</v>
      </c>
      <c r="CB861" t="s">
        <v>170</v>
      </c>
      <c r="CC861" t="s">
        <v>170</v>
      </c>
      <c r="CK861" t="s">
        <v>233</v>
      </c>
      <c r="CM861">
        <v>9</v>
      </c>
      <c r="CN861" t="s">
        <v>234</v>
      </c>
      <c r="CP861">
        <v>376</v>
      </c>
      <c r="CQ861">
        <v>280.8</v>
      </c>
      <c r="CR861">
        <v>154</v>
      </c>
      <c r="CS861" t="s">
        <v>235</v>
      </c>
      <c r="CV861" t="s">
        <v>341</v>
      </c>
      <c r="CX861" t="s">
        <v>342</v>
      </c>
      <c r="CY861" t="s">
        <v>170</v>
      </c>
      <c r="DC861" t="s">
        <v>1820</v>
      </c>
      <c r="DD861">
        <v>2</v>
      </c>
      <c r="DE861" t="s">
        <v>404</v>
      </c>
      <c r="DF861" t="s">
        <v>405</v>
      </c>
      <c r="DG861" t="s">
        <v>1826</v>
      </c>
      <c r="DL861" t="s">
        <v>170</v>
      </c>
      <c r="DM861" t="s">
        <v>169</v>
      </c>
      <c r="DP861" t="s">
        <v>170</v>
      </c>
      <c r="DQ861" t="s">
        <v>187</v>
      </c>
      <c r="EB861">
        <v>9</v>
      </c>
      <c r="EC861">
        <v>10</v>
      </c>
      <c r="EE861" t="s">
        <v>2296</v>
      </c>
      <c r="EF861">
        <v>10</v>
      </c>
      <c r="EU861">
        <v>4250</v>
      </c>
      <c r="EW861">
        <v>0</v>
      </c>
      <c r="EX861">
        <v>0</v>
      </c>
      <c r="EY861">
        <v>0</v>
      </c>
      <c r="FA861">
        <v>12</v>
      </c>
      <c r="FG861">
        <v>263</v>
      </c>
      <c r="FH861">
        <v>294</v>
      </c>
      <c r="FI861">
        <v>277</v>
      </c>
    </row>
    <row r="862" spans="1:165" x14ac:dyDescent="0.35">
      <c r="A862">
        <v>2025</v>
      </c>
      <c r="B862" t="s">
        <v>885</v>
      </c>
      <c r="C862" t="s">
        <v>886</v>
      </c>
      <c r="D862" t="s">
        <v>2298</v>
      </c>
      <c r="E862" t="s">
        <v>888</v>
      </c>
      <c r="F862">
        <v>17</v>
      </c>
      <c r="G862">
        <v>0</v>
      </c>
      <c r="I862" t="s">
        <v>1734</v>
      </c>
      <c r="J862">
        <v>46</v>
      </c>
      <c r="K862">
        <v>41</v>
      </c>
      <c r="L862">
        <v>44</v>
      </c>
      <c r="M862">
        <v>32.035499999999999</v>
      </c>
      <c r="N862">
        <v>28.722000000000001</v>
      </c>
      <c r="O862">
        <v>30.5444</v>
      </c>
      <c r="P862">
        <v>45.77</v>
      </c>
      <c r="Q862">
        <v>41.0486</v>
      </c>
      <c r="R862">
        <v>43.645400000000002</v>
      </c>
      <c r="V862" t="s">
        <v>167</v>
      </c>
      <c r="W862" t="s">
        <v>168</v>
      </c>
      <c r="Y862">
        <v>1</v>
      </c>
      <c r="Z862" t="s">
        <v>170</v>
      </c>
      <c r="AA862" t="s">
        <v>170</v>
      </c>
      <c r="AB862" t="s">
        <v>167</v>
      </c>
      <c r="AC862" t="s">
        <v>213</v>
      </c>
      <c r="AF862">
        <v>277</v>
      </c>
      <c r="AG862" t="s">
        <v>1735</v>
      </c>
      <c r="AH862" t="s">
        <v>1736</v>
      </c>
      <c r="AI862" t="s">
        <v>1742</v>
      </c>
      <c r="AJ862" t="s">
        <v>1743</v>
      </c>
      <c r="AK862" t="s">
        <v>170</v>
      </c>
      <c r="AL862" t="s">
        <v>177</v>
      </c>
      <c r="AM862">
        <v>94</v>
      </c>
      <c r="AN862">
        <v>10</v>
      </c>
      <c r="AS862">
        <v>1050</v>
      </c>
      <c r="AT862">
        <v>1050</v>
      </c>
      <c r="BQ862">
        <v>4</v>
      </c>
      <c r="BR862" t="s">
        <v>521</v>
      </c>
      <c r="BS862" t="s">
        <v>180</v>
      </c>
      <c r="BT862" t="s">
        <v>1769</v>
      </c>
      <c r="BU862" s="1">
        <v>45505</v>
      </c>
      <c r="BV862">
        <v>35047</v>
      </c>
      <c r="BX862" t="s">
        <v>170</v>
      </c>
      <c r="BY862" t="s">
        <v>170</v>
      </c>
      <c r="CB862" t="s">
        <v>170</v>
      </c>
      <c r="CC862" t="s">
        <v>170</v>
      </c>
      <c r="CK862" t="s">
        <v>233</v>
      </c>
      <c r="CM862">
        <v>9</v>
      </c>
      <c r="CN862" t="s">
        <v>234</v>
      </c>
      <c r="CP862">
        <v>376</v>
      </c>
      <c r="CQ862">
        <v>280.8</v>
      </c>
      <c r="CR862">
        <v>154</v>
      </c>
      <c r="CS862" t="s">
        <v>235</v>
      </c>
      <c r="CV862" t="s">
        <v>341</v>
      </c>
      <c r="CX862" t="s">
        <v>342</v>
      </c>
      <c r="CY862" t="s">
        <v>170</v>
      </c>
      <c r="DC862" t="s">
        <v>1820</v>
      </c>
      <c r="DD862">
        <v>2</v>
      </c>
      <c r="DE862" t="s">
        <v>404</v>
      </c>
      <c r="DF862" t="s">
        <v>405</v>
      </c>
      <c r="DG862" t="s">
        <v>1826</v>
      </c>
      <c r="DL862" t="s">
        <v>170</v>
      </c>
      <c r="DM862" t="s">
        <v>169</v>
      </c>
      <c r="DP862" t="s">
        <v>170</v>
      </c>
      <c r="DQ862" t="s">
        <v>187</v>
      </c>
      <c r="EB862">
        <v>9</v>
      </c>
      <c r="EC862">
        <v>10</v>
      </c>
      <c r="EE862" t="s">
        <v>2296</v>
      </c>
      <c r="EF862">
        <v>10</v>
      </c>
      <c r="EU862">
        <v>4250</v>
      </c>
      <c r="EW862">
        <v>0</v>
      </c>
      <c r="EX862">
        <v>0</v>
      </c>
      <c r="EY862">
        <v>0</v>
      </c>
      <c r="FA862">
        <v>12</v>
      </c>
      <c r="FG862">
        <v>263</v>
      </c>
      <c r="FH862">
        <v>294</v>
      </c>
      <c r="FI862">
        <v>277</v>
      </c>
    </row>
    <row r="863" spans="1:165" x14ac:dyDescent="0.35">
      <c r="A863" s="25"/>
      <c r="B863" s="25"/>
      <c r="C863" s="25"/>
      <c r="D863" s="25"/>
      <c r="E863" s="25"/>
      <c r="F863" s="25" t="str">
        <f>_xlfn.CONCAT($A864," ",$B864," ",$D864)</f>
        <v>2025 Rolls-Royce Spectre (23'' Wheels)</v>
      </c>
      <c r="G863" s="25"/>
      <c r="H863" s="25"/>
      <c r="I863" s="25"/>
      <c r="J863" s="25"/>
      <c r="K863" s="25"/>
      <c r="L863" s="25"/>
      <c r="M863" s="25"/>
      <c r="N863" s="25"/>
      <c r="O863" s="25"/>
      <c r="P863" s="25"/>
      <c r="Q863" s="25"/>
      <c r="R863" s="25"/>
      <c r="S863" s="25"/>
      <c r="T863" s="25"/>
      <c r="U863" s="25"/>
      <c r="V863" s="25"/>
      <c r="W863" s="25"/>
      <c r="X863" s="25"/>
      <c r="Y863" s="25"/>
      <c r="Z863" s="25"/>
      <c r="AA863" s="25"/>
      <c r="AB863" s="25"/>
      <c r="AC863" s="25"/>
      <c r="AD863" s="25" t="str">
        <f>_xlfn.CONCAT($A864," ",$B864," ",$D864)</f>
        <v>2025 Rolls-Royce Spectre (23'' Wheels)</v>
      </c>
      <c r="AE863" s="25"/>
      <c r="AF863" s="25"/>
      <c r="AG863" s="25"/>
      <c r="AH863" s="25"/>
      <c r="AI863" s="25"/>
      <c r="AJ863" s="25"/>
      <c r="AK863" s="25"/>
      <c r="AL863" s="25"/>
      <c r="AM863" s="25"/>
      <c r="AN863" s="25"/>
      <c r="AO863" s="25"/>
      <c r="AP863" s="25"/>
      <c r="AQ863" s="25"/>
      <c r="AR863" s="25"/>
      <c r="AS863" s="25"/>
      <c r="AT863" s="25"/>
      <c r="AU863" s="25"/>
      <c r="AV863" s="25"/>
      <c r="AW863" s="25"/>
      <c r="AX863" s="25" t="str">
        <f>_xlfn.CONCAT($A864," ",$B864," ",$D864)</f>
        <v>2025 Rolls-Royce Spectre (23'' Wheels)</v>
      </c>
      <c r="AY863" s="25"/>
      <c r="AZ863" s="25"/>
      <c r="BA863" s="25"/>
      <c r="BB863" s="25"/>
      <c r="BC863" s="25"/>
      <c r="BD863" s="25"/>
      <c r="BE863" s="25"/>
      <c r="BF863" s="25"/>
      <c r="BG863" s="25"/>
      <c r="BH863" s="25"/>
      <c r="BI863" s="25"/>
      <c r="BJ863" s="25"/>
      <c r="BK863" s="25"/>
      <c r="BL863" s="25"/>
      <c r="BM863" s="25"/>
      <c r="BN863" s="25"/>
      <c r="BO863" s="25"/>
      <c r="BP863" s="25"/>
      <c r="BQ863" s="25"/>
      <c r="BR863" s="25" t="str">
        <f>_xlfn.CONCAT($A864," ",$B864," ",$D864)</f>
        <v>2025 Rolls-Royce Spectre (23'' Wheels)</v>
      </c>
      <c r="BS863" s="25"/>
      <c r="BT863" s="25"/>
      <c r="BU863" s="25"/>
      <c r="BV863" s="25"/>
      <c r="BX863" s="25"/>
      <c r="BY863" s="25"/>
      <c r="BZ863" s="25"/>
      <c r="CA863" s="25"/>
      <c r="CB863" s="25"/>
      <c r="CC863" s="25"/>
      <c r="CD863" s="25"/>
      <c r="CE863" s="25"/>
      <c r="CF863" s="25"/>
      <c r="CG863" s="25"/>
      <c r="CH863" s="25"/>
      <c r="CI863" s="25"/>
      <c r="CJ863" s="25"/>
      <c r="CK863" s="25"/>
      <c r="CL863" s="25"/>
      <c r="CM863" s="25"/>
      <c r="CN863" s="25"/>
      <c r="CO863" s="25"/>
      <c r="CP863" s="25" t="str">
        <f>_xlfn.CONCAT($A864," ",$B864," ",$D864)</f>
        <v>2025 Rolls-Royce Spectre (23'' Wheels)</v>
      </c>
      <c r="CQ863" s="25"/>
      <c r="CR863" s="25"/>
      <c r="CS863" s="25"/>
      <c r="CT863" s="25"/>
      <c r="CU863" s="25"/>
      <c r="CV863" s="25"/>
      <c r="CW863" s="25"/>
      <c r="CX863" s="25"/>
      <c r="CY863" s="25"/>
      <c r="CZ863" s="25"/>
      <c r="DA863" s="25"/>
      <c r="DB863" s="25"/>
      <c r="DC863" s="25"/>
      <c r="DD863" s="25"/>
      <c r="DE863" s="25"/>
      <c r="DF863" s="25"/>
      <c r="DG863" s="25"/>
      <c r="DH863" s="25"/>
      <c r="DI863" s="25" t="str">
        <f>_xlfn.CONCAT($A864," ",$B864," ",$D864)</f>
        <v>2025 Rolls-Royce Spectre (23'' Wheels)</v>
      </c>
      <c r="DJ863" s="25"/>
      <c r="DK863" s="25"/>
      <c r="DL863" s="25"/>
      <c r="DM863" s="25"/>
      <c r="DN863" s="25"/>
      <c r="DO863" s="25"/>
      <c r="DP863" s="25"/>
      <c r="DQ863" s="25"/>
      <c r="DR863" s="25"/>
      <c r="DS863" s="25"/>
      <c r="DT863" s="25"/>
      <c r="DU863" s="25"/>
      <c r="DV863" s="25"/>
      <c r="DW863" s="25"/>
      <c r="DX863" s="25"/>
      <c r="DY863" s="25"/>
      <c r="DZ863" s="25" t="str">
        <f>_xlfn.CONCAT($A864," ",$B864," ",$D864)</f>
        <v>2025 Rolls-Royce Spectre (23'' Wheels)</v>
      </c>
      <c r="EB863" s="25"/>
      <c r="EC863" s="25"/>
      <c r="ED863" s="25"/>
      <c r="EE863" s="25"/>
      <c r="EF863" s="25"/>
      <c r="EG863" s="25"/>
      <c r="EH863" s="25"/>
      <c r="EI863" s="25"/>
      <c r="EJ863" s="25"/>
      <c r="EK863" s="25"/>
      <c r="EL863" s="25"/>
      <c r="EM863" s="25"/>
      <c r="EN863" s="25"/>
      <c r="EO863" s="25"/>
      <c r="EP863" s="25"/>
      <c r="EQ863" s="25"/>
      <c r="ER863" s="25"/>
      <c r="ES863" s="25"/>
      <c r="ET863" s="25"/>
      <c r="EU863" s="25"/>
      <c r="EV863" s="25" t="str">
        <f>_xlfn.CONCAT($A864," ",$B864," ",$D864)</f>
        <v>2025 Rolls-Royce Spectre (23'' Wheels)</v>
      </c>
      <c r="EW863" s="25"/>
      <c r="EX863" s="25"/>
      <c r="EY863" s="25"/>
      <c r="EZ863" s="25"/>
      <c r="FA863" s="25"/>
      <c r="FB863" s="25"/>
      <c r="FC863" s="25"/>
      <c r="FD863" s="25"/>
      <c r="FE863" s="25"/>
      <c r="FF863" s="25"/>
      <c r="FG863" s="25"/>
    </row>
    <row r="864" spans="1:165" x14ac:dyDescent="0.35">
      <c r="A864">
        <v>2025</v>
      </c>
      <c r="B864" t="s">
        <v>885</v>
      </c>
      <c r="C864" t="s">
        <v>886</v>
      </c>
      <c r="D864" t="s">
        <v>2299</v>
      </c>
      <c r="E864" t="s">
        <v>888</v>
      </c>
      <c r="F864">
        <v>18</v>
      </c>
      <c r="G864">
        <v>0</v>
      </c>
      <c r="I864" t="s">
        <v>1734</v>
      </c>
      <c r="J864">
        <v>67</v>
      </c>
      <c r="K864">
        <v>75</v>
      </c>
      <c r="L864">
        <v>70</v>
      </c>
      <c r="M864">
        <v>95.8</v>
      </c>
      <c r="N864">
        <v>107.3</v>
      </c>
      <c r="O864">
        <v>100.6545</v>
      </c>
      <c r="P864">
        <v>67.06</v>
      </c>
      <c r="Q864">
        <v>75.11</v>
      </c>
      <c r="R864">
        <v>70.458200000000005</v>
      </c>
      <c r="V864" t="s">
        <v>167</v>
      </c>
      <c r="W864" t="s">
        <v>168</v>
      </c>
      <c r="Y864">
        <v>1</v>
      </c>
      <c r="Z864" t="s">
        <v>170</v>
      </c>
      <c r="AA864" t="s">
        <v>170</v>
      </c>
      <c r="AB864" t="s">
        <v>167</v>
      </c>
      <c r="AC864" t="s">
        <v>213</v>
      </c>
      <c r="AF864">
        <v>253</v>
      </c>
      <c r="AG864" t="s">
        <v>1735</v>
      </c>
      <c r="AH864" t="s">
        <v>1736</v>
      </c>
      <c r="AI864" t="s">
        <v>175</v>
      </c>
      <c r="AJ864" t="s">
        <v>176</v>
      </c>
      <c r="AK864" t="s">
        <v>170</v>
      </c>
      <c r="AL864" t="s">
        <v>177</v>
      </c>
      <c r="AM864">
        <v>94</v>
      </c>
      <c r="AN864">
        <v>10</v>
      </c>
      <c r="AS864">
        <v>1150</v>
      </c>
      <c r="AT864">
        <v>1150</v>
      </c>
      <c r="BQ864">
        <v>4</v>
      </c>
      <c r="BR864" t="s">
        <v>521</v>
      </c>
      <c r="BS864" t="s">
        <v>180</v>
      </c>
      <c r="BT864" t="s">
        <v>1769</v>
      </c>
      <c r="BU864" s="1">
        <v>45505</v>
      </c>
      <c r="BV864">
        <v>35048</v>
      </c>
      <c r="BX864" t="s">
        <v>170</v>
      </c>
      <c r="BY864" t="s">
        <v>170</v>
      </c>
      <c r="CB864" t="s">
        <v>170</v>
      </c>
      <c r="CC864" t="s">
        <v>170</v>
      </c>
      <c r="CK864" t="s">
        <v>233</v>
      </c>
      <c r="CM864">
        <v>9</v>
      </c>
      <c r="CN864" t="s">
        <v>234</v>
      </c>
      <c r="CP864">
        <v>376</v>
      </c>
      <c r="CQ864">
        <v>280.8</v>
      </c>
      <c r="CR864">
        <v>154</v>
      </c>
      <c r="CS864" t="s">
        <v>235</v>
      </c>
      <c r="CV864" t="s">
        <v>341</v>
      </c>
      <c r="CX864" t="s">
        <v>342</v>
      </c>
      <c r="CY864" t="s">
        <v>170</v>
      </c>
      <c r="DC864" t="s">
        <v>1820</v>
      </c>
      <c r="DD864">
        <v>2</v>
      </c>
      <c r="DE864" t="s">
        <v>404</v>
      </c>
      <c r="DF864" t="s">
        <v>405</v>
      </c>
      <c r="DG864" t="s">
        <v>1826</v>
      </c>
      <c r="DL864" t="s">
        <v>170</v>
      </c>
      <c r="DM864" t="s">
        <v>169</v>
      </c>
      <c r="DP864" t="s">
        <v>170</v>
      </c>
      <c r="DQ864" t="s">
        <v>187</v>
      </c>
      <c r="EB864">
        <v>9</v>
      </c>
      <c r="EC864">
        <v>10</v>
      </c>
      <c r="EE864" t="s">
        <v>2296</v>
      </c>
      <c r="EF864">
        <v>10</v>
      </c>
      <c r="EU864">
        <v>3750</v>
      </c>
      <c r="EW864">
        <v>0</v>
      </c>
      <c r="EX864">
        <v>0</v>
      </c>
      <c r="EY864">
        <v>0</v>
      </c>
      <c r="FA864">
        <v>12</v>
      </c>
      <c r="FG864">
        <v>240</v>
      </c>
      <c r="FH864">
        <v>269</v>
      </c>
      <c r="FI864">
        <v>253</v>
      </c>
    </row>
    <row r="865" spans="1:165" x14ac:dyDescent="0.35">
      <c r="A865">
        <v>2025</v>
      </c>
      <c r="B865" t="s">
        <v>885</v>
      </c>
      <c r="C865" t="s">
        <v>886</v>
      </c>
      <c r="D865" t="s">
        <v>2299</v>
      </c>
      <c r="E865" t="s">
        <v>888</v>
      </c>
      <c r="F865">
        <v>18</v>
      </c>
      <c r="G865">
        <v>0</v>
      </c>
      <c r="I865" t="s">
        <v>1734</v>
      </c>
      <c r="J865">
        <v>50</v>
      </c>
      <c r="K865">
        <v>45</v>
      </c>
      <c r="L865">
        <v>48</v>
      </c>
      <c r="M865">
        <v>35.187100000000001</v>
      </c>
      <c r="N865">
        <v>31.424199999999999</v>
      </c>
      <c r="O865">
        <v>33.4938</v>
      </c>
      <c r="P865">
        <v>50.261000000000003</v>
      </c>
      <c r="Q865">
        <v>44.874200000000002</v>
      </c>
      <c r="R865">
        <v>47.8369</v>
      </c>
      <c r="V865" t="s">
        <v>167</v>
      </c>
      <c r="W865" t="s">
        <v>168</v>
      </c>
      <c r="Y865">
        <v>1</v>
      </c>
      <c r="Z865" t="s">
        <v>170</v>
      </c>
      <c r="AA865" t="s">
        <v>170</v>
      </c>
      <c r="AB865" t="s">
        <v>167</v>
      </c>
      <c r="AC865" t="s">
        <v>213</v>
      </c>
      <c r="AF865">
        <v>253</v>
      </c>
      <c r="AG865" t="s">
        <v>1735</v>
      </c>
      <c r="AH865" t="s">
        <v>1736</v>
      </c>
      <c r="AI865" t="s">
        <v>1742</v>
      </c>
      <c r="AJ865" t="s">
        <v>1743</v>
      </c>
      <c r="AK865" t="s">
        <v>170</v>
      </c>
      <c r="AL865" t="s">
        <v>177</v>
      </c>
      <c r="AM865">
        <v>94</v>
      </c>
      <c r="AN865">
        <v>10</v>
      </c>
      <c r="AS865">
        <v>1150</v>
      </c>
      <c r="AT865">
        <v>1150</v>
      </c>
      <c r="BQ865">
        <v>4</v>
      </c>
      <c r="BR865" t="s">
        <v>521</v>
      </c>
      <c r="BS865" t="s">
        <v>180</v>
      </c>
      <c r="BT865" t="s">
        <v>1769</v>
      </c>
      <c r="BU865" s="1">
        <v>45505</v>
      </c>
      <c r="BV865">
        <v>35048</v>
      </c>
      <c r="BX865" t="s">
        <v>170</v>
      </c>
      <c r="BY865" t="s">
        <v>170</v>
      </c>
      <c r="CB865" t="s">
        <v>170</v>
      </c>
      <c r="CC865" t="s">
        <v>170</v>
      </c>
      <c r="CK865" t="s">
        <v>233</v>
      </c>
      <c r="CM865">
        <v>9</v>
      </c>
      <c r="CN865" t="s">
        <v>234</v>
      </c>
      <c r="CP865">
        <v>376</v>
      </c>
      <c r="CQ865">
        <v>280.8</v>
      </c>
      <c r="CR865">
        <v>154</v>
      </c>
      <c r="CS865" t="s">
        <v>235</v>
      </c>
      <c r="CV865" t="s">
        <v>341</v>
      </c>
      <c r="CX865" t="s">
        <v>342</v>
      </c>
      <c r="CY865" t="s">
        <v>170</v>
      </c>
      <c r="DC865" t="s">
        <v>1820</v>
      </c>
      <c r="DD865">
        <v>2</v>
      </c>
      <c r="DE865" t="s">
        <v>404</v>
      </c>
      <c r="DF865" t="s">
        <v>405</v>
      </c>
      <c r="DG865" t="s">
        <v>1826</v>
      </c>
      <c r="DL865" t="s">
        <v>170</v>
      </c>
      <c r="DM865" t="s">
        <v>169</v>
      </c>
      <c r="DP865" t="s">
        <v>170</v>
      </c>
      <c r="DQ865" t="s">
        <v>187</v>
      </c>
      <c r="EB865">
        <v>9</v>
      </c>
      <c r="EC865">
        <v>10</v>
      </c>
      <c r="EE865" t="s">
        <v>2296</v>
      </c>
      <c r="EF865">
        <v>10</v>
      </c>
      <c r="EU865">
        <v>3750</v>
      </c>
      <c r="EW865">
        <v>0</v>
      </c>
      <c r="EX865">
        <v>0</v>
      </c>
      <c r="EY865">
        <v>0</v>
      </c>
      <c r="FA865">
        <v>12</v>
      </c>
      <c r="FG865">
        <v>240</v>
      </c>
      <c r="FH865">
        <v>269</v>
      </c>
      <c r="FI865">
        <v>253</v>
      </c>
    </row>
    <row r="866" spans="1:165" x14ac:dyDescent="0.35">
      <c r="A866" s="25"/>
      <c r="B866" s="25"/>
      <c r="C866" s="25"/>
      <c r="D866" s="25"/>
      <c r="E866" s="25"/>
      <c r="F866" s="25" t="str">
        <f>_xlfn.CONCAT($A867," ",$B867," ",$D867)</f>
        <v>2025 Rolls-Royce Black Badge Spectre (22'' Wheels)</v>
      </c>
      <c r="G866" s="25"/>
      <c r="H866" s="25"/>
      <c r="I866" s="25"/>
      <c r="J866" s="25"/>
      <c r="K866" s="25"/>
      <c r="L866" s="25"/>
      <c r="M866" s="25"/>
      <c r="N866" s="25"/>
      <c r="O866" s="25"/>
      <c r="P866" s="25"/>
      <c r="Q866" s="25"/>
      <c r="R866" s="25"/>
      <c r="S866" s="25"/>
      <c r="T866" s="25"/>
      <c r="U866" s="25"/>
      <c r="V866" s="25"/>
      <c r="W866" s="25"/>
      <c r="X866" s="25"/>
      <c r="Y866" s="25"/>
      <c r="Z866" s="25"/>
      <c r="AA866" s="25"/>
      <c r="AB866" s="25"/>
      <c r="AC866" s="25"/>
      <c r="AD866" s="25" t="str">
        <f>_xlfn.CONCAT($A867," ",$B867," ",$D867)</f>
        <v>2025 Rolls-Royce Black Badge Spectre (22'' Wheels)</v>
      </c>
      <c r="AE866" s="25"/>
      <c r="AF866" s="25"/>
      <c r="AG866" s="25"/>
      <c r="AH866" s="25"/>
      <c r="AI866" s="25"/>
      <c r="AJ866" s="25"/>
      <c r="AK866" s="25"/>
      <c r="AL866" s="25"/>
      <c r="AM866" s="25"/>
      <c r="AN866" s="25"/>
      <c r="AO866" s="25"/>
      <c r="AP866" s="25"/>
      <c r="AQ866" s="25"/>
      <c r="AR866" s="25"/>
      <c r="AS866" s="25"/>
      <c r="AT866" s="25"/>
      <c r="AU866" s="25"/>
      <c r="AV866" s="25"/>
      <c r="AW866" s="25"/>
      <c r="AX866" s="25" t="str">
        <f>_xlfn.CONCAT($A867," ",$B867," ",$D867)</f>
        <v>2025 Rolls-Royce Black Badge Spectre (22'' Wheels)</v>
      </c>
      <c r="AY866" s="25"/>
      <c r="AZ866" s="25"/>
      <c r="BA866" s="25"/>
      <c r="BB866" s="25"/>
      <c r="BC866" s="25"/>
      <c r="BD866" s="25"/>
      <c r="BE866" s="25"/>
      <c r="BF866" s="25"/>
      <c r="BG866" s="25"/>
      <c r="BH866" s="25"/>
      <c r="BI866" s="25"/>
      <c r="BJ866" s="25"/>
      <c r="BK866" s="25"/>
      <c r="BL866" s="25"/>
      <c r="BM866" s="25"/>
      <c r="BN866" s="25"/>
      <c r="BO866" s="25"/>
      <c r="BP866" s="25"/>
      <c r="BQ866" s="25"/>
      <c r="BR866" s="25" t="str">
        <f>_xlfn.CONCAT($A867," ",$B867," ",$D867)</f>
        <v>2025 Rolls-Royce Black Badge Spectre (22'' Wheels)</v>
      </c>
      <c r="BS866" s="25"/>
      <c r="BT866" s="25"/>
      <c r="BU866" s="25"/>
      <c r="BV866" s="25"/>
      <c r="BX866" s="25"/>
      <c r="BY866" s="25"/>
      <c r="BZ866" s="25"/>
      <c r="CA866" s="25"/>
      <c r="CB866" s="25"/>
      <c r="CC866" s="25"/>
      <c r="CD866" s="25"/>
      <c r="CE866" s="25"/>
      <c r="CF866" s="25"/>
      <c r="CG866" s="25"/>
      <c r="CH866" s="25"/>
      <c r="CI866" s="25"/>
      <c r="CJ866" s="25"/>
      <c r="CK866" s="25"/>
      <c r="CL866" s="25"/>
      <c r="CM866" s="25"/>
      <c r="CN866" s="25"/>
      <c r="CO866" s="25"/>
      <c r="CP866" s="25" t="str">
        <f>_xlfn.CONCAT($A867," ",$B867," ",$D867)</f>
        <v>2025 Rolls-Royce Black Badge Spectre (22'' Wheels)</v>
      </c>
      <c r="CQ866" s="25"/>
      <c r="CR866" s="25"/>
      <c r="CS866" s="25"/>
      <c r="CT866" s="25"/>
      <c r="CU866" s="25"/>
      <c r="CV866" s="25"/>
      <c r="CW866" s="25"/>
      <c r="CX866" s="25"/>
      <c r="CY866" s="25"/>
      <c r="CZ866" s="25"/>
      <c r="DA866" s="25"/>
      <c r="DB866" s="25"/>
      <c r="DC866" s="25"/>
      <c r="DD866" s="25"/>
      <c r="DE866" s="25"/>
      <c r="DF866" s="25"/>
      <c r="DG866" s="25"/>
      <c r="DH866" s="25"/>
      <c r="DI866" s="25" t="str">
        <f>_xlfn.CONCAT($A867," ",$B867," ",$D867)</f>
        <v>2025 Rolls-Royce Black Badge Spectre (22'' Wheels)</v>
      </c>
      <c r="DJ866" s="25"/>
      <c r="DK866" s="25"/>
      <c r="DL866" s="25"/>
      <c r="DM866" s="25"/>
      <c r="DN866" s="25"/>
      <c r="DO866" s="25"/>
      <c r="DP866" s="25"/>
      <c r="DQ866" s="25"/>
      <c r="DR866" s="25"/>
      <c r="DS866" s="25"/>
      <c r="DT866" s="25"/>
      <c r="DU866" s="25"/>
      <c r="DV866" s="25"/>
      <c r="DW866" s="25"/>
      <c r="DX866" s="25"/>
      <c r="DY866" s="25"/>
      <c r="DZ866" s="25" t="str">
        <f>_xlfn.CONCAT($A867," ",$B867," ",$D867)</f>
        <v>2025 Rolls-Royce Black Badge Spectre (22'' Wheels)</v>
      </c>
      <c r="EB866" s="25"/>
      <c r="EC866" s="25"/>
      <c r="ED866" s="25"/>
      <c r="EE866" s="25"/>
      <c r="EF866" s="25"/>
      <c r="EG866" s="25"/>
      <c r="EH866" s="25"/>
      <c r="EI866" s="25"/>
      <c r="EJ866" s="25"/>
      <c r="EK866" s="25"/>
      <c r="EL866" s="25"/>
      <c r="EM866" s="25"/>
      <c r="EN866" s="25"/>
      <c r="EO866" s="25"/>
      <c r="EP866" s="25"/>
      <c r="EQ866" s="25"/>
      <c r="ER866" s="25"/>
      <c r="ES866" s="25"/>
      <c r="ET866" s="25"/>
      <c r="EU866" s="25"/>
      <c r="EV866" s="25" t="str">
        <f>_xlfn.CONCAT($A867," ",$B867," ",$D867)</f>
        <v>2025 Rolls-Royce Black Badge Spectre (22'' Wheels)</v>
      </c>
      <c r="EW866" s="25"/>
      <c r="EX866" s="25"/>
      <c r="EY866" s="25"/>
      <c r="EZ866" s="25"/>
      <c r="FA866" s="25"/>
      <c r="FB866" s="25"/>
      <c r="FC866" s="25"/>
      <c r="FD866" s="25"/>
      <c r="FE866" s="25"/>
      <c r="FF866" s="25"/>
      <c r="FG866" s="25"/>
    </row>
    <row r="867" spans="1:165" x14ac:dyDescent="0.35">
      <c r="A867">
        <v>2025</v>
      </c>
      <c r="B867" t="s">
        <v>885</v>
      </c>
      <c r="C867" t="s">
        <v>886</v>
      </c>
      <c r="D867" t="s">
        <v>2295</v>
      </c>
      <c r="E867" t="s">
        <v>888</v>
      </c>
      <c r="F867">
        <v>25</v>
      </c>
      <c r="G867">
        <v>0</v>
      </c>
      <c r="I867" t="s">
        <v>1734</v>
      </c>
      <c r="J867">
        <v>70</v>
      </c>
      <c r="K867">
        <v>80</v>
      </c>
      <c r="L867">
        <v>74</v>
      </c>
      <c r="M867">
        <v>100.3</v>
      </c>
      <c r="N867">
        <v>113.9</v>
      </c>
      <c r="O867">
        <v>105.9953</v>
      </c>
      <c r="P867">
        <v>70.209999999999994</v>
      </c>
      <c r="Q867">
        <v>79.73</v>
      </c>
      <c r="R867">
        <v>74.196700000000007</v>
      </c>
      <c r="V867" t="s">
        <v>167</v>
      </c>
      <c r="W867" t="s">
        <v>168</v>
      </c>
      <c r="Y867">
        <v>1</v>
      </c>
      <c r="Z867" t="s">
        <v>170</v>
      </c>
      <c r="AA867" t="s">
        <v>170</v>
      </c>
      <c r="AB867" t="s">
        <v>167</v>
      </c>
      <c r="AC867" t="s">
        <v>213</v>
      </c>
      <c r="AF867">
        <v>266</v>
      </c>
      <c r="AG867" t="s">
        <v>1735</v>
      </c>
      <c r="AH867" t="s">
        <v>1736</v>
      </c>
      <c r="AI867" t="s">
        <v>175</v>
      </c>
      <c r="AJ867" t="s">
        <v>176</v>
      </c>
      <c r="AK867" t="s">
        <v>170</v>
      </c>
      <c r="AL867" t="s">
        <v>177</v>
      </c>
      <c r="AM867">
        <v>94</v>
      </c>
      <c r="AN867">
        <v>10</v>
      </c>
      <c r="AS867">
        <v>1100</v>
      </c>
      <c r="AT867">
        <v>1100</v>
      </c>
      <c r="BQ867">
        <v>4</v>
      </c>
      <c r="BR867" t="s">
        <v>521</v>
      </c>
      <c r="BS867" t="s">
        <v>180</v>
      </c>
      <c r="BT867" t="s">
        <v>1769</v>
      </c>
      <c r="BU867" s="1">
        <v>45505</v>
      </c>
      <c r="BV867">
        <v>35049</v>
      </c>
      <c r="BX867" t="s">
        <v>169</v>
      </c>
      <c r="BY867" t="s">
        <v>170</v>
      </c>
      <c r="CB867" t="s">
        <v>170</v>
      </c>
      <c r="CC867" t="s">
        <v>170</v>
      </c>
      <c r="CK867" t="s">
        <v>233</v>
      </c>
      <c r="CM867">
        <v>9</v>
      </c>
      <c r="CN867" t="s">
        <v>234</v>
      </c>
      <c r="CP867">
        <v>376</v>
      </c>
      <c r="CQ867">
        <v>280.8</v>
      </c>
      <c r="CR867">
        <v>154</v>
      </c>
      <c r="CS867" t="s">
        <v>235</v>
      </c>
      <c r="CV867" t="s">
        <v>341</v>
      </c>
      <c r="CX867" t="s">
        <v>342</v>
      </c>
      <c r="CY867" t="s">
        <v>170</v>
      </c>
      <c r="DC867" t="s">
        <v>1820</v>
      </c>
      <c r="DD867">
        <v>2</v>
      </c>
      <c r="DE867" t="s">
        <v>404</v>
      </c>
      <c r="DF867" t="s">
        <v>405</v>
      </c>
      <c r="DG867" t="s">
        <v>1826</v>
      </c>
      <c r="DL867" t="s">
        <v>170</v>
      </c>
      <c r="DM867" t="s">
        <v>169</v>
      </c>
      <c r="DP867" t="s">
        <v>170</v>
      </c>
      <c r="DQ867" t="s">
        <v>187</v>
      </c>
      <c r="EB867">
        <v>9</v>
      </c>
      <c r="EC867">
        <v>10</v>
      </c>
      <c r="EE867" t="s">
        <v>2296</v>
      </c>
      <c r="EF867">
        <v>10</v>
      </c>
      <c r="EU867">
        <v>4000</v>
      </c>
      <c r="EW867">
        <v>0</v>
      </c>
      <c r="EX867">
        <v>0</v>
      </c>
      <c r="EY867">
        <v>0</v>
      </c>
      <c r="FA867">
        <v>12</v>
      </c>
      <c r="FG867">
        <v>251</v>
      </c>
      <c r="FH867">
        <v>285</v>
      </c>
      <c r="FI867">
        <v>266</v>
      </c>
    </row>
    <row r="868" spans="1:165" x14ac:dyDescent="0.35">
      <c r="A868">
        <v>2025</v>
      </c>
      <c r="B868" t="s">
        <v>885</v>
      </c>
      <c r="C868" t="s">
        <v>886</v>
      </c>
      <c r="D868" t="s">
        <v>2295</v>
      </c>
      <c r="E868" t="s">
        <v>888</v>
      </c>
      <c r="F868">
        <v>25</v>
      </c>
      <c r="G868">
        <v>0</v>
      </c>
      <c r="I868" t="s">
        <v>1734</v>
      </c>
      <c r="J868">
        <v>48</v>
      </c>
      <c r="K868">
        <v>42</v>
      </c>
      <c r="L868">
        <v>45</v>
      </c>
      <c r="M868">
        <v>33.602400000000003</v>
      </c>
      <c r="N868">
        <v>29.600200000000001</v>
      </c>
      <c r="O868">
        <v>31.801400000000001</v>
      </c>
      <c r="P868">
        <v>48.006</v>
      </c>
      <c r="Q868">
        <v>42.273899999999998</v>
      </c>
      <c r="R868">
        <v>45.426499999999997</v>
      </c>
      <c r="V868" t="s">
        <v>167</v>
      </c>
      <c r="W868" t="s">
        <v>168</v>
      </c>
      <c r="Y868">
        <v>1</v>
      </c>
      <c r="Z868" t="s">
        <v>170</v>
      </c>
      <c r="AA868" t="s">
        <v>170</v>
      </c>
      <c r="AB868" t="s">
        <v>167</v>
      </c>
      <c r="AC868" t="s">
        <v>213</v>
      </c>
      <c r="AF868">
        <v>266</v>
      </c>
      <c r="AG868" t="s">
        <v>1735</v>
      </c>
      <c r="AH868" t="s">
        <v>1736</v>
      </c>
      <c r="AI868" t="s">
        <v>1742</v>
      </c>
      <c r="AJ868" t="s">
        <v>1743</v>
      </c>
      <c r="AK868" t="s">
        <v>170</v>
      </c>
      <c r="AL868" t="s">
        <v>177</v>
      </c>
      <c r="AM868">
        <v>94</v>
      </c>
      <c r="AN868">
        <v>10</v>
      </c>
      <c r="AS868">
        <v>1100</v>
      </c>
      <c r="AT868">
        <v>1100</v>
      </c>
      <c r="BQ868">
        <v>4</v>
      </c>
      <c r="BR868" t="s">
        <v>521</v>
      </c>
      <c r="BS868" t="s">
        <v>180</v>
      </c>
      <c r="BT868" t="s">
        <v>1769</v>
      </c>
      <c r="BU868" s="1">
        <v>45505</v>
      </c>
      <c r="BV868">
        <v>35049</v>
      </c>
      <c r="BX868" t="s">
        <v>169</v>
      </c>
      <c r="BY868" t="s">
        <v>170</v>
      </c>
      <c r="CB868" t="s">
        <v>170</v>
      </c>
      <c r="CC868" t="s">
        <v>170</v>
      </c>
      <c r="CK868" t="s">
        <v>233</v>
      </c>
      <c r="CM868">
        <v>9</v>
      </c>
      <c r="CN868" t="s">
        <v>234</v>
      </c>
      <c r="CP868">
        <v>376</v>
      </c>
      <c r="CQ868">
        <v>280.8</v>
      </c>
      <c r="CR868">
        <v>154</v>
      </c>
      <c r="CS868" t="s">
        <v>235</v>
      </c>
      <c r="CV868" t="s">
        <v>341</v>
      </c>
      <c r="CX868" t="s">
        <v>342</v>
      </c>
      <c r="CY868" t="s">
        <v>170</v>
      </c>
      <c r="DC868" t="s">
        <v>1820</v>
      </c>
      <c r="DD868">
        <v>2</v>
      </c>
      <c r="DE868" t="s">
        <v>404</v>
      </c>
      <c r="DF868" t="s">
        <v>405</v>
      </c>
      <c r="DG868" t="s">
        <v>1826</v>
      </c>
      <c r="DL868" t="s">
        <v>170</v>
      </c>
      <c r="DM868" t="s">
        <v>169</v>
      </c>
      <c r="DP868" t="s">
        <v>170</v>
      </c>
      <c r="DQ868" t="s">
        <v>187</v>
      </c>
      <c r="EB868">
        <v>9</v>
      </c>
      <c r="EC868">
        <v>10</v>
      </c>
      <c r="EE868" t="s">
        <v>2296</v>
      </c>
      <c r="EF868">
        <v>10</v>
      </c>
      <c r="EU868">
        <v>4000</v>
      </c>
      <c r="EW868">
        <v>0</v>
      </c>
      <c r="EX868">
        <v>0</v>
      </c>
      <c r="EY868">
        <v>0</v>
      </c>
      <c r="FA868">
        <v>12</v>
      </c>
      <c r="FG868">
        <v>251</v>
      </c>
      <c r="FH868">
        <v>285</v>
      </c>
      <c r="FI868">
        <v>266</v>
      </c>
    </row>
    <row r="869" spans="1:165" x14ac:dyDescent="0.35">
      <c r="A869" s="25"/>
      <c r="B869" s="25"/>
      <c r="C869" s="25"/>
      <c r="D869" s="25"/>
      <c r="E869" s="25"/>
      <c r="F869" s="25" t="str">
        <f>_xlfn.CONCAT($A870," ",$B870," ",$D870)</f>
        <v>2025 Rolls-Royce Black Badge Spectre (23'' Wheels)</v>
      </c>
      <c r="G869" s="25"/>
      <c r="H869" s="25"/>
      <c r="I869" s="25"/>
      <c r="J869" s="25"/>
      <c r="K869" s="25"/>
      <c r="L869" s="25"/>
      <c r="M869" s="25"/>
      <c r="N869" s="25"/>
      <c r="O869" s="25"/>
      <c r="P869" s="25"/>
      <c r="Q869" s="25"/>
      <c r="R869" s="25"/>
      <c r="S869" s="25"/>
      <c r="T869" s="25"/>
      <c r="U869" s="25"/>
      <c r="V869" s="25"/>
      <c r="W869" s="25"/>
      <c r="X869" s="25"/>
      <c r="Y869" s="25"/>
      <c r="Z869" s="25"/>
      <c r="AA869" s="25"/>
      <c r="AB869" s="25"/>
      <c r="AC869" s="25"/>
      <c r="AD869" s="25" t="str">
        <f>_xlfn.CONCAT($A870," ",$B870," ",$D870)</f>
        <v>2025 Rolls-Royce Black Badge Spectre (23'' Wheels)</v>
      </c>
      <c r="AE869" s="25"/>
      <c r="AF869" s="25"/>
      <c r="AG869" s="25"/>
      <c r="AH869" s="25"/>
      <c r="AI869" s="25"/>
      <c r="AJ869" s="25"/>
      <c r="AK869" s="25"/>
      <c r="AL869" s="25"/>
      <c r="AM869" s="25"/>
      <c r="AN869" s="25"/>
      <c r="AO869" s="25"/>
      <c r="AP869" s="25"/>
      <c r="AQ869" s="25"/>
      <c r="AR869" s="25"/>
      <c r="AS869" s="25"/>
      <c r="AT869" s="25"/>
      <c r="AU869" s="25"/>
      <c r="AV869" s="25"/>
      <c r="AW869" s="25"/>
      <c r="AX869" s="25" t="str">
        <f>_xlfn.CONCAT($A870," ",$B870," ",$D870)</f>
        <v>2025 Rolls-Royce Black Badge Spectre (23'' Wheels)</v>
      </c>
      <c r="AY869" s="25"/>
      <c r="AZ869" s="25"/>
      <c r="BA869" s="25"/>
      <c r="BB869" s="25"/>
      <c r="BC869" s="25"/>
      <c r="BD869" s="25"/>
      <c r="BE869" s="25"/>
      <c r="BF869" s="25"/>
      <c r="BG869" s="25"/>
      <c r="BH869" s="25"/>
      <c r="BI869" s="25"/>
      <c r="BJ869" s="25"/>
      <c r="BK869" s="25"/>
      <c r="BL869" s="25"/>
      <c r="BM869" s="25"/>
      <c r="BN869" s="25"/>
      <c r="BO869" s="25"/>
      <c r="BP869" s="25"/>
      <c r="BQ869" s="25"/>
      <c r="BR869" s="25" t="str">
        <f>_xlfn.CONCAT($A870," ",$B870," ",$D870)</f>
        <v>2025 Rolls-Royce Black Badge Spectre (23'' Wheels)</v>
      </c>
      <c r="BS869" s="25"/>
      <c r="BT869" s="25"/>
      <c r="BU869" s="25"/>
      <c r="BV869" s="25"/>
      <c r="BX869" s="25"/>
      <c r="BY869" s="25"/>
      <c r="BZ869" s="25"/>
      <c r="CA869" s="25"/>
      <c r="CB869" s="25"/>
      <c r="CC869" s="25"/>
      <c r="CD869" s="25"/>
      <c r="CE869" s="25"/>
      <c r="CF869" s="25"/>
      <c r="CG869" s="25"/>
      <c r="CH869" s="25"/>
      <c r="CI869" s="25"/>
      <c r="CJ869" s="25"/>
      <c r="CK869" s="25"/>
      <c r="CL869" s="25"/>
      <c r="CM869" s="25"/>
      <c r="CN869" s="25"/>
      <c r="CO869" s="25"/>
      <c r="CP869" s="25" t="str">
        <f>_xlfn.CONCAT($A870," ",$B870," ",$D870)</f>
        <v>2025 Rolls-Royce Black Badge Spectre (23'' Wheels)</v>
      </c>
      <c r="CQ869" s="25"/>
      <c r="CR869" s="25"/>
      <c r="CS869" s="25"/>
      <c r="CT869" s="25"/>
      <c r="CU869" s="25"/>
      <c r="CV869" s="25"/>
      <c r="CW869" s="25"/>
      <c r="CX869" s="25"/>
      <c r="CY869" s="25"/>
      <c r="CZ869" s="25"/>
      <c r="DA869" s="25"/>
      <c r="DB869" s="25"/>
      <c r="DC869" s="25"/>
      <c r="DD869" s="25"/>
      <c r="DE869" s="25"/>
      <c r="DF869" s="25"/>
      <c r="DG869" s="25"/>
      <c r="DH869" s="25"/>
      <c r="DI869" s="25" t="str">
        <f>_xlfn.CONCAT($A870," ",$B870," ",$D870)</f>
        <v>2025 Rolls-Royce Black Badge Spectre (23'' Wheels)</v>
      </c>
      <c r="DJ869" s="25"/>
      <c r="DK869" s="25"/>
      <c r="DL869" s="25"/>
      <c r="DM869" s="25"/>
      <c r="DN869" s="25"/>
      <c r="DO869" s="25"/>
      <c r="DP869" s="25"/>
      <c r="DQ869" s="25"/>
      <c r="DR869" s="25"/>
      <c r="DS869" s="25"/>
      <c r="DT869" s="25"/>
      <c r="DU869" s="25"/>
      <c r="DV869" s="25"/>
      <c r="DW869" s="25"/>
      <c r="DX869" s="25"/>
      <c r="DY869" s="25"/>
      <c r="DZ869" s="25" t="str">
        <f>_xlfn.CONCAT($A870," ",$B870," ",$D870)</f>
        <v>2025 Rolls-Royce Black Badge Spectre (23'' Wheels)</v>
      </c>
      <c r="EB869" s="25"/>
      <c r="EC869" s="25"/>
      <c r="ED869" s="25"/>
      <c r="EE869" s="25"/>
      <c r="EF869" s="25"/>
      <c r="EG869" s="25"/>
      <c r="EH869" s="25"/>
      <c r="EI869" s="25"/>
      <c r="EJ869" s="25"/>
      <c r="EK869" s="25"/>
      <c r="EL869" s="25"/>
      <c r="EM869" s="25"/>
      <c r="EN869" s="25"/>
      <c r="EO869" s="25"/>
      <c r="EP869" s="25"/>
      <c r="EQ869" s="25"/>
      <c r="ER869" s="25"/>
      <c r="ES869" s="25"/>
      <c r="ET869" s="25"/>
      <c r="EU869" s="25"/>
      <c r="EV869" s="25" t="str">
        <f>_xlfn.CONCAT($A870," ",$B870," ",$D870)</f>
        <v>2025 Rolls-Royce Black Badge Spectre (23'' Wheels)</v>
      </c>
      <c r="EW869" s="25"/>
      <c r="EX869" s="25"/>
      <c r="EY869" s="25"/>
      <c r="EZ869" s="25"/>
      <c r="FA869" s="25"/>
      <c r="FB869" s="25"/>
      <c r="FC869" s="25"/>
      <c r="FD869" s="25"/>
      <c r="FE869" s="25"/>
      <c r="FF869" s="25"/>
      <c r="FG869" s="25"/>
    </row>
    <row r="870" spans="1:165" x14ac:dyDescent="0.35">
      <c r="A870">
        <v>2025</v>
      </c>
      <c r="B870" t="s">
        <v>885</v>
      </c>
      <c r="C870" t="s">
        <v>886</v>
      </c>
      <c r="D870" t="s">
        <v>2297</v>
      </c>
      <c r="E870" t="s">
        <v>888</v>
      </c>
      <c r="F870">
        <v>26</v>
      </c>
      <c r="G870">
        <v>0</v>
      </c>
      <c r="I870" t="s">
        <v>1734</v>
      </c>
      <c r="J870">
        <v>67</v>
      </c>
      <c r="K870">
        <v>74</v>
      </c>
      <c r="L870">
        <v>70</v>
      </c>
      <c r="M870">
        <v>95.8</v>
      </c>
      <c r="N870">
        <v>105</v>
      </c>
      <c r="O870">
        <v>99.732299999999995</v>
      </c>
      <c r="P870">
        <v>67.06</v>
      </c>
      <c r="Q870">
        <v>73.5</v>
      </c>
      <c r="R870">
        <v>69.812600000000003</v>
      </c>
      <c r="V870" t="s">
        <v>167</v>
      </c>
      <c r="W870" t="s">
        <v>168</v>
      </c>
      <c r="Y870">
        <v>1</v>
      </c>
      <c r="Z870" t="s">
        <v>170</v>
      </c>
      <c r="AA870" t="s">
        <v>170</v>
      </c>
      <c r="AB870" t="s">
        <v>167</v>
      </c>
      <c r="AC870" t="s">
        <v>213</v>
      </c>
      <c r="AF870">
        <v>251</v>
      </c>
      <c r="AG870" t="s">
        <v>1735</v>
      </c>
      <c r="AH870" t="s">
        <v>1736</v>
      </c>
      <c r="AI870" t="s">
        <v>175</v>
      </c>
      <c r="AJ870" t="s">
        <v>176</v>
      </c>
      <c r="AK870" t="s">
        <v>170</v>
      </c>
      <c r="AL870" t="s">
        <v>177</v>
      </c>
      <c r="AM870">
        <v>94</v>
      </c>
      <c r="AN870">
        <v>10</v>
      </c>
      <c r="AS870">
        <v>1150</v>
      </c>
      <c r="AT870">
        <v>1150</v>
      </c>
      <c r="BQ870">
        <v>4</v>
      </c>
      <c r="BR870" t="s">
        <v>521</v>
      </c>
      <c r="BS870" t="s">
        <v>180</v>
      </c>
      <c r="BT870" t="s">
        <v>1769</v>
      </c>
      <c r="BU870" s="1">
        <v>45505</v>
      </c>
      <c r="BV870">
        <v>35050</v>
      </c>
      <c r="BX870" t="s">
        <v>169</v>
      </c>
      <c r="BY870" t="s">
        <v>170</v>
      </c>
      <c r="CB870" t="s">
        <v>170</v>
      </c>
      <c r="CC870" t="s">
        <v>170</v>
      </c>
      <c r="CK870" t="s">
        <v>233</v>
      </c>
      <c r="CM870">
        <v>9</v>
      </c>
      <c r="CN870" t="s">
        <v>234</v>
      </c>
      <c r="CP870">
        <v>376</v>
      </c>
      <c r="CQ870">
        <v>280.8</v>
      </c>
      <c r="CR870">
        <v>154</v>
      </c>
      <c r="CS870" t="s">
        <v>235</v>
      </c>
      <c r="CV870" t="s">
        <v>341</v>
      </c>
      <c r="CX870" t="s">
        <v>342</v>
      </c>
      <c r="CY870" t="s">
        <v>170</v>
      </c>
      <c r="DC870" t="s">
        <v>1820</v>
      </c>
      <c r="DD870">
        <v>2</v>
      </c>
      <c r="DE870" t="s">
        <v>404</v>
      </c>
      <c r="DF870" t="s">
        <v>405</v>
      </c>
      <c r="DG870" t="s">
        <v>1826</v>
      </c>
      <c r="DL870" t="s">
        <v>170</v>
      </c>
      <c r="DM870" t="s">
        <v>169</v>
      </c>
      <c r="DP870" t="s">
        <v>170</v>
      </c>
      <c r="DQ870" t="s">
        <v>187</v>
      </c>
      <c r="EB870">
        <v>9</v>
      </c>
      <c r="EC870">
        <v>10</v>
      </c>
      <c r="EE870" t="s">
        <v>2296</v>
      </c>
      <c r="EF870">
        <v>10</v>
      </c>
      <c r="EU870">
        <v>3750</v>
      </c>
      <c r="EW870">
        <v>0</v>
      </c>
      <c r="EX870">
        <v>0</v>
      </c>
      <c r="EY870">
        <v>0</v>
      </c>
      <c r="FA870">
        <v>12</v>
      </c>
      <c r="FG870">
        <v>241</v>
      </c>
      <c r="FH870">
        <v>264</v>
      </c>
      <c r="FI870">
        <v>251</v>
      </c>
    </row>
    <row r="871" spans="1:165" x14ac:dyDescent="0.35">
      <c r="A871">
        <v>2025</v>
      </c>
      <c r="B871" t="s">
        <v>885</v>
      </c>
      <c r="C871" t="s">
        <v>886</v>
      </c>
      <c r="D871" t="s">
        <v>2297</v>
      </c>
      <c r="E871" t="s">
        <v>888</v>
      </c>
      <c r="F871">
        <v>26</v>
      </c>
      <c r="G871">
        <v>0</v>
      </c>
      <c r="I871" t="s">
        <v>1734</v>
      </c>
      <c r="J871">
        <v>50</v>
      </c>
      <c r="K871">
        <v>46</v>
      </c>
      <c r="L871">
        <v>48</v>
      </c>
      <c r="M871">
        <v>35.171599999999998</v>
      </c>
      <c r="N871">
        <v>32.092599999999997</v>
      </c>
      <c r="O871">
        <v>33.786099999999998</v>
      </c>
      <c r="P871">
        <v>50.261000000000003</v>
      </c>
      <c r="Q871">
        <v>45.857100000000003</v>
      </c>
      <c r="R871">
        <v>48.279200000000003</v>
      </c>
      <c r="V871" t="s">
        <v>167</v>
      </c>
      <c r="W871" t="s">
        <v>168</v>
      </c>
      <c r="Y871">
        <v>1</v>
      </c>
      <c r="Z871" t="s">
        <v>170</v>
      </c>
      <c r="AA871" t="s">
        <v>170</v>
      </c>
      <c r="AB871" t="s">
        <v>167</v>
      </c>
      <c r="AC871" t="s">
        <v>213</v>
      </c>
      <c r="AF871">
        <v>251</v>
      </c>
      <c r="AG871" t="s">
        <v>1735</v>
      </c>
      <c r="AH871" t="s">
        <v>1736</v>
      </c>
      <c r="AI871" t="s">
        <v>1742</v>
      </c>
      <c r="AJ871" t="s">
        <v>1743</v>
      </c>
      <c r="AK871" t="s">
        <v>170</v>
      </c>
      <c r="AL871" t="s">
        <v>177</v>
      </c>
      <c r="AM871">
        <v>94</v>
      </c>
      <c r="AN871">
        <v>10</v>
      </c>
      <c r="AS871">
        <v>1150</v>
      </c>
      <c r="AT871">
        <v>1150</v>
      </c>
      <c r="BQ871">
        <v>4</v>
      </c>
      <c r="BR871" t="s">
        <v>521</v>
      </c>
      <c r="BS871" t="s">
        <v>180</v>
      </c>
      <c r="BT871" t="s">
        <v>1769</v>
      </c>
      <c r="BU871" s="1">
        <v>45505</v>
      </c>
      <c r="BV871">
        <v>35050</v>
      </c>
      <c r="BX871" t="s">
        <v>169</v>
      </c>
      <c r="BY871" t="s">
        <v>170</v>
      </c>
      <c r="CB871" t="s">
        <v>170</v>
      </c>
      <c r="CC871" t="s">
        <v>170</v>
      </c>
      <c r="CK871" t="s">
        <v>233</v>
      </c>
      <c r="CM871">
        <v>9</v>
      </c>
      <c r="CN871" t="s">
        <v>234</v>
      </c>
      <c r="CP871">
        <v>376</v>
      </c>
      <c r="CQ871">
        <v>280.8</v>
      </c>
      <c r="CR871">
        <v>154</v>
      </c>
      <c r="CS871" t="s">
        <v>235</v>
      </c>
      <c r="CV871" t="s">
        <v>341</v>
      </c>
      <c r="CX871" t="s">
        <v>342</v>
      </c>
      <c r="CY871" t="s">
        <v>170</v>
      </c>
      <c r="DC871" t="s">
        <v>1820</v>
      </c>
      <c r="DD871">
        <v>2</v>
      </c>
      <c r="DE871" t="s">
        <v>404</v>
      </c>
      <c r="DF871" t="s">
        <v>405</v>
      </c>
      <c r="DG871" t="s">
        <v>1826</v>
      </c>
      <c r="DL871" t="s">
        <v>170</v>
      </c>
      <c r="DM871" t="s">
        <v>169</v>
      </c>
      <c r="DP871" t="s">
        <v>170</v>
      </c>
      <c r="DQ871" t="s">
        <v>187</v>
      </c>
      <c r="EB871">
        <v>9</v>
      </c>
      <c r="EC871">
        <v>10</v>
      </c>
      <c r="EE871" t="s">
        <v>2296</v>
      </c>
      <c r="EF871">
        <v>10</v>
      </c>
      <c r="EU871">
        <v>3750</v>
      </c>
      <c r="EW871">
        <v>0</v>
      </c>
      <c r="EX871">
        <v>0</v>
      </c>
      <c r="EY871">
        <v>0</v>
      </c>
      <c r="FA871">
        <v>12</v>
      </c>
      <c r="FG871">
        <v>241</v>
      </c>
      <c r="FH871">
        <v>264</v>
      </c>
      <c r="FI871">
        <v>251</v>
      </c>
    </row>
    <row r="872" spans="1:165" x14ac:dyDescent="0.35">
      <c r="A872" s="25"/>
      <c r="B872" s="25"/>
      <c r="C872" s="25"/>
      <c r="D872" s="25"/>
      <c r="E872" s="25"/>
      <c r="F872" s="25" t="str">
        <f>_xlfn.CONCAT($A873," ",$B873," ",$D873)</f>
        <v>2025 Subaru SOLTERRA AWD</v>
      </c>
      <c r="G872" s="25"/>
      <c r="H872" s="25"/>
      <c r="I872" s="25"/>
      <c r="J872" s="25"/>
      <c r="K872" s="25"/>
      <c r="L872" s="25"/>
      <c r="M872" s="25"/>
      <c r="N872" s="25"/>
      <c r="O872" s="25"/>
      <c r="P872" s="25"/>
      <c r="Q872" s="25"/>
      <c r="R872" s="25"/>
      <c r="S872" s="25"/>
      <c r="T872" s="25"/>
      <c r="U872" s="25"/>
      <c r="V872" s="25"/>
      <c r="W872" s="25"/>
      <c r="X872" s="25"/>
      <c r="Y872" s="25"/>
      <c r="Z872" s="25"/>
      <c r="AA872" s="25"/>
      <c r="AB872" s="25"/>
      <c r="AC872" s="25"/>
      <c r="AD872" s="25" t="str">
        <f>_xlfn.CONCAT($A873," ",$B873," ",$D873)</f>
        <v>2025 Subaru SOLTERRA AWD</v>
      </c>
      <c r="AE872" s="25"/>
      <c r="AF872" s="25"/>
      <c r="AG872" s="25"/>
      <c r="AH872" s="25"/>
      <c r="AI872" s="25"/>
      <c r="AJ872" s="25"/>
      <c r="AK872" s="25"/>
      <c r="AL872" s="25"/>
      <c r="AM872" s="25"/>
      <c r="AN872" s="25"/>
      <c r="AO872" s="25"/>
      <c r="AP872" s="25"/>
      <c r="AQ872" s="25"/>
      <c r="AR872" s="25"/>
      <c r="AS872" s="25"/>
      <c r="AT872" s="25"/>
      <c r="AU872" s="25"/>
      <c r="AV872" s="25"/>
      <c r="AW872" s="25"/>
      <c r="AX872" s="25" t="str">
        <f>_xlfn.CONCAT($A873," ",$B873," ",$D873)</f>
        <v>2025 Subaru SOLTERRA AWD</v>
      </c>
      <c r="AY872" s="25"/>
      <c r="AZ872" s="25"/>
      <c r="BA872" s="25"/>
      <c r="BB872" s="25"/>
      <c r="BC872" s="25"/>
      <c r="BD872" s="25"/>
      <c r="BE872" s="25"/>
      <c r="BF872" s="25"/>
      <c r="BG872" s="25"/>
      <c r="BH872" s="25"/>
      <c r="BI872" s="25"/>
      <c r="BJ872" s="25"/>
      <c r="BK872" s="25"/>
      <c r="BL872" s="25"/>
      <c r="BM872" s="25"/>
      <c r="BN872" s="25"/>
      <c r="BO872" s="25"/>
      <c r="BP872" s="25"/>
      <c r="BQ872" s="25"/>
      <c r="BR872" s="25" t="str">
        <f>_xlfn.CONCAT($A873," ",$B873," ",$D873)</f>
        <v>2025 Subaru SOLTERRA AWD</v>
      </c>
      <c r="BS872" s="25"/>
      <c r="BT872" s="25"/>
      <c r="BU872" s="25"/>
      <c r="BV872" s="25"/>
      <c r="BX872" s="25"/>
      <c r="BY872" s="25"/>
      <c r="BZ872" s="25"/>
      <c r="CA872" s="25"/>
      <c r="CB872" s="25"/>
      <c r="CC872" s="25"/>
      <c r="CD872" s="25"/>
      <c r="CE872" s="25"/>
      <c r="CF872" s="25"/>
      <c r="CG872" s="25"/>
      <c r="CH872" s="25"/>
      <c r="CI872" s="25"/>
      <c r="CJ872" s="25"/>
      <c r="CK872" s="25"/>
      <c r="CL872" s="25"/>
      <c r="CM872" s="25"/>
      <c r="CN872" s="25"/>
      <c r="CO872" s="25"/>
      <c r="CP872" s="25" t="str">
        <f>_xlfn.CONCAT($A873," ",$B873," ",$D873)</f>
        <v>2025 Subaru SOLTERRA AWD</v>
      </c>
      <c r="CQ872" s="25"/>
      <c r="CR872" s="25"/>
      <c r="CS872" s="25"/>
      <c r="CT872" s="25"/>
      <c r="CU872" s="25"/>
      <c r="CV872" s="25"/>
      <c r="CW872" s="25"/>
      <c r="CX872" s="25"/>
      <c r="CY872" s="25"/>
      <c r="CZ872" s="25"/>
      <c r="DA872" s="25"/>
      <c r="DB872" s="25"/>
      <c r="DC872" s="25"/>
      <c r="DD872" s="25"/>
      <c r="DE872" s="25"/>
      <c r="DF872" s="25"/>
      <c r="DG872" s="25"/>
      <c r="DH872" s="25"/>
      <c r="DI872" s="25" t="str">
        <f>_xlfn.CONCAT($A873," ",$B873," ",$D873)</f>
        <v>2025 Subaru SOLTERRA AWD</v>
      </c>
      <c r="DJ872" s="25"/>
      <c r="DK872" s="25"/>
      <c r="DL872" s="25"/>
      <c r="DM872" s="25"/>
      <c r="DN872" s="25"/>
      <c r="DO872" s="25"/>
      <c r="DP872" s="25"/>
      <c r="DQ872" s="25"/>
      <c r="DR872" s="25"/>
      <c r="DS872" s="25"/>
      <c r="DT872" s="25"/>
      <c r="DU872" s="25"/>
      <c r="DV872" s="25"/>
      <c r="DW872" s="25"/>
      <c r="DX872" s="25"/>
      <c r="DY872" s="25"/>
      <c r="DZ872" s="25" t="str">
        <f>_xlfn.CONCAT($A873," ",$B873," ",$D873)</f>
        <v>2025 Subaru SOLTERRA AWD</v>
      </c>
      <c r="EB872" s="25"/>
      <c r="EC872" s="25"/>
      <c r="ED872" s="25"/>
      <c r="EE872" s="25"/>
      <c r="EF872" s="25"/>
      <c r="EG872" s="25"/>
      <c r="EH872" s="25"/>
      <c r="EI872" s="25"/>
      <c r="EJ872" s="25"/>
      <c r="EK872" s="25"/>
      <c r="EL872" s="25"/>
      <c r="EM872" s="25"/>
      <c r="EN872" s="25"/>
      <c r="EO872" s="25"/>
      <c r="EP872" s="25"/>
      <c r="EQ872" s="25"/>
      <c r="ER872" s="25"/>
      <c r="ES872" s="25"/>
      <c r="ET872" s="25"/>
      <c r="EU872" s="25"/>
      <c r="EV872" s="25" t="str">
        <f>_xlfn.CONCAT($A873," ",$B873," ",$D873)</f>
        <v>2025 Subaru SOLTERRA AWD</v>
      </c>
      <c r="EW872" s="25"/>
      <c r="EX872" s="25"/>
      <c r="EY872" s="25"/>
      <c r="EZ872" s="25"/>
      <c r="FA872" s="25"/>
      <c r="FB872" s="25"/>
      <c r="FC872" s="25"/>
      <c r="FD872" s="25"/>
      <c r="FE872" s="25"/>
      <c r="FF872" s="25"/>
      <c r="FG872" s="25"/>
    </row>
    <row r="873" spans="1:165" x14ac:dyDescent="0.35">
      <c r="A873">
        <v>2025</v>
      </c>
      <c r="B873" t="s">
        <v>378</v>
      </c>
      <c r="C873" t="s">
        <v>378</v>
      </c>
      <c r="D873" t="s">
        <v>2300</v>
      </c>
      <c r="E873" t="s">
        <v>380</v>
      </c>
      <c r="F873">
        <v>81</v>
      </c>
      <c r="G873">
        <v>0</v>
      </c>
      <c r="I873" t="s">
        <v>1734</v>
      </c>
      <c r="J873">
        <v>114</v>
      </c>
      <c r="K873">
        <v>94</v>
      </c>
      <c r="L873">
        <v>104</v>
      </c>
      <c r="M873">
        <v>170.6</v>
      </c>
      <c r="N873">
        <v>140.6</v>
      </c>
      <c r="O873">
        <v>155.65450000000001</v>
      </c>
      <c r="P873">
        <v>114</v>
      </c>
      <c r="Q873">
        <v>94</v>
      </c>
      <c r="R873">
        <v>104</v>
      </c>
      <c r="V873" t="s">
        <v>167</v>
      </c>
      <c r="W873" t="s">
        <v>168</v>
      </c>
      <c r="Y873">
        <v>1</v>
      </c>
      <c r="Z873" t="s">
        <v>170</v>
      </c>
      <c r="AA873" t="s">
        <v>170</v>
      </c>
      <c r="AB873" t="s">
        <v>167</v>
      </c>
      <c r="AC873" t="s">
        <v>213</v>
      </c>
      <c r="AF873">
        <v>227</v>
      </c>
      <c r="AG873" t="s">
        <v>1735</v>
      </c>
      <c r="AH873" t="s">
        <v>1736</v>
      </c>
      <c r="AI873" t="s">
        <v>175</v>
      </c>
      <c r="AJ873" t="s">
        <v>176</v>
      </c>
      <c r="AK873">
        <v>4</v>
      </c>
      <c r="AL873" t="s">
        <v>1737</v>
      </c>
      <c r="AS873">
        <v>750</v>
      </c>
      <c r="AT873">
        <v>0</v>
      </c>
      <c r="BQ873">
        <v>31</v>
      </c>
      <c r="BR873" t="s">
        <v>1219</v>
      </c>
      <c r="BT873" t="s">
        <v>1738</v>
      </c>
      <c r="BU873" s="1">
        <v>45602</v>
      </c>
      <c r="BV873">
        <v>35792</v>
      </c>
      <c r="BX873" t="s">
        <v>170</v>
      </c>
      <c r="BY873" t="s">
        <v>170</v>
      </c>
      <c r="CB873" t="s">
        <v>170</v>
      </c>
      <c r="CC873" t="s">
        <v>170</v>
      </c>
      <c r="CK873" t="s">
        <v>233</v>
      </c>
      <c r="CM873">
        <v>1</v>
      </c>
      <c r="CN873" t="s">
        <v>234</v>
      </c>
      <c r="CP873">
        <v>355</v>
      </c>
      <c r="CQ873">
        <v>205</v>
      </c>
      <c r="CR873">
        <v>274</v>
      </c>
      <c r="CS873" t="s">
        <v>235</v>
      </c>
      <c r="CV873" t="s">
        <v>341</v>
      </c>
      <c r="CX873" t="s">
        <v>342</v>
      </c>
      <c r="CY873" t="s">
        <v>170</v>
      </c>
      <c r="DD873">
        <v>2</v>
      </c>
      <c r="DE873" t="s">
        <v>404</v>
      </c>
      <c r="DF873" t="s">
        <v>638</v>
      </c>
      <c r="DG873">
        <v>80</v>
      </c>
      <c r="DL873" t="s">
        <v>170</v>
      </c>
      <c r="DM873" t="s">
        <v>169</v>
      </c>
      <c r="DP873" t="s">
        <v>170</v>
      </c>
      <c r="DQ873" t="s">
        <v>187</v>
      </c>
      <c r="DR873" t="s">
        <v>2048</v>
      </c>
      <c r="EB873">
        <v>9</v>
      </c>
      <c r="EC873">
        <v>10</v>
      </c>
      <c r="EE873" t="s">
        <v>2301</v>
      </c>
      <c r="EF873">
        <v>10</v>
      </c>
      <c r="EU873">
        <v>5750</v>
      </c>
      <c r="EW873">
        <v>0</v>
      </c>
      <c r="EX873">
        <v>0</v>
      </c>
      <c r="EY873">
        <v>0</v>
      </c>
      <c r="FA873">
        <v>11</v>
      </c>
      <c r="FG873">
        <v>245</v>
      </c>
      <c r="FH873">
        <v>205</v>
      </c>
      <c r="FI873">
        <v>227</v>
      </c>
    </row>
    <row r="874" spans="1:165" x14ac:dyDescent="0.35">
      <c r="A874">
        <v>2025</v>
      </c>
      <c r="B874" t="s">
        <v>378</v>
      </c>
      <c r="C874" t="s">
        <v>378</v>
      </c>
      <c r="D874" t="s">
        <v>2300</v>
      </c>
      <c r="E874" t="s">
        <v>380</v>
      </c>
      <c r="F874">
        <v>81</v>
      </c>
      <c r="G874">
        <v>0</v>
      </c>
      <c r="I874" t="s">
        <v>1734</v>
      </c>
      <c r="J874">
        <v>28</v>
      </c>
      <c r="K874">
        <v>34</v>
      </c>
      <c r="L874">
        <v>31</v>
      </c>
      <c r="M874">
        <v>19.761600000000001</v>
      </c>
      <c r="N874">
        <v>23.978300000000001</v>
      </c>
      <c r="O874">
        <v>21.659099999999999</v>
      </c>
      <c r="P874">
        <v>28</v>
      </c>
      <c r="Q874">
        <v>34</v>
      </c>
      <c r="R874">
        <v>31</v>
      </c>
      <c r="V874" t="s">
        <v>167</v>
      </c>
      <c r="W874" t="s">
        <v>168</v>
      </c>
      <c r="Y874">
        <v>1</v>
      </c>
      <c r="Z874" t="s">
        <v>170</v>
      </c>
      <c r="AA874" t="s">
        <v>170</v>
      </c>
      <c r="AB874" t="s">
        <v>167</v>
      </c>
      <c r="AC874" t="s">
        <v>213</v>
      </c>
      <c r="AF874">
        <v>227</v>
      </c>
      <c r="AG874" t="s">
        <v>1735</v>
      </c>
      <c r="AH874" t="s">
        <v>1736</v>
      </c>
      <c r="AI874" t="s">
        <v>1742</v>
      </c>
      <c r="AJ874" t="s">
        <v>1743</v>
      </c>
      <c r="AK874">
        <v>4</v>
      </c>
      <c r="AL874" t="s">
        <v>1737</v>
      </c>
      <c r="AS874">
        <v>750</v>
      </c>
      <c r="AT874">
        <v>750</v>
      </c>
      <c r="BQ874">
        <v>31</v>
      </c>
      <c r="BR874" t="s">
        <v>1219</v>
      </c>
      <c r="BT874" t="s">
        <v>1738</v>
      </c>
      <c r="BU874" s="1">
        <v>45602</v>
      </c>
      <c r="BV874">
        <v>35792</v>
      </c>
      <c r="BX874" t="s">
        <v>170</v>
      </c>
      <c r="BY874" t="s">
        <v>170</v>
      </c>
      <c r="CB874" t="s">
        <v>170</v>
      </c>
      <c r="CC874" t="s">
        <v>170</v>
      </c>
      <c r="CK874" t="s">
        <v>233</v>
      </c>
      <c r="CM874">
        <v>1</v>
      </c>
      <c r="CN874" t="s">
        <v>234</v>
      </c>
      <c r="CP874">
        <v>355</v>
      </c>
      <c r="CQ874">
        <v>205</v>
      </c>
      <c r="CR874">
        <v>274</v>
      </c>
      <c r="CS874" t="s">
        <v>235</v>
      </c>
      <c r="CV874" t="s">
        <v>341</v>
      </c>
      <c r="CX874" t="s">
        <v>342</v>
      </c>
      <c r="CY874" t="s">
        <v>170</v>
      </c>
      <c r="DD874">
        <v>2</v>
      </c>
      <c r="DE874" t="s">
        <v>404</v>
      </c>
      <c r="DF874" t="s">
        <v>638</v>
      </c>
      <c r="DG874">
        <v>80</v>
      </c>
      <c r="DL874" t="s">
        <v>170</v>
      </c>
      <c r="DM874" t="s">
        <v>169</v>
      </c>
      <c r="DP874" t="s">
        <v>170</v>
      </c>
      <c r="DQ874" t="s">
        <v>187</v>
      </c>
      <c r="DR874" t="s">
        <v>2048</v>
      </c>
      <c r="EB874">
        <v>9</v>
      </c>
      <c r="EC874">
        <v>10</v>
      </c>
      <c r="EE874" t="s">
        <v>2301</v>
      </c>
      <c r="EF874">
        <v>10</v>
      </c>
      <c r="EU874">
        <v>5750</v>
      </c>
      <c r="EW874">
        <v>0</v>
      </c>
      <c r="EX874">
        <v>0</v>
      </c>
      <c r="EY874">
        <v>0</v>
      </c>
      <c r="FA874">
        <v>11</v>
      </c>
      <c r="FG874">
        <v>245</v>
      </c>
      <c r="FH874">
        <v>205</v>
      </c>
      <c r="FI874">
        <v>227</v>
      </c>
    </row>
    <row r="875" spans="1:165" x14ac:dyDescent="0.35">
      <c r="A875" s="25"/>
      <c r="B875" s="25"/>
      <c r="C875" s="25"/>
      <c r="D875" s="25"/>
      <c r="E875" s="25"/>
      <c r="F875" s="25" t="str">
        <f>_xlfn.CONCAT($A876," ",$B876," ",$D876)</f>
        <v>2025 Subaru SOLTERRA LIMITED/TOURING AWD</v>
      </c>
      <c r="G875" s="25"/>
      <c r="H875" s="25"/>
      <c r="I875" s="25"/>
      <c r="J875" s="25"/>
      <c r="K875" s="25"/>
      <c r="L875" s="25"/>
      <c r="M875" s="25"/>
      <c r="N875" s="25"/>
      <c r="O875" s="25"/>
      <c r="P875" s="25"/>
      <c r="Q875" s="25"/>
      <c r="R875" s="25"/>
      <c r="S875" s="25"/>
      <c r="T875" s="25"/>
      <c r="U875" s="25"/>
      <c r="V875" s="25"/>
      <c r="W875" s="25"/>
      <c r="X875" s="25"/>
      <c r="Y875" s="25"/>
      <c r="Z875" s="25"/>
      <c r="AA875" s="25"/>
      <c r="AB875" s="25"/>
      <c r="AC875" s="25"/>
      <c r="AD875" s="25" t="str">
        <f>_xlfn.CONCAT($A876," ",$B876," ",$D876)</f>
        <v>2025 Subaru SOLTERRA LIMITED/TOURING AWD</v>
      </c>
      <c r="AE875" s="25"/>
      <c r="AF875" s="25"/>
      <c r="AG875" s="25"/>
      <c r="AH875" s="25"/>
      <c r="AI875" s="25"/>
      <c r="AJ875" s="25"/>
      <c r="AK875" s="25"/>
      <c r="AL875" s="25"/>
      <c r="AM875" s="25"/>
      <c r="AN875" s="25"/>
      <c r="AO875" s="25"/>
      <c r="AP875" s="25"/>
      <c r="AQ875" s="25"/>
      <c r="AR875" s="25"/>
      <c r="AS875" s="25"/>
      <c r="AT875" s="25"/>
      <c r="AU875" s="25"/>
      <c r="AV875" s="25"/>
      <c r="AW875" s="25"/>
      <c r="AX875" s="25" t="str">
        <f>_xlfn.CONCAT($A876," ",$B876," ",$D876)</f>
        <v>2025 Subaru SOLTERRA LIMITED/TOURING AWD</v>
      </c>
      <c r="AY875" s="25"/>
      <c r="AZ875" s="25"/>
      <c r="BA875" s="25"/>
      <c r="BB875" s="25"/>
      <c r="BC875" s="25"/>
      <c r="BD875" s="25"/>
      <c r="BE875" s="25"/>
      <c r="BF875" s="25"/>
      <c r="BG875" s="25"/>
      <c r="BH875" s="25"/>
      <c r="BI875" s="25"/>
      <c r="BJ875" s="25"/>
      <c r="BK875" s="25"/>
      <c r="BL875" s="25"/>
      <c r="BM875" s="25"/>
      <c r="BN875" s="25"/>
      <c r="BO875" s="25"/>
      <c r="BP875" s="25"/>
      <c r="BQ875" s="25"/>
      <c r="BR875" s="25" t="str">
        <f>_xlfn.CONCAT($A876," ",$B876," ",$D876)</f>
        <v>2025 Subaru SOLTERRA LIMITED/TOURING AWD</v>
      </c>
      <c r="BS875" s="25"/>
      <c r="BT875" s="25"/>
      <c r="BU875" s="25"/>
      <c r="BV875" s="25"/>
      <c r="BX875" s="25"/>
      <c r="BY875" s="25"/>
      <c r="BZ875" s="25"/>
      <c r="CA875" s="25"/>
      <c r="CB875" s="25"/>
      <c r="CC875" s="25"/>
      <c r="CD875" s="25"/>
      <c r="CE875" s="25"/>
      <c r="CF875" s="25"/>
      <c r="CG875" s="25"/>
      <c r="CH875" s="25"/>
      <c r="CI875" s="25"/>
      <c r="CJ875" s="25"/>
      <c r="CK875" s="25"/>
      <c r="CL875" s="25"/>
      <c r="CM875" s="25"/>
      <c r="CN875" s="25"/>
      <c r="CO875" s="25"/>
      <c r="CP875" s="25" t="str">
        <f>_xlfn.CONCAT($A876," ",$B876," ",$D876)</f>
        <v>2025 Subaru SOLTERRA LIMITED/TOURING AWD</v>
      </c>
      <c r="CQ875" s="25"/>
      <c r="CR875" s="25"/>
      <c r="CS875" s="25"/>
      <c r="CT875" s="25"/>
      <c r="CU875" s="25"/>
      <c r="CV875" s="25"/>
      <c r="CW875" s="25"/>
      <c r="CX875" s="25"/>
      <c r="CY875" s="25"/>
      <c r="CZ875" s="25"/>
      <c r="DA875" s="25"/>
      <c r="DB875" s="25"/>
      <c r="DC875" s="25"/>
      <c r="DD875" s="25"/>
      <c r="DE875" s="25"/>
      <c r="DF875" s="25"/>
      <c r="DG875" s="25"/>
      <c r="DH875" s="25"/>
      <c r="DI875" s="25" t="str">
        <f>_xlfn.CONCAT($A876," ",$B876," ",$D876)</f>
        <v>2025 Subaru SOLTERRA LIMITED/TOURING AWD</v>
      </c>
      <c r="DJ875" s="25"/>
      <c r="DK875" s="25"/>
      <c r="DL875" s="25"/>
      <c r="DM875" s="25"/>
      <c r="DN875" s="25"/>
      <c r="DO875" s="25"/>
      <c r="DP875" s="25"/>
      <c r="DQ875" s="25"/>
      <c r="DR875" s="25"/>
      <c r="DS875" s="25"/>
      <c r="DT875" s="25"/>
      <c r="DU875" s="25"/>
      <c r="DV875" s="25"/>
      <c r="DW875" s="25"/>
      <c r="DX875" s="25"/>
      <c r="DY875" s="25"/>
      <c r="DZ875" s="25" t="str">
        <f>_xlfn.CONCAT($A876," ",$B876," ",$D876)</f>
        <v>2025 Subaru SOLTERRA LIMITED/TOURING AWD</v>
      </c>
      <c r="EB875" s="25"/>
      <c r="EC875" s="25"/>
      <c r="ED875" s="25"/>
      <c r="EE875" s="25"/>
      <c r="EF875" s="25"/>
      <c r="EG875" s="25"/>
      <c r="EH875" s="25"/>
      <c r="EI875" s="25"/>
      <c r="EJ875" s="25"/>
      <c r="EK875" s="25"/>
      <c r="EL875" s="25"/>
      <c r="EM875" s="25"/>
      <c r="EN875" s="25"/>
      <c r="EO875" s="25"/>
      <c r="EP875" s="25"/>
      <c r="EQ875" s="25"/>
      <c r="ER875" s="25"/>
      <c r="ES875" s="25"/>
      <c r="ET875" s="25"/>
      <c r="EU875" s="25"/>
      <c r="EV875" s="25" t="str">
        <f>_xlfn.CONCAT($A876," ",$B876," ",$D876)</f>
        <v>2025 Subaru SOLTERRA LIMITED/TOURING AWD</v>
      </c>
      <c r="EW875" s="25"/>
      <c r="EX875" s="25"/>
      <c r="EY875" s="25"/>
      <c r="EZ875" s="25"/>
      <c r="FA875" s="25"/>
      <c r="FB875" s="25"/>
      <c r="FC875" s="25"/>
      <c r="FD875" s="25"/>
      <c r="FE875" s="25"/>
      <c r="FF875" s="25"/>
      <c r="FG875" s="25"/>
    </row>
    <row r="876" spans="1:165" x14ac:dyDescent="0.35">
      <c r="A876">
        <v>2025</v>
      </c>
      <c r="B876" t="s">
        <v>378</v>
      </c>
      <c r="C876" t="s">
        <v>378</v>
      </c>
      <c r="D876" t="s">
        <v>2302</v>
      </c>
      <c r="E876" t="s">
        <v>380</v>
      </c>
      <c r="F876">
        <v>82</v>
      </c>
      <c r="G876">
        <v>0</v>
      </c>
      <c r="I876" t="s">
        <v>1734</v>
      </c>
      <c r="J876">
        <v>111</v>
      </c>
      <c r="K876">
        <v>93</v>
      </c>
      <c r="L876">
        <v>102</v>
      </c>
      <c r="M876">
        <v>163.4</v>
      </c>
      <c r="N876">
        <v>136.1</v>
      </c>
      <c r="O876">
        <v>149.87190000000001</v>
      </c>
      <c r="P876">
        <v>111</v>
      </c>
      <c r="Q876">
        <v>93</v>
      </c>
      <c r="R876">
        <v>102</v>
      </c>
      <c r="V876" t="s">
        <v>167</v>
      </c>
      <c r="W876" t="s">
        <v>168</v>
      </c>
      <c r="Y876">
        <v>1</v>
      </c>
      <c r="Z876" t="s">
        <v>170</v>
      </c>
      <c r="AA876" t="s">
        <v>170</v>
      </c>
      <c r="AB876" t="s">
        <v>167</v>
      </c>
      <c r="AC876" t="s">
        <v>213</v>
      </c>
      <c r="AF876">
        <v>222</v>
      </c>
      <c r="AG876" t="s">
        <v>1735</v>
      </c>
      <c r="AH876" t="s">
        <v>1736</v>
      </c>
      <c r="AI876" t="s">
        <v>175</v>
      </c>
      <c r="AJ876" t="s">
        <v>176</v>
      </c>
      <c r="AK876">
        <v>4</v>
      </c>
      <c r="AL876" t="s">
        <v>1737</v>
      </c>
      <c r="AS876">
        <v>800</v>
      </c>
      <c r="AT876">
        <v>0</v>
      </c>
      <c r="BQ876">
        <v>31</v>
      </c>
      <c r="BR876" t="s">
        <v>1219</v>
      </c>
      <c r="BT876" t="s">
        <v>1738</v>
      </c>
      <c r="BU876" s="1">
        <v>45602</v>
      </c>
      <c r="BV876">
        <v>35793</v>
      </c>
      <c r="BX876" t="s">
        <v>169</v>
      </c>
      <c r="BY876" t="s">
        <v>170</v>
      </c>
      <c r="CB876" t="s">
        <v>170</v>
      </c>
      <c r="CC876" t="s">
        <v>170</v>
      </c>
      <c r="CK876" t="s">
        <v>233</v>
      </c>
      <c r="CM876">
        <v>1</v>
      </c>
      <c r="CN876" t="s">
        <v>234</v>
      </c>
      <c r="CP876">
        <v>355</v>
      </c>
      <c r="CQ876">
        <v>205</v>
      </c>
      <c r="CR876">
        <v>274</v>
      </c>
      <c r="CS876" t="s">
        <v>235</v>
      </c>
      <c r="CV876" t="s">
        <v>341</v>
      </c>
      <c r="CX876" t="s">
        <v>342</v>
      </c>
      <c r="CY876" t="s">
        <v>170</v>
      </c>
      <c r="DD876">
        <v>2</v>
      </c>
      <c r="DE876" t="s">
        <v>404</v>
      </c>
      <c r="DF876" t="s">
        <v>638</v>
      </c>
      <c r="DG876">
        <v>80</v>
      </c>
      <c r="DL876" t="s">
        <v>170</v>
      </c>
      <c r="DM876" t="s">
        <v>169</v>
      </c>
      <c r="DP876" t="s">
        <v>170</v>
      </c>
      <c r="DQ876" t="s">
        <v>187</v>
      </c>
      <c r="DR876" t="s">
        <v>2048</v>
      </c>
      <c r="EB876">
        <v>9</v>
      </c>
      <c r="EC876">
        <v>10</v>
      </c>
      <c r="EE876" t="s">
        <v>2301</v>
      </c>
      <c r="EF876">
        <v>10</v>
      </c>
      <c r="EU876">
        <v>5500</v>
      </c>
      <c r="EW876">
        <v>0</v>
      </c>
      <c r="EX876">
        <v>0</v>
      </c>
      <c r="EY876">
        <v>0</v>
      </c>
      <c r="FA876">
        <v>11</v>
      </c>
      <c r="FG876">
        <v>240</v>
      </c>
      <c r="FH876">
        <v>200</v>
      </c>
      <c r="FI876">
        <v>222</v>
      </c>
    </row>
    <row r="877" spans="1:165" x14ac:dyDescent="0.35">
      <c r="A877">
        <v>2025</v>
      </c>
      <c r="B877" t="s">
        <v>378</v>
      </c>
      <c r="C877" t="s">
        <v>378</v>
      </c>
      <c r="D877" t="s">
        <v>2302</v>
      </c>
      <c r="E877" t="s">
        <v>380</v>
      </c>
      <c r="F877">
        <v>82</v>
      </c>
      <c r="G877">
        <v>0</v>
      </c>
      <c r="I877" t="s">
        <v>1734</v>
      </c>
      <c r="J877">
        <v>29</v>
      </c>
      <c r="K877">
        <v>35</v>
      </c>
      <c r="L877">
        <v>32</v>
      </c>
      <c r="M877">
        <v>20.625499999999999</v>
      </c>
      <c r="N877">
        <v>24.763300000000001</v>
      </c>
      <c r="O877">
        <v>22.487500000000001</v>
      </c>
      <c r="P877">
        <v>29</v>
      </c>
      <c r="Q877">
        <v>35</v>
      </c>
      <c r="R877">
        <v>32</v>
      </c>
      <c r="V877" t="s">
        <v>167</v>
      </c>
      <c r="W877" t="s">
        <v>168</v>
      </c>
      <c r="Y877">
        <v>1</v>
      </c>
      <c r="Z877" t="s">
        <v>170</v>
      </c>
      <c r="AA877" t="s">
        <v>170</v>
      </c>
      <c r="AB877" t="s">
        <v>167</v>
      </c>
      <c r="AC877" t="s">
        <v>213</v>
      </c>
      <c r="AF877">
        <v>222</v>
      </c>
      <c r="AG877" t="s">
        <v>1735</v>
      </c>
      <c r="AH877" t="s">
        <v>1736</v>
      </c>
      <c r="AI877" t="s">
        <v>1742</v>
      </c>
      <c r="AJ877" t="s">
        <v>1743</v>
      </c>
      <c r="AK877">
        <v>4</v>
      </c>
      <c r="AL877" t="s">
        <v>1737</v>
      </c>
      <c r="AS877">
        <v>800</v>
      </c>
      <c r="AT877">
        <v>800</v>
      </c>
      <c r="BQ877">
        <v>31</v>
      </c>
      <c r="BR877" t="s">
        <v>1219</v>
      </c>
      <c r="BT877" t="s">
        <v>1738</v>
      </c>
      <c r="BU877" s="1">
        <v>45602</v>
      </c>
      <c r="BV877">
        <v>35793</v>
      </c>
      <c r="BX877" t="s">
        <v>169</v>
      </c>
      <c r="BY877" t="s">
        <v>170</v>
      </c>
      <c r="CB877" t="s">
        <v>170</v>
      </c>
      <c r="CC877" t="s">
        <v>170</v>
      </c>
      <c r="CK877" t="s">
        <v>233</v>
      </c>
      <c r="CM877">
        <v>1</v>
      </c>
      <c r="CN877" t="s">
        <v>234</v>
      </c>
      <c r="CP877">
        <v>355</v>
      </c>
      <c r="CQ877">
        <v>205</v>
      </c>
      <c r="CR877">
        <v>274</v>
      </c>
      <c r="CS877" t="s">
        <v>235</v>
      </c>
      <c r="CV877" t="s">
        <v>341</v>
      </c>
      <c r="CX877" t="s">
        <v>342</v>
      </c>
      <c r="CY877" t="s">
        <v>170</v>
      </c>
      <c r="DD877">
        <v>2</v>
      </c>
      <c r="DE877" t="s">
        <v>404</v>
      </c>
      <c r="DF877" t="s">
        <v>638</v>
      </c>
      <c r="DG877">
        <v>80</v>
      </c>
      <c r="DL877" t="s">
        <v>170</v>
      </c>
      <c r="DM877" t="s">
        <v>169</v>
      </c>
      <c r="DP877" t="s">
        <v>170</v>
      </c>
      <c r="DQ877" t="s">
        <v>187</v>
      </c>
      <c r="DR877" t="s">
        <v>2048</v>
      </c>
      <c r="EB877">
        <v>9</v>
      </c>
      <c r="EC877">
        <v>10</v>
      </c>
      <c r="EE877" t="s">
        <v>2301</v>
      </c>
      <c r="EF877">
        <v>10</v>
      </c>
      <c r="EU877">
        <v>5500</v>
      </c>
      <c r="EW877">
        <v>0</v>
      </c>
      <c r="EX877">
        <v>0</v>
      </c>
      <c r="EY877">
        <v>0</v>
      </c>
      <c r="FA877">
        <v>11</v>
      </c>
      <c r="FG877">
        <v>240</v>
      </c>
      <c r="FH877">
        <v>200</v>
      </c>
      <c r="FI877">
        <v>222</v>
      </c>
    </row>
    <row r="878" spans="1:165" x14ac:dyDescent="0.35">
      <c r="A878" s="25"/>
      <c r="B878" s="25"/>
      <c r="C878" s="25"/>
      <c r="D878" s="25"/>
      <c r="E878" s="25"/>
      <c r="F878" s="25" t="str">
        <f>_xlfn.CONCAT($A879," ",$B879," ",$D879)</f>
        <v>2025 Tesla Cybertruck Long Range</v>
      </c>
      <c r="G878" s="25"/>
      <c r="H878" s="25"/>
      <c r="I878" s="25"/>
      <c r="J878" s="25"/>
      <c r="K878" s="25"/>
      <c r="L878" s="25"/>
      <c r="M878" s="25"/>
      <c r="N878" s="25"/>
      <c r="O878" s="25"/>
      <c r="P878" s="25"/>
      <c r="Q878" s="25"/>
      <c r="R878" s="25"/>
      <c r="S878" s="25"/>
      <c r="T878" s="25"/>
      <c r="U878" s="25"/>
      <c r="V878" s="25"/>
      <c r="W878" s="25"/>
      <c r="X878" s="25"/>
      <c r="Y878" s="25"/>
      <c r="Z878" s="25"/>
      <c r="AA878" s="25"/>
      <c r="AB878" s="25"/>
      <c r="AC878" s="25"/>
      <c r="AD878" s="25" t="str">
        <f>_xlfn.CONCAT($A879," ",$B879," ",$D879)</f>
        <v>2025 Tesla Cybertruck Long Range</v>
      </c>
      <c r="AE878" s="25"/>
      <c r="AF878" s="25"/>
      <c r="AG878" s="25"/>
      <c r="AH878" s="25"/>
      <c r="AI878" s="25"/>
      <c r="AJ878" s="25"/>
      <c r="AK878" s="25"/>
      <c r="AL878" s="25"/>
      <c r="AM878" s="25"/>
      <c r="AN878" s="25"/>
      <c r="AO878" s="25"/>
      <c r="AP878" s="25"/>
      <c r="AQ878" s="25"/>
      <c r="AR878" s="25"/>
      <c r="AS878" s="25"/>
      <c r="AT878" s="25"/>
      <c r="AU878" s="25"/>
      <c r="AV878" s="25"/>
      <c r="AW878" s="25"/>
      <c r="AX878" s="25" t="str">
        <f>_xlfn.CONCAT($A879," ",$B879," ",$D879)</f>
        <v>2025 Tesla Cybertruck Long Range</v>
      </c>
      <c r="AY878" s="25"/>
      <c r="AZ878" s="25"/>
      <c r="BA878" s="25"/>
      <c r="BB878" s="25"/>
      <c r="BC878" s="25"/>
      <c r="BD878" s="25"/>
      <c r="BE878" s="25"/>
      <c r="BF878" s="25"/>
      <c r="BG878" s="25"/>
      <c r="BH878" s="25"/>
      <c r="BI878" s="25"/>
      <c r="BJ878" s="25"/>
      <c r="BK878" s="25"/>
      <c r="BL878" s="25"/>
      <c r="BM878" s="25"/>
      <c r="BN878" s="25"/>
      <c r="BO878" s="25"/>
      <c r="BP878" s="25"/>
      <c r="BQ878" s="25"/>
      <c r="BR878" s="25" t="str">
        <f>_xlfn.CONCAT($A879," ",$B879," ",$D879)</f>
        <v>2025 Tesla Cybertruck Long Range</v>
      </c>
      <c r="BS878" s="25"/>
      <c r="BT878" s="25"/>
      <c r="BU878" s="25"/>
      <c r="BV878" s="25"/>
      <c r="BX878" s="25"/>
      <c r="BY878" s="25"/>
      <c r="BZ878" s="25"/>
      <c r="CA878" s="25"/>
      <c r="CB878" s="25"/>
      <c r="CC878" s="25"/>
      <c r="CD878" s="25"/>
      <c r="CE878" s="25"/>
      <c r="CF878" s="25"/>
      <c r="CG878" s="25"/>
      <c r="CH878" s="25"/>
      <c r="CI878" s="25"/>
      <c r="CJ878" s="25"/>
      <c r="CK878" s="25"/>
      <c r="CL878" s="25"/>
      <c r="CM878" s="25"/>
      <c r="CN878" s="25"/>
      <c r="CO878" s="25"/>
      <c r="CP878" s="25" t="str">
        <f>_xlfn.CONCAT($A879," ",$B879," ",$D879)</f>
        <v>2025 Tesla Cybertruck Long Range</v>
      </c>
      <c r="CQ878" s="25"/>
      <c r="CR878" s="25"/>
      <c r="CS878" s="25"/>
      <c r="CT878" s="25"/>
      <c r="CU878" s="25"/>
      <c r="CV878" s="25"/>
      <c r="CW878" s="25"/>
      <c r="CX878" s="25"/>
      <c r="CY878" s="25"/>
      <c r="CZ878" s="25"/>
      <c r="DA878" s="25"/>
      <c r="DB878" s="25"/>
      <c r="DC878" s="25"/>
      <c r="DD878" s="25"/>
      <c r="DE878" s="25"/>
      <c r="DF878" s="25"/>
      <c r="DG878" s="25"/>
      <c r="DH878" s="25"/>
      <c r="DI878" s="25" t="str">
        <f>_xlfn.CONCAT($A879," ",$B879," ",$D879)</f>
        <v>2025 Tesla Cybertruck Long Range</v>
      </c>
      <c r="DJ878" s="25"/>
      <c r="DK878" s="25"/>
      <c r="DL878" s="25"/>
      <c r="DM878" s="25"/>
      <c r="DN878" s="25"/>
      <c r="DO878" s="25"/>
      <c r="DP878" s="25"/>
      <c r="DQ878" s="25"/>
      <c r="DR878" s="25"/>
      <c r="DS878" s="25"/>
      <c r="DT878" s="25"/>
      <c r="DU878" s="25"/>
      <c r="DV878" s="25"/>
      <c r="DW878" s="25"/>
      <c r="DX878" s="25"/>
      <c r="DY878" s="25"/>
      <c r="DZ878" s="25" t="str">
        <f>_xlfn.CONCAT($A879," ",$B879," ",$D879)</f>
        <v>2025 Tesla Cybertruck Long Range</v>
      </c>
      <c r="EB878" s="25"/>
      <c r="EC878" s="25"/>
      <c r="ED878" s="25"/>
      <c r="EE878" s="25"/>
      <c r="EF878" s="25"/>
      <c r="EG878" s="25"/>
      <c r="EH878" s="25"/>
      <c r="EI878" s="25"/>
      <c r="EJ878" s="25"/>
      <c r="EK878" s="25"/>
      <c r="EL878" s="25"/>
      <c r="EM878" s="25"/>
      <c r="EN878" s="25"/>
      <c r="EO878" s="25"/>
      <c r="EP878" s="25"/>
      <c r="EQ878" s="25"/>
      <c r="ER878" s="25"/>
      <c r="ES878" s="25"/>
      <c r="ET878" s="25"/>
      <c r="EU878" s="25"/>
      <c r="EV878" s="25" t="str">
        <f>_xlfn.CONCAT($A879," ",$B879," ",$D879)</f>
        <v>2025 Tesla Cybertruck Long Range</v>
      </c>
      <c r="EW878" s="25"/>
      <c r="EX878" s="25"/>
      <c r="EY878" s="25"/>
      <c r="EZ878" s="25"/>
      <c r="FA878" s="25"/>
      <c r="FB878" s="25"/>
      <c r="FC878" s="25"/>
      <c r="FD878" s="25"/>
      <c r="FE878" s="25"/>
      <c r="FF878" s="25"/>
      <c r="FG878" s="25"/>
    </row>
    <row r="879" spans="1:165" x14ac:dyDescent="0.35">
      <c r="A879">
        <v>2025</v>
      </c>
      <c r="B879" t="s">
        <v>2303</v>
      </c>
      <c r="C879" t="s">
        <v>2304</v>
      </c>
      <c r="D879" t="s">
        <v>2395</v>
      </c>
      <c r="E879" t="s">
        <v>2306</v>
      </c>
      <c r="F879">
        <v>10</v>
      </c>
      <c r="G879">
        <v>0</v>
      </c>
      <c r="I879" t="s">
        <v>1734</v>
      </c>
      <c r="J879">
        <v>93</v>
      </c>
      <c r="K879">
        <v>72</v>
      </c>
      <c r="L879">
        <v>82</v>
      </c>
      <c r="M879">
        <v>133.5</v>
      </c>
      <c r="N879">
        <v>103</v>
      </c>
      <c r="O879">
        <v>117.80249999999999</v>
      </c>
      <c r="P879">
        <v>93.45</v>
      </c>
      <c r="Q879">
        <v>72.099999999999994</v>
      </c>
      <c r="R879">
        <v>82.461799999999997</v>
      </c>
      <c r="V879" t="s">
        <v>167</v>
      </c>
      <c r="W879" t="s">
        <v>168</v>
      </c>
      <c r="Y879">
        <v>1</v>
      </c>
      <c r="Z879" t="s">
        <v>170</v>
      </c>
      <c r="AA879" t="s">
        <v>170</v>
      </c>
      <c r="AB879" t="s">
        <v>171</v>
      </c>
      <c r="AC879" t="s">
        <v>172</v>
      </c>
      <c r="AF879">
        <v>335</v>
      </c>
      <c r="AG879" t="s">
        <v>1735</v>
      </c>
      <c r="AH879" t="s">
        <v>1736</v>
      </c>
      <c r="AI879" t="s">
        <v>175</v>
      </c>
      <c r="AJ879" t="s">
        <v>176</v>
      </c>
      <c r="AK879">
        <v>4</v>
      </c>
      <c r="AL879" t="s">
        <v>1737</v>
      </c>
      <c r="AS879">
        <v>1000</v>
      </c>
      <c r="AT879">
        <v>50</v>
      </c>
      <c r="BQ879">
        <v>12</v>
      </c>
      <c r="BR879" t="s">
        <v>971</v>
      </c>
      <c r="BT879" t="s">
        <v>1769</v>
      </c>
      <c r="BU879" s="1">
        <v>47301</v>
      </c>
      <c r="BV879">
        <v>36575</v>
      </c>
      <c r="BX879" t="s">
        <v>170</v>
      </c>
      <c r="BY879" t="s">
        <v>170</v>
      </c>
      <c r="CB879" t="s">
        <v>170</v>
      </c>
      <c r="CC879" t="s">
        <v>170</v>
      </c>
      <c r="CK879" t="s">
        <v>233</v>
      </c>
      <c r="CM879">
        <v>1</v>
      </c>
      <c r="CN879" t="s">
        <v>234</v>
      </c>
      <c r="CP879">
        <v>710</v>
      </c>
      <c r="CQ879">
        <v>174</v>
      </c>
      <c r="CR879">
        <v>172</v>
      </c>
      <c r="CS879" t="s">
        <v>235</v>
      </c>
      <c r="CV879" t="s">
        <v>341</v>
      </c>
      <c r="CX879" t="s">
        <v>342</v>
      </c>
      <c r="CY879" t="s">
        <v>170</v>
      </c>
      <c r="DC879" t="s">
        <v>2396</v>
      </c>
      <c r="DD879">
        <v>1</v>
      </c>
      <c r="DE879" t="s">
        <v>404</v>
      </c>
      <c r="DF879" t="s">
        <v>2310</v>
      </c>
      <c r="DG879">
        <v>240</v>
      </c>
      <c r="DL879" t="s">
        <v>170</v>
      </c>
      <c r="DM879" t="s">
        <v>169</v>
      </c>
      <c r="DP879" t="s">
        <v>170</v>
      </c>
      <c r="DQ879" t="s">
        <v>187</v>
      </c>
      <c r="DR879" t="s">
        <v>2395</v>
      </c>
      <c r="EB879">
        <v>9</v>
      </c>
      <c r="EC879">
        <v>10</v>
      </c>
      <c r="EE879" t="s">
        <v>2397</v>
      </c>
      <c r="EF879">
        <v>10</v>
      </c>
      <c r="EU879">
        <v>4500</v>
      </c>
      <c r="EW879">
        <v>0</v>
      </c>
      <c r="EX879">
        <v>0</v>
      </c>
      <c r="EY879">
        <v>0</v>
      </c>
      <c r="FA879">
        <v>12</v>
      </c>
      <c r="FG879">
        <v>373</v>
      </c>
      <c r="FH879">
        <v>288</v>
      </c>
      <c r="FI879">
        <v>335</v>
      </c>
    </row>
    <row r="880" spans="1:165" x14ac:dyDescent="0.35">
      <c r="A880">
        <v>2025</v>
      </c>
      <c r="B880" t="s">
        <v>2303</v>
      </c>
      <c r="C880" t="s">
        <v>2304</v>
      </c>
      <c r="D880" t="s">
        <v>2395</v>
      </c>
      <c r="E880" t="s">
        <v>2306</v>
      </c>
      <c r="F880">
        <v>10</v>
      </c>
      <c r="G880">
        <v>0</v>
      </c>
      <c r="I880" t="s">
        <v>1734</v>
      </c>
      <c r="J880">
        <v>36</v>
      </c>
      <c r="K880">
        <v>47</v>
      </c>
      <c r="L880">
        <v>41</v>
      </c>
      <c r="M880">
        <v>25.2378</v>
      </c>
      <c r="N880">
        <v>32.734299999999998</v>
      </c>
      <c r="O880">
        <v>28.6112</v>
      </c>
      <c r="P880">
        <v>36.067399999999999</v>
      </c>
      <c r="Q880">
        <v>46.747599999999998</v>
      </c>
      <c r="R880">
        <v>40.8735</v>
      </c>
      <c r="V880" t="s">
        <v>167</v>
      </c>
      <c r="W880" t="s">
        <v>168</v>
      </c>
      <c r="Y880">
        <v>1</v>
      </c>
      <c r="Z880" t="s">
        <v>170</v>
      </c>
      <c r="AA880" t="s">
        <v>170</v>
      </c>
      <c r="AB880" t="s">
        <v>171</v>
      </c>
      <c r="AC880" t="s">
        <v>172</v>
      </c>
      <c r="AF880">
        <v>335</v>
      </c>
      <c r="AG880" t="s">
        <v>1735</v>
      </c>
      <c r="AH880" t="s">
        <v>1736</v>
      </c>
      <c r="AI880" t="s">
        <v>1742</v>
      </c>
      <c r="AJ880" t="s">
        <v>1743</v>
      </c>
      <c r="AK880">
        <v>4</v>
      </c>
      <c r="AL880" t="s">
        <v>1737</v>
      </c>
      <c r="AS880">
        <v>1000</v>
      </c>
      <c r="AT880">
        <v>1000</v>
      </c>
      <c r="BQ880">
        <v>12</v>
      </c>
      <c r="BR880" t="s">
        <v>971</v>
      </c>
      <c r="BT880" t="s">
        <v>1769</v>
      </c>
      <c r="BU880" s="1">
        <v>47301</v>
      </c>
      <c r="BV880">
        <v>36575</v>
      </c>
      <c r="BX880" t="s">
        <v>170</v>
      </c>
      <c r="BY880" t="s">
        <v>170</v>
      </c>
      <c r="CB880" t="s">
        <v>170</v>
      </c>
      <c r="CC880" t="s">
        <v>170</v>
      </c>
      <c r="CK880" t="s">
        <v>233</v>
      </c>
      <c r="CM880">
        <v>1</v>
      </c>
      <c r="CN880" t="s">
        <v>234</v>
      </c>
      <c r="CP880">
        <v>710</v>
      </c>
      <c r="CQ880">
        <v>174</v>
      </c>
      <c r="CR880">
        <v>172</v>
      </c>
      <c r="CS880" t="s">
        <v>235</v>
      </c>
      <c r="CV880" t="s">
        <v>341</v>
      </c>
      <c r="CX880" t="s">
        <v>342</v>
      </c>
      <c r="CY880" t="s">
        <v>170</v>
      </c>
      <c r="DC880" t="s">
        <v>2396</v>
      </c>
      <c r="DD880">
        <v>1</v>
      </c>
      <c r="DE880" t="s">
        <v>404</v>
      </c>
      <c r="DF880" t="s">
        <v>2310</v>
      </c>
      <c r="DG880">
        <v>240</v>
      </c>
      <c r="DL880" t="s">
        <v>170</v>
      </c>
      <c r="DM880" t="s">
        <v>169</v>
      </c>
      <c r="DP880" t="s">
        <v>170</v>
      </c>
      <c r="DQ880" t="s">
        <v>187</v>
      </c>
      <c r="DR880" t="s">
        <v>2395</v>
      </c>
      <c r="EB880">
        <v>9</v>
      </c>
      <c r="EC880">
        <v>10</v>
      </c>
      <c r="EE880" t="s">
        <v>2397</v>
      </c>
      <c r="EF880">
        <v>10</v>
      </c>
      <c r="EU880">
        <v>4500</v>
      </c>
      <c r="EW880">
        <v>0</v>
      </c>
      <c r="EX880">
        <v>0</v>
      </c>
      <c r="EY880">
        <v>0</v>
      </c>
      <c r="FA880">
        <v>12</v>
      </c>
      <c r="FG880">
        <v>373</v>
      </c>
      <c r="FH880">
        <v>288</v>
      </c>
      <c r="FI880">
        <v>335</v>
      </c>
    </row>
    <row r="881" spans="1:165" x14ac:dyDescent="0.35">
      <c r="A881" s="25"/>
      <c r="B881" s="25"/>
      <c r="C881" s="25"/>
      <c r="D881" s="25"/>
      <c r="E881" s="25"/>
      <c r="F881" s="25" t="str">
        <f>_xlfn.CONCAT($A882," ",$B882," ",$D882)</f>
        <v>2025 Tesla Cybertruck Long Range (20" Cyber wheels)</v>
      </c>
      <c r="G881" s="25"/>
      <c r="H881" s="25"/>
      <c r="I881" s="25"/>
      <c r="J881" s="25"/>
      <c r="K881" s="25"/>
      <c r="L881" s="25"/>
      <c r="M881" s="25"/>
      <c r="N881" s="25"/>
      <c r="O881" s="25"/>
      <c r="P881" s="25"/>
      <c r="Q881" s="25"/>
      <c r="R881" s="25"/>
      <c r="S881" s="25"/>
      <c r="T881" s="25"/>
      <c r="U881" s="25"/>
      <c r="V881" s="25"/>
      <c r="W881" s="25"/>
      <c r="X881" s="25"/>
      <c r="Y881" s="25"/>
      <c r="Z881" s="25"/>
      <c r="AA881" s="25"/>
      <c r="AB881" s="25"/>
      <c r="AC881" s="25"/>
      <c r="AD881" s="25" t="str">
        <f>_xlfn.CONCAT($A882," ",$B882," ",$D882)</f>
        <v>2025 Tesla Cybertruck Long Range (20" Cyber wheels)</v>
      </c>
      <c r="AE881" s="25"/>
      <c r="AF881" s="25"/>
      <c r="AG881" s="25"/>
      <c r="AH881" s="25"/>
      <c r="AI881" s="25"/>
      <c r="AJ881" s="25"/>
      <c r="AK881" s="25"/>
      <c r="AL881" s="25"/>
      <c r="AM881" s="25"/>
      <c r="AN881" s="25"/>
      <c r="AO881" s="25"/>
      <c r="AP881" s="25"/>
      <c r="AQ881" s="25"/>
      <c r="AR881" s="25"/>
      <c r="AS881" s="25"/>
      <c r="AT881" s="25"/>
      <c r="AU881" s="25"/>
      <c r="AV881" s="25"/>
      <c r="AW881" s="25"/>
      <c r="AX881" s="25" t="str">
        <f>_xlfn.CONCAT($A882," ",$B882," ",$D882)</f>
        <v>2025 Tesla Cybertruck Long Range (20" Cyber wheels)</v>
      </c>
      <c r="AY881" s="25"/>
      <c r="AZ881" s="25"/>
      <c r="BA881" s="25"/>
      <c r="BB881" s="25"/>
      <c r="BC881" s="25"/>
      <c r="BD881" s="25"/>
      <c r="BE881" s="25"/>
      <c r="BF881" s="25"/>
      <c r="BG881" s="25"/>
      <c r="BH881" s="25"/>
      <c r="BI881" s="25"/>
      <c r="BJ881" s="25"/>
      <c r="BK881" s="25"/>
      <c r="BL881" s="25"/>
      <c r="BM881" s="25"/>
      <c r="BN881" s="25"/>
      <c r="BO881" s="25"/>
      <c r="BP881" s="25"/>
      <c r="BQ881" s="25"/>
      <c r="BR881" s="25" t="str">
        <f>_xlfn.CONCAT($A882," ",$B882," ",$D882)</f>
        <v>2025 Tesla Cybertruck Long Range (20" Cyber wheels)</v>
      </c>
      <c r="BS881" s="25"/>
      <c r="BT881" s="25"/>
      <c r="BU881" s="25"/>
      <c r="BV881" s="25"/>
      <c r="BX881" s="25"/>
      <c r="BY881" s="25"/>
      <c r="BZ881" s="25"/>
      <c r="CA881" s="25"/>
      <c r="CB881" s="25"/>
      <c r="CC881" s="25"/>
      <c r="CD881" s="25"/>
      <c r="CE881" s="25"/>
      <c r="CF881" s="25"/>
      <c r="CG881" s="25"/>
      <c r="CH881" s="25"/>
      <c r="CI881" s="25"/>
      <c r="CJ881" s="25"/>
      <c r="CK881" s="25"/>
      <c r="CL881" s="25"/>
      <c r="CM881" s="25"/>
      <c r="CN881" s="25"/>
      <c r="CO881" s="25"/>
      <c r="CP881" s="25" t="str">
        <f>_xlfn.CONCAT($A882," ",$B882," ",$D882)</f>
        <v>2025 Tesla Cybertruck Long Range (20" Cyber wheels)</v>
      </c>
      <c r="CQ881" s="25"/>
      <c r="CR881" s="25"/>
      <c r="CS881" s="25"/>
      <c r="CT881" s="25"/>
      <c r="CU881" s="25"/>
      <c r="CV881" s="25"/>
      <c r="CW881" s="25"/>
      <c r="CX881" s="25"/>
      <c r="CY881" s="25"/>
      <c r="CZ881" s="25"/>
      <c r="DA881" s="25"/>
      <c r="DB881" s="25"/>
      <c r="DC881" s="25"/>
      <c r="DD881" s="25"/>
      <c r="DE881" s="25"/>
      <c r="DF881" s="25"/>
      <c r="DG881" s="25"/>
      <c r="DH881" s="25"/>
      <c r="DI881" s="25" t="str">
        <f>_xlfn.CONCAT($A882," ",$B882," ",$D882)</f>
        <v>2025 Tesla Cybertruck Long Range (20" Cyber wheels)</v>
      </c>
      <c r="DJ881" s="25"/>
      <c r="DK881" s="25"/>
      <c r="DL881" s="25"/>
      <c r="DM881" s="25"/>
      <c r="DN881" s="25"/>
      <c r="DO881" s="25"/>
      <c r="DP881" s="25"/>
      <c r="DQ881" s="25"/>
      <c r="DR881" s="25"/>
      <c r="DS881" s="25"/>
      <c r="DT881" s="25"/>
      <c r="DU881" s="25"/>
      <c r="DV881" s="25"/>
      <c r="DW881" s="25"/>
      <c r="DX881" s="25"/>
      <c r="DY881" s="25"/>
      <c r="DZ881" s="25" t="str">
        <f>_xlfn.CONCAT($A882," ",$B882," ",$D882)</f>
        <v>2025 Tesla Cybertruck Long Range (20" Cyber wheels)</v>
      </c>
      <c r="EB881" s="25"/>
      <c r="EC881" s="25"/>
      <c r="ED881" s="25"/>
      <c r="EE881" s="25"/>
      <c r="EF881" s="25"/>
      <c r="EG881" s="25"/>
      <c r="EH881" s="25"/>
      <c r="EI881" s="25"/>
      <c r="EJ881" s="25"/>
      <c r="EK881" s="25"/>
      <c r="EL881" s="25"/>
      <c r="EM881" s="25"/>
      <c r="EN881" s="25"/>
      <c r="EO881" s="25"/>
      <c r="EP881" s="25"/>
      <c r="EQ881" s="25"/>
      <c r="ER881" s="25"/>
      <c r="ES881" s="25"/>
      <c r="ET881" s="25"/>
      <c r="EU881" s="25"/>
      <c r="EV881" s="25" t="str">
        <f>_xlfn.CONCAT($A882," ",$B882," ",$D882)</f>
        <v>2025 Tesla Cybertruck Long Range (20" Cyber wheels)</v>
      </c>
      <c r="EW881" s="25"/>
      <c r="EX881" s="25"/>
      <c r="EY881" s="25"/>
      <c r="EZ881" s="25"/>
      <c r="FA881" s="25"/>
      <c r="FB881" s="25"/>
      <c r="FC881" s="25"/>
      <c r="FD881" s="25"/>
      <c r="FE881" s="25"/>
      <c r="FF881" s="25"/>
      <c r="FG881" s="25"/>
    </row>
    <row r="882" spans="1:165" x14ac:dyDescent="0.35">
      <c r="A882">
        <v>2025</v>
      </c>
      <c r="B882" t="s">
        <v>2303</v>
      </c>
      <c r="C882" t="s">
        <v>2304</v>
      </c>
      <c r="D882" t="s">
        <v>2398</v>
      </c>
      <c r="E882" t="s">
        <v>2306</v>
      </c>
      <c r="F882">
        <v>11</v>
      </c>
      <c r="G882">
        <v>0</v>
      </c>
      <c r="I882" t="s">
        <v>1734</v>
      </c>
      <c r="J882">
        <v>89</v>
      </c>
      <c r="K882">
        <v>67</v>
      </c>
      <c r="L882">
        <v>78</v>
      </c>
      <c r="M882">
        <v>127.7</v>
      </c>
      <c r="N882">
        <v>95.8</v>
      </c>
      <c r="O882">
        <v>111.0586</v>
      </c>
      <c r="P882">
        <v>89.39</v>
      </c>
      <c r="Q882">
        <v>67.06</v>
      </c>
      <c r="R882">
        <v>77.741</v>
      </c>
      <c r="V882" t="s">
        <v>167</v>
      </c>
      <c r="W882" t="s">
        <v>168</v>
      </c>
      <c r="Y882">
        <v>1</v>
      </c>
      <c r="Z882" t="s">
        <v>170</v>
      </c>
      <c r="AA882" t="s">
        <v>170</v>
      </c>
      <c r="AB882" t="s">
        <v>171</v>
      </c>
      <c r="AC882" t="s">
        <v>172</v>
      </c>
      <c r="AF882">
        <v>335</v>
      </c>
      <c r="AG882" t="s">
        <v>1735</v>
      </c>
      <c r="AH882" t="s">
        <v>1736</v>
      </c>
      <c r="AI882" t="s">
        <v>175</v>
      </c>
      <c r="AJ882" t="s">
        <v>176</v>
      </c>
      <c r="AK882">
        <v>4</v>
      </c>
      <c r="AL882" t="s">
        <v>1737</v>
      </c>
      <c r="AS882">
        <v>1050</v>
      </c>
      <c r="AT882">
        <v>50</v>
      </c>
      <c r="BQ882">
        <v>12</v>
      </c>
      <c r="BR882" t="s">
        <v>971</v>
      </c>
      <c r="BT882" t="s">
        <v>1769</v>
      </c>
      <c r="BU882" s="1">
        <v>47247</v>
      </c>
      <c r="BV882">
        <v>36539</v>
      </c>
      <c r="BX882" t="s">
        <v>170</v>
      </c>
      <c r="BY882" t="s">
        <v>170</v>
      </c>
      <c r="CB882" t="s">
        <v>170</v>
      </c>
      <c r="CC882" t="s">
        <v>170</v>
      </c>
      <c r="CK882" t="s">
        <v>233</v>
      </c>
      <c r="CM882">
        <v>1</v>
      </c>
      <c r="CN882" t="s">
        <v>234</v>
      </c>
      <c r="CP882">
        <v>710</v>
      </c>
      <c r="CQ882">
        <v>174</v>
      </c>
      <c r="CR882">
        <v>172</v>
      </c>
      <c r="CS882" t="s">
        <v>235</v>
      </c>
      <c r="CV882" t="s">
        <v>341</v>
      </c>
      <c r="CX882" t="s">
        <v>342</v>
      </c>
      <c r="CY882" t="s">
        <v>170</v>
      </c>
      <c r="DC882" t="s">
        <v>2396</v>
      </c>
      <c r="DD882">
        <v>1</v>
      </c>
      <c r="DE882" t="s">
        <v>404</v>
      </c>
      <c r="DF882" t="s">
        <v>2310</v>
      </c>
      <c r="DG882">
        <v>240</v>
      </c>
      <c r="DL882" t="s">
        <v>170</v>
      </c>
      <c r="DM882" t="s">
        <v>169</v>
      </c>
      <c r="DP882" t="s">
        <v>170</v>
      </c>
      <c r="DQ882" t="s">
        <v>187</v>
      </c>
      <c r="DR882" t="s">
        <v>2399</v>
      </c>
      <c r="EB882">
        <v>9</v>
      </c>
      <c r="EC882">
        <v>10</v>
      </c>
      <c r="EE882" t="s">
        <v>2397</v>
      </c>
      <c r="EF882">
        <v>10</v>
      </c>
      <c r="EU882">
        <v>4250</v>
      </c>
      <c r="EW882">
        <v>0</v>
      </c>
      <c r="EX882">
        <v>0</v>
      </c>
      <c r="EY882">
        <v>0</v>
      </c>
      <c r="FA882">
        <v>12</v>
      </c>
      <c r="FG882">
        <v>377</v>
      </c>
      <c r="FH882">
        <v>283</v>
      </c>
      <c r="FI882">
        <v>335</v>
      </c>
    </row>
    <row r="883" spans="1:165" x14ac:dyDescent="0.35">
      <c r="A883">
        <v>2025</v>
      </c>
      <c r="B883" t="s">
        <v>2303</v>
      </c>
      <c r="C883" t="s">
        <v>2304</v>
      </c>
      <c r="D883" t="s">
        <v>2398</v>
      </c>
      <c r="E883" t="s">
        <v>2306</v>
      </c>
      <c r="F883">
        <v>11</v>
      </c>
      <c r="G883">
        <v>0</v>
      </c>
      <c r="I883" t="s">
        <v>1734</v>
      </c>
      <c r="J883">
        <v>38</v>
      </c>
      <c r="K883">
        <v>50</v>
      </c>
      <c r="L883">
        <v>43</v>
      </c>
      <c r="M883">
        <v>26.3843</v>
      </c>
      <c r="N883">
        <v>35.178800000000003</v>
      </c>
      <c r="O883">
        <v>30.341799999999999</v>
      </c>
      <c r="P883">
        <v>37.705599999999997</v>
      </c>
      <c r="Q883">
        <v>50.261000000000003</v>
      </c>
      <c r="R883">
        <v>43.355499999999999</v>
      </c>
      <c r="V883" t="s">
        <v>167</v>
      </c>
      <c r="W883" t="s">
        <v>168</v>
      </c>
      <c r="Y883">
        <v>1</v>
      </c>
      <c r="Z883" t="s">
        <v>170</v>
      </c>
      <c r="AA883" t="s">
        <v>170</v>
      </c>
      <c r="AB883" t="s">
        <v>171</v>
      </c>
      <c r="AC883" t="s">
        <v>172</v>
      </c>
      <c r="AF883">
        <v>335</v>
      </c>
      <c r="AG883" t="s">
        <v>1735</v>
      </c>
      <c r="AH883" t="s">
        <v>1736</v>
      </c>
      <c r="AI883" t="s">
        <v>1742</v>
      </c>
      <c r="AJ883" t="s">
        <v>1743</v>
      </c>
      <c r="AK883">
        <v>4</v>
      </c>
      <c r="AL883" t="s">
        <v>1737</v>
      </c>
      <c r="AS883">
        <v>1050</v>
      </c>
      <c r="AT883">
        <v>1050</v>
      </c>
      <c r="BQ883">
        <v>12</v>
      </c>
      <c r="BR883" t="s">
        <v>971</v>
      </c>
      <c r="BT883" t="s">
        <v>1769</v>
      </c>
      <c r="BU883" s="1">
        <v>47247</v>
      </c>
      <c r="BV883">
        <v>36539</v>
      </c>
      <c r="BX883" t="s">
        <v>170</v>
      </c>
      <c r="BY883" t="s">
        <v>170</v>
      </c>
      <c r="CB883" t="s">
        <v>170</v>
      </c>
      <c r="CC883" t="s">
        <v>170</v>
      </c>
      <c r="CK883" t="s">
        <v>233</v>
      </c>
      <c r="CM883">
        <v>1</v>
      </c>
      <c r="CN883" t="s">
        <v>234</v>
      </c>
      <c r="CP883">
        <v>710</v>
      </c>
      <c r="CQ883">
        <v>174</v>
      </c>
      <c r="CR883">
        <v>172</v>
      </c>
      <c r="CS883" t="s">
        <v>235</v>
      </c>
      <c r="CV883" t="s">
        <v>341</v>
      </c>
      <c r="CX883" t="s">
        <v>342</v>
      </c>
      <c r="CY883" t="s">
        <v>170</v>
      </c>
      <c r="DC883" t="s">
        <v>2396</v>
      </c>
      <c r="DD883">
        <v>1</v>
      </c>
      <c r="DE883" t="s">
        <v>404</v>
      </c>
      <c r="DF883" t="s">
        <v>2310</v>
      </c>
      <c r="DG883">
        <v>240</v>
      </c>
      <c r="DL883" t="s">
        <v>170</v>
      </c>
      <c r="DM883" t="s">
        <v>169</v>
      </c>
      <c r="DP883" t="s">
        <v>170</v>
      </c>
      <c r="DQ883" t="s">
        <v>187</v>
      </c>
      <c r="DR883" t="s">
        <v>2399</v>
      </c>
      <c r="EB883">
        <v>9</v>
      </c>
      <c r="EC883">
        <v>10</v>
      </c>
      <c r="EE883" t="s">
        <v>2397</v>
      </c>
      <c r="EF883">
        <v>10</v>
      </c>
      <c r="EU883">
        <v>4250</v>
      </c>
      <c r="EW883">
        <v>0</v>
      </c>
      <c r="EX883">
        <v>0</v>
      </c>
      <c r="EY883">
        <v>0</v>
      </c>
      <c r="FA883">
        <v>12</v>
      </c>
      <c r="FG883">
        <v>377</v>
      </c>
      <c r="FH883">
        <v>283</v>
      </c>
      <c r="FI883">
        <v>335</v>
      </c>
    </row>
    <row r="884" spans="1:165" x14ac:dyDescent="0.35">
      <c r="A884" s="25"/>
      <c r="B884" s="25"/>
      <c r="C884" s="25"/>
      <c r="D884" s="25"/>
      <c r="E884" s="25"/>
      <c r="F884" s="25" t="str">
        <f>_xlfn.CONCAT($A885," ",$B885," ",$D885)</f>
        <v>2025 Tesla Cybertruck AWD</v>
      </c>
      <c r="G884" s="25"/>
      <c r="H884" s="25"/>
      <c r="I884" s="25"/>
      <c r="J884" s="25"/>
      <c r="K884" s="25"/>
      <c r="L884" s="25"/>
      <c r="M884" s="25"/>
      <c r="N884" s="25"/>
      <c r="O884" s="25"/>
      <c r="P884" s="25"/>
      <c r="Q884" s="25"/>
      <c r="R884" s="25"/>
      <c r="S884" s="25"/>
      <c r="T884" s="25"/>
      <c r="U884" s="25"/>
      <c r="V884" s="25"/>
      <c r="W884" s="25"/>
      <c r="X884" s="25"/>
      <c r="Y884" s="25"/>
      <c r="Z884" s="25"/>
      <c r="AA884" s="25"/>
      <c r="AB884" s="25"/>
      <c r="AC884" s="25"/>
      <c r="AD884" s="25" t="str">
        <f>_xlfn.CONCAT($A885," ",$B885," ",$D885)</f>
        <v>2025 Tesla Cybertruck AWD</v>
      </c>
      <c r="AE884" s="25"/>
      <c r="AF884" s="25"/>
      <c r="AG884" s="25"/>
      <c r="AH884" s="25"/>
      <c r="AI884" s="25"/>
      <c r="AJ884" s="25"/>
      <c r="AK884" s="25"/>
      <c r="AL884" s="25"/>
      <c r="AM884" s="25"/>
      <c r="AN884" s="25"/>
      <c r="AO884" s="25"/>
      <c r="AP884" s="25"/>
      <c r="AQ884" s="25"/>
      <c r="AR884" s="25"/>
      <c r="AS884" s="25"/>
      <c r="AT884" s="25"/>
      <c r="AU884" s="25"/>
      <c r="AV884" s="25"/>
      <c r="AW884" s="25"/>
      <c r="AX884" s="25" t="str">
        <f>_xlfn.CONCAT($A885," ",$B885," ",$D885)</f>
        <v>2025 Tesla Cybertruck AWD</v>
      </c>
      <c r="AY884" s="25"/>
      <c r="AZ884" s="25"/>
      <c r="BA884" s="25"/>
      <c r="BB884" s="25"/>
      <c r="BC884" s="25"/>
      <c r="BD884" s="25"/>
      <c r="BE884" s="25"/>
      <c r="BF884" s="25"/>
      <c r="BG884" s="25"/>
      <c r="BH884" s="25"/>
      <c r="BI884" s="25"/>
      <c r="BJ884" s="25"/>
      <c r="BK884" s="25"/>
      <c r="BL884" s="25"/>
      <c r="BM884" s="25"/>
      <c r="BN884" s="25"/>
      <c r="BO884" s="25"/>
      <c r="BP884" s="25"/>
      <c r="BQ884" s="25"/>
      <c r="BR884" s="25" t="str">
        <f>_xlfn.CONCAT($A885," ",$B885," ",$D885)</f>
        <v>2025 Tesla Cybertruck AWD</v>
      </c>
      <c r="BS884" s="25"/>
      <c r="BT884" s="25"/>
      <c r="BU884" s="25"/>
      <c r="BV884" s="25"/>
      <c r="BX884" s="25"/>
      <c r="BY884" s="25"/>
      <c r="BZ884" s="25"/>
      <c r="CA884" s="25"/>
      <c r="CB884" s="25"/>
      <c r="CC884" s="25"/>
      <c r="CD884" s="25"/>
      <c r="CE884" s="25"/>
      <c r="CF884" s="25"/>
      <c r="CG884" s="25"/>
      <c r="CH884" s="25"/>
      <c r="CI884" s="25"/>
      <c r="CJ884" s="25"/>
      <c r="CK884" s="25"/>
      <c r="CL884" s="25"/>
      <c r="CM884" s="25"/>
      <c r="CN884" s="25"/>
      <c r="CO884" s="25"/>
      <c r="CP884" s="25" t="str">
        <f>_xlfn.CONCAT($A885," ",$B885," ",$D885)</f>
        <v>2025 Tesla Cybertruck AWD</v>
      </c>
      <c r="CQ884" s="25"/>
      <c r="CR884" s="25"/>
      <c r="CS884" s="25"/>
      <c r="CT884" s="25"/>
      <c r="CU884" s="25"/>
      <c r="CV884" s="25"/>
      <c r="CW884" s="25"/>
      <c r="CX884" s="25"/>
      <c r="CY884" s="25"/>
      <c r="CZ884" s="25"/>
      <c r="DA884" s="25"/>
      <c r="DB884" s="25"/>
      <c r="DC884" s="25"/>
      <c r="DD884" s="25"/>
      <c r="DE884" s="25"/>
      <c r="DF884" s="25"/>
      <c r="DG884" s="25"/>
      <c r="DH884" s="25"/>
      <c r="DI884" s="25" t="str">
        <f>_xlfn.CONCAT($A885," ",$B885," ",$D885)</f>
        <v>2025 Tesla Cybertruck AWD</v>
      </c>
      <c r="DJ884" s="25"/>
      <c r="DK884" s="25"/>
      <c r="DL884" s="25"/>
      <c r="DM884" s="25"/>
      <c r="DN884" s="25"/>
      <c r="DO884" s="25"/>
      <c r="DP884" s="25"/>
      <c r="DQ884" s="25"/>
      <c r="DR884" s="25"/>
      <c r="DS884" s="25"/>
      <c r="DT884" s="25"/>
      <c r="DU884" s="25"/>
      <c r="DV884" s="25"/>
      <c r="DW884" s="25"/>
      <c r="DX884" s="25"/>
      <c r="DY884" s="25"/>
      <c r="DZ884" s="25" t="str">
        <f>_xlfn.CONCAT($A885," ",$B885," ",$D885)</f>
        <v>2025 Tesla Cybertruck AWD</v>
      </c>
      <c r="EB884" s="25"/>
      <c r="EC884" s="25"/>
      <c r="ED884" s="25"/>
      <c r="EE884" s="25"/>
      <c r="EF884" s="25"/>
      <c r="EG884" s="25"/>
      <c r="EH884" s="25"/>
      <c r="EI884" s="25"/>
      <c r="EJ884" s="25"/>
      <c r="EK884" s="25"/>
      <c r="EL884" s="25"/>
      <c r="EM884" s="25"/>
      <c r="EN884" s="25"/>
      <c r="EO884" s="25"/>
      <c r="EP884" s="25"/>
      <c r="EQ884" s="25"/>
      <c r="ER884" s="25"/>
      <c r="ES884" s="25"/>
      <c r="ET884" s="25"/>
      <c r="EU884" s="25"/>
      <c r="EV884" s="25" t="str">
        <f>_xlfn.CONCAT($A885," ",$B885," ",$D885)</f>
        <v>2025 Tesla Cybertruck AWD</v>
      </c>
      <c r="EW884" s="25"/>
      <c r="EX884" s="25"/>
      <c r="EY884" s="25"/>
      <c r="EZ884" s="25"/>
      <c r="FA884" s="25"/>
      <c r="FB884" s="25"/>
      <c r="FC884" s="25"/>
      <c r="FD884" s="25"/>
      <c r="FE884" s="25"/>
      <c r="FF884" s="25"/>
      <c r="FG884" s="25"/>
    </row>
    <row r="885" spans="1:165" x14ac:dyDescent="0.35">
      <c r="A885">
        <v>2025</v>
      </c>
      <c r="B885" t="s">
        <v>2303</v>
      </c>
      <c r="C885" t="s">
        <v>2304</v>
      </c>
      <c r="D885" t="s">
        <v>2305</v>
      </c>
      <c r="E885" t="s">
        <v>2306</v>
      </c>
      <c r="F885">
        <v>12</v>
      </c>
      <c r="G885">
        <v>0</v>
      </c>
      <c r="I885" t="s">
        <v>1734</v>
      </c>
      <c r="J885">
        <v>85</v>
      </c>
      <c r="K885">
        <v>72</v>
      </c>
      <c r="L885">
        <v>79</v>
      </c>
      <c r="M885">
        <v>116.6</v>
      </c>
      <c r="N885">
        <v>99.7</v>
      </c>
      <c r="O885">
        <v>108.33620000000001</v>
      </c>
      <c r="P885">
        <v>84.547799999999995</v>
      </c>
      <c r="Q885">
        <v>72.293499999999995</v>
      </c>
      <c r="R885">
        <v>78.555700000000002</v>
      </c>
      <c r="V885" t="s">
        <v>167</v>
      </c>
      <c r="W885" t="s">
        <v>168</v>
      </c>
      <c r="Y885">
        <v>1</v>
      </c>
      <c r="Z885" t="s">
        <v>170</v>
      </c>
      <c r="AA885" t="s">
        <v>170</v>
      </c>
      <c r="AB885" t="s">
        <v>167</v>
      </c>
      <c r="AC885" t="s">
        <v>213</v>
      </c>
      <c r="AF885">
        <v>325</v>
      </c>
      <c r="AG885" t="s">
        <v>1735</v>
      </c>
      <c r="AH885" t="s">
        <v>1736</v>
      </c>
      <c r="AI885" t="s">
        <v>175</v>
      </c>
      <c r="AJ885" t="s">
        <v>176</v>
      </c>
      <c r="AK885">
        <v>4</v>
      </c>
      <c r="AL885" t="s">
        <v>1737</v>
      </c>
      <c r="AS885">
        <v>1050</v>
      </c>
      <c r="AT885">
        <v>50</v>
      </c>
      <c r="BQ885">
        <v>13</v>
      </c>
      <c r="BR885" t="s">
        <v>1016</v>
      </c>
      <c r="BT885" t="s">
        <v>1769</v>
      </c>
      <c r="BU885" s="1">
        <v>45737</v>
      </c>
      <c r="BV885">
        <v>36270</v>
      </c>
      <c r="BX885" t="s">
        <v>170</v>
      </c>
      <c r="BY885" t="s">
        <v>170</v>
      </c>
      <c r="CB885" t="s">
        <v>170</v>
      </c>
      <c r="CC885" t="s">
        <v>170</v>
      </c>
      <c r="CK885" t="s">
        <v>233</v>
      </c>
      <c r="CM885">
        <v>1</v>
      </c>
      <c r="CN885" t="s">
        <v>234</v>
      </c>
      <c r="CP885">
        <v>710</v>
      </c>
      <c r="CQ885">
        <v>174</v>
      </c>
      <c r="CR885">
        <v>172</v>
      </c>
      <c r="CS885" t="s">
        <v>235</v>
      </c>
      <c r="CV885" t="s">
        <v>341</v>
      </c>
      <c r="CX885" t="s">
        <v>342</v>
      </c>
      <c r="CY885" t="s">
        <v>170</v>
      </c>
      <c r="DC885" t="s">
        <v>2307</v>
      </c>
      <c r="DD885">
        <v>2</v>
      </c>
      <c r="DE885" t="s">
        <v>237</v>
      </c>
      <c r="DG885" t="s">
        <v>2308</v>
      </c>
      <c r="DL885" t="s">
        <v>170</v>
      </c>
      <c r="DM885" t="s">
        <v>169</v>
      </c>
      <c r="DP885" t="s">
        <v>170</v>
      </c>
      <c r="DQ885" t="s">
        <v>187</v>
      </c>
      <c r="DR885" t="s">
        <v>2305</v>
      </c>
      <c r="EB885">
        <v>9</v>
      </c>
      <c r="EC885">
        <v>10</v>
      </c>
      <c r="EE885" t="s">
        <v>2309</v>
      </c>
      <c r="EF885">
        <v>10</v>
      </c>
      <c r="EU885">
        <v>4250</v>
      </c>
      <c r="EW885">
        <v>0</v>
      </c>
      <c r="EX885">
        <v>0</v>
      </c>
      <c r="EY885">
        <v>0</v>
      </c>
      <c r="FA885">
        <v>11.7</v>
      </c>
      <c r="FG885">
        <v>348</v>
      </c>
      <c r="FH885">
        <v>297</v>
      </c>
      <c r="FI885">
        <v>325</v>
      </c>
    </row>
    <row r="886" spans="1:165" x14ac:dyDescent="0.35">
      <c r="A886">
        <v>2025</v>
      </c>
      <c r="B886" t="s">
        <v>2303</v>
      </c>
      <c r="C886" t="s">
        <v>2304</v>
      </c>
      <c r="D886" t="s">
        <v>2305</v>
      </c>
      <c r="E886" t="s">
        <v>2306</v>
      </c>
      <c r="F886">
        <v>12</v>
      </c>
      <c r="G886">
        <v>0</v>
      </c>
      <c r="I886" t="s">
        <v>1734</v>
      </c>
      <c r="J886">
        <v>40</v>
      </c>
      <c r="K886">
        <v>47</v>
      </c>
      <c r="L886">
        <v>43</v>
      </c>
      <c r="M886">
        <v>28.896100000000001</v>
      </c>
      <c r="N886">
        <v>33.798900000000003</v>
      </c>
      <c r="O886">
        <v>31.102399999999999</v>
      </c>
      <c r="P886">
        <v>39.865000000000002</v>
      </c>
      <c r="Q886">
        <v>46.622500000000002</v>
      </c>
      <c r="R886">
        <v>42.905900000000003</v>
      </c>
      <c r="V886" t="s">
        <v>167</v>
      </c>
      <c r="W886" t="s">
        <v>168</v>
      </c>
      <c r="Y886">
        <v>1</v>
      </c>
      <c r="Z886" t="s">
        <v>170</v>
      </c>
      <c r="AA886" t="s">
        <v>170</v>
      </c>
      <c r="AB886" t="s">
        <v>167</v>
      </c>
      <c r="AC886" t="s">
        <v>213</v>
      </c>
      <c r="AF886">
        <v>325</v>
      </c>
      <c r="AG886" t="s">
        <v>1735</v>
      </c>
      <c r="AH886" t="s">
        <v>1736</v>
      </c>
      <c r="AI886" t="s">
        <v>1742</v>
      </c>
      <c r="AJ886" t="s">
        <v>1743</v>
      </c>
      <c r="AK886">
        <v>4</v>
      </c>
      <c r="AL886" t="s">
        <v>1737</v>
      </c>
      <c r="AS886">
        <v>1050</v>
      </c>
      <c r="AT886">
        <v>1050</v>
      </c>
      <c r="BQ886">
        <v>13</v>
      </c>
      <c r="BR886" t="s">
        <v>1016</v>
      </c>
      <c r="BT886" t="s">
        <v>1769</v>
      </c>
      <c r="BU886" s="1">
        <v>45737</v>
      </c>
      <c r="BV886">
        <v>36270</v>
      </c>
      <c r="BX886" t="s">
        <v>170</v>
      </c>
      <c r="BY886" t="s">
        <v>170</v>
      </c>
      <c r="CB886" t="s">
        <v>170</v>
      </c>
      <c r="CC886" t="s">
        <v>170</v>
      </c>
      <c r="CK886" t="s">
        <v>233</v>
      </c>
      <c r="CM886">
        <v>1</v>
      </c>
      <c r="CN886" t="s">
        <v>234</v>
      </c>
      <c r="CP886">
        <v>710</v>
      </c>
      <c r="CQ886">
        <v>174</v>
      </c>
      <c r="CR886">
        <v>172</v>
      </c>
      <c r="CS886" t="s">
        <v>235</v>
      </c>
      <c r="CV886" t="s">
        <v>341</v>
      </c>
      <c r="CX886" t="s">
        <v>342</v>
      </c>
      <c r="CY886" t="s">
        <v>170</v>
      </c>
      <c r="DC886" t="s">
        <v>2307</v>
      </c>
      <c r="DD886">
        <v>2</v>
      </c>
      <c r="DE886" t="s">
        <v>404</v>
      </c>
      <c r="DF886" t="s">
        <v>2310</v>
      </c>
      <c r="DG886" t="s">
        <v>2308</v>
      </c>
      <c r="DL886" t="s">
        <v>170</v>
      </c>
      <c r="DM886" t="s">
        <v>169</v>
      </c>
      <c r="DP886" t="s">
        <v>170</v>
      </c>
      <c r="DQ886" t="s">
        <v>187</v>
      </c>
      <c r="DR886" t="s">
        <v>2305</v>
      </c>
      <c r="EB886">
        <v>9</v>
      </c>
      <c r="EC886">
        <v>10</v>
      </c>
      <c r="EE886" t="s">
        <v>2309</v>
      </c>
      <c r="EF886">
        <v>10</v>
      </c>
      <c r="EU886">
        <v>4250</v>
      </c>
      <c r="EW886">
        <v>0</v>
      </c>
      <c r="EX886">
        <v>0</v>
      </c>
      <c r="EY886">
        <v>0</v>
      </c>
      <c r="FA886">
        <v>11.7</v>
      </c>
      <c r="FG886">
        <v>348</v>
      </c>
      <c r="FH886">
        <v>297</v>
      </c>
      <c r="FI886">
        <v>325</v>
      </c>
    </row>
    <row r="887" spans="1:165" x14ac:dyDescent="0.35">
      <c r="A887" s="25"/>
      <c r="B887" s="25"/>
      <c r="C887" s="25"/>
      <c r="D887" s="25"/>
      <c r="E887" s="25"/>
      <c r="F887" s="25" t="str">
        <f>_xlfn.CONCAT($A888," ",$B888," ",$D888)</f>
        <v>2025 Tesla Model 3 Long Range RWD</v>
      </c>
      <c r="G887" s="25"/>
      <c r="H887" s="25"/>
      <c r="I887" s="25"/>
      <c r="J887" s="25"/>
      <c r="K887" s="25"/>
      <c r="L887" s="25"/>
      <c r="M887" s="25"/>
      <c r="N887" s="25"/>
      <c r="O887" s="25"/>
      <c r="P887" s="25"/>
      <c r="Q887" s="25"/>
      <c r="R887" s="25"/>
      <c r="S887" s="25"/>
      <c r="T887" s="25"/>
      <c r="U887" s="25"/>
      <c r="V887" s="25"/>
      <c r="W887" s="25"/>
      <c r="X887" s="25"/>
      <c r="Y887" s="25"/>
      <c r="Z887" s="25"/>
      <c r="AA887" s="25"/>
      <c r="AB887" s="25"/>
      <c r="AC887" s="25"/>
      <c r="AD887" s="25" t="str">
        <f>_xlfn.CONCAT($A888," ",$B888," ",$D888)</f>
        <v>2025 Tesla Model 3 Long Range RWD</v>
      </c>
      <c r="AE887" s="25"/>
      <c r="AF887" s="25"/>
      <c r="AG887" s="25"/>
      <c r="AH887" s="25"/>
      <c r="AI887" s="25"/>
      <c r="AJ887" s="25"/>
      <c r="AK887" s="25"/>
      <c r="AL887" s="25"/>
      <c r="AM887" s="25"/>
      <c r="AN887" s="25"/>
      <c r="AO887" s="25"/>
      <c r="AP887" s="25"/>
      <c r="AQ887" s="25"/>
      <c r="AR887" s="25"/>
      <c r="AS887" s="25"/>
      <c r="AT887" s="25"/>
      <c r="AU887" s="25"/>
      <c r="AV887" s="25"/>
      <c r="AW887" s="25"/>
      <c r="AX887" s="25" t="str">
        <f>_xlfn.CONCAT($A888," ",$B888," ",$D888)</f>
        <v>2025 Tesla Model 3 Long Range RWD</v>
      </c>
      <c r="AY887" s="25"/>
      <c r="AZ887" s="25"/>
      <c r="BA887" s="25"/>
      <c r="BB887" s="25"/>
      <c r="BC887" s="25"/>
      <c r="BD887" s="25"/>
      <c r="BE887" s="25"/>
      <c r="BF887" s="25"/>
      <c r="BG887" s="25"/>
      <c r="BH887" s="25"/>
      <c r="BI887" s="25"/>
      <c r="BJ887" s="25"/>
      <c r="BK887" s="25"/>
      <c r="BL887" s="25"/>
      <c r="BM887" s="25"/>
      <c r="BN887" s="25"/>
      <c r="BO887" s="25"/>
      <c r="BP887" s="25"/>
      <c r="BQ887" s="25"/>
      <c r="BR887" s="25" t="str">
        <f>_xlfn.CONCAT($A888," ",$B888," ",$D888)</f>
        <v>2025 Tesla Model 3 Long Range RWD</v>
      </c>
      <c r="BS887" s="25"/>
      <c r="BT887" s="25"/>
      <c r="BU887" s="25"/>
      <c r="BV887" s="25"/>
      <c r="BX887" s="25"/>
      <c r="BY887" s="25"/>
      <c r="BZ887" s="25"/>
      <c r="CA887" s="25"/>
      <c r="CB887" s="25"/>
      <c r="CC887" s="25"/>
      <c r="CD887" s="25"/>
      <c r="CE887" s="25"/>
      <c r="CF887" s="25"/>
      <c r="CG887" s="25"/>
      <c r="CH887" s="25"/>
      <c r="CI887" s="25"/>
      <c r="CJ887" s="25"/>
      <c r="CK887" s="25"/>
      <c r="CL887" s="25"/>
      <c r="CM887" s="25"/>
      <c r="CN887" s="25"/>
      <c r="CO887" s="25"/>
      <c r="CP887" s="25" t="str">
        <f>_xlfn.CONCAT($A888," ",$B888," ",$D888)</f>
        <v>2025 Tesla Model 3 Long Range RWD</v>
      </c>
      <c r="CQ887" s="25"/>
      <c r="CR887" s="25"/>
      <c r="CS887" s="25"/>
      <c r="CT887" s="25"/>
      <c r="CU887" s="25"/>
      <c r="CV887" s="25"/>
      <c r="CW887" s="25"/>
      <c r="CX887" s="25"/>
      <c r="CY887" s="25"/>
      <c r="CZ887" s="25"/>
      <c r="DA887" s="25"/>
      <c r="DB887" s="25"/>
      <c r="DC887" s="25"/>
      <c r="DD887" s="25"/>
      <c r="DE887" s="25"/>
      <c r="DF887" s="25"/>
      <c r="DG887" s="25"/>
      <c r="DH887" s="25"/>
      <c r="DI887" s="25" t="str">
        <f>_xlfn.CONCAT($A888," ",$B888," ",$D888)</f>
        <v>2025 Tesla Model 3 Long Range RWD</v>
      </c>
      <c r="DJ887" s="25"/>
      <c r="DK887" s="25"/>
      <c r="DL887" s="25"/>
      <c r="DM887" s="25"/>
      <c r="DN887" s="25"/>
      <c r="DO887" s="25"/>
      <c r="DP887" s="25"/>
      <c r="DQ887" s="25"/>
      <c r="DR887" s="25"/>
      <c r="DS887" s="25"/>
      <c r="DT887" s="25"/>
      <c r="DU887" s="25"/>
      <c r="DV887" s="25"/>
      <c r="DW887" s="25"/>
      <c r="DX887" s="25"/>
      <c r="DY887" s="25"/>
      <c r="DZ887" s="25" t="str">
        <f>_xlfn.CONCAT($A888," ",$B888," ",$D888)</f>
        <v>2025 Tesla Model 3 Long Range RWD</v>
      </c>
      <c r="EB887" s="25"/>
      <c r="EC887" s="25"/>
      <c r="ED887" s="25"/>
      <c r="EE887" s="25"/>
      <c r="EF887" s="25"/>
      <c r="EG887" s="25"/>
      <c r="EH887" s="25"/>
      <c r="EI887" s="25"/>
      <c r="EJ887" s="25"/>
      <c r="EK887" s="25"/>
      <c r="EL887" s="25"/>
      <c r="EM887" s="25"/>
      <c r="EN887" s="25"/>
      <c r="EO887" s="25"/>
      <c r="EP887" s="25"/>
      <c r="EQ887" s="25"/>
      <c r="ER887" s="25"/>
      <c r="ES887" s="25"/>
      <c r="ET887" s="25"/>
      <c r="EU887" s="25"/>
      <c r="EV887" s="25" t="str">
        <f>_xlfn.CONCAT($A888," ",$B888," ",$D888)</f>
        <v>2025 Tesla Model 3 Long Range RWD</v>
      </c>
      <c r="EW887" s="25"/>
      <c r="EX887" s="25"/>
      <c r="EY887" s="25"/>
      <c r="EZ887" s="25"/>
      <c r="FA887" s="25"/>
      <c r="FB887" s="25"/>
      <c r="FC887" s="25"/>
      <c r="FD887" s="25"/>
      <c r="FE887" s="25"/>
      <c r="FF887" s="25"/>
      <c r="FG887" s="25"/>
    </row>
    <row r="888" spans="1:165" x14ac:dyDescent="0.35">
      <c r="A888">
        <v>2025</v>
      </c>
      <c r="B888" t="s">
        <v>2303</v>
      </c>
      <c r="C888" t="s">
        <v>2304</v>
      </c>
      <c r="D888" t="s">
        <v>2316</v>
      </c>
      <c r="E888" t="s">
        <v>2306</v>
      </c>
      <c r="F888">
        <v>32</v>
      </c>
      <c r="G888">
        <v>0</v>
      </c>
      <c r="I888" t="s">
        <v>1734</v>
      </c>
      <c r="J888">
        <v>145</v>
      </c>
      <c r="K888">
        <v>128</v>
      </c>
      <c r="L888">
        <v>137</v>
      </c>
      <c r="M888">
        <v>206.9</v>
      </c>
      <c r="N888">
        <v>183</v>
      </c>
      <c r="O888">
        <v>195.4153</v>
      </c>
      <c r="P888">
        <v>144.83000000000001</v>
      </c>
      <c r="Q888">
        <v>128.1</v>
      </c>
      <c r="R888">
        <v>136.79069999999999</v>
      </c>
      <c r="V888" t="s">
        <v>167</v>
      </c>
      <c r="W888" t="s">
        <v>168</v>
      </c>
      <c r="Y888">
        <v>1</v>
      </c>
      <c r="Z888" t="s">
        <v>170</v>
      </c>
      <c r="AA888" t="s">
        <v>170</v>
      </c>
      <c r="AB888" t="s">
        <v>171</v>
      </c>
      <c r="AC888" t="s">
        <v>172</v>
      </c>
      <c r="AF888">
        <v>363</v>
      </c>
      <c r="AG888" t="s">
        <v>1735</v>
      </c>
      <c r="AH888" t="s">
        <v>1736</v>
      </c>
      <c r="AI888" t="s">
        <v>175</v>
      </c>
      <c r="AJ888" t="s">
        <v>176</v>
      </c>
      <c r="AK888">
        <v>4</v>
      </c>
      <c r="AL888" t="s">
        <v>1737</v>
      </c>
      <c r="AO888">
        <v>97</v>
      </c>
      <c r="AP888">
        <v>15</v>
      </c>
      <c r="AS888">
        <v>600</v>
      </c>
      <c r="AT888">
        <v>0</v>
      </c>
      <c r="BQ888">
        <v>5</v>
      </c>
      <c r="BR888" t="s">
        <v>672</v>
      </c>
      <c r="BS888" t="s">
        <v>180</v>
      </c>
      <c r="BT888" t="s">
        <v>1769</v>
      </c>
      <c r="BU888" s="1">
        <v>45559</v>
      </c>
      <c r="BV888">
        <v>35637</v>
      </c>
      <c r="BX888" t="s">
        <v>170</v>
      </c>
      <c r="BY888" t="s">
        <v>170</v>
      </c>
      <c r="CB888" t="s">
        <v>170</v>
      </c>
      <c r="CC888" t="s">
        <v>170</v>
      </c>
      <c r="CK888" t="s">
        <v>233</v>
      </c>
      <c r="CM888">
        <v>1</v>
      </c>
      <c r="CN888" t="s">
        <v>234</v>
      </c>
      <c r="CP888">
        <v>348</v>
      </c>
      <c r="CQ888">
        <v>224</v>
      </c>
      <c r="CR888">
        <v>175</v>
      </c>
      <c r="CS888" t="s">
        <v>235</v>
      </c>
      <c r="CV888" t="s">
        <v>341</v>
      </c>
      <c r="CX888" t="s">
        <v>1012</v>
      </c>
      <c r="CY888" t="s">
        <v>170</v>
      </c>
      <c r="DC888" t="s">
        <v>2317</v>
      </c>
      <c r="DD888">
        <v>2</v>
      </c>
      <c r="DE888" t="s">
        <v>404</v>
      </c>
      <c r="DF888" t="s">
        <v>2310</v>
      </c>
      <c r="DG888" t="s">
        <v>2318</v>
      </c>
      <c r="DL888" t="s">
        <v>170</v>
      </c>
      <c r="DM888" t="s">
        <v>169</v>
      </c>
      <c r="DP888" t="s">
        <v>170</v>
      </c>
      <c r="DQ888" t="s">
        <v>187</v>
      </c>
      <c r="DR888" t="s">
        <v>2316</v>
      </c>
      <c r="EB888">
        <v>10</v>
      </c>
      <c r="EC888">
        <v>10</v>
      </c>
      <c r="EE888" t="s">
        <v>2319</v>
      </c>
      <c r="EF888">
        <v>10</v>
      </c>
      <c r="EU888">
        <v>6500</v>
      </c>
      <c r="EW888">
        <v>0</v>
      </c>
      <c r="EX888">
        <v>0</v>
      </c>
      <c r="EY888">
        <v>0</v>
      </c>
      <c r="FA888">
        <v>11.7</v>
      </c>
      <c r="FG888">
        <v>383</v>
      </c>
      <c r="FH888">
        <v>339</v>
      </c>
      <c r="FI888">
        <v>363</v>
      </c>
    </row>
    <row r="889" spans="1:165" x14ac:dyDescent="0.35">
      <c r="A889">
        <v>2025</v>
      </c>
      <c r="B889" t="s">
        <v>2303</v>
      </c>
      <c r="C889" t="s">
        <v>2304</v>
      </c>
      <c r="D889" t="s">
        <v>2316</v>
      </c>
      <c r="E889" t="s">
        <v>2306</v>
      </c>
      <c r="F889">
        <v>32</v>
      </c>
      <c r="G889">
        <v>0</v>
      </c>
      <c r="I889" t="s">
        <v>1734</v>
      </c>
      <c r="J889">
        <v>23</v>
      </c>
      <c r="K889">
        <v>26</v>
      </c>
      <c r="L889">
        <v>25</v>
      </c>
      <c r="M889">
        <v>16.286799999999999</v>
      </c>
      <c r="N889">
        <v>18.414100000000001</v>
      </c>
      <c r="O889">
        <v>17.2441</v>
      </c>
      <c r="P889">
        <v>23.272099999999998</v>
      </c>
      <c r="Q889">
        <v>26.311499999999999</v>
      </c>
      <c r="R889">
        <v>24.639800000000001</v>
      </c>
      <c r="V889" t="s">
        <v>167</v>
      </c>
      <c r="W889" t="s">
        <v>168</v>
      </c>
      <c r="Y889">
        <v>1</v>
      </c>
      <c r="Z889" t="s">
        <v>170</v>
      </c>
      <c r="AA889" t="s">
        <v>170</v>
      </c>
      <c r="AB889" t="s">
        <v>171</v>
      </c>
      <c r="AC889" t="s">
        <v>172</v>
      </c>
      <c r="AF889">
        <v>363</v>
      </c>
      <c r="AG889" t="s">
        <v>1735</v>
      </c>
      <c r="AH889" t="s">
        <v>1736</v>
      </c>
      <c r="AI889" t="s">
        <v>1742</v>
      </c>
      <c r="AJ889" t="s">
        <v>1743</v>
      </c>
      <c r="AK889">
        <v>4</v>
      </c>
      <c r="AL889" t="s">
        <v>1737</v>
      </c>
      <c r="AO889">
        <v>97</v>
      </c>
      <c r="AP889">
        <v>15</v>
      </c>
      <c r="AS889">
        <v>600</v>
      </c>
      <c r="AT889">
        <v>600</v>
      </c>
      <c r="BQ889">
        <v>5</v>
      </c>
      <c r="BR889" t="s">
        <v>672</v>
      </c>
      <c r="BS889" t="s">
        <v>180</v>
      </c>
      <c r="BT889" t="s">
        <v>1769</v>
      </c>
      <c r="BU889" s="1">
        <v>45559</v>
      </c>
      <c r="BV889">
        <v>35637</v>
      </c>
      <c r="BX889" t="s">
        <v>170</v>
      </c>
      <c r="BY889" t="s">
        <v>170</v>
      </c>
      <c r="CB889" t="s">
        <v>170</v>
      </c>
      <c r="CC889" t="s">
        <v>170</v>
      </c>
      <c r="CK889" t="s">
        <v>233</v>
      </c>
      <c r="CM889">
        <v>1</v>
      </c>
      <c r="CN889" t="s">
        <v>234</v>
      </c>
      <c r="CP889">
        <v>348</v>
      </c>
      <c r="CQ889">
        <v>224</v>
      </c>
      <c r="CR889">
        <v>175</v>
      </c>
      <c r="CS889" t="s">
        <v>235</v>
      </c>
      <c r="CV889" t="s">
        <v>341</v>
      </c>
      <c r="CX889" t="s">
        <v>1012</v>
      </c>
      <c r="CY889" t="s">
        <v>170</v>
      </c>
      <c r="DC889" t="s">
        <v>2317</v>
      </c>
      <c r="DD889">
        <v>2</v>
      </c>
      <c r="DE889" t="s">
        <v>404</v>
      </c>
      <c r="DF889" t="s">
        <v>2310</v>
      </c>
      <c r="DG889" t="s">
        <v>2318</v>
      </c>
      <c r="DL889" t="s">
        <v>170</v>
      </c>
      <c r="DM889" t="s">
        <v>169</v>
      </c>
      <c r="DP889" t="s">
        <v>170</v>
      </c>
      <c r="DQ889" t="s">
        <v>187</v>
      </c>
      <c r="DR889" t="s">
        <v>2316</v>
      </c>
      <c r="EB889">
        <v>10</v>
      </c>
      <c r="EC889">
        <v>10</v>
      </c>
      <c r="EE889" t="s">
        <v>2319</v>
      </c>
      <c r="EF889">
        <v>10</v>
      </c>
      <c r="EU889">
        <v>6500</v>
      </c>
      <c r="EW889">
        <v>0</v>
      </c>
      <c r="EX889">
        <v>0</v>
      </c>
      <c r="EY889">
        <v>0</v>
      </c>
      <c r="FA889">
        <v>11.7</v>
      </c>
      <c r="FG889">
        <v>383</v>
      </c>
      <c r="FH889">
        <v>339</v>
      </c>
      <c r="FI889">
        <v>363</v>
      </c>
    </row>
    <row r="890" spans="1:165" x14ac:dyDescent="0.35">
      <c r="A890" s="25"/>
      <c r="B890" s="25"/>
      <c r="C890" s="25"/>
      <c r="D890" s="25"/>
      <c r="E890" s="25"/>
      <c r="F890" s="25" t="str">
        <f>_xlfn.CONCAT($A891," ",$B891," ",$D891)</f>
        <v>2025 Tesla Model 3 Long Range RWD-I (19" Wheels)</v>
      </c>
      <c r="G890" s="25"/>
      <c r="H890" s="25"/>
      <c r="I890" s="25"/>
      <c r="J890" s="25"/>
      <c r="K890" s="25"/>
      <c r="L890" s="25"/>
      <c r="M890" s="25"/>
      <c r="N890" s="25"/>
      <c r="O890" s="25"/>
      <c r="P890" s="25"/>
      <c r="Q890" s="25"/>
      <c r="R890" s="25"/>
      <c r="S890" s="25"/>
      <c r="T890" s="25"/>
      <c r="U890" s="25"/>
      <c r="V890" s="25"/>
      <c r="W890" s="25"/>
      <c r="X890" s="25"/>
      <c r="Y890" s="25"/>
      <c r="Z890" s="25"/>
      <c r="AA890" s="25"/>
      <c r="AB890" s="25"/>
      <c r="AC890" s="25"/>
      <c r="AD890" s="25" t="str">
        <f>_xlfn.CONCAT($A891," ",$B891," ",$D891)</f>
        <v>2025 Tesla Model 3 Long Range RWD-I (19" Wheels)</v>
      </c>
      <c r="AE890" s="25"/>
      <c r="AF890" s="25"/>
      <c r="AG890" s="25"/>
      <c r="AH890" s="25"/>
      <c r="AI890" s="25"/>
      <c r="AJ890" s="25"/>
      <c r="AK890" s="25"/>
      <c r="AL890" s="25"/>
      <c r="AM890" s="25"/>
      <c r="AN890" s="25"/>
      <c r="AO890" s="25"/>
      <c r="AP890" s="25"/>
      <c r="AQ890" s="25"/>
      <c r="AR890" s="25"/>
      <c r="AS890" s="25"/>
      <c r="AT890" s="25"/>
      <c r="AU890" s="25"/>
      <c r="AV890" s="25"/>
      <c r="AW890" s="25"/>
      <c r="AX890" s="25" t="str">
        <f>_xlfn.CONCAT($A891," ",$B891," ",$D891)</f>
        <v>2025 Tesla Model 3 Long Range RWD-I (19" Wheels)</v>
      </c>
      <c r="AY890" s="25"/>
      <c r="AZ890" s="25"/>
      <c r="BA890" s="25"/>
      <c r="BB890" s="25"/>
      <c r="BC890" s="25"/>
      <c r="BD890" s="25"/>
      <c r="BE890" s="25"/>
      <c r="BF890" s="25"/>
      <c r="BG890" s="25"/>
      <c r="BH890" s="25"/>
      <c r="BI890" s="25"/>
      <c r="BJ890" s="25"/>
      <c r="BK890" s="25"/>
      <c r="BL890" s="25"/>
      <c r="BM890" s="25"/>
      <c r="BN890" s="25"/>
      <c r="BO890" s="25"/>
      <c r="BP890" s="25"/>
      <c r="BQ890" s="25"/>
      <c r="BR890" s="25" t="str">
        <f>_xlfn.CONCAT($A891," ",$B891," ",$D891)</f>
        <v>2025 Tesla Model 3 Long Range RWD-I (19" Wheels)</v>
      </c>
      <c r="BS890" s="25"/>
      <c r="BT890" s="25"/>
      <c r="BU890" s="25"/>
      <c r="BV890" s="25"/>
      <c r="BX890" s="25"/>
      <c r="BY890" s="25"/>
      <c r="BZ890" s="25"/>
      <c r="CA890" s="25"/>
      <c r="CB890" s="25"/>
      <c r="CC890" s="25"/>
      <c r="CD890" s="25"/>
      <c r="CE890" s="25"/>
      <c r="CF890" s="25"/>
      <c r="CG890" s="25"/>
      <c r="CH890" s="25"/>
      <c r="CI890" s="25"/>
      <c r="CJ890" s="25"/>
      <c r="CK890" s="25"/>
      <c r="CL890" s="25"/>
      <c r="CM890" s="25"/>
      <c r="CN890" s="25"/>
      <c r="CO890" s="25"/>
      <c r="CP890" s="25" t="str">
        <f>_xlfn.CONCAT($A891," ",$B891," ",$D891)</f>
        <v>2025 Tesla Model 3 Long Range RWD-I (19" Wheels)</v>
      </c>
      <c r="CQ890" s="25"/>
      <c r="CR890" s="25"/>
      <c r="CS890" s="25"/>
      <c r="CT890" s="25"/>
      <c r="CU890" s="25"/>
      <c r="CV890" s="25"/>
      <c r="CW890" s="25"/>
      <c r="CX890" s="25"/>
      <c r="CY890" s="25"/>
      <c r="CZ890" s="25"/>
      <c r="DA890" s="25"/>
      <c r="DB890" s="25"/>
      <c r="DC890" s="25"/>
      <c r="DD890" s="25"/>
      <c r="DE890" s="25"/>
      <c r="DF890" s="25"/>
      <c r="DG890" s="25"/>
      <c r="DH890" s="25"/>
      <c r="DI890" s="25" t="str">
        <f>_xlfn.CONCAT($A891," ",$B891," ",$D891)</f>
        <v>2025 Tesla Model 3 Long Range RWD-I (19" Wheels)</v>
      </c>
      <c r="DJ890" s="25"/>
      <c r="DK890" s="25"/>
      <c r="DL890" s="25"/>
      <c r="DM890" s="25"/>
      <c r="DN890" s="25"/>
      <c r="DO890" s="25"/>
      <c r="DP890" s="25"/>
      <c r="DQ890" s="25"/>
      <c r="DR890" s="25"/>
      <c r="DS890" s="25"/>
      <c r="DT890" s="25"/>
      <c r="DU890" s="25"/>
      <c r="DV890" s="25"/>
      <c r="DW890" s="25"/>
      <c r="DX890" s="25"/>
      <c r="DY890" s="25"/>
      <c r="DZ890" s="25" t="str">
        <f>_xlfn.CONCAT($A891," ",$B891," ",$D891)</f>
        <v>2025 Tesla Model 3 Long Range RWD-I (19" Wheels)</v>
      </c>
      <c r="EB890" s="25"/>
      <c r="EC890" s="25"/>
      <c r="ED890" s="25"/>
      <c r="EE890" s="25"/>
      <c r="EF890" s="25"/>
      <c r="EG890" s="25"/>
      <c r="EH890" s="25"/>
      <c r="EI890" s="25"/>
      <c r="EJ890" s="25"/>
      <c r="EK890" s="25"/>
      <c r="EL890" s="25"/>
      <c r="EM890" s="25"/>
      <c r="EN890" s="25"/>
      <c r="EO890" s="25"/>
      <c r="EP890" s="25"/>
      <c r="EQ890" s="25"/>
      <c r="ER890" s="25"/>
      <c r="ES890" s="25"/>
      <c r="ET890" s="25"/>
      <c r="EU890" s="25"/>
      <c r="EV890" s="25" t="str">
        <f>_xlfn.CONCAT($A891," ",$B891," ",$D891)</f>
        <v>2025 Tesla Model 3 Long Range RWD-I (19" Wheels)</v>
      </c>
      <c r="EW890" s="25"/>
      <c r="EX890" s="25"/>
      <c r="EY890" s="25"/>
      <c r="EZ890" s="25"/>
      <c r="FA890" s="25"/>
      <c r="FB890" s="25"/>
      <c r="FC890" s="25"/>
      <c r="FD890" s="25"/>
      <c r="FE890" s="25"/>
      <c r="FF890" s="25"/>
      <c r="FG890" s="25"/>
    </row>
    <row r="891" spans="1:165" x14ac:dyDescent="0.35">
      <c r="A891">
        <v>2025</v>
      </c>
      <c r="B891" t="s">
        <v>2303</v>
      </c>
      <c r="C891" t="s">
        <v>2304</v>
      </c>
      <c r="D891" t="s">
        <v>2391</v>
      </c>
      <c r="E891" t="s">
        <v>2306</v>
      </c>
      <c r="F891">
        <v>33</v>
      </c>
      <c r="G891">
        <v>0</v>
      </c>
      <c r="I891" t="s">
        <v>1734</v>
      </c>
      <c r="J891">
        <v>140</v>
      </c>
      <c r="K891">
        <v>123</v>
      </c>
      <c r="L891">
        <v>131</v>
      </c>
      <c r="M891">
        <v>199.4</v>
      </c>
      <c r="N891">
        <v>175.2</v>
      </c>
      <c r="O891">
        <v>187.7311</v>
      </c>
      <c r="P891">
        <v>139.58000000000001</v>
      </c>
      <c r="Q891">
        <v>122.64</v>
      </c>
      <c r="R891">
        <v>131.4118</v>
      </c>
      <c r="V891" t="s">
        <v>167</v>
      </c>
      <c r="W891" t="s">
        <v>168</v>
      </c>
      <c r="Y891">
        <v>1</v>
      </c>
      <c r="Z891" t="s">
        <v>170</v>
      </c>
      <c r="AA891" t="s">
        <v>170</v>
      </c>
      <c r="AB891" t="s">
        <v>171</v>
      </c>
      <c r="AC891" t="s">
        <v>172</v>
      </c>
      <c r="AF891">
        <v>346</v>
      </c>
      <c r="AG891" t="s">
        <v>1735</v>
      </c>
      <c r="AH891" t="s">
        <v>1736</v>
      </c>
      <c r="AI891" t="s">
        <v>175</v>
      </c>
      <c r="AJ891" t="s">
        <v>176</v>
      </c>
      <c r="AK891">
        <v>4</v>
      </c>
      <c r="AL891" t="s">
        <v>1737</v>
      </c>
      <c r="AO891">
        <v>97</v>
      </c>
      <c r="AP891">
        <v>15</v>
      </c>
      <c r="AS891">
        <v>600</v>
      </c>
      <c r="AT891">
        <v>0</v>
      </c>
      <c r="BQ891">
        <v>5</v>
      </c>
      <c r="BR891" t="s">
        <v>672</v>
      </c>
      <c r="BS891" t="s">
        <v>180</v>
      </c>
      <c r="BT891" t="s">
        <v>1769</v>
      </c>
      <c r="BU891" s="1">
        <v>47283</v>
      </c>
      <c r="BV891">
        <v>36805</v>
      </c>
      <c r="BX891" t="s">
        <v>170</v>
      </c>
      <c r="BY891" t="s">
        <v>170</v>
      </c>
      <c r="CB891" t="s">
        <v>170</v>
      </c>
      <c r="CC891" t="s">
        <v>170</v>
      </c>
      <c r="CK891" t="s">
        <v>233</v>
      </c>
      <c r="CM891">
        <v>1</v>
      </c>
      <c r="CN891" t="s">
        <v>234</v>
      </c>
      <c r="CP891">
        <v>354</v>
      </c>
      <c r="CQ891">
        <v>216</v>
      </c>
      <c r="CR891">
        <v>169</v>
      </c>
      <c r="CS891" t="s">
        <v>235</v>
      </c>
      <c r="CV891" t="s">
        <v>341</v>
      </c>
      <c r="CX891" t="s">
        <v>1012</v>
      </c>
      <c r="CY891" t="s">
        <v>170</v>
      </c>
      <c r="DC891" t="s">
        <v>2392</v>
      </c>
      <c r="DD891">
        <v>4</v>
      </c>
      <c r="DE891" t="s">
        <v>404</v>
      </c>
      <c r="DF891" t="s">
        <v>2310</v>
      </c>
      <c r="DG891" t="s">
        <v>2393</v>
      </c>
      <c r="DL891" t="s">
        <v>170</v>
      </c>
      <c r="DM891" t="s">
        <v>169</v>
      </c>
      <c r="DP891" t="s">
        <v>170</v>
      </c>
      <c r="DQ891" t="s">
        <v>187</v>
      </c>
      <c r="DR891" t="s">
        <v>2394</v>
      </c>
      <c r="EB891">
        <v>10</v>
      </c>
      <c r="EC891">
        <v>10</v>
      </c>
      <c r="EE891" t="s">
        <v>2319</v>
      </c>
      <c r="EF891">
        <v>10</v>
      </c>
      <c r="EU891">
        <v>6500</v>
      </c>
      <c r="EW891">
        <v>0</v>
      </c>
      <c r="EX891">
        <v>0</v>
      </c>
      <c r="EY891">
        <v>0</v>
      </c>
      <c r="FA891">
        <v>9.5</v>
      </c>
      <c r="FG891">
        <v>366</v>
      </c>
      <c r="FH891">
        <v>322</v>
      </c>
      <c r="FI891">
        <v>346</v>
      </c>
    </row>
    <row r="892" spans="1:165" x14ac:dyDescent="0.35">
      <c r="A892">
        <v>2025</v>
      </c>
      <c r="B892" t="s">
        <v>2303</v>
      </c>
      <c r="C892" t="s">
        <v>2304</v>
      </c>
      <c r="D892" t="s">
        <v>2391</v>
      </c>
      <c r="E892" t="s">
        <v>2306</v>
      </c>
      <c r="F892">
        <v>33</v>
      </c>
      <c r="G892">
        <v>0</v>
      </c>
      <c r="I892" t="s">
        <v>1734</v>
      </c>
      <c r="J892">
        <v>24</v>
      </c>
      <c r="K892">
        <v>27</v>
      </c>
      <c r="L892">
        <v>26</v>
      </c>
      <c r="M892">
        <v>16.904599999999999</v>
      </c>
      <c r="N892">
        <v>19.2347</v>
      </c>
      <c r="O892">
        <v>17.953099999999999</v>
      </c>
      <c r="P892">
        <v>24.147400000000001</v>
      </c>
      <c r="Q892">
        <v>27.482900000000001</v>
      </c>
      <c r="R892">
        <v>25.648399999999999</v>
      </c>
      <c r="V892" t="s">
        <v>167</v>
      </c>
      <c r="W892" t="s">
        <v>168</v>
      </c>
      <c r="Y892">
        <v>1</v>
      </c>
      <c r="Z892" t="s">
        <v>170</v>
      </c>
      <c r="AA892" t="s">
        <v>170</v>
      </c>
      <c r="AB892" t="s">
        <v>171</v>
      </c>
      <c r="AC892" t="s">
        <v>172</v>
      </c>
      <c r="AF892">
        <v>346</v>
      </c>
      <c r="AG892" t="s">
        <v>1735</v>
      </c>
      <c r="AH892" t="s">
        <v>1736</v>
      </c>
      <c r="AI892" t="s">
        <v>1742</v>
      </c>
      <c r="AJ892" t="s">
        <v>1743</v>
      </c>
      <c r="AK892">
        <v>4</v>
      </c>
      <c r="AL892" t="s">
        <v>1737</v>
      </c>
      <c r="AO892">
        <v>97</v>
      </c>
      <c r="AP892">
        <v>15</v>
      </c>
      <c r="AS892">
        <v>600</v>
      </c>
      <c r="AT892">
        <v>600</v>
      </c>
      <c r="BQ892">
        <v>5</v>
      </c>
      <c r="BR892" t="s">
        <v>672</v>
      </c>
      <c r="BS892" t="s">
        <v>180</v>
      </c>
      <c r="BT892" t="s">
        <v>1769</v>
      </c>
      <c r="BU892" s="1">
        <v>47283</v>
      </c>
      <c r="BV892">
        <v>36805</v>
      </c>
      <c r="BX892" t="s">
        <v>170</v>
      </c>
      <c r="BY892" t="s">
        <v>170</v>
      </c>
      <c r="CB892" t="s">
        <v>170</v>
      </c>
      <c r="CC892" t="s">
        <v>170</v>
      </c>
      <c r="CK892" t="s">
        <v>233</v>
      </c>
      <c r="CM892">
        <v>1</v>
      </c>
      <c r="CN892" t="s">
        <v>234</v>
      </c>
      <c r="CP892">
        <v>354</v>
      </c>
      <c r="CQ892">
        <v>216</v>
      </c>
      <c r="CR892">
        <v>169</v>
      </c>
      <c r="CS892" t="s">
        <v>235</v>
      </c>
      <c r="CV892" t="s">
        <v>341</v>
      </c>
      <c r="CX892" t="s">
        <v>1012</v>
      </c>
      <c r="CY892" t="s">
        <v>170</v>
      </c>
      <c r="DC892" t="s">
        <v>2392</v>
      </c>
      <c r="DD892">
        <v>4</v>
      </c>
      <c r="DE892" t="s">
        <v>404</v>
      </c>
      <c r="DF892" t="s">
        <v>2310</v>
      </c>
      <c r="DG892" t="s">
        <v>2393</v>
      </c>
      <c r="DL892" t="s">
        <v>170</v>
      </c>
      <c r="DM892" t="s">
        <v>169</v>
      </c>
      <c r="DP892" t="s">
        <v>170</v>
      </c>
      <c r="DQ892" t="s">
        <v>187</v>
      </c>
      <c r="DR892" t="s">
        <v>2394</v>
      </c>
      <c r="EB892">
        <v>10</v>
      </c>
      <c r="EC892">
        <v>10</v>
      </c>
      <c r="EE892" t="s">
        <v>2319</v>
      </c>
      <c r="EF892">
        <v>10</v>
      </c>
      <c r="EU892">
        <v>6500</v>
      </c>
      <c r="EW892">
        <v>0</v>
      </c>
      <c r="EX892">
        <v>0</v>
      </c>
      <c r="EY892">
        <v>0</v>
      </c>
      <c r="FA892">
        <v>9.5</v>
      </c>
      <c r="FG892">
        <v>366</v>
      </c>
      <c r="FH892">
        <v>322</v>
      </c>
      <c r="FI892">
        <v>346</v>
      </c>
    </row>
    <row r="893" spans="1:165" x14ac:dyDescent="0.35">
      <c r="A893" s="25"/>
      <c r="B893" s="25"/>
      <c r="C893" s="25"/>
      <c r="D893" s="25"/>
      <c r="E893" s="25"/>
      <c r="F893" s="25" t="str">
        <f>_xlfn.CONCAT($A894," ",$B894," ",$D894)</f>
        <v>2025 Tesla Model 3 Long Range AWD</v>
      </c>
      <c r="G893" s="25"/>
      <c r="H893" s="25"/>
      <c r="I893" s="25"/>
      <c r="J893" s="25"/>
      <c r="K893" s="25"/>
      <c r="L893" s="25"/>
      <c r="M893" s="25"/>
      <c r="N893" s="25"/>
      <c r="O893" s="25"/>
      <c r="P893" s="25"/>
      <c r="Q893" s="25"/>
      <c r="R893" s="25"/>
      <c r="S893" s="25"/>
      <c r="T893" s="25"/>
      <c r="U893" s="25"/>
      <c r="V893" s="25"/>
      <c r="W893" s="25"/>
      <c r="X893" s="25"/>
      <c r="Y893" s="25"/>
      <c r="Z893" s="25"/>
      <c r="AA893" s="25"/>
      <c r="AB893" s="25"/>
      <c r="AC893" s="25"/>
      <c r="AD893" s="25" t="str">
        <f>_xlfn.CONCAT($A894," ",$B894," ",$D894)</f>
        <v>2025 Tesla Model 3 Long Range AWD</v>
      </c>
      <c r="AE893" s="25"/>
      <c r="AF893" s="25"/>
      <c r="AG893" s="25"/>
      <c r="AH893" s="25"/>
      <c r="AI893" s="25"/>
      <c r="AJ893" s="25"/>
      <c r="AK893" s="25"/>
      <c r="AL893" s="25"/>
      <c r="AM893" s="25"/>
      <c r="AN893" s="25"/>
      <c r="AO893" s="25"/>
      <c r="AP893" s="25"/>
      <c r="AQ893" s="25"/>
      <c r="AR893" s="25"/>
      <c r="AS893" s="25"/>
      <c r="AT893" s="25"/>
      <c r="AU893" s="25"/>
      <c r="AV893" s="25"/>
      <c r="AW893" s="25"/>
      <c r="AX893" s="25" t="str">
        <f>_xlfn.CONCAT($A894," ",$B894," ",$D894)</f>
        <v>2025 Tesla Model 3 Long Range AWD</v>
      </c>
      <c r="AY893" s="25"/>
      <c r="AZ893" s="25"/>
      <c r="BA893" s="25"/>
      <c r="BB893" s="25"/>
      <c r="BC893" s="25"/>
      <c r="BD893" s="25"/>
      <c r="BE893" s="25"/>
      <c r="BF893" s="25"/>
      <c r="BG893" s="25"/>
      <c r="BH893" s="25"/>
      <c r="BI893" s="25"/>
      <c r="BJ893" s="25"/>
      <c r="BK893" s="25"/>
      <c r="BL893" s="25"/>
      <c r="BM893" s="25"/>
      <c r="BN893" s="25"/>
      <c r="BO893" s="25"/>
      <c r="BP893" s="25"/>
      <c r="BQ893" s="25"/>
      <c r="BR893" s="25" t="str">
        <f>_xlfn.CONCAT($A894," ",$B894," ",$D894)</f>
        <v>2025 Tesla Model 3 Long Range AWD</v>
      </c>
      <c r="BS893" s="25"/>
      <c r="BT893" s="25"/>
      <c r="BU893" s="25"/>
      <c r="BV893" s="25"/>
      <c r="BX893" s="25"/>
      <c r="BY893" s="25"/>
      <c r="BZ893" s="25"/>
      <c r="CA893" s="25"/>
      <c r="CB893" s="25"/>
      <c r="CC893" s="25"/>
      <c r="CD893" s="25"/>
      <c r="CE893" s="25"/>
      <c r="CF893" s="25"/>
      <c r="CG893" s="25"/>
      <c r="CH893" s="25"/>
      <c r="CI893" s="25"/>
      <c r="CJ893" s="25"/>
      <c r="CK893" s="25"/>
      <c r="CL893" s="25"/>
      <c r="CM893" s="25"/>
      <c r="CN893" s="25"/>
      <c r="CO893" s="25"/>
      <c r="CP893" s="25" t="str">
        <f>_xlfn.CONCAT($A894," ",$B894," ",$D894)</f>
        <v>2025 Tesla Model 3 Long Range AWD</v>
      </c>
      <c r="CQ893" s="25"/>
      <c r="CR893" s="25"/>
      <c r="CS893" s="25"/>
      <c r="CT893" s="25"/>
      <c r="CU893" s="25"/>
      <c r="CV893" s="25"/>
      <c r="CW893" s="25"/>
      <c r="CX893" s="25"/>
      <c r="CY893" s="25"/>
      <c r="CZ893" s="25"/>
      <c r="DA893" s="25"/>
      <c r="DB893" s="25"/>
      <c r="DC893" s="25"/>
      <c r="DD893" s="25"/>
      <c r="DE893" s="25"/>
      <c r="DF893" s="25"/>
      <c r="DG893" s="25"/>
      <c r="DH893" s="25"/>
      <c r="DI893" s="25" t="str">
        <f>_xlfn.CONCAT($A894," ",$B894," ",$D894)</f>
        <v>2025 Tesla Model 3 Long Range AWD</v>
      </c>
      <c r="DJ893" s="25"/>
      <c r="DK893" s="25"/>
      <c r="DL893" s="25"/>
      <c r="DM893" s="25"/>
      <c r="DN893" s="25"/>
      <c r="DO893" s="25"/>
      <c r="DP893" s="25"/>
      <c r="DQ893" s="25"/>
      <c r="DR893" s="25"/>
      <c r="DS893" s="25"/>
      <c r="DT893" s="25"/>
      <c r="DU893" s="25"/>
      <c r="DV893" s="25"/>
      <c r="DW893" s="25"/>
      <c r="DX893" s="25"/>
      <c r="DY893" s="25"/>
      <c r="DZ893" s="25" t="str">
        <f>_xlfn.CONCAT($A894," ",$B894," ",$D894)</f>
        <v>2025 Tesla Model 3 Long Range AWD</v>
      </c>
      <c r="EB893" s="25"/>
      <c r="EC893" s="25"/>
      <c r="ED893" s="25"/>
      <c r="EE893" s="25"/>
      <c r="EF893" s="25"/>
      <c r="EG893" s="25"/>
      <c r="EH893" s="25"/>
      <c r="EI893" s="25"/>
      <c r="EJ893" s="25"/>
      <c r="EK893" s="25"/>
      <c r="EL893" s="25"/>
      <c r="EM893" s="25"/>
      <c r="EN893" s="25"/>
      <c r="EO893" s="25"/>
      <c r="EP893" s="25"/>
      <c r="EQ893" s="25"/>
      <c r="ER893" s="25"/>
      <c r="ES893" s="25"/>
      <c r="ET893" s="25"/>
      <c r="EU893" s="25"/>
      <c r="EV893" s="25" t="str">
        <f>_xlfn.CONCAT($A894," ",$B894," ",$D894)</f>
        <v>2025 Tesla Model 3 Long Range AWD</v>
      </c>
      <c r="EW893" s="25"/>
      <c r="EX893" s="25"/>
      <c r="EY893" s="25"/>
      <c r="EZ893" s="25"/>
      <c r="FA893" s="25"/>
      <c r="FB893" s="25"/>
      <c r="FC893" s="25"/>
      <c r="FD893" s="25"/>
      <c r="FE893" s="25"/>
      <c r="FF893" s="25"/>
      <c r="FG893" s="25"/>
    </row>
    <row r="894" spans="1:165" x14ac:dyDescent="0.35">
      <c r="A894">
        <v>2025</v>
      </c>
      <c r="B894" t="s">
        <v>2303</v>
      </c>
      <c r="C894" t="s">
        <v>2304</v>
      </c>
      <c r="D894" t="s">
        <v>2311</v>
      </c>
      <c r="E894" t="s">
        <v>2306</v>
      </c>
      <c r="F894">
        <v>36</v>
      </c>
      <c r="G894">
        <v>0</v>
      </c>
      <c r="I894" t="s">
        <v>1734</v>
      </c>
      <c r="J894">
        <v>133</v>
      </c>
      <c r="K894">
        <v>122</v>
      </c>
      <c r="L894">
        <v>128</v>
      </c>
      <c r="M894">
        <v>190.5</v>
      </c>
      <c r="N894">
        <v>173.7</v>
      </c>
      <c r="O894">
        <v>182.55459999999999</v>
      </c>
      <c r="P894">
        <v>133.35</v>
      </c>
      <c r="Q894">
        <v>121.59</v>
      </c>
      <c r="R894">
        <v>127.7882</v>
      </c>
      <c r="V894" t="s">
        <v>167</v>
      </c>
      <c r="W894" t="s">
        <v>168</v>
      </c>
      <c r="Y894">
        <v>1</v>
      </c>
      <c r="Z894" t="s">
        <v>170</v>
      </c>
      <c r="AA894" t="s">
        <v>170</v>
      </c>
      <c r="AB894" t="s">
        <v>167</v>
      </c>
      <c r="AC894" t="s">
        <v>213</v>
      </c>
      <c r="AF894">
        <v>346</v>
      </c>
      <c r="AG894" t="s">
        <v>1735</v>
      </c>
      <c r="AH894" t="s">
        <v>1736</v>
      </c>
      <c r="AI894" t="s">
        <v>175</v>
      </c>
      <c r="AJ894" t="s">
        <v>176</v>
      </c>
      <c r="AK894">
        <v>4</v>
      </c>
      <c r="AL894" t="s">
        <v>1737</v>
      </c>
      <c r="AO894">
        <v>97</v>
      </c>
      <c r="AP894">
        <v>15</v>
      </c>
      <c r="AS894">
        <v>600</v>
      </c>
      <c r="AT894">
        <v>0</v>
      </c>
      <c r="BQ894">
        <v>5</v>
      </c>
      <c r="BR894" t="s">
        <v>672</v>
      </c>
      <c r="BS894" t="s">
        <v>180</v>
      </c>
      <c r="BT894" t="s">
        <v>1769</v>
      </c>
      <c r="BU894" s="1">
        <v>45560</v>
      </c>
      <c r="BV894">
        <v>35639</v>
      </c>
      <c r="BX894" t="s">
        <v>170</v>
      </c>
      <c r="BY894" t="s">
        <v>170</v>
      </c>
      <c r="CB894" t="s">
        <v>170</v>
      </c>
      <c r="CC894" t="s">
        <v>170</v>
      </c>
      <c r="CK894" t="s">
        <v>233</v>
      </c>
      <c r="CM894">
        <v>1</v>
      </c>
      <c r="CN894" t="s">
        <v>234</v>
      </c>
      <c r="CP894">
        <v>355</v>
      </c>
      <c r="CQ894">
        <v>224</v>
      </c>
      <c r="CR894">
        <v>175</v>
      </c>
      <c r="CS894" t="s">
        <v>235</v>
      </c>
      <c r="CV894" t="s">
        <v>341</v>
      </c>
      <c r="CX894" t="s">
        <v>342</v>
      </c>
      <c r="CY894" t="s">
        <v>170</v>
      </c>
      <c r="DC894" t="s">
        <v>2312</v>
      </c>
      <c r="DD894">
        <v>6</v>
      </c>
      <c r="DE894" t="s">
        <v>237</v>
      </c>
      <c r="DG894" t="s">
        <v>2313</v>
      </c>
      <c r="DL894" t="s">
        <v>170</v>
      </c>
      <c r="DM894" t="s">
        <v>169</v>
      </c>
      <c r="DP894" t="s">
        <v>170</v>
      </c>
      <c r="DQ894" t="s">
        <v>187</v>
      </c>
      <c r="DR894" t="s">
        <v>2314</v>
      </c>
      <c r="EB894">
        <v>10</v>
      </c>
      <c r="EC894">
        <v>10</v>
      </c>
      <c r="EE894" t="s">
        <v>2315</v>
      </c>
      <c r="EF894">
        <v>10</v>
      </c>
      <c r="EU894">
        <v>6500</v>
      </c>
      <c r="EW894">
        <v>0</v>
      </c>
      <c r="EX894">
        <v>0</v>
      </c>
      <c r="EY894">
        <v>0</v>
      </c>
      <c r="FA894">
        <v>11.7</v>
      </c>
      <c r="FG894">
        <v>360</v>
      </c>
      <c r="FH894">
        <v>329</v>
      </c>
      <c r="FI894">
        <v>346</v>
      </c>
    </row>
    <row r="895" spans="1:165" x14ac:dyDescent="0.35">
      <c r="A895">
        <v>2025</v>
      </c>
      <c r="B895" t="s">
        <v>2303</v>
      </c>
      <c r="C895" t="s">
        <v>2304</v>
      </c>
      <c r="D895" t="s">
        <v>2311</v>
      </c>
      <c r="E895" t="s">
        <v>2306</v>
      </c>
      <c r="F895">
        <v>36</v>
      </c>
      <c r="G895">
        <v>0</v>
      </c>
      <c r="I895" t="s">
        <v>1734</v>
      </c>
      <c r="J895">
        <v>25</v>
      </c>
      <c r="K895">
        <v>28</v>
      </c>
      <c r="L895">
        <v>26</v>
      </c>
      <c r="M895">
        <v>17.690200000000001</v>
      </c>
      <c r="N895">
        <v>19.407900000000001</v>
      </c>
      <c r="O895">
        <v>18.463200000000001</v>
      </c>
      <c r="P895">
        <v>25.275600000000001</v>
      </c>
      <c r="Q895">
        <v>27.720199999999998</v>
      </c>
      <c r="R895">
        <v>26.375699999999998</v>
      </c>
      <c r="V895" t="s">
        <v>167</v>
      </c>
      <c r="W895" t="s">
        <v>168</v>
      </c>
      <c r="Y895">
        <v>1</v>
      </c>
      <c r="Z895" t="s">
        <v>170</v>
      </c>
      <c r="AA895" t="s">
        <v>170</v>
      </c>
      <c r="AB895" t="s">
        <v>167</v>
      </c>
      <c r="AC895" t="s">
        <v>213</v>
      </c>
      <c r="AF895">
        <v>346</v>
      </c>
      <c r="AG895" t="s">
        <v>1735</v>
      </c>
      <c r="AH895" t="s">
        <v>1736</v>
      </c>
      <c r="AI895" t="s">
        <v>1742</v>
      </c>
      <c r="AJ895" t="s">
        <v>1743</v>
      </c>
      <c r="AK895">
        <v>4</v>
      </c>
      <c r="AL895" t="s">
        <v>1737</v>
      </c>
      <c r="AO895">
        <v>97</v>
      </c>
      <c r="AP895">
        <v>15</v>
      </c>
      <c r="AS895">
        <v>600</v>
      </c>
      <c r="AT895">
        <v>600</v>
      </c>
      <c r="BQ895">
        <v>5</v>
      </c>
      <c r="BR895" t="s">
        <v>672</v>
      </c>
      <c r="BS895" t="s">
        <v>180</v>
      </c>
      <c r="BT895" t="s">
        <v>1769</v>
      </c>
      <c r="BU895" s="1">
        <v>45560</v>
      </c>
      <c r="BV895">
        <v>35639</v>
      </c>
      <c r="BX895" t="s">
        <v>170</v>
      </c>
      <c r="BY895" t="s">
        <v>170</v>
      </c>
      <c r="CB895" t="s">
        <v>170</v>
      </c>
      <c r="CC895" t="s">
        <v>170</v>
      </c>
      <c r="CK895" t="s">
        <v>233</v>
      </c>
      <c r="CM895">
        <v>1</v>
      </c>
      <c r="CN895" t="s">
        <v>234</v>
      </c>
      <c r="CP895">
        <v>355</v>
      </c>
      <c r="CQ895">
        <v>224</v>
      </c>
      <c r="CR895">
        <v>175</v>
      </c>
      <c r="CS895" t="s">
        <v>235</v>
      </c>
      <c r="CV895" t="s">
        <v>341</v>
      </c>
      <c r="CX895" t="s">
        <v>342</v>
      </c>
      <c r="CY895" t="s">
        <v>170</v>
      </c>
      <c r="DC895" t="s">
        <v>2312</v>
      </c>
      <c r="DD895">
        <v>6</v>
      </c>
      <c r="DE895" t="s">
        <v>404</v>
      </c>
      <c r="DF895" t="s">
        <v>2310</v>
      </c>
      <c r="DG895" t="s">
        <v>2313</v>
      </c>
      <c r="DL895" t="s">
        <v>170</v>
      </c>
      <c r="DM895" t="s">
        <v>169</v>
      </c>
      <c r="DP895" t="s">
        <v>170</v>
      </c>
      <c r="DQ895" t="s">
        <v>187</v>
      </c>
      <c r="DR895" t="s">
        <v>2314</v>
      </c>
      <c r="EB895">
        <v>10</v>
      </c>
      <c r="EC895">
        <v>10</v>
      </c>
      <c r="EE895" t="s">
        <v>2315</v>
      </c>
      <c r="EF895">
        <v>10</v>
      </c>
      <c r="EU895">
        <v>6500</v>
      </c>
      <c r="EW895">
        <v>0</v>
      </c>
      <c r="EX895">
        <v>0</v>
      </c>
      <c r="EY895">
        <v>0</v>
      </c>
      <c r="FA895">
        <v>11.7</v>
      </c>
      <c r="FG895">
        <v>360</v>
      </c>
      <c r="FH895">
        <v>329</v>
      </c>
      <c r="FI895">
        <v>346</v>
      </c>
    </row>
    <row r="896" spans="1:165" x14ac:dyDescent="0.35">
      <c r="A896" s="25"/>
      <c r="B896" s="25"/>
      <c r="C896" s="25"/>
      <c r="D896" s="25"/>
      <c r="E896" s="25"/>
      <c r="F896" s="25" t="str">
        <f>_xlfn.CONCAT($A897," ",$B897," ",$D897)</f>
        <v>2025 Tesla Model 3 Performance AWD</v>
      </c>
      <c r="G896" s="25"/>
      <c r="H896" s="25"/>
      <c r="I896" s="25"/>
      <c r="J896" s="25"/>
      <c r="K896" s="25"/>
      <c r="L896" s="25"/>
      <c r="M896" s="25"/>
      <c r="N896" s="25"/>
      <c r="O896" s="25"/>
      <c r="P896" s="25"/>
      <c r="Q896" s="25"/>
      <c r="R896" s="25"/>
      <c r="S896" s="25"/>
      <c r="T896" s="25"/>
      <c r="U896" s="25"/>
      <c r="V896" s="25"/>
      <c r="W896" s="25"/>
      <c r="X896" s="25"/>
      <c r="Y896" s="25"/>
      <c r="Z896" s="25"/>
      <c r="AA896" s="25"/>
      <c r="AB896" s="25"/>
      <c r="AC896" s="25"/>
      <c r="AD896" s="25" t="str">
        <f>_xlfn.CONCAT($A897," ",$B897," ",$D897)</f>
        <v>2025 Tesla Model 3 Performance AWD</v>
      </c>
      <c r="AE896" s="25"/>
      <c r="AF896" s="25"/>
      <c r="AG896" s="25"/>
      <c r="AH896" s="25"/>
      <c r="AI896" s="25"/>
      <c r="AJ896" s="25"/>
      <c r="AK896" s="25"/>
      <c r="AL896" s="25"/>
      <c r="AM896" s="25"/>
      <c r="AN896" s="25"/>
      <c r="AO896" s="25"/>
      <c r="AP896" s="25"/>
      <c r="AQ896" s="25"/>
      <c r="AR896" s="25"/>
      <c r="AS896" s="25"/>
      <c r="AT896" s="25"/>
      <c r="AU896" s="25"/>
      <c r="AV896" s="25"/>
      <c r="AW896" s="25"/>
      <c r="AX896" s="25" t="str">
        <f>_xlfn.CONCAT($A897," ",$B897," ",$D897)</f>
        <v>2025 Tesla Model 3 Performance AWD</v>
      </c>
      <c r="AY896" s="25"/>
      <c r="AZ896" s="25"/>
      <c r="BA896" s="25"/>
      <c r="BB896" s="25"/>
      <c r="BC896" s="25"/>
      <c r="BD896" s="25"/>
      <c r="BE896" s="25"/>
      <c r="BF896" s="25"/>
      <c r="BG896" s="25"/>
      <c r="BH896" s="25"/>
      <c r="BI896" s="25"/>
      <c r="BJ896" s="25"/>
      <c r="BK896" s="25"/>
      <c r="BL896" s="25"/>
      <c r="BM896" s="25"/>
      <c r="BN896" s="25"/>
      <c r="BO896" s="25"/>
      <c r="BP896" s="25"/>
      <c r="BQ896" s="25"/>
      <c r="BR896" s="25" t="str">
        <f>_xlfn.CONCAT($A897," ",$B897," ",$D897)</f>
        <v>2025 Tesla Model 3 Performance AWD</v>
      </c>
      <c r="BS896" s="25"/>
      <c r="BT896" s="25"/>
      <c r="BU896" s="25"/>
      <c r="BV896" s="25"/>
      <c r="BX896" s="25"/>
      <c r="BY896" s="25"/>
      <c r="BZ896" s="25"/>
      <c r="CA896" s="25"/>
      <c r="CB896" s="25"/>
      <c r="CC896" s="25"/>
      <c r="CD896" s="25"/>
      <c r="CE896" s="25"/>
      <c r="CF896" s="25"/>
      <c r="CG896" s="25"/>
      <c r="CH896" s="25"/>
      <c r="CI896" s="25"/>
      <c r="CJ896" s="25"/>
      <c r="CK896" s="25"/>
      <c r="CL896" s="25"/>
      <c r="CM896" s="25"/>
      <c r="CN896" s="25"/>
      <c r="CO896" s="25"/>
      <c r="CP896" s="25" t="str">
        <f>_xlfn.CONCAT($A897," ",$B897," ",$D897)</f>
        <v>2025 Tesla Model 3 Performance AWD</v>
      </c>
      <c r="CQ896" s="25"/>
      <c r="CR896" s="25"/>
      <c r="CS896" s="25"/>
      <c r="CT896" s="25"/>
      <c r="CU896" s="25"/>
      <c r="CV896" s="25"/>
      <c r="CW896" s="25"/>
      <c r="CX896" s="25"/>
      <c r="CY896" s="25"/>
      <c r="CZ896" s="25"/>
      <c r="DA896" s="25"/>
      <c r="DB896" s="25"/>
      <c r="DC896" s="25"/>
      <c r="DD896" s="25"/>
      <c r="DE896" s="25"/>
      <c r="DF896" s="25"/>
      <c r="DG896" s="25"/>
      <c r="DH896" s="25"/>
      <c r="DI896" s="25" t="str">
        <f>_xlfn.CONCAT($A897," ",$B897," ",$D897)</f>
        <v>2025 Tesla Model 3 Performance AWD</v>
      </c>
      <c r="DJ896" s="25"/>
      <c r="DK896" s="25"/>
      <c r="DL896" s="25"/>
      <c r="DM896" s="25"/>
      <c r="DN896" s="25"/>
      <c r="DO896" s="25"/>
      <c r="DP896" s="25"/>
      <c r="DQ896" s="25"/>
      <c r="DR896" s="25"/>
      <c r="DS896" s="25"/>
      <c r="DT896" s="25"/>
      <c r="DU896" s="25"/>
      <c r="DV896" s="25"/>
      <c r="DW896" s="25"/>
      <c r="DX896" s="25"/>
      <c r="DY896" s="25"/>
      <c r="DZ896" s="25" t="str">
        <f>_xlfn.CONCAT($A897," ",$B897," ",$D897)</f>
        <v>2025 Tesla Model 3 Performance AWD</v>
      </c>
      <c r="EB896" s="25"/>
      <c r="EC896" s="25"/>
      <c r="ED896" s="25"/>
      <c r="EE896" s="25"/>
      <c r="EF896" s="25"/>
      <c r="EG896" s="25"/>
      <c r="EH896" s="25"/>
      <c r="EI896" s="25"/>
      <c r="EJ896" s="25"/>
      <c r="EK896" s="25"/>
      <c r="EL896" s="25"/>
      <c r="EM896" s="25"/>
      <c r="EN896" s="25"/>
      <c r="EO896" s="25"/>
      <c r="EP896" s="25"/>
      <c r="EQ896" s="25"/>
      <c r="ER896" s="25"/>
      <c r="ES896" s="25"/>
      <c r="ET896" s="25"/>
      <c r="EU896" s="25"/>
      <c r="EV896" s="25" t="str">
        <f>_xlfn.CONCAT($A897," ",$B897," ",$D897)</f>
        <v>2025 Tesla Model 3 Performance AWD</v>
      </c>
      <c r="EW896" s="25"/>
      <c r="EX896" s="25"/>
      <c r="EY896" s="25"/>
      <c r="EZ896" s="25"/>
      <c r="FA896" s="25"/>
      <c r="FB896" s="25"/>
      <c r="FC896" s="25"/>
      <c r="FD896" s="25"/>
      <c r="FE896" s="25"/>
      <c r="FF896" s="25"/>
      <c r="FG896" s="25"/>
    </row>
    <row r="897" spans="1:165" x14ac:dyDescent="0.35">
      <c r="A897">
        <v>2025</v>
      </c>
      <c r="B897" t="s">
        <v>2303</v>
      </c>
      <c r="C897" t="s">
        <v>2304</v>
      </c>
      <c r="D897" t="s">
        <v>2320</v>
      </c>
      <c r="E897" t="s">
        <v>2306</v>
      </c>
      <c r="F897">
        <v>38</v>
      </c>
      <c r="G897">
        <v>0</v>
      </c>
      <c r="I897" t="s">
        <v>1734</v>
      </c>
      <c r="J897">
        <v>113</v>
      </c>
      <c r="K897">
        <v>104</v>
      </c>
      <c r="L897">
        <v>109</v>
      </c>
      <c r="M897">
        <v>161.80000000000001</v>
      </c>
      <c r="N897">
        <v>148.9</v>
      </c>
      <c r="O897">
        <v>155.72880000000001</v>
      </c>
      <c r="P897">
        <v>113.26</v>
      </c>
      <c r="Q897">
        <v>104.23</v>
      </c>
      <c r="R897">
        <v>109.0102</v>
      </c>
      <c r="V897" t="s">
        <v>167</v>
      </c>
      <c r="W897" t="s">
        <v>168</v>
      </c>
      <c r="Y897">
        <v>1</v>
      </c>
      <c r="Z897" t="s">
        <v>170</v>
      </c>
      <c r="AA897" t="s">
        <v>170</v>
      </c>
      <c r="AB897" t="s">
        <v>167</v>
      </c>
      <c r="AC897" t="s">
        <v>213</v>
      </c>
      <c r="AF897">
        <v>298</v>
      </c>
      <c r="AG897" t="s">
        <v>1735</v>
      </c>
      <c r="AH897" t="s">
        <v>1736</v>
      </c>
      <c r="AI897" t="s">
        <v>175</v>
      </c>
      <c r="AJ897" t="s">
        <v>176</v>
      </c>
      <c r="AK897">
        <v>4</v>
      </c>
      <c r="AL897" t="s">
        <v>1737</v>
      </c>
      <c r="AO897">
        <v>97</v>
      </c>
      <c r="AP897">
        <v>15</v>
      </c>
      <c r="AS897">
        <v>750</v>
      </c>
      <c r="AT897">
        <v>0</v>
      </c>
      <c r="BQ897">
        <v>5</v>
      </c>
      <c r="BR897" t="s">
        <v>672</v>
      </c>
      <c r="BS897" t="s">
        <v>180</v>
      </c>
      <c r="BT897" t="s">
        <v>1769</v>
      </c>
      <c r="BU897" s="1">
        <v>45658</v>
      </c>
      <c r="BV897">
        <v>36031</v>
      </c>
      <c r="BX897" t="s">
        <v>170</v>
      </c>
      <c r="BY897" t="s">
        <v>170</v>
      </c>
      <c r="CB897" t="s">
        <v>170</v>
      </c>
      <c r="CC897" t="s">
        <v>170</v>
      </c>
      <c r="CK897" t="s">
        <v>233</v>
      </c>
      <c r="CM897">
        <v>1</v>
      </c>
      <c r="CN897" t="s">
        <v>234</v>
      </c>
      <c r="CP897">
        <v>355</v>
      </c>
      <c r="CQ897">
        <v>224</v>
      </c>
      <c r="CR897">
        <v>175</v>
      </c>
      <c r="CS897" t="s">
        <v>235</v>
      </c>
      <c r="CV897" t="s">
        <v>341</v>
      </c>
      <c r="CX897" t="s">
        <v>342</v>
      </c>
      <c r="CY897" t="s">
        <v>170</v>
      </c>
      <c r="DC897" t="s">
        <v>2312</v>
      </c>
      <c r="DD897">
        <v>6</v>
      </c>
      <c r="DE897" t="s">
        <v>237</v>
      </c>
      <c r="DG897" t="s">
        <v>2313</v>
      </c>
      <c r="DL897" t="s">
        <v>170</v>
      </c>
      <c r="DM897" t="s">
        <v>169</v>
      </c>
      <c r="DP897" t="s">
        <v>170</v>
      </c>
      <c r="DQ897" t="s">
        <v>187</v>
      </c>
      <c r="DR897" t="s">
        <v>2321</v>
      </c>
      <c r="EB897">
        <v>9</v>
      </c>
      <c r="EC897">
        <v>10</v>
      </c>
      <c r="EE897" t="s">
        <v>2315</v>
      </c>
      <c r="EF897">
        <v>10</v>
      </c>
      <c r="EU897">
        <v>5750</v>
      </c>
      <c r="EW897">
        <v>0</v>
      </c>
      <c r="EX897">
        <v>0</v>
      </c>
      <c r="EY897">
        <v>0</v>
      </c>
      <c r="FA897">
        <v>12</v>
      </c>
      <c r="FG897">
        <v>309</v>
      </c>
      <c r="FH897">
        <v>284</v>
      </c>
      <c r="FI897">
        <v>298</v>
      </c>
    </row>
    <row r="898" spans="1:165" x14ac:dyDescent="0.35">
      <c r="A898">
        <v>2025</v>
      </c>
      <c r="B898" t="s">
        <v>2303</v>
      </c>
      <c r="C898" t="s">
        <v>2304</v>
      </c>
      <c r="D898" t="s">
        <v>2320</v>
      </c>
      <c r="E898" t="s">
        <v>2306</v>
      </c>
      <c r="F898">
        <v>38</v>
      </c>
      <c r="G898">
        <v>0</v>
      </c>
      <c r="I898" t="s">
        <v>1734</v>
      </c>
      <c r="J898">
        <v>30</v>
      </c>
      <c r="K898">
        <v>32</v>
      </c>
      <c r="L898">
        <v>31</v>
      </c>
      <c r="M898">
        <v>20.837199999999999</v>
      </c>
      <c r="N898">
        <v>22.631699999999999</v>
      </c>
      <c r="O898">
        <v>21.6447</v>
      </c>
      <c r="P898">
        <v>29.759</v>
      </c>
      <c r="Q898">
        <v>32.3371</v>
      </c>
      <c r="R898">
        <v>30.9191</v>
      </c>
      <c r="V898" t="s">
        <v>167</v>
      </c>
      <c r="W898" t="s">
        <v>168</v>
      </c>
      <c r="Y898">
        <v>1</v>
      </c>
      <c r="Z898" t="s">
        <v>170</v>
      </c>
      <c r="AA898" t="s">
        <v>170</v>
      </c>
      <c r="AB898" t="s">
        <v>167</v>
      </c>
      <c r="AC898" t="s">
        <v>213</v>
      </c>
      <c r="AF898">
        <v>298</v>
      </c>
      <c r="AG898" t="s">
        <v>1735</v>
      </c>
      <c r="AH898" t="s">
        <v>1736</v>
      </c>
      <c r="AI898" t="s">
        <v>1742</v>
      </c>
      <c r="AJ898" t="s">
        <v>1743</v>
      </c>
      <c r="AK898">
        <v>4</v>
      </c>
      <c r="AL898" t="s">
        <v>1737</v>
      </c>
      <c r="AO898">
        <v>97</v>
      </c>
      <c r="AP898">
        <v>15</v>
      </c>
      <c r="AS898">
        <v>750</v>
      </c>
      <c r="AT898">
        <v>750</v>
      </c>
      <c r="BQ898">
        <v>5</v>
      </c>
      <c r="BR898" t="s">
        <v>672</v>
      </c>
      <c r="BS898" t="s">
        <v>180</v>
      </c>
      <c r="BT898" t="s">
        <v>1769</v>
      </c>
      <c r="BU898" s="1">
        <v>45658</v>
      </c>
      <c r="BV898">
        <v>36031</v>
      </c>
      <c r="BX898" t="s">
        <v>170</v>
      </c>
      <c r="BY898" t="s">
        <v>170</v>
      </c>
      <c r="CB898" t="s">
        <v>170</v>
      </c>
      <c r="CC898" t="s">
        <v>170</v>
      </c>
      <c r="CK898" t="s">
        <v>233</v>
      </c>
      <c r="CM898">
        <v>1</v>
      </c>
      <c r="CN898" t="s">
        <v>234</v>
      </c>
      <c r="CP898">
        <v>355</v>
      </c>
      <c r="CQ898">
        <v>224</v>
      </c>
      <c r="CR898">
        <v>175</v>
      </c>
      <c r="CS898" t="s">
        <v>235</v>
      </c>
      <c r="CV898" t="s">
        <v>341</v>
      </c>
      <c r="CX898" t="s">
        <v>342</v>
      </c>
      <c r="CY898" t="s">
        <v>170</v>
      </c>
      <c r="DC898" t="s">
        <v>2312</v>
      </c>
      <c r="DD898">
        <v>6</v>
      </c>
      <c r="DE898" t="s">
        <v>404</v>
      </c>
      <c r="DF898" t="s">
        <v>2310</v>
      </c>
      <c r="DG898" t="s">
        <v>2313</v>
      </c>
      <c r="DL898" t="s">
        <v>170</v>
      </c>
      <c r="DM898" t="s">
        <v>169</v>
      </c>
      <c r="DP898" t="s">
        <v>170</v>
      </c>
      <c r="DQ898" t="s">
        <v>187</v>
      </c>
      <c r="DR898" t="s">
        <v>2321</v>
      </c>
      <c r="EB898">
        <v>9</v>
      </c>
      <c r="EC898">
        <v>10</v>
      </c>
      <c r="EE898" t="s">
        <v>2315</v>
      </c>
      <c r="EF898">
        <v>10</v>
      </c>
      <c r="EU898">
        <v>5750</v>
      </c>
      <c r="EW898">
        <v>0</v>
      </c>
      <c r="EX898">
        <v>0</v>
      </c>
      <c r="EY898">
        <v>0</v>
      </c>
      <c r="FA898">
        <v>12</v>
      </c>
      <c r="FG898">
        <v>309</v>
      </c>
      <c r="FH898">
        <v>284</v>
      </c>
      <c r="FI898">
        <v>298</v>
      </c>
    </row>
    <row r="899" spans="1:165" x14ac:dyDescent="0.35">
      <c r="A899" s="25"/>
      <c r="B899" s="25"/>
      <c r="C899" s="25"/>
      <c r="D899" s="25"/>
      <c r="E899" s="25"/>
      <c r="F899" s="25" t="str">
        <f>_xlfn.CONCAT($A900," ",$B900," ",$D900)</f>
        <v>2025 Tesla Model Y Long Range RWD</v>
      </c>
      <c r="G899" s="25"/>
      <c r="H899" s="25"/>
      <c r="I899" s="25"/>
      <c r="J899" s="25"/>
      <c r="K899" s="25"/>
      <c r="L899" s="25"/>
      <c r="M899" s="25"/>
      <c r="N899" s="25"/>
      <c r="O899" s="25"/>
      <c r="P899" s="25"/>
      <c r="Q899" s="25"/>
      <c r="R899" s="25"/>
      <c r="S899" s="25"/>
      <c r="T899" s="25"/>
      <c r="U899" s="25"/>
      <c r="V899" s="25"/>
      <c r="W899" s="25"/>
      <c r="X899" s="25"/>
      <c r="Y899" s="25"/>
      <c r="Z899" s="25"/>
      <c r="AA899" s="25"/>
      <c r="AB899" s="25"/>
      <c r="AC899" s="25"/>
      <c r="AD899" s="25" t="str">
        <f>_xlfn.CONCAT($A900," ",$B900," ",$D900)</f>
        <v>2025 Tesla Model Y Long Range RWD</v>
      </c>
      <c r="AE899" s="25"/>
      <c r="AF899" s="25"/>
      <c r="AG899" s="25"/>
      <c r="AH899" s="25"/>
      <c r="AI899" s="25"/>
      <c r="AJ899" s="25"/>
      <c r="AK899" s="25"/>
      <c r="AL899" s="25"/>
      <c r="AM899" s="25"/>
      <c r="AN899" s="25"/>
      <c r="AO899" s="25"/>
      <c r="AP899" s="25"/>
      <c r="AQ899" s="25"/>
      <c r="AR899" s="25"/>
      <c r="AS899" s="25"/>
      <c r="AT899" s="25"/>
      <c r="AU899" s="25"/>
      <c r="AV899" s="25"/>
      <c r="AW899" s="25"/>
      <c r="AX899" s="25" t="str">
        <f>_xlfn.CONCAT($A900," ",$B900," ",$D900)</f>
        <v>2025 Tesla Model Y Long Range RWD</v>
      </c>
      <c r="AY899" s="25"/>
      <c r="AZ899" s="25"/>
      <c r="BA899" s="25"/>
      <c r="BB899" s="25"/>
      <c r="BC899" s="25"/>
      <c r="BD899" s="25"/>
      <c r="BE899" s="25"/>
      <c r="BF899" s="25"/>
      <c r="BG899" s="25"/>
      <c r="BH899" s="25"/>
      <c r="BI899" s="25"/>
      <c r="BJ899" s="25"/>
      <c r="BK899" s="25"/>
      <c r="BL899" s="25"/>
      <c r="BM899" s="25"/>
      <c r="BN899" s="25"/>
      <c r="BO899" s="25"/>
      <c r="BP899" s="25"/>
      <c r="BQ899" s="25"/>
      <c r="BR899" s="25" t="str">
        <f>_xlfn.CONCAT($A900," ",$B900," ",$D900)</f>
        <v>2025 Tesla Model Y Long Range RWD</v>
      </c>
      <c r="BS899" s="25"/>
      <c r="BT899" s="25"/>
      <c r="BU899" s="25"/>
      <c r="BV899" s="25"/>
      <c r="BX899" s="25"/>
      <c r="BY899" s="25"/>
      <c r="BZ899" s="25"/>
      <c r="CA899" s="25"/>
      <c r="CB899" s="25"/>
      <c r="CC899" s="25"/>
      <c r="CD899" s="25"/>
      <c r="CE899" s="25"/>
      <c r="CF899" s="25"/>
      <c r="CG899" s="25"/>
      <c r="CH899" s="25"/>
      <c r="CI899" s="25"/>
      <c r="CJ899" s="25"/>
      <c r="CK899" s="25"/>
      <c r="CL899" s="25"/>
      <c r="CM899" s="25"/>
      <c r="CN899" s="25"/>
      <c r="CO899" s="25"/>
      <c r="CP899" s="25" t="str">
        <f>_xlfn.CONCAT($A900," ",$B900," ",$D900)</f>
        <v>2025 Tesla Model Y Long Range RWD</v>
      </c>
      <c r="CQ899" s="25"/>
      <c r="CR899" s="25"/>
      <c r="CS899" s="25"/>
      <c r="CT899" s="25"/>
      <c r="CU899" s="25"/>
      <c r="CV899" s="25"/>
      <c r="CW899" s="25"/>
      <c r="CX899" s="25"/>
      <c r="CY899" s="25"/>
      <c r="CZ899" s="25"/>
      <c r="DA899" s="25"/>
      <c r="DB899" s="25"/>
      <c r="DC899" s="25"/>
      <c r="DD899" s="25"/>
      <c r="DE899" s="25"/>
      <c r="DF899" s="25"/>
      <c r="DG899" s="25"/>
      <c r="DH899" s="25"/>
      <c r="DI899" s="25" t="str">
        <f>_xlfn.CONCAT($A900," ",$B900," ",$D900)</f>
        <v>2025 Tesla Model Y Long Range RWD</v>
      </c>
      <c r="DJ899" s="25"/>
      <c r="DK899" s="25"/>
      <c r="DL899" s="25"/>
      <c r="DM899" s="25"/>
      <c r="DN899" s="25"/>
      <c r="DO899" s="25"/>
      <c r="DP899" s="25"/>
      <c r="DQ899" s="25"/>
      <c r="DR899" s="25"/>
      <c r="DS899" s="25"/>
      <c r="DT899" s="25"/>
      <c r="DU899" s="25"/>
      <c r="DV899" s="25"/>
      <c r="DW899" s="25"/>
      <c r="DX899" s="25"/>
      <c r="DY899" s="25"/>
      <c r="DZ899" s="25" t="str">
        <f>_xlfn.CONCAT($A900," ",$B900," ",$D900)</f>
        <v>2025 Tesla Model Y Long Range RWD</v>
      </c>
      <c r="EB899" s="25"/>
      <c r="EC899" s="25"/>
      <c r="ED899" s="25"/>
      <c r="EE899" s="25"/>
      <c r="EF899" s="25"/>
      <c r="EG899" s="25"/>
      <c r="EH899" s="25"/>
      <c r="EI899" s="25"/>
      <c r="EJ899" s="25"/>
      <c r="EK899" s="25"/>
      <c r="EL899" s="25"/>
      <c r="EM899" s="25"/>
      <c r="EN899" s="25"/>
      <c r="EO899" s="25"/>
      <c r="EP899" s="25"/>
      <c r="EQ899" s="25"/>
      <c r="ER899" s="25"/>
      <c r="ES899" s="25"/>
      <c r="ET899" s="25"/>
      <c r="EU899" s="25"/>
      <c r="EV899" s="25" t="str">
        <f>_xlfn.CONCAT($A900," ",$B900," ",$D900)</f>
        <v>2025 Tesla Model Y Long Range RWD</v>
      </c>
      <c r="EW899" s="25"/>
      <c r="EX899" s="25"/>
      <c r="EY899" s="25"/>
      <c r="EZ899" s="25"/>
      <c r="FA899" s="25"/>
      <c r="FB899" s="25"/>
      <c r="FC899" s="25"/>
      <c r="FD899" s="25"/>
      <c r="FE899" s="25"/>
      <c r="FF899" s="25"/>
      <c r="FG899" s="25"/>
    </row>
    <row r="900" spans="1:165" x14ac:dyDescent="0.35">
      <c r="A900">
        <v>2025</v>
      </c>
      <c r="B900" t="s">
        <v>2303</v>
      </c>
      <c r="C900" t="s">
        <v>2304</v>
      </c>
      <c r="D900" t="s">
        <v>2345</v>
      </c>
      <c r="E900" t="s">
        <v>2306</v>
      </c>
      <c r="F900">
        <v>42</v>
      </c>
      <c r="G900">
        <v>0</v>
      </c>
      <c r="I900" t="s">
        <v>1734</v>
      </c>
      <c r="J900">
        <v>134</v>
      </c>
      <c r="K900">
        <v>117</v>
      </c>
      <c r="L900">
        <v>125</v>
      </c>
      <c r="M900">
        <v>191</v>
      </c>
      <c r="N900">
        <v>166.7</v>
      </c>
      <c r="O900">
        <v>179.2423</v>
      </c>
      <c r="P900">
        <v>133.69999999999999</v>
      </c>
      <c r="Q900">
        <v>116.69</v>
      </c>
      <c r="R900">
        <v>125.4696</v>
      </c>
      <c r="V900" t="s">
        <v>167</v>
      </c>
      <c r="W900" t="s">
        <v>168</v>
      </c>
      <c r="Y900">
        <v>1</v>
      </c>
      <c r="Z900" t="s">
        <v>170</v>
      </c>
      <c r="AA900" t="s">
        <v>170</v>
      </c>
      <c r="AB900" t="s">
        <v>171</v>
      </c>
      <c r="AC900" t="s">
        <v>172</v>
      </c>
      <c r="AF900">
        <v>337</v>
      </c>
      <c r="AG900" t="s">
        <v>1735</v>
      </c>
      <c r="AH900" t="s">
        <v>1736</v>
      </c>
      <c r="AI900" t="s">
        <v>175</v>
      </c>
      <c r="AJ900" t="s">
        <v>176</v>
      </c>
      <c r="AK900">
        <v>4</v>
      </c>
      <c r="AL900" t="s">
        <v>1737</v>
      </c>
      <c r="AS900">
        <v>650</v>
      </c>
      <c r="AT900">
        <v>0</v>
      </c>
      <c r="BQ900">
        <v>30</v>
      </c>
      <c r="BR900" t="s">
        <v>1099</v>
      </c>
      <c r="BT900" t="s">
        <v>1769</v>
      </c>
      <c r="BU900" s="1">
        <v>45567</v>
      </c>
      <c r="BV900">
        <v>35676</v>
      </c>
      <c r="BX900" t="s">
        <v>170</v>
      </c>
      <c r="BY900" t="s">
        <v>170</v>
      </c>
      <c r="CB900" t="s">
        <v>170</v>
      </c>
      <c r="CC900" t="s">
        <v>170</v>
      </c>
      <c r="CK900" t="s">
        <v>233</v>
      </c>
      <c r="CM900">
        <v>1</v>
      </c>
      <c r="CN900" t="s">
        <v>234</v>
      </c>
      <c r="CP900">
        <v>355</v>
      </c>
      <c r="CQ900">
        <v>223</v>
      </c>
      <c r="CR900">
        <v>175</v>
      </c>
      <c r="CS900" t="s">
        <v>235</v>
      </c>
      <c r="CV900" t="s">
        <v>341</v>
      </c>
      <c r="CX900" t="s">
        <v>1012</v>
      </c>
      <c r="CY900" t="s">
        <v>170</v>
      </c>
      <c r="DC900" t="s">
        <v>2346</v>
      </c>
      <c r="DD900">
        <v>1</v>
      </c>
      <c r="DE900" t="s">
        <v>404</v>
      </c>
      <c r="DF900" t="s">
        <v>2310</v>
      </c>
      <c r="DG900">
        <v>221</v>
      </c>
      <c r="DL900" t="s">
        <v>170</v>
      </c>
      <c r="DM900" t="s">
        <v>169</v>
      </c>
      <c r="DP900" t="s">
        <v>170</v>
      </c>
      <c r="DQ900" t="s">
        <v>187</v>
      </c>
      <c r="DR900" t="s">
        <v>2345</v>
      </c>
      <c r="EB900">
        <v>10</v>
      </c>
      <c r="EC900">
        <v>10</v>
      </c>
      <c r="EE900" t="s">
        <v>2347</v>
      </c>
      <c r="EF900">
        <v>10</v>
      </c>
      <c r="EU900">
        <v>6250</v>
      </c>
      <c r="EW900">
        <v>0</v>
      </c>
      <c r="EX900">
        <v>0</v>
      </c>
      <c r="EY900">
        <v>0</v>
      </c>
      <c r="FA900">
        <v>12</v>
      </c>
      <c r="FG900">
        <v>357</v>
      </c>
      <c r="FH900">
        <v>312</v>
      </c>
      <c r="FI900">
        <v>337</v>
      </c>
    </row>
    <row r="901" spans="1:165" x14ac:dyDescent="0.35">
      <c r="A901">
        <v>2025</v>
      </c>
      <c r="B901" t="s">
        <v>2303</v>
      </c>
      <c r="C901" t="s">
        <v>2304</v>
      </c>
      <c r="D901" t="s">
        <v>2345</v>
      </c>
      <c r="E901" t="s">
        <v>2306</v>
      </c>
      <c r="F901">
        <v>42</v>
      </c>
      <c r="G901">
        <v>0</v>
      </c>
      <c r="I901" t="s">
        <v>1734</v>
      </c>
      <c r="J901">
        <v>25</v>
      </c>
      <c r="K901">
        <v>29</v>
      </c>
      <c r="L901">
        <v>27</v>
      </c>
      <c r="M901">
        <v>17.643799999999999</v>
      </c>
      <c r="N901">
        <v>20.217500000000001</v>
      </c>
      <c r="O901">
        <v>18.802</v>
      </c>
      <c r="P901">
        <v>25.209399999999999</v>
      </c>
      <c r="Q901">
        <v>28.8842</v>
      </c>
      <c r="R901">
        <v>26.863099999999999</v>
      </c>
      <c r="V901" t="s">
        <v>167</v>
      </c>
      <c r="W901" t="s">
        <v>168</v>
      </c>
      <c r="Y901">
        <v>1</v>
      </c>
      <c r="Z901" t="s">
        <v>170</v>
      </c>
      <c r="AA901" t="s">
        <v>170</v>
      </c>
      <c r="AB901" t="s">
        <v>171</v>
      </c>
      <c r="AC901" t="s">
        <v>172</v>
      </c>
      <c r="AF901">
        <v>337</v>
      </c>
      <c r="AG901" t="s">
        <v>1735</v>
      </c>
      <c r="AH901" t="s">
        <v>1736</v>
      </c>
      <c r="AI901" t="s">
        <v>1742</v>
      </c>
      <c r="AJ901" t="s">
        <v>1743</v>
      </c>
      <c r="AK901">
        <v>4</v>
      </c>
      <c r="AL901" t="s">
        <v>1737</v>
      </c>
      <c r="AS901">
        <v>650</v>
      </c>
      <c r="AT901">
        <v>650</v>
      </c>
      <c r="BQ901">
        <v>30</v>
      </c>
      <c r="BR901" t="s">
        <v>1099</v>
      </c>
      <c r="BT901" t="s">
        <v>1769</v>
      </c>
      <c r="BU901" s="1">
        <v>45567</v>
      </c>
      <c r="BV901">
        <v>35676</v>
      </c>
      <c r="BX901" t="s">
        <v>170</v>
      </c>
      <c r="BY901" t="s">
        <v>170</v>
      </c>
      <c r="CB901" t="s">
        <v>170</v>
      </c>
      <c r="CC901" t="s">
        <v>170</v>
      </c>
      <c r="CK901" t="s">
        <v>233</v>
      </c>
      <c r="CM901">
        <v>1</v>
      </c>
      <c r="CN901" t="s">
        <v>234</v>
      </c>
      <c r="CP901">
        <v>355</v>
      </c>
      <c r="CQ901">
        <v>223</v>
      </c>
      <c r="CR901">
        <v>175</v>
      </c>
      <c r="CS901" t="s">
        <v>235</v>
      </c>
      <c r="CV901" t="s">
        <v>341</v>
      </c>
      <c r="CX901" t="s">
        <v>1012</v>
      </c>
      <c r="CY901" t="s">
        <v>170</v>
      </c>
      <c r="DC901" t="s">
        <v>2346</v>
      </c>
      <c r="DD901">
        <v>1</v>
      </c>
      <c r="DE901" t="s">
        <v>404</v>
      </c>
      <c r="DF901" t="s">
        <v>2310</v>
      </c>
      <c r="DG901">
        <v>221</v>
      </c>
      <c r="DL901" t="s">
        <v>170</v>
      </c>
      <c r="DM901" t="s">
        <v>169</v>
      </c>
      <c r="DP901" t="s">
        <v>170</v>
      </c>
      <c r="DQ901" t="s">
        <v>187</v>
      </c>
      <c r="DR901" t="s">
        <v>2345</v>
      </c>
      <c r="EB901">
        <v>10</v>
      </c>
      <c r="EC901">
        <v>10</v>
      </c>
      <c r="EE901" t="s">
        <v>2347</v>
      </c>
      <c r="EF901">
        <v>10</v>
      </c>
      <c r="EU901">
        <v>6250</v>
      </c>
      <c r="EW901">
        <v>0</v>
      </c>
      <c r="EX901">
        <v>0</v>
      </c>
      <c r="EY901">
        <v>0</v>
      </c>
      <c r="FA901">
        <v>12</v>
      </c>
      <c r="FG901">
        <v>357</v>
      </c>
      <c r="FH901">
        <v>312</v>
      </c>
      <c r="FI901">
        <v>337</v>
      </c>
    </row>
    <row r="902" spans="1:165" x14ac:dyDescent="0.35">
      <c r="A902" s="25"/>
      <c r="B902" s="25"/>
      <c r="C902" s="25"/>
      <c r="D902" s="25"/>
      <c r="E902" s="25"/>
      <c r="F902" s="25" t="str">
        <f>_xlfn.CONCAT($A903," ",$B903," ",$D903)</f>
        <v>2025 Tesla Model Y Long Range AWD</v>
      </c>
      <c r="G902" s="25"/>
      <c r="H902" s="25"/>
      <c r="I902" s="25"/>
      <c r="J902" s="25"/>
      <c r="K902" s="25"/>
      <c r="L902" s="25"/>
      <c r="M902" s="25"/>
      <c r="N902" s="25"/>
      <c r="O902" s="25"/>
      <c r="P902" s="25"/>
      <c r="Q902" s="25"/>
      <c r="R902" s="25"/>
      <c r="S902" s="25"/>
      <c r="T902" s="25"/>
      <c r="U902" s="25"/>
      <c r="V902" s="25"/>
      <c r="W902" s="25"/>
      <c r="X902" s="25"/>
      <c r="Y902" s="25"/>
      <c r="Z902" s="25"/>
      <c r="AA902" s="25"/>
      <c r="AB902" s="25"/>
      <c r="AC902" s="25"/>
      <c r="AD902" s="25" t="str">
        <f>_xlfn.CONCAT($A903," ",$B903," ",$D903)</f>
        <v>2025 Tesla Model Y Long Range AWD</v>
      </c>
      <c r="AE902" s="25"/>
      <c r="AF902" s="25"/>
      <c r="AG902" s="25"/>
      <c r="AH902" s="25"/>
      <c r="AI902" s="25"/>
      <c r="AJ902" s="25"/>
      <c r="AK902" s="25"/>
      <c r="AL902" s="25"/>
      <c r="AM902" s="25"/>
      <c r="AN902" s="25"/>
      <c r="AO902" s="25"/>
      <c r="AP902" s="25"/>
      <c r="AQ902" s="25"/>
      <c r="AR902" s="25"/>
      <c r="AS902" s="25"/>
      <c r="AT902" s="25"/>
      <c r="AU902" s="25"/>
      <c r="AV902" s="25"/>
      <c r="AW902" s="25"/>
      <c r="AX902" s="25" t="str">
        <f>_xlfn.CONCAT($A903," ",$B903," ",$D903)</f>
        <v>2025 Tesla Model Y Long Range AWD</v>
      </c>
      <c r="AY902" s="25"/>
      <c r="AZ902" s="25"/>
      <c r="BA902" s="25"/>
      <c r="BB902" s="25"/>
      <c r="BC902" s="25"/>
      <c r="BD902" s="25"/>
      <c r="BE902" s="25"/>
      <c r="BF902" s="25"/>
      <c r="BG902" s="25"/>
      <c r="BH902" s="25"/>
      <c r="BI902" s="25"/>
      <c r="BJ902" s="25"/>
      <c r="BK902" s="25"/>
      <c r="BL902" s="25"/>
      <c r="BM902" s="25"/>
      <c r="BN902" s="25"/>
      <c r="BO902" s="25"/>
      <c r="BP902" s="25"/>
      <c r="BQ902" s="25"/>
      <c r="BR902" s="25" t="str">
        <f>_xlfn.CONCAT($A903," ",$B903," ",$D903)</f>
        <v>2025 Tesla Model Y Long Range AWD</v>
      </c>
      <c r="BS902" s="25"/>
      <c r="BT902" s="25"/>
      <c r="BU902" s="25"/>
      <c r="BV902" s="25"/>
      <c r="BX902" s="25"/>
      <c r="BY902" s="25"/>
      <c r="BZ902" s="25"/>
      <c r="CA902" s="25"/>
      <c r="CB902" s="25"/>
      <c r="CC902" s="25"/>
      <c r="CD902" s="25"/>
      <c r="CE902" s="25"/>
      <c r="CF902" s="25"/>
      <c r="CG902" s="25"/>
      <c r="CH902" s="25"/>
      <c r="CI902" s="25"/>
      <c r="CJ902" s="25"/>
      <c r="CK902" s="25"/>
      <c r="CL902" s="25"/>
      <c r="CM902" s="25"/>
      <c r="CN902" s="25"/>
      <c r="CO902" s="25"/>
      <c r="CP902" s="25" t="str">
        <f>_xlfn.CONCAT($A903," ",$B903," ",$D903)</f>
        <v>2025 Tesla Model Y Long Range AWD</v>
      </c>
      <c r="CQ902" s="25"/>
      <c r="CR902" s="25"/>
      <c r="CS902" s="25"/>
      <c r="CT902" s="25"/>
      <c r="CU902" s="25"/>
      <c r="CV902" s="25"/>
      <c r="CW902" s="25"/>
      <c r="CX902" s="25"/>
      <c r="CY902" s="25"/>
      <c r="CZ902" s="25"/>
      <c r="DA902" s="25"/>
      <c r="DB902" s="25"/>
      <c r="DC902" s="25"/>
      <c r="DD902" s="25"/>
      <c r="DE902" s="25"/>
      <c r="DF902" s="25"/>
      <c r="DG902" s="25"/>
      <c r="DH902" s="25"/>
      <c r="DI902" s="25" t="str">
        <f>_xlfn.CONCAT($A903," ",$B903," ",$D903)</f>
        <v>2025 Tesla Model Y Long Range AWD</v>
      </c>
      <c r="DJ902" s="25"/>
      <c r="DK902" s="25"/>
      <c r="DL902" s="25"/>
      <c r="DM902" s="25"/>
      <c r="DN902" s="25"/>
      <c r="DO902" s="25"/>
      <c r="DP902" s="25"/>
      <c r="DQ902" s="25"/>
      <c r="DR902" s="25"/>
      <c r="DS902" s="25"/>
      <c r="DT902" s="25"/>
      <c r="DU902" s="25"/>
      <c r="DV902" s="25"/>
      <c r="DW902" s="25"/>
      <c r="DX902" s="25"/>
      <c r="DY902" s="25"/>
      <c r="DZ902" s="25" t="str">
        <f>_xlfn.CONCAT($A903," ",$B903," ",$D903)</f>
        <v>2025 Tesla Model Y Long Range AWD</v>
      </c>
      <c r="EB902" s="25"/>
      <c r="EC902" s="25"/>
      <c r="ED902" s="25"/>
      <c r="EE902" s="25"/>
      <c r="EF902" s="25"/>
      <c r="EG902" s="25"/>
      <c r="EH902" s="25"/>
      <c r="EI902" s="25"/>
      <c r="EJ902" s="25"/>
      <c r="EK902" s="25"/>
      <c r="EL902" s="25"/>
      <c r="EM902" s="25"/>
      <c r="EN902" s="25"/>
      <c r="EO902" s="25"/>
      <c r="EP902" s="25"/>
      <c r="EQ902" s="25"/>
      <c r="ER902" s="25"/>
      <c r="ES902" s="25"/>
      <c r="ET902" s="25"/>
      <c r="EU902" s="25"/>
      <c r="EV902" s="25" t="str">
        <f>_xlfn.CONCAT($A903," ",$B903," ",$D903)</f>
        <v>2025 Tesla Model Y Long Range AWD</v>
      </c>
      <c r="EW902" s="25"/>
      <c r="EX902" s="25"/>
      <c r="EY902" s="25"/>
      <c r="EZ902" s="25"/>
      <c r="FA902" s="25"/>
      <c r="FB902" s="25"/>
      <c r="FC902" s="25"/>
      <c r="FD902" s="25"/>
      <c r="FE902" s="25"/>
      <c r="FF902" s="25"/>
      <c r="FG902" s="25"/>
    </row>
    <row r="903" spans="1:165" x14ac:dyDescent="0.35">
      <c r="A903">
        <v>2025</v>
      </c>
      <c r="B903" t="s">
        <v>2303</v>
      </c>
      <c r="C903" t="s">
        <v>2304</v>
      </c>
      <c r="D903" t="s">
        <v>2341</v>
      </c>
      <c r="E903" t="s">
        <v>2306</v>
      </c>
      <c r="F903">
        <v>45</v>
      </c>
      <c r="G903">
        <v>0</v>
      </c>
      <c r="I903" t="s">
        <v>1734</v>
      </c>
      <c r="J903">
        <v>123</v>
      </c>
      <c r="K903">
        <v>111</v>
      </c>
      <c r="L903">
        <v>117</v>
      </c>
      <c r="M903">
        <v>175.2</v>
      </c>
      <c r="N903">
        <v>158.4</v>
      </c>
      <c r="O903">
        <v>167.2191</v>
      </c>
      <c r="P903">
        <v>122.64</v>
      </c>
      <c r="Q903">
        <v>110.88</v>
      </c>
      <c r="R903">
        <v>117.0534</v>
      </c>
      <c r="V903" t="s">
        <v>167</v>
      </c>
      <c r="W903" t="s">
        <v>168</v>
      </c>
      <c r="Y903">
        <v>1</v>
      </c>
      <c r="Z903" t="s">
        <v>170</v>
      </c>
      <c r="AA903" t="s">
        <v>170</v>
      </c>
      <c r="AB903" t="s">
        <v>167</v>
      </c>
      <c r="AC903" t="s">
        <v>213</v>
      </c>
      <c r="AF903">
        <v>311</v>
      </c>
      <c r="AG903" t="s">
        <v>1735</v>
      </c>
      <c r="AH903" t="s">
        <v>1736</v>
      </c>
      <c r="AI903" t="s">
        <v>175</v>
      </c>
      <c r="AJ903" t="s">
        <v>176</v>
      </c>
      <c r="AK903">
        <v>4</v>
      </c>
      <c r="AL903" t="s">
        <v>1737</v>
      </c>
      <c r="AS903">
        <v>700</v>
      </c>
      <c r="AT903">
        <v>0</v>
      </c>
      <c r="BQ903">
        <v>31</v>
      </c>
      <c r="BR903" t="s">
        <v>1219</v>
      </c>
      <c r="BT903" t="s">
        <v>1769</v>
      </c>
      <c r="BU903" s="1">
        <v>45593</v>
      </c>
      <c r="BV903">
        <v>35773</v>
      </c>
      <c r="BX903" t="s">
        <v>170</v>
      </c>
      <c r="BY903" t="s">
        <v>170</v>
      </c>
      <c r="CB903" t="s">
        <v>170</v>
      </c>
      <c r="CC903" t="s">
        <v>170</v>
      </c>
      <c r="CK903" t="s">
        <v>233</v>
      </c>
      <c r="CM903">
        <v>1</v>
      </c>
      <c r="CN903" t="s">
        <v>234</v>
      </c>
      <c r="CP903">
        <v>355</v>
      </c>
      <c r="CQ903">
        <v>224</v>
      </c>
      <c r="CR903">
        <v>175</v>
      </c>
      <c r="CS903" t="s">
        <v>235</v>
      </c>
      <c r="CV903" t="s">
        <v>341</v>
      </c>
      <c r="CX903" t="s">
        <v>342</v>
      </c>
      <c r="CY903" t="s">
        <v>170</v>
      </c>
      <c r="DC903" t="s">
        <v>2342</v>
      </c>
      <c r="DD903">
        <v>6</v>
      </c>
      <c r="DE903" t="s">
        <v>237</v>
      </c>
      <c r="DG903" t="s">
        <v>2343</v>
      </c>
      <c r="DL903" t="s">
        <v>170</v>
      </c>
      <c r="DM903" t="s">
        <v>169</v>
      </c>
      <c r="DP903" t="s">
        <v>170</v>
      </c>
      <c r="DQ903" t="s">
        <v>187</v>
      </c>
      <c r="DR903" t="s">
        <v>2314</v>
      </c>
      <c r="EB903">
        <v>9</v>
      </c>
      <c r="EC903">
        <v>10</v>
      </c>
      <c r="EE903" t="s">
        <v>2344</v>
      </c>
      <c r="EF903">
        <v>10</v>
      </c>
      <c r="EU903">
        <v>6000</v>
      </c>
      <c r="EW903">
        <v>0</v>
      </c>
      <c r="EX903">
        <v>0</v>
      </c>
      <c r="EY903">
        <v>0</v>
      </c>
      <c r="FA903">
        <v>12</v>
      </c>
      <c r="FG903">
        <v>325</v>
      </c>
      <c r="FH903">
        <v>294</v>
      </c>
      <c r="FI903">
        <v>311</v>
      </c>
    </row>
    <row r="904" spans="1:165" x14ac:dyDescent="0.35">
      <c r="A904">
        <v>2025</v>
      </c>
      <c r="B904" t="s">
        <v>2303</v>
      </c>
      <c r="C904" t="s">
        <v>2304</v>
      </c>
      <c r="D904" t="s">
        <v>2341</v>
      </c>
      <c r="E904" t="s">
        <v>2306</v>
      </c>
      <c r="F904">
        <v>45</v>
      </c>
      <c r="G904">
        <v>0</v>
      </c>
      <c r="I904" t="s">
        <v>1734</v>
      </c>
      <c r="J904">
        <v>27</v>
      </c>
      <c r="K904">
        <v>30</v>
      </c>
      <c r="L904">
        <v>29</v>
      </c>
      <c r="M904">
        <v>19.239999999999998</v>
      </c>
      <c r="N904">
        <v>21.276900000000001</v>
      </c>
      <c r="O904">
        <v>20.156600000000001</v>
      </c>
      <c r="P904">
        <v>27.482900000000001</v>
      </c>
      <c r="Q904">
        <v>30.3977</v>
      </c>
      <c r="R904">
        <v>28.794599999999999</v>
      </c>
      <c r="V904" t="s">
        <v>167</v>
      </c>
      <c r="W904" t="s">
        <v>168</v>
      </c>
      <c r="Y904">
        <v>1</v>
      </c>
      <c r="Z904" t="s">
        <v>170</v>
      </c>
      <c r="AA904" t="s">
        <v>170</v>
      </c>
      <c r="AB904" t="s">
        <v>167</v>
      </c>
      <c r="AC904" t="s">
        <v>213</v>
      </c>
      <c r="AF904">
        <v>311</v>
      </c>
      <c r="AG904" t="s">
        <v>1735</v>
      </c>
      <c r="AH904" t="s">
        <v>1736</v>
      </c>
      <c r="AI904" t="s">
        <v>1742</v>
      </c>
      <c r="AJ904" t="s">
        <v>1743</v>
      </c>
      <c r="AK904">
        <v>4</v>
      </c>
      <c r="AL904" t="s">
        <v>1737</v>
      </c>
      <c r="AS904">
        <v>700</v>
      </c>
      <c r="AT904">
        <v>700</v>
      </c>
      <c r="BQ904">
        <v>31</v>
      </c>
      <c r="BR904" t="s">
        <v>1219</v>
      </c>
      <c r="BT904" t="s">
        <v>1769</v>
      </c>
      <c r="BU904" s="1">
        <v>45593</v>
      </c>
      <c r="BV904">
        <v>35773</v>
      </c>
      <c r="BX904" t="s">
        <v>170</v>
      </c>
      <c r="BY904" t="s">
        <v>170</v>
      </c>
      <c r="CB904" t="s">
        <v>170</v>
      </c>
      <c r="CC904" t="s">
        <v>170</v>
      </c>
      <c r="CK904" t="s">
        <v>233</v>
      </c>
      <c r="CM904">
        <v>1</v>
      </c>
      <c r="CN904" t="s">
        <v>234</v>
      </c>
      <c r="CP904">
        <v>355</v>
      </c>
      <c r="CQ904">
        <v>224</v>
      </c>
      <c r="CR904">
        <v>175</v>
      </c>
      <c r="CS904" t="s">
        <v>235</v>
      </c>
      <c r="CV904" t="s">
        <v>341</v>
      </c>
      <c r="CX904" t="s">
        <v>342</v>
      </c>
      <c r="CY904" t="s">
        <v>170</v>
      </c>
      <c r="DC904" t="s">
        <v>2342</v>
      </c>
      <c r="DD904">
        <v>6</v>
      </c>
      <c r="DE904" t="s">
        <v>404</v>
      </c>
      <c r="DF904" t="s">
        <v>2310</v>
      </c>
      <c r="DG904" t="s">
        <v>2343</v>
      </c>
      <c r="DL904" t="s">
        <v>170</v>
      </c>
      <c r="DM904" t="s">
        <v>169</v>
      </c>
      <c r="DP904" t="s">
        <v>170</v>
      </c>
      <c r="DQ904" t="s">
        <v>187</v>
      </c>
      <c r="DR904" t="s">
        <v>2314</v>
      </c>
      <c r="EB904">
        <v>9</v>
      </c>
      <c r="EC904">
        <v>10</v>
      </c>
      <c r="EE904" t="s">
        <v>2344</v>
      </c>
      <c r="EF904">
        <v>10</v>
      </c>
      <c r="EU904">
        <v>6000</v>
      </c>
      <c r="EW904">
        <v>0</v>
      </c>
      <c r="EX904">
        <v>0</v>
      </c>
      <c r="EY904">
        <v>0</v>
      </c>
      <c r="FA904">
        <v>12</v>
      </c>
      <c r="FG904">
        <v>325</v>
      </c>
      <c r="FH904">
        <v>294</v>
      </c>
      <c r="FI904">
        <v>311</v>
      </c>
    </row>
    <row r="905" spans="1:165" x14ac:dyDescent="0.35">
      <c r="A905" s="25"/>
      <c r="B905" s="25"/>
      <c r="C905" s="25"/>
      <c r="D905" s="25"/>
      <c r="E905" s="25"/>
      <c r="F905" s="25" t="str">
        <f>_xlfn.CONCAT($A906," ",$B906," ",$D906)</f>
        <v>2025 Tesla Model Y Performance AWD</v>
      </c>
      <c r="G905" s="25"/>
      <c r="H905" s="25"/>
      <c r="I905" s="25"/>
      <c r="J905" s="25"/>
      <c r="K905" s="25"/>
      <c r="L905" s="25"/>
      <c r="M905" s="25"/>
      <c r="N905" s="25"/>
      <c r="O905" s="25"/>
      <c r="P905" s="25"/>
      <c r="Q905" s="25"/>
      <c r="R905" s="25"/>
      <c r="S905" s="25"/>
      <c r="T905" s="25"/>
      <c r="U905" s="25"/>
      <c r="V905" s="25"/>
      <c r="W905" s="25"/>
      <c r="X905" s="25"/>
      <c r="Y905" s="25"/>
      <c r="Z905" s="25"/>
      <c r="AA905" s="25"/>
      <c r="AB905" s="25"/>
      <c r="AC905" s="25"/>
      <c r="AD905" s="25" t="str">
        <f>_xlfn.CONCAT($A906," ",$B906," ",$D906)</f>
        <v>2025 Tesla Model Y Performance AWD</v>
      </c>
      <c r="AE905" s="25"/>
      <c r="AF905" s="25"/>
      <c r="AG905" s="25"/>
      <c r="AH905" s="25"/>
      <c r="AI905" s="25"/>
      <c r="AJ905" s="25"/>
      <c r="AK905" s="25"/>
      <c r="AL905" s="25"/>
      <c r="AM905" s="25"/>
      <c r="AN905" s="25"/>
      <c r="AO905" s="25"/>
      <c r="AP905" s="25"/>
      <c r="AQ905" s="25"/>
      <c r="AR905" s="25"/>
      <c r="AS905" s="25"/>
      <c r="AT905" s="25"/>
      <c r="AU905" s="25"/>
      <c r="AV905" s="25"/>
      <c r="AW905" s="25"/>
      <c r="AX905" s="25" t="str">
        <f>_xlfn.CONCAT($A906," ",$B906," ",$D906)</f>
        <v>2025 Tesla Model Y Performance AWD</v>
      </c>
      <c r="AY905" s="25"/>
      <c r="AZ905" s="25"/>
      <c r="BA905" s="25"/>
      <c r="BB905" s="25"/>
      <c r="BC905" s="25"/>
      <c r="BD905" s="25"/>
      <c r="BE905" s="25"/>
      <c r="BF905" s="25"/>
      <c r="BG905" s="25"/>
      <c r="BH905" s="25"/>
      <c r="BI905" s="25"/>
      <c r="BJ905" s="25"/>
      <c r="BK905" s="25"/>
      <c r="BL905" s="25"/>
      <c r="BM905" s="25"/>
      <c r="BN905" s="25"/>
      <c r="BO905" s="25"/>
      <c r="BP905" s="25"/>
      <c r="BQ905" s="25"/>
      <c r="BR905" s="25" t="str">
        <f>_xlfn.CONCAT($A906," ",$B906," ",$D906)</f>
        <v>2025 Tesla Model Y Performance AWD</v>
      </c>
      <c r="BS905" s="25"/>
      <c r="BT905" s="25"/>
      <c r="BU905" s="25"/>
      <c r="BV905" s="25"/>
      <c r="BX905" s="25"/>
      <c r="BY905" s="25"/>
      <c r="BZ905" s="25"/>
      <c r="CA905" s="25"/>
      <c r="CB905" s="25"/>
      <c r="CC905" s="25"/>
      <c r="CD905" s="25"/>
      <c r="CE905" s="25"/>
      <c r="CF905" s="25"/>
      <c r="CG905" s="25"/>
      <c r="CH905" s="25"/>
      <c r="CI905" s="25"/>
      <c r="CJ905" s="25"/>
      <c r="CK905" s="25"/>
      <c r="CL905" s="25"/>
      <c r="CM905" s="25"/>
      <c r="CN905" s="25"/>
      <c r="CO905" s="25"/>
      <c r="CP905" s="25" t="str">
        <f>_xlfn.CONCAT($A906," ",$B906," ",$D906)</f>
        <v>2025 Tesla Model Y Performance AWD</v>
      </c>
      <c r="CQ905" s="25"/>
      <c r="CR905" s="25"/>
      <c r="CS905" s="25"/>
      <c r="CT905" s="25"/>
      <c r="CU905" s="25"/>
      <c r="CV905" s="25"/>
      <c r="CW905" s="25"/>
      <c r="CX905" s="25"/>
      <c r="CY905" s="25"/>
      <c r="CZ905" s="25"/>
      <c r="DA905" s="25"/>
      <c r="DB905" s="25"/>
      <c r="DC905" s="25"/>
      <c r="DD905" s="25"/>
      <c r="DE905" s="25"/>
      <c r="DF905" s="25"/>
      <c r="DG905" s="25"/>
      <c r="DH905" s="25"/>
      <c r="DI905" s="25" t="str">
        <f>_xlfn.CONCAT($A906," ",$B906," ",$D906)</f>
        <v>2025 Tesla Model Y Performance AWD</v>
      </c>
      <c r="DJ905" s="25"/>
      <c r="DK905" s="25"/>
      <c r="DL905" s="25"/>
      <c r="DM905" s="25"/>
      <c r="DN905" s="25"/>
      <c r="DO905" s="25"/>
      <c r="DP905" s="25"/>
      <c r="DQ905" s="25"/>
      <c r="DR905" s="25"/>
      <c r="DS905" s="25"/>
      <c r="DT905" s="25"/>
      <c r="DU905" s="25"/>
      <c r="DV905" s="25"/>
      <c r="DW905" s="25"/>
      <c r="DX905" s="25"/>
      <c r="DY905" s="25"/>
      <c r="DZ905" s="25" t="str">
        <f>_xlfn.CONCAT($A906," ",$B906," ",$D906)</f>
        <v>2025 Tesla Model Y Performance AWD</v>
      </c>
      <c r="EB905" s="25"/>
      <c r="EC905" s="25"/>
      <c r="ED905" s="25"/>
      <c r="EE905" s="25"/>
      <c r="EF905" s="25"/>
      <c r="EG905" s="25"/>
      <c r="EH905" s="25"/>
      <c r="EI905" s="25"/>
      <c r="EJ905" s="25"/>
      <c r="EK905" s="25"/>
      <c r="EL905" s="25"/>
      <c r="EM905" s="25"/>
      <c r="EN905" s="25"/>
      <c r="EO905" s="25"/>
      <c r="EP905" s="25"/>
      <c r="EQ905" s="25"/>
      <c r="ER905" s="25"/>
      <c r="ES905" s="25"/>
      <c r="ET905" s="25"/>
      <c r="EU905" s="25"/>
      <c r="EV905" s="25" t="str">
        <f>_xlfn.CONCAT($A906," ",$B906," ",$D906)</f>
        <v>2025 Tesla Model Y Performance AWD</v>
      </c>
      <c r="EW905" s="25"/>
      <c r="EX905" s="25"/>
      <c r="EY905" s="25"/>
      <c r="EZ905" s="25"/>
      <c r="FA905" s="25"/>
      <c r="FB905" s="25"/>
      <c r="FC905" s="25"/>
      <c r="FD905" s="25"/>
      <c r="FE905" s="25"/>
      <c r="FF905" s="25"/>
      <c r="FG905" s="25"/>
    </row>
    <row r="906" spans="1:165" x14ac:dyDescent="0.35">
      <c r="A906">
        <v>2025</v>
      </c>
      <c r="B906" t="s">
        <v>2303</v>
      </c>
      <c r="C906" t="s">
        <v>2304</v>
      </c>
      <c r="D906" t="s">
        <v>2348</v>
      </c>
      <c r="E906" t="s">
        <v>2306</v>
      </c>
      <c r="F906">
        <v>47</v>
      </c>
      <c r="G906">
        <v>0</v>
      </c>
      <c r="I906" t="s">
        <v>1734</v>
      </c>
      <c r="J906">
        <v>110</v>
      </c>
      <c r="K906">
        <v>97</v>
      </c>
      <c r="L906">
        <v>104</v>
      </c>
      <c r="M906">
        <v>157.19999999999999</v>
      </c>
      <c r="N906">
        <v>139.19999999999999</v>
      </c>
      <c r="O906">
        <v>148.5556</v>
      </c>
      <c r="P906">
        <v>110.04</v>
      </c>
      <c r="Q906">
        <v>97.44</v>
      </c>
      <c r="R906">
        <v>103.9889</v>
      </c>
      <c r="V906" t="s">
        <v>167</v>
      </c>
      <c r="W906" t="s">
        <v>168</v>
      </c>
      <c r="Y906">
        <v>1</v>
      </c>
      <c r="Z906" t="s">
        <v>170</v>
      </c>
      <c r="AA906" t="s">
        <v>170</v>
      </c>
      <c r="AB906" t="s">
        <v>167</v>
      </c>
      <c r="AC906" t="s">
        <v>213</v>
      </c>
      <c r="AF906">
        <v>277</v>
      </c>
      <c r="AG906" t="s">
        <v>1735</v>
      </c>
      <c r="AH906" t="s">
        <v>1736</v>
      </c>
      <c r="AI906" t="s">
        <v>175</v>
      </c>
      <c r="AJ906" t="s">
        <v>176</v>
      </c>
      <c r="AK906">
        <v>4</v>
      </c>
      <c r="AL906" t="s">
        <v>1737</v>
      </c>
      <c r="AS906">
        <v>750</v>
      </c>
      <c r="AT906">
        <v>0</v>
      </c>
      <c r="BQ906">
        <v>31</v>
      </c>
      <c r="BR906" t="s">
        <v>1219</v>
      </c>
      <c r="BT906" t="s">
        <v>1769</v>
      </c>
      <c r="BU906" s="1">
        <v>45559</v>
      </c>
      <c r="BV906">
        <v>35636</v>
      </c>
      <c r="BX906" t="s">
        <v>170</v>
      </c>
      <c r="BY906" t="s">
        <v>170</v>
      </c>
      <c r="CB906" t="s">
        <v>170</v>
      </c>
      <c r="CC906" t="s">
        <v>170</v>
      </c>
      <c r="CK906" t="s">
        <v>233</v>
      </c>
      <c r="CM906">
        <v>1</v>
      </c>
      <c r="CN906" t="s">
        <v>234</v>
      </c>
      <c r="CP906">
        <v>355</v>
      </c>
      <c r="CQ906">
        <v>224</v>
      </c>
      <c r="CR906">
        <v>175</v>
      </c>
      <c r="CS906" t="s">
        <v>235</v>
      </c>
      <c r="CV906" t="s">
        <v>341</v>
      </c>
      <c r="CX906" t="s">
        <v>342</v>
      </c>
      <c r="CY906" t="s">
        <v>170</v>
      </c>
      <c r="DC906" t="s">
        <v>2342</v>
      </c>
      <c r="DD906">
        <v>6</v>
      </c>
      <c r="DE906" t="s">
        <v>237</v>
      </c>
      <c r="DG906" t="s">
        <v>2343</v>
      </c>
      <c r="DL906" t="s">
        <v>170</v>
      </c>
      <c r="DM906" t="s">
        <v>169</v>
      </c>
      <c r="DP906" t="s">
        <v>170</v>
      </c>
      <c r="DQ906" t="s">
        <v>187</v>
      </c>
      <c r="DR906" t="s">
        <v>2321</v>
      </c>
      <c r="EB906">
        <v>9</v>
      </c>
      <c r="EC906">
        <v>10</v>
      </c>
      <c r="EE906" t="s">
        <v>2344</v>
      </c>
      <c r="EF906">
        <v>10</v>
      </c>
      <c r="EU906">
        <v>5750</v>
      </c>
      <c r="EW906">
        <v>0</v>
      </c>
      <c r="EX906">
        <v>0</v>
      </c>
      <c r="EY906">
        <v>0</v>
      </c>
      <c r="FA906">
        <v>11.8</v>
      </c>
      <c r="FG906">
        <v>292</v>
      </c>
      <c r="FH906">
        <v>259</v>
      </c>
      <c r="FI906">
        <v>277</v>
      </c>
    </row>
    <row r="907" spans="1:165" x14ac:dyDescent="0.35">
      <c r="A907">
        <v>2025</v>
      </c>
      <c r="B907" t="s">
        <v>2303</v>
      </c>
      <c r="C907" t="s">
        <v>2304</v>
      </c>
      <c r="D907" t="s">
        <v>2348</v>
      </c>
      <c r="E907" t="s">
        <v>2306</v>
      </c>
      <c r="F907">
        <v>47</v>
      </c>
      <c r="G907">
        <v>0</v>
      </c>
      <c r="I907" t="s">
        <v>1734</v>
      </c>
      <c r="J907">
        <v>31</v>
      </c>
      <c r="K907">
        <v>35</v>
      </c>
      <c r="L907">
        <v>32</v>
      </c>
      <c r="M907">
        <v>21.4389</v>
      </c>
      <c r="N907">
        <v>24.221299999999999</v>
      </c>
      <c r="O907">
        <v>22.690999999999999</v>
      </c>
      <c r="P907">
        <v>30.629799999999999</v>
      </c>
      <c r="Q907">
        <v>34.590499999999999</v>
      </c>
      <c r="R907">
        <v>32.412100000000002</v>
      </c>
      <c r="V907" t="s">
        <v>167</v>
      </c>
      <c r="W907" t="s">
        <v>168</v>
      </c>
      <c r="Y907">
        <v>1</v>
      </c>
      <c r="Z907" t="s">
        <v>170</v>
      </c>
      <c r="AA907" t="s">
        <v>170</v>
      </c>
      <c r="AB907" t="s">
        <v>167</v>
      </c>
      <c r="AC907" t="s">
        <v>213</v>
      </c>
      <c r="AF907">
        <v>277</v>
      </c>
      <c r="AG907" t="s">
        <v>1735</v>
      </c>
      <c r="AH907" t="s">
        <v>1736</v>
      </c>
      <c r="AI907" t="s">
        <v>1742</v>
      </c>
      <c r="AJ907" t="s">
        <v>1743</v>
      </c>
      <c r="AK907">
        <v>4</v>
      </c>
      <c r="AL907" t="s">
        <v>1737</v>
      </c>
      <c r="AS907">
        <v>750</v>
      </c>
      <c r="AT907">
        <v>750</v>
      </c>
      <c r="BQ907">
        <v>31</v>
      </c>
      <c r="BR907" t="s">
        <v>1219</v>
      </c>
      <c r="BT907" t="s">
        <v>1769</v>
      </c>
      <c r="BU907" s="1">
        <v>45559</v>
      </c>
      <c r="BV907">
        <v>35636</v>
      </c>
      <c r="BX907" t="s">
        <v>170</v>
      </c>
      <c r="BY907" t="s">
        <v>170</v>
      </c>
      <c r="CB907" t="s">
        <v>170</v>
      </c>
      <c r="CC907" t="s">
        <v>170</v>
      </c>
      <c r="CK907" t="s">
        <v>233</v>
      </c>
      <c r="CM907">
        <v>1</v>
      </c>
      <c r="CN907" t="s">
        <v>234</v>
      </c>
      <c r="CP907">
        <v>355</v>
      </c>
      <c r="CQ907">
        <v>224</v>
      </c>
      <c r="CR907">
        <v>175</v>
      </c>
      <c r="CS907" t="s">
        <v>235</v>
      </c>
      <c r="CV907" t="s">
        <v>341</v>
      </c>
      <c r="CX907" t="s">
        <v>342</v>
      </c>
      <c r="CY907" t="s">
        <v>170</v>
      </c>
      <c r="DC907" t="s">
        <v>2342</v>
      </c>
      <c r="DD907">
        <v>6</v>
      </c>
      <c r="DE907" t="s">
        <v>237</v>
      </c>
      <c r="DG907" t="s">
        <v>2343</v>
      </c>
      <c r="DL907" t="s">
        <v>170</v>
      </c>
      <c r="DM907" t="s">
        <v>169</v>
      </c>
      <c r="DP907" t="s">
        <v>170</v>
      </c>
      <c r="DQ907" t="s">
        <v>187</v>
      </c>
      <c r="DR907" t="s">
        <v>2321</v>
      </c>
      <c r="EB907">
        <v>9</v>
      </c>
      <c r="EC907">
        <v>10</v>
      </c>
      <c r="EE907" t="s">
        <v>2344</v>
      </c>
      <c r="EF907">
        <v>10</v>
      </c>
      <c r="EU907">
        <v>5750</v>
      </c>
      <c r="EW907">
        <v>0</v>
      </c>
      <c r="EX907">
        <v>0</v>
      </c>
      <c r="EY907">
        <v>0</v>
      </c>
      <c r="FA907">
        <v>11.8</v>
      </c>
      <c r="FG907">
        <v>292</v>
      </c>
      <c r="FH907">
        <v>259</v>
      </c>
      <c r="FI907">
        <v>277</v>
      </c>
    </row>
    <row r="908" spans="1:165" x14ac:dyDescent="0.35">
      <c r="A908" s="25"/>
      <c r="B908" s="25"/>
      <c r="C908" s="25"/>
      <c r="D908" s="25"/>
      <c r="E908" s="25"/>
      <c r="F908" s="25" t="str">
        <f>_xlfn.CONCAT($A909," ",$B909," ",$D909)</f>
        <v>2025 Tesla Model S</v>
      </c>
      <c r="G908" s="25"/>
      <c r="H908" s="25"/>
      <c r="I908" s="25"/>
      <c r="J908" s="25"/>
      <c r="K908" s="25"/>
      <c r="L908" s="25"/>
      <c r="M908" s="25"/>
      <c r="N908" s="25"/>
      <c r="O908" s="25"/>
      <c r="P908" s="25"/>
      <c r="Q908" s="25"/>
      <c r="R908" s="25"/>
      <c r="S908" s="25"/>
      <c r="T908" s="25"/>
      <c r="U908" s="25"/>
      <c r="V908" s="25"/>
      <c r="W908" s="25"/>
      <c r="X908" s="25"/>
      <c r="Y908" s="25"/>
      <c r="Z908" s="25"/>
      <c r="AA908" s="25"/>
      <c r="AB908" s="25"/>
      <c r="AC908" s="25"/>
      <c r="AD908" s="25" t="str">
        <f>_xlfn.CONCAT($A909," ",$B909," ",$D909)</f>
        <v>2025 Tesla Model S</v>
      </c>
      <c r="AE908" s="25"/>
      <c r="AF908" s="25"/>
      <c r="AG908" s="25"/>
      <c r="AH908" s="25"/>
      <c r="AI908" s="25"/>
      <c r="AJ908" s="25"/>
      <c r="AK908" s="25"/>
      <c r="AL908" s="25"/>
      <c r="AM908" s="25"/>
      <c r="AN908" s="25"/>
      <c r="AO908" s="25"/>
      <c r="AP908" s="25"/>
      <c r="AQ908" s="25"/>
      <c r="AR908" s="25"/>
      <c r="AS908" s="25"/>
      <c r="AT908" s="25"/>
      <c r="AU908" s="25"/>
      <c r="AV908" s="25"/>
      <c r="AW908" s="25"/>
      <c r="AX908" s="25" t="str">
        <f>_xlfn.CONCAT($A909," ",$B909," ",$D909)</f>
        <v>2025 Tesla Model S</v>
      </c>
      <c r="AY908" s="25"/>
      <c r="AZ908" s="25"/>
      <c r="BA908" s="25"/>
      <c r="BB908" s="25"/>
      <c r="BC908" s="25"/>
      <c r="BD908" s="25"/>
      <c r="BE908" s="25"/>
      <c r="BF908" s="25"/>
      <c r="BG908" s="25"/>
      <c r="BH908" s="25"/>
      <c r="BI908" s="25"/>
      <c r="BJ908" s="25"/>
      <c r="BK908" s="25"/>
      <c r="BL908" s="25"/>
      <c r="BM908" s="25"/>
      <c r="BN908" s="25"/>
      <c r="BO908" s="25"/>
      <c r="BP908" s="25"/>
      <c r="BQ908" s="25"/>
      <c r="BR908" s="25" t="str">
        <f>_xlfn.CONCAT($A909," ",$B909," ",$D909)</f>
        <v>2025 Tesla Model S</v>
      </c>
      <c r="BS908" s="25"/>
      <c r="BT908" s="25"/>
      <c r="BU908" s="25"/>
      <c r="BV908" s="25"/>
      <c r="BX908" s="25"/>
      <c r="BY908" s="25"/>
      <c r="BZ908" s="25"/>
      <c r="CA908" s="25"/>
      <c r="CB908" s="25"/>
      <c r="CC908" s="25"/>
      <c r="CD908" s="25"/>
      <c r="CE908" s="25"/>
      <c r="CF908" s="25"/>
      <c r="CG908" s="25"/>
      <c r="CH908" s="25"/>
      <c r="CI908" s="25"/>
      <c r="CJ908" s="25"/>
      <c r="CK908" s="25"/>
      <c r="CL908" s="25"/>
      <c r="CM908" s="25"/>
      <c r="CN908" s="25"/>
      <c r="CO908" s="25"/>
      <c r="CP908" s="25" t="str">
        <f>_xlfn.CONCAT($A909," ",$B909," ",$D909)</f>
        <v>2025 Tesla Model S</v>
      </c>
      <c r="CQ908" s="25"/>
      <c r="CR908" s="25"/>
      <c r="CS908" s="25"/>
      <c r="CT908" s="25"/>
      <c r="CU908" s="25"/>
      <c r="CV908" s="25"/>
      <c r="CW908" s="25"/>
      <c r="CX908" s="25"/>
      <c r="CY908" s="25"/>
      <c r="CZ908" s="25"/>
      <c r="DA908" s="25"/>
      <c r="DB908" s="25"/>
      <c r="DC908" s="25"/>
      <c r="DD908" s="25"/>
      <c r="DE908" s="25"/>
      <c r="DF908" s="25"/>
      <c r="DG908" s="25"/>
      <c r="DH908" s="25"/>
      <c r="DI908" s="25" t="str">
        <f>_xlfn.CONCAT($A909," ",$B909," ",$D909)</f>
        <v>2025 Tesla Model S</v>
      </c>
      <c r="DJ908" s="25"/>
      <c r="DK908" s="25"/>
      <c r="DL908" s="25"/>
      <c r="DM908" s="25"/>
      <c r="DN908" s="25"/>
      <c r="DO908" s="25"/>
      <c r="DP908" s="25"/>
      <c r="DQ908" s="25"/>
      <c r="DR908" s="25"/>
      <c r="DS908" s="25"/>
      <c r="DT908" s="25"/>
      <c r="DU908" s="25"/>
      <c r="DV908" s="25"/>
      <c r="DW908" s="25"/>
      <c r="DX908" s="25"/>
      <c r="DY908" s="25"/>
      <c r="DZ908" s="25" t="str">
        <f>_xlfn.CONCAT($A909," ",$B909," ",$D909)</f>
        <v>2025 Tesla Model S</v>
      </c>
      <c r="EB908" s="25"/>
      <c r="EC908" s="25"/>
      <c r="ED908" s="25"/>
      <c r="EE908" s="25"/>
      <c r="EF908" s="25"/>
      <c r="EG908" s="25"/>
      <c r="EH908" s="25"/>
      <c r="EI908" s="25"/>
      <c r="EJ908" s="25"/>
      <c r="EK908" s="25"/>
      <c r="EL908" s="25"/>
      <c r="EM908" s="25"/>
      <c r="EN908" s="25"/>
      <c r="EO908" s="25"/>
      <c r="EP908" s="25"/>
      <c r="EQ908" s="25"/>
      <c r="ER908" s="25"/>
      <c r="ES908" s="25"/>
      <c r="ET908" s="25"/>
      <c r="EU908" s="25"/>
      <c r="EV908" s="25" t="str">
        <f>_xlfn.CONCAT($A909," ",$B909," ",$D909)</f>
        <v>2025 Tesla Model S</v>
      </c>
      <c r="EW908" s="25"/>
      <c r="EX908" s="25"/>
      <c r="EY908" s="25"/>
      <c r="EZ908" s="25"/>
      <c r="FA908" s="25"/>
      <c r="FB908" s="25"/>
      <c r="FC908" s="25"/>
      <c r="FD908" s="25"/>
      <c r="FE908" s="25"/>
      <c r="FF908" s="25"/>
      <c r="FG908" s="25"/>
    </row>
    <row r="909" spans="1:165" x14ac:dyDescent="0.35">
      <c r="A909">
        <v>2025</v>
      </c>
      <c r="B909" t="s">
        <v>2303</v>
      </c>
      <c r="C909" t="s">
        <v>2304</v>
      </c>
      <c r="D909" t="s">
        <v>2322</v>
      </c>
      <c r="E909" t="s">
        <v>2306</v>
      </c>
      <c r="F909">
        <v>58</v>
      </c>
      <c r="G909">
        <v>0</v>
      </c>
      <c r="I909" t="s">
        <v>1734</v>
      </c>
      <c r="J909">
        <v>132</v>
      </c>
      <c r="K909">
        <v>116</v>
      </c>
      <c r="L909">
        <v>124</v>
      </c>
      <c r="M909">
        <v>187.9</v>
      </c>
      <c r="N909">
        <v>166.2</v>
      </c>
      <c r="O909">
        <v>177.4727</v>
      </c>
      <c r="P909">
        <v>131.53</v>
      </c>
      <c r="Q909">
        <v>116.34</v>
      </c>
      <c r="R909">
        <v>124.23090000000001</v>
      </c>
      <c r="V909" t="s">
        <v>167</v>
      </c>
      <c r="W909" t="s">
        <v>168</v>
      </c>
      <c r="Y909">
        <v>1</v>
      </c>
      <c r="Z909" t="s">
        <v>170</v>
      </c>
      <c r="AA909" t="s">
        <v>170</v>
      </c>
      <c r="AB909" t="s">
        <v>167</v>
      </c>
      <c r="AC909" t="s">
        <v>213</v>
      </c>
      <c r="AF909">
        <v>410</v>
      </c>
      <c r="AG909" t="s">
        <v>1735</v>
      </c>
      <c r="AH909" t="s">
        <v>1736</v>
      </c>
      <c r="AI909" t="s">
        <v>175</v>
      </c>
      <c r="AJ909" t="s">
        <v>176</v>
      </c>
      <c r="AK909">
        <v>4</v>
      </c>
      <c r="AL909" t="s">
        <v>1737</v>
      </c>
      <c r="AQ909">
        <v>94</v>
      </c>
      <c r="AR909">
        <v>26</v>
      </c>
      <c r="AS909">
        <v>650</v>
      </c>
      <c r="AT909">
        <v>0</v>
      </c>
      <c r="BQ909">
        <v>6</v>
      </c>
      <c r="BR909" t="s">
        <v>825</v>
      </c>
      <c r="BS909" t="s">
        <v>180</v>
      </c>
      <c r="BT909" t="s">
        <v>1769</v>
      </c>
      <c r="BU909" s="1">
        <v>45703</v>
      </c>
      <c r="BV909">
        <v>36145</v>
      </c>
      <c r="BX909" t="s">
        <v>170</v>
      </c>
      <c r="BY909" t="s">
        <v>170</v>
      </c>
      <c r="CB909" t="s">
        <v>170</v>
      </c>
      <c r="CC909" t="s">
        <v>170</v>
      </c>
      <c r="CK909" t="s">
        <v>233</v>
      </c>
      <c r="CM909">
        <v>1</v>
      </c>
      <c r="CN909" t="s">
        <v>234</v>
      </c>
      <c r="CP909">
        <v>410</v>
      </c>
      <c r="CQ909">
        <v>239</v>
      </c>
      <c r="CR909">
        <v>175</v>
      </c>
      <c r="CS909" t="s">
        <v>235</v>
      </c>
      <c r="CV909" t="s">
        <v>341</v>
      </c>
      <c r="CX909" t="s">
        <v>342</v>
      </c>
      <c r="CY909" t="s">
        <v>170</v>
      </c>
      <c r="DC909" t="s">
        <v>2323</v>
      </c>
      <c r="DD909">
        <v>2</v>
      </c>
      <c r="DE909" t="s">
        <v>404</v>
      </c>
      <c r="DF909" t="s">
        <v>2310</v>
      </c>
      <c r="DG909" t="s">
        <v>2324</v>
      </c>
      <c r="DL909" t="s">
        <v>170</v>
      </c>
      <c r="DM909" t="s">
        <v>169</v>
      </c>
      <c r="DP909" t="s">
        <v>170</v>
      </c>
      <c r="DQ909" t="s">
        <v>187</v>
      </c>
      <c r="DR909" t="s">
        <v>2322</v>
      </c>
      <c r="EB909">
        <v>10</v>
      </c>
      <c r="EC909">
        <v>10</v>
      </c>
      <c r="EE909" t="s">
        <v>2325</v>
      </c>
      <c r="EF909">
        <v>10</v>
      </c>
      <c r="EU909">
        <v>6250</v>
      </c>
      <c r="EW909">
        <v>0</v>
      </c>
      <c r="EX909">
        <v>0</v>
      </c>
      <c r="EY909">
        <v>0</v>
      </c>
      <c r="FA909">
        <v>9.6999999999999993</v>
      </c>
      <c r="FG909">
        <v>432</v>
      </c>
      <c r="FH909">
        <v>383</v>
      </c>
      <c r="FI909">
        <v>410</v>
      </c>
    </row>
    <row r="910" spans="1:165" x14ac:dyDescent="0.35">
      <c r="A910">
        <v>2025</v>
      </c>
      <c r="B910" t="s">
        <v>2303</v>
      </c>
      <c r="C910" t="s">
        <v>2304</v>
      </c>
      <c r="D910" t="s">
        <v>2322</v>
      </c>
      <c r="E910" t="s">
        <v>2306</v>
      </c>
      <c r="F910">
        <v>58</v>
      </c>
      <c r="G910">
        <v>0</v>
      </c>
      <c r="I910" t="s">
        <v>1734</v>
      </c>
      <c r="J910">
        <v>26</v>
      </c>
      <c r="K910">
        <v>29</v>
      </c>
      <c r="L910">
        <v>27</v>
      </c>
      <c r="M910">
        <v>17.9377</v>
      </c>
      <c r="N910">
        <v>20.284700000000001</v>
      </c>
      <c r="O910">
        <v>18.9938</v>
      </c>
      <c r="P910">
        <v>25.625299999999999</v>
      </c>
      <c r="Q910">
        <v>28.9711</v>
      </c>
      <c r="R910">
        <v>27.1309</v>
      </c>
      <c r="V910" t="s">
        <v>167</v>
      </c>
      <c r="W910" t="s">
        <v>168</v>
      </c>
      <c r="Y910">
        <v>1</v>
      </c>
      <c r="Z910" t="s">
        <v>170</v>
      </c>
      <c r="AA910" t="s">
        <v>170</v>
      </c>
      <c r="AB910" t="s">
        <v>167</v>
      </c>
      <c r="AC910" t="s">
        <v>213</v>
      </c>
      <c r="AF910">
        <v>410</v>
      </c>
      <c r="AG910" t="s">
        <v>1735</v>
      </c>
      <c r="AH910" t="s">
        <v>1736</v>
      </c>
      <c r="AI910" t="s">
        <v>1742</v>
      </c>
      <c r="AJ910" t="s">
        <v>1743</v>
      </c>
      <c r="AK910">
        <v>4</v>
      </c>
      <c r="AL910" t="s">
        <v>1737</v>
      </c>
      <c r="AQ910">
        <v>94</v>
      </c>
      <c r="AR910">
        <v>26</v>
      </c>
      <c r="AS910">
        <v>650</v>
      </c>
      <c r="AT910">
        <v>650</v>
      </c>
      <c r="BQ910">
        <v>6</v>
      </c>
      <c r="BR910" t="s">
        <v>825</v>
      </c>
      <c r="BS910" t="s">
        <v>180</v>
      </c>
      <c r="BT910" t="s">
        <v>1769</v>
      </c>
      <c r="BU910" s="1">
        <v>45703</v>
      </c>
      <c r="BV910">
        <v>36145</v>
      </c>
      <c r="BX910" t="s">
        <v>170</v>
      </c>
      <c r="BY910" t="s">
        <v>170</v>
      </c>
      <c r="CB910" t="s">
        <v>170</v>
      </c>
      <c r="CC910" t="s">
        <v>170</v>
      </c>
      <c r="CK910" t="s">
        <v>233</v>
      </c>
      <c r="CM910">
        <v>1</v>
      </c>
      <c r="CN910" t="s">
        <v>234</v>
      </c>
      <c r="CP910">
        <v>410</v>
      </c>
      <c r="CQ910">
        <v>239</v>
      </c>
      <c r="CR910">
        <v>175</v>
      </c>
      <c r="CS910" t="s">
        <v>235</v>
      </c>
      <c r="CV910" t="s">
        <v>341</v>
      </c>
      <c r="CX910" t="s">
        <v>342</v>
      </c>
      <c r="CY910" t="s">
        <v>170</v>
      </c>
      <c r="DC910" t="s">
        <v>2323</v>
      </c>
      <c r="DD910">
        <v>2</v>
      </c>
      <c r="DE910" t="s">
        <v>404</v>
      </c>
      <c r="DF910" t="s">
        <v>2310</v>
      </c>
      <c r="DG910" t="s">
        <v>2324</v>
      </c>
      <c r="DL910" t="s">
        <v>170</v>
      </c>
      <c r="DM910" t="s">
        <v>169</v>
      </c>
      <c r="DP910" t="s">
        <v>170</v>
      </c>
      <c r="DQ910" t="s">
        <v>187</v>
      </c>
      <c r="DR910" t="s">
        <v>2322</v>
      </c>
      <c r="EB910">
        <v>10</v>
      </c>
      <c r="EC910">
        <v>10</v>
      </c>
      <c r="EE910" t="s">
        <v>2325</v>
      </c>
      <c r="EF910">
        <v>10</v>
      </c>
      <c r="EU910">
        <v>6250</v>
      </c>
      <c r="EW910">
        <v>0</v>
      </c>
      <c r="EX910">
        <v>0</v>
      </c>
      <c r="EY910">
        <v>0</v>
      </c>
      <c r="FA910">
        <v>9.6999999999999993</v>
      </c>
      <c r="FG910">
        <v>432</v>
      </c>
      <c r="FH910">
        <v>383</v>
      </c>
      <c r="FI910">
        <v>410</v>
      </c>
    </row>
    <row r="911" spans="1:165" x14ac:dyDescent="0.35">
      <c r="A911" s="25"/>
      <c r="B911" s="25"/>
      <c r="C911" s="25"/>
      <c r="D911" s="25"/>
      <c r="E911" s="25"/>
      <c r="F911" s="25" t="str">
        <f>_xlfn.CONCAT($A912," ",$B912," ",$D912)</f>
        <v>2025 Tesla Model S Plaid (21in Wheels)</v>
      </c>
      <c r="G911" s="25"/>
      <c r="H911" s="25"/>
      <c r="I911" s="25"/>
      <c r="J911" s="25"/>
      <c r="K911" s="25"/>
      <c r="L911" s="25"/>
      <c r="M911" s="25"/>
      <c r="N911" s="25"/>
      <c r="O911" s="25"/>
      <c r="P911" s="25"/>
      <c r="Q911" s="25"/>
      <c r="R911" s="25"/>
      <c r="S911" s="25"/>
      <c r="T911" s="25"/>
      <c r="U911" s="25"/>
      <c r="V911" s="25"/>
      <c r="W911" s="25"/>
      <c r="X911" s="25"/>
      <c r="Y911" s="25"/>
      <c r="Z911" s="25"/>
      <c r="AA911" s="25"/>
      <c r="AB911" s="25"/>
      <c r="AC911" s="25"/>
      <c r="AD911" s="25" t="str">
        <f>_xlfn.CONCAT($A912," ",$B912," ",$D912)</f>
        <v>2025 Tesla Model S Plaid (21in Wheels)</v>
      </c>
      <c r="AE911" s="25"/>
      <c r="AF911" s="25"/>
      <c r="AG911" s="25"/>
      <c r="AH911" s="25"/>
      <c r="AI911" s="25"/>
      <c r="AJ911" s="25"/>
      <c r="AK911" s="25"/>
      <c r="AL911" s="25"/>
      <c r="AM911" s="25"/>
      <c r="AN911" s="25"/>
      <c r="AO911" s="25"/>
      <c r="AP911" s="25"/>
      <c r="AQ911" s="25"/>
      <c r="AR911" s="25"/>
      <c r="AS911" s="25"/>
      <c r="AT911" s="25"/>
      <c r="AU911" s="25"/>
      <c r="AV911" s="25"/>
      <c r="AW911" s="25"/>
      <c r="AX911" s="25" t="str">
        <f>_xlfn.CONCAT($A912," ",$B912," ",$D912)</f>
        <v>2025 Tesla Model S Plaid (21in Wheels)</v>
      </c>
      <c r="AY911" s="25"/>
      <c r="AZ911" s="25"/>
      <c r="BA911" s="25"/>
      <c r="BB911" s="25"/>
      <c r="BC911" s="25"/>
      <c r="BD911" s="25"/>
      <c r="BE911" s="25"/>
      <c r="BF911" s="25"/>
      <c r="BG911" s="25"/>
      <c r="BH911" s="25"/>
      <c r="BI911" s="25"/>
      <c r="BJ911" s="25"/>
      <c r="BK911" s="25"/>
      <c r="BL911" s="25"/>
      <c r="BM911" s="25"/>
      <c r="BN911" s="25"/>
      <c r="BO911" s="25"/>
      <c r="BP911" s="25"/>
      <c r="BQ911" s="25"/>
      <c r="BR911" s="25" t="str">
        <f>_xlfn.CONCAT($A912," ",$B912," ",$D912)</f>
        <v>2025 Tesla Model S Plaid (21in Wheels)</v>
      </c>
      <c r="BS911" s="25"/>
      <c r="BT911" s="25"/>
      <c r="BU911" s="25"/>
      <c r="BV911" s="25"/>
      <c r="BX911" s="25"/>
      <c r="BY911" s="25"/>
      <c r="BZ911" s="25"/>
      <c r="CA911" s="25"/>
      <c r="CB911" s="25"/>
      <c r="CC911" s="25"/>
      <c r="CD911" s="25"/>
      <c r="CE911" s="25"/>
      <c r="CF911" s="25"/>
      <c r="CG911" s="25"/>
      <c r="CH911" s="25"/>
      <c r="CI911" s="25"/>
      <c r="CJ911" s="25"/>
      <c r="CK911" s="25"/>
      <c r="CL911" s="25"/>
      <c r="CM911" s="25"/>
      <c r="CN911" s="25"/>
      <c r="CO911" s="25"/>
      <c r="CP911" s="25" t="str">
        <f>_xlfn.CONCAT($A912," ",$B912," ",$D912)</f>
        <v>2025 Tesla Model S Plaid (21in Wheels)</v>
      </c>
      <c r="CQ911" s="25"/>
      <c r="CR911" s="25"/>
      <c r="CS911" s="25"/>
      <c r="CT911" s="25"/>
      <c r="CU911" s="25"/>
      <c r="CV911" s="25"/>
      <c r="CW911" s="25"/>
      <c r="CX911" s="25"/>
      <c r="CY911" s="25"/>
      <c r="CZ911" s="25"/>
      <c r="DA911" s="25"/>
      <c r="DB911" s="25"/>
      <c r="DC911" s="25"/>
      <c r="DD911" s="25"/>
      <c r="DE911" s="25"/>
      <c r="DF911" s="25"/>
      <c r="DG911" s="25"/>
      <c r="DH911" s="25"/>
      <c r="DI911" s="25" t="str">
        <f>_xlfn.CONCAT($A912," ",$B912," ",$D912)</f>
        <v>2025 Tesla Model S Plaid (21in Wheels)</v>
      </c>
      <c r="DJ911" s="25"/>
      <c r="DK911" s="25"/>
      <c r="DL911" s="25"/>
      <c r="DM911" s="25"/>
      <c r="DN911" s="25"/>
      <c r="DO911" s="25"/>
      <c r="DP911" s="25"/>
      <c r="DQ911" s="25"/>
      <c r="DR911" s="25"/>
      <c r="DS911" s="25"/>
      <c r="DT911" s="25"/>
      <c r="DU911" s="25"/>
      <c r="DV911" s="25"/>
      <c r="DW911" s="25"/>
      <c r="DX911" s="25"/>
      <c r="DY911" s="25"/>
      <c r="DZ911" s="25" t="str">
        <f>_xlfn.CONCAT($A912," ",$B912," ",$D912)</f>
        <v>2025 Tesla Model S Plaid (21in Wheels)</v>
      </c>
      <c r="EB911" s="25"/>
      <c r="EC911" s="25"/>
      <c r="ED911" s="25"/>
      <c r="EE911" s="25"/>
      <c r="EF911" s="25"/>
      <c r="EG911" s="25"/>
      <c r="EH911" s="25"/>
      <c r="EI911" s="25"/>
      <c r="EJ911" s="25"/>
      <c r="EK911" s="25"/>
      <c r="EL911" s="25"/>
      <c r="EM911" s="25"/>
      <c r="EN911" s="25"/>
      <c r="EO911" s="25"/>
      <c r="EP911" s="25"/>
      <c r="EQ911" s="25"/>
      <c r="ER911" s="25"/>
      <c r="ES911" s="25"/>
      <c r="ET911" s="25"/>
      <c r="EU911" s="25"/>
      <c r="EV911" s="25" t="str">
        <f>_xlfn.CONCAT($A912," ",$B912," ",$D912)</f>
        <v>2025 Tesla Model S Plaid (21in Wheels)</v>
      </c>
      <c r="EW911" s="25"/>
      <c r="EX911" s="25"/>
      <c r="EY911" s="25"/>
      <c r="EZ911" s="25"/>
      <c r="FA911" s="25"/>
      <c r="FB911" s="25"/>
      <c r="FC911" s="25"/>
      <c r="FD911" s="25"/>
      <c r="FE911" s="25"/>
      <c r="FF911" s="25"/>
      <c r="FG911" s="25"/>
    </row>
    <row r="912" spans="1:165" x14ac:dyDescent="0.35">
      <c r="A912">
        <v>2025</v>
      </c>
      <c r="B912" t="s">
        <v>2303</v>
      </c>
      <c r="C912" t="s">
        <v>2304</v>
      </c>
      <c r="D912" t="s">
        <v>2330</v>
      </c>
      <c r="E912" t="s">
        <v>2306</v>
      </c>
      <c r="F912">
        <v>59</v>
      </c>
      <c r="G912">
        <v>0</v>
      </c>
      <c r="I912" t="s">
        <v>1734</v>
      </c>
      <c r="J912">
        <v>97</v>
      </c>
      <c r="K912">
        <v>89</v>
      </c>
      <c r="L912">
        <v>93</v>
      </c>
      <c r="M912">
        <v>133.5</v>
      </c>
      <c r="N912">
        <v>122.4</v>
      </c>
      <c r="O912">
        <v>128.26560000000001</v>
      </c>
      <c r="P912">
        <v>97.066500000000005</v>
      </c>
      <c r="Q912">
        <v>88.995800000000003</v>
      </c>
      <c r="R912">
        <v>93.260599999999997</v>
      </c>
      <c r="V912" t="s">
        <v>167</v>
      </c>
      <c r="W912" t="s">
        <v>168</v>
      </c>
      <c r="Y912">
        <v>1</v>
      </c>
      <c r="Z912" t="s">
        <v>170</v>
      </c>
      <c r="AA912" t="s">
        <v>170</v>
      </c>
      <c r="AB912" t="s">
        <v>167</v>
      </c>
      <c r="AC912" t="s">
        <v>213</v>
      </c>
      <c r="AF912">
        <v>312</v>
      </c>
      <c r="AG912" t="s">
        <v>1735</v>
      </c>
      <c r="AH912" t="s">
        <v>1736</v>
      </c>
      <c r="AI912" t="s">
        <v>175</v>
      </c>
      <c r="AJ912" t="s">
        <v>176</v>
      </c>
      <c r="AK912">
        <v>4</v>
      </c>
      <c r="AL912" t="s">
        <v>1737</v>
      </c>
      <c r="AQ912">
        <v>94</v>
      </c>
      <c r="AR912">
        <v>26</v>
      </c>
      <c r="AS912">
        <v>850</v>
      </c>
      <c r="AT912">
        <v>50</v>
      </c>
      <c r="BQ912">
        <v>6</v>
      </c>
      <c r="BR912" t="s">
        <v>825</v>
      </c>
      <c r="BS912" t="s">
        <v>180</v>
      </c>
      <c r="BT912" t="s">
        <v>1769</v>
      </c>
      <c r="BU912" s="1">
        <v>45597</v>
      </c>
      <c r="BV912">
        <v>35702</v>
      </c>
      <c r="BX912" t="s">
        <v>170</v>
      </c>
      <c r="BY912" t="s">
        <v>170</v>
      </c>
      <c r="CB912" t="s">
        <v>170</v>
      </c>
      <c r="CC912" t="s">
        <v>170</v>
      </c>
      <c r="CK912" t="s">
        <v>233</v>
      </c>
      <c r="CM912">
        <v>1</v>
      </c>
      <c r="CN912" t="s">
        <v>234</v>
      </c>
      <c r="CP912">
        <v>410</v>
      </c>
      <c r="CQ912">
        <v>239</v>
      </c>
      <c r="CR912">
        <v>175</v>
      </c>
      <c r="CS912" t="s">
        <v>235</v>
      </c>
      <c r="CV912" t="s">
        <v>341</v>
      </c>
      <c r="CX912" t="s">
        <v>342</v>
      </c>
      <c r="CY912" t="s">
        <v>170</v>
      </c>
      <c r="DC912" t="s">
        <v>2327</v>
      </c>
      <c r="DD912">
        <v>3</v>
      </c>
      <c r="DE912" t="s">
        <v>404</v>
      </c>
      <c r="DF912" t="s">
        <v>2310</v>
      </c>
      <c r="DG912">
        <v>250</v>
      </c>
      <c r="DL912" t="s">
        <v>170</v>
      </c>
      <c r="DM912" t="s">
        <v>169</v>
      </c>
      <c r="DP912" t="s">
        <v>170</v>
      </c>
      <c r="DQ912" t="s">
        <v>187</v>
      </c>
      <c r="DR912" t="s">
        <v>2331</v>
      </c>
      <c r="EB912">
        <v>9</v>
      </c>
      <c r="EC912">
        <v>10</v>
      </c>
      <c r="EE912" t="s">
        <v>2329</v>
      </c>
      <c r="EF912">
        <v>10</v>
      </c>
      <c r="EU912">
        <v>5250</v>
      </c>
      <c r="EW912">
        <v>0</v>
      </c>
      <c r="EX912">
        <v>0</v>
      </c>
      <c r="EY912">
        <v>0</v>
      </c>
      <c r="FA912">
        <v>14</v>
      </c>
      <c r="FG912">
        <v>324</v>
      </c>
      <c r="FH912">
        <v>297</v>
      </c>
      <c r="FI912">
        <v>312</v>
      </c>
    </row>
    <row r="913" spans="1:165" x14ac:dyDescent="0.35">
      <c r="A913">
        <v>2025</v>
      </c>
      <c r="B913" t="s">
        <v>2303</v>
      </c>
      <c r="C913" t="s">
        <v>2304</v>
      </c>
      <c r="D913" t="s">
        <v>2330</v>
      </c>
      <c r="E913" t="s">
        <v>2306</v>
      </c>
      <c r="F913">
        <v>59</v>
      </c>
      <c r="G913">
        <v>0</v>
      </c>
      <c r="I913" t="s">
        <v>1734</v>
      </c>
      <c r="J913">
        <v>35</v>
      </c>
      <c r="K913">
        <v>38</v>
      </c>
      <c r="L913">
        <v>36</v>
      </c>
      <c r="M913">
        <v>25.239599999999999</v>
      </c>
      <c r="N913">
        <v>27.547899999999998</v>
      </c>
      <c r="O913">
        <v>26.278300000000002</v>
      </c>
      <c r="P913">
        <v>34.723599999999998</v>
      </c>
      <c r="Q913">
        <v>37.872599999999998</v>
      </c>
      <c r="R913">
        <v>36.140700000000002</v>
      </c>
      <c r="V913" t="s">
        <v>167</v>
      </c>
      <c r="W913" t="s">
        <v>168</v>
      </c>
      <c r="Y913">
        <v>1</v>
      </c>
      <c r="Z913" t="s">
        <v>170</v>
      </c>
      <c r="AA913" t="s">
        <v>170</v>
      </c>
      <c r="AB913" t="s">
        <v>167</v>
      </c>
      <c r="AC913" t="s">
        <v>213</v>
      </c>
      <c r="AF913">
        <v>312</v>
      </c>
      <c r="AG913" t="s">
        <v>1735</v>
      </c>
      <c r="AH913" t="s">
        <v>1736</v>
      </c>
      <c r="AI913" t="s">
        <v>1742</v>
      </c>
      <c r="AJ913" t="s">
        <v>1743</v>
      </c>
      <c r="AK913">
        <v>4</v>
      </c>
      <c r="AL913" t="s">
        <v>1737</v>
      </c>
      <c r="AQ913">
        <v>94</v>
      </c>
      <c r="AR913">
        <v>26</v>
      </c>
      <c r="AS913">
        <v>850</v>
      </c>
      <c r="AT913">
        <v>850</v>
      </c>
      <c r="BQ913">
        <v>6</v>
      </c>
      <c r="BR913" t="s">
        <v>825</v>
      </c>
      <c r="BS913" t="s">
        <v>180</v>
      </c>
      <c r="BT913" t="s">
        <v>1769</v>
      </c>
      <c r="BU913" s="1">
        <v>45597</v>
      </c>
      <c r="BV913">
        <v>35702</v>
      </c>
      <c r="BX913" t="s">
        <v>170</v>
      </c>
      <c r="BY913" t="s">
        <v>170</v>
      </c>
      <c r="CB913" t="s">
        <v>170</v>
      </c>
      <c r="CC913" t="s">
        <v>170</v>
      </c>
      <c r="CK913" t="s">
        <v>233</v>
      </c>
      <c r="CM913">
        <v>1</v>
      </c>
      <c r="CN913" t="s">
        <v>234</v>
      </c>
      <c r="CP913">
        <v>410</v>
      </c>
      <c r="CQ913">
        <v>239</v>
      </c>
      <c r="CR913">
        <v>175</v>
      </c>
      <c r="CS913" t="s">
        <v>235</v>
      </c>
      <c r="CV913" t="s">
        <v>341</v>
      </c>
      <c r="CX913" t="s">
        <v>342</v>
      </c>
      <c r="CY913" t="s">
        <v>170</v>
      </c>
      <c r="DC913" t="s">
        <v>2327</v>
      </c>
      <c r="DD913">
        <v>3</v>
      </c>
      <c r="DE913" t="s">
        <v>404</v>
      </c>
      <c r="DF913" t="s">
        <v>2310</v>
      </c>
      <c r="DG913">
        <v>250</v>
      </c>
      <c r="DL913" t="s">
        <v>170</v>
      </c>
      <c r="DM913" t="s">
        <v>169</v>
      </c>
      <c r="DP913" t="s">
        <v>170</v>
      </c>
      <c r="DQ913" t="s">
        <v>187</v>
      </c>
      <c r="DR913" t="s">
        <v>2331</v>
      </c>
      <c r="EB913">
        <v>9</v>
      </c>
      <c r="EC913">
        <v>10</v>
      </c>
      <c r="EE913" t="s">
        <v>2329</v>
      </c>
      <c r="EF913">
        <v>10</v>
      </c>
      <c r="EU913">
        <v>5250</v>
      </c>
      <c r="EW913">
        <v>0</v>
      </c>
      <c r="EX913">
        <v>0</v>
      </c>
      <c r="EY913">
        <v>0</v>
      </c>
      <c r="FA913">
        <v>14</v>
      </c>
      <c r="FG913">
        <v>324</v>
      </c>
      <c r="FH913">
        <v>297</v>
      </c>
      <c r="FI913">
        <v>312</v>
      </c>
    </row>
    <row r="914" spans="1:165" x14ac:dyDescent="0.35">
      <c r="A914" s="25"/>
      <c r="B914" s="25"/>
      <c r="C914" s="25"/>
      <c r="D914" s="25"/>
      <c r="E914" s="25"/>
      <c r="F914" s="25" t="str">
        <f>_xlfn.CONCAT($A915," ",$B915," ",$D915)</f>
        <v>2025 Tesla Model S Plaid (19in Wheels)</v>
      </c>
      <c r="G914" s="25"/>
      <c r="H914" s="25"/>
      <c r="I914" s="25"/>
      <c r="J914" s="25"/>
      <c r="K914" s="25"/>
      <c r="L914" s="25"/>
      <c r="M914" s="25"/>
      <c r="N914" s="25"/>
      <c r="O914" s="25"/>
      <c r="P914" s="25"/>
      <c r="Q914" s="25"/>
      <c r="R914" s="25"/>
      <c r="S914" s="25"/>
      <c r="T914" s="25"/>
      <c r="U914" s="25"/>
      <c r="V914" s="25"/>
      <c r="W914" s="25"/>
      <c r="X914" s="25"/>
      <c r="Y914" s="25"/>
      <c r="Z914" s="25"/>
      <c r="AA914" s="25"/>
      <c r="AB914" s="25"/>
      <c r="AC914" s="25"/>
      <c r="AD914" s="25" t="str">
        <f>_xlfn.CONCAT($A915," ",$B915," ",$D915)</f>
        <v>2025 Tesla Model S Plaid (19in Wheels)</v>
      </c>
      <c r="AE914" s="25"/>
      <c r="AF914" s="25"/>
      <c r="AG914" s="25"/>
      <c r="AH914" s="25"/>
      <c r="AI914" s="25"/>
      <c r="AJ914" s="25"/>
      <c r="AK914" s="25"/>
      <c r="AL914" s="25"/>
      <c r="AM914" s="25"/>
      <c r="AN914" s="25"/>
      <c r="AO914" s="25"/>
      <c r="AP914" s="25"/>
      <c r="AQ914" s="25"/>
      <c r="AR914" s="25"/>
      <c r="AS914" s="25"/>
      <c r="AT914" s="25"/>
      <c r="AU914" s="25"/>
      <c r="AV914" s="25"/>
      <c r="AW914" s="25"/>
      <c r="AX914" s="25" t="str">
        <f>_xlfn.CONCAT($A915," ",$B915," ",$D915)</f>
        <v>2025 Tesla Model S Plaid (19in Wheels)</v>
      </c>
      <c r="AY914" s="25"/>
      <c r="AZ914" s="25"/>
      <c r="BA914" s="25"/>
      <c r="BB914" s="25"/>
      <c r="BC914" s="25"/>
      <c r="BD914" s="25"/>
      <c r="BE914" s="25"/>
      <c r="BF914" s="25"/>
      <c r="BG914" s="25"/>
      <c r="BH914" s="25"/>
      <c r="BI914" s="25"/>
      <c r="BJ914" s="25"/>
      <c r="BK914" s="25"/>
      <c r="BL914" s="25"/>
      <c r="BM914" s="25"/>
      <c r="BN914" s="25"/>
      <c r="BO914" s="25"/>
      <c r="BP914" s="25"/>
      <c r="BQ914" s="25"/>
      <c r="BR914" s="25" t="str">
        <f>_xlfn.CONCAT($A915," ",$B915," ",$D915)</f>
        <v>2025 Tesla Model S Plaid (19in Wheels)</v>
      </c>
      <c r="BS914" s="25"/>
      <c r="BT914" s="25"/>
      <c r="BU914" s="25"/>
      <c r="BV914" s="25"/>
      <c r="BX914" s="25"/>
      <c r="BY914" s="25"/>
      <c r="BZ914" s="25"/>
      <c r="CA914" s="25"/>
      <c r="CB914" s="25"/>
      <c r="CC914" s="25"/>
      <c r="CD914" s="25"/>
      <c r="CE914" s="25"/>
      <c r="CF914" s="25"/>
      <c r="CG914" s="25"/>
      <c r="CH914" s="25"/>
      <c r="CI914" s="25"/>
      <c r="CJ914" s="25"/>
      <c r="CK914" s="25"/>
      <c r="CL914" s="25"/>
      <c r="CM914" s="25"/>
      <c r="CN914" s="25"/>
      <c r="CO914" s="25"/>
      <c r="CP914" s="25" t="str">
        <f>_xlfn.CONCAT($A915," ",$B915," ",$D915)</f>
        <v>2025 Tesla Model S Plaid (19in Wheels)</v>
      </c>
      <c r="CQ914" s="25"/>
      <c r="CR914" s="25"/>
      <c r="CS914" s="25"/>
      <c r="CT914" s="25"/>
      <c r="CU914" s="25"/>
      <c r="CV914" s="25"/>
      <c r="CW914" s="25"/>
      <c r="CX914" s="25"/>
      <c r="CY914" s="25"/>
      <c r="CZ914" s="25"/>
      <c r="DA914" s="25"/>
      <c r="DB914" s="25"/>
      <c r="DC914" s="25"/>
      <c r="DD914" s="25"/>
      <c r="DE914" s="25"/>
      <c r="DF914" s="25"/>
      <c r="DG914" s="25"/>
      <c r="DH914" s="25"/>
      <c r="DI914" s="25" t="str">
        <f>_xlfn.CONCAT($A915," ",$B915," ",$D915)</f>
        <v>2025 Tesla Model S Plaid (19in Wheels)</v>
      </c>
      <c r="DJ914" s="25"/>
      <c r="DK914" s="25"/>
      <c r="DL914" s="25"/>
      <c r="DM914" s="25"/>
      <c r="DN914" s="25"/>
      <c r="DO914" s="25"/>
      <c r="DP914" s="25"/>
      <c r="DQ914" s="25"/>
      <c r="DR914" s="25"/>
      <c r="DS914" s="25"/>
      <c r="DT914" s="25"/>
      <c r="DU914" s="25"/>
      <c r="DV914" s="25"/>
      <c r="DW914" s="25"/>
      <c r="DX914" s="25"/>
      <c r="DY914" s="25"/>
      <c r="DZ914" s="25" t="str">
        <f>_xlfn.CONCAT($A915," ",$B915," ",$D915)</f>
        <v>2025 Tesla Model S Plaid (19in Wheels)</v>
      </c>
      <c r="EB914" s="25"/>
      <c r="EC914" s="25"/>
      <c r="ED914" s="25"/>
      <c r="EE914" s="25"/>
      <c r="EF914" s="25"/>
      <c r="EG914" s="25"/>
      <c r="EH914" s="25"/>
      <c r="EI914" s="25"/>
      <c r="EJ914" s="25"/>
      <c r="EK914" s="25"/>
      <c r="EL914" s="25"/>
      <c r="EM914" s="25"/>
      <c r="EN914" s="25"/>
      <c r="EO914" s="25"/>
      <c r="EP914" s="25"/>
      <c r="EQ914" s="25"/>
      <c r="ER914" s="25"/>
      <c r="ES914" s="25"/>
      <c r="ET914" s="25"/>
      <c r="EU914" s="25"/>
      <c r="EV914" s="25" t="str">
        <f>_xlfn.CONCAT($A915," ",$B915," ",$D915)</f>
        <v>2025 Tesla Model S Plaid (19in Wheels)</v>
      </c>
      <c r="EW914" s="25"/>
      <c r="EX914" s="25"/>
      <c r="EY914" s="25"/>
      <c r="EZ914" s="25"/>
      <c r="FA914" s="25"/>
      <c r="FB914" s="25"/>
      <c r="FC914" s="25"/>
      <c r="FD914" s="25"/>
      <c r="FE914" s="25"/>
      <c r="FF914" s="25"/>
      <c r="FG914" s="25"/>
    </row>
    <row r="915" spans="1:165" x14ac:dyDescent="0.35">
      <c r="A915">
        <v>2025</v>
      </c>
      <c r="B915" t="s">
        <v>2303</v>
      </c>
      <c r="C915" t="s">
        <v>2304</v>
      </c>
      <c r="D915" t="s">
        <v>2326</v>
      </c>
      <c r="E915" t="s">
        <v>2306</v>
      </c>
      <c r="F915">
        <v>60</v>
      </c>
      <c r="G915">
        <v>0</v>
      </c>
      <c r="I915" t="s">
        <v>1734</v>
      </c>
      <c r="J915">
        <v>108</v>
      </c>
      <c r="K915">
        <v>99</v>
      </c>
      <c r="L915">
        <v>104</v>
      </c>
      <c r="M915">
        <v>153.1</v>
      </c>
      <c r="N915">
        <v>141.19999999999999</v>
      </c>
      <c r="O915">
        <v>147.5059</v>
      </c>
      <c r="P915">
        <v>107.6844</v>
      </c>
      <c r="Q915">
        <v>99.314400000000006</v>
      </c>
      <c r="R915">
        <v>103.7497</v>
      </c>
      <c r="V915" t="s">
        <v>167</v>
      </c>
      <c r="W915" t="s">
        <v>168</v>
      </c>
      <c r="Y915">
        <v>1</v>
      </c>
      <c r="Z915" t="s">
        <v>170</v>
      </c>
      <c r="AA915" t="s">
        <v>170</v>
      </c>
      <c r="AB915" t="s">
        <v>167</v>
      </c>
      <c r="AC915" t="s">
        <v>213</v>
      </c>
      <c r="AF915">
        <v>348</v>
      </c>
      <c r="AG915" t="s">
        <v>1735</v>
      </c>
      <c r="AH915" t="s">
        <v>1736</v>
      </c>
      <c r="AI915" t="s">
        <v>175</v>
      </c>
      <c r="AJ915" t="s">
        <v>176</v>
      </c>
      <c r="AK915">
        <v>4</v>
      </c>
      <c r="AL915" t="s">
        <v>1737</v>
      </c>
      <c r="AQ915">
        <v>94</v>
      </c>
      <c r="AR915">
        <v>26</v>
      </c>
      <c r="AS915">
        <v>750</v>
      </c>
      <c r="AT915">
        <v>0</v>
      </c>
      <c r="BQ915">
        <v>6</v>
      </c>
      <c r="BR915" t="s">
        <v>825</v>
      </c>
      <c r="BS915" t="s">
        <v>180</v>
      </c>
      <c r="BT915" t="s">
        <v>1769</v>
      </c>
      <c r="BU915" s="1">
        <v>45597</v>
      </c>
      <c r="BV915">
        <v>35701</v>
      </c>
      <c r="BX915" t="s">
        <v>170</v>
      </c>
      <c r="BY915" t="s">
        <v>170</v>
      </c>
      <c r="CB915" t="s">
        <v>170</v>
      </c>
      <c r="CC915" t="s">
        <v>170</v>
      </c>
      <c r="CK915" t="s">
        <v>233</v>
      </c>
      <c r="CM915">
        <v>1</v>
      </c>
      <c r="CN915" t="s">
        <v>234</v>
      </c>
      <c r="CP915">
        <v>410</v>
      </c>
      <c r="CQ915">
        <v>239</v>
      </c>
      <c r="CR915">
        <v>175</v>
      </c>
      <c r="CS915" t="s">
        <v>235</v>
      </c>
      <c r="CV915" t="s">
        <v>341</v>
      </c>
      <c r="CX915" t="s">
        <v>342</v>
      </c>
      <c r="CY915" t="s">
        <v>170</v>
      </c>
      <c r="DC915" t="s">
        <v>2327</v>
      </c>
      <c r="DD915">
        <v>3</v>
      </c>
      <c r="DE915" t="s">
        <v>404</v>
      </c>
      <c r="DF915" t="s">
        <v>2310</v>
      </c>
      <c r="DG915">
        <v>250</v>
      </c>
      <c r="DL915" t="s">
        <v>170</v>
      </c>
      <c r="DM915" t="s">
        <v>169</v>
      </c>
      <c r="DP915" t="s">
        <v>170</v>
      </c>
      <c r="DQ915" t="s">
        <v>187</v>
      </c>
      <c r="DR915" t="s">
        <v>2328</v>
      </c>
      <c r="EB915">
        <v>9</v>
      </c>
      <c r="EC915">
        <v>10</v>
      </c>
      <c r="EE915" t="s">
        <v>2329</v>
      </c>
      <c r="EF915">
        <v>10</v>
      </c>
      <c r="EU915">
        <v>5750</v>
      </c>
      <c r="EW915">
        <v>0</v>
      </c>
      <c r="EX915">
        <v>0</v>
      </c>
      <c r="EY915">
        <v>0</v>
      </c>
      <c r="FA915">
        <v>14</v>
      </c>
      <c r="FG915">
        <v>361</v>
      </c>
      <c r="FH915">
        <v>333</v>
      </c>
      <c r="FI915">
        <v>348</v>
      </c>
    </row>
    <row r="916" spans="1:165" x14ac:dyDescent="0.35">
      <c r="A916">
        <v>2025</v>
      </c>
      <c r="B916" t="s">
        <v>2303</v>
      </c>
      <c r="C916" t="s">
        <v>2304</v>
      </c>
      <c r="D916" t="s">
        <v>2326</v>
      </c>
      <c r="E916" t="s">
        <v>2306</v>
      </c>
      <c r="F916">
        <v>60</v>
      </c>
      <c r="G916">
        <v>0</v>
      </c>
      <c r="I916" t="s">
        <v>1734</v>
      </c>
      <c r="J916">
        <v>31</v>
      </c>
      <c r="K916">
        <v>34</v>
      </c>
      <c r="L916">
        <v>32</v>
      </c>
      <c r="M916">
        <v>22.008600000000001</v>
      </c>
      <c r="N916">
        <v>23.869199999999999</v>
      </c>
      <c r="O916">
        <v>22.8459</v>
      </c>
      <c r="P916">
        <v>31.299800000000001</v>
      </c>
      <c r="Q916">
        <v>33.9377</v>
      </c>
      <c r="R916">
        <v>32.486800000000002</v>
      </c>
      <c r="V916" t="s">
        <v>167</v>
      </c>
      <c r="W916" t="s">
        <v>168</v>
      </c>
      <c r="Y916">
        <v>1</v>
      </c>
      <c r="Z916" t="s">
        <v>170</v>
      </c>
      <c r="AA916" t="s">
        <v>170</v>
      </c>
      <c r="AB916" t="s">
        <v>167</v>
      </c>
      <c r="AC916" t="s">
        <v>213</v>
      </c>
      <c r="AF916">
        <v>348</v>
      </c>
      <c r="AG916" t="s">
        <v>1735</v>
      </c>
      <c r="AH916" t="s">
        <v>1736</v>
      </c>
      <c r="AI916" t="s">
        <v>1742</v>
      </c>
      <c r="AJ916" t="s">
        <v>1743</v>
      </c>
      <c r="AK916">
        <v>4</v>
      </c>
      <c r="AL916" t="s">
        <v>1737</v>
      </c>
      <c r="AQ916">
        <v>94</v>
      </c>
      <c r="AR916">
        <v>26</v>
      </c>
      <c r="AS916">
        <v>750</v>
      </c>
      <c r="AT916">
        <v>750</v>
      </c>
      <c r="BQ916">
        <v>6</v>
      </c>
      <c r="BR916" t="s">
        <v>825</v>
      </c>
      <c r="BS916" t="s">
        <v>180</v>
      </c>
      <c r="BT916" t="s">
        <v>1769</v>
      </c>
      <c r="BU916" s="1">
        <v>45597</v>
      </c>
      <c r="BV916">
        <v>35701</v>
      </c>
      <c r="BX916" t="s">
        <v>170</v>
      </c>
      <c r="BY916" t="s">
        <v>170</v>
      </c>
      <c r="CB916" t="s">
        <v>170</v>
      </c>
      <c r="CC916" t="s">
        <v>170</v>
      </c>
      <c r="CK916" t="s">
        <v>233</v>
      </c>
      <c r="CM916">
        <v>1</v>
      </c>
      <c r="CN916" t="s">
        <v>234</v>
      </c>
      <c r="CP916">
        <v>410</v>
      </c>
      <c r="CQ916">
        <v>239</v>
      </c>
      <c r="CR916">
        <v>175</v>
      </c>
      <c r="CS916" t="s">
        <v>235</v>
      </c>
      <c r="CV916" t="s">
        <v>341</v>
      </c>
      <c r="CX916" t="s">
        <v>342</v>
      </c>
      <c r="CY916" t="s">
        <v>170</v>
      </c>
      <c r="DC916" t="s">
        <v>2327</v>
      </c>
      <c r="DD916">
        <v>3</v>
      </c>
      <c r="DE916" t="s">
        <v>404</v>
      </c>
      <c r="DF916" t="s">
        <v>2310</v>
      </c>
      <c r="DG916">
        <v>250</v>
      </c>
      <c r="DL916" t="s">
        <v>170</v>
      </c>
      <c r="DM916" t="s">
        <v>169</v>
      </c>
      <c r="DP916" t="s">
        <v>170</v>
      </c>
      <c r="DQ916" t="s">
        <v>187</v>
      </c>
      <c r="DR916" t="s">
        <v>2328</v>
      </c>
      <c r="EB916">
        <v>9</v>
      </c>
      <c r="EC916">
        <v>10</v>
      </c>
      <c r="EE916" t="s">
        <v>2329</v>
      </c>
      <c r="EF916">
        <v>10</v>
      </c>
      <c r="EU916">
        <v>5750</v>
      </c>
      <c r="EW916">
        <v>0</v>
      </c>
      <c r="EX916">
        <v>0</v>
      </c>
      <c r="EY916">
        <v>0</v>
      </c>
      <c r="FA916">
        <v>14</v>
      </c>
      <c r="FG916">
        <v>361</v>
      </c>
      <c r="FH916">
        <v>333</v>
      </c>
      <c r="FI916">
        <v>348</v>
      </c>
    </row>
    <row r="917" spans="1:165" x14ac:dyDescent="0.35">
      <c r="A917" s="25"/>
      <c r="B917" s="25"/>
      <c r="C917" s="25"/>
      <c r="D917" s="25"/>
      <c r="E917" s="25"/>
      <c r="F917" s="25" t="str">
        <f>_xlfn.CONCAT($A918," ",$B918," ",$D918)</f>
        <v>2025 Tesla Model X</v>
      </c>
      <c r="G917" s="25"/>
      <c r="H917" s="25"/>
      <c r="I917" s="25"/>
      <c r="J917" s="25"/>
      <c r="K917" s="25"/>
      <c r="L917" s="25"/>
      <c r="M917" s="25"/>
      <c r="N917" s="25"/>
      <c r="O917" s="25"/>
      <c r="P917" s="25"/>
      <c r="Q917" s="25"/>
      <c r="R917" s="25"/>
      <c r="S917" s="25"/>
      <c r="T917" s="25"/>
      <c r="U917" s="25"/>
      <c r="V917" s="25"/>
      <c r="W917" s="25"/>
      <c r="X917" s="25"/>
      <c r="Y917" s="25"/>
      <c r="Z917" s="25"/>
      <c r="AA917" s="25"/>
      <c r="AB917" s="25"/>
      <c r="AC917" s="25"/>
      <c r="AD917" s="25" t="str">
        <f>_xlfn.CONCAT($A918," ",$B918," ",$D918)</f>
        <v>2025 Tesla Model X</v>
      </c>
      <c r="AE917" s="25"/>
      <c r="AF917" s="25"/>
      <c r="AG917" s="25"/>
      <c r="AH917" s="25"/>
      <c r="AI917" s="25"/>
      <c r="AJ917" s="25"/>
      <c r="AK917" s="25"/>
      <c r="AL917" s="25"/>
      <c r="AM917" s="25"/>
      <c r="AN917" s="25"/>
      <c r="AO917" s="25"/>
      <c r="AP917" s="25"/>
      <c r="AQ917" s="25"/>
      <c r="AR917" s="25"/>
      <c r="AS917" s="25"/>
      <c r="AT917" s="25"/>
      <c r="AU917" s="25"/>
      <c r="AV917" s="25"/>
      <c r="AW917" s="25"/>
      <c r="AX917" s="25" t="str">
        <f>_xlfn.CONCAT($A918," ",$B918," ",$D918)</f>
        <v>2025 Tesla Model X</v>
      </c>
      <c r="AY917" s="25"/>
      <c r="AZ917" s="25"/>
      <c r="BA917" s="25"/>
      <c r="BB917" s="25"/>
      <c r="BC917" s="25"/>
      <c r="BD917" s="25"/>
      <c r="BE917" s="25"/>
      <c r="BF917" s="25"/>
      <c r="BG917" s="25"/>
      <c r="BH917" s="25"/>
      <c r="BI917" s="25"/>
      <c r="BJ917" s="25"/>
      <c r="BK917" s="25"/>
      <c r="BL917" s="25"/>
      <c r="BM917" s="25"/>
      <c r="BN917" s="25"/>
      <c r="BO917" s="25"/>
      <c r="BP917" s="25"/>
      <c r="BQ917" s="25"/>
      <c r="BR917" s="25" t="str">
        <f>_xlfn.CONCAT($A918," ",$B918," ",$D918)</f>
        <v>2025 Tesla Model X</v>
      </c>
      <c r="BS917" s="25"/>
      <c r="BT917" s="25"/>
      <c r="BU917" s="25"/>
      <c r="BV917" s="25"/>
      <c r="BX917" s="25"/>
      <c r="BY917" s="25"/>
      <c r="BZ917" s="25"/>
      <c r="CA917" s="25"/>
      <c r="CB917" s="25"/>
      <c r="CC917" s="25"/>
      <c r="CD917" s="25"/>
      <c r="CE917" s="25"/>
      <c r="CF917" s="25"/>
      <c r="CG917" s="25"/>
      <c r="CH917" s="25"/>
      <c r="CI917" s="25"/>
      <c r="CJ917" s="25"/>
      <c r="CK917" s="25"/>
      <c r="CL917" s="25"/>
      <c r="CM917" s="25"/>
      <c r="CN917" s="25"/>
      <c r="CO917" s="25"/>
      <c r="CP917" s="25" t="str">
        <f>_xlfn.CONCAT($A918," ",$B918," ",$D918)</f>
        <v>2025 Tesla Model X</v>
      </c>
      <c r="CQ917" s="25"/>
      <c r="CR917" s="25"/>
      <c r="CS917" s="25"/>
      <c r="CT917" s="25"/>
      <c r="CU917" s="25"/>
      <c r="CV917" s="25"/>
      <c r="CW917" s="25"/>
      <c r="CX917" s="25"/>
      <c r="CY917" s="25"/>
      <c r="CZ917" s="25"/>
      <c r="DA917" s="25"/>
      <c r="DB917" s="25"/>
      <c r="DC917" s="25"/>
      <c r="DD917" s="25"/>
      <c r="DE917" s="25"/>
      <c r="DF917" s="25"/>
      <c r="DG917" s="25"/>
      <c r="DH917" s="25"/>
      <c r="DI917" s="25" t="str">
        <f>_xlfn.CONCAT($A918," ",$B918," ",$D918)</f>
        <v>2025 Tesla Model X</v>
      </c>
      <c r="DJ917" s="25"/>
      <c r="DK917" s="25"/>
      <c r="DL917" s="25"/>
      <c r="DM917" s="25"/>
      <c r="DN917" s="25"/>
      <c r="DO917" s="25"/>
      <c r="DP917" s="25"/>
      <c r="DQ917" s="25"/>
      <c r="DR917" s="25"/>
      <c r="DS917" s="25"/>
      <c r="DT917" s="25"/>
      <c r="DU917" s="25"/>
      <c r="DV917" s="25"/>
      <c r="DW917" s="25"/>
      <c r="DX917" s="25"/>
      <c r="DY917" s="25"/>
      <c r="DZ917" s="25" t="str">
        <f>_xlfn.CONCAT($A918," ",$B918," ",$D918)</f>
        <v>2025 Tesla Model X</v>
      </c>
      <c r="EB917" s="25"/>
      <c r="EC917" s="25"/>
      <c r="ED917" s="25"/>
      <c r="EE917" s="25"/>
      <c r="EF917" s="25"/>
      <c r="EG917" s="25"/>
      <c r="EH917" s="25"/>
      <c r="EI917" s="25"/>
      <c r="EJ917" s="25"/>
      <c r="EK917" s="25"/>
      <c r="EL917" s="25"/>
      <c r="EM917" s="25"/>
      <c r="EN917" s="25"/>
      <c r="EO917" s="25"/>
      <c r="EP917" s="25"/>
      <c r="EQ917" s="25"/>
      <c r="ER917" s="25"/>
      <c r="ES917" s="25"/>
      <c r="ET917" s="25"/>
      <c r="EU917" s="25"/>
      <c r="EV917" s="25" t="str">
        <f>_xlfn.CONCAT($A918," ",$B918," ",$D918)</f>
        <v>2025 Tesla Model X</v>
      </c>
      <c r="EW917" s="25"/>
      <c r="EX917" s="25"/>
      <c r="EY917" s="25"/>
      <c r="EZ917" s="25"/>
      <c r="FA917" s="25"/>
      <c r="FB917" s="25"/>
      <c r="FC917" s="25"/>
      <c r="FD917" s="25"/>
      <c r="FE917" s="25"/>
      <c r="FF917" s="25"/>
      <c r="FG917" s="25"/>
    </row>
    <row r="918" spans="1:165" x14ac:dyDescent="0.35">
      <c r="A918">
        <v>2025</v>
      </c>
      <c r="B918" t="s">
        <v>2303</v>
      </c>
      <c r="C918" t="s">
        <v>2304</v>
      </c>
      <c r="D918" t="s">
        <v>2332</v>
      </c>
      <c r="E918" t="s">
        <v>2306</v>
      </c>
      <c r="F918">
        <v>73</v>
      </c>
      <c r="G918">
        <v>0</v>
      </c>
      <c r="I918" t="s">
        <v>1734</v>
      </c>
      <c r="J918">
        <v>103</v>
      </c>
      <c r="K918">
        <v>94</v>
      </c>
      <c r="L918">
        <v>98</v>
      </c>
      <c r="M918">
        <v>146.5</v>
      </c>
      <c r="N918">
        <v>134</v>
      </c>
      <c r="O918">
        <v>140.59800000000001</v>
      </c>
      <c r="P918">
        <v>102.55</v>
      </c>
      <c r="Q918">
        <v>93.8</v>
      </c>
      <c r="R918">
        <v>98.418599999999998</v>
      </c>
      <c r="V918" t="s">
        <v>167</v>
      </c>
      <c r="W918" t="s">
        <v>168</v>
      </c>
      <c r="Y918">
        <v>1</v>
      </c>
      <c r="Z918" t="s">
        <v>170</v>
      </c>
      <c r="AA918" t="s">
        <v>170</v>
      </c>
      <c r="AB918" t="s">
        <v>167</v>
      </c>
      <c r="AC918" t="s">
        <v>213</v>
      </c>
      <c r="AF918">
        <v>329</v>
      </c>
      <c r="AG918" t="s">
        <v>1735</v>
      </c>
      <c r="AH918" t="s">
        <v>1736</v>
      </c>
      <c r="AI918" t="s">
        <v>175</v>
      </c>
      <c r="AJ918" t="s">
        <v>176</v>
      </c>
      <c r="AK918">
        <v>4</v>
      </c>
      <c r="AL918" t="s">
        <v>1737</v>
      </c>
      <c r="AS918">
        <v>800</v>
      </c>
      <c r="AT918">
        <v>0</v>
      </c>
      <c r="BQ918">
        <v>33</v>
      </c>
      <c r="BR918" t="s">
        <v>1497</v>
      </c>
      <c r="BT918" t="s">
        <v>1769</v>
      </c>
      <c r="BU918" s="1">
        <v>45597</v>
      </c>
      <c r="BV918">
        <v>35703</v>
      </c>
      <c r="BX918" t="s">
        <v>170</v>
      </c>
      <c r="BY918" t="s">
        <v>170</v>
      </c>
      <c r="CB918" t="s">
        <v>170</v>
      </c>
      <c r="CC918" t="s">
        <v>170</v>
      </c>
      <c r="CK918" t="s">
        <v>233</v>
      </c>
      <c r="CM918">
        <v>1</v>
      </c>
      <c r="CN918" t="s">
        <v>234</v>
      </c>
      <c r="CP918">
        <v>410</v>
      </c>
      <c r="CQ918">
        <v>239</v>
      </c>
      <c r="CR918">
        <v>175</v>
      </c>
      <c r="CS918" t="s">
        <v>235</v>
      </c>
      <c r="CV918" t="s">
        <v>341</v>
      </c>
      <c r="CX918" t="s">
        <v>342</v>
      </c>
      <c r="CY918" t="s">
        <v>170</v>
      </c>
      <c r="DC918" t="s">
        <v>2333</v>
      </c>
      <c r="DD918">
        <v>2</v>
      </c>
      <c r="DE918" t="s">
        <v>404</v>
      </c>
      <c r="DF918" t="s">
        <v>1860</v>
      </c>
      <c r="DG918" t="s">
        <v>2324</v>
      </c>
      <c r="DL918" t="s">
        <v>170</v>
      </c>
      <c r="DM918" t="s">
        <v>170</v>
      </c>
      <c r="DP918" t="s">
        <v>170</v>
      </c>
      <c r="DQ918" t="s">
        <v>187</v>
      </c>
      <c r="DR918" t="s">
        <v>2332</v>
      </c>
      <c r="EB918">
        <v>9</v>
      </c>
      <c r="EC918">
        <v>10</v>
      </c>
      <c r="EE918" t="s">
        <v>2334</v>
      </c>
      <c r="EF918">
        <v>10</v>
      </c>
      <c r="EU918">
        <v>5500</v>
      </c>
      <c r="EW918">
        <v>0</v>
      </c>
      <c r="EX918">
        <v>0</v>
      </c>
      <c r="EY918">
        <v>0</v>
      </c>
      <c r="FA918">
        <v>14</v>
      </c>
      <c r="FG918">
        <v>342</v>
      </c>
      <c r="FH918">
        <v>313</v>
      </c>
      <c r="FI918">
        <v>329</v>
      </c>
    </row>
    <row r="919" spans="1:165" x14ac:dyDescent="0.35">
      <c r="A919">
        <v>2025</v>
      </c>
      <c r="B919" t="s">
        <v>2303</v>
      </c>
      <c r="C919" t="s">
        <v>2304</v>
      </c>
      <c r="D919" t="s">
        <v>2332</v>
      </c>
      <c r="E919" t="s">
        <v>2306</v>
      </c>
      <c r="F919">
        <v>73</v>
      </c>
      <c r="G919">
        <v>0</v>
      </c>
      <c r="I919" t="s">
        <v>1734</v>
      </c>
      <c r="J919">
        <v>33</v>
      </c>
      <c r="K919">
        <v>36</v>
      </c>
      <c r="L919">
        <v>34</v>
      </c>
      <c r="M919">
        <v>23.008099999999999</v>
      </c>
      <c r="N919">
        <v>25.144600000000001</v>
      </c>
      <c r="O919">
        <v>23.9695</v>
      </c>
      <c r="P919">
        <v>32.866900000000001</v>
      </c>
      <c r="Q919">
        <v>35.9328</v>
      </c>
      <c r="R919">
        <v>34.246600000000001</v>
      </c>
      <c r="V919" t="s">
        <v>167</v>
      </c>
      <c r="W919" t="s">
        <v>168</v>
      </c>
      <c r="Y919">
        <v>1</v>
      </c>
      <c r="Z919" t="s">
        <v>170</v>
      </c>
      <c r="AA919" t="s">
        <v>170</v>
      </c>
      <c r="AB919" t="s">
        <v>167</v>
      </c>
      <c r="AC919" t="s">
        <v>213</v>
      </c>
      <c r="AF919">
        <v>329</v>
      </c>
      <c r="AG919" t="s">
        <v>1735</v>
      </c>
      <c r="AH919" t="s">
        <v>1736</v>
      </c>
      <c r="AI919" t="s">
        <v>1742</v>
      </c>
      <c r="AJ919" t="s">
        <v>1743</v>
      </c>
      <c r="AK919">
        <v>4</v>
      </c>
      <c r="AL919" t="s">
        <v>1737</v>
      </c>
      <c r="AS919">
        <v>800</v>
      </c>
      <c r="AT919">
        <v>800</v>
      </c>
      <c r="BQ919">
        <v>33</v>
      </c>
      <c r="BR919" t="s">
        <v>1497</v>
      </c>
      <c r="BT919" t="s">
        <v>1769</v>
      </c>
      <c r="BU919" s="1">
        <v>45597</v>
      </c>
      <c r="BV919">
        <v>35703</v>
      </c>
      <c r="BX919" t="s">
        <v>170</v>
      </c>
      <c r="BY919" t="s">
        <v>170</v>
      </c>
      <c r="CB919" t="s">
        <v>170</v>
      </c>
      <c r="CC919" t="s">
        <v>170</v>
      </c>
      <c r="CK919" t="s">
        <v>233</v>
      </c>
      <c r="CM919">
        <v>1</v>
      </c>
      <c r="CN919" t="s">
        <v>234</v>
      </c>
      <c r="CP919">
        <v>410</v>
      </c>
      <c r="CQ919">
        <v>239</v>
      </c>
      <c r="CR919">
        <v>175</v>
      </c>
      <c r="CS919" t="s">
        <v>235</v>
      </c>
      <c r="CV919" t="s">
        <v>341</v>
      </c>
      <c r="CX919" t="s">
        <v>342</v>
      </c>
      <c r="CY919" t="s">
        <v>170</v>
      </c>
      <c r="DC919" t="s">
        <v>2333</v>
      </c>
      <c r="DD919">
        <v>2</v>
      </c>
      <c r="DE919" t="s">
        <v>404</v>
      </c>
      <c r="DF919" t="s">
        <v>1860</v>
      </c>
      <c r="DG919" t="s">
        <v>2324</v>
      </c>
      <c r="DL919" t="s">
        <v>170</v>
      </c>
      <c r="DM919" t="s">
        <v>170</v>
      </c>
      <c r="DP919" t="s">
        <v>170</v>
      </c>
      <c r="DQ919" t="s">
        <v>187</v>
      </c>
      <c r="DR919" t="s">
        <v>2332</v>
      </c>
      <c r="EB919">
        <v>9</v>
      </c>
      <c r="EC919">
        <v>10</v>
      </c>
      <c r="EE919" t="s">
        <v>2334</v>
      </c>
      <c r="EF919">
        <v>10</v>
      </c>
      <c r="EU919">
        <v>5500</v>
      </c>
      <c r="EW919">
        <v>0</v>
      </c>
      <c r="EX919">
        <v>0</v>
      </c>
      <c r="EY919">
        <v>0</v>
      </c>
      <c r="FA919">
        <v>14</v>
      </c>
      <c r="FG919">
        <v>342</v>
      </c>
      <c r="FH919">
        <v>313</v>
      </c>
      <c r="FI919">
        <v>329</v>
      </c>
    </row>
    <row r="920" spans="1:165" x14ac:dyDescent="0.35">
      <c r="A920" s="25"/>
      <c r="B920" s="25"/>
      <c r="C920" s="25"/>
      <c r="D920" s="25"/>
      <c r="E920" s="25"/>
      <c r="F920" s="25" t="str">
        <f>_xlfn.CONCAT($A921," ",$B921," ",$D921)</f>
        <v>2025 Tesla Model X Plaid (22in Wheels)</v>
      </c>
      <c r="G920" s="25"/>
      <c r="H920" s="25"/>
      <c r="I920" s="25"/>
      <c r="J920" s="25"/>
      <c r="K920" s="25"/>
      <c r="L920" s="25"/>
      <c r="M920" s="25"/>
      <c r="N920" s="25"/>
      <c r="O920" s="25"/>
      <c r="P920" s="25"/>
      <c r="Q920" s="25"/>
      <c r="R920" s="25"/>
      <c r="S920" s="25"/>
      <c r="T920" s="25"/>
      <c r="U920" s="25"/>
      <c r="V920" s="25"/>
      <c r="W920" s="25"/>
      <c r="X920" s="25"/>
      <c r="Y920" s="25"/>
      <c r="Z920" s="25"/>
      <c r="AA920" s="25"/>
      <c r="AB920" s="25"/>
      <c r="AC920" s="25"/>
      <c r="AD920" s="25" t="str">
        <f>_xlfn.CONCAT($A921," ",$B921," ",$D921)</f>
        <v>2025 Tesla Model X Plaid (22in Wheels)</v>
      </c>
      <c r="AE920" s="25"/>
      <c r="AF920" s="25"/>
      <c r="AG920" s="25"/>
      <c r="AH920" s="25"/>
      <c r="AI920" s="25"/>
      <c r="AJ920" s="25"/>
      <c r="AK920" s="25"/>
      <c r="AL920" s="25"/>
      <c r="AM920" s="25"/>
      <c r="AN920" s="25"/>
      <c r="AO920" s="25"/>
      <c r="AP920" s="25"/>
      <c r="AQ920" s="25"/>
      <c r="AR920" s="25"/>
      <c r="AS920" s="25"/>
      <c r="AT920" s="25"/>
      <c r="AU920" s="25"/>
      <c r="AV920" s="25"/>
      <c r="AW920" s="25"/>
      <c r="AX920" s="25" t="str">
        <f>_xlfn.CONCAT($A921," ",$B921," ",$D921)</f>
        <v>2025 Tesla Model X Plaid (22in Wheels)</v>
      </c>
      <c r="AY920" s="25"/>
      <c r="AZ920" s="25"/>
      <c r="BA920" s="25"/>
      <c r="BB920" s="25"/>
      <c r="BC920" s="25"/>
      <c r="BD920" s="25"/>
      <c r="BE920" s="25"/>
      <c r="BF920" s="25"/>
      <c r="BG920" s="25"/>
      <c r="BH920" s="25"/>
      <c r="BI920" s="25"/>
      <c r="BJ920" s="25"/>
      <c r="BK920" s="25"/>
      <c r="BL920" s="25"/>
      <c r="BM920" s="25"/>
      <c r="BN920" s="25"/>
      <c r="BO920" s="25"/>
      <c r="BP920" s="25"/>
      <c r="BQ920" s="25"/>
      <c r="BR920" s="25" t="str">
        <f>_xlfn.CONCAT($A921," ",$B921," ",$D921)</f>
        <v>2025 Tesla Model X Plaid (22in Wheels)</v>
      </c>
      <c r="BS920" s="25"/>
      <c r="BT920" s="25"/>
      <c r="BU920" s="25"/>
      <c r="BV920" s="25"/>
      <c r="BX920" s="25"/>
      <c r="BY920" s="25"/>
      <c r="BZ920" s="25"/>
      <c r="CA920" s="25"/>
      <c r="CB920" s="25"/>
      <c r="CC920" s="25"/>
      <c r="CD920" s="25"/>
      <c r="CE920" s="25"/>
      <c r="CF920" s="25"/>
      <c r="CG920" s="25"/>
      <c r="CH920" s="25"/>
      <c r="CI920" s="25"/>
      <c r="CJ920" s="25"/>
      <c r="CK920" s="25"/>
      <c r="CL920" s="25"/>
      <c r="CM920" s="25"/>
      <c r="CN920" s="25"/>
      <c r="CO920" s="25"/>
      <c r="CP920" s="25" t="str">
        <f>_xlfn.CONCAT($A921," ",$B921," ",$D921)</f>
        <v>2025 Tesla Model X Plaid (22in Wheels)</v>
      </c>
      <c r="CQ920" s="25"/>
      <c r="CR920" s="25"/>
      <c r="CS920" s="25"/>
      <c r="CT920" s="25"/>
      <c r="CU920" s="25"/>
      <c r="CV920" s="25"/>
      <c r="CW920" s="25"/>
      <c r="CX920" s="25"/>
      <c r="CY920" s="25"/>
      <c r="CZ920" s="25"/>
      <c r="DA920" s="25"/>
      <c r="DB920" s="25"/>
      <c r="DC920" s="25"/>
      <c r="DD920" s="25"/>
      <c r="DE920" s="25"/>
      <c r="DF920" s="25"/>
      <c r="DG920" s="25"/>
      <c r="DH920" s="25"/>
      <c r="DI920" s="25" t="str">
        <f>_xlfn.CONCAT($A921," ",$B921," ",$D921)</f>
        <v>2025 Tesla Model X Plaid (22in Wheels)</v>
      </c>
      <c r="DJ920" s="25"/>
      <c r="DK920" s="25"/>
      <c r="DL920" s="25"/>
      <c r="DM920" s="25"/>
      <c r="DN920" s="25"/>
      <c r="DO920" s="25"/>
      <c r="DP920" s="25"/>
      <c r="DQ920" s="25"/>
      <c r="DR920" s="25"/>
      <c r="DS920" s="25"/>
      <c r="DT920" s="25"/>
      <c r="DU920" s="25"/>
      <c r="DV920" s="25"/>
      <c r="DW920" s="25"/>
      <c r="DX920" s="25"/>
      <c r="DY920" s="25"/>
      <c r="DZ920" s="25" t="str">
        <f>_xlfn.CONCAT($A921," ",$B921," ",$D921)</f>
        <v>2025 Tesla Model X Plaid (22in Wheels)</v>
      </c>
      <c r="EB920" s="25"/>
      <c r="EC920" s="25"/>
      <c r="ED920" s="25"/>
      <c r="EE920" s="25"/>
      <c r="EF920" s="25"/>
      <c r="EG920" s="25"/>
      <c r="EH920" s="25"/>
      <c r="EI920" s="25"/>
      <c r="EJ920" s="25"/>
      <c r="EK920" s="25"/>
      <c r="EL920" s="25"/>
      <c r="EM920" s="25"/>
      <c r="EN920" s="25"/>
      <c r="EO920" s="25"/>
      <c r="EP920" s="25"/>
      <c r="EQ920" s="25"/>
      <c r="ER920" s="25"/>
      <c r="ES920" s="25"/>
      <c r="ET920" s="25"/>
      <c r="EU920" s="25"/>
      <c r="EV920" s="25" t="str">
        <f>_xlfn.CONCAT($A921," ",$B921," ",$D921)</f>
        <v>2025 Tesla Model X Plaid (22in Wheels)</v>
      </c>
      <c r="EW920" s="25"/>
      <c r="EX920" s="25"/>
      <c r="EY920" s="25"/>
      <c r="EZ920" s="25"/>
      <c r="FA920" s="25"/>
      <c r="FB920" s="25"/>
      <c r="FC920" s="25"/>
      <c r="FD920" s="25"/>
      <c r="FE920" s="25"/>
      <c r="FF920" s="25"/>
      <c r="FG920" s="25"/>
    </row>
    <row r="921" spans="1:165" x14ac:dyDescent="0.35">
      <c r="A921">
        <v>2025</v>
      </c>
      <c r="B921" t="s">
        <v>2303</v>
      </c>
      <c r="C921" t="s">
        <v>2304</v>
      </c>
      <c r="D921" t="s">
        <v>2339</v>
      </c>
      <c r="E921" t="s">
        <v>2306</v>
      </c>
      <c r="F921">
        <v>74</v>
      </c>
      <c r="G921">
        <v>0</v>
      </c>
      <c r="I921" t="s">
        <v>1734</v>
      </c>
      <c r="J921">
        <v>92</v>
      </c>
      <c r="K921">
        <v>84</v>
      </c>
      <c r="L921">
        <v>88</v>
      </c>
      <c r="M921">
        <v>131.80000000000001</v>
      </c>
      <c r="N921">
        <v>120.2</v>
      </c>
      <c r="O921">
        <v>126.3145</v>
      </c>
      <c r="P921">
        <v>92.26</v>
      </c>
      <c r="Q921">
        <v>84.14</v>
      </c>
      <c r="R921">
        <v>88.420199999999994</v>
      </c>
      <c r="V921" t="s">
        <v>167</v>
      </c>
      <c r="W921" t="s">
        <v>168</v>
      </c>
      <c r="Y921">
        <v>1</v>
      </c>
      <c r="Z921" t="s">
        <v>170</v>
      </c>
      <c r="AA921" t="s">
        <v>170</v>
      </c>
      <c r="AB921" t="s">
        <v>167</v>
      </c>
      <c r="AC921" t="s">
        <v>213</v>
      </c>
      <c r="AF921">
        <v>294</v>
      </c>
      <c r="AG921" t="s">
        <v>1735</v>
      </c>
      <c r="AH921" t="s">
        <v>1736</v>
      </c>
      <c r="AI921" t="s">
        <v>175</v>
      </c>
      <c r="AJ921" t="s">
        <v>176</v>
      </c>
      <c r="AK921">
        <v>4</v>
      </c>
      <c r="AL921" t="s">
        <v>1737</v>
      </c>
      <c r="AS921">
        <v>900</v>
      </c>
      <c r="AT921">
        <v>50</v>
      </c>
      <c r="BQ921">
        <v>33</v>
      </c>
      <c r="BR921" t="s">
        <v>1497</v>
      </c>
      <c r="BT921" t="s">
        <v>1769</v>
      </c>
      <c r="BU921" s="1">
        <v>45597</v>
      </c>
      <c r="BV921">
        <v>35705</v>
      </c>
      <c r="BX921" t="s">
        <v>170</v>
      </c>
      <c r="BY921" t="s">
        <v>170</v>
      </c>
      <c r="CB921" t="s">
        <v>170</v>
      </c>
      <c r="CC921" t="s">
        <v>170</v>
      </c>
      <c r="CK921" t="s">
        <v>233</v>
      </c>
      <c r="CM921">
        <v>1</v>
      </c>
      <c r="CN921" t="s">
        <v>234</v>
      </c>
      <c r="CP921">
        <v>410</v>
      </c>
      <c r="CQ921">
        <v>239</v>
      </c>
      <c r="CR921">
        <v>175</v>
      </c>
      <c r="CS921" t="s">
        <v>235</v>
      </c>
      <c r="CV921" t="s">
        <v>341</v>
      </c>
      <c r="CX921" t="s">
        <v>342</v>
      </c>
      <c r="CY921" t="s">
        <v>170</v>
      </c>
      <c r="DC921" t="s">
        <v>2336</v>
      </c>
      <c r="DD921">
        <v>3</v>
      </c>
      <c r="DE921" t="s">
        <v>404</v>
      </c>
      <c r="DF921" t="s">
        <v>2310</v>
      </c>
      <c r="DG921">
        <v>230</v>
      </c>
      <c r="DL921" t="s">
        <v>170</v>
      </c>
      <c r="DM921" t="s">
        <v>169</v>
      </c>
      <c r="DP921" t="s">
        <v>170</v>
      </c>
      <c r="DQ921" t="s">
        <v>187</v>
      </c>
      <c r="DR921" t="s">
        <v>2340</v>
      </c>
      <c r="EB921">
        <v>9</v>
      </c>
      <c r="EC921">
        <v>10</v>
      </c>
      <c r="EE921" t="s">
        <v>2338</v>
      </c>
      <c r="EF921">
        <v>10</v>
      </c>
      <c r="EU921">
        <v>5000</v>
      </c>
      <c r="EW921">
        <v>0</v>
      </c>
      <c r="EX921">
        <v>0</v>
      </c>
      <c r="EY921">
        <v>0</v>
      </c>
      <c r="FA921">
        <v>14</v>
      </c>
      <c r="FG921">
        <v>306</v>
      </c>
      <c r="FH921">
        <v>279</v>
      </c>
      <c r="FI921">
        <v>294</v>
      </c>
    </row>
    <row r="922" spans="1:165" x14ac:dyDescent="0.35">
      <c r="A922">
        <v>2025</v>
      </c>
      <c r="B922" t="s">
        <v>2303</v>
      </c>
      <c r="C922" t="s">
        <v>2304</v>
      </c>
      <c r="D922" t="s">
        <v>2339</v>
      </c>
      <c r="E922" t="s">
        <v>2306</v>
      </c>
      <c r="F922">
        <v>74</v>
      </c>
      <c r="G922">
        <v>0</v>
      </c>
      <c r="I922" t="s">
        <v>1734</v>
      </c>
      <c r="J922">
        <v>37</v>
      </c>
      <c r="K922">
        <v>40</v>
      </c>
      <c r="L922">
        <v>38</v>
      </c>
      <c r="M922">
        <v>25.581499999999998</v>
      </c>
      <c r="N922">
        <v>28.0321</v>
      </c>
      <c r="O922">
        <v>26.6843</v>
      </c>
      <c r="P922">
        <v>36.532600000000002</v>
      </c>
      <c r="Q922">
        <v>40.058199999999999</v>
      </c>
      <c r="R922">
        <v>38.119100000000003</v>
      </c>
      <c r="V922" t="s">
        <v>167</v>
      </c>
      <c r="W922" t="s">
        <v>168</v>
      </c>
      <c r="Y922">
        <v>1</v>
      </c>
      <c r="Z922" t="s">
        <v>170</v>
      </c>
      <c r="AA922" t="s">
        <v>170</v>
      </c>
      <c r="AB922" t="s">
        <v>167</v>
      </c>
      <c r="AC922" t="s">
        <v>213</v>
      </c>
      <c r="AF922">
        <v>294</v>
      </c>
      <c r="AG922" t="s">
        <v>1735</v>
      </c>
      <c r="AH922" t="s">
        <v>1736</v>
      </c>
      <c r="AI922" t="s">
        <v>1742</v>
      </c>
      <c r="AJ922" t="s">
        <v>1743</v>
      </c>
      <c r="AK922">
        <v>4</v>
      </c>
      <c r="AL922" t="s">
        <v>1737</v>
      </c>
      <c r="AS922">
        <v>900</v>
      </c>
      <c r="AT922">
        <v>900</v>
      </c>
      <c r="BQ922">
        <v>33</v>
      </c>
      <c r="BR922" t="s">
        <v>1497</v>
      </c>
      <c r="BT922" t="s">
        <v>1769</v>
      </c>
      <c r="BU922" s="1">
        <v>45597</v>
      </c>
      <c r="BV922">
        <v>35705</v>
      </c>
      <c r="BX922" t="s">
        <v>170</v>
      </c>
      <c r="BY922" t="s">
        <v>170</v>
      </c>
      <c r="CB922" t="s">
        <v>170</v>
      </c>
      <c r="CC922" t="s">
        <v>170</v>
      </c>
      <c r="CK922" t="s">
        <v>233</v>
      </c>
      <c r="CM922">
        <v>1</v>
      </c>
      <c r="CN922" t="s">
        <v>234</v>
      </c>
      <c r="CP922">
        <v>410</v>
      </c>
      <c r="CQ922">
        <v>239</v>
      </c>
      <c r="CR922">
        <v>175</v>
      </c>
      <c r="CS922" t="s">
        <v>235</v>
      </c>
      <c r="CV922" t="s">
        <v>341</v>
      </c>
      <c r="CX922" t="s">
        <v>342</v>
      </c>
      <c r="CY922" t="s">
        <v>170</v>
      </c>
      <c r="DC922" t="s">
        <v>2336</v>
      </c>
      <c r="DD922">
        <v>3</v>
      </c>
      <c r="DE922" t="s">
        <v>404</v>
      </c>
      <c r="DF922" t="s">
        <v>2310</v>
      </c>
      <c r="DG922">
        <v>230</v>
      </c>
      <c r="DL922" t="s">
        <v>170</v>
      </c>
      <c r="DM922" t="s">
        <v>169</v>
      </c>
      <c r="DP922" t="s">
        <v>170</v>
      </c>
      <c r="DQ922" t="s">
        <v>187</v>
      </c>
      <c r="DR922" t="s">
        <v>2340</v>
      </c>
      <c r="EB922">
        <v>9</v>
      </c>
      <c r="EC922">
        <v>10</v>
      </c>
      <c r="EE922" t="s">
        <v>2338</v>
      </c>
      <c r="EF922">
        <v>10</v>
      </c>
      <c r="EU922">
        <v>5000</v>
      </c>
      <c r="EW922">
        <v>0</v>
      </c>
      <c r="EX922">
        <v>0</v>
      </c>
      <c r="EY922">
        <v>0</v>
      </c>
      <c r="FA922">
        <v>14</v>
      </c>
      <c r="FG922">
        <v>306</v>
      </c>
      <c r="FH922">
        <v>279</v>
      </c>
      <c r="FI922">
        <v>294</v>
      </c>
    </row>
    <row r="923" spans="1:165" x14ac:dyDescent="0.35">
      <c r="A923" s="25"/>
      <c r="B923" s="25"/>
      <c r="C923" s="25"/>
      <c r="D923" s="25"/>
      <c r="E923" s="25"/>
      <c r="F923" s="25" t="str">
        <f>_xlfn.CONCAT($A924," ",$B924," ",$D924)</f>
        <v>2025 Tesla Model X Plaid (20in Wheels)</v>
      </c>
      <c r="G923" s="25"/>
      <c r="H923" s="25"/>
      <c r="I923" s="25"/>
      <c r="J923" s="25"/>
      <c r="K923" s="25"/>
      <c r="L923" s="25"/>
      <c r="M923" s="25"/>
      <c r="N923" s="25"/>
      <c r="O923" s="25"/>
      <c r="P923" s="25"/>
      <c r="Q923" s="25"/>
      <c r="R923" s="25"/>
      <c r="S923" s="25"/>
      <c r="T923" s="25"/>
      <c r="U923" s="25"/>
      <c r="V923" s="25"/>
      <c r="W923" s="25"/>
      <c r="X923" s="25"/>
      <c r="Y923" s="25"/>
      <c r="Z923" s="25"/>
      <c r="AA923" s="25"/>
      <c r="AB923" s="25"/>
      <c r="AC923" s="25"/>
      <c r="AD923" s="25" t="str">
        <f>_xlfn.CONCAT($A924," ",$B924," ",$D924)</f>
        <v>2025 Tesla Model X Plaid (20in Wheels)</v>
      </c>
      <c r="AE923" s="25"/>
      <c r="AF923" s="25"/>
      <c r="AG923" s="25"/>
      <c r="AH923" s="25"/>
      <c r="AI923" s="25"/>
      <c r="AJ923" s="25"/>
      <c r="AK923" s="25"/>
      <c r="AL923" s="25"/>
      <c r="AM923" s="25"/>
      <c r="AN923" s="25"/>
      <c r="AO923" s="25"/>
      <c r="AP923" s="25"/>
      <c r="AQ923" s="25"/>
      <c r="AR923" s="25"/>
      <c r="AS923" s="25"/>
      <c r="AT923" s="25"/>
      <c r="AU923" s="25"/>
      <c r="AV923" s="25"/>
      <c r="AW923" s="25"/>
      <c r="AX923" s="25" t="str">
        <f>_xlfn.CONCAT($A924," ",$B924," ",$D924)</f>
        <v>2025 Tesla Model X Plaid (20in Wheels)</v>
      </c>
      <c r="AY923" s="25"/>
      <c r="AZ923" s="25"/>
      <c r="BA923" s="25"/>
      <c r="BB923" s="25"/>
      <c r="BC923" s="25"/>
      <c r="BD923" s="25"/>
      <c r="BE923" s="25"/>
      <c r="BF923" s="25"/>
      <c r="BG923" s="25"/>
      <c r="BH923" s="25"/>
      <c r="BI923" s="25"/>
      <c r="BJ923" s="25"/>
      <c r="BK923" s="25"/>
      <c r="BL923" s="25"/>
      <c r="BM923" s="25"/>
      <c r="BN923" s="25"/>
      <c r="BO923" s="25"/>
      <c r="BP923" s="25"/>
      <c r="BQ923" s="25"/>
      <c r="BR923" s="25" t="str">
        <f>_xlfn.CONCAT($A924," ",$B924," ",$D924)</f>
        <v>2025 Tesla Model X Plaid (20in Wheels)</v>
      </c>
      <c r="BS923" s="25"/>
      <c r="BT923" s="25"/>
      <c r="BU923" s="25"/>
      <c r="BV923" s="25"/>
      <c r="BX923" s="25"/>
      <c r="BY923" s="25"/>
      <c r="BZ923" s="25"/>
      <c r="CA923" s="25"/>
      <c r="CB923" s="25"/>
      <c r="CC923" s="25"/>
      <c r="CD923" s="25"/>
      <c r="CE923" s="25"/>
      <c r="CF923" s="25"/>
      <c r="CG923" s="25"/>
      <c r="CH923" s="25"/>
      <c r="CI923" s="25"/>
      <c r="CJ923" s="25"/>
      <c r="CK923" s="25"/>
      <c r="CL923" s="25"/>
      <c r="CM923" s="25"/>
      <c r="CN923" s="25"/>
      <c r="CO923" s="25"/>
      <c r="CP923" s="25" t="str">
        <f>_xlfn.CONCAT($A924," ",$B924," ",$D924)</f>
        <v>2025 Tesla Model X Plaid (20in Wheels)</v>
      </c>
      <c r="CQ923" s="25"/>
      <c r="CR923" s="25"/>
      <c r="CS923" s="25"/>
      <c r="CT923" s="25"/>
      <c r="CU923" s="25"/>
      <c r="CV923" s="25"/>
      <c r="CW923" s="25"/>
      <c r="CX923" s="25"/>
      <c r="CY923" s="25"/>
      <c r="CZ923" s="25"/>
      <c r="DA923" s="25"/>
      <c r="DB923" s="25"/>
      <c r="DC923" s="25"/>
      <c r="DD923" s="25"/>
      <c r="DE923" s="25"/>
      <c r="DF923" s="25"/>
      <c r="DG923" s="25"/>
      <c r="DH923" s="25"/>
      <c r="DI923" s="25" t="str">
        <f>_xlfn.CONCAT($A924," ",$B924," ",$D924)</f>
        <v>2025 Tesla Model X Plaid (20in Wheels)</v>
      </c>
      <c r="DJ923" s="25"/>
      <c r="DK923" s="25"/>
      <c r="DL923" s="25"/>
      <c r="DM923" s="25"/>
      <c r="DN923" s="25"/>
      <c r="DO923" s="25"/>
      <c r="DP923" s="25"/>
      <c r="DQ923" s="25"/>
      <c r="DR923" s="25"/>
      <c r="DS923" s="25"/>
      <c r="DT923" s="25"/>
      <c r="DU923" s="25"/>
      <c r="DV923" s="25"/>
      <c r="DW923" s="25"/>
      <c r="DX923" s="25"/>
      <c r="DY923" s="25"/>
      <c r="DZ923" s="25" t="str">
        <f>_xlfn.CONCAT($A924," ",$B924," ",$D924)</f>
        <v>2025 Tesla Model X Plaid (20in Wheels)</v>
      </c>
      <c r="EB923" s="25"/>
      <c r="EC923" s="25"/>
      <c r="ED923" s="25"/>
      <c r="EE923" s="25"/>
      <c r="EF923" s="25"/>
      <c r="EG923" s="25"/>
      <c r="EH923" s="25"/>
      <c r="EI923" s="25"/>
      <c r="EJ923" s="25"/>
      <c r="EK923" s="25"/>
      <c r="EL923" s="25"/>
      <c r="EM923" s="25"/>
      <c r="EN923" s="25"/>
      <c r="EO923" s="25"/>
      <c r="EP923" s="25"/>
      <c r="EQ923" s="25"/>
      <c r="ER923" s="25"/>
      <c r="ES923" s="25"/>
      <c r="ET923" s="25"/>
      <c r="EU923" s="25"/>
      <c r="EV923" s="25" t="str">
        <f>_xlfn.CONCAT($A924," ",$B924," ",$D924)</f>
        <v>2025 Tesla Model X Plaid (20in Wheels)</v>
      </c>
      <c r="EW923" s="25"/>
      <c r="EX923" s="25"/>
      <c r="EY923" s="25"/>
      <c r="EZ923" s="25"/>
      <c r="FA923" s="25"/>
      <c r="FB923" s="25"/>
      <c r="FC923" s="25"/>
      <c r="FD923" s="25"/>
      <c r="FE923" s="25"/>
      <c r="FF923" s="25"/>
      <c r="FG923" s="25"/>
    </row>
    <row r="924" spans="1:165" x14ac:dyDescent="0.35">
      <c r="A924">
        <v>2025</v>
      </c>
      <c r="B924" t="s">
        <v>2303</v>
      </c>
      <c r="C924" t="s">
        <v>2304</v>
      </c>
      <c r="D924" t="s">
        <v>2335</v>
      </c>
      <c r="E924" t="s">
        <v>2306</v>
      </c>
      <c r="F924">
        <v>76</v>
      </c>
      <c r="G924">
        <v>0</v>
      </c>
      <c r="I924" t="s">
        <v>1734</v>
      </c>
      <c r="J924">
        <v>98</v>
      </c>
      <c r="K924">
        <v>89</v>
      </c>
      <c r="L924">
        <v>94</v>
      </c>
      <c r="M924">
        <v>140.5</v>
      </c>
      <c r="N924">
        <v>127</v>
      </c>
      <c r="O924">
        <v>134.08600000000001</v>
      </c>
      <c r="P924">
        <v>98.468000000000004</v>
      </c>
      <c r="Q924">
        <v>89.006699999999995</v>
      </c>
      <c r="R924">
        <v>93.972800000000007</v>
      </c>
      <c r="V924" t="s">
        <v>167</v>
      </c>
      <c r="W924" t="s">
        <v>168</v>
      </c>
      <c r="Y924">
        <v>1</v>
      </c>
      <c r="Z924" t="s">
        <v>170</v>
      </c>
      <c r="AA924" t="s">
        <v>170</v>
      </c>
      <c r="AB924" t="s">
        <v>167</v>
      </c>
      <c r="AC924" t="s">
        <v>213</v>
      </c>
      <c r="AF924">
        <v>314</v>
      </c>
      <c r="AG924" t="s">
        <v>1735</v>
      </c>
      <c r="AH924" t="s">
        <v>1736</v>
      </c>
      <c r="AI924" t="s">
        <v>175</v>
      </c>
      <c r="AJ924" t="s">
        <v>176</v>
      </c>
      <c r="AK924">
        <v>4</v>
      </c>
      <c r="AL924" t="s">
        <v>1737</v>
      </c>
      <c r="AS924">
        <v>850</v>
      </c>
      <c r="AT924">
        <v>50</v>
      </c>
      <c r="BQ924">
        <v>33</v>
      </c>
      <c r="BR924" t="s">
        <v>1497</v>
      </c>
      <c r="BT924" t="s">
        <v>1769</v>
      </c>
      <c r="BU924" s="1">
        <v>45597</v>
      </c>
      <c r="BV924">
        <v>35704</v>
      </c>
      <c r="BX924" t="s">
        <v>170</v>
      </c>
      <c r="BY924" t="s">
        <v>170</v>
      </c>
      <c r="CB924" t="s">
        <v>170</v>
      </c>
      <c r="CC924" t="s">
        <v>170</v>
      </c>
      <c r="CK924" t="s">
        <v>233</v>
      </c>
      <c r="CM924">
        <v>1</v>
      </c>
      <c r="CN924" t="s">
        <v>234</v>
      </c>
      <c r="CP924">
        <v>410</v>
      </c>
      <c r="CQ924">
        <v>239</v>
      </c>
      <c r="CR924">
        <v>175</v>
      </c>
      <c r="CS924" t="s">
        <v>235</v>
      </c>
      <c r="CV924" t="s">
        <v>341</v>
      </c>
      <c r="CX924" t="s">
        <v>342</v>
      </c>
      <c r="CY924" t="s">
        <v>170</v>
      </c>
      <c r="DC924" t="s">
        <v>2336</v>
      </c>
      <c r="DD924">
        <v>3</v>
      </c>
      <c r="DE924" t="s">
        <v>404</v>
      </c>
      <c r="DF924" t="s">
        <v>2310</v>
      </c>
      <c r="DG924">
        <v>230</v>
      </c>
      <c r="DL924" t="s">
        <v>170</v>
      </c>
      <c r="DM924" t="s">
        <v>169</v>
      </c>
      <c r="DP924" t="s">
        <v>170</v>
      </c>
      <c r="DQ924" t="s">
        <v>187</v>
      </c>
      <c r="DR924" t="s">
        <v>2337</v>
      </c>
      <c r="EB924">
        <v>9</v>
      </c>
      <c r="EC924">
        <v>10</v>
      </c>
      <c r="EE924" t="s">
        <v>2338</v>
      </c>
      <c r="EF924">
        <v>10</v>
      </c>
      <c r="EU924">
        <v>5250</v>
      </c>
      <c r="EW924">
        <v>0</v>
      </c>
      <c r="EX924">
        <v>0</v>
      </c>
      <c r="EY924">
        <v>0</v>
      </c>
      <c r="FA924">
        <v>14</v>
      </c>
      <c r="FG924">
        <v>328</v>
      </c>
      <c r="FH924">
        <v>297</v>
      </c>
      <c r="FI924">
        <v>314</v>
      </c>
    </row>
    <row r="925" spans="1:165" x14ac:dyDescent="0.35">
      <c r="A925">
        <v>2025</v>
      </c>
      <c r="B925" t="s">
        <v>2303</v>
      </c>
      <c r="C925" t="s">
        <v>2304</v>
      </c>
      <c r="D925" t="s">
        <v>2335</v>
      </c>
      <c r="E925" t="s">
        <v>2306</v>
      </c>
      <c r="F925">
        <v>76</v>
      </c>
      <c r="G925">
        <v>0</v>
      </c>
      <c r="I925" t="s">
        <v>1734</v>
      </c>
      <c r="J925">
        <v>34</v>
      </c>
      <c r="K925">
        <v>38</v>
      </c>
      <c r="L925">
        <v>36</v>
      </c>
      <c r="M925">
        <v>23.993300000000001</v>
      </c>
      <c r="N925">
        <v>26.5321</v>
      </c>
      <c r="O925">
        <v>25.1358</v>
      </c>
      <c r="P925">
        <v>34.229399999999998</v>
      </c>
      <c r="Q925">
        <v>37.867899999999999</v>
      </c>
      <c r="R925">
        <v>35.866700000000002</v>
      </c>
      <c r="V925" t="s">
        <v>167</v>
      </c>
      <c r="W925" t="s">
        <v>168</v>
      </c>
      <c r="Y925">
        <v>1</v>
      </c>
      <c r="Z925" t="s">
        <v>170</v>
      </c>
      <c r="AA925" t="s">
        <v>170</v>
      </c>
      <c r="AB925" t="s">
        <v>167</v>
      </c>
      <c r="AC925" t="s">
        <v>213</v>
      </c>
      <c r="AF925">
        <v>314</v>
      </c>
      <c r="AG925" t="s">
        <v>1735</v>
      </c>
      <c r="AH925" t="s">
        <v>1736</v>
      </c>
      <c r="AI925" t="s">
        <v>1742</v>
      </c>
      <c r="AJ925" t="s">
        <v>1743</v>
      </c>
      <c r="AK925">
        <v>4</v>
      </c>
      <c r="AL925" t="s">
        <v>1737</v>
      </c>
      <c r="AS925">
        <v>850</v>
      </c>
      <c r="AT925">
        <v>850</v>
      </c>
      <c r="BQ925">
        <v>33</v>
      </c>
      <c r="BR925" t="s">
        <v>1497</v>
      </c>
      <c r="BT925" t="s">
        <v>1769</v>
      </c>
      <c r="BU925" s="1">
        <v>45597</v>
      </c>
      <c r="BV925">
        <v>35704</v>
      </c>
      <c r="BX925" t="s">
        <v>170</v>
      </c>
      <c r="BY925" t="s">
        <v>170</v>
      </c>
      <c r="CB925" t="s">
        <v>170</v>
      </c>
      <c r="CC925" t="s">
        <v>170</v>
      </c>
      <c r="CK925" t="s">
        <v>233</v>
      </c>
      <c r="CM925">
        <v>1</v>
      </c>
      <c r="CN925" t="s">
        <v>234</v>
      </c>
      <c r="CP925">
        <v>410</v>
      </c>
      <c r="CQ925">
        <v>239</v>
      </c>
      <c r="CR925">
        <v>175</v>
      </c>
      <c r="CS925" t="s">
        <v>235</v>
      </c>
      <c r="CV925" t="s">
        <v>341</v>
      </c>
      <c r="CX925" t="s">
        <v>342</v>
      </c>
      <c r="CY925" t="s">
        <v>170</v>
      </c>
      <c r="DC925" t="s">
        <v>2336</v>
      </c>
      <c r="DD925">
        <v>3</v>
      </c>
      <c r="DE925" t="s">
        <v>404</v>
      </c>
      <c r="DF925" t="s">
        <v>2310</v>
      </c>
      <c r="DG925">
        <v>230</v>
      </c>
      <c r="DL925" t="s">
        <v>170</v>
      </c>
      <c r="DM925" t="s">
        <v>169</v>
      </c>
      <c r="DP925" t="s">
        <v>170</v>
      </c>
      <c r="DQ925" t="s">
        <v>187</v>
      </c>
      <c r="DR925" t="s">
        <v>2337</v>
      </c>
      <c r="EB925">
        <v>9</v>
      </c>
      <c r="EC925">
        <v>10</v>
      </c>
      <c r="EE925" t="s">
        <v>2338</v>
      </c>
      <c r="EF925">
        <v>10</v>
      </c>
      <c r="EU925">
        <v>5250</v>
      </c>
      <c r="EW925">
        <v>0</v>
      </c>
      <c r="EX925">
        <v>0</v>
      </c>
      <c r="EY925">
        <v>0</v>
      </c>
      <c r="FA925">
        <v>14</v>
      </c>
      <c r="FG925">
        <v>328</v>
      </c>
      <c r="FH925">
        <v>297</v>
      </c>
      <c r="FI925">
        <v>314</v>
      </c>
    </row>
    <row r="926" spans="1:165" x14ac:dyDescent="0.35">
      <c r="A926" s="25"/>
      <c r="B926" s="25"/>
      <c r="C926" s="25"/>
      <c r="D926" s="25"/>
      <c r="E926" s="25"/>
      <c r="F926" s="25" t="str">
        <f>_xlfn.CONCAT($A927," ",$B927," ",$D927)</f>
        <v>2025 Toyota bZ4X</v>
      </c>
      <c r="G926" s="25"/>
      <c r="H926" s="25"/>
      <c r="I926" s="25"/>
      <c r="J926" s="25"/>
      <c r="K926" s="25"/>
      <c r="L926" s="25"/>
      <c r="M926" s="25"/>
      <c r="N926" s="25"/>
      <c r="O926" s="25"/>
      <c r="P926" s="25"/>
      <c r="Q926" s="25"/>
      <c r="R926" s="25"/>
      <c r="S926" s="25"/>
      <c r="T926" s="25"/>
      <c r="U926" s="25"/>
      <c r="V926" s="25"/>
      <c r="W926" s="25"/>
      <c r="X926" s="25"/>
      <c r="Y926" s="25"/>
      <c r="Z926" s="25"/>
      <c r="AA926" s="25"/>
      <c r="AB926" s="25"/>
      <c r="AC926" s="25"/>
      <c r="AD926" s="25" t="str">
        <f>_xlfn.CONCAT($A927," ",$B927," ",$D927)</f>
        <v>2025 Toyota bZ4X</v>
      </c>
      <c r="AE926" s="25"/>
      <c r="AF926" s="25"/>
      <c r="AG926" s="25"/>
      <c r="AH926" s="25"/>
      <c r="AI926" s="25"/>
      <c r="AJ926" s="25"/>
      <c r="AK926" s="25"/>
      <c r="AL926" s="25"/>
      <c r="AM926" s="25"/>
      <c r="AN926" s="25"/>
      <c r="AO926" s="25"/>
      <c r="AP926" s="25"/>
      <c r="AQ926" s="25"/>
      <c r="AR926" s="25"/>
      <c r="AS926" s="25"/>
      <c r="AT926" s="25"/>
      <c r="AU926" s="25"/>
      <c r="AV926" s="25"/>
      <c r="AW926" s="25"/>
      <c r="AX926" s="25" t="str">
        <f>_xlfn.CONCAT($A927," ",$B927," ",$D927)</f>
        <v>2025 Toyota bZ4X</v>
      </c>
      <c r="AY926" s="25"/>
      <c r="AZ926" s="25"/>
      <c r="BA926" s="25"/>
      <c r="BB926" s="25"/>
      <c r="BC926" s="25"/>
      <c r="BD926" s="25"/>
      <c r="BE926" s="25"/>
      <c r="BF926" s="25"/>
      <c r="BG926" s="25"/>
      <c r="BH926" s="25"/>
      <c r="BI926" s="25"/>
      <c r="BJ926" s="25"/>
      <c r="BK926" s="25"/>
      <c r="BL926" s="25"/>
      <c r="BM926" s="25"/>
      <c r="BN926" s="25"/>
      <c r="BO926" s="25"/>
      <c r="BP926" s="25"/>
      <c r="BQ926" s="25"/>
      <c r="BR926" s="25" t="str">
        <f>_xlfn.CONCAT($A927," ",$B927," ",$D927)</f>
        <v>2025 Toyota bZ4X</v>
      </c>
      <c r="BS926" s="25"/>
      <c r="BT926" s="25"/>
      <c r="BU926" s="25"/>
      <c r="BV926" s="25"/>
      <c r="BX926" s="25"/>
      <c r="BY926" s="25"/>
      <c r="BZ926" s="25"/>
      <c r="CA926" s="25"/>
      <c r="CB926" s="25"/>
      <c r="CC926" s="25"/>
      <c r="CD926" s="25"/>
      <c r="CE926" s="25"/>
      <c r="CF926" s="25"/>
      <c r="CG926" s="25"/>
      <c r="CH926" s="25"/>
      <c r="CI926" s="25"/>
      <c r="CJ926" s="25"/>
      <c r="CK926" s="25"/>
      <c r="CL926" s="25"/>
      <c r="CM926" s="25"/>
      <c r="CN926" s="25"/>
      <c r="CO926" s="25"/>
      <c r="CP926" s="25" t="str">
        <f>_xlfn.CONCAT($A927," ",$B927," ",$D927)</f>
        <v>2025 Toyota bZ4X</v>
      </c>
      <c r="CQ926" s="25"/>
      <c r="CR926" s="25"/>
      <c r="CS926" s="25"/>
      <c r="CT926" s="25"/>
      <c r="CU926" s="25"/>
      <c r="CV926" s="25"/>
      <c r="CW926" s="25"/>
      <c r="CX926" s="25"/>
      <c r="CY926" s="25"/>
      <c r="CZ926" s="25"/>
      <c r="DA926" s="25"/>
      <c r="DB926" s="25"/>
      <c r="DC926" s="25"/>
      <c r="DD926" s="25"/>
      <c r="DE926" s="25"/>
      <c r="DF926" s="25"/>
      <c r="DG926" s="25"/>
      <c r="DH926" s="25"/>
      <c r="DI926" s="25" t="str">
        <f>_xlfn.CONCAT($A927," ",$B927," ",$D927)</f>
        <v>2025 Toyota bZ4X</v>
      </c>
      <c r="DJ926" s="25"/>
      <c r="DK926" s="25"/>
      <c r="DL926" s="25"/>
      <c r="DM926" s="25"/>
      <c r="DN926" s="25"/>
      <c r="DO926" s="25"/>
      <c r="DP926" s="25"/>
      <c r="DQ926" s="25"/>
      <c r="DR926" s="25"/>
      <c r="DS926" s="25"/>
      <c r="DT926" s="25"/>
      <c r="DU926" s="25"/>
      <c r="DV926" s="25"/>
      <c r="DW926" s="25"/>
      <c r="DX926" s="25"/>
      <c r="DY926" s="25"/>
      <c r="DZ926" s="25" t="str">
        <f>_xlfn.CONCAT($A927," ",$B927," ",$D927)</f>
        <v>2025 Toyota bZ4X</v>
      </c>
      <c r="EB926" s="25"/>
      <c r="EC926" s="25"/>
      <c r="ED926" s="25"/>
      <c r="EE926" s="25"/>
      <c r="EF926" s="25"/>
      <c r="EG926" s="25"/>
      <c r="EH926" s="25"/>
      <c r="EI926" s="25"/>
      <c r="EJ926" s="25"/>
      <c r="EK926" s="25"/>
      <c r="EL926" s="25"/>
      <c r="EM926" s="25"/>
      <c r="EN926" s="25"/>
      <c r="EO926" s="25"/>
      <c r="EP926" s="25"/>
      <c r="EQ926" s="25"/>
      <c r="ER926" s="25"/>
      <c r="ES926" s="25"/>
      <c r="ET926" s="25"/>
      <c r="EU926" s="25"/>
      <c r="EV926" s="25" t="str">
        <f>_xlfn.CONCAT($A927," ",$B927," ",$D927)</f>
        <v>2025 Toyota bZ4X</v>
      </c>
      <c r="EW926" s="25"/>
      <c r="EX926" s="25"/>
      <c r="EY926" s="25"/>
      <c r="EZ926" s="25"/>
      <c r="FA926" s="25"/>
      <c r="FB926" s="25"/>
      <c r="FC926" s="25"/>
      <c r="FD926" s="25"/>
      <c r="FE926" s="25"/>
      <c r="FF926" s="25"/>
      <c r="FG926" s="25"/>
    </row>
    <row r="927" spans="1:165" x14ac:dyDescent="0.35">
      <c r="A927">
        <v>2025</v>
      </c>
      <c r="B927" t="s">
        <v>327</v>
      </c>
      <c r="C927" t="s">
        <v>317</v>
      </c>
      <c r="D927" t="s">
        <v>2349</v>
      </c>
      <c r="E927" t="s">
        <v>330</v>
      </c>
      <c r="F927">
        <v>108</v>
      </c>
      <c r="G927">
        <v>0</v>
      </c>
      <c r="I927" t="s">
        <v>1734</v>
      </c>
      <c r="J927">
        <v>131</v>
      </c>
      <c r="K927">
        <v>107</v>
      </c>
      <c r="L927">
        <v>119</v>
      </c>
      <c r="M927">
        <v>186.6</v>
      </c>
      <c r="N927">
        <v>153.4</v>
      </c>
      <c r="O927">
        <v>170.0394</v>
      </c>
      <c r="P927">
        <v>130.62</v>
      </c>
      <c r="Q927">
        <v>107.38</v>
      </c>
      <c r="R927">
        <v>119.02760000000001</v>
      </c>
      <c r="V927" t="s">
        <v>167</v>
      </c>
      <c r="W927" t="s">
        <v>168</v>
      </c>
      <c r="Y927">
        <v>1</v>
      </c>
      <c r="Z927" t="s">
        <v>170</v>
      </c>
      <c r="AA927" t="s">
        <v>170</v>
      </c>
      <c r="AB927" t="s">
        <v>351</v>
      </c>
      <c r="AC927" t="s">
        <v>352</v>
      </c>
      <c r="AF927">
        <v>252</v>
      </c>
      <c r="AG927" t="s">
        <v>1735</v>
      </c>
      <c r="AH927" t="s">
        <v>1736</v>
      </c>
      <c r="AI927" t="s">
        <v>175</v>
      </c>
      <c r="AJ927" t="s">
        <v>176</v>
      </c>
      <c r="AK927">
        <v>4</v>
      </c>
      <c r="AL927" t="s">
        <v>1737</v>
      </c>
      <c r="AS927">
        <v>700</v>
      </c>
      <c r="AT927">
        <v>0</v>
      </c>
      <c r="BQ927">
        <v>30</v>
      </c>
      <c r="BR927" t="s">
        <v>1099</v>
      </c>
      <c r="BT927" t="s">
        <v>1738</v>
      </c>
      <c r="BU927" s="1">
        <v>45643</v>
      </c>
      <c r="BV927">
        <v>35933</v>
      </c>
      <c r="BX927" t="s">
        <v>170</v>
      </c>
      <c r="BY927" t="s">
        <v>170</v>
      </c>
      <c r="CB927" t="s">
        <v>170</v>
      </c>
      <c r="CC927" t="s">
        <v>170</v>
      </c>
      <c r="CK927" t="s">
        <v>233</v>
      </c>
      <c r="CM927">
        <v>1</v>
      </c>
      <c r="CN927" t="s">
        <v>234</v>
      </c>
      <c r="CP927">
        <v>355</v>
      </c>
      <c r="CQ927">
        <v>201</v>
      </c>
      <c r="CR927">
        <v>251</v>
      </c>
      <c r="CS927" t="s">
        <v>235</v>
      </c>
      <c r="CV927" t="s">
        <v>341</v>
      </c>
      <c r="CX927" t="s">
        <v>729</v>
      </c>
      <c r="CY927" t="s">
        <v>170</v>
      </c>
      <c r="DD927">
        <v>1</v>
      </c>
      <c r="DE927" t="s">
        <v>404</v>
      </c>
      <c r="DF927" t="s">
        <v>638</v>
      </c>
      <c r="DG927">
        <v>150</v>
      </c>
      <c r="DL927" t="s">
        <v>170</v>
      </c>
      <c r="DM927" t="s">
        <v>169</v>
      </c>
      <c r="DP927" t="s">
        <v>170</v>
      </c>
      <c r="DQ927" t="s">
        <v>187</v>
      </c>
      <c r="DR927" t="s">
        <v>2048</v>
      </c>
      <c r="EB927">
        <v>9</v>
      </c>
      <c r="EC927">
        <v>10</v>
      </c>
      <c r="EE927" t="s">
        <v>2350</v>
      </c>
      <c r="EF927">
        <v>10</v>
      </c>
      <c r="EU927">
        <v>6250</v>
      </c>
      <c r="EW927">
        <v>0</v>
      </c>
      <c r="EX927">
        <v>0</v>
      </c>
      <c r="EY927">
        <v>0</v>
      </c>
      <c r="FA927">
        <v>11</v>
      </c>
      <c r="FG927">
        <v>274</v>
      </c>
      <c r="FH927">
        <v>225</v>
      </c>
      <c r="FI927">
        <v>252</v>
      </c>
    </row>
    <row r="928" spans="1:165" x14ac:dyDescent="0.35">
      <c r="A928">
        <v>2025</v>
      </c>
      <c r="B928" t="s">
        <v>327</v>
      </c>
      <c r="C928" t="s">
        <v>317</v>
      </c>
      <c r="D928" t="s">
        <v>2349</v>
      </c>
      <c r="E928" t="s">
        <v>330</v>
      </c>
      <c r="F928">
        <v>108</v>
      </c>
      <c r="G928">
        <v>0</v>
      </c>
      <c r="I928" t="s">
        <v>1734</v>
      </c>
      <c r="J928">
        <v>26</v>
      </c>
      <c r="K928">
        <v>31</v>
      </c>
      <c r="L928">
        <v>28</v>
      </c>
      <c r="M928">
        <v>18.064</v>
      </c>
      <c r="N928">
        <v>21.965699999999998</v>
      </c>
      <c r="O928">
        <v>19.819700000000001</v>
      </c>
      <c r="P928">
        <v>25.803899999999999</v>
      </c>
      <c r="Q928">
        <v>31.388500000000001</v>
      </c>
      <c r="R928">
        <v>28.317</v>
      </c>
      <c r="V928" t="s">
        <v>167</v>
      </c>
      <c r="W928" t="s">
        <v>168</v>
      </c>
      <c r="Y928">
        <v>1</v>
      </c>
      <c r="Z928" t="s">
        <v>170</v>
      </c>
      <c r="AA928" t="s">
        <v>170</v>
      </c>
      <c r="AB928" t="s">
        <v>351</v>
      </c>
      <c r="AC928" t="s">
        <v>352</v>
      </c>
      <c r="AF928">
        <v>252</v>
      </c>
      <c r="AG928" t="s">
        <v>1735</v>
      </c>
      <c r="AH928" t="s">
        <v>1736</v>
      </c>
      <c r="AI928" t="s">
        <v>1742</v>
      </c>
      <c r="AJ928" t="s">
        <v>1743</v>
      </c>
      <c r="AK928">
        <v>4</v>
      </c>
      <c r="AL928" t="s">
        <v>1737</v>
      </c>
      <c r="AS928">
        <v>650</v>
      </c>
      <c r="AT928">
        <v>650</v>
      </c>
      <c r="BQ928">
        <v>30</v>
      </c>
      <c r="BR928" t="s">
        <v>1099</v>
      </c>
      <c r="BT928" t="s">
        <v>1738</v>
      </c>
      <c r="BU928" s="1">
        <v>45643</v>
      </c>
      <c r="BV928">
        <v>35933</v>
      </c>
      <c r="BX928" t="s">
        <v>170</v>
      </c>
      <c r="BY928" t="s">
        <v>170</v>
      </c>
      <c r="CB928" t="s">
        <v>170</v>
      </c>
      <c r="CC928" t="s">
        <v>170</v>
      </c>
      <c r="CK928" t="s">
        <v>233</v>
      </c>
      <c r="CM928">
        <v>1</v>
      </c>
      <c r="CN928" t="s">
        <v>234</v>
      </c>
      <c r="CP928">
        <v>355</v>
      </c>
      <c r="CQ928">
        <v>201</v>
      </c>
      <c r="CR928">
        <v>251</v>
      </c>
      <c r="CS928" t="s">
        <v>235</v>
      </c>
      <c r="CV928" t="s">
        <v>341</v>
      </c>
      <c r="CX928" t="s">
        <v>729</v>
      </c>
      <c r="CY928" t="s">
        <v>170</v>
      </c>
      <c r="DD928">
        <v>1</v>
      </c>
      <c r="DE928" t="s">
        <v>404</v>
      </c>
      <c r="DF928" t="s">
        <v>638</v>
      </c>
      <c r="DG928">
        <v>150</v>
      </c>
      <c r="DL928" t="s">
        <v>170</v>
      </c>
      <c r="DM928" t="s">
        <v>169</v>
      </c>
      <c r="DP928" t="s">
        <v>170</v>
      </c>
      <c r="DQ928" t="s">
        <v>187</v>
      </c>
      <c r="DR928" t="s">
        <v>2048</v>
      </c>
      <c r="EB928">
        <v>9</v>
      </c>
      <c r="EC928">
        <v>10</v>
      </c>
      <c r="EE928" t="s">
        <v>2350</v>
      </c>
      <c r="EF928">
        <v>10</v>
      </c>
      <c r="EU928">
        <v>6250</v>
      </c>
      <c r="EW928">
        <v>0</v>
      </c>
      <c r="EX928">
        <v>0</v>
      </c>
      <c r="EY928">
        <v>0</v>
      </c>
      <c r="FA928">
        <v>11</v>
      </c>
      <c r="FG928">
        <v>274</v>
      </c>
      <c r="FH928">
        <v>225</v>
      </c>
      <c r="FI928">
        <v>252</v>
      </c>
    </row>
    <row r="929" spans="1:165" x14ac:dyDescent="0.35">
      <c r="A929" s="25"/>
      <c r="B929" s="25"/>
      <c r="C929" s="25"/>
      <c r="D929" s="25"/>
      <c r="E929" s="25"/>
      <c r="F929" s="25" t="str">
        <f>_xlfn.CONCAT($A930," ",$B930," ",$D930)</f>
        <v>2025 Toyota bZ4X LIMITED AWD</v>
      </c>
      <c r="G929" s="25"/>
      <c r="H929" s="25"/>
      <c r="I929" s="25"/>
      <c r="J929" s="25"/>
      <c r="K929" s="25"/>
      <c r="L929" s="25"/>
      <c r="M929" s="25"/>
      <c r="N929" s="25"/>
      <c r="O929" s="25"/>
      <c r="P929" s="25"/>
      <c r="Q929" s="25"/>
      <c r="R929" s="25"/>
      <c r="S929" s="25"/>
      <c r="T929" s="25"/>
      <c r="U929" s="25"/>
      <c r="V929" s="25"/>
      <c r="W929" s="25"/>
      <c r="X929" s="25"/>
      <c r="Y929" s="25"/>
      <c r="Z929" s="25"/>
      <c r="AA929" s="25"/>
      <c r="AB929" s="25"/>
      <c r="AC929" s="25"/>
      <c r="AD929" s="25" t="str">
        <f>_xlfn.CONCAT($A930," ",$B930," ",$D930)</f>
        <v>2025 Toyota bZ4X LIMITED AWD</v>
      </c>
      <c r="AE929" s="25"/>
      <c r="AF929" s="25"/>
      <c r="AG929" s="25"/>
      <c r="AH929" s="25"/>
      <c r="AI929" s="25"/>
      <c r="AJ929" s="25"/>
      <c r="AK929" s="25"/>
      <c r="AL929" s="25"/>
      <c r="AM929" s="25"/>
      <c r="AN929" s="25"/>
      <c r="AO929" s="25"/>
      <c r="AP929" s="25"/>
      <c r="AQ929" s="25"/>
      <c r="AR929" s="25"/>
      <c r="AS929" s="25"/>
      <c r="AT929" s="25"/>
      <c r="AU929" s="25"/>
      <c r="AV929" s="25"/>
      <c r="AW929" s="25"/>
      <c r="AX929" s="25" t="str">
        <f>_xlfn.CONCAT($A930," ",$B930," ",$D930)</f>
        <v>2025 Toyota bZ4X LIMITED AWD</v>
      </c>
      <c r="AY929" s="25"/>
      <c r="AZ929" s="25"/>
      <c r="BA929" s="25"/>
      <c r="BB929" s="25"/>
      <c r="BC929" s="25"/>
      <c r="BD929" s="25"/>
      <c r="BE929" s="25"/>
      <c r="BF929" s="25"/>
      <c r="BG929" s="25"/>
      <c r="BH929" s="25"/>
      <c r="BI929" s="25"/>
      <c r="BJ929" s="25"/>
      <c r="BK929" s="25"/>
      <c r="BL929" s="25"/>
      <c r="BM929" s="25"/>
      <c r="BN929" s="25"/>
      <c r="BO929" s="25"/>
      <c r="BP929" s="25"/>
      <c r="BQ929" s="25"/>
      <c r="BR929" s="25" t="str">
        <f>_xlfn.CONCAT($A930," ",$B930," ",$D930)</f>
        <v>2025 Toyota bZ4X LIMITED AWD</v>
      </c>
      <c r="BS929" s="25"/>
      <c r="BT929" s="25"/>
      <c r="BU929" s="25"/>
      <c r="BV929" s="25"/>
      <c r="BX929" s="25"/>
      <c r="BY929" s="25"/>
      <c r="BZ929" s="25"/>
      <c r="CA929" s="25"/>
      <c r="CB929" s="25"/>
      <c r="CC929" s="25"/>
      <c r="CD929" s="25"/>
      <c r="CE929" s="25"/>
      <c r="CF929" s="25"/>
      <c r="CG929" s="25"/>
      <c r="CH929" s="25"/>
      <c r="CI929" s="25"/>
      <c r="CJ929" s="25"/>
      <c r="CK929" s="25"/>
      <c r="CL929" s="25"/>
      <c r="CM929" s="25"/>
      <c r="CN929" s="25"/>
      <c r="CO929" s="25"/>
      <c r="CP929" s="25" t="str">
        <f>_xlfn.CONCAT($A930," ",$B930," ",$D930)</f>
        <v>2025 Toyota bZ4X LIMITED AWD</v>
      </c>
      <c r="CQ929" s="25"/>
      <c r="CR929" s="25"/>
      <c r="CS929" s="25"/>
      <c r="CT929" s="25"/>
      <c r="CU929" s="25"/>
      <c r="CV929" s="25"/>
      <c r="CW929" s="25"/>
      <c r="CX929" s="25"/>
      <c r="CY929" s="25"/>
      <c r="CZ929" s="25"/>
      <c r="DA929" s="25"/>
      <c r="DB929" s="25"/>
      <c r="DC929" s="25"/>
      <c r="DD929" s="25"/>
      <c r="DE929" s="25"/>
      <c r="DF929" s="25"/>
      <c r="DG929" s="25"/>
      <c r="DH929" s="25"/>
      <c r="DI929" s="25" t="str">
        <f>_xlfn.CONCAT($A930," ",$B930," ",$D930)</f>
        <v>2025 Toyota bZ4X LIMITED AWD</v>
      </c>
      <c r="DJ929" s="25"/>
      <c r="DK929" s="25"/>
      <c r="DL929" s="25"/>
      <c r="DM929" s="25"/>
      <c r="DN929" s="25"/>
      <c r="DO929" s="25"/>
      <c r="DP929" s="25"/>
      <c r="DQ929" s="25"/>
      <c r="DR929" s="25"/>
      <c r="DS929" s="25"/>
      <c r="DT929" s="25"/>
      <c r="DU929" s="25"/>
      <c r="DV929" s="25"/>
      <c r="DW929" s="25"/>
      <c r="DX929" s="25"/>
      <c r="DY929" s="25"/>
      <c r="DZ929" s="25" t="str">
        <f>_xlfn.CONCAT($A930," ",$B930," ",$D930)</f>
        <v>2025 Toyota bZ4X LIMITED AWD</v>
      </c>
      <c r="EB929" s="25"/>
      <c r="EC929" s="25"/>
      <c r="ED929" s="25"/>
      <c r="EE929" s="25"/>
      <c r="EF929" s="25"/>
      <c r="EG929" s="25"/>
      <c r="EH929" s="25"/>
      <c r="EI929" s="25"/>
      <c r="EJ929" s="25"/>
      <c r="EK929" s="25"/>
      <c r="EL929" s="25"/>
      <c r="EM929" s="25"/>
      <c r="EN929" s="25"/>
      <c r="EO929" s="25"/>
      <c r="EP929" s="25"/>
      <c r="EQ929" s="25"/>
      <c r="ER929" s="25"/>
      <c r="ES929" s="25"/>
      <c r="ET929" s="25"/>
      <c r="EU929" s="25"/>
      <c r="EV929" s="25" t="str">
        <f>_xlfn.CONCAT($A930," ",$B930," ",$D930)</f>
        <v>2025 Toyota bZ4X LIMITED AWD</v>
      </c>
      <c r="EW929" s="25"/>
      <c r="EX929" s="25"/>
      <c r="EY929" s="25"/>
      <c r="EZ929" s="25"/>
      <c r="FA929" s="25"/>
      <c r="FB929" s="25"/>
      <c r="FC929" s="25"/>
      <c r="FD929" s="25"/>
      <c r="FE929" s="25"/>
      <c r="FF929" s="25"/>
      <c r="FG929" s="25"/>
    </row>
    <row r="930" spans="1:165" x14ac:dyDescent="0.35">
      <c r="A930">
        <v>2025</v>
      </c>
      <c r="B930" t="s">
        <v>327</v>
      </c>
      <c r="C930" t="s">
        <v>317</v>
      </c>
      <c r="D930" t="s">
        <v>2354</v>
      </c>
      <c r="E930" t="s">
        <v>330</v>
      </c>
      <c r="F930">
        <v>113</v>
      </c>
      <c r="G930">
        <v>0</v>
      </c>
      <c r="I930" t="s">
        <v>1734</v>
      </c>
      <c r="J930">
        <v>112</v>
      </c>
      <c r="K930">
        <v>92</v>
      </c>
      <c r="L930">
        <v>102</v>
      </c>
      <c r="M930">
        <v>167.1</v>
      </c>
      <c r="N930">
        <v>138.4</v>
      </c>
      <c r="O930">
        <v>152.83770000000001</v>
      </c>
      <c r="P930">
        <v>112</v>
      </c>
      <c r="Q930">
        <v>92</v>
      </c>
      <c r="R930">
        <v>102</v>
      </c>
      <c r="V930" t="s">
        <v>167</v>
      </c>
      <c r="W930" t="s">
        <v>168</v>
      </c>
      <c r="Y930">
        <v>1</v>
      </c>
      <c r="Z930" t="s">
        <v>170</v>
      </c>
      <c r="AA930" t="s">
        <v>170</v>
      </c>
      <c r="AB930" t="s">
        <v>167</v>
      </c>
      <c r="AC930" t="s">
        <v>213</v>
      </c>
      <c r="AF930">
        <v>222</v>
      </c>
      <c r="AG930" t="s">
        <v>1735</v>
      </c>
      <c r="AH930" t="s">
        <v>1736</v>
      </c>
      <c r="AI930" t="s">
        <v>175</v>
      </c>
      <c r="AJ930" t="s">
        <v>176</v>
      </c>
      <c r="AK930">
        <v>4</v>
      </c>
      <c r="AL930" t="s">
        <v>1737</v>
      </c>
      <c r="AS930">
        <v>800</v>
      </c>
      <c r="AT930">
        <v>0</v>
      </c>
      <c r="BQ930">
        <v>31</v>
      </c>
      <c r="BR930" t="s">
        <v>1219</v>
      </c>
      <c r="BT930" t="s">
        <v>1738</v>
      </c>
      <c r="BU930" s="1">
        <v>45643</v>
      </c>
      <c r="BV930">
        <v>35934</v>
      </c>
      <c r="BX930" t="s">
        <v>169</v>
      </c>
      <c r="BY930" t="s">
        <v>170</v>
      </c>
      <c r="CB930" t="s">
        <v>170</v>
      </c>
      <c r="CC930" t="s">
        <v>170</v>
      </c>
      <c r="CK930" t="s">
        <v>233</v>
      </c>
      <c r="CM930">
        <v>1</v>
      </c>
      <c r="CN930" t="s">
        <v>234</v>
      </c>
      <c r="CP930">
        <v>355</v>
      </c>
      <c r="CQ930">
        <v>205</v>
      </c>
      <c r="CR930">
        <v>274</v>
      </c>
      <c r="CS930" t="s">
        <v>235</v>
      </c>
      <c r="CV930" t="s">
        <v>341</v>
      </c>
      <c r="CX930" t="s">
        <v>342</v>
      </c>
      <c r="CY930" t="s">
        <v>170</v>
      </c>
      <c r="DD930">
        <v>2</v>
      </c>
      <c r="DE930" t="s">
        <v>404</v>
      </c>
      <c r="DF930" t="s">
        <v>638</v>
      </c>
      <c r="DG930">
        <v>80</v>
      </c>
      <c r="DL930" t="s">
        <v>170</v>
      </c>
      <c r="DM930" t="s">
        <v>169</v>
      </c>
      <c r="DP930" t="s">
        <v>170</v>
      </c>
      <c r="DQ930" t="s">
        <v>187</v>
      </c>
      <c r="DR930" t="s">
        <v>2048</v>
      </c>
      <c r="EB930">
        <v>9</v>
      </c>
      <c r="EC930">
        <v>10</v>
      </c>
      <c r="EE930" t="s">
        <v>2301</v>
      </c>
      <c r="EF930">
        <v>10</v>
      </c>
      <c r="EU930">
        <v>5500</v>
      </c>
      <c r="EW930">
        <v>0</v>
      </c>
      <c r="EX930">
        <v>0</v>
      </c>
      <c r="EY930">
        <v>0</v>
      </c>
      <c r="FA930">
        <v>11</v>
      </c>
      <c r="FG930">
        <v>240</v>
      </c>
      <c r="FH930">
        <v>200</v>
      </c>
      <c r="FI930">
        <v>222</v>
      </c>
    </row>
    <row r="931" spans="1:165" x14ac:dyDescent="0.35">
      <c r="A931">
        <v>2025</v>
      </c>
      <c r="B931" t="s">
        <v>327</v>
      </c>
      <c r="C931" t="s">
        <v>317</v>
      </c>
      <c r="D931" t="s">
        <v>2354</v>
      </c>
      <c r="E931" t="s">
        <v>330</v>
      </c>
      <c r="F931">
        <v>113</v>
      </c>
      <c r="G931">
        <v>0</v>
      </c>
      <c r="I931" t="s">
        <v>1734</v>
      </c>
      <c r="J931">
        <v>29</v>
      </c>
      <c r="K931">
        <v>35</v>
      </c>
      <c r="L931">
        <v>32</v>
      </c>
      <c r="M931">
        <v>20.176400000000001</v>
      </c>
      <c r="N931">
        <v>24.3506</v>
      </c>
      <c r="O931">
        <v>22.0548</v>
      </c>
      <c r="P931">
        <v>29</v>
      </c>
      <c r="Q931">
        <v>35</v>
      </c>
      <c r="R931">
        <v>32</v>
      </c>
      <c r="V931" t="s">
        <v>167</v>
      </c>
      <c r="W931" t="s">
        <v>168</v>
      </c>
      <c r="Y931">
        <v>1</v>
      </c>
      <c r="Z931" t="s">
        <v>170</v>
      </c>
      <c r="AA931" t="s">
        <v>170</v>
      </c>
      <c r="AB931" t="s">
        <v>167</v>
      </c>
      <c r="AC931" t="s">
        <v>213</v>
      </c>
      <c r="AF931">
        <v>222</v>
      </c>
      <c r="AG931" t="s">
        <v>1735</v>
      </c>
      <c r="AH931" t="s">
        <v>1736</v>
      </c>
      <c r="AI931" t="s">
        <v>1742</v>
      </c>
      <c r="AJ931" t="s">
        <v>1743</v>
      </c>
      <c r="AK931">
        <v>4</v>
      </c>
      <c r="AL931" t="s">
        <v>1737</v>
      </c>
      <c r="AS931">
        <v>800</v>
      </c>
      <c r="AT931">
        <v>800</v>
      </c>
      <c r="BQ931">
        <v>31</v>
      </c>
      <c r="BR931" t="s">
        <v>1219</v>
      </c>
      <c r="BT931" t="s">
        <v>1738</v>
      </c>
      <c r="BU931" s="1">
        <v>45643</v>
      </c>
      <c r="BV931">
        <v>35934</v>
      </c>
      <c r="BX931" t="s">
        <v>169</v>
      </c>
      <c r="BY931" t="s">
        <v>170</v>
      </c>
      <c r="CB931" t="s">
        <v>170</v>
      </c>
      <c r="CC931" t="s">
        <v>170</v>
      </c>
      <c r="CK931" t="s">
        <v>233</v>
      </c>
      <c r="CM931">
        <v>1</v>
      </c>
      <c r="CN931" t="s">
        <v>234</v>
      </c>
      <c r="CP931">
        <v>355</v>
      </c>
      <c r="CQ931">
        <v>205</v>
      </c>
      <c r="CR931">
        <v>274</v>
      </c>
      <c r="CS931" t="s">
        <v>235</v>
      </c>
      <c r="CV931" t="s">
        <v>341</v>
      </c>
      <c r="CX931" t="s">
        <v>342</v>
      </c>
      <c r="CY931" t="s">
        <v>170</v>
      </c>
      <c r="DD931">
        <v>2</v>
      </c>
      <c r="DE931" t="s">
        <v>404</v>
      </c>
      <c r="DF931" t="s">
        <v>638</v>
      </c>
      <c r="DG931">
        <v>80</v>
      </c>
      <c r="DL931" t="s">
        <v>170</v>
      </c>
      <c r="DM931" t="s">
        <v>169</v>
      </c>
      <c r="DP931" t="s">
        <v>170</v>
      </c>
      <c r="DQ931" t="s">
        <v>187</v>
      </c>
      <c r="DR931" t="s">
        <v>2048</v>
      </c>
      <c r="EB931">
        <v>9</v>
      </c>
      <c r="EC931">
        <v>10</v>
      </c>
      <c r="EE931" t="s">
        <v>2301</v>
      </c>
      <c r="EF931">
        <v>10</v>
      </c>
      <c r="EU931">
        <v>5500</v>
      </c>
      <c r="EW931">
        <v>0</v>
      </c>
      <c r="EX931">
        <v>0</v>
      </c>
      <c r="EY931">
        <v>0</v>
      </c>
      <c r="FA931">
        <v>11</v>
      </c>
      <c r="FG931">
        <v>240</v>
      </c>
      <c r="FH931">
        <v>200</v>
      </c>
      <c r="FI931">
        <v>222</v>
      </c>
    </row>
    <row r="932" spans="1:165" x14ac:dyDescent="0.35">
      <c r="A932" s="25"/>
      <c r="B932" s="25"/>
      <c r="C932" s="25"/>
      <c r="D932" s="25"/>
      <c r="E932" s="25"/>
      <c r="F932" s="25" t="str">
        <f>_xlfn.CONCAT($A933," ",$B933," ",$D933)</f>
        <v>2025 Toyota bZ4X LIMITED</v>
      </c>
      <c r="G932" s="25"/>
      <c r="H932" s="25"/>
      <c r="I932" s="25"/>
      <c r="J932" s="25"/>
      <c r="K932" s="25"/>
      <c r="L932" s="25"/>
      <c r="M932" s="25"/>
      <c r="N932" s="25"/>
      <c r="O932" s="25"/>
      <c r="P932" s="25"/>
      <c r="Q932" s="25"/>
      <c r="R932" s="25"/>
      <c r="S932" s="25"/>
      <c r="T932" s="25"/>
      <c r="U932" s="25"/>
      <c r="V932" s="25"/>
      <c r="W932" s="25"/>
      <c r="X932" s="25"/>
      <c r="Y932" s="25"/>
      <c r="Z932" s="25"/>
      <c r="AA932" s="25"/>
      <c r="AB932" s="25"/>
      <c r="AC932" s="25"/>
      <c r="AD932" s="25" t="str">
        <f>_xlfn.CONCAT($A933," ",$B933," ",$D933)</f>
        <v>2025 Toyota bZ4X LIMITED</v>
      </c>
      <c r="AE932" s="25"/>
      <c r="AF932" s="25"/>
      <c r="AG932" s="25"/>
      <c r="AH932" s="25"/>
      <c r="AI932" s="25"/>
      <c r="AJ932" s="25"/>
      <c r="AK932" s="25"/>
      <c r="AL932" s="25"/>
      <c r="AM932" s="25"/>
      <c r="AN932" s="25"/>
      <c r="AO932" s="25"/>
      <c r="AP932" s="25"/>
      <c r="AQ932" s="25"/>
      <c r="AR932" s="25"/>
      <c r="AS932" s="25"/>
      <c r="AT932" s="25"/>
      <c r="AU932" s="25"/>
      <c r="AV932" s="25"/>
      <c r="AW932" s="25"/>
      <c r="AX932" s="25" t="str">
        <f>_xlfn.CONCAT($A933," ",$B933," ",$D933)</f>
        <v>2025 Toyota bZ4X LIMITED</v>
      </c>
      <c r="AY932" s="25"/>
      <c r="AZ932" s="25"/>
      <c r="BA932" s="25"/>
      <c r="BB932" s="25"/>
      <c r="BC932" s="25"/>
      <c r="BD932" s="25"/>
      <c r="BE932" s="25"/>
      <c r="BF932" s="25"/>
      <c r="BG932" s="25"/>
      <c r="BH932" s="25"/>
      <c r="BI932" s="25"/>
      <c r="BJ932" s="25"/>
      <c r="BK932" s="25"/>
      <c r="BL932" s="25"/>
      <c r="BM932" s="25"/>
      <c r="BN932" s="25"/>
      <c r="BO932" s="25"/>
      <c r="BP932" s="25"/>
      <c r="BQ932" s="25"/>
      <c r="BR932" s="25" t="str">
        <f>_xlfn.CONCAT($A933," ",$B933," ",$D933)</f>
        <v>2025 Toyota bZ4X LIMITED</v>
      </c>
      <c r="BS932" s="25"/>
      <c r="BT932" s="25"/>
      <c r="BU932" s="25"/>
      <c r="BV932" s="25"/>
      <c r="BX932" s="25"/>
      <c r="BY932" s="25"/>
      <c r="BZ932" s="25"/>
      <c r="CA932" s="25"/>
      <c r="CB932" s="25"/>
      <c r="CC932" s="25"/>
      <c r="CD932" s="25"/>
      <c r="CE932" s="25"/>
      <c r="CF932" s="25"/>
      <c r="CG932" s="25"/>
      <c r="CH932" s="25"/>
      <c r="CI932" s="25"/>
      <c r="CJ932" s="25"/>
      <c r="CK932" s="25"/>
      <c r="CL932" s="25"/>
      <c r="CM932" s="25"/>
      <c r="CN932" s="25"/>
      <c r="CO932" s="25"/>
      <c r="CP932" s="25" t="str">
        <f>_xlfn.CONCAT($A933," ",$B933," ",$D933)</f>
        <v>2025 Toyota bZ4X LIMITED</v>
      </c>
      <c r="CQ932" s="25"/>
      <c r="CR932" s="25"/>
      <c r="CS932" s="25"/>
      <c r="CT932" s="25"/>
      <c r="CU932" s="25"/>
      <c r="CV932" s="25"/>
      <c r="CW932" s="25"/>
      <c r="CX932" s="25"/>
      <c r="CY932" s="25"/>
      <c r="CZ932" s="25"/>
      <c r="DA932" s="25"/>
      <c r="DB932" s="25"/>
      <c r="DC932" s="25"/>
      <c r="DD932" s="25"/>
      <c r="DE932" s="25"/>
      <c r="DF932" s="25"/>
      <c r="DG932" s="25"/>
      <c r="DH932" s="25"/>
      <c r="DI932" s="25" t="str">
        <f>_xlfn.CONCAT($A933," ",$B933," ",$D933)</f>
        <v>2025 Toyota bZ4X LIMITED</v>
      </c>
      <c r="DJ932" s="25"/>
      <c r="DK932" s="25"/>
      <c r="DL932" s="25"/>
      <c r="DM932" s="25"/>
      <c r="DN932" s="25"/>
      <c r="DO932" s="25"/>
      <c r="DP932" s="25"/>
      <c r="DQ932" s="25"/>
      <c r="DR932" s="25"/>
      <c r="DS932" s="25"/>
      <c r="DT932" s="25"/>
      <c r="DU932" s="25"/>
      <c r="DV932" s="25"/>
      <c r="DW932" s="25"/>
      <c r="DX932" s="25"/>
      <c r="DY932" s="25"/>
      <c r="DZ932" s="25" t="str">
        <f>_xlfn.CONCAT($A933," ",$B933," ",$D933)</f>
        <v>2025 Toyota bZ4X LIMITED</v>
      </c>
      <c r="EB932" s="25"/>
      <c r="EC932" s="25"/>
      <c r="ED932" s="25"/>
      <c r="EE932" s="25"/>
      <c r="EF932" s="25"/>
      <c r="EG932" s="25"/>
      <c r="EH932" s="25"/>
      <c r="EI932" s="25"/>
      <c r="EJ932" s="25"/>
      <c r="EK932" s="25"/>
      <c r="EL932" s="25"/>
      <c r="EM932" s="25"/>
      <c r="EN932" s="25"/>
      <c r="EO932" s="25"/>
      <c r="EP932" s="25"/>
      <c r="EQ932" s="25"/>
      <c r="ER932" s="25"/>
      <c r="ES932" s="25"/>
      <c r="ET932" s="25"/>
      <c r="EU932" s="25"/>
      <c r="EV932" s="25" t="str">
        <f>_xlfn.CONCAT($A933," ",$B933," ",$D933)</f>
        <v>2025 Toyota bZ4X LIMITED</v>
      </c>
      <c r="EW932" s="25"/>
      <c r="EX932" s="25"/>
      <c r="EY932" s="25"/>
      <c r="EZ932" s="25"/>
      <c r="FA932" s="25"/>
      <c r="FB932" s="25"/>
      <c r="FC932" s="25"/>
      <c r="FD932" s="25"/>
      <c r="FE932" s="25"/>
      <c r="FF932" s="25"/>
      <c r="FG932" s="25"/>
    </row>
    <row r="933" spans="1:165" x14ac:dyDescent="0.35">
      <c r="A933">
        <v>2025</v>
      </c>
      <c r="B933" t="s">
        <v>327</v>
      </c>
      <c r="C933" t="s">
        <v>317</v>
      </c>
      <c r="D933" t="s">
        <v>2353</v>
      </c>
      <c r="E933" t="s">
        <v>330</v>
      </c>
      <c r="F933">
        <v>127</v>
      </c>
      <c r="G933">
        <v>0</v>
      </c>
      <c r="I933" t="s">
        <v>1734</v>
      </c>
      <c r="J933">
        <v>121</v>
      </c>
      <c r="K933">
        <v>102</v>
      </c>
      <c r="L933">
        <v>112</v>
      </c>
      <c r="M933">
        <v>173</v>
      </c>
      <c r="N933">
        <v>146.1</v>
      </c>
      <c r="O933">
        <v>159.76300000000001</v>
      </c>
      <c r="P933">
        <v>121.1</v>
      </c>
      <c r="Q933">
        <v>102.27</v>
      </c>
      <c r="R933">
        <v>111.83410000000001</v>
      </c>
      <c r="V933" t="s">
        <v>167</v>
      </c>
      <c r="W933" t="s">
        <v>168</v>
      </c>
      <c r="Y933">
        <v>1</v>
      </c>
      <c r="Z933" t="s">
        <v>170</v>
      </c>
      <c r="AA933" t="s">
        <v>170</v>
      </c>
      <c r="AB933" t="s">
        <v>351</v>
      </c>
      <c r="AC933" t="s">
        <v>352</v>
      </c>
      <c r="AF933">
        <v>236</v>
      </c>
      <c r="AG933" t="s">
        <v>1735</v>
      </c>
      <c r="AH933" t="s">
        <v>1736</v>
      </c>
      <c r="AI933" t="s">
        <v>175</v>
      </c>
      <c r="AJ933" t="s">
        <v>176</v>
      </c>
      <c r="AK933">
        <v>4</v>
      </c>
      <c r="AL933" t="s">
        <v>1737</v>
      </c>
      <c r="AS933">
        <v>700</v>
      </c>
      <c r="AT933">
        <v>0</v>
      </c>
      <c r="BQ933">
        <v>30</v>
      </c>
      <c r="BR933" t="s">
        <v>1099</v>
      </c>
      <c r="BT933" t="s">
        <v>1738</v>
      </c>
      <c r="BU933" s="1">
        <v>45643</v>
      </c>
      <c r="BV933">
        <v>35935</v>
      </c>
      <c r="BX933" t="s">
        <v>169</v>
      </c>
      <c r="BY933" t="s">
        <v>170</v>
      </c>
      <c r="CB933" t="s">
        <v>170</v>
      </c>
      <c r="CC933" t="s">
        <v>170</v>
      </c>
      <c r="CK933" t="s">
        <v>233</v>
      </c>
      <c r="CM933">
        <v>1</v>
      </c>
      <c r="CN933" t="s">
        <v>234</v>
      </c>
      <c r="CP933">
        <v>355</v>
      </c>
      <c r="CQ933">
        <v>201</v>
      </c>
      <c r="CR933">
        <v>251</v>
      </c>
      <c r="CS933" t="s">
        <v>235</v>
      </c>
      <c r="CV933" t="s">
        <v>341</v>
      </c>
      <c r="CX933" t="s">
        <v>729</v>
      </c>
      <c r="CY933" t="s">
        <v>170</v>
      </c>
      <c r="DD933">
        <v>1</v>
      </c>
      <c r="DE933" t="s">
        <v>404</v>
      </c>
      <c r="DF933" t="s">
        <v>638</v>
      </c>
      <c r="DG933">
        <v>150</v>
      </c>
      <c r="DL933" t="s">
        <v>170</v>
      </c>
      <c r="DM933" t="s">
        <v>169</v>
      </c>
      <c r="DP933" t="s">
        <v>170</v>
      </c>
      <c r="DQ933" t="s">
        <v>187</v>
      </c>
      <c r="DR933" t="s">
        <v>2048</v>
      </c>
      <c r="EB933">
        <v>9</v>
      </c>
      <c r="EC933">
        <v>10</v>
      </c>
      <c r="EE933" t="s">
        <v>2350</v>
      </c>
      <c r="EF933">
        <v>10</v>
      </c>
      <c r="EU933">
        <v>6000</v>
      </c>
      <c r="EW933">
        <v>0</v>
      </c>
      <c r="EX933">
        <v>0</v>
      </c>
      <c r="EY933">
        <v>0</v>
      </c>
      <c r="FA933">
        <v>11</v>
      </c>
      <c r="FG933">
        <v>254</v>
      </c>
      <c r="FH933">
        <v>214</v>
      </c>
      <c r="FI933">
        <v>236</v>
      </c>
    </row>
    <row r="934" spans="1:165" x14ac:dyDescent="0.35">
      <c r="A934">
        <v>2025</v>
      </c>
      <c r="B934" t="s">
        <v>327</v>
      </c>
      <c r="C934" t="s">
        <v>317</v>
      </c>
      <c r="D934" t="s">
        <v>2353</v>
      </c>
      <c r="E934" t="s">
        <v>330</v>
      </c>
      <c r="F934">
        <v>127</v>
      </c>
      <c r="G934">
        <v>0</v>
      </c>
      <c r="I934" t="s">
        <v>1734</v>
      </c>
      <c r="J934">
        <v>28</v>
      </c>
      <c r="K934">
        <v>33</v>
      </c>
      <c r="L934">
        <v>30</v>
      </c>
      <c r="M934">
        <v>19.479800000000001</v>
      </c>
      <c r="N934">
        <v>23.0625</v>
      </c>
      <c r="O934">
        <v>21.091999999999999</v>
      </c>
      <c r="P934">
        <v>27.8324</v>
      </c>
      <c r="Q934">
        <v>32.956899999999997</v>
      </c>
      <c r="R934">
        <v>30.138400000000001</v>
      </c>
      <c r="V934" t="s">
        <v>167</v>
      </c>
      <c r="W934" t="s">
        <v>168</v>
      </c>
      <c r="Y934">
        <v>1</v>
      </c>
      <c r="Z934" t="s">
        <v>170</v>
      </c>
      <c r="AA934" t="s">
        <v>170</v>
      </c>
      <c r="AB934" t="s">
        <v>351</v>
      </c>
      <c r="AC934" t="s">
        <v>352</v>
      </c>
      <c r="AF934">
        <v>236</v>
      </c>
      <c r="AG934" t="s">
        <v>1735</v>
      </c>
      <c r="AH934" t="s">
        <v>1736</v>
      </c>
      <c r="AI934" t="s">
        <v>1742</v>
      </c>
      <c r="AJ934" t="s">
        <v>1743</v>
      </c>
      <c r="AK934">
        <v>4</v>
      </c>
      <c r="AL934" t="s">
        <v>1737</v>
      </c>
      <c r="AS934">
        <v>700</v>
      </c>
      <c r="AT934">
        <v>700</v>
      </c>
      <c r="BQ934">
        <v>30</v>
      </c>
      <c r="BR934" t="s">
        <v>1099</v>
      </c>
      <c r="BT934" t="s">
        <v>1738</v>
      </c>
      <c r="BU934" s="1">
        <v>45643</v>
      </c>
      <c r="BV934">
        <v>35935</v>
      </c>
      <c r="BX934" t="s">
        <v>169</v>
      </c>
      <c r="BY934" t="s">
        <v>170</v>
      </c>
      <c r="CB934" t="s">
        <v>170</v>
      </c>
      <c r="CC934" t="s">
        <v>170</v>
      </c>
      <c r="CK934" t="s">
        <v>233</v>
      </c>
      <c r="CM934">
        <v>1</v>
      </c>
      <c r="CN934" t="s">
        <v>234</v>
      </c>
      <c r="CP934">
        <v>355</v>
      </c>
      <c r="CQ934">
        <v>201</v>
      </c>
      <c r="CR934">
        <v>251</v>
      </c>
      <c r="CS934" t="s">
        <v>235</v>
      </c>
      <c r="CV934" t="s">
        <v>341</v>
      </c>
      <c r="CX934" t="s">
        <v>729</v>
      </c>
      <c r="CY934" t="s">
        <v>170</v>
      </c>
      <c r="DD934">
        <v>1</v>
      </c>
      <c r="DE934" t="s">
        <v>404</v>
      </c>
      <c r="DF934" t="s">
        <v>638</v>
      </c>
      <c r="DG934">
        <v>150</v>
      </c>
      <c r="DL934" t="s">
        <v>170</v>
      </c>
      <c r="DM934" t="s">
        <v>169</v>
      </c>
      <c r="DP934" t="s">
        <v>170</v>
      </c>
      <c r="DQ934" t="s">
        <v>187</v>
      </c>
      <c r="DR934" t="s">
        <v>2048</v>
      </c>
      <c r="EB934">
        <v>9</v>
      </c>
      <c r="EC934">
        <v>10</v>
      </c>
      <c r="EE934" t="s">
        <v>2350</v>
      </c>
      <c r="EF934">
        <v>10</v>
      </c>
      <c r="EU934">
        <v>6000</v>
      </c>
      <c r="EW934">
        <v>0</v>
      </c>
      <c r="EX934">
        <v>0</v>
      </c>
      <c r="EY934">
        <v>0</v>
      </c>
      <c r="FA934">
        <v>11</v>
      </c>
      <c r="FG934">
        <v>254</v>
      </c>
      <c r="FH934">
        <v>214</v>
      </c>
      <c r="FI934">
        <v>236</v>
      </c>
    </row>
    <row r="935" spans="1:165" x14ac:dyDescent="0.35">
      <c r="A935" s="25"/>
      <c r="B935" s="25"/>
      <c r="C935" s="25"/>
      <c r="D935" s="25"/>
      <c r="E935" s="25"/>
      <c r="F935" s="25" t="str">
        <f>_xlfn.CONCAT($A936," ",$B936," ",$D936)</f>
        <v>2025 Toyota bZ4X AWD (18inch Wheels)</v>
      </c>
      <c r="G935" s="25"/>
      <c r="H935" s="25"/>
      <c r="I935" s="25"/>
      <c r="J935" s="25"/>
      <c r="K935" s="25"/>
      <c r="L935" s="25"/>
      <c r="M935" s="25"/>
      <c r="N935" s="25"/>
      <c r="O935" s="25"/>
      <c r="P935" s="25"/>
      <c r="Q935" s="25"/>
      <c r="R935" s="25"/>
      <c r="S935" s="25"/>
      <c r="T935" s="25"/>
      <c r="U935" s="25"/>
      <c r="V935" s="25"/>
      <c r="W935" s="25"/>
      <c r="X935" s="25"/>
      <c r="Y935" s="25"/>
      <c r="Z935" s="25"/>
      <c r="AA935" s="25"/>
      <c r="AB935" s="25"/>
      <c r="AC935" s="25"/>
      <c r="AD935" s="25" t="str">
        <f>_xlfn.CONCAT($A936," ",$B936," ",$D936)</f>
        <v>2025 Toyota bZ4X AWD (18inch Wheels)</v>
      </c>
      <c r="AE935" s="25"/>
      <c r="AF935" s="25"/>
      <c r="AG935" s="25"/>
      <c r="AH935" s="25"/>
      <c r="AI935" s="25"/>
      <c r="AJ935" s="25"/>
      <c r="AK935" s="25"/>
      <c r="AL935" s="25"/>
      <c r="AM935" s="25"/>
      <c r="AN935" s="25"/>
      <c r="AO935" s="25"/>
      <c r="AP935" s="25"/>
      <c r="AQ935" s="25"/>
      <c r="AR935" s="25"/>
      <c r="AS935" s="25"/>
      <c r="AT935" s="25"/>
      <c r="AU935" s="25"/>
      <c r="AV935" s="25"/>
      <c r="AW935" s="25"/>
      <c r="AX935" s="25" t="str">
        <f>_xlfn.CONCAT($A936," ",$B936," ",$D936)</f>
        <v>2025 Toyota bZ4X AWD (18inch Wheels)</v>
      </c>
      <c r="AY935" s="25"/>
      <c r="AZ935" s="25"/>
      <c r="BA935" s="25"/>
      <c r="BB935" s="25"/>
      <c r="BC935" s="25"/>
      <c r="BD935" s="25"/>
      <c r="BE935" s="25"/>
      <c r="BF935" s="25"/>
      <c r="BG935" s="25"/>
      <c r="BH935" s="25"/>
      <c r="BI935" s="25"/>
      <c r="BJ935" s="25"/>
      <c r="BK935" s="25"/>
      <c r="BL935" s="25"/>
      <c r="BM935" s="25"/>
      <c r="BN935" s="25"/>
      <c r="BO935" s="25"/>
      <c r="BP935" s="25"/>
      <c r="BQ935" s="25"/>
      <c r="BR935" s="25" t="str">
        <f>_xlfn.CONCAT($A936," ",$B936," ",$D936)</f>
        <v>2025 Toyota bZ4X AWD (18inch Wheels)</v>
      </c>
      <c r="BS935" s="25"/>
      <c r="BT935" s="25"/>
      <c r="BU935" s="25"/>
      <c r="BV935" s="25"/>
      <c r="BX935" s="25"/>
      <c r="BY935" s="25"/>
      <c r="BZ935" s="25"/>
      <c r="CA935" s="25"/>
      <c r="CB935" s="25"/>
      <c r="CC935" s="25"/>
      <c r="CD935" s="25"/>
      <c r="CE935" s="25"/>
      <c r="CF935" s="25"/>
      <c r="CG935" s="25"/>
      <c r="CH935" s="25"/>
      <c r="CI935" s="25"/>
      <c r="CJ935" s="25"/>
      <c r="CK935" s="25"/>
      <c r="CL935" s="25"/>
      <c r="CM935" s="25"/>
      <c r="CN935" s="25"/>
      <c r="CO935" s="25"/>
      <c r="CP935" s="25" t="str">
        <f>_xlfn.CONCAT($A936," ",$B936," ",$D936)</f>
        <v>2025 Toyota bZ4X AWD (18inch Wheels)</v>
      </c>
      <c r="CQ935" s="25"/>
      <c r="CR935" s="25"/>
      <c r="CS935" s="25"/>
      <c r="CT935" s="25"/>
      <c r="CU935" s="25"/>
      <c r="CV935" s="25"/>
      <c r="CW935" s="25"/>
      <c r="CX935" s="25"/>
      <c r="CY935" s="25"/>
      <c r="CZ935" s="25"/>
      <c r="DA935" s="25"/>
      <c r="DB935" s="25"/>
      <c r="DC935" s="25"/>
      <c r="DD935" s="25"/>
      <c r="DE935" s="25"/>
      <c r="DF935" s="25"/>
      <c r="DG935" s="25"/>
      <c r="DH935" s="25"/>
      <c r="DI935" s="25" t="str">
        <f>_xlfn.CONCAT($A936," ",$B936," ",$D936)</f>
        <v>2025 Toyota bZ4X AWD (18inch Wheels)</v>
      </c>
      <c r="DJ935" s="25"/>
      <c r="DK935" s="25"/>
      <c r="DL935" s="25"/>
      <c r="DM935" s="25"/>
      <c r="DN935" s="25"/>
      <c r="DO935" s="25"/>
      <c r="DP935" s="25"/>
      <c r="DQ935" s="25"/>
      <c r="DR935" s="25"/>
      <c r="DS935" s="25"/>
      <c r="DT935" s="25"/>
      <c r="DU935" s="25"/>
      <c r="DV935" s="25"/>
      <c r="DW935" s="25"/>
      <c r="DX935" s="25"/>
      <c r="DY935" s="25"/>
      <c r="DZ935" s="25" t="str">
        <f>_xlfn.CONCAT($A936," ",$B936," ",$D936)</f>
        <v>2025 Toyota bZ4X AWD (18inch Wheels)</v>
      </c>
      <c r="EB935" s="25"/>
      <c r="EC935" s="25"/>
      <c r="ED935" s="25"/>
      <c r="EE935" s="25"/>
      <c r="EF935" s="25"/>
      <c r="EG935" s="25"/>
      <c r="EH935" s="25"/>
      <c r="EI935" s="25"/>
      <c r="EJ935" s="25"/>
      <c r="EK935" s="25"/>
      <c r="EL935" s="25"/>
      <c r="EM935" s="25"/>
      <c r="EN935" s="25"/>
      <c r="EO935" s="25"/>
      <c r="EP935" s="25"/>
      <c r="EQ935" s="25"/>
      <c r="ER935" s="25"/>
      <c r="ES935" s="25"/>
      <c r="ET935" s="25"/>
      <c r="EU935" s="25"/>
      <c r="EV935" s="25" t="str">
        <f>_xlfn.CONCAT($A936," ",$B936," ",$D936)</f>
        <v>2025 Toyota bZ4X AWD (18inch Wheels)</v>
      </c>
      <c r="EW935" s="25"/>
      <c r="EX935" s="25"/>
      <c r="EY935" s="25"/>
      <c r="EZ935" s="25"/>
      <c r="FA935" s="25"/>
      <c r="FB935" s="25"/>
      <c r="FC935" s="25"/>
      <c r="FD935" s="25"/>
      <c r="FE935" s="25"/>
      <c r="FF935" s="25"/>
      <c r="FG935" s="25"/>
    </row>
    <row r="936" spans="1:165" x14ac:dyDescent="0.35">
      <c r="A936">
        <v>2025</v>
      </c>
      <c r="B936" t="s">
        <v>327</v>
      </c>
      <c r="C936" t="s">
        <v>317</v>
      </c>
      <c r="D936" t="s">
        <v>2351</v>
      </c>
      <c r="E936" t="s">
        <v>330</v>
      </c>
      <c r="F936">
        <v>147</v>
      </c>
      <c r="G936">
        <v>0</v>
      </c>
      <c r="I936" t="s">
        <v>1734</v>
      </c>
      <c r="J936">
        <v>114</v>
      </c>
      <c r="K936">
        <v>94</v>
      </c>
      <c r="L936">
        <v>104</v>
      </c>
      <c r="M936">
        <v>170.4</v>
      </c>
      <c r="N936">
        <v>140.4</v>
      </c>
      <c r="O936">
        <v>155.45259999999999</v>
      </c>
      <c r="P936">
        <v>114</v>
      </c>
      <c r="Q936">
        <v>94</v>
      </c>
      <c r="R936">
        <v>104</v>
      </c>
      <c r="V936" t="s">
        <v>167</v>
      </c>
      <c r="W936" t="s">
        <v>168</v>
      </c>
      <c r="Y936">
        <v>1</v>
      </c>
      <c r="Z936" t="s">
        <v>170</v>
      </c>
      <c r="AA936" t="s">
        <v>170</v>
      </c>
      <c r="AB936" t="s">
        <v>167</v>
      </c>
      <c r="AC936" t="s">
        <v>213</v>
      </c>
      <c r="AF936">
        <v>228</v>
      </c>
      <c r="AG936" t="s">
        <v>1735</v>
      </c>
      <c r="AH936" t="s">
        <v>1736</v>
      </c>
      <c r="AI936" t="s">
        <v>175</v>
      </c>
      <c r="AJ936" t="s">
        <v>176</v>
      </c>
      <c r="AK936">
        <v>4</v>
      </c>
      <c r="AL936" t="s">
        <v>1737</v>
      </c>
      <c r="AS936">
        <v>750</v>
      </c>
      <c r="AT936">
        <v>0</v>
      </c>
      <c r="BQ936">
        <v>31</v>
      </c>
      <c r="BR936" t="s">
        <v>1219</v>
      </c>
      <c r="BT936" t="s">
        <v>1738</v>
      </c>
      <c r="BU936" s="1">
        <v>45643</v>
      </c>
      <c r="BV936">
        <v>35936</v>
      </c>
      <c r="BX936" t="s">
        <v>170</v>
      </c>
      <c r="BY936" t="s">
        <v>170</v>
      </c>
      <c r="CB936" t="s">
        <v>170</v>
      </c>
      <c r="CC936" t="s">
        <v>170</v>
      </c>
      <c r="CK936" t="s">
        <v>233</v>
      </c>
      <c r="CM936">
        <v>1</v>
      </c>
      <c r="CN936" t="s">
        <v>234</v>
      </c>
      <c r="CP936">
        <v>355</v>
      </c>
      <c r="CQ936">
        <v>205</v>
      </c>
      <c r="CR936">
        <v>274</v>
      </c>
      <c r="CS936" t="s">
        <v>235</v>
      </c>
      <c r="CV936" t="s">
        <v>341</v>
      </c>
      <c r="CX936" t="s">
        <v>342</v>
      </c>
      <c r="CY936" t="s">
        <v>170</v>
      </c>
      <c r="DD936">
        <v>2</v>
      </c>
      <c r="DE936" t="s">
        <v>404</v>
      </c>
      <c r="DF936" t="s">
        <v>638</v>
      </c>
      <c r="DG936">
        <v>80</v>
      </c>
      <c r="DL936" t="s">
        <v>170</v>
      </c>
      <c r="DM936" t="s">
        <v>169</v>
      </c>
      <c r="DP936" t="s">
        <v>170</v>
      </c>
      <c r="DQ936" t="s">
        <v>187</v>
      </c>
      <c r="DR936" t="s">
        <v>2048</v>
      </c>
      <c r="EB936">
        <v>9</v>
      </c>
      <c r="EC936">
        <v>10</v>
      </c>
      <c r="EE936" t="s">
        <v>2301</v>
      </c>
      <c r="EF936">
        <v>10</v>
      </c>
      <c r="EU936">
        <v>5750</v>
      </c>
      <c r="EW936">
        <v>0</v>
      </c>
      <c r="EX936">
        <v>0</v>
      </c>
      <c r="EY936">
        <v>0</v>
      </c>
      <c r="FA936">
        <v>11</v>
      </c>
      <c r="FG936">
        <v>246</v>
      </c>
      <c r="FH936">
        <v>205</v>
      </c>
      <c r="FI936">
        <v>228</v>
      </c>
    </row>
    <row r="937" spans="1:165" x14ac:dyDescent="0.35">
      <c r="A937">
        <v>2025</v>
      </c>
      <c r="B937" t="s">
        <v>327</v>
      </c>
      <c r="C937" t="s">
        <v>317</v>
      </c>
      <c r="D937" t="s">
        <v>2351</v>
      </c>
      <c r="E937" t="s">
        <v>330</v>
      </c>
      <c r="F937">
        <v>147</v>
      </c>
      <c r="G937">
        <v>0</v>
      </c>
      <c r="I937" t="s">
        <v>1734</v>
      </c>
      <c r="J937">
        <v>28</v>
      </c>
      <c r="K937">
        <v>34</v>
      </c>
      <c r="L937">
        <v>31</v>
      </c>
      <c r="M937">
        <v>19.779499999999999</v>
      </c>
      <c r="N937">
        <v>24.008299999999998</v>
      </c>
      <c r="O937">
        <v>21.682500000000001</v>
      </c>
      <c r="P937">
        <v>28</v>
      </c>
      <c r="Q937">
        <v>34</v>
      </c>
      <c r="R937">
        <v>31</v>
      </c>
      <c r="V937" t="s">
        <v>167</v>
      </c>
      <c r="W937" t="s">
        <v>168</v>
      </c>
      <c r="Y937">
        <v>1</v>
      </c>
      <c r="Z937" t="s">
        <v>170</v>
      </c>
      <c r="AA937" t="s">
        <v>170</v>
      </c>
      <c r="AB937" t="s">
        <v>167</v>
      </c>
      <c r="AC937" t="s">
        <v>213</v>
      </c>
      <c r="AF937">
        <v>228</v>
      </c>
      <c r="AG937" t="s">
        <v>1735</v>
      </c>
      <c r="AH937" t="s">
        <v>1736</v>
      </c>
      <c r="AI937" t="s">
        <v>1742</v>
      </c>
      <c r="AJ937" t="s">
        <v>1743</v>
      </c>
      <c r="AK937">
        <v>4</v>
      </c>
      <c r="AL937" t="s">
        <v>1737</v>
      </c>
      <c r="AS937">
        <v>750</v>
      </c>
      <c r="AT937">
        <v>750</v>
      </c>
      <c r="BQ937">
        <v>31</v>
      </c>
      <c r="BR937" t="s">
        <v>1219</v>
      </c>
      <c r="BT937" t="s">
        <v>1738</v>
      </c>
      <c r="BU937" s="1">
        <v>45643</v>
      </c>
      <c r="BV937">
        <v>35936</v>
      </c>
      <c r="BX937" t="s">
        <v>170</v>
      </c>
      <c r="BY937" t="s">
        <v>170</v>
      </c>
      <c r="CB937" t="s">
        <v>170</v>
      </c>
      <c r="CC937" t="s">
        <v>170</v>
      </c>
      <c r="CK937" t="s">
        <v>233</v>
      </c>
      <c r="CM937">
        <v>1</v>
      </c>
      <c r="CN937" t="s">
        <v>234</v>
      </c>
      <c r="CP937">
        <v>355</v>
      </c>
      <c r="CQ937">
        <v>205</v>
      </c>
      <c r="CR937">
        <v>274</v>
      </c>
      <c r="CS937" t="s">
        <v>235</v>
      </c>
      <c r="CV937" t="s">
        <v>341</v>
      </c>
      <c r="CX937" t="s">
        <v>342</v>
      </c>
      <c r="CY937" t="s">
        <v>170</v>
      </c>
      <c r="DD937">
        <v>2</v>
      </c>
      <c r="DE937" t="s">
        <v>404</v>
      </c>
      <c r="DF937" t="s">
        <v>638</v>
      </c>
      <c r="DG937">
        <v>80</v>
      </c>
      <c r="DL937" t="s">
        <v>170</v>
      </c>
      <c r="DM937" t="s">
        <v>169</v>
      </c>
      <c r="DP937" t="s">
        <v>170</v>
      </c>
      <c r="DQ937" t="s">
        <v>187</v>
      </c>
      <c r="DR937" t="s">
        <v>2048</v>
      </c>
      <c r="EB937">
        <v>9</v>
      </c>
      <c r="EC937">
        <v>10</v>
      </c>
      <c r="EE937" t="s">
        <v>2301</v>
      </c>
      <c r="EF937">
        <v>10</v>
      </c>
      <c r="EU937">
        <v>5750</v>
      </c>
      <c r="EW937">
        <v>0</v>
      </c>
      <c r="EX937">
        <v>0</v>
      </c>
      <c r="EY937">
        <v>0</v>
      </c>
      <c r="FA937">
        <v>11</v>
      </c>
      <c r="FG937">
        <v>246</v>
      </c>
      <c r="FH937">
        <v>205</v>
      </c>
      <c r="FI937">
        <v>228</v>
      </c>
    </row>
    <row r="938" spans="1:165" x14ac:dyDescent="0.35">
      <c r="A938" s="25"/>
      <c r="B938" s="25"/>
      <c r="C938" s="25"/>
      <c r="D938" s="25"/>
      <c r="E938" s="25"/>
      <c r="F938" s="25" t="str">
        <f>_xlfn.CONCAT($A939," ",$B939," ",$D939)</f>
        <v>2025 Toyota bZ4X AWD (20inch Wheels)</v>
      </c>
      <c r="G938" s="25"/>
      <c r="H938" s="25"/>
      <c r="I938" s="25"/>
      <c r="J938" s="25"/>
      <c r="K938" s="25"/>
      <c r="L938" s="25"/>
      <c r="M938" s="25"/>
      <c r="N938" s="25"/>
      <c r="O938" s="25"/>
      <c r="P938" s="25"/>
      <c r="Q938" s="25"/>
      <c r="R938" s="25"/>
      <c r="S938" s="25"/>
      <c r="T938" s="25"/>
      <c r="U938" s="25"/>
      <c r="V938" s="25"/>
      <c r="W938" s="25"/>
      <c r="X938" s="25"/>
      <c r="Y938" s="25"/>
      <c r="Z938" s="25"/>
      <c r="AA938" s="25"/>
      <c r="AB938" s="25"/>
      <c r="AC938" s="25"/>
      <c r="AD938" s="25" t="str">
        <f>_xlfn.CONCAT($A939," ",$B939," ",$D939)</f>
        <v>2025 Toyota bZ4X AWD (20inch Wheels)</v>
      </c>
      <c r="AE938" s="25"/>
      <c r="AF938" s="25"/>
      <c r="AG938" s="25"/>
      <c r="AH938" s="25"/>
      <c r="AI938" s="25"/>
      <c r="AJ938" s="25"/>
      <c r="AK938" s="25"/>
      <c r="AL938" s="25"/>
      <c r="AM938" s="25"/>
      <c r="AN938" s="25"/>
      <c r="AO938" s="25"/>
      <c r="AP938" s="25"/>
      <c r="AQ938" s="25"/>
      <c r="AR938" s="25"/>
      <c r="AS938" s="25"/>
      <c r="AT938" s="25"/>
      <c r="AU938" s="25"/>
      <c r="AV938" s="25"/>
      <c r="AW938" s="25"/>
      <c r="AX938" s="25" t="str">
        <f>_xlfn.CONCAT($A939," ",$B939," ",$D939)</f>
        <v>2025 Toyota bZ4X AWD (20inch Wheels)</v>
      </c>
      <c r="AY938" s="25"/>
      <c r="AZ938" s="25"/>
      <c r="BA938" s="25"/>
      <c r="BB938" s="25"/>
      <c r="BC938" s="25"/>
      <c r="BD938" s="25"/>
      <c r="BE938" s="25"/>
      <c r="BF938" s="25"/>
      <c r="BG938" s="25"/>
      <c r="BH938" s="25"/>
      <c r="BI938" s="25"/>
      <c r="BJ938" s="25"/>
      <c r="BK938" s="25"/>
      <c r="BL938" s="25"/>
      <c r="BM938" s="25"/>
      <c r="BN938" s="25"/>
      <c r="BO938" s="25"/>
      <c r="BP938" s="25"/>
      <c r="BQ938" s="25"/>
      <c r="BR938" s="25" t="str">
        <f>_xlfn.CONCAT($A939," ",$B939," ",$D939)</f>
        <v>2025 Toyota bZ4X AWD (20inch Wheels)</v>
      </c>
      <c r="BS938" s="25"/>
      <c r="BT938" s="25"/>
      <c r="BU938" s="25"/>
      <c r="BV938" s="25"/>
      <c r="BX938" s="25"/>
      <c r="BY938" s="25"/>
      <c r="BZ938" s="25"/>
      <c r="CA938" s="25"/>
      <c r="CB938" s="25"/>
      <c r="CC938" s="25"/>
      <c r="CD938" s="25"/>
      <c r="CE938" s="25"/>
      <c r="CF938" s="25"/>
      <c r="CG938" s="25"/>
      <c r="CH938" s="25"/>
      <c r="CI938" s="25"/>
      <c r="CJ938" s="25"/>
      <c r="CK938" s="25"/>
      <c r="CL938" s="25"/>
      <c r="CM938" s="25"/>
      <c r="CN938" s="25"/>
      <c r="CO938" s="25"/>
      <c r="CP938" s="25" t="str">
        <f>_xlfn.CONCAT($A939," ",$B939," ",$D939)</f>
        <v>2025 Toyota bZ4X AWD (20inch Wheels)</v>
      </c>
      <c r="CQ938" s="25"/>
      <c r="CR938" s="25"/>
      <c r="CS938" s="25"/>
      <c r="CT938" s="25"/>
      <c r="CU938" s="25"/>
      <c r="CV938" s="25"/>
      <c r="CW938" s="25"/>
      <c r="CX938" s="25"/>
      <c r="CY938" s="25"/>
      <c r="CZ938" s="25"/>
      <c r="DA938" s="25"/>
      <c r="DB938" s="25"/>
      <c r="DC938" s="25"/>
      <c r="DD938" s="25"/>
      <c r="DE938" s="25"/>
      <c r="DF938" s="25"/>
      <c r="DG938" s="25"/>
      <c r="DH938" s="25"/>
      <c r="DI938" s="25" t="str">
        <f>_xlfn.CONCAT($A939," ",$B939," ",$D939)</f>
        <v>2025 Toyota bZ4X AWD (20inch Wheels)</v>
      </c>
      <c r="DJ938" s="25"/>
      <c r="DK938" s="25"/>
      <c r="DL938" s="25"/>
      <c r="DM938" s="25"/>
      <c r="DN938" s="25"/>
      <c r="DO938" s="25"/>
      <c r="DP938" s="25"/>
      <c r="DQ938" s="25"/>
      <c r="DR938" s="25"/>
      <c r="DS938" s="25"/>
      <c r="DT938" s="25"/>
      <c r="DU938" s="25"/>
      <c r="DV938" s="25"/>
      <c r="DW938" s="25"/>
      <c r="DX938" s="25"/>
      <c r="DY938" s="25"/>
      <c r="DZ938" s="25" t="str">
        <f>_xlfn.CONCAT($A939," ",$B939," ",$D939)</f>
        <v>2025 Toyota bZ4X AWD (20inch Wheels)</v>
      </c>
      <c r="EB938" s="25"/>
      <c r="EC938" s="25"/>
      <c r="ED938" s="25"/>
      <c r="EE938" s="25"/>
      <c r="EF938" s="25"/>
      <c r="EG938" s="25"/>
      <c r="EH938" s="25"/>
      <c r="EI938" s="25"/>
      <c r="EJ938" s="25"/>
      <c r="EK938" s="25"/>
      <c r="EL938" s="25"/>
      <c r="EM938" s="25"/>
      <c r="EN938" s="25"/>
      <c r="EO938" s="25"/>
      <c r="EP938" s="25"/>
      <c r="EQ938" s="25"/>
      <c r="ER938" s="25"/>
      <c r="ES938" s="25"/>
      <c r="ET938" s="25"/>
      <c r="EU938" s="25"/>
      <c r="EV938" s="25" t="str">
        <f>_xlfn.CONCAT($A939," ",$B939," ",$D939)</f>
        <v>2025 Toyota bZ4X AWD (20inch Wheels)</v>
      </c>
      <c r="EW938" s="25"/>
      <c r="EX938" s="25"/>
      <c r="EY938" s="25"/>
      <c r="EZ938" s="25"/>
      <c r="FA938" s="25"/>
      <c r="FB938" s="25"/>
      <c r="FC938" s="25"/>
      <c r="FD938" s="25"/>
      <c r="FE938" s="25"/>
      <c r="FF938" s="25"/>
      <c r="FG938" s="25"/>
    </row>
    <row r="939" spans="1:165" x14ac:dyDescent="0.35">
      <c r="A939">
        <v>2025</v>
      </c>
      <c r="B939" t="s">
        <v>327</v>
      </c>
      <c r="C939" t="s">
        <v>317</v>
      </c>
      <c r="D939" t="s">
        <v>2352</v>
      </c>
      <c r="E939" t="s">
        <v>330</v>
      </c>
      <c r="F939">
        <v>152</v>
      </c>
      <c r="G939">
        <v>0</v>
      </c>
      <c r="I939" t="s">
        <v>1734</v>
      </c>
      <c r="J939">
        <v>112</v>
      </c>
      <c r="K939">
        <v>92</v>
      </c>
      <c r="L939">
        <v>102</v>
      </c>
      <c r="M939">
        <v>167.1</v>
      </c>
      <c r="N939">
        <v>138.4</v>
      </c>
      <c r="O939">
        <v>152.83770000000001</v>
      </c>
      <c r="P939">
        <v>112</v>
      </c>
      <c r="Q939">
        <v>92</v>
      </c>
      <c r="R939">
        <v>102</v>
      </c>
      <c r="V939" t="s">
        <v>167</v>
      </c>
      <c r="W939" t="s">
        <v>168</v>
      </c>
      <c r="Y939">
        <v>1</v>
      </c>
      <c r="Z939" t="s">
        <v>170</v>
      </c>
      <c r="AA939" t="s">
        <v>170</v>
      </c>
      <c r="AB939" t="s">
        <v>167</v>
      </c>
      <c r="AC939" t="s">
        <v>213</v>
      </c>
      <c r="AF939">
        <v>222</v>
      </c>
      <c r="AG939" t="s">
        <v>1735</v>
      </c>
      <c r="AH939" t="s">
        <v>1736</v>
      </c>
      <c r="AI939" t="s">
        <v>175</v>
      </c>
      <c r="AJ939" t="s">
        <v>176</v>
      </c>
      <c r="AK939">
        <v>4</v>
      </c>
      <c r="AL939" t="s">
        <v>1737</v>
      </c>
      <c r="AS939">
        <v>800</v>
      </c>
      <c r="AT939">
        <v>0</v>
      </c>
      <c r="BQ939">
        <v>31</v>
      </c>
      <c r="BR939" t="s">
        <v>1219</v>
      </c>
      <c r="BT939" t="s">
        <v>1738</v>
      </c>
      <c r="BU939" s="1">
        <v>45643</v>
      </c>
      <c r="BV939">
        <v>35941</v>
      </c>
      <c r="BX939" t="s">
        <v>169</v>
      </c>
      <c r="BY939" t="s">
        <v>170</v>
      </c>
      <c r="CB939" t="s">
        <v>170</v>
      </c>
      <c r="CC939" t="s">
        <v>170</v>
      </c>
      <c r="CK939" t="s">
        <v>233</v>
      </c>
      <c r="CM939">
        <v>1</v>
      </c>
      <c r="CN939" t="s">
        <v>234</v>
      </c>
      <c r="CP939">
        <v>355</v>
      </c>
      <c r="CQ939">
        <v>205</v>
      </c>
      <c r="CR939">
        <v>274</v>
      </c>
      <c r="CS939" t="s">
        <v>235</v>
      </c>
      <c r="CV939" t="s">
        <v>341</v>
      </c>
      <c r="CX939" t="s">
        <v>342</v>
      </c>
      <c r="CY939" t="s">
        <v>170</v>
      </c>
      <c r="DD939">
        <v>2</v>
      </c>
      <c r="DE939" t="s">
        <v>404</v>
      </c>
      <c r="DF939" t="s">
        <v>638</v>
      </c>
      <c r="DG939">
        <v>80</v>
      </c>
      <c r="DL939" t="s">
        <v>170</v>
      </c>
      <c r="DM939" t="s">
        <v>169</v>
      </c>
      <c r="DP939" t="s">
        <v>170</v>
      </c>
      <c r="DQ939" t="s">
        <v>187</v>
      </c>
      <c r="DR939" t="s">
        <v>2048</v>
      </c>
      <c r="EB939">
        <v>9</v>
      </c>
      <c r="EC939">
        <v>10</v>
      </c>
      <c r="EE939" t="s">
        <v>2301</v>
      </c>
      <c r="EF939">
        <v>10</v>
      </c>
      <c r="EU939">
        <v>5500</v>
      </c>
      <c r="EW939">
        <v>0</v>
      </c>
      <c r="EX939">
        <v>0</v>
      </c>
      <c r="EY939">
        <v>0</v>
      </c>
      <c r="FA939">
        <v>11</v>
      </c>
      <c r="FG939">
        <v>240</v>
      </c>
      <c r="FH939">
        <v>200</v>
      </c>
      <c r="FI939">
        <v>222</v>
      </c>
    </row>
    <row r="940" spans="1:165" x14ac:dyDescent="0.35">
      <c r="A940">
        <v>2025</v>
      </c>
      <c r="B940" t="s">
        <v>327</v>
      </c>
      <c r="C940" t="s">
        <v>317</v>
      </c>
      <c r="D940" t="s">
        <v>2352</v>
      </c>
      <c r="E940" t="s">
        <v>330</v>
      </c>
      <c r="F940">
        <v>152</v>
      </c>
      <c r="G940">
        <v>0</v>
      </c>
      <c r="I940" t="s">
        <v>1734</v>
      </c>
      <c r="J940">
        <v>29</v>
      </c>
      <c r="K940">
        <v>35</v>
      </c>
      <c r="L940">
        <v>32</v>
      </c>
      <c r="M940">
        <v>20.176400000000001</v>
      </c>
      <c r="N940">
        <v>24.3506</v>
      </c>
      <c r="O940">
        <v>22.0548</v>
      </c>
      <c r="P940">
        <v>29</v>
      </c>
      <c r="Q940">
        <v>35</v>
      </c>
      <c r="R940">
        <v>32</v>
      </c>
      <c r="V940" t="s">
        <v>167</v>
      </c>
      <c r="W940" t="s">
        <v>168</v>
      </c>
      <c r="Y940">
        <v>1</v>
      </c>
      <c r="Z940" t="s">
        <v>170</v>
      </c>
      <c r="AA940" t="s">
        <v>170</v>
      </c>
      <c r="AB940" t="s">
        <v>167</v>
      </c>
      <c r="AC940" t="s">
        <v>213</v>
      </c>
      <c r="AF940">
        <v>222</v>
      </c>
      <c r="AG940" t="s">
        <v>1735</v>
      </c>
      <c r="AH940" t="s">
        <v>1736</v>
      </c>
      <c r="AI940" t="s">
        <v>1742</v>
      </c>
      <c r="AJ940" t="s">
        <v>1743</v>
      </c>
      <c r="AK940">
        <v>4</v>
      </c>
      <c r="AL940" t="s">
        <v>1737</v>
      </c>
      <c r="AS940">
        <v>800</v>
      </c>
      <c r="AT940">
        <v>800</v>
      </c>
      <c r="BQ940">
        <v>31</v>
      </c>
      <c r="BR940" t="s">
        <v>1219</v>
      </c>
      <c r="BT940" t="s">
        <v>1738</v>
      </c>
      <c r="BU940" s="1">
        <v>45643</v>
      </c>
      <c r="BV940">
        <v>35941</v>
      </c>
      <c r="BX940" t="s">
        <v>169</v>
      </c>
      <c r="BY940" t="s">
        <v>170</v>
      </c>
      <c r="CB940" t="s">
        <v>170</v>
      </c>
      <c r="CC940" t="s">
        <v>170</v>
      </c>
      <c r="CK940" t="s">
        <v>233</v>
      </c>
      <c r="CM940">
        <v>1</v>
      </c>
      <c r="CN940" t="s">
        <v>234</v>
      </c>
      <c r="CP940">
        <v>355</v>
      </c>
      <c r="CQ940">
        <v>205</v>
      </c>
      <c r="CR940">
        <v>274</v>
      </c>
      <c r="CS940" t="s">
        <v>235</v>
      </c>
      <c r="CV940" t="s">
        <v>341</v>
      </c>
      <c r="CX940" t="s">
        <v>342</v>
      </c>
      <c r="CY940" t="s">
        <v>170</v>
      </c>
      <c r="DD940">
        <v>2</v>
      </c>
      <c r="DE940" t="s">
        <v>404</v>
      </c>
      <c r="DF940" t="s">
        <v>638</v>
      </c>
      <c r="DG940">
        <v>80</v>
      </c>
      <c r="DL940" t="s">
        <v>170</v>
      </c>
      <c r="DM940" t="s">
        <v>169</v>
      </c>
      <c r="DP940" t="s">
        <v>170</v>
      </c>
      <c r="DQ940" t="s">
        <v>187</v>
      </c>
      <c r="DR940" t="s">
        <v>2048</v>
      </c>
      <c r="EB940">
        <v>9</v>
      </c>
      <c r="EC940">
        <v>10</v>
      </c>
      <c r="EE940" t="s">
        <v>2301</v>
      </c>
      <c r="EF940">
        <v>10</v>
      </c>
      <c r="EU940">
        <v>5500</v>
      </c>
      <c r="EW940">
        <v>0</v>
      </c>
      <c r="EX940">
        <v>0</v>
      </c>
      <c r="EY940">
        <v>0</v>
      </c>
      <c r="FA940">
        <v>11</v>
      </c>
      <c r="FG940">
        <v>240</v>
      </c>
      <c r="FH940">
        <v>200</v>
      </c>
      <c r="FI940">
        <v>222</v>
      </c>
    </row>
    <row r="941" spans="1:165" x14ac:dyDescent="0.35">
      <c r="A941" s="25"/>
      <c r="B941" s="25"/>
      <c r="C941" s="25"/>
      <c r="D941" s="25"/>
      <c r="E941" s="25"/>
      <c r="F941" s="25" t="str">
        <f>_xlfn.CONCAT($A942," ",$B942," ",$D942)</f>
        <v>2025 Volkswagen Group of ID.4 AWD Pro S</v>
      </c>
      <c r="G941" s="25"/>
      <c r="H941" s="25"/>
      <c r="I941" s="25"/>
      <c r="J941" s="25"/>
      <c r="K941" s="25"/>
      <c r="L941" s="25"/>
      <c r="M941" s="25"/>
      <c r="N941" s="25"/>
      <c r="O941" s="25"/>
      <c r="P941" s="25"/>
      <c r="Q941" s="25"/>
      <c r="R941" s="25"/>
      <c r="S941" s="25"/>
      <c r="T941" s="25"/>
      <c r="U941" s="25"/>
      <c r="V941" s="25"/>
      <c r="W941" s="25"/>
      <c r="X941" s="25"/>
      <c r="Y941" s="25"/>
      <c r="Z941" s="25"/>
      <c r="AA941" s="25"/>
      <c r="AB941" s="25"/>
      <c r="AC941" s="25"/>
      <c r="AD941" s="25" t="str">
        <f>_xlfn.CONCAT($A942," ",$B942," ",$D942)</f>
        <v>2025 Volkswagen Group of ID.4 AWD Pro S</v>
      </c>
      <c r="AE941" s="25"/>
      <c r="AF941" s="25"/>
      <c r="AG941" s="25"/>
      <c r="AH941" s="25"/>
      <c r="AI941" s="25"/>
      <c r="AJ941" s="25"/>
      <c r="AK941" s="25"/>
      <c r="AL941" s="25"/>
      <c r="AM941" s="25"/>
      <c r="AN941" s="25"/>
      <c r="AO941" s="25"/>
      <c r="AP941" s="25"/>
      <c r="AQ941" s="25"/>
      <c r="AR941" s="25"/>
      <c r="AS941" s="25"/>
      <c r="AT941" s="25"/>
      <c r="AU941" s="25"/>
      <c r="AV941" s="25"/>
      <c r="AW941" s="25"/>
      <c r="AX941" s="25" t="str">
        <f>_xlfn.CONCAT($A942," ",$B942," ",$D942)</f>
        <v>2025 Volkswagen Group of ID.4 AWD Pro S</v>
      </c>
      <c r="AY941" s="25"/>
      <c r="AZ941" s="25"/>
      <c r="BA941" s="25"/>
      <c r="BB941" s="25"/>
      <c r="BC941" s="25"/>
      <c r="BD941" s="25"/>
      <c r="BE941" s="25"/>
      <c r="BF941" s="25"/>
      <c r="BG941" s="25"/>
      <c r="BH941" s="25"/>
      <c r="BI941" s="25"/>
      <c r="BJ941" s="25"/>
      <c r="BK941" s="25"/>
      <c r="BL941" s="25"/>
      <c r="BM941" s="25"/>
      <c r="BN941" s="25"/>
      <c r="BO941" s="25"/>
      <c r="BP941" s="25"/>
      <c r="BQ941" s="25"/>
      <c r="BR941" s="25" t="str">
        <f>_xlfn.CONCAT($A942," ",$B942," ",$D942)</f>
        <v>2025 Volkswagen Group of ID.4 AWD Pro S</v>
      </c>
      <c r="BS941" s="25"/>
      <c r="BT941" s="25"/>
      <c r="BU941" s="25"/>
      <c r="BV941" s="25"/>
      <c r="BX941" s="25"/>
      <c r="BY941" s="25"/>
      <c r="BZ941" s="25"/>
      <c r="CA941" s="25"/>
      <c r="CB941" s="25"/>
      <c r="CC941" s="25"/>
      <c r="CD941" s="25"/>
      <c r="CE941" s="25"/>
      <c r="CF941" s="25"/>
      <c r="CG941" s="25"/>
      <c r="CH941" s="25"/>
      <c r="CI941" s="25"/>
      <c r="CJ941" s="25"/>
      <c r="CK941" s="25"/>
      <c r="CL941" s="25"/>
      <c r="CM941" s="25"/>
      <c r="CN941" s="25"/>
      <c r="CO941" s="25"/>
      <c r="CP941" s="25" t="str">
        <f>_xlfn.CONCAT($A942," ",$B942," ",$D942)</f>
        <v>2025 Volkswagen Group of ID.4 AWD Pro S</v>
      </c>
      <c r="CQ941" s="25"/>
      <c r="CR941" s="25"/>
      <c r="CS941" s="25"/>
      <c r="CT941" s="25"/>
      <c r="CU941" s="25"/>
      <c r="CV941" s="25"/>
      <c r="CW941" s="25"/>
      <c r="CX941" s="25"/>
      <c r="CY941" s="25"/>
      <c r="CZ941" s="25"/>
      <c r="DA941" s="25"/>
      <c r="DB941" s="25"/>
      <c r="DC941" s="25"/>
      <c r="DD941" s="25"/>
      <c r="DE941" s="25"/>
      <c r="DF941" s="25"/>
      <c r="DG941" s="25"/>
      <c r="DH941" s="25"/>
      <c r="DI941" s="25" t="str">
        <f>_xlfn.CONCAT($A942," ",$B942," ",$D942)</f>
        <v>2025 Volkswagen Group of ID.4 AWD Pro S</v>
      </c>
      <c r="DJ941" s="25"/>
      <c r="DK941" s="25"/>
      <c r="DL941" s="25"/>
      <c r="DM941" s="25"/>
      <c r="DN941" s="25"/>
      <c r="DO941" s="25"/>
      <c r="DP941" s="25"/>
      <c r="DQ941" s="25"/>
      <c r="DR941" s="25"/>
      <c r="DS941" s="25"/>
      <c r="DT941" s="25"/>
      <c r="DU941" s="25"/>
      <c r="DV941" s="25"/>
      <c r="DW941" s="25"/>
      <c r="DX941" s="25"/>
      <c r="DY941" s="25"/>
      <c r="DZ941" s="25" t="str">
        <f>_xlfn.CONCAT($A942," ",$B942," ",$D942)</f>
        <v>2025 Volkswagen Group of ID.4 AWD Pro S</v>
      </c>
      <c r="EB941" s="25"/>
      <c r="EC941" s="25"/>
      <c r="ED941" s="25"/>
      <c r="EE941" s="25"/>
      <c r="EF941" s="25"/>
      <c r="EG941" s="25"/>
      <c r="EH941" s="25"/>
      <c r="EI941" s="25"/>
      <c r="EJ941" s="25"/>
      <c r="EK941" s="25"/>
      <c r="EL941" s="25"/>
      <c r="EM941" s="25"/>
      <c r="EN941" s="25"/>
      <c r="EO941" s="25"/>
      <c r="EP941" s="25"/>
      <c r="EQ941" s="25"/>
      <c r="ER941" s="25"/>
      <c r="ES941" s="25"/>
      <c r="ET941" s="25"/>
      <c r="EU941" s="25"/>
      <c r="EV941" s="25" t="str">
        <f>_xlfn.CONCAT($A942," ",$B942," ",$D942)</f>
        <v>2025 Volkswagen Group of ID.4 AWD Pro S</v>
      </c>
      <c r="EW941" s="25"/>
      <c r="EX941" s="25"/>
      <c r="EY941" s="25"/>
      <c r="EZ941" s="25"/>
      <c r="FA941" s="25"/>
      <c r="FB941" s="25"/>
      <c r="FC941" s="25"/>
      <c r="FD941" s="25"/>
      <c r="FE941" s="25"/>
      <c r="FF941" s="25"/>
      <c r="FG941" s="25"/>
    </row>
    <row r="942" spans="1:165" x14ac:dyDescent="0.35">
      <c r="A942">
        <v>2025</v>
      </c>
      <c r="B942" t="s">
        <v>205</v>
      </c>
      <c r="C942" t="s">
        <v>643</v>
      </c>
      <c r="D942" t="s">
        <v>2367</v>
      </c>
      <c r="E942" t="s">
        <v>208</v>
      </c>
      <c r="F942">
        <v>306</v>
      </c>
      <c r="G942">
        <v>0</v>
      </c>
      <c r="I942" t="s">
        <v>1734</v>
      </c>
      <c r="J942">
        <v>108</v>
      </c>
      <c r="K942">
        <v>96</v>
      </c>
      <c r="L942">
        <v>102</v>
      </c>
      <c r="M942">
        <v>154.6</v>
      </c>
      <c r="N942">
        <v>136.80000000000001</v>
      </c>
      <c r="O942">
        <v>146.04849999999999</v>
      </c>
      <c r="P942">
        <v>108.22</v>
      </c>
      <c r="Q942">
        <v>95.76</v>
      </c>
      <c r="R942">
        <v>102.23399999999999</v>
      </c>
      <c r="V942" t="s">
        <v>167</v>
      </c>
      <c r="W942" t="s">
        <v>168</v>
      </c>
      <c r="X942" t="s">
        <v>1745</v>
      </c>
      <c r="Y942">
        <v>1</v>
      </c>
      <c r="Z942" t="s">
        <v>170</v>
      </c>
      <c r="AA942" t="s">
        <v>170</v>
      </c>
      <c r="AB942" t="s">
        <v>167</v>
      </c>
      <c r="AC942" t="s">
        <v>213</v>
      </c>
      <c r="AF942">
        <v>263</v>
      </c>
      <c r="AG942" t="s">
        <v>1735</v>
      </c>
      <c r="AH942" t="s">
        <v>1736</v>
      </c>
      <c r="AI942" t="s">
        <v>175</v>
      </c>
      <c r="AJ942" t="s">
        <v>176</v>
      </c>
      <c r="AK942">
        <v>4</v>
      </c>
      <c r="AL942" t="s">
        <v>1737</v>
      </c>
      <c r="AO942">
        <v>100</v>
      </c>
      <c r="AP942">
        <v>30</v>
      </c>
      <c r="AS942">
        <v>800</v>
      </c>
      <c r="AT942">
        <v>800</v>
      </c>
      <c r="BQ942">
        <v>31</v>
      </c>
      <c r="BR942" t="s">
        <v>1219</v>
      </c>
      <c r="BT942" t="s">
        <v>1738</v>
      </c>
      <c r="BU942" s="1">
        <v>45597</v>
      </c>
      <c r="BV942">
        <v>35755</v>
      </c>
      <c r="BX942" t="s">
        <v>170</v>
      </c>
      <c r="BY942" t="s">
        <v>170</v>
      </c>
      <c r="CB942" t="s">
        <v>170</v>
      </c>
      <c r="CC942" t="s">
        <v>170</v>
      </c>
      <c r="CK942" t="s">
        <v>233</v>
      </c>
      <c r="CM942">
        <v>12</v>
      </c>
      <c r="CN942" t="s">
        <v>234</v>
      </c>
      <c r="CP942">
        <v>350</v>
      </c>
      <c r="CQ942">
        <v>233</v>
      </c>
      <c r="CR942">
        <v>161.69999999999999</v>
      </c>
      <c r="CS942" t="s">
        <v>1752</v>
      </c>
      <c r="CV942" t="s">
        <v>341</v>
      </c>
      <c r="CX942" t="s">
        <v>342</v>
      </c>
      <c r="CY942" t="s">
        <v>169</v>
      </c>
      <c r="DC942" t="s">
        <v>2364</v>
      </c>
      <c r="DD942">
        <v>2</v>
      </c>
      <c r="DE942" t="s">
        <v>404</v>
      </c>
      <c r="DF942" t="s">
        <v>2368</v>
      </c>
      <c r="DG942" t="s">
        <v>2361</v>
      </c>
      <c r="DL942" t="s">
        <v>170</v>
      </c>
      <c r="DM942" t="s">
        <v>169</v>
      </c>
      <c r="DP942" t="s">
        <v>170</v>
      </c>
      <c r="DQ942" t="s">
        <v>187</v>
      </c>
      <c r="EB942">
        <v>9</v>
      </c>
      <c r="EC942">
        <v>10</v>
      </c>
      <c r="EE942" t="s">
        <v>2366</v>
      </c>
      <c r="EF942">
        <v>10</v>
      </c>
      <c r="EU942">
        <v>5500</v>
      </c>
      <c r="EW942">
        <v>0</v>
      </c>
      <c r="EX942">
        <v>0</v>
      </c>
      <c r="EY942">
        <v>0</v>
      </c>
      <c r="FA942">
        <v>8</v>
      </c>
      <c r="FG942">
        <v>277</v>
      </c>
      <c r="FH942">
        <v>245</v>
      </c>
      <c r="FI942">
        <v>263</v>
      </c>
    </row>
    <row r="943" spans="1:165" x14ac:dyDescent="0.35">
      <c r="A943">
        <v>2025</v>
      </c>
      <c r="B943" t="s">
        <v>205</v>
      </c>
      <c r="C943" t="s">
        <v>643</v>
      </c>
      <c r="D943" t="s">
        <v>2367</v>
      </c>
      <c r="E943" t="s">
        <v>208</v>
      </c>
      <c r="F943">
        <v>306</v>
      </c>
      <c r="G943">
        <v>0</v>
      </c>
      <c r="I943" t="s">
        <v>1734</v>
      </c>
      <c r="J943">
        <v>31</v>
      </c>
      <c r="K943">
        <v>35</v>
      </c>
      <c r="L943">
        <v>33</v>
      </c>
      <c r="M943">
        <v>21.797499999999999</v>
      </c>
      <c r="N943">
        <v>24.642499999999998</v>
      </c>
      <c r="O943">
        <v>23.0777</v>
      </c>
      <c r="P943">
        <v>31.1449</v>
      </c>
      <c r="Q943">
        <v>35.197400000000002</v>
      </c>
      <c r="R943">
        <v>32.968499999999999</v>
      </c>
      <c r="V943" t="s">
        <v>167</v>
      </c>
      <c r="W943" t="s">
        <v>168</v>
      </c>
      <c r="X943" t="s">
        <v>1745</v>
      </c>
      <c r="Y943">
        <v>1</v>
      </c>
      <c r="Z943" t="s">
        <v>170</v>
      </c>
      <c r="AA943" t="s">
        <v>170</v>
      </c>
      <c r="AB943" t="s">
        <v>167</v>
      </c>
      <c r="AC943" t="s">
        <v>213</v>
      </c>
      <c r="AF943">
        <v>263</v>
      </c>
      <c r="AG943" t="s">
        <v>1735</v>
      </c>
      <c r="AH943" t="s">
        <v>1736</v>
      </c>
      <c r="AI943" t="s">
        <v>1742</v>
      </c>
      <c r="AJ943" t="s">
        <v>1743</v>
      </c>
      <c r="AK943">
        <v>4</v>
      </c>
      <c r="AL943" t="s">
        <v>1737</v>
      </c>
      <c r="AO943">
        <v>100</v>
      </c>
      <c r="AP943">
        <v>30</v>
      </c>
      <c r="AS943">
        <v>800</v>
      </c>
      <c r="AT943">
        <v>800</v>
      </c>
      <c r="BQ943">
        <v>31</v>
      </c>
      <c r="BR943" t="s">
        <v>1219</v>
      </c>
      <c r="BT943" t="s">
        <v>1738</v>
      </c>
      <c r="BU943" s="1">
        <v>45597</v>
      </c>
      <c r="BV943">
        <v>35755</v>
      </c>
      <c r="BX943" t="s">
        <v>170</v>
      </c>
      <c r="BY943" t="s">
        <v>170</v>
      </c>
      <c r="CB943" t="s">
        <v>170</v>
      </c>
      <c r="CC943" t="s">
        <v>170</v>
      </c>
      <c r="CK943" t="s">
        <v>233</v>
      </c>
      <c r="CM943">
        <v>12</v>
      </c>
      <c r="CN943" t="s">
        <v>234</v>
      </c>
      <c r="CP943">
        <v>350</v>
      </c>
      <c r="CQ943">
        <v>233</v>
      </c>
      <c r="CR943">
        <v>161.69999999999999</v>
      </c>
      <c r="CS943" t="s">
        <v>1752</v>
      </c>
      <c r="CV943" t="s">
        <v>341</v>
      </c>
      <c r="CX943" t="s">
        <v>342</v>
      </c>
      <c r="CY943" t="s">
        <v>169</v>
      </c>
      <c r="DC943" t="s">
        <v>2364</v>
      </c>
      <c r="DD943">
        <v>2</v>
      </c>
      <c r="DE943" t="s">
        <v>404</v>
      </c>
      <c r="DF943" t="s">
        <v>2368</v>
      </c>
      <c r="DG943" t="s">
        <v>2361</v>
      </c>
      <c r="DL943" t="s">
        <v>170</v>
      </c>
      <c r="DM943" t="s">
        <v>169</v>
      </c>
      <c r="DP943" t="s">
        <v>170</v>
      </c>
      <c r="DQ943" t="s">
        <v>187</v>
      </c>
      <c r="EB943">
        <v>9</v>
      </c>
      <c r="EC943">
        <v>10</v>
      </c>
      <c r="EE943" t="s">
        <v>2366</v>
      </c>
      <c r="EF943">
        <v>10</v>
      </c>
      <c r="EU943">
        <v>5500</v>
      </c>
      <c r="EW943">
        <v>0</v>
      </c>
      <c r="EX943">
        <v>0</v>
      </c>
      <c r="EY943">
        <v>0</v>
      </c>
      <c r="FA943">
        <v>8</v>
      </c>
      <c r="FG943">
        <v>277</v>
      </c>
      <c r="FH943">
        <v>245</v>
      </c>
      <c r="FI943">
        <v>263</v>
      </c>
    </row>
    <row r="944" spans="1:165" x14ac:dyDescent="0.35">
      <c r="A944" s="25"/>
      <c r="B944" s="25"/>
      <c r="C944" s="25"/>
      <c r="D944" s="25"/>
      <c r="E944" s="25"/>
      <c r="F944" s="25" t="str">
        <f>_xlfn.CONCAT($A945," ",$B945," ",$D945)</f>
        <v>2025 Volkswagen Group of ID.4 Pro S</v>
      </c>
      <c r="G944" s="25"/>
      <c r="H944" s="25"/>
      <c r="I944" s="25"/>
      <c r="J944" s="25"/>
      <c r="K944" s="25"/>
      <c r="L944" s="25"/>
      <c r="M944" s="25"/>
      <c r="N944" s="25"/>
      <c r="O944" s="25"/>
      <c r="P944" s="25"/>
      <c r="Q944" s="25"/>
      <c r="R944" s="25"/>
      <c r="S944" s="25"/>
      <c r="T944" s="25"/>
      <c r="U944" s="25"/>
      <c r="V944" s="25"/>
      <c r="W944" s="25"/>
      <c r="X944" s="25"/>
      <c r="Y944" s="25"/>
      <c r="Z944" s="25"/>
      <c r="AA944" s="25"/>
      <c r="AB944" s="25"/>
      <c r="AC944" s="25"/>
      <c r="AD944" s="25" t="str">
        <f>_xlfn.CONCAT($A945," ",$B945," ",$D945)</f>
        <v>2025 Volkswagen Group of ID.4 Pro S</v>
      </c>
      <c r="AE944" s="25"/>
      <c r="AF944" s="25"/>
      <c r="AG944" s="25"/>
      <c r="AH944" s="25"/>
      <c r="AI944" s="25"/>
      <c r="AJ944" s="25"/>
      <c r="AK944" s="25"/>
      <c r="AL944" s="25"/>
      <c r="AM944" s="25"/>
      <c r="AN944" s="25"/>
      <c r="AO944" s="25"/>
      <c r="AP944" s="25"/>
      <c r="AQ944" s="25"/>
      <c r="AR944" s="25"/>
      <c r="AS944" s="25"/>
      <c r="AT944" s="25"/>
      <c r="AU944" s="25"/>
      <c r="AV944" s="25"/>
      <c r="AW944" s="25"/>
      <c r="AX944" s="25" t="str">
        <f>_xlfn.CONCAT($A945," ",$B945," ",$D945)</f>
        <v>2025 Volkswagen Group of ID.4 Pro S</v>
      </c>
      <c r="AY944" s="25"/>
      <c r="AZ944" s="25"/>
      <c r="BA944" s="25"/>
      <c r="BB944" s="25"/>
      <c r="BC944" s="25"/>
      <c r="BD944" s="25"/>
      <c r="BE944" s="25"/>
      <c r="BF944" s="25"/>
      <c r="BG944" s="25"/>
      <c r="BH944" s="25"/>
      <c r="BI944" s="25"/>
      <c r="BJ944" s="25"/>
      <c r="BK944" s="25"/>
      <c r="BL944" s="25"/>
      <c r="BM944" s="25"/>
      <c r="BN944" s="25"/>
      <c r="BO944" s="25"/>
      <c r="BP944" s="25"/>
      <c r="BQ944" s="25"/>
      <c r="BR944" s="25" t="str">
        <f>_xlfn.CONCAT($A945," ",$B945," ",$D945)</f>
        <v>2025 Volkswagen Group of ID.4 Pro S</v>
      </c>
      <c r="BS944" s="25"/>
      <c r="BT944" s="25"/>
      <c r="BU944" s="25"/>
      <c r="BV944" s="25"/>
      <c r="BX944" s="25"/>
      <c r="BY944" s="25"/>
      <c r="BZ944" s="25"/>
      <c r="CA944" s="25"/>
      <c r="CB944" s="25"/>
      <c r="CC944" s="25"/>
      <c r="CD944" s="25"/>
      <c r="CE944" s="25"/>
      <c r="CF944" s="25"/>
      <c r="CG944" s="25"/>
      <c r="CH944" s="25"/>
      <c r="CI944" s="25"/>
      <c r="CJ944" s="25"/>
      <c r="CK944" s="25"/>
      <c r="CL944" s="25"/>
      <c r="CM944" s="25"/>
      <c r="CN944" s="25"/>
      <c r="CO944" s="25"/>
      <c r="CP944" s="25" t="str">
        <f>_xlfn.CONCAT($A945," ",$B945," ",$D945)</f>
        <v>2025 Volkswagen Group of ID.4 Pro S</v>
      </c>
      <c r="CQ944" s="25"/>
      <c r="CR944" s="25"/>
      <c r="CS944" s="25"/>
      <c r="CT944" s="25"/>
      <c r="CU944" s="25"/>
      <c r="CV944" s="25"/>
      <c r="CW944" s="25"/>
      <c r="CX944" s="25"/>
      <c r="CY944" s="25"/>
      <c r="CZ944" s="25"/>
      <c r="DA944" s="25"/>
      <c r="DB944" s="25"/>
      <c r="DC944" s="25"/>
      <c r="DD944" s="25"/>
      <c r="DE944" s="25"/>
      <c r="DF944" s="25"/>
      <c r="DG944" s="25"/>
      <c r="DH944" s="25"/>
      <c r="DI944" s="25" t="str">
        <f>_xlfn.CONCAT($A945," ",$B945," ",$D945)</f>
        <v>2025 Volkswagen Group of ID.4 Pro S</v>
      </c>
      <c r="DJ944" s="25"/>
      <c r="DK944" s="25"/>
      <c r="DL944" s="25"/>
      <c r="DM944" s="25"/>
      <c r="DN944" s="25"/>
      <c r="DO944" s="25"/>
      <c r="DP944" s="25"/>
      <c r="DQ944" s="25"/>
      <c r="DR944" s="25"/>
      <c r="DS944" s="25"/>
      <c r="DT944" s="25"/>
      <c r="DU944" s="25"/>
      <c r="DV944" s="25"/>
      <c r="DW944" s="25"/>
      <c r="DX944" s="25"/>
      <c r="DY944" s="25"/>
      <c r="DZ944" s="25" t="str">
        <f>_xlfn.CONCAT($A945," ",$B945," ",$D945)</f>
        <v>2025 Volkswagen Group of ID.4 Pro S</v>
      </c>
      <c r="EB944" s="25"/>
      <c r="EC944" s="25"/>
      <c r="ED944" s="25"/>
      <c r="EE944" s="25"/>
      <c r="EF944" s="25"/>
      <c r="EG944" s="25"/>
      <c r="EH944" s="25"/>
      <c r="EI944" s="25"/>
      <c r="EJ944" s="25"/>
      <c r="EK944" s="25"/>
      <c r="EL944" s="25"/>
      <c r="EM944" s="25"/>
      <c r="EN944" s="25"/>
      <c r="EO944" s="25"/>
      <c r="EP944" s="25"/>
      <c r="EQ944" s="25"/>
      <c r="ER944" s="25"/>
      <c r="ES944" s="25"/>
      <c r="ET944" s="25"/>
      <c r="EU944" s="25"/>
      <c r="EV944" s="25" t="str">
        <f>_xlfn.CONCAT($A945," ",$B945," ",$D945)</f>
        <v>2025 Volkswagen Group of ID.4 Pro S</v>
      </c>
      <c r="EW944" s="25"/>
      <c r="EX944" s="25"/>
      <c r="EY944" s="25"/>
      <c r="EZ944" s="25"/>
      <c r="FA944" s="25"/>
      <c r="FB944" s="25"/>
      <c r="FC944" s="25"/>
      <c r="FD944" s="25"/>
      <c r="FE944" s="25"/>
      <c r="FF944" s="25"/>
      <c r="FG944" s="25"/>
    </row>
    <row r="945" spans="1:165" x14ac:dyDescent="0.35">
      <c r="A945">
        <v>2025</v>
      </c>
      <c r="B945" t="s">
        <v>205</v>
      </c>
      <c r="C945" t="s">
        <v>643</v>
      </c>
      <c r="D945" t="s">
        <v>2405</v>
      </c>
      <c r="E945" t="s">
        <v>208</v>
      </c>
      <c r="F945">
        <v>307</v>
      </c>
      <c r="G945">
        <v>0</v>
      </c>
      <c r="I945" t="s">
        <v>1734</v>
      </c>
      <c r="J945">
        <v>122</v>
      </c>
      <c r="K945">
        <v>104</v>
      </c>
      <c r="L945">
        <v>113</v>
      </c>
      <c r="M945">
        <v>175</v>
      </c>
      <c r="N945">
        <v>147.9</v>
      </c>
      <c r="O945">
        <v>161.6696</v>
      </c>
      <c r="P945">
        <v>122.5</v>
      </c>
      <c r="Q945">
        <v>103.53</v>
      </c>
      <c r="R945">
        <v>113.1687</v>
      </c>
      <c r="V945" t="s">
        <v>167</v>
      </c>
      <c r="W945" t="s">
        <v>168</v>
      </c>
      <c r="X945" t="s">
        <v>1745</v>
      </c>
      <c r="Y945">
        <v>1</v>
      </c>
      <c r="Z945" t="s">
        <v>170</v>
      </c>
      <c r="AA945" t="s">
        <v>170</v>
      </c>
      <c r="AB945" t="s">
        <v>171</v>
      </c>
      <c r="AC945" t="s">
        <v>172</v>
      </c>
      <c r="AF945">
        <v>291</v>
      </c>
      <c r="AG945" t="s">
        <v>1735</v>
      </c>
      <c r="AH945" t="s">
        <v>1736</v>
      </c>
      <c r="AI945" t="s">
        <v>175</v>
      </c>
      <c r="AJ945" t="s">
        <v>176</v>
      </c>
      <c r="AK945">
        <v>4</v>
      </c>
      <c r="AL945" t="s">
        <v>1737</v>
      </c>
      <c r="AO945">
        <v>100</v>
      </c>
      <c r="AP945">
        <v>30</v>
      </c>
      <c r="AS945">
        <v>700</v>
      </c>
      <c r="AT945">
        <v>0</v>
      </c>
      <c r="BQ945">
        <v>30</v>
      </c>
      <c r="BR945" t="s">
        <v>1099</v>
      </c>
      <c r="BT945" t="s">
        <v>1738</v>
      </c>
      <c r="BU945" s="1">
        <v>47115</v>
      </c>
      <c r="BV945">
        <v>36017</v>
      </c>
      <c r="BX945" t="s">
        <v>170</v>
      </c>
      <c r="BY945" t="s">
        <v>170</v>
      </c>
      <c r="CB945" t="s">
        <v>170</v>
      </c>
      <c r="CC945" t="s">
        <v>170</v>
      </c>
      <c r="CK945" t="s">
        <v>233</v>
      </c>
      <c r="CM945">
        <v>1</v>
      </c>
      <c r="CN945" t="s">
        <v>234</v>
      </c>
      <c r="CP945">
        <v>350</v>
      </c>
      <c r="CQ945">
        <v>234</v>
      </c>
      <c r="CR945">
        <v>161.69999999999999</v>
      </c>
      <c r="CS945" t="s">
        <v>1752</v>
      </c>
      <c r="CV945" t="s">
        <v>341</v>
      </c>
      <c r="CX945" t="s">
        <v>1012</v>
      </c>
      <c r="CY945" t="s">
        <v>169</v>
      </c>
      <c r="DC945" t="s">
        <v>2401</v>
      </c>
      <c r="DD945">
        <v>1</v>
      </c>
      <c r="DE945" t="s">
        <v>404</v>
      </c>
      <c r="DF945" t="s">
        <v>2402</v>
      </c>
      <c r="DG945">
        <v>210</v>
      </c>
      <c r="DL945" t="s">
        <v>170</v>
      </c>
      <c r="DM945" t="s">
        <v>169</v>
      </c>
      <c r="DP945" t="s">
        <v>170</v>
      </c>
      <c r="DQ945" t="s">
        <v>187</v>
      </c>
      <c r="EB945">
        <v>9</v>
      </c>
      <c r="EC945">
        <v>10</v>
      </c>
      <c r="EE945" t="s">
        <v>2403</v>
      </c>
      <c r="EF945">
        <v>10</v>
      </c>
      <c r="EU945">
        <v>6000</v>
      </c>
      <c r="EW945">
        <v>0</v>
      </c>
      <c r="EX945">
        <v>0</v>
      </c>
      <c r="EY945">
        <v>0</v>
      </c>
      <c r="FA945">
        <v>8</v>
      </c>
      <c r="FG945">
        <v>313</v>
      </c>
      <c r="FH945">
        <v>264</v>
      </c>
      <c r="FI945">
        <v>291</v>
      </c>
    </row>
    <row r="946" spans="1:165" x14ac:dyDescent="0.35">
      <c r="A946">
        <v>2025</v>
      </c>
      <c r="B946" t="s">
        <v>205</v>
      </c>
      <c r="C946" t="s">
        <v>643</v>
      </c>
      <c r="D946" t="s">
        <v>2405</v>
      </c>
      <c r="E946" t="s">
        <v>208</v>
      </c>
      <c r="F946">
        <v>307</v>
      </c>
      <c r="G946">
        <v>0</v>
      </c>
      <c r="I946" t="s">
        <v>1734</v>
      </c>
      <c r="J946">
        <v>28</v>
      </c>
      <c r="K946">
        <v>33</v>
      </c>
      <c r="L946">
        <v>30</v>
      </c>
      <c r="M946">
        <v>19.260400000000001</v>
      </c>
      <c r="N946">
        <v>22.7852</v>
      </c>
      <c r="O946">
        <v>20.846599999999999</v>
      </c>
      <c r="P946">
        <v>27.514299999999999</v>
      </c>
      <c r="Q946">
        <v>32.555799999999998</v>
      </c>
      <c r="R946">
        <v>29.783000000000001</v>
      </c>
      <c r="V946" t="s">
        <v>167</v>
      </c>
      <c r="W946" t="s">
        <v>168</v>
      </c>
      <c r="X946" t="s">
        <v>1745</v>
      </c>
      <c r="Y946">
        <v>1</v>
      </c>
      <c r="Z946" t="s">
        <v>170</v>
      </c>
      <c r="AA946" t="s">
        <v>170</v>
      </c>
      <c r="AB946" t="s">
        <v>171</v>
      </c>
      <c r="AC946" t="s">
        <v>172</v>
      </c>
      <c r="AF946">
        <v>291</v>
      </c>
      <c r="AG946" t="s">
        <v>1735</v>
      </c>
      <c r="AH946" t="s">
        <v>1736</v>
      </c>
      <c r="AI946" t="s">
        <v>1742</v>
      </c>
      <c r="AJ946" t="s">
        <v>1743</v>
      </c>
      <c r="AK946">
        <v>4</v>
      </c>
      <c r="AL946" t="s">
        <v>1737</v>
      </c>
      <c r="AO946">
        <v>100</v>
      </c>
      <c r="AP946">
        <v>30</v>
      </c>
      <c r="AS946">
        <v>700</v>
      </c>
      <c r="AT946">
        <v>700</v>
      </c>
      <c r="BQ946">
        <v>30</v>
      </c>
      <c r="BR946" t="s">
        <v>1099</v>
      </c>
      <c r="BT946" t="s">
        <v>1738</v>
      </c>
      <c r="BU946" s="1">
        <v>47115</v>
      </c>
      <c r="BV946">
        <v>36017</v>
      </c>
      <c r="BX946" t="s">
        <v>170</v>
      </c>
      <c r="BY946" t="s">
        <v>170</v>
      </c>
      <c r="CB946" t="s">
        <v>170</v>
      </c>
      <c r="CC946" t="s">
        <v>170</v>
      </c>
      <c r="CK946" t="s">
        <v>233</v>
      </c>
      <c r="CM946">
        <v>1</v>
      </c>
      <c r="CN946" t="s">
        <v>234</v>
      </c>
      <c r="CP946">
        <v>350</v>
      </c>
      <c r="CQ946">
        <v>234</v>
      </c>
      <c r="CR946">
        <v>161.69999999999999</v>
      </c>
      <c r="CS946" t="s">
        <v>1752</v>
      </c>
      <c r="CV946" t="s">
        <v>341</v>
      </c>
      <c r="CX946" t="s">
        <v>1012</v>
      </c>
      <c r="CY946" t="s">
        <v>169</v>
      </c>
      <c r="DC946" t="s">
        <v>2401</v>
      </c>
      <c r="DD946">
        <v>1</v>
      </c>
      <c r="DE946" t="s">
        <v>404</v>
      </c>
      <c r="DF946" t="s">
        <v>2402</v>
      </c>
      <c r="DG946">
        <v>210</v>
      </c>
      <c r="DL946" t="s">
        <v>170</v>
      </c>
      <c r="DM946" t="s">
        <v>169</v>
      </c>
      <c r="DP946" t="s">
        <v>170</v>
      </c>
      <c r="DQ946" t="s">
        <v>187</v>
      </c>
      <c r="EB946">
        <v>9</v>
      </c>
      <c r="EC946">
        <v>10</v>
      </c>
      <c r="EE946" t="s">
        <v>2403</v>
      </c>
      <c r="EF946">
        <v>10</v>
      </c>
      <c r="EU946">
        <v>6000</v>
      </c>
      <c r="EW946">
        <v>0</v>
      </c>
      <c r="EX946">
        <v>0</v>
      </c>
      <c r="EY946">
        <v>0</v>
      </c>
      <c r="FA946">
        <v>8</v>
      </c>
      <c r="FG946">
        <v>313</v>
      </c>
      <c r="FH946">
        <v>264</v>
      </c>
      <c r="FI946">
        <v>291</v>
      </c>
    </row>
    <row r="947" spans="1:165" x14ac:dyDescent="0.35">
      <c r="A947" s="25"/>
      <c r="B947" s="25"/>
      <c r="C947" s="25"/>
      <c r="D947" s="25"/>
      <c r="E947" s="25"/>
      <c r="F947" s="25" t="str">
        <f>_xlfn.CONCAT($A948," ",$B948," ",$D948)</f>
        <v>2025 Volkswagen Group of ID.4 AWD Pro</v>
      </c>
      <c r="G947" s="25"/>
      <c r="H947" s="25"/>
      <c r="I947" s="25"/>
      <c r="J947" s="25"/>
      <c r="K947" s="25"/>
      <c r="L947" s="25"/>
      <c r="M947" s="25"/>
      <c r="N947" s="25"/>
      <c r="O947" s="25"/>
      <c r="P947" s="25"/>
      <c r="Q947" s="25"/>
      <c r="R947" s="25"/>
      <c r="S947" s="25"/>
      <c r="T947" s="25"/>
      <c r="U947" s="25"/>
      <c r="V947" s="25"/>
      <c r="W947" s="25"/>
      <c r="X947" s="25"/>
      <c r="Y947" s="25"/>
      <c r="Z947" s="25"/>
      <c r="AA947" s="25"/>
      <c r="AB947" s="25"/>
      <c r="AC947" s="25"/>
      <c r="AD947" s="25" t="str">
        <f>_xlfn.CONCAT($A948," ",$B948," ",$D948)</f>
        <v>2025 Volkswagen Group of ID.4 AWD Pro</v>
      </c>
      <c r="AE947" s="25"/>
      <c r="AF947" s="25"/>
      <c r="AG947" s="25"/>
      <c r="AH947" s="25"/>
      <c r="AI947" s="25"/>
      <c r="AJ947" s="25"/>
      <c r="AK947" s="25"/>
      <c r="AL947" s="25"/>
      <c r="AM947" s="25"/>
      <c r="AN947" s="25"/>
      <c r="AO947" s="25"/>
      <c r="AP947" s="25"/>
      <c r="AQ947" s="25"/>
      <c r="AR947" s="25"/>
      <c r="AS947" s="25"/>
      <c r="AT947" s="25"/>
      <c r="AU947" s="25"/>
      <c r="AV947" s="25"/>
      <c r="AW947" s="25"/>
      <c r="AX947" s="25" t="str">
        <f>_xlfn.CONCAT($A948," ",$B948," ",$D948)</f>
        <v>2025 Volkswagen Group of ID.4 AWD Pro</v>
      </c>
      <c r="AY947" s="25"/>
      <c r="AZ947" s="25"/>
      <c r="BA947" s="25"/>
      <c r="BB947" s="25"/>
      <c r="BC947" s="25"/>
      <c r="BD947" s="25"/>
      <c r="BE947" s="25"/>
      <c r="BF947" s="25"/>
      <c r="BG947" s="25"/>
      <c r="BH947" s="25"/>
      <c r="BI947" s="25"/>
      <c r="BJ947" s="25"/>
      <c r="BK947" s="25"/>
      <c r="BL947" s="25"/>
      <c r="BM947" s="25"/>
      <c r="BN947" s="25"/>
      <c r="BO947" s="25"/>
      <c r="BP947" s="25"/>
      <c r="BQ947" s="25"/>
      <c r="BR947" s="25" t="str">
        <f>_xlfn.CONCAT($A948," ",$B948," ",$D948)</f>
        <v>2025 Volkswagen Group of ID.4 AWD Pro</v>
      </c>
      <c r="BS947" s="25"/>
      <c r="BT947" s="25"/>
      <c r="BU947" s="25"/>
      <c r="BV947" s="25"/>
      <c r="BX947" s="25"/>
      <c r="BY947" s="25"/>
      <c r="BZ947" s="25"/>
      <c r="CA947" s="25"/>
      <c r="CB947" s="25"/>
      <c r="CC947" s="25"/>
      <c r="CD947" s="25"/>
      <c r="CE947" s="25"/>
      <c r="CF947" s="25"/>
      <c r="CG947" s="25"/>
      <c r="CH947" s="25"/>
      <c r="CI947" s="25"/>
      <c r="CJ947" s="25"/>
      <c r="CK947" s="25"/>
      <c r="CL947" s="25"/>
      <c r="CM947" s="25"/>
      <c r="CN947" s="25"/>
      <c r="CO947" s="25"/>
      <c r="CP947" s="25" t="str">
        <f>_xlfn.CONCAT($A948," ",$B948," ",$D948)</f>
        <v>2025 Volkswagen Group of ID.4 AWD Pro</v>
      </c>
      <c r="CQ947" s="25"/>
      <c r="CR947" s="25"/>
      <c r="CS947" s="25"/>
      <c r="CT947" s="25"/>
      <c r="CU947" s="25"/>
      <c r="CV947" s="25"/>
      <c r="CW947" s="25"/>
      <c r="CX947" s="25"/>
      <c r="CY947" s="25"/>
      <c r="CZ947" s="25"/>
      <c r="DA947" s="25"/>
      <c r="DB947" s="25"/>
      <c r="DC947" s="25"/>
      <c r="DD947" s="25"/>
      <c r="DE947" s="25"/>
      <c r="DF947" s="25"/>
      <c r="DG947" s="25"/>
      <c r="DH947" s="25"/>
      <c r="DI947" s="25" t="str">
        <f>_xlfn.CONCAT($A948," ",$B948," ",$D948)</f>
        <v>2025 Volkswagen Group of ID.4 AWD Pro</v>
      </c>
      <c r="DJ947" s="25"/>
      <c r="DK947" s="25"/>
      <c r="DL947" s="25"/>
      <c r="DM947" s="25"/>
      <c r="DN947" s="25"/>
      <c r="DO947" s="25"/>
      <c r="DP947" s="25"/>
      <c r="DQ947" s="25"/>
      <c r="DR947" s="25"/>
      <c r="DS947" s="25"/>
      <c r="DT947" s="25"/>
      <c r="DU947" s="25"/>
      <c r="DV947" s="25"/>
      <c r="DW947" s="25"/>
      <c r="DX947" s="25"/>
      <c r="DY947" s="25"/>
      <c r="DZ947" s="25" t="str">
        <f>_xlfn.CONCAT($A948," ",$B948," ",$D948)</f>
        <v>2025 Volkswagen Group of ID.4 AWD Pro</v>
      </c>
      <c r="EB947" s="25"/>
      <c r="EC947" s="25"/>
      <c r="ED947" s="25"/>
      <c r="EE947" s="25"/>
      <c r="EF947" s="25"/>
      <c r="EG947" s="25"/>
      <c r="EH947" s="25"/>
      <c r="EI947" s="25"/>
      <c r="EJ947" s="25"/>
      <c r="EK947" s="25"/>
      <c r="EL947" s="25"/>
      <c r="EM947" s="25"/>
      <c r="EN947" s="25"/>
      <c r="EO947" s="25"/>
      <c r="EP947" s="25"/>
      <c r="EQ947" s="25"/>
      <c r="ER947" s="25"/>
      <c r="ES947" s="25"/>
      <c r="ET947" s="25"/>
      <c r="EU947" s="25"/>
      <c r="EV947" s="25" t="str">
        <f>_xlfn.CONCAT($A948," ",$B948," ",$D948)</f>
        <v>2025 Volkswagen Group of ID.4 AWD Pro</v>
      </c>
      <c r="EW947" s="25"/>
      <c r="EX947" s="25"/>
      <c r="EY947" s="25"/>
      <c r="EZ947" s="25"/>
      <c r="FA947" s="25"/>
      <c r="FB947" s="25"/>
      <c r="FC947" s="25"/>
      <c r="FD947" s="25"/>
      <c r="FE947" s="25"/>
      <c r="FF947" s="25"/>
      <c r="FG947" s="25"/>
    </row>
    <row r="948" spans="1:165" x14ac:dyDescent="0.35">
      <c r="A948">
        <v>2025</v>
      </c>
      <c r="B948" t="s">
        <v>205</v>
      </c>
      <c r="C948" t="s">
        <v>643</v>
      </c>
      <c r="D948" t="s">
        <v>2363</v>
      </c>
      <c r="E948" t="s">
        <v>208</v>
      </c>
      <c r="F948">
        <v>308</v>
      </c>
      <c r="G948">
        <v>0</v>
      </c>
      <c r="I948" t="s">
        <v>1734</v>
      </c>
      <c r="J948">
        <v>108</v>
      </c>
      <c r="K948">
        <v>96</v>
      </c>
      <c r="L948">
        <v>102</v>
      </c>
      <c r="M948">
        <v>154.6</v>
      </c>
      <c r="N948">
        <v>136.80000000000001</v>
      </c>
      <c r="O948">
        <v>146.04849999999999</v>
      </c>
      <c r="P948">
        <v>108.22</v>
      </c>
      <c r="Q948">
        <v>95.76</v>
      </c>
      <c r="R948">
        <v>102.23399999999999</v>
      </c>
      <c r="V948" t="s">
        <v>167</v>
      </c>
      <c r="W948" t="s">
        <v>168</v>
      </c>
      <c r="X948" t="s">
        <v>1745</v>
      </c>
      <c r="Y948">
        <v>1</v>
      </c>
      <c r="Z948" t="s">
        <v>170</v>
      </c>
      <c r="AA948" t="s">
        <v>170</v>
      </c>
      <c r="AB948" t="s">
        <v>167</v>
      </c>
      <c r="AC948" t="s">
        <v>213</v>
      </c>
      <c r="AF948">
        <v>263</v>
      </c>
      <c r="AG948" t="s">
        <v>1735</v>
      </c>
      <c r="AH948" t="s">
        <v>1736</v>
      </c>
      <c r="AI948" t="s">
        <v>175</v>
      </c>
      <c r="AJ948" t="s">
        <v>176</v>
      </c>
      <c r="AK948">
        <v>4</v>
      </c>
      <c r="AL948" t="s">
        <v>1737</v>
      </c>
      <c r="AO948">
        <v>100</v>
      </c>
      <c r="AP948">
        <v>30</v>
      </c>
      <c r="AS948">
        <v>800</v>
      </c>
      <c r="AT948">
        <v>800</v>
      </c>
      <c r="BQ948">
        <v>31</v>
      </c>
      <c r="BR948" t="s">
        <v>1219</v>
      </c>
      <c r="BT948" t="s">
        <v>1738</v>
      </c>
      <c r="BU948" s="1">
        <v>45597</v>
      </c>
      <c r="BV948">
        <v>35753</v>
      </c>
      <c r="BX948" t="s">
        <v>170</v>
      </c>
      <c r="BY948" t="s">
        <v>170</v>
      </c>
      <c r="CB948" t="s">
        <v>170</v>
      </c>
      <c r="CC948" t="s">
        <v>170</v>
      </c>
      <c r="CK948" t="s">
        <v>233</v>
      </c>
      <c r="CM948">
        <v>12</v>
      </c>
      <c r="CN948" t="s">
        <v>234</v>
      </c>
      <c r="CP948">
        <v>350</v>
      </c>
      <c r="CQ948">
        <v>233</v>
      </c>
      <c r="CR948">
        <v>161.69999999999999</v>
      </c>
      <c r="CS948" t="s">
        <v>1752</v>
      </c>
      <c r="CV948" t="s">
        <v>341</v>
      </c>
      <c r="CX948" t="s">
        <v>342</v>
      </c>
      <c r="CY948" t="s">
        <v>169</v>
      </c>
      <c r="DC948" t="s">
        <v>2364</v>
      </c>
      <c r="DD948">
        <v>2</v>
      </c>
      <c r="DE948" t="s">
        <v>404</v>
      </c>
      <c r="DF948" t="s">
        <v>2365</v>
      </c>
      <c r="DG948" t="s">
        <v>1904</v>
      </c>
      <c r="DL948" t="s">
        <v>170</v>
      </c>
      <c r="DM948" t="s">
        <v>169</v>
      </c>
      <c r="DP948" t="s">
        <v>170</v>
      </c>
      <c r="DQ948" t="s">
        <v>187</v>
      </c>
      <c r="EB948">
        <v>9</v>
      </c>
      <c r="EC948">
        <v>10</v>
      </c>
      <c r="EE948" t="s">
        <v>2366</v>
      </c>
      <c r="EF948">
        <v>10</v>
      </c>
      <c r="EU948">
        <v>5500</v>
      </c>
      <c r="EW948">
        <v>0</v>
      </c>
      <c r="EX948">
        <v>0</v>
      </c>
      <c r="EY948">
        <v>0</v>
      </c>
      <c r="FA948">
        <v>8</v>
      </c>
      <c r="FG948">
        <v>277</v>
      </c>
      <c r="FH948">
        <v>245</v>
      </c>
      <c r="FI948">
        <v>263</v>
      </c>
    </row>
    <row r="949" spans="1:165" x14ac:dyDescent="0.35">
      <c r="A949">
        <v>2025</v>
      </c>
      <c r="B949" t="s">
        <v>205</v>
      </c>
      <c r="C949" t="s">
        <v>643</v>
      </c>
      <c r="D949" t="s">
        <v>2363</v>
      </c>
      <c r="E949" t="s">
        <v>208</v>
      </c>
      <c r="F949">
        <v>308</v>
      </c>
      <c r="G949">
        <v>0</v>
      </c>
      <c r="I949" t="s">
        <v>1734</v>
      </c>
      <c r="J949">
        <v>31</v>
      </c>
      <c r="K949">
        <v>35</v>
      </c>
      <c r="L949">
        <v>33</v>
      </c>
      <c r="M949">
        <v>21.797499999999999</v>
      </c>
      <c r="N949">
        <v>24.642499999999998</v>
      </c>
      <c r="O949">
        <v>23.0777</v>
      </c>
      <c r="P949">
        <v>31.1449</v>
      </c>
      <c r="Q949">
        <v>35.197400000000002</v>
      </c>
      <c r="R949">
        <v>32.968499999999999</v>
      </c>
      <c r="V949" t="s">
        <v>167</v>
      </c>
      <c r="W949" t="s">
        <v>168</v>
      </c>
      <c r="X949" t="s">
        <v>1745</v>
      </c>
      <c r="Y949">
        <v>1</v>
      </c>
      <c r="Z949" t="s">
        <v>170</v>
      </c>
      <c r="AA949" t="s">
        <v>170</v>
      </c>
      <c r="AB949" t="s">
        <v>167</v>
      </c>
      <c r="AC949" t="s">
        <v>213</v>
      </c>
      <c r="AF949">
        <v>263</v>
      </c>
      <c r="AG949" t="s">
        <v>1735</v>
      </c>
      <c r="AH949" t="s">
        <v>1736</v>
      </c>
      <c r="AI949" t="s">
        <v>1742</v>
      </c>
      <c r="AJ949" t="s">
        <v>1743</v>
      </c>
      <c r="AK949">
        <v>4</v>
      </c>
      <c r="AL949" t="s">
        <v>1737</v>
      </c>
      <c r="AO949">
        <v>100</v>
      </c>
      <c r="AP949">
        <v>30</v>
      </c>
      <c r="AS949">
        <v>800</v>
      </c>
      <c r="AT949">
        <v>800</v>
      </c>
      <c r="BQ949">
        <v>31</v>
      </c>
      <c r="BR949" t="s">
        <v>1219</v>
      </c>
      <c r="BT949" t="s">
        <v>1738</v>
      </c>
      <c r="BU949" s="1">
        <v>45597</v>
      </c>
      <c r="BV949">
        <v>35753</v>
      </c>
      <c r="BX949" t="s">
        <v>170</v>
      </c>
      <c r="BY949" t="s">
        <v>170</v>
      </c>
      <c r="CB949" t="s">
        <v>170</v>
      </c>
      <c r="CC949" t="s">
        <v>170</v>
      </c>
      <c r="CK949" t="s">
        <v>233</v>
      </c>
      <c r="CM949">
        <v>12</v>
      </c>
      <c r="CN949" t="s">
        <v>234</v>
      </c>
      <c r="CP949">
        <v>350</v>
      </c>
      <c r="CQ949">
        <v>233</v>
      </c>
      <c r="CR949">
        <v>161.69999999999999</v>
      </c>
      <c r="CS949" t="s">
        <v>1752</v>
      </c>
      <c r="CV949" t="s">
        <v>341</v>
      </c>
      <c r="CX949" t="s">
        <v>342</v>
      </c>
      <c r="CY949" t="s">
        <v>169</v>
      </c>
      <c r="DC949" t="s">
        <v>2364</v>
      </c>
      <c r="DD949">
        <v>2</v>
      </c>
      <c r="DE949" t="s">
        <v>404</v>
      </c>
      <c r="DF949" t="s">
        <v>2365</v>
      </c>
      <c r="DG949" t="s">
        <v>1904</v>
      </c>
      <c r="DL949" t="s">
        <v>170</v>
      </c>
      <c r="DM949" t="s">
        <v>169</v>
      </c>
      <c r="DP949" t="s">
        <v>170</v>
      </c>
      <c r="DQ949" t="s">
        <v>187</v>
      </c>
      <c r="EB949">
        <v>9</v>
      </c>
      <c r="EC949">
        <v>10</v>
      </c>
      <c r="EE949" t="s">
        <v>2366</v>
      </c>
      <c r="EF949">
        <v>10</v>
      </c>
      <c r="EU949">
        <v>5500</v>
      </c>
      <c r="EW949">
        <v>0</v>
      </c>
      <c r="EX949">
        <v>0</v>
      </c>
      <c r="EY949">
        <v>0</v>
      </c>
      <c r="FA949">
        <v>8</v>
      </c>
      <c r="FG949">
        <v>277</v>
      </c>
      <c r="FH949">
        <v>245</v>
      </c>
      <c r="FI949">
        <v>263</v>
      </c>
    </row>
    <row r="950" spans="1:165" x14ac:dyDescent="0.35">
      <c r="A950" s="25"/>
      <c r="B950" s="25"/>
      <c r="C950" s="25"/>
      <c r="D950" s="25"/>
      <c r="E950" s="25"/>
      <c r="F950" s="25" t="str">
        <f>_xlfn.CONCAT($A951," ",$B951," ",$D951)</f>
        <v>2025 Volkswagen Group of ID.4 Pro</v>
      </c>
      <c r="G950" s="25"/>
      <c r="H950" s="25"/>
      <c r="I950" s="25"/>
      <c r="J950" s="25"/>
      <c r="K950" s="25"/>
      <c r="L950" s="25"/>
      <c r="M950" s="25"/>
      <c r="N950" s="25"/>
      <c r="O950" s="25"/>
      <c r="P950" s="25"/>
      <c r="Q950" s="25"/>
      <c r="R950" s="25"/>
      <c r="S950" s="25"/>
      <c r="T950" s="25"/>
      <c r="U950" s="25"/>
      <c r="V950" s="25"/>
      <c r="W950" s="25"/>
      <c r="X950" s="25"/>
      <c r="Y950" s="25"/>
      <c r="Z950" s="25"/>
      <c r="AA950" s="25"/>
      <c r="AB950" s="25"/>
      <c r="AC950" s="25"/>
      <c r="AD950" s="25" t="str">
        <f>_xlfn.CONCAT($A951," ",$B951," ",$D951)</f>
        <v>2025 Volkswagen Group of ID.4 Pro</v>
      </c>
      <c r="AE950" s="25"/>
      <c r="AF950" s="25"/>
      <c r="AG950" s="25"/>
      <c r="AH950" s="25"/>
      <c r="AI950" s="25"/>
      <c r="AJ950" s="25"/>
      <c r="AK950" s="25"/>
      <c r="AL950" s="25"/>
      <c r="AM950" s="25"/>
      <c r="AN950" s="25"/>
      <c r="AO950" s="25"/>
      <c r="AP950" s="25"/>
      <c r="AQ950" s="25"/>
      <c r="AR950" s="25"/>
      <c r="AS950" s="25"/>
      <c r="AT950" s="25"/>
      <c r="AU950" s="25"/>
      <c r="AV950" s="25"/>
      <c r="AW950" s="25"/>
      <c r="AX950" s="25" t="str">
        <f>_xlfn.CONCAT($A951," ",$B951," ",$D951)</f>
        <v>2025 Volkswagen Group of ID.4 Pro</v>
      </c>
      <c r="AY950" s="25"/>
      <c r="AZ950" s="25"/>
      <c r="BA950" s="25"/>
      <c r="BB950" s="25"/>
      <c r="BC950" s="25"/>
      <c r="BD950" s="25"/>
      <c r="BE950" s="25"/>
      <c r="BF950" s="25"/>
      <c r="BG950" s="25"/>
      <c r="BH950" s="25"/>
      <c r="BI950" s="25"/>
      <c r="BJ950" s="25"/>
      <c r="BK950" s="25"/>
      <c r="BL950" s="25"/>
      <c r="BM950" s="25"/>
      <c r="BN950" s="25"/>
      <c r="BO950" s="25"/>
      <c r="BP950" s="25"/>
      <c r="BQ950" s="25"/>
      <c r="BR950" s="25" t="str">
        <f>_xlfn.CONCAT($A951," ",$B951," ",$D951)</f>
        <v>2025 Volkswagen Group of ID.4 Pro</v>
      </c>
      <c r="BS950" s="25"/>
      <c r="BT950" s="25"/>
      <c r="BU950" s="25"/>
      <c r="BV950" s="25"/>
      <c r="BX950" s="25"/>
      <c r="BY950" s="25"/>
      <c r="BZ950" s="25"/>
      <c r="CA950" s="25"/>
      <c r="CB950" s="25"/>
      <c r="CC950" s="25"/>
      <c r="CD950" s="25"/>
      <c r="CE950" s="25"/>
      <c r="CF950" s="25"/>
      <c r="CG950" s="25"/>
      <c r="CH950" s="25"/>
      <c r="CI950" s="25"/>
      <c r="CJ950" s="25"/>
      <c r="CK950" s="25"/>
      <c r="CL950" s="25"/>
      <c r="CM950" s="25"/>
      <c r="CN950" s="25"/>
      <c r="CO950" s="25"/>
      <c r="CP950" s="25" t="str">
        <f>_xlfn.CONCAT($A951," ",$B951," ",$D951)</f>
        <v>2025 Volkswagen Group of ID.4 Pro</v>
      </c>
      <c r="CQ950" s="25"/>
      <c r="CR950" s="25"/>
      <c r="CS950" s="25"/>
      <c r="CT950" s="25"/>
      <c r="CU950" s="25"/>
      <c r="CV950" s="25"/>
      <c r="CW950" s="25"/>
      <c r="CX950" s="25"/>
      <c r="CY950" s="25"/>
      <c r="CZ950" s="25"/>
      <c r="DA950" s="25"/>
      <c r="DB950" s="25"/>
      <c r="DC950" s="25"/>
      <c r="DD950" s="25"/>
      <c r="DE950" s="25"/>
      <c r="DF950" s="25"/>
      <c r="DG950" s="25"/>
      <c r="DH950" s="25"/>
      <c r="DI950" s="25" t="str">
        <f>_xlfn.CONCAT($A951," ",$B951," ",$D951)</f>
        <v>2025 Volkswagen Group of ID.4 Pro</v>
      </c>
      <c r="DJ950" s="25"/>
      <c r="DK950" s="25"/>
      <c r="DL950" s="25"/>
      <c r="DM950" s="25"/>
      <c r="DN950" s="25"/>
      <c r="DO950" s="25"/>
      <c r="DP950" s="25"/>
      <c r="DQ950" s="25"/>
      <c r="DR950" s="25"/>
      <c r="DS950" s="25"/>
      <c r="DT950" s="25"/>
      <c r="DU950" s="25"/>
      <c r="DV950" s="25"/>
      <c r="DW950" s="25"/>
      <c r="DX950" s="25"/>
      <c r="DY950" s="25"/>
      <c r="DZ950" s="25" t="str">
        <f>_xlfn.CONCAT($A951," ",$B951," ",$D951)</f>
        <v>2025 Volkswagen Group of ID.4 Pro</v>
      </c>
      <c r="EB950" s="25"/>
      <c r="EC950" s="25"/>
      <c r="ED950" s="25"/>
      <c r="EE950" s="25"/>
      <c r="EF950" s="25"/>
      <c r="EG950" s="25"/>
      <c r="EH950" s="25"/>
      <c r="EI950" s="25"/>
      <c r="EJ950" s="25"/>
      <c r="EK950" s="25"/>
      <c r="EL950" s="25"/>
      <c r="EM950" s="25"/>
      <c r="EN950" s="25"/>
      <c r="EO950" s="25"/>
      <c r="EP950" s="25"/>
      <c r="EQ950" s="25"/>
      <c r="ER950" s="25"/>
      <c r="ES950" s="25"/>
      <c r="ET950" s="25"/>
      <c r="EU950" s="25"/>
      <c r="EV950" s="25" t="str">
        <f>_xlfn.CONCAT($A951," ",$B951," ",$D951)</f>
        <v>2025 Volkswagen Group of ID.4 Pro</v>
      </c>
      <c r="EW950" s="25"/>
      <c r="EX950" s="25"/>
      <c r="EY950" s="25"/>
      <c r="EZ950" s="25"/>
      <c r="FA950" s="25"/>
      <c r="FB950" s="25"/>
      <c r="FC950" s="25"/>
      <c r="FD950" s="25"/>
      <c r="FE950" s="25"/>
      <c r="FF950" s="25"/>
      <c r="FG950" s="25"/>
    </row>
    <row r="951" spans="1:165" x14ac:dyDescent="0.35">
      <c r="A951">
        <v>2025</v>
      </c>
      <c r="B951" t="s">
        <v>205</v>
      </c>
      <c r="C951" t="s">
        <v>643</v>
      </c>
      <c r="D951" t="s">
        <v>2404</v>
      </c>
      <c r="E951" t="s">
        <v>208</v>
      </c>
      <c r="F951">
        <v>309</v>
      </c>
      <c r="G951">
        <v>0</v>
      </c>
      <c r="I951" t="s">
        <v>1734</v>
      </c>
      <c r="J951">
        <v>122</v>
      </c>
      <c r="K951">
        <v>104</v>
      </c>
      <c r="L951">
        <v>113</v>
      </c>
      <c r="M951">
        <v>175</v>
      </c>
      <c r="N951">
        <v>147.9</v>
      </c>
      <c r="O951">
        <v>161.6696</v>
      </c>
      <c r="P951">
        <v>122.5</v>
      </c>
      <c r="Q951">
        <v>103.53</v>
      </c>
      <c r="R951">
        <v>113.1687</v>
      </c>
      <c r="V951" t="s">
        <v>167</v>
      </c>
      <c r="W951" t="s">
        <v>168</v>
      </c>
      <c r="X951" t="s">
        <v>1745</v>
      </c>
      <c r="Y951">
        <v>1</v>
      </c>
      <c r="Z951" t="s">
        <v>170</v>
      </c>
      <c r="AA951" t="s">
        <v>170</v>
      </c>
      <c r="AB951" t="s">
        <v>171</v>
      </c>
      <c r="AC951" t="s">
        <v>172</v>
      </c>
      <c r="AF951">
        <v>291</v>
      </c>
      <c r="AG951" t="s">
        <v>1735</v>
      </c>
      <c r="AH951" t="s">
        <v>1736</v>
      </c>
      <c r="AI951" t="s">
        <v>175</v>
      </c>
      <c r="AJ951" t="s">
        <v>176</v>
      </c>
      <c r="AK951">
        <v>4</v>
      </c>
      <c r="AL951" t="s">
        <v>1737</v>
      </c>
      <c r="AO951">
        <v>100</v>
      </c>
      <c r="AP951">
        <v>30</v>
      </c>
      <c r="AS951">
        <v>700</v>
      </c>
      <c r="AT951">
        <v>0</v>
      </c>
      <c r="BQ951">
        <v>30</v>
      </c>
      <c r="BR951" t="s">
        <v>1099</v>
      </c>
      <c r="BT951" t="s">
        <v>1738</v>
      </c>
      <c r="BU951" s="1">
        <v>47115</v>
      </c>
      <c r="BV951">
        <v>36016</v>
      </c>
      <c r="BX951" t="s">
        <v>170</v>
      </c>
      <c r="BY951" t="s">
        <v>170</v>
      </c>
      <c r="CB951" t="s">
        <v>170</v>
      </c>
      <c r="CC951" t="s">
        <v>170</v>
      </c>
      <c r="CK951" t="s">
        <v>233</v>
      </c>
      <c r="CM951">
        <v>1</v>
      </c>
      <c r="CN951" t="s">
        <v>234</v>
      </c>
      <c r="CP951">
        <v>350</v>
      </c>
      <c r="CQ951">
        <v>234</v>
      </c>
      <c r="CR951">
        <v>161.69999999999999</v>
      </c>
      <c r="CS951" t="s">
        <v>1752</v>
      </c>
      <c r="CV951" t="s">
        <v>341</v>
      </c>
      <c r="CX951" t="s">
        <v>1012</v>
      </c>
      <c r="CY951" t="s">
        <v>169</v>
      </c>
      <c r="DC951" t="s">
        <v>2401</v>
      </c>
      <c r="DD951">
        <v>1</v>
      </c>
      <c r="DE951" t="s">
        <v>404</v>
      </c>
      <c r="DF951" t="s">
        <v>2402</v>
      </c>
      <c r="DG951">
        <v>210</v>
      </c>
      <c r="DL951" t="s">
        <v>170</v>
      </c>
      <c r="DM951" t="s">
        <v>169</v>
      </c>
      <c r="DP951" t="s">
        <v>170</v>
      </c>
      <c r="DQ951" t="s">
        <v>187</v>
      </c>
      <c r="EB951">
        <v>9</v>
      </c>
      <c r="EC951">
        <v>10</v>
      </c>
      <c r="EE951" t="s">
        <v>2403</v>
      </c>
      <c r="EF951">
        <v>10</v>
      </c>
      <c r="EU951">
        <v>6000</v>
      </c>
      <c r="EW951">
        <v>0</v>
      </c>
      <c r="EX951">
        <v>0</v>
      </c>
      <c r="EY951">
        <v>0</v>
      </c>
      <c r="FA951">
        <v>8</v>
      </c>
      <c r="FG951">
        <v>313</v>
      </c>
      <c r="FH951">
        <v>264</v>
      </c>
      <c r="FI951">
        <v>291</v>
      </c>
    </row>
    <row r="952" spans="1:165" x14ac:dyDescent="0.35">
      <c r="A952">
        <v>2025</v>
      </c>
      <c r="B952" t="s">
        <v>205</v>
      </c>
      <c r="C952" t="s">
        <v>643</v>
      </c>
      <c r="D952" t="s">
        <v>2404</v>
      </c>
      <c r="E952" t="s">
        <v>208</v>
      </c>
      <c r="F952">
        <v>309</v>
      </c>
      <c r="G952">
        <v>0</v>
      </c>
      <c r="I952" t="s">
        <v>1734</v>
      </c>
      <c r="J952">
        <v>28</v>
      </c>
      <c r="K952">
        <v>33</v>
      </c>
      <c r="L952">
        <v>30</v>
      </c>
      <c r="M952">
        <v>19.260400000000001</v>
      </c>
      <c r="N952">
        <v>22.7852</v>
      </c>
      <c r="O952">
        <v>20.846599999999999</v>
      </c>
      <c r="P952">
        <v>27.514299999999999</v>
      </c>
      <c r="Q952">
        <v>32.555799999999998</v>
      </c>
      <c r="R952">
        <v>29.783000000000001</v>
      </c>
      <c r="V952" t="s">
        <v>167</v>
      </c>
      <c r="W952" t="s">
        <v>168</v>
      </c>
      <c r="X952" t="s">
        <v>1745</v>
      </c>
      <c r="Y952">
        <v>1</v>
      </c>
      <c r="Z952" t="s">
        <v>170</v>
      </c>
      <c r="AA952" t="s">
        <v>170</v>
      </c>
      <c r="AB952" t="s">
        <v>171</v>
      </c>
      <c r="AC952" t="s">
        <v>172</v>
      </c>
      <c r="AF952">
        <v>291</v>
      </c>
      <c r="AG952" t="s">
        <v>1735</v>
      </c>
      <c r="AH952" t="s">
        <v>1736</v>
      </c>
      <c r="AI952" t="s">
        <v>1742</v>
      </c>
      <c r="AJ952" t="s">
        <v>1743</v>
      </c>
      <c r="AK952">
        <v>4</v>
      </c>
      <c r="AL952" t="s">
        <v>1737</v>
      </c>
      <c r="AO952">
        <v>100</v>
      </c>
      <c r="AP952">
        <v>30</v>
      </c>
      <c r="AS952">
        <v>700</v>
      </c>
      <c r="AT952">
        <v>700</v>
      </c>
      <c r="BQ952">
        <v>30</v>
      </c>
      <c r="BR952" t="s">
        <v>1099</v>
      </c>
      <c r="BT952" t="s">
        <v>1738</v>
      </c>
      <c r="BU952" s="1">
        <v>47115</v>
      </c>
      <c r="BV952">
        <v>36016</v>
      </c>
      <c r="BX952" t="s">
        <v>170</v>
      </c>
      <c r="BY952" t="s">
        <v>170</v>
      </c>
      <c r="CB952" t="s">
        <v>170</v>
      </c>
      <c r="CC952" t="s">
        <v>170</v>
      </c>
      <c r="CK952" t="s">
        <v>233</v>
      </c>
      <c r="CM952">
        <v>1</v>
      </c>
      <c r="CN952" t="s">
        <v>234</v>
      </c>
      <c r="CP952">
        <v>350</v>
      </c>
      <c r="CQ952">
        <v>234</v>
      </c>
      <c r="CR952">
        <v>161.69999999999999</v>
      </c>
      <c r="CS952" t="s">
        <v>1752</v>
      </c>
      <c r="CV952" t="s">
        <v>341</v>
      </c>
      <c r="CX952" t="s">
        <v>1012</v>
      </c>
      <c r="CY952" t="s">
        <v>169</v>
      </c>
      <c r="DC952" t="s">
        <v>2401</v>
      </c>
      <c r="DD952">
        <v>1</v>
      </c>
      <c r="DE952" t="s">
        <v>404</v>
      </c>
      <c r="DF952" t="s">
        <v>2402</v>
      </c>
      <c r="DG952">
        <v>210</v>
      </c>
      <c r="DL952" t="s">
        <v>170</v>
      </c>
      <c r="DM952" t="s">
        <v>169</v>
      </c>
      <c r="DP952" t="s">
        <v>170</v>
      </c>
      <c r="DQ952" t="s">
        <v>187</v>
      </c>
      <c r="EB952">
        <v>9</v>
      </c>
      <c r="EC952">
        <v>10</v>
      </c>
      <c r="EE952" t="s">
        <v>2403</v>
      </c>
      <c r="EF952">
        <v>10</v>
      </c>
      <c r="EU952">
        <v>6000</v>
      </c>
      <c r="EW952">
        <v>0</v>
      </c>
      <c r="EX952">
        <v>0</v>
      </c>
      <c r="EY952">
        <v>0</v>
      </c>
      <c r="FA952">
        <v>8</v>
      </c>
      <c r="FG952">
        <v>313</v>
      </c>
      <c r="FH952">
        <v>264</v>
      </c>
      <c r="FI952">
        <v>291</v>
      </c>
    </row>
    <row r="953" spans="1:165" x14ac:dyDescent="0.35">
      <c r="A953" s="25"/>
      <c r="B953" s="25"/>
      <c r="C953" s="25"/>
      <c r="D953" s="25"/>
      <c r="E953" s="25"/>
      <c r="F953" s="25" t="str">
        <f>_xlfn.CONCAT($A954," ",$B954," ",$D954)</f>
        <v>2025 Volkswagen Group of ID.4 S</v>
      </c>
      <c r="G953" s="25"/>
      <c r="H953" s="25"/>
      <c r="I953" s="25"/>
      <c r="J953" s="25"/>
      <c r="K953" s="25"/>
      <c r="L953" s="25"/>
      <c r="M953" s="25"/>
      <c r="N953" s="25"/>
      <c r="O953" s="25"/>
      <c r="P953" s="25"/>
      <c r="Q953" s="25"/>
      <c r="R953" s="25"/>
      <c r="S953" s="25"/>
      <c r="T953" s="25"/>
      <c r="U953" s="25"/>
      <c r="V953" s="25"/>
      <c r="W953" s="25"/>
      <c r="X953" s="25"/>
      <c r="Y953" s="25"/>
      <c r="Z953" s="25"/>
      <c r="AA953" s="25"/>
      <c r="AB953" s="25"/>
      <c r="AC953" s="25"/>
      <c r="AD953" s="25" t="str">
        <f>_xlfn.CONCAT($A954," ",$B954," ",$D954)</f>
        <v>2025 Volkswagen Group of ID.4 S</v>
      </c>
      <c r="AE953" s="25"/>
      <c r="AF953" s="25"/>
      <c r="AG953" s="25"/>
      <c r="AH953" s="25"/>
      <c r="AI953" s="25"/>
      <c r="AJ953" s="25"/>
      <c r="AK953" s="25"/>
      <c r="AL953" s="25"/>
      <c r="AM953" s="25"/>
      <c r="AN953" s="25"/>
      <c r="AO953" s="25"/>
      <c r="AP953" s="25"/>
      <c r="AQ953" s="25"/>
      <c r="AR953" s="25"/>
      <c r="AS953" s="25"/>
      <c r="AT953" s="25"/>
      <c r="AU953" s="25"/>
      <c r="AV953" s="25"/>
      <c r="AW953" s="25"/>
      <c r="AX953" s="25" t="str">
        <f>_xlfn.CONCAT($A954," ",$B954," ",$D954)</f>
        <v>2025 Volkswagen Group of ID.4 S</v>
      </c>
      <c r="AY953" s="25"/>
      <c r="AZ953" s="25"/>
      <c r="BA953" s="25"/>
      <c r="BB953" s="25"/>
      <c r="BC953" s="25"/>
      <c r="BD953" s="25"/>
      <c r="BE953" s="25"/>
      <c r="BF953" s="25"/>
      <c r="BG953" s="25"/>
      <c r="BH953" s="25"/>
      <c r="BI953" s="25"/>
      <c r="BJ953" s="25"/>
      <c r="BK953" s="25"/>
      <c r="BL953" s="25"/>
      <c r="BM953" s="25"/>
      <c r="BN953" s="25"/>
      <c r="BO953" s="25"/>
      <c r="BP953" s="25"/>
      <c r="BQ953" s="25"/>
      <c r="BR953" s="25" t="str">
        <f>_xlfn.CONCAT($A954," ",$B954," ",$D954)</f>
        <v>2025 Volkswagen Group of ID.4 S</v>
      </c>
      <c r="BS953" s="25"/>
      <c r="BT953" s="25"/>
      <c r="BU953" s="25"/>
      <c r="BV953" s="25"/>
      <c r="BX953" s="25"/>
      <c r="BY953" s="25"/>
      <c r="BZ953" s="25"/>
      <c r="CA953" s="25"/>
      <c r="CB953" s="25"/>
      <c r="CC953" s="25"/>
      <c r="CD953" s="25"/>
      <c r="CE953" s="25"/>
      <c r="CF953" s="25"/>
      <c r="CG953" s="25"/>
      <c r="CH953" s="25"/>
      <c r="CI953" s="25"/>
      <c r="CJ953" s="25"/>
      <c r="CK953" s="25"/>
      <c r="CL953" s="25"/>
      <c r="CM953" s="25"/>
      <c r="CN953" s="25"/>
      <c r="CO953" s="25"/>
      <c r="CP953" s="25" t="str">
        <f>_xlfn.CONCAT($A954," ",$B954," ",$D954)</f>
        <v>2025 Volkswagen Group of ID.4 S</v>
      </c>
      <c r="CQ953" s="25"/>
      <c r="CR953" s="25"/>
      <c r="CS953" s="25"/>
      <c r="CT953" s="25"/>
      <c r="CU953" s="25"/>
      <c r="CV953" s="25"/>
      <c r="CW953" s="25"/>
      <c r="CX953" s="25"/>
      <c r="CY953" s="25"/>
      <c r="CZ953" s="25"/>
      <c r="DA953" s="25"/>
      <c r="DB953" s="25"/>
      <c r="DC953" s="25"/>
      <c r="DD953" s="25"/>
      <c r="DE953" s="25"/>
      <c r="DF953" s="25"/>
      <c r="DG953" s="25"/>
      <c r="DH953" s="25"/>
      <c r="DI953" s="25" t="str">
        <f>_xlfn.CONCAT($A954," ",$B954," ",$D954)</f>
        <v>2025 Volkswagen Group of ID.4 S</v>
      </c>
      <c r="DJ953" s="25"/>
      <c r="DK953" s="25"/>
      <c r="DL953" s="25"/>
      <c r="DM953" s="25"/>
      <c r="DN953" s="25"/>
      <c r="DO953" s="25"/>
      <c r="DP953" s="25"/>
      <c r="DQ953" s="25"/>
      <c r="DR953" s="25"/>
      <c r="DS953" s="25"/>
      <c r="DT953" s="25"/>
      <c r="DU953" s="25"/>
      <c r="DV953" s="25"/>
      <c r="DW953" s="25"/>
      <c r="DX953" s="25"/>
      <c r="DY953" s="25"/>
      <c r="DZ953" s="25" t="str">
        <f>_xlfn.CONCAT($A954," ",$B954," ",$D954)</f>
        <v>2025 Volkswagen Group of ID.4 S</v>
      </c>
      <c r="EB953" s="25"/>
      <c r="EC953" s="25"/>
      <c r="ED953" s="25"/>
      <c r="EE953" s="25"/>
      <c r="EF953" s="25"/>
      <c r="EG953" s="25"/>
      <c r="EH953" s="25"/>
      <c r="EI953" s="25"/>
      <c r="EJ953" s="25"/>
      <c r="EK953" s="25"/>
      <c r="EL953" s="25"/>
      <c r="EM953" s="25"/>
      <c r="EN953" s="25"/>
      <c r="EO953" s="25"/>
      <c r="EP953" s="25"/>
      <c r="EQ953" s="25"/>
      <c r="ER953" s="25"/>
      <c r="ES953" s="25"/>
      <c r="ET953" s="25"/>
      <c r="EU953" s="25"/>
      <c r="EV953" s="25" t="str">
        <f>_xlfn.CONCAT($A954," ",$B954," ",$D954)</f>
        <v>2025 Volkswagen Group of ID.4 S</v>
      </c>
      <c r="EW953" s="25"/>
      <c r="EX953" s="25"/>
      <c r="EY953" s="25"/>
      <c r="EZ953" s="25"/>
      <c r="FA953" s="25"/>
      <c r="FB953" s="25"/>
      <c r="FC953" s="25"/>
      <c r="FD953" s="25"/>
      <c r="FE953" s="25"/>
      <c r="FF953" s="25"/>
      <c r="FG953" s="25"/>
    </row>
    <row r="954" spans="1:165" x14ac:dyDescent="0.35">
      <c r="A954">
        <v>2025</v>
      </c>
      <c r="B954" t="s">
        <v>205</v>
      </c>
      <c r="C954" t="s">
        <v>643</v>
      </c>
      <c r="D954" t="s">
        <v>2406</v>
      </c>
      <c r="E954" t="s">
        <v>208</v>
      </c>
      <c r="F954">
        <v>310</v>
      </c>
      <c r="G954">
        <v>0</v>
      </c>
      <c r="I954" t="s">
        <v>1734</v>
      </c>
      <c r="J954">
        <v>115</v>
      </c>
      <c r="K954">
        <v>98</v>
      </c>
      <c r="L954">
        <v>107</v>
      </c>
      <c r="M954">
        <v>163.9</v>
      </c>
      <c r="N954">
        <v>140.30000000000001</v>
      </c>
      <c r="O954">
        <v>152.4</v>
      </c>
      <c r="P954">
        <v>114.7649</v>
      </c>
      <c r="Q954">
        <v>98.204800000000006</v>
      </c>
      <c r="R954">
        <v>106.6705</v>
      </c>
      <c r="V954" t="s">
        <v>167</v>
      </c>
      <c r="W954" t="s">
        <v>168</v>
      </c>
      <c r="X954" t="s">
        <v>1745</v>
      </c>
      <c r="Y954">
        <v>1</v>
      </c>
      <c r="Z954" t="s">
        <v>170</v>
      </c>
      <c r="AA954" t="s">
        <v>170</v>
      </c>
      <c r="AB954" t="s">
        <v>171</v>
      </c>
      <c r="AC954" t="s">
        <v>172</v>
      </c>
      <c r="AF954">
        <v>206</v>
      </c>
      <c r="AG954" t="s">
        <v>1735</v>
      </c>
      <c r="AH954" t="s">
        <v>1736</v>
      </c>
      <c r="AI954" t="s">
        <v>175</v>
      </c>
      <c r="AJ954" t="s">
        <v>176</v>
      </c>
      <c r="AK954">
        <v>4</v>
      </c>
      <c r="AL954" t="s">
        <v>1737</v>
      </c>
      <c r="AO954">
        <v>100</v>
      </c>
      <c r="AP954">
        <v>30</v>
      </c>
      <c r="AS954">
        <v>750</v>
      </c>
      <c r="AT954">
        <v>0</v>
      </c>
      <c r="BQ954">
        <v>30</v>
      </c>
      <c r="BR954" t="s">
        <v>1099</v>
      </c>
      <c r="BT954" t="s">
        <v>1738</v>
      </c>
      <c r="BU954" s="1">
        <v>47115</v>
      </c>
      <c r="BV954">
        <v>36015</v>
      </c>
      <c r="BX954" t="s">
        <v>170</v>
      </c>
      <c r="BY954" t="s">
        <v>170</v>
      </c>
      <c r="CB954" t="s">
        <v>170</v>
      </c>
      <c r="CC954" t="s">
        <v>170</v>
      </c>
      <c r="CK954" t="s">
        <v>233</v>
      </c>
      <c r="CM954">
        <v>1</v>
      </c>
      <c r="CN954" t="s">
        <v>234</v>
      </c>
      <c r="CP954">
        <v>350</v>
      </c>
      <c r="CQ954">
        <v>234</v>
      </c>
      <c r="CR954">
        <v>161.69999999999999</v>
      </c>
      <c r="CS954" t="s">
        <v>1752</v>
      </c>
      <c r="CV954" t="s">
        <v>341</v>
      </c>
      <c r="CX954" t="s">
        <v>1012</v>
      </c>
      <c r="CY954" t="s">
        <v>169</v>
      </c>
      <c r="DC954" t="s">
        <v>2401</v>
      </c>
      <c r="DD954">
        <v>1</v>
      </c>
      <c r="DE954" t="s">
        <v>404</v>
      </c>
      <c r="DF954" t="s">
        <v>2402</v>
      </c>
      <c r="DG954">
        <v>210</v>
      </c>
      <c r="DL954" t="s">
        <v>170</v>
      </c>
      <c r="DM954" t="s">
        <v>169</v>
      </c>
      <c r="DP954" t="s">
        <v>170</v>
      </c>
      <c r="DQ954" t="s">
        <v>187</v>
      </c>
      <c r="EB954">
        <v>9</v>
      </c>
      <c r="EC954">
        <v>10</v>
      </c>
      <c r="EE954" t="s">
        <v>2403</v>
      </c>
      <c r="EF954">
        <v>10</v>
      </c>
      <c r="EU954">
        <v>5750</v>
      </c>
      <c r="EW954">
        <v>0</v>
      </c>
      <c r="EX954">
        <v>0</v>
      </c>
      <c r="EY954">
        <v>0</v>
      </c>
      <c r="FA954">
        <v>6</v>
      </c>
      <c r="FG954">
        <v>220</v>
      </c>
      <c r="FH954">
        <v>189</v>
      </c>
      <c r="FI954">
        <v>206</v>
      </c>
    </row>
    <row r="955" spans="1:165" x14ac:dyDescent="0.35">
      <c r="A955">
        <v>2025</v>
      </c>
      <c r="B955" t="s">
        <v>205</v>
      </c>
      <c r="C955" t="s">
        <v>643</v>
      </c>
      <c r="D955" t="s">
        <v>2406</v>
      </c>
      <c r="E955" t="s">
        <v>208</v>
      </c>
      <c r="F955">
        <v>310</v>
      </c>
      <c r="G955">
        <v>0</v>
      </c>
      <c r="I955" t="s">
        <v>1734</v>
      </c>
      <c r="J955">
        <v>29</v>
      </c>
      <c r="K955">
        <v>34</v>
      </c>
      <c r="L955">
        <v>32</v>
      </c>
      <c r="M955">
        <v>20.558900000000001</v>
      </c>
      <c r="N955">
        <v>24.0227</v>
      </c>
      <c r="O955">
        <v>22.117599999999999</v>
      </c>
      <c r="P955">
        <v>29.3687</v>
      </c>
      <c r="Q955">
        <v>34.321199999999997</v>
      </c>
      <c r="R955">
        <v>31.597300000000001</v>
      </c>
      <c r="V955" t="s">
        <v>167</v>
      </c>
      <c r="W955" t="s">
        <v>168</v>
      </c>
      <c r="X955" t="s">
        <v>1745</v>
      </c>
      <c r="Y955">
        <v>1</v>
      </c>
      <c r="Z955" t="s">
        <v>170</v>
      </c>
      <c r="AA955" t="s">
        <v>170</v>
      </c>
      <c r="AB955" t="s">
        <v>171</v>
      </c>
      <c r="AC955" t="s">
        <v>172</v>
      </c>
      <c r="AF955">
        <v>206</v>
      </c>
      <c r="AG955" t="s">
        <v>1735</v>
      </c>
      <c r="AH955" t="s">
        <v>1736</v>
      </c>
      <c r="AI955" t="s">
        <v>1742</v>
      </c>
      <c r="AJ955" t="s">
        <v>1743</v>
      </c>
      <c r="AK955">
        <v>4</v>
      </c>
      <c r="AL955" t="s">
        <v>1737</v>
      </c>
      <c r="AO955">
        <v>100</v>
      </c>
      <c r="AP955">
        <v>30</v>
      </c>
      <c r="AS955">
        <v>750</v>
      </c>
      <c r="AT955">
        <v>750</v>
      </c>
      <c r="BQ955">
        <v>30</v>
      </c>
      <c r="BR955" t="s">
        <v>1099</v>
      </c>
      <c r="BT955" t="s">
        <v>1738</v>
      </c>
      <c r="BU955" s="1">
        <v>47115</v>
      </c>
      <c r="BV955">
        <v>36015</v>
      </c>
      <c r="BX955" t="s">
        <v>170</v>
      </c>
      <c r="BY955" t="s">
        <v>170</v>
      </c>
      <c r="CB955" t="s">
        <v>170</v>
      </c>
      <c r="CC955" t="s">
        <v>170</v>
      </c>
      <c r="CK955" t="s">
        <v>233</v>
      </c>
      <c r="CM955">
        <v>1</v>
      </c>
      <c r="CN955" t="s">
        <v>234</v>
      </c>
      <c r="CP955">
        <v>350</v>
      </c>
      <c r="CQ955">
        <v>234</v>
      </c>
      <c r="CR955">
        <v>161.69999999999999</v>
      </c>
      <c r="CS955" t="s">
        <v>1752</v>
      </c>
      <c r="CV955" t="s">
        <v>341</v>
      </c>
      <c r="CX955" t="s">
        <v>1012</v>
      </c>
      <c r="CY955" t="s">
        <v>169</v>
      </c>
      <c r="DC955" t="s">
        <v>2401</v>
      </c>
      <c r="DD955">
        <v>1</v>
      </c>
      <c r="DE955" t="s">
        <v>404</v>
      </c>
      <c r="DF955" t="s">
        <v>2402</v>
      </c>
      <c r="DG955">
        <v>210</v>
      </c>
      <c r="DL955" t="s">
        <v>170</v>
      </c>
      <c r="DM955" t="s">
        <v>169</v>
      </c>
      <c r="DP955" t="s">
        <v>170</v>
      </c>
      <c r="DQ955" t="s">
        <v>187</v>
      </c>
      <c r="EB955">
        <v>9</v>
      </c>
      <c r="EC955">
        <v>10</v>
      </c>
      <c r="EE955" t="s">
        <v>2403</v>
      </c>
      <c r="EF955">
        <v>10</v>
      </c>
      <c r="EU955">
        <v>5750</v>
      </c>
      <c r="EW955">
        <v>0</v>
      </c>
      <c r="EX955">
        <v>0</v>
      </c>
      <c r="EY955">
        <v>0</v>
      </c>
      <c r="FA955">
        <v>6</v>
      </c>
      <c r="FG955">
        <v>220</v>
      </c>
      <c r="FH955">
        <v>189</v>
      </c>
      <c r="FI955">
        <v>206</v>
      </c>
    </row>
    <row r="956" spans="1:165" x14ac:dyDescent="0.35">
      <c r="A956" s="25"/>
      <c r="B956" s="25"/>
      <c r="C956" s="25"/>
      <c r="D956" s="25"/>
      <c r="E956" s="25"/>
      <c r="F956" s="25" t="str">
        <f>_xlfn.CONCAT($A957," ",$B957," ",$D957)</f>
        <v>2025 Volkswagen Group of ID.4</v>
      </c>
      <c r="G956" s="25"/>
      <c r="H956" s="25"/>
      <c r="I956" s="25"/>
      <c r="J956" s="25"/>
      <c r="K956" s="25"/>
      <c r="L956" s="25"/>
      <c r="M956" s="25"/>
      <c r="N956" s="25"/>
      <c r="O956" s="25"/>
      <c r="P956" s="25"/>
      <c r="Q956" s="25"/>
      <c r="R956" s="25"/>
      <c r="S956" s="25"/>
      <c r="T956" s="25"/>
      <c r="U956" s="25"/>
      <c r="V956" s="25"/>
      <c r="W956" s="25"/>
      <c r="X956" s="25"/>
      <c r="Y956" s="25"/>
      <c r="Z956" s="25"/>
      <c r="AA956" s="25"/>
      <c r="AB956" s="25"/>
      <c r="AC956" s="25"/>
      <c r="AD956" s="25" t="str">
        <f>_xlfn.CONCAT($A957," ",$B957," ",$D957)</f>
        <v>2025 Volkswagen Group of ID.4</v>
      </c>
      <c r="AE956" s="25"/>
      <c r="AF956" s="25"/>
      <c r="AG956" s="25"/>
      <c r="AH956" s="25"/>
      <c r="AI956" s="25"/>
      <c r="AJ956" s="25"/>
      <c r="AK956" s="25"/>
      <c r="AL956" s="25"/>
      <c r="AM956" s="25"/>
      <c r="AN956" s="25"/>
      <c r="AO956" s="25"/>
      <c r="AP956" s="25"/>
      <c r="AQ956" s="25"/>
      <c r="AR956" s="25"/>
      <c r="AS956" s="25"/>
      <c r="AT956" s="25"/>
      <c r="AU956" s="25"/>
      <c r="AV956" s="25"/>
      <c r="AW956" s="25"/>
      <c r="AX956" s="25" t="str">
        <f>_xlfn.CONCAT($A957," ",$B957," ",$D957)</f>
        <v>2025 Volkswagen Group of ID.4</v>
      </c>
      <c r="AY956" s="25"/>
      <c r="AZ956" s="25"/>
      <c r="BA956" s="25"/>
      <c r="BB956" s="25"/>
      <c r="BC956" s="25"/>
      <c r="BD956" s="25"/>
      <c r="BE956" s="25"/>
      <c r="BF956" s="25"/>
      <c r="BG956" s="25"/>
      <c r="BH956" s="25"/>
      <c r="BI956" s="25"/>
      <c r="BJ956" s="25"/>
      <c r="BK956" s="25"/>
      <c r="BL956" s="25"/>
      <c r="BM956" s="25"/>
      <c r="BN956" s="25"/>
      <c r="BO956" s="25"/>
      <c r="BP956" s="25"/>
      <c r="BQ956" s="25"/>
      <c r="BR956" s="25" t="str">
        <f>_xlfn.CONCAT($A957," ",$B957," ",$D957)</f>
        <v>2025 Volkswagen Group of ID.4</v>
      </c>
      <c r="BS956" s="25"/>
      <c r="BT956" s="25"/>
      <c r="BU956" s="25"/>
      <c r="BV956" s="25"/>
      <c r="BX956" s="25"/>
      <c r="BY956" s="25"/>
      <c r="BZ956" s="25"/>
      <c r="CA956" s="25"/>
      <c r="CB956" s="25"/>
      <c r="CC956" s="25"/>
      <c r="CD956" s="25"/>
      <c r="CE956" s="25"/>
      <c r="CF956" s="25"/>
      <c r="CG956" s="25"/>
      <c r="CH956" s="25"/>
      <c r="CI956" s="25"/>
      <c r="CJ956" s="25"/>
      <c r="CK956" s="25"/>
      <c r="CL956" s="25"/>
      <c r="CM956" s="25"/>
      <c r="CN956" s="25"/>
      <c r="CO956" s="25"/>
      <c r="CP956" s="25" t="str">
        <f>_xlfn.CONCAT($A957," ",$B957," ",$D957)</f>
        <v>2025 Volkswagen Group of ID.4</v>
      </c>
      <c r="CQ956" s="25"/>
      <c r="CR956" s="25"/>
      <c r="CS956" s="25"/>
      <c r="CT956" s="25"/>
      <c r="CU956" s="25"/>
      <c r="CV956" s="25"/>
      <c r="CW956" s="25"/>
      <c r="CX956" s="25"/>
      <c r="CY956" s="25"/>
      <c r="CZ956" s="25"/>
      <c r="DA956" s="25"/>
      <c r="DB956" s="25"/>
      <c r="DC956" s="25"/>
      <c r="DD956" s="25"/>
      <c r="DE956" s="25"/>
      <c r="DF956" s="25"/>
      <c r="DG956" s="25"/>
      <c r="DH956" s="25"/>
      <c r="DI956" s="25" t="str">
        <f>_xlfn.CONCAT($A957," ",$B957," ",$D957)</f>
        <v>2025 Volkswagen Group of ID.4</v>
      </c>
      <c r="DJ956" s="25"/>
      <c r="DK956" s="25"/>
      <c r="DL956" s="25"/>
      <c r="DM956" s="25"/>
      <c r="DN956" s="25"/>
      <c r="DO956" s="25"/>
      <c r="DP956" s="25"/>
      <c r="DQ956" s="25"/>
      <c r="DR956" s="25"/>
      <c r="DS956" s="25"/>
      <c r="DT956" s="25"/>
      <c r="DU956" s="25"/>
      <c r="DV956" s="25"/>
      <c r="DW956" s="25"/>
      <c r="DX956" s="25"/>
      <c r="DY956" s="25"/>
      <c r="DZ956" s="25" t="str">
        <f>_xlfn.CONCAT($A957," ",$B957," ",$D957)</f>
        <v>2025 Volkswagen Group of ID.4</v>
      </c>
      <c r="EB956" s="25"/>
      <c r="EC956" s="25"/>
      <c r="ED956" s="25"/>
      <c r="EE956" s="25"/>
      <c r="EF956" s="25"/>
      <c r="EG956" s="25"/>
      <c r="EH956" s="25"/>
      <c r="EI956" s="25"/>
      <c r="EJ956" s="25"/>
      <c r="EK956" s="25"/>
      <c r="EL956" s="25"/>
      <c r="EM956" s="25"/>
      <c r="EN956" s="25"/>
      <c r="EO956" s="25"/>
      <c r="EP956" s="25"/>
      <c r="EQ956" s="25"/>
      <c r="ER956" s="25"/>
      <c r="ES956" s="25"/>
      <c r="ET956" s="25"/>
      <c r="EU956" s="25"/>
      <c r="EV956" s="25" t="str">
        <f>_xlfn.CONCAT($A957," ",$B957," ",$D957)</f>
        <v>2025 Volkswagen Group of ID.4</v>
      </c>
      <c r="EW956" s="25"/>
      <c r="EX956" s="25"/>
      <c r="EY956" s="25"/>
      <c r="EZ956" s="25"/>
      <c r="FA956" s="25"/>
      <c r="FB956" s="25"/>
      <c r="FC956" s="25"/>
      <c r="FD956" s="25"/>
      <c r="FE956" s="25"/>
      <c r="FF956" s="25"/>
      <c r="FG956" s="25"/>
    </row>
    <row r="957" spans="1:165" x14ac:dyDescent="0.35">
      <c r="A957">
        <v>2025</v>
      </c>
      <c r="B957" t="s">
        <v>205</v>
      </c>
      <c r="C957" t="s">
        <v>643</v>
      </c>
      <c r="D957" t="s">
        <v>2400</v>
      </c>
      <c r="E957" t="s">
        <v>208</v>
      </c>
      <c r="F957">
        <v>311</v>
      </c>
      <c r="G957">
        <v>0</v>
      </c>
      <c r="I957" t="s">
        <v>1734</v>
      </c>
      <c r="J957">
        <v>115</v>
      </c>
      <c r="K957">
        <v>98</v>
      </c>
      <c r="L957">
        <v>107</v>
      </c>
      <c r="M957">
        <v>163.9</v>
      </c>
      <c r="N957">
        <v>140.30000000000001</v>
      </c>
      <c r="O957">
        <v>152.4</v>
      </c>
      <c r="P957">
        <v>114.7649</v>
      </c>
      <c r="Q957">
        <v>98.204800000000006</v>
      </c>
      <c r="R957">
        <v>106.6705</v>
      </c>
      <c r="V957" t="s">
        <v>167</v>
      </c>
      <c r="W957" t="s">
        <v>168</v>
      </c>
      <c r="X957" t="s">
        <v>1745</v>
      </c>
      <c r="Y957">
        <v>1</v>
      </c>
      <c r="Z957" t="s">
        <v>170</v>
      </c>
      <c r="AA957" t="s">
        <v>170</v>
      </c>
      <c r="AB957" t="s">
        <v>171</v>
      </c>
      <c r="AC957" t="s">
        <v>172</v>
      </c>
      <c r="AF957">
        <v>206</v>
      </c>
      <c r="AG957" t="s">
        <v>1735</v>
      </c>
      <c r="AH957" t="s">
        <v>1736</v>
      </c>
      <c r="AI957" t="s">
        <v>175</v>
      </c>
      <c r="AJ957" t="s">
        <v>176</v>
      </c>
      <c r="AK957">
        <v>4</v>
      </c>
      <c r="AL957" t="s">
        <v>1737</v>
      </c>
      <c r="AO957">
        <v>100</v>
      </c>
      <c r="AP957">
        <v>30</v>
      </c>
      <c r="AS957">
        <v>750</v>
      </c>
      <c r="AT957">
        <v>0</v>
      </c>
      <c r="BQ957">
        <v>30</v>
      </c>
      <c r="BR957" t="s">
        <v>1099</v>
      </c>
      <c r="BT957" t="s">
        <v>1738</v>
      </c>
      <c r="BU957" s="1">
        <v>47115</v>
      </c>
      <c r="BV957">
        <v>36014</v>
      </c>
      <c r="BX957" t="s">
        <v>170</v>
      </c>
      <c r="BY957" t="s">
        <v>170</v>
      </c>
      <c r="CB957" t="s">
        <v>170</v>
      </c>
      <c r="CC957" t="s">
        <v>170</v>
      </c>
      <c r="CK957" t="s">
        <v>233</v>
      </c>
      <c r="CM957">
        <v>1</v>
      </c>
      <c r="CN957" t="s">
        <v>234</v>
      </c>
      <c r="CP957">
        <v>350</v>
      </c>
      <c r="CQ957">
        <v>234</v>
      </c>
      <c r="CR957">
        <v>161.69999999999999</v>
      </c>
      <c r="CS957" t="s">
        <v>1752</v>
      </c>
      <c r="CV957" t="s">
        <v>341</v>
      </c>
      <c r="CX957" t="s">
        <v>1012</v>
      </c>
      <c r="CY957" t="s">
        <v>169</v>
      </c>
      <c r="DC957" t="s">
        <v>2401</v>
      </c>
      <c r="DD957">
        <v>1</v>
      </c>
      <c r="DE957" t="s">
        <v>404</v>
      </c>
      <c r="DF957" t="s">
        <v>2402</v>
      </c>
      <c r="DG957">
        <v>210</v>
      </c>
      <c r="DL957" t="s">
        <v>170</v>
      </c>
      <c r="DM957" t="s">
        <v>169</v>
      </c>
      <c r="DP957" t="s">
        <v>170</v>
      </c>
      <c r="DQ957" t="s">
        <v>187</v>
      </c>
      <c r="EB957">
        <v>9</v>
      </c>
      <c r="EC957">
        <v>10</v>
      </c>
      <c r="EE957" t="s">
        <v>2403</v>
      </c>
      <c r="EF957">
        <v>10</v>
      </c>
      <c r="EU957">
        <v>5750</v>
      </c>
      <c r="EW957">
        <v>0</v>
      </c>
      <c r="EX957">
        <v>0</v>
      </c>
      <c r="EY957">
        <v>0</v>
      </c>
      <c r="FA957">
        <v>6</v>
      </c>
      <c r="FG957">
        <v>220</v>
      </c>
      <c r="FH957">
        <v>189</v>
      </c>
      <c r="FI957">
        <v>206</v>
      </c>
    </row>
    <row r="958" spans="1:165" x14ac:dyDescent="0.35">
      <c r="A958">
        <v>2025</v>
      </c>
      <c r="B958" t="s">
        <v>205</v>
      </c>
      <c r="C958" t="s">
        <v>643</v>
      </c>
      <c r="D958" t="s">
        <v>2400</v>
      </c>
      <c r="E958" t="s">
        <v>208</v>
      </c>
      <c r="F958">
        <v>311</v>
      </c>
      <c r="G958">
        <v>0</v>
      </c>
      <c r="I958" t="s">
        <v>1734</v>
      </c>
      <c r="J958">
        <v>29</v>
      </c>
      <c r="K958">
        <v>34</v>
      </c>
      <c r="L958">
        <v>32</v>
      </c>
      <c r="M958">
        <v>20.558900000000001</v>
      </c>
      <c r="N958">
        <v>24.0227</v>
      </c>
      <c r="O958">
        <v>22.117599999999999</v>
      </c>
      <c r="P958">
        <v>29.3687</v>
      </c>
      <c r="Q958">
        <v>34.321199999999997</v>
      </c>
      <c r="R958">
        <v>31.597300000000001</v>
      </c>
      <c r="V958" t="s">
        <v>167</v>
      </c>
      <c r="W958" t="s">
        <v>168</v>
      </c>
      <c r="X958" t="s">
        <v>1745</v>
      </c>
      <c r="Y958">
        <v>1</v>
      </c>
      <c r="Z958" t="s">
        <v>170</v>
      </c>
      <c r="AA958" t="s">
        <v>170</v>
      </c>
      <c r="AB958" t="s">
        <v>171</v>
      </c>
      <c r="AC958" t="s">
        <v>172</v>
      </c>
      <c r="AF958">
        <v>206</v>
      </c>
      <c r="AG958" t="s">
        <v>1735</v>
      </c>
      <c r="AH958" t="s">
        <v>1736</v>
      </c>
      <c r="AI958" t="s">
        <v>1742</v>
      </c>
      <c r="AJ958" t="s">
        <v>1743</v>
      </c>
      <c r="AK958">
        <v>4</v>
      </c>
      <c r="AL958" t="s">
        <v>1737</v>
      </c>
      <c r="AO958">
        <v>100</v>
      </c>
      <c r="AP958">
        <v>30</v>
      </c>
      <c r="AS958">
        <v>750</v>
      </c>
      <c r="AT958">
        <v>750</v>
      </c>
      <c r="BQ958">
        <v>30</v>
      </c>
      <c r="BR958" t="s">
        <v>1099</v>
      </c>
      <c r="BT958" t="s">
        <v>1738</v>
      </c>
      <c r="BU958" s="1">
        <v>47115</v>
      </c>
      <c r="BV958">
        <v>36014</v>
      </c>
      <c r="BX958" t="s">
        <v>170</v>
      </c>
      <c r="BY958" t="s">
        <v>170</v>
      </c>
      <c r="CB958" t="s">
        <v>170</v>
      </c>
      <c r="CC958" t="s">
        <v>170</v>
      </c>
      <c r="CK958" t="s">
        <v>233</v>
      </c>
      <c r="CM958">
        <v>1</v>
      </c>
      <c r="CN958" t="s">
        <v>234</v>
      </c>
      <c r="CP958">
        <v>350</v>
      </c>
      <c r="CQ958">
        <v>234</v>
      </c>
      <c r="CR958">
        <v>161.69999999999999</v>
      </c>
      <c r="CS958" t="s">
        <v>1752</v>
      </c>
      <c r="CV958" t="s">
        <v>341</v>
      </c>
      <c r="CX958" t="s">
        <v>1012</v>
      </c>
      <c r="CY958" t="s">
        <v>169</v>
      </c>
      <c r="DC958" t="s">
        <v>2401</v>
      </c>
      <c r="DD958">
        <v>1</v>
      </c>
      <c r="DE958" t="s">
        <v>404</v>
      </c>
      <c r="DF958" t="s">
        <v>2402</v>
      </c>
      <c r="DG958">
        <v>210</v>
      </c>
      <c r="DL958" t="s">
        <v>170</v>
      </c>
      <c r="DM958" t="s">
        <v>169</v>
      </c>
      <c r="DP958" t="s">
        <v>170</v>
      </c>
      <c r="DQ958" t="s">
        <v>187</v>
      </c>
      <c r="EB958">
        <v>9</v>
      </c>
      <c r="EC958">
        <v>10</v>
      </c>
      <c r="EE958" t="s">
        <v>2403</v>
      </c>
      <c r="EF958">
        <v>10</v>
      </c>
      <c r="EU958">
        <v>5750</v>
      </c>
      <c r="EW958">
        <v>0</v>
      </c>
      <c r="EX958">
        <v>0</v>
      </c>
      <c r="EY958">
        <v>0</v>
      </c>
      <c r="FA958">
        <v>6</v>
      </c>
      <c r="FG958">
        <v>220</v>
      </c>
      <c r="FH958">
        <v>189</v>
      </c>
      <c r="FI958">
        <v>206</v>
      </c>
    </row>
    <row r="959" spans="1:165" x14ac:dyDescent="0.35">
      <c r="A959" s="25"/>
      <c r="B959" s="25"/>
      <c r="C959" s="25"/>
      <c r="D959" s="25"/>
      <c r="E959" s="25"/>
      <c r="F959" s="25" t="str">
        <f>_xlfn.CONCAT($A960," ",$B960," ",$D960)</f>
        <v>2025 Volkswagen Group of ID. Buzz</v>
      </c>
      <c r="G959" s="25"/>
      <c r="H959" s="25"/>
      <c r="I959" s="25"/>
      <c r="J959" s="25"/>
      <c r="K959" s="25"/>
      <c r="L959" s="25"/>
      <c r="M959" s="25"/>
      <c r="N959" s="25"/>
      <c r="O959" s="25"/>
      <c r="P959" s="25"/>
      <c r="Q959" s="25"/>
      <c r="R959" s="25"/>
      <c r="S959" s="25"/>
      <c r="T959" s="25"/>
      <c r="U959" s="25"/>
      <c r="V959" s="25"/>
      <c r="W959" s="25"/>
      <c r="X959" s="25"/>
      <c r="Y959" s="25"/>
      <c r="Z959" s="25"/>
      <c r="AA959" s="25"/>
      <c r="AB959" s="25"/>
      <c r="AC959" s="25"/>
      <c r="AD959" s="25" t="str">
        <f>_xlfn.CONCAT($A960," ",$B960," ",$D960)</f>
        <v>2025 Volkswagen Group of ID. Buzz</v>
      </c>
      <c r="AE959" s="25"/>
      <c r="AF959" s="25"/>
      <c r="AG959" s="25"/>
      <c r="AH959" s="25"/>
      <c r="AI959" s="25"/>
      <c r="AJ959" s="25"/>
      <c r="AK959" s="25"/>
      <c r="AL959" s="25"/>
      <c r="AM959" s="25"/>
      <c r="AN959" s="25"/>
      <c r="AO959" s="25"/>
      <c r="AP959" s="25"/>
      <c r="AQ959" s="25"/>
      <c r="AR959" s="25"/>
      <c r="AS959" s="25"/>
      <c r="AT959" s="25"/>
      <c r="AU959" s="25"/>
      <c r="AV959" s="25"/>
      <c r="AW959" s="25"/>
      <c r="AX959" s="25" t="str">
        <f>_xlfn.CONCAT($A960," ",$B960," ",$D960)</f>
        <v>2025 Volkswagen Group of ID. Buzz</v>
      </c>
      <c r="AY959" s="25"/>
      <c r="AZ959" s="25"/>
      <c r="BA959" s="25"/>
      <c r="BB959" s="25"/>
      <c r="BC959" s="25"/>
      <c r="BD959" s="25"/>
      <c r="BE959" s="25"/>
      <c r="BF959" s="25"/>
      <c r="BG959" s="25"/>
      <c r="BH959" s="25"/>
      <c r="BI959" s="25"/>
      <c r="BJ959" s="25"/>
      <c r="BK959" s="25"/>
      <c r="BL959" s="25"/>
      <c r="BM959" s="25"/>
      <c r="BN959" s="25"/>
      <c r="BO959" s="25"/>
      <c r="BP959" s="25"/>
      <c r="BQ959" s="25"/>
      <c r="BR959" s="25" t="str">
        <f>_xlfn.CONCAT($A960," ",$B960," ",$D960)</f>
        <v>2025 Volkswagen Group of ID. Buzz</v>
      </c>
      <c r="BS959" s="25"/>
      <c r="BT959" s="25"/>
      <c r="BU959" s="25"/>
      <c r="BV959" s="25"/>
      <c r="BX959" s="25"/>
      <c r="BY959" s="25"/>
      <c r="BZ959" s="25"/>
      <c r="CA959" s="25"/>
      <c r="CB959" s="25"/>
      <c r="CC959" s="25"/>
      <c r="CD959" s="25"/>
      <c r="CE959" s="25"/>
      <c r="CF959" s="25"/>
      <c r="CG959" s="25"/>
      <c r="CH959" s="25"/>
      <c r="CI959" s="25"/>
      <c r="CJ959" s="25"/>
      <c r="CK959" s="25"/>
      <c r="CL959" s="25"/>
      <c r="CM959" s="25"/>
      <c r="CN959" s="25"/>
      <c r="CO959" s="25"/>
      <c r="CP959" s="25" t="str">
        <f>_xlfn.CONCAT($A960," ",$B960," ",$D960)</f>
        <v>2025 Volkswagen Group of ID. Buzz</v>
      </c>
      <c r="CQ959" s="25"/>
      <c r="CR959" s="25"/>
      <c r="CS959" s="25"/>
      <c r="CT959" s="25"/>
      <c r="CU959" s="25"/>
      <c r="CV959" s="25"/>
      <c r="CW959" s="25"/>
      <c r="CX959" s="25"/>
      <c r="CY959" s="25"/>
      <c r="CZ959" s="25"/>
      <c r="DA959" s="25"/>
      <c r="DB959" s="25"/>
      <c r="DC959" s="25"/>
      <c r="DD959" s="25"/>
      <c r="DE959" s="25"/>
      <c r="DF959" s="25"/>
      <c r="DG959" s="25"/>
      <c r="DH959" s="25"/>
      <c r="DI959" s="25" t="str">
        <f>_xlfn.CONCAT($A960," ",$B960," ",$D960)</f>
        <v>2025 Volkswagen Group of ID. Buzz</v>
      </c>
      <c r="DJ959" s="25"/>
      <c r="DK959" s="25"/>
      <c r="DL959" s="25"/>
      <c r="DM959" s="25"/>
      <c r="DN959" s="25"/>
      <c r="DO959" s="25"/>
      <c r="DP959" s="25"/>
      <c r="DQ959" s="25"/>
      <c r="DR959" s="25"/>
      <c r="DS959" s="25"/>
      <c r="DT959" s="25"/>
      <c r="DU959" s="25"/>
      <c r="DV959" s="25"/>
      <c r="DW959" s="25"/>
      <c r="DX959" s="25"/>
      <c r="DY959" s="25"/>
      <c r="DZ959" s="25" t="str">
        <f>_xlfn.CONCAT($A960," ",$B960," ",$D960)</f>
        <v>2025 Volkswagen Group of ID. Buzz</v>
      </c>
      <c r="EB959" s="25"/>
      <c r="EC959" s="25"/>
      <c r="ED959" s="25"/>
      <c r="EE959" s="25"/>
      <c r="EF959" s="25"/>
      <c r="EG959" s="25"/>
      <c r="EH959" s="25"/>
      <c r="EI959" s="25"/>
      <c r="EJ959" s="25"/>
      <c r="EK959" s="25"/>
      <c r="EL959" s="25"/>
      <c r="EM959" s="25"/>
      <c r="EN959" s="25"/>
      <c r="EO959" s="25"/>
      <c r="EP959" s="25"/>
      <c r="EQ959" s="25"/>
      <c r="ER959" s="25"/>
      <c r="ES959" s="25"/>
      <c r="ET959" s="25"/>
      <c r="EU959" s="25"/>
      <c r="EV959" s="25" t="str">
        <f>_xlfn.CONCAT($A960," ",$B960," ",$D960)</f>
        <v>2025 Volkswagen Group of ID. Buzz</v>
      </c>
      <c r="EW959" s="25"/>
      <c r="EX959" s="25"/>
      <c r="EY959" s="25"/>
      <c r="EZ959" s="25"/>
      <c r="FA959" s="25"/>
      <c r="FB959" s="25"/>
      <c r="FC959" s="25"/>
      <c r="FD959" s="25"/>
      <c r="FE959" s="25"/>
      <c r="FF959" s="25"/>
      <c r="FG959" s="25"/>
    </row>
    <row r="960" spans="1:165" x14ac:dyDescent="0.35">
      <c r="A960">
        <v>2025</v>
      </c>
      <c r="B960" t="s">
        <v>205</v>
      </c>
      <c r="C960" t="s">
        <v>643</v>
      </c>
      <c r="D960" t="s">
        <v>2355</v>
      </c>
      <c r="E960" t="s">
        <v>208</v>
      </c>
      <c r="F960">
        <v>395</v>
      </c>
      <c r="G960">
        <v>0</v>
      </c>
      <c r="I960" t="s">
        <v>1734</v>
      </c>
      <c r="J960">
        <v>90</v>
      </c>
      <c r="K960">
        <v>75</v>
      </c>
      <c r="L960">
        <v>83</v>
      </c>
      <c r="M960">
        <v>128.69999999999999</v>
      </c>
      <c r="N960">
        <v>107.3</v>
      </c>
      <c r="O960">
        <v>118.1007</v>
      </c>
      <c r="P960">
        <v>90.09</v>
      </c>
      <c r="Q960">
        <v>75.11</v>
      </c>
      <c r="R960">
        <v>82.670500000000004</v>
      </c>
      <c r="V960" t="s">
        <v>167</v>
      </c>
      <c r="W960" t="s">
        <v>168</v>
      </c>
      <c r="Y960">
        <v>1</v>
      </c>
      <c r="Z960" t="s">
        <v>170</v>
      </c>
      <c r="AA960" t="s">
        <v>170</v>
      </c>
      <c r="AB960" t="s">
        <v>171</v>
      </c>
      <c r="AC960" t="s">
        <v>172</v>
      </c>
      <c r="AF960">
        <v>234</v>
      </c>
      <c r="AG960" t="s">
        <v>1735</v>
      </c>
      <c r="AH960" t="s">
        <v>1736</v>
      </c>
      <c r="AI960" t="s">
        <v>175</v>
      </c>
      <c r="AJ960" t="s">
        <v>176</v>
      </c>
      <c r="AK960">
        <v>4</v>
      </c>
      <c r="AL960" t="s">
        <v>1737</v>
      </c>
      <c r="AS960">
        <v>1000</v>
      </c>
      <c r="AT960">
        <v>1000</v>
      </c>
      <c r="BQ960">
        <v>20</v>
      </c>
      <c r="BR960" t="s">
        <v>1079</v>
      </c>
      <c r="BS960">
        <v>1</v>
      </c>
      <c r="BT960" t="s">
        <v>1738</v>
      </c>
      <c r="BU960" s="1">
        <v>45525</v>
      </c>
      <c r="BV960">
        <v>35281</v>
      </c>
      <c r="BX960" t="s">
        <v>169</v>
      </c>
      <c r="BY960" t="s">
        <v>170</v>
      </c>
      <c r="CB960" t="s">
        <v>170</v>
      </c>
      <c r="CC960" t="s">
        <v>170</v>
      </c>
      <c r="CK960" t="s">
        <v>233</v>
      </c>
      <c r="CM960">
        <v>1</v>
      </c>
      <c r="CN960" t="s">
        <v>234</v>
      </c>
      <c r="CP960">
        <v>382</v>
      </c>
      <c r="CQ960">
        <v>240</v>
      </c>
      <c r="CR960">
        <v>164.2</v>
      </c>
      <c r="CS960" t="s">
        <v>1752</v>
      </c>
      <c r="CV960" t="s">
        <v>341</v>
      </c>
      <c r="CX960" t="s">
        <v>1012</v>
      </c>
      <c r="CY960" t="s">
        <v>169</v>
      </c>
      <c r="DC960" t="s">
        <v>2356</v>
      </c>
      <c r="DD960">
        <v>1</v>
      </c>
      <c r="DE960" t="s">
        <v>404</v>
      </c>
      <c r="DF960" t="s">
        <v>2357</v>
      </c>
      <c r="DG960">
        <v>210</v>
      </c>
      <c r="DL960" t="s">
        <v>170</v>
      </c>
      <c r="DM960" t="s">
        <v>169</v>
      </c>
      <c r="DP960" t="s">
        <v>170</v>
      </c>
      <c r="DQ960" t="s">
        <v>187</v>
      </c>
      <c r="EB960">
        <v>9</v>
      </c>
      <c r="EC960">
        <v>10</v>
      </c>
      <c r="EE960" t="s">
        <v>2358</v>
      </c>
      <c r="EF960">
        <v>10</v>
      </c>
      <c r="EU960">
        <v>4500</v>
      </c>
      <c r="EW960">
        <v>0</v>
      </c>
      <c r="EX960">
        <v>0</v>
      </c>
      <c r="EY960">
        <v>0</v>
      </c>
      <c r="FA960">
        <v>9</v>
      </c>
      <c r="FG960">
        <v>253</v>
      </c>
      <c r="FH960">
        <v>211</v>
      </c>
      <c r="FI960">
        <v>234</v>
      </c>
    </row>
    <row r="961" spans="1:165" x14ac:dyDescent="0.35">
      <c r="A961">
        <v>2025</v>
      </c>
      <c r="B961" t="s">
        <v>205</v>
      </c>
      <c r="C961" t="s">
        <v>643</v>
      </c>
      <c r="D961" t="s">
        <v>2355</v>
      </c>
      <c r="E961" t="s">
        <v>208</v>
      </c>
      <c r="F961">
        <v>395</v>
      </c>
      <c r="G961">
        <v>0</v>
      </c>
      <c r="I961" t="s">
        <v>1734</v>
      </c>
      <c r="J961">
        <v>37</v>
      </c>
      <c r="K961">
        <v>45</v>
      </c>
      <c r="L961">
        <v>41</v>
      </c>
      <c r="M961">
        <v>27.2378</v>
      </c>
      <c r="N961">
        <v>31.4193</v>
      </c>
      <c r="O961">
        <v>28.537500000000001</v>
      </c>
      <c r="P961">
        <v>37.412599999999998</v>
      </c>
      <c r="Q961">
        <v>44.874200000000002</v>
      </c>
      <c r="R961">
        <v>40.770299999999999</v>
      </c>
      <c r="V961" t="s">
        <v>167</v>
      </c>
      <c r="W961" t="s">
        <v>168</v>
      </c>
      <c r="Y961">
        <v>1</v>
      </c>
      <c r="Z961" t="s">
        <v>170</v>
      </c>
      <c r="AA961" t="s">
        <v>170</v>
      </c>
      <c r="AB961" t="s">
        <v>171</v>
      </c>
      <c r="AC961" t="s">
        <v>172</v>
      </c>
      <c r="AF961">
        <v>234</v>
      </c>
      <c r="AG961" t="s">
        <v>1735</v>
      </c>
      <c r="AH961" t="s">
        <v>1736</v>
      </c>
      <c r="AI961" t="s">
        <v>1742</v>
      </c>
      <c r="AJ961" t="s">
        <v>1743</v>
      </c>
      <c r="AK961">
        <v>4</v>
      </c>
      <c r="AL961" t="s">
        <v>1737</v>
      </c>
      <c r="AS961">
        <v>1000</v>
      </c>
      <c r="AT961">
        <v>1000</v>
      </c>
      <c r="BQ961">
        <v>20</v>
      </c>
      <c r="BR961" t="s">
        <v>1079</v>
      </c>
      <c r="BS961">
        <v>1</v>
      </c>
      <c r="BT961" t="s">
        <v>1738</v>
      </c>
      <c r="BU961" s="1">
        <v>45525</v>
      </c>
      <c r="BV961">
        <v>35281</v>
      </c>
      <c r="BX961" t="s">
        <v>169</v>
      </c>
      <c r="BY961" t="s">
        <v>170</v>
      </c>
      <c r="CB961" t="s">
        <v>170</v>
      </c>
      <c r="CC961" t="s">
        <v>170</v>
      </c>
      <c r="CK961" t="s">
        <v>233</v>
      </c>
      <c r="CM961">
        <v>1</v>
      </c>
      <c r="CN961" t="s">
        <v>234</v>
      </c>
      <c r="CP961">
        <v>382</v>
      </c>
      <c r="CQ961">
        <v>240</v>
      </c>
      <c r="CR961">
        <v>164.2</v>
      </c>
      <c r="CS961" t="s">
        <v>1752</v>
      </c>
      <c r="CV961" t="s">
        <v>341</v>
      </c>
      <c r="CX961" t="s">
        <v>1012</v>
      </c>
      <c r="CY961" t="s">
        <v>169</v>
      </c>
      <c r="DC961" t="s">
        <v>2356</v>
      </c>
      <c r="DD961">
        <v>1</v>
      </c>
      <c r="DE961" t="s">
        <v>404</v>
      </c>
      <c r="DF961" t="s">
        <v>2357</v>
      </c>
      <c r="DG961">
        <v>210</v>
      </c>
      <c r="DL961" t="s">
        <v>170</v>
      </c>
      <c r="DM961" t="s">
        <v>169</v>
      </c>
      <c r="DP961" t="s">
        <v>170</v>
      </c>
      <c r="DQ961" t="s">
        <v>187</v>
      </c>
      <c r="EB961">
        <v>9</v>
      </c>
      <c r="EC961">
        <v>10</v>
      </c>
      <c r="EE961" t="s">
        <v>2358</v>
      </c>
      <c r="EF961">
        <v>10</v>
      </c>
      <c r="EU961">
        <v>4500</v>
      </c>
      <c r="EW961">
        <v>0</v>
      </c>
      <c r="EX961">
        <v>0</v>
      </c>
      <c r="EY961">
        <v>0</v>
      </c>
      <c r="FA961">
        <v>9</v>
      </c>
      <c r="FG961">
        <v>253</v>
      </c>
      <c r="FH961">
        <v>211</v>
      </c>
      <c r="FI961">
        <v>234</v>
      </c>
    </row>
    <row r="962" spans="1:165" x14ac:dyDescent="0.35">
      <c r="A962" s="25"/>
      <c r="B962" s="25"/>
      <c r="C962" s="25"/>
      <c r="D962" s="25"/>
      <c r="E962" s="25"/>
      <c r="F962" s="25" t="str">
        <f>_xlfn.CONCAT($A963," ",$B963," ",$D963)</f>
        <v>2025 Volkswagen Group of ID. Buzz 4Motion</v>
      </c>
      <c r="G962" s="25"/>
      <c r="H962" s="25"/>
      <c r="I962" s="25"/>
      <c r="J962" s="25"/>
      <c r="K962" s="25"/>
      <c r="L962" s="25"/>
      <c r="M962" s="25"/>
      <c r="N962" s="25"/>
      <c r="O962" s="25"/>
      <c r="P962" s="25"/>
      <c r="Q962" s="25"/>
      <c r="R962" s="25"/>
      <c r="S962" s="25"/>
      <c r="T962" s="25"/>
      <c r="U962" s="25"/>
      <c r="V962" s="25"/>
      <c r="W962" s="25"/>
      <c r="X962" s="25"/>
      <c r="Y962" s="25"/>
      <c r="Z962" s="25"/>
      <c r="AA962" s="25"/>
      <c r="AB962" s="25"/>
      <c r="AC962" s="25"/>
      <c r="AD962" s="25" t="str">
        <f>_xlfn.CONCAT($A963," ",$B963," ",$D963)</f>
        <v>2025 Volkswagen Group of ID. Buzz 4Motion</v>
      </c>
      <c r="AE962" s="25"/>
      <c r="AF962" s="25"/>
      <c r="AG962" s="25"/>
      <c r="AH962" s="25"/>
      <c r="AI962" s="25"/>
      <c r="AJ962" s="25"/>
      <c r="AK962" s="25"/>
      <c r="AL962" s="25"/>
      <c r="AM962" s="25"/>
      <c r="AN962" s="25"/>
      <c r="AO962" s="25"/>
      <c r="AP962" s="25"/>
      <c r="AQ962" s="25"/>
      <c r="AR962" s="25"/>
      <c r="AS962" s="25"/>
      <c r="AT962" s="25"/>
      <c r="AU962" s="25"/>
      <c r="AV962" s="25"/>
      <c r="AW962" s="25"/>
      <c r="AX962" s="25" t="str">
        <f>_xlfn.CONCAT($A963," ",$B963," ",$D963)</f>
        <v>2025 Volkswagen Group of ID. Buzz 4Motion</v>
      </c>
      <c r="AY962" s="25"/>
      <c r="AZ962" s="25"/>
      <c r="BA962" s="25"/>
      <c r="BB962" s="25"/>
      <c r="BC962" s="25"/>
      <c r="BD962" s="25"/>
      <c r="BE962" s="25"/>
      <c r="BF962" s="25"/>
      <c r="BG962" s="25"/>
      <c r="BH962" s="25"/>
      <c r="BI962" s="25"/>
      <c r="BJ962" s="25"/>
      <c r="BK962" s="25"/>
      <c r="BL962" s="25"/>
      <c r="BM962" s="25"/>
      <c r="BN962" s="25"/>
      <c r="BO962" s="25"/>
      <c r="BP962" s="25"/>
      <c r="BQ962" s="25"/>
      <c r="BR962" s="25" t="str">
        <f>_xlfn.CONCAT($A963," ",$B963," ",$D963)</f>
        <v>2025 Volkswagen Group of ID. Buzz 4Motion</v>
      </c>
      <c r="BS962" s="25"/>
      <c r="BT962" s="25"/>
      <c r="BU962" s="25"/>
      <c r="BV962" s="25"/>
      <c r="BX962" s="25"/>
      <c r="BY962" s="25"/>
      <c r="BZ962" s="25"/>
      <c r="CA962" s="25"/>
      <c r="CB962" s="25"/>
      <c r="CC962" s="25"/>
      <c r="CD962" s="25"/>
      <c r="CE962" s="25"/>
      <c r="CF962" s="25"/>
      <c r="CG962" s="25"/>
      <c r="CH962" s="25"/>
      <c r="CI962" s="25"/>
      <c r="CJ962" s="25"/>
      <c r="CK962" s="25"/>
      <c r="CL962" s="25"/>
      <c r="CM962" s="25"/>
      <c r="CN962" s="25"/>
      <c r="CO962" s="25"/>
      <c r="CP962" s="25" t="str">
        <f>_xlfn.CONCAT($A963," ",$B963," ",$D963)</f>
        <v>2025 Volkswagen Group of ID. Buzz 4Motion</v>
      </c>
      <c r="CQ962" s="25"/>
      <c r="CR962" s="25"/>
      <c r="CS962" s="25"/>
      <c r="CT962" s="25"/>
      <c r="CU962" s="25"/>
      <c r="CV962" s="25"/>
      <c r="CW962" s="25"/>
      <c r="CX962" s="25"/>
      <c r="CY962" s="25"/>
      <c r="CZ962" s="25"/>
      <c r="DA962" s="25"/>
      <c r="DB962" s="25"/>
      <c r="DC962" s="25"/>
      <c r="DD962" s="25"/>
      <c r="DE962" s="25"/>
      <c r="DF962" s="25"/>
      <c r="DG962" s="25"/>
      <c r="DH962" s="25"/>
      <c r="DI962" s="25" t="str">
        <f>_xlfn.CONCAT($A963," ",$B963," ",$D963)</f>
        <v>2025 Volkswagen Group of ID. Buzz 4Motion</v>
      </c>
      <c r="DJ962" s="25"/>
      <c r="DK962" s="25"/>
      <c r="DL962" s="25"/>
      <c r="DM962" s="25"/>
      <c r="DN962" s="25"/>
      <c r="DO962" s="25"/>
      <c r="DP962" s="25"/>
      <c r="DQ962" s="25"/>
      <c r="DR962" s="25"/>
      <c r="DS962" s="25"/>
      <c r="DT962" s="25"/>
      <c r="DU962" s="25"/>
      <c r="DV962" s="25"/>
      <c r="DW962" s="25"/>
      <c r="DX962" s="25"/>
      <c r="DY962" s="25"/>
      <c r="DZ962" s="25" t="str">
        <f>_xlfn.CONCAT($A963," ",$B963," ",$D963)</f>
        <v>2025 Volkswagen Group of ID. Buzz 4Motion</v>
      </c>
      <c r="EB962" s="25"/>
      <c r="EC962" s="25"/>
      <c r="ED962" s="25"/>
      <c r="EE962" s="25"/>
      <c r="EF962" s="25"/>
      <c r="EG962" s="25"/>
      <c r="EH962" s="25"/>
      <c r="EI962" s="25"/>
      <c r="EJ962" s="25"/>
      <c r="EK962" s="25"/>
      <c r="EL962" s="25"/>
      <c r="EM962" s="25"/>
      <c r="EN962" s="25"/>
      <c r="EO962" s="25"/>
      <c r="EP962" s="25"/>
      <c r="EQ962" s="25"/>
      <c r="ER962" s="25"/>
      <c r="ES962" s="25"/>
      <c r="ET962" s="25"/>
      <c r="EU962" s="25"/>
      <c r="EV962" s="25" t="str">
        <f>_xlfn.CONCAT($A963," ",$B963," ",$D963)</f>
        <v>2025 Volkswagen Group of ID. Buzz 4Motion</v>
      </c>
      <c r="EW962" s="25"/>
      <c r="EX962" s="25"/>
      <c r="EY962" s="25"/>
      <c r="EZ962" s="25"/>
      <c r="FA962" s="25"/>
      <c r="FB962" s="25"/>
      <c r="FC962" s="25"/>
      <c r="FD962" s="25"/>
      <c r="FE962" s="25"/>
      <c r="FF962" s="25"/>
      <c r="FG962" s="25"/>
    </row>
    <row r="963" spans="1:165" x14ac:dyDescent="0.35">
      <c r="A963">
        <v>2025</v>
      </c>
      <c r="B963" t="s">
        <v>205</v>
      </c>
      <c r="C963" t="s">
        <v>643</v>
      </c>
      <c r="D963" t="s">
        <v>2359</v>
      </c>
      <c r="E963" t="s">
        <v>208</v>
      </c>
      <c r="F963">
        <v>397</v>
      </c>
      <c r="G963">
        <v>0</v>
      </c>
      <c r="I963" t="s">
        <v>1734</v>
      </c>
      <c r="J963">
        <v>87</v>
      </c>
      <c r="K963">
        <v>74</v>
      </c>
      <c r="L963">
        <v>80</v>
      </c>
      <c r="M963">
        <v>123.7</v>
      </c>
      <c r="N963">
        <v>105.4</v>
      </c>
      <c r="O963">
        <v>114.73560000000001</v>
      </c>
      <c r="P963">
        <v>86.59</v>
      </c>
      <c r="Q963">
        <v>73.78</v>
      </c>
      <c r="R963">
        <v>80.314899999999994</v>
      </c>
      <c r="V963" t="s">
        <v>167</v>
      </c>
      <c r="W963" t="s">
        <v>168</v>
      </c>
      <c r="Y963">
        <v>1</v>
      </c>
      <c r="Z963" t="s">
        <v>170</v>
      </c>
      <c r="AA963" t="s">
        <v>170</v>
      </c>
      <c r="AB963" t="s">
        <v>167</v>
      </c>
      <c r="AC963" t="s">
        <v>213</v>
      </c>
      <c r="AF963">
        <v>231</v>
      </c>
      <c r="AG963" t="s">
        <v>1735</v>
      </c>
      <c r="AH963" t="s">
        <v>1736</v>
      </c>
      <c r="AI963" t="s">
        <v>175</v>
      </c>
      <c r="AJ963" t="s">
        <v>176</v>
      </c>
      <c r="AK963">
        <v>4</v>
      </c>
      <c r="AL963" t="s">
        <v>1737</v>
      </c>
      <c r="AS963">
        <v>1000</v>
      </c>
      <c r="AT963">
        <v>1000</v>
      </c>
      <c r="BQ963">
        <v>21</v>
      </c>
      <c r="BR963" t="s">
        <v>1096</v>
      </c>
      <c r="BS963">
        <v>1</v>
      </c>
      <c r="BT963" t="s">
        <v>1738</v>
      </c>
      <c r="BU963" s="1">
        <v>45525</v>
      </c>
      <c r="BV963">
        <v>35280</v>
      </c>
      <c r="BX963" t="s">
        <v>169</v>
      </c>
      <c r="BY963" t="s">
        <v>170</v>
      </c>
      <c r="CB963" t="s">
        <v>170</v>
      </c>
      <c r="CC963" t="s">
        <v>170</v>
      </c>
      <c r="CK963" t="s">
        <v>233</v>
      </c>
      <c r="CM963">
        <v>1</v>
      </c>
      <c r="CN963" t="s">
        <v>234</v>
      </c>
      <c r="CP963">
        <v>382</v>
      </c>
      <c r="CQ963">
        <v>240</v>
      </c>
      <c r="CR963">
        <v>164.2</v>
      </c>
      <c r="CS963" t="s">
        <v>1752</v>
      </c>
      <c r="CV963" t="s">
        <v>341</v>
      </c>
      <c r="CX963" t="s">
        <v>342</v>
      </c>
      <c r="CY963" t="s">
        <v>169</v>
      </c>
      <c r="DC963" t="s">
        <v>2360</v>
      </c>
      <c r="DD963">
        <v>2</v>
      </c>
      <c r="DE963" t="s">
        <v>404</v>
      </c>
      <c r="DF963" t="s">
        <v>2357</v>
      </c>
      <c r="DG963" t="s">
        <v>2361</v>
      </c>
      <c r="DL963" t="s">
        <v>170</v>
      </c>
      <c r="DM963" t="s">
        <v>169</v>
      </c>
      <c r="DP963" t="s">
        <v>170</v>
      </c>
      <c r="DQ963" t="s">
        <v>187</v>
      </c>
      <c r="EB963">
        <v>9</v>
      </c>
      <c r="EC963">
        <v>10</v>
      </c>
      <c r="EE963" t="s">
        <v>2362</v>
      </c>
      <c r="EF963">
        <v>10</v>
      </c>
      <c r="EU963">
        <v>4500</v>
      </c>
      <c r="EW963">
        <v>0</v>
      </c>
      <c r="EX963">
        <v>0</v>
      </c>
      <c r="EY963">
        <v>0</v>
      </c>
      <c r="FA963">
        <v>9</v>
      </c>
      <c r="FG963">
        <v>247</v>
      </c>
      <c r="FH963">
        <v>211</v>
      </c>
      <c r="FI963">
        <v>231</v>
      </c>
    </row>
    <row r="964" spans="1:165" x14ac:dyDescent="0.35">
      <c r="A964">
        <v>2025</v>
      </c>
      <c r="B964" t="s">
        <v>205</v>
      </c>
      <c r="C964" t="s">
        <v>643</v>
      </c>
      <c r="D964" t="s">
        <v>2359</v>
      </c>
      <c r="E964" t="s">
        <v>208</v>
      </c>
      <c r="F964">
        <v>397</v>
      </c>
      <c r="G964">
        <v>0</v>
      </c>
      <c r="I964" t="s">
        <v>1734</v>
      </c>
      <c r="J964">
        <v>39</v>
      </c>
      <c r="K964">
        <v>46</v>
      </c>
      <c r="L964">
        <v>42</v>
      </c>
      <c r="M964">
        <v>27.2378</v>
      </c>
      <c r="N964">
        <v>31.985800000000001</v>
      </c>
      <c r="O964">
        <v>29.374400000000001</v>
      </c>
      <c r="P964">
        <v>38.924799999999998</v>
      </c>
      <c r="Q964">
        <v>45.683100000000003</v>
      </c>
      <c r="R964">
        <v>41.966099999999997</v>
      </c>
      <c r="V964" t="s">
        <v>167</v>
      </c>
      <c r="W964" t="s">
        <v>168</v>
      </c>
      <c r="Y964">
        <v>1</v>
      </c>
      <c r="Z964" t="s">
        <v>170</v>
      </c>
      <c r="AA964" t="s">
        <v>170</v>
      </c>
      <c r="AB964" t="s">
        <v>167</v>
      </c>
      <c r="AC964" t="s">
        <v>213</v>
      </c>
      <c r="AF964">
        <v>231</v>
      </c>
      <c r="AG964" t="s">
        <v>1735</v>
      </c>
      <c r="AH964" t="s">
        <v>1736</v>
      </c>
      <c r="AI964" t="s">
        <v>1742</v>
      </c>
      <c r="AJ964" t="s">
        <v>1743</v>
      </c>
      <c r="AK964">
        <v>4</v>
      </c>
      <c r="AL964" t="s">
        <v>1737</v>
      </c>
      <c r="AS964">
        <v>1000</v>
      </c>
      <c r="AT964">
        <v>1000</v>
      </c>
      <c r="BQ964">
        <v>21</v>
      </c>
      <c r="BR964" t="s">
        <v>1096</v>
      </c>
      <c r="BS964">
        <v>1</v>
      </c>
      <c r="BT964" t="s">
        <v>1738</v>
      </c>
      <c r="BU964" s="1">
        <v>45525</v>
      </c>
      <c r="BV964">
        <v>35280</v>
      </c>
      <c r="BX964" t="s">
        <v>169</v>
      </c>
      <c r="BY964" t="s">
        <v>170</v>
      </c>
      <c r="CB964" t="s">
        <v>170</v>
      </c>
      <c r="CC964" t="s">
        <v>170</v>
      </c>
      <c r="CK964" t="s">
        <v>233</v>
      </c>
      <c r="CM964">
        <v>1</v>
      </c>
      <c r="CN964" t="s">
        <v>234</v>
      </c>
      <c r="CP964">
        <v>382</v>
      </c>
      <c r="CQ964">
        <v>240</v>
      </c>
      <c r="CR964">
        <v>164.2</v>
      </c>
      <c r="CS964" t="s">
        <v>1752</v>
      </c>
      <c r="CV964" t="s">
        <v>341</v>
      </c>
      <c r="CX964" t="s">
        <v>342</v>
      </c>
      <c r="CY964" t="s">
        <v>169</v>
      </c>
      <c r="DC964" t="s">
        <v>2360</v>
      </c>
      <c r="DD964">
        <v>2</v>
      </c>
      <c r="DE964" t="s">
        <v>404</v>
      </c>
      <c r="DF964" t="s">
        <v>2357</v>
      </c>
      <c r="DG964" t="s">
        <v>2361</v>
      </c>
      <c r="DL964" t="s">
        <v>170</v>
      </c>
      <c r="DM964" t="s">
        <v>169</v>
      </c>
      <c r="DP964" t="s">
        <v>170</v>
      </c>
      <c r="DQ964" t="s">
        <v>187</v>
      </c>
      <c r="EB964">
        <v>9</v>
      </c>
      <c r="EC964">
        <v>10</v>
      </c>
      <c r="EE964" t="s">
        <v>2362</v>
      </c>
      <c r="EF964">
        <v>10</v>
      </c>
      <c r="EU964">
        <v>4500</v>
      </c>
      <c r="EW964">
        <v>0</v>
      </c>
      <c r="EX964">
        <v>0</v>
      </c>
      <c r="EY964">
        <v>0</v>
      </c>
      <c r="FA964">
        <v>9</v>
      </c>
      <c r="FG964">
        <v>247</v>
      </c>
      <c r="FH964">
        <v>211</v>
      </c>
      <c r="FI964">
        <v>231</v>
      </c>
    </row>
    <row r="965" spans="1:165" x14ac:dyDescent="0.35">
      <c r="A965" s="25"/>
      <c r="B965" s="25"/>
      <c r="C965" s="25"/>
      <c r="D965" s="25"/>
      <c r="E965" s="25"/>
      <c r="F965" s="25" t="str">
        <f>_xlfn.CONCAT($A966," ",$B966," ",$D966)</f>
        <v>2025 Volvo EX90 Twin Motor Performance (21 Inch Wheels)</v>
      </c>
      <c r="G965" s="25"/>
      <c r="H965" s="25"/>
      <c r="I965" s="25"/>
      <c r="J965" s="25"/>
      <c r="K965" s="25"/>
      <c r="L965" s="25"/>
      <c r="M965" s="25"/>
      <c r="N965" s="25"/>
      <c r="O965" s="25"/>
      <c r="P965" s="25"/>
      <c r="Q965" s="25"/>
      <c r="R965" s="25"/>
      <c r="S965" s="25"/>
      <c r="T965" s="25"/>
      <c r="U965" s="25"/>
      <c r="V965" s="25"/>
      <c r="W965" s="25"/>
      <c r="X965" s="25"/>
      <c r="Y965" s="25"/>
      <c r="Z965" s="25"/>
      <c r="AA965" s="25"/>
      <c r="AB965" s="25"/>
      <c r="AC965" s="25"/>
      <c r="AD965" s="25" t="str">
        <f>_xlfn.CONCAT($A966," ",$B966," ",$D966)</f>
        <v>2025 Volvo EX90 Twin Motor Performance (21 Inch Wheels)</v>
      </c>
      <c r="AE965" s="25"/>
      <c r="AF965" s="25"/>
      <c r="AG965" s="25"/>
      <c r="AH965" s="25"/>
      <c r="AI965" s="25"/>
      <c r="AJ965" s="25"/>
      <c r="AK965" s="25"/>
      <c r="AL965" s="25"/>
      <c r="AM965" s="25"/>
      <c r="AN965" s="25"/>
      <c r="AO965" s="25"/>
      <c r="AP965" s="25"/>
      <c r="AQ965" s="25"/>
      <c r="AR965" s="25"/>
      <c r="AS965" s="25"/>
      <c r="AT965" s="25"/>
      <c r="AU965" s="25"/>
      <c r="AV965" s="25"/>
      <c r="AW965" s="25"/>
      <c r="AX965" s="25" t="str">
        <f>_xlfn.CONCAT($A966," ",$B966," ",$D966)</f>
        <v>2025 Volvo EX90 Twin Motor Performance (21 Inch Wheels)</v>
      </c>
      <c r="AY965" s="25"/>
      <c r="AZ965" s="25"/>
      <c r="BA965" s="25"/>
      <c r="BB965" s="25"/>
      <c r="BC965" s="25"/>
      <c r="BD965" s="25"/>
      <c r="BE965" s="25"/>
      <c r="BF965" s="25"/>
      <c r="BG965" s="25"/>
      <c r="BH965" s="25"/>
      <c r="BI965" s="25"/>
      <c r="BJ965" s="25"/>
      <c r="BK965" s="25"/>
      <c r="BL965" s="25"/>
      <c r="BM965" s="25"/>
      <c r="BN965" s="25"/>
      <c r="BO965" s="25"/>
      <c r="BP965" s="25"/>
      <c r="BQ965" s="25"/>
      <c r="BR965" s="25" t="str">
        <f>_xlfn.CONCAT($A966," ",$B966," ",$D966)</f>
        <v>2025 Volvo EX90 Twin Motor Performance (21 Inch Wheels)</v>
      </c>
      <c r="BS965" s="25"/>
      <c r="BT965" s="25"/>
      <c r="BU965" s="25"/>
      <c r="BV965" s="25"/>
      <c r="BX965" s="25"/>
      <c r="BY965" s="25"/>
      <c r="BZ965" s="25"/>
      <c r="CA965" s="25"/>
      <c r="CB965" s="25"/>
      <c r="CC965" s="25"/>
      <c r="CD965" s="25"/>
      <c r="CE965" s="25"/>
      <c r="CF965" s="25"/>
      <c r="CG965" s="25"/>
      <c r="CH965" s="25"/>
      <c r="CI965" s="25"/>
      <c r="CJ965" s="25"/>
      <c r="CK965" s="25"/>
      <c r="CL965" s="25"/>
      <c r="CM965" s="25"/>
      <c r="CN965" s="25"/>
      <c r="CO965" s="25"/>
      <c r="CP965" s="25" t="str">
        <f>_xlfn.CONCAT($A966," ",$B966," ",$D966)</f>
        <v>2025 Volvo EX90 Twin Motor Performance (21 Inch Wheels)</v>
      </c>
      <c r="CQ965" s="25"/>
      <c r="CR965" s="25"/>
      <c r="CS965" s="25"/>
      <c r="CT965" s="25"/>
      <c r="CU965" s="25"/>
      <c r="CV965" s="25"/>
      <c r="CW965" s="25"/>
      <c r="CX965" s="25"/>
      <c r="CY965" s="25"/>
      <c r="CZ965" s="25"/>
      <c r="DA965" s="25"/>
      <c r="DB965" s="25"/>
      <c r="DC965" s="25"/>
      <c r="DD965" s="25"/>
      <c r="DE965" s="25"/>
      <c r="DF965" s="25"/>
      <c r="DG965" s="25"/>
      <c r="DH965" s="25"/>
      <c r="DI965" s="25" t="str">
        <f>_xlfn.CONCAT($A966," ",$B966," ",$D966)</f>
        <v>2025 Volvo EX90 Twin Motor Performance (21 Inch Wheels)</v>
      </c>
      <c r="DJ965" s="25"/>
      <c r="DK965" s="25"/>
      <c r="DL965" s="25"/>
      <c r="DM965" s="25"/>
      <c r="DN965" s="25"/>
      <c r="DO965" s="25"/>
      <c r="DP965" s="25"/>
      <c r="DQ965" s="25"/>
      <c r="DR965" s="25"/>
      <c r="DS965" s="25"/>
      <c r="DT965" s="25"/>
      <c r="DU965" s="25"/>
      <c r="DV965" s="25"/>
      <c r="DW965" s="25"/>
      <c r="DX965" s="25"/>
      <c r="DY965" s="25"/>
      <c r="DZ965" s="25" t="str">
        <f>_xlfn.CONCAT($A966," ",$B966," ",$D966)</f>
        <v>2025 Volvo EX90 Twin Motor Performance (21 Inch Wheels)</v>
      </c>
      <c r="EB965" s="25"/>
      <c r="EC965" s="25"/>
      <c r="ED965" s="25"/>
      <c r="EE965" s="25"/>
      <c r="EF965" s="25"/>
      <c r="EG965" s="25"/>
      <c r="EH965" s="25"/>
      <c r="EI965" s="25"/>
      <c r="EJ965" s="25"/>
      <c r="EK965" s="25"/>
      <c r="EL965" s="25"/>
      <c r="EM965" s="25"/>
      <c r="EN965" s="25"/>
      <c r="EO965" s="25"/>
      <c r="EP965" s="25"/>
      <c r="EQ965" s="25"/>
      <c r="ER965" s="25"/>
      <c r="ES965" s="25"/>
      <c r="ET965" s="25"/>
      <c r="EU965" s="25"/>
      <c r="EV965" s="25" t="str">
        <f>_xlfn.CONCAT($A966," ",$B966," ",$D966)</f>
        <v>2025 Volvo EX90 Twin Motor Performance (21 Inch Wheels)</v>
      </c>
      <c r="EW965" s="25"/>
      <c r="EX965" s="25"/>
      <c r="EY965" s="25"/>
      <c r="EZ965" s="25"/>
      <c r="FA965" s="25"/>
      <c r="FB965" s="25"/>
      <c r="FC965" s="25"/>
      <c r="FD965" s="25"/>
      <c r="FE965" s="25"/>
      <c r="FF965" s="25"/>
      <c r="FG965" s="25"/>
    </row>
    <row r="966" spans="1:165" x14ac:dyDescent="0.35">
      <c r="A966">
        <v>2025</v>
      </c>
      <c r="B966" t="s">
        <v>658</v>
      </c>
      <c r="C966" t="s">
        <v>659</v>
      </c>
      <c r="D966" t="s">
        <v>2385</v>
      </c>
      <c r="E966" t="s">
        <v>661</v>
      </c>
      <c r="F966">
        <v>254</v>
      </c>
      <c r="G966">
        <v>0</v>
      </c>
      <c r="I966" t="s">
        <v>1734</v>
      </c>
      <c r="J966">
        <v>86</v>
      </c>
      <c r="K966">
        <v>82</v>
      </c>
      <c r="L966">
        <v>84</v>
      </c>
      <c r="M966">
        <v>123.5</v>
      </c>
      <c r="N966">
        <v>116.6</v>
      </c>
      <c r="O966">
        <v>120.2966</v>
      </c>
      <c r="P966">
        <v>86.45</v>
      </c>
      <c r="Q966">
        <v>81.62</v>
      </c>
      <c r="R966">
        <v>84.207599999999999</v>
      </c>
      <c r="V966" t="s">
        <v>167</v>
      </c>
      <c r="W966" t="s">
        <v>168</v>
      </c>
      <c r="Y966">
        <v>1</v>
      </c>
      <c r="Z966" t="s">
        <v>170</v>
      </c>
      <c r="AA966" t="s">
        <v>170</v>
      </c>
      <c r="AB966" t="s">
        <v>167</v>
      </c>
      <c r="AC966" t="s">
        <v>213</v>
      </c>
      <c r="AF966">
        <v>310</v>
      </c>
      <c r="AG966" t="s">
        <v>1735</v>
      </c>
      <c r="AH966" t="s">
        <v>1736</v>
      </c>
      <c r="AI966" t="s">
        <v>175</v>
      </c>
      <c r="AJ966" t="s">
        <v>176</v>
      </c>
      <c r="AK966">
        <v>4</v>
      </c>
      <c r="AL966" t="s">
        <v>1737</v>
      </c>
      <c r="AS966">
        <v>950</v>
      </c>
      <c r="AT966">
        <v>950</v>
      </c>
      <c r="BQ966">
        <v>33</v>
      </c>
      <c r="BR966" t="s">
        <v>1497</v>
      </c>
      <c r="BT966" t="s">
        <v>1769</v>
      </c>
      <c r="BU966" s="1">
        <v>45526</v>
      </c>
      <c r="BV966">
        <v>35419</v>
      </c>
      <c r="BX966" t="s">
        <v>170</v>
      </c>
      <c r="BY966" t="s">
        <v>170</v>
      </c>
      <c r="CB966" t="s">
        <v>170</v>
      </c>
      <c r="CC966" t="s">
        <v>170</v>
      </c>
      <c r="CK966" t="s">
        <v>233</v>
      </c>
      <c r="CM966">
        <v>1</v>
      </c>
      <c r="CN966" t="s">
        <v>234</v>
      </c>
      <c r="CP966">
        <v>375</v>
      </c>
      <c r="CQ966">
        <v>296</v>
      </c>
      <c r="CR966">
        <v>167</v>
      </c>
      <c r="CS966" t="s">
        <v>235</v>
      </c>
      <c r="CV966" t="s">
        <v>341</v>
      </c>
      <c r="CX966" t="s">
        <v>342</v>
      </c>
      <c r="CY966" t="s">
        <v>170</v>
      </c>
      <c r="DC966" t="s">
        <v>2159</v>
      </c>
      <c r="DD966">
        <v>4</v>
      </c>
      <c r="DE966" t="s">
        <v>404</v>
      </c>
      <c r="DF966" t="s">
        <v>427</v>
      </c>
      <c r="DG966" t="s">
        <v>2160</v>
      </c>
      <c r="DL966" t="s">
        <v>170</v>
      </c>
      <c r="DM966" t="s">
        <v>169</v>
      </c>
      <c r="DP966" t="s">
        <v>170</v>
      </c>
      <c r="DQ966" t="s">
        <v>187</v>
      </c>
      <c r="EB966">
        <v>9</v>
      </c>
      <c r="EC966">
        <v>10</v>
      </c>
      <c r="EE966" t="s">
        <v>2161</v>
      </c>
      <c r="EF966">
        <v>10</v>
      </c>
      <c r="EU966">
        <v>4750</v>
      </c>
      <c r="EW966">
        <v>0</v>
      </c>
      <c r="EX966">
        <v>0</v>
      </c>
      <c r="EY966">
        <v>0</v>
      </c>
      <c r="FA966">
        <v>10</v>
      </c>
      <c r="FG966">
        <v>318</v>
      </c>
      <c r="FH966">
        <v>300</v>
      </c>
      <c r="FI966">
        <v>310</v>
      </c>
    </row>
    <row r="967" spans="1:165" x14ac:dyDescent="0.35">
      <c r="A967">
        <v>2025</v>
      </c>
      <c r="B967" t="s">
        <v>658</v>
      </c>
      <c r="C967" t="s">
        <v>659</v>
      </c>
      <c r="D967" t="s">
        <v>2385</v>
      </c>
      <c r="E967" t="s">
        <v>661</v>
      </c>
      <c r="F967">
        <v>254</v>
      </c>
      <c r="G967">
        <v>0</v>
      </c>
      <c r="I967" t="s">
        <v>1734</v>
      </c>
      <c r="J967">
        <v>39</v>
      </c>
      <c r="K967">
        <v>41</v>
      </c>
      <c r="L967">
        <v>40</v>
      </c>
      <c r="M967">
        <v>27.285699999999999</v>
      </c>
      <c r="N967">
        <v>28.902999999999999</v>
      </c>
      <c r="O967">
        <v>28.013500000000001</v>
      </c>
      <c r="P967">
        <v>38.987900000000003</v>
      </c>
      <c r="Q967">
        <v>41.295000000000002</v>
      </c>
      <c r="R967">
        <v>40.0261</v>
      </c>
      <c r="V967" t="s">
        <v>167</v>
      </c>
      <c r="W967" t="s">
        <v>168</v>
      </c>
      <c r="Y967">
        <v>1</v>
      </c>
      <c r="Z967" t="s">
        <v>170</v>
      </c>
      <c r="AA967" t="s">
        <v>170</v>
      </c>
      <c r="AB967" t="s">
        <v>167</v>
      </c>
      <c r="AC967" t="s">
        <v>213</v>
      </c>
      <c r="AF967">
        <v>310</v>
      </c>
      <c r="AG967" t="s">
        <v>1735</v>
      </c>
      <c r="AH967" t="s">
        <v>1736</v>
      </c>
      <c r="AI967" t="s">
        <v>1742</v>
      </c>
      <c r="AJ967" t="s">
        <v>1743</v>
      </c>
      <c r="AK967">
        <v>4</v>
      </c>
      <c r="AL967" t="s">
        <v>1737</v>
      </c>
      <c r="AS967">
        <v>950</v>
      </c>
      <c r="AT967">
        <v>950</v>
      </c>
      <c r="BQ967">
        <v>33</v>
      </c>
      <c r="BR967" t="s">
        <v>1497</v>
      </c>
      <c r="BT967" t="s">
        <v>1769</v>
      </c>
      <c r="BU967" s="1">
        <v>45526</v>
      </c>
      <c r="BV967">
        <v>35419</v>
      </c>
      <c r="BX967" t="s">
        <v>170</v>
      </c>
      <c r="BY967" t="s">
        <v>170</v>
      </c>
      <c r="CB967" t="s">
        <v>170</v>
      </c>
      <c r="CC967" t="s">
        <v>170</v>
      </c>
      <c r="CK967" t="s">
        <v>233</v>
      </c>
      <c r="CM967">
        <v>1</v>
      </c>
      <c r="CN967" t="s">
        <v>234</v>
      </c>
      <c r="CP967">
        <v>375</v>
      </c>
      <c r="CQ967">
        <v>296</v>
      </c>
      <c r="CR967">
        <v>167</v>
      </c>
      <c r="CS967" t="s">
        <v>235</v>
      </c>
      <c r="CV967" t="s">
        <v>341</v>
      </c>
      <c r="CX967" t="s">
        <v>342</v>
      </c>
      <c r="CY967" t="s">
        <v>170</v>
      </c>
      <c r="DC967" t="s">
        <v>2159</v>
      </c>
      <c r="DD967">
        <v>4</v>
      </c>
      <c r="DE967" t="s">
        <v>404</v>
      </c>
      <c r="DF967" t="s">
        <v>427</v>
      </c>
      <c r="DG967" t="s">
        <v>2160</v>
      </c>
      <c r="DL967" t="s">
        <v>170</v>
      </c>
      <c r="DM967" t="s">
        <v>169</v>
      </c>
      <c r="DP967" t="s">
        <v>170</v>
      </c>
      <c r="DQ967" t="s">
        <v>187</v>
      </c>
      <c r="EB967">
        <v>9</v>
      </c>
      <c r="EC967">
        <v>10</v>
      </c>
      <c r="EE967" t="s">
        <v>2161</v>
      </c>
      <c r="EF967">
        <v>10</v>
      </c>
      <c r="EU967">
        <v>4750</v>
      </c>
      <c r="EW967">
        <v>0</v>
      </c>
      <c r="EX967">
        <v>0</v>
      </c>
      <c r="EY967">
        <v>0</v>
      </c>
      <c r="FA967">
        <v>10</v>
      </c>
      <c r="FG967">
        <v>318</v>
      </c>
      <c r="FH967">
        <v>300</v>
      </c>
      <c r="FI967">
        <v>310</v>
      </c>
    </row>
    <row r="968" spans="1:165" x14ac:dyDescent="0.35">
      <c r="A968" s="25"/>
      <c r="B968" s="25"/>
      <c r="C968" s="25"/>
      <c r="D968" s="25"/>
      <c r="E968" s="25"/>
      <c r="F968" s="25" t="str">
        <f>_xlfn.CONCAT($A969," ",$B969," ",$D969)</f>
        <v>2025 Volvo EX90 Twin Motor (21 Inch Wheels)</v>
      </c>
      <c r="G968" s="25"/>
      <c r="H968" s="25"/>
      <c r="I968" s="25"/>
      <c r="J968" s="25"/>
      <c r="K968" s="25"/>
      <c r="L968" s="25"/>
      <c r="M968" s="25"/>
      <c r="N968" s="25"/>
      <c r="O968" s="25"/>
      <c r="P968" s="25"/>
      <c r="Q968" s="25"/>
      <c r="R968" s="25"/>
      <c r="S968" s="25"/>
      <c r="T968" s="25"/>
      <c r="U968" s="25"/>
      <c r="V968" s="25"/>
      <c r="W968" s="25"/>
      <c r="X968" s="25"/>
      <c r="Y968" s="25"/>
      <c r="Z968" s="25"/>
      <c r="AA968" s="25"/>
      <c r="AB968" s="25"/>
      <c r="AC968" s="25"/>
      <c r="AD968" s="25" t="str">
        <f>_xlfn.CONCAT($A969," ",$B969," ",$D969)</f>
        <v>2025 Volvo EX90 Twin Motor (21 Inch Wheels)</v>
      </c>
      <c r="AE968" s="25"/>
      <c r="AF968" s="25"/>
      <c r="AG968" s="25"/>
      <c r="AH968" s="25"/>
      <c r="AI968" s="25"/>
      <c r="AJ968" s="25"/>
      <c r="AK968" s="25"/>
      <c r="AL968" s="25"/>
      <c r="AM968" s="25"/>
      <c r="AN968" s="25"/>
      <c r="AO968" s="25"/>
      <c r="AP968" s="25"/>
      <c r="AQ968" s="25"/>
      <c r="AR968" s="25"/>
      <c r="AS968" s="25"/>
      <c r="AT968" s="25"/>
      <c r="AU968" s="25"/>
      <c r="AV968" s="25"/>
      <c r="AW968" s="25"/>
      <c r="AX968" s="25" t="str">
        <f>_xlfn.CONCAT($A969," ",$B969," ",$D969)</f>
        <v>2025 Volvo EX90 Twin Motor (21 Inch Wheels)</v>
      </c>
      <c r="AY968" s="25"/>
      <c r="AZ968" s="25"/>
      <c r="BA968" s="25"/>
      <c r="BB968" s="25"/>
      <c r="BC968" s="25"/>
      <c r="BD968" s="25"/>
      <c r="BE968" s="25"/>
      <c r="BF968" s="25"/>
      <c r="BG968" s="25"/>
      <c r="BH968" s="25"/>
      <c r="BI968" s="25"/>
      <c r="BJ968" s="25"/>
      <c r="BK968" s="25"/>
      <c r="BL968" s="25"/>
      <c r="BM968" s="25"/>
      <c r="BN968" s="25"/>
      <c r="BO968" s="25"/>
      <c r="BP968" s="25"/>
      <c r="BQ968" s="25"/>
      <c r="BR968" s="25" t="str">
        <f>_xlfn.CONCAT($A969," ",$B969," ",$D969)</f>
        <v>2025 Volvo EX90 Twin Motor (21 Inch Wheels)</v>
      </c>
      <c r="BS968" s="25"/>
      <c r="BT968" s="25"/>
      <c r="BU968" s="25"/>
      <c r="BV968" s="25"/>
      <c r="BX968" s="25"/>
      <c r="BY968" s="25"/>
      <c r="BZ968" s="25"/>
      <c r="CA968" s="25"/>
      <c r="CB968" s="25"/>
      <c r="CC968" s="25"/>
      <c r="CD968" s="25"/>
      <c r="CE968" s="25"/>
      <c r="CF968" s="25"/>
      <c r="CG968" s="25"/>
      <c r="CH968" s="25"/>
      <c r="CI968" s="25"/>
      <c r="CJ968" s="25"/>
      <c r="CK968" s="25"/>
      <c r="CL968" s="25"/>
      <c r="CM968" s="25"/>
      <c r="CN968" s="25"/>
      <c r="CO968" s="25"/>
      <c r="CP968" s="25" t="str">
        <f>_xlfn.CONCAT($A969," ",$B969," ",$D969)</f>
        <v>2025 Volvo EX90 Twin Motor (21 Inch Wheels)</v>
      </c>
      <c r="CQ968" s="25"/>
      <c r="CR968" s="25"/>
      <c r="CS968" s="25"/>
      <c r="CT968" s="25"/>
      <c r="CU968" s="25"/>
      <c r="CV968" s="25"/>
      <c r="CW968" s="25"/>
      <c r="CX968" s="25"/>
      <c r="CY968" s="25"/>
      <c r="CZ968" s="25"/>
      <c r="DA968" s="25"/>
      <c r="DB968" s="25"/>
      <c r="DC968" s="25"/>
      <c r="DD968" s="25"/>
      <c r="DE968" s="25"/>
      <c r="DF968" s="25"/>
      <c r="DG968" s="25"/>
      <c r="DH968" s="25"/>
      <c r="DI968" s="25" t="str">
        <f>_xlfn.CONCAT($A969," ",$B969," ",$D969)</f>
        <v>2025 Volvo EX90 Twin Motor (21 Inch Wheels)</v>
      </c>
      <c r="DJ968" s="25"/>
      <c r="DK968" s="25"/>
      <c r="DL968" s="25"/>
      <c r="DM968" s="25"/>
      <c r="DN968" s="25"/>
      <c r="DO968" s="25"/>
      <c r="DP968" s="25"/>
      <c r="DQ968" s="25"/>
      <c r="DR968" s="25"/>
      <c r="DS968" s="25"/>
      <c r="DT968" s="25"/>
      <c r="DU968" s="25"/>
      <c r="DV968" s="25"/>
      <c r="DW968" s="25"/>
      <c r="DX968" s="25"/>
      <c r="DY968" s="25"/>
      <c r="DZ968" s="25" t="str">
        <f>_xlfn.CONCAT($A969," ",$B969," ",$D969)</f>
        <v>2025 Volvo EX90 Twin Motor (21 Inch Wheels)</v>
      </c>
      <c r="EB968" s="25"/>
      <c r="EC968" s="25"/>
      <c r="ED968" s="25"/>
      <c r="EE968" s="25"/>
      <c r="EF968" s="25"/>
      <c r="EG968" s="25"/>
      <c r="EH968" s="25"/>
      <c r="EI968" s="25"/>
      <c r="EJ968" s="25"/>
      <c r="EK968" s="25"/>
      <c r="EL968" s="25"/>
      <c r="EM968" s="25"/>
      <c r="EN968" s="25"/>
      <c r="EO968" s="25"/>
      <c r="EP968" s="25"/>
      <c r="EQ968" s="25"/>
      <c r="ER968" s="25"/>
      <c r="ES968" s="25"/>
      <c r="ET968" s="25"/>
      <c r="EU968" s="25"/>
      <c r="EV968" s="25" t="str">
        <f>_xlfn.CONCAT($A969," ",$B969," ",$D969)</f>
        <v>2025 Volvo EX90 Twin Motor (21 Inch Wheels)</v>
      </c>
      <c r="EW968" s="25"/>
      <c r="EX968" s="25"/>
      <c r="EY968" s="25"/>
      <c r="EZ968" s="25"/>
      <c r="FA968" s="25"/>
      <c r="FB968" s="25"/>
      <c r="FC968" s="25"/>
      <c r="FD968" s="25"/>
      <c r="FE968" s="25"/>
      <c r="FF968" s="25"/>
      <c r="FG968" s="25"/>
    </row>
    <row r="969" spans="1:165" x14ac:dyDescent="0.35">
      <c r="A969">
        <v>2025</v>
      </c>
      <c r="B969" t="s">
        <v>658</v>
      </c>
      <c r="C969" t="s">
        <v>659</v>
      </c>
      <c r="D969" t="s">
        <v>2383</v>
      </c>
      <c r="E969" t="s">
        <v>661</v>
      </c>
      <c r="F969">
        <v>256</v>
      </c>
      <c r="G969">
        <v>0</v>
      </c>
      <c r="I969" t="s">
        <v>1734</v>
      </c>
      <c r="J969">
        <v>86</v>
      </c>
      <c r="K969">
        <v>82</v>
      </c>
      <c r="L969">
        <v>84</v>
      </c>
      <c r="M969">
        <v>123.5</v>
      </c>
      <c r="N969">
        <v>116.6</v>
      </c>
      <c r="O969">
        <v>120.2966</v>
      </c>
      <c r="P969">
        <v>86.45</v>
      </c>
      <c r="Q969">
        <v>81.62</v>
      </c>
      <c r="R969">
        <v>84.207599999999999</v>
      </c>
      <c r="V969" t="s">
        <v>167</v>
      </c>
      <c r="W969" t="s">
        <v>168</v>
      </c>
      <c r="Y969">
        <v>1</v>
      </c>
      <c r="Z969" t="s">
        <v>170</v>
      </c>
      <c r="AA969" t="s">
        <v>170</v>
      </c>
      <c r="AB969" t="s">
        <v>167</v>
      </c>
      <c r="AC969" t="s">
        <v>213</v>
      </c>
      <c r="AF969">
        <v>310</v>
      </c>
      <c r="AG969" t="s">
        <v>1735</v>
      </c>
      <c r="AH969" t="s">
        <v>1736</v>
      </c>
      <c r="AI969" t="s">
        <v>175</v>
      </c>
      <c r="AJ969" t="s">
        <v>176</v>
      </c>
      <c r="AK969">
        <v>4</v>
      </c>
      <c r="AL969" t="s">
        <v>1737</v>
      </c>
      <c r="AS969">
        <v>950</v>
      </c>
      <c r="AT969">
        <v>950</v>
      </c>
      <c r="BQ969">
        <v>33</v>
      </c>
      <c r="BR969" t="s">
        <v>1497</v>
      </c>
      <c r="BT969" t="s">
        <v>1769</v>
      </c>
      <c r="BU969" s="1">
        <v>45526</v>
      </c>
      <c r="BV969">
        <v>35418</v>
      </c>
      <c r="BX969" t="s">
        <v>170</v>
      </c>
      <c r="BY969" t="s">
        <v>170</v>
      </c>
      <c r="CB969" t="s">
        <v>170</v>
      </c>
      <c r="CC969" t="s">
        <v>170</v>
      </c>
      <c r="CK969" t="s">
        <v>233</v>
      </c>
      <c r="CM969">
        <v>1</v>
      </c>
      <c r="CN969" t="s">
        <v>234</v>
      </c>
      <c r="CP969">
        <v>375</v>
      </c>
      <c r="CQ969">
        <v>296</v>
      </c>
      <c r="CR969">
        <v>167</v>
      </c>
      <c r="CS969" t="s">
        <v>235</v>
      </c>
      <c r="CV969" t="s">
        <v>341</v>
      </c>
      <c r="CX969" t="s">
        <v>342</v>
      </c>
      <c r="CY969" t="s">
        <v>170</v>
      </c>
      <c r="DC969" t="s">
        <v>2159</v>
      </c>
      <c r="DD969">
        <v>4</v>
      </c>
      <c r="DE969" t="s">
        <v>404</v>
      </c>
      <c r="DF969" t="s">
        <v>427</v>
      </c>
      <c r="DG969" t="s">
        <v>2384</v>
      </c>
      <c r="DL969" t="s">
        <v>170</v>
      </c>
      <c r="DM969" t="s">
        <v>169</v>
      </c>
      <c r="DP969" t="s">
        <v>170</v>
      </c>
      <c r="DQ969" t="s">
        <v>187</v>
      </c>
      <c r="EB969">
        <v>9</v>
      </c>
      <c r="EC969">
        <v>10</v>
      </c>
      <c r="EE969" t="s">
        <v>2161</v>
      </c>
      <c r="EF969">
        <v>10</v>
      </c>
      <c r="EU969">
        <v>4750</v>
      </c>
      <c r="EW969">
        <v>0</v>
      </c>
      <c r="EX969">
        <v>0</v>
      </c>
      <c r="EY969">
        <v>0</v>
      </c>
      <c r="FA969">
        <v>10</v>
      </c>
      <c r="FG969">
        <v>318</v>
      </c>
      <c r="FH969">
        <v>300</v>
      </c>
      <c r="FI969">
        <v>310</v>
      </c>
    </row>
    <row r="970" spans="1:165" x14ac:dyDescent="0.35">
      <c r="A970">
        <v>2025</v>
      </c>
      <c r="B970" t="s">
        <v>658</v>
      </c>
      <c r="C970" t="s">
        <v>659</v>
      </c>
      <c r="D970" t="s">
        <v>2383</v>
      </c>
      <c r="E970" t="s">
        <v>661</v>
      </c>
      <c r="F970">
        <v>256</v>
      </c>
      <c r="G970">
        <v>0</v>
      </c>
      <c r="I970" t="s">
        <v>1734</v>
      </c>
      <c r="J970">
        <v>39</v>
      </c>
      <c r="K970">
        <v>41</v>
      </c>
      <c r="L970">
        <v>40</v>
      </c>
      <c r="M970">
        <v>27.285699999999999</v>
      </c>
      <c r="N970">
        <v>28.902999999999999</v>
      </c>
      <c r="O970">
        <v>28.013500000000001</v>
      </c>
      <c r="P970">
        <v>38.987900000000003</v>
      </c>
      <c r="Q970">
        <v>41.295000000000002</v>
      </c>
      <c r="R970">
        <v>40.0261</v>
      </c>
      <c r="V970" t="s">
        <v>167</v>
      </c>
      <c r="W970" t="s">
        <v>168</v>
      </c>
      <c r="Y970">
        <v>1</v>
      </c>
      <c r="Z970" t="s">
        <v>170</v>
      </c>
      <c r="AA970" t="s">
        <v>170</v>
      </c>
      <c r="AB970" t="s">
        <v>167</v>
      </c>
      <c r="AC970" t="s">
        <v>213</v>
      </c>
      <c r="AF970">
        <v>310</v>
      </c>
      <c r="AG970" t="s">
        <v>1735</v>
      </c>
      <c r="AH970" t="s">
        <v>1736</v>
      </c>
      <c r="AI970" t="s">
        <v>1742</v>
      </c>
      <c r="AJ970" t="s">
        <v>1743</v>
      </c>
      <c r="AK970">
        <v>4</v>
      </c>
      <c r="AL970" t="s">
        <v>1737</v>
      </c>
      <c r="AS970">
        <v>950</v>
      </c>
      <c r="AT970">
        <v>950</v>
      </c>
      <c r="BQ970">
        <v>33</v>
      </c>
      <c r="BR970" t="s">
        <v>1497</v>
      </c>
      <c r="BT970" t="s">
        <v>1769</v>
      </c>
      <c r="BU970" s="1">
        <v>45526</v>
      </c>
      <c r="BV970">
        <v>35418</v>
      </c>
      <c r="BX970" t="s">
        <v>170</v>
      </c>
      <c r="BY970" t="s">
        <v>170</v>
      </c>
      <c r="CB970" t="s">
        <v>170</v>
      </c>
      <c r="CC970" t="s">
        <v>170</v>
      </c>
      <c r="CK970" t="s">
        <v>233</v>
      </c>
      <c r="CM970">
        <v>1</v>
      </c>
      <c r="CN970" t="s">
        <v>234</v>
      </c>
      <c r="CP970">
        <v>375</v>
      </c>
      <c r="CQ970">
        <v>296</v>
      </c>
      <c r="CR970">
        <v>167</v>
      </c>
      <c r="CS970" t="s">
        <v>235</v>
      </c>
      <c r="CV970" t="s">
        <v>341</v>
      </c>
      <c r="CX970" t="s">
        <v>342</v>
      </c>
      <c r="CY970" t="s">
        <v>170</v>
      </c>
      <c r="DC970" t="s">
        <v>2159</v>
      </c>
      <c r="DD970">
        <v>4</v>
      </c>
      <c r="DE970" t="s">
        <v>404</v>
      </c>
      <c r="DF970" t="s">
        <v>427</v>
      </c>
      <c r="DG970" t="s">
        <v>2384</v>
      </c>
      <c r="DL970" t="s">
        <v>170</v>
      </c>
      <c r="DM970" t="s">
        <v>169</v>
      </c>
      <c r="DP970" t="s">
        <v>170</v>
      </c>
      <c r="DQ970" t="s">
        <v>187</v>
      </c>
      <c r="EB970">
        <v>9</v>
      </c>
      <c r="EC970">
        <v>10</v>
      </c>
      <c r="EE970" t="s">
        <v>2161</v>
      </c>
      <c r="EF970">
        <v>10</v>
      </c>
      <c r="EU970">
        <v>4750</v>
      </c>
      <c r="EW970">
        <v>0</v>
      </c>
      <c r="EX970">
        <v>0</v>
      </c>
      <c r="EY970">
        <v>0</v>
      </c>
      <c r="FA970">
        <v>10</v>
      </c>
      <c r="FG970">
        <v>318</v>
      </c>
      <c r="FH970">
        <v>300</v>
      </c>
      <c r="FI970">
        <v>310</v>
      </c>
    </row>
    <row r="971" spans="1:165" x14ac:dyDescent="0.35">
      <c r="A971" s="25"/>
      <c r="B971" s="25"/>
      <c r="C971" s="25"/>
      <c r="D971" s="25"/>
      <c r="E971" s="25"/>
      <c r="F971" s="25" t="str">
        <f>_xlfn.CONCAT($A972," ",$B972," ",$D972)</f>
        <v>2025 Volvo EX40 Twin</v>
      </c>
      <c r="G971" s="25"/>
      <c r="H971" s="25"/>
      <c r="I971" s="25"/>
      <c r="J971" s="25"/>
      <c r="K971" s="25"/>
      <c r="L971" s="25"/>
      <c r="M971" s="25"/>
      <c r="N971" s="25"/>
      <c r="O971" s="25"/>
      <c r="P971" s="25"/>
      <c r="Q971" s="25"/>
      <c r="R971" s="25"/>
      <c r="S971" s="25"/>
      <c r="T971" s="25"/>
      <c r="U971" s="25"/>
      <c r="V971" s="25"/>
      <c r="W971" s="25"/>
      <c r="X971" s="25"/>
      <c r="Y971" s="25"/>
      <c r="Z971" s="25"/>
      <c r="AA971" s="25"/>
      <c r="AB971" s="25"/>
      <c r="AC971" s="25"/>
      <c r="AD971" s="25" t="str">
        <f>_xlfn.CONCAT($A972," ",$B972," ",$D972)</f>
        <v>2025 Volvo EX40 Twin</v>
      </c>
      <c r="AE971" s="25"/>
      <c r="AF971" s="25"/>
      <c r="AG971" s="25"/>
      <c r="AH971" s="25"/>
      <c r="AI971" s="25"/>
      <c r="AJ971" s="25"/>
      <c r="AK971" s="25"/>
      <c r="AL971" s="25"/>
      <c r="AM971" s="25"/>
      <c r="AN971" s="25"/>
      <c r="AO971" s="25"/>
      <c r="AP971" s="25"/>
      <c r="AQ971" s="25"/>
      <c r="AR971" s="25"/>
      <c r="AS971" s="25"/>
      <c r="AT971" s="25"/>
      <c r="AU971" s="25"/>
      <c r="AV971" s="25"/>
      <c r="AW971" s="25"/>
      <c r="AX971" s="25" t="str">
        <f>_xlfn.CONCAT($A972," ",$B972," ",$D972)</f>
        <v>2025 Volvo EX40 Twin</v>
      </c>
      <c r="AY971" s="25"/>
      <c r="AZ971" s="25"/>
      <c r="BA971" s="25"/>
      <c r="BB971" s="25"/>
      <c r="BC971" s="25"/>
      <c r="BD971" s="25"/>
      <c r="BE971" s="25"/>
      <c r="BF971" s="25"/>
      <c r="BG971" s="25"/>
      <c r="BH971" s="25"/>
      <c r="BI971" s="25"/>
      <c r="BJ971" s="25"/>
      <c r="BK971" s="25"/>
      <c r="BL971" s="25"/>
      <c r="BM971" s="25"/>
      <c r="BN971" s="25"/>
      <c r="BO971" s="25"/>
      <c r="BP971" s="25"/>
      <c r="BQ971" s="25"/>
      <c r="BR971" s="25" t="str">
        <f>_xlfn.CONCAT($A972," ",$B972," ",$D972)</f>
        <v>2025 Volvo EX40 Twin</v>
      </c>
      <c r="BS971" s="25"/>
      <c r="BT971" s="25"/>
      <c r="BU971" s="25"/>
      <c r="BV971" s="25"/>
      <c r="BX971" s="25"/>
      <c r="BY971" s="25"/>
      <c r="BZ971" s="25"/>
      <c r="CA971" s="25"/>
      <c r="CB971" s="25"/>
      <c r="CC971" s="25"/>
      <c r="CD971" s="25"/>
      <c r="CE971" s="25"/>
      <c r="CF971" s="25"/>
      <c r="CG971" s="25"/>
      <c r="CH971" s="25"/>
      <c r="CI971" s="25"/>
      <c r="CJ971" s="25"/>
      <c r="CK971" s="25"/>
      <c r="CL971" s="25"/>
      <c r="CM971" s="25"/>
      <c r="CN971" s="25"/>
      <c r="CO971" s="25"/>
      <c r="CP971" s="25" t="str">
        <f>_xlfn.CONCAT($A972," ",$B972," ",$D972)</f>
        <v>2025 Volvo EX40 Twin</v>
      </c>
      <c r="CQ971" s="25"/>
      <c r="CR971" s="25"/>
      <c r="CS971" s="25"/>
      <c r="CT971" s="25"/>
      <c r="CU971" s="25"/>
      <c r="CV971" s="25"/>
      <c r="CW971" s="25"/>
      <c r="CX971" s="25"/>
      <c r="CY971" s="25"/>
      <c r="CZ971" s="25"/>
      <c r="DA971" s="25"/>
      <c r="DB971" s="25"/>
      <c r="DC971" s="25"/>
      <c r="DD971" s="25"/>
      <c r="DE971" s="25"/>
      <c r="DF971" s="25"/>
      <c r="DG971" s="25"/>
      <c r="DH971" s="25"/>
      <c r="DI971" s="25" t="str">
        <f>_xlfn.CONCAT($A972," ",$B972," ",$D972)</f>
        <v>2025 Volvo EX40 Twin</v>
      </c>
      <c r="DJ971" s="25"/>
      <c r="DK971" s="25"/>
      <c r="DL971" s="25"/>
      <c r="DM971" s="25"/>
      <c r="DN971" s="25"/>
      <c r="DO971" s="25"/>
      <c r="DP971" s="25"/>
      <c r="DQ971" s="25"/>
      <c r="DR971" s="25"/>
      <c r="DS971" s="25"/>
      <c r="DT971" s="25"/>
      <c r="DU971" s="25"/>
      <c r="DV971" s="25"/>
      <c r="DW971" s="25"/>
      <c r="DX971" s="25"/>
      <c r="DY971" s="25"/>
      <c r="DZ971" s="25" t="str">
        <f>_xlfn.CONCAT($A972," ",$B972," ",$D972)</f>
        <v>2025 Volvo EX40 Twin</v>
      </c>
      <c r="EB971" s="25"/>
      <c r="EC971" s="25"/>
      <c r="ED971" s="25"/>
      <c r="EE971" s="25"/>
      <c r="EF971" s="25"/>
      <c r="EG971" s="25"/>
      <c r="EH971" s="25"/>
      <c r="EI971" s="25"/>
      <c r="EJ971" s="25"/>
      <c r="EK971" s="25"/>
      <c r="EL971" s="25"/>
      <c r="EM971" s="25"/>
      <c r="EN971" s="25"/>
      <c r="EO971" s="25"/>
      <c r="EP971" s="25"/>
      <c r="EQ971" s="25"/>
      <c r="ER971" s="25"/>
      <c r="ES971" s="25"/>
      <c r="ET971" s="25"/>
      <c r="EU971" s="25"/>
      <c r="EV971" s="25" t="str">
        <f>_xlfn.CONCAT($A972," ",$B972," ",$D972)</f>
        <v>2025 Volvo EX40 Twin</v>
      </c>
      <c r="EW971" s="25"/>
      <c r="EX971" s="25"/>
      <c r="EY971" s="25"/>
      <c r="EZ971" s="25"/>
      <c r="FA971" s="25"/>
      <c r="FB971" s="25"/>
      <c r="FC971" s="25"/>
      <c r="FD971" s="25"/>
      <c r="FE971" s="25"/>
      <c r="FF971" s="25"/>
      <c r="FG971" s="25"/>
    </row>
    <row r="972" spans="1:165" x14ac:dyDescent="0.35">
      <c r="A972">
        <v>2025</v>
      </c>
      <c r="B972" t="s">
        <v>658</v>
      </c>
      <c r="C972" t="s">
        <v>659</v>
      </c>
      <c r="D972" t="s">
        <v>2380</v>
      </c>
      <c r="E972" t="s">
        <v>661</v>
      </c>
      <c r="F972">
        <v>261</v>
      </c>
      <c r="G972">
        <v>0</v>
      </c>
      <c r="I972" t="s">
        <v>1734</v>
      </c>
      <c r="J972">
        <v>103</v>
      </c>
      <c r="K972">
        <v>85</v>
      </c>
      <c r="L972">
        <v>94</v>
      </c>
      <c r="M972">
        <v>146.80000000000001</v>
      </c>
      <c r="N972">
        <v>120.8</v>
      </c>
      <c r="O972">
        <v>133.8373</v>
      </c>
      <c r="P972">
        <v>102.76</v>
      </c>
      <c r="Q972">
        <v>84.56</v>
      </c>
      <c r="R972">
        <v>93.686099999999996</v>
      </c>
      <c r="V972" t="s">
        <v>167</v>
      </c>
      <c r="W972" t="s">
        <v>168</v>
      </c>
      <c r="Y972">
        <v>1</v>
      </c>
      <c r="Z972" t="s">
        <v>170</v>
      </c>
      <c r="AA972" t="s">
        <v>170</v>
      </c>
      <c r="AB972" t="s">
        <v>167</v>
      </c>
      <c r="AC972" t="s">
        <v>213</v>
      </c>
      <c r="AF972">
        <v>260</v>
      </c>
      <c r="AG972" t="s">
        <v>1735</v>
      </c>
      <c r="AH972" t="s">
        <v>1736</v>
      </c>
      <c r="AI972" t="s">
        <v>175</v>
      </c>
      <c r="AJ972" t="s">
        <v>176</v>
      </c>
      <c r="AK972">
        <v>4</v>
      </c>
      <c r="AL972" t="s">
        <v>1737</v>
      </c>
      <c r="AS972">
        <v>850</v>
      </c>
      <c r="AT972">
        <v>850</v>
      </c>
      <c r="BQ972">
        <v>31</v>
      </c>
      <c r="BR972" t="s">
        <v>1219</v>
      </c>
      <c r="BT972" t="s">
        <v>1769</v>
      </c>
      <c r="BU972" s="1">
        <v>45444</v>
      </c>
      <c r="BV972">
        <v>34786</v>
      </c>
      <c r="BX972" t="s">
        <v>170</v>
      </c>
      <c r="BY972" t="s">
        <v>170</v>
      </c>
      <c r="CB972" t="s">
        <v>170</v>
      </c>
      <c r="CC972" t="s">
        <v>170</v>
      </c>
      <c r="CK972" t="s">
        <v>233</v>
      </c>
      <c r="CM972">
        <v>1</v>
      </c>
      <c r="CN972" t="s">
        <v>234</v>
      </c>
      <c r="CP972">
        <v>404</v>
      </c>
      <c r="CQ972">
        <v>202</v>
      </c>
      <c r="CR972">
        <v>165</v>
      </c>
      <c r="CS972" t="s">
        <v>235</v>
      </c>
      <c r="CV972" t="s">
        <v>341</v>
      </c>
      <c r="CX972" t="s">
        <v>342</v>
      </c>
      <c r="CY972" t="s">
        <v>170</v>
      </c>
      <c r="DC972" t="s">
        <v>2147</v>
      </c>
      <c r="DD972">
        <v>5</v>
      </c>
      <c r="DE972" t="s">
        <v>404</v>
      </c>
      <c r="DF972" t="s">
        <v>427</v>
      </c>
      <c r="DG972" t="s">
        <v>2381</v>
      </c>
      <c r="DL972" t="s">
        <v>170</v>
      </c>
      <c r="DM972" t="s">
        <v>169</v>
      </c>
      <c r="DP972" t="s">
        <v>170</v>
      </c>
      <c r="DQ972" t="s">
        <v>187</v>
      </c>
      <c r="EB972">
        <v>9</v>
      </c>
      <c r="EC972">
        <v>10</v>
      </c>
      <c r="EE972" t="s">
        <v>2149</v>
      </c>
      <c r="EF972">
        <v>10</v>
      </c>
      <c r="EU972">
        <v>5250</v>
      </c>
      <c r="EW972">
        <v>0</v>
      </c>
      <c r="EX972">
        <v>0</v>
      </c>
      <c r="EY972">
        <v>0</v>
      </c>
      <c r="FA972">
        <v>8</v>
      </c>
      <c r="FG972">
        <v>283</v>
      </c>
      <c r="FH972">
        <v>232</v>
      </c>
      <c r="FI972">
        <v>260</v>
      </c>
    </row>
    <row r="973" spans="1:165" x14ac:dyDescent="0.35">
      <c r="A973">
        <v>2025</v>
      </c>
      <c r="B973" t="s">
        <v>658</v>
      </c>
      <c r="C973" t="s">
        <v>659</v>
      </c>
      <c r="D973" t="s">
        <v>2380</v>
      </c>
      <c r="E973" t="s">
        <v>661</v>
      </c>
      <c r="F973">
        <v>261</v>
      </c>
      <c r="G973">
        <v>0</v>
      </c>
      <c r="I973" t="s">
        <v>1734</v>
      </c>
      <c r="J973">
        <v>33</v>
      </c>
      <c r="K973">
        <v>40</v>
      </c>
      <c r="L973">
        <v>36</v>
      </c>
      <c r="M973">
        <v>22.956900000000001</v>
      </c>
      <c r="N973">
        <v>27.906099999999999</v>
      </c>
      <c r="O973">
        <v>25.184000000000001</v>
      </c>
      <c r="P973">
        <v>32.799700000000001</v>
      </c>
      <c r="Q973">
        <v>39.859299999999998</v>
      </c>
      <c r="R973">
        <v>35.976500000000001</v>
      </c>
      <c r="V973" t="s">
        <v>167</v>
      </c>
      <c r="W973" t="s">
        <v>168</v>
      </c>
      <c r="Y973">
        <v>1</v>
      </c>
      <c r="Z973" t="s">
        <v>170</v>
      </c>
      <c r="AA973" t="s">
        <v>170</v>
      </c>
      <c r="AB973" t="s">
        <v>167</v>
      </c>
      <c r="AC973" t="s">
        <v>213</v>
      </c>
      <c r="AF973">
        <v>260</v>
      </c>
      <c r="AG973" t="s">
        <v>1735</v>
      </c>
      <c r="AH973" t="s">
        <v>1736</v>
      </c>
      <c r="AI973" t="s">
        <v>1742</v>
      </c>
      <c r="AJ973" t="s">
        <v>1743</v>
      </c>
      <c r="AK973">
        <v>4</v>
      </c>
      <c r="AL973" t="s">
        <v>1737</v>
      </c>
      <c r="AS973">
        <v>850</v>
      </c>
      <c r="AT973">
        <v>850</v>
      </c>
      <c r="BQ973">
        <v>31</v>
      </c>
      <c r="BR973" t="s">
        <v>1219</v>
      </c>
      <c r="BT973" t="s">
        <v>1769</v>
      </c>
      <c r="BU973" s="1">
        <v>45444</v>
      </c>
      <c r="BV973">
        <v>34786</v>
      </c>
      <c r="BX973" t="s">
        <v>170</v>
      </c>
      <c r="BY973" t="s">
        <v>170</v>
      </c>
      <c r="CB973" t="s">
        <v>170</v>
      </c>
      <c r="CC973" t="s">
        <v>170</v>
      </c>
      <c r="CK973" t="s">
        <v>233</v>
      </c>
      <c r="CM973">
        <v>1</v>
      </c>
      <c r="CN973" t="s">
        <v>234</v>
      </c>
      <c r="CP973">
        <v>404</v>
      </c>
      <c r="CQ973">
        <v>202</v>
      </c>
      <c r="CR973">
        <v>165</v>
      </c>
      <c r="CS973" t="s">
        <v>235</v>
      </c>
      <c r="CV973" t="s">
        <v>341</v>
      </c>
      <c r="CX973" t="s">
        <v>342</v>
      </c>
      <c r="CY973" t="s">
        <v>170</v>
      </c>
      <c r="DC973" t="s">
        <v>2147</v>
      </c>
      <c r="DD973">
        <v>5</v>
      </c>
      <c r="DE973" t="s">
        <v>404</v>
      </c>
      <c r="DF973" t="s">
        <v>427</v>
      </c>
      <c r="DG973" t="s">
        <v>2381</v>
      </c>
      <c r="DL973" t="s">
        <v>170</v>
      </c>
      <c r="DM973" t="s">
        <v>169</v>
      </c>
      <c r="DP973" t="s">
        <v>170</v>
      </c>
      <c r="DQ973" t="s">
        <v>187</v>
      </c>
      <c r="EB973">
        <v>9</v>
      </c>
      <c r="EC973">
        <v>10</v>
      </c>
      <c r="EE973" t="s">
        <v>2149</v>
      </c>
      <c r="EF973">
        <v>10</v>
      </c>
      <c r="EU973">
        <v>5250</v>
      </c>
      <c r="EW973">
        <v>0</v>
      </c>
      <c r="EX973">
        <v>0</v>
      </c>
      <c r="EY973">
        <v>0</v>
      </c>
      <c r="FA973">
        <v>8</v>
      </c>
      <c r="FG973">
        <v>283</v>
      </c>
      <c r="FH973">
        <v>232</v>
      </c>
      <c r="FI973">
        <v>260</v>
      </c>
    </row>
    <row r="974" spans="1:165" x14ac:dyDescent="0.35">
      <c r="A974" s="25"/>
      <c r="B974" s="25"/>
      <c r="C974" s="25"/>
      <c r="D974" s="25"/>
      <c r="E974" s="25"/>
      <c r="F974" s="25" t="str">
        <f>_xlfn.CONCAT($A975," ",$B975," ",$D975)</f>
        <v>2025 Volvo EC40 Twin</v>
      </c>
      <c r="G974" s="25"/>
      <c r="H974" s="25"/>
      <c r="I974" s="25"/>
      <c r="J974" s="25"/>
      <c r="K974" s="25"/>
      <c r="L974" s="25"/>
      <c r="M974" s="25"/>
      <c r="N974" s="25"/>
      <c r="O974" s="25"/>
      <c r="P974" s="25"/>
      <c r="Q974" s="25"/>
      <c r="R974" s="25"/>
      <c r="S974" s="25"/>
      <c r="T974" s="25"/>
      <c r="U974" s="25"/>
      <c r="V974" s="25"/>
      <c r="W974" s="25"/>
      <c r="X974" s="25"/>
      <c r="Y974" s="25"/>
      <c r="Z974" s="25"/>
      <c r="AA974" s="25"/>
      <c r="AB974" s="25"/>
      <c r="AC974" s="25"/>
      <c r="AD974" s="25" t="str">
        <f>_xlfn.CONCAT($A975," ",$B975," ",$D975)</f>
        <v>2025 Volvo EC40 Twin</v>
      </c>
      <c r="AE974" s="25"/>
      <c r="AF974" s="25"/>
      <c r="AG974" s="25"/>
      <c r="AH974" s="25"/>
      <c r="AI974" s="25"/>
      <c r="AJ974" s="25"/>
      <c r="AK974" s="25"/>
      <c r="AL974" s="25"/>
      <c r="AM974" s="25"/>
      <c r="AN974" s="25"/>
      <c r="AO974" s="25"/>
      <c r="AP974" s="25"/>
      <c r="AQ974" s="25"/>
      <c r="AR974" s="25"/>
      <c r="AS974" s="25"/>
      <c r="AT974" s="25"/>
      <c r="AU974" s="25"/>
      <c r="AV974" s="25"/>
      <c r="AW974" s="25"/>
      <c r="AX974" s="25" t="str">
        <f>_xlfn.CONCAT($A975," ",$B975," ",$D975)</f>
        <v>2025 Volvo EC40 Twin</v>
      </c>
      <c r="AY974" s="25"/>
      <c r="AZ974" s="25"/>
      <c r="BA974" s="25"/>
      <c r="BB974" s="25"/>
      <c r="BC974" s="25"/>
      <c r="BD974" s="25"/>
      <c r="BE974" s="25"/>
      <c r="BF974" s="25"/>
      <c r="BG974" s="25"/>
      <c r="BH974" s="25"/>
      <c r="BI974" s="25"/>
      <c r="BJ974" s="25"/>
      <c r="BK974" s="25"/>
      <c r="BL974" s="25"/>
      <c r="BM974" s="25"/>
      <c r="BN974" s="25"/>
      <c r="BO974" s="25"/>
      <c r="BP974" s="25"/>
      <c r="BQ974" s="25"/>
      <c r="BR974" s="25" t="str">
        <f>_xlfn.CONCAT($A975," ",$B975," ",$D975)</f>
        <v>2025 Volvo EC40 Twin</v>
      </c>
      <c r="BS974" s="25"/>
      <c r="BT974" s="25"/>
      <c r="BU974" s="25"/>
      <c r="BV974" s="25"/>
      <c r="BX974" s="25"/>
      <c r="BY974" s="25"/>
      <c r="BZ974" s="25"/>
      <c r="CA974" s="25"/>
      <c r="CB974" s="25"/>
      <c r="CC974" s="25"/>
      <c r="CD974" s="25"/>
      <c r="CE974" s="25"/>
      <c r="CF974" s="25"/>
      <c r="CG974" s="25"/>
      <c r="CH974" s="25"/>
      <c r="CI974" s="25"/>
      <c r="CJ974" s="25"/>
      <c r="CK974" s="25"/>
      <c r="CL974" s="25"/>
      <c r="CM974" s="25"/>
      <c r="CN974" s="25"/>
      <c r="CO974" s="25"/>
      <c r="CP974" s="25" t="str">
        <f>_xlfn.CONCAT($A975," ",$B975," ",$D975)</f>
        <v>2025 Volvo EC40 Twin</v>
      </c>
      <c r="CQ974" s="25"/>
      <c r="CR974" s="25"/>
      <c r="CS974" s="25"/>
      <c r="CT974" s="25"/>
      <c r="CU974" s="25"/>
      <c r="CV974" s="25"/>
      <c r="CW974" s="25"/>
      <c r="CX974" s="25"/>
      <c r="CY974" s="25"/>
      <c r="CZ974" s="25"/>
      <c r="DA974" s="25"/>
      <c r="DB974" s="25"/>
      <c r="DC974" s="25"/>
      <c r="DD974" s="25"/>
      <c r="DE974" s="25"/>
      <c r="DF974" s="25"/>
      <c r="DG974" s="25"/>
      <c r="DH974" s="25"/>
      <c r="DI974" s="25" t="str">
        <f>_xlfn.CONCAT($A975," ",$B975," ",$D975)</f>
        <v>2025 Volvo EC40 Twin</v>
      </c>
      <c r="DJ974" s="25"/>
      <c r="DK974" s="25"/>
      <c r="DL974" s="25"/>
      <c r="DM974" s="25"/>
      <c r="DN974" s="25"/>
      <c r="DO974" s="25"/>
      <c r="DP974" s="25"/>
      <c r="DQ974" s="25"/>
      <c r="DR974" s="25"/>
      <c r="DS974" s="25"/>
      <c r="DT974" s="25"/>
      <c r="DU974" s="25"/>
      <c r="DV974" s="25"/>
      <c r="DW974" s="25"/>
      <c r="DX974" s="25"/>
      <c r="DY974" s="25"/>
      <c r="DZ974" s="25" t="str">
        <f>_xlfn.CONCAT($A975," ",$B975," ",$D975)</f>
        <v>2025 Volvo EC40 Twin</v>
      </c>
      <c r="EB974" s="25"/>
      <c r="EC974" s="25"/>
      <c r="ED974" s="25"/>
      <c r="EE974" s="25"/>
      <c r="EF974" s="25"/>
      <c r="EG974" s="25"/>
      <c r="EH974" s="25"/>
      <c r="EI974" s="25"/>
      <c r="EJ974" s="25"/>
      <c r="EK974" s="25"/>
      <c r="EL974" s="25"/>
      <c r="EM974" s="25"/>
      <c r="EN974" s="25"/>
      <c r="EO974" s="25"/>
      <c r="EP974" s="25"/>
      <c r="EQ974" s="25"/>
      <c r="ER974" s="25"/>
      <c r="ES974" s="25"/>
      <c r="ET974" s="25"/>
      <c r="EU974" s="25"/>
      <c r="EV974" s="25" t="str">
        <f>_xlfn.CONCAT($A975," ",$B975," ",$D975)</f>
        <v>2025 Volvo EC40 Twin</v>
      </c>
      <c r="EW974" s="25"/>
      <c r="EX974" s="25"/>
      <c r="EY974" s="25"/>
      <c r="EZ974" s="25"/>
      <c r="FA974" s="25"/>
      <c r="FB974" s="25"/>
      <c r="FC974" s="25"/>
      <c r="FD974" s="25"/>
      <c r="FE974" s="25"/>
      <c r="FF974" s="25"/>
      <c r="FG974" s="25"/>
    </row>
    <row r="975" spans="1:165" x14ac:dyDescent="0.35">
      <c r="A975">
        <v>2025</v>
      </c>
      <c r="B975" t="s">
        <v>658</v>
      </c>
      <c r="C975" t="s">
        <v>659</v>
      </c>
      <c r="D975" t="s">
        <v>2370</v>
      </c>
      <c r="E975" t="s">
        <v>661</v>
      </c>
      <c r="F975">
        <v>262</v>
      </c>
      <c r="G975">
        <v>0</v>
      </c>
      <c r="I975" t="s">
        <v>1734</v>
      </c>
      <c r="J975">
        <v>105</v>
      </c>
      <c r="K975">
        <v>88</v>
      </c>
      <c r="L975">
        <v>97</v>
      </c>
      <c r="M975">
        <v>150.1</v>
      </c>
      <c r="N975">
        <v>126</v>
      </c>
      <c r="O975">
        <v>138.2045</v>
      </c>
      <c r="P975">
        <v>105.07</v>
      </c>
      <c r="Q975">
        <v>88.2</v>
      </c>
      <c r="R975">
        <v>96.743200000000002</v>
      </c>
      <c r="V975" t="s">
        <v>167</v>
      </c>
      <c r="W975" t="s">
        <v>168</v>
      </c>
      <c r="Y975">
        <v>1</v>
      </c>
      <c r="Z975" t="s">
        <v>170</v>
      </c>
      <c r="AA975" t="s">
        <v>170</v>
      </c>
      <c r="AB975" t="s">
        <v>167</v>
      </c>
      <c r="AC975" t="s">
        <v>213</v>
      </c>
      <c r="AF975">
        <v>268</v>
      </c>
      <c r="AG975" t="s">
        <v>1735</v>
      </c>
      <c r="AH975" t="s">
        <v>1736</v>
      </c>
      <c r="AI975" t="s">
        <v>175</v>
      </c>
      <c r="AJ975" t="s">
        <v>176</v>
      </c>
      <c r="AK975">
        <v>4</v>
      </c>
      <c r="AL975" t="s">
        <v>1737</v>
      </c>
      <c r="AS975">
        <v>850</v>
      </c>
      <c r="AT975">
        <v>850</v>
      </c>
      <c r="BQ975">
        <v>31</v>
      </c>
      <c r="BR975" t="s">
        <v>1219</v>
      </c>
      <c r="BT975" t="s">
        <v>1769</v>
      </c>
      <c r="BU975" s="1">
        <v>45444</v>
      </c>
      <c r="BV975">
        <v>34787</v>
      </c>
      <c r="BX975" t="s">
        <v>170</v>
      </c>
      <c r="BY975" t="s">
        <v>170</v>
      </c>
      <c r="CB975" t="s">
        <v>170</v>
      </c>
      <c r="CC975" t="s">
        <v>170</v>
      </c>
      <c r="CK975" t="s">
        <v>233</v>
      </c>
      <c r="CM975">
        <v>1</v>
      </c>
      <c r="CN975" t="s">
        <v>234</v>
      </c>
      <c r="CP975">
        <v>404</v>
      </c>
      <c r="CQ975">
        <v>202</v>
      </c>
      <c r="CR975">
        <v>165</v>
      </c>
      <c r="CS975" t="s">
        <v>235</v>
      </c>
      <c r="CV975" t="s">
        <v>341</v>
      </c>
      <c r="CX975" t="s">
        <v>342</v>
      </c>
      <c r="CY975" t="s">
        <v>170</v>
      </c>
      <c r="DC975" t="s">
        <v>2147</v>
      </c>
      <c r="DD975">
        <v>5</v>
      </c>
      <c r="DE975" t="s">
        <v>404</v>
      </c>
      <c r="DF975" t="s">
        <v>427</v>
      </c>
      <c r="DG975" t="s">
        <v>2371</v>
      </c>
      <c r="DL975" t="s">
        <v>170</v>
      </c>
      <c r="DM975" t="s">
        <v>169</v>
      </c>
      <c r="DP975" t="s">
        <v>170</v>
      </c>
      <c r="DQ975" t="s">
        <v>187</v>
      </c>
      <c r="EB975">
        <v>9</v>
      </c>
      <c r="EC975">
        <v>10</v>
      </c>
      <c r="EE975" t="s">
        <v>2149</v>
      </c>
      <c r="EF975">
        <v>10</v>
      </c>
      <c r="EU975">
        <v>5250</v>
      </c>
      <c r="EW975">
        <v>0</v>
      </c>
      <c r="EX975">
        <v>0</v>
      </c>
      <c r="EY975">
        <v>0</v>
      </c>
      <c r="FA975">
        <v>8</v>
      </c>
      <c r="FG975">
        <v>289</v>
      </c>
      <c r="FH975">
        <v>242</v>
      </c>
      <c r="FI975">
        <v>268</v>
      </c>
    </row>
    <row r="976" spans="1:165" x14ac:dyDescent="0.35">
      <c r="A976">
        <v>2025</v>
      </c>
      <c r="B976" t="s">
        <v>658</v>
      </c>
      <c r="C976" t="s">
        <v>659</v>
      </c>
      <c r="D976" t="s">
        <v>2370</v>
      </c>
      <c r="E976" t="s">
        <v>661</v>
      </c>
      <c r="F976">
        <v>262</v>
      </c>
      <c r="G976">
        <v>0</v>
      </c>
      <c r="I976" t="s">
        <v>1734</v>
      </c>
      <c r="J976">
        <v>32</v>
      </c>
      <c r="K976">
        <v>38</v>
      </c>
      <c r="L976">
        <v>35</v>
      </c>
      <c r="M976">
        <v>22.457599999999999</v>
      </c>
      <c r="N976">
        <v>26.7486</v>
      </c>
      <c r="O976">
        <v>24.388500000000001</v>
      </c>
      <c r="P976">
        <v>32.078600000000002</v>
      </c>
      <c r="Q976">
        <v>38.214300000000001</v>
      </c>
      <c r="R976">
        <v>34.839700000000001</v>
      </c>
      <c r="V976" t="s">
        <v>167</v>
      </c>
      <c r="W976" t="s">
        <v>168</v>
      </c>
      <c r="Y976">
        <v>1</v>
      </c>
      <c r="Z976" t="s">
        <v>170</v>
      </c>
      <c r="AA976" t="s">
        <v>170</v>
      </c>
      <c r="AB976" t="s">
        <v>167</v>
      </c>
      <c r="AC976" t="s">
        <v>213</v>
      </c>
      <c r="AF976">
        <v>268</v>
      </c>
      <c r="AG976" t="s">
        <v>1735</v>
      </c>
      <c r="AH976" t="s">
        <v>1736</v>
      </c>
      <c r="AI976" t="s">
        <v>1742</v>
      </c>
      <c r="AJ976" t="s">
        <v>1743</v>
      </c>
      <c r="AK976">
        <v>4</v>
      </c>
      <c r="AL976" t="s">
        <v>1737</v>
      </c>
      <c r="AS976">
        <v>850</v>
      </c>
      <c r="AT976">
        <v>850</v>
      </c>
      <c r="BQ976">
        <v>31</v>
      </c>
      <c r="BR976" t="s">
        <v>1219</v>
      </c>
      <c r="BT976" t="s">
        <v>1769</v>
      </c>
      <c r="BU976" s="1">
        <v>45444</v>
      </c>
      <c r="BV976">
        <v>34787</v>
      </c>
      <c r="BX976" t="s">
        <v>170</v>
      </c>
      <c r="BY976" t="s">
        <v>170</v>
      </c>
      <c r="CB976" t="s">
        <v>170</v>
      </c>
      <c r="CC976" t="s">
        <v>170</v>
      </c>
      <c r="CK976" t="s">
        <v>233</v>
      </c>
      <c r="CM976">
        <v>1</v>
      </c>
      <c r="CN976" t="s">
        <v>234</v>
      </c>
      <c r="CP976">
        <v>404</v>
      </c>
      <c r="CQ976">
        <v>202</v>
      </c>
      <c r="CR976">
        <v>165</v>
      </c>
      <c r="CS976" t="s">
        <v>235</v>
      </c>
      <c r="CV976" t="s">
        <v>341</v>
      </c>
      <c r="CX976" t="s">
        <v>342</v>
      </c>
      <c r="CY976" t="s">
        <v>170</v>
      </c>
      <c r="DC976" t="s">
        <v>2147</v>
      </c>
      <c r="DD976">
        <v>5</v>
      </c>
      <c r="DE976" t="s">
        <v>237</v>
      </c>
      <c r="DG976" t="s">
        <v>2371</v>
      </c>
      <c r="DL976" t="s">
        <v>170</v>
      </c>
      <c r="DM976" t="s">
        <v>169</v>
      </c>
      <c r="DP976" t="s">
        <v>170</v>
      </c>
      <c r="DQ976" t="s">
        <v>187</v>
      </c>
      <c r="EB976">
        <v>9</v>
      </c>
      <c r="EC976">
        <v>10</v>
      </c>
      <c r="EE976" t="s">
        <v>2149</v>
      </c>
      <c r="EF976">
        <v>10</v>
      </c>
      <c r="EU976">
        <v>5250</v>
      </c>
      <c r="EW976">
        <v>0</v>
      </c>
      <c r="EX976">
        <v>0</v>
      </c>
      <c r="EY976">
        <v>0</v>
      </c>
      <c r="FA976">
        <v>8</v>
      </c>
      <c r="FG976">
        <v>289</v>
      </c>
      <c r="FH976">
        <v>242</v>
      </c>
      <c r="FI976">
        <v>268</v>
      </c>
    </row>
    <row r="977" spans="1:165" x14ac:dyDescent="0.35">
      <c r="A977" s="25"/>
      <c r="B977" s="25"/>
      <c r="C977" s="25"/>
      <c r="D977" s="25"/>
      <c r="E977" s="25"/>
      <c r="F977" s="25" t="str">
        <f>_xlfn.CONCAT($A978," ",$B978," ",$D978)</f>
        <v>2025 Volvo EX30 Twin Performance (19 Inch Wheels)</v>
      </c>
      <c r="G977" s="25"/>
      <c r="H977" s="25"/>
      <c r="I977" s="25"/>
      <c r="J977" s="25"/>
      <c r="K977" s="25"/>
      <c r="L977" s="25"/>
      <c r="M977" s="25"/>
      <c r="N977" s="25"/>
      <c r="O977" s="25"/>
      <c r="P977" s="25"/>
      <c r="Q977" s="25"/>
      <c r="R977" s="25"/>
      <c r="S977" s="25"/>
      <c r="T977" s="25"/>
      <c r="U977" s="25"/>
      <c r="V977" s="25"/>
      <c r="W977" s="25"/>
      <c r="X977" s="25"/>
      <c r="Y977" s="25"/>
      <c r="Z977" s="25"/>
      <c r="AA977" s="25"/>
      <c r="AB977" s="25"/>
      <c r="AC977" s="25"/>
      <c r="AD977" s="25" t="str">
        <f>_xlfn.CONCAT($A978," ",$B978," ",$D978)</f>
        <v>2025 Volvo EX30 Twin Performance (19 Inch Wheels)</v>
      </c>
      <c r="AE977" s="25"/>
      <c r="AF977" s="25"/>
      <c r="AG977" s="25"/>
      <c r="AH977" s="25"/>
      <c r="AI977" s="25"/>
      <c r="AJ977" s="25"/>
      <c r="AK977" s="25"/>
      <c r="AL977" s="25"/>
      <c r="AM977" s="25"/>
      <c r="AN977" s="25"/>
      <c r="AO977" s="25"/>
      <c r="AP977" s="25"/>
      <c r="AQ977" s="25"/>
      <c r="AR977" s="25"/>
      <c r="AS977" s="25"/>
      <c r="AT977" s="25"/>
      <c r="AU977" s="25"/>
      <c r="AV977" s="25"/>
      <c r="AW977" s="25"/>
      <c r="AX977" s="25" t="str">
        <f>_xlfn.CONCAT($A978," ",$B978," ",$D978)</f>
        <v>2025 Volvo EX30 Twin Performance (19 Inch Wheels)</v>
      </c>
      <c r="AY977" s="25"/>
      <c r="AZ977" s="25"/>
      <c r="BA977" s="25"/>
      <c r="BB977" s="25"/>
      <c r="BC977" s="25"/>
      <c r="BD977" s="25"/>
      <c r="BE977" s="25"/>
      <c r="BF977" s="25"/>
      <c r="BG977" s="25"/>
      <c r="BH977" s="25"/>
      <c r="BI977" s="25"/>
      <c r="BJ977" s="25"/>
      <c r="BK977" s="25"/>
      <c r="BL977" s="25"/>
      <c r="BM977" s="25"/>
      <c r="BN977" s="25"/>
      <c r="BO977" s="25"/>
      <c r="BP977" s="25"/>
      <c r="BQ977" s="25"/>
      <c r="BR977" s="25" t="str">
        <f>_xlfn.CONCAT($A978," ",$B978," ",$D978)</f>
        <v>2025 Volvo EX30 Twin Performance (19 Inch Wheels)</v>
      </c>
      <c r="BS977" s="25"/>
      <c r="BT977" s="25"/>
      <c r="BU977" s="25"/>
      <c r="BV977" s="25"/>
      <c r="BX977" s="25"/>
      <c r="BY977" s="25"/>
      <c r="BZ977" s="25"/>
      <c r="CA977" s="25"/>
      <c r="CB977" s="25"/>
      <c r="CC977" s="25"/>
      <c r="CD977" s="25"/>
      <c r="CE977" s="25"/>
      <c r="CF977" s="25"/>
      <c r="CG977" s="25"/>
      <c r="CH977" s="25"/>
      <c r="CI977" s="25"/>
      <c r="CJ977" s="25"/>
      <c r="CK977" s="25"/>
      <c r="CL977" s="25"/>
      <c r="CM977" s="25"/>
      <c r="CN977" s="25"/>
      <c r="CO977" s="25"/>
      <c r="CP977" s="25" t="str">
        <f>_xlfn.CONCAT($A978," ",$B978," ",$D978)</f>
        <v>2025 Volvo EX30 Twin Performance (19 Inch Wheels)</v>
      </c>
      <c r="CQ977" s="25"/>
      <c r="CR977" s="25"/>
      <c r="CS977" s="25"/>
      <c r="CT977" s="25"/>
      <c r="CU977" s="25"/>
      <c r="CV977" s="25"/>
      <c r="CW977" s="25"/>
      <c r="CX977" s="25"/>
      <c r="CY977" s="25"/>
      <c r="CZ977" s="25"/>
      <c r="DA977" s="25"/>
      <c r="DB977" s="25"/>
      <c r="DC977" s="25"/>
      <c r="DD977" s="25"/>
      <c r="DE977" s="25"/>
      <c r="DF977" s="25"/>
      <c r="DG977" s="25"/>
      <c r="DH977" s="25"/>
      <c r="DI977" s="25" t="str">
        <f>_xlfn.CONCAT($A978," ",$B978," ",$D978)</f>
        <v>2025 Volvo EX30 Twin Performance (19 Inch Wheels)</v>
      </c>
      <c r="DJ977" s="25"/>
      <c r="DK977" s="25"/>
      <c r="DL977" s="25"/>
      <c r="DM977" s="25"/>
      <c r="DN977" s="25"/>
      <c r="DO977" s="25"/>
      <c r="DP977" s="25"/>
      <c r="DQ977" s="25"/>
      <c r="DR977" s="25"/>
      <c r="DS977" s="25"/>
      <c r="DT977" s="25"/>
      <c r="DU977" s="25"/>
      <c r="DV977" s="25"/>
      <c r="DW977" s="25"/>
      <c r="DX977" s="25"/>
      <c r="DY977" s="25"/>
      <c r="DZ977" s="25" t="str">
        <f>_xlfn.CONCAT($A978," ",$B978," ",$D978)</f>
        <v>2025 Volvo EX30 Twin Performance (19 Inch Wheels)</v>
      </c>
      <c r="EB977" s="25"/>
      <c r="EC977" s="25"/>
      <c r="ED977" s="25"/>
      <c r="EE977" s="25"/>
      <c r="EF977" s="25"/>
      <c r="EG977" s="25"/>
      <c r="EH977" s="25"/>
      <c r="EI977" s="25"/>
      <c r="EJ977" s="25"/>
      <c r="EK977" s="25"/>
      <c r="EL977" s="25"/>
      <c r="EM977" s="25"/>
      <c r="EN977" s="25"/>
      <c r="EO977" s="25"/>
      <c r="EP977" s="25"/>
      <c r="EQ977" s="25"/>
      <c r="ER977" s="25"/>
      <c r="ES977" s="25"/>
      <c r="ET977" s="25"/>
      <c r="EU977" s="25"/>
      <c r="EV977" s="25" t="str">
        <f>_xlfn.CONCAT($A978," ",$B978," ",$D978)</f>
        <v>2025 Volvo EX30 Twin Performance (19 Inch Wheels)</v>
      </c>
      <c r="EW977" s="25"/>
      <c r="EX977" s="25"/>
      <c r="EY977" s="25"/>
      <c r="EZ977" s="25"/>
      <c r="FA977" s="25"/>
      <c r="FB977" s="25"/>
      <c r="FC977" s="25"/>
      <c r="FD977" s="25"/>
      <c r="FE977" s="25"/>
      <c r="FF977" s="25"/>
      <c r="FG977" s="25"/>
    </row>
    <row r="978" spans="1:165" x14ac:dyDescent="0.35">
      <c r="A978">
        <v>2025</v>
      </c>
      <c r="B978" t="s">
        <v>658</v>
      </c>
      <c r="C978" t="s">
        <v>659</v>
      </c>
      <c r="D978" t="s">
        <v>2375</v>
      </c>
      <c r="E978" t="s">
        <v>661</v>
      </c>
      <c r="F978">
        <v>263</v>
      </c>
      <c r="G978">
        <v>0</v>
      </c>
      <c r="I978" t="s">
        <v>1734</v>
      </c>
      <c r="J978">
        <v>116</v>
      </c>
      <c r="K978">
        <v>100</v>
      </c>
      <c r="L978">
        <v>109</v>
      </c>
      <c r="M978">
        <v>166</v>
      </c>
      <c r="N978">
        <v>143.4</v>
      </c>
      <c r="O978">
        <v>155.0068</v>
      </c>
      <c r="P978">
        <v>116.2</v>
      </c>
      <c r="Q978">
        <v>100.38</v>
      </c>
      <c r="R978">
        <v>108.5048</v>
      </c>
      <c r="V978" t="s">
        <v>167</v>
      </c>
      <c r="W978" t="s">
        <v>168</v>
      </c>
      <c r="Y978">
        <v>1</v>
      </c>
      <c r="Z978" t="s">
        <v>170</v>
      </c>
      <c r="AA978" t="s">
        <v>170</v>
      </c>
      <c r="AB978" t="s">
        <v>167</v>
      </c>
      <c r="AC978" t="s">
        <v>213</v>
      </c>
      <c r="AF978">
        <v>253</v>
      </c>
      <c r="AG978" t="s">
        <v>1735</v>
      </c>
      <c r="AH978" t="s">
        <v>1736</v>
      </c>
      <c r="AI978" t="s">
        <v>175</v>
      </c>
      <c r="AJ978" t="s">
        <v>176</v>
      </c>
      <c r="AK978">
        <v>4</v>
      </c>
      <c r="AL978" t="s">
        <v>1737</v>
      </c>
      <c r="AS978">
        <v>750</v>
      </c>
      <c r="AT978">
        <v>750</v>
      </c>
      <c r="BQ978">
        <v>31</v>
      </c>
      <c r="BR978" t="s">
        <v>1219</v>
      </c>
      <c r="BT978" t="s">
        <v>1769</v>
      </c>
      <c r="BU978" s="1">
        <v>45527</v>
      </c>
      <c r="BV978">
        <v>35404</v>
      </c>
      <c r="BX978" t="s">
        <v>170</v>
      </c>
      <c r="BY978" t="s">
        <v>170</v>
      </c>
      <c r="CB978" t="s">
        <v>170</v>
      </c>
      <c r="CC978" t="s">
        <v>170</v>
      </c>
      <c r="CK978" t="s">
        <v>233</v>
      </c>
      <c r="CM978">
        <v>1</v>
      </c>
      <c r="CN978" t="s">
        <v>234</v>
      </c>
      <c r="CP978">
        <v>392</v>
      </c>
      <c r="CQ978">
        <v>169</v>
      </c>
      <c r="CR978">
        <v>180</v>
      </c>
      <c r="CS978" t="s">
        <v>235</v>
      </c>
      <c r="CV978" t="s">
        <v>341</v>
      </c>
      <c r="CX978" t="s">
        <v>342</v>
      </c>
      <c r="CY978" t="s">
        <v>170</v>
      </c>
      <c r="DC978" t="s">
        <v>2177</v>
      </c>
      <c r="DD978">
        <v>2</v>
      </c>
      <c r="DE978" t="s">
        <v>404</v>
      </c>
      <c r="DF978" t="s">
        <v>427</v>
      </c>
      <c r="DG978" t="s">
        <v>2376</v>
      </c>
      <c r="DL978" t="s">
        <v>170</v>
      </c>
      <c r="DM978" t="s">
        <v>169</v>
      </c>
      <c r="DP978" t="s">
        <v>170</v>
      </c>
      <c r="DQ978" t="s">
        <v>187</v>
      </c>
      <c r="EB978">
        <v>9</v>
      </c>
      <c r="EC978">
        <v>10</v>
      </c>
      <c r="EE978" t="s">
        <v>2377</v>
      </c>
      <c r="EF978">
        <v>10</v>
      </c>
      <c r="EU978">
        <v>5750</v>
      </c>
      <c r="EW978">
        <v>0</v>
      </c>
      <c r="EX978">
        <v>0</v>
      </c>
      <c r="EY978">
        <v>0</v>
      </c>
      <c r="FA978">
        <v>8</v>
      </c>
      <c r="FG978">
        <v>270</v>
      </c>
      <c r="FH978">
        <v>233</v>
      </c>
      <c r="FI978">
        <v>253</v>
      </c>
    </row>
    <row r="979" spans="1:165" x14ac:dyDescent="0.35">
      <c r="A979">
        <v>2025</v>
      </c>
      <c r="B979" t="s">
        <v>658</v>
      </c>
      <c r="C979" t="s">
        <v>659</v>
      </c>
      <c r="D979" t="s">
        <v>2375</v>
      </c>
      <c r="E979" t="s">
        <v>661</v>
      </c>
      <c r="F979">
        <v>263</v>
      </c>
      <c r="G979">
        <v>0</v>
      </c>
      <c r="I979" t="s">
        <v>1734</v>
      </c>
      <c r="J979">
        <v>29</v>
      </c>
      <c r="K979">
        <v>34</v>
      </c>
      <c r="L979">
        <v>31</v>
      </c>
      <c r="M979">
        <v>20.302600000000002</v>
      </c>
      <c r="N979">
        <v>23.507000000000001</v>
      </c>
      <c r="O979">
        <v>21.744499999999999</v>
      </c>
      <c r="P979">
        <v>29.006</v>
      </c>
      <c r="Q979">
        <v>33.577399999999997</v>
      </c>
      <c r="R979">
        <v>31.063199999999998</v>
      </c>
      <c r="V979" t="s">
        <v>167</v>
      </c>
      <c r="W979" t="s">
        <v>168</v>
      </c>
      <c r="Y979">
        <v>1</v>
      </c>
      <c r="Z979" t="s">
        <v>170</v>
      </c>
      <c r="AA979" t="s">
        <v>170</v>
      </c>
      <c r="AB979" t="s">
        <v>167</v>
      </c>
      <c r="AC979" t="s">
        <v>213</v>
      </c>
      <c r="AF979">
        <v>253</v>
      </c>
      <c r="AG979" t="s">
        <v>1735</v>
      </c>
      <c r="AH979" t="s">
        <v>1736</v>
      </c>
      <c r="AI979" t="s">
        <v>1742</v>
      </c>
      <c r="AJ979" t="s">
        <v>1743</v>
      </c>
      <c r="AK979">
        <v>4</v>
      </c>
      <c r="AL979" t="s">
        <v>1737</v>
      </c>
      <c r="AS979">
        <v>750</v>
      </c>
      <c r="AT979">
        <v>750</v>
      </c>
      <c r="BQ979">
        <v>31</v>
      </c>
      <c r="BR979" t="s">
        <v>1219</v>
      </c>
      <c r="BT979" t="s">
        <v>1769</v>
      </c>
      <c r="BU979" s="1">
        <v>45527</v>
      </c>
      <c r="BV979">
        <v>35404</v>
      </c>
      <c r="BX979" t="s">
        <v>170</v>
      </c>
      <c r="BY979" t="s">
        <v>170</v>
      </c>
      <c r="CB979" t="s">
        <v>170</v>
      </c>
      <c r="CC979" t="s">
        <v>170</v>
      </c>
      <c r="CK979" t="s">
        <v>233</v>
      </c>
      <c r="CM979">
        <v>1</v>
      </c>
      <c r="CN979" t="s">
        <v>234</v>
      </c>
      <c r="CP979">
        <v>392</v>
      </c>
      <c r="CQ979">
        <v>169</v>
      </c>
      <c r="CR979">
        <v>180</v>
      </c>
      <c r="CS979" t="s">
        <v>235</v>
      </c>
      <c r="CV979" t="s">
        <v>341</v>
      </c>
      <c r="CX979" t="s">
        <v>342</v>
      </c>
      <c r="CY979" t="s">
        <v>170</v>
      </c>
      <c r="DC979" t="s">
        <v>2177</v>
      </c>
      <c r="DD979">
        <v>2</v>
      </c>
      <c r="DE979" t="s">
        <v>404</v>
      </c>
      <c r="DF979" t="s">
        <v>427</v>
      </c>
      <c r="DG979" t="s">
        <v>2376</v>
      </c>
      <c r="DL979" t="s">
        <v>170</v>
      </c>
      <c r="DM979" t="s">
        <v>169</v>
      </c>
      <c r="DP979" t="s">
        <v>170</v>
      </c>
      <c r="DQ979" t="s">
        <v>187</v>
      </c>
      <c r="EB979">
        <v>9</v>
      </c>
      <c r="EC979">
        <v>10</v>
      </c>
      <c r="EE979" t="s">
        <v>2377</v>
      </c>
      <c r="EF979">
        <v>10</v>
      </c>
      <c r="EU979">
        <v>5750</v>
      </c>
      <c r="EW979">
        <v>0</v>
      </c>
      <c r="EX979">
        <v>0</v>
      </c>
      <c r="EY979">
        <v>0</v>
      </c>
      <c r="FA979">
        <v>8</v>
      </c>
      <c r="FG979">
        <v>270</v>
      </c>
      <c r="FH979">
        <v>233</v>
      </c>
      <c r="FI979">
        <v>253</v>
      </c>
    </row>
    <row r="980" spans="1:165" x14ac:dyDescent="0.35">
      <c r="A980" s="25"/>
      <c r="B980" s="25"/>
      <c r="C980" s="25"/>
      <c r="D980" s="25"/>
      <c r="E980" s="25"/>
      <c r="F980" s="25" t="str">
        <f>_xlfn.CONCAT($A981," ",$B981," ",$D981)</f>
        <v>2025 Volvo EX30 Single Motor extended range (18 Inch Wheels)</v>
      </c>
      <c r="G980" s="25"/>
      <c r="H980" s="25"/>
      <c r="I980" s="25"/>
      <c r="J980" s="25"/>
      <c r="K980" s="25"/>
      <c r="L980" s="25"/>
      <c r="M980" s="25"/>
      <c r="N980" s="25"/>
      <c r="O980" s="25"/>
      <c r="P980" s="25"/>
      <c r="Q980" s="25"/>
      <c r="R980" s="25"/>
      <c r="S980" s="25"/>
      <c r="T980" s="25"/>
      <c r="U980" s="25"/>
      <c r="V980" s="25"/>
      <c r="W980" s="25"/>
      <c r="X980" s="25"/>
      <c r="Y980" s="25"/>
      <c r="Z980" s="25"/>
      <c r="AA980" s="25"/>
      <c r="AB980" s="25"/>
      <c r="AC980" s="25"/>
      <c r="AD980" s="25" t="str">
        <f>_xlfn.CONCAT($A981," ",$B981," ",$D981)</f>
        <v>2025 Volvo EX30 Single Motor extended range (18 Inch Wheels)</v>
      </c>
      <c r="AE980" s="25"/>
      <c r="AF980" s="25"/>
      <c r="AG980" s="25"/>
      <c r="AH980" s="25"/>
      <c r="AI980" s="25"/>
      <c r="AJ980" s="25"/>
      <c r="AK980" s="25"/>
      <c r="AL980" s="25"/>
      <c r="AM980" s="25"/>
      <c r="AN980" s="25"/>
      <c r="AO980" s="25"/>
      <c r="AP980" s="25"/>
      <c r="AQ980" s="25"/>
      <c r="AR980" s="25"/>
      <c r="AS980" s="25"/>
      <c r="AT980" s="25"/>
      <c r="AU980" s="25"/>
      <c r="AV980" s="25"/>
      <c r="AW980" s="25"/>
      <c r="AX980" s="25" t="str">
        <f>_xlfn.CONCAT($A981," ",$B981," ",$D981)</f>
        <v>2025 Volvo EX30 Single Motor extended range (18 Inch Wheels)</v>
      </c>
      <c r="AY980" s="25"/>
      <c r="AZ980" s="25"/>
      <c r="BA980" s="25"/>
      <c r="BB980" s="25"/>
      <c r="BC980" s="25"/>
      <c r="BD980" s="25"/>
      <c r="BE980" s="25"/>
      <c r="BF980" s="25"/>
      <c r="BG980" s="25"/>
      <c r="BH980" s="25"/>
      <c r="BI980" s="25"/>
      <c r="BJ980" s="25"/>
      <c r="BK980" s="25"/>
      <c r="BL980" s="25"/>
      <c r="BM980" s="25"/>
      <c r="BN980" s="25"/>
      <c r="BO980" s="25"/>
      <c r="BP980" s="25"/>
      <c r="BQ980" s="25"/>
      <c r="BR980" s="25" t="str">
        <f>_xlfn.CONCAT($A981," ",$B981," ",$D981)</f>
        <v>2025 Volvo EX30 Single Motor extended range (18 Inch Wheels)</v>
      </c>
      <c r="BS980" s="25"/>
      <c r="BT980" s="25"/>
      <c r="BU980" s="25"/>
      <c r="BV980" s="25"/>
      <c r="BX980" s="25"/>
      <c r="BY980" s="25"/>
      <c r="BZ980" s="25"/>
      <c r="CA980" s="25"/>
      <c r="CB980" s="25"/>
      <c r="CC980" s="25"/>
      <c r="CD980" s="25"/>
      <c r="CE980" s="25"/>
      <c r="CF980" s="25"/>
      <c r="CG980" s="25"/>
      <c r="CH980" s="25"/>
      <c r="CI980" s="25"/>
      <c r="CJ980" s="25"/>
      <c r="CK980" s="25"/>
      <c r="CL980" s="25"/>
      <c r="CM980" s="25"/>
      <c r="CN980" s="25"/>
      <c r="CO980" s="25"/>
      <c r="CP980" s="25" t="str">
        <f>_xlfn.CONCAT($A981," ",$B981," ",$D981)</f>
        <v>2025 Volvo EX30 Single Motor extended range (18 Inch Wheels)</v>
      </c>
      <c r="CQ980" s="25"/>
      <c r="CR980" s="25"/>
      <c r="CS980" s="25"/>
      <c r="CT980" s="25"/>
      <c r="CU980" s="25"/>
      <c r="CV980" s="25"/>
      <c r="CW980" s="25"/>
      <c r="CX980" s="25"/>
      <c r="CY980" s="25"/>
      <c r="CZ980" s="25"/>
      <c r="DA980" s="25"/>
      <c r="DB980" s="25"/>
      <c r="DC980" s="25"/>
      <c r="DD980" s="25"/>
      <c r="DE980" s="25"/>
      <c r="DF980" s="25"/>
      <c r="DG980" s="25"/>
      <c r="DH980" s="25"/>
      <c r="DI980" s="25" t="str">
        <f>_xlfn.CONCAT($A981," ",$B981," ",$D981)</f>
        <v>2025 Volvo EX30 Single Motor extended range (18 Inch Wheels)</v>
      </c>
      <c r="DJ980" s="25"/>
      <c r="DK980" s="25"/>
      <c r="DL980" s="25"/>
      <c r="DM980" s="25"/>
      <c r="DN980" s="25"/>
      <c r="DO980" s="25"/>
      <c r="DP980" s="25"/>
      <c r="DQ980" s="25"/>
      <c r="DR980" s="25"/>
      <c r="DS980" s="25"/>
      <c r="DT980" s="25"/>
      <c r="DU980" s="25"/>
      <c r="DV980" s="25"/>
      <c r="DW980" s="25"/>
      <c r="DX980" s="25"/>
      <c r="DY980" s="25"/>
      <c r="DZ980" s="25" t="str">
        <f>_xlfn.CONCAT($A981," ",$B981," ",$D981)</f>
        <v>2025 Volvo EX30 Single Motor extended range (18 Inch Wheels)</v>
      </c>
      <c r="EB980" s="25"/>
      <c r="EC980" s="25"/>
      <c r="ED980" s="25"/>
      <c r="EE980" s="25"/>
      <c r="EF980" s="25"/>
      <c r="EG980" s="25"/>
      <c r="EH980" s="25"/>
      <c r="EI980" s="25"/>
      <c r="EJ980" s="25"/>
      <c r="EK980" s="25"/>
      <c r="EL980" s="25"/>
      <c r="EM980" s="25"/>
      <c r="EN980" s="25"/>
      <c r="EO980" s="25"/>
      <c r="EP980" s="25"/>
      <c r="EQ980" s="25"/>
      <c r="ER980" s="25"/>
      <c r="ES980" s="25"/>
      <c r="ET980" s="25"/>
      <c r="EU980" s="25"/>
      <c r="EV980" s="25" t="str">
        <f>_xlfn.CONCAT($A981," ",$B981," ",$D981)</f>
        <v>2025 Volvo EX30 Single Motor extended range (18 Inch Wheels)</v>
      </c>
      <c r="EW980" s="25"/>
      <c r="EX980" s="25"/>
      <c r="EY980" s="25"/>
      <c r="EZ980" s="25"/>
      <c r="FA980" s="25"/>
      <c r="FB980" s="25"/>
      <c r="FC980" s="25"/>
      <c r="FD980" s="25"/>
      <c r="FE980" s="25"/>
      <c r="FF980" s="25"/>
      <c r="FG980" s="25"/>
    </row>
    <row r="981" spans="1:165" x14ac:dyDescent="0.35">
      <c r="A981">
        <v>2025</v>
      </c>
      <c r="B981" t="s">
        <v>658</v>
      </c>
      <c r="C981" t="s">
        <v>659</v>
      </c>
      <c r="D981" t="s">
        <v>2372</v>
      </c>
      <c r="E981" t="s">
        <v>661</v>
      </c>
      <c r="F981">
        <v>264</v>
      </c>
      <c r="G981">
        <v>0</v>
      </c>
      <c r="I981" t="s">
        <v>1734</v>
      </c>
      <c r="J981">
        <v>124</v>
      </c>
      <c r="K981">
        <v>103</v>
      </c>
      <c r="L981">
        <v>114</v>
      </c>
      <c r="M981">
        <v>177.4</v>
      </c>
      <c r="N981">
        <v>146.9</v>
      </c>
      <c r="O981">
        <v>162.24160000000001</v>
      </c>
      <c r="P981">
        <v>124.18</v>
      </c>
      <c r="Q981">
        <v>102.83</v>
      </c>
      <c r="R981">
        <v>113.56910000000001</v>
      </c>
      <c r="V981" t="s">
        <v>167</v>
      </c>
      <c r="W981" t="s">
        <v>168</v>
      </c>
      <c r="Y981">
        <v>1</v>
      </c>
      <c r="Z981" t="s">
        <v>170</v>
      </c>
      <c r="AA981" t="s">
        <v>170</v>
      </c>
      <c r="AB981" t="s">
        <v>171</v>
      </c>
      <c r="AC981" t="s">
        <v>172</v>
      </c>
      <c r="AF981">
        <v>257</v>
      </c>
      <c r="AG981" t="s">
        <v>1735</v>
      </c>
      <c r="AH981" t="s">
        <v>1736</v>
      </c>
      <c r="AI981" t="s">
        <v>175</v>
      </c>
      <c r="AJ981" t="s">
        <v>176</v>
      </c>
      <c r="AK981">
        <v>4</v>
      </c>
      <c r="AL981" t="s">
        <v>1737</v>
      </c>
      <c r="AS981">
        <v>700</v>
      </c>
      <c r="AT981">
        <v>700</v>
      </c>
      <c r="BQ981">
        <v>30</v>
      </c>
      <c r="BR981" t="s">
        <v>1099</v>
      </c>
      <c r="BT981" t="s">
        <v>1769</v>
      </c>
      <c r="BU981" s="1">
        <v>45474</v>
      </c>
      <c r="BV981">
        <v>35053</v>
      </c>
      <c r="BX981" t="s">
        <v>170</v>
      </c>
      <c r="BY981" t="s">
        <v>170</v>
      </c>
      <c r="CB981" t="s">
        <v>170</v>
      </c>
      <c r="CC981" t="s">
        <v>170</v>
      </c>
      <c r="CK981" t="s">
        <v>233</v>
      </c>
      <c r="CM981">
        <v>1</v>
      </c>
      <c r="CN981" t="s">
        <v>234</v>
      </c>
      <c r="CP981">
        <v>392</v>
      </c>
      <c r="CQ981">
        <v>169</v>
      </c>
      <c r="CR981">
        <v>180</v>
      </c>
      <c r="CS981" t="s">
        <v>235</v>
      </c>
      <c r="CV981" t="s">
        <v>341</v>
      </c>
      <c r="CX981" t="s">
        <v>1012</v>
      </c>
      <c r="CY981" t="s">
        <v>170</v>
      </c>
      <c r="DC981" t="s">
        <v>2177</v>
      </c>
      <c r="DD981">
        <v>1</v>
      </c>
      <c r="DE981" t="s">
        <v>404</v>
      </c>
      <c r="DF981" t="s">
        <v>427</v>
      </c>
      <c r="DG981">
        <v>185</v>
      </c>
      <c r="DL981" t="s">
        <v>170</v>
      </c>
      <c r="DM981" t="s">
        <v>169</v>
      </c>
      <c r="DP981" t="s">
        <v>170</v>
      </c>
      <c r="DQ981" t="s">
        <v>187</v>
      </c>
      <c r="EB981">
        <v>9</v>
      </c>
      <c r="EC981">
        <v>10</v>
      </c>
      <c r="EE981" t="s">
        <v>2373</v>
      </c>
      <c r="EF981">
        <v>10</v>
      </c>
      <c r="EU981">
        <v>6000</v>
      </c>
      <c r="EW981">
        <v>0</v>
      </c>
      <c r="EX981">
        <v>0</v>
      </c>
      <c r="EY981">
        <v>0</v>
      </c>
      <c r="FA981">
        <v>8</v>
      </c>
      <c r="FG981">
        <v>279</v>
      </c>
      <c r="FH981">
        <v>231</v>
      </c>
      <c r="FI981">
        <v>257</v>
      </c>
    </row>
    <row r="982" spans="1:165" x14ac:dyDescent="0.35">
      <c r="A982">
        <v>2025</v>
      </c>
      <c r="B982" t="s">
        <v>658</v>
      </c>
      <c r="C982" t="s">
        <v>659</v>
      </c>
      <c r="D982" t="s">
        <v>2372</v>
      </c>
      <c r="E982" t="s">
        <v>661</v>
      </c>
      <c r="F982">
        <v>264</v>
      </c>
      <c r="G982">
        <v>0</v>
      </c>
      <c r="I982" t="s">
        <v>1734</v>
      </c>
      <c r="J982">
        <v>27</v>
      </c>
      <c r="K982">
        <v>33</v>
      </c>
      <c r="L982">
        <v>30</v>
      </c>
      <c r="M982">
        <v>18.994900000000001</v>
      </c>
      <c r="N982">
        <v>22.9374</v>
      </c>
      <c r="O982">
        <v>20.768999999999998</v>
      </c>
      <c r="P982">
        <v>27.142099999999999</v>
      </c>
      <c r="Q982">
        <v>32.7774</v>
      </c>
      <c r="R982">
        <v>29.678000000000001</v>
      </c>
      <c r="V982" t="s">
        <v>167</v>
      </c>
      <c r="W982" t="s">
        <v>168</v>
      </c>
      <c r="Y982">
        <v>1</v>
      </c>
      <c r="Z982" t="s">
        <v>170</v>
      </c>
      <c r="AA982" t="s">
        <v>170</v>
      </c>
      <c r="AB982" t="s">
        <v>171</v>
      </c>
      <c r="AC982" t="s">
        <v>172</v>
      </c>
      <c r="AF982">
        <v>257</v>
      </c>
      <c r="AG982" t="s">
        <v>1735</v>
      </c>
      <c r="AH982" t="s">
        <v>1736</v>
      </c>
      <c r="AI982" t="s">
        <v>1742</v>
      </c>
      <c r="AJ982" t="s">
        <v>1743</v>
      </c>
      <c r="AK982">
        <v>4</v>
      </c>
      <c r="AL982" t="s">
        <v>1737</v>
      </c>
      <c r="AS982">
        <v>700</v>
      </c>
      <c r="AT982">
        <v>700</v>
      </c>
      <c r="BQ982">
        <v>30</v>
      </c>
      <c r="BR982" t="s">
        <v>1099</v>
      </c>
      <c r="BT982" t="s">
        <v>1769</v>
      </c>
      <c r="BU982" s="1">
        <v>45474</v>
      </c>
      <c r="BV982">
        <v>35053</v>
      </c>
      <c r="BX982" t="s">
        <v>170</v>
      </c>
      <c r="BY982" t="s">
        <v>170</v>
      </c>
      <c r="CB982" t="s">
        <v>170</v>
      </c>
      <c r="CC982" t="s">
        <v>170</v>
      </c>
      <c r="CK982" t="s">
        <v>233</v>
      </c>
      <c r="CM982">
        <v>1</v>
      </c>
      <c r="CN982" t="s">
        <v>234</v>
      </c>
      <c r="CP982">
        <v>392</v>
      </c>
      <c r="CQ982">
        <v>169</v>
      </c>
      <c r="CR982">
        <v>180</v>
      </c>
      <c r="CS982" t="s">
        <v>235</v>
      </c>
      <c r="CV982" t="s">
        <v>341</v>
      </c>
      <c r="CX982" t="s">
        <v>1012</v>
      </c>
      <c r="CY982" t="s">
        <v>170</v>
      </c>
      <c r="DC982" t="s">
        <v>2177</v>
      </c>
      <c r="DD982">
        <v>1</v>
      </c>
      <c r="DE982" t="s">
        <v>404</v>
      </c>
      <c r="DF982" t="s">
        <v>427</v>
      </c>
      <c r="DG982">
        <v>185</v>
      </c>
      <c r="DL982" t="s">
        <v>170</v>
      </c>
      <c r="DM982" t="s">
        <v>169</v>
      </c>
      <c r="DP982" t="s">
        <v>170</v>
      </c>
      <c r="DQ982" t="s">
        <v>187</v>
      </c>
      <c r="EB982">
        <v>9</v>
      </c>
      <c r="EC982">
        <v>10</v>
      </c>
      <c r="EE982" t="s">
        <v>2373</v>
      </c>
      <c r="EF982">
        <v>10</v>
      </c>
      <c r="EU982">
        <v>6000</v>
      </c>
      <c r="EW982">
        <v>0</v>
      </c>
      <c r="EX982">
        <v>0</v>
      </c>
      <c r="EY982">
        <v>0</v>
      </c>
      <c r="FA982">
        <v>8</v>
      </c>
      <c r="FG982">
        <v>279</v>
      </c>
      <c r="FH982">
        <v>231</v>
      </c>
      <c r="FI982">
        <v>257</v>
      </c>
    </row>
    <row r="983" spans="1:165" x14ac:dyDescent="0.35">
      <c r="A983" s="25"/>
      <c r="B983" s="25"/>
      <c r="C983" s="25"/>
      <c r="D983" s="25"/>
      <c r="E983" s="25"/>
      <c r="F983" s="25" t="str">
        <f>_xlfn.CONCAT($A984," ",$B984," ",$D984)</f>
        <v>2025 Volvo EX40</v>
      </c>
      <c r="G983" s="25"/>
      <c r="H983" s="25"/>
      <c r="I983" s="25"/>
      <c r="J983" s="25"/>
      <c r="K983" s="25"/>
      <c r="L983" s="25"/>
      <c r="M983" s="25"/>
      <c r="N983" s="25"/>
      <c r="O983" s="25"/>
      <c r="P983" s="25"/>
      <c r="Q983" s="25"/>
      <c r="R983" s="25"/>
      <c r="S983" s="25"/>
      <c r="T983" s="25"/>
      <c r="U983" s="25"/>
      <c r="V983" s="25"/>
      <c r="W983" s="25"/>
      <c r="X983" s="25"/>
      <c r="Y983" s="25"/>
      <c r="Z983" s="25"/>
      <c r="AA983" s="25"/>
      <c r="AB983" s="25"/>
      <c r="AC983" s="25"/>
      <c r="AD983" s="25" t="str">
        <f>_xlfn.CONCAT($A984," ",$B984," ",$D984)</f>
        <v>2025 Volvo EX40</v>
      </c>
      <c r="AE983" s="25"/>
      <c r="AF983" s="25"/>
      <c r="AG983" s="25"/>
      <c r="AH983" s="25"/>
      <c r="AI983" s="25"/>
      <c r="AJ983" s="25"/>
      <c r="AK983" s="25"/>
      <c r="AL983" s="25"/>
      <c r="AM983" s="25"/>
      <c r="AN983" s="25"/>
      <c r="AO983" s="25"/>
      <c r="AP983" s="25"/>
      <c r="AQ983" s="25"/>
      <c r="AR983" s="25"/>
      <c r="AS983" s="25"/>
      <c r="AT983" s="25"/>
      <c r="AU983" s="25"/>
      <c r="AV983" s="25"/>
      <c r="AW983" s="25"/>
      <c r="AX983" s="25" t="str">
        <f>_xlfn.CONCAT($A984," ",$B984," ",$D984)</f>
        <v>2025 Volvo EX40</v>
      </c>
      <c r="AY983" s="25"/>
      <c r="AZ983" s="25"/>
      <c r="BA983" s="25"/>
      <c r="BB983" s="25"/>
      <c r="BC983" s="25"/>
      <c r="BD983" s="25"/>
      <c r="BE983" s="25"/>
      <c r="BF983" s="25"/>
      <c r="BG983" s="25"/>
      <c r="BH983" s="25"/>
      <c r="BI983" s="25"/>
      <c r="BJ983" s="25"/>
      <c r="BK983" s="25"/>
      <c r="BL983" s="25"/>
      <c r="BM983" s="25"/>
      <c r="BN983" s="25"/>
      <c r="BO983" s="25"/>
      <c r="BP983" s="25"/>
      <c r="BQ983" s="25"/>
      <c r="BR983" s="25" t="str">
        <f>_xlfn.CONCAT($A984," ",$B984," ",$D984)</f>
        <v>2025 Volvo EX40</v>
      </c>
      <c r="BS983" s="25"/>
      <c r="BT983" s="25"/>
      <c r="BU983" s="25"/>
      <c r="BV983" s="25"/>
      <c r="BX983" s="25"/>
      <c r="BY983" s="25"/>
      <c r="BZ983" s="25"/>
      <c r="CA983" s="25"/>
      <c r="CB983" s="25"/>
      <c r="CC983" s="25"/>
      <c r="CD983" s="25"/>
      <c r="CE983" s="25"/>
      <c r="CF983" s="25"/>
      <c r="CG983" s="25"/>
      <c r="CH983" s="25"/>
      <c r="CI983" s="25"/>
      <c r="CJ983" s="25"/>
      <c r="CK983" s="25"/>
      <c r="CL983" s="25"/>
      <c r="CM983" s="25"/>
      <c r="CN983" s="25"/>
      <c r="CO983" s="25"/>
      <c r="CP983" s="25" t="str">
        <f>_xlfn.CONCAT($A984," ",$B984," ",$D984)</f>
        <v>2025 Volvo EX40</v>
      </c>
      <c r="CQ983" s="25"/>
      <c r="CR983" s="25"/>
      <c r="CS983" s="25"/>
      <c r="CT983" s="25"/>
      <c r="CU983" s="25"/>
      <c r="CV983" s="25"/>
      <c r="CW983" s="25"/>
      <c r="CX983" s="25"/>
      <c r="CY983" s="25"/>
      <c r="CZ983" s="25"/>
      <c r="DA983" s="25"/>
      <c r="DB983" s="25"/>
      <c r="DC983" s="25"/>
      <c r="DD983" s="25"/>
      <c r="DE983" s="25"/>
      <c r="DF983" s="25"/>
      <c r="DG983" s="25"/>
      <c r="DH983" s="25"/>
      <c r="DI983" s="25" t="str">
        <f>_xlfn.CONCAT($A984," ",$B984," ",$D984)</f>
        <v>2025 Volvo EX40</v>
      </c>
      <c r="DJ983" s="25"/>
      <c r="DK983" s="25"/>
      <c r="DL983" s="25"/>
      <c r="DM983" s="25"/>
      <c r="DN983" s="25"/>
      <c r="DO983" s="25"/>
      <c r="DP983" s="25"/>
      <c r="DQ983" s="25"/>
      <c r="DR983" s="25"/>
      <c r="DS983" s="25"/>
      <c r="DT983" s="25"/>
      <c r="DU983" s="25"/>
      <c r="DV983" s="25"/>
      <c r="DW983" s="25"/>
      <c r="DX983" s="25"/>
      <c r="DY983" s="25"/>
      <c r="DZ983" s="25" t="str">
        <f>_xlfn.CONCAT($A984," ",$B984," ",$D984)</f>
        <v>2025 Volvo EX40</v>
      </c>
      <c r="EB983" s="25"/>
      <c r="EC983" s="25"/>
      <c r="ED983" s="25"/>
      <c r="EE983" s="25"/>
      <c r="EF983" s="25"/>
      <c r="EG983" s="25"/>
      <c r="EH983" s="25"/>
      <c r="EI983" s="25"/>
      <c r="EJ983" s="25"/>
      <c r="EK983" s="25"/>
      <c r="EL983" s="25"/>
      <c r="EM983" s="25"/>
      <c r="EN983" s="25"/>
      <c r="EO983" s="25"/>
      <c r="EP983" s="25"/>
      <c r="EQ983" s="25"/>
      <c r="ER983" s="25"/>
      <c r="ES983" s="25"/>
      <c r="ET983" s="25"/>
      <c r="EU983" s="25"/>
      <c r="EV983" s="25" t="str">
        <f>_xlfn.CONCAT($A984," ",$B984," ",$D984)</f>
        <v>2025 Volvo EX40</v>
      </c>
      <c r="EW983" s="25"/>
      <c r="EX983" s="25"/>
      <c r="EY983" s="25"/>
      <c r="EZ983" s="25"/>
      <c r="FA983" s="25"/>
      <c r="FB983" s="25"/>
      <c r="FC983" s="25"/>
      <c r="FD983" s="25"/>
      <c r="FE983" s="25"/>
      <c r="FF983" s="25"/>
      <c r="FG983" s="25"/>
    </row>
    <row r="984" spans="1:165" x14ac:dyDescent="0.35">
      <c r="A984">
        <v>2025</v>
      </c>
      <c r="B984" t="s">
        <v>658</v>
      </c>
      <c r="C984" t="s">
        <v>659</v>
      </c>
      <c r="D984" t="s">
        <v>2379</v>
      </c>
      <c r="E984" t="s">
        <v>661</v>
      </c>
      <c r="F984">
        <v>265</v>
      </c>
      <c r="G984">
        <v>0</v>
      </c>
      <c r="I984" t="s">
        <v>1734</v>
      </c>
      <c r="J984">
        <v>118</v>
      </c>
      <c r="K984">
        <v>94</v>
      </c>
      <c r="L984">
        <v>106</v>
      </c>
      <c r="M984">
        <v>169.2</v>
      </c>
      <c r="N984">
        <v>135</v>
      </c>
      <c r="O984">
        <v>151.88509999999999</v>
      </c>
      <c r="P984">
        <v>118.44</v>
      </c>
      <c r="Q984">
        <v>94.5</v>
      </c>
      <c r="R984">
        <v>106.31959999999999</v>
      </c>
      <c r="V984" t="s">
        <v>167</v>
      </c>
      <c r="W984" t="s">
        <v>168</v>
      </c>
      <c r="Y984">
        <v>1</v>
      </c>
      <c r="Z984" t="s">
        <v>170</v>
      </c>
      <c r="AA984" t="s">
        <v>170</v>
      </c>
      <c r="AB984" t="s">
        <v>171</v>
      </c>
      <c r="AC984" t="s">
        <v>172</v>
      </c>
      <c r="AF984">
        <v>296</v>
      </c>
      <c r="AG984" t="s">
        <v>1735</v>
      </c>
      <c r="AH984" t="s">
        <v>1736</v>
      </c>
      <c r="AI984" t="s">
        <v>175</v>
      </c>
      <c r="AJ984" t="s">
        <v>176</v>
      </c>
      <c r="AK984">
        <v>4</v>
      </c>
      <c r="AL984" t="s">
        <v>1737</v>
      </c>
      <c r="AS984">
        <v>750</v>
      </c>
      <c r="AT984">
        <v>750</v>
      </c>
      <c r="BQ984">
        <v>30</v>
      </c>
      <c r="BR984" t="s">
        <v>1099</v>
      </c>
      <c r="BT984" t="s">
        <v>1769</v>
      </c>
      <c r="BU984" s="1">
        <v>45444</v>
      </c>
      <c r="BV984">
        <v>34784</v>
      </c>
      <c r="BX984" t="s">
        <v>170</v>
      </c>
      <c r="BY984" t="s">
        <v>170</v>
      </c>
      <c r="CB984" t="s">
        <v>170</v>
      </c>
      <c r="CC984" t="s">
        <v>170</v>
      </c>
      <c r="CK984" t="s">
        <v>233</v>
      </c>
      <c r="CM984">
        <v>1</v>
      </c>
      <c r="CN984" t="s">
        <v>234</v>
      </c>
      <c r="CP984">
        <v>404</v>
      </c>
      <c r="CQ984">
        <v>202</v>
      </c>
      <c r="CR984">
        <v>165</v>
      </c>
      <c r="CS984" t="s">
        <v>235</v>
      </c>
      <c r="CV984" t="s">
        <v>341</v>
      </c>
      <c r="CX984" t="s">
        <v>1012</v>
      </c>
      <c r="CY984" t="s">
        <v>170</v>
      </c>
      <c r="DC984" t="s">
        <v>2154</v>
      </c>
      <c r="DD984">
        <v>2</v>
      </c>
      <c r="DE984" t="s">
        <v>404</v>
      </c>
      <c r="DF984" t="s">
        <v>427</v>
      </c>
      <c r="DG984" t="s">
        <v>2155</v>
      </c>
      <c r="DL984" t="s">
        <v>170</v>
      </c>
      <c r="DM984" t="s">
        <v>169</v>
      </c>
      <c r="DP984" t="s">
        <v>170</v>
      </c>
      <c r="DQ984" t="s">
        <v>187</v>
      </c>
      <c r="EB984">
        <v>9</v>
      </c>
      <c r="EC984">
        <v>10</v>
      </c>
      <c r="EE984" t="s">
        <v>2156</v>
      </c>
      <c r="EF984">
        <v>10</v>
      </c>
      <c r="EU984">
        <v>5750</v>
      </c>
      <c r="EW984">
        <v>0</v>
      </c>
      <c r="EX984">
        <v>0</v>
      </c>
      <c r="EY984">
        <v>0</v>
      </c>
      <c r="FA984">
        <v>8</v>
      </c>
      <c r="FG984">
        <v>326</v>
      </c>
      <c r="FH984">
        <v>260</v>
      </c>
      <c r="FI984">
        <v>296</v>
      </c>
    </row>
    <row r="985" spans="1:165" x14ac:dyDescent="0.35">
      <c r="A985">
        <v>2025</v>
      </c>
      <c r="B985" t="s">
        <v>658</v>
      </c>
      <c r="C985" t="s">
        <v>659</v>
      </c>
      <c r="D985" t="s">
        <v>2379</v>
      </c>
      <c r="E985" t="s">
        <v>661</v>
      </c>
      <c r="F985">
        <v>265</v>
      </c>
      <c r="G985">
        <v>0</v>
      </c>
      <c r="I985" t="s">
        <v>1734</v>
      </c>
      <c r="J985">
        <v>28</v>
      </c>
      <c r="K985">
        <v>36</v>
      </c>
      <c r="L985">
        <v>32</v>
      </c>
      <c r="M985">
        <v>19.924199999999999</v>
      </c>
      <c r="N985">
        <v>24.974399999999999</v>
      </c>
      <c r="O985">
        <v>22.1968</v>
      </c>
      <c r="P985">
        <v>28.4574</v>
      </c>
      <c r="Q985">
        <v>35.666699999999999</v>
      </c>
      <c r="R985">
        <v>31.701599999999999</v>
      </c>
      <c r="V985" t="s">
        <v>167</v>
      </c>
      <c r="W985" t="s">
        <v>168</v>
      </c>
      <c r="Y985">
        <v>1</v>
      </c>
      <c r="Z985" t="s">
        <v>170</v>
      </c>
      <c r="AA985" t="s">
        <v>170</v>
      </c>
      <c r="AB985" t="s">
        <v>171</v>
      </c>
      <c r="AC985" t="s">
        <v>172</v>
      </c>
      <c r="AF985">
        <v>296</v>
      </c>
      <c r="AG985" t="s">
        <v>1735</v>
      </c>
      <c r="AH985" t="s">
        <v>1736</v>
      </c>
      <c r="AI985" t="s">
        <v>1742</v>
      </c>
      <c r="AJ985" t="s">
        <v>1743</v>
      </c>
      <c r="AK985">
        <v>4</v>
      </c>
      <c r="AL985" t="s">
        <v>1737</v>
      </c>
      <c r="AS985">
        <v>750</v>
      </c>
      <c r="AT985">
        <v>750</v>
      </c>
      <c r="BQ985">
        <v>30</v>
      </c>
      <c r="BR985" t="s">
        <v>1099</v>
      </c>
      <c r="BT985" t="s">
        <v>1769</v>
      </c>
      <c r="BU985" s="1">
        <v>45444</v>
      </c>
      <c r="BV985">
        <v>34784</v>
      </c>
      <c r="BX985" t="s">
        <v>170</v>
      </c>
      <c r="BY985" t="s">
        <v>170</v>
      </c>
      <c r="CB985" t="s">
        <v>170</v>
      </c>
      <c r="CC985" t="s">
        <v>170</v>
      </c>
      <c r="CK985" t="s">
        <v>233</v>
      </c>
      <c r="CM985">
        <v>1</v>
      </c>
      <c r="CN985" t="s">
        <v>234</v>
      </c>
      <c r="CP985">
        <v>404</v>
      </c>
      <c r="CQ985">
        <v>202</v>
      </c>
      <c r="CR985">
        <v>165</v>
      </c>
      <c r="CS985" t="s">
        <v>235</v>
      </c>
      <c r="CV985" t="s">
        <v>341</v>
      </c>
      <c r="CX985" t="s">
        <v>1012</v>
      </c>
      <c r="CY985" t="s">
        <v>170</v>
      </c>
      <c r="DC985" t="s">
        <v>2154</v>
      </c>
      <c r="DD985">
        <v>2</v>
      </c>
      <c r="DE985" t="s">
        <v>404</v>
      </c>
      <c r="DF985" t="s">
        <v>427</v>
      </c>
      <c r="DG985" t="s">
        <v>2155</v>
      </c>
      <c r="DL985" t="s">
        <v>170</v>
      </c>
      <c r="DM985" t="s">
        <v>169</v>
      </c>
      <c r="DP985" t="s">
        <v>170</v>
      </c>
      <c r="DQ985" t="s">
        <v>187</v>
      </c>
      <c r="EB985">
        <v>9</v>
      </c>
      <c r="EC985">
        <v>10</v>
      </c>
      <c r="EE985" t="s">
        <v>2156</v>
      </c>
      <c r="EF985">
        <v>10</v>
      </c>
      <c r="EU985">
        <v>5750</v>
      </c>
      <c r="EW985">
        <v>0</v>
      </c>
      <c r="EX985">
        <v>0</v>
      </c>
      <c r="EY985">
        <v>0</v>
      </c>
      <c r="FA985">
        <v>8</v>
      </c>
      <c r="FG985">
        <v>326</v>
      </c>
      <c r="FH985">
        <v>260</v>
      </c>
      <c r="FI985">
        <v>296</v>
      </c>
    </row>
    <row r="986" spans="1:165" x14ac:dyDescent="0.35">
      <c r="A986" s="25"/>
      <c r="B986" s="25"/>
      <c r="C986" s="25"/>
      <c r="D986" s="25"/>
      <c r="E986" s="25"/>
      <c r="F986" s="25" t="str">
        <f>_xlfn.CONCAT($A987," ",$B987," ",$D987)</f>
        <v>2025 Volvo EC40</v>
      </c>
      <c r="G986" s="25"/>
      <c r="H986" s="25"/>
      <c r="I986" s="25"/>
      <c r="J986" s="25"/>
      <c r="K986" s="25"/>
      <c r="L986" s="25"/>
      <c r="M986" s="25"/>
      <c r="N986" s="25"/>
      <c r="O986" s="25"/>
      <c r="P986" s="25"/>
      <c r="Q986" s="25"/>
      <c r="R986" s="25"/>
      <c r="S986" s="25"/>
      <c r="T986" s="25"/>
      <c r="U986" s="25"/>
      <c r="V986" s="25"/>
      <c r="W986" s="25"/>
      <c r="X986" s="25"/>
      <c r="Y986" s="25"/>
      <c r="Z986" s="25"/>
      <c r="AA986" s="25"/>
      <c r="AB986" s="25"/>
      <c r="AC986" s="25"/>
      <c r="AD986" s="25" t="str">
        <f>_xlfn.CONCAT($A987," ",$B987," ",$D987)</f>
        <v>2025 Volvo EC40</v>
      </c>
      <c r="AE986" s="25"/>
      <c r="AF986" s="25"/>
      <c r="AG986" s="25"/>
      <c r="AH986" s="25"/>
      <c r="AI986" s="25"/>
      <c r="AJ986" s="25"/>
      <c r="AK986" s="25"/>
      <c r="AL986" s="25"/>
      <c r="AM986" s="25"/>
      <c r="AN986" s="25"/>
      <c r="AO986" s="25"/>
      <c r="AP986" s="25"/>
      <c r="AQ986" s="25"/>
      <c r="AR986" s="25"/>
      <c r="AS986" s="25"/>
      <c r="AT986" s="25"/>
      <c r="AU986" s="25"/>
      <c r="AV986" s="25"/>
      <c r="AW986" s="25"/>
      <c r="AX986" s="25" t="str">
        <f>_xlfn.CONCAT($A987," ",$B987," ",$D987)</f>
        <v>2025 Volvo EC40</v>
      </c>
      <c r="AY986" s="25"/>
      <c r="AZ986" s="25"/>
      <c r="BA986" s="25"/>
      <c r="BB986" s="25"/>
      <c r="BC986" s="25"/>
      <c r="BD986" s="25"/>
      <c r="BE986" s="25"/>
      <c r="BF986" s="25"/>
      <c r="BG986" s="25"/>
      <c r="BH986" s="25"/>
      <c r="BI986" s="25"/>
      <c r="BJ986" s="25"/>
      <c r="BK986" s="25"/>
      <c r="BL986" s="25"/>
      <c r="BM986" s="25"/>
      <c r="BN986" s="25"/>
      <c r="BO986" s="25"/>
      <c r="BP986" s="25"/>
      <c r="BQ986" s="25"/>
      <c r="BR986" s="25" t="str">
        <f>_xlfn.CONCAT($A987," ",$B987," ",$D987)</f>
        <v>2025 Volvo EC40</v>
      </c>
      <c r="BS986" s="25"/>
      <c r="BT986" s="25"/>
      <c r="BU986" s="25"/>
      <c r="BV986" s="25"/>
      <c r="BX986" s="25"/>
      <c r="BY986" s="25"/>
      <c r="BZ986" s="25"/>
      <c r="CA986" s="25"/>
      <c r="CB986" s="25"/>
      <c r="CC986" s="25"/>
      <c r="CD986" s="25"/>
      <c r="CE986" s="25"/>
      <c r="CF986" s="25"/>
      <c r="CG986" s="25"/>
      <c r="CH986" s="25"/>
      <c r="CI986" s="25"/>
      <c r="CJ986" s="25"/>
      <c r="CK986" s="25"/>
      <c r="CL986" s="25"/>
      <c r="CM986" s="25"/>
      <c r="CN986" s="25"/>
      <c r="CO986" s="25"/>
      <c r="CP986" s="25" t="str">
        <f>_xlfn.CONCAT($A987," ",$B987," ",$D987)</f>
        <v>2025 Volvo EC40</v>
      </c>
      <c r="CQ986" s="25"/>
      <c r="CR986" s="25"/>
      <c r="CS986" s="25"/>
      <c r="CT986" s="25"/>
      <c r="CU986" s="25"/>
      <c r="CV986" s="25"/>
      <c r="CW986" s="25"/>
      <c r="CX986" s="25"/>
      <c r="CY986" s="25"/>
      <c r="CZ986" s="25"/>
      <c r="DA986" s="25"/>
      <c r="DB986" s="25"/>
      <c r="DC986" s="25"/>
      <c r="DD986" s="25"/>
      <c r="DE986" s="25"/>
      <c r="DF986" s="25"/>
      <c r="DG986" s="25"/>
      <c r="DH986" s="25"/>
      <c r="DI986" s="25" t="str">
        <f>_xlfn.CONCAT($A987," ",$B987," ",$D987)</f>
        <v>2025 Volvo EC40</v>
      </c>
      <c r="DJ986" s="25"/>
      <c r="DK986" s="25"/>
      <c r="DL986" s="25"/>
      <c r="DM986" s="25"/>
      <c r="DN986" s="25"/>
      <c r="DO986" s="25"/>
      <c r="DP986" s="25"/>
      <c r="DQ986" s="25"/>
      <c r="DR986" s="25"/>
      <c r="DS986" s="25"/>
      <c r="DT986" s="25"/>
      <c r="DU986" s="25"/>
      <c r="DV986" s="25"/>
      <c r="DW986" s="25"/>
      <c r="DX986" s="25"/>
      <c r="DY986" s="25"/>
      <c r="DZ986" s="25" t="str">
        <f>_xlfn.CONCAT($A987," ",$B987," ",$D987)</f>
        <v>2025 Volvo EC40</v>
      </c>
      <c r="EB986" s="25"/>
      <c r="EC986" s="25"/>
      <c r="ED986" s="25"/>
      <c r="EE986" s="25"/>
      <c r="EF986" s="25"/>
      <c r="EG986" s="25"/>
      <c r="EH986" s="25"/>
      <c r="EI986" s="25"/>
      <c r="EJ986" s="25"/>
      <c r="EK986" s="25"/>
      <c r="EL986" s="25"/>
      <c r="EM986" s="25"/>
      <c r="EN986" s="25"/>
      <c r="EO986" s="25"/>
      <c r="EP986" s="25"/>
      <c r="EQ986" s="25"/>
      <c r="ER986" s="25"/>
      <c r="ES986" s="25"/>
      <c r="ET986" s="25"/>
      <c r="EU986" s="25"/>
      <c r="EV986" s="25" t="str">
        <f>_xlfn.CONCAT($A987," ",$B987," ",$D987)</f>
        <v>2025 Volvo EC40</v>
      </c>
      <c r="EW986" s="25"/>
      <c r="EX986" s="25"/>
      <c r="EY986" s="25"/>
      <c r="EZ986" s="25"/>
      <c r="FA986" s="25"/>
      <c r="FB986" s="25"/>
      <c r="FC986" s="25"/>
      <c r="FD986" s="25"/>
      <c r="FE986" s="25"/>
      <c r="FF986" s="25"/>
      <c r="FG986" s="25"/>
    </row>
    <row r="987" spans="1:165" x14ac:dyDescent="0.35">
      <c r="A987">
        <v>2025</v>
      </c>
      <c r="B987" t="s">
        <v>658</v>
      </c>
      <c r="C987" t="s">
        <v>659</v>
      </c>
      <c r="D987" t="s">
        <v>2369</v>
      </c>
      <c r="E987" t="s">
        <v>661</v>
      </c>
      <c r="F987">
        <v>266</v>
      </c>
      <c r="G987">
        <v>0</v>
      </c>
      <c r="I987" t="s">
        <v>1734</v>
      </c>
      <c r="J987">
        <v>118</v>
      </c>
      <c r="K987">
        <v>95</v>
      </c>
      <c r="L987">
        <v>106</v>
      </c>
      <c r="M987">
        <v>168</v>
      </c>
      <c r="N987">
        <v>136.1</v>
      </c>
      <c r="O987">
        <v>151.971</v>
      </c>
      <c r="P987">
        <v>117.6</v>
      </c>
      <c r="Q987">
        <v>95.3</v>
      </c>
      <c r="R987">
        <v>106.3797</v>
      </c>
      <c r="V987" t="s">
        <v>167</v>
      </c>
      <c r="W987" t="s">
        <v>168</v>
      </c>
      <c r="Y987">
        <v>1</v>
      </c>
      <c r="Z987" t="s">
        <v>170</v>
      </c>
      <c r="AA987" t="s">
        <v>170</v>
      </c>
      <c r="AB987" t="s">
        <v>171</v>
      </c>
      <c r="AC987" t="s">
        <v>172</v>
      </c>
      <c r="AF987">
        <v>298</v>
      </c>
      <c r="AG987" t="s">
        <v>1735</v>
      </c>
      <c r="AH987" t="s">
        <v>1736</v>
      </c>
      <c r="AI987" t="s">
        <v>175</v>
      </c>
      <c r="AJ987" t="s">
        <v>176</v>
      </c>
      <c r="AK987">
        <v>4</v>
      </c>
      <c r="AL987" t="s">
        <v>1737</v>
      </c>
      <c r="AS987">
        <v>750</v>
      </c>
      <c r="AT987">
        <v>750</v>
      </c>
      <c r="BQ987">
        <v>30</v>
      </c>
      <c r="BR987" t="s">
        <v>1099</v>
      </c>
      <c r="BT987" t="s">
        <v>1769</v>
      </c>
      <c r="BU987" s="1">
        <v>45444</v>
      </c>
      <c r="BV987">
        <v>34785</v>
      </c>
      <c r="BX987" t="s">
        <v>170</v>
      </c>
      <c r="BY987" t="s">
        <v>170</v>
      </c>
      <c r="CB987" t="s">
        <v>170</v>
      </c>
      <c r="CC987" t="s">
        <v>170</v>
      </c>
      <c r="CK987" t="s">
        <v>233</v>
      </c>
      <c r="CM987">
        <v>1</v>
      </c>
      <c r="CN987" t="s">
        <v>234</v>
      </c>
      <c r="CP987">
        <v>404</v>
      </c>
      <c r="CQ987">
        <v>202</v>
      </c>
      <c r="CR987">
        <v>165</v>
      </c>
      <c r="CS987" t="s">
        <v>235</v>
      </c>
      <c r="CV987" t="s">
        <v>341</v>
      </c>
      <c r="CX987" t="s">
        <v>1012</v>
      </c>
      <c r="CY987" t="s">
        <v>170</v>
      </c>
      <c r="DC987" t="s">
        <v>2154</v>
      </c>
      <c r="DD987">
        <v>2</v>
      </c>
      <c r="DE987" t="s">
        <v>404</v>
      </c>
      <c r="DF987" t="s">
        <v>427</v>
      </c>
      <c r="DG987" t="s">
        <v>2155</v>
      </c>
      <c r="DL987" t="s">
        <v>170</v>
      </c>
      <c r="DM987" t="s">
        <v>169</v>
      </c>
      <c r="DP987" t="s">
        <v>170</v>
      </c>
      <c r="DQ987" t="s">
        <v>187</v>
      </c>
      <c r="EB987">
        <v>9</v>
      </c>
      <c r="EC987">
        <v>10</v>
      </c>
      <c r="EE987" t="s">
        <v>2156</v>
      </c>
      <c r="EF987">
        <v>10</v>
      </c>
      <c r="EU987">
        <v>5750</v>
      </c>
      <c r="EW987">
        <v>0</v>
      </c>
      <c r="EX987">
        <v>0</v>
      </c>
      <c r="EY987">
        <v>0</v>
      </c>
      <c r="FA987">
        <v>8</v>
      </c>
      <c r="FG987">
        <v>326</v>
      </c>
      <c r="FH987">
        <v>264</v>
      </c>
      <c r="FI987">
        <v>298</v>
      </c>
    </row>
    <row r="988" spans="1:165" x14ac:dyDescent="0.35">
      <c r="A988">
        <v>2025</v>
      </c>
      <c r="B988" t="s">
        <v>658</v>
      </c>
      <c r="C988" t="s">
        <v>659</v>
      </c>
      <c r="D988" t="s">
        <v>2369</v>
      </c>
      <c r="E988" t="s">
        <v>661</v>
      </c>
      <c r="F988">
        <v>266</v>
      </c>
      <c r="G988">
        <v>0</v>
      </c>
      <c r="I988" t="s">
        <v>1734</v>
      </c>
      <c r="J988">
        <v>29</v>
      </c>
      <c r="K988">
        <v>35</v>
      </c>
      <c r="L988">
        <v>32</v>
      </c>
      <c r="M988">
        <v>20.064</v>
      </c>
      <c r="N988">
        <v>24.7714</v>
      </c>
      <c r="O988">
        <v>22.182400000000001</v>
      </c>
      <c r="P988">
        <v>28.660699999999999</v>
      </c>
      <c r="Q988">
        <v>35.378399999999999</v>
      </c>
      <c r="R988">
        <v>31.683700000000002</v>
      </c>
      <c r="V988" t="s">
        <v>167</v>
      </c>
      <c r="W988" t="s">
        <v>168</v>
      </c>
      <c r="Y988">
        <v>1</v>
      </c>
      <c r="Z988" t="s">
        <v>170</v>
      </c>
      <c r="AA988" t="s">
        <v>170</v>
      </c>
      <c r="AB988" t="s">
        <v>171</v>
      </c>
      <c r="AC988" t="s">
        <v>172</v>
      </c>
      <c r="AF988">
        <v>298</v>
      </c>
      <c r="AG988" t="s">
        <v>1735</v>
      </c>
      <c r="AH988" t="s">
        <v>1736</v>
      </c>
      <c r="AI988" t="s">
        <v>1742</v>
      </c>
      <c r="AJ988" t="s">
        <v>1743</v>
      </c>
      <c r="AK988">
        <v>4</v>
      </c>
      <c r="AL988" t="s">
        <v>1737</v>
      </c>
      <c r="AS988">
        <v>750</v>
      </c>
      <c r="AT988">
        <v>750</v>
      </c>
      <c r="BQ988">
        <v>30</v>
      </c>
      <c r="BR988" t="s">
        <v>1099</v>
      </c>
      <c r="BT988" t="s">
        <v>1769</v>
      </c>
      <c r="BU988" s="1">
        <v>45444</v>
      </c>
      <c r="BV988">
        <v>34785</v>
      </c>
      <c r="BX988" t="s">
        <v>170</v>
      </c>
      <c r="BY988" t="s">
        <v>170</v>
      </c>
      <c r="CB988" t="s">
        <v>170</v>
      </c>
      <c r="CC988" t="s">
        <v>170</v>
      </c>
      <c r="CK988" t="s">
        <v>233</v>
      </c>
      <c r="CM988">
        <v>1</v>
      </c>
      <c r="CN988" t="s">
        <v>234</v>
      </c>
      <c r="CP988">
        <v>404</v>
      </c>
      <c r="CQ988">
        <v>202</v>
      </c>
      <c r="CR988">
        <v>165</v>
      </c>
      <c r="CS988" t="s">
        <v>235</v>
      </c>
      <c r="CV988" t="s">
        <v>341</v>
      </c>
      <c r="CX988" t="s">
        <v>1012</v>
      </c>
      <c r="CY988" t="s">
        <v>170</v>
      </c>
      <c r="DC988" t="s">
        <v>2154</v>
      </c>
      <c r="DD988">
        <v>2</v>
      </c>
      <c r="DE988" t="s">
        <v>404</v>
      </c>
      <c r="DF988" t="s">
        <v>427</v>
      </c>
      <c r="DG988" t="s">
        <v>2155</v>
      </c>
      <c r="DL988" t="s">
        <v>170</v>
      </c>
      <c r="DM988" t="s">
        <v>169</v>
      </c>
      <c r="DP988" t="s">
        <v>170</v>
      </c>
      <c r="DQ988" t="s">
        <v>187</v>
      </c>
      <c r="EB988">
        <v>9</v>
      </c>
      <c r="EC988">
        <v>10</v>
      </c>
      <c r="EE988" t="s">
        <v>2156</v>
      </c>
      <c r="EF988">
        <v>10</v>
      </c>
      <c r="EU988">
        <v>5750</v>
      </c>
      <c r="EW988">
        <v>0</v>
      </c>
      <c r="EX988">
        <v>0</v>
      </c>
      <c r="EY988">
        <v>0</v>
      </c>
      <c r="FA988">
        <v>8</v>
      </c>
      <c r="FG988">
        <v>326</v>
      </c>
      <c r="FH988">
        <v>264</v>
      </c>
      <c r="FI988">
        <v>298</v>
      </c>
    </row>
    <row r="989" spans="1:165" x14ac:dyDescent="0.35">
      <c r="A989" s="25"/>
      <c r="B989" s="25"/>
      <c r="C989" s="25"/>
      <c r="D989" s="25"/>
      <c r="E989" s="25"/>
      <c r="F989" s="25" t="str">
        <f>_xlfn.CONCAT($A990," ",$B990," ",$D990)</f>
        <v>2025 Volvo EX90 Twin Motor Performance 20 and 22 Inch Wheels</v>
      </c>
      <c r="G989" s="25"/>
      <c r="H989" s="25"/>
      <c r="I989" s="25"/>
      <c r="J989" s="25"/>
      <c r="K989" s="25"/>
      <c r="L989" s="25"/>
      <c r="M989" s="25"/>
      <c r="N989" s="25"/>
      <c r="O989" s="25"/>
      <c r="P989" s="25"/>
      <c r="Q989" s="25"/>
      <c r="R989" s="25"/>
      <c r="S989" s="25"/>
      <c r="T989" s="25"/>
      <c r="U989" s="25"/>
      <c r="V989" s="25"/>
      <c r="W989" s="25"/>
      <c r="X989" s="25"/>
      <c r="Y989" s="25"/>
      <c r="Z989" s="25"/>
      <c r="AA989" s="25"/>
      <c r="AB989" s="25"/>
      <c r="AC989" s="25"/>
      <c r="AD989" s="25" t="str">
        <f>_xlfn.CONCAT($A990," ",$B990," ",$D990)</f>
        <v>2025 Volvo EX90 Twin Motor Performance 20 and 22 Inch Wheels</v>
      </c>
      <c r="AE989" s="25"/>
      <c r="AF989" s="25"/>
      <c r="AG989" s="25"/>
      <c r="AH989" s="25"/>
      <c r="AI989" s="25"/>
      <c r="AJ989" s="25"/>
      <c r="AK989" s="25"/>
      <c r="AL989" s="25"/>
      <c r="AM989" s="25"/>
      <c r="AN989" s="25"/>
      <c r="AO989" s="25"/>
      <c r="AP989" s="25"/>
      <c r="AQ989" s="25"/>
      <c r="AR989" s="25"/>
      <c r="AS989" s="25"/>
      <c r="AT989" s="25"/>
      <c r="AU989" s="25"/>
      <c r="AV989" s="25"/>
      <c r="AW989" s="25"/>
      <c r="AX989" s="25" t="str">
        <f>_xlfn.CONCAT($A990," ",$B990," ",$D990)</f>
        <v>2025 Volvo EX90 Twin Motor Performance 20 and 22 Inch Wheels</v>
      </c>
      <c r="AY989" s="25"/>
      <c r="AZ989" s="25"/>
      <c r="BA989" s="25"/>
      <c r="BB989" s="25"/>
      <c r="BC989" s="25"/>
      <c r="BD989" s="25"/>
      <c r="BE989" s="25"/>
      <c r="BF989" s="25"/>
      <c r="BG989" s="25"/>
      <c r="BH989" s="25"/>
      <c r="BI989" s="25"/>
      <c r="BJ989" s="25"/>
      <c r="BK989" s="25"/>
      <c r="BL989" s="25"/>
      <c r="BM989" s="25"/>
      <c r="BN989" s="25"/>
      <c r="BO989" s="25"/>
      <c r="BP989" s="25"/>
      <c r="BQ989" s="25"/>
      <c r="BR989" s="25" t="str">
        <f>_xlfn.CONCAT($A990," ",$B990," ",$D990)</f>
        <v>2025 Volvo EX90 Twin Motor Performance 20 and 22 Inch Wheels</v>
      </c>
      <c r="BS989" s="25"/>
      <c r="BT989" s="25"/>
      <c r="BU989" s="25"/>
      <c r="BV989" s="25"/>
      <c r="BX989" s="25"/>
      <c r="BY989" s="25"/>
      <c r="BZ989" s="25"/>
      <c r="CA989" s="25"/>
      <c r="CB989" s="25"/>
      <c r="CC989" s="25"/>
      <c r="CD989" s="25"/>
      <c r="CE989" s="25"/>
      <c r="CF989" s="25"/>
      <c r="CG989" s="25"/>
      <c r="CH989" s="25"/>
      <c r="CI989" s="25"/>
      <c r="CJ989" s="25"/>
      <c r="CK989" s="25"/>
      <c r="CL989" s="25"/>
      <c r="CM989" s="25"/>
      <c r="CN989" s="25"/>
      <c r="CO989" s="25"/>
      <c r="CP989" s="25" t="str">
        <f>_xlfn.CONCAT($A990," ",$B990," ",$D990)</f>
        <v>2025 Volvo EX90 Twin Motor Performance 20 and 22 Inch Wheels</v>
      </c>
      <c r="CQ989" s="25"/>
      <c r="CR989" s="25"/>
      <c r="CS989" s="25"/>
      <c r="CT989" s="25"/>
      <c r="CU989" s="25"/>
      <c r="CV989" s="25"/>
      <c r="CW989" s="25"/>
      <c r="CX989" s="25"/>
      <c r="CY989" s="25"/>
      <c r="CZ989" s="25"/>
      <c r="DA989" s="25"/>
      <c r="DB989" s="25"/>
      <c r="DC989" s="25"/>
      <c r="DD989" s="25"/>
      <c r="DE989" s="25"/>
      <c r="DF989" s="25"/>
      <c r="DG989" s="25"/>
      <c r="DH989" s="25"/>
      <c r="DI989" s="25" t="str">
        <f>_xlfn.CONCAT($A990," ",$B990," ",$D990)</f>
        <v>2025 Volvo EX90 Twin Motor Performance 20 and 22 Inch Wheels</v>
      </c>
      <c r="DJ989" s="25"/>
      <c r="DK989" s="25"/>
      <c r="DL989" s="25"/>
      <c r="DM989" s="25"/>
      <c r="DN989" s="25"/>
      <c r="DO989" s="25"/>
      <c r="DP989" s="25"/>
      <c r="DQ989" s="25"/>
      <c r="DR989" s="25"/>
      <c r="DS989" s="25"/>
      <c r="DT989" s="25"/>
      <c r="DU989" s="25"/>
      <c r="DV989" s="25"/>
      <c r="DW989" s="25"/>
      <c r="DX989" s="25"/>
      <c r="DY989" s="25"/>
      <c r="DZ989" s="25" t="str">
        <f>_xlfn.CONCAT($A990," ",$B990," ",$D990)</f>
        <v>2025 Volvo EX90 Twin Motor Performance 20 and 22 Inch Wheels</v>
      </c>
      <c r="EB989" s="25"/>
      <c r="EC989" s="25"/>
      <c r="ED989" s="25"/>
      <c r="EE989" s="25"/>
      <c r="EF989" s="25"/>
      <c r="EG989" s="25"/>
      <c r="EH989" s="25"/>
      <c r="EI989" s="25"/>
      <c r="EJ989" s="25"/>
      <c r="EK989" s="25"/>
      <c r="EL989" s="25"/>
      <c r="EM989" s="25"/>
      <c r="EN989" s="25"/>
      <c r="EO989" s="25"/>
      <c r="EP989" s="25"/>
      <c r="EQ989" s="25"/>
      <c r="ER989" s="25"/>
      <c r="ES989" s="25"/>
      <c r="ET989" s="25"/>
      <c r="EU989" s="25"/>
      <c r="EV989" s="25" t="str">
        <f>_xlfn.CONCAT($A990," ",$B990," ",$D990)</f>
        <v>2025 Volvo EX90 Twin Motor Performance 20 and 22 Inch Wheels</v>
      </c>
      <c r="EW989" s="25"/>
      <c r="EX989" s="25"/>
      <c r="EY989" s="25"/>
      <c r="EZ989" s="25"/>
      <c r="FA989" s="25"/>
      <c r="FB989" s="25"/>
      <c r="FC989" s="25"/>
      <c r="FD989" s="25"/>
      <c r="FE989" s="25"/>
      <c r="FF989" s="25"/>
      <c r="FG989" s="25"/>
    </row>
    <row r="990" spans="1:165" x14ac:dyDescent="0.35">
      <c r="A990">
        <v>2025</v>
      </c>
      <c r="B990" t="s">
        <v>658</v>
      </c>
      <c r="C990" t="s">
        <v>659</v>
      </c>
      <c r="D990" t="s">
        <v>2386</v>
      </c>
      <c r="E990" t="s">
        <v>661</v>
      </c>
      <c r="F990">
        <v>269</v>
      </c>
      <c r="G990">
        <v>0</v>
      </c>
      <c r="I990" t="s">
        <v>1734</v>
      </c>
      <c r="J990">
        <v>83</v>
      </c>
      <c r="K990">
        <v>78</v>
      </c>
      <c r="L990">
        <v>81</v>
      </c>
      <c r="M990">
        <v>123.5</v>
      </c>
      <c r="N990">
        <v>116.6</v>
      </c>
      <c r="O990">
        <v>120.2966</v>
      </c>
      <c r="P990">
        <v>83</v>
      </c>
      <c r="Q990">
        <v>78</v>
      </c>
      <c r="R990">
        <v>81</v>
      </c>
      <c r="V990" t="s">
        <v>167</v>
      </c>
      <c r="W990" t="s">
        <v>168</v>
      </c>
      <c r="Y990">
        <v>1</v>
      </c>
      <c r="Z990" t="s">
        <v>170</v>
      </c>
      <c r="AA990" t="s">
        <v>170</v>
      </c>
      <c r="AB990" t="s">
        <v>167</v>
      </c>
      <c r="AC990" t="s">
        <v>213</v>
      </c>
      <c r="AF990">
        <v>300</v>
      </c>
      <c r="AG990" t="s">
        <v>1735</v>
      </c>
      <c r="AH990" t="s">
        <v>1736</v>
      </c>
      <c r="AI990" t="s">
        <v>175</v>
      </c>
      <c r="AJ990" t="s">
        <v>176</v>
      </c>
      <c r="AK990">
        <v>4</v>
      </c>
      <c r="AL990" t="s">
        <v>1737</v>
      </c>
      <c r="AS990">
        <v>1000</v>
      </c>
      <c r="AT990">
        <v>1000</v>
      </c>
      <c r="BQ990">
        <v>33</v>
      </c>
      <c r="BR990" t="s">
        <v>1497</v>
      </c>
      <c r="BT990" t="s">
        <v>1769</v>
      </c>
      <c r="BU990" s="1">
        <v>45526</v>
      </c>
      <c r="BV990">
        <v>35421</v>
      </c>
      <c r="BX990" t="s">
        <v>170</v>
      </c>
      <c r="BY990" t="s">
        <v>170</v>
      </c>
      <c r="CB990" t="s">
        <v>170</v>
      </c>
      <c r="CC990" t="s">
        <v>170</v>
      </c>
      <c r="CK990" t="s">
        <v>233</v>
      </c>
      <c r="CM990">
        <v>1</v>
      </c>
      <c r="CN990" t="s">
        <v>234</v>
      </c>
      <c r="CP990">
        <v>375</v>
      </c>
      <c r="CQ990">
        <v>296</v>
      </c>
      <c r="CR990">
        <v>167</v>
      </c>
      <c r="CS990" t="s">
        <v>235</v>
      </c>
      <c r="CV990" t="s">
        <v>341</v>
      </c>
      <c r="CX990" t="s">
        <v>342</v>
      </c>
      <c r="CY990" t="s">
        <v>170</v>
      </c>
      <c r="DC990" t="s">
        <v>2159</v>
      </c>
      <c r="DD990">
        <v>4</v>
      </c>
      <c r="DE990" t="s">
        <v>404</v>
      </c>
      <c r="DF990" t="s">
        <v>427</v>
      </c>
      <c r="DG990" t="s">
        <v>2163</v>
      </c>
      <c r="DL990" t="s">
        <v>170</v>
      </c>
      <c r="DM990" t="s">
        <v>169</v>
      </c>
      <c r="DP990" t="s">
        <v>170</v>
      </c>
      <c r="DQ990" t="s">
        <v>187</v>
      </c>
      <c r="EB990">
        <v>9</v>
      </c>
      <c r="EC990">
        <v>10</v>
      </c>
      <c r="EE990" t="s">
        <v>2161</v>
      </c>
      <c r="EF990">
        <v>10</v>
      </c>
      <c r="EU990">
        <v>4500</v>
      </c>
      <c r="EW990">
        <v>0</v>
      </c>
      <c r="EX990">
        <v>0</v>
      </c>
      <c r="EY990">
        <v>0</v>
      </c>
      <c r="FA990">
        <v>10</v>
      </c>
      <c r="FG990">
        <v>306</v>
      </c>
      <c r="FH990">
        <v>292</v>
      </c>
      <c r="FI990">
        <v>300</v>
      </c>
    </row>
    <row r="991" spans="1:165" x14ac:dyDescent="0.35">
      <c r="A991">
        <v>2025</v>
      </c>
      <c r="B991" t="s">
        <v>658</v>
      </c>
      <c r="C991" t="s">
        <v>659</v>
      </c>
      <c r="D991" t="s">
        <v>2386</v>
      </c>
      <c r="E991" t="s">
        <v>661</v>
      </c>
      <c r="F991">
        <v>269</v>
      </c>
      <c r="G991">
        <v>0</v>
      </c>
      <c r="I991" t="s">
        <v>1734</v>
      </c>
      <c r="J991">
        <v>41</v>
      </c>
      <c r="K991">
        <v>43</v>
      </c>
      <c r="L991">
        <v>42</v>
      </c>
      <c r="M991">
        <v>27.285699999999999</v>
      </c>
      <c r="N991">
        <v>28.902999999999999</v>
      </c>
      <c r="O991">
        <v>28.013500000000001</v>
      </c>
      <c r="P991">
        <v>41</v>
      </c>
      <c r="Q991">
        <v>43</v>
      </c>
      <c r="R991">
        <v>42</v>
      </c>
      <c r="V991" t="s">
        <v>167</v>
      </c>
      <c r="W991" t="s">
        <v>168</v>
      </c>
      <c r="Y991">
        <v>1</v>
      </c>
      <c r="Z991" t="s">
        <v>170</v>
      </c>
      <c r="AA991" t="s">
        <v>170</v>
      </c>
      <c r="AB991" t="s">
        <v>167</v>
      </c>
      <c r="AC991" t="s">
        <v>213</v>
      </c>
      <c r="AF991">
        <v>300</v>
      </c>
      <c r="AG991" t="s">
        <v>1735</v>
      </c>
      <c r="AH991" t="s">
        <v>1736</v>
      </c>
      <c r="AI991" t="s">
        <v>1742</v>
      </c>
      <c r="AJ991" t="s">
        <v>1743</v>
      </c>
      <c r="AK991">
        <v>4</v>
      </c>
      <c r="AL991" t="s">
        <v>1737</v>
      </c>
      <c r="AS991">
        <v>1000</v>
      </c>
      <c r="AT991">
        <v>1000</v>
      </c>
      <c r="BQ991">
        <v>33</v>
      </c>
      <c r="BR991" t="s">
        <v>1497</v>
      </c>
      <c r="BT991" t="s">
        <v>1769</v>
      </c>
      <c r="BU991" s="1">
        <v>45526</v>
      </c>
      <c r="BV991">
        <v>35421</v>
      </c>
      <c r="BX991" t="s">
        <v>170</v>
      </c>
      <c r="BY991" t="s">
        <v>170</v>
      </c>
      <c r="CB991" t="s">
        <v>170</v>
      </c>
      <c r="CC991" t="s">
        <v>170</v>
      </c>
      <c r="CK991" t="s">
        <v>233</v>
      </c>
      <c r="CM991">
        <v>1</v>
      </c>
      <c r="CN991" t="s">
        <v>234</v>
      </c>
      <c r="CP991">
        <v>375</v>
      </c>
      <c r="CQ991">
        <v>296</v>
      </c>
      <c r="CR991">
        <v>167</v>
      </c>
      <c r="CS991" t="s">
        <v>235</v>
      </c>
      <c r="CV991" t="s">
        <v>341</v>
      </c>
      <c r="CX991" t="s">
        <v>342</v>
      </c>
      <c r="CY991" t="s">
        <v>170</v>
      </c>
      <c r="DC991" t="s">
        <v>2159</v>
      </c>
      <c r="DD991">
        <v>4</v>
      </c>
      <c r="DE991" t="s">
        <v>404</v>
      </c>
      <c r="DF991" t="s">
        <v>427</v>
      </c>
      <c r="DG991" t="s">
        <v>2163</v>
      </c>
      <c r="DL991" t="s">
        <v>170</v>
      </c>
      <c r="DM991" t="s">
        <v>169</v>
      </c>
      <c r="DP991" t="s">
        <v>170</v>
      </c>
      <c r="DQ991" t="s">
        <v>187</v>
      </c>
      <c r="EB991">
        <v>9</v>
      </c>
      <c r="EC991">
        <v>10</v>
      </c>
      <c r="EE991" t="s">
        <v>2161</v>
      </c>
      <c r="EF991">
        <v>10</v>
      </c>
      <c r="EU991">
        <v>4500</v>
      </c>
      <c r="EW991">
        <v>0</v>
      </c>
      <c r="EX991">
        <v>0</v>
      </c>
      <c r="EY991">
        <v>0</v>
      </c>
      <c r="FA991">
        <v>10</v>
      </c>
      <c r="FG991">
        <v>306</v>
      </c>
      <c r="FH991">
        <v>292</v>
      </c>
      <c r="FI991">
        <v>300</v>
      </c>
    </row>
    <row r="992" spans="1:165" x14ac:dyDescent="0.35">
      <c r="A992" s="25"/>
      <c r="B992" s="25"/>
      <c r="C992" s="25"/>
      <c r="D992" s="25"/>
      <c r="E992" s="25"/>
      <c r="F992" s="25" t="str">
        <f>_xlfn.CONCAT($A993," ",$B993," ",$D993)</f>
        <v>2025 Volvo EX90 Twin Motor (20 and 22 Inch Wheels)</v>
      </c>
      <c r="G992" s="25"/>
      <c r="H992" s="25"/>
      <c r="I992" s="25"/>
      <c r="J992" s="25"/>
      <c r="K992" s="25"/>
      <c r="L992" s="25"/>
      <c r="M992" s="25"/>
      <c r="N992" s="25"/>
      <c r="O992" s="25"/>
      <c r="P992" s="25"/>
      <c r="Q992" s="25"/>
      <c r="R992" s="25"/>
      <c r="S992" s="25"/>
      <c r="T992" s="25"/>
      <c r="U992" s="25"/>
      <c r="V992" s="25"/>
      <c r="W992" s="25"/>
      <c r="X992" s="25"/>
      <c r="Y992" s="25"/>
      <c r="Z992" s="25"/>
      <c r="AA992" s="25"/>
      <c r="AB992" s="25"/>
      <c r="AC992" s="25"/>
      <c r="AD992" s="25" t="str">
        <f>_xlfn.CONCAT($A993," ",$B993," ",$D993)</f>
        <v>2025 Volvo EX90 Twin Motor (20 and 22 Inch Wheels)</v>
      </c>
      <c r="AE992" s="25"/>
      <c r="AF992" s="25"/>
      <c r="AG992" s="25"/>
      <c r="AH992" s="25"/>
      <c r="AI992" s="25"/>
      <c r="AJ992" s="25"/>
      <c r="AK992" s="25"/>
      <c r="AL992" s="25"/>
      <c r="AM992" s="25"/>
      <c r="AN992" s="25"/>
      <c r="AO992" s="25"/>
      <c r="AP992" s="25"/>
      <c r="AQ992" s="25"/>
      <c r="AR992" s="25"/>
      <c r="AS992" s="25"/>
      <c r="AT992" s="25"/>
      <c r="AU992" s="25"/>
      <c r="AV992" s="25"/>
      <c r="AW992" s="25"/>
      <c r="AX992" s="25" t="str">
        <f>_xlfn.CONCAT($A993," ",$B993," ",$D993)</f>
        <v>2025 Volvo EX90 Twin Motor (20 and 22 Inch Wheels)</v>
      </c>
      <c r="AY992" s="25"/>
      <c r="AZ992" s="25"/>
      <c r="BA992" s="25"/>
      <c r="BB992" s="25"/>
      <c r="BC992" s="25"/>
      <c r="BD992" s="25"/>
      <c r="BE992" s="25"/>
      <c r="BF992" s="25"/>
      <c r="BG992" s="25"/>
      <c r="BH992" s="25"/>
      <c r="BI992" s="25"/>
      <c r="BJ992" s="25"/>
      <c r="BK992" s="25"/>
      <c r="BL992" s="25"/>
      <c r="BM992" s="25"/>
      <c r="BN992" s="25"/>
      <c r="BO992" s="25"/>
      <c r="BP992" s="25"/>
      <c r="BQ992" s="25"/>
      <c r="BR992" s="25" t="str">
        <f>_xlfn.CONCAT($A993," ",$B993," ",$D993)</f>
        <v>2025 Volvo EX90 Twin Motor (20 and 22 Inch Wheels)</v>
      </c>
      <c r="BS992" s="25"/>
      <c r="BT992" s="25"/>
      <c r="BU992" s="25"/>
      <c r="BV992" s="25"/>
      <c r="BX992" s="25"/>
      <c r="BY992" s="25"/>
      <c r="BZ992" s="25"/>
      <c r="CA992" s="25"/>
      <c r="CB992" s="25"/>
      <c r="CC992" s="25"/>
      <c r="CD992" s="25"/>
      <c r="CE992" s="25"/>
      <c r="CF992" s="25"/>
      <c r="CG992" s="25"/>
      <c r="CH992" s="25"/>
      <c r="CI992" s="25"/>
      <c r="CJ992" s="25"/>
      <c r="CK992" s="25"/>
      <c r="CL992" s="25"/>
      <c r="CM992" s="25"/>
      <c r="CN992" s="25"/>
      <c r="CO992" s="25"/>
      <c r="CP992" s="25" t="str">
        <f>_xlfn.CONCAT($A993," ",$B993," ",$D993)</f>
        <v>2025 Volvo EX90 Twin Motor (20 and 22 Inch Wheels)</v>
      </c>
      <c r="CQ992" s="25"/>
      <c r="CR992" s="25"/>
      <c r="CS992" s="25"/>
      <c r="CT992" s="25"/>
      <c r="CU992" s="25"/>
      <c r="CV992" s="25"/>
      <c r="CW992" s="25"/>
      <c r="CX992" s="25"/>
      <c r="CY992" s="25"/>
      <c r="CZ992" s="25"/>
      <c r="DA992" s="25"/>
      <c r="DB992" s="25"/>
      <c r="DC992" s="25"/>
      <c r="DD992" s="25"/>
      <c r="DE992" s="25"/>
      <c r="DF992" s="25"/>
      <c r="DG992" s="25"/>
      <c r="DH992" s="25"/>
      <c r="DI992" s="25" t="str">
        <f>_xlfn.CONCAT($A993," ",$B993," ",$D993)</f>
        <v>2025 Volvo EX90 Twin Motor (20 and 22 Inch Wheels)</v>
      </c>
      <c r="DJ992" s="25"/>
      <c r="DK992" s="25"/>
      <c r="DL992" s="25"/>
      <c r="DM992" s="25"/>
      <c r="DN992" s="25"/>
      <c r="DO992" s="25"/>
      <c r="DP992" s="25"/>
      <c r="DQ992" s="25"/>
      <c r="DR992" s="25"/>
      <c r="DS992" s="25"/>
      <c r="DT992" s="25"/>
      <c r="DU992" s="25"/>
      <c r="DV992" s="25"/>
      <c r="DW992" s="25"/>
      <c r="DX992" s="25"/>
      <c r="DY992" s="25"/>
      <c r="DZ992" s="25" t="str">
        <f>_xlfn.CONCAT($A993," ",$B993," ",$D993)</f>
        <v>2025 Volvo EX90 Twin Motor (20 and 22 Inch Wheels)</v>
      </c>
      <c r="EB992" s="25"/>
      <c r="EC992" s="25"/>
      <c r="ED992" s="25"/>
      <c r="EE992" s="25"/>
      <c r="EF992" s="25"/>
      <c r="EG992" s="25"/>
      <c r="EH992" s="25"/>
      <c r="EI992" s="25"/>
      <c r="EJ992" s="25"/>
      <c r="EK992" s="25"/>
      <c r="EL992" s="25"/>
      <c r="EM992" s="25"/>
      <c r="EN992" s="25"/>
      <c r="EO992" s="25"/>
      <c r="EP992" s="25"/>
      <c r="EQ992" s="25"/>
      <c r="ER992" s="25"/>
      <c r="ES992" s="25"/>
      <c r="ET992" s="25"/>
      <c r="EU992" s="25"/>
      <c r="EV992" s="25" t="str">
        <f>_xlfn.CONCAT($A993," ",$B993," ",$D993)</f>
        <v>2025 Volvo EX90 Twin Motor (20 and 22 Inch Wheels)</v>
      </c>
      <c r="EW992" s="25"/>
      <c r="EX992" s="25"/>
      <c r="EY992" s="25"/>
      <c r="EZ992" s="25"/>
      <c r="FA992" s="25"/>
      <c r="FB992" s="25"/>
      <c r="FC992" s="25"/>
      <c r="FD992" s="25"/>
      <c r="FE992" s="25"/>
      <c r="FF992" s="25"/>
      <c r="FG992" s="25"/>
    </row>
    <row r="993" spans="1:165" x14ac:dyDescent="0.35">
      <c r="A993">
        <v>2025</v>
      </c>
      <c r="B993" t="s">
        <v>658</v>
      </c>
      <c r="C993" t="s">
        <v>659</v>
      </c>
      <c r="D993" t="s">
        <v>2382</v>
      </c>
      <c r="E993" t="s">
        <v>661</v>
      </c>
      <c r="F993">
        <v>270</v>
      </c>
      <c r="G993">
        <v>0</v>
      </c>
      <c r="I993" t="s">
        <v>1734</v>
      </c>
      <c r="J993">
        <v>83</v>
      </c>
      <c r="K993">
        <v>78</v>
      </c>
      <c r="L993">
        <v>81</v>
      </c>
      <c r="M993">
        <v>123.5</v>
      </c>
      <c r="N993">
        <v>116.6</v>
      </c>
      <c r="O993">
        <v>120.2966</v>
      </c>
      <c r="P993">
        <v>83</v>
      </c>
      <c r="Q993">
        <v>78</v>
      </c>
      <c r="R993">
        <v>81</v>
      </c>
      <c r="V993" t="s">
        <v>167</v>
      </c>
      <c r="W993" t="s">
        <v>168</v>
      </c>
      <c r="Y993">
        <v>1</v>
      </c>
      <c r="Z993" t="s">
        <v>170</v>
      </c>
      <c r="AA993" t="s">
        <v>170</v>
      </c>
      <c r="AB993" t="s">
        <v>167</v>
      </c>
      <c r="AC993" t="s">
        <v>213</v>
      </c>
      <c r="AF993">
        <v>300</v>
      </c>
      <c r="AG993" t="s">
        <v>1735</v>
      </c>
      <c r="AH993" t="s">
        <v>1736</v>
      </c>
      <c r="AI993" t="s">
        <v>175</v>
      </c>
      <c r="AJ993" t="s">
        <v>176</v>
      </c>
      <c r="AK993">
        <v>4</v>
      </c>
      <c r="AL993" t="s">
        <v>1737</v>
      </c>
      <c r="AS993">
        <v>1000</v>
      </c>
      <c r="AT993">
        <v>1000</v>
      </c>
      <c r="BQ993">
        <v>33</v>
      </c>
      <c r="BR993" t="s">
        <v>1497</v>
      </c>
      <c r="BT993" t="s">
        <v>1769</v>
      </c>
      <c r="BU993" s="1">
        <v>45526</v>
      </c>
      <c r="BV993">
        <v>35420</v>
      </c>
      <c r="BX993" t="s">
        <v>170</v>
      </c>
      <c r="BY993" t="s">
        <v>170</v>
      </c>
      <c r="CB993" t="s">
        <v>170</v>
      </c>
      <c r="CC993" t="s">
        <v>170</v>
      </c>
      <c r="CK993" t="s">
        <v>233</v>
      </c>
      <c r="CM993">
        <v>1</v>
      </c>
      <c r="CN993" t="s">
        <v>234</v>
      </c>
      <c r="CP993">
        <v>375</v>
      </c>
      <c r="CQ993">
        <v>296</v>
      </c>
      <c r="CR993">
        <v>167</v>
      </c>
      <c r="CS993" t="s">
        <v>235</v>
      </c>
      <c r="CV993" t="s">
        <v>341</v>
      </c>
      <c r="CX993" t="s">
        <v>342</v>
      </c>
      <c r="CY993" t="s">
        <v>170</v>
      </c>
      <c r="DC993" t="s">
        <v>2159</v>
      </c>
      <c r="DD993">
        <v>2</v>
      </c>
      <c r="DE993" t="s">
        <v>404</v>
      </c>
      <c r="DF993" t="s">
        <v>427</v>
      </c>
      <c r="DG993" t="s">
        <v>2167</v>
      </c>
      <c r="DL993" t="s">
        <v>170</v>
      </c>
      <c r="DM993" t="s">
        <v>169</v>
      </c>
      <c r="DP993" t="s">
        <v>170</v>
      </c>
      <c r="DQ993" t="s">
        <v>187</v>
      </c>
      <c r="EB993">
        <v>9</v>
      </c>
      <c r="EC993">
        <v>10</v>
      </c>
      <c r="EE993" t="s">
        <v>2161</v>
      </c>
      <c r="EF993">
        <v>10</v>
      </c>
      <c r="EU993">
        <v>4500</v>
      </c>
      <c r="EW993">
        <v>0</v>
      </c>
      <c r="EX993">
        <v>0</v>
      </c>
      <c r="EY993">
        <v>0</v>
      </c>
      <c r="FA993">
        <v>10</v>
      </c>
      <c r="FG993">
        <v>306</v>
      </c>
      <c r="FH993">
        <v>292</v>
      </c>
      <c r="FI993">
        <v>300</v>
      </c>
    </row>
    <row r="994" spans="1:165" x14ac:dyDescent="0.35">
      <c r="A994">
        <v>2025</v>
      </c>
      <c r="B994" t="s">
        <v>658</v>
      </c>
      <c r="C994" t="s">
        <v>659</v>
      </c>
      <c r="D994" t="s">
        <v>2382</v>
      </c>
      <c r="E994" t="s">
        <v>661</v>
      </c>
      <c r="F994">
        <v>270</v>
      </c>
      <c r="G994">
        <v>0</v>
      </c>
      <c r="I994" t="s">
        <v>1734</v>
      </c>
      <c r="J994">
        <v>41</v>
      </c>
      <c r="K994">
        <v>43</v>
      </c>
      <c r="L994">
        <v>42</v>
      </c>
      <c r="M994">
        <v>27.285699999999999</v>
      </c>
      <c r="N994">
        <v>28.902999999999999</v>
      </c>
      <c r="O994">
        <v>28.013500000000001</v>
      </c>
      <c r="P994">
        <v>41</v>
      </c>
      <c r="Q994">
        <v>43</v>
      </c>
      <c r="R994">
        <v>42</v>
      </c>
      <c r="V994" t="s">
        <v>167</v>
      </c>
      <c r="W994" t="s">
        <v>168</v>
      </c>
      <c r="Y994">
        <v>1</v>
      </c>
      <c r="Z994" t="s">
        <v>170</v>
      </c>
      <c r="AA994" t="s">
        <v>170</v>
      </c>
      <c r="AB994" t="s">
        <v>167</v>
      </c>
      <c r="AC994" t="s">
        <v>213</v>
      </c>
      <c r="AF994">
        <v>300</v>
      </c>
      <c r="AG994" t="s">
        <v>1735</v>
      </c>
      <c r="AH994" t="s">
        <v>1736</v>
      </c>
      <c r="AI994" t="s">
        <v>1742</v>
      </c>
      <c r="AJ994" t="s">
        <v>1743</v>
      </c>
      <c r="AK994">
        <v>4</v>
      </c>
      <c r="AL994" t="s">
        <v>1737</v>
      </c>
      <c r="AS994">
        <v>1000</v>
      </c>
      <c r="AT994">
        <v>1000</v>
      </c>
      <c r="BQ994">
        <v>33</v>
      </c>
      <c r="BR994" t="s">
        <v>1497</v>
      </c>
      <c r="BT994" t="s">
        <v>1769</v>
      </c>
      <c r="BU994" s="1">
        <v>45526</v>
      </c>
      <c r="BV994">
        <v>35420</v>
      </c>
      <c r="BX994" t="s">
        <v>170</v>
      </c>
      <c r="BY994" t="s">
        <v>170</v>
      </c>
      <c r="CB994" t="s">
        <v>170</v>
      </c>
      <c r="CC994" t="s">
        <v>170</v>
      </c>
      <c r="CK994" t="s">
        <v>233</v>
      </c>
      <c r="CM994">
        <v>1</v>
      </c>
      <c r="CN994" t="s">
        <v>234</v>
      </c>
      <c r="CP994">
        <v>375</v>
      </c>
      <c r="CQ994">
        <v>296</v>
      </c>
      <c r="CR994">
        <v>167</v>
      </c>
      <c r="CS994" t="s">
        <v>235</v>
      </c>
      <c r="CV994" t="s">
        <v>341</v>
      </c>
      <c r="CX994" t="s">
        <v>342</v>
      </c>
      <c r="CY994" t="s">
        <v>170</v>
      </c>
      <c r="DC994" t="s">
        <v>2159</v>
      </c>
      <c r="DD994">
        <v>2</v>
      </c>
      <c r="DE994" t="s">
        <v>404</v>
      </c>
      <c r="DF994" t="s">
        <v>427</v>
      </c>
      <c r="DG994" t="s">
        <v>2167</v>
      </c>
      <c r="DL994" t="s">
        <v>170</v>
      </c>
      <c r="DM994" t="s">
        <v>169</v>
      </c>
      <c r="DP994" t="s">
        <v>170</v>
      </c>
      <c r="DQ994" t="s">
        <v>187</v>
      </c>
      <c r="EB994">
        <v>9</v>
      </c>
      <c r="EC994">
        <v>10</v>
      </c>
      <c r="EE994" t="s">
        <v>2161</v>
      </c>
      <c r="EF994">
        <v>10</v>
      </c>
      <c r="EU994">
        <v>4500</v>
      </c>
      <c r="EW994">
        <v>0</v>
      </c>
      <c r="EX994">
        <v>0</v>
      </c>
      <c r="EY994">
        <v>0</v>
      </c>
      <c r="FA994">
        <v>10</v>
      </c>
      <c r="FG994">
        <v>306</v>
      </c>
      <c r="FH994">
        <v>292</v>
      </c>
      <c r="FI994">
        <v>300</v>
      </c>
    </row>
    <row r="995" spans="1:165" x14ac:dyDescent="0.35">
      <c r="A995" s="25"/>
      <c r="B995" s="25"/>
      <c r="C995" s="25"/>
      <c r="D995" s="25"/>
      <c r="E995" s="25"/>
      <c r="F995" s="25" t="str">
        <f>_xlfn.CONCAT($A996," ",$B996," ",$D996)</f>
        <v>2025 Volvo EX30 Single Motor extended range(19_20 Inch Wheel)</v>
      </c>
      <c r="G995" s="25"/>
      <c r="H995" s="25"/>
      <c r="I995" s="25"/>
      <c r="J995" s="25"/>
      <c r="K995" s="25"/>
      <c r="L995" s="25"/>
      <c r="M995" s="25"/>
      <c r="N995" s="25"/>
      <c r="O995" s="25"/>
      <c r="P995" s="25"/>
      <c r="Q995" s="25"/>
      <c r="R995" s="25"/>
      <c r="S995" s="25"/>
      <c r="T995" s="25"/>
      <c r="U995" s="25"/>
      <c r="V995" s="25"/>
      <c r="W995" s="25"/>
      <c r="X995" s="25"/>
      <c r="Y995" s="25"/>
      <c r="Z995" s="25"/>
      <c r="AA995" s="25"/>
      <c r="AB995" s="25"/>
      <c r="AC995" s="25"/>
      <c r="AD995" s="25" t="str">
        <f>_xlfn.CONCAT($A996," ",$B996," ",$D996)</f>
        <v>2025 Volvo EX30 Single Motor extended range(19_20 Inch Wheel)</v>
      </c>
      <c r="AE995" s="25"/>
      <c r="AF995" s="25"/>
      <c r="AG995" s="25"/>
      <c r="AH995" s="25"/>
      <c r="AI995" s="25"/>
      <c r="AJ995" s="25"/>
      <c r="AK995" s="25"/>
      <c r="AL995" s="25"/>
      <c r="AM995" s="25"/>
      <c r="AN995" s="25"/>
      <c r="AO995" s="25"/>
      <c r="AP995" s="25"/>
      <c r="AQ995" s="25"/>
      <c r="AR995" s="25"/>
      <c r="AS995" s="25"/>
      <c r="AT995" s="25"/>
      <c r="AU995" s="25"/>
      <c r="AV995" s="25"/>
      <c r="AW995" s="25"/>
      <c r="AX995" s="25" t="str">
        <f>_xlfn.CONCAT($A996," ",$B996," ",$D996)</f>
        <v>2025 Volvo EX30 Single Motor extended range(19_20 Inch Wheel)</v>
      </c>
      <c r="AY995" s="25"/>
      <c r="AZ995" s="25"/>
      <c r="BA995" s="25"/>
      <c r="BB995" s="25"/>
      <c r="BC995" s="25"/>
      <c r="BD995" s="25"/>
      <c r="BE995" s="25"/>
      <c r="BF995" s="25"/>
      <c r="BG995" s="25"/>
      <c r="BH995" s="25"/>
      <c r="BI995" s="25"/>
      <c r="BJ995" s="25"/>
      <c r="BK995" s="25"/>
      <c r="BL995" s="25"/>
      <c r="BM995" s="25"/>
      <c r="BN995" s="25"/>
      <c r="BO995" s="25"/>
      <c r="BP995" s="25"/>
      <c r="BQ995" s="25"/>
      <c r="BR995" s="25" t="str">
        <f>_xlfn.CONCAT($A996," ",$B996," ",$D996)</f>
        <v>2025 Volvo EX30 Single Motor extended range(19_20 Inch Wheel)</v>
      </c>
      <c r="BS995" s="25"/>
      <c r="BT995" s="25"/>
      <c r="BU995" s="25"/>
      <c r="BV995" s="25"/>
      <c r="BX995" s="25"/>
      <c r="BY995" s="25"/>
      <c r="BZ995" s="25"/>
      <c r="CA995" s="25"/>
      <c r="CB995" s="25"/>
      <c r="CC995" s="25"/>
      <c r="CD995" s="25"/>
      <c r="CE995" s="25"/>
      <c r="CF995" s="25"/>
      <c r="CG995" s="25"/>
      <c r="CH995" s="25"/>
      <c r="CI995" s="25"/>
      <c r="CJ995" s="25"/>
      <c r="CK995" s="25"/>
      <c r="CL995" s="25"/>
      <c r="CM995" s="25"/>
      <c r="CN995" s="25"/>
      <c r="CO995" s="25"/>
      <c r="CP995" s="25" t="str">
        <f>_xlfn.CONCAT($A996," ",$B996," ",$D996)</f>
        <v>2025 Volvo EX30 Single Motor extended range(19_20 Inch Wheel)</v>
      </c>
      <c r="CQ995" s="25"/>
      <c r="CR995" s="25"/>
      <c r="CS995" s="25"/>
      <c r="CT995" s="25"/>
      <c r="CU995" s="25"/>
      <c r="CV995" s="25"/>
      <c r="CW995" s="25"/>
      <c r="CX995" s="25"/>
      <c r="CY995" s="25"/>
      <c r="CZ995" s="25"/>
      <c r="DA995" s="25"/>
      <c r="DB995" s="25"/>
      <c r="DC995" s="25"/>
      <c r="DD995" s="25"/>
      <c r="DE995" s="25"/>
      <c r="DF995" s="25"/>
      <c r="DG995" s="25"/>
      <c r="DH995" s="25"/>
      <c r="DI995" s="25" t="str">
        <f>_xlfn.CONCAT($A996," ",$B996," ",$D996)</f>
        <v>2025 Volvo EX30 Single Motor extended range(19_20 Inch Wheel)</v>
      </c>
      <c r="DJ995" s="25"/>
      <c r="DK995" s="25"/>
      <c r="DL995" s="25"/>
      <c r="DM995" s="25"/>
      <c r="DN995" s="25"/>
      <c r="DO995" s="25"/>
      <c r="DP995" s="25"/>
      <c r="DQ995" s="25"/>
      <c r="DR995" s="25"/>
      <c r="DS995" s="25"/>
      <c r="DT995" s="25"/>
      <c r="DU995" s="25"/>
      <c r="DV995" s="25"/>
      <c r="DW995" s="25"/>
      <c r="DX995" s="25"/>
      <c r="DY995" s="25"/>
      <c r="DZ995" s="25" t="str">
        <f>_xlfn.CONCAT($A996," ",$B996," ",$D996)</f>
        <v>2025 Volvo EX30 Single Motor extended range(19_20 Inch Wheel)</v>
      </c>
      <c r="EB995" s="25"/>
      <c r="EC995" s="25"/>
      <c r="ED995" s="25"/>
      <c r="EE995" s="25"/>
      <c r="EF995" s="25"/>
      <c r="EG995" s="25"/>
      <c r="EH995" s="25"/>
      <c r="EI995" s="25"/>
      <c r="EJ995" s="25"/>
      <c r="EK995" s="25"/>
      <c r="EL995" s="25"/>
      <c r="EM995" s="25"/>
      <c r="EN995" s="25"/>
      <c r="EO995" s="25"/>
      <c r="EP995" s="25"/>
      <c r="EQ995" s="25"/>
      <c r="ER995" s="25"/>
      <c r="ES995" s="25"/>
      <c r="ET995" s="25"/>
      <c r="EU995" s="25"/>
      <c r="EV995" s="25" t="str">
        <f>_xlfn.CONCAT($A996," ",$B996," ",$D996)</f>
        <v>2025 Volvo EX30 Single Motor extended range(19_20 Inch Wheel)</v>
      </c>
      <c r="EW995" s="25"/>
      <c r="EX995" s="25"/>
      <c r="EY995" s="25"/>
      <c r="EZ995" s="25"/>
      <c r="FA995" s="25"/>
      <c r="FB995" s="25"/>
      <c r="FC995" s="25"/>
      <c r="FD995" s="25"/>
      <c r="FE995" s="25"/>
      <c r="FF995" s="25"/>
      <c r="FG995" s="25"/>
    </row>
    <row r="996" spans="1:165" x14ac:dyDescent="0.35">
      <c r="A996">
        <v>2025</v>
      </c>
      <c r="B996" t="s">
        <v>658</v>
      </c>
      <c r="C996" t="s">
        <v>659</v>
      </c>
      <c r="D996" t="s">
        <v>2374</v>
      </c>
      <c r="E996" t="s">
        <v>661</v>
      </c>
      <c r="F996">
        <v>275</v>
      </c>
      <c r="G996">
        <v>0</v>
      </c>
      <c r="I996" t="s">
        <v>1734</v>
      </c>
      <c r="J996">
        <v>127</v>
      </c>
      <c r="K996">
        <v>104</v>
      </c>
      <c r="L996">
        <v>116</v>
      </c>
      <c r="M996">
        <v>181.1</v>
      </c>
      <c r="N996">
        <v>149</v>
      </c>
      <c r="O996">
        <v>165.095</v>
      </c>
      <c r="P996">
        <v>126.77</v>
      </c>
      <c r="Q996">
        <v>104.3</v>
      </c>
      <c r="R996">
        <v>115.5663</v>
      </c>
      <c r="V996" t="s">
        <v>167</v>
      </c>
      <c r="W996" t="s">
        <v>168</v>
      </c>
      <c r="Y996">
        <v>1</v>
      </c>
      <c r="Z996" t="s">
        <v>170</v>
      </c>
      <c r="AA996" t="s">
        <v>170</v>
      </c>
      <c r="AB996" t="s">
        <v>171</v>
      </c>
      <c r="AC996" t="s">
        <v>172</v>
      </c>
      <c r="AF996">
        <v>261</v>
      </c>
      <c r="AG996" t="s">
        <v>1735</v>
      </c>
      <c r="AH996" t="s">
        <v>1736</v>
      </c>
      <c r="AI996" t="s">
        <v>175</v>
      </c>
      <c r="AJ996" t="s">
        <v>176</v>
      </c>
      <c r="AK996">
        <v>4</v>
      </c>
      <c r="AL996" t="s">
        <v>1737</v>
      </c>
      <c r="AS996">
        <v>700</v>
      </c>
      <c r="AT996">
        <v>700</v>
      </c>
      <c r="BQ996">
        <v>30</v>
      </c>
      <c r="BR996" t="s">
        <v>1099</v>
      </c>
      <c r="BT996" t="s">
        <v>1769</v>
      </c>
      <c r="BU996" s="1">
        <v>45474</v>
      </c>
      <c r="BV996">
        <v>35054</v>
      </c>
      <c r="BX996" t="s">
        <v>170</v>
      </c>
      <c r="BY996" t="s">
        <v>170</v>
      </c>
      <c r="CB996" t="s">
        <v>170</v>
      </c>
      <c r="CC996" t="s">
        <v>170</v>
      </c>
      <c r="CK996" t="s">
        <v>233</v>
      </c>
      <c r="CM996">
        <v>1</v>
      </c>
      <c r="CN996" t="s">
        <v>234</v>
      </c>
      <c r="CP996">
        <v>392</v>
      </c>
      <c r="CQ996">
        <v>169</v>
      </c>
      <c r="CR996">
        <v>180</v>
      </c>
      <c r="CS996" t="s">
        <v>235</v>
      </c>
      <c r="CV996" t="s">
        <v>341</v>
      </c>
      <c r="CX996" t="s">
        <v>1012</v>
      </c>
      <c r="CY996" t="s">
        <v>170</v>
      </c>
      <c r="DC996" t="s">
        <v>2177</v>
      </c>
      <c r="DD996">
        <v>1</v>
      </c>
      <c r="DE996" t="s">
        <v>404</v>
      </c>
      <c r="DF996" t="s">
        <v>427</v>
      </c>
      <c r="DG996">
        <v>185</v>
      </c>
      <c r="DL996" t="s">
        <v>170</v>
      </c>
      <c r="DM996" t="s">
        <v>169</v>
      </c>
      <c r="DP996" t="s">
        <v>170</v>
      </c>
      <c r="DQ996" t="s">
        <v>187</v>
      </c>
      <c r="EB996">
        <v>9</v>
      </c>
      <c r="EC996">
        <v>10</v>
      </c>
      <c r="EE996" t="s">
        <v>2373</v>
      </c>
      <c r="EF996">
        <v>10</v>
      </c>
      <c r="EU996">
        <v>6000</v>
      </c>
      <c r="EW996">
        <v>0</v>
      </c>
      <c r="EX996">
        <v>0</v>
      </c>
      <c r="EY996">
        <v>0</v>
      </c>
      <c r="FA996">
        <v>8</v>
      </c>
      <c r="FG996">
        <v>284</v>
      </c>
      <c r="FH996">
        <v>233</v>
      </c>
      <c r="FI996">
        <v>261</v>
      </c>
    </row>
    <row r="997" spans="1:165" x14ac:dyDescent="0.35">
      <c r="A997">
        <v>2025</v>
      </c>
      <c r="B997" t="s">
        <v>658</v>
      </c>
      <c r="C997" t="s">
        <v>659</v>
      </c>
      <c r="D997" t="s">
        <v>2374</v>
      </c>
      <c r="E997" t="s">
        <v>661</v>
      </c>
      <c r="F997">
        <v>275</v>
      </c>
      <c r="G997">
        <v>0</v>
      </c>
      <c r="I997" t="s">
        <v>1734</v>
      </c>
      <c r="J997">
        <v>27</v>
      </c>
      <c r="K997">
        <v>32</v>
      </c>
      <c r="L997">
        <v>29</v>
      </c>
      <c r="M997">
        <v>18.616</v>
      </c>
      <c r="N997">
        <v>22.618099999999998</v>
      </c>
      <c r="O997">
        <v>20.416899999999998</v>
      </c>
      <c r="P997">
        <v>26.587499999999999</v>
      </c>
      <c r="Q997">
        <v>32.315399999999997</v>
      </c>
      <c r="R997">
        <v>29.165099999999999</v>
      </c>
      <c r="V997" t="s">
        <v>167</v>
      </c>
      <c r="W997" t="s">
        <v>168</v>
      </c>
      <c r="Y997">
        <v>1</v>
      </c>
      <c r="Z997" t="s">
        <v>170</v>
      </c>
      <c r="AA997" t="s">
        <v>170</v>
      </c>
      <c r="AB997" t="s">
        <v>171</v>
      </c>
      <c r="AC997" t="s">
        <v>172</v>
      </c>
      <c r="AF997">
        <v>261</v>
      </c>
      <c r="AG997" t="s">
        <v>1735</v>
      </c>
      <c r="AH997" t="s">
        <v>1736</v>
      </c>
      <c r="AI997" t="s">
        <v>1742</v>
      </c>
      <c r="AJ997" t="s">
        <v>1743</v>
      </c>
      <c r="AK997">
        <v>4</v>
      </c>
      <c r="AL997" t="s">
        <v>1737</v>
      </c>
      <c r="AS997">
        <v>700</v>
      </c>
      <c r="AT997">
        <v>700</v>
      </c>
      <c r="BQ997">
        <v>30</v>
      </c>
      <c r="BR997" t="s">
        <v>1099</v>
      </c>
      <c r="BT997" t="s">
        <v>1769</v>
      </c>
      <c r="BU997" s="1">
        <v>45474</v>
      </c>
      <c r="BV997">
        <v>35054</v>
      </c>
      <c r="BX997" t="s">
        <v>170</v>
      </c>
      <c r="BY997" t="s">
        <v>170</v>
      </c>
      <c r="CB997" t="s">
        <v>170</v>
      </c>
      <c r="CC997" t="s">
        <v>170</v>
      </c>
      <c r="CK997" t="s">
        <v>233</v>
      </c>
      <c r="CM997">
        <v>1</v>
      </c>
      <c r="CN997" t="s">
        <v>234</v>
      </c>
      <c r="CP997">
        <v>392</v>
      </c>
      <c r="CQ997">
        <v>169</v>
      </c>
      <c r="CR997">
        <v>180</v>
      </c>
      <c r="CS997" t="s">
        <v>235</v>
      </c>
      <c r="CV997" t="s">
        <v>341</v>
      </c>
      <c r="CX997" t="s">
        <v>1012</v>
      </c>
      <c r="CY997" t="s">
        <v>170</v>
      </c>
      <c r="DC997" t="s">
        <v>2177</v>
      </c>
      <c r="DD997">
        <v>1</v>
      </c>
      <c r="DE997" t="s">
        <v>404</v>
      </c>
      <c r="DF997" t="s">
        <v>427</v>
      </c>
      <c r="DG997">
        <v>185</v>
      </c>
      <c r="DL997" t="s">
        <v>170</v>
      </c>
      <c r="DM997" t="s">
        <v>169</v>
      </c>
      <c r="DP997" t="s">
        <v>170</v>
      </c>
      <c r="DQ997" t="s">
        <v>187</v>
      </c>
      <c r="EB997">
        <v>9</v>
      </c>
      <c r="EC997">
        <v>10</v>
      </c>
      <c r="EE997" t="s">
        <v>2373</v>
      </c>
      <c r="EF997">
        <v>10</v>
      </c>
      <c r="EU997">
        <v>6000</v>
      </c>
      <c r="EW997">
        <v>0</v>
      </c>
      <c r="EX997">
        <v>0</v>
      </c>
      <c r="EY997">
        <v>0</v>
      </c>
      <c r="FA997">
        <v>8</v>
      </c>
      <c r="FG997">
        <v>284</v>
      </c>
      <c r="FH997">
        <v>233</v>
      </c>
      <c r="FI997">
        <v>261</v>
      </c>
    </row>
    <row r="998" spans="1:165" x14ac:dyDescent="0.35">
      <c r="A998" s="25"/>
      <c r="B998" s="25"/>
      <c r="C998" s="25"/>
      <c r="D998" s="25"/>
      <c r="E998" s="25"/>
      <c r="F998" s="25" t="str">
        <f>_xlfn.CONCAT($A999," ",$B999," ",$D999)</f>
        <v>2025 Volvo EX30 Twin Performance (20 Inch Wheels)</v>
      </c>
      <c r="G998" s="25"/>
      <c r="H998" s="25"/>
      <c r="I998" s="25"/>
      <c r="J998" s="25"/>
      <c r="K998" s="25"/>
      <c r="L998" s="25"/>
      <c r="M998" s="25"/>
      <c r="N998" s="25"/>
      <c r="O998" s="25"/>
      <c r="P998" s="25"/>
      <c r="Q998" s="25"/>
      <c r="R998" s="25"/>
      <c r="S998" s="25"/>
      <c r="T998" s="25"/>
      <c r="U998" s="25"/>
      <c r="V998" s="25"/>
      <c r="W998" s="25"/>
      <c r="X998" s="25"/>
      <c r="Y998" s="25"/>
      <c r="Z998" s="25"/>
      <c r="AA998" s="25"/>
      <c r="AB998" s="25"/>
      <c r="AC998" s="25"/>
      <c r="AD998" s="25" t="str">
        <f>_xlfn.CONCAT($A999," ",$B999," ",$D999)</f>
        <v>2025 Volvo EX30 Twin Performance (20 Inch Wheels)</v>
      </c>
      <c r="AE998" s="25"/>
      <c r="AF998" s="25"/>
      <c r="AG998" s="25"/>
      <c r="AH998" s="25"/>
      <c r="AI998" s="25"/>
      <c r="AJ998" s="25"/>
      <c r="AK998" s="25"/>
      <c r="AL998" s="25"/>
      <c r="AM998" s="25"/>
      <c r="AN998" s="25"/>
      <c r="AO998" s="25"/>
      <c r="AP998" s="25"/>
      <c r="AQ998" s="25"/>
      <c r="AR998" s="25"/>
      <c r="AS998" s="25"/>
      <c r="AT998" s="25"/>
      <c r="AU998" s="25"/>
      <c r="AV998" s="25"/>
      <c r="AW998" s="25"/>
      <c r="AX998" s="25" t="str">
        <f>_xlfn.CONCAT($A999," ",$B999," ",$D999)</f>
        <v>2025 Volvo EX30 Twin Performance (20 Inch Wheels)</v>
      </c>
      <c r="AY998" s="25"/>
      <c r="AZ998" s="25"/>
      <c r="BA998" s="25"/>
      <c r="BB998" s="25"/>
      <c r="BC998" s="25"/>
      <c r="BD998" s="25"/>
      <c r="BE998" s="25"/>
      <c r="BF998" s="25"/>
      <c r="BG998" s="25"/>
      <c r="BH998" s="25"/>
      <c r="BI998" s="25"/>
      <c r="BJ998" s="25"/>
      <c r="BK998" s="25"/>
      <c r="BL998" s="25"/>
      <c r="BM998" s="25"/>
      <c r="BN998" s="25"/>
      <c r="BO998" s="25"/>
      <c r="BP998" s="25"/>
      <c r="BQ998" s="25"/>
      <c r="BR998" s="25" t="str">
        <f>_xlfn.CONCAT($A999," ",$B999," ",$D999)</f>
        <v>2025 Volvo EX30 Twin Performance (20 Inch Wheels)</v>
      </c>
      <c r="BS998" s="25"/>
      <c r="BT998" s="25"/>
      <c r="BU998" s="25"/>
      <c r="BV998" s="25"/>
      <c r="BX998" s="25"/>
      <c r="BY998" s="25"/>
      <c r="BZ998" s="25"/>
      <c r="CA998" s="25"/>
      <c r="CB998" s="25"/>
      <c r="CC998" s="25"/>
      <c r="CD998" s="25"/>
      <c r="CE998" s="25"/>
      <c r="CF998" s="25"/>
      <c r="CG998" s="25"/>
      <c r="CH998" s="25"/>
      <c r="CI998" s="25"/>
      <c r="CJ998" s="25"/>
      <c r="CK998" s="25"/>
      <c r="CL998" s="25"/>
      <c r="CM998" s="25"/>
      <c r="CN998" s="25"/>
      <c r="CO998" s="25"/>
      <c r="CP998" s="25" t="str">
        <f>_xlfn.CONCAT($A999," ",$B999," ",$D999)</f>
        <v>2025 Volvo EX30 Twin Performance (20 Inch Wheels)</v>
      </c>
      <c r="CQ998" s="25"/>
      <c r="CR998" s="25"/>
      <c r="CS998" s="25"/>
      <c r="CT998" s="25"/>
      <c r="CU998" s="25"/>
      <c r="CV998" s="25"/>
      <c r="CW998" s="25"/>
      <c r="CX998" s="25"/>
      <c r="CY998" s="25"/>
      <c r="CZ998" s="25"/>
      <c r="DA998" s="25"/>
      <c r="DB998" s="25"/>
      <c r="DC998" s="25"/>
      <c r="DD998" s="25"/>
      <c r="DE998" s="25"/>
      <c r="DF998" s="25"/>
      <c r="DG998" s="25"/>
      <c r="DH998" s="25"/>
      <c r="DI998" s="25" t="str">
        <f>_xlfn.CONCAT($A999," ",$B999," ",$D999)</f>
        <v>2025 Volvo EX30 Twin Performance (20 Inch Wheels)</v>
      </c>
      <c r="DJ998" s="25"/>
      <c r="DK998" s="25"/>
      <c r="DL998" s="25"/>
      <c r="DM998" s="25"/>
      <c r="DN998" s="25"/>
      <c r="DO998" s="25"/>
      <c r="DP998" s="25"/>
      <c r="DQ998" s="25"/>
      <c r="DR998" s="25"/>
      <c r="DS998" s="25"/>
      <c r="DT998" s="25"/>
      <c r="DU998" s="25"/>
      <c r="DV998" s="25"/>
      <c r="DW998" s="25"/>
      <c r="DX998" s="25"/>
      <c r="DY998" s="25"/>
      <c r="DZ998" s="25" t="str">
        <f>_xlfn.CONCAT($A999," ",$B999," ",$D999)</f>
        <v>2025 Volvo EX30 Twin Performance (20 Inch Wheels)</v>
      </c>
      <c r="EB998" s="25"/>
      <c r="EC998" s="25"/>
      <c r="ED998" s="25"/>
      <c r="EE998" s="25"/>
      <c r="EF998" s="25"/>
      <c r="EG998" s="25"/>
      <c r="EH998" s="25"/>
      <c r="EI998" s="25"/>
      <c r="EJ998" s="25"/>
      <c r="EK998" s="25"/>
      <c r="EL998" s="25"/>
      <c r="EM998" s="25"/>
      <c r="EN998" s="25"/>
      <c r="EO998" s="25"/>
      <c r="EP998" s="25"/>
      <c r="EQ998" s="25"/>
      <c r="ER998" s="25"/>
      <c r="ES998" s="25"/>
      <c r="ET998" s="25"/>
      <c r="EU998" s="25"/>
      <c r="EV998" s="25" t="str">
        <f>_xlfn.CONCAT($A999," ",$B999," ",$D999)</f>
        <v>2025 Volvo EX30 Twin Performance (20 Inch Wheels)</v>
      </c>
      <c r="EW998" s="25"/>
      <c r="EX998" s="25"/>
      <c r="EY998" s="25"/>
      <c r="EZ998" s="25"/>
      <c r="FA998" s="25"/>
      <c r="FB998" s="25"/>
      <c r="FC998" s="25"/>
      <c r="FD998" s="25"/>
      <c r="FE998" s="25"/>
      <c r="FF998" s="25"/>
      <c r="FG998" s="25"/>
    </row>
    <row r="999" spans="1:165" x14ac:dyDescent="0.35">
      <c r="A999">
        <v>2025</v>
      </c>
      <c r="B999" t="s">
        <v>658</v>
      </c>
      <c r="C999" t="s">
        <v>659</v>
      </c>
      <c r="D999" t="s">
        <v>2378</v>
      </c>
      <c r="E999" t="s">
        <v>661</v>
      </c>
      <c r="F999">
        <v>276</v>
      </c>
      <c r="G999">
        <v>0</v>
      </c>
      <c r="I999" t="s">
        <v>1734</v>
      </c>
      <c r="J999">
        <v>118</v>
      </c>
      <c r="K999">
        <v>99</v>
      </c>
      <c r="L999">
        <v>109</v>
      </c>
      <c r="M999">
        <v>168</v>
      </c>
      <c r="N999">
        <v>141.80000000000001</v>
      </c>
      <c r="O999">
        <v>155.10380000000001</v>
      </c>
      <c r="P999">
        <v>117.6</v>
      </c>
      <c r="Q999">
        <v>99.26</v>
      </c>
      <c r="R999">
        <v>108.5727</v>
      </c>
      <c r="V999" t="s">
        <v>167</v>
      </c>
      <c r="W999" t="s">
        <v>168</v>
      </c>
      <c r="Y999">
        <v>1</v>
      </c>
      <c r="Z999" t="s">
        <v>170</v>
      </c>
      <c r="AA999" t="s">
        <v>170</v>
      </c>
      <c r="AB999" t="s">
        <v>167</v>
      </c>
      <c r="AC999" t="s">
        <v>213</v>
      </c>
      <c r="AF999">
        <v>250</v>
      </c>
      <c r="AG999" t="s">
        <v>1735</v>
      </c>
      <c r="AH999" t="s">
        <v>1736</v>
      </c>
      <c r="AI999" t="s">
        <v>175</v>
      </c>
      <c r="AJ999" t="s">
        <v>176</v>
      </c>
      <c r="AK999">
        <v>4</v>
      </c>
      <c r="AL999" t="s">
        <v>1737</v>
      </c>
      <c r="AS999">
        <v>750</v>
      </c>
      <c r="AT999">
        <v>750</v>
      </c>
      <c r="BQ999">
        <v>31</v>
      </c>
      <c r="BR999" t="s">
        <v>1219</v>
      </c>
      <c r="BT999" t="s">
        <v>1769</v>
      </c>
      <c r="BU999" s="1">
        <v>45527</v>
      </c>
      <c r="BV999">
        <v>35405</v>
      </c>
      <c r="BX999" t="s">
        <v>170</v>
      </c>
      <c r="BY999" t="s">
        <v>170</v>
      </c>
      <c r="CB999" t="s">
        <v>170</v>
      </c>
      <c r="CC999" t="s">
        <v>170</v>
      </c>
      <c r="CK999" t="s">
        <v>233</v>
      </c>
      <c r="CM999">
        <v>1</v>
      </c>
      <c r="CN999" t="s">
        <v>234</v>
      </c>
      <c r="CP999">
        <v>392</v>
      </c>
      <c r="CQ999">
        <v>169</v>
      </c>
      <c r="CR999">
        <v>180</v>
      </c>
      <c r="CS999" t="s">
        <v>235</v>
      </c>
      <c r="CV999" t="s">
        <v>341</v>
      </c>
      <c r="CX999" t="s">
        <v>342</v>
      </c>
      <c r="CY999" t="s">
        <v>170</v>
      </c>
      <c r="DC999" t="s">
        <v>2177</v>
      </c>
      <c r="DD999">
        <v>2</v>
      </c>
      <c r="DE999" t="s">
        <v>404</v>
      </c>
      <c r="DF999" t="s">
        <v>427</v>
      </c>
      <c r="DG999" t="s">
        <v>2376</v>
      </c>
      <c r="DL999" t="s">
        <v>170</v>
      </c>
      <c r="DM999" t="s">
        <v>169</v>
      </c>
      <c r="DP999" t="s">
        <v>170</v>
      </c>
      <c r="DQ999" t="s">
        <v>187</v>
      </c>
      <c r="EB999">
        <v>9</v>
      </c>
      <c r="EC999">
        <v>10</v>
      </c>
      <c r="EE999" t="s">
        <v>2377</v>
      </c>
      <c r="EF999">
        <v>10</v>
      </c>
      <c r="EU999">
        <v>5750</v>
      </c>
      <c r="EW999">
        <v>0</v>
      </c>
      <c r="EX999">
        <v>0</v>
      </c>
      <c r="EY999">
        <v>0</v>
      </c>
      <c r="FA999">
        <v>8</v>
      </c>
      <c r="FG999">
        <v>269</v>
      </c>
      <c r="FH999">
        <v>227</v>
      </c>
      <c r="FI999">
        <v>250</v>
      </c>
    </row>
    <row r="1000" spans="1:165" x14ac:dyDescent="0.35">
      <c r="A1000">
        <v>2025</v>
      </c>
      <c r="B1000" t="s">
        <v>658</v>
      </c>
      <c r="C1000" t="s">
        <v>659</v>
      </c>
      <c r="D1000" t="s">
        <v>2378</v>
      </c>
      <c r="E1000" t="s">
        <v>661</v>
      </c>
      <c r="F1000">
        <v>276</v>
      </c>
      <c r="G1000">
        <v>0</v>
      </c>
      <c r="I1000" t="s">
        <v>1734</v>
      </c>
      <c r="J1000">
        <v>29</v>
      </c>
      <c r="K1000">
        <v>34</v>
      </c>
      <c r="L1000">
        <v>31</v>
      </c>
      <c r="M1000">
        <v>20.063600000000001</v>
      </c>
      <c r="N1000">
        <v>23.7698</v>
      </c>
      <c r="O1000">
        <v>21.731400000000001</v>
      </c>
      <c r="P1000">
        <v>28.660699999999999</v>
      </c>
      <c r="Q1000">
        <v>33.956299999999999</v>
      </c>
      <c r="R1000">
        <v>31.043700000000001</v>
      </c>
      <c r="V1000" t="s">
        <v>167</v>
      </c>
      <c r="W1000" t="s">
        <v>168</v>
      </c>
      <c r="Y1000">
        <v>1</v>
      </c>
      <c r="Z1000" t="s">
        <v>170</v>
      </c>
      <c r="AA1000" t="s">
        <v>170</v>
      </c>
      <c r="AB1000" t="s">
        <v>167</v>
      </c>
      <c r="AC1000" t="s">
        <v>213</v>
      </c>
      <c r="AF1000">
        <v>250</v>
      </c>
      <c r="AG1000" t="s">
        <v>1735</v>
      </c>
      <c r="AH1000" t="s">
        <v>1736</v>
      </c>
      <c r="AI1000" t="s">
        <v>1742</v>
      </c>
      <c r="AJ1000" t="s">
        <v>1743</v>
      </c>
      <c r="AK1000">
        <v>4</v>
      </c>
      <c r="AL1000" t="s">
        <v>1737</v>
      </c>
      <c r="AS1000">
        <v>750</v>
      </c>
      <c r="AT1000">
        <v>750</v>
      </c>
      <c r="BQ1000">
        <v>31</v>
      </c>
      <c r="BR1000" t="s">
        <v>1219</v>
      </c>
      <c r="BT1000" t="s">
        <v>1769</v>
      </c>
      <c r="BU1000" s="1">
        <v>45527</v>
      </c>
      <c r="BV1000">
        <v>35405</v>
      </c>
      <c r="BX1000" t="s">
        <v>170</v>
      </c>
      <c r="BY1000" t="s">
        <v>170</v>
      </c>
      <c r="CB1000" t="s">
        <v>170</v>
      </c>
      <c r="CC1000" t="s">
        <v>170</v>
      </c>
      <c r="CK1000" t="s">
        <v>233</v>
      </c>
      <c r="CM1000">
        <v>1</v>
      </c>
      <c r="CN1000" t="s">
        <v>234</v>
      </c>
      <c r="CP1000">
        <v>392</v>
      </c>
      <c r="CQ1000">
        <v>169</v>
      </c>
      <c r="CR1000">
        <v>180</v>
      </c>
      <c r="CS1000" t="s">
        <v>235</v>
      </c>
      <c r="CV1000" t="s">
        <v>341</v>
      </c>
      <c r="CX1000" t="s">
        <v>342</v>
      </c>
      <c r="CY1000" t="s">
        <v>170</v>
      </c>
      <c r="DC1000" t="s">
        <v>2177</v>
      </c>
      <c r="DD1000">
        <v>2</v>
      </c>
      <c r="DE1000" t="s">
        <v>404</v>
      </c>
      <c r="DF1000" t="s">
        <v>427</v>
      </c>
      <c r="DG1000" t="s">
        <v>2376</v>
      </c>
      <c r="DL1000" t="s">
        <v>170</v>
      </c>
      <c r="DM1000" t="s">
        <v>169</v>
      </c>
      <c r="DP1000" t="s">
        <v>170</v>
      </c>
      <c r="DQ1000" t="s">
        <v>187</v>
      </c>
      <c r="EB1000">
        <v>9</v>
      </c>
      <c r="EC1000">
        <v>10</v>
      </c>
      <c r="EE1000" t="s">
        <v>2377</v>
      </c>
      <c r="EF1000">
        <v>10</v>
      </c>
      <c r="EU1000">
        <v>5750</v>
      </c>
      <c r="EW1000">
        <v>0</v>
      </c>
      <c r="EX1000">
        <v>0</v>
      </c>
      <c r="EY1000">
        <v>0</v>
      </c>
      <c r="FA1000">
        <v>8</v>
      </c>
      <c r="FG1000">
        <v>269</v>
      </c>
      <c r="FH1000">
        <v>227</v>
      </c>
      <c r="FI1000">
        <v>250</v>
      </c>
    </row>
    <row r="1001" spans="1:165" x14ac:dyDescent="0.35">
      <c r="A1001" s="25"/>
      <c r="B1001" s="25"/>
      <c r="C1001" s="25"/>
      <c r="D1001" s="25"/>
      <c r="E1001" s="25"/>
      <c r="F1001" s="25" t="str">
        <f>_xlfn.CONCAT($A1002," ",$B1002," ",$D1002)</f>
        <v xml:space="preserve">  </v>
      </c>
      <c r="G1001" s="25"/>
      <c r="H1001" s="25"/>
      <c r="I1001" s="25"/>
      <c r="J1001" s="25"/>
      <c r="K1001" s="25"/>
      <c r="L1001" s="25"/>
      <c r="M1001" s="25"/>
      <c r="N1001" s="25"/>
      <c r="O1001" s="25"/>
      <c r="P1001" s="25"/>
      <c r="Q1001" s="25"/>
      <c r="R1001" s="25"/>
      <c r="S1001" s="25"/>
      <c r="T1001" s="25"/>
      <c r="U1001" s="25"/>
      <c r="V1001" s="25"/>
      <c r="W1001" s="25"/>
      <c r="X1001" s="25"/>
      <c r="Y1001" s="25"/>
      <c r="Z1001" s="25"/>
      <c r="AA1001" s="25"/>
      <c r="AB1001" s="25"/>
      <c r="AC1001" s="25"/>
      <c r="AD1001" s="25" t="str">
        <f>_xlfn.CONCAT($A1002," ",$B1002," ",$D1002)</f>
        <v xml:space="preserve">  </v>
      </c>
      <c r="AE1001" s="25"/>
      <c r="AF1001" s="25"/>
      <c r="AG1001" s="25"/>
      <c r="AH1001" s="25"/>
      <c r="AI1001" s="25"/>
      <c r="AJ1001" s="25"/>
      <c r="AK1001" s="25"/>
      <c r="AL1001" s="25"/>
      <c r="AM1001" s="25"/>
      <c r="AN1001" s="25"/>
      <c r="AO1001" s="25"/>
      <c r="AP1001" s="25"/>
      <c r="AQ1001" s="25"/>
      <c r="AR1001" s="25"/>
      <c r="AS1001" s="25"/>
      <c r="AT1001" s="25"/>
      <c r="AU1001" s="25"/>
      <c r="AV1001" s="25"/>
      <c r="AW1001" s="25"/>
      <c r="AX1001" s="25" t="str">
        <f>_xlfn.CONCAT($A1002," ",$B1002," ",$D1002)</f>
        <v xml:space="preserve">  </v>
      </c>
      <c r="AY1001" s="25"/>
      <c r="AZ1001" s="25"/>
      <c r="BA1001" s="25"/>
      <c r="BB1001" s="25"/>
      <c r="BC1001" s="25"/>
      <c r="BD1001" s="25"/>
      <c r="BE1001" s="25"/>
      <c r="BF1001" s="25"/>
      <c r="BG1001" s="25"/>
      <c r="BH1001" s="25"/>
      <c r="BI1001" s="25"/>
      <c r="BJ1001" s="25"/>
      <c r="BK1001" s="25"/>
      <c r="BL1001" s="25"/>
      <c r="BM1001" s="25"/>
      <c r="BN1001" s="25"/>
      <c r="BO1001" s="25"/>
      <c r="BP1001" s="25"/>
      <c r="BQ1001" s="25"/>
      <c r="BR1001" s="25" t="str">
        <f>_xlfn.CONCAT($A1002," ",$B1002," ",$D1002)</f>
        <v xml:space="preserve">  </v>
      </c>
      <c r="BS1001" s="25"/>
      <c r="BT1001" s="25"/>
      <c r="BU1001" s="25"/>
      <c r="BV1001" s="25"/>
      <c r="BX1001" s="25"/>
      <c r="BY1001" s="25"/>
      <c r="BZ1001" s="25"/>
      <c r="CA1001" s="25"/>
      <c r="CB1001" s="25"/>
      <c r="CC1001" s="25"/>
      <c r="CD1001" s="25"/>
      <c r="CE1001" s="25"/>
      <c r="CF1001" s="25"/>
      <c r="CG1001" s="25"/>
      <c r="CH1001" s="25"/>
      <c r="CI1001" s="25"/>
      <c r="CJ1001" s="25"/>
      <c r="CK1001" s="25"/>
      <c r="CL1001" s="25"/>
      <c r="CM1001" s="25"/>
      <c r="CN1001" s="25"/>
      <c r="CO1001" s="25"/>
      <c r="CP1001" s="25" t="str">
        <f>_xlfn.CONCAT($A1002," ",$B1002," ",$D1002)</f>
        <v xml:space="preserve">  </v>
      </c>
      <c r="CQ1001" s="25"/>
      <c r="CR1001" s="25"/>
      <c r="CS1001" s="25"/>
      <c r="CT1001" s="25"/>
      <c r="CU1001" s="25"/>
      <c r="CV1001" s="25"/>
      <c r="CW1001" s="25"/>
      <c r="CX1001" s="25"/>
      <c r="CY1001" s="25"/>
      <c r="CZ1001" s="25"/>
      <c r="DA1001" s="25"/>
      <c r="DB1001" s="25"/>
      <c r="DC1001" s="25"/>
      <c r="DD1001" s="25"/>
      <c r="DE1001" s="25"/>
      <c r="DF1001" s="25"/>
      <c r="DG1001" s="25"/>
      <c r="DH1001" s="25"/>
      <c r="DI1001" s="25" t="str">
        <f>_xlfn.CONCAT($A1002," ",$B1002," ",$D1002)</f>
        <v xml:space="preserve">  </v>
      </c>
      <c r="DJ1001" s="25"/>
      <c r="DK1001" s="25"/>
      <c r="DL1001" s="25"/>
      <c r="DM1001" s="25"/>
      <c r="DN1001" s="25"/>
      <c r="DO1001" s="25"/>
      <c r="DP1001" s="25"/>
      <c r="DQ1001" s="25"/>
      <c r="DR1001" s="25"/>
      <c r="DS1001" s="25"/>
      <c r="DT1001" s="25"/>
      <c r="DU1001" s="25"/>
      <c r="DV1001" s="25"/>
      <c r="DW1001" s="25"/>
      <c r="DX1001" s="25"/>
      <c r="DY1001" s="25"/>
      <c r="DZ1001" s="25" t="str">
        <f>_xlfn.CONCAT($A1002," ",$B1002," ",$D1002)</f>
        <v xml:space="preserve">  </v>
      </c>
      <c r="EB1001" s="25"/>
      <c r="EC1001" s="25"/>
      <c r="ED1001" s="25"/>
      <c r="EE1001" s="25"/>
      <c r="EF1001" s="25"/>
      <c r="EG1001" s="25"/>
      <c r="EH1001" s="25"/>
      <c r="EI1001" s="25"/>
      <c r="EJ1001" s="25"/>
      <c r="EK1001" s="25"/>
      <c r="EL1001" s="25"/>
      <c r="EM1001" s="25"/>
      <c r="EN1001" s="25"/>
      <c r="EO1001" s="25"/>
      <c r="EP1001" s="25"/>
      <c r="EQ1001" s="25"/>
      <c r="ER1001" s="25"/>
      <c r="ES1001" s="25"/>
      <c r="ET1001" s="25"/>
      <c r="EU1001" s="25"/>
      <c r="EV1001" s="25" t="str">
        <f>_xlfn.CONCAT($A1002," ",$B1002," ",$D1002)</f>
        <v xml:space="preserve">  </v>
      </c>
      <c r="EW1001" s="25"/>
      <c r="EX1001" s="25"/>
      <c r="EY1001" s="25"/>
      <c r="EZ1001" s="25"/>
      <c r="FA1001" s="25"/>
      <c r="FB1001" s="25"/>
      <c r="FC1001" s="25"/>
      <c r="FD1001" s="25"/>
      <c r="FE1001" s="25"/>
      <c r="FF1001" s="25"/>
      <c r="FG1001" s="25"/>
    </row>
  </sheetData>
  <autoFilter ref="A1:FI667" xr:uid="{00000000-0001-0000-0100-000000000000}"/>
  <sortState xmlns:xlrd2="http://schemas.microsoft.com/office/spreadsheetml/2017/richdata2" ref="A2:FI667">
    <sortCondition ref="C2:C667"/>
    <sortCondition ref="F2:F667"/>
    <sortCondition descending="1" ref="AI2:AI667"/>
  </sortState>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9FCFA-8BF0-433C-A609-941C27DA952B}">
  <dimension ref="A3:GH214"/>
  <sheetViews>
    <sheetView topLeftCell="AL1" workbookViewId="0">
      <selection activeCell="AU1" sqref="AU1:AU1048576"/>
    </sheetView>
  </sheetViews>
  <sheetFormatPr defaultRowHeight="14.5" x14ac:dyDescent="0.35"/>
  <sheetData>
    <row r="3" spans="1:190" ht="15" customHeight="1" x14ac:dyDescent="0.45">
      <c r="B3" s="26"/>
      <c r="F3" t="s">
        <v>2450</v>
      </c>
      <c r="I3" s="25"/>
      <c r="FS3" s="27"/>
    </row>
    <row r="5" spans="1:190" ht="15" thickBot="1" x14ac:dyDescent="0.4"/>
    <row r="6" spans="1:190" ht="15" customHeight="1" thickBot="1" x14ac:dyDescent="0.5">
      <c r="B6" s="26"/>
      <c r="I6" s="28"/>
      <c r="FC6" s="29" t="s">
        <v>2451</v>
      </c>
      <c r="FS6" s="27"/>
    </row>
    <row r="7" spans="1:190" ht="21" customHeight="1" thickBot="1" x14ac:dyDescent="0.4">
      <c r="FC7" s="30" t="s">
        <v>2452</v>
      </c>
      <c r="FG7" s="176" t="s">
        <v>2453</v>
      </c>
      <c r="FH7" s="177"/>
      <c r="FI7" s="177"/>
      <c r="FJ7" s="177"/>
      <c r="FK7" s="177"/>
      <c r="FL7" s="177"/>
      <c r="FM7" s="177"/>
      <c r="FN7" s="177"/>
      <c r="FO7" s="177"/>
      <c r="FP7" s="177"/>
      <c r="FQ7" s="177"/>
      <c r="FR7" s="177"/>
      <c r="FS7" s="178"/>
    </row>
    <row r="8" spans="1:190" ht="15" thickBot="1" x14ac:dyDescent="0.4">
      <c r="A8" s="173" t="s">
        <v>2454</v>
      </c>
      <c r="B8" s="174"/>
      <c r="C8" s="174"/>
      <c r="D8" s="174"/>
      <c r="E8" s="174"/>
      <c r="F8" s="174"/>
      <c r="G8" s="174"/>
      <c r="H8" s="174"/>
      <c r="I8" s="175"/>
      <c r="J8" s="173" t="s">
        <v>2455</v>
      </c>
      <c r="K8" s="174"/>
      <c r="L8" s="174"/>
      <c r="M8" s="174"/>
      <c r="N8" s="174"/>
      <c r="O8" s="174"/>
      <c r="P8" s="174"/>
      <c r="Q8" s="174"/>
      <c r="R8" s="174"/>
      <c r="S8" s="174"/>
      <c r="T8" s="174"/>
      <c r="U8" s="174"/>
      <c r="V8" s="174"/>
      <c r="W8" s="174"/>
      <c r="X8" s="174"/>
      <c r="Y8" s="174"/>
      <c r="Z8" s="174"/>
      <c r="AA8" s="174"/>
      <c r="AB8" s="174"/>
      <c r="AC8" s="174"/>
      <c r="AD8" s="174"/>
      <c r="AE8" s="174"/>
      <c r="AF8" s="174"/>
      <c r="AG8" s="174"/>
      <c r="AH8" s="174"/>
      <c r="AI8" s="174"/>
      <c r="AJ8" s="175"/>
      <c r="AK8" s="173" t="s">
        <v>2456</v>
      </c>
      <c r="AL8" s="174"/>
      <c r="AM8" s="174"/>
      <c r="AN8" s="174"/>
      <c r="AO8" s="174"/>
      <c r="AP8" s="174"/>
      <c r="AQ8" s="174"/>
      <c r="AR8" s="175"/>
      <c r="AS8" s="173" t="s">
        <v>2457</v>
      </c>
      <c r="AT8" s="175"/>
      <c r="AU8" s="173" t="s">
        <v>2458</v>
      </c>
      <c r="AV8" s="174"/>
      <c r="AW8" s="174"/>
      <c r="AX8" s="174"/>
      <c r="AY8" s="174"/>
      <c r="AZ8" s="174"/>
      <c r="BA8" s="174"/>
      <c r="BB8" s="174"/>
      <c r="BC8" s="174"/>
      <c r="BD8" s="174"/>
      <c r="BE8" s="174"/>
      <c r="BF8" s="174"/>
      <c r="BG8" s="174"/>
      <c r="BH8" s="174"/>
      <c r="BI8" s="174"/>
      <c r="BJ8" s="174"/>
      <c r="BK8" s="174"/>
      <c r="BL8" s="174"/>
      <c r="BM8" s="175"/>
      <c r="BN8" s="173" t="s">
        <v>2459</v>
      </c>
      <c r="BO8" s="174"/>
      <c r="BP8" s="174"/>
      <c r="BQ8" s="174"/>
      <c r="BR8" s="174"/>
      <c r="BS8" s="174"/>
      <c r="BT8" s="174"/>
      <c r="BU8" s="174"/>
      <c r="BV8" s="175"/>
      <c r="BW8" s="31" t="s">
        <v>2445</v>
      </c>
      <c r="BX8" s="173" t="s">
        <v>2460</v>
      </c>
      <c r="BY8" s="174"/>
      <c r="BZ8" s="174"/>
      <c r="CA8" s="174"/>
      <c r="CB8" s="174"/>
      <c r="CC8" s="174"/>
      <c r="CD8" s="174"/>
      <c r="CE8" s="174"/>
      <c r="CF8" s="174"/>
      <c r="CG8" s="174"/>
      <c r="CH8" s="174"/>
      <c r="CI8" s="174"/>
      <c r="CJ8" s="174"/>
      <c r="CK8" s="174"/>
      <c r="CL8" s="174"/>
      <c r="CM8" s="174"/>
      <c r="CN8" s="174"/>
      <c r="CO8" s="174"/>
      <c r="CP8" s="174"/>
      <c r="CQ8" s="174"/>
      <c r="CR8" s="174"/>
      <c r="CS8" s="174"/>
      <c r="CT8" s="174"/>
      <c r="CU8" s="174"/>
      <c r="CV8" s="174"/>
      <c r="CW8" s="174"/>
      <c r="CX8" s="174"/>
      <c r="CY8" s="174"/>
      <c r="CZ8" s="174"/>
      <c r="DA8" s="174"/>
      <c r="DB8" s="174"/>
      <c r="DC8" s="174"/>
      <c r="DD8" s="174"/>
      <c r="DE8" s="174"/>
      <c r="DF8" s="174"/>
      <c r="DG8" s="174"/>
      <c r="DH8" s="174"/>
      <c r="DI8" s="174"/>
      <c r="DJ8" s="174"/>
      <c r="DK8" s="174"/>
      <c r="DL8" s="174"/>
      <c r="DM8" s="174"/>
      <c r="DN8" s="174"/>
      <c r="DO8" s="174"/>
      <c r="DP8" s="174"/>
      <c r="DQ8" s="174"/>
      <c r="DR8" s="174"/>
      <c r="DS8" s="174"/>
      <c r="DT8" s="174"/>
      <c r="DU8" s="174"/>
      <c r="DV8" s="174"/>
      <c r="DW8" s="174"/>
      <c r="DX8" s="174"/>
      <c r="DY8" s="174"/>
      <c r="DZ8" s="175"/>
      <c r="EA8" s="32"/>
      <c r="EB8" s="173" t="s">
        <v>2461</v>
      </c>
      <c r="EC8" s="174"/>
      <c r="ED8" s="175"/>
      <c r="EE8" s="173" t="s">
        <v>132</v>
      </c>
      <c r="EF8" s="174"/>
      <c r="EG8" s="174"/>
      <c r="EH8" s="175"/>
      <c r="EI8" s="173" t="s">
        <v>136</v>
      </c>
      <c r="EJ8" s="174"/>
      <c r="EK8" s="174"/>
      <c r="EL8" s="175"/>
      <c r="EM8" s="176" t="s">
        <v>140</v>
      </c>
      <c r="EN8" s="177"/>
      <c r="EO8" s="177"/>
      <c r="EP8" s="178"/>
      <c r="EQ8" s="176" t="s">
        <v>144</v>
      </c>
      <c r="ER8" s="177"/>
      <c r="ES8" s="177"/>
      <c r="ET8" s="178"/>
      <c r="EU8" s="176" t="s">
        <v>2462</v>
      </c>
      <c r="EV8" s="178"/>
      <c r="EW8" s="173" t="s">
        <v>2463</v>
      </c>
      <c r="EX8" s="174"/>
      <c r="EY8" s="175"/>
      <c r="EZ8" s="33" t="s">
        <v>2451</v>
      </c>
      <c r="FA8" s="34" t="s">
        <v>2464</v>
      </c>
      <c r="FB8" s="35"/>
      <c r="FC8" s="36" t="s">
        <v>2465</v>
      </c>
      <c r="FD8" s="173" t="s">
        <v>2466</v>
      </c>
      <c r="FE8" s="174"/>
      <c r="FF8" s="175"/>
      <c r="FG8" s="173" t="s">
        <v>2467</v>
      </c>
      <c r="FH8" s="174"/>
      <c r="FI8" s="175"/>
      <c r="FJ8" s="173" t="s">
        <v>2468</v>
      </c>
      <c r="FK8" s="174"/>
      <c r="FL8" s="175"/>
      <c r="FM8" s="173" t="s">
        <v>2469</v>
      </c>
      <c r="FN8" s="174"/>
      <c r="FO8" s="175"/>
      <c r="FP8" s="173" t="s">
        <v>2470</v>
      </c>
      <c r="FQ8" s="174"/>
      <c r="FR8" s="175"/>
      <c r="FS8" s="37" t="s">
        <v>2471</v>
      </c>
    </row>
    <row r="9" spans="1:190" ht="15" thickBot="1" x14ac:dyDescent="0.4">
      <c r="A9" s="38" t="s">
        <v>2472</v>
      </c>
      <c r="B9" s="38" t="s">
        <v>1</v>
      </c>
      <c r="C9" s="38" t="s">
        <v>2</v>
      </c>
      <c r="D9" s="38" t="s">
        <v>3</v>
      </c>
      <c r="E9" s="38" t="s">
        <v>4</v>
      </c>
      <c r="F9" s="39" t="s">
        <v>5</v>
      </c>
      <c r="G9" s="38" t="s">
        <v>6</v>
      </c>
      <c r="H9" s="38" t="s">
        <v>7</v>
      </c>
      <c r="I9" s="40" t="s">
        <v>8</v>
      </c>
      <c r="J9" s="41" t="s">
        <v>9</v>
      </c>
      <c r="K9" s="41" t="s">
        <v>10</v>
      </c>
      <c r="L9" s="41" t="s">
        <v>11</v>
      </c>
      <c r="M9" s="41" t="s">
        <v>12</v>
      </c>
      <c r="N9" s="41" t="s">
        <v>13</v>
      </c>
      <c r="O9" s="41" t="s">
        <v>14</v>
      </c>
      <c r="P9" s="41" t="s">
        <v>15</v>
      </c>
      <c r="Q9" s="41" t="s">
        <v>16</v>
      </c>
      <c r="R9" s="41" t="s">
        <v>17</v>
      </c>
      <c r="S9" s="42" t="s">
        <v>18</v>
      </c>
      <c r="T9" s="38" t="s">
        <v>19</v>
      </c>
      <c r="U9" s="38" t="s">
        <v>20</v>
      </c>
      <c r="V9" s="38" t="s">
        <v>21</v>
      </c>
      <c r="W9" s="38" t="s">
        <v>22</v>
      </c>
      <c r="X9" s="38" t="s">
        <v>23</v>
      </c>
      <c r="Y9" s="38" t="s">
        <v>24</v>
      </c>
      <c r="Z9" s="38" t="s">
        <v>2473</v>
      </c>
      <c r="AA9" s="38" t="s">
        <v>26</v>
      </c>
      <c r="AB9" s="38" t="s">
        <v>27</v>
      </c>
      <c r="AC9" s="38" t="s">
        <v>28</v>
      </c>
      <c r="AD9" s="38" t="s">
        <v>29</v>
      </c>
      <c r="AE9" s="38" t="s">
        <v>30</v>
      </c>
      <c r="AF9" s="41" t="s">
        <v>31</v>
      </c>
      <c r="AG9" s="41" t="s">
        <v>32</v>
      </c>
      <c r="AH9" s="41" t="s">
        <v>33</v>
      </c>
      <c r="AI9" s="41" t="s">
        <v>34</v>
      </c>
      <c r="AJ9" s="41" t="s">
        <v>35</v>
      </c>
      <c r="AK9" s="43" t="s">
        <v>36</v>
      </c>
      <c r="AL9" s="38" t="s">
        <v>37</v>
      </c>
      <c r="AM9" s="38" t="s">
        <v>38</v>
      </c>
      <c r="AN9" s="38" t="s">
        <v>39</v>
      </c>
      <c r="AO9" s="38" t="s">
        <v>40</v>
      </c>
      <c r="AP9" s="38" t="s">
        <v>41</v>
      </c>
      <c r="AQ9" s="38" t="s">
        <v>42</v>
      </c>
      <c r="AR9" s="44" t="s">
        <v>43</v>
      </c>
      <c r="AS9" s="45" t="s">
        <v>44</v>
      </c>
      <c r="AT9" s="40" t="s">
        <v>45</v>
      </c>
      <c r="AU9" s="46" t="s">
        <v>46</v>
      </c>
      <c r="AV9" s="46" t="s">
        <v>47</v>
      </c>
      <c r="AW9" s="46" t="s">
        <v>48</v>
      </c>
      <c r="AX9" s="46" t="s">
        <v>49</v>
      </c>
      <c r="AY9" s="46" t="s">
        <v>50</v>
      </c>
      <c r="AZ9" s="46" t="s">
        <v>51</v>
      </c>
      <c r="BA9" s="46" t="s">
        <v>52</v>
      </c>
      <c r="BB9" s="46" t="s">
        <v>53</v>
      </c>
      <c r="BC9" s="46" t="s">
        <v>54</v>
      </c>
      <c r="BD9" s="46" t="s">
        <v>55</v>
      </c>
      <c r="BE9" s="46" t="s">
        <v>2443</v>
      </c>
      <c r="BF9" s="46" t="s">
        <v>2444</v>
      </c>
      <c r="BG9" s="46" t="s">
        <v>58</v>
      </c>
      <c r="BH9" s="46" t="s">
        <v>59</v>
      </c>
      <c r="BI9" s="46" t="s">
        <v>60</v>
      </c>
      <c r="BJ9" s="46" t="s">
        <v>150</v>
      </c>
      <c r="BK9" s="46" t="s">
        <v>151</v>
      </c>
      <c r="BL9" s="46" t="s">
        <v>2474</v>
      </c>
      <c r="BM9" s="47" t="s">
        <v>64</v>
      </c>
      <c r="BN9" s="48" t="s">
        <v>65</v>
      </c>
      <c r="BO9" s="38" t="s">
        <v>66</v>
      </c>
      <c r="BP9" s="38" t="s">
        <v>67</v>
      </c>
      <c r="BQ9" s="38" t="s">
        <v>68</v>
      </c>
      <c r="BR9" s="38" t="s">
        <v>69</v>
      </c>
      <c r="BS9" s="38" t="s">
        <v>70</v>
      </c>
      <c r="BT9" s="38" t="s">
        <v>71</v>
      </c>
      <c r="BU9" s="38" t="s">
        <v>2475</v>
      </c>
      <c r="BV9" s="44" t="s">
        <v>73</v>
      </c>
      <c r="BW9" s="49" t="s">
        <v>2445</v>
      </c>
      <c r="BX9" s="50" t="s">
        <v>74</v>
      </c>
      <c r="BY9" s="38" t="s">
        <v>75</v>
      </c>
      <c r="BZ9" s="51" t="s">
        <v>76</v>
      </c>
      <c r="CA9" s="38" t="s">
        <v>77</v>
      </c>
      <c r="CB9" s="38" t="s">
        <v>78</v>
      </c>
      <c r="CC9" s="38" t="s">
        <v>79</v>
      </c>
      <c r="CD9" s="38" t="s">
        <v>80</v>
      </c>
      <c r="CE9" s="38" t="s">
        <v>81</v>
      </c>
      <c r="CF9" s="51" t="s">
        <v>82</v>
      </c>
      <c r="CG9" s="38" t="s">
        <v>83</v>
      </c>
      <c r="CH9" s="38" t="s">
        <v>84</v>
      </c>
      <c r="CI9" s="38" t="s">
        <v>85</v>
      </c>
      <c r="CJ9" s="38" t="s">
        <v>86</v>
      </c>
      <c r="CK9" s="52" t="s">
        <v>87</v>
      </c>
      <c r="CL9" s="52" t="s">
        <v>88</v>
      </c>
      <c r="CM9" s="52" t="s">
        <v>89</v>
      </c>
      <c r="CN9" s="52" t="s">
        <v>90</v>
      </c>
      <c r="CO9" s="52" t="s">
        <v>91</v>
      </c>
      <c r="CP9" s="52" t="s">
        <v>92</v>
      </c>
      <c r="CQ9" s="52" t="s">
        <v>93</v>
      </c>
      <c r="CR9" s="52" t="s">
        <v>94</v>
      </c>
      <c r="CS9" s="52" t="s">
        <v>95</v>
      </c>
      <c r="CT9" s="52" t="s">
        <v>96</v>
      </c>
      <c r="CU9" s="52" t="s">
        <v>97</v>
      </c>
      <c r="CV9" s="52" t="s">
        <v>98</v>
      </c>
      <c r="CW9" s="52" t="s">
        <v>99</v>
      </c>
      <c r="CX9" s="52" t="s">
        <v>100</v>
      </c>
      <c r="CY9" s="52" t="s">
        <v>101</v>
      </c>
      <c r="CZ9" s="53" t="s">
        <v>102</v>
      </c>
      <c r="DA9" s="53" t="s">
        <v>103</v>
      </c>
      <c r="DB9" s="53" t="s">
        <v>104</v>
      </c>
      <c r="DC9" s="52" t="s">
        <v>105</v>
      </c>
      <c r="DD9" s="52" t="s">
        <v>106</v>
      </c>
      <c r="DE9" s="52" t="s">
        <v>107</v>
      </c>
      <c r="DF9" s="52" t="s">
        <v>108</v>
      </c>
      <c r="DG9" s="52" t="s">
        <v>109</v>
      </c>
      <c r="DH9" s="38" t="s">
        <v>110</v>
      </c>
      <c r="DI9" s="38" t="s">
        <v>111</v>
      </c>
      <c r="DJ9" s="54" t="s">
        <v>112</v>
      </c>
      <c r="DK9" s="54" t="s">
        <v>113</v>
      </c>
      <c r="DL9" s="55" t="s">
        <v>114</v>
      </c>
      <c r="DM9" s="54" t="s">
        <v>115</v>
      </c>
      <c r="DN9" s="54" t="s">
        <v>116</v>
      </c>
      <c r="DO9" s="54" t="s">
        <v>117</v>
      </c>
      <c r="DP9" s="54" t="s">
        <v>118</v>
      </c>
      <c r="DQ9" s="54" t="s">
        <v>119</v>
      </c>
      <c r="DR9" s="54" t="s">
        <v>120</v>
      </c>
      <c r="DS9" s="55" t="s">
        <v>2476</v>
      </c>
      <c r="DT9" s="55" t="s">
        <v>2477</v>
      </c>
      <c r="DU9" s="55" t="s">
        <v>2478</v>
      </c>
      <c r="DV9" s="55" t="s">
        <v>2479</v>
      </c>
      <c r="DW9" s="54" t="s">
        <v>125</v>
      </c>
      <c r="DX9" s="54" t="s">
        <v>126</v>
      </c>
      <c r="DY9" s="55" t="s">
        <v>127</v>
      </c>
      <c r="DZ9" s="24" t="s">
        <v>128</v>
      </c>
      <c r="EA9" s="56" t="s">
        <v>2445</v>
      </c>
      <c r="EB9" s="57" t="s">
        <v>129</v>
      </c>
      <c r="EC9" s="55" t="s">
        <v>130</v>
      </c>
      <c r="ED9" s="55" t="s">
        <v>131</v>
      </c>
      <c r="EE9" s="58" t="s">
        <v>132</v>
      </c>
      <c r="EF9" s="59" t="s">
        <v>133</v>
      </c>
      <c r="EG9" s="59" t="s">
        <v>134</v>
      </c>
      <c r="EH9" s="60" t="s">
        <v>135</v>
      </c>
      <c r="EI9" s="61" t="s">
        <v>136</v>
      </c>
      <c r="EJ9" s="59" t="s">
        <v>137</v>
      </c>
      <c r="EK9" s="59" t="s">
        <v>138</v>
      </c>
      <c r="EL9" s="59" t="s">
        <v>139</v>
      </c>
      <c r="EM9" s="62" t="s">
        <v>140</v>
      </c>
      <c r="EN9" s="59" t="s">
        <v>141</v>
      </c>
      <c r="EO9" s="59" t="s">
        <v>142</v>
      </c>
      <c r="EP9" s="60" t="s">
        <v>143</v>
      </c>
      <c r="EQ9" s="61" t="s">
        <v>144</v>
      </c>
      <c r="ER9" s="59" t="s">
        <v>145</v>
      </c>
      <c r="ES9" s="59" t="s">
        <v>146</v>
      </c>
      <c r="ET9" s="59" t="s">
        <v>147</v>
      </c>
      <c r="EU9" s="63" t="s">
        <v>148</v>
      </c>
      <c r="EV9" s="64" t="s">
        <v>149</v>
      </c>
      <c r="EW9" s="65" t="s">
        <v>150</v>
      </c>
      <c r="EX9" s="65" t="s">
        <v>151</v>
      </c>
      <c r="EY9" s="66" t="s">
        <v>152</v>
      </c>
      <c r="EZ9" s="67" t="s">
        <v>153</v>
      </c>
      <c r="FA9" s="66" t="s">
        <v>154</v>
      </c>
      <c r="FB9" s="66" t="s">
        <v>155</v>
      </c>
      <c r="FC9" s="68" t="s">
        <v>156</v>
      </c>
      <c r="FD9" s="66" t="s">
        <v>157</v>
      </c>
      <c r="FE9" s="66" t="s">
        <v>158</v>
      </c>
      <c r="FF9" s="69" t="s">
        <v>159</v>
      </c>
      <c r="FG9" s="70" t="s">
        <v>2480</v>
      </c>
      <c r="FH9" s="65" t="s">
        <v>2481</v>
      </c>
      <c r="FI9" s="71" t="s">
        <v>153</v>
      </c>
      <c r="FJ9" s="20" t="s">
        <v>2482</v>
      </c>
      <c r="FK9" s="21" t="s">
        <v>2483</v>
      </c>
      <c r="FL9" s="22" t="s">
        <v>2484</v>
      </c>
      <c r="FM9" s="72" t="s">
        <v>2485</v>
      </c>
      <c r="FN9" s="66" t="s">
        <v>2486</v>
      </c>
      <c r="FO9" s="69" t="s">
        <v>2487</v>
      </c>
      <c r="FP9" s="63" t="s">
        <v>2488</v>
      </c>
      <c r="FQ9" s="73" t="s">
        <v>2489</v>
      </c>
      <c r="FR9" s="64" t="s">
        <v>2490</v>
      </c>
      <c r="FS9" s="74" t="s">
        <v>2491</v>
      </c>
    </row>
    <row r="10" spans="1:190" s="77" customFormat="1" x14ac:dyDescent="0.35">
      <c r="A10" s="76"/>
      <c r="E10" s="76"/>
      <c r="F10" s="76" t="s">
        <v>2450</v>
      </c>
      <c r="G10" s="78"/>
      <c r="H10" s="76"/>
      <c r="I10" s="79"/>
      <c r="J10" s="80"/>
      <c r="K10" s="28"/>
      <c r="L10" s="28"/>
      <c r="M10" s="25"/>
      <c r="N10" s="28"/>
      <c r="O10" s="28"/>
      <c r="P10" s="28"/>
      <c r="Q10" s="28"/>
      <c r="R10" s="28"/>
      <c r="S10" s="28"/>
      <c r="T10" s="28"/>
      <c r="U10" s="28"/>
      <c r="V10" s="28"/>
      <c r="W10" s="28"/>
      <c r="X10" s="28"/>
      <c r="Y10" s="28"/>
      <c r="Z10" s="28"/>
      <c r="AA10" s="28"/>
      <c r="AB10" s="28"/>
      <c r="AC10" s="28"/>
      <c r="AD10" s="25"/>
      <c r="AE10" s="28"/>
      <c r="AF10" s="28"/>
      <c r="AG10" s="28"/>
      <c r="AH10" s="28"/>
      <c r="AI10" s="28"/>
      <c r="AJ10" s="81"/>
      <c r="AK10" s="82"/>
      <c r="AL10" s="2"/>
      <c r="AM10" s="2"/>
      <c r="AN10" s="2"/>
      <c r="AO10" s="2"/>
      <c r="AP10" s="2"/>
      <c r="AQ10" s="2"/>
      <c r="AR10" s="83"/>
      <c r="AS10" s="84"/>
      <c r="AT10" s="85"/>
      <c r="AU10" s="84"/>
      <c r="AV10" s="28"/>
      <c r="AW10" s="28"/>
      <c r="AX10" s="28"/>
      <c r="AY10" s="28"/>
      <c r="AZ10" s="28"/>
      <c r="BA10" s="28"/>
      <c r="BB10" s="28"/>
      <c r="BC10" s="28"/>
      <c r="BD10" s="28"/>
      <c r="BE10" s="28"/>
      <c r="BF10" s="28"/>
      <c r="BG10" s="28"/>
      <c r="BH10" s="28"/>
      <c r="BI10" s="25"/>
      <c r="BJ10" s="28"/>
      <c r="BK10" s="28"/>
      <c r="BL10" s="28"/>
      <c r="BM10" s="81"/>
      <c r="BN10" s="82"/>
      <c r="BO10" s="2"/>
      <c r="BP10" s="2"/>
      <c r="BQ10" s="2"/>
      <c r="BR10" s="2"/>
      <c r="BS10" s="2"/>
      <c r="BT10" s="86"/>
      <c r="BU10" s="2"/>
      <c r="BV10" s="83"/>
      <c r="BW10" s="87"/>
      <c r="BX10" s="84"/>
      <c r="BY10" s="25"/>
      <c r="BZ10" s="28"/>
      <c r="CA10" s="28"/>
      <c r="CB10" s="28"/>
      <c r="CC10" s="28"/>
      <c r="CD10" s="28"/>
      <c r="CE10" s="88"/>
      <c r="CF10" s="28"/>
      <c r="CG10" s="28"/>
      <c r="CH10" s="28"/>
      <c r="CI10" s="28"/>
      <c r="CJ10" s="28"/>
      <c r="CK10" s="28"/>
      <c r="CL10" s="28"/>
      <c r="CM10" s="28"/>
      <c r="CN10" s="28"/>
      <c r="CO10" s="25"/>
      <c r="CP10" s="28"/>
      <c r="CQ10" s="28"/>
      <c r="CR10" s="28"/>
      <c r="CS10" s="28"/>
      <c r="CT10" s="28"/>
      <c r="CU10" s="28"/>
      <c r="CV10" s="28"/>
      <c r="CW10" s="28"/>
      <c r="CX10" s="28"/>
      <c r="CY10" s="28"/>
      <c r="CZ10" s="28"/>
      <c r="DA10" s="28"/>
      <c r="DB10" s="28"/>
      <c r="DC10" s="28"/>
      <c r="DD10" s="28"/>
      <c r="DE10" s="28"/>
      <c r="DF10" s="25"/>
      <c r="DG10" s="28"/>
      <c r="DH10" s="28"/>
      <c r="DI10" s="28"/>
      <c r="DJ10" s="28"/>
      <c r="DK10" s="28"/>
      <c r="DL10" s="28"/>
      <c r="DM10" s="28"/>
      <c r="DN10" s="28"/>
      <c r="DO10" s="28"/>
      <c r="DP10" s="28"/>
      <c r="DQ10" s="28"/>
      <c r="DR10" s="25"/>
      <c r="DS10" s="25"/>
      <c r="DT10" s="25"/>
      <c r="DU10" s="25"/>
      <c r="DV10" s="25"/>
      <c r="DW10" s="25"/>
      <c r="DX10" s="25"/>
      <c r="DY10" s="25"/>
      <c r="DZ10" s="85"/>
      <c r="EA10" s="89"/>
      <c r="EB10" s="80"/>
      <c r="EC10" s="25"/>
      <c r="ED10" s="85"/>
      <c r="EE10" s="80"/>
      <c r="EF10" s="25"/>
      <c r="EG10" s="25"/>
      <c r="EH10" s="85"/>
      <c r="EI10" s="80"/>
      <c r="EK10"/>
      <c r="EL10" s="25"/>
      <c r="EM10" s="80"/>
      <c r="EP10" s="75"/>
      <c r="EQ10" s="90"/>
      <c r="ET10" s="75"/>
      <c r="EU10" s="90"/>
      <c r="EV10" s="75"/>
      <c r="EW10" s="90"/>
      <c r="EY10" s="75"/>
      <c r="EZ10" s="91"/>
      <c r="FA10" s="25"/>
      <c r="FB10" s="75"/>
      <c r="FC10" s="91"/>
      <c r="FD10" s="80"/>
      <c r="FE10" s="25"/>
      <c r="FF10" s="85"/>
      <c r="FG10" s="80"/>
      <c r="FH10" s="25"/>
      <c r="FI10" s="85"/>
      <c r="FJ10" s="80"/>
      <c r="FK10" s="25"/>
      <c r="FL10" s="85"/>
      <c r="FM10" s="25"/>
      <c r="FN10" s="25"/>
      <c r="FO10" s="85"/>
      <c r="FP10" s="92"/>
      <c r="FQ10" s="93"/>
      <c r="FR10" s="94"/>
      <c r="FS10" s="95"/>
      <c r="FT10" s="25"/>
      <c r="FU10" s="25"/>
      <c r="FV10" s="25"/>
      <c r="FW10" s="25"/>
      <c r="FX10" s="25"/>
      <c r="FY10" s="25"/>
      <c r="FZ10" s="25"/>
      <c r="GA10" s="25"/>
      <c r="GB10" s="25"/>
      <c r="GC10" s="25"/>
      <c r="GD10" s="25"/>
      <c r="GE10" s="25"/>
      <c r="GF10" s="25"/>
      <c r="GG10" s="25"/>
      <c r="GH10" s="25"/>
    </row>
    <row r="11" spans="1:190" s="77" customFormat="1" x14ac:dyDescent="0.35">
      <c r="A11" s="76"/>
      <c r="E11" s="76"/>
      <c r="F11" s="76"/>
      <c r="G11" s="78"/>
      <c r="H11" s="76"/>
      <c r="I11" s="79"/>
      <c r="J11" s="80"/>
      <c r="K11" s="28"/>
      <c r="L11" s="28"/>
      <c r="M11" s="25" t="str">
        <f>_xlfn.CONCAT(A12," ",C12," ",D12)</f>
        <v>2025 ALFA ROMEO Tonale eAWD</v>
      </c>
      <c r="N11" s="28"/>
      <c r="O11" s="28"/>
      <c r="P11" s="28"/>
      <c r="Q11" s="28"/>
      <c r="R11" s="28"/>
      <c r="S11" s="28"/>
      <c r="T11" s="28"/>
      <c r="U11" s="28"/>
      <c r="V11" s="28"/>
      <c r="W11" s="28"/>
      <c r="X11" s="28"/>
      <c r="Y11" s="28"/>
      <c r="Z11" s="28"/>
      <c r="AA11" s="28"/>
      <c r="AB11" s="28"/>
      <c r="AC11" s="28"/>
      <c r="AD11" s="25" t="str">
        <f>$M11</f>
        <v>2025 ALFA ROMEO Tonale eAWD</v>
      </c>
      <c r="AE11" s="28"/>
      <c r="AF11" s="28"/>
      <c r="AG11" s="28"/>
      <c r="AH11" s="28"/>
      <c r="AI11" s="28"/>
      <c r="AJ11" s="81"/>
      <c r="AK11" s="82"/>
      <c r="AL11" s="2"/>
      <c r="AM11" s="2"/>
      <c r="AN11" s="2"/>
      <c r="AO11" s="2"/>
      <c r="AP11" s="2"/>
      <c r="AQ11" s="2"/>
      <c r="AR11" s="83"/>
      <c r="AS11" s="84"/>
      <c r="AT11" s="85" t="str">
        <f>$M11</f>
        <v>2025 ALFA ROMEO Tonale eAWD</v>
      </c>
      <c r="AU11" s="84"/>
      <c r="AV11" s="28"/>
      <c r="AW11" s="28"/>
      <c r="AX11" s="28"/>
      <c r="AY11" s="28"/>
      <c r="AZ11" s="28"/>
      <c r="BA11" s="28"/>
      <c r="BB11" s="28"/>
      <c r="BC11" s="28"/>
      <c r="BD11" s="28"/>
      <c r="BE11" s="28"/>
      <c r="BF11" s="28"/>
      <c r="BG11" s="28"/>
      <c r="BH11" s="28"/>
      <c r="BI11" s="25" t="str">
        <f>$M11</f>
        <v>2025 ALFA ROMEO Tonale eAWD</v>
      </c>
      <c r="BJ11" s="28"/>
      <c r="BK11" s="28"/>
      <c r="BL11" s="28"/>
      <c r="BM11" s="81"/>
      <c r="BN11" s="82"/>
      <c r="BO11" s="2"/>
      <c r="BP11" s="2"/>
      <c r="BQ11" s="2"/>
      <c r="BR11" s="2"/>
      <c r="BS11" s="2"/>
      <c r="BT11" s="86"/>
      <c r="BU11" s="2"/>
      <c r="BV11" s="83"/>
      <c r="BW11" s="87"/>
      <c r="BX11" s="84"/>
      <c r="BY11" s="25" t="str">
        <f>$M11</f>
        <v>2025 ALFA ROMEO Tonale eAWD</v>
      </c>
      <c r="BZ11" s="28"/>
      <c r="CA11" s="28"/>
      <c r="CB11" s="28"/>
      <c r="CC11" s="28"/>
      <c r="CD11" s="28"/>
      <c r="CE11" s="88"/>
      <c r="CF11" s="28"/>
      <c r="CG11" s="28"/>
      <c r="CH11" s="28"/>
      <c r="CI11" s="28"/>
      <c r="CJ11" s="28"/>
      <c r="CK11" s="28"/>
      <c r="CL11" s="28"/>
      <c r="CM11" s="28"/>
      <c r="CN11" s="28"/>
      <c r="CO11" s="25" t="str">
        <f>$M11</f>
        <v>2025 ALFA ROMEO Tonale eAWD</v>
      </c>
      <c r="CP11" s="28"/>
      <c r="CQ11" s="28"/>
      <c r="CR11" s="28"/>
      <c r="CS11" s="28"/>
      <c r="CT11" s="28"/>
      <c r="CU11" s="28"/>
      <c r="CV11" s="28"/>
      <c r="CW11" s="28"/>
      <c r="CX11" s="28"/>
      <c r="CY11" s="28"/>
      <c r="CZ11" s="28"/>
      <c r="DA11" s="28"/>
      <c r="DB11" s="28"/>
      <c r="DC11" s="28"/>
      <c r="DD11" s="28"/>
      <c r="DE11" s="28"/>
      <c r="DF11" s="25" t="str">
        <f>$M11</f>
        <v>2025 ALFA ROMEO Tonale eAWD</v>
      </c>
      <c r="DG11" s="28"/>
      <c r="DH11" s="28"/>
      <c r="DI11" s="28"/>
      <c r="DJ11" s="28"/>
      <c r="DK11" s="28"/>
      <c r="DL11" s="28"/>
      <c r="DM11" s="28"/>
      <c r="DN11" s="28"/>
      <c r="DO11" s="28"/>
      <c r="DP11" s="28"/>
      <c r="DQ11" s="28"/>
      <c r="DR11" s="25"/>
      <c r="DS11" s="25"/>
      <c r="DT11" s="25"/>
      <c r="DU11" s="25"/>
      <c r="DV11" s="25"/>
      <c r="DW11" s="25" t="str">
        <f>$M11</f>
        <v>2025 ALFA ROMEO Tonale eAWD</v>
      </c>
      <c r="DX11" s="25"/>
      <c r="DY11" s="25"/>
      <c r="DZ11" s="85"/>
      <c r="EA11" s="89"/>
      <c r="EB11" s="80"/>
      <c r="EC11" s="25"/>
      <c r="ED11" s="85"/>
      <c r="EE11" s="80"/>
      <c r="EF11" s="25"/>
      <c r="EG11" s="25"/>
      <c r="EH11" s="85"/>
      <c r="EI11" s="80"/>
      <c r="EK11" t="s">
        <v>2445</v>
      </c>
      <c r="EL11" s="25" t="str">
        <f>$M11</f>
        <v>2025 ALFA ROMEO Tonale eAWD</v>
      </c>
      <c r="EM11" s="80"/>
      <c r="EP11" s="75"/>
      <c r="EQ11" s="90"/>
      <c r="ET11" s="75"/>
      <c r="EU11" s="90"/>
      <c r="EV11" s="75"/>
      <c r="EW11" s="90"/>
      <c r="EY11" s="75"/>
      <c r="EZ11" s="91"/>
      <c r="FA11" s="25" t="str">
        <f>$M11</f>
        <v>2025 ALFA ROMEO Tonale eAWD</v>
      </c>
      <c r="FB11" s="75"/>
      <c r="FC11" s="91"/>
      <c r="FD11" s="80"/>
      <c r="FE11" s="25"/>
      <c r="FF11" s="85"/>
      <c r="FG11" s="80"/>
      <c r="FH11" s="25"/>
      <c r="FI11" s="85"/>
      <c r="FJ11" s="80"/>
      <c r="FK11" s="25"/>
      <c r="FL11" s="85"/>
      <c r="FM11" s="25" t="str">
        <f>$M11</f>
        <v>2025 ALFA ROMEO Tonale eAWD</v>
      </c>
      <c r="FN11" s="25"/>
      <c r="FO11" s="85"/>
      <c r="FP11" s="92"/>
      <c r="FQ11" s="93"/>
      <c r="FR11" s="94"/>
      <c r="FS11" s="95"/>
      <c r="FT11" s="25"/>
      <c r="FU11" s="25"/>
      <c r="FV11" s="25"/>
      <c r="FW11" s="25"/>
      <c r="FX11" s="25"/>
      <c r="FY11" s="25"/>
      <c r="FZ11" s="25"/>
      <c r="GA11" s="25"/>
      <c r="GB11" s="25"/>
      <c r="GC11" s="25"/>
      <c r="GD11" s="25"/>
      <c r="GE11" s="25"/>
      <c r="GF11" s="25"/>
      <c r="GG11" s="25"/>
      <c r="GH11" s="25"/>
    </row>
    <row r="12" spans="1:190" s="76" customFormat="1" x14ac:dyDescent="0.35">
      <c r="A12" s="76">
        <v>2025</v>
      </c>
      <c r="B12" s="76" t="s">
        <v>668</v>
      </c>
      <c r="C12" s="76" t="s">
        <v>669</v>
      </c>
      <c r="D12" s="76" t="s">
        <v>2492</v>
      </c>
      <c r="E12" s="76" t="s">
        <v>671</v>
      </c>
      <c r="F12" s="76">
        <v>401</v>
      </c>
      <c r="G12" s="78">
        <v>1.3</v>
      </c>
      <c r="H12" s="76">
        <v>4</v>
      </c>
      <c r="I12" s="79" t="s">
        <v>903</v>
      </c>
      <c r="J12" s="96">
        <v>29</v>
      </c>
      <c r="K12" s="76">
        <v>29</v>
      </c>
      <c r="L12" s="76">
        <v>29</v>
      </c>
      <c r="M12" s="76">
        <v>38.200000000000003</v>
      </c>
      <c r="N12" s="76">
        <v>45.2</v>
      </c>
      <c r="O12" s="76">
        <v>41.070300000000003</v>
      </c>
      <c r="P12" s="76">
        <v>28.881799999999998</v>
      </c>
      <c r="Q12" s="76">
        <v>28.869900000000001</v>
      </c>
      <c r="R12" s="76">
        <v>28.8764</v>
      </c>
      <c r="T12" s="76" t="s">
        <v>165</v>
      </c>
      <c r="U12" s="76" t="s">
        <v>166</v>
      </c>
      <c r="V12" s="76" t="s">
        <v>167</v>
      </c>
      <c r="W12" s="76" t="s">
        <v>168</v>
      </c>
      <c r="Y12" s="76">
        <v>6</v>
      </c>
      <c r="Z12" s="76" t="s">
        <v>169</v>
      </c>
      <c r="AA12" s="76" t="s">
        <v>170</v>
      </c>
      <c r="AB12" s="76" t="s">
        <v>167</v>
      </c>
      <c r="AC12" s="76" t="s">
        <v>213</v>
      </c>
      <c r="AD12" s="76">
        <v>10</v>
      </c>
      <c r="AF12" s="76">
        <v>323</v>
      </c>
      <c r="AG12" s="76" t="s">
        <v>210</v>
      </c>
      <c r="AH12" s="76" t="s">
        <v>444</v>
      </c>
      <c r="AI12" s="76" t="s">
        <v>175</v>
      </c>
      <c r="AJ12" s="79" t="s">
        <v>176</v>
      </c>
      <c r="AK12" s="96" t="s">
        <v>940</v>
      </c>
      <c r="AL12" s="76" t="s">
        <v>941</v>
      </c>
      <c r="AR12" s="79"/>
      <c r="AS12" s="96">
        <v>1350</v>
      </c>
      <c r="AT12" s="79">
        <v>1350</v>
      </c>
      <c r="AU12" s="96">
        <v>44</v>
      </c>
      <c r="AV12" s="76">
        <v>43</v>
      </c>
      <c r="AW12" s="76">
        <v>44</v>
      </c>
      <c r="AX12" s="76">
        <v>30.9</v>
      </c>
      <c r="AY12" s="76">
        <v>30.6</v>
      </c>
      <c r="AZ12" s="76">
        <v>30.765000000000001</v>
      </c>
      <c r="BA12" s="76">
        <v>44.136000000000003</v>
      </c>
      <c r="BB12" s="76">
        <v>43.456000000000003</v>
      </c>
      <c r="BC12" s="76">
        <v>43.83</v>
      </c>
      <c r="BD12" s="76">
        <v>33</v>
      </c>
      <c r="BE12" s="76" t="s">
        <v>1735</v>
      </c>
      <c r="BF12" s="76" t="s">
        <v>1736</v>
      </c>
      <c r="BG12" s="76" t="s">
        <v>1742</v>
      </c>
      <c r="BH12" s="76" t="s">
        <v>1743</v>
      </c>
      <c r="BI12" s="76">
        <v>1350</v>
      </c>
      <c r="BJ12" s="2"/>
      <c r="BK12" s="2"/>
      <c r="BL12" s="2"/>
      <c r="BM12" s="79"/>
      <c r="BN12" s="98" t="s">
        <v>2493</v>
      </c>
      <c r="BO12" s="76">
        <v>2</v>
      </c>
      <c r="BP12" s="76">
        <v>2</v>
      </c>
      <c r="BQ12" s="76">
        <v>31</v>
      </c>
      <c r="BR12" s="76" t="s">
        <v>1219</v>
      </c>
      <c r="BT12" s="76" t="s">
        <v>2494</v>
      </c>
      <c r="BU12" s="99">
        <v>45444</v>
      </c>
      <c r="BV12" s="79">
        <v>34829</v>
      </c>
      <c r="BW12" s="100"/>
      <c r="BX12" s="96" t="s">
        <v>170</v>
      </c>
      <c r="BY12" s="76" t="s">
        <v>170</v>
      </c>
      <c r="CB12" s="76" t="s">
        <v>170</v>
      </c>
      <c r="CC12" s="76" t="s">
        <v>170</v>
      </c>
      <c r="CE12" s="76" t="s">
        <v>170</v>
      </c>
      <c r="CG12" s="76" t="s">
        <v>169</v>
      </c>
      <c r="CH12" s="76" t="s">
        <v>2495</v>
      </c>
      <c r="CI12" s="76" t="s">
        <v>169</v>
      </c>
      <c r="CJ12" s="76" t="s">
        <v>2495</v>
      </c>
      <c r="CK12" s="76" t="s">
        <v>233</v>
      </c>
      <c r="CM12" s="76">
        <v>1</v>
      </c>
      <c r="CN12" s="76" t="s">
        <v>234</v>
      </c>
      <c r="CP12" s="76">
        <v>304</v>
      </c>
      <c r="CQ12" s="76">
        <v>51</v>
      </c>
      <c r="CR12" s="76">
        <v>15.5</v>
      </c>
      <c r="CS12" s="76" t="s">
        <v>235</v>
      </c>
      <c r="CV12" s="76" t="s">
        <v>341</v>
      </c>
      <c r="CX12" s="76" t="s">
        <v>342</v>
      </c>
      <c r="CY12" s="76" t="s">
        <v>170</v>
      </c>
      <c r="DD12" s="76">
        <v>1</v>
      </c>
      <c r="DE12" s="76" t="s">
        <v>237</v>
      </c>
      <c r="DG12" s="76">
        <v>89</v>
      </c>
      <c r="DJ12" s="76" t="s">
        <v>184</v>
      </c>
      <c r="DK12" s="76" t="s">
        <v>185</v>
      </c>
      <c r="DL12" s="76" t="s">
        <v>170</v>
      </c>
      <c r="DM12" s="76" t="s">
        <v>169</v>
      </c>
      <c r="DN12" s="76" t="s">
        <v>170</v>
      </c>
      <c r="DO12" s="76" t="s">
        <v>358</v>
      </c>
      <c r="DP12" s="76" t="s">
        <v>170</v>
      </c>
      <c r="DQ12" s="76" t="s">
        <v>187</v>
      </c>
      <c r="DS12" s="76" t="s">
        <v>2496</v>
      </c>
      <c r="DT12" s="76" t="s">
        <v>2497</v>
      </c>
      <c r="DU12" s="76" t="s">
        <v>2498</v>
      </c>
      <c r="DV12" s="76" t="s">
        <v>2499</v>
      </c>
      <c r="DZ12" s="79"/>
      <c r="EA12" s="101"/>
      <c r="EB12" s="96">
        <v>8</v>
      </c>
      <c r="EC12" s="76">
        <v>9</v>
      </c>
      <c r="ED12" s="79"/>
      <c r="EE12" s="96" t="s">
        <v>2500</v>
      </c>
      <c r="EF12" s="76">
        <v>5</v>
      </c>
      <c r="EH12" s="79"/>
      <c r="EI12" s="96"/>
      <c r="EM12" s="96"/>
      <c r="EP12" s="79"/>
      <c r="EQ12" s="96"/>
      <c r="ET12" s="79"/>
      <c r="EU12" s="96">
        <v>2750</v>
      </c>
      <c r="EV12" s="79"/>
      <c r="EW12" s="96">
        <v>0</v>
      </c>
      <c r="EX12" s="76">
        <v>0</v>
      </c>
      <c r="EY12" s="79">
        <v>0</v>
      </c>
      <c r="EZ12" s="102">
        <f>FI12</f>
        <v>120</v>
      </c>
      <c r="FA12" s="76">
        <v>4</v>
      </c>
      <c r="FB12" s="79"/>
      <c r="FC12" s="97">
        <v>360</v>
      </c>
      <c r="FD12" s="96">
        <v>46</v>
      </c>
      <c r="FE12" s="76">
        <v>47</v>
      </c>
      <c r="FF12" s="79">
        <v>47</v>
      </c>
      <c r="FG12" s="76">
        <v>119.6</v>
      </c>
      <c r="FH12" s="76">
        <v>120.8</v>
      </c>
      <c r="FI12" s="103">
        <v>120</v>
      </c>
      <c r="FJ12" s="104">
        <v>32.581000000000003</v>
      </c>
      <c r="FK12" s="105">
        <v>32.552999999999997</v>
      </c>
      <c r="FL12" s="79">
        <v>33</v>
      </c>
      <c r="FM12" s="76">
        <v>0.61299999999999999</v>
      </c>
      <c r="FN12" s="76">
        <v>0.61199999999999999</v>
      </c>
      <c r="FO12" s="79">
        <v>0.61199999999999999</v>
      </c>
      <c r="FP12" s="106">
        <v>0</v>
      </c>
      <c r="FQ12" s="107">
        <v>0</v>
      </c>
      <c r="FR12" s="107">
        <v>0</v>
      </c>
      <c r="FS12" s="108">
        <v>11.2</v>
      </c>
    </row>
    <row r="13" spans="1:190" s="76" customFormat="1" x14ac:dyDescent="0.35">
      <c r="A13" s="76">
        <v>2025</v>
      </c>
      <c r="B13" s="162" t="s">
        <v>668</v>
      </c>
      <c r="C13" s="162" t="s">
        <v>669</v>
      </c>
      <c r="D13" s="162" t="s">
        <v>2492</v>
      </c>
      <c r="E13" s="162" t="s">
        <v>671</v>
      </c>
      <c r="F13" s="162">
        <v>401</v>
      </c>
      <c r="G13" s="162">
        <v>1.3</v>
      </c>
      <c r="H13" s="162">
        <v>4</v>
      </c>
      <c r="I13" s="163" t="s">
        <v>903</v>
      </c>
      <c r="J13" s="96">
        <f>J12</f>
        <v>29</v>
      </c>
      <c r="K13" s="76">
        <f t="shared" ref="K13:AI13" si="0">K12</f>
        <v>29</v>
      </c>
      <c r="L13" s="76">
        <f t="shared" si="0"/>
        <v>29</v>
      </c>
      <c r="M13" s="76">
        <f t="shared" si="0"/>
        <v>38.200000000000003</v>
      </c>
      <c r="N13" s="76">
        <f t="shared" si="0"/>
        <v>45.2</v>
      </c>
      <c r="O13" s="76">
        <f t="shared" si="0"/>
        <v>41.070300000000003</v>
      </c>
      <c r="P13" s="76">
        <f t="shared" si="0"/>
        <v>28.881799999999998</v>
      </c>
      <c r="Q13" s="76">
        <f t="shared" si="0"/>
        <v>28.869900000000001</v>
      </c>
      <c r="R13" s="76">
        <f t="shared" si="0"/>
        <v>28.8764</v>
      </c>
      <c r="T13" s="76" t="str">
        <f t="shared" si="0"/>
        <v>TC</v>
      </c>
      <c r="U13" s="76" t="str">
        <f t="shared" si="0"/>
        <v>Turbocharged</v>
      </c>
      <c r="V13" s="76" t="str">
        <f t="shared" si="0"/>
        <v>A</v>
      </c>
      <c r="W13" s="76" t="str">
        <f t="shared" si="0"/>
        <v>Automatic</v>
      </c>
      <c r="Y13" s="76">
        <f t="shared" si="0"/>
        <v>6</v>
      </c>
      <c r="Z13" s="76" t="str">
        <f t="shared" si="0"/>
        <v>Y</v>
      </c>
      <c r="AA13" s="76" t="str">
        <f t="shared" si="0"/>
        <v>N</v>
      </c>
      <c r="AB13" s="76" t="str">
        <f t="shared" si="0"/>
        <v>A</v>
      </c>
      <c r="AC13" s="76" t="str">
        <f t="shared" si="0"/>
        <v>All Wheel Drive</v>
      </c>
      <c r="AD13" s="76">
        <f t="shared" si="0"/>
        <v>10</v>
      </c>
      <c r="AF13" s="76">
        <f t="shared" si="0"/>
        <v>323</v>
      </c>
      <c r="AG13" s="76" t="str">
        <f t="shared" si="0"/>
        <v>G</v>
      </c>
      <c r="AH13" s="76" t="str">
        <f t="shared" si="0"/>
        <v>Gasoline (Regular Unleaded Recommended)</v>
      </c>
      <c r="AI13" s="76" t="str">
        <f t="shared" si="0"/>
        <v>MPG</v>
      </c>
      <c r="AJ13" s="79" t="str">
        <f>AJ12</f>
        <v>miles per gallon</v>
      </c>
      <c r="AK13" s="96" t="s">
        <v>940</v>
      </c>
      <c r="AL13" s="76" t="s">
        <v>941</v>
      </c>
      <c r="AR13" s="79"/>
      <c r="AS13" s="96">
        <v>1350</v>
      </c>
      <c r="AT13" s="79">
        <v>1350</v>
      </c>
      <c r="AU13" s="96">
        <v>77</v>
      </c>
      <c r="AV13" s="76">
        <v>77</v>
      </c>
      <c r="AW13" s="76">
        <v>77</v>
      </c>
      <c r="AX13" s="76">
        <v>109.2</v>
      </c>
      <c r="AY13" s="76">
        <v>110</v>
      </c>
      <c r="AZ13" s="76">
        <v>109.5586</v>
      </c>
      <c r="BA13" s="76">
        <v>76.627899999999997</v>
      </c>
      <c r="BB13" s="76">
        <v>77.021199999999993</v>
      </c>
      <c r="BC13" s="76">
        <v>76.804400000000001</v>
      </c>
      <c r="BD13" s="76">
        <v>33</v>
      </c>
      <c r="BE13" s="76" t="s">
        <v>1735</v>
      </c>
      <c r="BF13" s="76" t="s">
        <v>1736</v>
      </c>
      <c r="BG13" s="76" t="s">
        <v>175</v>
      </c>
      <c r="BH13" s="76" t="s">
        <v>176</v>
      </c>
      <c r="BI13" s="76">
        <v>1350</v>
      </c>
      <c r="BM13" s="79"/>
      <c r="BN13" s="98" t="s">
        <v>2493</v>
      </c>
      <c r="BO13" s="76">
        <v>2</v>
      </c>
      <c r="BP13" s="76">
        <v>2</v>
      </c>
      <c r="BQ13" s="76">
        <v>31</v>
      </c>
      <c r="BR13" s="76" t="s">
        <v>1219</v>
      </c>
      <c r="BT13" s="76" t="s">
        <v>2494</v>
      </c>
      <c r="BU13" s="99">
        <v>45444</v>
      </c>
      <c r="BV13" s="79">
        <v>34829</v>
      </c>
      <c r="BW13" s="100"/>
      <c r="BX13" s="96" t="s">
        <v>170</v>
      </c>
      <c r="BY13" s="76" t="s">
        <v>170</v>
      </c>
      <c r="CB13" s="76" t="s">
        <v>170</v>
      </c>
      <c r="CC13" s="76" t="s">
        <v>170</v>
      </c>
      <c r="CE13" s="76" t="s">
        <v>170</v>
      </c>
      <c r="CG13" s="76" t="s">
        <v>169</v>
      </c>
      <c r="CH13" s="76" t="s">
        <v>2495</v>
      </c>
      <c r="CI13" s="76" t="s">
        <v>169</v>
      </c>
      <c r="CJ13" s="76" t="s">
        <v>2495</v>
      </c>
      <c r="CK13" s="76" t="s">
        <v>233</v>
      </c>
      <c r="CM13" s="76">
        <v>1</v>
      </c>
      <c r="CN13" s="76" t="s">
        <v>234</v>
      </c>
      <c r="CP13" s="76">
        <v>304</v>
      </c>
      <c r="CQ13" s="76">
        <v>51</v>
      </c>
      <c r="CR13" s="76">
        <v>15.5</v>
      </c>
      <c r="CS13" s="76" t="s">
        <v>235</v>
      </c>
      <c r="CV13" s="76" t="s">
        <v>341</v>
      </c>
      <c r="CX13" s="76" t="s">
        <v>342</v>
      </c>
      <c r="CY13" s="76" t="s">
        <v>170</v>
      </c>
      <c r="DD13" s="76">
        <v>1</v>
      </c>
      <c r="DE13" s="76" t="s">
        <v>237</v>
      </c>
      <c r="DG13" s="76">
        <v>89</v>
      </c>
      <c r="DJ13" s="76" t="s">
        <v>184</v>
      </c>
      <c r="DK13" s="76" t="s">
        <v>185</v>
      </c>
      <c r="DL13" s="76" t="s">
        <v>170</v>
      </c>
      <c r="DM13" s="76" t="s">
        <v>169</v>
      </c>
      <c r="DN13" s="76" t="s">
        <v>170</v>
      </c>
      <c r="DO13" s="76" t="s">
        <v>358</v>
      </c>
      <c r="DP13" s="76" t="s">
        <v>170</v>
      </c>
      <c r="DQ13" s="76" t="s">
        <v>187</v>
      </c>
      <c r="DS13" s="76" t="s">
        <v>2496</v>
      </c>
      <c r="DT13" s="76" t="s">
        <v>2497</v>
      </c>
      <c r="DU13" s="76" t="s">
        <v>2498</v>
      </c>
      <c r="DV13" s="76" t="s">
        <v>2499</v>
      </c>
      <c r="DZ13" s="79"/>
      <c r="EA13" s="101"/>
      <c r="EB13" s="96">
        <v>8</v>
      </c>
      <c r="EC13" s="76">
        <v>9</v>
      </c>
      <c r="ED13" s="79"/>
      <c r="EE13" s="96" t="s">
        <v>2500</v>
      </c>
      <c r="EF13" s="76">
        <v>5</v>
      </c>
      <c r="EH13" s="79"/>
      <c r="EI13" s="96"/>
      <c r="EL13" s="79"/>
      <c r="EP13" s="79"/>
      <c r="EQ13" s="96"/>
      <c r="ET13" s="79"/>
      <c r="EU13" s="96">
        <v>2750</v>
      </c>
      <c r="EV13" s="79"/>
      <c r="EW13" s="96">
        <v>307</v>
      </c>
      <c r="EX13" s="76">
        <v>308</v>
      </c>
      <c r="EY13" s="79">
        <v>307</v>
      </c>
      <c r="EZ13" s="102">
        <f>FI13</f>
        <v>120</v>
      </c>
      <c r="FA13" s="76">
        <v>4</v>
      </c>
      <c r="FB13" s="79"/>
      <c r="FC13" s="97">
        <v>360</v>
      </c>
      <c r="FD13" s="96">
        <v>46</v>
      </c>
      <c r="FE13" s="76">
        <v>47</v>
      </c>
      <c r="FF13" s="79">
        <v>47</v>
      </c>
      <c r="FG13" s="76">
        <v>119.6</v>
      </c>
      <c r="FH13" s="76">
        <v>120.8</v>
      </c>
      <c r="FI13" s="103">
        <v>120</v>
      </c>
      <c r="FJ13" s="98" t="s">
        <v>2501</v>
      </c>
      <c r="FK13" s="111"/>
      <c r="FL13" s="103"/>
      <c r="FM13" s="76">
        <v>0.61299999999999999</v>
      </c>
      <c r="FN13" s="76">
        <v>0.61199999999999999</v>
      </c>
      <c r="FO13" s="79">
        <v>0.61199999999999999</v>
      </c>
      <c r="FP13" s="106"/>
      <c r="FQ13" s="107"/>
      <c r="FR13" s="107"/>
      <c r="FS13" s="108">
        <v>11.2</v>
      </c>
    </row>
    <row r="14" spans="1:190" s="77" customFormat="1" x14ac:dyDescent="0.35">
      <c r="A14" s="76"/>
      <c r="E14" s="76"/>
      <c r="F14" s="76"/>
      <c r="G14" s="78"/>
      <c r="H14" s="76"/>
      <c r="I14" s="79"/>
      <c r="J14" s="80"/>
      <c r="K14" s="28"/>
      <c r="L14" s="28"/>
      <c r="M14" s="25" t="str">
        <f>_xlfn.CONCAT(A15," ",C15," ",D15)</f>
        <v>2025 Audi Q5 Plug-In Hybrid quattro</v>
      </c>
      <c r="N14" s="28"/>
      <c r="O14" s="28"/>
      <c r="P14" s="28"/>
      <c r="Q14" s="28"/>
      <c r="R14" s="28"/>
      <c r="S14" s="28"/>
      <c r="T14" s="28"/>
      <c r="U14" s="28"/>
      <c r="V14" s="28"/>
      <c r="W14" s="28"/>
      <c r="X14" s="28"/>
      <c r="Y14" s="28"/>
      <c r="Z14" s="28"/>
      <c r="AA14" s="28"/>
      <c r="AB14" s="28"/>
      <c r="AC14" s="28"/>
      <c r="AD14" s="25" t="str">
        <f>$M14</f>
        <v>2025 Audi Q5 Plug-In Hybrid quattro</v>
      </c>
      <c r="AE14" s="28"/>
      <c r="AF14" s="28"/>
      <c r="AG14" s="28"/>
      <c r="AH14" s="28"/>
      <c r="AI14" s="28"/>
      <c r="AJ14" s="81"/>
      <c r="AK14" s="82"/>
      <c r="AL14" s="2"/>
      <c r="AM14" s="2"/>
      <c r="AN14" s="2"/>
      <c r="AO14" s="2"/>
      <c r="AP14" s="2"/>
      <c r="AQ14" s="2"/>
      <c r="AR14" s="83"/>
      <c r="AS14" s="84"/>
      <c r="AT14" s="85" t="str">
        <f>$M14</f>
        <v>2025 Audi Q5 Plug-In Hybrid quattro</v>
      </c>
      <c r="AU14" s="84"/>
      <c r="AV14" s="28"/>
      <c r="AW14" s="28"/>
      <c r="AX14" s="28"/>
      <c r="AY14" s="28"/>
      <c r="AZ14" s="28"/>
      <c r="BA14" s="28"/>
      <c r="BB14" s="28"/>
      <c r="BC14" s="28"/>
      <c r="BD14" s="28"/>
      <c r="BE14" s="28"/>
      <c r="BF14" s="28"/>
      <c r="BG14" s="28"/>
      <c r="BH14" s="28"/>
      <c r="BI14" s="25" t="str">
        <f>$M14</f>
        <v>2025 Audi Q5 Plug-In Hybrid quattro</v>
      </c>
      <c r="BJ14" s="28"/>
      <c r="BK14" s="28"/>
      <c r="BL14" s="28"/>
      <c r="BM14" s="81"/>
      <c r="BN14" s="82"/>
      <c r="BO14" s="2"/>
      <c r="BP14" s="2"/>
      <c r="BQ14" s="2"/>
      <c r="BR14" s="2"/>
      <c r="BS14" s="2"/>
      <c r="BT14" s="86"/>
      <c r="BU14" s="2"/>
      <c r="BV14" s="83"/>
      <c r="BW14" s="87"/>
      <c r="BX14" s="84"/>
      <c r="BY14" s="25" t="str">
        <f>$M14</f>
        <v>2025 Audi Q5 Plug-In Hybrid quattro</v>
      </c>
      <c r="BZ14" s="28"/>
      <c r="CA14" s="28"/>
      <c r="CB14" s="28"/>
      <c r="CC14" s="28"/>
      <c r="CD14" s="28"/>
      <c r="CE14" s="88"/>
      <c r="CF14" s="28"/>
      <c r="CG14" s="28"/>
      <c r="CH14" s="28"/>
      <c r="CI14" s="28"/>
      <c r="CJ14" s="28"/>
      <c r="CK14" s="28"/>
      <c r="CL14" s="28"/>
      <c r="CM14" s="28"/>
      <c r="CN14" s="28"/>
      <c r="CO14" s="25" t="str">
        <f>$M14</f>
        <v>2025 Audi Q5 Plug-In Hybrid quattro</v>
      </c>
      <c r="CP14" s="28"/>
      <c r="CQ14" s="28"/>
      <c r="CR14" s="28"/>
      <c r="CS14" s="28"/>
      <c r="CT14" s="28"/>
      <c r="CU14" s="28"/>
      <c r="CV14" s="28"/>
      <c r="CW14" s="28"/>
      <c r="CX14" s="28"/>
      <c r="CY14" s="28"/>
      <c r="CZ14" s="28"/>
      <c r="DA14" s="28"/>
      <c r="DB14" s="28"/>
      <c r="DC14" s="28"/>
      <c r="DD14" s="28"/>
      <c r="DE14" s="28"/>
      <c r="DF14" s="25" t="str">
        <f>$M14</f>
        <v>2025 Audi Q5 Plug-In Hybrid quattro</v>
      </c>
      <c r="DG14" s="28"/>
      <c r="DH14" s="28"/>
      <c r="DI14" s="28"/>
      <c r="DJ14" s="28"/>
      <c r="DK14" s="28"/>
      <c r="DL14" s="28"/>
      <c r="DM14" s="28"/>
      <c r="DN14" s="28"/>
      <c r="DO14" s="28"/>
      <c r="DP14" s="28"/>
      <c r="DQ14" s="28"/>
      <c r="DR14" s="25"/>
      <c r="DS14" s="25"/>
      <c r="DT14" s="25"/>
      <c r="DU14" s="25"/>
      <c r="DV14" s="25"/>
      <c r="DW14" s="25" t="str">
        <f>$M14</f>
        <v>2025 Audi Q5 Plug-In Hybrid quattro</v>
      </c>
      <c r="DX14" s="25"/>
      <c r="DY14" s="25"/>
      <c r="DZ14" s="85"/>
      <c r="EA14" s="89"/>
      <c r="EB14" s="80"/>
      <c r="EC14" s="25"/>
      <c r="ED14" s="85"/>
      <c r="EE14" s="80"/>
      <c r="EF14" s="25"/>
      <c r="EG14" s="25"/>
      <c r="EH14" s="85"/>
      <c r="EI14" s="80"/>
      <c r="EK14" t="s">
        <v>2445</v>
      </c>
      <c r="EL14" s="85" t="str">
        <f>$M14</f>
        <v>2025 Audi Q5 Plug-In Hybrid quattro</v>
      </c>
      <c r="EM14" s="25"/>
      <c r="EP14" s="75"/>
      <c r="EQ14" s="90"/>
      <c r="ET14" s="75"/>
      <c r="EU14" s="90"/>
      <c r="EV14" s="75"/>
      <c r="EW14" s="90"/>
      <c r="EY14" s="75"/>
      <c r="EZ14" s="102"/>
      <c r="FA14" s="25" t="str">
        <f>$M14</f>
        <v>2025 Audi Q5 Plug-In Hybrid quattro</v>
      </c>
      <c r="FB14" s="75"/>
      <c r="FC14" s="91"/>
      <c r="FD14" s="80"/>
      <c r="FE14" s="25"/>
      <c r="FF14" s="85"/>
      <c r="FG14" s="80"/>
      <c r="FH14" s="25"/>
      <c r="FI14" s="85"/>
      <c r="FJ14" s="80"/>
      <c r="FK14" s="25"/>
      <c r="FL14" s="85"/>
      <c r="FM14" s="25" t="str">
        <f>$M14</f>
        <v>2025 Audi Q5 Plug-In Hybrid quattro</v>
      </c>
      <c r="FN14" s="25"/>
      <c r="FO14" s="85"/>
      <c r="FP14" s="92"/>
      <c r="FQ14" s="93"/>
      <c r="FR14" s="94"/>
      <c r="FS14" s="95"/>
      <c r="FT14" s="25"/>
      <c r="FU14" s="25"/>
      <c r="FV14" s="25"/>
      <c r="FW14" s="25"/>
      <c r="FX14" s="25"/>
      <c r="FY14" s="25"/>
      <c r="FZ14" s="25"/>
      <c r="GA14" s="25"/>
      <c r="GB14" s="25"/>
      <c r="GC14" s="25"/>
      <c r="GD14" s="25"/>
      <c r="GE14" s="25"/>
      <c r="GF14" s="25"/>
      <c r="GG14" s="25"/>
      <c r="GH14" s="25"/>
    </row>
    <row r="15" spans="1:190" s="76" customFormat="1" x14ac:dyDescent="0.35">
      <c r="A15" s="76">
        <v>2025</v>
      </c>
      <c r="B15" s="76" t="s">
        <v>205</v>
      </c>
      <c r="C15" s="76" t="s">
        <v>385</v>
      </c>
      <c r="D15" s="76" t="s">
        <v>2502</v>
      </c>
      <c r="E15" s="76" t="s">
        <v>208</v>
      </c>
      <c r="F15" s="76">
        <v>334</v>
      </c>
      <c r="G15" s="78">
        <v>2</v>
      </c>
      <c r="H15" s="76">
        <v>4</v>
      </c>
      <c r="I15" s="79" t="s">
        <v>209</v>
      </c>
      <c r="J15" s="96">
        <v>25</v>
      </c>
      <c r="K15" s="76">
        <v>27</v>
      </c>
      <c r="L15" s="76">
        <v>26</v>
      </c>
      <c r="M15" s="76">
        <v>32.4</v>
      </c>
      <c r="N15" s="76">
        <v>38.200000000000003</v>
      </c>
      <c r="O15" s="76">
        <v>34.7761</v>
      </c>
      <c r="P15" s="76">
        <v>25.064800000000002</v>
      </c>
      <c r="Q15" s="76">
        <v>26.969899999999999</v>
      </c>
      <c r="R15" s="76">
        <v>25.887699999999999</v>
      </c>
      <c r="T15" s="76" t="s">
        <v>165</v>
      </c>
      <c r="U15" s="76" t="s">
        <v>166</v>
      </c>
      <c r="V15" s="76" t="s">
        <v>211</v>
      </c>
      <c r="W15" s="76" t="s">
        <v>212</v>
      </c>
      <c r="Y15" s="76">
        <v>7</v>
      </c>
      <c r="Z15" s="76" t="s">
        <v>170</v>
      </c>
      <c r="AA15" s="76" t="s">
        <v>170</v>
      </c>
      <c r="AB15" s="76" t="s">
        <v>167</v>
      </c>
      <c r="AC15" s="76" t="s">
        <v>213</v>
      </c>
      <c r="AD15" s="76">
        <v>15</v>
      </c>
      <c r="AF15" s="76">
        <v>367</v>
      </c>
      <c r="AG15" s="76" t="s">
        <v>173</v>
      </c>
      <c r="AH15" s="76" t="s">
        <v>174</v>
      </c>
      <c r="AI15" s="76" t="s">
        <v>175</v>
      </c>
      <c r="AJ15" s="79" t="s">
        <v>176</v>
      </c>
      <c r="AK15" s="96" t="s">
        <v>940</v>
      </c>
      <c r="AL15" s="76" t="s">
        <v>941</v>
      </c>
      <c r="AR15" s="79"/>
      <c r="AS15" s="96">
        <v>1750</v>
      </c>
      <c r="AT15" s="79">
        <v>1750</v>
      </c>
      <c r="AU15" s="96">
        <v>61</v>
      </c>
      <c r="AV15" s="76">
        <v>55</v>
      </c>
      <c r="AW15" s="76">
        <v>58</v>
      </c>
      <c r="AX15" s="76">
        <v>39.200000000000003</v>
      </c>
      <c r="AY15" s="76">
        <v>37.5</v>
      </c>
      <c r="AZ15" s="76">
        <v>38.435000000000002</v>
      </c>
      <c r="BA15" s="76">
        <v>60.936999999999998</v>
      </c>
      <c r="BB15" s="76">
        <v>54.904000000000003</v>
      </c>
      <c r="BC15" s="76">
        <v>58.222200000000001</v>
      </c>
      <c r="BD15" s="76">
        <v>23</v>
      </c>
      <c r="BE15" s="76" t="s">
        <v>1735</v>
      </c>
      <c r="BF15" s="76" t="s">
        <v>1736</v>
      </c>
      <c r="BG15" s="76" t="s">
        <v>1742</v>
      </c>
      <c r="BH15" s="76" t="s">
        <v>1743</v>
      </c>
      <c r="BI15" s="76">
        <v>1750</v>
      </c>
      <c r="BJ15" s="2"/>
      <c r="BK15" s="2"/>
      <c r="BL15" s="2"/>
      <c r="BM15" s="79"/>
      <c r="BN15" s="98" t="s">
        <v>2493</v>
      </c>
      <c r="BO15" s="76">
        <v>2</v>
      </c>
      <c r="BP15" s="76">
        <v>2</v>
      </c>
      <c r="BQ15" s="76">
        <v>31</v>
      </c>
      <c r="BR15" s="76" t="s">
        <v>1219</v>
      </c>
      <c r="BT15" s="76" t="s">
        <v>2494</v>
      </c>
      <c r="BU15" s="99">
        <v>45471</v>
      </c>
      <c r="BV15" s="79">
        <v>35646</v>
      </c>
      <c r="BW15" s="100"/>
      <c r="BX15" s="96" t="s">
        <v>170</v>
      </c>
      <c r="BY15" s="76" t="s">
        <v>170</v>
      </c>
      <c r="CB15" s="76" t="s">
        <v>170</v>
      </c>
      <c r="CC15" s="76" t="s">
        <v>170</v>
      </c>
      <c r="CD15" s="76" t="s">
        <v>2503</v>
      </c>
      <c r="CE15" s="76" t="s">
        <v>170</v>
      </c>
      <c r="CG15" s="76" t="s">
        <v>169</v>
      </c>
      <c r="CH15" s="76" t="s">
        <v>2504</v>
      </c>
      <c r="CI15" s="76" t="s">
        <v>169</v>
      </c>
      <c r="CJ15" s="76" t="s">
        <v>538</v>
      </c>
      <c r="CK15" s="76" t="s">
        <v>233</v>
      </c>
      <c r="CM15" s="76">
        <v>1</v>
      </c>
      <c r="CN15" s="76" t="s">
        <v>234</v>
      </c>
      <c r="CP15" s="76">
        <v>374</v>
      </c>
      <c r="CQ15" s="76">
        <v>48</v>
      </c>
      <c r="CR15" s="76">
        <v>125</v>
      </c>
      <c r="CS15" s="76" t="s">
        <v>1752</v>
      </c>
      <c r="CV15" s="76" t="s">
        <v>341</v>
      </c>
      <c r="CX15" s="76" t="s">
        <v>342</v>
      </c>
      <c r="CY15" s="76" t="s">
        <v>169</v>
      </c>
      <c r="DD15" s="76">
        <v>1</v>
      </c>
      <c r="DE15" s="76" t="s">
        <v>404</v>
      </c>
      <c r="DF15" s="76" t="s">
        <v>2505</v>
      </c>
      <c r="DG15" s="76">
        <v>105</v>
      </c>
      <c r="DJ15" s="76" t="s">
        <v>184</v>
      </c>
      <c r="DK15" s="76" t="s">
        <v>185</v>
      </c>
      <c r="DL15" s="76" t="s">
        <v>170</v>
      </c>
      <c r="DM15" s="76" t="s">
        <v>169</v>
      </c>
      <c r="DN15" s="76" t="s">
        <v>170</v>
      </c>
      <c r="DO15" s="76" t="s">
        <v>391</v>
      </c>
      <c r="DP15" s="76" t="s">
        <v>169</v>
      </c>
      <c r="DQ15" s="76" t="s">
        <v>198</v>
      </c>
      <c r="DS15" s="76" t="s">
        <v>2496</v>
      </c>
      <c r="DT15" s="76" t="s">
        <v>2497</v>
      </c>
      <c r="DU15" s="76" t="s">
        <v>2498</v>
      </c>
      <c r="DV15" s="76" t="s">
        <v>2499</v>
      </c>
      <c r="DZ15" s="79"/>
      <c r="EA15" s="101"/>
      <c r="EB15" s="96">
        <v>7</v>
      </c>
      <c r="EC15" s="76">
        <v>9</v>
      </c>
      <c r="ED15" s="79">
        <v>10</v>
      </c>
      <c r="EE15" s="96" t="s">
        <v>2506</v>
      </c>
      <c r="EF15" s="76">
        <v>6</v>
      </c>
      <c r="EH15" s="79"/>
      <c r="EI15" s="96"/>
      <c r="EL15" s="79"/>
      <c r="EP15" s="79"/>
      <c r="EQ15" s="96"/>
      <c r="ET15" s="79"/>
      <c r="EU15" s="96">
        <v>750</v>
      </c>
      <c r="EV15" s="79"/>
      <c r="EW15" s="96">
        <v>0</v>
      </c>
      <c r="EX15" s="76">
        <v>0</v>
      </c>
      <c r="EY15" s="79">
        <v>0</v>
      </c>
      <c r="EZ15" s="102">
        <f>FI15</f>
        <v>148</v>
      </c>
      <c r="FA15" s="76">
        <v>3</v>
      </c>
      <c r="FB15" s="79"/>
      <c r="FC15" s="97">
        <v>390</v>
      </c>
      <c r="FD15" s="96">
        <v>36</v>
      </c>
      <c r="FE15" s="76">
        <v>39</v>
      </c>
      <c r="FF15" s="79">
        <v>38</v>
      </c>
      <c r="FG15" s="76">
        <v>153</v>
      </c>
      <c r="FH15" s="76">
        <v>141</v>
      </c>
      <c r="FI15" s="103">
        <v>148</v>
      </c>
      <c r="FJ15" s="104">
        <v>28.85</v>
      </c>
      <c r="FK15" s="105">
        <v>28.92</v>
      </c>
      <c r="FL15" s="79">
        <v>29</v>
      </c>
      <c r="FM15" s="76">
        <v>0.57299999999999995</v>
      </c>
      <c r="FN15" s="76">
        <v>0.57399999999999995</v>
      </c>
      <c r="FO15" s="79">
        <v>0.57399999999999995</v>
      </c>
      <c r="FP15" s="106">
        <v>0</v>
      </c>
      <c r="FQ15" s="107">
        <v>0</v>
      </c>
      <c r="FR15" s="107">
        <v>0</v>
      </c>
      <c r="FS15" s="108">
        <v>11.2</v>
      </c>
    </row>
    <row r="16" spans="1:190" s="76" customFormat="1" x14ac:dyDescent="0.35">
      <c r="A16" s="76">
        <v>2025</v>
      </c>
      <c r="B16" s="162" t="s">
        <v>2507</v>
      </c>
      <c r="C16" s="162" t="s">
        <v>385</v>
      </c>
      <c r="D16" s="162" t="s">
        <v>2502</v>
      </c>
      <c r="E16" s="162" t="s">
        <v>208</v>
      </c>
      <c r="F16" s="162">
        <v>334</v>
      </c>
      <c r="G16" s="162">
        <v>2</v>
      </c>
      <c r="H16" s="162">
        <v>4</v>
      </c>
      <c r="I16" s="163" t="s">
        <v>209</v>
      </c>
      <c r="J16" s="96">
        <f t="shared" ref="J16:R16" si="1">J15</f>
        <v>25</v>
      </c>
      <c r="K16" s="76">
        <f t="shared" si="1"/>
        <v>27</v>
      </c>
      <c r="L16" s="76">
        <f t="shared" si="1"/>
        <v>26</v>
      </c>
      <c r="M16" s="76">
        <f t="shared" si="1"/>
        <v>32.4</v>
      </c>
      <c r="N16" s="76">
        <f t="shared" si="1"/>
        <v>38.200000000000003</v>
      </c>
      <c r="O16" s="76">
        <f t="shared" si="1"/>
        <v>34.7761</v>
      </c>
      <c r="P16" s="76">
        <f t="shared" si="1"/>
        <v>25.064800000000002</v>
      </c>
      <c r="Q16" s="76">
        <f t="shared" si="1"/>
        <v>26.969899999999999</v>
      </c>
      <c r="R16" s="76">
        <f t="shared" si="1"/>
        <v>25.887699999999999</v>
      </c>
      <c r="T16" s="76" t="str">
        <f>T15</f>
        <v>TC</v>
      </c>
      <c r="U16" s="76" t="str">
        <f>U15</f>
        <v>Turbocharged</v>
      </c>
      <c r="V16" s="76" t="str">
        <f>V15</f>
        <v>AMS</v>
      </c>
      <c r="W16" s="76" t="str">
        <f>W15</f>
        <v>Automated Manual- Selectable (e.g. Automated Manual with paddles)</v>
      </c>
      <c r="Y16" s="76">
        <f t="shared" ref="Y16:AD16" si="2">Y15</f>
        <v>7</v>
      </c>
      <c r="Z16" s="76" t="str">
        <f t="shared" si="2"/>
        <v>N</v>
      </c>
      <c r="AA16" s="76" t="str">
        <f t="shared" si="2"/>
        <v>N</v>
      </c>
      <c r="AB16" s="76" t="str">
        <f t="shared" si="2"/>
        <v>A</v>
      </c>
      <c r="AC16" s="76" t="str">
        <f t="shared" si="2"/>
        <v>All Wheel Drive</v>
      </c>
      <c r="AD16" s="76">
        <f t="shared" si="2"/>
        <v>15</v>
      </c>
      <c r="AF16" s="76">
        <f>AF15</f>
        <v>367</v>
      </c>
      <c r="AG16" s="76" t="str">
        <f>AG15</f>
        <v>GP</v>
      </c>
      <c r="AH16" s="76" t="str">
        <f>AH15</f>
        <v>Gasoline (Premium Unleaded Recommended)</v>
      </c>
      <c r="AI16" s="76" t="str">
        <f>AI15</f>
        <v>MPG</v>
      </c>
      <c r="AJ16" s="79" t="str">
        <f>AJ15</f>
        <v>miles per gallon</v>
      </c>
      <c r="AK16" s="96" t="s">
        <v>940</v>
      </c>
      <c r="AL16" s="76" t="s">
        <v>941</v>
      </c>
      <c r="AR16" s="79"/>
      <c r="AS16" s="96">
        <v>1750</v>
      </c>
      <c r="AT16" s="79">
        <v>1750</v>
      </c>
      <c r="AU16" s="96">
        <v>55</v>
      </c>
      <c r="AV16" s="76">
        <v>61</v>
      </c>
      <c r="AW16" s="76">
        <v>58</v>
      </c>
      <c r="AX16" s="76">
        <v>86</v>
      </c>
      <c r="AY16" s="76">
        <v>90</v>
      </c>
      <c r="AZ16" s="76">
        <v>87.755099999999999</v>
      </c>
      <c r="BA16" s="76">
        <v>55.255400000000002</v>
      </c>
      <c r="BB16" s="76">
        <v>61.389200000000002</v>
      </c>
      <c r="BC16" s="76">
        <v>57.8568</v>
      </c>
      <c r="BD16" s="76">
        <v>23</v>
      </c>
      <c r="BE16" s="76" t="s">
        <v>1735</v>
      </c>
      <c r="BF16" s="76" t="s">
        <v>1736</v>
      </c>
      <c r="BG16" s="76" t="s">
        <v>175</v>
      </c>
      <c r="BH16" s="76" t="s">
        <v>176</v>
      </c>
      <c r="BI16" s="76">
        <v>1750</v>
      </c>
      <c r="BM16" s="79"/>
      <c r="BN16" s="98" t="s">
        <v>2493</v>
      </c>
      <c r="BO16" s="76">
        <v>2</v>
      </c>
      <c r="BP16" s="76">
        <v>2</v>
      </c>
      <c r="BQ16" s="76">
        <v>31</v>
      </c>
      <c r="BR16" s="76" t="s">
        <v>1219</v>
      </c>
      <c r="BT16" s="76" t="s">
        <v>2494</v>
      </c>
      <c r="BU16" s="99">
        <v>45471</v>
      </c>
      <c r="BV16" s="79">
        <v>35646</v>
      </c>
      <c r="BW16" s="100"/>
      <c r="BX16" s="96" t="s">
        <v>170</v>
      </c>
      <c r="BY16" s="76" t="s">
        <v>170</v>
      </c>
      <c r="CB16" s="76" t="s">
        <v>170</v>
      </c>
      <c r="CC16" s="76" t="s">
        <v>170</v>
      </c>
      <c r="CD16" s="76" t="s">
        <v>2503</v>
      </c>
      <c r="CE16" s="76" t="s">
        <v>170</v>
      </c>
      <c r="CG16" s="76" t="s">
        <v>169</v>
      </c>
      <c r="CH16" s="76" t="s">
        <v>2504</v>
      </c>
      <c r="CI16" s="76" t="s">
        <v>169</v>
      </c>
      <c r="CJ16" s="76" t="s">
        <v>538</v>
      </c>
      <c r="CK16" s="76" t="s">
        <v>233</v>
      </c>
      <c r="CM16" s="76">
        <v>1</v>
      </c>
      <c r="CN16" s="76" t="s">
        <v>234</v>
      </c>
      <c r="CP16" s="76">
        <v>374</v>
      </c>
      <c r="CQ16" s="76">
        <v>48</v>
      </c>
      <c r="CR16" s="76">
        <v>125</v>
      </c>
      <c r="CS16" s="76" t="s">
        <v>1752</v>
      </c>
      <c r="CV16" s="76" t="s">
        <v>341</v>
      </c>
      <c r="CX16" s="76" t="s">
        <v>342</v>
      </c>
      <c r="CY16" s="76" t="s">
        <v>169</v>
      </c>
      <c r="DD16" s="76">
        <v>1</v>
      </c>
      <c r="DE16" s="76" t="s">
        <v>404</v>
      </c>
      <c r="DF16" s="76" t="s">
        <v>2505</v>
      </c>
      <c r="DG16" s="76">
        <v>105</v>
      </c>
      <c r="DJ16" s="76" t="s">
        <v>184</v>
      </c>
      <c r="DK16" s="76" t="s">
        <v>185</v>
      </c>
      <c r="DL16" s="76" t="s">
        <v>170</v>
      </c>
      <c r="DM16" s="76" t="s">
        <v>169</v>
      </c>
      <c r="DN16" s="76" t="s">
        <v>170</v>
      </c>
      <c r="DO16" s="76" t="s">
        <v>391</v>
      </c>
      <c r="DP16" s="76" t="s">
        <v>169</v>
      </c>
      <c r="DQ16" s="76" t="s">
        <v>198</v>
      </c>
      <c r="DS16" s="76" t="s">
        <v>2496</v>
      </c>
      <c r="DT16" s="76" t="s">
        <v>2497</v>
      </c>
      <c r="DU16" s="76" t="s">
        <v>2498</v>
      </c>
      <c r="DV16" s="76" t="s">
        <v>2499</v>
      </c>
      <c r="DZ16" s="79"/>
      <c r="EA16" s="101"/>
      <c r="EB16" s="96">
        <v>7</v>
      </c>
      <c r="EC16" s="76">
        <v>9</v>
      </c>
      <c r="ED16" s="79">
        <v>10</v>
      </c>
      <c r="EE16" s="96" t="s">
        <v>2506</v>
      </c>
      <c r="EF16" s="76">
        <v>6</v>
      </c>
      <c r="EH16" s="79"/>
      <c r="EI16" s="96"/>
      <c r="EL16" s="79"/>
      <c r="EP16" s="79"/>
      <c r="EQ16" s="96"/>
      <c r="ET16" s="79"/>
      <c r="EU16" s="96">
        <v>750</v>
      </c>
      <c r="EV16" s="79"/>
      <c r="EW16" s="96">
        <v>355</v>
      </c>
      <c r="EX16" s="76">
        <v>330</v>
      </c>
      <c r="EY16" s="79">
        <v>149</v>
      </c>
      <c r="EZ16" s="102">
        <f>FI16</f>
        <v>148</v>
      </c>
      <c r="FA16" s="76">
        <v>3</v>
      </c>
      <c r="FB16" s="79"/>
      <c r="FC16" s="97">
        <v>390</v>
      </c>
      <c r="FD16" s="96">
        <v>36</v>
      </c>
      <c r="FE16" s="76">
        <v>39</v>
      </c>
      <c r="FF16" s="79">
        <v>38</v>
      </c>
      <c r="FG16" s="76">
        <v>153</v>
      </c>
      <c r="FH16" s="76">
        <v>141</v>
      </c>
      <c r="FI16" s="103">
        <v>148</v>
      </c>
      <c r="FJ16" s="98" t="s">
        <v>2508</v>
      </c>
      <c r="FK16" s="111"/>
      <c r="FL16" s="103"/>
      <c r="FM16" s="76">
        <v>0.57299999999999995</v>
      </c>
      <c r="FN16" s="76">
        <v>0.57399999999999995</v>
      </c>
      <c r="FO16" s="79">
        <v>0.57399999999999995</v>
      </c>
      <c r="FP16" s="106"/>
      <c r="FQ16" s="107"/>
      <c r="FR16" s="107"/>
      <c r="FS16" s="108">
        <v>11.2</v>
      </c>
    </row>
    <row r="17" spans="1:190" s="77" customFormat="1" x14ac:dyDescent="0.35">
      <c r="A17" s="76"/>
      <c r="E17" s="76"/>
      <c r="F17" s="76"/>
      <c r="G17" s="78"/>
      <c r="H17" s="76"/>
      <c r="I17" s="79"/>
      <c r="J17" s="80"/>
      <c r="K17" s="28"/>
      <c r="L17" s="28"/>
      <c r="M17" s="25" t="str">
        <f>_xlfn.CONCAT(A18," ",C18," ",D18)</f>
        <v>2025 Bentley Bentayga Hybrid</v>
      </c>
      <c r="N17" s="28"/>
      <c r="O17" s="28"/>
      <c r="P17" s="28"/>
      <c r="Q17" s="28"/>
      <c r="R17" s="28"/>
      <c r="S17" s="28"/>
      <c r="T17" s="28"/>
      <c r="U17" s="28"/>
      <c r="V17" s="28"/>
      <c r="W17" s="28"/>
      <c r="X17" s="28"/>
      <c r="Y17" s="28"/>
      <c r="Z17" s="28"/>
      <c r="AA17" s="28"/>
      <c r="AB17" s="28"/>
      <c r="AC17" s="28"/>
      <c r="AD17" s="25" t="str">
        <f>$M17</f>
        <v>2025 Bentley Bentayga Hybrid</v>
      </c>
      <c r="AE17" s="28"/>
      <c r="AF17" s="28"/>
      <c r="AG17" s="28"/>
      <c r="AH17" s="28"/>
      <c r="AI17" s="28"/>
      <c r="AJ17" s="81"/>
      <c r="AK17" s="82"/>
      <c r="AL17" s="2"/>
      <c r="AM17" s="2"/>
      <c r="AN17" s="2"/>
      <c r="AO17" s="2"/>
      <c r="AP17" s="2"/>
      <c r="AQ17" s="2"/>
      <c r="AR17" s="83"/>
      <c r="AS17" s="84"/>
      <c r="AT17" s="85" t="str">
        <f>$M17</f>
        <v>2025 Bentley Bentayga Hybrid</v>
      </c>
      <c r="AU17" s="84"/>
      <c r="AV17" s="28"/>
      <c r="AW17" s="28"/>
      <c r="AX17" s="28"/>
      <c r="AY17" s="28"/>
      <c r="AZ17" s="28"/>
      <c r="BA17" s="28"/>
      <c r="BB17" s="28"/>
      <c r="BC17" s="28"/>
      <c r="BD17" s="28"/>
      <c r="BE17" s="28"/>
      <c r="BF17" s="28"/>
      <c r="BG17" s="28"/>
      <c r="BH17" s="28"/>
      <c r="BI17" s="25" t="str">
        <f>$M17</f>
        <v>2025 Bentley Bentayga Hybrid</v>
      </c>
      <c r="BJ17" s="28"/>
      <c r="BK17" s="28"/>
      <c r="BL17" s="28"/>
      <c r="BM17" s="81"/>
      <c r="BN17" s="82"/>
      <c r="BO17" s="2"/>
      <c r="BP17" s="2"/>
      <c r="BQ17" s="2"/>
      <c r="BR17" s="2"/>
      <c r="BS17" s="2"/>
      <c r="BT17" s="86"/>
      <c r="BU17" s="2"/>
      <c r="BV17" s="83"/>
      <c r="BW17" s="87"/>
      <c r="BX17" s="84"/>
      <c r="BY17" s="25" t="str">
        <f>$M17</f>
        <v>2025 Bentley Bentayga Hybrid</v>
      </c>
      <c r="BZ17" s="28"/>
      <c r="CA17" s="28"/>
      <c r="CB17" s="28"/>
      <c r="CC17" s="28"/>
      <c r="CD17" s="28"/>
      <c r="CE17" s="88"/>
      <c r="CF17" s="28"/>
      <c r="CG17" s="28"/>
      <c r="CH17" s="28"/>
      <c r="CI17" s="28"/>
      <c r="CJ17" s="28"/>
      <c r="CK17" s="28"/>
      <c r="CL17" s="28"/>
      <c r="CM17" s="28"/>
      <c r="CN17" s="28"/>
      <c r="CO17" s="25" t="str">
        <f>$M17</f>
        <v>2025 Bentley Bentayga Hybrid</v>
      </c>
      <c r="CP17" s="28"/>
      <c r="CQ17" s="28"/>
      <c r="CR17" s="28"/>
      <c r="CS17" s="28"/>
      <c r="CT17" s="28"/>
      <c r="CU17" s="28"/>
      <c r="CV17" s="28"/>
      <c r="CW17" s="28"/>
      <c r="CX17" s="28"/>
      <c r="CY17" s="28"/>
      <c r="CZ17" s="28"/>
      <c r="DA17" s="28"/>
      <c r="DB17" s="28"/>
      <c r="DC17" s="28"/>
      <c r="DD17" s="28"/>
      <c r="DE17" s="28"/>
      <c r="DF17" s="25" t="str">
        <f>$M17</f>
        <v>2025 Bentley Bentayga Hybrid</v>
      </c>
      <c r="DG17" s="28"/>
      <c r="DH17" s="28"/>
      <c r="DI17" s="28"/>
      <c r="DJ17" s="28"/>
      <c r="DK17" s="28"/>
      <c r="DL17" s="28"/>
      <c r="DM17" s="28"/>
      <c r="DN17" s="28"/>
      <c r="DO17" s="28"/>
      <c r="DP17" s="28"/>
      <c r="DQ17" s="28"/>
      <c r="DR17" s="25"/>
      <c r="DS17" s="25"/>
      <c r="DT17" s="25"/>
      <c r="DU17" s="25"/>
      <c r="DV17" s="25"/>
      <c r="DW17" s="25" t="str">
        <f>$M17</f>
        <v>2025 Bentley Bentayga Hybrid</v>
      </c>
      <c r="DX17" s="25"/>
      <c r="DY17" s="25"/>
      <c r="DZ17" s="85"/>
      <c r="EA17" s="89"/>
      <c r="EB17" s="80"/>
      <c r="EC17" s="25"/>
      <c r="ED17" s="85"/>
      <c r="EE17" s="80"/>
      <c r="EF17" s="25"/>
      <c r="EG17" s="25"/>
      <c r="EH17" s="85"/>
      <c r="EI17" s="80"/>
      <c r="EK17" t="s">
        <v>2445</v>
      </c>
      <c r="EL17" s="85" t="str">
        <f>$M17</f>
        <v>2025 Bentley Bentayga Hybrid</v>
      </c>
      <c r="EM17" s="25"/>
      <c r="EP17" s="75"/>
      <c r="EQ17" s="90"/>
      <c r="ET17" s="75"/>
      <c r="EU17" s="90"/>
      <c r="EV17" s="75"/>
      <c r="EW17" s="90"/>
      <c r="EY17" s="75"/>
      <c r="EZ17" s="102"/>
      <c r="FA17" s="25" t="str">
        <f>$M17</f>
        <v>2025 Bentley Bentayga Hybrid</v>
      </c>
      <c r="FB17" s="75"/>
      <c r="FC17" s="91"/>
      <c r="FD17" s="80"/>
      <c r="FE17" s="25"/>
      <c r="FF17" s="85"/>
      <c r="FG17" s="80"/>
      <c r="FH17" s="25"/>
      <c r="FI17" s="85"/>
      <c r="FJ17" s="80"/>
      <c r="FK17" s="25"/>
      <c r="FL17" s="85"/>
      <c r="FM17" s="25" t="str">
        <f>$M17</f>
        <v>2025 Bentley Bentayga Hybrid</v>
      </c>
      <c r="FN17" s="25"/>
      <c r="FO17" s="85"/>
      <c r="FP17" s="92"/>
      <c r="FQ17" s="93"/>
      <c r="FR17" s="94"/>
      <c r="FS17" s="95"/>
      <c r="FT17" s="25"/>
      <c r="FU17" s="25"/>
      <c r="FV17" s="25"/>
      <c r="FW17" s="25"/>
      <c r="FX17" s="25"/>
      <c r="FY17" s="25"/>
      <c r="FZ17" s="25"/>
      <c r="GA17" s="25"/>
      <c r="GB17" s="25"/>
      <c r="GC17" s="25"/>
      <c r="GD17" s="25"/>
      <c r="GE17" s="25"/>
      <c r="GF17" s="25"/>
      <c r="GG17" s="25"/>
      <c r="GH17" s="25"/>
    </row>
    <row r="18" spans="1:190" s="76" customFormat="1" x14ac:dyDescent="0.35">
      <c r="A18" s="76">
        <v>2025</v>
      </c>
      <c r="B18" s="76" t="s">
        <v>205</v>
      </c>
      <c r="C18" s="76" t="s">
        <v>1516</v>
      </c>
      <c r="D18" s="76" t="s">
        <v>2509</v>
      </c>
      <c r="E18" s="76" t="s">
        <v>208</v>
      </c>
      <c r="F18" s="76">
        <v>600</v>
      </c>
      <c r="G18" s="78">
        <v>3</v>
      </c>
      <c r="H18" s="76">
        <v>6</v>
      </c>
      <c r="I18" s="79" t="s">
        <v>192</v>
      </c>
      <c r="J18" s="96">
        <v>19</v>
      </c>
      <c r="K18" s="76">
        <v>23</v>
      </c>
      <c r="L18" s="76">
        <v>21</v>
      </c>
      <c r="M18" s="76">
        <v>24</v>
      </c>
      <c r="N18" s="76">
        <v>32.6</v>
      </c>
      <c r="O18" s="76">
        <v>27.232900000000001</v>
      </c>
      <c r="P18" s="76">
        <v>19.073599999999999</v>
      </c>
      <c r="Q18" s="76">
        <v>23.310199999999998</v>
      </c>
      <c r="R18" s="76">
        <v>20.772500000000001</v>
      </c>
      <c r="T18" s="76" t="s">
        <v>165</v>
      </c>
      <c r="U18" s="76" t="s">
        <v>166</v>
      </c>
      <c r="V18" s="76" t="s">
        <v>193</v>
      </c>
      <c r="W18" s="76" t="s">
        <v>194</v>
      </c>
      <c r="Y18" s="76">
        <v>8</v>
      </c>
      <c r="Z18" s="76" t="s">
        <v>169</v>
      </c>
      <c r="AA18" s="76" t="s">
        <v>170</v>
      </c>
      <c r="AB18" s="76" t="s">
        <v>167</v>
      </c>
      <c r="AC18" s="76" t="s">
        <v>213</v>
      </c>
      <c r="AD18" s="76">
        <v>15</v>
      </c>
      <c r="AF18" s="76">
        <v>420</v>
      </c>
      <c r="AG18" s="76" t="s">
        <v>173</v>
      </c>
      <c r="AH18" s="76" t="s">
        <v>174</v>
      </c>
      <c r="AI18" s="76" t="s">
        <v>175</v>
      </c>
      <c r="AJ18" s="79" t="s">
        <v>176</v>
      </c>
      <c r="AK18" s="96" t="s">
        <v>940</v>
      </c>
      <c r="AL18" s="76" t="s">
        <v>941</v>
      </c>
      <c r="AR18" s="79"/>
      <c r="AS18" s="96">
        <v>2300</v>
      </c>
      <c r="AT18" s="79">
        <v>2300</v>
      </c>
      <c r="AU18" s="96">
        <v>71</v>
      </c>
      <c r="AV18" s="76">
        <v>62</v>
      </c>
      <c r="AW18" s="76">
        <v>67</v>
      </c>
      <c r="AX18" s="76">
        <v>50.6</v>
      </c>
      <c r="AY18" s="76">
        <v>44.9</v>
      </c>
      <c r="AZ18" s="76">
        <v>48.034999999999997</v>
      </c>
      <c r="BA18" s="76">
        <v>70.608999999999995</v>
      </c>
      <c r="BB18" s="76">
        <v>62.494999999999997</v>
      </c>
      <c r="BC18" s="76">
        <v>66.957700000000003</v>
      </c>
      <c r="BD18" s="76">
        <v>20</v>
      </c>
      <c r="BE18" s="76" t="s">
        <v>1735</v>
      </c>
      <c r="BF18" s="76" t="s">
        <v>1736</v>
      </c>
      <c r="BG18" s="76" t="s">
        <v>1742</v>
      </c>
      <c r="BH18" s="76" t="s">
        <v>1743</v>
      </c>
      <c r="BI18" s="76">
        <v>2300</v>
      </c>
      <c r="BJ18" s="2"/>
      <c r="BK18" s="2"/>
      <c r="BL18" s="2"/>
      <c r="BM18" s="79"/>
      <c r="BN18" s="98" t="s">
        <v>2493</v>
      </c>
      <c r="BO18" s="76">
        <v>2</v>
      </c>
      <c r="BP18" s="76">
        <v>2</v>
      </c>
      <c r="BQ18" s="76">
        <v>33</v>
      </c>
      <c r="BR18" s="76" t="s">
        <v>1497</v>
      </c>
      <c r="BT18" s="76" t="s">
        <v>2494</v>
      </c>
      <c r="BU18" s="99">
        <v>45555</v>
      </c>
      <c r="BV18" s="79">
        <v>35569</v>
      </c>
      <c r="BW18" s="100"/>
      <c r="BX18" s="96" t="s">
        <v>170</v>
      </c>
      <c r="BY18" s="76" t="s">
        <v>170</v>
      </c>
      <c r="CB18" s="76" t="s">
        <v>170</v>
      </c>
      <c r="CC18" s="76" t="s">
        <v>170</v>
      </c>
      <c r="CD18" s="76" t="s">
        <v>2510</v>
      </c>
      <c r="CE18" s="76" t="s">
        <v>170</v>
      </c>
      <c r="CG18" s="76" t="s">
        <v>169</v>
      </c>
      <c r="CH18" s="76" t="s">
        <v>1519</v>
      </c>
      <c r="CI18" s="76" t="s">
        <v>170</v>
      </c>
      <c r="CK18" s="76" t="s">
        <v>233</v>
      </c>
      <c r="CM18" s="76">
        <v>8</v>
      </c>
      <c r="CN18" s="76" t="s">
        <v>234</v>
      </c>
      <c r="CP18" s="76">
        <v>374</v>
      </c>
      <c r="CQ18" s="76">
        <v>48.2</v>
      </c>
      <c r="CR18" s="76">
        <v>137</v>
      </c>
      <c r="CS18" s="76" t="s">
        <v>1752</v>
      </c>
      <c r="CV18" s="76" t="s">
        <v>341</v>
      </c>
      <c r="CX18" s="76" t="s">
        <v>342</v>
      </c>
      <c r="CY18" s="76" t="s">
        <v>169</v>
      </c>
      <c r="DD18" s="76">
        <v>1</v>
      </c>
      <c r="DE18" s="76" t="s">
        <v>237</v>
      </c>
      <c r="DG18" s="76">
        <v>100</v>
      </c>
      <c r="DJ18" s="76" t="s">
        <v>184</v>
      </c>
      <c r="DK18" s="76" t="s">
        <v>185</v>
      </c>
      <c r="DL18" s="76" t="s">
        <v>170</v>
      </c>
      <c r="DM18" s="76" t="s">
        <v>169</v>
      </c>
      <c r="DN18" s="76" t="s">
        <v>170</v>
      </c>
      <c r="DO18" s="76" t="s">
        <v>650</v>
      </c>
      <c r="DP18" s="76" t="s">
        <v>169</v>
      </c>
      <c r="DQ18" s="76" t="s">
        <v>198</v>
      </c>
      <c r="DS18" s="76" t="s">
        <v>2511</v>
      </c>
      <c r="DT18" s="76" t="s">
        <v>2512</v>
      </c>
      <c r="DU18" s="76" t="s">
        <v>2513</v>
      </c>
      <c r="DV18" s="76" t="s">
        <v>2514</v>
      </c>
      <c r="DZ18" s="79"/>
      <c r="EA18" s="101"/>
      <c r="EB18" s="96">
        <v>6</v>
      </c>
      <c r="EC18" s="76">
        <v>7</v>
      </c>
      <c r="ED18" s="79"/>
      <c r="EE18" s="96" t="s">
        <v>2515</v>
      </c>
      <c r="EF18" s="76">
        <v>2</v>
      </c>
      <c r="EH18" s="79"/>
      <c r="EI18" s="96"/>
      <c r="EL18" s="79"/>
      <c r="EP18" s="79"/>
      <c r="EQ18" s="96"/>
      <c r="ET18" s="79"/>
      <c r="EU18" s="96"/>
      <c r="EV18" s="79">
        <v>2000</v>
      </c>
      <c r="EW18" s="96">
        <v>0</v>
      </c>
      <c r="EX18" s="76">
        <v>0</v>
      </c>
      <c r="EY18" s="79">
        <v>0</v>
      </c>
      <c r="EZ18" s="102">
        <f>FI18</f>
        <v>203</v>
      </c>
      <c r="FA18" s="76">
        <v>3</v>
      </c>
      <c r="FB18" s="79"/>
      <c r="FC18" s="97">
        <v>440</v>
      </c>
      <c r="FD18" s="96">
        <v>27</v>
      </c>
      <c r="FE18" s="76">
        <v>33</v>
      </c>
      <c r="FF18" s="79">
        <v>29</v>
      </c>
      <c r="FG18" s="76">
        <v>227</v>
      </c>
      <c r="FH18" s="76">
        <v>173</v>
      </c>
      <c r="FI18" s="103">
        <v>203</v>
      </c>
      <c r="FJ18" s="104">
        <v>24.67</v>
      </c>
      <c r="FK18" s="105">
        <v>27.36</v>
      </c>
      <c r="FL18" s="79">
        <v>26</v>
      </c>
      <c r="FM18" s="76">
        <v>0.52300000000000002</v>
      </c>
      <c r="FN18" s="76">
        <v>0.55600000000000005</v>
      </c>
      <c r="FO18" s="79">
        <v>0.53800000000000003</v>
      </c>
      <c r="FP18" s="106">
        <v>0</v>
      </c>
      <c r="FQ18" s="107">
        <v>0</v>
      </c>
      <c r="FR18" s="107">
        <v>0</v>
      </c>
      <c r="FS18" s="108">
        <v>19.8</v>
      </c>
    </row>
    <row r="19" spans="1:190" s="76" customFormat="1" x14ac:dyDescent="0.35">
      <c r="A19" s="76">
        <v>2025</v>
      </c>
      <c r="B19" s="162" t="s">
        <v>2507</v>
      </c>
      <c r="C19" s="162" t="s">
        <v>1516</v>
      </c>
      <c r="D19" s="162" t="s">
        <v>2509</v>
      </c>
      <c r="E19" s="162" t="s">
        <v>208</v>
      </c>
      <c r="F19" s="162">
        <v>600</v>
      </c>
      <c r="G19" s="162">
        <v>3</v>
      </c>
      <c r="H19" s="162">
        <v>6</v>
      </c>
      <c r="I19" s="163" t="s">
        <v>192</v>
      </c>
      <c r="J19" s="96">
        <f t="shared" ref="J19:R19" si="3">J18</f>
        <v>19</v>
      </c>
      <c r="K19" s="76">
        <f t="shared" si="3"/>
        <v>23</v>
      </c>
      <c r="L19" s="76">
        <f t="shared" si="3"/>
        <v>21</v>
      </c>
      <c r="M19" s="76">
        <f>M18</f>
        <v>24</v>
      </c>
      <c r="N19" s="76">
        <f t="shared" si="3"/>
        <v>32.6</v>
      </c>
      <c r="O19" s="76">
        <f t="shared" si="3"/>
        <v>27.232900000000001</v>
      </c>
      <c r="P19" s="76">
        <f t="shared" si="3"/>
        <v>19.073599999999999</v>
      </c>
      <c r="Q19" s="76">
        <f t="shared" si="3"/>
        <v>23.310199999999998</v>
      </c>
      <c r="R19" s="76">
        <f t="shared" si="3"/>
        <v>20.772500000000001</v>
      </c>
      <c r="T19" s="76" t="str">
        <f>T18</f>
        <v>TC</v>
      </c>
      <c r="U19" s="76" t="str">
        <f>U18</f>
        <v>Turbocharged</v>
      </c>
      <c r="V19" s="76" t="str">
        <f>V18</f>
        <v>SA</v>
      </c>
      <c r="W19" s="76" t="str">
        <f>W18</f>
        <v>Semi-Automatic</v>
      </c>
      <c r="Y19" s="76">
        <f t="shared" ref="Y19:AD19" si="4">Y18</f>
        <v>8</v>
      </c>
      <c r="Z19" s="76" t="str">
        <f t="shared" si="4"/>
        <v>Y</v>
      </c>
      <c r="AA19" s="76" t="str">
        <f t="shared" si="4"/>
        <v>N</v>
      </c>
      <c r="AB19" s="76" t="str">
        <f t="shared" si="4"/>
        <v>A</v>
      </c>
      <c r="AC19" s="76" t="str">
        <f t="shared" si="4"/>
        <v>All Wheel Drive</v>
      </c>
      <c r="AD19" s="76">
        <f t="shared" si="4"/>
        <v>15</v>
      </c>
      <c r="AF19" s="76">
        <f>AF18</f>
        <v>420</v>
      </c>
      <c r="AG19" s="76" t="str">
        <f>AG18</f>
        <v>GP</v>
      </c>
      <c r="AH19" s="76" t="str">
        <f>AH18</f>
        <v>Gasoline (Premium Unleaded Recommended)</v>
      </c>
      <c r="AI19" s="76" t="str">
        <f>AI18</f>
        <v>MPG</v>
      </c>
      <c r="AJ19" s="79" t="str">
        <f>AJ18</f>
        <v>miles per gallon</v>
      </c>
      <c r="AK19" s="96" t="s">
        <v>940</v>
      </c>
      <c r="AL19" s="76" t="s">
        <v>941</v>
      </c>
      <c r="AR19" s="79"/>
      <c r="AS19" s="96">
        <v>2300</v>
      </c>
      <c r="AT19" s="79">
        <v>2300</v>
      </c>
      <c r="AU19" s="76">
        <v>47</v>
      </c>
      <c r="AV19" s="76">
        <v>53</v>
      </c>
      <c r="AW19" s="76">
        <v>50</v>
      </c>
      <c r="AX19" s="76">
        <v>66.599999999999994</v>
      </c>
      <c r="AY19" s="76">
        <v>75.099999999999994</v>
      </c>
      <c r="AZ19" s="76">
        <v>70.174099999999996</v>
      </c>
      <c r="BA19" s="76">
        <v>47.303199999999997</v>
      </c>
      <c r="BB19" s="76">
        <v>52.567599999999999</v>
      </c>
      <c r="BC19" s="76">
        <v>49.535499999999999</v>
      </c>
      <c r="BD19" s="76">
        <v>20</v>
      </c>
      <c r="BE19" s="76" t="s">
        <v>1735</v>
      </c>
      <c r="BF19" s="76" t="s">
        <v>1736</v>
      </c>
      <c r="BG19" s="76" t="s">
        <v>175</v>
      </c>
      <c r="BH19" s="76" t="s">
        <v>176</v>
      </c>
      <c r="BI19" s="76">
        <v>2300</v>
      </c>
      <c r="BM19" s="79"/>
      <c r="BN19" s="98" t="s">
        <v>2493</v>
      </c>
      <c r="BO19" s="76">
        <v>2</v>
      </c>
      <c r="BP19" s="76">
        <v>2</v>
      </c>
      <c r="BQ19" s="76">
        <v>33</v>
      </c>
      <c r="BR19" s="76" t="s">
        <v>1497</v>
      </c>
      <c r="BT19" s="76" t="s">
        <v>2494</v>
      </c>
      <c r="BU19" s="99">
        <v>45555</v>
      </c>
      <c r="BV19" s="79">
        <v>35569</v>
      </c>
      <c r="BW19" s="100"/>
      <c r="BX19" s="96" t="s">
        <v>170</v>
      </c>
      <c r="BY19" s="76" t="s">
        <v>170</v>
      </c>
      <c r="CB19" s="76" t="s">
        <v>170</v>
      </c>
      <c r="CC19" s="76" t="s">
        <v>170</v>
      </c>
      <c r="CD19" s="76" t="s">
        <v>2510</v>
      </c>
      <c r="CE19" s="76" t="s">
        <v>170</v>
      </c>
      <c r="CG19" s="76" t="s">
        <v>169</v>
      </c>
      <c r="CH19" s="76" t="s">
        <v>1519</v>
      </c>
      <c r="CI19" s="76" t="s">
        <v>170</v>
      </c>
      <c r="CK19" s="76" t="s">
        <v>233</v>
      </c>
      <c r="CM19" s="76">
        <v>8</v>
      </c>
      <c r="CN19" s="76" t="s">
        <v>234</v>
      </c>
      <c r="CP19" s="76">
        <v>374</v>
      </c>
      <c r="CQ19" s="76">
        <v>48.2</v>
      </c>
      <c r="CR19" s="76">
        <v>137</v>
      </c>
      <c r="CS19" s="76" t="s">
        <v>1752</v>
      </c>
      <c r="CV19" s="76" t="s">
        <v>341</v>
      </c>
      <c r="CX19" s="76" t="s">
        <v>342</v>
      </c>
      <c r="CY19" s="76" t="s">
        <v>169</v>
      </c>
      <c r="DD19" s="76">
        <v>1</v>
      </c>
      <c r="DE19" s="76" t="s">
        <v>237</v>
      </c>
      <c r="DG19" s="76">
        <v>100</v>
      </c>
      <c r="DJ19" s="76" t="s">
        <v>184</v>
      </c>
      <c r="DK19" s="76" t="s">
        <v>185</v>
      </c>
      <c r="DL19" s="76" t="s">
        <v>170</v>
      </c>
      <c r="DM19" s="76" t="s">
        <v>169</v>
      </c>
      <c r="DN19" s="76" t="s">
        <v>170</v>
      </c>
      <c r="DO19" s="76" t="s">
        <v>650</v>
      </c>
      <c r="DP19" s="76" t="s">
        <v>169</v>
      </c>
      <c r="DQ19" s="76" t="s">
        <v>198</v>
      </c>
      <c r="DS19" s="76" t="s">
        <v>2511</v>
      </c>
      <c r="DT19" s="76" t="s">
        <v>2512</v>
      </c>
      <c r="DU19" s="76" t="s">
        <v>2513</v>
      </c>
      <c r="DV19" s="76" t="s">
        <v>2514</v>
      </c>
      <c r="DZ19" s="79"/>
      <c r="EA19" s="101"/>
      <c r="EB19" s="96">
        <v>6</v>
      </c>
      <c r="EC19" s="76">
        <v>7</v>
      </c>
      <c r="ED19" s="79"/>
      <c r="EE19" s="96" t="s">
        <v>2515</v>
      </c>
      <c r="EF19" s="76">
        <v>2</v>
      </c>
      <c r="EH19" s="79"/>
      <c r="EI19" s="96"/>
      <c r="EL19" s="79"/>
      <c r="EP19" s="79"/>
      <c r="EQ19" s="96"/>
      <c r="ET19" s="79"/>
      <c r="EU19" s="96"/>
      <c r="EV19" s="79">
        <v>2000</v>
      </c>
      <c r="EW19" s="96">
        <v>467</v>
      </c>
      <c r="EX19" s="76">
        <v>382</v>
      </c>
      <c r="EY19" s="79">
        <v>206</v>
      </c>
      <c r="EZ19" s="102">
        <f>FI19</f>
        <v>203</v>
      </c>
      <c r="FA19" s="76">
        <v>3</v>
      </c>
      <c r="FB19" s="79"/>
      <c r="FC19" s="97">
        <v>440</v>
      </c>
      <c r="FD19" s="96">
        <v>27</v>
      </c>
      <c r="FE19" s="76">
        <v>33</v>
      </c>
      <c r="FF19" s="79">
        <v>29</v>
      </c>
      <c r="FG19" s="76">
        <v>227</v>
      </c>
      <c r="FH19" s="76">
        <v>173</v>
      </c>
      <c r="FI19" s="103">
        <v>203</v>
      </c>
      <c r="FJ19" s="98" t="s">
        <v>2516</v>
      </c>
      <c r="FK19" s="111"/>
      <c r="FL19" s="103"/>
      <c r="FM19" s="76">
        <v>0.52300000000000002</v>
      </c>
      <c r="FN19" s="76">
        <v>0.55600000000000005</v>
      </c>
      <c r="FO19" s="79">
        <v>0.53800000000000003</v>
      </c>
      <c r="FP19" s="106"/>
      <c r="FQ19" s="107"/>
      <c r="FR19" s="107"/>
      <c r="FS19" s="108">
        <v>19.8</v>
      </c>
    </row>
    <row r="20" spans="1:190" s="77" customFormat="1" x14ac:dyDescent="0.35">
      <c r="A20" s="76"/>
      <c r="E20" s="76"/>
      <c r="F20" s="76"/>
      <c r="G20" s="78"/>
      <c r="H20" s="76"/>
      <c r="I20" s="79"/>
      <c r="J20" s="80"/>
      <c r="K20" s="28"/>
      <c r="L20" s="28"/>
      <c r="M20" s="25" t="str">
        <f>_xlfn.CONCAT(A21," ",C21," ",D21)</f>
        <v>2025 Bentley Continental GT</v>
      </c>
      <c r="N20" s="28"/>
      <c r="O20" s="28"/>
      <c r="P20" s="28"/>
      <c r="Q20" s="28"/>
      <c r="R20" s="28"/>
      <c r="S20" s="28"/>
      <c r="T20" s="28"/>
      <c r="U20" s="28"/>
      <c r="V20" s="28"/>
      <c r="W20" s="28"/>
      <c r="X20" s="28"/>
      <c r="Y20" s="28"/>
      <c r="Z20" s="28"/>
      <c r="AA20" s="28"/>
      <c r="AB20" s="28"/>
      <c r="AC20" s="28"/>
      <c r="AD20" s="25" t="str">
        <f>$M20</f>
        <v>2025 Bentley Continental GT</v>
      </c>
      <c r="AE20" s="28"/>
      <c r="AF20" s="28"/>
      <c r="AG20" s="28"/>
      <c r="AH20" s="28"/>
      <c r="AI20" s="28"/>
      <c r="AJ20" s="81"/>
      <c r="AK20" s="82"/>
      <c r="AL20" s="2"/>
      <c r="AM20" s="2"/>
      <c r="AN20" s="2"/>
      <c r="AO20" s="2"/>
      <c r="AP20" s="2"/>
      <c r="AQ20" s="2"/>
      <c r="AR20" s="83"/>
      <c r="AS20" s="84"/>
      <c r="AT20" s="85" t="str">
        <f>$M20</f>
        <v>2025 Bentley Continental GT</v>
      </c>
      <c r="AU20" s="28"/>
      <c r="AV20" s="28"/>
      <c r="AW20" s="28"/>
      <c r="AX20" s="28"/>
      <c r="AY20" s="28"/>
      <c r="AZ20" s="28"/>
      <c r="BA20" s="28"/>
      <c r="BB20" s="28"/>
      <c r="BC20" s="28"/>
      <c r="BD20" s="28"/>
      <c r="BE20" s="28"/>
      <c r="BF20" s="28"/>
      <c r="BG20" s="28"/>
      <c r="BH20" s="28"/>
      <c r="BI20" s="25" t="str">
        <f>$M20</f>
        <v>2025 Bentley Continental GT</v>
      </c>
      <c r="BJ20" s="28"/>
      <c r="BK20" s="28"/>
      <c r="BL20" s="28"/>
      <c r="BM20" s="81"/>
      <c r="BN20" s="82"/>
      <c r="BO20" s="2"/>
      <c r="BP20" s="2"/>
      <c r="BQ20" s="2"/>
      <c r="BR20" s="2"/>
      <c r="BS20" s="2"/>
      <c r="BT20" s="86"/>
      <c r="BU20" s="2"/>
      <c r="BV20" s="83"/>
      <c r="BW20" s="87"/>
      <c r="BX20" s="84"/>
      <c r="BY20" s="25" t="str">
        <f>$M20</f>
        <v>2025 Bentley Continental GT</v>
      </c>
      <c r="BZ20" s="28"/>
      <c r="CA20" s="28"/>
      <c r="CB20" s="28"/>
      <c r="CC20" s="28"/>
      <c r="CD20" s="28"/>
      <c r="CE20" s="88"/>
      <c r="CF20" s="28"/>
      <c r="CG20" s="28"/>
      <c r="CH20" s="28"/>
      <c r="CI20" s="28"/>
      <c r="CJ20" s="28"/>
      <c r="CK20" s="28"/>
      <c r="CL20" s="28"/>
      <c r="CM20" s="28"/>
      <c r="CN20" s="28"/>
      <c r="CO20" s="25" t="str">
        <f>$M20</f>
        <v>2025 Bentley Continental GT</v>
      </c>
      <c r="CP20" s="28"/>
      <c r="CQ20" s="28"/>
      <c r="CR20" s="28"/>
      <c r="CS20" s="28"/>
      <c r="CT20" s="28"/>
      <c r="CU20" s="28"/>
      <c r="CV20" s="28"/>
      <c r="CW20" s="28"/>
      <c r="CX20" s="28"/>
      <c r="CY20" s="28"/>
      <c r="CZ20" s="28"/>
      <c r="DA20" s="28"/>
      <c r="DB20" s="28"/>
      <c r="DC20" s="28"/>
      <c r="DD20" s="28"/>
      <c r="DE20" s="28"/>
      <c r="DF20" s="25" t="str">
        <f>$M20</f>
        <v>2025 Bentley Continental GT</v>
      </c>
      <c r="DG20" s="28"/>
      <c r="DH20" s="28"/>
      <c r="DI20" s="28"/>
      <c r="DJ20" s="28"/>
      <c r="DK20" s="28"/>
      <c r="DL20" s="28"/>
      <c r="DM20" s="28"/>
      <c r="DN20" s="28"/>
      <c r="DO20" s="28"/>
      <c r="DP20" s="28"/>
      <c r="DQ20" s="28"/>
      <c r="DR20" s="25"/>
      <c r="DS20" s="25"/>
      <c r="DT20" s="25"/>
      <c r="DU20" s="25"/>
      <c r="DV20" s="25"/>
      <c r="DW20" s="25" t="str">
        <f>$M20</f>
        <v>2025 Bentley Continental GT</v>
      </c>
      <c r="DX20" s="25"/>
      <c r="DY20" s="25"/>
      <c r="DZ20" s="85"/>
      <c r="EA20" s="89"/>
      <c r="EB20" s="80"/>
      <c r="EC20" s="25"/>
      <c r="ED20" s="85"/>
      <c r="EE20" s="80"/>
      <c r="EF20" s="25"/>
      <c r="EG20" s="25"/>
      <c r="EH20" s="85"/>
      <c r="EI20" s="80"/>
      <c r="EK20" t="s">
        <v>2445</v>
      </c>
      <c r="EL20" s="85" t="str">
        <f>$M20</f>
        <v>2025 Bentley Continental GT</v>
      </c>
      <c r="EM20" s="25"/>
      <c r="EP20" s="75"/>
      <c r="EQ20" s="90"/>
      <c r="ET20" s="75"/>
      <c r="EU20" s="90"/>
      <c r="EV20" s="75"/>
      <c r="EY20" s="75"/>
      <c r="EZ20" s="102"/>
      <c r="FA20" s="25" t="str">
        <f>$M20</f>
        <v>2025 Bentley Continental GT</v>
      </c>
      <c r="FB20" s="75"/>
      <c r="FC20" s="75"/>
      <c r="FD20" s="80"/>
      <c r="FE20" s="25"/>
      <c r="FF20" s="85"/>
      <c r="FG20" s="80"/>
      <c r="FH20" s="25"/>
      <c r="FI20" s="85"/>
      <c r="FJ20" s="80"/>
      <c r="FK20" s="25"/>
      <c r="FL20" s="85"/>
      <c r="FM20" s="25" t="str">
        <f>$M20</f>
        <v>2025 Bentley Continental GT</v>
      </c>
      <c r="FN20" s="25"/>
      <c r="FO20" s="85"/>
      <c r="FP20" s="92"/>
      <c r="FQ20" s="93"/>
      <c r="FR20" s="94"/>
      <c r="FS20" s="95"/>
      <c r="FT20" s="25"/>
      <c r="FU20" s="25"/>
      <c r="FV20" s="25"/>
      <c r="FW20" s="25"/>
      <c r="FX20" s="25"/>
      <c r="FY20" s="25"/>
      <c r="FZ20" s="25"/>
      <c r="GA20" s="25"/>
      <c r="GB20" s="25"/>
      <c r="GC20" s="25"/>
      <c r="GD20" s="25"/>
      <c r="GE20" s="25"/>
      <c r="GF20" s="25"/>
      <c r="GG20" s="25"/>
      <c r="GH20" s="25"/>
    </row>
    <row r="21" spans="1:190" s="76" customFormat="1" x14ac:dyDescent="0.35">
      <c r="A21" s="76">
        <v>2025</v>
      </c>
      <c r="B21" s="76" t="s">
        <v>205</v>
      </c>
      <c r="C21" s="76" t="s">
        <v>1516</v>
      </c>
      <c r="D21" s="109" t="s">
        <v>2517</v>
      </c>
      <c r="E21" s="76" t="s">
        <v>208</v>
      </c>
      <c r="F21" s="109">
        <v>735</v>
      </c>
      <c r="G21" s="109">
        <v>4</v>
      </c>
      <c r="H21" s="109">
        <v>8</v>
      </c>
      <c r="I21" s="110" t="s">
        <v>361</v>
      </c>
      <c r="J21" s="76">
        <v>17</v>
      </c>
      <c r="K21" s="76">
        <v>22</v>
      </c>
      <c r="L21" s="76">
        <v>19</v>
      </c>
      <c r="M21" s="76">
        <v>21.4</v>
      </c>
      <c r="N21" s="76">
        <v>31.1</v>
      </c>
      <c r="O21" s="76">
        <v>24.893999999999998</v>
      </c>
      <c r="P21" s="76">
        <v>17.1523</v>
      </c>
      <c r="Q21" s="76">
        <v>22.3141</v>
      </c>
      <c r="R21" s="76">
        <v>19.145199999999999</v>
      </c>
      <c r="T21" s="76" t="s">
        <v>165</v>
      </c>
      <c r="U21" s="76" t="s">
        <v>166</v>
      </c>
      <c r="V21" s="76" t="s">
        <v>211</v>
      </c>
      <c r="W21" s="76" t="s">
        <v>212</v>
      </c>
      <c r="Y21" s="76">
        <v>8</v>
      </c>
      <c r="Z21" s="76" t="s">
        <v>170</v>
      </c>
      <c r="AA21" s="76" t="s">
        <v>170</v>
      </c>
      <c r="AB21" s="76" t="s">
        <v>167</v>
      </c>
      <c r="AC21" s="76" t="s">
        <v>213</v>
      </c>
      <c r="AD21" s="76">
        <v>15</v>
      </c>
      <c r="AF21" s="76">
        <v>411</v>
      </c>
      <c r="AG21" s="76" t="s">
        <v>173</v>
      </c>
      <c r="AH21" s="76" t="s">
        <v>174</v>
      </c>
      <c r="AI21" s="76" t="s">
        <v>175</v>
      </c>
      <c r="AJ21" s="79" t="s">
        <v>176</v>
      </c>
      <c r="AK21" s="76" t="s">
        <v>170</v>
      </c>
      <c r="AL21" s="76" t="s">
        <v>177</v>
      </c>
      <c r="AM21" s="76">
        <v>87</v>
      </c>
      <c r="AN21" s="76">
        <v>11</v>
      </c>
      <c r="AR21" s="79"/>
      <c r="AS21" s="76">
        <v>2350</v>
      </c>
      <c r="AT21" s="79">
        <v>2350</v>
      </c>
      <c r="AU21" s="76">
        <v>68</v>
      </c>
      <c r="AV21" s="76">
        <v>58</v>
      </c>
      <c r="AW21" s="76">
        <v>64</v>
      </c>
      <c r="AX21" s="76">
        <v>48.2</v>
      </c>
      <c r="AY21" s="76">
        <v>41.6</v>
      </c>
      <c r="AZ21" s="76">
        <v>45.23</v>
      </c>
      <c r="BA21" s="76">
        <v>68.370999999999995</v>
      </c>
      <c r="BB21" s="76">
        <v>57.991</v>
      </c>
      <c r="BC21" s="76">
        <v>63.7</v>
      </c>
      <c r="BD21" s="76">
        <v>30</v>
      </c>
      <c r="BE21" s="76" t="s">
        <v>1735</v>
      </c>
      <c r="BF21" s="76" t="s">
        <v>1736</v>
      </c>
      <c r="BG21" s="76" t="s">
        <v>1742</v>
      </c>
      <c r="BH21" s="76" t="s">
        <v>1743</v>
      </c>
      <c r="BI21" s="76">
        <v>2350</v>
      </c>
      <c r="BM21" s="79"/>
      <c r="BN21" s="111" t="s">
        <v>2493</v>
      </c>
      <c r="BO21" s="76">
        <v>2</v>
      </c>
      <c r="BP21" s="76">
        <v>2</v>
      </c>
      <c r="BQ21" s="76">
        <v>3</v>
      </c>
      <c r="BR21" s="76" t="s">
        <v>387</v>
      </c>
      <c r="BS21" s="76" t="s">
        <v>180</v>
      </c>
      <c r="BT21" s="76" t="s">
        <v>2494</v>
      </c>
      <c r="BU21" s="99">
        <v>45618</v>
      </c>
      <c r="BV21" s="79">
        <v>35850</v>
      </c>
      <c r="BW21" s="100"/>
      <c r="BX21" s="76" t="s">
        <v>170</v>
      </c>
      <c r="BY21" s="76" t="s">
        <v>170</v>
      </c>
      <c r="CB21" s="76" t="s">
        <v>170</v>
      </c>
      <c r="CC21" s="76" t="s">
        <v>170</v>
      </c>
      <c r="CD21" s="76" t="s">
        <v>2518</v>
      </c>
      <c r="CE21" s="76" t="s">
        <v>170</v>
      </c>
      <c r="CG21" s="76" t="s">
        <v>169</v>
      </c>
      <c r="CH21" s="76" t="s">
        <v>2519</v>
      </c>
      <c r="CI21" s="76" t="s">
        <v>169</v>
      </c>
      <c r="CJ21" s="76" t="s">
        <v>2520</v>
      </c>
      <c r="CK21" s="76" t="s">
        <v>233</v>
      </c>
      <c r="CM21" s="76">
        <v>1</v>
      </c>
      <c r="CN21" s="76" t="s">
        <v>234</v>
      </c>
      <c r="CP21" s="76">
        <v>370</v>
      </c>
      <c r="CQ21" s="76">
        <v>70</v>
      </c>
      <c r="CR21" s="76">
        <v>145.69999999999999</v>
      </c>
      <c r="CS21" s="76" t="s">
        <v>1739</v>
      </c>
      <c r="CV21" s="76" t="s">
        <v>341</v>
      </c>
      <c r="CX21" s="76" t="s">
        <v>342</v>
      </c>
      <c r="CY21" s="76" t="s">
        <v>169</v>
      </c>
      <c r="DD21" s="76">
        <v>1</v>
      </c>
      <c r="DE21" s="76" t="s">
        <v>663</v>
      </c>
      <c r="DG21" s="76">
        <v>140</v>
      </c>
      <c r="DJ21" s="76" t="s">
        <v>184</v>
      </c>
      <c r="DK21" s="76" t="s">
        <v>185</v>
      </c>
      <c r="DL21" s="76" t="s">
        <v>170</v>
      </c>
      <c r="DM21" s="76" t="s">
        <v>169</v>
      </c>
      <c r="DN21" s="76" t="s">
        <v>170</v>
      </c>
      <c r="DO21" s="76" t="s">
        <v>2521</v>
      </c>
      <c r="DP21" s="76" t="s">
        <v>169</v>
      </c>
      <c r="DQ21" s="76" t="s">
        <v>198</v>
      </c>
      <c r="DS21" s="76" t="s">
        <v>2496</v>
      </c>
      <c r="DT21" s="76" t="s">
        <v>2497</v>
      </c>
      <c r="DU21" s="76" t="s">
        <v>2513</v>
      </c>
      <c r="DV21" s="76" t="s">
        <v>2514</v>
      </c>
      <c r="DY21" s="76">
        <v>25.1</v>
      </c>
      <c r="EA21" s="112"/>
      <c r="EB21" s="76">
        <v>6</v>
      </c>
      <c r="EC21" s="76">
        <v>8</v>
      </c>
      <c r="ED21" s="79"/>
      <c r="EE21" s="76" t="s">
        <v>2522</v>
      </c>
      <c r="EF21" s="76">
        <v>4</v>
      </c>
      <c r="EH21" s="79"/>
      <c r="EL21" s="79"/>
      <c r="EP21" s="79"/>
      <c r="ET21" s="79"/>
      <c r="EV21" s="79">
        <v>2250</v>
      </c>
      <c r="EW21" s="76">
        <v>0</v>
      </c>
      <c r="EX21" s="76">
        <v>0</v>
      </c>
      <c r="EY21" s="79">
        <v>0</v>
      </c>
      <c r="EZ21" s="97">
        <v>161</v>
      </c>
      <c r="FA21" s="76">
        <v>3</v>
      </c>
      <c r="FB21" s="79"/>
      <c r="FC21" s="79">
        <v>440</v>
      </c>
      <c r="FD21" s="76">
        <v>29</v>
      </c>
      <c r="FE21" s="76">
        <v>38</v>
      </c>
      <c r="FF21" s="79">
        <v>32</v>
      </c>
      <c r="FG21" s="76">
        <v>186</v>
      </c>
      <c r="FH21" s="76">
        <v>127</v>
      </c>
      <c r="FI21" s="103">
        <v>161</v>
      </c>
      <c r="FJ21" s="104">
        <v>36.74</v>
      </c>
      <c r="FK21" s="105">
        <v>41.43</v>
      </c>
      <c r="FL21" s="103">
        <v>39</v>
      </c>
      <c r="FM21" s="76">
        <v>0.65100000000000002</v>
      </c>
      <c r="FN21" s="76">
        <v>0.68799999999999994</v>
      </c>
      <c r="FO21" s="79">
        <v>0.66800000000000004</v>
      </c>
      <c r="FP21" s="106">
        <v>0</v>
      </c>
      <c r="FQ21" s="107">
        <v>0</v>
      </c>
      <c r="FR21" s="107">
        <v>0</v>
      </c>
      <c r="FS21" s="108">
        <v>21.1</v>
      </c>
    </row>
    <row r="22" spans="1:190" s="76" customFormat="1" x14ac:dyDescent="0.35">
      <c r="A22" s="76">
        <v>2025</v>
      </c>
      <c r="B22" s="162" t="s">
        <v>2507</v>
      </c>
      <c r="C22" s="162" t="s">
        <v>1516</v>
      </c>
      <c r="D22" s="162" t="s">
        <v>2509</v>
      </c>
      <c r="E22" s="162" t="s">
        <v>208</v>
      </c>
      <c r="F22" s="162">
        <v>600</v>
      </c>
      <c r="G22" s="162">
        <v>3</v>
      </c>
      <c r="H22" s="162">
        <v>6</v>
      </c>
      <c r="I22" s="163" t="s">
        <v>192</v>
      </c>
      <c r="J22" s="76">
        <v>17</v>
      </c>
      <c r="K22" s="76">
        <v>22</v>
      </c>
      <c r="L22" s="76">
        <v>19</v>
      </c>
      <c r="M22" s="76">
        <v>21.4</v>
      </c>
      <c r="N22" s="76">
        <v>31.1</v>
      </c>
      <c r="O22" s="76">
        <v>24.893999999999998</v>
      </c>
      <c r="P22" s="76">
        <v>17.1523</v>
      </c>
      <c r="Q22" s="76">
        <v>22.3141</v>
      </c>
      <c r="R22" s="76">
        <v>19.145199999999999</v>
      </c>
      <c r="T22" s="76" t="s">
        <v>165</v>
      </c>
      <c r="U22" s="76" t="s">
        <v>166</v>
      </c>
      <c r="V22" s="76" t="s">
        <v>211</v>
      </c>
      <c r="W22" s="76" t="s">
        <v>212</v>
      </c>
      <c r="Y22" s="76">
        <v>8</v>
      </c>
      <c r="Z22" s="76" t="s">
        <v>170</v>
      </c>
      <c r="AA22" s="76" t="s">
        <v>170</v>
      </c>
      <c r="AB22" s="76" t="s">
        <v>167</v>
      </c>
      <c r="AC22" s="76" t="s">
        <v>213</v>
      </c>
      <c r="AD22" s="76">
        <v>15</v>
      </c>
      <c r="AF22" s="76">
        <v>411</v>
      </c>
      <c r="AG22" s="76" t="s">
        <v>173</v>
      </c>
      <c r="AH22" s="76" t="s">
        <v>174</v>
      </c>
      <c r="AI22" s="76" t="s">
        <v>175</v>
      </c>
      <c r="AJ22" s="79" t="s">
        <v>176</v>
      </c>
      <c r="AK22" s="76" t="s">
        <v>170</v>
      </c>
      <c r="AL22" s="76" t="s">
        <v>177</v>
      </c>
      <c r="AM22" s="76">
        <v>87</v>
      </c>
      <c r="AN22" s="76">
        <v>11</v>
      </c>
      <c r="AR22" s="79"/>
      <c r="AS22" s="76">
        <v>2350</v>
      </c>
      <c r="AT22" s="79">
        <v>2350</v>
      </c>
      <c r="AU22" s="76">
        <v>49</v>
      </c>
      <c r="AV22" s="76">
        <v>57</v>
      </c>
      <c r="AW22" s="113">
        <v>46</v>
      </c>
      <c r="AX22" s="76">
        <v>70</v>
      </c>
      <c r="AY22" s="76">
        <v>81</v>
      </c>
      <c r="AZ22" s="76">
        <v>74.556200000000004</v>
      </c>
      <c r="BA22" s="76">
        <v>49.369799999999998</v>
      </c>
      <c r="BB22" s="76">
        <v>56.669499999999999</v>
      </c>
      <c r="BC22" s="76">
        <v>52.407600000000002</v>
      </c>
      <c r="BD22" s="76">
        <v>30</v>
      </c>
      <c r="BE22" s="76" t="s">
        <v>1735</v>
      </c>
      <c r="BF22" s="76" t="s">
        <v>1736</v>
      </c>
      <c r="BG22" s="76" t="s">
        <v>175</v>
      </c>
      <c r="BH22" s="76" t="s">
        <v>176</v>
      </c>
      <c r="BI22" s="76">
        <v>2350</v>
      </c>
      <c r="BM22" s="79"/>
      <c r="BN22" s="111" t="s">
        <v>2493</v>
      </c>
      <c r="BO22" s="76">
        <v>2</v>
      </c>
      <c r="BP22" s="76">
        <v>2</v>
      </c>
      <c r="BQ22" s="76">
        <v>3</v>
      </c>
      <c r="BR22" s="76" t="s">
        <v>387</v>
      </c>
      <c r="BS22" s="76" t="s">
        <v>180</v>
      </c>
      <c r="BT22" s="76" t="s">
        <v>2494</v>
      </c>
      <c r="BU22" s="99">
        <v>45618</v>
      </c>
      <c r="BV22" s="79">
        <v>35850</v>
      </c>
      <c r="BW22" s="100"/>
      <c r="BX22" s="76" t="s">
        <v>170</v>
      </c>
      <c r="BY22" s="76" t="s">
        <v>170</v>
      </c>
      <c r="CB22" s="76" t="s">
        <v>170</v>
      </c>
      <c r="CC22" s="76" t="s">
        <v>170</v>
      </c>
      <c r="CD22" s="76" t="s">
        <v>2518</v>
      </c>
      <c r="CE22" s="76" t="s">
        <v>170</v>
      </c>
      <c r="CG22" s="76" t="s">
        <v>169</v>
      </c>
      <c r="CH22" s="76" t="s">
        <v>2519</v>
      </c>
      <c r="CI22" s="76" t="s">
        <v>169</v>
      </c>
      <c r="CJ22" s="76" t="s">
        <v>2520</v>
      </c>
      <c r="CK22" s="76" t="s">
        <v>233</v>
      </c>
      <c r="CM22" s="76">
        <v>1</v>
      </c>
      <c r="CN22" s="76" t="s">
        <v>234</v>
      </c>
      <c r="CP22" s="76">
        <v>370</v>
      </c>
      <c r="CQ22" s="76">
        <v>70</v>
      </c>
      <c r="CR22" s="76">
        <v>145.69999999999999</v>
      </c>
      <c r="CS22" s="76" t="s">
        <v>1739</v>
      </c>
      <c r="CV22" s="76" t="s">
        <v>341</v>
      </c>
      <c r="CX22" s="76" t="s">
        <v>342</v>
      </c>
      <c r="CY22" s="76" t="s">
        <v>169</v>
      </c>
      <c r="DD22" s="76">
        <v>1</v>
      </c>
      <c r="DE22" s="76" t="s">
        <v>663</v>
      </c>
      <c r="DG22" s="76">
        <v>140</v>
      </c>
      <c r="DJ22" s="76" t="s">
        <v>184</v>
      </c>
      <c r="DK22" s="76" t="s">
        <v>185</v>
      </c>
      <c r="DL22" s="76" t="s">
        <v>170</v>
      </c>
      <c r="DM22" s="76" t="s">
        <v>169</v>
      </c>
      <c r="DN22" s="76" t="s">
        <v>170</v>
      </c>
      <c r="DO22" s="76" t="s">
        <v>2521</v>
      </c>
      <c r="DP22" s="76" t="s">
        <v>169</v>
      </c>
      <c r="DQ22" s="76" t="s">
        <v>198</v>
      </c>
      <c r="DS22" s="76" t="s">
        <v>2496</v>
      </c>
      <c r="DT22" s="76" t="s">
        <v>2497</v>
      </c>
      <c r="DU22" s="76" t="s">
        <v>2513</v>
      </c>
      <c r="DV22" s="76" t="s">
        <v>2514</v>
      </c>
      <c r="DY22" s="76">
        <v>25.1</v>
      </c>
      <c r="EA22" s="112"/>
      <c r="EB22" s="76">
        <v>6</v>
      </c>
      <c r="EC22" s="76">
        <v>8</v>
      </c>
      <c r="ED22" s="79"/>
      <c r="EE22" s="76" t="s">
        <v>2522</v>
      </c>
      <c r="EF22" s="76">
        <v>4</v>
      </c>
      <c r="EH22" s="79"/>
      <c r="EL22" s="79"/>
      <c r="EP22" s="79"/>
      <c r="ET22" s="79"/>
      <c r="EV22" s="79">
        <v>2250</v>
      </c>
      <c r="EW22" s="76">
        <v>520</v>
      </c>
      <c r="EX22" s="76">
        <v>400</v>
      </c>
      <c r="EY22" s="79">
        <v>161</v>
      </c>
      <c r="EZ22" s="97">
        <v>161</v>
      </c>
      <c r="FA22" s="76">
        <v>3</v>
      </c>
      <c r="FB22" s="79"/>
      <c r="FC22" s="79">
        <v>440</v>
      </c>
      <c r="FD22" s="76">
        <v>29</v>
      </c>
      <c r="FE22" s="76">
        <v>38</v>
      </c>
      <c r="FF22" s="79">
        <v>32</v>
      </c>
      <c r="FG22" s="76">
        <v>186</v>
      </c>
      <c r="FH22" s="76">
        <v>127</v>
      </c>
      <c r="FI22" s="103">
        <v>161</v>
      </c>
      <c r="FJ22" s="114" t="s">
        <v>2523</v>
      </c>
      <c r="FK22" s="115"/>
      <c r="FL22" s="116"/>
      <c r="FM22" s="76">
        <v>0.65100000000000002</v>
      </c>
      <c r="FN22" s="76">
        <v>0.68799999999999994</v>
      </c>
      <c r="FO22" s="79">
        <v>0.66800000000000004</v>
      </c>
      <c r="FP22" s="106"/>
      <c r="FQ22" s="107"/>
      <c r="FR22" s="107"/>
      <c r="FS22" s="108">
        <v>21.1</v>
      </c>
    </row>
    <row r="23" spans="1:190" s="77" customFormat="1" x14ac:dyDescent="0.35">
      <c r="A23" s="76"/>
      <c r="E23" s="76"/>
      <c r="F23" s="76"/>
      <c r="G23" s="78"/>
      <c r="H23" s="76"/>
      <c r="I23" s="79"/>
      <c r="J23" s="80"/>
      <c r="K23" s="28"/>
      <c r="L23" s="28"/>
      <c r="M23" s="25" t="str">
        <f>_xlfn.CONCAT(A24," ",C24," ",D24)</f>
        <v>2025 Bentley Continental GT Speed</v>
      </c>
      <c r="N23" s="28"/>
      <c r="O23" s="28"/>
      <c r="P23" s="28"/>
      <c r="Q23" s="28"/>
      <c r="R23" s="28"/>
      <c r="S23" s="28"/>
      <c r="T23" s="28"/>
      <c r="U23" s="28"/>
      <c r="V23" s="28"/>
      <c r="W23" s="28"/>
      <c r="X23" s="28"/>
      <c r="Y23" s="28"/>
      <c r="Z23" s="28"/>
      <c r="AA23" s="28"/>
      <c r="AB23" s="28"/>
      <c r="AC23" s="28"/>
      <c r="AD23" s="25" t="str">
        <f>$M23</f>
        <v>2025 Bentley Continental GT Speed</v>
      </c>
      <c r="AE23" s="28"/>
      <c r="AF23" s="28"/>
      <c r="AG23" s="28"/>
      <c r="AH23" s="28"/>
      <c r="AI23" s="28"/>
      <c r="AJ23" s="81"/>
      <c r="AK23" s="2"/>
      <c r="AL23" s="2"/>
      <c r="AM23" s="2"/>
      <c r="AN23" s="2"/>
      <c r="AO23" s="2"/>
      <c r="AP23" s="2"/>
      <c r="AQ23" s="2"/>
      <c r="AR23" s="83"/>
      <c r="AS23" s="28"/>
      <c r="AT23" s="85" t="str">
        <f>$M23</f>
        <v>2025 Bentley Continental GT Speed</v>
      </c>
      <c r="AU23" s="28"/>
      <c r="AV23" s="28"/>
      <c r="AW23" s="28"/>
      <c r="AX23" s="28"/>
      <c r="AY23" s="28"/>
      <c r="AZ23" s="28"/>
      <c r="BA23" s="28"/>
      <c r="BB23" s="28"/>
      <c r="BC23" s="28"/>
      <c r="BD23" s="28"/>
      <c r="BE23" s="28"/>
      <c r="BF23" s="28"/>
      <c r="BG23" s="28"/>
      <c r="BH23" s="28"/>
      <c r="BI23" s="25" t="str">
        <f>$M23</f>
        <v>2025 Bentley Continental GT Speed</v>
      </c>
      <c r="BJ23" s="28"/>
      <c r="BK23" s="28"/>
      <c r="BL23" s="28"/>
      <c r="BM23" s="81"/>
      <c r="BN23" s="2"/>
      <c r="BO23" s="2"/>
      <c r="BP23" s="2"/>
      <c r="BQ23" s="2"/>
      <c r="BR23" s="2"/>
      <c r="BS23" s="2"/>
      <c r="BT23" s="86"/>
      <c r="BU23" s="2"/>
      <c r="BV23" s="83"/>
      <c r="BW23" s="87"/>
      <c r="BX23" s="28"/>
      <c r="BY23" s="25" t="str">
        <f>$M23</f>
        <v>2025 Bentley Continental GT Speed</v>
      </c>
      <c r="BZ23" s="28"/>
      <c r="CA23" s="28"/>
      <c r="CB23" s="28"/>
      <c r="CC23" s="28"/>
      <c r="CD23" s="28"/>
      <c r="CE23" s="88"/>
      <c r="CF23" s="28"/>
      <c r="CG23" s="28"/>
      <c r="CH23" s="28"/>
      <c r="CI23" s="28"/>
      <c r="CJ23" s="28"/>
      <c r="CK23" s="28"/>
      <c r="CL23" s="28"/>
      <c r="CM23" s="28"/>
      <c r="CN23" s="28"/>
      <c r="CO23" s="25" t="str">
        <f>$M23</f>
        <v>2025 Bentley Continental GT Speed</v>
      </c>
      <c r="CP23" s="28"/>
      <c r="CQ23" s="28"/>
      <c r="CR23" s="28"/>
      <c r="CS23" s="28"/>
      <c r="CT23" s="28"/>
      <c r="CU23" s="28"/>
      <c r="CV23" s="28"/>
      <c r="CW23" s="28"/>
      <c r="CX23" s="28"/>
      <c r="CY23" s="28"/>
      <c r="CZ23" s="28"/>
      <c r="DA23" s="28"/>
      <c r="DB23" s="28"/>
      <c r="DC23" s="28"/>
      <c r="DD23" s="28"/>
      <c r="DE23" s="28"/>
      <c r="DF23" s="25" t="str">
        <f>$M23</f>
        <v>2025 Bentley Continental GT Speed</v>
      </c>
      <c r="DG23" s="28"/>
      <c r="DH23" s="28"/>
      <c r="DI23" s="28"/>
      <c r="DJ23" s="28"/>
      <c r="DK23" s="28"/>
      <c r="DL23" s="28"/>
      <c r="DM23" s="28"/>
      <c r="DN23" s="28"/>
      <c r="DO23" s="28"/>
      <c r="DP23" s="28"/>
      <c r="DQ23" s="28"/>
      <c r="DR23" s="25"/>
      <c r="DS23" s="25"/>
      <c r="DT23" s="25"/>
      <c r="DU23" s="25"/>
      <c r="DV23" s="25"/>
      <c r="DW23" s="25" t="str">
        <f>$M23</f>
        <v>2025 Bentley Continental GT Speed</v>
      </c>
      <c r="DX23" s="25"/>
      <c r="DY23" s="25"/>
      <c r="DZ23" s="85"/>
      <c r="EA23" s="89"/>
      <c r="EB23" s="80"/>
      <c r="EC23" s="25"/>
      <c r="ED23" s="85"/>
      <c r="EE23" s="25"/>
      <c r="EF23" s="25"/>
      <c r="EG23" s="25"/>
      <c r="EH23" s="85"/>
      <c r="EI23" s="25"/>
      <c r="EK23" t="s">
        <v>2445</v>
      </c>
      <c r="EL23" s="85" t="str">
        <f>$M23</f>
        <v>2025 Bentley Continental GT Speed</v>
      </c>
      <c r="EM23" s="25"/>
      <c r="EP23" s="75"/>
      <c r="ET23" s="75"/>
      <c r="EV23" s="75"/>
      <c r="EY23" s="75"/>
      <c r="EZ23" s="102"/>
      <c r="FA23" s="25" t="str">
        <f>$M23</f>
        <v>2025 Bentley Continental GT Speed</v>
      </c>
      <c r="FB23" s="75"/>
      <c r="FC23" s="75"/>
      <c r="FD23" s="25"/>
      <c r="FE23" s="25"/>
      <c r="FF23" s="85"/>
      <c r="FG23" s="25"/>
      <c r="FH23" s="25"/>
      <c r="FI23" s="85"/>
      <c r="FJ23" s="80"/>
      <c r="FK23" s="25"/>
      <c r="FL23" s="85"/>
      <c r="FM23" s="25" t="str">
        <f>$M23</f>
        <v>2025 Bentley Continental GT Speed</v>
      </c>
      <c r="FN23" s="25"/>
      <c r="FO23" s="85"/>
      <c r="FP23" s="92"/>
      <c r="FQ23" s="93"/>
      <c r="FR23" s="94"/>
      <c r="FS23" s="95"/>
      <c r="FT23" s="25"/>
      <c r="FU23" s="25"/>
      <c r="FV23" s="25"/>
      <c r="FW23" s="25"/>
      <c r="FX23" s="25"/>
      <c r="FY23" s="25"/>
      <c r="FZ23" s="25"/>
      <c r="GA23" s="25"/>
      <c r="GB23" s="25"/>
      <c r="GC23" s="25"/>
      <c r="GD23" s="25"/>
      <c r="GE23" s="25"/>
      <c r="GF23" s="25"/>
      <c r="GG23" s="25"/>
      <c r="GH23" s="25"/>
    </row>
    <row r="24" spans="1:190" s="76" customFormat="1" x14ac:dyDescent="0.35">
      <c r="A24" s="76">
        <v>2025</v>
      </c>
      <c r="B24" s="76" t="s">
        <v>205</v>
      </c>
      <c r="C24" s="76" t="s">
        <v>1516</v>
      </c>
      <c r="D24" s="109" t="s">
        <v>2524</v>
      </c>
      <c r="E24" s="76" t="s">
        <v>208</v>
      </c>
      <c r="F24" s="109">
        <v>736</v>
      </c>
      <c r="G24" s="109">
        <v>4</v>
      </c>
      <c r="H24" s="109">
        <v>8</v>
      </c>
      <c r="I24" s="110" t="s">
        <v>361</v>
      </c>
      <c r="J24" s="76">
        <v>17</v>
      </c>
      <c r="K24" s="76">
        <v>22</v>
      </c>
      <c r="L24" s="76">
        <v>19</v>
      </c>
      <c r="M24" s="76">
        <v>21.4</v>
      </c>
      <c r="N24" s="76">
        <v>31.1</v>
      </c>
      <c r="O24" s="76">
        <v>24.893999999999998</v>
      </c>
      <c r="P24" s="76">
        <v>17.1523</v>
      </c>
      <c r="Q24" s="76">
        <v>22.3141</v>
      </c>
      <c r="R24" s="76">
        <v>19.145199999999999</v>
      </c>
      <c r="T24" s="76" t="s">
        <v>165</v>
      </c>
      <c r="U24" s="76" t="s">
        <v>166</v>
      </c>
      <c r="V24" s="76" t="s">
        <v>211</v>
      </c>
      <c r="W24" s="76" t="s">
        <v>212</v>
      </c>
      <c r="Y24" s="76">
        <v>8</v>
      </c>
      <c r="Z24" s="76" t="s">
        <v>170</v>
      </c>
      <c r="AA24" s="76" t="s">
        <v>170</v>
      </c>
      <c r="AB24" s="76" t="s">
        <v>167</v>
      </c>
      <c r="AC24" s="76" t="s">
        <v>213</v>
      </c>
      <c r="AD24" s="76">
        <v>15</v>
      </c>
      <c r="AF24" s="76">
        <v>411</v>
      </c>
      <c r="AG24" s="76" t="s">
        <v>173</v>
      </c>
      <c r="AH24" s="76" t="s">
        <v>174</v>
      </c>
      <c r="AI24" s="76" t="s">
        <v>175</v>
      </c>
      <c r="AJ24" s="79" t="s">
        <v>176</v>
      </c>
      <c r="AK24" s="76" t="s">
        <v>170</v>
      </c>
      <c r="AL24" s="76" t="s">
        <v>177</v>
      </c>
      <c r="AM24" s="76">
        <v>87</v>
      </c>
      <c r="AN24" s="76">
        <v>11</v>
      </c>
      <c r="AR24" s="79"/>
      <c r="AS24" s="76">
        <v>2350</v>
      </c>
      <c r="AT24" s="79">
        <v>2350</v>
      </c>
      <c r="AU24" s="76">
        <v>68</v>
      </c>
      <c r="AV24" s="76">
        <v>58</v>
      </c>
      <c r="AW24" s="76">
        <v>64</v>
      </c>
      <c r="AX24" s="76">
        <v>48.2</v>
      </c>
      <c r="AY24" s="76">
        <v>41.6</v>
      </c>
      <c r="AZ24" s="76">
        <v>45.23</v>
      </c>
      <c r="BA24" s="76">
        <v>68.370999999999995</v>
      </c>
      <c r="BB24" s="76">
        <v>57.991</v>
      </c>
      <c r="BC24" s="76">
        <v>63.7</v>
      </c>
      <c r="BD24" s="76">
        <v>30</v>
      </c>
      <c r="BE24" s="76" t="s">
        <v>1735</v>
      </c>
      <c r="BF24" s="76" t="s">
        <v>1736</v>
      </c>
      <c r="BG24" s="76" t="s">
        <v>1742</v>
      </c>
      <c r="BH24" s="76" t="s">
        <v>1743</v>
      </c>
      <c r="BI24" s="76">
        <v>2350</v>
      </c>
      <c r="BM24" s="79"/>
      <c r="BN24" s="111" t="s">
        <v>2493</v>
      </c>
      <c r="BO24" s="76">
        <v>2</v>
      </c>
      <c r="BP24" s="76">
        <v>2</v>
      </c>
      <c r="BQ24" s="76">
        <v>3</v>
      </c>
      <c r="BR24" s="76" t="s">
        <v>387</v>
      </c>
      <c r="BS24" s="76" t="s">
        <v>180</v>
      </c>
      <c r="BT24" s="76" t="s">
        <v>2494</v>
      </c>
      <c r="BU24" s="99">
        <v>45618</v>
      </c>
      <c r="BV24" s="79">
        <v>35851</v>
      </c>
      <c r="BW24" s="100"/>
      <c r="BX24" s="76" t="s">
        <v>170</v>
      </c>
      <c r="BY24" s="76" t="s">
        <v>170</v>
      </c>
      <c r="CB24" s="76" t="s">
        <v>170</v>
      </c>
      <c r="CC24" s="76" t="s">
        <v>170</v>
      </c>
      <c r="CD24" s="76" t="s">
        <v>2518</v>
      </c>
      <c r="CE24" s="76" t="s">
        <v>170</v>
      </c>
      <c r="CG24" s="76" t="s">
        <v>169</v>
      </c>
      <c r="CH24" s="76" t="s">
        <v>2519</v>
      </c>
      <c r="CI24" s="76" t="s">
        <v>169</v>
      </c>
      <c r="CJ24" s="76" t="s">
        <v>2520</v>
      </c>
      <c r="CK24" s="76" t="s">
        <v>233</v>
      </c>
      <c r="CM24" s="76">
        <v>1</v>
      </c>
      <c r="CN24" s="76" t="s">
        <v>234</v>
      </c>
      <c r="CP24" s="76">
        <v>370</v>
      </c>
      <c r="CQ24" s="76">
        <v>70</v>
      </c>
      <c r="CR24" s="76">
        <v>145.69999999999999</v>
      </c>
      <c r="CS24" s="76" t="s">
        <v>1739</v>
      </c>
      <c r="CV24" s="76" t="s">
        <v>341</v>
      </c>
      <c r="CX24" s="76" t="s">
        <v>342</v>
      </c>
      <c r="CY24" s="76" t="s">
        <v>169</v>
      </c>
      <c r="DD24" s="76">
        <v>1</v>
      </c>
      <c r="DE24" s="76" t="s">
        <v>663</v>
      </c>
      <c r="DG24" s="76">
        <v>140</v>
      </c>
      <c r="DJ24" s="76" t="s">
        <v>184</v>
      </c>
      <c r="DK24" s="76" t="s">
        <v>185</v>
      </c>
      <c r="DL24" s="76" t="s">
        <v>170</v>
      </c>
      <c r="DM24" s="76" t="s">
        <v>169</v>
      </c>
      <c r="DN24" s="76" t="s">
        <v>170</v>
      </c>
      <c r="DO24" s="76" t="s">
        <v>2521</v>
      </c>
      <c r="DP24" s="76" t="s">
        <v>169</v>
      </c>
      <c r="DQ24" s="76" t="s">
        <v>198</v>
      </c>
      <c r="DS24" s="76" t="s">
        <v>2496</v>
      </c>
      <c r="DT24" s="76" t="s">
        <v>2497</v>
      </c>
      <c r="DU24" s="76" t="s">
        <v>2513</v>
      </c>
      <c r="DV24" s="76" t="s">
        <v>2514</v>
      </c>
      <c r="DY24" s="76">
        <v>25.1</v>
      </c>
      <c r="EA24" s="112"/>
      <c r="EB24" s="76">
        <v>6</v>
      </c>
      <c r="EC24" s="76">
        <v>8</v>
      </c>
      <c r="ED24" s="79"/>
      <c r="EE24" s="76" t="s">
        <v>2522</v>
      </c>
      <c r="EF24" s="76">
        <v>4</v>
      </c>
      <c r="EH24" s="79"/>
      <c r="EL24" s="79"/>
      <c r="EP24" s="79"/>
      <c r="ET24" s="79"/>
      <c r="EV24" s="79">
        <v>2250</v>
      </c>
      <c r="EW24" s="76">
        <v>0</v>
      </c>
      <c r="EX24" s="76">
        <v>0</v>
      </c>
      <c r="EY24" s="79">
        <v>0</v>
      </c>
      <c r="EZ24" s="97">
        <v>161</v>
      </c>
      <c r="FA24" s="76">
        <v>3</v>
      </c>
      <c r="FB24" s="79"/>
      <c r="FC24" s="79">
        <v>440</v>
      </c>
      <c r="FD24" s="76">
        <v>29</v>
      </c>
      <c r="FE24" s="76">
        <v>38</v>
      </c>
      <c r="FF24" s="79">
        <v>32</v>
      </c>
      <c r="FG24" s="76">
        <v>186</v>
      </c>
      <c r="FH24" s="76">
        <v>127</v>
      </c>
      <c r="FI24" s="103">
        <v>161</v>
      </c>
      <c r="FJ24" s="104">
        <v>36.74</v>
      </c>
      <c r="FK24" s="105">
        <v>41.43</v>
      </c>
      <c r="FL24" s="103">
        <v>39</v>
      </c>
      <c r="FM24" s="76">
        <v>0.65100000000000002</v>
      </c>
      <c r="FN24" s="76">
        <v>0.68799999999999994</v>
      </c>
      <c r="FO24" s="79">
        <v>0.66800000000000004</v>
      </c>
      <c r="FP24" s="106">
        <v>0</v>
      </c>
      <c r="FQ24" s="107">
        <v>0</v>
      </c>
      <c r="FR24" s="107">
        <v>0</v>
      </c>
      <c r="FS24" s="108">
        <v>21.1</v>
      </c>
    </row>
    <row r="25" spans="1:190" s="76" customFormat="1" x14ac:dyDescent="0.35">
      <c r="A25" s="76">
        <v>2025</v>
      </c>
      <c r="B25" s="162" t="s">
        <v>2507</v>
      </c>
      <c r="C25" s="162" t="s">
        <v>1516</v>
      </c>
      <c r="D25" s="162" t="s">
        <v>2509</v>
      </c>
      <c r="E25" s="162" t="s">
        <v>208</v>
      </c>
      <c r="F25" s="162">
        <v>600</v>
      </c>
      <c r="G25" s="162">
        <v>3</v>
      </c>
      <c r="H25" s="162">
        <v>6</v>
      </c>
      <c r="I25" s="163" t="s">
        <v>192</v>
      </c>
      <c r="J25" s="76">
        <v>17</v>
      </c>
      <c r="K25" s="76">
        <v>22</v>
      </c>
      <c r="L25" s="76">
        <v>19</v>
      </c>
      <c r="M25" s="76">
        <v>21.4</v>
      </c>
      <c r="N25" s="76">
        <v>31.1</v>
      </c>
      <c r="O25" s="76">
        <v>24.893999999999998</v>
      </c>
      <c r="P25" s="76">
        <v>17.1523</v>
      </c>
      <c r="Q25" s="76">
        <v>22.3141</v>
      </c>
      <c r="R25" s="76">
        <v>19.145199999999999</v>
      </c>
      <c r="T25" s="76" t="s">
        <v>165</v>
      </c>
      <c r="U25" s="76" t="s">
        <v>166</v>
      </c>
      <c r="V25" s="76" t="s">
        <v>211</v>
      </c>
      <c r="W25" s="76" t="s">
        <v>212</v>
      </c>
      <c r="Y25" s="76">
        <v>8</v>
      </c>
      <c r="Z25" s="76" t="s">
        <v>170</v>
      </c>
      <c r="AA25" s="76" t="s">
        <v>170</v>
      </c>
      <c r="AB25" s="76" t="s">
        <v>167</v>
      </c>
      <c r="AC25" s="76" t="s">
        <v>213</v>
      </c>
      <c r="AD25" s="76">
        <v>15</v>
      </c>
      <c r="AF25" s="76">
        <v>411</v>
      </c>
      <c r="AG25" s="76" t="s">
        <v>173</v>
      </c>
      <c r="AH25" s="76" t="s">
        <v>174</v>
      </c>
      <c r="AI25" s="76" t="s">
        <v>175</v>
      </c>
      <c r="AJ25" s="79" t="s">
        <v>176</v>
      </c>
      <c r="AK25" s="76" t="s">
        <v>170</v>
      </c>
      <c r="AL25" s="76" t="s">
        <v>177</v>
      </c>
      <c r="AM25" s="76">
        <v>87</v>
      </c>
      <c r="AN25" s="76">
        <v>11</v>
      </c>
      <c r="AR25" s="79"/>
      <c r="AS25" s="76">
        <v>2350</v>
      </c>
      <c r="AT25" s="79">
        <v>2350</v>
      </c>
      <c r="AU25" s="76">
        <v>49</v>
      </c>
      <c r="AV25" s="76">
        <v>57</v>
      </c>
      <c r="AW25" s="113">
        <v>46</v>
      </c>
      <c r="AX25" s="76">
        <v>70</v>
      </c>
      <c r="AY25" s="76">
        <v>81</v>
      </c>
      <c r="AZ25" s="76">
        <v>74.556200000000004</v>
      </c>
      <c r="BA25" s="76">
        <v>49.369799999999998</v>
      </c>
      <c r="BB25" s="76">
        <v>56.669499999999999</v>
      </c>
      <c r="BC25" s="76">
        <v>52.407600000000002</v>
      </c>
      <c r="BD25" s="76">
        <v>30</v>
      </c>
      <c r="BE25" s="76" t="s">
        <v>1735</v>
      </c>
      <c r="BF25" s="76" t="s">
        <v>1736</v>
      </c>
      <c r="BG25" s="76" t="s">
        <v>175</v>
      </c>
      <c r="BH25" s="76" t="s">
        <v>176</v>
      </c>
      <c r="BI25" s="76">
        <v>2350</v>
      </c>
      <c r="BM25" s="79"/>
      <c r="BN25" s="111" t="s">
        <v>2493</v>
      </c>
      <c r="BO25" s="76">
        <v>2</v>
      </c>
      <c r="BP25" s="76">
        <v>2</v>
      </c>
      <c r="BQ25" s="76">
        <v>3</v>
      </c>
      <c r="BR25" s="76" t="s">
        <v>387</v>
      </c>
      <c r="BS25" s="76" t="s">
        <v>180</v>
      </c>
      <c r="BT25" s="76" t="s">
        <v>2494</v>
      </c>
      <c r="BU25" s="99">
        <v>45618</v>
      </c>
      <c r="BV25" s="79">
        <v>35851</v>
      </c>
      <c r="BW25" s="100"/>
      <c r="BX25" s="76" t="s">
        <v>170</v>
      </c>
      <c r="BY25" s="76" t="s">
        <v>170</v>
      </c>
      <c r="CB25" s="76" t="s">
        <v>170</v>
      </c>
      <c r="CC25" s="76" t="s">
        <v>170</v>
      </c>
      <c r="CD25" s="76" t="s">
        <v>2518</v>
      </c>
      <c r="CE25" s="76" t="s">
        <v>170</v>
      </c>
      <c r="CG25" s="76" t="s">
        <v>169</v>
      </c>
      <c r="CH25" s="76" t="s">
        <v>2519</v>
      </c>
      <c r="CI25" s="76" t="s">
        <v>169</v>
      </c>
      <c r="CJ25" s="76" t="s">
        <v>2520</v>
      </c>
      <c r="CK25" s="76" t="s">
        <v>233</v>
      </c>
      <c r="CM25" s="76">
        <v>1</v>
      </c>
      <c r="CN25" s="76" t="s">
        <v>234</v>
      </c>
      <c r="CP25" s="76">
        <v>370</v>
      </c>
      <c r="CQ25" s="76">
        <v>70</v>
      </c>
      <c r="CR25" s="76">
        <v>145.69999999999999</v>
      </c>
      <c r="CS25" s="76" t="s">
        <v>1739</v>
      </c>
      <c r="CV25" s="76" t="s">
        <v>341</v>
      </c>
      <c r="CX25" s="76" t="s">
        <v>342</v>
      </c>
      <c r="CY25" s="76" t="s">
        <v>169</v>
      </c>
      <c r="DD25" s="76">
        <v>1</v>
      </c>
      <c r="DE25" s="76" t="s">
        <v>663</v>
      </c>
      <c r="DG25" s="76">
        <v>140</v>
      </c>
      <c r="DJ25" s="76" t="s">
        <v>184</v>
      </c>
      <c r="DK25" s="76" t="s">
        <v>185</v>
      </c>
      <c r="DL25" s="76" t="s">
        <v>170</v>
      </c>
      <c r="DM25" s="76" t="s">
        <v>169</v>
      </c>
      <c r="DN25" s="76" t="s">
        <v>170</v>
      </c>
      <c r="DO25" s="76" t="s">
        <v>2521</v>
      </c>
      <c r="DP25" s="76" t="s">
        <v>169</v>
      </c>
      <c r="DQ25" s="76" t="s">
        <v>198</v>
      </c>
      <c r="DS25" s="76" t="s">
        <v>2496</v>
      </c>
      <c r="DT25" s="76" t="s">
        <v>2497</v>
      </c>
      <c r="DU25" s="76" t="s">
        <v>2513</v>
      </c>
      <c r="DV25" s="76" t="s">
        <v>2514</v>
      </c>
      <c r="DY25" s="76">
        <v>25.1</v>
      </c>
      <c r="EA25" s="112"/>
      <c r="EB25" s="76">
        <v>6</v>
      </c>
      <c r="EC25" s="76">
        <v>8</v>
      </c>
      <c r="ED25" s="79"/>
      <c r="EE25" s="76" t="s">
        <v>2522</v>
      </c>
      <c r="EF25" s="76">
        <v>4</v>
      </c>
      <c r="EH25" s="79"/>
      <c r="EL25" s="79"/>
      <c r="EP25" s="79"/>
      <c r="ET25" s="79"/>
      <c r="EV25" s="79">
        <v>2250</v>
      </c>
      <c r="EW25" s="76">
        <v>520</v>
      </c>
      <c r="EX25" s="76">
        <v>400</v>
      </c>
      <c r="EY25" s="79">
        <v>161</v>
      </c>
      <c r="EZ25" s="97">
        <v>161</v>
      </c>
      <c r="FA25" s="76">
        <v>3</v>
      </c>
      <c r="FB25" s="79"/>
      <c r="FC25" s="79">
        <v>440</v>
      </c>
      <c r="FD25" s="76">
        <v>29</v>
      </c>
      <c r="FE25" s="76">
        <v>38</v>
      </c>
      <c r="FF25" s="79">
        <v>32</v>
      </c>
      <c r="FG25" s="76">
        <v>186</v>
      </c>
      <c r="FH25" s="76">
        <v>127</v>
      </c>
      <c r="FI25" s="103">
        <v>161</v>
      </c>
      <c r="FJ25" s="114" t="s">
        <v>2523</v>
      </c>
      <c r="FK25" s="115"/>
      <c r="FL25" s="116"/>
      <c r="FM25" s="76">
        <v>0.65100000000000002</v>
      </c>
      <c r="FN25" s="76">
        <v>0.68799999999999994</v>
      </c>
      <c r="FO25" s="79">
        <v>0.66800000000000004</v>
      </c>
      <c r="FP25" s="106"/>
      <c r="FQ25" s="107"/>
      <c r="FR25" s="107"/>
      <c r="FS25" s="108">
        <v>21.1</v>
      </c>
    </row>
    <row r="26" spans="1:190" s="77" customFormat="1" x14ac:dyDescent="0.35">
      <c r="A26" s="76"/>
      <c r="E26" s="76"/>
      <c r="F26" s="76"/>
      <c r="G26" s="78"/>
      <c r="H26" s="76"/>
      <c r="I26" s="79"/>
      <c r="J26" s="80"/>
      <c r="K26" s="28"/>
      <c r="L26" s="28"/>
      <c r="M26" s="25" t="str">
        <f>_xlfn.CONCAT(A27," ",C27," ",D27)</f>
        <v>2025 Bentley Continental GTC</v>
      </c>
      <c r="N26" s="28"/>
      <c r="O26" s="28"/>
      <c r="P26" s="28"/>
      <c r="Q26" s="28"/>
      <c r="R26" s="28"/>
      <c r="S26" s="28"/>
      <c r="T26" s="28"/>
      <c r="U26" s="28"/>
      <c r="V26" s="28"/>
      <c r="W26" s="28"/>
      <c r="X26" s="28"/>
      <c r="Y26" s="28"/>
      <c r="Z26" s="28"/>
      <c r="AA26" s="28"/>
      <c r="AB26" s="28"/>
      <c r="AC26" s="28"/>
      <c r="AD26" s="25" t="str">
        <f>$M26</f>
        <v>2025 Bentley Continental GTC</v>
      </c>
      <c r="AE26" s="28"/>
      <c r="AF26" s="28"/>
      <c r="AG26" s="28"/>
      <c r="AH26" s="28"/>
      <c r="AI26" s="28"/>
      <c r="AJ26" s="81"/>
      <c r="AK26" s="82"/>
      <c r="AL26" s="2"/>
      <c r="AM26" s="2"/>
      <c r="AN26" s="2"/>
      <c r="AO26" s="2"/>
      <c r="AP26" s="2"/>
      <c r="AQ26" s="2"/>
      <c r="AR26" s="83"/>
      <c r="AS26" s="28"/>
      <c r="AT26" s="85" t="str">
        <f>$M26</f>
        <v>2025 Bentley Continental GTC</v>
      </c>
      <c r="AU26" s="28"/>
      <c r="AV26" s="28"/>
      <c r="AW26" s="28"/>
      <c r="AX26" s="28"/>
      <c r="AY26" s="28"/>
      <c r="AZ26" s="28"/>
      <c r="BA26" s="28"/>
      <c r="BB26" s="28"/>
      <c r="BC26" s="28"/>
      <c r="BD26" s="28"/>
      <c r="BE26" s="28"/>
      <c r="BF26" s="28"/>
      <c r="BG26" s="28"/>
      <c r="BH26" s="28"/>
      <c r="BI26" s="25" t="str">
        <f>$M26</f>
        <v>2025 Bentley Continental GTC</v>
      </c>
      <c r="BJ26" s="28"/>
      <c r="BK26" s="28"/>
      <c r="BL26" s="28"/>
      <c r="BM26" s="81"/>
      <c r="BN26" s="2"/>
      <c r="BO26" s="2"/>
      <c r="BP26" s="2"/>
      <c r="BQ26" s="2"/>
      <c r="BR26" s="76"/>
      <c r="BS26" s="2"/>
      <c r="BT26" s="86"/>
      <c r="BU26" s="2"/>
      <c r="BV26" s="83"/>
      <c r="BW26" s="87"/>
      <c r="BX26" s="28"/>
      <c r="BY26" s="25" t="str">
        <f>$M26</f>
        <v>2025 Bentley Continental GTC</v>
      </c>
      <c r="BZ26" s="28"/>
      <c r="CA26" s="28"/>
      <c r="CB26" s="28"/>
      <c r="CC26" s="28"/>
      <c r="CD26" s="28"/>
      <c r="CE26" s="88"/>
      <c r="CF26" s="28"/>
      <c r="CG26" s="28"/>
      <c r="CH26" s="28"/>
      <c r="CI26" s="28"/>
      <c r="CJ26" s="28"/>
      <c r="CK26" s="28"/>
      <c r="CL26" s="28"/>
      <c r="CM26" s="28"/>
      <c r="CN26" s="28"/>
      <c r="CO26" s="25" t="str">
        <f>$M26</f>
        <v>2025 Bentley Continental GTC</v>
      </c>
      <c r="CP26" s="28"/>
      <c r="CQ26" s="28"/>
      <c r="CR26" s="28"/>
      <c r="CS26" s="28"/>
      <c r="CT26" s="28"/>
      <c r="CU26" s="28"/>
      <c r="CV26" s="28"/>
      <c r="CW26" s="28"/>
      <c r="CX26" s="28"/>
      <c r="CY26" s="28"/>
      <c r="CZ26" s="28"/>
      <c r="DA26" s="28"/>
      <c r="DB26" s="28"/>
      <c r="DC26" s="28"/>
      <c r="DD26" s="28"/>
      <c r="DE26" s="28"/>
      <c r="DF26" s="25" t="str">
        <f>$M26</f>
        <v>2025 Bentley Continental GTC</v>
      </c>
      <c r="DG26" s="28"/>
      <c r="DH26" s="28"/>
      <c r="DI26" s="28"/>
      <c r="DJ26" s="28"/>
      <c r="DK26" s="28"/>
      <c r="DL26" s="28"/>
      <c r="DM26" s="28"/>
      <c r="DN26" s="28"/>
      <c r="DO26" s="28"/>
      <c r="DP26" s="28"/>
      <c r="DQ26" s="28"/>
      <c r="DR26" s="25"/>
      <c r="DS26" s="25"/>
      <c r="DT26" s="25"/>
      <c r="DU26" s="25"/>
      <c r="DV26" s="25"/>
      <c r="DW26" s="25" t="str">
        <f>$M26</f>
        <v>2025 Bentley Continental GTC</v>
      </c>
      <c r="DX26" s="25"/>
      <c r="DY26" s="25"/>
      <c r="DZ26" s="85"/>
      <c r="EA26" s="89"/>
      <c r="EB26" s="80"/>
      <c r="EC26" s="25"/>
      <c r="ED26" s="85"/>
      <c r="EE26" s="25"/>
      <c r="EF26" s="25"/>
      <c r="EG26" s="25"/>
      <c r="EH26" s="85"/>
      <c r="EI26" s="25"/>
      <c r="EK26" t="s">
        <v>2445</v>
      </c>
      <c r="EL26" s="85" t="str">
        <f>$M26</f>
        <v>2025 Bentley Continental GTC</v>
      </c>
      <c r="EM26" s="25"/>
      <c r="EP26" s="75"/>
      <c r="ET26" s="75"/>
      <c r="EV26" s="75"/>
      <c r="EY26" s="75"/>
      <c r="EZ26" s="102"/>
      <c r="FA26" s="25" t="str">
        <f>$M26</f>
        <v>2025 Bentley Continental GTC</v>
      </c>
      <c r="FB26" s="75"/>
      <c r="FC26" s="75"/>
      <c r="FD26" s="25"/>
      <c r="FE26" s="25"/>
      <c r="FF26" s="85"/>
      <c r="FG26" s="25"/>
      <c r="FH26" s="25"/>
      <c r="FI26" s="85"/>
      <c r="FJ26" s="80"/>
      <c r="FK26" s="25"/>
      <c r="FL26" s="85"/>
      <c r="FM26" s="25" t="str">
        <f>$M26</f>
        <v>2025 Bentley Continental GTC</v>
      </c>
      <c r="FN26" s="25"/>
      <c r="FO26" s="85"/>
      <c r="FP26" s="92"/>
      <c r="FQ26" s="93"/>
      <c r="FR26" s="94"/>
      <c r="FS26" s="95"/>
      <c r="FT26" s="25"/>
      <c r="FU26" s="25"/>
      <c r="FV26" s="25"/>
      <c r="FW26" s="25"/>
      <c r="FX26" s="25"/>
      <c r="FY26" s="25"/>
      <c r="FZ26" s="25"/>
      <c r="GA26" s="25"/>
      <c r="GB26" s="25"/>
      <c r="GC26" s="25"/>
      <c r="GD26" s="25"/>
      <c r="GE26" s="25"/>
      <c r="GF26" s="25"/>
      <c r="GG26" s="25"/>
      <c r="GH26" s="25"/>
    </row>
    <row r="27" spans="1:190" s="76" customFormat="1" x14ac:dyDescent="0.35">
      <c r="A27" s="76">
        <v>2025</v>
      </c>
      <c r="B27" s="76" t="s">
        <v>205</v>
      </c>
      <c r="C27" s="76" t="s">
        <v>1516</v>
      </c>
      <c r="D27" s="109" t="s">
        <v>2525</v>
      </c>
      <c r="E27" s="76" t="s">
        <v>208</v>
      </c>
      <c r="F27" s="109">
        <v>746</v>
      </c>
      <c r="G27" s="109">
        <v>4</v>
      </c>
      <c r="H27" s="109">
        <v>8</v>
      </c>
      <c r="I27" s="110" t="s">
        <v>361</v>
      </c>
      <c r="J27" s="76">
        <v>17</v>
      </c>
      <c r="K27" s="76">
        <v>22</v>
      </c>
      <c r="L27" s="76">
        <v>19</v>
      </c>
      <c r="M27" s="76">
        <v>21.4</v>
      </c>
      <c r="N27" s="76">
        <v>31.1</v>
      </c>
      <c r="O27" s="76">
        <v>24.893999999999998</v>
      </c>
      <c r="P27" s="76">
        <v>17.1523</v>
      </c>
      <c r="Q27" s="76">
        <v>22.3141</v>
      </c>
      <c r="R27" s="76">
        <v>19.145199999999999</v>
      </c>
      <c r="T27" s="76" t="s">
        <v>165</v>
      </c>
      <c r="U27" s="76" t="s">
        <v>166</v>
      </c>
      <c r="V27" s="76" t="s">
        <v>211</v>
      </c>
      <c r="W27" s="76" t="s">
        <v>212</v>
      </c>
      <c r="Y27" s="76">
        <v>8</v>
      </c>
      <c r="Z27" s="76" t="s">
        <v>170</v>
      </c>
      <c r="AA27" s="76" t="s">
        <v>170</v>
      </c>
      <c r="AB27" s="76" t="s">
        <v>167</v>
      </c>
      <c r="AC27" s="76" t="s">
        <v>213</v>
      </c>
      <c r="AD27" s="76">
        <v>15</v>
      </c>
      <c r="AF27" s="76">
        <v>411</v>
      </c>
      <c r="AG27" s="76" t="s">
        <v>173</v>
      </c>
      <c r="AH27" s="76" t="s">
        <v>174</v>
      </c>
      <c r="AI27" s="76" t="s">
        <v>175</v>
      </c>
      <c r="AJ27" s="79" t="s">
        <v>176</v>
      </c>
      <c r="AK27" s="76" t="s">
        <v>170</v>
      </c>
      <c r="AL27" s="76" t="s">
        <v>177</v>
      </c>
      <c r="AM27" s="76">
        <v>77</v>
      </c>
      <c r="AN27" s="76">
        <v>6</v>
      </c>
      <c r="AR27" s="79"/>
      <c r="AS27" s="76">
        <v>2350</v>
      </c>
      <c r="AT27" s="79">
        <v>2350</v>
      </c>
      <c r="AU27" s="76">
        <v>68</v>
      </c>
      <c r="AV27" s="76">
        <v>58</v>
      </c>
      <c r="AW27" s="76">
        <v>64</v>
      </c>
      <c r="AX27" s="76">
        <v>48.2</v>
      </c>
      <c r="AY27" s="76">
        <v>41.6</v>
      </c>
      <c r="AZ27" s="76">
        <v>45.23</v>
      </c>
      <c r="BA27" s="76">
        <v>68.370999999999995</v>
      </c>
      <c r="BB27" s="76">
        <v>57.991</v>
      </c>
      <c r="BC27" s="76">
        <v>63.7</v>
      </c>
      <c r="BD27" s="76">
        <v>30</v>
      </c>
      <c r="BE27" s="76" t="s">
        <v>1735</v>
      </c>
      <c r="BF27" s="76" t="s">
        <v>1736</v>
      </c>
      <c r="BG27" s="76" t="s">
        <v>1742</v>
      </c>
      <c r="BH27" s="76" t="s">
        <v>1743</v>
      </c>
      <c r="BI27" s="76">
        <v>2350</v>
      </c>
      <c r="BM27" s="79"/>
      <c r="BN27" s="111" t="s">
        <v>2493</v>
      </c>
      <c r="BO27" s="76">
        <v>2</v>
      </c>
      <c r="BP27" s="76">
        <v>2</v>
      </c>
      <c r="BQ27" s="76">
        <v>2</v>
      </c>
      <c r="BR27" s="76" t="s">
        <v>321</v>
      </c>
      <c r="BS27" s="76" t="s">
        <v>180</v>
      </c>
      <c r="BT27" s="76" t="s">
        <v>2494</v>
      </c>
      <c r="BU27" s="99">
        <v>45618</v>
      </c>
      <c r="BV27" s="79">
        <v>35852</v>
      </c>
      <c r="BW27" s="100"/>
      <c r="BX27" s="76" t="s">
        <v>170</v>
      </c>
      <c r="BY27" s="76" t="s">
        <v>170</v>
      </c>
      <c r="CB27" s="76" t="s">
        <v>170</v>
      </c>
      <c r="CC27" s="76" t="s">
        <v>170</v>
      </c>
      <c r="CD27" s="76" t="s">
        <v>2518</v>
      </c>
      <c r="CE27" s="76" t="s">
        <v>170</v>
      </c>
      <c r="CG27" s="76" t="s">
        <v>169</v>
      </c>
      <c r="CH27" s="76" t="s">
        <v>2519</v>
      </c>
      <c r="CI27" s="76" t="s">
        <v>169</v>
      </c>
      <c r="CJ27" s="76" t="s">
        <v>2520</v>
      </c>
      <c r="CK27" s="76" t="s">
        <v>233</v>
      </c>
      <c r="CM27" s="76">
        <v>1</v>
      </c>
      <c r="CN27" s="76" t="s">
        <v>234</v>
      </c>
      <c r="CP27" s="76">
        <v>370</v>
      </c>
      <c r="CQ27" s="76">
        <v>70</v>
      </c>
      <c r="CR27" s="76">
        <v>145.69999999999999</v>
      </c>
      <c r="CS27" s="76" t="s">
        <v>1739</v>
      </c>
      <c r="CV27" s="76" t="s">
        <v>341</v>
      </c>
      <c r="CX27" s="76" t="s">
        <v>342</v>
      </c>
      <c r="CY27" s="76" t="s">
        <v>169</v>
      </c>
      <c r="DD27" s="76">
        <v>1</v>
      </c>
      <c r="DE27" s="76" t="s">
        <v>663</v>
      </c>
      <c r="DG27" s="76">
        <v>140</v>
      </c>
      <c r="DJ27" s="76" t="s">
        <v>184</v>
      </c>
      <c r="DK27" s="76" t="s">
        <v>185</v>
      </c>
      <c r="DL27" s="76" t="s">
        <v>170</v>
      </c>
      <c r="DM27" s="76" t="s">
        <v>169</v>
      </c>
      <c r="DN27" s="76" t="s">
        <v>170</v>
      </c>
      <c r="DO27" s="76" t="s">
        <v>2521</v>
      </c>
      <c r="DP27" s="76" t="s">
        <v>169</v>
      </c>
      <c r="DQ27" s="76" t="s">
        <v>198</v>
      </c>
      <c r="DS27" s="76" t="s">
        <v>2496</v>
      </c>
      <c r="DT27" s="76" t="s">
        <v>2497</v>
      </c>
      <c r="DU27" s="76" t="s">
        <v>2513</v>
      </c>
      <c r="DV27" s="76" t="s">
        <v>2514</v>
      </c>
      <c r="DY27" s="76">
        <v>25.1</v>
      </c>
      <c r="EA27" s="112"/>
      <c r="EB27" s="76">
        <v>6</v>
      </c>
      <c r="EC27" s="76">
        <v>8</v>
      </c>
      <c r="ED27" s="79"/>
      <c r="EE27" s="76" t="s">
        <v>2522</v>
      </c>
      <c r="EF27" s="76">
        <v>4</v>
      </c>
      <c r="EH27" s="79"/>
      <c r="EL27" s="79"/>
      <c r="EP27" s="79"/>
      <c r="ET27" s="79"/>
      <c r="EV27" s="79">
        <v>2250</v>
      </c>
      <c r="EW27" s="76">
        <v>0</v>
      </c>
      <c r="EX27" s="76">
        <v>0</v>
      </c>
      <c r="EY27" s="79">
        <v>0</v>
      </c>
      <c r="EZ27" s="97">
        <v>161</v>
      </c>
      <c r="FA27" s="76">
        <v>3</v>
      </c>
      <c r="FB27" s="79"/>
      <c r="FC27" s="79">
        <v>440</v>
      </c>
      <c r="FD27" s="76">
        <v>29</v>
      </c>
      <c r="FE27" s="76">
        <v>38</v>
      </c>
      <c r="FF27" s="79">
        <v>32</v>
      </c>
      <c r="FG27" s="76">
        <v>186</v>
      </c>
      <c r="FH27" s="76">
        <v>127</v>
      </c>
      <c r="FI27" s="103">
        <v>161</v>
      </c>
      <c r="FJ27" s="104">
        <v>36.74</v>
      </c>
      <c r="FK27" s="105">
        <v>41.43</v>
      </c>
      <c r="FL27" s="103">
        <v>39</v>
      </c>
      <c r="FM27" s="76">
        <v>0.65100000000000002</v>
      </c>
      <c r="FN27" s="76">
        <v>0.68799999999999994</v>
      </c>
      <c r="FO27" s="79">
        <v>0.66800000000000004</v>
      </c>
      <c r="FP27" s="106">
        <v>0</v>
      </c>
      <c r="FQ27" s="107">
        <v>0</v>
      </c>
      <c r="FR27" s="107">
        <v>0</v>
      </c>
      <c r="FS27" s="108">
        <v>21.1</v>
      </c>
    </row>
    <row r="28" spans="1:190" s="76" customFormat="1" x14ac:dyDescent="0.35">
      <c r="A28" s="76">
        <v>2025</v>
      </c>
      <c r="B28" s="162" t="s">
        <v>2507</v>
      </c>
      <c r="C28" s="162" t="s">
        <v>1516</v>
      </c>
      <c r="D28" s="162" t="s">
        <v>2509</v>
      </c>
      <c r="E28" s="162" t="s">
        <v>208</v>
      </c>
      <c r="F28" s="162">
        <v>600</v>
      </c>
      <c r="G28" s="162">
        <v>3</v>
      </c>
      <c r="H28" s="162">
        <v>6</v>
      </c>
      <c r="I28" s="163" t="s">
        <v>192</v>
      </c>
      <c r="J28" s="76">
        <v>17</v>
      </c>
      <c r="K28" s="76">
        <v>22</v>
      </c>
      <c r="L28" s="76">
        <v>19</v>
      </c>
      <c r="M28" s="76">
        <v>21.4</v>
      </c>
      <c r="N28" s="76">
        <v>31.1</v>
      </c>
      <c r="O28" s="76">
        <v>24.893999999999998</v>
      </c>
      <c r="P28" s="76">
        <v>17.1523</v>
      </c>
      <c r="Q28" s="76">
        <v>22.3141</v>
      </c>
      <c r="R28" s="76">
        <v>19.145199999999999</v>
      </c>
      <c r="T28" s="76" t="s">
        <v>165</v>
      </c>
      <c r="U28" s="76" t="s">
        <v>166</v>
      </c>
      <c r="V28" s="76" t="s">
        <v>211</v>
      </c>
      <c r="W28" s="76" t="s">
        <v>212</v>
      </c>
      <c r="Y28" s="76">
        <v>8</v>
      </c>
      <c r="Z28" s="76" t="s">
        <v>170</v>
      </c>
      <c r="AA28" s="76" t="s">
        <v>170</v>
      </c>
      <c r="AB28" s="76" t="s">
        <v>167</v>
      </c>
      <c r="AC28" s="76" t="s">
        <v>213</v>
      </c>
      <c r="AD28" s="76">
        <v>15</v>
      </c>
      <c r="AF28" s="76">
        <v>411</v>
      </c>
      <c r="AG28" s="76" t="s">
        <v>173</v>
      </c>
      <c r="AH28" s="76" t="s">
        <v>174</v>
      </c>
      <c r="AI28" s="76" t="s">
        <v>175</v>
      </c>
      <c r="AJ28" s="79" t="s">
        <v>176</v>
      </c>
      <c r="AK28" s="76" t="s">
        <v>170</v>
      </c>
      <c r="AL28" s="76" t="s">
        <v>177</v>
      </c>
      <c r="AM28" s="76">
        <v>77</v>
      </c>
      <c r="AN28" s="76">
        <v>6</v>
      </c>
      <c r="AR28" s="79"/>
      <c r="AS28" s="76">
        <v>2350</v>
      </c>
      <c r="AT28" s="79">
        <v>2350</v>
      </c>
      <c r="AU28" s="76">
        <v>49</v>
      </c>
      <c r="AV28" s="76">
        <v>57</v>
      </c>
      <c r="AW28" s="113">
        <v>46</v>
      </c>
      <c r="AX28" s="76">
        <v>70</v>
      </c>
      <c r="AY28" s="76">
        <v>81</v>
      </c>
      <c r="AZ28" s="76">
        <v>74.556200000000004</v>
      </c>
      <c r="BA28" s="76">
        <v>49.369799999999998</v>
      </c>
      <c r="BB28" s="76">
        <v>56.669499999999999</v>
      </c>
      <c r="BC28" s="76">
        <v>52.407600000000002</v>
      </c>
      <c r="BD28" s="76">
        <v>30</v>
      </c>
      <c r="BE28" s="76" t="s">
        <v>1735</v>
      </c>
      <c r="BF28" s="76" t="s">
        <v>1736</v>
      </c>
      <c r="BG28" s="76" t="s">
        <v>175</v>
      </c>
      <c r="BH28" s="76" t="s">
        <v>176</v>
      </c>
      <c r="BI28" s="76">
        <v>2350</v>
      </c>
      <c r="BM28" s="79"/>
      <c r="BN28" s="111" t="s">
        <v>2493</v>
      </c>
      <c r="BO28" s="76">
        <v>2</v>
      </c>
      <c r="BP28" s="76">
        <v>2</v>
      </c>
      <c r="BQ28" s="76">
        <v>2</v>
      </c>
      <c r="BR28" s="76" t="s">
        <v>321</v>
      </c>
      <c r="BS28" s="76" t="s">
        <v>180</v>
      </c>
      <c r="BT28" s="76" t="s">
        <v>2494</v>
      </c>
      <c r="BU28" s="99">
        <v>45618</v>
      </c>
      <c r="BV28" s="79">
        <v>35852</v>
      </c>
      <c r="BW28" s="100"/>
      <c r="BX28" s="76" t="s">
        <v>170</v>
      </c>
      <c r="BY28" s="76" t="s">
        <v>170</v>
      </c>
      <c r="CB28" s="76" t="s">
        <v>170</v>
      </c>
      <c r="CC28" s="76" t="s">
        <v>170</v>
      </c>
      <c r="CD28" s="76" t="s">
        <v>2518</v>
      </c>
      <c r="CE28" s="76" t="s">
        <v>170</v>
      </c>
      <c r="CG28" s="76" t="s">
        <v>169</v>
      </c>
      <c r="CH28" s="76" t="s">
        <v>2519</v>
      </c>
      <c r="CI28" s="76" t="s">
        <v>169</v>
      </c>
      <c r="CJ28" s="76" t="s">
        <v>2520</v>
      </c>
      <c r="CK28" s="76" t="s">
        <v>233</v>
      </c>
      <c r="CM28" s="76">
        <v>1</v>
      </c>
      <c r="CN28" s="76" t="s">
        <v>234</v>
      </c>
      <c r="CP28" s="76">
        <v>370</v>
      </c>
      <c r="CQ28" s="76">
        <v>70</v>
      </c>
      <c r="CR28" s="76">
        <v>145.69999999999999</v>
      </c>
      <c r="CS28" s="76" t="s">
        <v>1739</v>
      </c>
      <c r="CV28" s="76" t="s">
        <v>341</v>
      </c>
      <c r="CX28" s="76" t="s">
        <v>342</v>
      </c>
      <c r="CY28" s="76" t="s">
        <v>169</v>
      </c>
      <c r="DD28" s="76">
        <v>1</v>
      </c>
      <c r="DE28" s="76" t="s">
        <v>663</v>
      </c>
      <c r="DG28" s="76">
        <v>140</v>
      </c>
      <c r="DJ28" s="76" t="s">
        <v>184</v>
      </c>
      <c r="DK28" s="76" t="s">
        <v>185</v>
      </c>
      <c r="DL28" s="76" t="s">
        <v>170</v>
      </c>
      <c r="DM28" s="76" t="s">
        <v>169</v>
      </c>
      <c r="DN28" s="76" t="s">
        <v>170</v>
      </c>
      <c r="DO28" s="76" t="s">
        <v>2521</v>
      </c>
      <c r="DP28" s="76" t="s">
        <v>169</v>
      </c>
      <c r="DQ28" s="76" t="s">
        <v>198</v>
      </c>
      <c r="DS28" s="76" t="s">
        <v>2496</v>
      </c>
      <c r="DT28" s="76" t="s">
        <v>2497</v>
      </c>
      <c r="DU28" s="76" t="s">
        <v>2513</v>
      </c>
      <c r="DV28" s="76" t="s">
        <v>2514</v>
      </c>
      <c r="DY28" s="76">
        <v>25.1</v>
      </c>
      <c r="EA28" s="112"/>
      <c r="EB28" s="76">
        <v>6</v>
      </c>
      <c r="EC28" s="76">
        <v>8</v>
      </c>
      <c r="ED28" s="79"/>
      <c r="EE28" s="76" t="s">
        <v>2522</v>
      </c>
      <c r="EF28" s="76">
        <v>4</v>
      </c>
      <c r="EH28" s="79"/>
      <c r="EL28" s="79"/>
      <c r="EP28" s="79"/>
      <c r="ET28" s="79"/>
      <c r="EV28" s="79">
        <v>2250</v>
      </c>
      <c r="EW28" s="76">
        <v>520</v>
      </c>
      <c r="EX28" s="76">
        <v>400</v>
      </c>
      <c r="EY28" s="79">
        <v>161</v>
      </c>
      <c r="EZ28" s="97">
        <v>161</v>
      </c>
      <c r="FA28" s="76">
        <v>3</v>
      </c>
      <c r="FB28" s="79"/>
      <c r="FC28" s="79">
        <v>440</v>
      </c>
      <c r="FD28" s="76">
        <v>29</v>
      </c>
      <c r="FE28" s="76">
        <v>38</v>
      </c>
      <c r="FF28" s="79">
        <v>32</v>
      </c>
      <c r="FG28" s="76">
        <v>186</v>
      </c>
      <c r="FH28" s="76">
        <v>127</v>
      </c>
      <c r="FI28" s="103">
        <v>161</v>
      </c>
      <c r="FJ28" s="114" t="s">
        <v>2523</v>
      </c>
      <c r="FK28" s="115"/>
      <c r="FL28" s="116"/>
      <c r="FM28" s="76">
        <v>0.65100000000000002</v>
      </c>
      <c r="FN28" s="76">
        <v>0.68799999999999994</v>
      </c>
      <c r="FO28" s="79">
        <v>0.66800000000000004</v>
      </c>
      <c r="FP28" s="106"/>
      <c r="FQ28" s="107"/>
      <c r="FR28" s="107"/>
      <c r="FS28" s="108">
        <v>21.1</v>
      </c>
    </row>
    <row r="29" spans="1:190" s="77" customFormat="1" x14ac:dyDescent="0.35">
      <c r="A29" s="76"/>
      <c r="E29" s="76"/>
      <c r="F29" s="76"/>
      <c r="G29" s="78"/>
      <c r="H29" s="76"/>
      <c r="I29" s="79"/>
      <c r="J29" s="80"/>
      <c r="K29" s="28"/>
      <c r="L29" s="28"/>
      <c r="M29" s="25" t="str">
        <f>_xlfn.CONCAT(A30," ",C30," ",D30)</f>
        <v>2025 Bentley Continental GTC Speed</v>
      </c>
      <c r="N29" s="28"/>
      <c r="O29" s="28"/>
      <c r="P29" s="28"/>
      <c r="Q29" s="28"/>
      <c r="R29" s="28"/>
      <c r="S29" s="28"/>
      <c r="T29" s="28"/>
      <c r="U29" s="28"/>
      <c r="V29" s="28"/>
      <c r="W29" s="28"/>
      <c r="X29" s="28"/>
      <c r="Y29" s="28"/>
      <c r="Z29" s="28"/>
      <c r="AA29" s="28"/>
      <c r="AB29" s="28"/>
      <c r="AC29" s="28"/>
      <c r="AD29" s="25" t="str">
        <f>$M29</f>
        <v>2025 Bentley Continental GTC Speed</v>
      </c>
      <c r="AE29" s="28"/>
      <c r="AF29" s="28"/>
      <c r="AG29" s="28"/>
      <c r="AH29" s="28"/>
      <c r="AI29" s="28"/>
      <c r="AJ29" s="81"/>
      <c r="AK29" s="2"/>
      <c r="AL29" s="2"/>
      <c r="AM29" s="2"/>
      <c r="AN29" s="2"/>
      <c r="AO29" s="2"/>
      <c r="AP29" s="2"/>
      <c r="AQ29" s="2"/>
      <c r="AR29" s="83"/>
      <c r="AS29" s="28"/>
      <c r="AT29" s="85" t="str">
        <f>$M29</f>
        <v>2025 Bentley Continental GTC Speed</v>
      </c>
      <c r="AU29" s="28"/>
      <c r="AV29" s="28"/>
      <c r="AW29" s="28"/>
      <c r="AX29" s="28"/>
      <c r="AY29" s="28"/>
      <c r="AZ29" s="28"/>
      <c r="BA29" s="28"/>
      <c r="BB29" s="28"/>
      <c r="BC29" s="28"/>
      <c r="BD29" s="28"/>
      <c r="BE29" s="28"/>
      <c r="BF29" s="28"/>
      <c r="BG29" s="28"/>
      <c r="BH29" s="28"/>
      <c r="BI29" s="25" t="str">
        <f>$M29</f>
        <v>2025 Bentley Continental GTC Speed</v>
      </c>
      <c r="BJ29" s="28"/>
      <c r="BK29" s="28"/>
      <c r="BL29" s="28"/>
      <c r="BM29" s="81"/>
      <c r="BN29" s="2"/>
      <c r="BO29" s="2"/>
      <c r="BP29" s="2"/>
      <c r="BQ29" s="2"/>
      <c r="BR29" s="2"/>
      <c r="BS29" s="2"/>
      <c r="BT29" s="86"/>
      <c r="BU29" s="2"/>
      <c r="BV29" s="83"/>
      <c r="BW29" s="87"/>
      <c r="BX29" s="28"/>
      <c r="BY29" s="25" t="str">
        <f>$M29</f>
        <v>2025 Bentley Continental GTC Speed</v>
      </c>
      <c r="BZ29" s="28"/>
      <c r="CA29" s="28"/>
      <c r="CB29" s="28"/>
      <c r="CC29" s="28"/>
      <c r="CD29" s="28"/>
      <c r="CE29" s="88"/>
      <c r="CF29" s="28"/>
      <c r="CG29" s="28"/>
      <c r="CH29" s="28"/>
      <c r="CI29" s="28"/>
      <c r="CJ29" s="28"/>
      <c r="CK29" s="28"/>
      <c r="CL29" s="28"/>
      <c r="CM29" s="28"/>
      <c r="CN29" s="28"/>
      <c r="CO29" s="25" t="str">
        <f>$M29</f>
        <v>2025 Bentley Continental GTC Speed</v>
      </c>
      <c r="CP29" s="28"/>
      <c r="CQ29" s="28"/>
      <c r="CR29" s="28"/>
      <c r="CS29" s="28"/>
      <c r="CT29" s="28"/>
      <c r="CU29" s="28"/>
      <c r="CV29" s="28"/>
      <c r="CW29" s="28"/>
      <c r="CX29" s="28"/>
      <c r="CY29" s="28"/>
      <c r="CZ29" s="28"/>
      <c r="DA29" s="28"/>
      <c r="DB29" s="28"/>
      <c r="DC29" s="28"/>
      <c r="DD29" s="28"/>
      <c r="DE29" s="28"/>
      <c r="DF29" s="25" t="str">
        <f>$M29</f>
        <v>2025 Bentley Continental GTC Speed</v>
      </c>
      <c r="DG29" s="28"/>
      <c r="DH29" s="28"/>
      <c r="DI29" s="28"/>
      <c r="DJ29" s="28"/>
      <c r="DK29" s="28"/>
      <c r="DL29" s="28"/>
      <c r="DM29" s="28"/>
      <c r="DN29" s="28"/>
      <c r="DO29" s="28"/>
      <c r="DP29" s="28"/>
      <c r="DQ29" s="28"/>
      <c r="DR29" s="25"/>
      <c r="DS29" s="25"/>
      <c r="DT29" s="25"/>
      <c r="DU29" s="25"/>
      <c r="DV29" s="25"/>
      <c r="DW29" s="25" t="str">
        <f>$M29</f>
        <v>2025 Bentley Continental GTC Speed</v>
      </c>
      <c r="DX29" s="25"/>
      <c r="DY29" s="25"/>
      <c r="DZ29" s="85"/>
      <c r="EA29" s="89"/>
      <c r="EB29" s="80"/>
      <c r="EC29" s="25"/>
      <c r="ED29" s="85"/>
      <c r="EE29" s="25"/>
      <c r="EF29" s="25"/>
      <c r="EG29" s="25"/>
      <c r="EH29" s="85"/>
      <c r="EI29" s="25"/>
      <c r="EK29" t="s">
        <v>2445</v>
      </c>
      <c r="EL29" s="85" t="str">
        <f>$M29</f>
        <v>2025 Bentley Continental GTC Speed</v>
      </c>
      <c r="EM29" s="25"/>
      <c r="EP29" s="75"/>
      <c r="ET29" s="75"/>
      <c r="EV29" s="75"/>
      <c r="EY29" s="75"/>
      <c r="EZ29" s="102"/>
      <c r="FA29" s="25" t="str">
        <f>$M29</f>
        <v>2025 Bentley Continental GTC Speed</v>
      </c>
      <c r="FB29" s="75"/>
      <c r="FC29" s="75"/>
      <c r="FD29" s="25"/>
      <c r="FE29" s="25"/>
      <c r="FF29" s="85"/>
      <c r="FG29" s="25"/>
      <c r="FH29" s="25"/>
      <c r="FI29" s="85"/>
      <c r="FJ29" s="80"/>
      <c r="FK29" s="25"/>
      <c r="FL29" s="85"/>
      <c r="FM29" s="25" t="str">
        <f>$M29</f>
        <v>2025 Bentley Continental GTC Speed</v>
      </c>
      <c r="FN29" s="25"/>
      <c r="FO29" s="85"/>
      <c r="FP29" s="92"/>
      <c r="FQ29" s="93"/>
      <c r="FR29" s="94"/>
      <c r="FS29" s="95"/>
      <c r="FT29" s="25"/>
      <c r="FU29" s="25"/>
      <c r="FV29" s="25"/>
      <c r="FW29" s="25"/>
      <c r="FX29" s="25"/>
      <c r="FY29" s="25"/>
      <c r="FZ29" s="25"/>
      <c r="GA29" s="25"/>
      <c r="GB29" s="25"/>
      <c r="GC29" s="25"/>
      <c r="GD29" s="25"/>
      <c r="GE29" s="25"/>
      <c r="GF29" s="25"/>
      <c r="GG29" s="25"/>
      <c r="GH29" s="25"/>
    </row>
    <row r="30" spans="1:190" s="76" customFormat="1" x14ac:dyDescent="0.35">
      <c r="A30" s="76">
        <v>2025</v>
      </c>
      <c r="B30" s="76" t="s">
        <v>205</v>
      </c>
      <c r="C30" s="76" t="s">
        <v>1516</v>
      </c>
      <c r="D30" s="109" t="s">
        <v>2526</v>
      </c>
      <c r="E30" s="76" t="s">
        <v>208</v>
      </c>
      <c r="F30" s="109">
        <v>747</v>
      </c>
      <c r="G30" s="109">
        <v>4</v>
      </c>
      <c r="H30" s="109">
        <v>8</v>
      </c>
      <c r="I30" s="110" t="s">
        <v>361</v>
      </c>
      <c r="J30" s="76">
        <v>17</v>
      </c>
      <c r="K30" s="76">
        <v>22</v>
      </c>
      <c r="L30" s="76">
        <v>19</v>
      </c>
      <c r="M30" s="76">
        <v>21.4</v>
      </c>
      <c r="N30" s="76">
        <v>31.1</v>
      </c>
      <c r="O30" s="76">
        <v>24.893999999999998</v>
      </c>
      <c r="P30" s="76">
        <v>17.1523</v>
      </c>
      <c r="Q30" s="76">
        <v>22.3141</v>
      </c>
      <c r="R30" s="76">
        <v>19.145199999999999</v>
      </c>
      <c r="T30" s="76" t="s">
        <v>165</v>
      </c>
      <c r="U30" s="76" t="s">
        <v>166</v>
      </c>
      <c r="V30" s="76" t="s">
        <v>211</v>
      </c>
      <c r="W30" s="76" t="s">
        <v>212</v>
      </c>
      <c r="Y30" s="76">
        <v>8</v>
      </c>
      <c r="Z30" s="76" t="s">
        <v>170</v>
      </c>
      <c r="AA30" s="76" t="s">
        <v>170</v>
      </c>
      <c r="AB30" s="76" t="s">
        <v>167</v>
      </c>
      <c r="AC30" s="76" t="s">
        <v>213</v>
      </c>
      <c r="AD30" s="76">
        <v>15</v>
      </c>
      <c r="AF30" s="76">
        <v>411</v>
      </c>
      <c r="AG30" s="76" t="s">
        <v>173</v>
      </c>
      <c r="AH30" s="76" t="s">
        <v>174</v>
      </c>
      <c r="AI30" s="76" t="s">
        <v>175</v>
      </c>
      <c r="AJ30" s="79" t="s">
        <v>176</v>
      </c>
      <c r="AK30" s="76" t="s">
        <v>170</v>
      </c>
      <c r="AL30" s="76" t="s">
        <v>177</v>
      </c>
      <c r="AM30" s="76">
        <v>77</v>
      </c>
      <c r="AN30" s="76">
        <v>6</v>
      </c>
      <c r="AR30" s="79"/>
      <c r="AS30" s="76">
        <v>2350</v>
      </c>
      <c r="AT30" s="79">
        <v>2350</v>
      </c>
      <c r="AU30" s="76">
        <v>68</v>
      </c>
      <c r="AV30" s="76">
        <v>58</v>
      </c>
      <c r="AW30" s="76">
        <v>64</v>
      </c>
      <c r="AX30" s="76">
        <v>48.2</v>
      </c>
      <c r="AY30" s="76">
        <v>41.6</v>
      </c>
      <c r="AZ30" s="76">
        <v>45.23</v>
      </c>
      <c r="BA30" s="76">
        <v>68.370999999999995</v>
      </c>
      <c r="BB30" s="76">
        <v>57.991</v>
      </c>
      <c r="BC30" s="76">
        <v>63.7</v>
      </c>
      <c r="BD30" s="76">
        <v>30</v>
      </c>
      <c r="BE30" s="76" t="s">
        <v>1735</v>
      </c>
      <c r="BF30" s="76" t="s">
        <v>1736</v>
      </c>
      <c r="BG30" s="76" t="s">
        <v>1742</v>
      </c>
      <c r="BH30" s="76" t="s">
        <v>1743</v>
      </c>
      <c r="BI30" s="76">
        <v>2350</v>
      </c>
      <c r="BM30" s="79"/>
      <c r="BN30" s="111" t="s">
        <v>2493</v>
      </c>
      <c r="BO30" s="76">
        <v>2</v>
      </c>
      <c r="BP30" s="76">
        <v>2</v>
      </c>
      <c r="BQ30" s="76">
        <v>2</v>
      </c>
      <c r="BR30" s="76" t="s">
        <v>321</v>
      </c>
      <c r="BS30" s="76" t="s">
        <v>180</v>
      </c>
      <c r="BT30" s="76" t="s">
        <v>2494</v>
      </c>
      <c r="BU30" s="99">
        <v>45618</v>
      </c>
      <c r="BV30" s="79">
        <v>35853</v>
      </c>
      <c r="BW30" s="100"/>
      <c r="BX30" s="76" t="s">
        <v>170</v>
      </c>
      <c r="BY30" s="76" t="s">
        <v>170</v>
      </c>
      <c r="CB30" s="76" t="s">
        <v>170</v>
      </c>
      <c r="CC30" s="76" t="s">
        <v>170</v>
      </c>
      <c r="CD30" s="76" t="s">
        <v>2518</v>
      </c>
      <c r="CE30" s="76" t="s">
        <v>170</v>
      </c>
      <c r="CG30" s="76" t="s">
        <v>169</v>
      </c>
      <c r="CH30" s="76" t="s">
        <v>2519</v>
      </c>
      <c r="CI30" s="76" t="s">
        <v>169</v>
      </c>
      <c r="CJ30" s="76" t="s">
        <v>2520</v>
      </c>
      <c r="CK30" s="76" t="s">
        <v>233</v>
      </c>
      <c r="CM30" s="76">
        <v>1</v>
      </c>
      <c r="CN30" s="76" t="s">
        <v>234</v>
      </c>
      <c r="CP30" s="76">
        <v>370</v>
      </c>
      <c r="CQ30" s="76">
        <v>70</v>
      </c>
      <c r="CR30" s="76">
        <v>145.69999999999999</v>
      </c>
      <c r="CS30" s="76" t="s">
        <v>1739</v>
      </c>
      <c r="CV30" s="76" t="s">
        <v>341</v>
      </c>
      <c r="CX30" s="76" t="s">
        <v>342</v>
      </c>
      <c r="CY30" s="76" t="s">
        <v>169</v>
      </c>
      <c r="DD30" s="76">
        <v>1</v>
      </c>
      <c r="DE30" s="76" t="s">
        <v>663</v>
      </c>
      <c r="DG30" s="76">
        <v>140</v>
      </c>
      <c r="DJ30" s="76" t="s">
        <v>184</v>
      </c>
      <c r="DK30" s="76" t="s">
        <v>185</v>
      </c>
      <c r="DL30" s="76" t="s">
        <v>170</v>
      </c>
      <c r="DM30" s="76" t="s">
        <v>169</v>
      </c>
      <c r="DN30" s="76" t="s">
        <v>170</v>
      </c>
      <c r="DO30" s="76" t="s">
        <v>2521</v>
      </c>
      <c r="DP30" s="76" t="s">
        <v>169</v>
      </c>
      <c r="DQ30" s="76" t="s">
        <v>198</v>
      </c>
      <c r="DS30" s="76" t="s">
        <v>2496</v>
      </c>
      <c r="DT30" s="76" t="s">
        <v>2497</v>
      </c>
      <c r="DU30" s="76" t="s">
        <v>2513</v>
      </c>
      <c r="DV30" s="76" t="s">
        <v>2514</v>
      </c>
      <c r="DY30" s="76">
        <v>25.1</v>
      </c>
      <c r="EA30" s="112"/>
      <c r="EB30" s="76">
        <v>6</v>
      </c>
      <c r="EC30" s="76">
        <v>8</v>
      </c>
      <c r="ED30" s="79"/>
      <c r="EE30" s="76" t="s">
        <v>2522</v>
      </c>
      <c r="EF30" s="76">
        <v>4</v>
      </c>
      <c r="EH30" s="79"/>
      <c r="EL30" s="79"/>
      <c r="EP30" s="79"/>
      <c r="ET30" s="79"/>
      <c r="EV30" s="79">
        <v>2250</v>
      </c>
      <c r="EW30" s="76">
        <v>0</v>
      </c>
      <c r="EX30" s="76">
        <v>0</v>
      </c>
      <c r="EY30" s="79">
        <v>0</v>
      </c>
      <c r="EZ30" s="97">
        <v>161</v>
      </c>
      <c r="FA30" s="76">
        <v>3</v>
      </c>
      <c r="FB30" s="79"/>
      <c r="FC30" s="79">
        <v>440</v>
      </c>
      <c r="FD30" s="76">
        <v>29</v>
      </c>
      <c r="FE30" s="76">
        <v>38</v>
      </c>
      <c r="FF30" s="79">
        <v>32</v>
      </c>
      <c r="FG30" s="76">
        <v>186</v>
      </c>
      <c r="FH30" s="76">
        <v>127</v>
      </c>
      <c r="FI30" s="103">
        <v>161</v>
      </c>
      <c r="FJ30" s="104">
        <v>36.74</v>
      </c>
      <c r="FK30" s="105">
        <v>41.43</v>
      </c>
      <c r="FL30" s="103">
        <v>39</v>
      </c>
      <c r="FM30" s="76">
        <v>0.65100000000000002</v>
      </c>
      <c r="FN30" s="76">
        <v>0.68799999999999994</v>
      </c>
      <c r="FO30" s="79">
        <v>0.66800000000000004</v>
      </c>
      <c r="FP30" s="106">
        <v>0</v>
      </c>
      <c r="FQ30" s="107">
        <v>0</v>
      </c>
      <c r="FR30" s="107">
        <v>0</v>
      </c>
      <c r="FS30" s="108">
        <v>21.1</v>
      </c>
    </row>
    <row r="31" spans="1:190" s="76" customFormat="1" x14ac:dyDescent="0.35">
      <c r="A31" s="76">
        <v>2025</v>
      </c>
      <c r="B31" s="162" t="s">
        <v>2507</v>
      </c>
      <c r="C31" s="162" t="s">
        <v>1516</v>
      </c>
      <c r="D31" s="162" t="s">
        <v>2509</v>
      </c>
      <c r="E31" s="162" t="s">
        <v>208</v>
      </c>
      <c r="F31" s="162">
        <v>600</v>
      </c>
      <c r="G31" s="162">
        <v>3</v>
      </c>
      <c r="H31" s="162">
        <v>6</v>
      </c>
      <c r="I31" s="163" t="s">
        <v>192</v>
      </c>
      <c r="J31" s="76">
        <v>17</v>
      </c>
      <c r="K31" s="76">
        <v>22</v>
      </c>
      <c r="L31" s="76">
        <v>19</v>
      </c>
      <c r="M31" s="76">
        <v>21.4</v>
      </c>
      <c r="N31" s="76">
        <v>31.1</v>
      </c>
      <c r="O31" s="76">
        <v>24.893999999999998</v>
      </c>
      <c r="P31" s="76">
        <v>17.1523</v>
      </c>
      <c r="Q31" s="76">
        <v>22.3141</v>
      </c>
      <c r="R31" s="76">
        <v>19.145199999999999</v>
      </c>
      <c r="T31" s="76" t="s">
        <v>165</v>
      </c>
      <c r="U31" s="76" t="s">
        <v>166</v>
      </c>
      <c r="V31" s="76" t="s">
        <v>211</v>
      </c>
      <c r="W31" s="76" t="s">
        <v>212</v>
      </c>
      <c r="Y31" s="76">
        <v>8</v>
      </c>
      <c r="Z31" s="76" t="s">
        <v>170</v>
      </c>
      <c r="AA31" s="76" t="s">
        <v>170</v>
      </c>
      <c r="AB31" s="76" t="s">
        <v>167</v>
      </c>
      <c r="AC31" s="76" t="s">
        <v>213</v>
      </c>
      <c r="AD31" s="76">
        <v>15</v>
      </c>
      <c r="AF31" s="76">
        <v>411</v>
      </c>
      <c r="AG31" s="76" t="s">
        <v>173</v>
      </c>
      <c r="AH31" s="76" t="s">
        <v>174</v>
      </c>
      <c r="AI31" s="76" t="s">
        <v>175</v>
      </c>
      <c r="AJ31" s="79" t="s">
        <v>176</v>
      </c>
      <c r="AK31" s="76" t="s">
        <v>170</v>
      </c>
      <c r="AL31" s="76" t="s">
        <v>177</v>
      </c>
      <c r="AM31" s="76">
        <v>77</v>
      </c>
      <c r="AN31" s="76">
        <v>6</v>
      </c>
      <c r="AR31" s="79"/>
      <c r="AS31" s="76">
        <v>2350</v>
      </c>
      <c r="AT31" s="79">
        <v>2350</v>
      </c>
      <c r="AU31" s="76">
        <v>49</v>
      </c>
      <c r="AV31" s="76">
        <v>57</v>
      </c>
      <c r="AW31" s="113">
        <v>46</v>
      </c>
      <c r="AX31" s="76">
        <v>70</v>
      </c>
      <c r="AY31" s="76">
        <v>81</v>
      </c>
      <c r="AZ31" s="76">
        <v>74.556200000000004</v>
      </c>
      <c r="BA31" s="76">
        <v>49.369799999999998</v>
      </c>
      <c r="BB31" s="76">
        <v>56.669499999999999</v>
      </c>
      <c r="BC31" s="76">
        <v>52.407600000000002</v>
      </c>
      <c r="BD31" s="76">
        <v>30</v>
      </c>
      <c r="BE31" s="76" t="s">
        <v>1735</v>
      </c>
      <c r="BF31" s="76" t="s">
        <v>1736</v>
      </c>
      <c r="BG31" s="76" t="s">
        <v>175</v>
      </c>
      <c r="BH31" s="76" t="s">
        <v>176</v>
      </c>
      <c r="BI31" s="76">
        <v>2350</v>
      </c>
      <c r="BM31" s="79"/>
      <c r="BN31" s="111" t="s">
        <v>2493</v>
      </c>
      <c r="BO31" s="76">
        <v>2</v>
      </c>
      <c r="BP31" s="76">
        <v>2</v>
      </c>
      <c r="BQ31" s="76">
        <v>2</v>
      </c>
      <c r="BR31" s="76" t="s">
        <v>321</v>
      </c>
      <c r="BS31" s="76" t="s">
        <v>180</v>
      </c>
      <c r="BT31" s="76" t="s">
        <v>2494</v>
      </c>
      <c r="BU31" s="99">
        <v>45618</v>
      </c>
      <c r="BV31" s="79">
        <v>35853</v>
      </c>
      <c r="BW31" s="100"/>
      <c r="BX31" s="76" t="s">
        <v>170</v>
      </c>
      <c r="BY31" s="76" t="s">
        <v>170</v>
      </c>
      <c r="CB31" s="76" t="s">
        <v>170</v>
      </c>
      <c r="CC31" s="76" t="s">
        <v>170</v>
      </c>
      <c r="CD31" s="76" t="s">
        <v>2518</v>
      </c>
      <c r="CE31" s="76" t="s">
        <v>170</v>
      </c>
      <c r="CG31" s="76" t="s">
        <v>169</v>
      </c>
      <c r="CH31" s="76" t="s">
        <v>2519</v>
      </c>
      <c r="CI31" s="76" t="s">
        <v>169</v>
      </c>
      <c r="CJ31" s="76" t="s">
        <v>2520</v>
      </c>
      <c r="CK31" s="76" t="s">
        <v>233</v>
      </c>
      <c r="CM31" s="76">
        <v>1</v>
      </c>
      <c r="CN31" s="76" t="s">
        <v>234</v>
      </c>
      <c r="CP31" s="76">
        <v>370</v>
      </c>
      <c r="CQ31" s="76">
        <v>70</v>
      </c>
      <c r="CR31" s="76">
        <v>145.69999999999999</v>
      </c>
      <c r="CS31" s="76" t="s">
        <v>1739</v>
      </c>
      <c r="CV31" s="76" t="s">
        <v>341</v>
      </c>
      <c r="CX31" s="76" t="s">
        <v>342</v>
      </c>
      <c r="CY31" s="76" t="s">
        <v>169</v>
      </c>
      <c r="DD31" s="76">
        <v>1</v>
      </c>
      <c r="DE31" s="76" t="s">
        <v>663</v>
      </c>
      <c r="DG31" s="76">
        <v>140</v>
      </c>
      <c r="DJ31" s="76" t="s">
        <v>184</v>
      </c>
      <c r="DK31" s="76" t="s">
        <v>185</v>
      </c>
      <c r="DL31" s="76" t="s">
        <v>170</v>
      </c>
      <c r="DM31" s="76" t="s">
        <v>169</v>
      </c>
      <c r="DN31" s="76" t="s">
        <v>170</v>
      </c>
      <c r="DO31" s="76" t="s">
        <v>2521</v>
      </c>
      <c r="DP31" s="76" t="s">
        <v>169</v>
      </c>
      <c r="DQ31" s="76" t="s">
        <v>198</v>
      </c>
      <c r="DS31" s="76" t="s">
        <v>2496</v>
      </c>
      <c r="DT31" s="76" t="s">
        <v>2497</v>
      </c>
      <c r="DU31" s="76" t="s">
        <v>2513</v>
      </c>
      <c r="DV31" s="76" t="s">
        <v>2514</v>
      </c>
      <c r="DY31" s="76">
        <v>25.1</v>
      </c>
      <c r="EA31" s="112"/>
      <c r="EB31" s="76">
        <v>6</v>
      </c>
      <c r="EC31" s="76">
        <v>8</v>
      </c>
      <c r="ED31" s="79"/>
      <c r="EE31" s="76" t="s">
        <v>2522</v>
      </c>
      <c r="EF31" s="76">
        <v>4</v>
      </c>
      <c r="EH31" s="79"/>
      <c r="EL31" s="79"/>
      <c r="EP31" s="79"/>
      <c r="ET31" s="79"/>
      <c r="EV31" s="79">
        <v>2250</v>
      </c>
      <c r="EW31" s="76">
        <v>520</v>
      </c>
      <c r="EX31" s="76">
        <v>400</v>
      </c>
      <c r="EY31" s="79">
        <v>161</v>
      </c>
      <c r="EZ31" s="97">
        <v>161</v>
      </c>
      <c r="FA31" s="76">
        <v>3</v>
      </c>
      <c r="FB31" s="79"/>
      <c r="FC31" s="79">
        <v>440</v>
      </c>
      <c r="FD31" s="76">
        <v>29</v>
      </c>
      <c r="FE31" s="76">
        <v>38</v>
      </c>
      <c r="FF31" s="79">
        <v>32</v>
      </c>
      <c r="FG31" s="76">
        <v>186</v>
      </c>
      <c r="FH31" s="76">
        <v>127</v>
      </c>
      <c r="FI31" s="103">
        <v>161</v>
      </c>
      <c r="FJ31" s="114" t="s">
        <v>2523</v>
      </c>
      <c r="FK31" s="115"/>
      <c r="FL31" s="116"/>
      <c r="FM31" s="76">
        <v>0.65100000000000002</v>
      </c>
      <c r="FN31" s="76">
        <v>0.68799999999999994</v>
      </c>
      <c r="FO31" s="79">
        <v>0.66800000000000004</v>
      </c>
      <c r="FP31" s="106"/>
      <c r="FQ31" s="107"/>
      <c r="FR31" s="107"/>
      <c r="FS31" s="108">
        <v>21.1</v>
      </c>
    </row>
    <row r="32" spans="1:190" s="77" customFormat="1" x14ac:dyDescent="0.35">
      <c r="A32" s="76"/>
      <c r="E32" s="76"/>
      <c r="F32" s="76"/>
      <c r="G32" s="78"/>
      <c r="H32" s="76"/>
      <c r="I32" s="79"/>
      <c r="J32" s="80"/>
      <c r="K32" s="28"/>
      <c r="L32" s="28"/>
      <c r="M32" s="25" t="str">
        <f>_xlfn.CONCAT(A33," ",C33," ",D33)</f>
        <v>2025 Bentley Flying Spur</v>
      </c>
      <c r="N32" s="28"/>
      <c r="O32" s="28"/>
      <c r="P32" s="28"/>
      <c r="Q32" s="28"/>
      <c r="R32" s="28"/>
      <c r="S32" s="28"/>
      <c r="T32" s="28"/>
      <c r="U32" s="28"/>
      <c r="V32" s="28"/>
      <c r="W32" s="28"/>
      <c r="X32" s="28"/>
      <c r="Y32" s="28"/>
      <c r="Z32" s="28"/>
      <c r="AA32" s="28"/>
      <c r="AB32" s="28"/>
      <c r="AC32" s="28"/>
      <c r="AD32" s="25" t="str">
        <f>$M32</f>
        <v>2025 Bentley Flying Spur</v>
      </c>
      <c r="AE32" s="28"/>
      <c r="AF32" s="28"/>
      <c r="AG32" s="28"/>
      <c r="AH32" s="28"/>
      <c r="AI32" s="28"/>
      <c r="AJ32" s="81"/>
      <c r="AK32" s="2"/>
      <c r="AL32" s="2"/>
      <c r="AM32" s="2"/>
      <c r="AN32" s="2"/>
      <c r="AO32" s="2"/>
      <c r="AP32" s="2"/>
      <c r="AQ32" s="2"/>
      <c r="AR32" s="83"/>
      <c r="AS32" s="28"/>
      <c r="AT32" s="85" t="str">
        <f>$M32</f>
        <v>2025 Bentley Flying Spur</v>
      </c>
      <c r="AU32" s="28"/>
      <c r="AV32" s="28"/>
      <c r="AW32" s="28"/>
      <c r="AX32" s="28"/>
      <c r="AY32" s="28"/>
      <c r="AZ32" s="28"/>
      <c r="BA32" s="28"/>
      <c r="BB32" s="28"/>
      <c r="BC32" s="28"/>
      <c r="BD32" s="28"/>
      <c r="BE32" s="28"/>
      <c r="BF32" s="28"/>
      <c r="BG32" s="28"/>
      <c r="BH32" s="28"/>
      <c r="BI32" s="25" t="str">
        <f>$M32</f>
        <v>2025 Bentley Flying Spur</v>
      </c>
      <c r="BJ32" s="28"/>
      <c r="BK32" s="28"/>
      <c r="BL32" s="28"/>
      <c r="BM32" s="81"/>
      <c r="BN32" s="2"/>
      <c r="BO32" s="2"/>
      <c r="BP32" s="2"/>
      <c r="BQ32" s="2"/>
      <c r="BR32" s="2"/>
      <c r="BS32" s="2"/>
      <c r="BT32" s="86"/>
      <c r="BU32" s="2"/>
      <c r="BV32" s="83"/>
      <c r="BW32" s="87"/>
      <c r="BX32" s="28"/>
      <c r="BY32" s="25" t="str">
        <f>$M32</f>
        <v>2025 Bentley Flying Spur</v>
      </c>
      <c r="BZ32" s="28"/>
      <c r="CA32" s="28"/>
      <c r="CB32" s="28"/>
      <c r="CC32" s="28"/>
      <c r="CD32" s="28"/>
      <c r="CE32" s="88"/>
      <c r="CF32" s="28"/>
      <c r="CG32" s="28"/>
      <c r="CH32" s="28"/>
      <c r="CI32" s="28"/>
      <c r="CJ32" s="28"/>
      <c r="CK32" s="28"/>
      <c r="CL32" s="28"/>
      <c r="CM32" s="28"/>
      <c r="CN32" s="28"/>
      <c r="CO32" s="25" t="str">
        <f>$M32</f>
        <v>2025 Bentley Flying Spur</v>
      </c>
      <c r="CP32" s="28"/>
      <c r="CQ32" s="28"/>
      <c r="CR32" s="28"/>
      <c r="CS32" s="28"/>
      <c r="CT32" s="28"/>
      <c r="CU32" s="28"/>
      <c r="CV32" s="28"/>
      <c r="CW32" s="28"/>
      <c r="CX32" s="28"/>
      <c r="CY32" s="28"/>
      <c r="CZ32" s="28"/>
      <c r="DA32" s="28"/>
      <c r="DB32" s="28"/>
      <c r="DC32" s="28"/>
      <c r="DD32" s="28"/>
      <c r="DE32" s="28"/>
      <c r="DF32" s="25" t="str">
        <f>$M32</f>
        <v>2025 Bentley Flying Spur</v>
      </c>
      <c r="DG32" s="28"/>
      <c r="DH32" s="28"/>
      <c r="DI32" s="28"/>
      <c r="DJ32" s="28"/>
      <c r="DK32" s="28"/>
      <c r="DL32" s="28"/>
      <c r="DM32" s="28"/>
      <c r="DN32" s="28"/>
      <c r="DO32" s="28"/>
      <c r="DP32" s="28"/>
      <c r="DQ32" s="28"/>
      <c r="DR32" s="25"/>
      <c r="DS32" s="25"/>
      <c r="DT32" s="25"/>
      <c r="DU32" s="25"/>
      <c r="DV32" s="25"/>
      <c r="DW32" s="25" t="str">
        <f>$M32</f>
        <v>2025 Bentley Flying Spur</v>
      </c>
      <c r="DX32" s="25"/>
      <c r="DY32" s="25"/>
      <c r="DZ32" s="85"/>
      <c r="EA32" s="89"/>
      <c r="EB32" s="80"/>
      <c r="EC32" s="25"/>
      <c r="ED32" s="85"/>
      <c r="EE32" s="25"/>
      <c r="EF32" s="25"/>
      <c r="EG32" s="25"/>
      <c r="EH32" s="85"/>
      <c r="EI32" s="25"/>
      <c r="EK32" t="s">
        <v>2445</v>
      </c>
      <c r="EL32" s="85" t="str">
        <f>$M32</f>
        <v>2025 Bentley Flying Spur</v>
      </c>
      <c r="EM32" s="25"/>
      <c r="EP32" s="75"/>
      <c r="ET32" s="75"/>
      <c r="EV32" s="75"/>
      <c r="EY32" s="75"/>
      <c r="EZ32" s="102"/>
      <c r="FA32" s="25" t="str">
        <f>$M32</f>
        <v>2025 Bentley Flying Spur</v>
      </c>
      <c r="FB32" s="75"/>
      <c r="FC32" s="75"/>
      <c r="FD32" s="25"/>
      <c r="FE32" s="25"/>
      <c r="FF32" s="85"/>
      <c r="FG32" s="25"/>
      <c r="FH32" s="25"/>
      <c r="FI32" s="85"/>
      <c r="FJ32" s="80"/>
      <c r="FK32" s="25"/>
      <c r="FL32" s="85"/>
      <c r="FM32" s="25" t="str">
        <f>$M32</f>
        <v>2025 Bentley Flying Spur</v>
      </c>
      <c r="FN32" s="25"/>
      <c r="FO32" s="85"/>
      <c r="FP32" s="92"/>
      <c r="FQ32" s="93"/>
      <c r="FR32" s="94"/>
      <c r="FS32" s="95"/>
      <c r="FT32" s="25"/>
      <c r="FU32" s="25"/>
      <c r="FV32" s="25"/>
      <c r="FW32" s="25"/>
      <c r="FX32" s="25"/>
      <c r="FY32" s="25"/>
      <c r="FZ32" s="25"/>
      <c r="GA32" s="25"/>
      <c r="GB32" s="25"/>
      <c r="GC32" s="25"/>
      <c r="GD32" s="25"/>
      <c r="GE32" s="25"/>
      <c r="GF32" s="25"/>
      <c r="GG32" s="25"/>
      <c r="GH32" s="25"/>
    </row>
    <row r="33" spans="1:190" s="76" customFormat="1" x14ac:dyDescent="0.35">
      <c r="A33" s="76">
        <v>2025</v>
      </c>
      <c r="B33" s="76" t="s">
        <v>205</v>
      </c>
      <c r="C33" s="76" t="s">
        <v>1516</v>
      </c>
      <c r="D33" s="109" t="s">
        <v>2527</v>
      </c>
      <c r="E33" s="76" t="s">
        <v>208</v>
      </c>
      <c r="F33" s="109">
        <v>748</v>
      </c>
      <c r="G33" s="109">
        <v>4</v>
      </c>
      <c r="H33" s="109">
        <v>8</v>
      </c>
      <c r="I33" s="110" t="s">
        <v>361</v>
      </c>
      <c r="J33" s="76">
        <v>17</v>
      </c>
      <c r="K33" s="76">
        <v>22</v>
      </c>
      <c r="L33" s="76">
        <v>19</v>
      </c>
      <c r="M33" s="76">
        <v>21.4</v>
      </c>
      <c r="N33" s="76">
        <v>31.1</v>
      </c>
      <c r="O33" s="76">
        <v>24.893999999999998</v>
      </c>
      <c r="P33" s="76">
        <v>17.1523</v>
      </c>
      <c r="Q33" s="76">
        <v>22.3141</v>
      </c>
      <c r="R33" s="76">
        <v>19.145199999999999</v>
      </c>
      <c r="T33" s="76" t="s">
        <v>165</v>
      </c>
      <c r="U33" s="76" t="s">
        <v>166</v>
      </c>
      <c r="V33" s="76" t="s">
        <v>211</v>
      </c>
      <c r="W33" s="76" t="s">
        <v>212</v>
      </c>
      <c r="Y33" s="76">
        <v>8</v>
      </c>
      <c r="Z33" s="76" t="s">
        <v>170</v>
      </c>
      <c r="AA33" s="76" t="s">
        <v>170</v>
      </c>
      <c r="AB33" s="76" t="s">
        <v>167</v>
      </c>
      <c r="AC33" s="76" t="s">
        <v>213</v>
      </c>
      <c r="AD33" s="76">
        <v>15</v>
      </c>
      <c r="AF33" s="76">
        <v>411</v>
      </c>
      <c r="AG33" s="76" t="s">
        <v>173</v>
      </c>
      <c r="AH33" s="76" t="s">
        <v>174</v>
      </c>
      <c r="AI33" s="76" t="s">
        <v>175</v>
      </c>
      <c r="AJ33" s="79" t="s">
        <v>176</v>
      </c>
      <c r="AK33" s="76" t="s">
        <v>170</v>
      </c>
      <c r="AL33" s="76" t="s">
        <v>177</v>
      </c>
      <c r="AM33" s="76">
        <v>102</v>
      </c>
      <c r="AN33" s="76">
        <v>13</v>
      </c>
      <c r="AR33" s="79"/>
      <c r="AS33" s="76">
        <v>2350</v>
      </c>
      <c r="AT33" s="79">
        <v>2350</v>
      </c>
      <c r="AU33" s="76">
        <v>68</v>
      </c>
      <c r="AV33" s="76">
        <v>58</v>
      </c>
      <c r="AW33" s="76">
        <v>64</v>
      </c>
      <c r="AX33" s="76">
        <v>48.2</v>
      </c>
      <c r="AY33" s="76">
        <v>41.6</v>
      </c>
      <c r="AZ33" s="76">
        <v>45.23</v>
      </c>
      <c r="BA33" s="76">
        <v>68.370999999999995</v>
      </c>
      <c r="BB33" s="76">
        <v>57.991</v>
      </c>
      <c r="BC33" s="76">
        <v>63.7</v>
      </c>
      <c r="BD33" s="76">
        <v>30</v>
      </c>
      <c r="BE33" s="76" t="s">
        <v>1735</v>
      </c>
      <c r="BF33" s="76" t="s">
        <v>1736</v>
      </c>
      <c r="BG33" s="76" t="s">
        <v>1742</v>
      </c>
      <c r="BH33" s="76" t="s">
        <v>1743</v>
      </c>
      <c r="BI33" s="76">
        <v>2350</v>
      </c>
      <c r="BM33" s="79"/>
      <c r="BN33" s="111" t="s">
        <v>2493</v>
      </c>
      <c r="BO33" s="76">
        <v>2</v>
      </c>
      <c r="BP33" s="76">
        <v>2</v>
      </c>
      <c r="BQ33" s="76">
        <v>5</v>
      </c>
      <c r="BR33" s="76" t="s">
        <v>672</v>
      </c>
      <c r="BS33" s="76" t="s">
        <v>180</v>
      </c>
      <c r="BT33" s="76" t="s">
        <v>2494</v>
      </c>
      <c r="BU33" s="99">
        <v>45618</v>
      </c>
      <c r="BV33" s="79">
        <v>35848</v>
      </c>
      <c r="BW33" s="100"/>
      <c r="BX33" s="76" t="s">
        <v>170</v>
      </c>
      <c r="BY33" s="76" t="s">
        <v>170</v>
      </c>
      <c r="CB33" s="76" t="s">
        <v>170</v>
      </c>
      <c r="CC33" s="76" t="s">
        <v>170</v>
      </c>
      <c r="CD33" s="76" t="s">
        <v>2518</v>
      </c>
      <c r="CE33" s="76" t="s">
        <v>170</v>
      </c>
      <c r="CG33" s="76" t="s">
        <v>169</v>
      </c>
      <c r="CH33" s="76" t="s">
        <v>2519</v>
      </c>
      <c r="CI33" s="76" t="s">
        <v>169</v>
      </c>
      <c r="CJ33" s="76" t="s">
        <v>2520</v>
      </c>
      <c r="CK33" s="76" t="s">
        <v>233</v>
      </c>
      <c r="CM33" s="76">
        <v>1</v>
      </c>
      <c r="CN33" s="76" t="s">
        <v>234</v>
      </c>
      <c r="CP33" s="76">
        <v>370</v>
      </c>
      <c r="CQ33" s="76">
        <v>70</v>
      </c>
      <c r="CR33" s="76">
        <v>145.69999999999999</v>
      </c>
      <c r="CS33" s="76" t="s">
        <v>1739</v>
      </c>
      <c r="CV33" s="76" t="s">
        <v>341</v>
      </c>
      <c r="CX33" s="76" t="s">
        <v>342</v>
      </c>
      <c r="CY33" s="76" t="s">
        <v>169</v>
      </c>
      <c r="DD33" s="76">
        <v>1</v>
      </c>
      <c r="DE33" s="76" t="s">
        <v>663</v>
      </c>
      <c r="DG33" s="76">
        <v>140</v>
      </c>
      <c r="DJ33" s="76" t="s">
        <v>184</v>
      </c>
      <c r="DK33" s="76" t="s">
        <v>185</v>
      </c>
      <c r="DL33" s="76" t="s">
        <v>170</v>
      </c>
      <c r="DM33" s="76" t="s">
        <v>169</v>
      </c>
      <c r="DN33" s="76" t="s">
        <v>170</v>
      </c>
      <c r="DO33" s="76" t="s">
        <v>2521</v>
      </c>
      <c r="DP33" s="76" t="s">
        <v>169</v>
      </c>
      <c r="DQ33" s="76" t="s">
        <v>198</v>
      </c>
      <c r="DS33" s="76" t="s">
        <v>2496</v>
      </c>
      <c r="DT33" s="76" t="s">
        <v>2497</v>
      </c>
      <c r="DU33" s="76" t="s">
        <v>2513</v>
      </c>
      <c r="DV33" s="76" t="s">
        <v>2514</v>
      </c>
      <c r="DY33" s="76">
        <v>25.1</v>
      </c>
      <c r="EA33" s="112"/>
      <c r="EB33" s="76">
        <v>6</v>
      </c>
      <c r="EC33" s="76">
        <v>8</v>
      </c>
      <c r="ED33" s="79"/>
      <c r="EE33" s="76" t="s">
        <v>2522</v>
      </c>
      <c r="EF33" s="76">
        <v>4</v>
      </c>
      <c r="EH33" s="79"/>
      <c r="EL33" s="79"/>
      <c r="EP33" s="79"/>
      <c r="ET33" s="79"/>
      <c r="EV33" s="79">
        <v>2250</v>
      </c>
      <c r="EW33" s="76">
        <v>0</v>
      </c>
      <c r="EX33" s="76">
        <v>0</v>
      </c>
      <c r="EY33" s="79">
        <v>0</v>
      </c>
      <c r="EZ33" s="97">
        <v>161</v>
      </c>
      <c r="FA33" s="76">
        <v>3</v>
      </c>
      <c r="FB33" s="79"/>
      <c r="FC33" s="79">
        <v>440</v>
      </c>
      <c r="FD33" s="76">
        <v>29</v>
      </c>
      <c r="FE33" s="76">
        <v>38</v>
      </c>
      <c r="FF33" s="79">
        <v>32</v>
      </c>
      <c r="FG33" s="76">
        <v>186</v>
      </c>
      <c r="FH33" s="76">
        <v>127</v>
      </c>
      <c r="FI33" s="103">
        <v>161</v>
      </c>
      <c r="FJ33" s="104">
        <v>36.74</v>
      </c>
      <c r="FK33" s="105">
        <v>41.43</v>
      </c>
      <c r="FL33" s="103">
        <v>39</v>
      </c>
      <c r="FM33" s="76">
        <v>0.65100000000000002</v>
      </c>
      <c r="FN33" s="76">
        <v>0.68799999999999994</v>
      </c>
      <c r="FO33" s="79">
        <v>0.66800000000000004</v>
      </c>
      <c r="FP33" s="106">
        <v>0</v>
      </c>
      <c r="FQ33" s="107">
        <v>0</v>
      </c>
      <c r="FR33" s="107">
        <v>0</v>
      </c>
      <c r="FS33" s="108">
        <v>21.1</v>
      </c>
    </row>
    <row r="34" spans="1:190" s="76" customFormat="1" x14ac:dyDescent="0.35">
      <c r="A34" s="76">
        <v>2025</v>
      </c>
      <c r="B34" s="162" t="s">
        <v>2507</v>
      </c>
      <c r="C34" s="162" t="s">
        <v>1516</v>
      </c>
      <c r="D34" s="162" t="s">
        <v>2509</v>
      </c>
      <c r="E34" s="162" t="s">
        <v>208</v>
      </c>
      <c r="F34" s="162">
        <v>600</v>
      </c>
      <c r="G34" s="162">
        <v>3</v>
      </c>
      <c r="H34" s="162">
        <v>6</v>
      </c>
      <c r="I34" s="163" t="s">
        <v>192</v>
      </c>
      <c r="J34" s="76">
        <v>17</v>
      </c>
      <c r="K34" s="76">
        <v>22</v>
      </c>
      <c r="L34" s="76">
        <v>19</v>
      </c>
      <c r="M34" s="76">
        <v>21.4</v>
      </c>
      <c r="N34" s="76">
        <v>31.1</v>
      </c>
      <c r="O34" s="76">
        <v>24.893999999999998</v>
      </c>
      <c r="P34" s="76">
        <v>17.1523</v>
      </c>
      <c r="Q34" s="76">
        <v>22.3141</v>
      </c>
      <c r="R34" s="76">
        <v>19.145199999999999</v>
      </c>
      <c r="T34" s="76" t="s">
        <v>165</v>
      </c>
      <c r="U34" s="76" t="s">
        <v>166</v>
      </c>
      <c r="V34" s="76" t="s">
        <v>211</v>
      </c>
      <c r="W34" s="76" t="s">
        <v>212</v>
      </c>
      <c r="Y34" s="76">
        <v>8</v>
      </c>
      <c r="Z34" s="76" t="s">
        <v>170</v>
      </c>
      <c r="AA34" s="76" t="s">
        <v>170</v>
      </c>
      <c r="AB34" s="76" t="s">
        <v>167</v>
      </c>
      <c r="AC34" s="76" t="s">
        <v>213</v>
      </c>
      <c r="AD34" s="76">
        <v>15</v>
      </c>
      <c r="AF34" s="76">
        <v>411</v>
      </c>
      <c r="AG34" s="76" t="s">
        <v>173</v>
      </c>
      <c r="AH34" s="76" t="s">
        <v>174</v>
      </c>
      <c r="AI34" s="76" t="s">
        <v>175</v>
      </c>
      <c r="AJ34" s="79" t="s">
        <v>176</v>
      </c>
      <c r="AK34" s="76" t="s">
        <v>170</v>
      </c>
      <c r="AL34" s="76" t="s">
        <v>177</v>
      </c>
      <c r="AM34" s="76">
        <v>102</v>
      </c>
      <c r="AN34" s="76">
        <v>13</v>
      </c>
      <c r="AR34" s="79"/>
      <c r="AS34" s="76">
        <v>2350</v>
      </c>
      <c r="AT34" s="79">
        <v>2350</v>
      </c>
      <c r="AU34" s="76">
        <v>49</v>
      </c>
      <c r="AV34" s="76">
        <v>57</v>
      </c>
      <c r="AW34" s="113">
        <v>46</v>
      </c>
      <c r="AX34" s="76">
        <v>70</v>
      </c>
      <c r="AY34" s="76">
        <v>81</v>
      </c>
      <c r="AZ34" s="76">
        <v>74.556200000000004</v>
      </c>
      <c r="BA34" s="76">
        <v>49.369799999999998</v>
      </c>
      <c r="BB34" s="76">
        <v>56.669499999999999</v>
      </c>
      <c r="BC34" s="76">
        <v>52.407600000000002</v>
      </c>
      <c r="BD34" s="76">
        <v>30</v>
      </c>
      <c r="BE34" s="76" t="s">
        <v>1735</v>
      </c>
      <c r="BF34" s="76" t="s">
        <v>1736</v>
      </c>
      <c r="BG34" s="76" t="s">
        <v>175</v>
      </c>
      <c r="BH34" s="76" t="s">
        <v>176</v>
      </c>
      <c r="BI34" s="76">
        <v>2350</v>
      </c>
      <c r="BM34" s="79"/>
      <c r="BN34" s="111" t="s">
        <v>2493</v>
      </c>
      <c r="BO34" s="76">
        <v>2</v>
      </c>
      <c r="BP34" s="76">
        <v>2</v>
      </c>
      <c r="BQ34" s="76">
        <v>5</v>
      </c>
      <c r="BR34" s="76" t="s">
        <v>672</v>
      </c>
      <c r="BS34" s="76" t="s">
        <v>180</v>
      </c>
      <c r="BT34" s="76" t="s">
        <v>2494</v>
      </c>
      <c r="BU34" s="99">
        <v>45618</v>
      </c>
      <c r="BV34" s="79">
        <v>35848</v>
      </c>
      <c r="BW34" s="100"/>
      <c r="BX34" s="76" t="s">
        <v>170</v>
      </c>
      <c r="BY34" s="76" t="s">
        <v>170</v>
      </c>
      <c r="CB34" s="76" t="s">
        <v>170</v>
      </c>
      <c r="CC34" s="76" t="s">
        <v>170</v>
      </c>
      <c r="CD34" s="76" t="s">
        <v>2518</v>
      </c>
      <c r="CE34" s="76" t="s">
        <v>170</v>
      </c>
      <c r="CG34" s="76" t="s">
        <v>169</v>
      </c>
      <c r="CH34" s="76" t="s">
        <v>2519</v>
      </c>
      <c r="CI34" s="76" t="s">
        <v>169</v>
      </c>
      <c r="CJ34" s="76" t="s">
        <v>2520</v>
      </c>
      <c r="CK34" s="76" t="s">
        <v>233</v>
      </c>
      <c r="CM34" s="76">
        <v>1</v>
      </c>
      <c r="CN34" s="76" t="s">
        <v>234</v>
      </c>
      <c r="CP34" s="76">
        <v>370</v>
      </c>
      <c r="CQ34" s="76">
        <v>70</v>
      </c>
      <c r="CR34" s="76">
        <v>145.69999999999999</v>
      </c>
      <c r="CS34" s="76" t="s">
        <v>1739</v>
      </c>
      <c r="CV34" s="76" t="s">
        <v>341</v>
      </c>
      <c r="CX34" s="76" t="s">
        <v>342</v>
      </c>
      <c r="CY34" s="76" t="s">
        <v>169</v>
      </c>
      <c r="DD34" s="76">
        <v>1</v>
      </c>
      <c r="DE34" s="76" t="s">
        <v>663</v>
      </c>
      <c r="DG34" s="76">
        <v>140</v>
      </c>
      <c r="DJ34" s="76" t="s">
        <v>184</v>
      </c>
      <c r="DK34" s="76" t="s">
        <v>185</v>
      </c>
      <c r="DL34" s="76" t="s">
        <v>170</v>
      </c>
      <c r="DM34" s="76" t="s">
        <v>169</v>
      </c>
      <c r="DN34" s="76" t="s">
        <v>170</v>
      </c>
      <c r="DO34" s="76" t="s">
        <v>2521</v>
      </c>
      <c r="DP34" s="76" t="s">
        <v>169</v>
      </c>
      <c r="DQ34" s="76" t="s">
        <v>198</v>
      </c>
      <c r="DS34" s="76" t="s">
        <v>2496</v>
      </c>
      <c r="DT34" s="76" t="s">
        <v>2497</v>
      </c>
      <c r="DU34" s="76" t="s">
        <v>2513</v>
      </c>
      <c r="DV34" s="76" t="s">
        <v>2514</v>
      </c>
      <c r="DY34" s="76">
        <v>25.1</v>
      </c>
      <c r="EA34" s="112"/>
      <c r="EB34" s="76">
        <v>6</v>
      </c>
      <c r="EC34" s="76">
        <v>8</v>
      </c>
      <c r="ED34" s="79"/>
      <c r="EE34" s="76" t="s">
        <v>2522</v>
      </c>
      <c r="EF34" s="76">
        <v>4</v>
      </c>
      <c r="EH34" s="79"/>
      <c r="EL34" s="79"/>
      <c r="EP34" s="79"/>
      <c r="ET34" s="79"/>
      <c r="EV34" s="79">
        <v>2250</v>
      </c>
      <c r="EW34" s="76">
        <v>520</v>
      </c>
      <c r="EX34" s="76">
        <v>400</v>
      </c>
      <c r="EY34" s="79">
        <v>161</v>
      </c>
      <c r="EZ34" s="97">
        <v>161</v>
      </c>
      <c r="FA34" s="76">
        <v>3</v>
      </c>
      <c r="FB34" s="79"/>
      <c r="FC34" s="79">
        <v>440</v>
      </c>
      <c r="FD34" s="76">
        <v>29</v>
      </c>
      <c r="FE34" s="76">
        <v>38</v>
      </c>
      <c r="FF34" s="79">
        <v>32</v>
      </c>
      <c r="FG34" s="76">
        <v>186</v>
      </c>
      <c r="FH34" s="76">
        <v>127</v>
      </c>
      <c r="FI34" s="103">
        <v>161</v>
      </c>
      <c r="FJ34" s="114" t="s">
        <v>2523</v>
      </c>
      <c r="FK34" s="115"/>
      <c r="FL34" s="116"/>
      <c r="FM34" s="76">
        <v>0.65100000000000002</v>
      </c>
      <c r="FN34" s="76">
        <v>0.68799999999999994</v>
      </c>
      <c r="FO34" s="79">
        <v>0.66800000000000004</v>
      </c>
      <c r="FP34" s="106"/>
      <c r="FQ34" s="107"/>
      <c r="FR34" s="107"/>
      <c r="FS34" s="108">
        <v>21.1</v>
      </c>
    </row>
    <row r="35" spans="1:190" s="77" customFormat="1" x14ac:dyDescent="0.35">
      <c r="A35" s="76"/>
      <c r="E35" s="76"/>
      <c r="F35" s="76"/>
      <c r="G35" s="78"/>
      <c r="H35" s="76"/>
      <c r="I35" s="79"/>
      <c r="J35" s="80"/>
      <c r="K35" s="28"/>
      <c r="L35" s="28"/>
      <c r="M35" s="25" t="str">
        <f>_xlfn.CONCAT(A36," ",C36," ",D36)</f>
        <v>2025 Bentley Flying Spur Speed</v>
      </c>
      <c r="N35" s="28"/>
      <c r="O35" s="28"/>
      <c r="P35" s="28"/>
      <c r="Q35" s="28"/>
      <c r="R35" s="28"/>
      <c r="S35" s="28"/>
      <c r="T35" s="28"/>
      <c r="U35" s="28"/>
      <c r="V35" s="28"/>
      <c r="W35" s="28"/>
      <c r="X35" s="28"/>
      <c r="Y35" s="28"/>
      <c r="Z35" s="28"/>
      <c r="AA35" s="28"/>
      <c r="AB35" s="28"/>
      <c r="AC35" s="28"/>
      <c r="AD35" s="25" t="str">
        <f>$M35</f>
        <v>2025 Bentley Flying Spur Speed</v>
      </c>
      <c r="AE35" s="28"/>
      <c r="AF35" s="28"/>
      <c r="AG35" s="28"/>
      <c r="AH35" s="28"/>
      <c r="AI35" s="28"/>
      <c r="AJ35" s="81"/>
      <c r="AK35" s="2"/>
      <c r="AL35" s="2"/>
      <c r="AM35" s="2"/>
      <c r="AN35" s="2"/>
      <c r="AO35" s="2"/>
      <c r="AP35" s="2"/>
      <c r="AQ35" s="2"/>
      <c r="AR35" s="83"/>
      <c r="AS35" s="28"/>
      <c r="AT35" s="85" t="str">
        <f>$M35</f>
        <v>2025 Bentley Flying Spur Speed</v>
      </c>
      <c r="AU35" s="28"/>
      <c r="AV35" s="28"/>
      <c r="AW35" s="28"/>
      <c r="AX35" s="28"/>
      <c r="AY35" s="28"/>
      <c r="AZ35" s="28"/>
      <c r="BA35" s="28"/>
      <c r="BB35" s="28"/>
      <c r="BC35" s="28"/>
      <c r="BD35" s="28"/>
      <c r="BE35" s="28"/>
      <c r="BF35" s="28"/>
      <c r="BG35" s="28"/>
      <c r="BH35" s="28"/>
      <c r="BI35" s="25" t="str">
        <f>$M35</f>
        <v>2025 Bentley Flying Spur Speed</v>
      </c>
      <c r="BJ35" s="28"/>
      <c r="BK35" s="28"/>
      <c r="BL35" s="28"/>
      <c r="BM35" s="81"/>
      <c r="BN35" s="82"/>
      <c r="BO35" s="2"/>
      <c r="BP35" s="2"/>
      <c r="BQ35" s="2"/>
      <c r="BR35" s="2"/>
      <c r="BS35" s="2"/>
      <c r="BT35" s="86"/>
      <c r="BU35" s="2"/>
      <c r="BV35" s="83"/>
      <c r="BW35" s="87"/>
      <c r="BX35" s="28"/>
      <c r="BY35" s="25" t="str">
        <f>$M35</f>
        <v>2025 Bentley Flying Spur Speed</v>
      </c>
      <c r="BZ35" s="28"/>
      <c r="CA35" s="28"/>
      <c r="CB35" s="28"/>
      <c r="CC35" s="28"/>
      <c r="CD35" s="28"/>
      <c r="CE35" s="88"/>
      <c r="CF35" s="28"/>
      <c r="CG35" s="28"/>
      <c r="CH35" s="28"/>
      <c r="CI35" s="28"/>
      <c r="CJ35" s="28"/>
      <c r="CK35" s="28"/>
      <c r="CL35" s="28"/>
      <c r="CM35" s="28"/>
      <c r="CN35" s="28"/>
      <c r="CO35" s="25" t="str">
        <f>$M35</f>
        <v>2025 Bentley Flying Spur Speed</v>
      </c>
      <c r="CP35" s="28"/>
      <c r="CQ35" s="28"/>
      <c r="CR35" s="28"/>
      <c r="CS35" s="28"/>
      <c r="CT35" s="28"/>
      <c r="CU35" s="28"/>
      <c r="CV35" s="28"/>
      <c r="CW35" s="28"/>
      <c r="CX35" s="28"/>
      <c r="CY35" s="28"/>
      <c r="CZ35" s="28"/>
      <c r="DA35" s="28"/>
      <c r="DB35" s="28"/>
      <c r="DC35" s="28"/>
      <c r="DD35" s="28"/>
      <c r="DE35" s="28"/>
      <c r="DF35" s="25" t="str">
        <f>$M35</f>
        <v>2025 Bentley Flying Spur Speed</v>
      </c>
      <c r="DG35" s="28"/>
      <c r="DH35" s="28"/>
      <c r="DI35" s="28"/>
      <c r="DJ35" s="28"/>
      <c r="DK35" s="28"/>
      <c r="DL35" s="28"/>
      <c r="DM35" s="28"/>
      <c r="DN35" s="28"/>
      <c r="DO35" s="28"/>
      <c r="DP35" s="28"/>
      <c r="DQ35" s="28"/>
      <c r="DR35" s="25"/>
      <c r="DS35" s="25"/>
      <c r="DT35" s="25"/>
      <c r="DU35" s="25"/>
      <c r="DV35" s="25"/>
      <c r="DW35" s="25" t="str">
        <f>$M35</f>
        <v>2025 Bentley Flying Spur Speed</v>
      </c>
      <c r="DX35" s="25"/>
      <c r="DY35" s="25"/>
      <c r="DZ35" s="85"/>
      <c r="EA35" s="89"/>
      <c r="EB35" s="80"/>
      <c r="EC35" s="25"/>
      <c r="ED35" s="85"/>
      <c r="EE35" s="25"/>
      <c r="EF35" s="25"/>
      <c r="EG35" s="25"/>
      <c r="EH35" s="85"/>
      <c r="EI35" s="25"/>
      <c r="EK35" t="s">
        <v>2445</v>
      </c>
      <c r="EL35" s="85" t="str">
        <f>$M35</f>
        <v>2025 Bentley Flying Spur Speed</v>
      </c>
      <c r="EM35" s="25"/>
      <c r="EP35" s="75"/>
      <c r="ET35" s="75"/>
      <c r="EV35" s="75"/>
      <c r="EY35" s="75"/>
      <c r="EZ35" s="102"/>
      <c r="FA35" s="25" t="str">
        <f>$M35</f>
        <v>2025 Bentley Flying Spur Speed</v>
      </c>
      <c r="FB35" s="75"/>
      <c r="FC35" s="75"/>
      <c r="FD35" s="25"/>
      <c r="FE35" s="25"/>
      <c r="FF35" s="85"/>
      <c r="FG35" s="25"/>
      <c r="FH35" s="25"/>
      <c r="FI35" s="85"/>
      <c r="FJ35" s="80"/>
      <c r="FK35" s="25"/>
      <c r="FL35" s="85"/>
      <c r="FM35" s="25" t="str">
        <f>$M35</f>
        <v>2025 Bentley Flying Spur Speed</v>
      </c>
      <c r="FN35" s="25"/>
      <c r="FO35" s="85"/>
      <c r="FP35" s="92"/>
      <c r="FQ35" s="93"/>
      <c r="FR35" s="94"/>
      <c r="FS35" s="95"/>
      <c r="FT35" s="25"/>
      <c r="FU35" s="25"/>
      <c r="FV35" s="25"/>
      <c r="FW35" s="25"/>
      <c r="FX35" s="25"/>
      <c r="FY35" s="25"/>
      <c r="FZ35" s="25"/>
      <c r="GA35" s="25"/>
      <c r="GB35" s="25"/>
      <c r="GC35" s="25"/>
      <c r="GD35" s="25"/>
      <c r="GE35" s="25"/>
      <c r="GF35" s="25"/>
      <c r="GG35" s="25"/>
      <c r="GH35" s="25"/>
    </row>
    <row r="36" spans="1:190" s="76" customFormat="1" x14ac:dyDescent="0.35">
      <c r="A36" s="76">
        <v>2025</v>
      </c>
      <c r="B36" s="76" t="s">
        <v>205</v>
      </c>
      <c r="C36" s="76" t="s">
        <v>1516</v>
      </c>
      <c r="D36" s="109" t="s">
        <v>2528</v>
      </c>
      <c r="E36" s="76" t="s">
        <v>208</v>
      </c>
      <c r="F36" s="109">
        <v>740</v>
      </c>
      <c r="G36" s="109">
        <v>4</v>
      </c>
      <c r="H36" s="109">
        <v>8</v>
      </c>
      <c r="I36" s="110" t="s">
        <v>361</v>
      </c>
      <c r="J36" s="76">
        <v>17</v>
      </c>
      <c r="K36" s="76">
        <v>22</v>
      </c>
      <c r="L36" s="76">
        <v>19</v>
      </c>
      <c r="M36" s="76">
        <v>21.4</v>
      </c>
      <c r="N36" s="76">
        <v>31.1</v>
      </c>
      <c r="O36" s="76">
        <v>24.893999999999998</v>
      </c>
      <c r="P36" s="76">
        <v>17.1523</v>
      </c>
      <c r="Q36" s="76">
        <v>22.3141</v>
      </c>
      <c r="R36" s="76">
        <v>19.145199999999999</v>
      </c>
      <c r="T36" s="76" t="s">
        <v>165</v>
      </c>
      <c r="U36" s="76" t="s">
        <v>166</v>
      </c>
      <c r="V36" s="76" t="s">
        <v>211</v>
      </c>
      <c r="W36" s="76" t="s">
        <v>212</v>
      </c>
      <c r="Y36" s="76">
        <v>8</v>
      </c>
      <c r="Z36" s="76" t="s">
        <v>170</v>
      </c>
      <c r="AA36" s="76" t="s">
        <v>170</v>
      </c>
      <c r="AB36" s="76" t="s">
        <v>167</v>
      </c>
      <c r="AC36" s="76" t="s">
        <v>213</v>
      </c>
      <c r="AD36" s="76">
        <v>15</v>
      </c>
      <c r="AF36" s="76">
        <v>411</v>
      </c>
      <c r="AG36" s="76" t="s">
        <v>173</v>
      </c>
      <c r="AH36" s="76" t="s">
        <v>174</v>
      </c>
      <c r="AI36" s="76" t="s">
        <v>175</v>
      </c>
      <c r="AJ36" s="79" t="s">
        <v>176</v>
      </c>
      <c r="AK36" s="76" t="s">
        <v>170</v>
      </c>
      <c r="AL36" s="76" t="s">
        <v>177</v>
      </c>
      <c r="AM36" s="76">
        <v>102</v>
      </c>
      <c r="AN36" s="76">
        <v>13</v>
      </c>
      <c r="AR36" s="79"/>
      <c r="AS36" s="76">
        <v>2350</v>
      </c>
      <c r="AT36" s="79">
        <v>2350</v>
      </c>
      <c r="AU36" s="76">
        <v>68</v>
      </c>
      <c r="AV36" s="76">
        <v>58</v>
      </c>
      <c r="AW36" s="76">
        <v>64</v>
      </c>
      <c r="AX36" s="76">
        <v>48.2</v>
      </c>
      <c r="AY36" s="76">
        <v>41.6</v>
      </c>
      <c r="AZ36" s="76">
        <v>45.23</v>
      </c>
      <c r="BA36" s="76">
        <v>68.370999999999995</v>
      </c>
      <c r="BB36" s="76">
        <v>57.991</v>
      </c>
      <c r="BC36" s="76">
        <v>63.7</v>
      </c>
      <c r="BD36" s="76">
        <v>30</v>
      </c>
      <c r="BE36" s="76" t="s">
        <v>1735</v>
      </c>
      <c r="BF36" s="76" t="s">
        <v>1736</v>
      </c>
      <c r="BG36" s="76" t="s">
        <v>1742</v>
      </c>
      <c r="BH36" s="76" t="s">
        <v>1743</v>
      </c>
      <c r="BI36" s="76">
        <v>2350</v>
      </c>
      <c r="BM36" s="79"/>
      <c r="BN36" s="111" t="s">
        <v>2493</v>
      </c>
      <c r="BO36" s="76">
        <v>2</v>
      </c>
      <c r="BP36" s="76">
        <v>2</v>
      </c>
      <c r="BQ36" s="76">
        <v>5</v>
      </c>
      <c r="BR36" s="76" t="s">
        <v>672</v>
      </c>
      <c r="BS36" s="76" t="s">
        <v>180</v>
      </c>
      <c r="BT36" s="76" t="s">
        <v>2494</v>
      </c>
      <c r="BU36" s="99">
        <v>45618</v>
      </c>
      <c r="BV36" s="79">
        <v>35849</v>
      </c>
      <c r="BW36" s="100"/>
      <c r="BX36" s="76" t="s">
        <v>170</v>
      </c>
      <c r="BY36" s="76" t="s">
        <v>170</v>
      </c>
      <c r="CB36" s="76" t="s">
        <v>170</v>
      </c>
      <c r="CC36" s="76" t="s">
        <v>170</v>
      </c>
      <c r="CD36" s="76" t="s">
        <v>2518</v>
      </c>
      <c r="CE36" s="76" t="s">
        <v>170</v>
      </c>
      <c r="CG36" s="76" t="s">
        <v>169</v>
      </c>
      <c r="CH36" s="76" t="s">
        <v>2519</v>
      </c>
      <c r="CI36" s="76" t="s">
        <v>169</v>
      </c>
      <c r="CJ36" s="76" t="s">
        <v>2520</v>
      </c>
      <c r="CK36" s="76" t="s">
        <v>233</v>
      </c>
      <c r="CM36" s="76">
        <v>1</v>
      </c>
      <c r="CN36" s="76" t="s">
        <v>234</v>
      </c>
      <c r="CP36" s="76">
        <v>370</v>
      </c>
      <c r="CQ36" s="76">
        <v>70</v>
      </c>
      <c r="CR36" s="76">
        <v>145.69999999999999</v>
      </c>
      <c r="CS36" s="76" t="s">
        <v>1739</v>
      </c>
      <c r="CV36" s="76" t="s">
        <v>341</v>
      </c>
      <c r="CX36" s="76" t="s">
        <v>342</v>
      </c>
      <c r="CY36" s="76" t="s">
        <v>169</v>
      </c>
      <c r="DD36" s="76">
        <v>1</v>
      </c>
      <c r="DE36" s="76" t="s">
        <v>663</v>
      </c>
      <c r="DG36" s="76">
        <v>140</v>
      </c>
      <c r="DJ36" s="76" t="s">
        <v>184</v>
      </c>
      <c r="DK36" s="76" t="s">
        <v>185</v>
      </c>
      <c r="DL36" s="76" t="s">
        <v>170</v>
      </c>
      <c r="DM36" s="76" t="s">
        <v>169</v>
      </c>
      <c r="DN36" s="76" t="s">
        <v>170</v>
      </c>
      <c r="DO36" s="76" t="s">
        <v>2521</v>
      </c>
      <c r="DP36" s="76" t="s">
        <v>169</v>
      </c>
      <c r="DQ36" s="76" t="s">
        <v>198</v>
      </c>
      <c r="DS36" s="76" t="s">
        <v>2496</v>
      </c>
      <c r="DT36" s="76" t="s">
        <v>2497</v>
      </c>
      <c r="DU36" s="76" t="s">
        <v>2513</v>
      </c>
      <c r="DV36" s="76" t="s">
        <v>2514</v>
      </c>
      <c r="DY36" s="76">
        <v>25.1</v>
      </c>
      <c r="EA36" s="112"/>
      <c r="EB36" s="76">
        <v>6</v>
      </c>
      <c r="EC36" s="76">
        <v>8</v>
      </c>
      <c r="ED36" s="79"/>
      <c r="EE36" s="76" t="s">
        <v>2522</v>
      </c>
      <c r="EF36" s="76">
        <v>4</v>
      </c>
      <c r="EH36" s="79"/>
      <c r="EL36" s="79"/>
      <c r="EP36" s="79"/>
      <c r="ET36" s="79"/>
      <c r="EV36" s="79">
        <v>2250</v>
      </c>
      <c r="EW36" s="76">
        <v>0</v>
      </c>
      <c r="EX36" s="76">
        <v>0</v>
      </c>
      <c r="EY36" s="79">
        <v>0</v>
      </c>
      <c r="EZ36" s="97">
        <v>161</v>
      </c>
      <c r="FA36" s="76">
        <v>3</v>
      </c>
      <c r="FB36" s="79"/>
      <c r="FC36" s="79">
        <v>440</v>
      </c>
      <c r="FD36" s="76">
        <v>29</v>
      </c>
      <c r="FE36" s="76">
        <v>38</v>
      </c>
      <c r="FF36" s="79">
        <v>32</v>
      </c>
      <c r="FG36" s="76">
        <v>186</v>
      </c>
      <c r="FH36" s="76">
        <v>127</v>
      </c>
      <c r="FI36" s="103">
        <v>161</v>
      </c>
      <c r="FJ36" s="104">
        <v>36.74</v>
      </c>
      <c r="FK36" s="105">
        <v>41.43</v>
      </c>
      <c r="FL36" s="103">
        <v>39</v>
      </c>
      <c r="FM36" s="76">
        <v>0.65100000000000002</v>
      </c>
      <c r="FN36" s="76">
        <v>0.68799999999999994</v>
      </c>
      <c r="FO36" s="79">
        <v>0.66800000000000004</v>
      </c>
      <c r="FP36" s="106">
        <v>0</v>
      </c>
      <c r="FQ36" s="107">
        <v>0</v>
      </c>
      <c r="FR36" s="107">
        <v>0</v>
      </c>
      <c r="FS36" s="108">
        <v>21.1</v>
      </c>
    </row>
    <row r="37" spans="1:190" s="76" customFormat="1" x14ac:dyDescent="0.35">
      <c r="A37" s="76">
        <v>2025</v>
      </c>
      <c r="B37" s="162" t="s">
        <v>2507</v>
      </c>
      <c r="C37" s="162" t="s">
        <v>1516</v>
      </c>
      <c r="D37" s="162" t="s">
        <v>2509</v>
      </c>
      <c r="E37" s="162" t="s">
        <v>208</v>
      </c>
      <c r="F37" s="162">
        <v>600</v>
      </c>
      <c r="G37" s="162">
        <v>3</v>
      </c>
      <c r="H37" s="162">
        <v>6</v>
      </c>
      <c r="I37" s="163" t="s">
        <v>192</v>
      </c>
      <c r="J37" s="76">
        <v>17</v>
      </c>
      <c r="K37" s="76">
        <v>22</v>
      </c>
      <c r="L37" s="76">
        <v>19</v>
      </c>
      <c r="M37" s="76">
        <v>21.4</v>
      </c>
      <c r="N37" s="76">
        <v>31.1</v>
      </c>
      <c r="O37" s="76">
        <v>24.893999999999998</v>
      </c>
      <c r="P37" s="76">
        <v>17.1523</v>
      </c>
      <c r="Q37" s="76">
        <v>22.3141</v>
      </c>
      <c r="R37" s="76">
        <v>19.145199999999999</v>
      </c>
      <c r="T37" s="76" t="s">
        <v>165</v>
      </c>
      <c r="U37" s="76" t="s">
        <v>166</v>
      </c>
      <c r="V37" s="76" t="s">
        <v>211</v>
      </c>
      <c r="W37" s="76" t="s">
        <v>212</v>
      </c>
      <c r="Y37" s="76">
        <v>8</v>
      </c>
      <c r="Z37" s="76" t="s">
        <v>170</v>
      </c>
      <c r="AA37" s="76" t="s">
        <v>170</v>
      </c>
      <c r="AB37" s="76" t="s">
        <v>167</v>
      </c>
      <c r="AC37" s="76" t="s">
        <v>213</v>
      </c>
      <c r="AD37" s="76">
        <v>15</v>
      </c>
      <c r="AF37" s="76">
        <v>411</v>
      </c>
      <c r="AG37" s="76" t="s">
        <v>173</v>
      </c>
      <c r="AH37" s="76" t="s">
        <v>174</v>
      </c>
      <c r="AI37" s="76" t="s">
        <v>175</v>
      </c>
      <c r="AJ37" s="79" t="s">
        <v>176</v>
      </c>
      <c r="AK37" s="76" t="s">
        <v>170</v>
      </c>
      <c r="AL37" s="76" t="s">
        <v>177</v>
      </c>
      <c r="AM37" s="76">
        <v>102</v>
      </c>
      <c r="AN37" s="76">
        <v>13</v>
      </c>
      <c r="AR37" s="79"/>
      <c r="AS37" s="76">
        <v>2350</v>
      </c>
      <c r="AT37" s="79">
        <v>2350</v>
      </c>
      <c r="AU37" s="76">
        <v>49</v>
      </c>
      <c r="AV37" s="76">
        <v>57</v>
      </c>
      <c r="AW37" s="113">
        <v>46</v>
      </c>
      <c r="AX37" s="76">
        <v>70</v>
      </c>
      <c r="AY37" s="76">
        <v>81</v>
      </c>
      <c r="AZ37" s="76">
        <v>74.556200000000004</v>
      </c>
      <c r="BA37" s="76">
        <v>49.369799999999998</v>
      </c>
      <c r="BB37" s="76">
        <v>56.669499999999999</v>
      </c>
      <c r="BC37" s="76">
        <v>52.407600000000002</v>
      </c>
      <c r="BD37" s="76">
        <v>30</v>
      </c>
      <c r="BE37" s="76" t="s">
        <v>1735</v>
      </c>
      <c r="BF37" s="76" t="s">
        <v>1736</v>
      </c>
      <c r="BG37" s="76" t="s">
        <v>175</v>
      </c>
      <c r="BH37" s="76" t="s">
        <v>176</v>
      </c>
      <c r="BI37" s="76">
        <v>2350</v>
      </c>
      <c r="BM37" s="79"/>
      <c r="BN37" s="111" t="s">
        <v>2493</v>
      </c>
      <c r="BO37" s="76">
        <v>2</v>
      </c>
      <c r="BP37" s="76">
        <v>2</v>
      </c>
      <c r="BQ37" s="76">
        <v>5</v>
      </c>
      <c r="BR37" s="76" t="s">
        <v>672</v>
      </c>
      <c r="BS37" s="76" t="s">
        <v>180</v>
      </c>
      <c r="BT37" s="76" t="s">
        <v>2494</v>
      </c>
      <c r="BU37" s="99">
        <v>45618</v>
      </c>
      <c r="BV37" s="79">
        <v>35849</v>
      </c>
      <c r="BW37" s="100"/>
      <c r="BX37" s="76" t="s">
        <v>170</v>
      </c>
      <c r="BY37" s="76" t="s">
        <v>170</v>
      </c>
      <c r="CB37" s="76" t="s">
        <v>170</v>
      </c>
      <c r="CC37" s="76" t="s">
        <v>170</v>
      </c>
      <c r="CD37" s="76" t="s">
        <v>2518</v>
      </c>
      <c r="CE37" s="76" t="s">
        <v>170</v>
      </c>
      <c r="CG37" s="76" t="s">
        <v>169</v>
      </c>
      <c r="CH37" s="76" t="s">
        <v>2519</v>
      </c>
      <c r="CI37" s="76" t="s">
        <v>169</v>
      </c>
      <c r="CJ37" s="76" t="s">
        <v>2520</v>
      </c>
      <c r="CK37" s="76" t="s">
        <v>233</v>
      </c>
      <c r="CM37" s="76">
        <v>1</v>
      </c>
      <c r="CN37" s="76" t="s">
        <v>234</v>
      </c>
      <c r="CP37" s="76">
        <v>370</v>
      </c>
      <c r="CQ37" s="76">
        <v>70</v>
      </c>
      <c r="CR37" s="76">
        <v>145.69999999999999</v>
      </c>
      <c r="CS37" s="76" t="s">
        <v>1739</v>
      </c>
      <c r="CV37" s="76" t="s">
        <v>341</v>
      </c>
      <c r="CX37" s="76" t="s">
        <v>342</v>
      </c>
      <c r="CY37" s="76" t="s">
        <v>169</v>
      </c>
      <c r="DD37" s="76">
        <v>1</v>
      </c>
      <c r="DE37" s="76" t="s">
        <v>663</v>
      </c>
      <c r="DG37" s="76">
        <v>140</v>
      </c>
      <c r="DJ37" s="76" t="s">
        <v>184</v>
      </c>
      <c r="DK37" s="76" t="s">
        <v>185</v>
      </c>
      <c r="DL37" s="76" t="s">
        <v>170</v>
      </c>
      <c r="DM37" s="76" t="s">
        <v>169</v>
      </c>
      <c r="DN37" s="76" t="s">
        <v>170</v>
      </c>
      <c r="DO37" s="76" t="s">
        <v>2521</v>
      </c>
      <c r="DP37" s="76" t="s">
        <v>169</v>
      </c>
      <c r="DQ37" s="76" t="s">
        <v>198</v>
      </c>
      <c r="DS37" s="76" t="s">
        <v>2496</v>
      </c>
      <c r="DT37" s="76" t="s">
        <v>2497</v>
      </c>
      <c r="DU37" s="76" t="s">
        <v>2513</v>
      </c>
      <c r="DV37" s="76" t="s">
        <v>2514</v>
      </c>
      <c r="DY37" s="76">
        <v>25.1</v>
      </c>
      <c r="EA37" s="112"/>
      <c r="EB37" s="76">
        <v>6</v>
      </c>
      <c r="EC37" s="76">
        <v>8</v>
      </c>
      <c r="ED37" s="79"/>
      <c r="EE37" s="76" t="s">
        <v>2522</v>
      </c>
      <c r="EF37" s="76">
        <v>4</v>
      </c>
      <c r="EH37" s="79"/>
      <c r="EL37" s="79"/>
      <c r="EP37" s="79"/>
      <c r="ET37" s="79"/>
      <c r="EV37" s="79">
        <v>2250</v>
      </c>
      <c r="EW37" s="76">
        <v>520</v>
      </c>
      <c r="EX37" s="76">
        <v>400</v>
      </c>
      <c r="EY37" s="79">
        <v>161</v>
      </c>
      <c r="EZ37" s="97">
        <v>161</v>
      </c>
      <c r="FA37" s="76">
        <v>3</v>
      </c>
      <c r="FB37" s="79"/>
      <c r="FC37" s="79">
        <v>440</v>
      </c>
      <c r="FD37" s="76">
        <v>29</v>
      </c>
      <c r="FE37" s="76">
        <v>38</v>
      </c>
      <c r="FF37" s="79">
        <v>32</v>
      </c>
      <c r="FG37" s="76">
        <v>186</v>
      </c>
      <c r="FH37" s="76">
        <v>127</v>
      </c>
      <c r="FI37" s="103">
        <v>161</v>
      </c>
      <c r="FJ37" s="114" t="s">
        <v>2523</v>
      </c>
      <c r="FK37" s="115"/>
      <c r="FL37" s="116"/>
      <c r="FM37" s="76">
        <v>0.65100000000000002</v>
      </c>
      <c r="FN37" s="76">
        <v>0.68799999999999994</v>
      </c>
      <c r="FO37" s="79">
        <v>0.66800000000000004</v>
      </c>
      <c r="FP37" s="106"/>
      <c r="FQ37" s="107"/>
      <c r="FR37" s="107"/>
      <c r="FS37" s="108">
        <v>21.1</v>
      </c>
    </row>
    <row r="38" spans="1:190" s="77" customFormat="1" x14ac:dyDescent="0.35">
      <c r="A38" s="76"/>
      <c r="E38" s="76"/>
      <c r="F38" s="76"/>
      <c r="G38" s="78"/>
      <c r="H38" s="76"/>
      <c r="I38" s="79"/>
      <c r="J38" s="80"/>
      <c r="K38" s="28"/>
      <c r="L38" s="28"/>
      <c r="M38" s="25" t="str">
        <f>_xlfn.CONCAT(A39," ",C39," ",D39)</f>
        <v>2025 Lamborghini Urus SE</v>
      </c>
      <c r="N38" s="28"/>
      <c r="O38" s="28"/>
      <c r="P38" s="28"/>
      <c r="Q38" s="28"/>
      <c r="R38" s="28"/>
      <c r="S38" s="28"/>
      <c r="T38" s="28"/>
      <c r="U38" s="28"/>
      <c r="V38" s="28"/>
      <c r="W38" s="28"/>
      <c r="X38" s="28"/>
      <c r="Y38" s="28"/>
      <c r="Z38" s="28"/>
      <c r="AA38" s="28"/>
      <c r="AB38" s="28"/>
      <c r="AC38" s="28"/>
      <c r="AD38" s="25" t="str">
        <f>$M38</f>
        <v>2025 Lamborghini Urus SE</v>
      </c>
      <c r="AE38" s="28"/>
      <c r="AF38" s="28"/>
      <c r="AG38" s="28"/>
      <c r="AH38" s="28"/>
      <c r="AI38" s="28"/>
      <c r="AJ38" s="81"/>
      <c r="AK38" s="2"/>
      <c r="AL38" s="2"/>
      <c r="AM38" s="2"/>
      <c r="AN38" s="2"/>
      <c r="AO38" s="2"/>
      <c r="AP38" s="2"/>
      <c r="AQ38" s="2"/>
      <c r="AR38" s="83"/>
      <c r="AS38" s="28"/>
      <c r="AT38" s="85" t="str">
        <f>$M38</f>
        <v>2025 Lamborghini Urus SE</v>
      </c>
      <c r="AU38" s="28"/>
      <c r="AV38" s="28"/>
      <c r="AW38" s="28"/>
      <c r="AX38" s="28"/>
      <c r="AY38" s="28"/>
      <c r="AZ38" s="28"/>
      <c r="BA38" s="28"/>
      <c r="BB38" s="28"/>
      <c r="BC38" s="28"/>
      <c r="BD38" s="28"/>
      <c r="BE38" s="28"/>
      <c r="BF38" s="28"/>
      <c r="BG38" s="28"/>
      <c r="BH38" s="28"/>
      <c r="BI38" s="25" t="str">
        <f>$M38</f>
        <v>2025 Lamborghini Urus SE</v>
      </c>
      <c r="BJ38" s="28"/>
      <c r="BK38" s="28"/>
      <c r="BL38" s="28"/>
      <c r="BM38" s="81"/>
      <c r="BN38" s="82"/>
      <c r="BO38" s="2"/>
      <c r="BP38" s="2"/>
      <c r="BQ38" s="2"/>
      <c r="BR38" s="2"/>
      <c r="BS38" s="2"/>
      <c r="BT38" s="86"/>
      <c r="BU38" s="2"/>
      <c r="BV38" s="83"/>
      <c r="BW38" s="87"/>
      <c r="BX38" s="28"/>
      <c r="BY38" s="25" t="str">
        <f>$M38</f>
        <v>2025 Lamborghini Urus SE</v>
      </c>
      <c r="BZ38" s="28"/>
      <c r="CA38" s="28"/>
      <c r="CB38" s="28"/>
      <c r="CC38" s="28"/>
      <c r="CD38" s="28"/>
      <c r="CE38" s="88"/>
      <c r="CF38" s="28"/>
      <c r="CG38" s="28"/>
      <c r="CH38" s="28"/>
      <c r="CI38" s="28"/>
      <c r="CJ38" s="28"/>
      <c r="CK38" s="28"/>
      <c r="CL38" s="28"/>
      <c r="CM38" s="28"/>
      <c r="CN38" s="28"/>
      <c r="CO38" s="25" t="str">
        <f>$M38</f>
        <v>2025 Lamborghini Urus SE</v>
      </c>
      <c r="CP38" s="28"/>
      <c r="CQ38" s="28"/>
      <c r="CR38" s="28"/>
      <c r="CS38" s="28"/>
      <c r="CT38" s="28"/>
      <c r="CU38" s="28"/>
      <c r="CV38" s="28"/>
      <c r="CW38" s="28"/>
      <c r="CX38" s="28"/>
      <c r="CY38" s="28"/>
      <c r="CZ38" s="28"/>
      <c r="DA38" s="28"/>
      <c r="DB38" s="28"/>
      <c r="DC38" s="28"/>
      <c r="DD38" s="28"/>
      <c r="DE38" s="28"/>
      <c r="DF38" s="25" t="str">
        <f>$M38</f>
        <v>2025 Lamborghini Urus SE</v>
      </c>
      <c r="DG38" s="28"/>
      <c r="DH38" s="28"/>
      <c r="DI38" s="28"/>
      <c r="DJ38" s="28"/>
      <c r="DK38" s="28"/>
      <c r="DL38" s="28"/>
      <c r="DM38" s="28"/>
      <c r="DN38" s="28"/>
      <c r="DO38" s="28"/>
      <c r="DP38" s="28"/>
      <c r="DQ38" s="28"/>
      <c r="DR38" s="25"/>
      <c r="DS38" s="25"/>
      <c r="DT38" s="25"/>
      <c r="DU38" s="25"/>
      <c r="DV38" s="25"/>
      <c r="DW38" s="25" t="str">
        <f>$M38</f>
        <v>2025 Lamborghini Urus SE</v>
      </c>
      <c r="DX38" s="25"/>
      <c r="DY38" s="25"/>
      <c r="DZ38" s="85"/>
      <c r="EA38" s="89"/>
      <c r="EB38" s="80"/>
      <c r="EC38" s="25"/>
      <c r="ED38" s="85"/>
      <c r="EE38" s="25"/>
      <c r="EF38" s="25"/>
      <c r="EG38" s="25"/>
      <c r="EH38" s="85"/>
      <c r="EI38" s="25"/>
      <c r="EK38" t="s">
        <v>2445</v>
      </c>
      <c r="EL38" s="85" t="str">
        <f>$M38</f>
        <v>2025 Lamborghini Urus SE</v>
      </c>
      <c r="EM38" s="25"/>
      <c r="EP38" s="75"/>
      <c r="ET38" s="75"/>
      <c r="EU38" s="90"/>
      <c r="EV38" s="75"/>
      <c r="EY38" s="75"/>
      <c r="EZ38" s="102"/>
      <c r="FA38" s="25" t="str">
        <f>$M38</f>
        <v>2025 Lamborghini Urus SE</v>
      </c>
      <c r="FB38" s="75"/>
      <c r="FC38" s="75"/>
      <c r="FD38" s="25"/>
      <c r="FE38" s="25"/>
      <c r="FF38" s="85"/>
      <c r="FG38" s="25"/>
      <c r="FH38" s="25"/>
      <c r="FI38" s="85"/>
      <c r="FJ38" s="80"/>
      <c r="FK38" s="25"/>
      <c r="FL38" s="85"/>
      <c r="FM38" s="25" t="str">
        <f>$M38</f>
        <v>2025 Lamborghini Urus SE</v>
      </c>
      <c r="FN38" s="25"/>
      <c r="FO38" s="85"/>
      <c r="FP38" s="92"/>
      <c r="FQ38" s="93"/>
      <c r="FR38" s="94"/>
      <c r="FS38" s="95"/>
      <c r="FT38" s="25"/>
      <c r="FU38" s="25"/>
      <c r="FV38" s="25"/>
      <c r="FW38" s="25"/>
      <c r="FX38" s="25"/>
      <c r="FY38" s="25"/>
      <c r="FZ38" s="25"/>
      <c r="GA38" s="25"/>
      <c r="GB38" s="25"/>
      <c r="GC38" s="25"/>
      <c r="GD38" s="25"/>
      <c r="GE38" s="25"/>
      <c r="GF38" s="25"/>
      <c r="GG38" s="25"/>
      <c r="GH38" s="25"/>
    </row>
    <row r="39" spans="1:190" s="76" customFormat="1" x14ac:dyDescent="0.35">
      <c r="A39" s="76">
        <v>2025</v>
      </c>
      <c r="B39" s="76" t="s">
        <v>205</v>
      </c>
      <c r="C39" s="109" t="s">
        <v>2529</v>
      </c>
      <c r="D39" s="109" t="s">
        <v>2530</v>
      </c>
      <c r="E39" s="76" t="s">
        <v>208</v>
      </c>
      <c r="F39" s="109">
        <v>410</v>
      </c>
      <c r="G39" s="109">
        <v>4</v>
      </c>
      <c r="H39" s="109">
        <v>8</v>
      </c>
      <c r="I39" s="110" t="s">
        <v>192</v>
      </c>
      <c r="J39" s="96">
        <v>19</v>
      </c>
      <c r="K39" s="76">
        <v>21</v>
      </c>
      <c r="L39" s="76">
        <v>20</v>
      </c>
      <c r="M39" s="76">
        <v>23.7</v>
      </c>
      <c r="N39" s="76">
        <v>29.1</v>
      </c>
      <c r="O39" s="76">
        <v>25.859400000000001</v>
      </c>
      <c r="P39" s="76">
        <v>18.8536</v>
      </c>
      <c r="Q39" s="76">
        <v>20.975100000000001</v>
      </c>
      <c r="R39" s="76">
        <v>19.752600000000001</v>
      </c>
      <c r="T39" s="76" t="s">
        <v>165</v>
      </c>
      <c r="U39" s="76" t="s">
        <v>166</v>
      </c>
      <c r="V39" s="76" t="s">
        <v>193</v>
      </c>
      <c r="W39" s="76" t="s">
        <v>194</v>
      </c>
      <c r="Y39" s="76">
        <v>8</v>
      </c>
      <c r="Z39" s="76" t="s">
        <v>170</v>
      </c>
      <c r="AA39" s="76" t="s">
        <v>170</v>
      </c>
      <c r="AB39" s="76">
        <v>4</v>
      </c>
      <c r="AC39" s="76" t="s">
        <v>601</v>
      </c>
      <c r="AD39" s="76">
        <v>15</v>
      </c>
      <c r="AF39" s="76">
        <v>414</v>
      </c>
      <c r="AG39" s="76" t="s">
        <v>214</v>
      </c>
      <c r="AH39" s="76" t="s">
        <v>215</v>
      </c>
      <c r="AI39" s="76" t="s">
        <v>175</v>
      </c>
      <c r="AJ39" s="79" t="s">
        <v>176</v>
      </c>
      <c r="AK39" s="96" t="s">
        <v>940</v>
      </c>
      <c r="AL39" s="76" t="s">
        <v>941</v>
      </c>
      <c r="AO39" s="76">
        <v>104</v>
      </c>
      <c r="AP39" s="76">
        <v>16</v>
      </c>
      <c r="AR39" s="79"/>
      <c r="AS39" s="96">
        <v>2550</v>
      </c>
      <c r="AT39" s="79">
        <v>2550</v>
      </c>
      <c r="AU39" s="76">
        <v>72</v>
      </c>
      <c r="AV39" s="76">
        <v>67</v>
      </c>
      <c r="AW39" s="76">
        <v>70</v>
      </c>
      <c r="AX39" s="76">
        <v>51.5</v>
      </c>
      <c r="AY39" s="76">
        <v>47.4</v>
      </c>
      <c r="AZ39" s="76">
        <v>49.655000000000001</v>
      </c>
      <c r="BA39" s="76">
        <v>71.953000000000003</v>
      </c>
      <c r="BB39" s="76">
        <v>67.397999999999996</v>
      </c>
      <c r="BC39" s="76">
        <v>69.903199999999998</v>
      </c>
      <c r="BD39" s="76">
        <v>35</v>
      </c>
      <c r="BE39" s="76" t="s">
        <v>1735</v>
      </c>
      <c r="BF39" s="76" t="s">
        <v>1736</v>
      </c>
      <c r="BG39" s="76" t="s">
        <v>1742</v>
      </c>
      <c r="BH39" s="76" t="s">
        <v>1743</v>
      </c>
      <c r="BI39" s="76">
        <v>2550</v>
      </c>
      <c r="BM39" s="79"/>
      <c r="BN39" s="98" t="s">
        <v>2493</v>
      </c>
      <c r="BO39" s="76">
        <v>2</v>
      </c>
      <c r="BP39" s="76">
        <v>2</v>
      </c>
      <c r="BQ39" s="76">
        <v>33</v>
      </c>
      <c r="BR39" s="76" t="s">
        <v>1497</v>
      </c>
      <c r="BT39" s="76" t="s">
        <v>2494</v>
      </c>
      <c r="BU39" s="99">
        <v>45520</v>
      </c>
      <c r="BV39" s="79">
        <v>35319</v>
      </c>
      <c r="BW39" s="100"/>
      <c r="BX39" s="76" t="s">
        <v>169</v>
      </c>
      <c r="BY39" s="76" t="s">
        <v>170</v>
      </c>
      <c r="CB39" s="76" t="s">
        <v>170</v>
      </c>
      <c r="CC39" s="76" t="s">
        <v>170</v>
      </c>
      <c r="CD39" s="76" t="s">
        <v>2531</v>
      </c>
      <c r="CE39" s="76" t="s">
        <v>170</v>
      </c>
      <c r="CG39" s="76" t="s">
        <v>169</v>
      </c>
      <c r="CH39" s="76" t="s">
        <v>2532</v>
      </c>
      <c r="CI39" s="76" t="s">
        <v>170</v>
      </c>
      <c r="CK39" s="76" t="s">
        <v>233</v>
      </c>
      <c r="CM39" s="76">
        <v>1</v>
      </c>
      <c r="CN39" s="76" t="s">
        <v>234</v>
      </c>
      <c r="CP39" s="76">
        <v>370</v>
      </c>
      <c r="CQ39" s="76">
        <v>70</v>
      </c>
      <c r="CR39" s="76">
        <v>157.80000000000001</v>
      </c>
      <c r="CS39" s="76" t="s">
        <v>1739</v>
      </c>
      <c r="CV39" s="76" t="s">
        <v>341</v>
      </c>
      <c r="CX39" s="76" t="s">
        <v>342</v>
      </c>
      <c r="CY39" s="76" t="s">
        <v>170</v>
      </c>
      <c r="DC39" s="76" t="s">
        <v>2533</v>
      </c>
      <c r="DD39" s="76">
        <v>1</v>
      </c>
      <c r="DE39" s="76" t="s">
        <v>404</v>
      </c>
      <c r="DF39" s="76" t="s">
        <v>2534</v>
      </c>
      <c r="DG39" s="76">
        <v>141</v>
      </c>
      <c r="DJ39" s="76" t="s">
        <v>184</v>
      </c>
      <c r="DK39" s="76" t="s">
        <v>185</v>
      </c>
      <c r="DL39" s="76" t="s">
        <v>170</v>
      </c>
      <c r="DM39" s="76" t="s">
        <v>169</v>
      </c>
      <c r="DN39" s="76" t="s">
        <v>170</v>
      </c>
      <c r="DO39" s="76" t="s">
        <v>695</v>
      </c>
      <c r="DP39" s="76" t="s">
        <v>170</v>
      </c>
      <c r="DQ39" s="76" t="s">
        <v>187</v>
      </c>
      <c r="DS39" s="76" t="s">
        <v>2496</v>
      </c>
      <c r="DT39" s="76" t="s">
        <v>2497</v>
      </c>
      <c r="DU39" s="76" t="s">
        <v>2498</v>
      </c>
      <c r="DV39" s="76" t="s">
        <v>2499</v>
      </c>
      <c r="DY39" s="76">
        <v>21.1</v>
      </c>
      <c r="DZ39" s="79"/>
      <c r="EA39" s="101"/>
      <c r="EB39" s="96">
        <v>6</v>
      </c>
      <c r="EC39" s="76">
        <v>8</v>
      </c>
      <c r="ED39" s="79"/>
      <c r="EE39" s="76" t="s">
        <v>2535</v>
      </c>
      <c r="EF39" s="76">
        <v>2</v>
      </c>
      <c r="EH39" s="79"/>
      <c r="EL39" s="79"/>
      <c r="EP39" s="79"/>
      <c r="EQ39" s="96"/>
      <c r="ET39" s="79"/>
      <c r="EU39" s="96"/>
      <c r="EV39" s="79">
        <v>1750</v>
      </c>
      <c r="EW39" s="76">
        <v>0</v>
      </c>
      <c r="EX39" s="76">
        <v>0</v>
      </c>
      <c r="EY39" s="79">
        <v>0</v>
      </c>
      <c r="EZ39" s="102">
        <v>251</v>
      </c>
      <c r="FA39" s="76">
        <v>4</v>
      </c>
      <c r="FB39" s="79"/>
      <c r="FC39" s="79">
        <v>450</v>
      </c>
      <c r="FD39" s="76">
        <v>24</v>
      </c>
      <c r="FE39" s="76">
        <v>30</v>
      </c>
      <c r="FF39" s="79">
        <v>26</v>
      </c>
      <c r="FG39" s="76">
        <v>177</v>
      </c>
      <c r="FH39" s="76">
        <v>154</v>
      </c>
      <c r="FI39" s="103">
        <v>166</v>
      </c>
      <c r="FJ39" s="104">
        <v>34.81</v>
      </c>
      <c r="FK39" s="105">
        <v>35.56</v>
      </c>
      <c r="FL39" s="103">
        <v>35</v>
      </c>
      <c r="FM39" s="76">
        <v>0.63400000000000001</v>
      </c>
      <c r="FN39" s="76">
        <v>0.64100000000000001</v>
      </c>
      <c r="FO39" s="79">
        <v>0.63700000000000001</v>
      </c>
      <c r="FP39" s="106">
        <v>0</v>
      </c>
      <c r="FQ39" s="107">
        <v>0</v>
      </c>
      <c r="FR39" s="107">
        <v>0</v>
      </c>
      <c r="FS39" s="108">
        <v>20.9</v>
      </c>
    </row>
    <row r="40" spans="1:190" s="76" customFormat="1" x14ac:dyDescent="0.35">
      <c r="A40" s="76">
        <v>2025</v>
      </c>
      <c r="B40" s="162" t="s">
        <v>2507</v>
      </c>
      <c r="C40" s="162" t="s">
        <v>1516</v>
      </c>
      <c r="D40" s="162" t="s">
        <v>2509</v>
      </c>
      <c r="E40" s="162" t="s">
        <v>208</v>
      </c>
      <c r="F40" s="162">
        <v>600</v>
      </c>
      <c r="G40" s="162">
        <v>3</v>
      </c>
      <c r="H40" s="162">
        <v>6</v>
      </c>
      <c r="I40" s="163" t="s">
        <v>192</v>
      </c>
      <c r="J40" s="96">
        <v>19</v>
      </c>
      <c r="K40" s="76">
        <v>21</v>
      </c>
      <c r="L40" s="76">
        <v>20</v>
      </c>
      <c r="M40" s="76">
        <v>23.7</v>
      </c>
      <c r="N40" s="76">
        <v>29.1</v>
      </c>
      <c r="O40" s="76">
        <v>25.859400000000001</v>
      </c>
      <c r="P40" s="76">
        <v>18.8536</v>
      </c>
      <c r="Q40" s="76">
        <v>20.975100000000001</v>
      </c>
      <c r="R40" s="76">
        <v>19.752600000000001</v>
      </c>
      <c r="T40" s="76" t="s">
        <v>165</v>
      </c>
      <c r="U40" s="76" t="s">
        <v>166</v>
      </c>
      <c r="V40" s="76" t="s">
        <v>193</v>
      </c>
      <c r="W40" s="76" t="s">
        <v>194</v>
      </c>
      <c r="Y40" s="76">
        <v>8</v>
      </c>
      <c r="Z40" s="76" t="s">
        <v>170</v>
      </c>
      <c r="AA40" s="76" t="s">
        <v>170</v>
      </c>
      <c r="AB40" s="76">
        <v>4</v>
      </c>
      <c r="AC40" s="76" t="s">
        <v>601</v>
      </c>
      <c r="AD40" s="76">
        <v>15</v>
      </c>
      <c r="AF40" s="76">
        <v>414</v>
      </c>
      <c r="AG40" s="76" t="s">
        <v>214</v>
      </c>
      <c r="AH40" s="76" t="s">
        <v>215</v>
      </c>
      <c r="AI40" s="76" t="s">
        <v>175</v>
      </c>
      <c r="AJ40" s="79" t="s">
        <v>176</v>
      </c>
      <c r="AK40" s="96" t="s">
        <v>940</v>
      </c>
      <c r="AL40" s="76" t="s">
        <v>941</v>
      </c>
      <c r="AO40" s="76">
        <v>104</v>
      </c>
      <c r="AP40" s="76">
        <v>16</v>
      </c>
      <c r="AR40" s="79"/>
      <c r="AS40" s="96">
        <v>2550</v>
      </c>
      <c r="AT40" s="79">
        <v>2550</v>
      </c>
      <c r="AU40" s="76">
        <v>46</v>
      </c>
      <c r="AV40" s="76">
        <v>50</v>
      </c>
      <c r="AW40" s="76">
        <v>48</v>
      </c>
      <c r="AX40" s="76">
        <v>65.400000000000006</v>
      </c>
      <c r="AY40" s="76">
        <v>71.2</v>
      </c>
      <c r="AZ40" s="76">
        <v>67.888599999999997</v>
      </c>
      <c r="BA40" s="76">
        <v>46.3157</v>
      </c>
      <c r="BB40" s="76">
        <v>49.825899999999997</v>
      </c>
      <c r="BC40" s="76">
        <v>47.832099999999997</v>
      </c>
      <c r="BD40" s="76">
        <v>35</v>
      </c>
      <c r="BE40" s="76" t="s">
        <v>1735</v>
      </c>
      <c r="BF40" s="76" t="s">
        <v>1736</v>
      </c>
      <c r="BG40" s="76" t="s">
        <v>175</v>
      </c>
      <c r="BH40" s="76" t="s">
        <v>176</v>
      </c>
      <c r="BI40" s="76">
        <v>2550</v>
      </c>
      <c r="BM40" s="79"/>
      <c r="BN40" s="98" t="s">
        <v>2493</v>
      </c>
      <c r="BO40" s="76">
        <v>2</v>
      </c>
      <c r="BP40" s="76">
        <v>2</v>
      </c>
      <c r="BQ40" s="76">
        <v>33</v>
      </c>
      <c r="BR40" s="76" t="s">
        <v>1497</v>
      </c>
      <c r="BT40" s="76" t="s">
        <v>2494</v>
      </c>
      <c r="BU40" s="99">
        <v>45520</v>
      </c>
      <c r="BV40" s="79">
        <v>35319</v>
      </c>
      <c r="BW40" s="100"/>
      <c r="BX40" s="76" t="s">
        <v>169</v>
      </c>
      <c r="BY40" s="76" t="s">
        <v>170</v>
      </c>
      <c r="CB40" s="76" t="s">
        <v>170</v>
      </c>
      <c r="CC40" s="76" t="s">
        <v>170</v>
      </c>
      <c r="CD40" s="76" t="s">
        <v>2531</v>
      </c>
      <c r="CE40" s="76" t="s">
        <v>170</v>
      </c>
      <c r="CG40" s="76" t="s">
        <v>169</v>
      </c>
      <c r="CH40" s="76" t="s">
        <v>2532</v>
      </c>
      <c r="CI40" s="76" t="s">
        <v>170</v>
      </c>
      <c r="CK40" s="76" t="s">
        <v>233</v>
      </c>
      <c r="CM40" s="76">
        <v>1</v>
      </c>
      <c r="CN40" s="76" t="s">
        <v>234</v>
      </c>
      <c r="CP40" s="76">
        <v>370</v>
      </c>
      <c r="CQ40" s="76">
        <v>70</v>
      </c>
      <c r="CR40" s="76">
        <v>157.80000000000001</v>
      </c>
      <c r="CS40" s="76" t="s">
        <v>1739</v>
      </c>
      <c r="CV40" s="76" t="s">
        <v>341</v>
      </c>
      <c r="CX40" s="76" t="s">
        <v>342</v>
      </c>
      <c r="CY40" s="76" t="s">
        <v>170</v>
      </c>
      <c r="DC40" s="76" t="s">
        <v>2533</v>
      </c>
      <c r="DD40" s="76">
        <v>1</v>
      </c>
      <c r="DE40" s="76" t="s">
        <v>404</v>
      </c>
      <c r="DF40" s="76" t="s">
        <v>2534</v>
      </c>
      <c r="DG40" s="76">
        <v>141</v>
      </c>
      <c r="DJ40" s="76" t="s">
        <v>184</v>
      </c>
      <c r="DK40" s="76" t="s">
        <v>185</v>
      </c>
      <c r="DL40" s="76" t="s">
        <v>170</v>
      </c>
      <c r="DM40" s="76" t="s">
        <v>169</v>
      </c>
      <c r="DN40" s="76" t="s">
        <v>170</v>
      </c>
      <c r="DO40" s="76" t="s">
        <v>695</v>
      </c>
      <c r="DP40" s="76" t="s">
        <v>170</v>
      </c>
      <c r="DQ40" s="76" t="s">
        <v>187</v>
      </c>
      <c r="DS40" s="76" t="s">
        <v>2496</v>
      </c>
      <c r="DT40" s="76" t="s">
        <v>2497</v>
      </c>
      <c r="DU40" s="76" t="s">
        <v>2498</v>
      </c>
      <c r="DV40" s="76" t="s">
        <v>2499</v>
      </c>
      <c r="DY40" s="76">
        <v>21.1</v>
      </c>
      <c r="DZ40" s="79"/>
      <c r="EA40" s="101"/>
      <c r="EB40" s="96">
        <v>6</v>
      </c>
      <c r="EC40" s="76">
        <v>8</v>
      </c>
      <c r="ED40" s="79"/>
      <c r="EE40" s="76" t="s">
        <v>2535</v>
      </c>
      <c r="EF40" s="76">
        <v>2</v>
      </c>
      <c r="EH40" s="79"/>
      <c r="EL40" s="79"/>
      <c r="EP40" s="79"/>
      <c r="EQ40" s="96"/>
      <c r="ET40" s="79"/>
      <c r="EU40" s="96"/>
      <c r="EV40" s="79">
        <v>1750</v>
      </c>
      <c r="EW40" s="76">
        <v>474</v>
      </c>
      <c r="EX40" s="76">
        <v>426</v>
      </c>
      <c r="EY40" s="79">
        <v>452</v>
      </c>
      <c r="EZ40" s="102">
        <v>251</v>
      </c>
      <c r="FA40" s="76">
        <v>4</v>
      </c>
      <c r="FB40" s="79"/>
      <c r="FC40" s="97">
        <v>450</v>
      </c>
      <c r="FD40" s="76">
        <v>24</v>
      </c>
      <c r="FE40" s="76">
        <v>30</v>
      </c>
      <c r="FF40" s="79">
        <v>26</v>
      </c>
      <c r="FG40" s="76">
        <v>177</v>
      </c>
      <c r="FH40" s="76">
        <v>154</v>
      </c>
      <c r="FI40" s="103">
        <v>166</v>
      </c>
      <c r="FJ40" s="98" t="s">
        <v>2536</v>
      </c>
      <c r="FK40" s="111"/>
      <c r="FL40" s="103"/>
      <c r="FM40" s="76">
        <v>0.63400000000000001</v>
      </c>
      <c r="FN40" s="76">
        <v>0.64100000000000001</v>
      </c>
      <c r="FO40" s="79">
        <v>0.63700000000000001</v>
      </c>
      <c r="FP40" s="106"/>
      <c r="FQ40" s="107"/>
      <c r="FR40" s="107"/>
      <c r="FS40" s="108">
        <v>20.9</v>
      </c>
    </row>
    <row r="41" spans="1:190" s="77" customFormat="1" x14ac:dyDescent="0.35">
      <c r="A41" s="76"/>
      <c r="E41" s="76"/>
      <c r="F41" s="76"/>
      <c r="G41" s="78"/>
      <c r="H41" s="76"/>
      <c r="I41" s="79"/>
      <c r="J41" s="80"/>
      <c r="K41" s="28"/>
      <c r="L41" s="28"/>
      <c r="M41" s="25" t="str">
        <f>_xlfn.CONCAT(A42," ",C42," ",D42)</f>
        <v>2025 BMW 550e xDrive Sedan</v>
      </c>
      <c r="N41" s="28"/>
      <c r="O41" s="28"/>
      <c r="P41" s="28"/>
      <c r="Q41" s="28"/>
      <c r="R41" s="28"/>
      <c r="S41" s="28"/>
      <c r="T41" s="28"/>
      <c r="U41" s="28"/>
      <c r="V41" s="28"/>
      <c r="W41" s="28"/>
      <c r="X41" s="28"/>
      <c r="Y41" s="28"/>
      <c r="Z41" s="28"/>
      <c r="AA41" s="28"/>
      <c r="AB41" s="28"/>
      <c r="AC41" s="28"/>
      <c r="AD41" s="25" t="str">
        <f>$M41</f>
        <v>2025 BMW 550e xDrive Sedan</v>
      </c>
      <c r="AE41" s="28"/>
      <c r="AF41" s="28"/>
      <c r="AG41" s="28"/>
      <c r="AH41" s="28"/>
      <c r="AI41" s="28"/>
      <c r="AJ41" s="81"/>
      <c r="AK41" s="82"/>
      <c r="AL41" s="2"/>
      <c r="AM41" s="2"/>
      <c r="AN41" s="2"/>
      <c r="AO41" s="2"/>
      <c r="AP41" s="2"/>
      <c r="AQ41" s="2"/>
      <c r="AR41" s="83"/>
      <c r="AS41" s="84"/>
      <c r="AT41" s="85" t="str">
        <f>$M41</f>
        <v>2025 BMW 550e xDrive Sedan</v>
      </c>
      <c r="AU41" s="28"/>
      <c r="AV41" s="28"/>
      <c r="AW41" s="28"/>
      <c r="AX41" s="28"/>
      <c r="AY41" s="28"/>
      <c r="AZ41" s="28"/>
      <c r="BA41" s="28"/>
      <c r="BB41" s="28"/>
      <c r="BC41" s="28"/>
      <c r="BD41" s="28"/>
      <c r="BE41" s="28"/>
      <c r="BF41" s="28"/>
      <c r="BG41" s="28"/>
      <c r="BH41" s="28"/>
      <c r="BI41" s="25" t="str">
        <f>$M41</f>
        <v>2025 BMW 550e xDrive Sedan</v>
      </c>
      <c r="BJ41" s="28"/>
      <c r="BK41" s="28"/>
      <c r="BL41" s="28"/>
      <c r="BM41" s="81"/>
      <c r="BN41" s="82"/>
      <c r="BO41" s="2"/>
      <c r="BP41" s="2"/>
      <c r="BQ41" s="2"/>
      <c r="BR41" s="2"/>
      <c r="BS41" s="2"/>
      <c r="BT41" s="86"/>
      <c r="BU41" s="2"/>
      <c r="BV41" s="83"/>
      <c r="BW41" s="87"/>
      <c r="BX41" s="28"/>
      <c r="BY41" s="25" t="str">
        <f>$M41</f>
        <v>2025 BMW 550e xDrive Sedan</v>
      </c>
      <c r="BZ41" s="28"/>
      <c r="CA41" s="28"/>
      <c r="CB41" s="28"/>
      <c r="CC41" s="28"/>
      <c r="CD41" s="28"/>
      <c r="CE41" s="88"/>
      <c r="CF41" s="28"/>
      <c r="CG41" s="28"/>
      <c r="CH41" s="28"/>
      <c r="CI41" s="28"/>
      <c r="CJ41" s="28"/>
      <c r="CK41" s="28"/>
      <c r="CL41" s="28"/>
      <c r="CM41" s="28"/>
      <c r="CN41" s="28"/>
      <c r="CO41" s="25" t="str">
        <f>$M41</f>
        <v>2025 BMW 550e xDrive Sedan</v>
      </c>
      <c r="CP41" s="28"/>
      <c r="CQ41" s="28"/>
      <c r="CR41" s="28"/>
      <c r="CS41" s="28"/>
      <c r="CT41" s="28"/>
      <c r="CU41" s="28"/>
      <c r="CV41" s="28"/>
      <c r="CW41" s="28"/>
      <c r="CX41" s="28"/>
      <c r="CY41" s="28"/>
      <c r="CZ41" s="28"/>
      <c r="DA41" s="28"/>
      <c r="DB41" s="28"/>
      <c r="DC41" s="28"/>
      <c r="DD41" s="28"/>
      <c r="DE41" s="28"/>
      <c r="DF41" s="25" t="str">
        <f>$M41</f>
        <v>2025 BMW 550e xDrive Sedan</v>
      </c>
      <c r="DG41" s="28"/>
      <c r="DH41" s="28"/>
      <c r="DI41" s="28"/>
      <c r="DJ41" s="28"/>
      <c r="DK41" s="28"/>
      <c r="DL41" s="28"/>
      <c r="DM41" s="28"/>
      <c r="DN41" s="28"/>
      <c r="DO41" s="28"/>
      <c r="DP41" s="28"/>
      <c r="DQ41" s="28"/>
      <c r="DR41" s="25"/>
      <c r="DS41" s="25"/>
      <c r="DT41" s="25"/>
      <c r="DU41" s="25"/>
      <c r="DV41" s="25"/>
      <c r="DW41" s="25" t="str">
        <f>$M41</f>
        <v>2025 BMW 550e xDrive Sedan</v>
      </c>
      <c r="DX41" s="25"/>
      <c r="DY41" s="25"/>
      <c r="DZ41" s="85"/>
      <c r="EA41" s="89"/>
      <c r="EB41" s="80"/>
      <c r="EC41" s="25"/>
      <c r="ED41" s="85"/>
      <c r="EE41" s="25"/>
      <c r="EF41" s="25"/>
      <c r="EG41" s="25"/>
      <c r="EH41" s="85"/>
      <c r="EI41" s="25"/>
      <c r="EK41" t="s">
        <v>2445</v>
      </c>
      <c r="EL41" s="85" t="str">
        <f>$M41</f>
        <v>2025 BMW 550e xDrive Sedan</v>
      </c>
      <c r="EM41" s="25"/>
      <c r="EP41" s="75"/>
      <c r="EQ41" s="90"/>
      <c r="ET41" s="75"/>
      <c r="EU41" s="90"/>
      <c r="EV41" s="75"/>
      <c r="EY41" s="75"/>
      <c r="EZ41" s="102"/>
      <c r="FA41" s="25" t="str">
        <f>$M41</f>
        <v>2025 BMW 550e xDrive Sedan</v>
      </c>
      <c r="FB41" s="75"/>
      <c r="FC41" s="91"/>
      <c r="FD41" s="25"/>
      <c r="FE41" s="25"/>
      <c r="FF41" s="85"/>
      <c r="FG41" s="25"/>
      <c r="FH41" s="25"/>
      <c r="FI41" s="85"/>
      <c r="FJ41" s="80"/>
      <c r="FK41" s="25"/>
      <c r="FL41" s="85"/>
      <c r="FM41" s="25" t="str">
        <f>$M41</f>
        <v>2025 BMW 550e xDrive Sedan</v>
      </c>
      <c r="FN41" s="25"/>
      <c r="FO41" s="85"/>
      <c r="FP41" s="92"/>
      <c r="FQ41" s="93"/>
      <c r="FR41" s="94"/>
      <c r="FS41" s="95"/>
      <c r="FT41" s="25"/>
      <c r="FU41" s="25"/>
      <c r="FV41" s="25"/>
      <c r="FW41" s="25"/>
      <c r="FX41" s="25"/>
      <c r="FY41" s="25"/>
      <c r="FZ41" s="25"/>
      <c r="GA41" s="25"/>
      <c r="GB41" s="25"/>
      <c r="GC41" s="25"/>
      <c r="GD41" s="25"/>
      <c r="GE41" s="25"/>
      <c r="GF41" s="25"/>
      <c r="GG41" s="25"/>
      <c r="GH41" s="25"/>
    </row>
    <row r="42" spans="1:190" s="76" customFormat="1" x14ac:dyDescent="0.35">
      <c r="A42" s="76">
        <v>2025</v>
      </c>
      <c r="B42" s="76" t="s">
        <v>189</v>
      </c>
      <c r="C42" s="76" t="s">
        <v>189</v>
      </c>
      <c r="D42" s="76" t="s">
        <v>2537</v>
      </c>
      <c r="E42" s="76" t="s">
        <v>191</v>
      </c>
      <c r="F42" s="76">
        <v>550</v>
      </c>
      <c r="G42" s="78">
        <v>3</v>
      </c>
      <c r="H42" s="76">
        <v>6</v>
      </c>
      <c r="I42" s="79" t="s">
        <v>192</v>
      </c>
      <c r="J42" s="96">
        <v>23</v>
      </c>
      <c r="K42" s="76">
        <v>26</v>
      </c>
      <c r="L42" s="76">
        <v>24</v>
      </c>
      <c r="M42" s="76">
        <v>32.700000000000003</v>
      </c>
      <c r="N42" s="76">
        <v>40.200000000000003</v>
      </c>
      <c r="O42" s="76">
        <v>35.696899999999999</v>
      </c>
      <c r="P42" s="76">
        <v>23.2148</v>
      </c>
      <c r="Q42" s="76">
        <v>26.145</v>
      </c>
      <c r="R42" s="76">
        <v>24.447800000000001</v>
      </c>
      <c r="T42" s="76" t="s">
        <v>165</v>
      </c>
      <c r="U42" s="76" t="s">
        <v>166</v>
      </c>
      <c r="V42" s="76" t="s">
        <v>193</v>
      </c>
      <c r="W42" s="76" t="s">
        <v>194</v>
      </c>
      <c r="Y42" s="76">
        <v>8</v>
      </c>
      <c r="Z42" s="76" t="s">
        <v>170</v>
      </c>
      <c r="AA42" s="76" t="s">
        <v>170</v>
      </c>
      <c r="AB42" s="76" t="s">
        <v>167</v>
      </c>
      <c r="AC42" s="76" t="s">
        <v>213</v>
      </c>
      <c r="AD42" s="76">
        <v>10</v>
      </c>
      <c r="AF42" s="76">
        <v>390</v>
      </c>
      <c r="AG42" s="76" t="s">
        <v>173</v>
      </c>
      <c r="AH42" s="76" t="s">
        <v>174</v>
      </c>
      <c r="AI42" s="76" t="s">
        <v>175</v>
      </c>
      <c r="AJ42" s="79" t="s">
        <v>176</v>
      </c>
      <c r="AK42" s="96" t="s">
        <v>170</v>
      </c>
      <c r="AL42" s="76" t="s">
        <v>177</v>
      </c>
      <c r="AO42" s="76">
        <v>98</v>
      </c>
      <c r="AP42" s="76">
        <v>14</v>
      </c>
      <c r="AR42" s="79"/>
      <c r="AS42" s="96">
        <v>1750</v>
      </c>
      <c r="AT42" s="79">
        <v>1750</v>
      </c>
      <c r="AU42" s="76">
        <v>53</v>
      </c>
      <c r="AV42" s="76">
        <v>48</v>
      </c>
      <c r="AW42" s="76">
        <v>50</v>
      </c>
      <c r="AX42" s="76">
        <v>37</v>
      </c>
      <c r="AY42" s="76">
        <v>33.6</v>
      </c>
      <c r="AZ42" s="76">
        <v>35.47</v>
      </c>
      <c r="BA42" s="76">
        <v>52.552999999999997</v>
      </c>
      <c r="BB42" s="76">
        <v>47.747999999999998</v>
      </c>
      <c r="BC42" s="76">
        <v>50.390799999999999</v>
      </c>
      <c r="BD42" s="76">
        <v>34</v>
      </c>
      <c r="BE42" s="76" t="s">
        <v>1735</v>
      </c>
      <c r="BF42" s="76" t="s">
        <v>1736</v>
      </c>
      <c r="BG42" s="76" t="s">
        <v>1742</v>
      </c>
      <c r="BI42" s="76">
        <v>1750</v>
      </c>
      <c r="BJ42" s="2"/>
      <c r="BK42" s="2"/>
      <c r="BL42" s="2"/>
      <c r="BM42" s="79"/>
      <c r="BN42" s="98" t="s">
        <v>2493</v>
      </c>
      <c r="BO42" s="76">
        <v>2</v>
      </c>
      <c r="BP42" s="76">
        <v>2</v>
      </c>
      <c r="BQ42" s="76">
        <v>5</v>
      </c>
      <c r="BR42" s="76" t="s">
        <v>672</v>
      </c>
      <c r="BS42" s="76" t="s">
        <v>180</v>
      </c>
      <c r="BT42" s="76" t="s">
        <v>2494</v>
      </c>
      <c r="BU42" s="99">
        <v>45513</v>
      </c>
      <c r="BV42" s="79">
        <v>35334</v>
      </c>
      <c r="BW42" s="100"/>
      <c r="BX42" s="76" t="s">
        <v>170</v>
      </c>
      <c r="BY42" s="76" t="s">
        <v>170</v>
      </c>
      <c r="CB42" s="76" t="s">
        <v>170</v>
      </c>
      <c r="CC42" s="76" t="s">
        <v>170</v>
      </c>
      <c r="CE42" s="76" t="s">
        <v>170</v>
      </c>
      <c r="CG42" s="76" t="s">
        <v>169</v>
      </c>
      <c r="CH42" s="76" t="s">
        <v>195</v>
      </c>
      <c r="CI42" s="76" t="s">
        <v>169</v>
      </c>
      <c r="CJ42" s="76" t="s">
        <v>417</v>
      </c>
      <c r="CK42" s="76" t="s">
        <v>233</v>
      </c>
      <c r="CM42" s="76">
        <v>3</v>
      </c>
      <c r="CN42" s="76" t="s">
        <v>234</v>
      </c>
      <c r="CP42" s="76">
        <v>348</v>
      </c>
      <c r="CQ42" s="76">
        <v>63.5</v>
      </c>
      <c r="CR42" s="76">
        <v>107</v>
      </c>
      <c r="CS42" s="76" t="s">
        <v>235</v>
      </c>
      <c r="CV42" s="76" t="s">
        <v>341</v>
      </c>
      <c r="CX42" s="76" t="s">
        <v>342</v>
      </c>
      <c r="CY42" s="76" t="s">
        <v>169</v>
      </c>
      <c r="DC42" s="76" t="s">
        <v>2538</v>
      </c>
      <c r="DD42" s="76">
        <v>1</v>
      </c>
      <c r="DE42" s="76" t="s">
        <v>404</v>
      </c>
      <c r="DF42" s="76" t="s">
        <v>2539</v>
      </c>
      <c r="DG42" s="76">
        <v>145</v>
      </c>
      <c r="DJ42" s="76" t="s">
        <v>184</v>
      </c>
      <c r="DK42" s="76" t="s">
        <v>185</v>
      </c>
      <c r="DL42" s="76" t="s">
        <v>170</v>
      </c>
      <c r="DM42" s="76" t="s">
        <v>169</v>
      </c>
      <c r="DN42" s="76" t="s">
        <v>170</v>
      </c>
      <c r="DO42" s="76" t="s">
        <v>2540</v>
      </c>
      <c r="DP42" s="76" t="s">
        <v>169</v>
      </c>
      <c r="DQ42" s="76" t="s">
        <v>198</v>
      </c>
      <c r="DS42" s="76" t="s">
        <v>2496</v>
      </c>
      <c r="DT42" s="76" t="s">
        <v>2497</v>
      </c>
      <c r="DU42" s="76" t="s">
        <v>2498</v>
      </c>
      <c r="DV42" s="76" t="s">
        <v>2499</v>
      </c>
      <c r="DY42" s="76">
        <v>35.9</v>
      </c>
      <c r="DZ42" s="79"/>
      <c r="EA42" s="101"/>
      <c r="EB42" s="96">
        <v>7</v>
      </c>
      <c r="EC42" s="76">
        <v>9</v>
      </c>
      <c r="ED42" s="79">
        <v>10</v>
      </c>
      <c r="EE42" s="76" t="s">
        <v>2541</v>
      </c>
      <c r="EF42" s="76">
        <v>6</v>
      </c>
      <c r="EH42" s="79"/>
      <c r="EM42" s="96"/>
      <c r="EP42" s="79"/>
      <c r="EQ42" s="96"/>
      <c r="ET42" s="79"/>
      <c r="EU42" s="96">
        <v>750</v>
      </c>
      <c r="EV42" s="79"/>
      <c r="EW42" s="76">
        <v>0</v>
      </c>
      <c r="EX42" s="76">
        <v>0</v>
      </c>
      <c r="EY42" s="79">
        <v>0</v>
      </c>
      <c r="EZ42" s="102">
        <f>FI42</f>
        <v>135</v>
      </c>
      <c r="FA42" s="76">
        <v>4</v>
      </c>
      <c r="FB42" s="79"/>
      <c r="FC42" s="97">
        <v>420</v>
      </c>
      <c r="FD42" s="76">
        <v>38</v>
      </c>
      <c r="FE42" s="76">
        <v>43</v>
      </c>
      <c r="FF42" s="79">
        <v>40</v>
      </c>
      <c r="FG42" s="113">
        <v>145</v>
      </c>
      <c r="FH42" s="113">
        <v>124</v>
      </c>
      <c r="FI42" s="117">
        <v>135</v>
      </c>
      <c r="FJ42" s="104">
        <v>33.21</v>
      </c>
      <c r="FK42" s="105">
        <v>34.950000000000003</v>
      </c>
      <c r="FL42" s="79">
        <v>34</v>
      </c>
      <c r="FM42" s="76">
        <v>0.61899999999999999</v>
      </c>
      <c r="FN42" s="76">
        <v>0.63500000000000001</v>
      </c>
      <c r="FO42" s="79">
        <v>0.626</v>
      </c>
      <c r="FP42" s="106">
        <v>0</v>
      </c>
      <c r="FQ42" s="107">
        <v>0</v>
      </c>
      <c r="FR42" s="107">
        <v>0</v>
      </c>
      <c r="FS42" s="108">
        <v>15.9</v>
      </c>
    </row>
    <row r="43" spans="1:190" s="76" customFormat="1" x14ac:dyDescent="0.35">
      <c r="A43" s="76">
        <v>2025</v>
      </c>
      <c r="B43" s="162" t="s">
        <v>189</v>
      </c>
      <c r="C43" s="162" t="s">
        <v>189</v>
      </c>
      <c r="D43" s="162" t="s">
        <v>2537</v>
      </c>
      <c r="E43" s="162" t="s">
        <v>191</v>
      </c>
      <c r="F43" s="162">
        <v>550</v>
      </c>
      <c r="G43" s="162">
        <v>3</v>
      </c>
      <c r="H43" s="162">
        <v>6</v>
      </c>
      <c r="I43" s="163" t="s">
        <v>192</v>
      </c>
      <c r="J43" s="96">
        <f t="shared" ref="J43:R43" si="5">J42</f>
        <v>23</v>
      </c>
      <c r="K43" s="76">
        <f t="shared" si="5"/>
        <v>26</v>
      </c>
      <c r="L43" s="76">
        <f t="shared" si="5"/>
        <v>24</v>
      </c>
      <c r="M43" s="76">
        <f t="shared" si="5"/>
        <v>32.700000000000003</v>
      </c>
      <c r="N43" s="76">
        <f t="shared" si="5"/>
        <v>40.200000000000003</v>
      </c>
      <c r="O43" s="76">
        <f t="shared" si="5"/>
        <v>35.696899999999999</v>
      </c>
      <c r="P43" s="76">
        <f t="shared" si="5"/>
        <v>23.2148</v>
      </c>
      <c r="Q43" s="76">
        <f t="shared" si="5"/>
        <v>26.145</v>
      </c>
      <c r="R43" s="76">
        <f t="shared" si="5"/>
        <v>24.447800000000001</v>
      </c>
      <c r="T43" s="76" t="str">
        <f>T42</f>
        <v>TC</v>
      </c>
      <c r="U43" s="76" t="str">
        <f>U42</f>
        <v>Turbocharged</v>
      </c>
      <c r="V43" s="76" t="str">
        <f>V42</f>
        <v>SA</v>
      </c>
      <c r="W43" s="76" t="str">
        <f>W42</f>
        <v>Semi-Automatic</v>
      </c>
      <c r="Y43" s="76">
        <f t="shared" ref="Y43:AD43" si="6">Y42</f>
        <v>8</v>
      </c>
      <c r="Z43" s="76" t="str">
        <f t="shared" si="6"/>
        <v>N</v>
      </c>
      <c r="AA43" s="76" t="str">
        <f t="shared" si="6"/>
        <v>N</v>
      </c>
      <c r="AB43" s="76" t="str">
        <f t="shared" si="6"/>
        <v>A</v>
      </c>
      <c r="AC43" s="76" t="str">
        <f t="shared" si="6"/>
        <v>All Wheel Drive</v>
      </c>
      <c r="AD43" s="76">
        <f t="shared" si="6"/>
        <v>10</v>
      </c>
      <c r="AF43" s="76">
        <f>AF42</f>
        <v>390</v>
      </c>
      <c r="AG43" s="76" t="str">
        <f>AG42</f>
        <v>GP</v>
      </c>
      <c r="AH43" s="76" t="str">
        <f>AH42</f>
        <v>Gasoline (Premium Unleaded Recommended)</v>
      </c>
      <c r="AI43" s="76" t="str">
        <f>AI42</f>
        <v>MPG</v>
      </c>
      <c r="AJ43" s="79" t="str">
        <f>AJ42</f>
        <v>miles per gallon</v>
      </c>
      <c r="AK43" s="96" t="s">
        <v>170</v>
      </c>
      <c r="AL43" s="76" t="s">
        <v>177</v>
      </c>
      <c r="AO43" s="76">
        <v>98</v>
      </c>
      <c r="AP43" s="76">
        <v>14</v>
      </c>
      <c r="AR43" s="79"/>
      <c r="AS43" s="96">
        <v>1750</v>
      </c>
      <c r="AT43" s="79">
        <v>1750</v>
      </c>
      <c r="AU43" s="76">
        <v>64</v>
      </c>
      <c r="AV43" s="76">
        <v>70</v>
      </c>
      <c r="AW43" s="76">
        <v>67</v>
      </c>
      <c r="AX43" s="76">
        <v>90.9</v>
      </c>
      <c r="AY43" s="76">
        <v>100.4</v>
      </c>
      <c r="AZ43" s="76">
        <v>94.942599999999999</v>
      </c>
      <c r="BA43" s="76">
        <v>63.896000000000001</v>
      </c>
      <c r="BB43" s="76">
        <v>70.295599999999993</v>
      </c>
      <c r="BC43" s="76">
        <v>66.625500000000002</v>
      </c>
      <c r="BD43" s="76">
        <v>34</v>
      </c>
      <c r="BE43" s="76" t="s">
        <v>1735</v>
      </c>
      <c r="BF43" s="76" t="s">
        <v>1736</v>
      </c>
      <c r="BG43" s="76" t="s">
        <v>175</v>
      </c>
      <c r="BH43" s="76" t="s">
        <v>176</v>
      </c>
      <c r="BI43" s="76">
        <v>1750</v>
      </c>
      <c r="BM43" s="79"/>
      <c r="BN43" s="98" t="s">
        <v>2493</v>
      </c>
      <c r="BO43" s="76">
        <v>2</v>
      </c>
      <c r="BP43" s="76">
        <v>2</v>
      </c>
      <c r="BQ43" s="76">
        <v>5</v>
      </c>
      <c r="BR43" s="76" t="s">
        <v>672</v>
      </c>
      <c r="BS43" s="76" t="s">
        <v>180</v>
      </c>
      <c r="BT43" s="76" t="s">
        <v>2494</v>
      </c>
      <c r="BU43" s="99">
        <v>45513</v>
      </c>
      <c r="BV43" s="79">
        <v>35334</v>
      </c>
      <c r="BW43" s="100"/>
      <c r="BX43" s="76" t="s">
        <v>170</v>
      </c>
      <c r="BY43" s="76" t="s">
        <v>170</v>
      </c>
      <c r="CB43" s="76" t="s">
        <v>170</v>
      </c>
      <c r="CC43" s="76" t="s">
        <v>170</v>
      </c>
      <c r="CE43" s="76" t="s">
        <v>170</v>
      </c>
      <c r="CG43" s="76" t="s">
        <v>169</v>
      </c>
      <c r="CH43" s="76" t="s">
        <v>195</v>
      </c>
      <c r="CI43" s="76" t="s">
        <v>169</v>
      </c>
      <c r="CJ43" s="76" t="s">
        <v>417</v>
      </c>
      <c r="CK43" s="76" t="s">
        <v>233</v>
      </c>
      <c r="CM43" s="76">
        <v>3</v>
      </c>
      <c r="CN43" s="76" t="s">
        <v>234</v>
      </c>
      <c r="CP43" s="76">
        <v>348</v>
      </c>
      <c r="CQ43" s="76">
        <v>63.5</v>
      </c>
      <c r="CR43" s="76">
        <v>107</v>
      </c>
      <c r="CS43" s="76" t="s">
        <v>235</v>
      </c>
      <c r="CV43" s="76" t="s">
        <v>341</v>
      </c>
      <c r="CX43" s="76" t="s">
        <v>342</v>
      </c>
      <c r="CY43" s="76" t="s">
        <v>169</v>
      </c>
      <c r="DC43" s="76" t="s">
        <v>2538</v>
      </c>
      <c r="DD43" s="76">
        <v>1</v>
      </c>
      <c r="DE43" s="76" t="s">
        <v>404</v>
      </c>
      <c r="DF43" s="76" t="s">
        <v>2539</v>
      </c>
      <c r="DG43" s="76">
        <v>145</v>
      </c>
      <c r="DJ43" s="76" t="s">
        <v>184</v>
      </c>
      <c r="DK43" s="76" t="s">
        <v>185</v>
      </c>
      <c r="DL43" s="76" t="s">
        <v>170</v>
      </c>
      <c r="DM43" s="76" t="s">
        <v>169</v>
      </c>
      <c r="DN43" s="76" t="s">
        <v>170</v>
      </c>
      <c r="DO43" s="76" t="s">
        <v>2540</v>
      </c>
      <c r="DP43" s="76" t="s">
        <v>169</v>
      </c>
      <c r="DQ43" s="76" t="s">
        <v>198</v>
      </c>
      <c r="DS43" s="76" t="s">
        <v>2496</v>
      </c>
      <c r="DT43" s="76" t="s">
        <v>2497</v>
      </c>
      <c r="DU43" s="76" t="s">
        <v>2498</v>
      </c>
      <c r="DV43" s="76" t="s">
        <v>2499</v>
      </c>
      <c r="DZ43" s="79"/>
      <c r="EA43" s="101"/>
      <c r="EB43" s="96">
        <v>7</v>
      </c>
      <c r="EC43" s="76">
        <v>9</v>
      </c>
      <c r="ED43" s="79">
        <v>10</v>
      </c>
      <c r="EE43" s="76" t="s">
        <v>2541</v>
      </c>
      <c r="EF43" s="76">
        <v>6</v>
      </c>
      <c r="EH43" s="79"/>
      <c r="EM43" s="96"/>
      <c r="EP43" s="79"/>
      <c r="EQ43" s="96"/>
      <c r="ET43" s="79"/>
      <c r="EU43" s="96">
        <v>750</v>
      </c>
      <c r="EV43" s="79"/>
      <c r="EW43" s="76">
        <v>376</v>
      </c>
      <c r="EX43" s="76">
        <v>334</v>
      </c>
      <c r="EY43" s="79">
        <v>357</v>
      </c>
      <c r="EZ43" s="102">
        <f>FI43</f>
        <v>135</v>
      </c>
      <c r="FA43" s="76">
        <v>4</v>
      </c>
      <c r="FB43" s="79"/>
      <c r="FC43" s="97">
        <v>420</v>
      </c>
      <c r="FD43" s="76">
        <v>38</v>
      </c>
      <c r="FE43" s="76">
        <v>43</v>
      </c>
      <c r="FF43" s="79">
        <v>40</v>
      </c>
      <c r="FG43" s="113">
        <v>145</v>
      </c>
      <c r="FH43" s="113">
        <v>124</v>
      </c>
      <c r="FI43" s="117">
        <v>135</v>
      </c>
      <c r="FJ43" s="98" t="s">
        <v>2501</v>
      </c>
      <c r="FK43" s="111"/>
      <c r="FL43" s="103"/>
      <c r="FM43" s="76">
        <v>0.61899999999999999</v>
      </c>
      <c r="FN43" s="76">
        <v>0.63500000000000001</v>
      </c>
      <c r="FO43" s="79">
        <v>0.626</v>
      </c>
      <c r="FP43" s="106"/>
      <c r="FQ43" s="107"/>
      <c r="FR43" s="107"/>
      <c r="FS43" s="108">
        <v>15.9</v>
      </c>
    </row>
    <row r="44" spans="1:190" s="77" customFormat="1" x14ac:dyDescent="0.35">
      <c r="A44" s="76"/>
      <c r="E44" s="76"/>
      <c r="F44" s="76"/>
      <c r="G44" s="78"/>
      <c r="H44" s="76"/>
      <c r="I44" s="79"/>
      <c r="J44" s="80"/>
      <c r="K44" s="28"/>
      <c r="L44" s="28"/>
      <c r="M44" s="25" t="str">
        <f>_xlfn.CONCAT(A45," ",C45," ",D45)</f>
        <v>2025 BMW M5 Sedan</v>
      </c>
      <c r="N44" s="28"/>
      <c r="O44" s="28"/>
      <c r="P44" s="28"/>
      <c r="Q44" s="28"/>
      <c r="R44" s="28"/>
      <c r="S44" s="28"/>
      <c r="T44" s="28"/>
      <c r="U44" s="28"/>
      <c r="V44" s="28"/>
      <c r="W44" s="28"/>
      <c r="X44" s="28"/>
      <c r="Y44" s="28"/>
      <c r="Z44" s="28"/>
      <c r="AA44" s="28"/>
      <c r="AB44" s="28"/>
      <c r="AC44" s="28"/>
      <c r="AD44" s="25" t="str">
        <f>$M44</f>
        <v>2025 BMW M5 Sedan</v>
      </c>
      <c r="AE44" s="28"/>
      <c r="AF44" s="28"/>
      <c r="AG44" s="28"/>
      <c r="AH44" s="28"/>
      <c r="AI44" s="28"/>
      <c r="AJ44" s="81"/>
      <c r="AK44" s="82"/>
      <c r="AL44" s="2"/>
      <c r="AM44" s="2"/>
      <c r="AN44" s="2"/>
      <c r="AO44" s="2"/>
      <c r="AP44" s="2"/>
      <c r="AQ44" s="2"/>
      <c r="AR44" s="83"/>
      <c r="AS44" s="84"/>
      <c r="AT44" s="85" t="str">
        <f>$M44</f>
        <v>2025 BMW M5 Sedan</v>
      </c>
      <c r="AU44" s="28"/>
      <c r="AV44" s="28"/>
      <c r="AW44" s="28"/>
      <c r="AX44" s="28"/>
      <c r="AY44" s="28"/>
      <c r="AZ44" s="28"/>
      <c r="BA44" s="28"/>
      <c r="BB44" s="28"/>
      <c r="BC44" s="28"/>
      <c r="BD44" s="28"/>
      <c r="BE44" s="28"/>
      <c r="BF44" s="28"/>
      <c r="BG44" s="28"/>
      <c r="BH44" s="28"/>
      <c r="BI44" s="25" t="str">
        <f>$M44</f>
        <v>2025 BMW M5 Sedan</v>
      </c>
      <c r="BJ44" s="28"/>
      <c r="BK44" s="28"/>
      <c r="BL44" s="28"/>
      <c r="BM44" s="81"/>
      <c r="BN44" s="82"/>
      <c r="BO44" s="2"/>
      <c r="BP44" s="2"/>
      <c r="BQ44" s="2"/>
      <c r="BR44" s="2"/>
      <c r="BS44" s="2"/>
      <c r="BT44" s="86"/>
      <c r="BU44" s="2"/>
      <c r="BV44" s="83"/>
      <c r="BW44" s="87"/>
      <c r="BX44" s="28"/>
      <c r="BY44" s="25" t="str">
        <f>$M44</f>
        <v>2025 BMW M5 Sedan</v>
      </c>
      <c r="BZ44" s="28"/>
      <c r="CA44" s="28"/>
      <c r="CB44" s="28"/>
      <c r="CC44" s="28"/>
      <c r="CD44" s="28"/>
      <c r="CE44" s="88"/>
      <c r="CF44" s="28"/>
      <c r="CG44" s="28"/>
      <c r="CH44" s="28"/>
      <c r="CI44" s="28"/>
      <c r="CJ44" s="28"/>
      <c r="CK44" s="28"/>
      <c r="CL44" s="28"/>
      <c r="CM44" s="28"/>
      <c r="CN44" s="28"/>
      <c r="CO44" s="25" t="str">
        <f>$M44</f>
        <v>2025 BMW M5 Sedan</v>
      </c>
      <c r="CP44" s="28"/>
      <c r="CQ44" s="28"/>
      <c r="CR44" s="28"/>
      <c r="CS44" s="28"/>
      <c r="CT44" s="28"/>
      <c r="CU44" s="28"/>
      <c r="CV44" s="28"/>
      <c r="CW44" s="28"/>
      <c r="CX44" s="28"/>
      <c r="CY44" s="28"/>
      <c r="CZ44" s="28"/>
      <c r="DA44" s="28"/>
      <c r="DB44" s="28"/>
      <c r="DC44" s="28"/>
      <c r="DD44" s="28"/>
      <c r="DE44" s="28"/>
      <c r="DF44" s="25" t="str">
        <f>$M44</f>
        <v>2025 BMW M5 Sedan</v>
      </c>
      <c r="DG44" s="28"/>
      <c r="DH44" s="28"/>
      <c r="DI44" s="28"/>
      <c r="DJ44" s="28"/>
      <c r="DK44" s="28"/>
      <c r="DL44" s="28"/>
      <c r="DM44" s="28"/>
      <c r="DN44" s="28"/>
      <c r="DO44" s="28"/>
      <c r="DP44" s="28"/>
      <c r="DQ44" s="28"/>
      <c r="DR44" s="25"/>
      <c r="DS44" s="25"/>
      <c r="DT44" s="25"/>
      <c r="DU44" s="25"/>
      <c r="DV44" s="25"/>
      <c r="DW44" s="25" t="str">
        <f>$M44</f>
        <v>2025 BMW M5 Sedan</v>
      </c>
      <c r="DX44" s="25"/>
      <c r="DY44" s="25"/>
      <c r="DZ44" s="85"/>
      <c r="EA44" s="89"/>
      <c r="EB44" s="80"/>
      <c r="EC44" s="25"/>
      <c r="ED44" s="85"/>
      <c r="EE44" s="25"/>
      <c r="EF44" s="25"/>
      <c r="EG44" s="25"/>
      <c r="EH44" s="85"/>
      <c r="EI44" s="25"/>
      <c r="EK44" t="s">
        <v>2445</v>
      </c>
      <c r="EL44" s="25" t="str">
        <f>$M44</f>
        <v>2025 BMW M5 Sedan</v>
      </c>
      <c r="EM44" s="80"/>
      <c r="EP44" s="75"/>
      <c r="EQ44" s="90"/>
      <c r="ET44" s="75"/>
      <c r="EU44" s="90"/>
      <c r="EV44" s="75"/>
      <c r="EY44" s="75"/>
      <c r="EZ44" s="102"/>
      <c r="FA44" s="25" t="str">
        <f>$M44</f>
        <v>2025 BMW M5 Sedan</v>
      </c>
      <c r="FB44" s="75"/>
      <c r="FC44" s="91"/>
      <c r="FD44" s="25"/>
      <c r="FE44" s="25"/>
      <c r="FF44" s="85"/>
      <c r="FG44" s="25"/>
      <c r="FH44" s="25"/>
      <c r="FI44" s="85"/>
      <c r="FJ44" s="80"/>
      <c r="FK44" s="25"/>
      <c r="FL44" s="85"/>
      <c r="FM44" s="25" t="str">
        <f>$M44</f>
        <v>2025 BMW M5 Sedan</v>
      </c>
      <c r="FN44" s="25"/>
      <c r="FO44" s="85"/>
      <c r="FP44" s="92"/>
      <c r="FQ44" s="93"/>
      <c r="FR44" s="94"/>
      <c r="FS44" s="95"/>
      <c r="FT44" s="25"/>
      <c r="FU44" s="25"/>
      <c r="FV44" s="25"/>
      <c r="FW44" s="25"/>
      <c r="FX44" s="25"/>
      <c r="FY44" s="25"/>
      <c r="FZ44" s="25"/>
      <c r="GA44" s="25"/>
      <c r="GB44" s="25"/>
      <c r="GC44" s="25"/>
      <c r="GD44" s="25"/>
      <c r="GE44" s="25"/>
      <c r="GF44" s="25"/>
      <c r="GG44" s="25"/>
      <c r="GH44" s="25"/>
    </row>
    <row r="45" spans="1:190" s="76" customFormat="1" x14ac:dyDescent="0.35">
      <c r="A45" s="76">
        <v>2025</v>
      </c>
      <c r="B45" s="76" t="s">
        <v>189</v>
      </c>
      <c r="C45" s="76" t="s">
        <v>189</v>
      </c>
      <c r="D45" s="76" t="s">
        <v>2542</v>
      </c>
      <c r="E45" s="76" t="s">
        <v>191</v>
      </c>
      <c r="F45" s="76">
        <v>560</v>
      </c>
      <c r="G45" s="78">
        <v>4.4000000000000004</v>
      </c>
      <c r="H45" s="76">
        <v>8</v>
      </c>
      <c r="I45" s="79" t="s">
        <v>192</v>
      </c>
      <c r="J45" s="96">
        <v>12</v>
      </c>
      <c r="K45" s="76">
        <v>17</v>
      </c>
      <c r="L45" s="76">
        <v>14</v>
      </c>
      <c r="M45" s="76">
        <v>15.3</v>
      </c>
      <c r="N45" s="76">
        <v>23.9</v>
      </c>
      <c r="O45" s="76">
        <v>18.264600000000002</v>
      </c>
      <c r="P45" s="76">
        <v>11.514099999999999</v>
      </c>
      <c r="Q45" s="76">
        <v>17.411899999999999</v>
      </c>
      <c r="R45" s="76">
        <v>13.5848</v>
      </c>
      <c r="S45" s="76" t="s">
        <v>210</v>
      </c>
      <c r="T45" s="76" t="s">
        <v>165</v>
      </c>
      <c r="U45" s="76" t="s">
        <v>166</v>
      </c>
      <c r="V45" s="76" t="s">
        <v>193</v>
      </c>
      <c r="W45" s="76" t="s">
        <v>194</v>
      </c>
      <c r="Y45" s="76">
        <v>8</v>
      </c>
      <c r="Z45" s="76" t="s">
        <v>170</v>
      </c>
      <c r="AA45" s="76" t="s">
        <v>170</v>
      </c>
      <c r="AB45" s="76" t="s">
        <v>167</v>
      </c>
      <c r="AC45" s="76" t="s">
        <v>213</v>
      </c>
      <c r="AD45" s="76">
        <v>10</v>
      </c>
      <c r="AF45" s="76">
        <v>246</v>
      </c>
      <c r="AG45" s="76" t="s">
        <v>214</v>
      </c>
      <c r="AH45" s="76" t="s">
        <v>215</v>
      </c>
      <c r="AI45" s="76" t="s">
        <v>175</v>
      </c>
      <c r="AJ45" s="79" t="s">
        <v>176</v>
      </c>
      <c r="AK45" s="96" t="s">
        <v>170</v>
      </c>
      <c r="AL45" s="76" t="s">
        <v>177</v>
      </c>
      <c r="AO45" s="76">
        <v>98</v>
      </c>
      <c r="AP45" s="76">
        <v>13</v>
      </c>
      <c r="AR45" s="79"/>
      <c r="AS45" s="96">
        <v>2950</v>
      </c>
      <c r="AT45" s="79">
        <v>2950</v>
      </c>
      <c r="AU45" s="76">
        <v>59</v>
      </c>
      <c r="AV45" s="76">
        <v>58</v>
      </c>
      <c r="AW45" s="76">
        <v>59</v>
      </c>
      <c r="AX45" s="76">
        <v>42.3</v>
      </c>
      <c r="AY45" s="76">
        <v>41.2</v>
      </c>
      <c r="AZ45" s="76">
        <v>41.805</v>
      </c>
      <c r="BA45" s="76">
        <v>58.665999999999997</v>
      </c>
      <c r="BB45" s="76">
        <v>58.436999999999998</v>
      </c>
      <c r="BC45" s="76">
        <v>58.563000000000002</v>
      </c>
      <c r="BD45" s="76">
        <v>27</v>
      </c>
      <c r="BE45" s="76" t="s">
        <v>1735</v>
      </c>
      <c r="BF45" s="76" t="s">
        <v>1736</v>
      </c>
      <c r="BG45" s="76" t="s">
        <v>1742</v>
      </c>
      <c r="BH45" s="76" t="s">
        <v>1743</v>
      </c>
      <c r="BI45" s="76">
        <v>2950</v>
      </c>
      <c r="BJ45" s="2"/>
      <c r="BK45" s="2"/>
      <c r="BL45" s="2"/>
      <c r="BM45" s="79"/>
      <c r="BN45" s="98" t="s">
        <v>2493</v>
      </c>
      <c r="BO45" s="76">
        <v>2</v>
      </c>
      <c r="BP45" s="76">
        <v>2</v>
      </c>
      <c r="BQ45" s="76">
        <v>5</v>
      </c>
      <c r="BR45" s="76" t="s">
        <v>672</v>
      </c>
      <c r="BS45" s="76" t="s">
        <v>180</v>
      </c>
      <c r="BT45" s="76" t="s">
        <v>2494</v>
      </c>
      <c r="BU45" s="99">
        <v>45506</v>
      </c>
      <c r="BV45" s="79">
        <v>35307</v>
      </c>
      <c r="BW45" s="100"/>
      <c r="BX45" s="76" t="s">
        <v>170</v>
      </c>
      <c r="BY45" s="76" t="s">
        <v>170</v>
      </c>
      <c r="CB45" s="76" t="s">
        <v>170</v>
      </c>
      <c r="CC45" s="76" t="s">
        <v>170</v>
      </c>
      <c r="CE45" s="76" t="s">
        <v>170</v>
      </c>
      <c r="CG45" s="76" t="s">
        <v>169</v>
      </c>
      <c r="CH45" s="76" t="s">
        <v>195</v>
      </c>
      <c r="CI45" s="76" t="s">
        <v>169</v>
      </c>
      <c r="CJ45" s="76" t="s">
        <v>417</v>
      </c>
      <c r="CK45" s="76" t="s">
        <v>233</v>
      </c>
      <c r="CM45" s="76">
        <v>3</v>
      </c>
      <c r="CN45" s="76" t="s">
        <v>234</v>
      </c>
      <c r="CP45" s="76">
        <v>347</v>
      </c>
      <c r="CQ45" s="76">
        <v>63.5</v>
      </c>
      <c r="CR45" s="76">
        <v>107</v>
      </c>
      <c r="CS45" s="76" t="s">
        <v>235</v>
      </c>
      <c r="CV45" s="76" t="s">
        <v>341</v>
      </c>
      <c r="CX45" s="76" t="s">
        <v>342</v>
      </c>
      <c r="CY45" s="76" t="s">
        <v>169</v>
      </c>
      <c r="DC45" s="76" t="s">
        <v>2538</v>
      </c>
      <c r="DD45" s="76">
        <v>1</v>
      </c>
      <c r="DE45" s="76" t="s">
        <v>404</v>
      </c>
      <c r="DF45" s="76" t="s">
        <v>2539</v>
      </c>
      <c r="DG45" s="76">
        <v>145</v>
      </c>
      <c r="DJ45" s="76" t="s">
        <v>184</v>
      </c>
      <c r="DK45" s="76" t="s">
        <v>185</v>
      </c>
      <c r="DL45" s="76" t="s">
        <v>170</v>
      </c>
      <c r="DM45" s="76" t="s">
        <v>169</v>
      </c>
      <c r="DN45" s="76" t="s">
        <v>170</v>
      </c>
      <c r="DO45" s="76" t="s">
        <v>345</v>
      </c>
      <c r="DP45" s="76" t="s">
        <v>169</v>
      </c>
      <c r="DQ45" s="76" t="s">
        <v>198</v>
      </c>
      <c r="DS45" s="76" t="s">
        <v>2496</v>
      </c>
      <c r="DT45" s="76" t="s">
        <v>2497</v>
      </c>
      <c r="DU45" s="76" t="s">
        <v>2498</v>
      </c>
      <c r="DV45" s="76" t="s">
        <v>2499</v>
      </c>
      <c r="DY45" s="76">
        <v>18.399999999999999</v>
      </c>
      <c r="DZ45" s="79"/>
      <c r="EA45" s="101"/>
      <c r="EB45" s="96">
        <v>5</v>
      </c>
      <c r="EC45" s="76">
        <v>6</v>
      </c>
      <c r="ED45" s="79"/>
      <c r="EE45" s="76" t="s">
        <v>2543</v>
      </c>
      <c r="EF45" s="76">
        <v>4</v>
      </c>
      <c r="EH45" s="79"/>
      <c r="EM45" s="96"/>
      <c r="EP45" s="79"/>
      <c r="EQ45" s="96"/>
      <c r="ET45" s="79"/>
      <c r="EU45" s="96"/>
      <c r="EV45" s="79">
        <v>5250</v>
      </c>
      <c r="EW45" s="76">
        <v>41</v>
      </c>
      <c r="EX45" s="76">
        <v>0</v>
      </c>
      <c r="EY45" s="79">
        <v>22</v>
      </c>
      <c r="EZ45" s="102">
        <f>FI45</f>
        <v>285</v>
      </c>
      <c r="FA45" s="76">
        <v>4</v>
      </c>
      <c r="FB45" s="79"/>
      <c r="FC45" s="97">
        <v>270</v>
      </c>
      <c r="FD45" s="76">
        <v>21</v>
      </c>
      <c r="FE45" s="76">
        <v>28</v>
      </c>
      <c r="FF45" s="79">
        <v>23</v>
      </c>
      <c r="FG45" s="76">
        <v>327</v>
      </c>
      <c r="FH45" s="76">
        <v>232</v>
      </c>
      <c r="FI45" s="103">
        <v>285</v>
      </c>
      <c r="FJ45" s="104">
        <v>28.87</v>
      </c>
      <c r="FK45" s="105">
        <v>25.8</v>
      </c>
      <c r="FL45" s="79">
        <v>27</v>
      </c>
      <c r="FM45" s="76">
        <v>0.57399999999999995</v>
      </c>
      <c r="FN45" s="76">
        <v>0.53700000000000003</v>
      </c>
      <c r="FO45" s="79">
        <v>0.55800000000000005</v>
      </c>
      <c r="FP45" s="106">
        <v>0.5</v>
      </c>
      <c r="FQ45" s="107">
        <v>0</v>
      </c>
      <c r="FR45" s="107">
        <v>0.3</v>
      </c>
      <c r="FS45" s="108">
        <v>15.9</v>
      </c>
    </row>
    <row r="46" spans="1:190" s="76" customFormat="1" x14ac:dyDescent="0.35">
      <c r="A46" s="76">
        <v>2025</v>
      </c>
      <c r="B46" s="162" t="s">
        <v>189</v>
      </c>
      <c r="C46" s="162" t="s">
        <v>189</v>
      </c>
      <c r="D46" s="162" t="s">
        <v>2542</v>
      </c>
      <c r="E46" s="162" t="s">
        <v>191</v>
      </c>
      <c r="F46" s="162">
        <v>560</v>
      </c>
      <c r="G46" s="162">
        <v>4.4000000000000004</v>
      </c>
      <c r="H46" s="162">
        <v>8</v>
      </c>
      <c r="I46" s="163" t="s">
        <v>192</v>
      </c>
      <c r="J46" s="96">
        <f t="shared" ref="J46:W46" si="7">J45</f>
        <v>12</v>
      </c>
      <c r="K46" s="76">
        <f t="shared" si="7"/>
        <v>17</v>
      </c>
      <c r="L46" s="76">
        <f t="shared" si="7"/>
        <v>14</v>
      </c>
      <c r="M46" s="76">
        <f t="shared" si="7"/>
        <v>15.3</v>
      </c>
      <c r="N46" s="76">
        <f t="shared" si="7"/>
        <v>23.9</v>
      </c>
      <c r="O46" s="76">
        <f t="shared" si="7"/>
        <v>18.264600000000002</v>
      </c>
      <c r="P46" s="76">
        <f t="shared" si="7"/>
        <v>11.514099999999999</v>
      </c>
      <c r="Q46" s="76">
        <f t="shared" si="7"/>
        <v>17.411899999999999</v>
      </c>
      <c r="R46" s="76">
        <f t="shared" si="7"/>
        <v>13.5848</v>
      </c>
      <c r="S46" s="76" t="str">
        <f t="shared" si="7"/>
        <v>G</v>
      </c>
      <c r="T46" s="76" t="str">
        <f t="shared" si="7"/>
        <v>TC</v>
      </c>
      <c r="U46" s="76" t="str">
        <f t="shared" si="7"/>
        <v>Turbocharged</v>
      </c>
      <c r="V46" s="76" t="str">
        <f t="shared" si="7"/>
        <v>SA</v>
      </c>
      <c r="W46" s="76" t="str">
        <f t="shared" si="7"/>
        <v>Semi-Automatic</v>
      </c>
      <c r="Y46" s="76">
        <f t="shared" ref="Y46:AD46" si="8">Y45</f>
        <v>8</v>
      </c>
      <c r="Z46" s="76" t="str">
        <f t="shared" si="8"/>
        <v>N</v>
      </c>
      <c r="AA46" s="76" t="str">
        <f t="shared" si="8"/>
        <v>N</v>
      </c>
      <c r="AB46" s="76" t="str">
        <f t="shared" si="8"/>
        <v>A</v>
      </c>
      <c r="AC46" s="76" t="str">
        <f t="shared" si="8"/>
        <v>All Wheel Drive</v>
      </c>
      <c r="AD46" s="76">
        <f t="shared" si="8"/>
        <v>10</v>
      </c>
      <c r="AF46" s="76">
        <f>AF45</f>
        <v>246</v>
      </c>
      <c r="AG46" s="76" t="str">
        <f>AG45</f>
        <v>GPR</v>
      </c>
      <c r="AH46" s="76" t="str">
        <f>AH45</f>
        <v>Gasoline (Premium Unleaded Required)</v>
      </c>
      <c r="AI46" s="76" t="str">
        <f>AI45</f>
        <v>MPG</v>
      </c>
      <c r="AJ46" s="79" t="str">
        <f>AJ45</f>
        <v>miles per gallon</v>
      </c>
      <c r="AK46" s="96" t="s">
        <v>170</v>
      </c>
      <c r="AL46" s="76" t="s">
        <v>177</v>
      </c>
      <c r="AO46" s="76">
        <v>98</v>
      </c>
      <c r="AP46" s="76">
        <v>13</v>
      </c>
      <c r="AR46" s="79"/>
      <c r="AS46" s="96">
        <v>2950</v>
      </c>
      <c r="AT46" s="79">
        <v>2950</v>
      </c>
      <c r="AU46" s="76">
        <v>45</v>
      </c>
      <c r="AV46" s="76">
        <v>57</v>
      </c>
      <c r="AW46" s="76">
        <v>50</v>
      </c>
      <c r="AX46" s="76">
        <v>62.8</v>
      </c>
      <c r="AY46" s="76">
        <v>81.7</v>
      </c>
      <c r="AZ46" s="76">
        <v>70.097099999999998</v>
      </c>
      <c r="BA46" s="76">
        <v>44.899700000000003</v>
      </c>
      <c r="BB46" s="76">
        <v>57.223599999999998</v>
      </c>
      <c r="BC46" s="76">
        <v>49.7181</v>
      </c>
      <c r="BD46" s="76">
        <v>27</v>
      </c>
      <c r="BE46" s="76" t="s">
        <v>1735</v>
      </c>
      <c r="BF46" s="76" t="s">
        <v>1736</v>
      </c>
      <c r="BG46" s="76" t="s">
        <v>175</v>
      </c>
      <c r="BH46" s="76" t="s">
        <v>176</v>
      </c>
      <c r="BI46" s="76">
        <v>2950</v>
      </c>
      <c r="BM46" s="79"/>
      <c r="BN46" s="98" t="s">
        <v>2493</v>
      </c>
      <c r="BO46" s="76">
        <v>2</v>
      </c>
      <c r="BP46" s="76">
        <v>2</v>
      </c>
      <c r="BQ46" s="76">
        <v>5</v>
      </c>
      <c r="BR46" s="76" t="s">
        <v>672</v>
      </c>
      <c r="BS46" s="76" t="s">
        <v>180</v>
      </c>
      <c r="BT46" s="76" t="s">
        <v>2494</v>
      </c>
      <c r="BU46" s="99">
        <v>45506</v>
      </c>
      <c r="BV46" s="79">
        <v>35307</v>
      </c>
      <c r="BW46" s="100"/>
      <c r="BX46" s="76" t="s">
        <v>170</v>
      </c>
      <c r="BY46" s="76" t="s">
        <v>170</v>
      </c>
      <c r="CB46" s="76" t="s">
        <v>170</v>
      </c>
      <c r="CC46" s="76" t="s">
        <v>170</v>
      </c>
      <c r="CE46" s="76" t="s">
        <v>170</v>
      </c>
      <c r="CG46" s="76" t="s">
        <v>169</v>
      </c>
      <c r="CH46" s="76" t="s">
        <v>195</v>
      </c>
      <c r="CI46" s="76" t="s">
        <v>169</v>
      </c>
      <c r="CJ46" s="76" t="s">
        <v>417</v>
      </c>
      <c r="CK46" s="76" t="s">
        <v>233</v>
      </c>
      <c r="CM46" s="76">
        <v>3</v>
      </c>
      <c r="CN46" s="76" t="s">
        <v>234</v>
      </c>
      <c r="CP46" s="76">
        <v>347</v>
      </c>
      <c r="CQ46" s="76">
        <v>63.5</v>
      </c>
      <c r="CR46" s="76">
        <v>107</v>
      </c>
      <c r="CS46" s="76" t="s">
        <v>235</v>
      </c>
      <c r="CV46" s="76" t="s">
        <v>341</v>
      </c>
      <c r="CX46" s="76" t="s">
        <v>342</v>
      </c>
      <c r="CY46" s="76" t="s">
        <v>169</v>
      </c>
      <c r="DC46" s="76" t="s">
        <v>2538</v>
      </c>
      <c r="DD46" s="76">
        <v>1</v>
      </c>
      <c r="DE46" s="76" t="s">
        <v>404</v>
      </c>
      <c r="DF46" s="76" t="s">
        <v>2539</v>
      </c>
      <c r="DG46" s="76">
        <v>145</v>
      </c>
      <c r="DJ46" s="76" t="s">
        <v>184</v>
      </c>
      <c r="DK46" s="76" t="s">
        <v>185</v>
      </c>
      <c r="DL46" s="76" t="s">
        <v>170</v>
      </c>
      <c r="DM46" s="76" t="s">
        <v>169</v>
      </c>
      <c r="DN46" s="76" t="s">
        <v>170</v>
      </c>
      <c r="DO46" s="76" t="s">
        <v>345</v>
      </c>
      <c r="DP46" s="76" t="s">
        <v>169</v>
      </c>
      <c r="DQ46" s="76" t="s">
        <v>198</v>
      </c>
      <c r="DS46" s="76" t="s">
        <v>2496</v>
      </c>
      <c r="DT46" s="76" t="s">
        <v>2497</v>
      </c>
      <c r="DU46" s="76" t="s">
        <v>2498</v>
      </c>
      <c r="DV46" s="76" t="s">
        <v>2499</v>
      </c>
      <c r="DZ46" s="79"/>
      <c r="EA46" s="101"/>
      <c r="EB46" s="96">
        <v>5</v>
      </c>
      <c r="EC46" s="76">
        <v>6</v>
      </c>
      <c r="ED46" s="79"/>
      <c r="EE46" s="76" t="s">
        <v>2543</v>
      </c>
      <c r="EF46" s="76">
        <v>4</v>
      </c>
      <c r="EH46" s="79"/>
      <c r="EM46" s="96"/>
      <c r="EP46" s="79"/>
      <c r="EQ46" s="96"/>
      <c r="ET46" s="79"/>
      <c r="EU46" s="96"/>
      <c r="EV46" s="79">
        <v>5250</v>
      </c>
      <c r="EW46" s="76">
        <v>757</v>
      </c>
      <c r="EX46" s="76">
        <v>501</v>
      </c>
      <c r="EY46" s="79">
        <v>642</v>
      </c>
      <c r="EZ46" s="102">
        <f>FI46</f>
        <v>285</v>
      </c>
      <c r="FA46" s="76">
        <v>4</v>
      </c>
      <c r="FB46" s="79"/>
      <c r="FC46" s="97">
        <v>270</v>
      </c>
      <c r="FD46" s="76">
        <v>21</v>
      </c>
      <c r="FE46" s="76">
        <v>28</v>
      </c>
      <c r="FF46" s="79">
        <v>23</v>
      </c>
      <c r="FG46" s="76">
        <v>327</v>
      </c>
      <c r="FH46" s="76">
        <v>232</v>
      </c>
      <c r="FI46" s="103">
        <v>285</v>
      </c>
      <c r="FJ46" s="118" t="s">
        <v>2516</v>
      </c>
      <c r="FK46" s="119"/>
      <c r="FL46" s="117"/>
      <c r="FM46" s="76">
        <v>0.57399999999999995</v>
      </c>
      <c r="FN46" s="76">
        <v>0.53700000000000003</v>
      </c>
      <c r="FO46" s="79">
        <v>0.55800000000000005</v>
      </c>
      <c r="FP46" s="106"/>
      <c r="FQ46" s="107"/>
      <c r="FR46" s="107"/>
      <c r="FS46" s="108">
        <v>15.9</v>
      </c>
    </row>
    <row r="47" spans="1:190" s="77" customFormat="1" x14ac:dyDescent="0.35">
      <c r="A47" s="76"/>
      <c r="E47" s="76"/>
      <c r="F47" s="76"/>
      <c r="G47" s="78"/>
      <c r="H47" s="76"/>
      <c r="I47" s="79"/>
      <c r="J47" s="80"/>
      <c r="K47" s="28"/>
      <c r="L47" s="28"/>
      <c r="M47" s="25" t="str">
        <f>_xlfn.CONCAT(A48," ",C48," ",D48)</f>
        <v>2025 BMW M5 Touring</v>
      </c>
      <c r="N47" s="28"/>
      <c r="O47" s="28"/>
      <c r="P47" s="28"/>
      <c r="Q47" s="28"/>
      <c r="R47" s="28"/>
      <c r="S47" s="28"/>
      <c r="T47" s="28"/>
      <c r="U47" s="28"/>
      <c r="V47" s="28"/>
      <c r="W47" s="28"/>
      <c r="X47" s="28"/>
      <c r="Y47" s="28"/>
      <c r="Z47" s="28"/>
      <c r="AA47" s="28"/>
      <c r="AB47" s="28"/>
      <c r="AC47" s="28"/>
      <c r="AD47" s="25" t="str">
        <f>$M47</f>
        <v>2025 BMW M5 Touring</v>
      </c>
      <c r="AE47" s="28"/>
      <c r="AF47" s="28"/>
      <c r="AG47" s="28"/>
      <c r="AH47" s="28"/>
      <c r="AI47" s="28"/>
      <c r="AJ47" s="81"/>
      <c r="AK47" s="82"/>
      <c r="AL47" s="2"/>
      <c r="AM47" s="2"/>
      <c r="AN47" s="2"/>
      <c r="AO47" s="2"/>
      <c r="AP47" s="2"/>
      <c r="AQ47" s="2"/>
      <c r="AR47" s="83"/>
      <c r="AS47" s="84"/>
      <c r="AT47" s="85" t="str">
        <f>$M47</f>
        <v>2025 BMW M5 Touring</v>
      </c>
      <c r="AU47" s="28"/>
      <c r="AV47" s="28"/>
      <c r="AW47" s="28"/>
      <c r="AX47" s="28"/>
      <c r="AY47" s="28"/>
      <c r="AZ47" s="28"/>
      <c r="BA47" s="28"/>
      <c r="BB47" s="28"/>
      <c r="BC47" s="28"/>
      <c r="BD47" s="28"/>
      <c r="BE47" s="28"/>
      <c r="BF47" s="28"/>
      <c r="BG47" s="28"/>
      <c r="BH47" s="28"/>
      <c r="BI47" s="25" t="str">
        <f>$M47</f>
        <v>2025 BMW M5 Touring</v>
      </c>
      <c r="BJ47" s="28"/>
      <c r="BK47" s="28"/>
      <c r="BL47" s="28"/>
      <c r="BM47" s="81"/>
      <c r="BN47" s="82"/>
      <c r="BO47" s="2"/>
      <c r="BP47" s="2"/>
      <c r="BQ47" s="2"/>
      <c r="BR47" s="2"/>
      <c r="BS47" s="2"/>
      <c r="BT47" s="86"/>
      <c r="BU47" s="2"/>
      <c r="BV47" s="83"/>
      <c r="BW47" s="87"/>
      <c r="BX47" s="28"/>
      <c r="BY47" s="25" t="str">
        <f>$M47</f>
        <v>2025 BMW M5 Touring</v>
      </c>
      <c r="BZ47" s="28"/>
      <c r="CA47" s="28"/>
      <c r="CB47" s="28"/>
      <c r="CC47" s="28"/>
      <c r="CD47" s="28"/>
      <c r="CE47" s="88"/>
      <c r="CF47" s="28"/>
      <c r="CG47" s="28"/>
      <c r="CH47" s="28"/>
      <c r="CI47" s="28"/>
      <c r="CJ47" s="28"/>
      <c r="CK47" s="28"/>
      <c r="CL47" s="28"/>
      <c r="CM47" s="28"/>
      <c r="CN47" s="28"/>
      <c r="CO47" s="25" t="str">
        <f>$M47</f>
        <v>2025 BMW M5 Touring</v>
      </c>
      <c r="CP47" s="28"/>
      <c r="CQ47" s="28"/>
      <c r="CR47" s="28"/>
      <c r="CS47" s="28"/>
      <c r="CT47" s="28"/>
      <c r="CU47" s="28"/>
      <c r="CV47" s="28"/>
      <c r="CW47" s="28"/>
      <c r="CX47" s="28"/>
      <c r="CY47" s="28"/>
      <c r="CZ47" s="28"/>
      <c r="DA47" s="28"/>
      <c r="DB47" s="28"/>
      <c r="DC47" s="28"/>
      <c r="DD47" s="28"/>
      <c r="DE47" s="28"/>
      <c r="DF47" s="25" t="str">
        <f>$M47</f>
        <v>2025 BMW M5 Touring</v>
      </c>
      <c r="DG47" s="28"/>
      <c r="DH47" s="28"/>
      <c r="DI47" s="28"/>
      <c r="DJ47" s="28"/>
      <c r="DK47" s="28"/>
      <c r="DL47" s="28"/>
      <c r="DM47" s="28"/>
      <c r="DN47" s="28"/>
      <c r="DO47" s="28"/>
      <c r="DP47" s="28"/>
      <c r="DQ47" s="28"/>
      <c r="DR47" s="25"/>
      <c r="DS47" s="25"/>
      <c r="DT47" s="25"/>
      <c r="DU47" s="25"/>
      <c r="DV47" s="25"/>
      <c r="DW47" s="25" t="str">
        <f>$M47</f>
        <v>2025 BMW M5 Touring</v>
      </c>
      <c r="DX47" s="25"/>
      <c r="DY47" s="25"/>
      <c r="DZ47" s="85"/>
      <c r="EA47" s="89"/>
      <c r="EB47" s="80"/>
      <c r="EC47" s="25"/>
      <c r="ED47" s="85"/>
      <c r="EE47" s="25"/>
      <c r="EF47" s="25"/>
      <c r="EG47" s="25"/>
      <c r="EH47" s="85"/>
      <c r="EI47" s="25"/>
      <c r="EK47" t="s">
        <v>2445</v>
      </c>
      <c r="EL47" s="25" t="str">
        <f>$M47</f>
        <v>2025 BMW M5 Touring</v>
      </c>
      <c r="EM47" s="80"/>
      <c r="EP47" s="75"/>
      <c r="EQ47" s="90"/>
      <c r="ET47" s="75"/>
      <c r="EU47" s="90"/>
      <c r="EV47" s="75"/>
      <c r="EY47" s="75"/>
      <c r="EZ47" s="102"/>
      <c r="FA47" s="25" t="str">
        <f>$M47</f>
        <v>2025 BMW M5 Touring</v>
      </c>
      <c r="FB47" s="75"/>
      <c r="FC47" s="91"/>
      <c r="FD47" s="25"/>
      <c r="FE47" s="25"/>
      <c r="FF47" s="85"/>
      <c r="FG47" s="25"/>
      <c r="FH47" s="25"/>
      <c r="FI47" s="85"/>
      <c r="FJ47" s="80"/>
      <c r="FK47" s="25"/>
      <c r="FL47" s="85"/>
      <c r="FM47" s="25" t="str">
        <f>$M47</f>
        <v>2025 BMW M5 Touring</v>
      </c>
      <c r="FN47" s="25"/>
      <c r="FO47" s="85"/>
      <c r="FP47" s="92"/>
      <c r="FQ47" s="93"/>
      <c r="FR47" s="94"/>
      <c r="FS47" s="95"/>
      <c r="FT47" s="25"/>
      <c r="FU47" s="25"/>
      <c r="FV47" s="25"/>
      <c r="FW47" s="25"/>
      <c r="FX47" s="25"/>
      <c r="FY47" s="25"/>
      <c r="FZ47" s="25"/>
      <c r="GA47" s="25"/>
      <c r="GB47" s="25"/>
      <c r="GC47" s="25"/>
      <c r="GD47" s="25"/>
      <c r="GE47" s="25"/>
      <c r="GF47" s="25"/>
      <c r="GG47" s="25"/>
      <c r="GH47" s="25"/>
    </row>
    <row r="48" spans="1:190" s="76" customFormat="1" x14ac:dyDescent="0.35">
      <c r="A48" s="76">
        <v>2025</v>
      </c>
      <c r="B48" s="76" t="s">
        <v>189</v>
      </c>
      <c r="C48" s="76" t="s">
        <v>189</v>
      </c>
      <c r="D48" s="109" t="s">
        <v>2544</v>
      </c>
      <c r="E48" s="76" t="s">
        <v>191</v>
      </c>
      <c r="F48" s="109">
        <v>565</v>
      </c>
      <c r="G48" s="109">
        <v>4.4000000000000004</v>
      </c>
      <c r="H48" s="109">
        <v>8</v>
      </c>
      <c r="I48" s="79" t="s">
        <v>192</v>
      </c>
      <c r="J48" s="96">
        <v>11</v>
      </c>
      <c r="K48" s="76">
        <v>17</v>
      </c>
      <c r="L48" s="76">
        <v>13</v>
      </c>
      <c r="M48" s="76">
        <v>14.9</v>
      </c>
      <c r="N48" s="76">
        <v>23.6</v>
      </c>
      <c r="O48" s="76">
        <v>17.883800000000001</v>
      </c>
      <c r="P48" s="76">
        <v>11.445499999999999</v>
      </c>
      <c r="Q48" s="76">
        <v>17.160699999999999</v>
      </c>
      <c r="R48" s="76">
        <v>13.463200000000001</v>
      </c>
      <c r="S48" s="76" t="s">
        <v>210</v>
      </c>
      <c r="T48" s="76" t="s">
        <v>165</v>
      </c>
      <c r="U48" s="76" t="s">
        <v>166</v>
      </c>
      <c r="V48" s="76" t="s">
        <v>193</v>
      </c>
      <c r="W48" s="76" t="s">
        <v>194</v>
      </c>
      <c r="Y48" s="76">
        <v>8</v>
      </c>
      <c r="Z48" s="76" t="s">
        <v>170</v>
      </c>
      <c r="AA48" s="76" t="s">
        <v>170</v>
      </c>
      <c r="AB48" s="76" t="s">
        <v>167</v>
      </c>
      <c r="AC48" s="76" t="s">
        <v>213</v>
      </c>
      <c r="AD48" s="76">
        <v>10</v>
      </c>
      <c r="AF48" s="76">
        <v>241</v>
      </c>
      <c r="AG48" s="76" t="s">
        <v>214</v>
      </c>
      <c r="AH48" s="76" t="s">
        <v>215</v>
      </c>
      <c r="AI48" s="76" t="s">
        <v>175</v>
      </c>
      <c r="AJ48" s="79" t="s">
        <v>176</v>
      </c>
      <c r="AK48" s="96" t="s">
        <v>170</v>
      </c>
      <c r="AL48" s="76" t="s">
        <v>177</v>
      </c>
      <c r="AO48" s="76">
        <v>104</v>
      </c>
      <c r="AP48" s="76">
        <v>27</v>
      </c>
      <c r="AR48" s="79"/>
      <c r="AS48" s="96">
        <v>3000</v>
      </c>
      <c r="AT48" s="79">
        <v>3000</v>
      </c>
      <c r="AU48" s="76">
        <v>65</v>
      </c>
      <c r="AV48" s="76">
        <v>59</v>
      </c>
      <c r="AW48" s="76">
        <v>62</v>
      </c>
      <c r="AX48" s="76">
        <v>46</v>
      </c>
      <c r="AY48" s="76">
        <v>41.7</v>
      </c>
      <c r="AZ48" s="76">
        <v>44.064999999999998</v>
      </c>
      <c r="BA48" s="76">
        <v>64.981999999999999</v>
      </c>
      <c r="BB48" s="76">
        <v>59.103000000000002</v>
      </c>
      <c r="BC48" s="76">
        <v>62.336399999999998</v>
      </c>
      <c r="BD48" s="76">
        <v>25</v>
      </c>
      <c r="BE48" s="76" t="s">
        <v>1735</v>
      </c>
      <c r="BF48" s="76" t="s">
        <v>1736</v>
      </c>
      <c r="BG48" s="76" t="s">
        <v>1742</v>
      </c>
      <c r="BH48" s="76" t="s">
        <v>1743</v>
      </c>
      <c r="BI48" s="76">
        <v>3000</v>
      </c>
      <c r="BM48" s="79"/>
      <c r="BN48" s="98" t="s">
        <v>2493</v>
      </c>
      <c r="BO48" s="76">
        <v>2</v>
      </c>
      <c r="BP48" s="76">
        <v>2</v>
      </c>
      <c r="BQ48" s="76">
        <v>8</v>
      </c>
      <c r="BR48" s="76" t="s">
        <v>933</v>
      </c>
      <c r="BS48" s="76" t="s">
        <v>180</v>
      </c>
      <c r="BT48" s="76" t="s">
        <v>2494</v>
      </c>
      <c r="BU48" s="99">
        <v>45646</v>
      </c>
      <c r="BV48" s="79">
        <v>36020</v>
      </c>
      <c r="BW48" s="120"/>
      <c r="BX48" s="96" t="s">
        <v>170</v>
      </c>
      <c r="BY48" s="76" t="s">
        <v>170</v>
      </c>
      <c r="CB48" s="76" t="s">
        <v>170</v>
      </c>
      <c r="CC48" s="76" t="s">
        <v>170</v>
      </c>
      <c r="CE48" s="76" t="s">
        <v>170</v>
      </c>
      <c r="CG48" s="76" t="s">
        <v>169</v>
      </c>
      <c r="CH48" s="76" t="s">
        <v>195</v>
      </c>
      <c r="CI48" s="76" t="s">
        <v>169</v>
      </c>
      <c r="CJ48" s="76" t="s">
        <v>417</v>
      </c>
      <c r="CK48" s="76" t="s">
        <v>233</v>
      </c>
      <c r="CM48" s="76">
        <v>3</v>
      </c>
      <c r="CN48" s="76" t="s">
        <v>234</v>
      </c>
      <c r="CP48" s="76">
        <v>347</v>
      </c>
      <c r="CQ48" s="76">
        <v>63.5</v>
      </c>
      <c r="CR48" s="76">
        <v>107</v>
      </c>
      <c r="CS48" s="76" t="s">
        <v>235</v>
      </c>
      <c r="CV48" s="76" t="s">
        <v>341</v>
      </c>
      <c r="CX48" s="76" t="s">
        <v>342</v>
      </c>
      <c r="CY48" s="76" t="s">
        <v>169</v>
      </c>
      <c r="DC48" s="76" t="s">
        <v>2538</v>
      </c>
      <c r="DD48" s="76">
        <v>1</v>
      </c>
      <c r="DE48" s="76" t="s">
        <v>404</v>
      </c>
      <c r="DF48" s="76" t="s">
        <v>2539</v>
      </c>
      <c r="DG48" s="76">
        <v>145</v>
      </c>
      <c r="DJ48" s="76" t="s">
        <v>184</v>
      </c>
      <c r="DK48" s="76" t="s">
        <v>185</v>
      </c>
      <c r="DL48" s="76" t="s">
        <v>170</v>
      </c>
      <c r="DM48" s="76" t="s">
        <v>169</v>
      </c>
      <c r="DN48" s="76" t="s">
        <v>170</v>
      </c>
      <c r="DO48" s="76" t="s">
        <v>345</v>
      </c>
      <c r="DP48" s="76" t="s">
        <v>169</v>
      </c>
      <c r="DQ48" s="76" t="s">
        <v>198</v>
      </c>
      <c r="DS48" s="76" t="s">
        <v>2496</v>
      </c>
      <c r="DT48" s="76" t="s">
        <v>2497</v>
      </c>
      <c r="DU48" s="76" t="s">
        <v>2498</v>
      </c>
      <c r="DV48" s="76" t="s">
        <v>2499</v>
      </c>
      <c r="DY48" s="76">
        <v>18</v>
      </c>
      <c r="DZ48" s="79"/>
      <c r="EA48" s="101"/>
      <c r="EB48" s="96">
        <v>5</v>
      </c>
      <c r="EC48" s="76">
        <v>6</v>
      </c>
      <c r="ED48" s="79"/>
      <c r="EE48" s="76" t="s">
        <v>2543</v>
      </c>
      <c r="EF48" s="76">
        <v>4</v>
      </c>
      <c r="EH48" s="79"/>
      <c r="EM48" s="96"/>
      <c r="EP48" s="79"/>
      <c r="EQ48" s="96"/>
      <c r="ET48" s="79"/>
      <c r="EU48" s="96"/>
      <c r="EV48" s="79">
        <v>5500</v>
      </c>
      <c r="EW48" s="76">
        <v>0</v>
      </c>
      <c r="EX48" s="76">
        <v>0</v>
      </c>
      <c r="EY48" s="79">
        <v>0</v>
      </c>
      <c r="EZ48" s="102">
        <v>304</v>
      </c>
      <c r="FA48" s="76">
        <v>4</v>
      </c>
      <c r="FB48" s="79"/>
      <c r="FC48" s="97">
        <v>270</v>
      </c>
      <c r="FD48" s="76">
        <v>20</v>
      </c>
      <c r="FE48" s="76">
        <v>27</v>
      </c>
      <c r="FF48" s="79">
        <v>22</v>
      </c>
      <c r="FG48" s="76">
        <v>357</v>
      </c>
      <c r="FH48" s="76">
        <v>239</v>
      </c>
      <c r="FI48" s="103">
        <v>304</v>
      </c>
      <c r="FJ48" s="104">
        <v>25.8</v>
      </c>
      <c r="FK48" s="105">
        <v>25.12</v>
      </c>
      <c r="FL48" s="103">
        <v>25</v>
      </c>
      <c r="FM48" s="76">
        <v>0.53700000000000003</v>
      </c>
      <c r="FN48" s="76">
        <v>0.52900000000000003</v>
      </c>
      <c r="FO48" s="79">
        <v>0.53300000000000003</v>
      </c>
      <c r="FP48" s="106">
        <v>0</v>
      </c>
      <c r="FQ48" s="107">
        <v>0</v>
      </c>
      <c r="FR48" s="107">
        <v>0</v>
      </c>
      <c r="FS48" s="108">
        <v>15.9</v>
      </c>
    </row>
    <row r="49" spans="1:190" s="76" customFormat="1" x14ac:dyDescent="0.35">
      <c r="A49" s="76">
        <v>2025</v>
      </c>
      <c r="B49" s="162" t="s">
        <v>189</v>
      </c>
      <c r="C49" s="162" t="s">
        <v>189</v>
      </c>
      <c r="D49" s="162" t="s">
        <v>2545</v>
      </c>
      <c r="E49" s="162" t="s">
        <v>191</v>
      </c>
      <c r="F49" s="162">
        <v>750</v>
      </c>
      <c r="G49" s="162">
        <v>3</v>
      </c>
      <c r="H49" s="162">
        <v>6</v>
      </c>
      <c r="I49" s="163" t="s">
        <v>192</v>
      </c>
      <c r="J49" s="96">
        <v>11</v>
      </c>
      <c r="K49" s="76">
        <v>17</v>
      </c>
      <c r="L49" s="76">
        <v>13</v>
      </c>
      <c r="M49" s="76">
        <v>14.9</v>
      </c>
      <c r="N49" s="76">
        <v>23.6</v>
      </c>
      <c r="O49" s="76">
        <v>17.883800000000001</v>
      </c>
      <c r="P49" s="76">
        <v>11.445499999999999</v>
      </c>
      <c r="Q49" s="76">
        <v>17.160699999999999</v>
      </c>
      <c r="R49" s="76">
        <v>13.463200000000001</v>
      </c>
      <c r="S49" s="76" t="s">
        <v>210</v>
      </c>
      <c r="T49" s="76" t="s">
        <v>165</v>
      </c>
      <c r="U49" s="76" t="s">
        <v>166</v>
      </c>
      <c r="V49" s="76" t="s">
        <v>193</v>
      </c>
      <c r="W49" s="76" t="s">
        <v>194</v>
      </c>
      <c r="Y49" s="76">
        <v>8</v>
      </c>
      <c r="Z49" s="76" t="s">
        <v>170</v>
      </c>
      <c r="AA49" s="76" t="s">
        <v>170</v>
      </c>
      <c r="AB49" s="76" t="s">
        <v>167</v>
      </c>
      <c r="AC49" s="76" t="s">
        <v>213</v>
      </c>
      <c r="AD49" s="76">
        <v>10</v>
      </c>
      <c r="AF49" s="76">
        <v>241</v>
      </c>
      <c r="AG49" s="76" t="s">
        <v>214</v>
      </c>
      <c r="AH49" s="76" t="s">
        <v>215</v>
      </c>
      <c r="AI49" s="76" t="s">
        <v>175</v>
      </c>
      <c r="AJ49" s="79" t="s">
        <v>176</v>
      </c>
      <c r="AK49" s="96" t="s">
        <v>170</v>
      </c>
      <c r="AL49" s="76" t="s">
        <v>177</v>
      </c>
      <c r="AO49" s="76">
        <v>104</v>
      </c>
      <c r="AP49" s="76">
        <v>27</v>
      </c>
      <c r="AR49" s="79"/>
      <c r="AS49" s="96">
        <v>3000</v>
      </c>
      <c r="AT49" s="79">
        <v>3000</v>
      </c>
      <c r="AU49" s="96">
        <v>52</v>
      </c>
      <c r="AV49" s="76">
        <v>57</v>
      </c>
      <c r="AW49" s="76">
        <v>54</v>
      </c>
      <c r="AX49" s="76">
        <v>73.3</v>
      </c>
      <c r="AY49" s="76">
        <v>80.8</v>
      </c>
      <c r="AZ49" s="76">
        <v>76.495199999999997</v>
      </c>
      <c r="BA49" s="76">
        <v>51.878799999999998</v>
      </c>
      <c r="BB49" s="76">
        <v>56.631799999999998</v>
      </c>
      <c r="BC49" s="76">
        <v>53.914999999999999</v>
      </c>
      <c r="BD49" s="76">
        <v>25</v>
      </c>
      <c r="BE49" s="76" t="s">
        <v>1735</v>
      </c>
      <c r="BF49" s="76" t="s">
        <v>1736</v>
      </c>
      <c r="BG49" s="76" t="s">
        <v>175</v>
      </c>
      <c r="BH49" s="76" t="s">
        <v>176</v>
      </c>
      <c r="BI49" s="76">
        <v>3000</v>
      </c>
      <c r="BM49" s="79"/>
      <c r="BN49" s="98" t="s">
        <v>2493</v>
      </c>
      <c r="BO49" s="76">
        <v>2</v>
      </c>
      <c r="BP49" s="76">
        <v>2</v>
      </c>
      <c r="BQ49" s="76">
        <v>8</v>
      </c>
      <c r="BR49" s="76" t="s">
        <v>933</v>
      </c>
      <c r="BS49" s="76" t="s">
        <v>180</v>
      </c>
      <c r="BT49" s="76" t="s">
        <v>2494</v>
      </c>
      <c r="BU49" s="99">
        <v>45646</v>
      </c>
      <c r="BV49" s="79">
        <v>36020</v>
      </c>
      <c r="BW49" s="120"/>
      <c r="BX49" s="96" t="s">
        <v>170</v>
      </c>
      <c r="BY49" s="76" t="s">
        <v>170</v>
      </c>
      <c r="CB49" s="76" t="s">
        <v>170</v>
      </c>
      <c r="CC49" s="76" t="s">
        <v>170</v>
      </c>
      <c r="CE49" s="76" t="s">
        <v>170</v>
      </c>
      <c r="CG49" s="76" t="s">
        <v>169</v>
      </c>
      <c r="CH49" s="76" t="s">
        <v>195</v>
      </c>
      <c r="CI49" s="76" t="s">
        <v>169</v>
      </c>
      <c r="CJ49" s="76" t="s">
        <v>417</v>
      </c>
      <c r="CK49" s="76" t="s">
        <v>233</v>
      </c>
      <c r="CM49" s="76">
        <v>3</v>
      </c>
      <c r="CN49" s="76" t="s">
        <v>234</v>
      </c>
      <c r="CP49" s="76">
        <v>347</v>
      </c>
      <c r="CQ49" s="76">
        <v>63.5</v>
      </c>
      <c r="CR49" s="76">
        <v>107</v>
      </c>
      <c r="CS49" s="76" t="s">
        <v>235</v>
      </c>
      <c r="CV49" s="76" t="s">
        <v>341</v>
      </c>
      <c r="CX49" s="76" t="s">
        <v>342</v>
      </c>
      <c r="CY49" s="76" t="s">
        <v>169</v>
      </c>
      <c r="DC49" s="76" t="s">
        <v>2538</v>
      </c>
      <c r="DD49" s="76">
        <v>1</v>
      </c>
      <c r="DE49" s="76" t="s">
        <v>404</v>
      </c>
      <c r="DF49" s="76" t="s">
        <v>2539</v>
      </c>
      <c r="DG49" s="76">
        <v>145</v>
      </c>
      <c r="DJ49" s="76" t="s">
        <v>184</v>
      </c>
      <c r="DK49" s="76" t="s">
        <v>185</v>
      </c>
      <c r="DL49" s="76" t="s">
        <v>170</v>
      </c>
      <c r="DM49" s="76" t="s">
        <v>169</v>
      </c>
      <c r="DN49" s="76" t="s">
        <v>170</v>
      </c>
      <c r="DO49" s="76" t="s">
        <v>345</v>
      </c>
      <c r="DP49" s="76" t="s">
        <v>169</v>
      </c>
      <c r="DQ49" s="76" t="s">
        <v>198</v>
      </c>
      <c r="DS49" s="76" t="s">
        <v>2496</v>
      </c>
      <c r="DT49" s="76" t="s">
        <v>2497</v>
      </c>
      <c r="DU49" s="76" t="s">
        <v>2498</v>
      </c>
      <c r="DV49" s="76" t="s">
        <v>2499</v>
      </c>
      <c r="DY49" s="76">
        <v>18</v>
      </c>
      <c r="DZ49" s="79"/>
      <c r="EA49" s="101"/>
      <c r="EB49" s="96">
        <v>5</v>
      </c>
      <c r="EC49" s="76">
        <v>6</v>
      </c>
      <c r="ED49" s="79"/>
      <c r="EE49" s="76" t="s">
        <v>2543</v>
      </c>
      <c r="EF49" s="76">
        <v>4</v>
      </c>
      <c r="EH49" s="79"/>
      <c r="EM49" s="96"/>
      <c r="EP49" s="79"/>
      <c r="EQ49" s="96"/>
      <c r="ET49" s="79"/>
      <c r="EU49" s="96"/>
      <c r="EV49" s="79">
        <v>5500</v>
      </c>
      <c r="EW49" s="76">
        <v>764</v>
      </c>
      <c r="EX49" s="76">
        <v>508</v>
      </c>
      <c r="EY49" s="79">
        <v>649</v>
      </c>
      <c r="EZ49" s="102">
        <v>304</v>
      </c>
      <c r="FA49" s="76">
        <v>4</v>
      </c>
      <c r="FB49" s="79"/>
      <c r="FC49" s="97">
        <v>270</v>
      </c>
      <c r="FD49" s="76">
        <v>20</v>
      </c>
      <c r="FE49" s="76">
        <v>27</v>
      </c>
      <c r="FF49" s="79">
        <v>22</v>
      </c>
      <c r="FG49" s="76">
        <v>357</v>
      </c>
      <c r="FH49" s="76">
        <v>239</v>
      </c>
      <c r="FI49" s="103">
        <v>304</v>
      </c>
      <c r="FJ49" s="118" t="s">
        <v>2546</v>
      </c>
      <c r="FK49" s="119"/>
      <c r="FL49" s="117"/>
      <c r="FM49" s="76">
        <v>0.53700000000000003</v>
      </c>
      <c r="FN49" s="76">
        <v>0.52900000000000003</v>
      </c>
      <c r="FO49" s="79">
        <v>0.53300000000000003</v>
      </c>
      <c r="FP49" s="106"/>
      <c r="FQ49" s="107"/>
      <c r="FR49" s="107"/>
      <c r="FS49" s="108">
        <v>15.9</v>
      </c>
    </row>
    <row r="50" spans="1:190" s="77" customFormat="1" x14ac:dyDescent="0.35">
      <c r="A50" s="76"/>
      <c r="E50" s="76"/>
      <c r="F50" s="76"/>
      <c r="G50" s="78"/>
      <c r="H50" s="76"/>
      <c r="I50" s="79"/>
      <c r="J50" s="80"/>
      <c r="K50" s="28"/>
      <c r="L50" s="28"/>
      <c r="M50" s="25" t="str">
        <f>_xlfn.CONCAT(A51," ",C51," ",D51)</f>
        <v>2025 BMW 750e xDrive Sedan</v>
      </c>
      <c r="N50" s="28"/>
      <c r="O50" s="28"/>
      <c r="P50" s="28"/>
      <c r="Q50" s="28"/>
      <c r="R50" s="28"/>
      <c r="S50" s="28"/>
      <c r="T50" s="28"/>
      <c r="U50" s="28"/>
      <c r="V50" s="28"/>
      <c r="W50" s="28"/>
      <c r="X50" s="28"/>
      <c r="Y50" s="28"/>
      <c r="Z50" s="28"/>
      <c r="AA50" s="28"/>
      <c r="AB50" s="28"/>
      <c r="AC50" s="28"/>
      <c r="AD50" s="25" t="str">
        <f>$M50</f>
        <v>2025 BMW 750e xDrive Sedan</v>
      </c>
      <c r="AE50" s="28"/>
      <c r="AF50" s="28"/>
      <c r="AG50" s="28"/>
      <c r="AH50" s="28"/>
      <c r="AI50" s="28"/>
      <c r="AJ50" s="81"/>
      <c r="AK50" s="82"/>
      <c r="AL50" s="2"/>
      <c r="AM50" s="2"/>
      <c r="AN50" s="2"/>
      <c r="AO50" s="2"/>
      <c r="AP50" s="2"/>
      <c r="AQ50" s="2"/>
      <c r="AR50" s="83"/>
      <c r="AS50" s="84"/>
      <c r="AT50" s="85" t="str">
        <f>$M50</f>
        <v>2025 BMW 750e xDrive Sedan</v>
      </c>
      <c r="AU50" s="84"/>
      <c r="AV50" s="28"/>
      <c r="AW50" s="28"/>
      <c r="AX50" s="28"/>
      <c r="AY50" s="28"/>
      <c r="AZ50" s="28"/>
      <c r="BA50" s="28"/>
      <c r="BB50" s="28"/>
      <c r="BC50" s="28"/>
      <c r="BD50" s="28"/>
      <c r="BE50" s="28"/>
      <c r="BF50" s="28"/>
      <c r="BG50" s="28"/>
      <c r="BH50" s="28"/>
      <c r="BI50" s="25" t="str">
        <f>$M50</f>
        <v>2025 BMW 750e xDrive Sedan</v>
      </c>
      <c r="BJ50" s="28"/>
      <c r="BK50" s="28"/>
      <c r="BL50" s="28"/>
      <c r="BM50" s="81"/>
      <c r="BN50" s="82"/>
      <c r="BO50" s="2"/>
      <c r="BP50" s="2"/>
      <c r="BQ50" s="2"/>
      <c r="BR50" s="2"/>
      <c r="BS50" s="2"/>
      <c r="BT50" s="86"/>
      <c r="BU50" s="2"/>
      <c r="BV50" s="83"/>
      <c r="BW50" s="121"/>
      <c r="BX50" s="84"/>
      <c r="BY50" s="25" t="str">
        <f>$M50</f>
        <v>2025 BMW 750e xDrive Sedan</v>
      </c>
      <c r="BZ50" s="28"/>
      <c r="CA50" s="28"/>
      <c r="CB50" s="28"/>
      <c r="CC50" s="28"/>
      <c r="CD50" s="28"/>
      <c r="CE50" s="88"/>
      <c r="CF50" s="28"/>
      <c r="CG50" s="28"/>
      <c r="CH50" s="28"/>
      <c r="CI50" s="28"/>
      <c r="CJ50" s="28"/>
      <c r="CK50" s="28"/>
      <c r="CL50" s="28"/>
      <c r="CM50" s="28"/>
      <c r="CN50" s="28"/>
      <c r="CO50" s="25" t="str">
        <f>$M50</f>
        <v>2025 BMW 750e xDrive Sedan</v>
      </c>
      <c r="CP50" s="28"/>
      <c r="CQ50" s="28"/>
      <c r="CR50" s="28"/>
      <c r="CS50" s="28"/>
      <c r="CT50" s="28"/>
      <c r="CU50" s="28"/>
      <c r="CV50" s="28"/>
      <c r="CW50" s="28"/>
      <c r="CX50" s="28"/>
      <c r="CY50" s="28"/>
      <c r="CZ50" s="28"/>
      <c r="DA50" s="28"/>
      <c r="DB50" s="28"/>
      <c r="DC50" s="28"/>
      <c r="DD50" s="28"/>
      <c r="DE50" s="28"/>
      <c r="DF50" s="25" t="str">
        <f>$M50</f>
        <v>2025 BMW 750e xDrive Sedan</v>
      </c>
      <c r="DG50" s="28"/>
      <c r="DH50" s="28"/>
      <c r="DI50" s="28"/>
      <c r="DJ50" s="28"/>
      <c r="DK50" s="28"/>
      <c r="DL50" s="28"/>
      <c r="DM50" s="28"/>
      <c r="DN50" s="28"/>
      <c r="DO50" s="28"/>
      <c r="DP50" s="28"/>
      <c r="DQ50" s="28"/>
      <c r="DR50" s="25"/>
      <c r="DS50" s="25"/>
      <c r="DT50" s="25"/>
      <c r="DU50" s="25"/>
      <c r="DV50" s="25"/>
      <c r="DW50" s="25" t="str">
        <f>$M50</f>
        <v>2025 BMW 750e xDrive Sedan</v>
      </c>
      <c r="DX50" s="25"/>
      <c r="DY50" s="25"/>
      <c r="DZ50" s="85"/>
      <c r="EA50" s="89"/>
      <c r="EB50" s="80"/>
      <c r="EC50" s="25"/>
      <c r="ED50" s="85"/>
      <c r="EE50" s="25"/>
      <c r="EF50" s="25"/>
      <c r="EG50" s="25"/>
      <c r="EH50" s="85"/>
      <c r="EI50" s="25"/>
      <c r="EK50" t="s">
        <v>2445</v>
      </c>
      <c r="EL50" s="25" t="str">
        <f>$M50</f>
        <v>2025 BMW 750e xDrive Sedan</v>
      </c>
      <c r="EM50" s="80"/>
      <c r="EP50" s="75"/>
      <c r="EQ50" s="90"/>
      <c r="ET50" s="75"/>
      <c r="EU50" s="90"/>
      <c r="EV50" s="75"/>
      <c r="EY50" s="75"/>
      <c r="EZ50" s="102"/>
      <c r="FA50" s="25" t="str">
        <f>$M50</f>
        <v>2025 BMW 750e xDrive Sedan</v>
      </c>
      <c r="FB50" s="75"/>
      <c r="FC50" s="91"/>
      <c r="FD50" s="25"/>
      <c r="FE50" s="25"/>
      <c r="FF50" s="85"/>
      <c r="FG50" s="25"/>
      <c r="FH50" s="25"/>
      <c r="FI50" s="85"/>
      <c r="FJ50" s="80"/>
      <c r="FK50" s="25"/>
      <c r="FL50" s="85"/>
      <c r="FM50" s="25" t="str">
        <f>$M50</f>
        <v>2025 BMW 750e xDrive Sedan</v>
      </c>
      <c r="FN50" s="25"/>
      <c r="FO50" s="85"/>
      <c r="FP50" s="92"/>
      <c r="FQ50" s="93"/>
      <c r="FR50" s="94"/>
      <c r="FS50" s="95"/>
      <c r="FT50" s="25"/>
      <c r="FU50" s="25"/>
      <c r="FV50" s="25"/>
      <c r="FW50" s="25"/>
      <c r="FX50" s="25"/>
      <c r="FY50" s="25"/>
      <c r="FZ50" s="25"/>
      <c r="GA50" s="25"/>
      <c r="GB50" s="25"/>
      <c r="GC50" s="25"/>
      <c r="GD50" s="25"/>
      <c r="GE50" s="25"/>
      <c r="GF50" s="25"/>
      <c r="GG50" s="25"/>
      <c r="GH50" s="25"/>
    </row>
    <row r="51" spans="1:190" s="76" customFormat="1" x14ac:dyDescent="0.35">
      <c r="A51" s="76">
        <v>2025</v>
      </c>
      <c r="B51" s="76" t="s">
        <v>189</v>
      </c>
      <c r="C51" s="76" t="s">
        <v>189</v>
      </c>
      <c r="D51" s="76" t="s">
        <v>2545</v>
      </c>
      <c r="E51" s="76" t="s">
        <v>191</v>
      </c>
      <c r="F51" s="76">
        <v>750</v>
      </c>
      <c r="G51" s="78">
        <v>3</v>
      </c>
      <c r="H51" s="76">
        <v>6</v>
      </c>
      <c r="I51" s="79" t="s">
        <v>192</v>
      </c>
      <c r="J51" s="96">
        <v>24</v>
      </c>
      <c r="K51" s="76">
        <v>27</v>
      </c>
      <c r="L51" s="76">
        <v>25</v>
      </c>
      <c r="M51" s="76">
        <v>32.799999999999997</v>
      </c>
      <c r="N51" s="76">
        <v>39.6</v>
      </c>
      <c r="O51" s="76">
        <v>35.546799999999998</v>
      </c>
      <c r="P51" s="76">
        <v>23.803899999999999</v>
      </c>
      <c r="Q51" s="76">
        <v>26.739000000000001</v>
      </c>
      <c r="R51" s="76">
        <v>25.040800000000001</v>
      </c>
      <c r="T51" s="76" t="s">
        <v>165</v>
      </c>
      <c r="U51" s="76" t="s">
        <v>166</v>
      </c>
      <c r="V51" s="76" t="s">
        <v>193</v>
      </c>
      <c r="W51" s="76" t="s">
        <v>194</v>
      </c>
      <c r="Y51" s="76">
        <v>8</v>
      </c>
      <c r="Z51" s="76" t="s">
        <v>170</v>
      </c>
      <c r="AA51" s="76" t="s">
        <v>170</v>
      </c>
      <c r="AB51" s="76" t="s">
        <v>167</v>
      </c>
      <c r="AC51" s="76" t="s">
        <v>213</v>
      </c>
      <c r="AD51" s="76">
        <v>10</v>
      </c>
      <c r="AF51" s="76">
        <v>432</v>
      </c>
      <c r="AG51" s="76" t="s">
        <v>173</v>
      </c>
      <c r="AH51" s="76" t="s">
        <v>174</v>
      </c>
      <c r="AI51" s="76" t="s">
        <v>175</v>
      </c>
      <c r="AJ51" s="79" t="s">
        <v>176</v>
      </c>
      <c r="AK51" s="96" t="s">
        <v>170</v>
      </c>
      <c r="AL51" s="76" t="s">
        <v>177</v>
      </c>
      <c r="AO51" s="76">
        <v>109</v>
      </c>
      <c r="AP51" s="76">
        <v>14</v>
      </c>
      <c r="AR51" s="79"/>
      <c r="AS51" s="96">
        <v>1700</v>
      </c>
      <c r="AT51" s="79">
        <v>1700</v>
      </c>
      <c r="AU51" s="96">
        <v>53</v>
      </c>
      <c r="AV51" s="76">
        <v>47</v>
      </c>
      <c r="AW51" s="76">
        <v>50</v>
      </c>
      <c r="AX51" s="76">
        <v>37.5</v>
      </c>
      <c r="AY51" s="76">
        <v>32.799999999999997</v>
      </c>
      <c r="AZ51" s="76">
        <v>35.384999999999998</v>
      </c>
      <c r="BA51" s="76">
        <v>53.040999999999997</v>
      </c>
      <c r="BB51" s="76">
        <v>46.55</v>
      </c>
      <c r="BC51" s="76">
        <v>50.12</v>
      </c>
      <c r="BD51" s="76">
        <v>34</v>
      </c>
      <c r="BE51" s="76" t="s">
        <v>1735</v>
      </c>
      <c r="BF51" s="76" t="s">
        <v>1736</v>
      </c>
      <c r="BG51" s="76" t="s">
        <v>1742</v>
      </c>
      <c r="BH51" s="76" t="s">
        <v>1743</v>
      </c>
      <c r="BI51" s="76">
        <v>1700</v>
      </c>
      <c r="BJ51" s="2"/>
      <c r="BK51" s="2"/>
      <c r="BL51" s="2"/>
      <c r="BM51" s="79"/>
      <c r="BN51" s="98" t="s">
        <v>2493</v>
      </c>
      <c r="BO51" s="76">
        <v>2</v>
      </c>
      <c r="BP51" s="76">
        <v>2</v>
      </c>
      <c r="BQ51" s="76">
        <v>6</v>
      </c>
      <c r="BR51" s="76" t="s">
        <v>825</v>
      </c>
      <c r="BS51" s="76" t="s">
        <v>180</v>
      </c>
      <c r="BT51" s="76" t="s">
        <v>2494</v>
      </c>
      <c r="BU51" s="99">
        <v>45492</v>
      </c>
      <c r="BV51" s="79">
        <v>35127</v>
      </c>
      <c r="BW51" s="120"/>
      <c r="BX51" s="96" t="s">
        <v>170</v>
      </c>
      <c r="BY51" s="76" t="s">
        <v>170</v>
      </c>
      <c r="CB51" s="76" t="s">
        <v>170</v>
      </c>
      <c r="CC51" s="76" t="s">
        <v>170</v>
      </c>
      <c r="CE51" s="76" t="s">
        <v>170</v>
      </c>
      <c r="CG51" s="76" t="s">
        <v>169</v>
      </c>
      <c r="CH51" s="76" t="s">
        <v>195</v>
      </c>
      <c r="CI51" s="76" t="s">
        <v>169</v>
      </c>
      <c r="CJ51" s="76" t="s">
        <v>417</v>
      </c>
      <c r="CK51" s="76" t="s">
        <v>233</v>
      </c>
      <c r="CM51" s="76">
        <v>6</v>
      </c>
      <c r="CN51" s="76" t="s">
        <v>234</v>
      </c>
      <c r="CP51" s="76">
        <v>317</v>
      </c>
      <c r="CQ51" s="76">
        <v>93</v>
      </c>
      <c r="CR51" s="76">
        <v>139</v>
      </c>
      <c r="CS51" s="76" t="s">
        <v>235</v>
      </c>
      <c r="CV51" s="76" t="s">
        <v>341</v>
      </c>
      <c r="CX51" s="76" t="s">
        <v>342</v>
      </c>
      <c r="CY51" s="76" t="s">
        <v>169</v>
      </c>
      <c r="DC51" s="76" t="s">
        <v>2547</v>
      </c>
      <c r="DD51" s="76">
        <v>1</v>
      </c>
      <c r="DE51" s="76" t="s">
        <v>404</v>
      </c>
      <c r="DF51" s="76" t="s">
        <v>2539</v>
      </c>
      <c r="DG51" s="76">
        <v>145</v>
      </c>
      <c r="DJ51" s="76" t="s">
        <v>184</v>
      </c>
      <c r="DK51" s="76" t="s">
        <v>185</v>
      </c>
      <c r="DL51" s="76" t="s">
        <v>170</v>
      </c>
      <c r="DM51" s="76" t="s">
        <v>169</v>
      </c>
      <c r="DN51" s="76" t="s">
        <v>170</v>
      </c>
      <c r="DO51" s="76" t="s">
        <v>2540</v>
      </c>
      <c r="DP51" s="76" t="s">
        <v>169</v>
      </c>
      <c r="DQ51" s="76" t="s">
        <v>198</v>
      </c>
      <c r="DS51" s="76" t="s">
        <v>2496</v>
      </c>
      <c r="DT51" s="76" t="s">
        <v>2497</v>
      </c>
      <c r="DU51" s="76" t="s">
        <v>2498</v>
      </c>
      <c r="DV51" s="76" t="s">
        <v>2499</v>
      </c>
      <c r="DY51" s="76">
        <v>35.799999999999997</v>
      </c>
      <c r="DZ51" s="79"/>
      <c r="EA51" s="101"/>
      <c r="EB51" s="96">
        <v>7</v>
      </c>
      <c r="EC51" s="76">
        <v>9</v>
      </c>
      <c r="ED51" s="79">
        <v>10</v>
      </c>
      <c r="EE51" s="76" t="s">
        <v>2548</v>
      </c>
      <c r="EF51" s="76">
        <v>6</v>
      </c>
      <c r="EH51" s="79"/>
      <c r="EM51" s="96"/>
      <c r="EP51" s="79"/>
      <c r="EQ51" s="96"/>
      <c r="ET51" s="79"/>
      <c r="EU51" s="96">
        <v>1000</v>
      </c>
      <c r="EV51" s="79"/>
      <c r="EW51" s="76">
        <v>7</v>
      </c>
      <c r="EX51" s="76">
        <v>0</v>
      </c>
      <c r="EY51" s="79">
        <v>4</v>
      </c>
      <c r="EZ51" s="102">
        <f>FI51</f>
        <v>132</v>
      </c>
      <c r="FA51" s="76">
        <v>3</v>
      </c>
      <c r="FB51" s="79"/>
      <c r="FC51" s="97">
        <v>470</v>
      </c>
      <c r="FD51" s="76">
        <v>38</v>
      </c>
      <c r="FE51" s="76">
        <v>44</v>
      </c>
      <c r="FF51" s="79">
        <v>41</v>
      </c>
      <c r="FG51" s="76">
        <v>144</v>
      </c>
      <c r="FH51" s="76">
        <v>119</v>
      </c>
      <c r="FI51" s="103">
        <v>132</v>
      </c>
      <c r="FJ51" s="104">
        <v>32.78</v>
      </c>
      <c r="FK51" s="105">
        <v>35.86</v>
      </c>
      <c r="FL51" s="79">
        <v>34</v>
      </c>
      <c r="FM51" s="76">
        <v>0.61499999999999999</v>
      </c>
      <c r="FN51" s="76">
        <v>0.64300000000000002</v>
      </c>
      <c r="FO51" s="79">
        <v>0.628</v>
      </c>
      <c r="FP51" s="106">
        <v>0.1</v>
      </c>
      <c r="FQ51" s="107">
        <v>0</v>
      </c>
      <c r="FR51" s="107">
        <v>0</v>
      </c>
      <c r="FS51" s="108">
        <v>17.2</v>
      </c>
    </row>
    <row r="52" spans="1:190" s="76" customFormat="1" x14ac:dyDescent="0.35">
      <c r="A52" s="76">
        <v>2025</v>
      </c>
      <c r="B52" s="162" t="s">
        <v>189</v>
      </c>
      <c r="C52" s="162" t="s">
        <v>189</v>
      </c>
      <c r="D52" s="162" t="s">
        <v>2545</v>
      </c>
      <c r="E52" s="162" t="s">
        <v>191</v>
      </c>
      <c r="F52" s="162">
        <v>750</v>
      </c>
      <c r="G52" s="162">
        <v>3</v>
      </c>
      <c r="H52" s="162">
        <v>6</v>
      </c>
      <c r="I52" s="163" t="s">
        <v>192</v>
      </c>
      <c r="J52" s="96">
        <f t="shared" ref="J52:R52" si="9">J51</f>
        <v>24</v>
      </c>
      <c r="K52" s="76">
        <f t="shared" si="9"/>
        <v>27</v>
      </c>
      <c r="L52" s="76">
        <f t="shared" si="9"/>
        <v>25</v>
      </c>
      <c r="M52" s="76">
        <f t="shared" si="9"/>
        <v>32.799999999999997</v>
      </c>
      <c r="N52" s="76">
        <f t="shared" si="9"/>
        <v>39.6</v>
      </c>
      <c r="O52" s="76">
        <f t="shared" si="9"/>
        <v>35.546799999999998</v>
      </c>
      <c r="P52" s="76">
        <f t="shared" si="9"/>
        <v>23.803899999999999</v>
      </c>
      <c r="Q52" s="76">
        <f t="shared" si="9"/>
        <v>26.739000000000001</v>
      </c>
      <c r="R52" s="76">
        <f t="shared" si="9"/>
        <v>25.040800000000001</v>
      </c>
      <c r="T52" s="76" t="str">
        <f>T51</f>
        <v>TC</v>
      </c>
      <c r="U52" s="76" t="str">
        <f>U51</f>
        <v>Turbocharged</v>
      </c>
      <c r="V52" s="76" t="str">
        <f>V51</f>
        <v>SA</v>
      </c>
      <c r="W52" s="76" t="str">
        <f>W51</f>
        <v>Semi-Automatic</v>
      </c>
      <c r="Y52" s="76">
        <f t="shared" ref="Y52:AD52" si="10">Y51</f>
        <v>8</v>
      </c>
      <c r="Z52" s="76" t="str">
        <f t="shared" si="10"/>
        <v>N</v>
      </c>
      <c r="AA52" s="76" t="str">
        <f t="shared" si="10"/>
        <v>N</v>
      </c>
      <c r="AB52" s="76" t="str">
        <f t="shared" si="10"/>
        <v>A</v>
      </c>
      <c r="AC52" s="76" t="str">
        <f t="shared" si="10"/>
        <v>All Wheel Drive</v>
      </c>
      <c r="AD52" s="76">
        <f t="shared" si="10"/>
        <v>10</v>
      </c>
      <c r="AF52" s="76">
        <f>AF51</f>
        <v>432</v>
      </c>
      <c r="AG52" s="76" t="str">
        <f>AG51</f>
        <v>GP</v>
      </c>
      <c r="AH52" s="76" t="str">
        <f>AH51</f>
        <v>Gasoline (Premium Unleaded Recommended)</v>
      </c>
      <c r="AI52" s="76" t="str">
        <f>AI51</f>
        <v>MPG</v>
      </c>
      <c r="AJ52" s="79" t="str">
        <f>AJ51</f>
        <v>miles per gallon</v>
      </c>
      <c r="AK52" s="96" t="s">
        <v>170</v>
      </c>
      <c r="AL52" s="76" t="s">
        <v>177</v>
      </c>
      <c r="AO52" s="76">
        <v>109</v>
      </c>
      <c r="AP52" s="76">
        <v>14</v>
      </c>
      <c r="AR52" s="79"/>
      <c r="AS52" s="96">
        <v>1700</v>
      </c>
      <c r="AT52" s="79">
        <v>1700</v>
      </c>
      <c r="AU52" s="96">
        <v>60</v>
      </c>
      <c r="AV52" s="76">
        <v>72</v>
      </c>
      <c r="AW52" s="76">
        <v>65</v>
      </c>
      <c r="AX52" s="76">
        <v>85.3</v>
      </c>
      <c r="AY52" s="76">
        <v>102.8</v>
      </c>
      <c r="AZ52" s="76">
        <v>92.376499999999993</v>
      </c>
      <c r="BA52" s="76">
        <v>59.927700000000002</v>
      </c>
      <c r="BB52" s="76">
        <v>71.974400000000003</v>
      </c>
      <c r="BC52" s="76">
        <v>64.808999999999997</v>
      </c>
      <c r="BD52" s="76">
        <v>34</v>
      </c>
      <c r="BE52" s="76" t="s">
        <v>1735</v>
      </c>
      <c r="BF52" s="76" t="s">
        <v>1736</v>
      </c>
      <c r="BG52" s="76" t="s">
        <v>175</v>
      </c>
      <c r="BH52" s="76" t="s">
        <v>176</v>
      </c>
      <c r="BI52" s="76">
        <v>1700</v>
      </c>
      <c r="BM52" s="79"/>
      <c r="BN52" s="98" t="s">
        <v>2493</v>
      </c>
      <c r="BO52" s="76">
        <v>2</v>
      </c>
      <c r="BP52" s="76">
        <v>2</v>
      </c>
      <c r="BQ52" s="76">
        <v>6</v>
      </c>
      <c r="BR52" s="76" t="s">
        <v>825</v>
      </c>
      <c r="BS52" s="76" t="s">
        <v>180</v>
      </c>
      <c r="BT52" s="76" t="s">
        <v>2494</v>
      </c>
      <c r="BU52" s="99">
        <v>45492</v>
      </c>
      <c r="BV52" s="79">
        <v>35127</v>
      </c>
      <c r="BW52" s="120"/>
      <c r="BX52" s="96" t="s">
        <v>170</v>
      </c>
      <c r="BY52" s="76" t="s">
        <v>170</v>
      </c>
      <c r="CB52" s="76" t="s">
        <v>170</v>
      </c>
      <c r="CC52" s="76" t="s">
        <v>170</v>
      </c>
      <c r="CE52" s="76" t="s">
        <v>170</v>
      </c>
      <c r="CG52" s="76" t="s">
        <v>169</v>
      </c>
      <c r="CH52" s="76" t="s">
        <v>195</v>
      </c>
      <c r="CI52" s="76" t="s">
        <v>169</v>
      </c>
      <c r="CJ52" s="76" t="s">
        <v>417</v>
      </c>
      <c r="CK52" s="76" t="s">
        <v>233</v>
      </c>
      <c r="CM52" s="76">
        <v>6</v>
      </c>
      <c r="CN52" s="76" t="s">
        <v>234</v>
      </c>
      <c r="CP52" s="76">
        <v>317</v>
      </c>
      <c r="CQ52" s="76">
        <v>93</v>
      </c>
      <c r="CR52" s="76">
        <v>139</v>
      </c>
      <c r="CS52" s="76" t="s">
        <v>235</v>
      </c>
      <c r="CV52" s="76" t="s">
        <v>341</v>
      </c>
      <c r="CX52" s="76" t="s">
        <v>342</v>
      </c>
      <c r="CY52" s="76" t="s">
        <v>169</v>
      </c>
      <c r="DC52" s="76" t="s">
        <v>2547</v>
      </c>
      <c r="DD52" s="76">
        <v>1</v>
      </c>
      <c r="DE52" s="76" t="s">
        <v>404</v>
      </c>
      <c r="DF52" s="76" t="s">
        <v>2539</v>
      </c>
      <c r="DG52" s="76">
        <v>145</v>
      </c>
      <c r="DJ52" s="76" t="s">
        <v>184</v>
      </c>
      <c r="DK52" s="76" t="s">
        <v>185</v>
      </c>
      <c r="DL52" s="76" t="s">
        <v>170</v>
      </c>
      <c r="DM52" s="76" t="s">
        <v>169</v>
      </c>
      <c r="DN52" s="76" t="s">
        <v>170</v>
      </c>
      <c r="DO52" s="76" t="s">
        <v>2540</v>
      </c>
      <c r="DP52" s="76" t="s">
        <v>169</v>
      </c>
      <c r="DQ52" s="76" t="s">
        <v>198</v>
      </c>
      <c r="DS52" s="76" t="s">
        <v>2496</v>
      </c>
      <c r="DT52" s="76" t="s">
        <v>2497</v>
      </c>
      <c r="DU52" s="76" t="s">
        <v>2498</v>
      </c>
      <c r="DV52" s="76" t="s">
        <v>2499</v>
      </c>
      <c r="DZ52" s="79"/>
      <c r="EA52" s="101"/>
      <c r="EB52" s="96">
        <v>7</v>
      </c>
      <c r="EC52" s="76">
        <v>9</v>
      </c>
      <c r="ED52" s="79">
        <v>10</v>
      </c>
      <c r="EE52" s="76" t="s">
        <v>2548</v>
      </c>
      <c r="EF52" s="76">
        <v>6</v>
      </c>
      <c r="EH52" s="79"/>
      <c r="EM52" s="96"/>
      <c r="EP52" s="79"/>
      <c r="EQ52" s="96"/>
      <c r="ET52" s="79"/>
      <c r="EU52" s="96">
        <v>1000</v>
      </c>
      <c r="EV52" s="79"/>
      <c r="EW52" s="76">
        <v>368</v>
      </c>
      <c r="EX52" s="76">
        <v>328</v>
      </c>
      <c r="EY52" s="79">
        <v>350</v>
      </c>
      <c r="EZ52" s="102">
        <f>FI52</f>
        <v>132</v>
      </c>
      <c r="FA52" s="76">
        <v>3</v>
      </c>
      <c r="FB52" s="79"/>
      <c r="FC52" s="97">
        <v>470</v>
      </c>
      <c r="FD52" s="76">
        <v>38</v>
      </c>
      <c r="FE52" s="76">
        <v>44</v>
      </c>
      <c r="FF52" s="79">
        <v>41</v>
      </c>
      <c r="FG52" s="76">
        <v>144</v>
      </c>
      <c r="FH52" s="76">
        <v>119</v>
      </c>
      <c r="FI52" s="103">
        <v>132</v>
      </c>
      <c r="FJ52" s="118" t="s">
        <v>2501</v>
      </c>
      <c r="FK52" s="119"/>
      <c r="FL52" s="117"/>
      <c r="FM52" s="76">
        <v>0.61499999999999999</v>
      </c>
      <c r="FN52" s="76">
        <v>0.64300000000000002</v>
      </c>
      <c r="FO52" s="79">
        <v>0.628</v>
      </c>
      <c r="FP52" s="106"/>
      <c r="FQ52" s="107"/>
      <c r="FR52" s="107"/>
      <c r="FS52" s="108">
        <v>17.2</v>
      </c>
    </row>
    <row r="53" spans="1:190" s="77" customFormat="1" x14ac:dyDescent="0.35">
      <c r="A53" s="76"/>
      <c r="E53" s="76"/>
      <c r="F53" s="76"/>
      <c r="G53" s="78"/>
      <c r="H53" s="76"/>
      <c r="I53" s="79"/>
      <c r="J53" s="80"/>
      <c r="K53" s="28"/>
      <c r="L53" s="28"/>
      <c r="M53" s="25" t="str">
        <f>_xlfn.CONCAT(A54," ",C54," ",D54)</f>
        <v>2025 BMW X5 xDrive50e</v>
      </c>
      <c r="N53" s="28"/>
      <c r="O53" s="28"/>
      <c r="P53" s="28"/>
      <c r="Q53" s="28"/>
      <c r="R53" s="28"/>
      <c r="S53" s="28"/>
      <c r="T53" s="28"/>
      <c r="U53" s="28"/>
      <c r="V53" s="28"/>
      <c r="W53" s="28"/>
      <c r="X53" s="28"/>
      <c r="Y53" s="28"/>
      <c r="Z53" s="28"/>
      <c r="AA53" s="28"/>
      <c r="AB53" s="28"/>
      <c r="AC53" s="28"/>
      <c r="AD53" s="25" t="str">
        <f>$M53</f>
        <v>2025 BMW X5 xDrive50e</v>
      </c>
      <c r="AE53" s="28"/>
      <c r="AF53" s="28"/>
      <c r="AG53" s="28"/>
      <c r="AH53" s="28"/>
      <c r="AI53" s="28"/>
      <c r="AJ53" s="81"/>
      <c r="AK53" s="82"/>
      <c r="AL53" s="2"/>
      <c r="AM53" s="2"/>
      <c r="AN53" s="2"/>
      <c r="AO53" s="2"/>
      <c r="AP53" s="2"/>
      <c r="AQ53" s="2"/>
      <c r="AR53" s="83"/>
      <c r="AS53" s="84"/>
      <c r="AT53" s="85" t="str">
        <f>$M53</f>
        <v>2025 BMW X5 xDrive50e</v>
      </c>
      <c r="AU53" s="84"/>
      <c r="AV53" s="28"/>
      <c r="AW53" s="28"/>
      <c r="AX53" s="28"/>
      <c r="AY53" s="28"/>
      <c r="AZ53" s="28"/>
      <c r="BA53" s="28"/>
      <c r="BB53" s="28"/>
      <c r="BC53" s="28"/>
      <c r="BD53" s="28"/>
      <c r="BE53" s="28"/>
      <c r="BF53" s="28"/>
      <c r="BG53" s="28"/>
      <c r="BH53" s="28"/>
      <c r="BI53" s="25" t="str">
        <f>$M53</f>
        <v>2025 BMW X5 xDrive50e</v>
      </c>
      <c r="BJ53" s="28"/>
      <c r="BK53" s="28"/>
      <c r="BL53" s="28"/>
      <c r="BM53" s="81"/>
      <c r="BN53" s="82"/>
      <c r="BO53" s="2"/>
      <c r="BP53" s="2"/>
      <c r="BQ53" s="2"/>
      <c r="BR53" s="2"/>
      <c r="BS53" s="2"/>
      <c r="BT53" s="86"/>
      <c r="BU53" s="2"/>
      <c r="BV53" s="83"/>
      <c r="BW53" s="121"/>
      <c r="BX53" s="84"/>
      <c r="BY53" s="25" t="str">
        <f>$M53</f>
        <v>2025 BMW X5 xDrive50e</v>
      </c>
      <c r="BZ53" s="28"/>
      <c r="CA53" s="28"/>
      <c r="CB53" s="28"/>
      <c r="CC53" s="28"/>
      <c r="CD53" s="28"/>
      <c r="CE53" s="88"/>
      <c r="CF53" s="28"/>
      <c r="CG53" s="28"/>
      <c r="CH53" s="28"/>
      <c r="CI53" s="28"/>
      <c r="CJ53" s="28"/>
      <c r="CK53" s="28"/>
      <c r="CL53" s="28"/>
      <c r="CM53" s="28"/>
      <c r="CN53" s="28"/>
      <c r="CO53" s="25" t="str">
        <f>$M53</f>
        <v>2025 BMW X5 xDrive50e</v>
      </c>
      <c r="CP53" s="28"/>
      <c r="CQ53" s="28"/>
      <c r="CR53" s="28"/>
      <c r="CS53" s="28"/>
      <c r="CT53" s="28"/>
      <c r="CU53" s="28"/>
      <c r="CV53" s="28"/>
      <c r="CW53" s="28"/>
      <c r="CX53" s="28"/>
      <c r="CY53" s="28"/>
      <c r="CZ53" s="28"/>
      <c r="DA53" s="28"/>
      <c r="DB53" s="28"/>
      <c r="DC53" s="28"/>
      <c r="DD53" s="28"/>
      <c r="DE53" s="28"/>
      <c r="DF53" s="25" t="str">
        <f>$M53</f>
        <v>2025 BMW X5 xDrive50e</v>
      </c>
      <c r="DG53" s="28"/>
      <c r="DH53" s="28"/>
      <c r="DI53" s="28"/>
      <c r="DJ53" s="28"/>
      <c r="DK53" s="28"/>
      <c r="DL53" s="28"/>
      <c r="DM53" s="28"/>
      <c r="DN53" s="28"/>
      <c r="DO53" s="28"/>
      <c r="DP53" s="28"/>
      <c r="DQ53" s="28"/>
      <c r="DR53" s="25"/>
      <c r="DS53" s="25"/>
      <c r="DT53" s="25"/>
      <c r="DU53" s="25"/>
      <c r="DV53" s="25"/>
      <c r="DW53" s="25" t="str">
        <f>$M53</f>
        <v>2025 BMW X5 xDrive50e</v>
      </c>
      <c r="DX53" s="25"/>
      <c r="DY53" s="25"/>
      <c r="DZ53" s="85"/>
      <c r="EA53" s="89"/>
      <c r="EB53" s="80"/>
      <c r="EC53" s="25"/>
      <c r="ED53" s="85"/>
      <c r="EE53" s="25"/>
      <c r="EF53" s="25"/>
      <c r="EG53" s="25"/>
      <c r="EH53" s="85"/>
      <c r="EI53" s="80"/>
      <c r="EK53" t="s">
        <v>2445</v>
      </c>
      <c r="EL53" s="25" t="str">
        <f>$M53</f>
        <v>2025 BMW X5 xDrive50e</v>
      </c>
      <c r="EM53" s="80"/>
      <c r="EP53" s="75"/>
      <c r="EQ53" s="90"/>
      <c r="ET53" s="75"/>
      <c r="EU53" s="90"/>
      <c r="EV53" s="75"/>
      <c r="EY53" s="75"/>
      <c r="EZ53" s="102"/>
      <c r="FA53" s="25" t="str">
        <f>$M53</f>
        <v>2025 BMW X5 xDrive50e</v>
      </c>
      <c r="FB53" s="75"/>
      <c r="FC53" s="91"/>
      <c r="FD53" s="25"/>
      <c r="FE53" s="25"/>
      <c r="FF53" s="85"/>
      <c r="FG53" s="25"/>
      <c r="FH53" s="25"/>
      <c r="FI53" s="85"/>
      <c r="FJ53" s="80"/>
      <c r="FK53" s="25"/>
      <c r="FL53" s="85"/>
      <c r="FM53" s="25" t="str">
        <f>$M53</f>
        <v>2025 BMW X5 xDrive50e</v>
      </c>
      <c r="FN53" s="25"/>
      <c r="FO53" s="85"/>
      <c r="FP53" s="92"/>
      <c r="FQ53" s="93"/>
      <c r="FR53" s="94"/>
      <c r="FS53" s="95"/>
      <c r="FT53" s="25"/>
      <c r="FU53" s="25"/>
      <c r="FV53" s="25"/>
      <c r="FW53" s="25"/>
      <c r="FX53" s="25"/>
      <c r="FY53" s="25"/>
      <c r="FZ53" s="25"/>
      <c r="GA53" s="25"/>
      <c r="GB53" s="25"/>
      <c r="GC53" s="25"/>
      <c r="GD53" s="25"/>
      <c r="GE53" s="25"/>
      <c r="GF53" s="25"/>
      <c r="GG53" s="25"/>
      <c r="GH53" s="25"/>
    </row>
    <row r="54" spans="1:190" s="76" customFormat="1" x14ac:dyDescent="0.35">
      <c r="A54" s="76">
        <v>2025</v>
      </c>
      <c r="B54" s="76" t="s">
        <v>189</v>
      </c>
      <c r="C54" s="76" t="s">
        <v>189</v>
      </c>
      <c r="D54" s="76" t="s">
        <v>2549</v>
      </c>
      <c r="E54" s="76" t="s">
        <v>191</v>
      </c>
      <c r="F54" s="76">
        <v>576</v>
      </c>
      <c r="G54" s="78">
        <v>3</v>
      </c>
      <c r="H54" s="76">
        <v>6</v>
      </c>
      <c r="I54" s="79" t="s">
        <v>192</v>
      </c>
      <c r="J54" s="96">
        <v>22</v>
      </c>
      <c r="K54" s="76">
        <v>23</v>
      </c>
      <c r="L54" s="76">
        <v>22</v>
      </c>
      <c r="M54" s="76">
        <v>30.3</v>
      </c>
      <c r="N54" s="76">
        <v>36</v>
      </c>
      <c r="O54" s="76">
        <v>32.624499999999998</v>
      </c>
      <c r="P54" s="76">
        <v>21.559799999999999</v>
      </c>
      <c r="Q54" s="76">
        <v>23.003299999999999</v>
      </c>
      <c r="R54" s="76">
        <v>22.186299999999999</v>
      </c>
      <c r="T54" s="76" t="s">
        <v>165</v>
      </c>
      <c r="U54" s="76" t="s">
        <v>166</v>
      </c>
      <c r="V54" s="76" t="s">
        <v>193</v>
      </c>
      <c r="W54" s="76" t="s">
        <v>194</v>
      </c>
      <c r="Y54" s="76">
        <v>8</v>
      </c>
      <c r="Z54" s="76" t="s">
        <v>170</v>
      </c>
      <c r="AA54" s="76" t="s">
        <v>170</v>
      </c>
      <c r="AB54" s="76" t="s">
        <v>167</v>
      </c>
      <c r="AC54" s="76" t="s">
        <v>213</v>
      </c>
      <c r="AD54" s="76">
        <v>10</v>
      </c>
      <c r="AF54" s="76">
        <v>404</v>
      </c>
      <c r="AG54" s="76" t="s">
        <v>173</v>
      </c>
      <c r="AH54" s="76" t="s">
        <v>174</v>
      </c>
      <c r="AI54" s="76" t="s">
        <v>175</v>
      </c>
      <c r="AJ54" s="79" t="s">
        <v>176</v>
      </c>
      <c r="AK54" s="96" t="s">
        <v>940</v>
      </c>
      <c r="AL54" s="76" t="s">
        <v>941</v>
      </c>
      <c r="AR54" s="79"/>
      <c r="AS54" s="96">
        <v>1900</v>
      </c>
      <c r="AT54" s="79">
        <v>1900</v>
      </c>
      <c r="AU54" s="96">
        <v>59</v>
      </c>
      <c r="AV54" s="76">
        <v>57</v>
      </c>
      <c r="AW54" s="76">
        <v>58</v>
      </c>
      <c r="AX54" s="76">
        <v>41.4</v>
      </c>
      <c r="AY54" s="76">
        <v>39.700000000000003</v>
      </c>
      <c r="AZ54" s="76">
        <v>40.634999999999998</v>
      </c>
      <c r="BA54" s="76">
        <v>58.661000000000001</v>
      </c>
      <c r="BB54" s="76">
        <v>56.612000000000002</v>
      </c>
      <c r="BC54" s="76">
        <v>57.738999999999997</v>
      </c>
      <c r="BD54" s="76">
        <v>39</v>
      </c>
      <c r="BE54" s="76" t="s">
        <v>1735</v>
      </c>
      <c r="BF54" s="76" t="s">
        <v>1736</v>
      </c>
      <c r="BG54" s="76" t="s">
        <v>1742</v>
      </c>
      <c r="BH54" s="76" t="s">
        <v>1743</v>
      </c>
      <c r="BI54" s="76">
        <v>1900</v>
      </c>
      <c r="BJ54" s="2"/>
      <c r="BK54" s="2"/>
      <c r="BL54" s="2"/>
      <c r="BM54" s="79"/>
      <c r="BN54" s="98" t="s">
        <v>2493</v>
      </c>
      <c r="BO54" s="76">
        <v>2</v>
      </c>
      <c r="BP54" s="76">
        <v>2</v>
      </c>
      <c r="BQ54" s="76">
        <v>33</v>
      </c>
      <c r="BR54" s="76" t="s">
        <v>1497</v>
      </c>
      <c r="BT54" s="76" t="s">
        <v>2494</v>
      </c>
      <c r="BU54" s="99">
        <v>45383</v>
      </c>
      <c r="BV54" s="79">
        <v>34550</v>
      </c>
      <c r="BW54" s="120"/>
      <c r="BX54" s="96" t="s">
        <v>170</v>
      </c>
      <c r="BY54" s="76" t="s">
        <v>170</v>
      </c>
      <c r="CB54" s="76" t="s">
        <v>170</v>
      </c>
      <c r="CC54" s="76" t="s">
        <v>170</v>
      </c>
      <c r="CE54" s="76" t="s">
        <v>170</v>
      </c>
      <c r="CG54" s="76" t="s">
        <v>169</v>
      </c>
      <c r="CH54" s="76" t="s">
        <v>195</v>
      </c>
      <c r="CI54" s="76" t="s">
        <v>169</v>
      </c>
      <c r="CJ54" s="76" t="s">
        <v>417</v>
      </c>
      <c r="CK54" s="76" t="s">
        <v>233</v>
      </c>
      <c r="CM54" s="76">
        <v>6</v>
      </c>
      <c r="CN54" s="76" t="s">
        <v>234</v>
      </c>
      <c r="CP54" s="76">
        <v>317</v>
      </c>
      <c r="CQ54" s="76">
        <v>93</v>
      </c>
      <c r="CR54" s="76">
        <v>139</v>
      </c>
      <c r="CS54" s="76" t="s">
        <v>235</v>
      </c>
      <c r="CV54" s="76" t="s">
        <v>341</v>
      </c>
      <c r="CX54" s="76" t="s">
        <v>342</v>
      </c>
      <c r="CY54" s="76" t="s">
        <v>169</v>
      </c>
      <c r="DC54" s="76" t="s">
        <v>2547</v>
      </c>
      <c r="DD54" s="76">
        <v>1</v>
      </c>
      <c r="DE54" s="76" t="s">
        <v>404</v>
      </c>
      <c r="DF54" s="76" t="s">
        <v>2539</v>
      </c>
      <c r="DG54" s="76">
        <v>145</v>
      </c>
      <c r="DJ54" s="76" t="s">
        <v>184</v>
      </c>
      <c r="DK54" s="76" t="s">
        <v>185</v>
      </c>
      <c r="DL54" s="76" t="s">
        <v>170</v>
      </c>
      <c r="DM54" s="76" t="s">
        <v>169</v>
      </c>
      <c r="DN54" s="76" t="s">
        <v>170</v>
      </c>
      <c r="DO54" s="76" t="s">
        <v>2540</v>
      </c>
      <c r="DP54" s="76" t="s">
        <v>169</v>
      </c>
      <c r="DQ54" s="76" t="s">
        <v>198</v>
      </c>
      <c r="DS54" s="76" t="s">
        <v>2496</v>
      </c>
      <c r="DT54" s="76" t="s">
        <v>2497</v>
      </c>
      <c r="DU54" s="76" t="s">
        <v>2498</v>
      </c>
      <c r="DV54" s="76" t="s">
        <v>2499</v>
      </c>
      <c r="DZ54" s="79"/>
      <c r="EA54" s="101"/>
      <c r="EB54" s="96">
        <v>7</v>
      </c>
      <c r="EC54" s="76">
        <v>9</v>
      </c>
      <c r="ED54" s="79"/>
      <c r="EE54" s="76" t="s">
        <v>2548</v>
      </c>
      <c r="EF54" s="76">
        <v>6</v>
      </c>
      <c r="EH54" s="79"/>
      <c r="EI54" s="96"/>
      <c r="EM54" s="96"/>
      <c r="EP54" s="79"/>
      <c r="EQ54" s="96"/>
      <c r="ET54" s="79"/>
      <c r="EU54" s="96">
        <v>0</v>
      </c>
      <c r="EV54" s="79"/>
      <c r="EW54" s="76">
        <v>0</v>
      </c>
      <c r="EX54" s="76">
        <v>0</v>
      </c>
      <c r="EY54" s="79">
        <v>0</v>
      </c>
      <c r="EZ54" s="102">
        <f>FI54</f>
        <v>130</v>
      </c>
      <c r="FA54" s="76">
        <v>5</v>
      </c>
      <c r="FB54" s="79"/>
      <c r="FC54" s="97">
        <v>440</v>
      </c>
      <c r="FD54" s="96">
        <v>37</v>
      </c>
      <c r="FE54" s="76">
        <v>39</v>
      </c>
      <c r="FF54" s="79">
        <v>38</v>
      </c>
      <c r="FG54" s="76">
        <v>135</v>
      </c>
      <c r="FH54" s="76">
        <v>125</v>
      </c>
      <c r="FI54" s="103">
        <v>130</v>
      </c>
      <c r="FJ54" s="104">
        <v>39.020000000000003</v>
      </c>
      <c r="FK54" s="105">
        <v>39.46</v>
      </c>
      <c r="FL54" s="79">
        <v>39</v>
      </c>
      <c r="FM54" s="76">
        <v>0.67</v>
      </c>
      <c r="FN54" s="76">
        <v>0.67300000000000004</v>
      </c>
      <c r="FO54" s="79">
        <v>0.67100000000000004</v>
      </c>
      <c r="FP54" s="106">
        <v>0</v>
      </c>
      <c r="FQ54" s="107">
        <v>0</v>
      </c>
      <c r="FR54" s="107">
        <v>0</v>
      </c>
      <c r="FS54" s="108">
        <v>18.2</v>
      </c>
    </row>
    <row r="55" spans="1:190" s="76" customFormat="1" x14ac:dyDescent="0.35">
      <c r="A55" s="76">
        <v>2025</v>
      </c>
      <c r="B55" s="162" t="s">
        <v>189</v>
      </c>
      <c r="C55" s="162" t="s">
        <v>189</v>
      </c>
      <c r="D55" s="162" t="s">
        <v>2549</v>
      </c>
      <c r="E55" s="162" t="s">
        <v>191</v>
      </c>
      <c r="F55" s="162">
        <v>576</v>
      </c>
      <c r="G55" s="162">
        <v>3</v>
      </c>
      <c r="H55" s="162">
        <v>6</v>
      </c>
      <c r="I55" s="163" t="s">
        <v>192</v>
      </c>
      <c r="J55" s="96">
        <f t="shared" ref="J55:R55" si="11">J54</f>
        <v>22</v>
      </c>
      <c r="K55" s="76">
        <f t="shared" si="11"/>
        <v>23</v>
      </c>
      <c r="L55" s="76">
        <f t="shared" si="11"/>
        <v>22</v>
      </c>
      <c r="M55" s="76">
        <f t="shared" si="11"/>
        <v>30.3</v>
      </c>
      <c r="N55" s="76">
        <f t="shared" si="11"/>
        <v>36</v>
      </c>
      <c r="O55" s="76">
        <f t="shared" si="11"/>
        <v>32.624499999999998</v>
      </c>
      <c r="P55" s="76">
        <f t="shared" si="11"/>
        <v>21.559799999999999</v>
      </c>
      <c r="Q55" s="76">
        <f t="shared" si="11"/>
        <v>23.003299999999999</v>
      </c>
      <c r="R55" s="76">
        <f t="shared" si="11"/>
        <v>22.186299999999999</v>
      </c>
      <c r="T55" s="76" t="str">
        <f>T54</f>
        <v>TC</v>
      </c>
      <c r="U55" s="76" t="str">
        <f>U54</f>
        <v>Turbocharged</v>
      </c>
      <c r="V55" s="76" t="str">
        <f>V54</f>
        <v>SA</v>
      </c>
      <c r="W55" s="76" t="str">
        <f>W54</f>
        <v>Semi-Automatic</v>
      </c>
      <c r="Y55" s="76">
        <f t="shared" ref="Y55:AD55" si="12">Y54</f>
        <v>8</v>
      </c>
      <c r="Z55" s="76" t="str">
        <f t="shared" si="12"/>
        <v>N</v>
      </c>
      <c r="AA55" s="76" t="str">
        <f t="shared" si="12"/>
        <v>N</v>
      </c>
      <c r="AB55" s="76" t="str">
        <f t="shared" si="12"/>
        <v>A</v>
      </c>
      <c r="AC55" s="76" t="str">
        <f t="shared" si="12"/>
        <v>All Wheel Drive</v>
      </c>
      <c r="AD55" s="76">
        <f t="shared" si="12"/>
        <v>10</v>
      </c>
      <c r="AF55" s="76">
        <f>AF54</f>
        <v>404</v>
      </c>
      <c r="AG55" s="76" t="str">
        <f>AG54</f>
        <v>GP</v>
      </c>
      <c r="AH55" s="76" t="str">
        <f>AH54</f>
        <v>Gasoline (Premium Unleaded Recommended)</v>
      </c>
      <c r="AI55" s="76" t="str">
        <f>AI54</f>
        <v>MPG</v>
      </c>
      <c r="AJ55" s="79" t="str">
        <f>AJ54</f>
        <v>miles per gallon</v>
      </c>
      <c r="AK55" s="96" t="s">
        <v>940</v>
      </c>
      <c r="AL55" s="76" t="s">
        <v>941</v>
      </c>
      <c r="AR55" s="79"/>
      <c r="AS55" s="96">
        <v>1900</v>
      </c>
      <c r="AT55" s="79">
        <v>1900</v>
      </c>
      <c r="AU55" s="96">
        <v>57</v>
      </c>
      <c r="AV55" s="76">
        <v>59</v>
      </c>
      <c r="AW55" s="76">
        <v>58</v>
      </c>
      <c r="AX55" s="76">
        <v>81.400000000000006</v>
      </c>
      <c r="AY55" s="76">
        <v>84.9</v>
      </c>
      <c r="AZ55" s="76">
        <v>82.938599999999994</v>
      </c>
      <c r="BA55" s="76">
        <v>57.286900000000003</v>
      </c>
      <c r="BB55" s="76">
        <v>59.402900000000002</v>
      </c>
      <c r="BC55" s="76">
        <v>58.220100000000002</v>
      </c>
      <c r="BD55" s="76">
        <v>39</v>
      </c>
      <c r="BE55" s="76" t="s">
        <v>1735</v>
      </c>
      <c r="BF55" s="76" t="s">
        <v>1736</v>
      </c>
      <c r="BG55" s="76" t="s">
        <v>175</v>
      </c>
      <c r="BH55" s="76" t="s">
        <v>176</v>
      </c>
      <c r="BI55" s="76">
        <v>1900</v>
      </c>
      <c r="BM55" s="79"/>
      <c r="BN55" s="98" t="s">
        <v>2493</v>
      </c>
      <c r="BO55" s="76">
        <v>2</v>
      </c>
      <c r="BP55" s="76">
        <v>2</v>
      </c>
      <c r="BQ55" s="76">
        <v>33</v>
      </c>
      <c r="BR55" s="76" t="s">
        <v>1497</v>
      </c>
      <c r="BT55" s="76" t="s">
        <v>2494</v>
      </c>
      <c r="BU55" s="99">
        <v>45383</v>
      </c>
      <c r="BV55" s="79">
        <v>34550</v>
      </c>
      <c r="BW55" s="120"/>
      <c r="BX55" s="96" t="s">
        <v>170</v>
      </c>
      <c r="BY55" s="76" t="s">
        <v>170</v>
      </c>
      <c r="CB55" s="76" t="s">
        <v>170</v>
      </c>
      <c r="CC55" s="76" t="s">
        <v>170</v>
      </c>
      <c r="CE55" s="76" t="s">
        <v>170</v>
      </c>
      <c r="CG55" s="76" t="s">
        <v>169</v>
      </c>
      <c r="CH55" s="76" t="s">
        <v>195</v>
      </c>
      <c r="CI55" s="76" t="s">
        <v>169</v>
      </c>
      <c r="CJ55" s="76" t="s">
        <v>417</v>
      </c>
      <c r="CK55" s="76" t="s">
        <v>233</v>
      </c>
      <c r="CM55" s="76">
        <v>6</v>
      </c>
      <c r="CN55" s="76" t="s">
        <v>234</v>
      </c>
      <c r="CP55" s="76">
        <v>317</v>
      </c>
      <c r="CQ55" s="76">
        <v>93</v>
      </c>
      <c r="CR55" s="76">
        <v>139</v>
      </c>
      <c r="CS55" s="76" t="s">
        <v>235</v>
      </c>
      <c r="CV55" s="76" t="s">
        <v>341</v>
      </c>
      <c r="CX55" s="76" t="s">
        <v>342</v>
      </c>
      <c r="CY55" s="76" t="s">
        <v>169</v>
      </c>
      <c r="DC55" s="76" t="s">
        <v>2547</v>
      </c>
      <c r="DD55" s="76">
        <v>1</v>
      </c>
      <c r="DE55" s="76" t="s">
        <v>404</v>
      </c>
      <c r="DF55" s="76" t="s">
        <v>2539</v>
      </c>
      <c r="DG55" s="76">
        <v>145</v>
      </c>
      <c r="DJ55" s="76" t="s">
        <v>184</v>
      </c>
      <c r="DK55" s="76" t="s">
        <v>185</v>
      </c>
      <c r="DL55" s="76" t="s">
        <v>170</v>
      </c>
      <c r="DM55" s="76" t="s">
        <v>169</v>
      </c>
      <c r="DN55" s="76" t="s">
        <v>170</v>
      </c>
      <c r="DO55" s="76" t="s">
        <v>2540</v>
      </c>
      <c r="DP55" s="76" t="s">
        <v>169</v>
      </c>
      <c r="DQ55" s="76" t="s">
        <v>198</v>
      </c>
      <c r="DS55" s="76" t="s">
        <v>2496</v>
      </c>
      <c r="DT55" s="76" t="s">
        <v>2497</v>
      </c>
      <c r="DU55" s="76" t="s">
        <v>2498</v>
      </c>
      <c r="DV55" s="76" t="s">
        <v>2499</v>
      </c>
      <c r="DZ55" s="79"/>
      <c r="EA55" s="101"/>
      <c r="EB55" s="96">
        <v>7</v>
      </c>
      <c r="EC55" s="76">
        <v>9</v>
      </c>
      <c r="ED55" s="79"/>
      <c r="EE55" s="76" t="s">
        <v>2548</v>
      </c>
      <c r="EF55" s="76">
        <v>6</v>
      </c>
      <c r="EH55" s="79"/>
      <c r="EI55" s="96"/>
      <c r="EM55" s="96"/>
      <c r="EP55" s="79"/>
      <c r="EQ55" s="96"/>
      <c r="ET55" s="79"/>
      <c r="EU55" s="96">
        <v>0</v>
      </c>
      <c r="EV55" s="79"/>
      <c r="EW55" s="96">
        <v>406</v>
      </c>
      <c r="EX55" s="76">
        <v>380</v>
      </c>
      <c r="EY55" s="79">
        <v>394</v>
      </c>
      <c r="EZ55" s="103">
        <f>FI55</f>
        <v>130</v>
      </c>
      <c r="FA55" s="76">
        <v>5</v>
      </c>
      <c r="FB55" s="79"/>
      <c r="FC55" s="97">
        <v>440</v>
      </c>
      <c r="FD55" s="96">
        <v>37</v>
      </c>
      <c r="FE55" s="76">
        <v>39</v>
      </c>
      <c r="FF55" s="79">
        <v>38</v>
      </c>
      <c r="FG55" s="76">
        <v>135</v>
      </c>
      <c r="FH55" s="76">
        <v>125</v>
      </c>
      <c r="FI55" s="103">
        <v>130</v>
      </c>
      <c r="FJ55" s="98" t="s">
        <v>2550</v>
      </c>
      <c r="FK55" s="111"/>
      <c r="FL55" s="103"/>
      <c r="FM55" s="76">
        <v>0.67</v>
      </c>
      <c r="FN55" s="76">
        <v>0.67300000000000004</v>
      </c>
      <c r="FO55" s="79">
        <v>0.67100000000000004</v>
      </c>
      <c r="FP55" s="106"/>
      <c r="FQ55" s="107"/>
      <c r="FR55" s="107"/>
      <c r="FS55" s="108">
        <v>18.2</v>
      </c>
    </row>
    <row r="56" spans="1:190" s="77" customFormat="1" x14ac:dyDescent="0.35">
      <c r="A56" s="76"/>
      <c r="E56" s="76"/>
      <c r="F56" s="76"/>
      <c r="G56" s="78"/>
      <c r="H56" s="76"/>
      <c r="I56" s="79"/>
      <c r="J56" s="80"/>
      <c r="K56" s="28"/>
      <c r="L56" s="28"/>
      <c r="M56" s="25" t="str">
        <f>_xlfn.CONCAT(A57," ",C57," ",D57)</f>
        <v>2025 BMW XM</v>
      </c>
      <c r="N56" s="28"/>
      <c r="O56" s="28"/>
      <c r="P56" s="28"/>
      <c r="Q56" s="28"/>
      <c r="R56" s="28"/>
      <c r="S56" s="28"/>
      <c r="T56" s="28"/>
      <c r="U56" s="28"/>
      <c r="V56" s="28"/>
      <c r="W56" s="28"/>
      <c r="X56" s="28"/>
      <c r="Y56" s="28"/>
      <c r="Z56" s="28"/>
      <c r="AA56" s="28"/>
      <c r="AB56" s="28"/>
      <c r="AC56" s="28"/>
      <c r="AD56" s="25" t="str">
        <f>$M56</f>
        <v>2025 BMW XM</v>
      </c>
      <c r="AE56" s="28"/>
      <c r="AF56" s="28"/>
      <c r="AG56" s="28"/>
      <c r="AH56" s="28"/>
      <c r="AI56" s="28"/>
      <c r="AJ56" s="81"/>
      <c r="AK56" s="82"/>
      <c r="AL56" s="2"/>
      <c r="AM56" s="2"/>
      <c r="AN56" s="2"/>
      <c r="AO56" s="2"/>
      <c r="AP56" s="2"/>
      <c r="AQ56" s="2"/>
      <c r="AR56" s="83"/>
      <c r="AS56" s="84"/>
      <c r="AT56" s="85" t="str">
        <f>$M56</f>
        <v>2025 BMW XM</v>
      </c>
      <c r="AU56" s="84"/>
      <c r="AV56" s="28"/>
      <c r="AW56" s="28"/>
      <c r="AX56" s="28"/>
      <c r="AY56" s="28"/>
      <c r="AZ56" s="28"/>
      <c r="BA56" s="28"/>
      <c r="BB56" s="28"/>
      <c r="BC56" s="28"/>
      <c r="BD56" s="28"/>
      <c r="BE56" s="28"/>
      <c r="BF56" s="28"/>
      <c r="BG56" s="28"/>
      <c r="BH56" s="28"/>
      <c r="BI56" s="25" t="str">
        <f>$M56</f>
        <v>2025 BMW XM</v>
      </c>
      <c r="BJ56" s="28"/>
      <c r="BK56" s="28"/>
      <c r="BL56" s="28"/>
      <c r="BM56" s="81"/>
      <c r="BN56" s="82"/>
      <c r="BO56" s="2"/>
      <c r="BP56" s="2"/>
      <c r="BQ56" s="2"/>
      <c r="BR56" s="2"/>
      <c r="BS56" s="2"/>
      <c r="BT56" s="86"/>
      <c r="BU56" s="2"/>
      <c r="BV56" s="83"/>
      <c r="BW56" s="121"/>
      <c r="BX56" s="84"/>
      <c r="BY56" s="25" t="str">
        <f>$M56</f>
        <v>2025 BMW XM</v>
      </c>
      <c r="BZ56" s="28"/>
      <c r="CA56" s="28"/>
      <c r="CB56" s="28"/>
      <c r="CC56" s="28"/>
      <c r="CD56" s="28"/>
      <c r="CE56" s="88"/>
      <c r="CF56" s="28"/>
      <c r="CG56" s="28"/>
      <c r="CH56" s="28"/>
      <c r="CI56" s="28"/>
      <c r="CJ56" s="28"/>
      <c r="CK56" s="28"/>
      <c r="CL56" s="28"/>
      <c r="CM56" s="28"/>
      <c r="CN56" s="28"/>
      <c r="CO56" s="25" t="str">
        <f>$M56</f>
        <v>2025 BMW XM</v>
      </c>
      <c r="CP56" s="28"/>
      <c r="CQ56" s="28"/>
      <c r="CR56" s="28"/>
      <c r="CS56" s="28"/>
      <c r="CT56" s="28"/>
      <c r="CU56" s="28"/>
      <c r="CV56" s="28"/>
      <c r="CW56" s="28"/>
      <c r="CX56" s="28"/>
      <c r="CY56" s="28"/>
      <c r="CZ56" s="28"/>
      <c r="DA56" s="28"/>
      <c r="DB56" s="28"/>
      <c r="DC56" s="28"/>
      <c r="DD56" s="28"/>
      <c r="DE56" s="28"/>
      <c r="DF56" s="25" t="str">
        <f>$M56</f>
        <v>2025 BMW XM</v>
      </c>
      <c r="DG56" s="28"/>
      <c r="DH56" s="28"/>
      <c r="DI56" s="28"/>
      <c r="DJ56" s="28"/>
      <c r="DK56" s="28"/>
      <c r="DL56" s="28"/>
      <c r="DM56" s="28"/>
      <c r="DN56" s="28"/>
      <c r="DO56" s="28"/>
      <c r="DP56" s="28"/>
      <c r="DQ56" s="28"/>
      <c r="DR56" s="25"/>
      <c r="DS56" s="25"/>
      <c r="DT56" s="25"/>
      <c r="DU56" s="25"/>
      <c r="DV56" s="25"/>
      <c r="DW56" s="25" t="str">
        <f>$M56</f>
        <v>2025 BMW XM</v>
      </c>
      <c r="DX56" s="25"/>
      <c r="DY56" s="25"/>
      <c r="DZ56" s="85"/>
      <c r="EA56" s="89"/>
      <c r="EB56" s="80"/>
      <c r="EC56" s="25"/>
      <c r="ED56" s="85"/>
      <c r="EE56" s="25"/>
      <c r="EF56" s="25"/>
      <c r="EG56" s="25"/>
      <c r="EH56" s="85"/>
      <c r="EI56" s="80"/>
      <c r="EK56" t="s">
        <v>2445</v>
      </c>
      <c r="EL56" s="25" t="str">
        <f>$M56</f>
        <v>2025 BMW XM</v>
      </c>
      <c r="EM56" s="80"/>
      <c r="EP56" s="75"/>
      <c r="EQ56" s="90"/>
      <c r="ET56" s="75"/>
      <c r="EU56" s="90"/>
      <c r="EV56" s="75"/>
      <c r="EW56" s="90"/>
      <c r="EY56" s="75"/>
      <c r="EZ56" s="103"/>
      <c r="FA56" s="25" t="str">
        <f>$M56</f>
        <v>2025 BMW XM</v>
      </c>
      <c r="FB56" s="75"/>
      <c r="FC56" s="91"/>
      <c r="FD56" s="80"/>
      <c r="FE56" s="25"/>
      <c r="FF56" s="85"/>
      <c r="FG56" s="25"/>
      <c r="FH56" s="25"/>
      <c r="FI56" s="85"/>
      <c r="FJ56" s="80"/>
      <c r="FK56" s="25"/>
      <c r="FL56" s="85"/>
      <c r="FM56" s="25" t="str">
        <f>$M56</f>
        <v>2025 BMW XM</v>
      </c>
      <c r="FN56" s="25"/>
      <c r="FO56" s="85"/>
      <c r="FP56" s="92"/>
      <c r="FQ56" s="93"/>
      <c r="FR56" s="94"/>
      <c r="FS56" s="95"/>
      <c r="FT56" s="25"/>
      <c r="FU56" s="25"/>
      <c r="FV56" s="25"/>
      <c r="FW56" s="25"/>
      <c r="FX56" s="25"/>
      <c r="FY56" s="25"/>
      <c r="FZ56" s="25"/>
      <c r="GA56" s="25"/>
      <c r="GB56" s="25"/>
      <c r="GC56" s="25"/>
      <c r="GD56" s="25"/>
      <c r="GE56" s="25"/>
      <c r="GF56" s="25"/>
      <c r="GG56" s="25"/>
      <c r="GH56" s="25"/>
    </row>
    <row r="57" spans="1:190" s="76" customFormat="1" x14ac:dyDescent="0.35">
      <c r="A57" s="76">
        <v>2025</v>
      </c>
      <c r="B57" s="76" t="s">
        <v>189</v>
      </c>
      <c r="C57" s="76" t="s">
        <v>189</v>
      </c>
      <c r="D57" s="76" t="s">
        <v>2551</v>
      </c>
      <c r="E57" s="76" t="s">
        <v>191</v>
      </c>
      <c r="F57" s="76">
        <v>900</v>
      </c>
      <c r="G57" s="78">
        <v>4.4000000000000004</v>
      </c>
      <c r="H57" s="76">
        <v>8</v>
      </c>
      <c r="I57" s="79" t="s">
        <v>192</v>
      </c>
      <c r="J57" s="96">
        <v>12</v>
      </c>
      <c r="K57" s="76">
        <v>17</v>
      </c>
      <c r="L57" s="76">
        <v>14</v>
      </c>
      <c r="M57" s="76">
        <v>14.9</v>
      </c>
      <c r="N57" s="76">
        <v>23.1</v>
      </c>
      <c r="O57" s="76">
        <v>17.759499999999999</v>
      </c>
      <c r="P57" s="76">
        <v>11.8085</v>
      </c>
      <c r="Q57" s="76">
        <v>16.8858</v>
      </c>
      <c r="R57" s="76">
        <v>13.6563</v>
      </c>
      <c r="T57" s="76" t="s">
        <v>165</v>
      </c>
      <c r="U57" s="76" t="s">
        <v>166</v>
      </c>
      <c r="V57" s="76" t="s">
        <v>193</v>
      </c>
      <c r="W57" s="76" t="s">
        <v>194</v>
      </c>
      <c r="Y57" s="76">
        <v>8</v>
      </c>
      <c r="Z57" s="76" t="s">
        <v>170</v>
      </c>
      <c r="AA57" s="76" t="s">
        <v>170</v>
      </c>
      <c r="AB57" s="76" t="s">
        <v>167</v>
      </c>
      <c r="AC57" s="76" t="s">
        <v>213</v>
      </c>
      <c r="AD57" s="76">
        <v>10</v>
      </c>
      <c r="AF57" s="76">
        <v>268</v>
      </c>
      <c r="AG57" s="76" t="s">
        <v>214</v>
      </c>
      <c r="AH57" s="76" t="s">
        <v>215</v>
      </c>
      <c r="AI57" s="76" t="s">
        <v>175</v>
      </c>
      <c r="AJ57" s="79" t="s">
        <v>176</v>
      </c>
      <c r="AK57" s="96" t="s">
        <v>940</v>
      </c>
      <c r="AL57" s="76" t="s">
        <v>941</v>
      </c>
      <c r="AR57" s="79"/>
      <c r="AS57" s="96">
        <v>2900</v>
      </c>
      <c r="AT57" s="79">
        <v>2900</v>
      </c>
      <c r="AU57" s="96">
        <v>73</v>
      </c>
      <c r="AV57" s="76">
        <v>73</v>
      </c>
      <c r="AW57" s="76">
        <v>73</v>
      </c>
      <c r="AX57" s="76">
        <v>51.3</v>
      </c>
      <c r="AY57" s="76">
        <v>51.5</v>
      </c>
      <c r="AZ57" s="76">
        <v>51.39</v>
      </c>
      <c r="BA57" s="76">
        <v>73.200500000000005</v>
      </c>
      <c r="BB57" s="76">
        <v>73.426000000000002</v>
      </c>
      <c r="BC57" s="76">
        <v>73.302000000000007</v>
      </c>
      <c r="BD57" s="76">
        <v>31</v>
      </c>
      <c r="BE57" s="76" t="s">
        <v>1735</v>
      </c>
      <c r="BF57" s="76" t="s">
        <v>1736</v>
      </c>
      <c r="BG57" s="76" t="s">
        <v>1742</v>
      </c>
      <c r="BH57" s="76" t="s">
        <v>1743</v>
      </c>
      <c r="BI57" s="76">
        <v>2900</v>
      </c>
      <c r="BJ57" s="2"/>
      <c r="BK57" s="2"/>
      <c r="BL57" s="2"/>
      <c r="BM57" s="79"/>
      <c r="BN57" s="98" t="s">
        <v>2493</v>
      </c>
      <c r="BO57" s="76">
        <v>2</v>
      </c>
      <c r="BP57" s="76">
        <v>2</v>
      </c>
      <c r="BQ57" s="76">
        <v>33</v>
      </c>
      <c r="BR57" s="76" t="s">
        <v>1497</v>
      </c>
      <c r="BT57" s="76" t="s">
        <v>2494</v>
      </c>
      <c r="BU57" s="99">
        <v>45485</v>
      </c>
      <c r="BV57" s="79">
        <v>35102</v>
      </c>
      <c r="BW57" s="120"/>
      <c r="BX57" s="96" t="s">
        <v>170</v>
      </c>
      <c r="BY57" s="76" t="s">
        <v>170</v>
      </c>
      <c r="CB57" s="76" t="s">
        <v>170</v>
      </c>
      <c r="CC57" s="76" t="s">
        <v>170</v>
      </c>
      <c r="CE57" s="76" t="s">
        <v>170</v>
      </c>
      <c r="CG57" s="76" t="s">
        <v>169</v>
      </c>
      <c r="CH57" s="76" t="s">
        <v>195</v>
      </c>
      <c r="CI57" s="76" t="s">
        <v>169</v>
      </c>
      <c r="CJ57" s="76" t="s">
        <v>417</v>
      </c>
      <c r="CK57" s="76" t="s">
        <v>233</v>
      </c>
      <c r="CM57" s="76">
        <v>6</v>
      </c>
      <c r="CN57" s="76" t="s">
        <v>234</v>
      </c>
      <c r="CP57" s="76">
        <v>317</v>
      </c>
      <c r="CQ57" s="76">
        <v>93</v>
      </c>
      <c r="CR57" s="76">
        <v>139</v>
      </c>
      <c r="CS57" s="76" t="s">
        <v>235</v>
      </c>
      <c r="CV57" s="76" t="s">
        <v>341</v>
      </c>
      <c r="CX57" s="76" t="s">
        <v>342</v>
      </c>
      <c r="CY57" s="76" t="s">
        <v>169</v>
      </c>
      <c r="DC57" s="76" t="s">
        <v>2538</v>
      </c>
      <c r="DD57" s="76">
        <v>1</v>
      </c>
      <c r="DE57" s="76" t="s">
        <v>404</v>
      </c>
      <c r="DF57" s="76" t="s">
        <v>2539</v>
      </c>
      <c r="DG57" s="76">
        <v>145</v>
      </c>
      <c r="DJ57" s="76" t="s">
        <v>184</v>
      </c>
      <c r="DK57" s="76" t="s">
        <v>185</v>
      </c>
      <c r="DL57" s="76" t="s">
        <v>170</v>
      </c>
      <c r="DM57" s="76" t="s">
        <v>169</v>
      </c>
      <c r="DN57" s="76" t="s">
        <v>170</v>
      </c>
      <c r="DO57" s="76" t="s">
        <v>345</v>
      </c>
      <c r="DP57" s="76" t="s">
        <v>169</v>
      </c>
      <c r="DQ57" s="76" t="s">
        <v>198</v>
      </c>
      <c r="DS57" s="76" t="s">
        <v>2496</v>
      </c>
      <c r="DT57" s="76" t="s">
        <v>2497</v>
      </c>
      <c r="DU57" s="76" t="s">
        <v>2498</v>
      </c>
      <c r="DV57" s="76" t="s">
        <v>2499</v>
      </c>
      <c r="DZ57" s="79"/>
      <c r="EA57" s="101"/>
      <c r="EB57" s="96">
        <v>5</v>
      </c>
      <c r="EC57" s="76">
        <v>7</v>
      </c>
      <c r="ED57" s="79"/>
      <c r="EE57" s="76" t="s">
        <v>2552</v>
      </c>
      <c r="EF57" s="76">
        <v>6</v>
      </c>
      <c r="EH57" s="79"/>
      <c r="EI57" s="96"/>
      <c r="EM57" s="96"/>
      <c r="EP57" s="79"/>
      <c r="EQ57" s="96"/>
      <c r="ET57" s="79"/>
      <c r="EU57" s="96"/>
      <c r="EV57" s="79">
        <v>5000</v>
      </c>
      <c r="EW57" s="96">
        <v>0</v>
      </c>
      <c r="EX57" s="76">
        <v>0</v>
      </c>
      <c r="EY57" s="79">
        <v>0</v>
      </c>
      <c r="EZ57" s="103">
        <f>FI57</f>
        <v>244</v>
      </c>
      <c r="FA57" s="76">
        <v>5</v>
      </c>
      <c r="FB57" s="79"/>
      <c r="FC57" s="97">
        <v>300</v>
      </c>
      <c r="FD57" s="96">
        <v>22</v>
      </c>
      <c r="FE57" s="76">
        <v>27</v>
      </c>
      <c r="FF57" s="79">
        <v>24</v>
      </c>
      <c r="FG57" s="76">
        <v>276.3</v>
      </c>
      <c r="FH57" s="76">
        <v>204.2</v>
      </c>
      <c r="FI57" s="103">
        <v>244</v>
      </c>
      <c r="FJ57" s="104">
        <v>31.159999999999997</v>
      </c>
      <c r="FK57" s="105">
        <v>30.796500000000005</v>
      </c>
      <c r="FL57" s="79">
        <v>31</v>
      </c>
      <c r="FM57" s="76">
        <v>0.60199999999999998</v>
      </c>
      <c r="FN57" s="76">
        <v>0.59499999999999997</v>
      </c>
      <c r="FO57" s="79">
        <v>0.59899999999999998</v>
      </c>
      <c r="FP57" s="106">
        <v>0</v>
      </c>
      <c r="FQ57" s="107">
        <v>0</v>
      </c>
      <c r="FR57" s="107">
        <v>0</v>
      </c>
      <c r="FS57" s="108">
        <v>18.2</v>
      </c>
    </row>
    <row r="58" spans="1:190" s="76" customFormat="1" x14ac:dyDescent="0.35">
      <c r="A58" s="76">
        <v>2025</v>
      </c>
      <c r="B58" s="162" t="s">
        <v>189</v>
      </c>
      <c r="C58" s="162" t="s">
        <v>189</v>
      </c>
      <c r="D58" s="162" t="s">
        <v>2551</v>
      </c>
      <c r="E58" s="162" t="s">
        <v>191</v>
      </c>
      <c r="F58" s="162">
        <v>900</v>
      </c>
      <c r="G58" s="162">
        <v>4.4000000000000004</v>
      </c>
      <c r="H58" s="162">
        <v>8</v>
      </c>
      <c r="I58" s="163" t="s">
        <v>192</v>
      </c>
      <c r="J58" s="96">
        <f t="shared" ref="J58:R58" si="13">J57</f>
        <v>12</v>
      </c>
      <c r="K58" s="76">
        <f t="shared" si="13"/>
        <v>17</v>
      </c>
      <c r="L58" s="76">
        <f t="shared" si="13"/>
        <v>14</v>
      </c>
      <c r="M58" s="76">
        <f t="shared" si="13"/>
        <v>14.9</v>
      </c>
      <c r="N58" s="76">
        <f t="shared" si="13"/>
        <v>23.1</v>
      </c>
      <c r="O58" s="76">
        <f t="shared" si="13"/>
        <v>17.759499999999999</v>
      </c>
      <c r="P58" s="76">
        <f t="shared" si="13"/>
        <v>11.8085</v>
      </c>
      <c r="Q58" s="76">
        <f t="shared" si="13"/>
        <v>16.8858</v>
      </c>
      <c r="R58" s="76">
        <f t="shared" si="13"/>
        <v>13.6563</v>
      </c>
      <c r="T58" s="76" t="str">
        <f>T57</f>
        <v>TC</v>
      </c>
      <c r="U58" s="76" t="str">
        <f>U57</f>
        <v>Turbocharged</v>
      </c>
      <c r="V58" s="76" t="str">
        <f>V57</f>
        <v>SA</v>
      </c>
      <c r="W58" s="76" t="str">
        <f>W57</f>
        <v>Semi-Automatic</v>
      </c>
      <c r="Y58" s="76">
        <f t="shared" ref="Y58:AD58" si="14">Y57</f>
        <v>8</v>
      </c>
      <c r="Z58" s="76" t="str">
        <f t="shared" si="14"/>
        <v>N</v>
      </c>
      <c r="AA58" s="76" t="str">
        <f t="shared" si="14"/>
        <v>N</v>
      </c>
      <c r="AB58" s="76" t="str">
        <f t="shared" si="14"/>
        <v>A</v>
      </c>
      <c r="AC58" s="76" t="str">
        <f t="shared" si="14"/>
        <v>All Wheel Drive</v>
      </c>
      <c r="AD58" s="76">
        <f t="shared" si="14"/>
        <v>10</v>
      </c>
      <c r="AF58" s="76">
        <f>AF57</f>
        <v>268</v>
      </c>
      <c r="AG58" s="76" t="str">
        <f>AG57</f>
        <v>GPR</v>
      </c>
      <c r="AH58" s="76" t="str">
        <f>AH57</f>
        <v>Gasoline (Premium Unleaded Required)</v>
      </c>
      <c r="AI58" s="76" t="str">
        <f>AI57</f>
        <v>MPG</v>
      </c>
      <c r="AJ58" s="79" t="str">
        <f>AJ57</f>
        <v>miles per gallon</v>
      </c>
      <c r="AK58" s="96" t="s">
        <v>940</v>
      </c>
      <c r="AL58" s="76" t="s">
        <v>941</v>
      </c>
      <c r="AR58" s="79"/>
      <c r="AS58" s="96">
        <v>2900</v>
      </c>
      <c r="AT58" s="79">
        <v>2900</v>
      </c>
      <c r="AU58" s="96">
        <v>46</v>
      </c>
      <c r="AV58" s="76">
        <v>46</v>
      </c>
      <c r="AW58" s="76">
        <v>46</v>
      </c>
      <c r="AX58" s="76">
        <v>65.7</v>
      </c>
      <c r="AY58" s="76">
        <v>65.5</v>
      </c>
      <c r="AZ58" s="76">
        <v>65.609800000000007</v>
      </c>
      <c r="BA58" s="76">
        <v>46.291400000000003</v>
      </c>
      <c r="BB58" s="76">
        <v>45.939700000000002</v>
      </c>
      <c r="BC58" s="76">
        <v>46.1325</v>
      </c>
      <c r="BD58" s="76">
        <v>31</v>
      </c>
      <c r="BE58" s="76" t="s">
        <v>1735</v>
      </c>
      <c r="BF58" s="76" t="s">
        <v>1736</v>
      </c>
      <c r="BG58" s="76" t="s">
        <v>175</v>
      </c>
      <c r="BH58" s="76" t="s">
        <v>176</v>
      </c>
      <c r="BI58" s="76">
        <v>2900</v>
      </c>
      <c r="BM58" s="79"/>
      <c r="BN58" s="98" t="s">
        <v>2493</v>
      </c>
      <c r="BO58" s="76">
        <v>2</v>
      </c>
      <c r="BP58" s="76">
        <v>2</v>
      </c>
      <c r="BQ58" s="76">
        <v>33</v>
      </c>
      <c r="BR58" s="76" t="s">
        <v>1497</v>
      </c>
      <c r="BT58" s="76" t="s">
        <v>2494</v>
      </c>
      <c r="BU58" s="99">
        <v>45485</v>
      </c>
      <c r="BV58" s="79">
        <v>35102</v>
      </c>
      <c r="BW58" s="120"/>
      <c r="BX58" s="96" t="s">
        <v>170</v>
      </c>
      <c r="BY58" s="76" t="s">
        <v>170</v>
      </c>
      <c r="CB58" s="76" t="s">
        <v>170</v>
      </c>
      <c r="CC58" s="76" t="s">
        <v>170</v>
      </c>
      <c r="CE58" s="76" t="s">
        <v>170</v>
      </c>
      <c r="CG58" s="76" t="s">
        <v>169</v>
      </c>
      <c r="CH58" s="76" t="s">
        <v>195</v>
      </c>
      <c r="CI58" s="76" t="s">
        <v>169</v>
      </c>
      <c r="CJ58" s="76" t="s">
        <v>417</v>
      </c>
      <c r="CK58" s="76" t="s">
        <v>233</v>
      </c>
      <c r="CM58" s="76">
        <v>6</v>
      </c>
      <c r="CN58" s="76" t="s">
        <v>234</v>
      </c>
      <c r="CP58" s="76">
        <v>317</v>
      </c>
      <c r="CQ58" s="76">
        <v>93</v>
      </c>
      <c r="CR58" s="76">
        <v>139</v>
      </c>
      <c r="CS58" s="76" t="s">
        <v>235</v>
      </c>
      <c r="CV58" s="76" t="s">
        <v>341</v>
      </c>
      <c r="CX58" s="76" t="s">
        <v>342</v>
      </c>
      <c r="CY58" s="76" t="s">
        <v>169</v>
      </c>
      <c r="DC58" s="76" t="s">
        <v>2538</v>
      </c>
      <c r="DD58" s="76">
        <v>1</v>
      </c>
      <c r="DE58" s="76" t="s">
        <v>404</v>
      </c>
      <c r="DF58" s="76" t="s">
        <v>2539</v>
      </c>
      <c r="DG58" s="76">
        <v>145</v>
      </c>
      <c r="DJ58" s="76" t="s">
        <v>184</v>
      </c>
      <c r="DK58" s="76" t="s">
        <v>185</v>
      </c>
      <c r="DL58" s="76" t="s">
        <v>170</v>
      </c>
      <c r="DM58" s="76" t="s">
        <v>169</v>
      </c>
      <c r="DN58" s="76" t="s">
        <v>170</v>
      </c>
      <c r="DO58" s="76" t="s">
        <v>345</v>
      </c>
      <c r="DP58" s="76" t="s">
        <v>169</v>
      </c>
      <c r="DQ58" s="76" t="s">
        <v>198</v>
      </c>
      <c r="DS58" s="76" t="s">
        <v>2496</v>
      </c>
      <c r="DT58" s="76" t="s">
        <v>2497</v>
      </c>
      <c r="DU58" s="76" t="s">
        <v>2498</v>
      </c>
      <c r="DV58" s="76" t="s">
        <v>2499</v>
      </c>
      <c r="DZ58" s="79"/>
      <c r="EA58" s="101"/>
      <c r="EB58" s="96">
        <v>5</v>
      </c>
      <c r="EC58" s="76">
        <v>7</v>
      </c>
      <c r="ED58" s="79"/>
      <c r="EE58" s="76" t="s">
        <v>2552</v>
      </c>
      <c r="EF58" s="76">
        <v>6</v>
      </c>
      <c r="EH58" s="79"/>
      <c r="EI58" s="96"/>
      <c r="EM58" s="96"/>
      <c r="EP58" s="79"/>
      <c r="EQ58" s="96"/>
      <c r="ET58" s="79"/>
      <c r="EU58" s="96"/>
      <c r="EV58" s="79">
        <v>5000</v>
      </c>
      <c r="EW58" s="96">
        <v>718</v>
      </c>
      <c r="EX58" s="76">
        <v>498</v>
      </c>
      <c r="EY58" s="79">
        <v>619</v>
      </c>
      <c r="EZ58" s="103">
        <f>FI58</f>
        <v>244</v>
      </c>
      <c r="FA58" s="76">
        <v>5</v>
      </c>
      <c r="FB58" s="79"/>
      <c r="FC58" s="97">
        <v>300</v>
      </c>
      <c r="FD58" s="96">
        <v>22</v>
      </c>
      <c r="FE58" s="76">
        <v>27</v>
      </c>
      <c r="FF58" s="79">
        <v>24</v>
      </c>
      <c r="FG58" s="76">
        <v>276.3</v>
      </c>
      <c r="FH58" s="76">
        <v>204.2</v>
      </c>
      <c r="FI58" s="103">
        <v>244</v>
      </c>
      <c r="FJ58" s="98" t="s">
        <v>2553</v>
      </c>
      <c r="FK58" s="111"/>
      <c r="FL58" s="103"/>
      <c r="FM58" s="76">
        <v>0.60199999999999998</v>
      </c>
      <c r="FN58" s="76">
        <v>0.59499999999999997</v>
      </c>
      <c r="FO58" s="79">
        <v>0.59899999999999998</v>
      </c>
      <c r="FP58" s="106"/>
      <c r="FQ58" s="107"/>
      <c r="FR58" s="107"/>
      <c r="FS58" s="108">
        <v>18.2</v>
      </c>
    </row>
    <row r="59" spans="1:190" s="77" customFormat="1" x14ac:dyDescent="0.35">
      <c r="A59" s="76"/>
      <c r="E59" s="76"/>
      <c r="F59" s="76"/>
      <c r="G59" s="78"/>
      <c r="H59" s="76"/>
      <c r="I59" s="79"/>
      <c r="J59" s="80"/>
      <c r="K59" s="28"/>
      <c r="L59" s="28"/>
      <c r="M59" s="25" t="str">
        <f>_xlfn.CONCAT(A60," ",C60," ",D60)</f>
        <v>2025 BMW XM Label</v>
      </c>
      <c r="N59" s="28"/>
      <c r="O59" s="28"/>
      <c r="P59" s="28"/>
      <c r="Q59" s="28"/>
      <c r="R59" s="28"/>
      <c r="S59" s="28"/>
      <c r="T59" s="28"/>
      <c r="U59" s="28"/>
      <c r="V59" s="28"/>
      <c r="W59" s="28"/>
      <c r="X59" s="28"/>
      <c r="Y59" s="28"/>
      <c r="Z59" s="28"/>
      <c r="AA59" s="28"/>
      <c r="AB59" s="28"/>
      <c r="AC59" s="28"/>
      <c r="AD59" s="25" t="str">
        <f>$M59</f>
        <v>2025 BMW XM Label</v>
      </c>
      <c r="AE59" s="28"/>
      <c r="AF59" s="28"/>
      <c r="AG59" s="28"/>
      <c r="AH59" s="28"/>
      <c r="AI59" s="28"/>
      <c r="AJ59" s="81"/>
      <c r="AK59" s="82"/>
      <c r="AL59" s="2"/>
      <c r="AM59" s="2"/>
      <c r="AN59" s="2"/>
      <c r="AO59" s="2"/>
      <c r="AP59" s="2"/>
      <c r="AQ59" s="2"/>
      <c r="AR59" s="83"/>
      <c r="AS59" s="84"/>
      <c r="AT59" s="85" t="str">
        <f>$M59</f>
        <v>2025 BMW XM Label</v>
      </c>
      <c r="AU59" s="84"/>
      <c r="AV59" s="28"/>
      <c r="AW59" s="28"/>
      <c r="AX59" s="28"/>
      <c r="AY59" s="28"/>
      <c r="AZ59" s="28"/>
      <c r="BA59" s="28"/>
      <c r="BB59" s="28"/>
      <c r="BC59" s="28"/>
      <c r="BD59" s="28"/>
      <c r="BE59" s="28"/>
      <c r="BF59" s="28"/>
      <c r="BG59" s="28"/>
      <c r="BH59" s="28"/>
      <c r="BI59" s="25" t="str">
        <f>$M59</f>
        <v>2025 BMW XM Label</v>
      </c>
      <c r="BJ59" s="28"/>
      <c r="BK59" s="28"/>
      <c r="BL59" s="28"/>
      <c r="BM59" s="81"/>
      <c r="BN59" s="82"/>
      <c r="BO59" s="2"/>
      <c r="BP59" s="2"/>
      <c r="BQ59" s="2"/>
      <c r="BR59" s="2"/>
      <c r="BS59" s="2"/>
      <c r="BT59" s="86"/>
      <c r="BU59" s="2"/>
      <c r="BV59" s="83"/>
      <c r="BW59" s="121"/>
      <c r="BX59" s="84"/>
      <c r="BY59" s="25" t="str">
        <f>$M59</f>
        <v>2025 BMW XM Label</v>
      </c>
      <c r="BZ59" s="28"/>
      <c r="CA59" s="28"/>
      <c r="CB59" s="28"/>
      <c r="CC59" s="28"/>
      <c r="CD59" s="28"/>
      <c r="CE59" s="88"/>
      <c r="CF59" s="28"/>
      <c r="CG59" s="28"/>
      <c r="CH59" s="28"/>
      <c r="CI59" s="28"/>
      <c r="CJ59" s="28"/>
      <c r="CK59" s="28"/>
      <c r="CL59" s="28"/>
      <c r="CM59" s="28"/>
      <c r="CN59" s="28"/>
      <c r="CO59" s="25" t="str">
        <f>$M59</f>
        <v>2025 BMW XM Label</v>
      </c>
      <c r="CP59" s="28"/>
      <c r="CQ59" s="28"/>
      <c r="CR59" s="28"/>
      <c r="CS59" s="28"/>
      <c r="CT59" s="28"/>
      <c r="CU59" s="28"/>
      <c r="CV59" s="28"/>
      <c r="CW59" s="28"/>
      <c r="CX59" s="28"/>
      <c r="CY59" s="28"/>
      <c r="CZ59" s="28"/>
      <c r="DA59" s="28"/>
      <c r="DB59" s="28"/>
      <c r="DC59" s="28"/>
      <c r="DD59" s="28"/>
      <c r="DE59" s="28"/>
      <c r="DF59" s="25" t="str">
        <f>$M59</f>
        <v>2025 BMW XM Label</v>
      </c>
      <c r="DG59" s="28"/>
      <c r="DH59" s="28"/>
      <c r="DI59" s="28"/>
      <c r="DJ59" s="28"/>
      <c r="DK59" s="28"/>
      <c r="DL59" s="28"/>
      <c r="DM59" s="28"/>
      <c r="DN59" s="28"/>
      <c r="DO59" s="28"/>
      <c r="DP59" s="28"/>
      <c r="DQ59" s="28"/>
      <c r="DR59" s="25"/>
      <c r="DS59" s="25"/>
      <c r="DT59" s="25"/>
      <c r="DU59" s="25"/>
      <c r="DV59" s="25"/>
      <c r="DW59" s="25" t="str">
        <f>$M59</f>
        <v>2025 BMW XM Label</v>
      </c>
      <c r="DX59" s="25"/>
      <c r="DY59" s="25"/>
      <c r="DZ59" s="85"/>
      <c r="EA59" s="89"/>
      <c r="EB59" s="80"/>
      <c r="EC59" s="25"/>
      <c r="ED59" s="85"/>
      <c r="EE59" s="25"/>
      <c r="EF59" s="25"/>
      <c r="EG59" s="25"/>
      <c r="EH59" s="85"/>
      <c r="EI59" s="80"/>
      <c r="EK59" t="s">
        <v>2445</v>
      </c>
      <c r="EL59" s="25" t="str">
        <f>$M59</f>
        <v>2025 BMW XM Label</v>
      </c>
      <c r="EM59" s="80"/>
      <c r="EP59" s="75"/>
      <c r="EQ59" s="90"/>
      <c r="ET59" s="75"/>
      <c r="EU59" s="90"/>
      <c r="EV59" s="75"/>
      <c r="EW59" s="90"/>
      <c r="EY59" s="75"/>
      <c r="EZ59" s="102"/>
      <c r="FA59" s="25" t="str">
        <f>$M59</f>
        <v>2025 BMW XM Label</v>
      </c>
      <c r="FB59" s="75"/>
      <c r="FC59" s="91"/>
      <c r="FD59" s="80"/>
      <c r="FE59" s="25"/>
      <c r="FF59" s="85"/>
      <c r="FG59" s="25"/>
      <c r="FH59" s="25"/>
      <c r="FI59" s="85"/>
      <c r="FJ59" s="80"/>
      <c r="FK59" s="25"/>
      <c r="FL59" s="85"/>
      <c r="FM59" s="25" t="str">
        <f>$M59</f>
        <v>2025 BMW XM Label</v>
      </c>
      <c r="FN59" s="25"/>
      <c r="FO59" s="85"/>
      <c r="FP59" s="92"/>
      <c r="FQ59" s="93"/>
      <c r="FR59" s="94"/>
      <c r="FS59" s="95"/>
      <c r="FT59" s="25"/>
      <c r="FU59" s="25"/>
      <c r="FV59" s="25"/>
      <c r="FW59" s="25"/>
      <c r="FX59" s="25"/>
      <c r="FY59" s="25"/>
      <c r="FZ59" s="25"/>
      <c r="GA59" s="25"/>
      <c r="GB59" s="25"/>
      <c r="GC59" s="25"/>
      <c r="GD59" s="25"/>
      <c r="GE59" s="25"/>
      <c r="GF59" s="25"/>
      <c r="GG59" s="25"/>
      <c r="GH59" s="25"/>
    </row>
    <row r="60" spans="1:190" s="76" customFormat="1" x14ac:dyDescent="0.35">
      <c r="A60" s="76">
        <v>2025</v>
      </c>
      <c r="B60" s="76" t="s">
        <v>189</v>
      </c>
      <c r="C60" s="76" t="s">
        <v>189</v>
      </c>
      <c r="D60" s="76" t="s">
        <v>2554</v>
      </c>
      <c r="E60" s="76" t="s">
        <v>191</v>
      </c>
      <c r="F60" s="76">
        <v>905</v>
      </c>
      <c r="G60" s="78">
        <v>4.4000000000000004</v>
      </c>
      <c r="H60" s="76">
        <v>8</v>
      </c>
      <c r="I60" s="79" t="s">
        <v>192</v>
      </c>
      <c r="J60" s="96">
        <v>12</v>
      </c>
      <c r="K60" s="76">
        <v>17</v>
      </c>
      <c r="L60" s="76">
        <v>14</v>
      </c>
      <c r="M60" s="76">
        <v>15.1</v>
      </c>
      <c r="N60" s="76">
        <v>23.1</v>
      </c>
      <c r="O60" s="76">
        <v>17.866499999999998</v>
      </c>
      <c r="P60" s="76">
        <v>11.7788</v>
      </c>
      <c r="Q60" s="76">
        <v>17.409800000000001</v>
      </c>
      <c r="R60" s="76">
        <v>13.7852</v>
      </c>
      <c r="T60" s="76" t="s">
        <v>165</v>
      </c>
      <c r="U60" s="76" t="s">
        <v>166</v>
      </c>
      <c r="V60" s="76" t="s">
        <v>193</v>
      </c>
      <c r="W60" s="76" t="s">
        <v>194</v>
      </c>
      <c r="Y60" s="76">
        <v>8</v>
      </c>
      <c r="Z60" s="76" t="s">
        <v>170</v>
      </c>
      <c r="AA60" s="76" t="s">
        <v>170</v>
      </c>
      <c r="AB60" s="76" t="s">
        <v>167</v>
      </c>
      <c r="AC60" s="76" t="s">
        <v>213</v>
      </c>
      <c r="AD60" s="76">
        <v>10</v>
      </c>
      <c r="AF60" s="76">
        <v>270</v>
      </c>
      <c r="AG60" s="76" t="s">
        <v>214</v>
      </c>
      <c r="AH60" s="76" t="s">
        <v>215</v>
      </c>
      <c r="AI60" s="76" t="s">
        <v>175</v>
      </c>
      <c r="AJ60" s="79" t="s">
        <v>176</v>
      </c>
      <c r="AK60" s="96" t="s">
        <v>940</v>
      </c>
      <c r="AL60" s="76" t="s">
        <v>941</v>
      </c>
      <c r="AR60" s="79"/>
      <c r="AS60" s="96">
        <v>2900</v>
      </c>
      <c r="AT60" s="79">
        <v>2900</v>
      </c>
      <c r="AU60" s="96">
        <v>74</v>
      </c>
      <c r="AV60" s="76">
        <v>73</v>
      </c>
      <c r="AW60" s="76">
        <v>73</v>
      </c>
      <c r="AX60" s="76">
        <v>52.2</v>
      </c>
      <c r="AY60" s="76">
        <v>51.1</v>
      </c>
      <c r="AZ60" s="76">
        <v>51.704999999999998</v>
      </c>
      <c r="BA60" s="76">
        <v>73.707999999999998</v>
      </c>
      <c r="BB60" s="76">
        <v>72.773499999999999</v>
      </c>
      <c r="BC60" s="76">
        <v>73.287499999999994</v>
      </c>
      <c r="BD60" s="76">
        <v>31</v>
      </c>
      <c r="BE60" s="76" t="s">
        <v>1735</v>
      </c>
      <c r="BF60" s="76" t="s">
        <v>1736</v>
      </c>
      <c r="BG60" s="76" t="s">
        <v>1742</v>
      </c>
      <c r="BH60" s="76" t="s">
        <v>1743</v>
      </c>
      <c r="BI60" s="76">
        <v>2900</v>
      </c>
      <c r="BJ60" s="2"/>
      <c r="BK60" s="2"/>
      <c r="BL60" s="2"/>
      <c r="BM60" s="79"/>
      <c r="BN60" s="98" t="s">
        <v>2493</v>
      </c>
      <c r="BO60" s="76">
        <v>2</v>
      </c>
      <c r="BP60" s="76">
        <v>2</v>
      </c>
      <c r="BQ60" s="76">
        <v>33</v>
      </c>
      <c r="BR60" s="76" t="s">
        <v>1497</v>
      </c>
      <c r="BT60" s="76" t="s">
        <v>2494</v>
      </c>
      <c r="BU60" s="99">
        <v>45485</v>
      </c>
      <c r="BV60" s="79">
        <v>35103</v>
      </c>
      <c r="BW60" s="120"/>
      <c r="BX60" s="96" t="s">
        <v>169</v>
      </c>
      <c r="BY60" s="76" t="s">
        <v>170</v>
      </c>
      <c r="CB60" s="76" t="s">
        <v>170</v>
      </c>
      <c r="CC60" s="76" t="s">
        <v>170</v>
      </c>
      <c r="CE60" s="76" t="s">
        <v>170</v>
      </c>
      <c r="CG60" s="76" t="s">
        <v>169</v>
      </c>
      <c r="CH60" s="76" t="s">
        <v>195</v>
      </c>
      <c r="CI60" s="76" t="s">
        <v>169</v>
      </c>
      <c r="CJ60" s="76" t="s">
        <v>417</v>
      </c>
      <c r="CK60" s="76" t="s">
        <v>233</v>
      </c>
      <c r="CM60" s="76">
        <v>6</v>
      </c>
      <c r="CN60" s="76" t="s">
        <v>234</v>
      </c>
      <c r="CP60" s="76">
        <v>317</v>
      </c>
      <c r="CQ60" s="76">
        <v>93</v>
      </c>
      <c r="CR60" s="76">
        <v>139</v>
      </c>
      <c r="CS60" s="76" t="s">
        <v>235</v>
      </c>
      <c r="CV60" s="76" t="s">
        <v>341</v>
      </c>
      <c r="CX60" s="76" t="s">
        <v>342</v>
      </c>
      <c r="CY60" s="76" t="s">
        <v>169</v>
      </c>
      <c r="DC60" s="76" t="s">
        <v>2538</v>
      </c>
      <c r="DD60" s="76">
        <v>1</v>
      </c>
      <c r="DE60" s="76" t="s">
        <v>404</v>
      </c>
      <c r="DF60" s="76" t="s">
        <v>2539</v>
      </c>
      <c r="DG60" s="76">
        <v>145</v>
      </c>
      <c r="DJ60" s="76" t="s">
        <v>184</v>
      </c>
      <c r="DK60" s="76" t="s">
        <v>185</v>
      </c>
      <c r="DL60" s="76" t="s">
        <v>170</v>
      </c>
      <c r="DM60" s="76" t="s">
        <v>169</v>
      </c>
      <c r="DN60" s="76" t="s">
        <v>170</v>
      </c>
      <c r="DO60" s="76" t="s">
        <v>345</v>
      </c>
      <c r="DP60" s="76" t="s">
        <v>169</v>
      </c>
      <c r="DQ60" s="76" t="s">
        <v>198</v>
      </c>
      <c r="DS60" s="76" t="s">
        <v>2496</v>
      </c>
      <c r="DT60" s="76" t="s">
        <v>2497</v>
      </c>
      <c r="DU60" s="76" t="s">
        <v>2498</v>
      </c>
      <c r="DV60" s="76" t="s">
        <v>2499</v>
      </c>
      <c r="DZ60" s="79"/>
      <c r="EA60" s="101"/>
      <c r="EB60" s="96">
        <v>5</v>
      </c>
      <c r="EC60" s="76">
        <v>7</v>
      </c>
      <c r="ED60" s="79"/>
      <c r="EE60" s="76" t="s">
        <v>2552</v>
      </c>
      <c r="EF60" s="76">
        <v>6</v>
      </c>
      <c r="EH60" s="79"/>
      <c r="EI60" s="96"/>
      <c r="EM60" s="96"/>
      <c r="EP60" s="79"/>
      <c r="EQ60" s="96"/>
      <c r="ET60" s="79"/>
      <c r="EU60" s="96"/>
      <c r="EV60" s="79">
        <v>5000</v>
      </c>
      <c r="EW60" s="96">
        <v>0</v>
      </c>
      <c r="EX60" s="76">
        <v>0</v>
      </c>
      <c r="EY60" s="79">
        <v>0</v>
      </c>
      <c r="EZ60" s="102">
        <f>FI60</f>
        <v>255</v>
      </c>
      <c r="FA60" s="76">
        <v>5</v>
      </c>
      <c r="FB60" s="79"/>
      <c r="FC60" s="97">
        <v>300</v>
      </c>
      <c r="FD60" s="96">
        <v>21</v>
      </c>
      <c r="FE60" s="76">
        <v>27</v>
      </c>
      <c r="FF60" s="79">
        <v>24</v>
      </c>
      <c r="FG60" s="76">
        <v>296</v>
      </c>
      <c r="FH60" s="76">
        <v>205</v>
      </c>
      <c r="FI60" s="103">
        <v>255</v>
      </c>
      <c r="FJ60" s="104">
        <v>31.34</v>
      </c>
      <c r="FK60" s="105">
        <v>31.05</v>
      </c>
      <c r="FL60" s="79">
        <v>31</v>
      </c>
      <c r="FM60" s="76">
        <v>0.6</v>
      </c>
      <c r="FN60" s="76">
        <v>0.59699999999999998</v>
      </c>
      <c r="FO60" s="79">
        <v>0.59899999999999998</v>
      </c>
      <c r="FP60" s="106">
        <v>0</v>
      </c>
      <c r="FQ60" s="107">
        <v>0</v>
      </c>
      <c r="FR60" s="107">
        <v>0</v>
      </c>
      <c r="FS60" s="108">
        <v>18.2</v>
      </c>
    </row>
    <row r="61" spans="1:190" s="76" customFormat="1" x14ac:dyDescent="0.35">
      <c r="A61" s="76">
        <v>2025</v>
      </c>
      <c r="B61" s="162" t="s">
        <v>189</v>
      </c>
      <c r="C61" s="162" t="s">
        <v>189</v>
      </c>
      <c r="D61" s="162" t="s">
        <v>2554</v>
      </c>
      <c r="E61" s="162" t="s">
        <v>191</v>
      </c>
      <c r="F61" s="162">
        <v>905</v>
      </c>
      <c r="G61" s="162">
        <v>4.4000000000000004</v>
      </c>
      <c r="H61" s="162">
        <v>8</v>
      </c>
      <c r="I61" s="163" t="s">
        <v>192</v>
      </c>
      <c r="J61" s="96">
        <f t="shared" ref="J61:R61" si="15">J60</f>
        <v>12</v>
      </c>
      <c r="K61" s="76">
        <f t="shared" si="15"/>
        <v>17</v>
      </c>
      <c r="L61" s="76">
        <f t="shared" si="15"/>
        <v>14</v>
      </c>
      <c r="M61" s="76">
        <f t="shared" si="15"/>
        <v>15.1</v>
      </c>
      <c r="N61" s="76">
        <f t="shared" si="15"/>
        <v>23.1</v>
      </c>
      <c r="O61" s="76">
        <f t="shared" si="15"/>
        <v>17.866499999999998</v>
      </c>
      <c r="P61" s="76">
        <f t="shared" si="15"/>
        <v>11.7788</v>
      </c>
      <c r="Q61" s="76">
        <f t="shared" si="15"/>
        <v>17.409800000000001</v>
      </c>
      <c r="R61" s="76">
        <f t="shared" si="15"/>
        <v>13.7852</v>
      </c>
      <c r="T61" s="76" t="str">
        <f>T60</f>
        <v>TC</v>
      </c>
      <c r="U61" s="76" t="str">
        <f>U60</f>
        <v>Turbocharged</v>
      </c>
      <c r="V61" s="76" t="str">
        <f>V60</f>
        <v>SA</v>
      </c>
      <c r="W61" s="76" t="str">
        <f>W60</f>
        <v>Semi-Automatic</v>
      </c>
      <c r="Y61" s="76">
        <f t="shared" ref="Y61:AD61" si="16">Y60</f>
        <v>8</v>
      </c>
      <c r="Z61" s="76" t="str">
        <f t="shared" si="16"/>
        <v>N</v>
      </c>
      <c r="AA61" s="76" t="str">
        <f t="shared" si="16"/>
        <v>N</v>
      </c>
      <c r="AB61" s="76" t="str">
        <f t="shared" si="16"/>
        <v>A</v>
      </c>
      <c r="AC61" s="76" t="str">
        <f t="shared" si="16"/>
        <v>All Wheel Drive</v>
      </c>
      <c r="AD61" s="76">
        <f t="shared" si="16"/>
        <v>10</v>
      </c>
      <c r="AF61" s="76">
        <f>AF60</f>
        <v>270</v>
      </c>
      <c r="AG61" s="76" t="str">
        <f>AG60</f>
        <v>GPR</v>
      </c>
      <c r="AH61" s="76" t="str">
        <f>AH60</f>
        <v>Gasoline (Premium Unleaded Required)</v>
      </c>
      <c r="AI61" s="76" t="str">
        <f>AI60</f>
        <v>MPG</v>
      </c>
      <c r="AJ61" s="79" t="str">
        <f>AJ60</f>
        <v>miles per gallon</v>
      </c>
      <c r="AK61" s="96" t="s">
        <v>940</v>
      </c>
      <c r="AL61" s="76" t="s">
        <v>941</v>
      </c>
      <c r="AR61" s="79"/>
      <c r="AS61" s="96">
        <v>2900</v>
      </c>
      <c r="AT61" s="79">
        <v>2900</v>
      </c>
      <c r="AU61" s="96">
        <v>46</v>
      </c>
      <c r="AV61" s="76">
        <v>46</v>
      </c>
      <c r="AW61" s="76">
        <v>46</v>
      </c>
      <c r="AX61" s="76">
        <v>64.5</v>
      </c>
      <c r="AY61" s="76">
        <v>65.900000000000006</v>
      </c>
      <c r="AZ61" s="76">
        <v>65.122600000000006</v>
      </c>
      <c r="BA61" s="76">
        <v>45.632899999999999</v>
      </c>
      <c r="BB61" s="76">
        <v>46.250700000000002</v>
      </c>
      <c r="BC61" s="76">
        <v>45.908900000000003</v>
      </c>
      <c r="BD61" s="76">
        <v>31</v>
      </c>
      <c r="BE61" s="76" t="s">
        <v>1735</v>
      </c>
      <c r="BF61" s="76" t="s">
        <v>1736</v>
      </c>
      <c r="BG61" s="76" t="s">
        <v>175</v>
      </c>
      <c r="BH61" s="76" t="s">
        <v>176</v>
      </c>
      <c r="BI61" s="76">
        <v>2900</v>
      </c>
      <c r="BM61" s="79"/>
      <c r="BN61" s="98" t="s">
        <v>2493</v>
      </c>
      <c r="BO61" s="76">
        <v>2</v>
      </c>
      <c r="BP61" s="76">
        <v>2</v>
      </c>
      <c r="BQ61" s="76">
        <v>33</v>
      </c>
      <c r="BR61" s="76" t="s">
        <v>1497</v>
      </c>
      <c r="BT61" s="76" t="s">
        <v>2494</v>
      </c>
      <c r="BU61" s="99">
        <v>45485</v>
      </c>
      <c r="BV61" s="79">
        <v>35103</v>
      </c>
      <c r="BW61" s="120"/>
      <c r="BX61" s="96" t="s">
        <v>169</v>
      </c>
      <c r="BY61" s="76" t="s">
        <v>170</v>
      </c>
      <c r="CB61" s="76" t="s">
        <v>170</v>
      </c>
      <c r="CC61" s="76" t="s">
        <v>170</v>
      </c>
      <c r="CE61" s="76" t="s">
        <v>170</v>
      </c>
      <c r="CG61" s="76" t="s">
        <v>169</v>
      </c>
      <c r="CH61" s="76" t="s">
        <v>195</v>
      </c>
      <c r="CI61" s="76" t="s">
        <v>169</v>
      </c>
      <c r="CJ61" s="76" t="s">
        <v>417</v>
      </c>
      <c r="CK61" s="76" t="s">
        <v>233</v>
      </c>
      <c r="CM61" s="76">
        <v>6</v>
      </c>
      <c r="CN61" s="76" t="s">
        <v>234</v>
      </c>
      <c r="CP61" s="76">
        <v>317</v>
      </c>
      <c r="CQ61" s="76">
        <v>93</v>
      </c>
      <c r="CR61" s="76">
        <v>139</v>
      </c>
      <c r="CS61" s="76" t="s">
        <v>235</v>
      </c>
      <c r="CV61" s="76" t="s">
        <v>341</v>
      </c>
      <c r="CX61" s="76" t="s">
        <v>342</v>
      </c>
      <c r="CY61" s="76" t="s">
        <v>169</v>
      </c>
      <c r="DC61" s="76" t="s">
        <v>2538</v>
      </c>
      <c r="DD61" s="76">
        <v>1</v>
      </c>
      <c r="DE61" s="76" t="s">
        <v>404</v>
      </c>
      <c r="DF61" s="76" t="s">
        <v>2539</v>
      </c>
      <c r="DG61" s="76">
        <v>145</v>
      </c>
      <c r="DJ61" s="76" t="s">
        <v>184</v>
      </c>
      <c r="DK61" s="76" t="s">
        <v>185</v>
      </c>
      <c r="DL61" s="76" t="s">
        <v>170</v>
      </c>
      <c r="DM61" s="76" t="s">
        <v>169</v>
      </c>
      <c r="DN61" s="76" t="s">
        <v>170</v>
      </c>
      <c r="DO61" s="76" t="s">
        <v>345</v>
      </c>
      <c r="DP61" s="76" t="s">
        <v>169</v>
      </c>
      <c r="DQ61" s="76" t="s">
        <v>198</v>
      </c>
      <c r="DS61" s="76" t="s">
        <v>2496</v>
      </c>
      <c r="DT61" s="76" t="s">
        <v>2497</v>
      </c>
      <c r="DU61" s="76" t="s">
        <v>2498</v>
      </c>
      <c r="DV61" s="76" t="s">
        <v>2499</v>
      </c>
      <c r="DZ61" s="79"/>
      <c r="EA61" s="101"/>
      <c r="EB61" s="96">
        <v>5</v>
      </c>
      <c r="EC61" s="76">
        <v>7</v>
      </c>
      <c r="ED61" s="79"/>
      <c r="EE61" s="76" t="s">
        <v>2552</v>
      </c>
      <c r="EF61" s="76">
        <v>6</v>
      </c>
      <c r="EH61" s="79"/>
      <c r="EI61" s="96"/>
      <c r="EM61" s="96"/>
      <c r="EP61" s="79"/>
      <c r="EQ61" s="96"/>
      <c r="ET61" s="79"/>
      <c r="EU61" s="96"/>
      <c r="EV61" s="79">
        <v>5000</v>
      </c>
      <c r="EW61" s="96">
        <v>741</v>
      </c>
      <c r="EX61" s="76">
        <v>502</v>
      </c>
      <c r="EY61" s="79">
        <v>633</v>
      </c>
      <c r="EZ61" s="102">
        <f>FI61</f>
        <v>255</v>
      </c>
      <c r="FA61" s="76">
        <v>5</v>
      </c>
      <c r="FB61" s="79"/>
      <c r="FC61" s="97">
        <v>300</v>
      </c>
      <c r="FD61" s="96">
        <v>21</v>
      </c>
      <c r="FE61" s="76">
        <v>27</v>
      </c>
      <c r="FF61" s="79">
        <v>24</v>
      </c>
      <c r="FG61" s="76">
        <v>296</v>
      </c>
      <c r="FH61" s="76">
        <v>205</v>
      </c>
      <c r="FI61" s="103">
        <v>255</v>
      </c>
      <c r="FJ61" s="98" t="s">
        <v>2555</v>
      </c>
      <c r="FK61" s="111"/>
      <c r="FL61" s="103"/>
      <c r="FM61" s="76">
        <v>0.6</v>
      </c>
      <c r="FN61" s="76">
        <v>0.59699999999999998</v>
      </c>
      <c r="FO61" s="79">
        <v>0.59899999999999998</v>
      </c>
      <c r="FP61" s="106"/>
      <c r="FQ61" s="107"/>
      <c r="FR61" s="107"/>
      <c r="FS61" s="108">
        <v>18.2</v>
      </c>
    </row>
    <row r="62" spans="1:190" s="77" customFormat="1" x14ac:dyDescent="0.35">
      <c r="A62" s="76"/>
      <c r="E62" s="76"/>
      <c r="F62" s="76"/>
      <c r="G62" s="78"/>
      <c r="H62" s="76"/>
      <c r="I62" s="79"/>
      <c r="J62" s="80"/>
      <c r="K62" s="28"/>
      <c r="L62" s="28"/>
      <c r="M62" s="25" t="str">
        <f>_xlfn.CONCAT(A63," ",C63," ",D63)</f>
        <v>2025 Chrysler Pacifica Hybrid</v>
      </c>
      <c r="N62" s="28"/>
      <c r="O62" s="28"/>
      <c r="P62" s="28"/>
      <c r="Q62" s="28"/>
      <c r="R62" s="28"/>
      <c r="S62" s="28"/>
      <c r="T62" s="28"/>
      <c r="U62" s="28"/>
      <c r="V62" s="28"/>
      <c r="W62" s="28"/>
      <c r="X62" s="28"/>
      <c r="Y62" s="28"/>
      <c r="Z62" s="28"/>
      <c r="AA62" s="28"/>
      <c r="AB62" s="28"/>
      <c r="AC62" s="28"/>
      <c r="AD62" s="25" t="str">
        <f>$M62</f>
        <v>2025 Chrysler Pacifica Hybrid</v>
      </c>
      <c r="AE62" s="28"/>
      <c r="AF62" s="28"/>
      <c r="AG62" s="28"/>
      <c r="AH62" s="28"/>
      <c r="AI62" s="28"/>
      <c r="AJ62" s="81"/>
      <c r="AK62" s="82"/>
      <c r="AL62" s="2"/>
      <c r="AM62" s="2"/>
      <c r="AN62" s="2"/>
      <c r="AO62" s="2"/>
      <c r="AP62" s="2"/>
      <c r="AQ62" s="2"/>
      <c r="AR62" s="83"/>
      <c r="AS62" s="84"/>
      <c r="AT62" s="85" t="str">
        <f>$M62</f>
        <v>2025 Chrysler Pacifica Hybrid</v>
      </c>
      <c r="AU62" s="84"/>
      <c r="AV62" s="28"/>
      <c r="AW62" s="28"/>
      <c r="AX62" s="28"/>
      <c r="AY62" s="28"/>
      <c r="AZ62" s="28"/>
      <c r="BA62" s="28"/>
      <c r="BB62" s="28"/>
      <c r="BC62" s="28"/>
      <c r="BD62" s="28"/>
      <c r="BE62" s="28"/>
      <c r="BF62" s="28"/>
      <c r="BG62" s="28"/>
      <c r="BH62" s="28"/>
      <c r="BI62" s="25" t="str">
        <f>$M62</f>
        <v>2025 Chrysler Pacifica Hybrid</v>
      </c>
      <c r="BJ62" s="28"/>
      <c r="BK62" s="28"/>
      <c r="BL62" s="28"/>
      <c r="BM62" s="81"/>
      <c r="BN62" s="82"/>
      <c r="BO62" s="2"/>
      <c r="BP62" s="2"/>
      <c r="BQ62" s="2"/>
      <c r="BR62" s="2"/>
      <c r="BS62" s="2"/>
      <c r="BT62" s="86"/>
      <c r="BU62" s="2"/>
      <c r="BV62" s="83"/>
      <c r="BW62" s="121"/>
      <c r="BX62" s="84"/>
      <c r="BY62" s="25" t="str">
        <f>$M62</f>
        <v>2025 Chrysler Pacifica Hybrid</v>
      </c>
      <c r="BZ62" s="28"/>
      <c r="CA62" s="28"/>
      <c r="CB62" s="28"/>
      <c r="CC62" s="28"/>
      <c r="CD62" s="28"/>
      <c r="CE62" s="88"/>
      <c r="CF62" s="28"/>
      <c r="CG62" s="28"/>
      <c r="CH62" s="28"/>
      <c r="CI62" s="28"/>
      <c r="CJ62" s="28"/>
      <c r="CK62" s="28"/>
      <c r="CL62" s="28"/>
      <c r="CM62" s="28"/>
      <c r="CN62" s="28"/>
      <c r="CO62" s="25" t="str">
        <f>$M62</f>
        <v>2025 Chrysler Pacifica Hybrid</v>
      </c>
      <c r="CP62" s="28"/>
      <c r="CQ62" s="28"/>
      <c r="CR62" s="28"/>
      <c r="CS62" s="28"/>
      <c r="CT62" s="28"/>
      <c r="CU62" s="28"/>
      <c r="CV62" s="28"/>
      <c r="CW62" s="28"/>
      <c r="CX62" s="28"/>
      <c r="CY62" s="28"/>
      <c r="CZ62" s="28"/>
      <c r="DA62" s="28"/>
      <c r="DB62" s="28"/>
      <c r="DC62" s="28"/>
      <c r="DD62" s="28"/>
      <c r="DE62" s="28"/>
      <c r="DF62" s="25" t="str">
        <f>$M62</f>
        <v>2025 Chrysler Pacifica Hybrid</v>
      </c>
      <c r="DG62" s="28"/>
      <c r="DH62" s="28"/>
      <c r="DI62" s="28"/>
      <c r="DJ62" s="28"/>
      <c r="DK62" s="28"/>
      <c r="DL62" s="28"/>
      <c r="DM62" s="28"/>
      <c r="DN62" s="28"/>
      <c r="DO62" s="28"/>
      <c r="DP62" s="28"/>
      <c r="DQ62" s="28"/>
      <c r="DR62" s="25"/>
      <c r="DS62" s="25"/>
      <c r="DT62" s="25"/>
      <c r="DU62" s="25"/>
      <c r="DV62" s="25"/>
      <c r="DW62" s="25" t="str">
        <f>$M62</f>
        <v>2025 Chrysler Pacifica Hybrid</v>
      </c>
      <c r="DX62" s="25"/>
      <c r="DY62" s="25"/>
      <c r="DZ62" s="85"/>
      <c r="EA62" s="89"/>
      <c r="EB62" s="80"/>
      <c r="EC62" s="25"/>
      <c r="ED62" s="85"/>
      <c r="EE62" s="25"/>
      <c r="EF62" s="25"/>
      <c r="EG62" s="25"/>
      <c r="EH62" s="85"/>
      <c r="EI62" s="80"/>
      <c r="EK62" t="s">
        <v>2445</v>
      </c>
      <c r="EL62" s="25" t="str">
        <f>$M62</f>
        <v>2025 Chrysler Pacifica Hybrid</v>
      </c>
      <c r="EM62" s="80"/>
      <c r="EP62" s="75"/>
      <c r="EQ62" s="90"/>
      <c r="ET62" s="75"/>
      <c r="EU62" s="90"/>
      <c r="EV62" s="75"/>
      <c r="EW62" s="90"/>
      <c r="EY62" s="75"/>
      <c r="EZ62" s="102"/>
      <c r="FA62" s="25" t="str">
        <f>$M62</f>
        <v>2025 Chrysler Pacifica Hybrid</v>
      </c>
      <c r="FB62" s="75"/>
      <c r="FC62" s="91"/>
      <c r="FD62" s="80"/>
      <c r="FE62" s="25"/>
      <c r="FF62" s="85"/>
      <c r="FG62" s="25"/>
      <c r="FH62" s="25"/>
      <c r="FI62" s="85"/>
      <c r="FJ62" s="80"/>
      <c r="FK62" s="25"/>
      <c r="FL62" s="85"/>
      <c r="FM62" s="25" t="str">
        <f>$M62</f>
        <v>2025 Chrysler Pacifica Hybrid</v>
      </c>
      <c r="FN62" s="25"/>
      <c r="FO62" s="85"/>
      <c r="FP62" s="92"/>
      <c r="FQ62" s="93"/>
      <c r="FR62" s="94"/>
      <c r="FS62" s="95"/>
      <c r="FT62" s="25"/>
      <c r="FU62" s="25"/>
      <c r="FV62" s="25"/>
      <c r="FW62" s="25"/>
      <c r="FX62" s="25"/>
      <c r="FY62" s="25"/>
      <c r="FZ62" s="25"/>
      <c r="GA62" s="25"/>
      <c r="GB62" s="25"/>
      <c r="GC62" s="25"/>
      <c r="GD62" s="25"/>
      <c r="GE62" s="25"/>
      <c r="GF62" s="25"/>
      <c r="GG62" s="25"/>
      <c r="GH62" s="25"/>
    </row>
    <row r="63" spans="1:190" s="76" customFormat="1" x14ac:dyDescent="0.35">
      <c r="A63" s="76">
        <v>2025</v>
      </c>
      <c r="B63" s="76" t="s">
        <v>668</v>
      </c>
      <c r="C63" s="76" t="s">
        <v>1077</v>
      </c>
      <c r="D63" s="76" t="s">
        <v>2556</v>
      </c>
      <c r="E63" s="76" t="s">
        <v>671</v>
      </c>
      <c r="F63" s="76">
        <v>518</v>
      </c>
      <c r="G63" s="78">
        <v>3.6</v>
      </c>
      <c r="H63" s="76">
        <v>6</v>
      </c>
      <c r="I63" s="79" t="s">
        <v>587</v>
      </c>
      <c r="J63" s="96">
        <v>29</v>
      </c>
      <c r="K63" s="76">
        <v>30</v>
      </c>
      <c r="L63" s="76">
        <v>30</v>
      </c>
      <c r="M63" s="76">
        <v>42.742899999999999</v>
      </c>
      <c r="N63" s="76">
        <v>42.799799999999998</v>
      </c>
      <c r="O63" s="76">
        <v>42.768500000000003</v>
      </c>
      <c r="P63" s="76">
        <v>29.415800000000001</v>
      </c>
      <c r="Q63" s="76">
        <v>29.649899999999999</v>
      </c>
      <c r="R63" s="76">
        <v>29.520700000000001</v>
      </c>
      <c r="T63" s="76" t="s">
        <v>2557</v>
      </c>
      <c r="U63" s="76" t="s">
        <v>224</v>
      </c>
      <c r="V63" s="76" t="s">
        <v>588</v>
      </c>
      <c r="W63" s="76" t="s">
        <v>589</v>
      </c>
      <c r="Y63" s="76">
        <v>1</v>
      </c>
      <c r="Z63" s="76" t="s">
        <v>170</v>
      </c>
      <c r="AA63" s="76" t="s">
        <v>170</v>
      </c>
      <c r="AB63" s="76" t="s">
        <v>351</v>
      </c>
      <c r="AC63" s="76" t="s">
        <v>352</v>
      </c>
      <c r="AD63" s="76">
        <v>10</v>
      </c>
      <c r="AF63" s="76">
        <v>487</v>
      </c>
      <c r="AG63" s="76" t="s">
        <v>210</v>
      </c>
      <c r="AH63" s="76" t="s">
        <v>444</v>
      </c>
      <c r="AI63" s="76" t="s">
        <v>175</v>
      </c>
      <c r="AJ63" s="79" t="s">
        <v>176</v>
      </c>
      <c r="AK63" s="96" t="s">
        <v>940</v>
      </c>
      <c r="AL63" s="76" t="s">
        <v>941</v>
      </c>
      <c r="AR63" s="79"/>
      <c r="AS63" s="96">
        <v>1300</v>
      </c>
      <c r="AT63" s="79">
        <v>1300</v>
      </c>
      <c r="AU63" s="96">
        <v>39</v>
      </c>
      <c r="AV63" s="76">
        <v>45</v>
      </c>
      <c r="AW63" s="76">
        <v>41</v>
      </c>
      <c r="AX63" s="76">
        <v>27.3</v>
      </c>
      <c r="AY63" s="76">
        <v>30.7</v>
      </c>
      <c r="AZ63" s="76">
        <v>28.83</v>
      </c>
      <c r="BA63" s="76">
        <v>38.853999999999999</v>
      </c>
      <c r="BB63" s="76">
        <v>44.634</v>
      </c>
      <c r="BC63" s="76">
        <v>41.454999999999998</v>
      </c>
      <c r="BD63" s="76">
        <v>32</v>
      </c>
      <c r="BE63" s="76" t="s">
        <v>1735</v>
      </c>
      <c r="BF63" s="76" t="s">
        <v>1736</v>
      </c>
      <c r="BG63" s="76" t="s">
        <v>1742</v>
      </c>
      <c r="BH63" s="76" t="s">
        <v>1743</v>
      </c>
      <c r="BI63" s="76">
        <v>1300</v>
      </c>
      <c r="BJ63" s="2"/>
      <c r="BK63" s="2"/>
      <c r="BL63" s="2"/>
      <c r="BM63" s="79"/>
      <c r="BN63" s="98" t="s">
        <v>2558</v>
      </c>
      <c r="BO63" s="76">
        <v>2</v>
      </c>
      <c r="BP63" s="76">
        <v>2</v>
      </c>
      <c r="BQ63" s="76">
        <v>20</v>
      </c>
      <c r="BR63" s="76" t="s">
        <v>1079</v>
      </c>
      <c r="BS63" s="76">
        <v>1</v>
      </c>
      <c r="BT63" s="76" t="s">
        <v>2494</v>
      </c>
      <c r="BU63" s="99">
        <v>45500</v>
      </c>
      <c r="BV63" s="79">
        <v>35189</v>
      </c>
      <c r="BW63" s="120"/>
      <c r="BX63" s="96" t="s">
        <v>170</v>
      </c>
      <c r="BY63" s="76" t="s">
        <v>170</v>
      </c>
      <c r="CB63" s="76" t="s">
        <v>170</v>
      </c>
      <c r="CC63" s="76" t="s">
        <v>170</v>
      </c>
      <c r="CE63" s="76" t="s">
        <v>170</v>
      </c>
      <c r="CG63" s="76" t="s">
        <v>169</v>
      </c>
      <c r="CH63" s="76" t="s">
        <v>240</v>
      </c>
      <c r="CI63" s="76" t="s">
        <v>170</v>
      </c>
      <c r="CK63" s="76" t="s">
        <v>233</v>
      </c>
      <c r="CM63" s="76">
        <v>1</v>
      </c>
      <c r="CN63" s="76" t="s">
        <v>234</v>
      </c>
      <c r="CP63" s="76">
        <v>360</v>
      </c>
      <c r="CQ63" s="76">
        <v>47</v>
      </c>
      <c r="CR63" s="76">
        <v>95.9</v>
      </c>
      <c r="CS63" s="76" t="s">
        <v>235</v>
      </c>
      <c r="CV63" s="76" t="s">
        <v>341</v>
      </c>
      <c r="CX63" s="76" t="s">
        <v>729</v>
      </c>
      <c r="CY63" s="76" t="s">
        <v>170</v>
      </c>
      <c r="DD63" s="76">
        <v>1</v>
      </c>
      <c r="DE63" s="76" t="s">
        <v>237</v>
      </c>
      <c r="DG63" s="76">
        <v>89</v>
      </c>
      <c r="DJ63" s="76" t="s">
        <v>449</v>
      </c>
      <c r="DK63" s="76" t="s">
        <v>450</v>
      </c>
      <c r="DL63" s="76" t="s">
        <v>170</v>
      </c>
      <c r="DM63" s="76" t="s">
        <v>169</v>
      </c>
      <c r="DN63" s="76" t="s">
        <v>170</v>
      </c>
      <c r="DO63" s="76" t="s">
        <v>2559</v>
      </c>
      <c r="DP63" s="76" t="s">
        <v>170</v>
      </c>
      <c r="DQ63" s="76" t="s">
        <v>187</v>
      </c>
      <c r="DS63" s="76" t="s">
        <v>2496</v>
      </c>
      <c r="DT63" s="76" t="s">
        <v>2497</v>
      </c>
      <c r="DU63" s="76" t="s">
        <v>2498</v>
      </c>
      <c r="DV63" s="76" t="s">
        <v>2499</v>
      </c>
      <c r="DZ63" s="79"/>
      <c r="EA63" s="101"/>
      <c r="EB63" s="96">
        <v>8</v>
      </c>
      <c r="EC63" s="76">
        <v>9</v>
      </c>
      <c r="ED63" s="79"/>
      <c r="EE63" s="76" t="s">
        <v>2560</v>
      </c>
      <c r="EF63" s="76">
        <v>6</v>
      </c>
      <c r="EH63" s="79"/>
      <c r="EI63" s="96"/>
      <c r="EM63" s="96"/>
      <c r="EP63" s="79"/>
      <c r="EQ63" s="96"/>
      <c r="ET63" s="79"/>
      <c r="EU63" s="96">
        <v>3000</v>
      </c>
      <c r="EV63" s="79"/>
      <c r="EW63" s="96">
        <v>0</v>
      </c>
      <c r="EX63" s="76">
        <v>0</v>
      </c>
      <c r="EY63" s="79">
        <v>0</v>
      </c>
      <c r="EZ63" s="102">
        <f>FI63</f>
        <v>119</v>
      </c>
      <c r="FA63" s="76">
        <v>2</v>
      </c>
      <c r="FB63" s="79"/>
      <c r="FC63" s="97">
        <v>520</v>
      </c>
      <c r="FD63" s="96">
        <v>50</v>
      </c>
      <c r="FE63" s="76">
        <v>46</v>
      </c>
      <c r="FF63" s="79">
        <v>48</v>
      </c>
      <c r="FG63" s="76">
        <v>112.7</v>
      </c>
      <c r="FH63" s="76">
        <v>126.9</v>
      </c>
      <c r="FI63" s="103">
        <v>119</v>
      </c>
      <c r="FJ63" s="104">
        <v>34.409999999999997</v>
      </c>
      <c r="FK63" s="105">
        <v>29.49</v>
      </c>
      <c r="FL63" s="79">
        <v>32</v>
      </c>
      <c r="FM63" s="76">
        <v>0.63</v>
      </c>
      <c r="FN63" s="76">
        <v>0.57999999999999996</v>
      </c>
      <c r="FO63" s="79">
        <v>0.60899999999999999</v>
      </c>
      <c r="FP63" s="106">
        <v>0</v>
      </c>
      <c r="FQ63" s="107">
        <v>0</v>
      </c>
      <c r="FR63" s="107">
        <v>0</v>
      </c>
      <c r="FS63" s="108">
        <v>16.5</v>
      </c>
    </row>
    <row r="64" spans="1:190" s="76" customFormat="1" x14ac:dyDescent="0.35">
      <c r="A64" s="76">
        <v>2025</v>
      </c>
      <c r="B64" s="162" t="s">
        <v>668</v>
      </c>
      <c r="C64" s="162" t="s">
        <v>1077</v>
      </c>
      <c r="D64" s="162" t="s">
        <v>2556</v>
      </c>
      <c r="E64" s="162" t="s">
        <v>671</v>
      </c>
      <c r="F64" s="162">
        <v>518</v>
      </c>
      <c r="G64" s="162">
        <v>3.6</v>
      </c>
      <c r="H64" s="162">
        <v>6</v>
      </c>
      <c r="I64" s="163" t="s">
        <v>587</v>
      </c>
      <c r="J64" s="96">
        <f t="shared" ref="J64:R64" si="17">J63</f>
        <v>29</v>
      </c>
      <c r="K64" s="76">
        <f t="shared" si="17"/>
        <v>30</v>
      </c>
      <c r="L64" s="76">
        <f t="shared" si="17"/>
        <v>30</v>
      </c>
      <c r="M64" s="76">
        <f t="shared" si="17"/>
        <v>42.742899999999999</v>
      </c>
      <c r="N64" s="76">
        <f t="shared" si="17"/>
        <v>42.799799999999998</v>
      </c>
      <c r="O64" s="76">
        <f t="shared" si="17"/>
        <v>42.768500000000003</v>
      </c>
      <c r="P64" s="76">
        <f t="shared" si="17"/>
        <v>29.415800000000001</v>
      </c>
      <c r="Q64" s="76">
        <f t="shared" si="17"/>
        <v>29.649899999999999</v>
      </c>
      <c r="R64" s="76">
        <f t="shared" si="17"/>
        <v>29.520700000000001</v>
      </c>
      <c r="T64" s="76" t="str">
        <f>T63</f>
        <v>NA</v>
      </c>
      <c r="U64" s="76" t="str">
        <f>U63</f>
        <v>Naturally Aspirated</v>
      </c>
      <c r="V64" s="76" t="str">
        <f>V63</f>
        <v>CVT</v>
      </c>
      <c r="W64" s="76" t="str">
        <f>W63</f>
        <v>Continuously Variable</v>
      </c>
      <c r="Y64" s="76">
        <f t="shared" ref="Y64:AD64" si="18">Y63</f>
        <v>1</v>
      </c>
      <c r="Z64" s="76" t="str">
        <f t="shared" si="18"/>
        <v>N</v>
      </c>
      <c r="AA64" s="76" t="str">
        <f t="shared" si="18"/>
        <v>N</v>
      </c>
      <c r="AB64" s="76" t="str">
        <f t="shared" si="18"/>
        <v>F</v>
      </c>
      <c r="AC64" s="76" t="str">
        <f t="shared" si="18"/>
        <v>2-Wheel Drive, Front</v>
      </c>
      <c r="AD64" s="76">
        <f t="shared" si="18"/>
        <v>10</v>
      </c>
      <c r="AF64" s="76">
        <f>AF63</f>
        <v>487</v>
      </c>
      <c r="AG64" s="76" t="str">
        <f>AG63</f>
        <v>G</v>
      </c>
      <c r="AH64" s="76" t="str">
        <f>AH63</f>
        <v>Gasoline (Regular Unleaded Recommended)</v>
      </c>
      <c r="AI64" s="76" t="str">
        <f>AI63</f>
        <v>MPG</v>
      </c>
      <c r="AJ64" s="79" t="str">
        <f>AJ63</f>
        <v>miles per gallon</v>
      </c>
      <c r="AK64" s="96" t="s">
        <v>940</v>
      </c>
      <c r="AL64" s="76" t="s">
        <v>941</v>
      </c>
      <c r="AR64" s="79"/>
      <c r="AS64" s="96">
        <v>1300</v>
      </c>
      <c r="AT64" s="79">
        <v>1300</v>
      </c>
      <c r="AU64" s="96">
        <v>87</v>
      </c>
      <c r="AV64" s="76">
        <v>77</v>
      </c>
      <c r="AW64" s="76">
        <v>82</v>
      </c>
      <c r="AX64" s="76">
        <v>123.6</v>
      </c>
      <c r="AY64" s="76">
        <v>109.8</v>
      </c>
      <c r="AZ64" s="76">
        <v>116.9837</v>
      </c>
      <c r="BA64" s="76">
        <v>86.674300000000002</v>
      </c>
      <c r="BB64" s="76">
        <v>76.873500000000007</v>
      </c>
      <c r="BC64" s="76">
        <v>81.971500000000006</v>
      </c>
      <c r="BD64" s="76">
        <v>32</v>
      </c>
      <c r="BE64" s="76" t="s">
        <v>1735</v>
      </c>
      <c r="BF64" s="76" t="s">
        <v>1736</v>
      </c>
      <c r="BG64" s="76" t="s">
        <v>175</v>
      </c>
      <c r="BH64" s="76" t="s">
        <v>176</v>
      </c>
      <c r="BI64" s="76">
        <v>1300</v>
      </c>
      <c r="BM64" s="79"/>
      <c r="BN64" s="98" t="s">
        <v>2558</v>
      </c>
      <c r="BO64" s="76">
        <v>2</v>
      </c>
      <c r="BP64" s="76">
        <v>2</v>
      </c>
      <c r="BQ64" s="76">
        <v>20</v>
      </c>
      <c r="BR64" s="76" t="s">
        <v>1079</v>
      </c>
      <c r="BS64" s="76">
        <v>1</v>
      </c>
      <c r="BT64" s="76" t="s">
        <v>2494</v>
      </c>
      <c r="BU64" s="99">
        <v>45500</v>
      </c>
      <c r="BV64" s="79">
        <v>35189</v>
      </c>
      <c r="BW64" s="120"/>
      <c r="BX64" s="96" t="s">
        <v>170</v>
      </c>
      <c r="BY64" s="76" t="s">
        <v>170</v>
      </c>
      <c r="CB64" s="76" t="s">
        <v>170</v>
      </c>
      <c r="CC64" s="76" t="s">
        <v>170</v>
      </c>
      <c r="CE64" s="76" t="s">
        <v>170</v>
      </c>
      <c r="CG64" s="76" t="s">
        <v>169</v>
      </c>
      <c r="CH64" s="76" t="s">
        <v>240</v>
      </c>
      <c r="CI64" s="76" t="s">
        <v>170</v>
      </c>
      <c r="CK64" s="76" t="s">
        <v>233</v>
      </c>
      <c r="CM64" s="76">
        <v>1</v>
      </c>
      <c r="CN64" s="76" t="s">
        <v>234</v>
      </c>
      <c r="CP64" s="76">
        <v>360</v>
      </c>
      <c r="CQ64" s="76">
        <v>47</v>
      </c>
      <c r="CR64" s="76">
        <v>95.9</v>
      </c>
      <c r="CS64" s="76" t="s">
        <v>235</v>
      </c>
      <c r="CV64" s="76" t="s">
        <v>341</v>
      </c>
      <c r="CX64" s="76" t="s">
        <v>729</v>
      </c>
      <c r="CY64" s="76" t="s">
        <v>170</v>
      </c>
      <c r="DD64" s="76">
        <v>1</v>
      </c>
      <c r="DE64" s="76" t="s">
        <v>237</v>
      </c>
      <c r="DG64" s="76">
        <v>89</v>
      </c>
      <c r="DJ64" s="76" t="s">
        <v>449</v>
      </c>
      <c r="DK64" s="76" t="s">
        <v>450</v>
      </c>
      <c r="DL64" s="76" t="s">
        <v>170</v>
      </c>
      <c r="DM64" s="76" t="s">
        <v>169</v>
      </c>
      <c r="DN64" s="76" t="s">
        <v>170</v>
      </c>
      <c r="DO64" s="76" t="s">
        <v>2559</v>
      </c>
      <c r="DP64" s="76" t="s">
        <v>170</v>
      </c>
      <c r="DQ64" s="76" t="s">
        <v>187</v>
      </c>
      <c r="DS64" s="76" t="s">
        <v>2496</v>
      </c>
      <c r="DT64" s="76" t="s">
        <v>2497</v>
      </c>
      <c r="DU64" s="76" t="s">
        <v>2498</v>
      </c>
      <c r="DV64" s="76" t="s">
        <v>2499</v>
      </c>
      <c r="DZ64" s="79"/>
      <c r="EA64" s="101"/>
      <c r="EB64" s="96">
        <v>8</v>
      </c>
      <c r="EC64" s="76">
        <v>9</v>
      </c>
      <c r="ED64" s="79"/>
      <c r="EE64" s="76" t="s">
        <v>2560</v>
      </c>
      <c r="EF64" s="76">
        <v>6</v>
      </c>
      <c r="EH64" s="79"/>
      <c r="EI64" s="96"/>
      <c r="EM64" s="96"/>
      <c r="EP64" s="79"/>
      <c r="EQ64" s="96"/>
      <c r="ET64" s="79"/>
      <c r="EU64" s="96">
        <v>3000</v>
      </c>
      <c r="EV64" s="79"/>
      <c r="EW64" s="96">
        <v>300</v>
      </c>
      <c r="EX64" s="76">
        <v>299</v>
      </c>
      <c r="EY64" s="79">
        <v>300</v>
      </c>
      <c r="EZ64" s="102">
        <f>FI64</f>
        <v>119</v>
      </c>
      <c r="FA64" s="76">
        <v>2</v>
      </c>
      <c r="FB64" s="79"/>
      <c r="FC64" s="97">
        <v>520</v>
      </c>
      <c r="FD64" s="96">
        <v>50</v>
      </c>
      <c r="FE64" s="76">
        <v>46</v>
      </c>
      <c r="FF64" s="79">
        <v>48</v>
      </c>
      <c r="FG64" s="76">
        <v>112.7</v>
      </c>
      <c r="FH64" s="76">
        <v>126.9</v>
      </c>
      <c r="FI64" s="103">
        <v>119</v>
      </c>
      <c r="FJ64" s="98" t="s">
        <v>2561</v>
      </c>
      <c r="FL64" s="79"/>
      <c r="FM64" s="76">
        <v>0.63</v>
      </c>
      <c r="FN64" s="76">
        <v>0.57999999999999996</v>
      </c>
      <c r="FO64" s="79">
        <v>0.60899999999999999</v>
      </c>
      <c r="FP64" s="106"/>
      <c r="FQ64" s="107"/>
      <c r="FR64" s="107"/>
      <c r="FS64" s="108">
        <v>16.5</v>
      </c>
    </row>
    <row r="65" spans="1:190" s="77" customFormat="1" x14ac:dyDescent="0.35">
      <c r="A65" s="76"/>
      <c r="E65" s="76"/>
      <c r="F65" s="76"/>
      <c r="G65" s="78"/>
      <c r="H65" s="76"/>
      <c r="I65" s="79"/>
      <c r="J65" s="80"/>
      <c r="K65" s="28"/>
      <c r="L65" s="28"/>
      <c r="M65" s="25" t="str">
        <f>_xlfn.CONCAT(A66," ",C66," ",D66)</f>
        <v>2025 Dodge Hornet PHEV AWD</v>
      </c>
      <c r="N65" s="28"/>
      <c r="O65" s="28"/>
      <c r="P65" s="28"/>
      <c r="Q65" s="28"/>
      <c r="R65" s="28"/>
      <c r="S65" s="28"/>
      <c r="T65" s="28"/>
      <c r="U65" s="28"/>
      <c r="V65" s="28"/>
      <c r="W65" s="28"/>
      <c r="X65" s="28"/>
      <c r="Y65" s="28"/>
      <c r="Z65" s="28"/>
      <c r="AA65" s="28"/>
      <c r="AB65" s="28"/>
      <c r="AC65" s="28"/>
      <c r="AD65" s="25" t="str">
        <f>$M65</f>
        <v>2025 Dodge Hornet PHEV AWD</v>
      </c>
      <c r="AE65" s="28"/>
      <c r="AF65" s="28"/>
      <c r="AG65" s="28"/>
      <c r="AH65" s="28"/>
      <c r="AI65" s="28"/>
      <c r="AJ65" s="81"/>
      <c r="AK65" s="82"/>
      <c r="AL65" s="2"/>
      <c r="AM65" s="2"/>
      <c r="AN65" s="2"/>
      <c r="AO65" s="2"/>
      <c r="AP65" s="2"/>
      <c r="AQ65" s="2"/>
      <c r="AR65" s="83"/>
      <c r="AS65" s="84"/>
      <c r="AT65" s="85" t="str">
        <f>$M65</f>
        <v>2025 Dodge Hornet PHEV AWD</v>
      </c>
      <c r="AU65" s="84"/>
      <c r="AV65" s="28"/>
      <c r="AW65" s="28"/>
      <c r="AX65" s="28"/>
      <c r="AY65" s="28"/>
      <c r="AZ65" s="28"/>
      <c r="BA65" s="28"/>
      <c r="BB65" s="28"/>
      <c r="BC65" s="28"/>
      <c r="BD65" s="28"/>
      <c r="BE65" s="28"/>
      <c r="BF65" s="28"/>
      <c r="BG65" s="28"/>
      <c r="BH65" s="28"/>
      <c r="BI65" s="25" t="str">
        <f>$M65</f>
        <v>2025 Dodge Hornet PHEV AWD</v>
      </c>
      <c r="BJ65" s="28"/>
      <c r="BK65" s="28"/>
      <c r="BL65" s="28"/>
      <c r="BM65" s="81"/>
      <c r="BN65" s="82"/>
      <c r="BO65" s="2"/>
      <c r="BP65" s="2"/>
      <c r="BQ65" s="2"/>
      <c r="BR65" s="2"/>
      <c r="BS65" s="2"/>
      <c r="BT65" s="86"/>
      <c r="BU65" s="2"/>
      <c r="BV65" s="83"/>
      <c r="BW65" s="121"/>
      <c r="BX65" s="84"/>
      <c r="BY65" s="25" t="str">
        <f>$M65</f>
        <v>2025 Dodge Hornet PHEV AWD</v>
      </c>
      <c r="BZ65" s="28"/>
      <c r="CA65" s="28"/>
      <c r="CB65" s="28"/>
      <c r="CC65" s="28"/>
      <c r="CD65" s="28"/>
      <c r="CE65" s="88"/>
      <c r="CF65" s="28"/>
      <c r="CG65" s="28"/>
      <c r="CH65" s="28"/>
      <c r="CI65" s="28"/>
      <c r="CJ65" s="28"/>
      <c r="CK65" s="28"/>
      <c r="CL65" s="28"/>
      <c r="CM65" s="28"/>
      <c r="CN65" s="28"/>
      <c r="CO65" s="25" t="str">
        <f>$M65</f>
        <v>2025 Dodge Hornet PHEV AWD</v>
      </c>
      <c r="CP65" s="28"/>
      <c r="CQ65" s="28"/>
      <c r="CR65" s="28"/>
      <c r="CS65" s="28"/>
      <c r="CT65" s="28"/>
      <c r="CU65" s="28"/>
      <c r="CV65" s="28"/>
      <c r="CW65" s="28"/>
      <c r="CX65" s="28"/>
      <c r="CY65" s="28"/>
      <c r="CZ65" s="28"/>
      <c r="DA65" s="28"/>
      <c r="DB65" s="28"/>
      <c r="DC65" s="28"/>
      <c r="DD65" s="28"/>
      <c r="DE65" s="28"/>
      <c r="DF65" s="25" t="str">
        <f>$M65</f>
        <v>2025 Dodge Hornet PHEV AWD</v>
      </c>
      <c r="DG65" s="28"/>
      <c r="DH65" s="28"/>
      <c r="DI65" s="28"/>
      <c r="DJ65" s="28"/>
      <c r="DK65" s="28"/>
      <c r="DL65" s="28"/>
      <c r="DM65" s="28"/>
      <c r="DN65" s="28"/>
      <c r="DO65" s="28"/>
      <c r="DP65" s="28"/>
      <c r="DQ65" s="28"/>
      <c r="DR65" s="25"/>
      <c r="DS65" s="25"/>
      <c r="DT65" s="25"/>
      <c r="DU65" s="25"/>
      <c r="DV65" s="25"/>
      <c r="DW65" s="25" t="str">
        <f>$M65</f>
        <v>2025 Dodge Hornet PHEV AWD</v>
      </c>
      <c r="DX65" s="25"/>
      <c r="DY65" s="25"/>
      <c r="DZ65" s="85"/>
      <c r="EA65" s="89"/>
      <c r="EB65" s="80"/>
      <c r="EC65" s="25"/>
      <c r="ED65" s="85"/>
      <c r="EE65" s="25"/>
      <c r="EF65" s="25"/>
      <c r="EG65" s="25"/>
      <c r="EH65" s="85"/>
      <c r="EI65" s="80"/>
      <c r="EK65" t="s">
        <v>2445</v>
      </c>
      <c r="EL65" s="25" t="str">
        <f>$M65</f>
        <v>2025 Dodge Hornet PHEV AWD</v>
      </c>
      <c r="EM65" s="80"/>
      <c r="EP65" s="75"/>
      <c r="EQ65" s="90"/>
      <c r="ET65" s="75"/>
      <c r="EU65" s="90"/>
      <c r="EV65" s="75"/>
      <c r="EW65" s="90"/>
      <c r="EY65" s="75"/>
      <c r="EZ65" s="102"/>
      <c r="FA65" s="25" t="str">
        <f>$M65</f>
        <v>2025 Dodge Hornet PHEV AWD</v>
      </c>
      <c r="FB65" s="75"/>
      <c r="FC65" s="91"/>
      <c r="FD65" s="80"/>
      <c r="FE65" s="25"/>
      <c r="FF65" s="85"/>
      <c r="FG65" s="25"/>
      <c r="FH65" s="25"/>
      <c r="FI65" s="85"/>
      <c r="FJ65" s="80"/>
      <c r="FK65" s="25"/>
      <c r="FL65" s="85"/>
      <c r="FM65" s="25" t="str">
        <f>$M65</f>
        <v>2025 Dodge Hornet PHEV AWD</v>
      </c>
      <c r="FN65" s="25"/>
      <c r="FO65" s="85"/>
      <c r="FP65" s="92"/>
      <c r="FQ65" s="93"/>
      <c r="FR65" s="94"/>
      <c r="FS65" s="95"/>
      <c r="FT65" s="25"/>
      <c r="FU65" s="25"/>
      <c r="FV65" s="25"/>
      <c r="FW65" s="25"/>
      <c r="FX65" s="25"/>
      <c r="FY65" s="25"/>
      <c r="FZ65" s="25"/>
      <c r="GA65" s="25"/>
      <c r="GB65" s="25"/>
      <c r="GC65" s="25"/>
      <c r="GD65" s="25"/>
      <c r="GE65" s="25"/>
      <c r="GF65" s="25"/>
      <c r="GG65" s="25"/>
      <c r="GH65" s="25"/>
    </row>
    <row r="66" spans="1:190" s="76" customFormat="1" x14ac:dyDescent="0.35">
      <c r="A66" s="76">
        <v>2025</v>
      </c>
      <c r="B66" s="76" t="s">
        <v>668</v>
      </c>
      <c r="C66" s="76" t="s">
        <v>1273</v>
      </c>
      <c r="D66" s="76" t="s">
        <v>2562</v>
      </c>
      <c r="E66" s="76" t="s">
        <v>671</v>
      </c>
      <c r="F66" s="76">
        <v>400</v>
      </c>
      <c r="G66" s="78">
        <v>1.3</v>
      </c>
      <c r="H66" s="76">
        <v>4</v>
      </c>
      <c r="I66" s="79" t="s">
        <v>903</v>
      </c>
      <c r="J66" s="96">
        <v>29</v>
      </c>
      <c r="K66" s="76">
        <v>29</v>
      </c>
      <c r="L66" s="76">
        <v>29</v>
      </c>
      <c r="M66" s="76">
        <v>38.200000000000003</v>
      </c>
      <c r="N66" s="76">
        <v>45.2</v>
      </c>
      <c r="O66" s="76">
        <v>41.070300000000003</v>
      </c>
      <c r="P66" s="76">
        <v>28.881799999999998</v>
      </c>
      <c r="Q66" s="76">
        <v>28.869900000000001</v>
      </c>
      <c r="R66" s="76">
        <v>28.8764</v>
      </c>
      <c r="T66" s="76" t="s">
        <v>165</v>
      </c>
      <c r="U66" s="76" t="s">
        <v>166</v>
      </c>
      <c r="V66" s="76" t="s">
        <v>167</v>
      </c>
      <c r="W66" s="76" t="s">
        <v>168</v>
      </c>
      <c r="Y66" s="76">
        <v>6</v>
      </c>
      <c r="Z66" s="76" t="s">
        <v>169</v>
      </c>
      <c r="AA66" s="76" t="s">
        <v>170</v>
      </c>
      <c r="AB66" s="76" t="s">
        <v>167</v>
      </c>
      <c r="AC66" s="76" t="s">
        <v>213</v>
      </c>
      <c r="AD66" s="76">
        <v>10</v>
      </c>
      <c r="AF66" s="76">
        <v>323</v>
      </c>
      <c r="AG66" s="76" t="s">
        <v>210</v>
      </c>
      <c r="AH66" s="76" t="s">
        <v>444</v>
      </c>
      <c r="AI66" s="76" t="s">
        <v>175</v>
      </c>
      <c r="AJ66" s="79" t="s">
        <v>176</v>
      </c>
      <c r="AK66" s="96" t="s">
        <v>940</v>
      </c>
      <c r="AL66" s="76" t="s">
        <v>941</v>
      </c>
      <c r="AR66" s="79"/>
      <c r="AS66" s="96">
        <v>1350</v>
      </c>
      <c r="AT66" s="79">
        <v>1350</v>
      </c>
      <c r="AU66" s="96">
        <v>44</v>
      </c>
      <c r="AV66" s="76">
        <v>43</v>
      </c>
      <c r="AW66" s="76">
        <v>44</v>
      </c>
      <c r="AX66" s="76">
        <v>30.9</v>
      </c>
      <c r="AY66" s="76">
        <v>30.6</v>
      </c>
      <c r="AZ66" s="76">
        <v>30.765000000000001</v>
      </c>
      <c r="BA66" s="76">
        <v>44.136000000000003</v>
      </c>
      <c r="BB66" s="76">
        <v>43.456000000000003</v>
      </c>
      <c r="BC66" s="76">
        <v>43.83</v>
      </c>
      <c r="BD66" s="76">
        <v>33</v>
      </c>
      <c r="BE66" s="76" t="s">
        <v>1735</v>
      </c>
      <c r="BF66" s="76" t="s">
        <v>1736</v>
      </c>
      <c r="BG66" s="76" t="s">
        <v>1742</v>
      </c>
      <c r="BH66" s="76" t="s">
        <v>1743</v>
      </c>
      <c r="BI66" s="76">
        <v>1350</v>
      </c>
      <c r="BJ66" s="2"/>
      <c r="BK66" s="2"/>
      <c r="BL66" s="2"/>
      <c r="BM66" s="79"/>
      <c r="BN66" s="98" t="s">
        <v>2493</v>
      </c>
      <c r="BO66" s="76">
        <v>2</v>
      </c>
      <c r="BP66" s="76">
        <v>2</v>
      </c>
      <c r="BQ66" s="76">
        <v>31</v>
      </c>
      <c r="BR66" s="76" t="s">
        <v>1219</v>
      </c>
      <c r="BT66" s="76" t="s">
        <v>2494</v>
      </c>
      <c r="BU66" s="99">
        <v>45444</v>
      </c>
      <c r="BV66" s="79">
        <v>34830</v>
      </c>
      <c r="BW66" s="120"/>
      <c r="BX66" s="96" t="s">
        <v>170</v>
      </c>
      <c r="BY66" s="76" t="s">
        <v>170</v>
      </c>
      <c r="CB66" s="76" t="s">
        <v>170</v>
      </c>
      <c r="CC66" s="76" t="s">
        <v>170</v>
      </c>
      <c r="CE66" s="76" t="s">
        <v>170</v>
      </c>
      <c r="CG66" s="76" t="s">
        <v>169</v>
      </c>
      <c r="CH66" s="76" t="s">
        <v>2495</v>
      </c>
      <c r="CI66" s="76" t="s">
        <v>169</v>
      </c>
      <c r="CJ66" s="76" t="s">
        <v>2495</v>
      </c>
      <c r="CK66" s="76" t="s">
        <v>233</v>
      </c>
      <c r="CM66" s="76">
        <v>1</v>
      </c>
      <c r="CN66" s="76" t="s">
        <v>234</v>
      </c>
      <c r="CP66" s="76">
        <v>304</v>
      </c>
      <c r="CQ66" s="76">
        <v>51</v>
      </c>
      <c r="CR66" s="76">
        <v>15.5</v>
      </c>
      <c r="CS66" s="76" t="s">
        <v>235</v>
      </c>
      <c r="CV66" s="76" t="s">
        <v>341</v>
      </c>
      <c r="CX66" s="76" t="s">
        <v>342</v>
      </c>
      <c r="CY66" s="76" t="s">
        <v>170</v>
      </c>
      <c r="DD66" s="76">
        <v>1</v>
      </c>
      <c r="DE66" s="76" t="s">
        <v>237</v>
      </c>
      <c r="DG66" s="76">
        <v>89</v>
      </c>
      <c r="DJ66" s="76" t="s">
        <v>184</v>
      </c>
      <c r="DK66" s="76" t="s">
        <v>185</v>
      </c>
      <c r="DL66" s="76" t="s">
        <v>170</v>
      </c>
      <c r="DM66" s="76" t="s">
        <v>169</v>
      </c>
      <c r="DN66" s="76" t="s">
        <v>170</v>
      </c>
      <c r="DO66" s="76" t="s">
        <v>358</v>
      </c>
      <c r="DP66" s="76" t="s">
        <v>170</v>
      </c>
      <c r="DQ66" s="76" t="s">
        <v>187</v>
      </c>
      <c r="DS66" s="76" t="s">
        <v>2496</v>
      </c>
      <c r="DT66" s="76" t="s">
        <v>2497</v>
      </c>
      <c r="DU66" s="76" t="s">
        <v>2498</v>
      </c>
      <c r="DV66" s="76" t="s">
        <v>2499</v>
      </c>
      <c r="DZ66" s="79"/>
      <c r="EA66" s="101"/>
      <c r="EB66" s="96">
        <v>8</v>
      </c>
      <c r="EC66" s="76">
        <v>9</v>
      </c>
      <c r="ED66" s="79">
        <v>10</v>
      </c>
      <c r="EE66" s="76" t="s">
        <v>2500</v>
      </c>
      <c r="EF66" s="76">
        <v>5</v>
      </c>
      <c r="EH66" s="79"/>
      <c r="EI66" s="96"/>
      <c r="EM66" s="96"/>
      <c r="EP66" s="79"/>
      <c r="EQ66" s="96"/>
      <c r="ET66" s="79"/>
      <c r="EU66" s="96">
        <v>2750</v>
      </c>
      <c r="EV66" s="79"/>
      <c r="EW66" s="96">
        <v>0</v>
      </c>
      <c r="EX66" s="76">
        <v>0</v>
      </c>
      <c r="EY66" s="79">
        <v>0</v>
      </c>
      <c r="EZ66" s="102">
        <f>FI66</f>
        <v>120</v>
      </c>
      <c r="FA66" s="76">
        <v>4</v>
      </c>
      <c r="FB66" s="79"/>
      <c r="FC66" s="97">
        <v>360</v>
      </c>
      <c r="FD66" s="96">
        <v>46</v>
      </c>
      <c r="FE66" s="76">
        <v>47</v>
      </c>
      <c r="FF66" s="79">
        <v>47</v>
      </c>
      <c r="FG66" s="76">
        <v>119.6</v>
      </c>
      <c r="FH66" s="76">
        <v>120.8</v>
      </c>
      <c r="FI66" s="103">
        <v>120</v>
      </c>
      <c r="FJ66" s="104">
        <v>32.581000000000003</v>
      </c>
      <c r="FK66" s="105">
        <v>32.552999999999997</v>
      </c>
      <c r="FL66" s="79">
        <v>33</v>
      </c>
      <c r="FM66" s="76">
        <v>0.61299999999999999</v>
      </c>
      <c r="FN66" s="76">
        <v>0.61199999999999999</v>
      </c>
      <c r="FO66" s="79">
        <v>0.61199999999999999</v>
      </c>
      <c r="FP66" s="106">
        <v>0</v>
      </c>
      <c r="FQ66" s="107">
        <v>0</v>
      </c>
      <c r="FR66" s="107">
        <v>0</v>
      </c>
      <c r="FS66" s="108">
        <v>11.2</v>
      </c>
    </row>
    <row r="67" spans="1:190" s="76" customFormat="1" x14ac:dyDescent="0.35">
      <c r="A67" s="76">
        <v>2025</v>
      </c>
      <c r="B67" s="162" t="s">
        <v>668</v>
      </c>
      <c r="C67" s="162" t="s">
        <v>1273</v>
      </c>
      <c r="D67" s="162" t="s">
        <v>2562</v>
      </c>
      <c r="E67" s="162" t="s">
        <v>671</v>
      </c>
      <c r="F67" s="162">
        <v>400</v>
      </c>
      <c r="G67" s="162">
        <v>1.3</v>
      </c>
      <c r="H67" s="162">
        <v>4</v>
      </c>
      <c r="I67" s="163" t="s">
        <v>903</v>
      </c>
      <c r="J67" s="96">
        <f t="shared" ref="J67:R67" si="19">J66</f>
        <v>29</v>
      </c>
      <c r="K67" s="76">
        <f t="shared" si="19"/>
        <v>29</v>
      </c>
      <c r="L67" s="76">
        <f t="shared" si="19"/>
        <v>29</v>
      </c>
      <c r="M67" s="76">
        <f t="shared" si="19"/>
        <v>38.200000000000003</v>
      </c>
      <c r="N67" s="76">
        <f t="shared" si="19"/>
        <v>45.2</v>
      </c>
      <c r="O67" s="76">
        <f t="shared" si="19"/>
        <v>41.070300000000003</v>
      </c>
      <c r="P67" s="76">
        <f t="shared" si="19"/>
        <v>28.881799999999998</v>
      </c>
      <c r="Q67" s="76">
        <f t="shared" si="19"/>
        <v>28.869900000000001</v>
      </c>
      <c r="R67" s="76">
        <f t="shared" si="19"/>
        <v>28.8764</v>
      </c>
      <c r="T67" s="76" t="str">
        <f>T66</f>
        <v>TC</v>
      </c>
      <c r="U67" s="76" t="str">
        <f>U66</f>
        <v>Turbocharged</v>
      </c>
      <c r="V67" s="76" t="str">
        <f>V66</f>
        <v>A</v>
      </c>
      <c r="W67" s="76" t="str">
        <f>W66</f>
        <v>Automatic</v>
      </c>
      <c r="Y67" s="76">
        <f t="shared" ref="Y67:AD67" si="20">Y66</f>
        <v>6</v>
      </c>
      <c r="Z67" s="76" t="str">
        <f t="shared" si="20"/>
        <v>Y</v>
      </c>
      <c r="AA67" s="76" t="str">
        <f t="shared" si="20"/>
        <v>N</v>
      </c>
      <c r="AB67" s="76" t="str">
        <f t="shared" si="20"/>
        <v>A</v>
      </c>
      <c r="AC67" s="76" t="str">
        <f t="shared" si="20"/>
        <v>All Wheel Drive</v>
      </c>
      <c r="AD67" s="76">
        <f t="shared" si="20"/>
        <v>10</v>
      </c>
      <c r="AF67" s="76">
        <f>AF66</f>
        <v>323</v>
      </c>
      <c r="AG67" s="76" t="str">
        <f>AG66</f>
        <v>G</v>
      </c>
      <c r="AH67" s="76" t="str">
        <f>AH66</f>
        <v>Gasoline (Regular Unleaded Recommended)</v>
      </c>
      <c r="AI67" s="76" t="str">
        <f>AI66</f>
        <v>MPG</v>
      </c>
      <c r="AJ67" s="79" t="str">
        <f>AJ66</f>
        <v>miles per gallon</v>
      </c>
      <c r="AK67" s="96" t="s">
        <v>940</v>
      </c>
      <c r="AL67" s="76" t="s">
        <v>941</v>
      </c>
      <c r="AR67" s="79"/>
      <c r="AS67" s="96">
        <v>1350</v>
      </c>
      <c r="AT67" s="79">
        <v>1350</v>
      </c>
      <c r="AU67" s="96">
        <v>77</v>
      </c>
      <c r="AV67" s="76">
        <v>77</v>
      </c>
      <c r="AW67" s="76">
        <v>77</v>
      </c>
      <c r="AX67" s="76">
        <v>109.2</v>
      </c>
      <c r="AY67" s="76">
        <v>110</v>
      </c>
      <c r="AZ67" s="76">
        <v>109.5586</v>
      </c>
      <c r="BA67" s="76">
        <v>76.627899999999997</v>
      </c>
      <c r="BB67" s="76">
        <v>77.021199999999993</v>
      </c>
      <c r="BC67" s="76">
        <v>76.804400000000001</v>
      </c>
      <c r="BD67" s="76">
        <v>33</v>
      </c>
      <c r="BE67" s="76" t="s">
        <v>1735</v>
      </c>
      <c r="BF67" s="76" t="s">
        <v>1736</v>
      </c>
      <c r="BG67" s="76" t="s">
        <v>175</v>
      </c>
      <c r="BH67" s="76" t="s">
        <v>176</v>
      </c>
      <c r="BI67" s="76">
        <v>1350</v>
      </c>
      <c r="BM67" s="79"/>
      <c r="BN67" s="98" t="s">
        <v>2493</v>
      </c>
      <c r="BO67" s="76">
        <v>2</v>
      </c>
      <c r="BP67" s="76">
        <v>2</v>
      </c>
      <c r="BQ67" s="76">
        <v>31</v>
      </c>
      <c r="BR67" s="76" t="s">
        <v>1219</v>
      </c>
      <c r="BT67" s="76" t="s">
        <v>2494</v>
      </c>
      <c r="BU67" s="99">
        <v>45444</v>
      </c>
      <c r="BV67" s="79">
        <v>34830</v>
      </c>
      <c r="BW67" s="120"/>
      <c r="BX67" s="96" t="s">
        <v>170</v>
      </c>
      <c r="BY67" s="76" t="s">
        <v>170</v>
      </c>
      <c r="CB67" s="76" t="s">
        <v>170</v>
      </c>
      <c r="CC67" s="76" t="s">
        <v>170</v>
      </c>
      <c r="CE67" s="76" t="s">
        <v>170</v>
      </c>
      <c r="CG67" s="76" t="s">
        <v>169</v>
      </c>
      <c r="CH67" s="76" t="s">
        <v>2495</v>
      </c>
      <c r="CI67" s="76" t="s">
        <v>169</v>
      </c>
      <c r="CJ67" s="76" t="s">
        <v>2495</v>
      </c>
      <c r="CK67" s="76" t="s">
        <v>233</v>
      </c>
      <c r="CM67" s="76">
        <v>1</v>
      </c>
      <c r="CN67" s="76" t="s">
        <v>234</v>
      </c>
      <c r="CP67" s="76">
        <v>304</v>
      </c>
      <c r="CQ67" s="76">
        <v>51</v>
      </c>
      <c r="CR67" s="76">
        <v>15.5</v>
      </c>
      <c r="CS67" s="76" t="s">
        <v>235</v>
      </c>
      <c r="CV67" s="76" t="s">
        <v>341</v>
      </c>
      <c r="CX67" s="76" t="s">
        <v>342</v>
      </c>
      <c r="CY67" s="76" t="s">
        <v>170</v>
      </c>
      <c r="DD67" s="76">
        <v>1</v>
      </c>
      <c r="DE67" s="76" t="s">
        <v>237</v>
      </c>
      <c r="DG67" s="76">
        <v>89</v>
      </c>
      <c r="DJ67" s="76" t="s">
        <v>184</v>
      </c>
      <c r="DK67" s="76" t="s">
        <v>185</v>
      </c>
      <c r="DL67" s="76" t="s">
        <v>170</v>
      </c>
      <c r="DM67" s="76" t="s">
        <v>169</v>
      </c>
      <c r="DN67" s="76" t="s">
        <v>170</v>
      </c>
      <c r="DO67" s="76" t="s">
        <v>358</v>
      </c>
      <c r="DP67" s="76" t="s">
        <v>170</v>
      </c>
      <c r="DQ67" s="76" t="s">
        <v>187</v>
      </c>
      <c r="DS67" s="76" t="s">
        <v>2496</v>
      </c>
      <c r="DT67" s="76" t="s">
        <v>2497</v>
      </c>
      <c r="DU67" s="76" t="s">
        <v>2498</v>
      </c>
      <c r="DV67" s="76" t="s">
        <v>2499</v>
      </c>
      <c r="DZ67" s="79"/>
      <c r="EA67" s="101"/>
      <c r="EB67" s="96">
        <v>8</v>
      </c>
      <c r="EC67" s="76">
        <v>9</v>
      </c>
      <c r="ED67" s="79">
        <v>10</v>
      </c>
      <c r="EE67" s="76" t="s">
        <v>2500</v>
      </c>
      <c r="EF67" s="76">
        <v>5</v>
      </c>
      <c r="EH67" s="79"/>
      <c r="EI67" s="96"/>
      <c r="EM67" s="96"/>
      <c r="EP67" s="79"/>
      <c r="EQ67" s="96"/>
      <c r="ET67" s="79"/>
      <c r="EU67" s="96">
        <v>2750</v>
      </c>
      <c r="EV67" s="79"/>
      <c r="EW67" s="96">
        <v>307</v>
      </c>
      <c r="EX67" s="76">
        <v>308</v>
      </c>
      <c r="EY67" s="79">
        <v>307</v>
      </c>
      <c r="EZ67" s="102">
        <f>FI67</f>
        <v>120</v>
      </c>
      <c r="FA67" s="76">
        <v>4</v>
      </c>
      <c r="FB67" s="79"/>
      <c r="FC67" s="97">
        <v>360</v>
      </c>
      <c r="FD67" s="96">
        <v>46</v>
      </c>
      <c r="FE67" s="76">
        <v>47</v>
      </c>
      <c r="FF67" s="79">
        <v>47</v>
      </c>
      <c r="FG67" s="76">
        <v>119.6</v>
      </c>
      <c r="FH67" s="76">
        <v>120.8</v>
      </c>
      <c r="FI67" s="103">
        <v>120</v>
      </c>
      <c r="FJ67" s="170" t="s">
        <v>2501</v>
      </c>
      <c r="FK67" s="171"/>
      <c r="FL67" s="172"/>
      <c r="FM67" s="76">
        <v>0.61299999999999999</v>
      </c>
      <c r="FN67" s="76">
        <v>0.61199999999999999</v>
      </c>
      <c r="FO67" s="79">
        <v>0.61199999999999999</v>
      </c>
      <c r="FP67" s="106"/>
      <c r="FQ67" s="107"/>
      <c r="FR67" s="107"/>
      <c r="FS67" s="108">
        <v>11.2</v>
      </c>
    </row>
    <row r="68" spans="1:190" s="77" customFormat="1" x14ac:dyDescent="0.35">
      <c r="A68" s="76"/>
      <c r="E68" s="76"/>
      <c r="F68" s="76"/>
      <c r="G68" s="78"/>
      <c r="H68" s="76"/>
      <c r="I68" s="79"/>
      <c r="J68" s="80"/>
      <c r="K68" s="28"/>
      <c r="L68" s="28"/>
      <c r="M68" s="25" t="str">
        <f>_xlfn.CONCAT(A69," ",C69," ",D69)</f>
        <v>2025 Ferrari 296 GTB</v>
      </c>
      <c r="N68" s="28"/>
      <c r="O68" s="28"/>
      <c r="P68" s="28"/>
      <c r="Q68" s="28"/>
      <c r="R68" s="28"/>
      <c r="S68" s="28"/>
      <c r="T68" s="28"/>
      <c r="U68" s="28"/>
      <c r="V68" s="28"/>
      <c r="W68" s="28"/>
      <c r="X68" s="28"/>
      <c r="Y68" s="28"/>
      <c r="Z68" s="28"/>
      <c r="AA68" s="28"/>
      <c r="AB68" s="28"/>
      <c r="AC68" s="28"/>
      <c r="AD68" s="25" t="str">
        <f>$M68</f>
        <v>2025 Ferrari 296 GTB</v>
      </c>
      <c r="AE68" s="28"/>
      <c r="AF68" s="28"/>
      <c r="AG68" s="28"/>
      <c r="AH68" s="28"/>
      <c r="AI68" s="28"/>
      <c r="AJ68" s="81"/>
      <c r="AK68" s="82"/>
      <c r="AL68" s="2"/>
      <c r="AM68" s="2"/>
      <c r="AN68" s="2"/>
      <c r="AO68" s="2"/>
      <c r="AP68" s="2"/>
      <c r="AQ68" s="2"/>
      <c r="AR68" s="83"/>
      <c r="AS68" s="84"/>
      <c r="AT68" s="85" t="str">
        <f>$M68</f>
        <v>2025 Ferrari 296 GTB</v>
      </c>
      <c r="AU68" s="84"/>
      <c r="AV68" s="28"/>
      <c r="AW68" s="28"/>
      <c r="AX68" s="28"/>
      <c r="AY68" s="28"/>
      <c r="AZ68" s="28"/>
      <c r="BA68" s="28"/>
      <c r="BB68" s="28"/>
      <c r="BC68" s="28"/>
      <c r="BD68" s="28"/>
      <c r="BE68" s="28"/>
      <c r="BF68" s="28"/>
      <c r="BG68" s="28"/>
      <c r="BH68" s="28"/>
      <c r="BI68" s="25" t="str">
        <f>$M68</f>
        <v>2025 Ferrari 296 GTB</v>
      </c>
      <c r="BJ68" s="28"/>
      <c r="BK68" s="28"/>
      <c r="BL68" s="28"/>
      <c r="BM68" s="81"/>
      <c r="BN68" s="82"/>
      <c r="BO68" s="2"/>
      <c r="BP68" s="2"/>
      <c r="BQ68" s="2"/>
      <c r="BR68" s="2"/>
      <c r="BS68" s="2"/>
      <c r="BT68" s="86"/>
      <c r="BU68" s="2"/>
      <c r="BV68" s="83"/>
      <c r="BW68" s="121"/>
      <c r="BX68" s="84"/>
      <c r="BY68" s="25" t="str">
        <f>$M68</f>
        <v>2025 Ferrari 296 GTB</v>
      </c>
      <c r="BZ68" s="28"/>
      <c r="CA68" s="28"/>
      <c r="CB68" s="28"/>
      <c r="CC68" s="28"/>
      <c r="CD68" s="28"/>
      <c r="CE68" s="88"/>
      <c r="CF68" s="28"/>
      <c r="CG68" s="28"/>
      <c r="CH68" s="28"/>
      <c r="CI68" s="28"/>
      <c r="CJ68" s="28"/>
      <c r="CK68" s="28"/>
      <c r="CL68" s="28"/>
      <c r="CM68" s="28"/>
      <c r="CN68" s="28"/>
      <c r="CO68" s="25" t="str">
        <f>$M68</f>
        <v>2025 Ferrari 296 GTB</v>
      </c>
      <c r="CP68" s="28"/>
      <c r="CQ68" s="28"/>
      <c r="CR68" s="28"/>
      <c r="CS68" s="28"/>
      <c r="CT68" s="28"/>
      <c r="CU68" s="28"/>
      <c r="CV68" s="28"/>
      <c r="CW68" s="28"/>
      <c r="CX68" s="28"/>
      <c r="CY68" s="28"/>
      <c r="CZ68" s="28"/>
      <c r="DA68" s="28"/>
      <c r="DB68" s="28"/>
      <c r="DC68" s="28"/>
      <c r="DD68" s="28"/>
      <c r="DE68" s="28"/>
      <c r="DF68" s="25" t="str">
        <f>$M68</f>
        <v>2025 Ferrari 296 GTB</v>
      </c>
      <c r="DG68" s="28"/>
      <c r="DH68" s="28"/>
      <c r="DI68" s="28"/>
      <c r="DJ68" s="28"/>
      <c r="DK68" s="28"/>
      <c r="DL68" s="28"/>
      <c r="DM68" s="28"/>
      <c r="DN68" s="28"/>
      <c r="DO68" s="28"/>
      <c r="DP68" s="28"/>
      <c r="DQ68" s="28"/>
      <c r="DR68" s="25"/>
      <c r="DS68" s="25"/>
      <c r="DT68" s="25"/>
      <c r="DU68" s="25"/>
      <c r="DV68" s="25"/>
      <c r="DW68" s="25" t="str">
        <f>$M68</f>
        <v>2025 Ferrari 296 GTB</v>
      </c>
      <c r="DX68" s="25"/>
      <c r="DY68" s="25"/>
      <c r="DZ68" s="85"/>
      <c r="EA68" s="89"/>
      <c r="EB68" s="80"/>
      <c r="EC68" s="25"/>
      <c r="ED68" s="85"/>
      <c r="EE68" s="25"/>
      <c r="EF68" s="25"/>
      <c r="EG68" s="25"/>
      <c r="EH68" s="85"/>
      <c r="EI68" s="80"/>
      <c r="EK68" t="s">
        <v>2445</v>
      </c>
      <c r="EL68" s="25" t="str">
        <f>$M68</f>
        <v>2025 Ferrari 296 GTB</v>
      </c>
      <c r="EM68" s="80"/>
      <c r="EP68" s="75"/>
      <c r="EQ68" s="90"/>
      <c r="ET68" s="75"/>
      <c r="EU68" s="90"/>
      <c r="EV68" s="75"/>
      <c r="EW68" s="90"/>
      <c r="EY68" s="75"/>
      <c r="EZ68" s="102"/>
      <c r="FA68" s="25" t="str">
        <f>$M68</f>
        <v>2025 Ferrari 296 GTB</v>
      </c>
      <c r="FB68" s="75"/>
      <c r="FC68" s="91"/>
      <c r="FD68" s="80"/>
      <c r="FE68" s="25"/>
      <c r="FF68" s="85"/>
      <c r="FG68" s="25"/>
      <c r="FH68" s="25"/>
      <c r="FI68" s="85"/>
      <c r="FJ68" s="80"/>
      <c r="FK68" s="25"/>
      <c r="FL68" s="85"/>
      <c r="FM68" s="25" t="str">
        <f>$M68</f>
        <v>2025 Ferrari 296 GTB</v>
      </c>
      <c r="FN68" s="25"/>
      <c r="FO68" s="85"/>
      <c r="FP68" s="92"/>
      <c r="FQ68" s="93"/>
      <c r="FR68" s="94"/>
      <c r="FS68" s="95"/>
      <c r="FT68" s="25"/>
      <c r="FU68" s="25"/>
      <c r="FV68" s="25"/>
      <c r="FW68" s="25"/>
      <c r="FX68" s="25"/>
      <c r="FY68" s="25"/>
      <c r="FZ68" s="25"/>
      <c r="GA68" s="25"/>
      <c r="GB68" s="25"/>
      <c r="GC68" s="25"/>
      <c r="GD68" s="25"/>
      <c r="GE68" s="25"/>
      <c r="GF68" s="25"/>
      <c r="GG68" s="25"/>
      <c r="GH68" s="25"/>
    </row>
    <row r="69" spans="1:190" s="76" customFormat="1" x14ac:dyDescent="0.35">
      <c r="A69" s="76">
        <v>2025</v>
      </c>
      <c r="B69" s="76" t="s">
        <v>244</v>
      </c>
      <c r="C69" s="76" t="s">
        <v>244</v>
      </c>
      <c r="D69" s="76" t="s">
        <v>2563</v>
      </c>
      <c r="E69" s="76" t="s">
        <v>247</v>
      </c>
      <c r="F69" s="76">
        <v>171</v>
      </c>
      <c r="G69" s="78">
        <v>2.9</v>
      </c>
      <c r="H69" s="76">
        <v>6</v>
      </c>
      <c r="I69" s="79" t="s">
        <v>361</v>
      </c>
      <c r="J69" s="96">
        <v>16</v>
      </c>
      <c r="K69" s="76">
        <v>22</v>
      </c>
      <c r="L69" s="76">
        <v>18</v>
      </c>
      <c r="M69" s="76">
        <v>19.2</v>
      </c>
      <c r="N69" s="76">
        <v>30.5</v>
      </c>
      <c r="O69" s="76">
        <v>23.041499999999999</v>
      </c>
      <c r="P69" s="76">
        <v>15.5008</v>
      </c>
      <c r="Q69" s="76">
        <v>21.913699999999999</v>
      </c>
      <c r="R69" s="76">
        <v>17.851700000000001</v>
      </c>
      <c r="T69" s="76" t="s">
        <v>165</v>
      </c>
      <c r="U69" s="76" t="s">
        <v>166</v>
      </c>
      <c r="V69" s="76" t="s">
        <v>211</v>
      </c>
      <c r="W69" s="76" t="s">
        <v>212</v>
      </c>
      <c r="Y69" s="76">
        <v>8</v>
      </c>
      <c r="Z69" s="76" t="s">
        <v>170</v>
      </c>
      <c r="AA69" s="76" t="s">
        <v>170</v>
      </c>
      <c r="AB69" s="76" t="s">
        <v>171</v>
      </c>
      <c r="AC69" s="76" t="s">
        <v>172</v>
      </c>
      <c r="AD69" s="76">
        <v>10</v>
      </c>
      <c r="AF69" s="76">
        <v>340</v>
      </c>
      <c r="AG69" s="76" t="s">
        <v>214</v>
      </c>
      <c r="AH69" s="76" t="s">
        <v>215</v>
      </c>
      <c r="AI69" s="76" t="s">
        <v>175</v>
      </c>
      <c r="AJ69" s="79" t="s">
        <v>176</v>
      </c>
      <c r="AK69" s="96" t="s">
        <v>170</v>
      </c>
      <c r="AL69" s="76" t="s">
        <v>177</v>
      </c>
      <c r="AM69" s="76">
        <v>61</v>
      </c>
      <c r="AN69" s="76">
        <v>5</v>
      </c>
      <c r="AR69" s="79"/>
      <c r="AS69" s="96">
        <v>3150</v>
      </c>
      <c r="AT69" s="79">
        <v>3150</v>
      </c>
      <c r="AU69" s="96">
        <v>76</v>
      </c>
      <c r="AV69" s="76">
        <v>68</v>
      </c>
      <c r="AW69" s="76">
        <v>72</v>
      </c>
      <c r="AX69" s="76">
        <v>55</v>
      </c>
      <c r="AY69" s="76">
        <v>48</v>
      </c>
      <c r="AZ69" s="76">
        <v>51.85</v>
      </c>
      <c r="BA69" s="76">
        <v>75.747</v>
      </c>
      <c r="BB69" s="76">
        <v>68.247</v>
      </c>
      <c r="BC69" s="76">
        <v>72.372</v>
      </c>
      <c r="BD69" s="76">
        <v>8</v>
      </c>
      <c r="BE69" s="76" t="s">
        <v>1735</v>
      </c>
      <c r="BF69" s="76" t="s">
        <v>1736</v>
      </c>
      <c r="BG69" s="76" t="s">
        <v>1742</v>
      </c>
      <c r="BH69" s="76" t="s">
        <v>1743</v>
      </c>
      <c r="BI69" s="76">
        <v>3150</v>
      </c>
      <c r="BJ69" s="2"/>
      <c r="BK69" s="2"/>
      <c r="BL69" s="2"/>
      <c r="BM69" s="79"/>
      <c r="BN69" s="98" t="s">
        <v>2493</v>
      </c>
      <c r="BO69" s="76">
        <v>2</v>
      </c>
      <c r="BP69" s="76">
        <v>2</v>
      </c>
      <c r="BQ69" s="76">
        <v>1</v>
      </c>
      <c r="BR69" s="76" t="s">
        <v>179</v>
      </c>
      <c r="BS69" s="76" t="s">
        <v>180</v>
      </c>
      <c r="BT69" s="76" t="s">
        <v>2494</v>
      </c>
      <c r="BU69" s="99">
        <v>45565</v>
      </c>
      <c r="BV69" s="79">
        <v>35535</v>
      </c>
      <c r="BW69" s="120"/>
      <c r="BX69" s="96" t="s">
        <v>169</v>
      </c>
      <c r="BY69" s="76" t="s">
        <v>170</v>
      </c>
      <c r="CB69" s="76" t="s">
        <v>170</v>
      </c>
      <c r="CC69" s="76" t="s">
        <v>170</v>
      </c>
      <c r="CE69" s="76" t="s">
        <v>170</v>
      </c>
      <c r="CF69" s="76" t="s">
        <v>252</v>
      </c>
      <c r="CG69" s="76" t="s">
        <v>169</v>
      </c>
      <c r="CH69" s="76" t="s">
        <v>253</v>
      </c>
      <c r="CI69" s="76" t="s">
        <v>170</v>
      </c>
      <c r="CJ69" s="76" t="s">
        <v>252</v>
      </c>
      <c r="CK69" s="76" t="s">
        <v>233</v>
      </c>
      <c r="CM69" s="76">
        <v>1</v>
      </c>
      <c r="CN69" s="76" t="s">
        <v>234</v>
      </c>
      <c r="CP69" s="76">
        <v>294</v>
      </c>
      <c r="CQ69" s="76">
        <v>21</v>
      </c>
      <c r="CR69" s="76">
        <v>79.2</v>
      </c>
      <c r="CS69" s="76" t="s">
        <v>235</v>
      </c>
      <c r="CV69" s="76" t="s">
        <v>341</v>
      </c>
      <c r="CX69" s="76" t="s">
        <v>1012</v>
      </c>
      <c r="CY69" s="76" t="s">
        <v>170</v>
      </c>
      <c r="DD69" s="76">
        <v>1</v>
      </c>
      <c r="DE69" s="76" t="s">
        <v>404</v>
      </c>
      <c r="DF69" s="76" t="s">
        <v>2564</v>
      </c>
      <c r="DG69" s="76">
        <v>137</v>
      </c>
      <c r="DJ69" s="76" t="s">
        <v>184</v>
      </c>
      <c r="DK69" s="76" t="s">
        <v>185</v>
      </c>
      <c r="DL69" s="76" t="s">
        <v>170</v>
      </c>
      <c r="DM69" s="76" t="s">
        <v>169</v>
      </c>
      <c r="DN69" s="76" t="s">
        <v>170</v>
      </c>
      <c r="DO69" s="76" t="s">
        <v>259</v>
      </c>
      <c r="DP69" s="76" t="s">
        <v>169</v>
      </c>
      <c r="DQ69" s="76" t="s">
        <v>198</v>
      </c>
      <c r="DR69" s="76" t="s">
        <v>2563</v>
      </c>
      <c r="DS69" s="76" t="s">
        <v>2496</v>
      </c>
      <c r="DT69" s="76" t="s">
        <v>2497</v>
      </c>
      <c r="DU69" s="76" t="s">
        <v>2513</v>
      </c>
      <c r="DV69" s="76" t="s">
        <v>2514</v>
      </c>
      <c r="DY69" s="76">
        <v>23.2</v>
      </c>
      <c r="DZ69" s="79"/>
      <c r="EA69" s="101"/>
      <c r="EB69" s="96">
        <v>4</v>
      </c>
      <c r="EC69" s="76">
        <v>5</v>
      </c>
      <c r="ED69" s="79"/>
      <c r="EE69" s="76" t="s">
        <v>2565</v>
      </c>
      <c r="EF69" s="76">
        <v>5</v>
      </c>
      <c r="EH69" s="79"/>
      <c r="EI69" s="96"/>
      <c r="EM69" s="96"/>
      <c r="EP69" s="79"/>
      <c r="EQ69" s="96"/>
      <c r="ET69" s="79"/>
      <c r="EU69" s="96"/>
      <c r="EV69" s="79">
        <v>6250</v>
      </c>
      <c r="EW69" s="96">
        <v>0</v>
      </c>
      <c r="EX69" s="76">
        <v>0</v>
      </c>
      <c r="EY69" s="79">
        <v>0</v>
      </c>
      <c r="EZ69" s="102">
        <f>FI69</f>
        <v>398</v>
      </c>
      <c r="FA69" s="76">
        <v>2.5</v>
      </c>
      <c r="FB69" s="79"/>
      <c r="FC69" s="97">
        <v>340</v>
      </c>
      <c r="FD69" s="96">
        <v>18</v>
      </c>
      <c r="FE69" s="76">
        <v>24</v>
      </c>
      <c r="FF69" s="79">
        <v>20</v>
      </c>
      <c r="FG69" s="76">
        <v>460</v>
      </c>
      <c r="FH69" s="76">
        <v>322</v>
      </c>
      <c r="FI69" s="103">
        <v>398</v>
      </c>
      <c r="FJ69" s="104">
        <v>7.73</v>
      </c>
      <c r="FK69" s="105">
        <v>8.0500000000000007</v>
      </c>
      <c r="FL69" s="79">
        <v>8</v>
      </c>
      <c r="FM69" s="76">
        <v>0.219</v>
      </c>
      <c r="FN69" s="76">
        <v>0.22600000000000001</v>
      </c>
      <c r="FO69" s="79">
        <v>0.222</v>
      </c>
      <c r="FP69" s="106">
        <v>0</v>
      </c>
      <c r="FQ69" s="107">
        <v>0</v>
      </c>
      <c r="FR69" s="107">
        <v>0</v>
      </c>
      <c r="FS69" s="108">
        <v>17</v>
      </c>
    </row>
    <row r="70" spans="1:190" s="76" customFormat="1" x14ac:dyDescent="0.35">
      <c r="A70" s="76">
        <v>2025</v>
      </c>
      <c r="B70" s="162" t="s">
        <v>244</v>
      </c>
      <c r="C70" s="162" t="s">
        <v>245</v>
      </c>
      <c r="D70" s="162" t="s">
        <v>2563</v>
      </c>
      <c r="E70" s="162" t="s">
        <v>247</v>
      </c>
      <c r="F70" s="162">
        <v>171</v>
      </c>
      <c r="G70" s="162">
        <v>2.9</v>
      </c>
      <c r="H70" s="162">
        <v>6</v>
      </c>
      <c r="I70" s="163" t="s">
        <v>361</v>
      </c>
      <c r="J70" s="96">
        <f t="shared" ref="J70:R70" si="21">J69</f>
        <v>16</v>
      </c>
      <c r="K70" s="76">
        <f t="shared" si="21"/>
        <v>22</v>
      </c>
      <c r="L70" s="76">
        <f t="shared" si="21"/>
        <v>18</v>
      </c>
      <c r="M70" s="76">
        <f t="shared" si="21"/>
        <v>19.2</v>
      </c>
      <c r="N70" s="76">
        <f t="shared" si="21"/>
        <v>30.5</v>
      </c>
      <c r="O70" s="76">
        <f t="shared" si="21"/>
        <v>23.041499999999999</v>
      </c>
      <c r="P70" s="76">
        <f t="shared" si="21"/>
        <v>15.5008</v>
      </c>
      <c r="Q70" s="76">
        <f t="shared" si="21"/>
        <v>21.913699999999999</v>
      </c>
      <c r="R70" s="76">
        <f t="shared" si="21"/>
        <v>17.851700000000001</v>
      </c>
      <c r="T70" s="76" t="str">
        <f>T69</f>
        <v>TC</v>
      </c>
      <c r="U70" s="76" t="str">
        <f>U69</f>
        <v>Turbocharged</v>
      </c>
      <c r="V70" s="76" t="str">
        <f>V69</f>
        <v>AMS</v>
      </c>
      <c r="W70" s="76" t="str">
        <f>W69</f>
        <v>Automated Manual- Selectable (e.g. Automated Manual with paddles)</v>
      </c>
      <c r="Y70" s="76">
        <f t="shared" ref="Y70:AD70" si="22">Y69</f>
        <v>8</v>
      </c>
      <c r="Z70" s="76" t="str">
        <f t="shared" si="22"/>
        <v>N</v>
      </c>
      <c r="AA70" s="76" t="str">
        <f t="shared" si="22"/>
        <v>N</v>
      </c>
      <c r="AB70" s="76" t="str">
        <f t="shared" si="22"/>
        <v>R</v>
      </c>
      <c r="AC70" s="76" t="str">
        <f t="shared" si="22"/>
        <v>2-Wheel Drive, Rear</v>
      </c>
      <c r="AD70" s="76">
        <f t="shared" si="22"/>
        <v>10</v>
      </c>
      <c r="AF70" s="76">
        <f>AF69</f>
        <v>340</v>
      </c>
      <c r="AG70" s="76" t="str">
        <f>AG69</f>
        <v>GPR</v>
      </c>
      <c r="AH70" s="76" t="str">
        <f>AH69</f>
        <v>Gasoline (Premium Unleaded Required)</v>
      </c>
      <c r="AI70" s="76" t="str">
        <f>AI69</f>
        <v>MPG</v>
      </c>
      <c r="AJ70" s="79" t="str">
        <f>AJ69</f>
        <v>miles per gallon</v>
      </c>
      <c r="AK70" s="96" t="s">
        <v>170</v>
      </c>
      <c r="AL70" s="76" t="s">
        <v>177</v>
      </c>
      <c r="AM70" s="76">
        <v>61</v>
      </c>
      <c r="AN70" s="76">
        <v>5</v>
      </c>
      <c r="AR70" s="79"/>
      <c r="AS70" s="96">
        <v>3150</v>
      </c>
      <c r="AT70" s="79">
        <v>3150</v>
      </c>
      <c r="AU70" s="96">
        <v>45</v>
      </c>
      <c r="AV70" s="76">
        <v>49</v>
      </c>
      <c r="AW70" s="76">
        <v>47</v>
      </c>
      <c r="AX70" s="76">
        <v>61.2</v>
      </c>
      <c r="AY70" s="76">
        <v>70.2</v>
      </c>
      <c r="AZ70" s="76">
        <v>64.8947</v>
      </c>
      <c r="BA70" s="76">
        <v>45.044499999999999</v>
      </c>
      <c r="BB70" s="76">
        <v>49.335900000000002</v>
      </c>
      <c r="BC70" s="76">
        <v>46.8795</v>
      </c>
      <c r="BD70" s="76">
        <v>8</v>
      </c>
      <c r="BE70" s="76" t="s">
        <v>1735</v>
      </c>
      <c r="BF70" s="76" t="s">
        <v>1736</v>
      </c>
      <c r="BG70" s="76" t="s">
        <v>175</v>
      </c>
      <c r="BH70" s="76" t="s">
        <v>176</v>
      </c>
      <c r="BI70" s="76">
        <v>3150</v>
      </c>
      <c r="BM70" s="79"/>
      <c r="BN70" s="98" t="s">
        <v>2493</v>
      </c>
      <c r="BO70" s="76">
        <v>2</v>
      </c>
      <c r="BP70" s="76">
        <v>2</v>
      </c>
      <c r="BQ70" s="76">
        <v>1</v>
      </c>
      <c r="BR70" s="76" t="s">
        <v>179</v>
      </c>
      <c r="BS70" s="76" t="s">
        <v>180</v>
      </c>
      <c r="BT70" s="76" t="s">
        <v>2494</v>
      </c>
      <c r="BU70" s="99">
        <v>45565</v>
      </c>
      <c r="BV70" s="79">
        <v>35535</v>
      </c>
      <c r="BW70" s="120"/>
      <c r="BX70" s="96" t="s">
        <v>169</v>
      </c>
      <c r="BY70" s="76" t="s">
        <v>170</v>
      </c>
      <c r="CB70" s="76" t="s">
        <v>170</v>
      </c>
      <c r="CC70" s="76" t="s">
        <v>170</v>
      </c>
      <c r="CE70" s="76" t="s">
        <v>170</v>
      </c>
      <c r="CF70" s="76" t="s">
        <v>252</v>
      </c>
      <c r="CG70" s="76" t="s">
        <v>169</v>
      </c>
      <c r="CH70" s="76" t="s">
        <v>253</v>
      </c>
      <c r="CI70" s="76" t="s">
        <v>170</v>
      </c>
      <c r="CJ70" s="76" t="s">
        <v>252</v>
      </c>
      <c r="CK70" s="76" t="s">
        <v>233</v>
      </c>
      <c r="CM70" s="76">
        <v>1</v>
      </c>
      <c r="CN70" s="76" t="s">
        <v>234</v>
      </c>
      <c r="CP70" s="76">
        <v>294</v>
      </c>
      <c r="CQ70" s="76">
        <v>21</v>
      </c>
      <c r="CR70" s="76">
        <v>79.2</v>
      </c>
      <c r="CS70" s="76" t="s">
        <v>235</v>
      </c>
      <c r="CV70" s="76" t="s">
        <v>341</v>
      </c>
      <c r="CX70" s="76" t="s">
        <v>1012</v>
      </c>
      <c r="CY70" s="76" t="s">
        <v>170</v>
      </c>
      <c r="DD70" s="76">
        <v>1</v>
      </c>
      <c r="DE70" s="76" t="s">
        <v>404</v>
      </c>
      <c r="DF70" s="76" t="s">
        <v>2564</v>
      </c>
      <c r="DG70" s="76">
        <v>137</v>
      </c>
      <c r="DJ70" s="76" t="s">
        <v>184</v>
      </c>
      <c r="DK70" s="76" t="s">
        <v>185</v>
      </c>
      <c r="DL70" s="76" t="s">
        <v>170</v>
      </c>
      <c r="DM70" s="76" t="s">
        <v>169</v>
      </c>
      <c r="DN70" s="76" t="s">
        <v>170</v>
      </c>
      <c r="DO70" s="76" t="s">
        <v>259</v>
      </c>
      <c r="DP70" s="76" t="s">
        <v>169</v>
      </c>
      <c r="DQ70" s="76" t="s">
        <v>198</v>
      </c>
      <c r="DR70" s="76" t="s">
        <v>2563</v>
      </c>
      <c r="DS70" s="76" t="s">
        <v>2496</v>
      </c>
      <c r="DT70" s="76" t="s">
        <v>2497</v>
      </c>
      <c r="DU70" s="76" t="s">
        <v>2513</v>
      </c>
      <c r="DV70" s="76" t="s">
        <v>2514</v>
      </c>
      <c r="DZ70" s="79"/>
      <c r="EA70" s="101"/>
      <c r="EB70" s="96">
        <v>4</v>
      </c>
      <c r="EC70" s="76">
        <v>5</v>
      </c>
      <c r="ED70" s="79"/>
      <c r="EE70" s="76" t="s">
        <v>2565</v>
      </c>
      <c r="EF70" s="76">
        <v>5</v>
      </c>
      <c r="EH70" s="79"/>
      <c r="EI70" s="96"/>
      <c r="EM70" s="96"/>
      <c r="EP70" s="79"/>
      <c r="EQ70" s="96"/>
      <c r="ET70" s="79"/>
      <c r="EU70" s="96"/>
      <c r="EV70" s="79">
        <v>6250</v>
      </c>
      <c r="EW70" s="96">
        <v>569</v>
      </c>
      <c r="EX70" s="76">
        <v>403</v>
      </c>
      <c r="EY70" s="79">
        <v>494</v>
      </c>
      <c r="EZ70" s="102">
        <f>FI70</f>
        <v>398</v>
      </c>
      <c r="FA70" s="76">
        <v>2.5</v>
      </c>
      <c r="FB70" s="79"/>
      <c r="FC70" s="97">
        <v>340</v>
      </c>
      <c r="FD70" s="96">
        <v>18</v>
      </c>
      <c r="FE70" s="76">
        <v>24</v>
      </c>
      <c r="FF70" s="79">
        <v>20</v>
      </c>
      <c r="FG70" s="76">
        <v>460</v>
      </c>
      <c r="FH70" s="76">
        <v>322</v>
      </c>
      <c r="FI70" s="103">
        <v>398</v>
      </c>
      <c r="FJ70" s="170" t="s">
        <v>2566</v>
      </c>
      <c r="FK70" s="171"/>
      <c r="FL70" s="172"/>
      <c r="FM70" s="76">
        <v>0.219</v>
      </c>
      <c r="FN70" s="76">
        <v>0.22600000000000001</v>
      </c>
      <c r="FO70" s="79">
        <v>0.222</v>
      </c>
      <c r="FP70" s="106"/>
      <c r="FQ70" s="107"/>
      <c r="FR70" s="107"/>
      <c r="FS70" s="108">
        <v>17</v>
      </c>
    </row>
    <row r="71" spans="1:190" s="77" customFormat="1" x14ac:dyDescent="0.35">
      <c r="A71" s="76"/>
      <c r="E71" s="76"/>
      <c r="F71" s="76"/>
      <c r="G71" s="78"/>
      <c r="H71" s="76"/>
      <c r="I71" s="79"/>
      <c r="J71" s="80"/>
      <c r="K71" s="28"/>
      <c r="L71" s="28"/>
      <c r="M71" s="25" t="str">
        <f>_xlfn.CONCAT(A72," ",C72," ",D72)</f>
        <v>2025 Ferrari 296 GTS</v>
      </c>
      <c r="N71" s="28"/>
      <c r="O71" s="28"/>
      <c r="P71" s="28"/>
      <c r="Q71" s="28"/>
      <c r="R71" s="28"/>
      <c r="S71" s="28"/>
      <c r="T71" s="28"/>
      <c r="U71" s="28"/>
      <c r="V71" s="28"/>
      <c r="W71" s="28"/>
      <c r="X71" s="28"/>
      <c r="Y71" s="28"/>
      <c r="Z71" s="28"/>
      <c r="AA71" s="28"/>
      <c r="AB71" s="28"/>
      <c r="AC71" s="28"/>
      <c r="AD71" s="25" t="str">
        <f>$M71</f>
        <v>2025 Ferrari 296 GTS</v>
      </c>
      <c r="AE71" s="28"/>
      <c r="AF71" s="28"/>
      <c r="AG71" s="28"/>
      <c r="AH71" s="28"/>
      <c r="AI71" s="28"/>
      <c r="AJ71" s="81"/>
      <c r="AK71" s="82"/>
      <c r="AL71" s="2"/>
      <c r="AM71" s="2"/>
      <c r="AN71" s="2"/>
      <c r="AO71" s="2"/>
      <c r="AP71" s="2"/>
      <c r="AQ71" s="2"/>
      <c r="AR71" s="83"/>
      <c r="AS71" s="84"/>
      <c r="AT71" s="85" t="str">
        <f>$M71</f>
        <v>2025 Ferrari 296 GTS</v>
      </c>
      <c r="AU71" s="84"/>
      <c r="AV71" s="28"/>
      <c r="AW71" s="28"/>
      <c r="AX71" s="28"/>
      <c r="AY71" s="28"/>
      <c r="AZ71" s="28"/>
      <c r="BA71" s="28"/>
      <c r="BB71" s="28"/>
      <c r="BC71" s="28"/>
      <c r="BD71" s="28"/>
      <c r="BE71" s="28"/>
      <c r="BF71" s="28"/>
      <c r="BG71" s="28"/>
      <c r="BH71" s="28"/>
      <c r="BI71" s="25" t="str">
        <f>$M71</f>
        <v>2025 Ferrari 296 GTS</v>
      </c>
      <c r="BJ71" s="28"/>
      <c r="BK71" s="28"/>
      <c r="BL71" s="28"/>
      <c r="BM71" s="81"/>
      <c r="BN71" s="82"/>
      <c r="BO71" s="2"/>
      <c r="BP71" s="2"/>
      <c r="BQ71" s="2"/>
      <c r="BR71" s="2"/>
      <c r="BS71" s="2"/>
      <c r="BT71" s="86"/>
      <c r="BU71" s="2"/>
      <c r="BV71" s="83"/>
      <c r="BW71" s="121"/>
      <c r="BX71" s="84"/>
      <c r="BY71" s="25" t="str">
        <f>$M71</f>
        <v>2025 Ferrari 296 GTS</v>
      </c>
      <c r="BZ71" s="28"/>
      <c r="CA71" s="28"/>
      <c r="CB71" s="28"/>
      <c r="CC71" s="28"/>
      <c r="CD71" s="28"/>
      <c r="CE71" s="88"/>
      <c r="CF71" s="28"/>
      <c r="CG71" s="28"/>
      <c r="CH71" s="28"/>
      <c r="CI71" s="28"/>
      <c r="CJ71" s="28"/>
      <c r="CK71" s="28"/>
      <c r="CL71" s="28"/>
      <c r="CM71" s="28"/>
      <c r="CN71" s="28"/>
      <c r="CO71" s="25" t="str">
        <f>$M71</f>
        <v>2025 Ferrari 296 GTS</v>
      </c>
      <c r="CP71" s="28"/>
      <c r="CQ71" s="28"/>
      <c r="CR71" s="28"/>
      <c r="CS71" s="28"/>
      <c r="CT71" s="28"/>
      <c r="CU71" s="28"/>
      <c r="CV71" s="28"/>
      <c r="CW71" s="28"/>
      <c r="CX71" s="28"/>
      <c r="CY71" s="28"/>
      <c r="CZ71" s="28"/>
      <c r="DA71" s="28"/>
      <c r="DB71" s="28"/>
      <c r="DC71" s="28"/>
      <c r="DD71" s="28"/>
      <c r="DE71" s="28"/>
      <c r="DF71" s="25" t="str">
        <f>$M71</f>
        <v>2025 Ferrari 296 GTS</v>
      </c>
      <c r="DG71" s="28"/>
      <c r="DH71" s="28"/>
      <c r="DI71" s="28"/>
      <c r="DJ71" s="28"/>
      <c r="DK71" s="28"/>
      <c r="DL71" s="28"/>
      <c r="DM71" s="28"/>
      <c r="DN71" s="28"/>
      <c r="DO71" s="28"/>
      <c r="DP71" s="28"/>
      <c r="DQ71" s="28"/>
      <c r="DR71" s="25"/>
      <c r="DS71" s="25"/>
      <c r="DT71" s="25"/>
      <c r="DU71" s="25"/>
      <c r="DV71" s="25"/>
      <c r="DW71" s="25" t="str">
        <f>$M71</f>
        <v>2025 Ferrari 296 GTS</v>
      </c>
      <c r="DX71" s="25"/>
      <c r="DY71" s="25"/>
      <c r="DZ71" s="85"/>
      <c r="EA71" s="89"/>
      <c r="EB71" s="80"/>
      <c r="EC71" s="25"/>
      <c r="ED71" s="85"/>
      <c r="EE71" s="25"/>
      <c r="EF71" s="25"/>
      <c r="EG71" s="25"/>
      <c r="EH71" s="85"/>
      <c r="EI71" s="80"/>
      <c r="EK71" t="s">
        <v>2445</v>
      </c>
      <c r="EL71" s="25" t="str">
        <f>$M71</f>
        <v>2025 Ferrari 296 GTS</v>
      </c>
      <c r="EM71" s="80"/>
      <c r="EP71" s="75"/>
      <c r="EQ71" s="90"/>
      <c r="ET71" s="75"/>
      <c r="EU71" s="90"/>
      <c r="EV71" s="75"/>
      <c r="EW71" s="90"/>
      <c r="EY71" s="75"/>
      <c r="EZ71" s="102"/>
      <c r="FA71" s="25" t="str">
        <f>$M71</f>
        <v>2025 Ferrari 296 GTS</v>
      </c>
      <c r="FB71" s="75"/>
      <c r="FC71" s="91"/>
      <c r="FD71" s="80"/>
      <c r="FE71" s="25"/>
      <c r="FF71" s="85"/>
      <c r="FG71" s="25"/>
      <c r="FH71" s="25"/>
      <c r="FI71" s="85"/>
      <c r="FJ71" s="80"/>
      <c r="FK71" s="25"/>
      <c r="FL71" s="85"/>
      <c r="FM71" s="25" t="str">
        <f>$M71</f>
        <v>2025 Ferrari 296 GTS</v>
      </c>
      <c r="FN71" s="25"/>
      <c r="FO71" s="85"/>
      <c r="FP71" s="92"/>
      <c r="FQ71" s="93"/>
      <c r="FR71" s="94"/>
      <c r="FS71" s="95"/>
      <c r="FT71" s="25"/>
      <c r="FU71" s="25"/>
      <c r="FV71" s="25"/>
      <c r="FW71" s="25"/>
      <c r="FX71" s="25"/>
      <c r="FY71" s="25"/>
      <c r="FZ71" s="25"/>
      <c r="GA71" s="25"/>
      <c r="GB71" s="25"/>
      <c r="GC71" s="25"/>
      <c r="GD71" s="25"/>
      <c r="GE71" s="25"/>
      <c r="GF71" s="25"/>
      <c r="GG71" s="25"/>
      <c r="GH71" s="25"/>
    </row>
    <row r="72" spans="1:190" s="76" customFormat="1" x14ac:dyDescent="0.35">
      <c r="A72" s="76">
        <v>2025</v>
      </c>
      <c r="B72" s="76" t="s">
        <v>244</v>
      </c>
      <c r="C72" s="76" t="s">
        <v>244</v>
      </c>
      <c r="D72" s="76" t="s">
        <v>2567</v>
      </c>
      <c r="E72" s="76" t="s">
        <v>247</v>
      </c>
      <c r="F72" s="76">
        <v>172</v>
      </c>
      <c r="G72" s="78">
        <v>2.9</v>
      </c>
      <c r="H72" s="76">
        <v>6</v>
      </c>
      <c r="I72" s="79" t="s">
        <v>361</v>
      </c>
      <c r="J72" s="96">
        <v>15</v>
      </c>
      <c r="K72" s="76">
        <v>21</v>
      </c>
      <c r="L72" s="76">
        <v>18</v>
      </c>
      <c r="M72" s="76">
        <v>19</v>
      </c>
      <c r="N72" s="76">
        <v>29.7</v>
      </c>
      <c r="O72" s="76">
        <v>22.676300000000001</v>
      </c>
      <c r="P72" s="76">
        <v>15.349500000000001</v>
      </c>
      <c r="Q72" s="76">
        <v>21.3781</v>
      </c>
      <c r="R72" s="76">
        <v>17.580500000000001</v>
      </c>
      <c r="T72" s="76" t="s">
        <v>165</v>
      </c>
      <c r="U72" s="76" t="s">
        <v>166</v>
      </c>
      <c r="V72" s="76" t="s">
        <v>211</v>
      </c>
      <c r="W72" s="76" t="s">
        <v>212</v>
      </c>
      <c r="Y72" s="76">
        <v>8</v>
      </c>
      <c r="Z72" s="76" t="s">
        <v>170</v>
      </c>
      <c r="AA72" s="76" t="s">
        <v>170</v>
      </c>
      <c r="AB72" s="76" t="s">
        <v>171</v>
      </c>
      <c r="AC72" s="76" t="s">
        <v>172</v>
      </c>
      <c r="AD72" s="76">
        <v>10</v>
      </c>
      <c r="AF72" s="76">
        <v>320</v>
      </c>
      <c r="AG72" s="76" t="s">
        <v>214</v>
      </c>
      <c r="AH72" s="76" t="s">
        <v>215</v>
      </c>
      <c r="AI72" s="76" t="s">
        <v>175</v>
      </c>
      <c r="AJ72" s="79" t="s">
        <v>176</v>
      </c>
      <c r="AK72" s="96" t="s">
        <v>170</v>
      </c>
      <c r="AL72" s="76" t="s">
        <v>177</v>
      </c>
      <c r="AM72" s="76">
        <v>61</v>
      </c>
      <c r="AN72" s="76">
        <v>5</v>
      </c>
      <c r="AR72" s="79"/>
      <c r="AS72" s="96">
        <v>3200</v>
      </c>
      <c r="AT72" s="79">
        <v>3200</v>
      </c>
      <c r="AU72" s="96">
        <v>71</v>
      </c>
      <c r="AV72" s="76">
        <v>71</v>
      </c>
      <c r="AW72" s="76">
        <v>71</v>
      </c>
      <c r="AX72" s="76">
        <v>51.5</v>
      </c>
      <c r="AY72" s="76">
        <v>48.8</v>
      </c>
      <c r="AZ72" s="76">
        <v>50.284999999999997</v>
      </c>
      <c r="BA72" s="76">
        <v>71.483000000000004</v>
      </c>
      <c r="BB72" s="76">
        <v>70.566999999999993</v>
      </c>
      <c r="BC72" s="76">
        <v>71.070800000000006</v>
      </c>
      <c r="BD72" s="76">
        <v>7</v>
      </c>
      <c r="BE72" s="76" t="s">
        <v>1735</v>
      </c>
      <c r="BF72" s="76" t="s">
        <v>1736</v>
      </c>
      <c r="BG72" s="76" t="s">
        <v>1742</v>
      </c>
      <c r="BH72" s="76" t="s">
        <v>1743</v>
      </c>
      <c r="BI72" s="76">
        <v>3200</v>
      </c>
      <c r="BJ72" s="2"/>
      <c r="BK72" s="2"/>
      <c r="BL72" s="2"/>
      <c r="BM72" s="79"/>
      <c r="BN72" s="98" t="s">
        <v>2493</v>
      </c>
      <c r="BO72" s="76">
        <v>2</v>
      </c>
      <c r="BP72" s="76">
        <v>2</v>
      </c>
      <c r="BQ72" s="76">
        <v>1</v>
      </c>
      <c r="BR72" s="76" t="s">
        <v>179</v>
      </c>
      <c r="BS72" s="76" t="s">
        <v>180</v>
      </c>
      <c r="BT72" s="76" t="s">
        <v>2494</v>
      </c>
      <c r="BU72" s="99">
        <v>45565</v>
      </c>
      <c r="BV72" s="79">
        <v>35536</v>
      </c>
      <c r="BW72" s="120"/>
      <c r="BX72" s="96" t="s">
        <v>169</v>
      </c>
      <c r="BY72" s="76" t="s">
        <v>170</v>
      </c>
      <c r="CB72" s="76" t="s">
        <v>170</v>
      </c>
      <c r="CC72" s="76" t="s">
        <v>170</v>
      </c>
      <c r="CE72" s="76" t="s">
        <v>170</v>
      </c>
      <c r="CF72" s="76" t="s">
        <v>252</v>
      </c>
      <c r="CG72" s="76" t="s">
        <v>169</v>
      </c>
      <c r="CH72" s="76" t="s">
        <v>253</v>
      </c>
      <c r="CI72" s="76" t="s">
        <v>170</v>
      </c>
      <c r="CJ72" s="76" t="s">
        <v>252</v>
      </c>
      <c r="CK72" s="76" t="s">
        <v>233</v>
      </c>
      <c r="CM72" s="76">
        <v>1</v>
      </c>
      <c r="CN72" s="76" t="s">
        <v>234</v>
      </c>
      <c r="CP72" s="76">
        <v>294</v>
      </c>
      <c r="CQ72" s="76">
        <v>21</v>
      </c>
      <c r="CR72" s="76">
        <v>79.2</v>
      </c>
      <c r="CS72" s="76" t="s">
        <v>235</v>
      </c>
      <c r="CV72" s="76" t="s">
        <v>341</v>
      </c>
      <c r="CX72" s="76" t="s">
        <v>1012</v>
      </c>
      <c r="CY72" s="76" t="s">
        <v>170</v>
      </c>
      <c r="DD72" s="76">
        <v>1</v>
      </c>
      <c r="DE72" s="76" t="s">
        <v>404</v>
      </c>
      <c r="DF72" s="76" t="s">
        <v>2564</v>
      </c>
      <c r="DG72" s="76">
        <v>137</v>
      </c>
      <c r="DJ72" s="76" t="s">
        <v>184</v>
      </c>
      <c r="DK72" s="76" t="s">
        <v>185</v>
      </c>
      <c r="DL72" s="76" t="s">
        <v>170</v>
      </c>
      <c r="DM72" s="76" t="s">
        <v>169</v>
      </c>
      <c r="DN72" s="76" t="s">
        <v>170</v>
      </c>
      <c r="DO72" s="76" t="s">
        <v>259</v>
      </c>
      <c r="DP72" s="76" t="s">
        <v>169</v>
      </c>
      <c r="DQ72" s="76" t="s">
        <v>198</v>
      </c>
      <c r="DR72" s="76" t="s">
        <v>2567</v>
      </c>
      <c r="DS72" s="76" t="s">
        <v>2496</v>
      </c>
      <c r="DT72" s="76" t="s">
        <v>2497</v>
      </c>
      <c r="DU72" s="76" t="s">
        <v>2513</v>
      </c>
      <c r="DV72" s="76" t="s">
        <v>2514</v>
      </c>
      <c r="DY72" s="76">
        <v>22.8</v>
      </c>
      <c r="DZ72" s="79"/>
      <c r="EA72" s="101"/>
      <c r="EB72" s="96">
        <v>4</v>
      </c>
      <c r="EC72" s="76">
        <v>5</v>
      </c>
      <c r="ED72" s="79">
        <v>10</v>
      </c>
      <c r="EE72" s="76" t="s">
        <v>2565</v>
      </c>
      <c r="EF72" s="76">
        <v>5</v>
      </c>
      <c r="EH72" s="79"/>
      <c r="EI72" s="96"/>
      <c r="EM72" s="96"/>
      <c r="EP72" s="79"/>
      <c r="EQ72" s="96"/>
      <c r="ET72" s="79"/>
      <c r="EU72" s="96"/>
      <c r="EV72" s="79">
        <v>6500</v>
      </c>
      <c r="EW72" s="96">
        <v>0</v>
      </c>
      <c r="EX72" s="76">
        <v>0</v>
      </c>
      <c r="EY72" s="79">
        <v>0</v>
      </c>
      <c r="EZ72" s="102">
        <f>FI72</f>
        <v>404</v>
      </c>
      <c r="FA72" s="76">
        <v>2.5</v>
      </c>
      <c r="FB72" s="79"/>
      <c r="FC72" s="97">
        <v>320</v>
      </c>
      <c r="FD72" s="96">
        <v>17</v>
      </c>
      <c r="FE72" s="76">
        <v>24</v>
      </c>
      <c r="FF72" s="79">
        <v>20</v>
      </c>
      <c r="FG72" s="76">
        <v>464</v>
      </c>
      <c r="FH72" s="111">
        <v>330</v>
      </c>
      <c r="FI72" s="103">
        <v>404</v>
      </c>
      <c r="FJ72" s="104">
        <v>7.83</v>
      </c>
      <c r="FK72" s="105">
        <v>7.79</v>
      </c>
      <c r="FL72" s="79">
        <v>8</v>
      </c>
      <c r="FM72" s="76">
        <v>0.221</v>
      </c>
      <c r="FN72" s="76">
        <v>0.22</v>
      </c>
      <c r="FO72" s="79">
        <v>0.221</v>
      </c>
      <c r="FP72" s="106">
        <v>0</v>
      </c>
      <c r="FQ72" s="107">
        <v>0</v>
      </c>
      <c r="FR72" s="107">
        <v>0</v>
      </c>
      <c r="FS72" s="108">
        <v>17</v>
      </c>
    </row>
    <row r="73" spans="1:190" s="76" customFormat="1" x14ac:dyDescent="0.35">
      <c r="A73" s="76">
        <v>2025</v>
      </c>
      <c r="B73" s="162" t="s">
        <v>244</v>
      </c>
      <c r="C73" s="162" t="s">
        <v>245</v>
      </c>
      <c r="D73" s="162" t="s">
        <v>2567</v>
      </c>
      <c r="E73" s="162" t="s">
        <v>247</v>
      </c>
      <c r="F73" s="162">
        <v>172</v>
      </c>
      <c r="G73" s="162">
        <v>2.9</v>
      </c>
      <c r="H73" s="162">
        <v>6</v>
      </c>
      <c r="I73" s="163" t="s">
        <v>361</v>
      </c>
      <c r="J73" s="96">
        <f t="shared" ref="J73:R73" si="23">J72</f>
        <v>15</v>
      </c>
      <c r="K73" s="76">
        <f t="shared" si="23"/>
        <v>21</v>
      </c>
      <c r="L73" s="76">
        <f t="shared" si="23"/>
        <v>18</v>
      </c>
      <c r="M73" s="76">
        <f t="shared" si="23"/>
        <v>19</v>
      </c>
      <c r="N73" s="76">
        <f t="shared" si="23"/>
        <v>29.7</v>
      </c>
      <c r="O73" s="76">
        <f t="shared" si="23"/>
        <v>22.676300000000001</v>
      </c>
      <c r="P73" s="76">
        <f t="shared" si="23"/>
        <v>15.349500000000001</v>
      </c>
      <c r="Q73" s="76">
        <f t="shared" si="23"/>
        <v>21.3781</v>
      </c>
      <c r="R73" s="76">
        <f t="shared" si="23"/>
        <v>17.580500000000001</v>
      </c>
      <c r="T73" s="76" t="str">
        <f>T72</f>
        <v>TC</v>
      </c>
      <c r="U73" s="76" t="str">
        <f>U72</f>
        <v>Turbocharged</v>
      </c>
      <c r="V73" s="76" t="str">
        <f>V72</f>
        <v>AMS</v>
      </c>
      <c r="W73" s="76" t="str">
        <f>W72</f>
        <v>Automated Manual- Selectable (e.g. Automated Manual with paddles)</v>
      </c>
      <c r="Y73" s="76">
        <f t="shared" ref="Y73:AD73" si="24">Y72</f>
        <v>8</v>
      </c>
      <c r="Z73" s="76" t="str">
        <f t="shared" si="24"/>
        <v>N</v>
      </c>
      <c r="AA73" s="76" t="str">
        <f t="shared" si="24"/>
        <v>N</v>
      </c>
      <c r="AB73" s="76" t="str">
        <f t="shared" si="24"/>
        <v>R</v>
      </c>
      <c r="AC73" s="76" t="str">
        <f t="shared" si="24"/>
        <v>2-Wheel Drive, Rear</v>
      </c>
      <c r="AD73" s="76">
        <f t="shared" si="24"/>
        <v>10</v>
      </c>
      <c r="AF73" s="76">
        <f>AF72</f>
        <v>320</v>
      </c>
      <c r="AG73" s="76" t="str">
        <f>AG72</f>
        <v>GPR</v>
      </c>
      <c r="AH73" s="76" t="str">
        <f>AH72</f>
        <v>Gasoline (Premium Unleaded Required)</v>
      </c>
      <c r="AI73" s="76" t="str">
        <f>AI72</f>
        <v>MPG</v>
      </c>
      <c r="AJ73" s="79" t="str">
        <f>AJ72</f>
        <v>miles per gallon</v>
      </c>
      <c r="AK73" s="96" t="s">
        <v>170</v>
      </c>
      <c r="AL73" s="76" t="s">
        <v>177</v>
      </c>
      <c r="AM73" s="76">
        <v>61</v>
      </c>
      <c r="AN73" s="76">
        <v>5</v>
      </c>
      <c r="AR73" s="79"/>
      <c r="AS73" s="96">
        <v>3200</v>
      </c>
      <c r="AT73" s="79">
        <v>3200</v>
      </c>
      <c r="AU73" s="96">
        <v>48</v>
      </c>
      <c r="AV73" s="76">
        <v>48</v>
      </c>
      <c r="AW73" s="76">
        <v>48</v>
      </c>
      <c r="AX73" s="76">
        <v>65.400000000000006</v>
      </c>
      <c r="AY73" s="76">
        <v>69.099999999999994</v>
      </c>
      <c r="AZ73" s="76">
        <v>67.014799999999994</v>
      </c>
      <c r="BA73" s="76">
        <v>47.765599999999999</v>
      </c>
      <c r="BB73" s="76">
        <v>48.489699999999999</v>
      </c>
      <c r="BC73" s="76">
        <v>48.088799999999999</v>
      </c>
      <c r="BD73" s="76">
        <v>7</v>
      </c>
      <c r="BE73" s="76" t="s">
        <v>1735</v>
      </c>
      <c r="BF73" s="76" t="s">
        <v>1736</v>
      </c>
      <c r="BG73" s="76" t="s">
        <v>175</v>
      </c>
      <c r="BH73" s="76" t="s">
        <v>176</v>
      </c>
      <c r="BI73" s="76">
        <v>3200</v>
      </c>
      <c r="BM73" s="79"/>
      <c r="BN73" s="98" t="s">
        <v>2493</v>
      </c>
      <c r="BO73" s="76">
        <v>2</v>
      </c>
      <c r="BP73" s="76">
        <v>2</v>
      </c>
      <c r="BQ73" s="76">
        <v>1</v>
      </c>
      <c r="BR73" s="76" t="s">
        <v>179</v>
      </c>
      <c r="BS73" s="76" t="s">
        <v>180</v>
      </c>
      <c r="BT73" s="76" t="s">
        <v>2494</v>
      </c>
      <c r="BU73" s="99">
        <v>45565</v>
      </c>
      <c r="BV73" s="79">
        <v>35536</v>
      </c>
      <c r="BW73" s="120"/>
      <c r="BX73" s="96" t="s">
        <v>169</v>
      </c>
      <c r="BY73" s="76" t="s">
        <v>170</v>
      </c>
      <c r="CB73" s="76" t="s">
        <v>170</v>
      </c>
      <c r="CC73" s="76" t="s">
        <v>170</v>
      </c>
      <c r="CE73" s="76" t="s">
        <v>170</v>
      </c>
      <c r="CF73" s="76" t="s">
        <v>252</v>
      </c>
      <c r="CG73" s="76" t="s">
        <v>169</v>
      </c>
      <c r="CH73" s="76" t="s">
        <v>253</v>
      </c>
      <c r="CI73" s="76" t="s">
        <v>170</v>
      </c>
      <c r="CJ73" s="76" t="s">
        <v>252</v>
      </c>
      <c r="CK73" s="76" t="s">
        <v>233</v>
      </c>
      <c r="CM73" s="76">
        <v>1</v>
      </c>
      <c r="CN73" s="76" t="s">
        <v>234</v>
      </c>
      <c r="CP73" s="76">
        <v>294</v>
      </c>
      <c r="CQ73" s="76">
        <v>21</v>
      </c>
      <c r="CR73" s="76">
        <v>79.2</v>
      </c>
      <c r="CS73" s="76" t="s">
        <v>235</v>
      </c>
      <c r="CV73" s="76" t="s">
        <v>341</v>
      </c>
      <c r="CX73" s="76" t="s">
        <v>1012</v>
      </c>
      <c r="CY73" s="76" t="s">
        <v>170</v>
      </c>
      <c r="DD73" s="76">
        <v>1</v>
      </c>
      <c r="DE73" s="76" t="s">
        <v>404</v>
      </c>
      <c r="DF73" s="76" t="s">
        <v>2564</v>
      </c>
      <c r="DG73" s="76">
        <v>137</v>
      </c>
      <c r="DJ73" s="76" t="s">
        <v>184</v>
      </c>
      <c r="DK73" s="76" t="s">
        <v>185</v>
      </c>
      <c r="DL73" s="76" t="s">
        <v>170</v>
      </c>
      <c r="DM73" s="76" t="s">
        <v>169</v>
      </c>
      <c r="DN73" s="76" t="s">
        <v>170</v>
      </c>
      <c r="DO73" s="76" t="s">
        <v>259</v>
      </c>
      <c r="DP73" s="76" t="s">
        <v>169</v>
      </c>
      <c r="DQ73" s="76" t="s">
        <v>198</v>
      </c>
      <c r="DR73" s="76" t="s">
        <v>2567</v>
      </c>
      <c r="DS73" s="76" t="s">
        <v>2496</v>
      </c>
      <c r="DT73" s="76" t="s">
        <v>2497</v>
      </c>
      <c r="DU73" s="76" t="s">
        <v>2513</v>
      </c>
      <c r="DV73" s="76" t="s">
        <v>2514</v>
      </c>
      <c r="DZ73" s="79"/>
      <c r="EA73" s="101"/>
      <c r="EB73" s="96">
        <v>4</v>
      </c>
      <c r="EC73" s="76">
        <v>5</v>
      </c>
      <c r="ED73" s="79">
        <v>10</v>
      </c>
      <c r="EE73" s="96" t="s">
        <v>2565</v>
      </c>
      <c r="EF73" s="76">
        <v>5</v>
      </c>
      <c r="EH73" s="79"/>
      <c r="EI73" s="96"/>
      <c r="EM73" s="96"/>
      <c r="EP73" s="79"/>
      <c r="EQ73" s="96"/>
      <c r="ET73" s="79"/>
      <c r="EU73" s="96"/>
      <c r="EV73" s="79">
        <v>6500</v>
      </c>
      <c r="EW73" s="96">
        <v>575</v>
      </c>
      <c r="EX73" s="76">
        <v>413</v>
      </c>
      <c r="EY73" s="79">
        <v>502</v>
      </c>
      <c r="EZ73" s="102">
        <f>FI73</f>
        <v>404</v>
      </c>
      <c r="FA73" s="76">
        <v>2.5</v>
      </c>
      <c r="FB73" s="79"/>
      <c r="FC73" s="97">
        <v>320</v>
      </c>
      <c r="FD73" s="96">
        <v>17</v>
      </c>
      <c r="FE73" s="76">
        <v>24</v>
      </c>
      <c r="FF73" s="79">
        <v>20</v>
      </c>
      <c r="FG73" s="76">
        <v>464</v>
      </c>
      <c r="FH73" s="111">
        <v>330</v>
      </c>
      <c r="FI73" s="103">
        <v>404</v>
      </c>
      <c r="FJ73" s="170" t="s">
        <v>2568</v>
      </c>
      <c r="FK73" s="171"/>
      <c r="FL73" s="172"/>
      <c r="FM73" s="76">
        <v>0.221</v>
      </c>
      <c r="FN73" s="76">
        <v>0.22</v>
      </c>
      <c r="FO73" s="79">
        <v>0.221</v>
      </c>
      <c r="FP73" s="106"/>
      <c r="FQ73" s="107"/>
      <c r="FR73" s="107"/>
      <c r="FS73" s="108">
        <v>17</v>
      </c>
    </row>
    <row r="74" spans="1:190" s="77" customFormat="1" x14ac:dyDescent="0.35">
      <c r="A74" s="76"/>
      <c r="E74" s="76"/>
      <c r="F74" s="76"/>
      <c r="G74" s="78"/>
      <c r="H74" s="76"/>
      <c r="I74" s="79"/>
      <c r="J74" s="80"/>
      <c r="K74" s="28"/>
      <c r="L74" s="28"/>
      <c r="M74" s="25" t="str">
        <f>_xlfn.CONCAT(A75," ",C75," ",D75)</f>
        <v>2025 Ferrari SF90 Spider</v>
      </c>
      <c r="N74" s="28"/>
      <c r="O74" s="28"/>
      <c r="P74" s="28"/>
      <c r="Q74" s="28"/>
      <c r="R74" s="28"/>
      <c r="S74" s="28"/>
      <c r="T74" s="28"/>
      <c r="U74" s="28"/>
      <c r="V74" s="28"/>
      <c r="W74" s="28"/>
      <c r="X74" s="28"/>
      <c r="Y74" s="28"/>
      <c r="Z74" s="28"/>
      <c r="AA74" s="28"/>
      <c r="AB74" s="28"/>
      <c r="AC74" s="28"/>
      <c r="AD74" s="25" t="str">
        <f>$M74</f>
        <v>2025 Ferrari SF90 Spider</v>
      </c>
      <c r="AE74" s="28"/>
      <c r="AF74" s="28"/>
      <c r="AG74" s="28"/>
      <c r="AH74" s="28"/>
      <c r="AI74" s="28"/>
      <c r="AJ74" s="81"/>
      <c r="AK74" s="82"/>
      <c r="AL74" s="2"/>
      <c r="AM74" s="2"/>
      <c r="AN74" s="2"/>
      <c r="AO74" s="2"/>
      <c r="AP74" s="2"/>
      <c r="AQ74" s="2"/>
      <c r="AR74" s="83"/>
      <c r="AS74" s="84"/>
      <c r="AT74" s="85" t="str">
        <f>$M74</f>
        <v>2025 Ferrari SF90 Spider</v>
      </c>
      <c r="AU74" s="84"/>
      <c r="AV74" s="28"/>
      <c r="AW74" s="28"/>
      <c r="AX74" s="28"/>
      <c r="AY74" s="28"/>
      <c r="AZ74" s="28"/>
      <c r="BA74" s="28"/>
      <c r="BB74" s="28"/>
      <c r="BC74" s="28"/>
      <c r="BD74" s="28"/>
      <c r="BE74" s="28"/>
      <c r="BF74" s="28"/>
      <c r="BG74" s="28"/>
      <c r="BH74" s="28"/>
      <c r="BI74" s="25" t="str">
        <f>$M74</f>
        <v>2025 Ferrari SF90 Spider</v>
      </c>
      <c r="BJ74" s="28"/>
      <c r="BK74" s="28"/>
      <c r="BL74" s="28"/>
      <c r="BM74" s="81"/>
      <c r="BN74" s="82"/>
      <c r="BO74" s="2"/>
      <c r="BP74" s="2"/>
      <c r="BQ74" s="2"/>
      <c r="BR74" s="2"/>
      <c r="BS74" s="2"/>
      <c r="BT74" s="86"/>
      <c r="BU74" s="2"/>
      <c r="BV74" s="83"/>
      <c r="BW74" s="121"/>
      <c r="BX74" s="84"/>
      <c r="BY74" s="25" t="str">
        <f>$M74</f>
        <v>2025 Ferrari SF90 Spider</v>
      </c>
      <c r="BZ74" s="28"/>
      <c r="CA74" s="28"/>
      <c r="CB74" s="28"/>
      <c r="CC74" s="28"/>
      <c r="CD74" s="28"/>
      <c r="CE74" s="88"/>
      <c r="CF74" s="28"/>
      <c r="CG74" s="28"/>
      <c r="CH74" s="28"/>
      <c r="CI74" s="28"/>
      <c r="CJ74" s="28"/>
      <c r="CK74" s="28"/>
      <c r="CL74" s="28"/>
      <c r="CM74" s="28"/>
      <c r="CN74" s="28"/>
      <c r="CO74" s="25" t="str">
        <f>$M74</f>
        <v>2025 Ferrari SF90 Spider</v>
      </c>
      <c r="CP74" s="28"/>
      <c r="CQ74" s="28"/>
      <c r="CR74" s="28"/>
      <c r="CS74" s="28"/>
      <c r="CT74" s="28"/>
      <c r="CU74" s="28"/>
      <c r="CV74" s="28"/>
      <c r="CW74" s="28"/>
      <c r="CX74" s="28"/>
      <c r="CY74" s="28"/>
      <c r="CZ74" s="28"/>
      <c r="DA74" s="28"/>
      <c r="DB74" s="28"/>
      <c r="DC74" s="28"/>
      <c r="DD74" s="28"/>
      <c r="DE74" s="28"/>
      <c r="DF74" s="25" t="str">
        <f>$M74</f>
        <v>2025 Ferrari SF90 Spider</v>
      </c>
      <c r="DG74" s="28"/>
      <c r="DH74" s="28"/>
      <c r="DI74" s="28"/>
      <c r="DJ74" s="28"/>
      <c r="DK74" s="28"/>
      <c r="DL74" s="28"/>
      <c r="DM74" s="28"/>
      <c r="DN74" s="28"/>
      <c r="DO74" s="28"/>
      <c r="DP74" s="28"/>
      <c r="DQ74" s="28"/>
      <c r="DR74" s="25"/>
      <c r="DS74" s="25"/>
      <c r="DT74" s="25"/>
      <c r="DU74" s="25"/>
      <c r="DV74" s="25"/>
      <c r="DW74" s="25" t="str">
        <f>$M74</f>
        <v>2025 Ferrari SF90 Spider</v>
      </c>
      <c r="DX74" s="25"/>
      <c r="DY74" s="25"/>
      <c r="DZ74" s="85"/>
      <c r="EA74" s="89"/>
      <c r="EB74" s="80"/>
      <c r="EC74" s="25"/>
      <c r="ED74" s="85"/>
      <c r="EE74" s="80"/>
      <c r="EF74" s="25"/>
      <c r="EG74" s="25"/>
      <c r="EH74" s="85"/>
      <c r="EI74" s="80"/>
      <c r="EK74" t="s">
        <v>2445</v>
      </c>
      <c r="EL74" s="25" t="str">
        <f>$M74</f>
        <v>2025 Ferrari SF90 Spider</v>
      </c>
      <c r="EM74" s="80"/>
      <c r="EP74" s="75"/>
      <c r="EQ74" s="90"/>
      <c r="ET74" s="75"/>
      <c r="EU74" s="90"/>
      <c r="EV74" s="75"/>
      <c r="EW74" s="90"/>
      <c r="EY74" s="75"/>
      <c r="EZ74" s="102"/>
      <c r="FA74" s="25" t="str">
        <f>$M74</f>
        <v>2025 Ferrari SF90 Spider</v>
      </c>
      <c r="FB74" s="75"/>
      <c r="FC74" s="91"/>
      <c r="FD74" s="80"/>
      <c r="FE74" s="25"/>
      <c r="FF74" s="85"/>
      <c r="FG74" s="25"/>
      <c r="FH74" s="25"/>
      <c r="FI74" s="85"/>
      <c r="FJ74" s="80"/>
      <c r="FK74" s="25"/>
      <c r="FL74" s="85"/>
      <c r="FM74" s="25" t="str">
        <f>$M74</f>
        <v>2025 Ferrari SF90 Spider</v>
      </c>
      <c r="FN74" s="25"/>
      <c r="FO74" s="85"/>
      <c r="FP74" s="92"/>
      <c r="FQ74" s="93"/>
      <c r="FR74" s="94"/>
      <c r="FS74" s="95"/>
      <c r="FT74" s="25"/>
      <c r="FU74" s="25"/>
      <c r="FV74" s="25"/>
      <c r="FW74" s="25"/>
      <c r="FX74" s="25"/>
      <c r="FY74" s="25"/>
      <c r="FZ74" s="25"/>
      <c r="GA74" s="25"/>
      <c r="GB74" s="25"/>
      <c r="GC74" s="25"/>
      <c r="GD74" s="25"/>
      <c r="GE74" s="25"/>
      <c r="GF74" s="25"/>
      <c r="GG74" s="25"/>
      <c r="GH74" s="25"/>
    </row>
    <row r="75" spans="1:190" s="76" customFormat="1" x14ac:dyDescent="0.35">
      <c r="A75" s="76">
        <v>2025</v>
      </c>
      <c r="B75" s="76" t="s">
        <v>244</v>
      </c>
      <c r="C75" s="76" t="s">
        <v>244</v>
      </c>
      <c r="D75" s="76" t="s">
        <v>2569</v>
      </c>
      <c r="E75" s="76" t="s">
        <v>247</v>
      </c>
      <c r="F75" s="76">
        <v>178</v>
      </c>
      <c r="G75" s="78">
        <v>3.9</v>
      </c>
      <c r="H75" s="76">
        <v>8</v>
      </c>
      <c r="I75" s="79" t="s">
        <v>248</v>
      </c>
      <c r="J75" s="96">
        <v>16</v>
      </c>
      <c r="K75" s="76">
        <v>19</v>
      </c>
      <c r="L75" s="76">
        <v>17</v>
      </c>
      <c r="M75" s="76">
        <v>20</v>
      </c>
      <c r="N75" s="76">
        <v>25.7</v>
      </c>
      <c r="O75" s="76">
        <v>22.217400000000001</v>
      </c>
      <c r="P75" s="76">
        <v>16.104099999999999</v>
      </c>
      <c r="Q75" s="76">
        <v>18.670400000000001</v>
      </c>
      <c r="R75" s="76">
        <v>17.165900000000001</v>
      </c>
      <c r="S75" s="76" t="s">
        <v>210</v>
      </c>
      <c r="T75" s="76" t="s">
        <v>165</v>
      </c>
      <c r="U75" s="76" t="s">
        <v>166</v>
      </c>
      <c r="V75" s="76" t="s">
        <v>249</v>
      </c>
      <c r="W75" s="76" t="s">
        <v>250</v>
      </c>
      <c r="Y75" s="76">
        <v>8</v>
      </c>
      <c r="Z75" s="76" t="s">
        <v>170</v>
      </c>
      <c r="AA75" s="76" t="s">
        <v>170</v>
      </c>
      <c r="AB75" s="76" t="s">
        <v>167</v>
      </c>
      <c r="AC75" s="76" t="s">
        <v>213</v>
      </c>
      <c r="AD75" s="76">
        <v>10</v>
      </c>
      <c r="AF75" s="76">
        <v>320</v>
      </c>
      <c r="AG75" s="76" t="s">
        <v>214</v>
      </c>
      <c r="AH75" s="76" t="s">
        <v>215</v>
      </c>
      <c r="AI75" s="76" t="s">
        <v>175</v>
      </c>
      <c r="AJ75" s="79" t="s">
        <v>176</v>
      </c>
      <c r="AK75" s="96" t="s">
        <v>170</v>
      </c>
      <c r="AL75" s="76" t="s">
        <v>177</v>
      </c>
      <c r="AR75" s="79"/>
      <c r="AS75" s="96">
        <v>3300</v>
      </c>
      <c r="AT75" s="79">
        <v>3300</v>
      </c>
      <c r="AU75" s="96">
        <v>79</v>
      </c>
      <c r="AV75" s="76">
        <v>73</v>
      </c>
      <c r="AW75" s="76">
        <v>77</v>
      </c>
      <c r="AX75" s="76">
        <v>59.3</v>
      </c>
      <c r="AY75" s="76">
        <v>51.8</v>
      </c>
      <c r="AZ75" s="76">
        <v>55.924999999999997</v>
      </c>
      <c r="BA75" s="76">
        <v>79.444000000000003</v>
      </c>
      <c r="BB75" s="76">
        <v>73.084999999999994</v>
      </c>
      <c r="BC75" s="76">
        <v>76.581999999999994</v>
      </c>
      <c r="BD75" s="76">
        <v>8</v>
      </c>
      <c r="BE75" s="76" t="s">
        <v>1735</v>
      </c>
      <c r="BF75" s="76" t="s">
        <v>1736</v>
      </c>
      <c r="BG75" s="76" t="s">
        <v>1742</v>
      </c>
      <c r="BH75" s="76" t="s">
        <v>1743</v>
      </c>
      <c r="BI75" s="76">
        <v>3300</v>
      </c>
      <c r="BJ75" s="2"/>
      <c r="BK75" s="2"/>
      <c r="BL75" s="2"/>
      <c r="BM75" s="79"/>
      <c r="BN75" s="98" t="s">
        <v>2493</v>
      </c>
      <c r="BO75" s="76">
        <v>2</v>
      </c>
      <c r="BP75" s="76">
        <v>2</v>
      </c>
      <c r="BQ75" s="76">
        <v>1</v>
      </c>
      <c r="BR75" s="76" t="s">
        <v>179</v>
      </c>
      <c r="BS75" s="76" t="s">
        <v>180</v>
      </c>
      <c r="BT75" s="76" t="s">
        <v>2494</v>
      </c>
      <c r="BU75" s="99">
        <v>45565</v>
      </c>
      <c r="BV75" s="79">
        <v>35539</v>
      </c>
      <c r="BW75" s="120"/>
      <c r="BX75" s="96" t="s">
        <v>169</v>
      </c>
      <c r="BY75" s="76" t="s">
        <v>170</v>
      </c>
      <c r="CB75" s="76" t="s">
        <v>170</v>
      </c>
      <c r="CC75" s="76" t="s">
        <v>170</v>
      </c>
      <c r="CE75" s="76" t="s">
        <v>170</v>
      </c>
      <c r="CF75" s="76" t="s">
        <v>252</v>
      </c>
      <c r="CG75" s="76" t="s">
        <v>169</v>
      </c>
      <c r="CH75" s="76" t="s">
        <v>253</v>
      </c>
      <c r="CI75" s="76" t="s">
        <v>170</v>
      </c>
      <c r="CJ75" s="76" t="s">
        <v>252</v>
      </c>
      <c r="CK75" s="76" t="s">
        <v>233</v>
      </c>
      <c r="CM75" s="76">
        <v>1</v>
      </c>
      <c r="CN75" s="76" t="s">
        <v>234</v>
      </c>
      <c r="CP75" s="76">
        <v>309</v>
      </c>
      <c r="CQ75" s="76">
        <v>21.2</v>
      </c>
      <c r="CR75" s="76">
        <v>84.2</v>
      </c>
      <c r="CS75" s="76" t="s">
        <v>235</v>
      </c>
      <c r="CV75" s="76" t="s">
        <v>341</v>
      </c>
      <c r="CX75" s="76" t="s">
        <v>342</v>
      </c>
      <c r="CY75" s="76" t="s">
        <v>170</v>
      </c>
      <c r="DD75" s="76">
        <v>3</v>
      </c>
      <c r="DE75" s="76" t="s">
        <v>404</v>
      </c>
      <c r="DF75" s="76" t="s">
        <v>2564</v>
      </c>
      <c r="DG75" s="76" t="s">
        <v>2570</v>
      </c>
      <c r="DJ75" s="76" t="s">
        <v>184</v>
      </c>
      <c r="DK75" s="76" t="s">
        <v>185</v>
      </c>
      <c r="DL75" s="76" t="s">
        <v>170</v>
      </c>
      <c r="DM75" s="76" t="s">
        <v>169</v>
      </c>
      <c r="DN75" s="76" t="s">
        <v>170</v>
      </c>
      <c r="DO75" s="76" t="s">
        <v>259</v>
      </c>
      <c r="DP75" s="76" t="s">
        <v>169</v>
      </c>
      <c r="DQ75" s="76" t="s">
        <v>198</v>
      </c>
      <c r="DR75" s="76" t="s">
        <v>2571</v>
      </c>
      <c r="DS75" s="76" t="s">
        <v>2511</v>
      </c>
      <c r="DT75" s="76" t="s">
        <v>2512</v>
      </c>
      <c r="DU75" s="76" t="s">
        <v>2498</v>
      </c>
      <c r="DV75" s="76" t="s">
        <v>2499</v>
      </c>
      <c r="DY75" s="76">
        <v>22.4</v>
      </c>
      <c r="DZ75" s="79"/>
      <c r="EA75" s="101"/>
      <c r="EB75" s="96">
        <v>4</v>
      </c>
      <c r="EC75" s="76">
        <v>4</v>
      </c>
      <c r="ED75" s="79"/>
      <c r="EE75" s="96" t="s">
        <v>2572</v>
      </c>
      <c r="EF75" s="76">
        <v>2</v>
      </c>
      <c r="EH75" s="79"/>
      <c r="EI75" s="96"/>
      <c r="EM75" s="96"/>
      <c r="EP75" s="79"/>
      <c r="EQ75" s="96"/>
      <c r="ET75" s="79"/>
      <c r="EU75" s="96"/>
      <c r="EV75" s="79">
        <v>7000</v>
      </c>
      <c r="EW75" s="96">
        <v>0</v>
      </c>
      <c r="EX75" s="76">
        <v>0</v>
      </c>
      <c r="EY75" s="79">
        <v>0</v>
      </c>
      <c r="EZ75" s="102">
        <f>FI75</f>
        <v>413</v>
      </c>
      <c r="FA75" s="76">
        <v>2.5</v>
      </c>
      <c r="FB75" s="79"/>
      <c r="FC75" s="97">
        <v>320</v>
      </c>
      <c r="FD75" s="96">
        <v>18</v>
      </c>
      <c r="FE75" s="76">
        <v>21</v>
      </c>
      <c r="FF75" s="79">
        <v>19</v>
      </c>
      <c r="FG75" s="76">
        <v>436.8</v>
      </c>
      <c r="FH75" s="76">
        <v>383.5</v>
      </c>
      <c r="FI75" s="103">
        <v>413</v>
      </c>
      <c r="FJ75" s="104">
        <v>8.0559999999999992</v>
      </c>
      <c r="FK75" s="105">
        <v>7.9359999999999999</v>
      </c>
      <c r="FL75" s="79">
        <v>8</v>
      </c>
      <c r="FM75" s="76">
        <v>0.22700000000000001</v>
      </c>
      <c r="FN75" s="76">
        <v>0.224</v>
      </c>
      <c r="FO75" s="79">
        <v>0.22500000000000001</v>
      </c>
      <c r="FP75" s="106">
        <v>0</v>
      </c>
      <c r="FQ75" s="107">
        <v>0</v>
      </c>
      <c r="FR75" s="107">
        <v>0</v>
      </c>
      <c r="FS75" s="108">
        <v>15</v>
      </c>
    </row>
    <row r="76" spans="1:190" s="76" customFormat="1" x14ac:dyDescent="0.35">
      <c r="A76" s="76">
        <v>2025</v>
      </c>
      <c r="B76" s="162" t="s">
        <v>244</v>
      </c>
      <c r="C76" s="162" t="s">
        <v>245</v>
      </c>
      <c r="D76" s="162" t="s">
        <v>2569</v>
      </c>
      <c r="E76" s="162" t="s">
        <v>247</v>
      </c>
      <c r="F76" s="162">
        <v>178</v>
      </c>
      <c r="G76" s="162">
        <v>3.9</v>
      </c>
      <c r="H76" s="162">
        <v>8</v>
      </c>
      <c r="I76" s="163" t="s">
        <v>248</v>
      </c>
      <c r="J76" s="96">
        <f t="shared" ref="J76:W76" si="25">J75</f>
        <v>16</v>
      </c>
      <c r="K76" s="76">
        <f t="shared" si="25"/>
        <v>19</v>
      </c>
      <c r="L76" s="76">
        <f t="shared" si="25"/>
        <v>17</v>
      </c>
      <c r="M76" s="76">
        <f t="shared" si="25"/>
        <v>20</v>
      </c>
      <c r="N76" s="76">
        <f t="shared" si="25"/>
        <v>25.7</v>
      </c>
      <c r="O76" s="76">
        <f t="shared" si="25"/>
        <v>22.217400000000001</v>
      </c>
      <c r="P76" s="76">
        <f t="shared" si="25"/>
        <v>16.104099999999999</v>
      </c>
      <c r="Q76" s="76">
        <f t="shared" si="25"/>
        <v>18.670400000000001</v>
      </c>
      <c r="R76" s="76">
        <f t="shared" si="25"/>
        <v>17.165900000000001</v>
      </c>
      <c r="S76" s="76" t="str">
        <f t="shared" si="25"/>
        <v>G</v>
      </c>
      <c r="T76" s="76" t="str">
        <f t="shared" si="25"/>
        <v>TC</v>
      </c>
      <c r="U76" s="76" t="str">
        <f t="shared" si="25"/>
        <v>Turbocharged</v>
      </c>
      <c r="V76" s="76" t="str">
        <f t="shared" si="25"/>
        <v>AM</v>
      </c>
      <c r="W76" s="76" t="str">
        <f t="shared" si="25"/>
        <v>Automated Manual</v>
      </c>
      <c r="Y76" s="76">
        <f t="shared" ref="Y76:AD76" si="26">Y75</f>
        <v>8</v>
      </c>
      <c r="Z76" s="76" t="str">
        <f t="shared" si="26"/>
        <v>N</v>
      </c>
      <c r="AA76" s="76" t="str">
        <f t="shared" si="26"/>
        <v>N</v>
      </c>
      <c r="AB76" s="76" t="str">
        <f t="shared" si="26"/>
        <v>A</v>
      </c>
      <c r="AC76" s="76" t="str">
        <f t="shared" si="26"/>
        <v>All Wheel Drive</v>
      </c>
      <c r="AD76" s="76">
        <f t="shared" si="26"/>
        <v>10</v>
      </c>
      <c r="AF76" s="76">
        <f>AF75</f>
        <v>320</v>
      </c>
      <c r="AG76" s="76" t="str">
        <f>AG75</f>
        <v>GPR</v>
      </c>
      <c r="AH76" s="76" t="str">
        <f>AH75</f>
        <v>Gasoline (Premium Unleaded Required)</v>
      </c>
      <c r="AI76" s="76" t="str">
        <f>AI75</f>
        <v>MPG</v>
      </c>
      <c r="AJ76" s="79" t="str">
        <f>AJ75</f>
        <v>miles per gallon</v>
      </c>
      <c r="AK76" s="96" t="s">
        <v>170</v>
      </c>
      <c r="AL76" s="76" t="s">
        <v>177</v>
      </c>
      <c r="AR76" s="79"/>
      <c r="AS76" s="96">
        <v>3300</v>
      </c>
      <c r="AT76" s="79">
        <v>3300</v>
      </c>
      <c r="AU76" s="96">
        <v>42</v>
      </c>
      <c r="AV76" s="76">
        <v>46</v>
      </c>
      <c r="AW76" s="76">
        <v>44</v>
      </c>
      <c r="AX76" s="76">
        <v>56.8</v>
      </c>
      <c r="AY76" s="76">
        <v>65.099999999999994</v>
      </c>
      <c r="AZ76" s="76">
        <v>60.257100000000001</v>
      </c>
      <c r="BA76" s="76">
        <v>42.181899999999999</v>
      </c>
      <c r="BB76" s="76">
        <v>45.743499999999997</v>
      </c>
      <c r="BC76" s="76">
        <v>43.713500000000003</v>
      </c>
      <c r="BD76" s="76">
        <v>8</v>
      </c>
      <c r="BE76" s="76" t="s">
        <v>1735</v>
      </c>
      <c r="BF76" s="76" t="s">
        <v>1736</v>
      </c>
      <c r="BG76" s="76" t="s">
        <v>175</v>
      </c>
      <c r="BH76" s="76" t="s">
        <v>176</v>
      </c>
      <c r="BI76" s="76">
        <v>3300</v>
      </c>
      <c r="BM76" s="79"/>
      <c r="BN76" s="98" t="s">
        <v>2493</v>
      </c>
      <c r="BO76" s="76">
        <v>2</v>
      </c>
      <c r="BP76" s="76">
        <v>2</v>
      </c>
      <c r="BQ76" s="76">
        <v>1</v>
      </c>
      <c r="BR76" s="76" t="s">
        <v>179</v>
      </c>
      <c r="BS76" s="76" t="s">
        <v>180</v>
      </c>
      <c r="BT76" s="76" t="s">
        <v>2494</v>
      </c>
      <c r="BU76" s="99">
        <v>45565</v>
      </c>
      <c r="BV76" s="79">
        <v>35539</v>
      </c>
      <c r="BW76" s="120"/>
      <c r="BX76" s="96" t="s">
        <v>169</v>
      </c>
      <c r="BY76" s="76" t="s">
        <v>170</v>
      </c>
      <c r="CB76" s="76" t="s">
        <v>170</v>
      </c>
      <c r="CC76" s="76" t="s">
        <v>170</v>
      </c>
      <c r="CE76" s="76" t="s">
        <v>170</v>
      </c>
      <c r="CF76" s="76" t="s">
        <v>252</v>
      </c>
      <c r="CG76" s="76" t="s">
        <v>169</v>
      </c>
      <c r="CH76" s="76" t="s">
        <v>253</v>
      </c>
      <c r="CI76" s="76" t="s">
        <v>170</v>
      </c>
      <c r="CJ76" s="76" t="s">
        <v>252</v>
      </c>
      <c r="CK76" s="76" t="s">
        <v>233</v>
      </c>
      <c r="CM76" s="76">
        <v>1</v>
      </c>
      <c r="CN76" s="76" t="s">
        <v>234</v>
      </c>
      <c r="CP76" s="76">
        <v>309</v>
      </c>
      <c r="CQ76" s="76">
        <v>21.2</v>
      </c>
      <c r="CR76" s="76">
        <v>84.2</v>
      </c>
      <c r="CS76" s="76" t="s">
        <v>235</v>
      </c>
      <c r="CV76" s="76" t="s">
        <v>341</v>
      </c>
      <c r="CX76" s="76" t="s">
        <v>342</v>
      </c>
      <c r="CY76" s="76" t="s">
        <v>170</v>
      </c>
      <c r="DD76" s="76">
        <v>3</v>
      </c>
      <c r="DE76" s="76" t="s">
        <v>404</v>
      </c>
      <c r="DF76" s="76" t="s">
        <v>2564</v>
      </c>
      <c r="DG76" s="76" t="s">
        <v>2570</v>
      </c>
      <c r="DJ76" s="76" t="s">
        <v>184</v>
      </c>
      <c r="DK76" s="76" t="s">
        <v>185</v>
      </c>
      <c r="DL76" s="76" t="s">
        <v>170</v>
      </c>
      <c r="DM76" s="76" t="s">
        <v>169</v>
      </c>
      <c r="DN76" s="76" t="s">
        <v>170</v>
      </c>
      <c r="DO76" s="76" t="s">
        <v>259</v>
      </c>
      <c r="DP76" s="76" t="s">
        <v>169</v>
      </c>
      <c r="DQ76" s="76" t="s">
        <v>198</v>
      </c>
      <c r="DR76" s="76" t="s">
        <v>2571</v>
      </c>
      <c r="DS76" s="76" t="s">
        <v>2511</v>
      </c>
      <c r="DT76" s="76" t="s">
        <v>2512</v>
      </c>
      <c r="DU76" s="76" t="s">
        <v>2498</v>
      </c>
      <c r="DV76" s="76" t="s">
        <v>2499</v>
      </c>
      <c r="DY76" s="76">
        <v>22.4</v>
      </c>
      <c r="DZ76" s="79"/>
      <c r="EA76" s="101"/>
      <c r="EB76" s="96">
        <v>4</v>
      </c>
      <c r="EC76" s="76">
        <v>4</v>
      </c>
      <c r="ED76" s="79"/>
      <c r="EE76" s="96" t="s">
        <v>2572</v>
      </c>
      <c r="EF76" s="76">
        <v>2</v>
      </c>
      <c r="EH76" s="79"/>
      <c r="EI76" s="96"/>
      <c r="EM76" s="96"/>
      <c r="EP76" s="79"/>
      <c r="EQ76" s="96"/>
      <c r="ET76" s="79"/>
      <c r="EU76" s="96"/>
      <c r="EV76" s="79">
        <v>7000</v>
      </c>
      <c r="EW76" s="96">
        <v>548</v>
      </c>
      <c r="EX76" s="76">
        <v>478</v>
      </c>
      <c r="EY76" s="79">
        <v>516</v>
      </c>
      <c r="EZ76" s="102">
        <f>FI76</f>
        <v>413</v>
      </c>
      <c r="FA76" s="76">
        <v>2.5</v>
      </c>
      <c r="FB76" s="79"/>
      <c r="FC76" s="97">
        <v>320</v>
      </c>
      <c r="FD76" s="96">
        <v>18</v>
      </c>
      <c r="FE76" s="76">
        <v>21</v>
      </c>
      <c r="FF76" s="79">
        <v>19</v>
      </c>
      <c r="FG76" s="76">
        <v>436.8</v>
      </c>
      <c r="FH76" s="76">
        <v>383.5</v>
      </c>
      <c r="FI76" s="103">
        <v>413</v>
      </c>
      <c r="FJ76" s="98" t="s">
        <v>2566</v>
      </c>
      <c r="FL76" s="79"/>
      <c r="FM76" s="76">
        <v>0.22700000000000001</v>
      </c>
      <c r="FN76" s="76">
        <v>0.224</v>
      </c>
      <c r="FO76" s="79">
        <v>0.22500000000000001</v>
      </c>
      <c r="FP76" s="106"/>
      <c r="FQ76" s="107"/>
      <c r="FR76" s="107"/>
      <c r="FS76" s="108">
        <v>15</v>
      </c>
    </row>
    <row r="77" spans="1:190" s="77" customFormat="1" x14ac:dyDescent="0.35">
      <c r="A77" s="76"/>
      <c r="E77" s="76"/>
      <c r="F77" s="76"/>
      <c r="G77" s="78"/>
      <c r="H77" s="76"/>
      <c r="I77" s="79"/>
      <c r="J77" s="80"/>
      <c r="K77" s="28"/>
      <c r="L77" s="28"/>
      <c r="M77" s="25" t="str">
        <f>_xlfn.CONCAT(A78," ",C78," ",D78)</f>
        <v>2025 Ferrari SF90 XX Spider</v>
      </c>
      <c r="N77" s="28"/>
      <c r="O77" s="28"/>
      <c r="P77" s="28"/>
      <c r="Q77" s="28"/>
      <c r="R77" s="28"/>
      <c r="S77" s="28"/>
      <c r="T77" s="28"/>
      <c r="U77" s="28"/>
      <c r="V77" s="28"/>
      <c r="W77" s="28"/>
      <c r="X77" s="28"/>
      <c r="Y77" s="28"/>
      <c r="Z77" s="28"/>
      <c r="AA77" s="28"/>
      <c r="AB77" s="28"/>
      <c r="AC77" s="28"/>
      <c r="AD77" s="25" t="str">
        <f>$M77</f>
        <v>2025 Ferrari SF90 XX Spider</v>
      </c>
      <c r="AE77" s="28"/>
      <c r="AF77" s="28"/>
      <c r="AG77" s="28"/>
      <c r="AH77" s="28"/>
      <c r="AI77" s="28"/>
      <c r="AJ77" s="81"/>
      <c r="AK77" s="82"/>
      <c r="AL77" s="2"/>
      <c r="AM77" s="2"/>
      <c r="AN77" s="2"/>
      <c r="AO77" s="2"/>
      <c r="AP77" s="2"/>
      <c r="AQ77" s="2"/>
      <c r="AR77" s="83"/>
      <c r="AS77" s="84"/>
      <c r="AT77" s="85" t="str">
        <f>$M77</f>
        <v>2025 Ferrari SF90 XX Spider</v>
      </c>
      <c r="AU77" s="84"/>
      <c r="AV77" s="28"/>
      <c r="AW77" s="28"/>
      <c r="AX77" s="28"/>
      <c r="AY77" s="28"/>
      <c r="AZ77" s="28"/>
      <c r="BA77" s="28"/>
      <c r="BB77" s="28"/>
      <c r="BC77" s="28"/>
      <c r="BD77" s="28"/>
      <c r="BE77" s="28"/>
      <c r="BF77" s="28"/>
      <c r="BG77" s="28"/>
      <c r="BH77" s="28"/>
      <c r="BI77" s="25" t="str">
        <f>$M77</f>
        <v>2025 Ferrari SF90 XX Spider</v>
      </c>
      <c r="BJ77" s="28"/>
      <c r="BK77" s="28"/>
      <c r="BL77" s="28"/>
      <c r="BM77" s="81"/>
      <c r="BN77" s="82"/>
      <c r="BO77" s="2"/>
      <c r="BP77" s="2"/>
      <c r="BQ77" s="2"/>
      <c r="BR77" s="2"/>
      <c r="BS77" s="2"/>
      <c r="BT77" s="86"/>
      <c r="BU77" s="2"/>
      <c r="BV77" s="83"/>
      <c r="BW77" s="121"/>
      <c r="BX77" s="84"/>
      <c r="BY77" s="25" t="str">
        <f>$M77</f>
        <v>2025 Ferrari SF90 XX Spider</v>
      </c>
      <c r="BZ77" s="28"/>
      <c r="CA77" s="28"/>
      <c r="CB77" s="28"/>
      <c r="CC77" s="28"/>
      <c r="CD77" s="28"/>
      <c r="CE77" s="88"/>
      <c r="CF77" s="28"/>
      <c r="CG77" s="28"/>
      <c r="CH77" s="28"/>
      <c r="CI77" s="28"/>
      <c r="CJ77" s="28"/>
      <c r="CK77" s="28"/>
      <c r="CL77" s="28"/>
      <c r="CM77" s="28"/>
      <c r="CN77" s="28"/>
      <c r="CO77" s="25" t="str">
        <f>$M77</f>
        <v>2025 Ferrari SF90 XX Spider</v>
      </c>
      <c r="CP77" s="28"/>
      <c r="CQ77" s="28"/>
      <c r="CR77" s="28"/>
      <c r="CS77" s="28"/>
      <c r="CT77" s="28"/>
      <c r="CU77" s="28"/>
      <c r="CV77" s="28"/>
      <c r="CW77" s="28"/>
      <c r="CX77" s="28"/>
      <c r="CY77" s="28"/>
      <c r="CZ77" s="28"/>
      <c r="DA77" s="28"/>
      <c r="DB77" s="28"/>
      <c r="DC77" s="28"/>
      <c r="DD77" s="28"/>
      <c r="DE77" s="28"/>
      <c r="DF77" s="25" t="str">
        <f>$M77</f>
        <v>2025 Ferrari SF90 XX Spider</v>
      </c>
      <c r="DG77" s="28"/>
      <c r="DH77" s="28"/>
      <c r="DI77" s="28"/>
      <c r="DJ77" s="28"/>
      <c r="DK77" s="28"/>
      <c r="DL77" s="28"/>
      <c r="DM77" s="28"/>
      <c r="DN77" s="28"/>
      <c r="DO77" s="28"/>
      <c r="DP77" s="28"/>
      <c r="DQ77" s="28"/>
      <c r="DR77" s="25"/>
      <c r="DS77" s="25"/>
      <c r="DT77" s="25"/>
      <c r="DU77" s="25"/>
      <c r="DV77" s="25"/>
      <c r="DW77" s="25" t="str">
        <f>$M77</f>
        <v>2025 Ferrari SF90 XX Spider</v>
      </c>
      <c r="DX77" s="25"/>
      <c r="DY77" s="25"/>
      <c r="DZ77" s="85"/>
      <c r="EA77" s="89"/>
      <c r="EB77" s="80"/>
      <c r="EC77" s="25"/>
      <c r="ED77" s="85"/>
      <c r="EE77" s="80"/>
      <c r="EF77" s="25"/>
      <c r="EG77" s="25"/>
      <c r="EH77" s="85"/>
      <c r="EI77" s="80"/>
      <c r="EK77" t="s">
        <v>2445</v>
      </c>
      <c r="EL77" s="25" t="str">
        <f>$M77</f>
        <v>2025 Ferrari SF90 XX Spider</v>
      </c>
      <c r="EM77" s="80"/>
      <c r="EP77" s="75"/>
      <c r="EQ77" s="90"/>
      <c r="ET77" s="75"/>
      <c r="EU77" s="90"/>
      <c r="EV77" s="75"/>
      <c r="EW77" s="90"/>
      <c r="EY77" s="75"/>
      <c r="EZ77" s="102"/>
      <c r="FA77" s="25" t="str">
        <f>$M77</f>
        <v>2025 Ferrari SF90 XX Spider</v>
      </c>
      <c r="FB77" s="75"/>
      <c r="FC77" s="91"/>
      <c r="FD77" s="80"/>
      <c r="FE77" s="25"/>
      <c r="FF77" s="85"/>
      <c r="FG77" s="25"/>
      <c r="FH77" s="25"/>
      <c r="FI77" s="85"/>
      <c r="FJ77" s="80"/>
      <c r="FK77" s="25"/>
      <c r="FL77" s="85"/>
      <c r="FM77" s="25" t="str">
        <f>$M77</f>
        <v>2025 Ferrari SF90 XX Spider</v>
      </c>
      <c r="FN77" s="25"/>
      <c r="FO77" s="85"/>
      <c r="FP77" s="92"/>
      <c r="FQ77" s="93"/>
      <c r="FR77" s="94"/>
      <c r="FS77" s="95"/>
      <c r="FT77" s="25"/>
      <c r="FU77" s="25"/>
      <c r="FV77" s="25"/>
      <c r="FW77" s="25"/>
      <c r="FX77" s="25"/>
      <c r="FY77" s="25"/>
      <c r="FZ77" s="25"/>
      <c r="GA77" s="25"/>
      <c r="GB77" s="25"/>
      <c r="GC77" s="25"/>
      <c r="GD77" s="25"/>
      <c r="GE77" s="25"/>
      <c r="GF77" s="25"/>
      <c r="GG77" s="25"/>
      <c r="GH77" s="25"/>
    </row>
    <row r="78" spans="1:190" s="76" customFormat="1" x14ac:dyDescent="0.35">
      <c r="A78" s="76">
        <v>2025</v>
      </c>
      <c r="B78" s="76" t="s">
        <v>244</v>
      </c>
      <c r="C78" s="76" t="s">
        <v>244</v>
      </c>
      <c r="D78" s="76" t="s">
        <v>2573</v>
      </c>
      <c r="E78" s="76" t="s">
        <v>247</v>
      </c>
      <c r="F78" s="76">
        <v>181</v>
      </c>
      <c r="G78" s="78">
        <v>3.9</v>
      </c>
      <c r="H78" s="76">
        <v>8</v>
      </c>
      <c r="I78" s="79" t="s">
        <v>248</v>
      </c>
      <c r="J78" s="96">
        <v>16</v>
      </c>
      <c r="K78" s="76">
        <v>19</v>
      </c>
      <c r="L78" s="76">
        <v>17</v>
      </c>
      <c r="M78" s="76">
        <v>19.2</v>
      </c>
      <c r="N78" s="76">
        <v>26.5</v>
      </c>
      <c r="O78" s="76">
        <v>21.916899999999998</v>
      </c>
      <c r="P78" s="76">
        <v>15.5008</v>
      </c>
      <c r="Q78" s="76">
        <v>19.216000000000001</v>
      </c>
      <c r="R78" s="76">
        <v>16.977900000000002</v>
      </c>
      <c r="S78" s="76" t="s">
        <v>210</v>
      </c>
      <c r="T78" s="76" t="s">
        <v>165</v>
      </c>
      <c r="U78" s="76" t="s">
        <v>166</v>
      </c>
      <c r="V78" s="76" t="s">
        <v>249</v>
      </c>
      <c r="W78" s="76" t="s">
        <v>250</v>
      </c>
      <c r="Y78" s="76">
        <v>8</v>
      </c>
      <c r="Z78" s="76" t="s">
        <v>170</v>
      </c>
      <c r="AA78" s="76" t="s">
        <v>170</v>
      </c>
      <c r="AB78" s="76" t="s">
        <v>167</v>
      </c>
      <c r="AC78" s="76" t="s">
        <v>213</v>
      </c>
      <c r="AD78" s="76">
        <v>10</v>
      </c>
      <c r="AF78" s="76">
        <v>320</v>
      </c>
      <c r="AG78" s="76" t="s">
        <v>214</v>
      </c>
      <c r="AH78" s="76" t="s">
        <v>215</v>
      </c>
      <c r="AI78" s="76" t="s">
        <v>175</v>
      </c>
      <c r="AJ78" s="79" t="s">
        <v>176</v>
      </c>
      <c r="AK78" s="96" t="s">
        <v>170</v>
      </c>
      <c r="AL78" s="76" t="s">
        <v>177</v>
      </c>
      <c r="AR78" s="79"/>
      <c r="AS78" s="96">
        <v>3300</v>
      </c>
      <c r="AT78" s="79">
        <v>3300</v>
      </c>
      <c r="AU78" s="96">
        <v>74</v>
      </c>
      <c r="AV78" s="76">
        <v>78</v>
      </c>
      <c r="AW78" s="76">
        <v>76</v>
      </c>
      <c r="AX78" s="76">
        <v>55</v>
      </c>
      <c r="AY78" s="76">
        <v>53.8</v>
      </c>
      <c r="AZ78" s="76">
        <v>54.46</v>
      </c>
      <c r="BA78" s="76">
        <v>74.218000000000004</v>
      </c>
      <c r="BB78" s="76">
        <v>77.691000000000003</v>
      </c>
      <c r="BC78" s="76">
        <v>75.780799999999999</v>
      </c>
      <c r="BD78" s="76">
        <v>8</v>
      </c>
      <c r="BE78" s="76" t="s">
        <v>1735</v>
      </c>
      <c r="BF78" s="76" t="s">
        <v>1736</v>
      </c>
      <c r="BG78" s="76" t="s">
        <v>1742</v>
      </c>
      <c r="BH78" s="76" t="s">
        <v>1743</v>
      </c>
      <c r="BI78" s="76">
        <v>3300</v>
      </c>
      <c r="BJ78" s="2"/>
      <c r="BK78" s="2"/>
      <c r="BL78" s="2"/>
      <c r="BM78" s="79"/>
      <c r="BN78" s="98" t="s">
        <v>2493</v>
      </c>
      <c r="BO78" s="76">
        <v>2</v>
      </c>
      <c r="BP78" s="76">
        <v>2</v>
      </c>
      <c r="BQ78" s="76">
        <v>1</v>
      </c>
      <c r="BR78" s="76" t="s">
        <v>179</v>
      </c>
      <c r="BS78" s="76" t="s">
        <v>180</v>
      </c>
      <c r="BT78" s="76" t="s">
        <v>2494</v>
      </c>
      <c r="BU78" s="99">
        <v>45565</v>
      </c>
      <c r="BV78" s="79">
        <v>35538</v>
      </c>
      <c r="BW78" s="120"/>
      <c r="BX78" s="96" t="s">
        <v>169</v>
      </c>
      <c r="BY78" s="76" t="s">
        <v>170</v>
      </c>
      <c r="CB78" s="76" t="s">
        <v>170</v>
      </c>
      <c r="CC78" s="76" t="s">
        <v>170</v>
      </c>
      <c r="CE78" s="76" t="s">
        <v>170</v>
      </c>
      <c r="CF78" s="76" t="s">
        <v>252</v>
      </c>
      <c r="CG78" s="76" t="s">
        <v>169</v>
      </c>
      <c r="CH78" s="76" t="s">
        <v>253</v>
      </c>
      <c r="CI78" s="76" t="s">
        <v>170</v>
      </c>
      <c r="CJ78" s="76" t="s">
        <v>252</v>
      </c>
      <c r="CK78" s="76" t="s">
        <v>233</v>
      </c>
      <c r="CM78" s="76">
        <v>1</v>
      </c>
      <c r="CN78" s="76" t="s">
        <v>234</v>
      </c>
      <c r="CP78" s="76">
        <v>309</v>
      </c>
      <c r="CQ78" s="76">
        <v>26.2</v>
      </c>
      <c r="CR78" s="76">
        <v>84.2</v>
      </c>
      <c r="CS78" s="76" t="s">
        <v>235</v>
      </c>
      <c r="CV78" s="76" t="s">
        <v>341</v>
      </c>
      <c r="CX78" s="76" t="s">
        <v>342</v>
      </c>
      <c r="CY78" s="76" t="s">
        <v>170</v>
      </c>
      <c r="DD78" s="76">
        <v>3</v>
      </c>
      <c r="DE78" s="76" t="s">
        <v>404</v>
      </c>
      <c r="DF78" s="76" t="s">
        <v>2564</v>
      </c>
      <c r="DG78" s="76" t="s">
        <v>2570</v>
      </c>
      <c r="DJ78" s="76" t="s">
        <v>184</v>
      </c>
      <c r="DK78" s="76" t="s">
        <v>185</v>
      </c>
      <c r="DL78" s="76" t="s">
        <v>170</v>
      </c>
      <c r="DM78" s="76" t="s">
        <v>169</v>
      </c>
      <c r="DN78" s="76" t="s">
        <v>170</v>
      </c>
      <c r="DO78" s="76" t="s">
        <v>259</v>
      </c>
      <c r="DP78" s="76" t="s">
        <v>169</v>
      </c>
      <c r="DQ78" s="76" t="s">
        <v>198</v>
      </c>
      <c r="DR78" s="76" t="s">
        <v>2573</v>
      </c>
      <c r="DS78" s="76" t="s">
        <v>2511</v>
      </c>
      <c r="DT78" s="76" t="s">
        <v>2512</v>
      </c>
      <c r="DU78" s="76" t="s">
        <v>2498</v>
      </c>
      <c r="DV78" s="76" t="s">
        <v>2499</v>
      </c>
      <c r="DY78" s="76">
        <v>22.1</v>
      </c>
      <c r="DZ78" s="79"/>
      <c r="EA78" s="101"/>
      <c r="EB78" s="96">
        <v>4</v>
      </c>
      <c r="EC78" s="76">
        <v>4</v>
      </c>
      <c r="ED78" s="79"/>
      <c r="EE78" s="96" t="s">
        <v>2574</v>
      </c>
      <c r="EF78" s="76">
        <v>4</v>
      </c>
      <c r="EH78" s="79"/>
      <c r="EI78" s="96"/>
      <c r="EM78" s="96"/>
      <c r="EP78" s="79"/>
      <c r="EQ78" s="96"/>
      <c r="ET78" s="79"/>
      <c r="EU78" s="96"/>
      <c r="EV78" s="79">
        <v>7000</v>
      </c>
      <c r="EW78" s="96">
        <v>0</v>
      </c>
      <c r="EX78" s="76">
        <v>0</v>
      </c>
      <c r="EY78" s="79">
        <v>0</v>
      </c>
      <c r="EZ78" s="102">
        <f>FI78</f>
        <v>403</v>
      </c>
      <c r="FA78" s="76">
        <v>2.5</v>
      </c>
      <c r="FB78" s="79"/>
      <c r="FC78" s="97">
        <v>330</v>
      </c>
      <c r="FD78" s="96">
        <v>19</v>
      </c>
      <c r="FE78" s="76">
        <v>22</v>
      </c>
      <c r="FF78" s="79">
        <v>20</v>
      </c>
      <c r="FG78" s="76">
        <v>427.6</v>
      </c>
      <c r="FH78" s="76">
        <v>373.5</v>
      </c>
      <c r="FI78" s="103">
        <v>403</v>
      </c>
      <c r="FJ78" s="104">
        <v>8.6199999999999992</v>
      </c>
      <c r="FK78" s="105">
        <v>8.3740000000000006</v>
      </c>
      <c r="FL78" s="79">
        <v>9</v>
      </c>
      <c r="FM78" s="76">
        <v>0.24</v>
      </c>
      <c r="FN78" s="76">
        <v>0.23400000000000001</v>
      </c>
      <c r="FO78" s="79">
        <v>0.23699999999999999</v>
      </c>
      <c r="FP78" s="106">
        <v>0</v>
      </c>
      <c r="FQ78" s="107">
        <v>0</v>
      </c>
      <c r="FR78" s="107">
        <v>0</v>
      </c>
      <c r="FS78" s="108">
        <v>15</v>
      </c>
    </row>
    <row r="79" spans="1:190" s="76" customFormat="1" x14ac:dyDescent="0.35">
      <c r="A79" s="76">
        <v>2025</v>
      </c>
      <c r="B79" s="162" t="s">
        <v>244</v>
      </c>
      <c r="C79" s="162" t="s">
        <v>245</v>
      </c>
      <c r="D79" s="162" t="s">
        <v>2573</v>
      </c>
      <c r="E79" s="162" t="s">
        <v>247</v>
      </c>
      <c r="F79" s="162">
        <v>181</v>
      </c>
      <c r="G79" s="162">
        <v>3.9</v>
      </c>
      <c r="H79" s="162">
        <v>8</v>
      </c>
      <c r="I79" s="163" t="s">
        <v>248</v>
      </c>
      <c r="J79" s="96">
        <f t="shared" ref="J79:W79" si="27">J78</f>
        <v>16</v>
      </c>
      <c r="K79" s="76">
        <f t="shared" si="27"/>
        <v>19</v>
      </c>
      <c r="L79" s="76">
        <f t="shared" si="27"/>
        <v>17</v>
      </c>
      <c r="M79" s="76">
        <f t="shared" si="27"/>
        <v>19.2</v>
      </c>
      <c r="N79" s="76">
        <f t="shared" si="27"/>
        <v>26.5</v>
      </c>
      <c r="O79" s="76">
        <f t="shared" si="27"/>
        <v>21.916899999999998</v>
      </c>
      <c r="P79" s="76">
        <f t="shared" si="27"/>
        <v>15.5008</v>
      </c>
      <c r="Q79" s="76">
        <f t="shared" si="27"/>
        <v>19.216000000000001</v>
      </c>
      <c r="R79" s="76">
        <f t="shared" si="27"/>
        <v>16.977900000000002</v>
      </c>
      <c r="S79" s="76" t="str">
        <f t="shared" si="27"/>
        <v>G</v>
      </c>
      <c r="T79" s="76" t="str">
        <f t="shared" si="27"/>
        <v>TC</v>
      </c>
      <c r="U79" s="76" t="str">
        <f t="shared" si="27"/>
        <v>Turbocharged</v>
      </c>
      <c r="V79" s="76" t="str">
        <f t="shared" si="27"/>
        <v>AM</v>
      </c>
      <c r="W79" s="76" t="str">
        <f t="shared" si="27"/>
        <v>Automated Manual</v>
      </c>
      <c r="Y79" s="76">
        <f t="shared" ref="Y79:AD79" si="28">Y78</f>
        <v>8</v>
      </c>
      <c r="Z79" s="76" t="str">
        <f t="shared" si="28"/>
        <v>N</v>
      </c>
      <c r="AA79" s="76" t="str">
        <f t="shared" si="28"/>
        <v>N</v>
      </c>
      <c r="AB79" s="76" t="str">
        <f t="shared" si="28"/>
        <v>A</v>
      </c>
      <c r="AC79" s="76" t="str">
        <f t="shared" si="28"/>
        <v>All Wheel Drive</v>
      </c>
      <c r="AD79" s="76">
        <f t="shared" si="28"/>
        <v>10</v>
      </c>
      <c r="AF79" s="76">
        <f>AF78</f>
        <v>320</v>
      </c>
      <c r="AG79" s="76" t="str">
        <f>AG78</f>
        <v>GPR</v>
      </c>
      <c r="AH79" s="76" t="str">
        <f>AH78</f>
        <v>Gasoline (Premium Unleaded Required)</v>
      </c>
      <c r="AI79" s="76" t="str">
        <f>AI78</f>
        <v>MPG</v>
      </c>
      <c r="AJ79" s="79" t="str">
        <f>AJ78</f>
        <v>miles per gallon</v>
      </c>
      <c r="AK79" s="96" t="s">
        <v>170</v>
      </c>
      <c r="AL79" s="76" t="s">
        <v>177</v>
      </c>
      <c r="AR79" s="79"/>
      <c r="AS79" s="96">
        <v>3300</v>
      </c>
      <c r="AT79" s="79">
        <v>3300</v>
      </c>
      <c r="AU79" s="96">
        <v>45</v>
      </c>
      <c r="AV79" s="76">
        <v>44</v>
      </c>
      <c r="AW79" s="76">
        <v>45</v>
      </c>
      <c r="AX79" s="76">
        <v>61.3</v>
      </c>
      <c r="AY79" s="76">
        <v>62.7</v>
      </c>
      <c r="AZ79" s="76">
        <v>61.922199999999997</v>
      </c>
      <c r="BA79" s="76">
        <v>45.244</v>
      </c>
      <c r="BB79" s="76">
        <v>44.014299999999999</v>
      </c>
      <c r="BC79" s="76">
        <v>44.682200000000002</v>
      </c>
      <c r="BD79" s="76">
        <v>8</v>
      </c>
      <c r="BE79" s="76" t="s">
        <v>1735</v>
      </c>
      <c r="BF79" s="76" t="s">
        <v>1736</v>
      </c>
      <c r="BG79" s="76" t="s">
        <v>175</v>
      </c>
      <c r="BH79" s="76" t="s">
        <v>176</v>
      </c>
      <c r="BI79" s="76">
        <v>3300</v>
      </c>
      <c r="BM79" s="79"/>
      <c r="BN79" s="98" t="s">
        <v>2493</v>
      </c>
      <c r="BO79" s="76">
        <v>2</v>
      </c>
      <c r="BP79" s="76">
        <v>2</v>
      </c>
      <c r="BQ79" s="76">
        <v>1</v>
      </c>
      <c r="BR79" s="76" t="s">
        <v>179</v>
      </c>
      <c r="BS79" s="76" t="s">
        <v>180</v>
      </c>
      <c r="BT79" s="76" t="s">
        <v>2494</v>
      </c>
      <c r="BU79" s="99">
        <v>45565</v>
      </c>
      <c r="BV79" s="79">
        <v>35538</v>
      </c>
      <c r="BW79" s="120"/>
      <c r="BX79" s="96" t="s">
        <v>169</v>
      </c>
      <c r="BY79" s="76" t="s">
        <v>170</v>
      </c>
      <c r="CB79" s="76" t="s">
        <v>170</v>
      </c>
      <c r="CC79" s="76" t="s">
        <v>170</v>
      </c>
      <c r="CE79" s="76" t="s">
        <v>170</v>
      </c>
      <c r="CF79" s="76" t="s">
        <v>252</v>
      </c>
      <c r="CG79" s="76" t="s">
        <v>169</v>
      </c>
      <c r="CH79" s="76" t="s">
        <v>253</v>
      </c>
      <c r="CI79" s="76" t="s">
        <v>170</v>
      </c>
      <c r="CJ79" s="76" t="s">
        <v>252</v>
      </c>
      <c r="CK79" s="76" t="s">
        <v>233</v>
      </c>
      <c r="CM79" s="76">
        <v>1</v>
      </c>
      <c r="CN79" s="76" t="s">
        <v>234</v>
      </c>
      <c r="CP79" s="76">
        <v>309</v>
      </c>
      <c r="CQ79" s="76">
        <v>26.2</v>
      </c>
      <c r="CR79" s="76">
        <v>84.2</v>
      </c>
      <c r="CS79" s="76" t="s">
        <v>235</v>
      </c>
      <c r="CV79" s="76" t="s">
        <v>341</v>
      </c>
      <c r="CX79" s="76" t="s">
        <v>342</v>
      </c>
      <c r="CY79" s="76" t="s">
        <v>170</v>
      </c>
      <c r="DD79" s="76">
        <v>3</v>
      </c>
      <c r="DE79" s="76" t="s">
        <v>404</v>
      </c>
      <c r="DF79" s="76" t="s">
        <v>2564</v>
      </c>
      <c r="DG79" s="76" t="s">
        <v>2570</v>
      </c>
      <c r="DJ79" s="76" t="s">
        <v>184</v>
      </c>
      <c r="DK79" s="76" t="s">
        <v>185</v>
      </c>
      <c r="DL79" s="76" t="s">
        <v>170</v>
      </c>
      <c r="DM79" s="76" t="s">
        <v>169</v>
      </c>
      <c r="DN79" s="76" t="s">
        <v>170</v>
      </c>
      <c r="DO79" s="76" t="s">
        <v>259</v>
      </c>
      <c r="DP79" s="76" t="s">
        <v>169</v>
      </c>
      <c r="DQ79" s="76" t="s">
        <v>198</v>
      </c>
      <c r="DR79" s="76" t="s">
        <v>2573</v>
      </c>
      <c r="DS79" s="76" t="s">
        <v>2511</v>
      </c>
      <c r="DT79" s="76" t="s">
        <v>2512</v>
      </c>
      <c r="DU79" s="76" t="s">
        <v>2498</v>
      </c>
      <c r="DV79" s="76" t="s">
        <v>2499</v>
      </c>
      <c r="DY79" s="76">
        <v>22.1</v>
      </c>
      <c r="DZ79" s="79"/>
      <c r="EA79" s="101"/>
      <c r="EB79" s="96">
        <v>4</v>
      </c>
      <c r="EC79" s="76">
        <v>4</v>
      </c>
      <c r="ED79" s="79"/>
      <c r="EE79" s="96" t="s">
        <v>2574</v>
      </c>
      <c r="EF79" s="76">
        <v>4</v>
      </c>
      <c r="EH79" s="79"/>
      <c r="EI79" s="96"/>
      <c r="EM79" s="96"/>
      <c r="EP79" s="79"/>
      <c r="EQ79" s="96"/>
      <c r="ET79" s="79"/>
      <c r="EU79" s="96"/>
      <c r="EV79" s="79">
        <v>7000</v>
      </c>
      <c r="EW79" s="96">
        <v>574</v>
      </c>
      <c r="EX79" s="76">
        <v>462</v>
      </c>
      <c r="EY79" s="79">
        <v>523</v>
      </c>
      <c r="EZ79" s="102">
        <f>FI79</f>
        <v>403</v>
      </c>
      <c r="FA79" s="76">
        <v>2.5</v>
      </c>
      <c r="FB79" s="79"/>
      <c r="FC79" s="97">
        <v>330</v>
      </c>
      <c r="FD79" s="96">
        <v>19</v>
      </c>
      <c r="FE79" s="76">
        <v>22</v>
      </c>
      <c r="FF79" s="79">
        <v>20</v>
      </c>
      <c r="FG79" s="76">
        <v>427.6</v>
      </c>
      <c r="FH79" s="76">
        <v>373.5</v>
      </c>
      <c r="FI79" s="103">
        <v>403</v>
      </c>
      <c r="FJ79" s="98" t="s">
        <v>2566</v>
      </c>
      <c r="FL79" s="79"/>
      <c r="FM79" s="76">
        <v>0.24</v>
      </c>
      <c r="FN79" s="76">
        <v>0.23400000000000001</v>
      </c>
      <c r="FO79" s="79">
        <v>0.23699999999999999</v>
      </c>
      <c r="FP79" s="106"/>
      <c r="FQ79" s="107"/>
      <c r="FR79" s="107"/>
      <c r="FS79" s="108">
        <v>15</v>
      </c>
    </row>
    <row r="80" spans="1:190" s="77" customFormat="1" x14ac:dyDescent="0.35">
      <c r="A80" s="76"/>
      <c r="E80" s="76"/>
      <c r="F80" s="76"/>
      <c r="G80" s="78"/>
      <c r="H80" s="76"/>
      <c r="I80" s="79"/>
      <c r="J80" s="80"/>
      <c r="K80" s="28"/>
      <c r="L80" s="28"/>
      <c r="M80" s="25" t="str">
        <f>_xlfn.CONCAT(A81," ",C81," ",D81)</f>
        <v>2025 Ferrari SF90 XX Stradale</v>
      </c>
      <c r="N80" s="28"/>
      <c r="O80" s="28"/>
      <c r="P80" s="28"/>
      <c r="Q80" s="28"/>
      <c r="R80" s="28"/>
      <c r="S80" s="28"/>
      <c r="T80" s="28"/>
      <c r="U80" s="28"/>
      <c r="V80" s="28"/>
      <c r="W80" s="28"/>
      <c r="X80" s="28"/>
      <c r="Y80" s="28"/>
      <c r="Z80" s="28"/>
      <c r="AA80" s="28"/>
      <c r="AB80" s="28"/>
      <c r="AC80" s="28"/>
      <c r="AD80" s="25" t="str">
        <f>$M80</f>
        <v>2025 Ferrari SF90 XX Stradale</v>
      </c>
      <c r="AE80" s="28"/>
      <c r="AF80" s="28"/>
      <c r="AG80" s="28"/>
      <c r="AH80" s="28"/>
      <c r="AI80" s="28"/>
      <c r="AJ80" s="81"/>
      <c r="AK80" s="82"/>
      <c r="AL80" s="2"/>
      <c r="AM80" s="2"/>
      <c r="AN80" s="2"/>
      <c r="AO80" s="2"/>
      <c r="AP80" s="2"/>
      <c r="AQ80" s="2"/>
      <c r="AR80" s="83"/>
      <c r="AS80" s="84"/>
      <c r="AT80" s="85" t="str">
        <f>$M80</f>
        <v>2025 Ferrari SF90 XX Stradale</v>
      </c>
      <c r="AU80" s="84"/>
      <c r="AV80" s="28"/>
      <c r="AW80" s="28"/>
      <c r="AX80" s="28"/>
      <c r="AY80" s="28"/>
      <c r="AZ80" s="28"/>
      <c r="BA80" s="28"/>
      <c r="BB80" s="28"/>
      <c r="BC80" s="28"/>
      <c r="BD80" s="28"/>
      <c r="BE80" s="28"/>
      <c r="BF80" s="28"/>
      <c r="BG80" s="28"/>
      <c r="BH80" s="28"/>
      <c r="BI80" s="25" t="str">
        <f>$M80</f>
        <v>2025 Ferrari SF90 XX Stradale</v>
      </c>
      <c r="BJ80" s="28"/>
      <c r="BK80" s="28"/>
      <c r="BL80" s="28"/>
      <c r="BM80" s="81"/>
      <c r="BN80" s="82"/>
      <c r="BO80" s="2"/>
      <c r="BP80" s="2"/>
      <c r="BQ80" s="2"/>
      <c r="BR80" s="2"/>
      <c r="BS80" s="2"/>
      <c r="BT80" s="86"/>
      <c r="BU80" s="2"/>
      <c r="BV80" s="83"/>
      <c r="BW80" s="121"/>
      <c r="BX80" s="84"/>
      <c r="BY80" s="25" t="str">
        <f>$M80</f>
        <v>2025 Ferrari SF90 XX Stradale</v>
      </c>
      <c r="BZ80" s="28"/>
      <c r="CA80" s="28"/>
      <c r="CB80" s="28"/>
      <c r="CC80" s="28"/>
      <c r="CD80" s="28"/>
      <c r="CE80" s="88"/>
      <c r="CF80" s="28"/>
      <c r="CG80" s="28"/>
      <c r="CH80" s="28"/>
      <c r="CI80" s="28"/>
      <c r="CJ80" s="28"/>
      <c r="CK80" s="28"/>
      <c r="CL80" s="28"/>
      <c r="CM80" s="28"/>
      <c r="CN80" s="28"/>
      <c r="CO80" s="25" t="str">
        <f>$M80</f>
        <v>2025 Ferrari SF90 XX Stradale</v>
      </c>
      <c r="CP80" s="28"/>
      <c r="CQ80" s="28"/>
      <c r="CR80" s="28"/>
      <c r="CS80" s="28"/>
      <c r="CT80" s="28"/>
      <c r="CU80" s="28"/>
      <c r="CV80" s="28"/>
      <c r="CW80" s="28"/>
      <c r="CX80" s="28"/>
      <c r="CY80" s="28"/>
      <c r="CZ80" s="28"/>
      <c r="DA80" s="28"/>
      <c r="DB80" s="28"/>
      <c r="DC80" s="28"/>
      <c r="DD80" s="28"/>
      <c r="DE80" s="28"/>
      <c r="DF80" s="25" t="str">
        <f>$M80</f>
        <v>2025 Ferrari SF90 XX Stradale</v>
      </c>
      <c r="DG80" s="28"/>
      <c r="DH80" s="28"/>
      <c r="DI80" s="28"/>
      <c r="DJ80" s="28"/>
      <c r="DK80" s="28"/>
      <c r="DL80" s="28"/>
      <c r="DM80" s="28"/>
      <c r="DN80" s="28"/>
      <c r="DO80" s="28"/>
      <c r="DP80" s="28"/>
      <c r="DQ80" s="28"/>
      <c r="DR80" s="25"/>
      <c r="DS80" s="25"/>
      <c r="DT80" s="25"/>
      <c r="DU80" s="25"/>
      <c r="DV80" s="25"/>
      <c r="DW80" s="25" t="str">
        <f>$M80</f>
        <v>2025 Ferrari SF90 XX Stradale</v>
      </c>
      <c r="DX80" s="25"/>
      <c r="DY80" s="25"/>
      <c r="DZ80" s="85"/>
      <c r="EA80" s="89"/>
      <c r="EB80" s="80"/>
      <c r="EC80" s="25"/>
      <c r="ED80" s="85"/>
      <c r="EE80" s="80"/>
      <c r="EF80" s="25"/>
      <c r="EG80" s="25"/>
      <c r="EH80" s="85"/>
      <c r="EI80" s="80"/>
      <c r="EK80" t="s">
        <v>2445</v>
      </c>
      <c r="EL80" s="25" t="str">
        <f>$M80</f>
        <v>2025 Ferrari SF90 XX Stradale</v>
      </c>
      <c r="EM80" s="80"/>
      <c r="EP80" s="75"/>
      <c r="EQ80" s="90"/>
      <c r="ET80" s="75"/>
      <c r="EU80" s="90"/>
      <c r="EV80" s="75"/>
      <c r="EW80" s="90"/>
      <c r="EY80" s="75"/>
      <c r="EZ80" s="102"/>
      <c r="FA80" s="25" t="str">
        <f>$M80</f>
        <v>2025 Ferrari SF90 XX Stradale</v>
      </c>
      <c r="FB80" s="75"/>
      <c r="FC80" s="91"/>
      <c r="FD80" s="80"/>
      <c r="FE80" s="25"/>
      <c r="FF80" s="85"/>
      <c r="FG80" s="25"/>
      <c r="FH80" s="25"/>
      <c r="FI80" s="85"/>
      <c r="FJ80" s="80"/>
      <c r="FK80" s="25"/>
      <c r="FL80" s="85"/>
      <c r="FM80" s="25" t="str">
        <f>$M80</f>
        <v>2025 Ferrari SF90 XX Stradale</v>
      </c>
      <c r="FN80" s="25"/>
      <c r="FO80" s="85"/>
      <c r="FP80" s="92"/>
      <c r="FQ80" s="93"/>
      <c r="FR80" s="94"/>
      <c r="FS80" s="95"/>
      <c r="FT80" s="25"/>
      <c r="FU80" s="25"/>
      <c r="FV80" s="25"/>
      <c r="FW80" s="25"/>
      <c r="FX80" s="25"/>
      <c r="FY80" s="25"/>
      <c r="FZ80" s="25"/>
      <c r="GA80" s="25"/>
      <c r="GB80" s="25"/>
      <c r="GC80" s="25"/>
      <c r="GD80" s="25"/>
      <c r="GE80" s="25"/>
      <c r="GF80" s="25"/>
      <c r="GG80" s="25"/>
      <c r="GH80" s="25"/>
    </row>
    <row r="81" spans="1:190" s="76" customFormat="1" x14ac:dyDescent="0.35">
      <c r="A81" s="76">
        <v>2025</v>
      </c>
      <c r="B81" s="76" t="s">
        <v>244</v>
      </c>
      <c r="C81" s="76" t="s">
        <v>244</v>
      </c>
      <c r="D81" s="76" t="s">
        <v>2575</v>
      </c>
      <c r="E81" s="76" t="s">
        <v>247</v>
      </c>
      <c r="F81" s="76">
        <v>180</v>
      </c>
      <c r="G81" s="78">
        <v>3.9</v>
      </c>
      <c r="H81" s="76">
        <v>8</v>
      </c>
      <c r="I81" s="79" t="s">
        <v>248</v>
      </c>
      <c r="J81" s="96">
        <v>16</v>
      </c>
      <c r="K81" s="76">
        <v>19</v>
      </c>
      <c r="L81" s="76">
        <v>17</v>
      </c>
      <c r="M81" s="76">
        <v>19.2</v>
      </c>
      <c r="N81" s="76">
        <v>26.5</v>
      </c>
      <c r="O81" s="76">
        <v>21.916899999999998</v>
      </c>
      <c r="P81" s="76">
        <v>15.5008</v>
      </c>
      <c r="Q81" s="76">
        <v>19.216000000000001</v>
      </c>
      <c r="R81" s="76">
        <v>16.977900000000002</v>
      </c>
      <c r="S81" s="76" t="s">
        <v>210</v>
      </c>
      <c r="T81" s="76" t="s">
        <v>165</v>
      </c>
      <c r="U81" s="76" t="s">
        <v>166</v>
      </c>
      <c r="V81" s="76" t="s">
        <v>249</v>
      </c>
      <c r="W81" s="76" t="s">
        <v>250</v>
      </c>
      <c r="Y81" s="76">
        <v>8</v>
      </c>
      <c r="Z81" s="76" t="s">
        <v>170</v>
      </c>
      <c r="AA81" s="76" t="s">
        <v>170</v>
      </c>
      <c r="AB81" s="76" t="s">
        <v>167</v>
      </c>
      <c r="AC81" s="76" t="s">
        <v>213</v>
      </c>
      <c r="AD81" s="76">
        <v>10</v>
      </c>
      <c r="AF81" s="76">
        <v>320</v>
      </c>
      <c r="AG81" s="76" t="s">
        <v>214</v>
      </c>
      <c r="AH81" s="76" t="s">
        <v>215</v>
      </c>
      <c r="AI81" s="76" t="s">
        <v>175</v>
      </c>
      <c r="AJ81" s="79" t="s">
        <v>176</v>
      </c>
      <c r="AK81" s="96" t="s">
        <v>170</v>
      </c>
      <c r="AL81" s="76" t="s">
        <v>177</v>
      </c>
      <c r="AR81" s="79"/>
      <c r="AS81" s="96">
        <v>3300</v>
      </c>
      <c r="AT81" s="79">
        <v>3300</v>
      </c>
      <c r="AU81" s="96">
        <v>74</v>
      </c>
      <c r="AV81" s="76">
        <v>78</v>
      </c>
      <c r="AW81" s="76">
        <v>76</v>
      </c>
      <c r="AX81" s="76">
        <v>55</v>
      </c>
      <c r="AY81" s="76">
        <v>53.8</v>
      </c>
      <c r="AZ81" s="76">
        <v>54.46</v>
      </c>
      <c r="BA81" s="76">
        <v>74.218000000000004</v>
      </c>
      <c r="BB81" s="76">
        <v>77.691000000000003</v>
      </c>
      <c r="BC81" s="76">
        <v>75.780799999999999</v>
      </c>
      <c r="BD81" s="76">
        <v>8</v>
      </c>
      <c r="BE81" s="76" t="s">
        <v>1735</v>
      </c>
      <c r="BF81" s="76" t="s">
        <v>1736</v>
      </c>
      <c r="BG81" s="76" t="s">
        <v>1742</v>
      </c>
      <c r="BH81" s="76" t="s">
        <v>1743</v>
      </c>
      <c r="BI81" s="76">
        <v>3300</v>
      </c>
      <c r="BJ81" s="2"/>
      <c r="BK81" s="2"/>
      <c r="BL81" s="2"/>
      <c r="BM81" s="79"/>
      <c r="BN81" s="98" t="s">
        <v>2493</v>
      </c>
      <c r="BO81" s="76">
        <v>2</v>
      </c>
      <c r="BP81" s="76">
        <v>2</v>
      </c>
      <c r="BQ81" s="76">
        <v>1</v>
      </c>
      <c r="BR81" s="76" t="s">
        <v>179</v>
      </c>
      <c r="BS81" s="76" t="s">
        <v>180</v>
      </c>
      <c r="BT81" s="76" t="s">
        <v>2494</v>
      </c>
      <c r="BU81" s="99">
        <v>45565</v>
      </c>
      <c r="BV81" s="79">
        <v>35537</v>
      </c>
      <c r="BW81" s="120"/>
      <c r="BX81" s="96" t="s">
        <v>169</v>
      </c>
      <c r="BY81" s="76" t="s">
        <v>170</v>
      </c>
      <c r="CB81" s="76" t="s">
        <v>170</v>
      </c>
      <c r="CC81" s="76" t="s">
        <v>170</v>
      </c>
      <c r="CE81" s="76" t="s">
        <v>170</v>
      </c>
      <c r="CF81" s="76" t="s">
        <v>252</v>
      </c>
      <c r="CG81" s="76" t="s">
        <v>169</v>
      </c>
      <c r="CH81" s="76" t="s">
        <v>253</v>
      </c>
      <c r="CI81" s="76" t="s">
        <v>170</v>
      </c>
      <c r="CJ81" s="76" t="s">
        <v>252</v>
      </c>
      <c r="CK81" s="76" t="s">
        <v>233</v>
      </c>
      <c r="CM81" s="76">
        <v>1</v>
      </c>
      <c r="CN81" s="76" t="s">
        <v>234</v>
      </c>
      <c r="CP81" s="76">
        <v>309</v>
      </c>
      <c r="CQ81" s="76">
        <v>26.2</v>
      </c>
      <c r="CR81" s="76">
        <v>84.2</v>
      </c>
      <c r="CS81" s="76" t="s">
        <v>235</v>
      </c>
      <c r="CV81" s="76" t="s">
        <v>341</v>
      </c>
      <c r="CX81" s="76" t="s">
        <v>342</v>
      </c>
      <c r="CY81" s="76" t="s">
        <v>170</v>
      </c>
      <c r="DD81" s="76">
        <v>3</v>
      </c>
      <c r="DE81" s="76" t="s">
        <v>404</v>
      </c>
      <c r="DF81" s="76" t="s">
        <v>2564</v>
      </c>
      <c r="DG81" s="76" t="s">
        <v>2570</v>
      </c>
      <c r="DJ81" s="76" t="s">
        <v>184</v>
      </c>
      <c r="DK81" s="76" t="s">
        <v>185</v>
      </c>
      <c r="DL81" s="76" t="s">
        <v>170</v>
      </c>
      <c r="DM81" s="76" t="s">
        <v>169</v>
      </c>
      <c r="DN81" s="76" t="s">
        <v>170</v>
      </c>
      <c r="DO81" s="76" t="s">
        <v>259</v>
      </c>
      <c r="DP81" s="76" t="s">
        <v>169</v>
      </c>
      <c r="DQ81" s="76" t="s">
        <v>198</v>
      </c>
      <c r="DR81" s="76" t="s">
        <v>2575</v>
      </c>
      <c r="DS81" s="76" t="s">
        <v>2511</v>
      </c>
      <c r="DT81" s="76" t="s">
        <v>2512</v>
      </c>
      <c r="DU81" s="76" t="s">
        <v>2498</v>
      </c>
      <c r="DV81" s="76" t="s">
        <v>2499</v>
      </c>
      <c r="DY81" s="76">
        <v>22.1</v>
      </c>
      <c r="DZ81" s="79"/>
      <c r="EA81" s="101"/>
      <c r="EB81" s="96">
        <v>4</v>
      </c>
      <c r="EC81" s="76">
        <v>4</v>
      </c>
      <c r="ED81" s="79"/>
      <c r="EE81" s="96" t="s">
        <v>2574</v>
      </c>
      <c r="EF81" s="76">
        <v>4</v>
      </c>
      <c r="EH81" s="79"/>
      <c r="EI81" s="96"/>
      <c r="EM81" s="96"/>
      <c r="EP81" s="79"/>
      <c r="EQ81" s="96"/>
      <c r="ET81" s="79"/>
      <c r="EU81" s="96"/>
      <c r="EV81" s="79">
        <v>7000</v>
      </c>
      <c r="EW81" s="96">
        <v>0</v>
      </c>
      <c r="EX81" s="76">
        <v>0</v>
      </c>
      <c r="EY81" s="79">
        <v>0</v>
      </c>
      <c r="EZ81" s="102">
        <f>FI81</f>
        <v>403</v>
      </c>
      <c r="FA81" s="76">
        <v>2.5</v>
      </c>
      <c r="FB81" s="79"/>
      <c r="FC81" s="97">
        <v>330</v>
      </c>
      <c r="FD81" s="96">
        <v>19</v>
      </c>
      <c r="FE81" s="76">
        <v>22</v>
      </c>
      <c r="FF81" s="79">
        <v>20</v>
      </c>
      <c r="FG81" s="76">
        <v>427.6</v>
      </c>
      <c r="FH81" s="76">
        <v>373.5</v>
      </c>
      <c r="FI81" s="103">
        <v>403</v>
      </c>
      <c r="FJ81" s="104">
        <v>8.6199999999999992</v>
      </c>
      <c r="FK81" s="105">
        <v>8.3740000000000006</v>
      </c>
      <c r="FL81" s="79">
        <v>9</v>
      </c>
      <c r="FM81" s="76">
        <v>0.24</v>
      </c>
      <c r="FN81" s="76">
        <v>0.23400000000000001</v>
      </c>
      <c r="FO81" s="79">
        <v>0.23699999999999999</v>
      </c>
      <c r="FP81" s="106">
        <v>0</v>
      </c>
      <c r="FQ81" s="107">
        <v>0</v>
      </c>
      <c r="FR81" s="107">
        <v>0</v>
      </c>
      <c r="FS81" s="108">
        <v>15</v>
      </c>
    </row>
    <row r="82" spans="1:190" s="76" customFormat="1" x14ac:dyDescent="0.35">
      <c r="A82" s="76">
        <v>2025</v>
      </c>
      <c r="B82" s="162" t="s">
        <v>244</v>
      </c>
      <c r="C82" s="162" t="s">
        <v>245</v>
      </c>
      <c r="D82" s="162" t="s">
        <v>2575</v>
      </c>
      <c r="E82" s="162" t="s">
        <v>247</v>
      </c>
      <c r="F82" s="162">
        <v>180</v>
      </c>
      <c r="G82" s="162">
        <v>3.9</v>
      </c>
      <c r="H82" s="162">
        <v>8</v>
      </c>
      <c r="I82" s="163" t="s">
        <v>248</v>
      </c>
      <c r="J82" s="96">
        <f t="shared" ref="J82:W82" si="29">J81</f>
        <v>16</v>
      </c>
      <c r="K82" s="76">
        <f t="shared" si="29"/>
        <v>19</v>
      </c>
      <c r="L82" s="76">
        <f t="shared" si="29"/>
        <v>17</v>
      </c>
      <c r="M82" s="76">
        <f t="shared" si="29"/>
        <v>19.2</v>
      </c>
      <c r="N82" s="76">
        <f t="shared" si="29"/>
        <v>26.5</v>
      </c>
      <c r="O82" s="76">
        <f t="shared" si="29"/>
        <v>21.916899999999998</v>
      </c>
      <c r="P82" s="76">
        <f t="shared" si="29"/>
        <v>15.5008</v>
      </c>
      <c r="Q82" s="76">
        <f t="shared" si="29"/>
        <v>19.216000000000001</v>
      </c>
      <c r="R82" s="76">
        <f t="shared" si="29"/>
        <v>16.977900000000002</v>
      </c>
      <c r="S82" s="76" t="str">
        <f t="shared" si="29"/>
        <v>G</v>
      </c>
      <c r="T82" s="76" t="str">
        <f t="shared" si="29"/>
        <v>TC</v>
      </c>
      <c r="U82" s="76" t="str">
        <f t="shared" si="29"/>
        <v>Turbocharged</v>
      </c>
      <c r="V82" s="76" t="str">
        <f t="shared" si="29"/>
        <v>AM</v>
      </c>
      <c r="W82" s="76" t="str">
        <f t="shared" si="29"/>
        <v>Automated Manual</v>
      </c>
      <c r="Y82" s="76">
        <f t="shared" ref="Y82:AD82" si="30">Y81</f>
        <v>8</v>
      </c>
      <c r="Z82" s="76" t="str">
        <f t="shared" si="30"/>
        <v>N</v>
      </c>
      <c r="AA82" s="76" t="str">
        <f t="shared" si="30"/>
        <v>N</v>
      </c>
      <c r="AB82" s="76" t="str">
        <f t="shared" si="30"/>
        <v>A</v>
      </c>
      <c r="AC82" s="76" t="str">
        <f t="shared" si="30"/>
        <v>All Wheel Drive</v>
      </c>
      <c r="AD82" s="76">
        <f t="shared" si="30"/>
        <v>10</v>
      </c>
      <c r="AF82" s="76">
        <f>AF81</f>
        <v>320</v>
      </c>
      <c r="AG82" s="76" t="str">
        <f>AG81</f>
        <v>GPR</v>
      </c>
      <c r="AH82" s="76" t="str">
        <f>AH81</f>
        <v>Gasoline (Premium Unleaded Required)</v>
      </c>
      <c r="AI82" s="76" t="str">
        <f>AI81</f>
        <v>MPG</v>
      </c>
      <c r="AJ82" s="79" t="str">
        <f>AJ81</f>
        <v>miles per gallon</v>
      </c>
      <c r="AK82" s="96" t="s">
        <v>170</v>
      </c>
      <c r="AL82" s="76" t="s">
        <v>177</v>
      </c>
      <c r="AR82" s="79"/>
      <c r="AS82" s="96">
        <v>3300</v>
      </c>
      <c r="AT82" s="79">
        <v>3300</v>
      </c>
      <c r="AU82" s="96">
        <v>45</v>
      </c>
      <c r="AV82" s="76">
        <v>44</v>
      </c>
      <c r="AW82" s="76">
        <v>45</v>
      </c>
      <c r="AX82" s="76">
        <v>61.3</v>
      </c>
      <c r="AY82" s="76">
        <v>62.7</v>
      </c>
      <c r="AZ82" s="76">
        <v>61.922199999999997</v>
      </c>
      <c r="BA82" s="76">
        <v>45.244</v>
      </c>
      <c r="BB82" s="76">
        <v>44.014299999999999</v>
      </c>
      <c r="BC82" s="76">
        <v>44.682200000000002</v>
      </c>
      <c r="BD82" s="76">
        <v>8</v>
      </c>
      <c r="BE82" s="76" t="s">
        <v>1735</v>
      </c>
      <c r="BF82" s="76" t="s">
        <v>1736</v>
      </c>
      <c r="BG82" s="76" t="s">
        <v>175</v>
      </c>
      <c r="BH82" s="76" t="s">
        <v>176</v>
      </c>
      <c r="BI82" s="76">
        <v>3300</v>
      </c>
      <c r="BM82" s="79"/>
      <c r="BN82" s="98" t="s">
        <v>2493</v>
      </c>
      <c r="BO82" s="76">
        <v>2</v>
      </c>
      <c r="BP82" s="76">
        <v>2</v>
      </c>
      <c r="BQ82" s="76">
        <v>1</v>
      </c>
      <c r="BR82" s="76" t="s">
        <v>179</v>
      </c>
      <c r="BS82" s="76" t="s">
        <v>180</v>
      </c>
      <c r="BT82" s="76" t="s">
        <v>2494</v>
      </c>
      <c r="BU82" s="99">
        <v>45565</v>
      </c>
      <c r="BV82" s="79">
        <v>35537</v>
      </c>
      <c r="BW82" s="120"/>
      <c r="BX82" s="96" t="s">
        <v>169</v>
      </c>
      <c r="BY82" s="76" t="s">
        <v>170</v>
      </c>
      <c r="CB82" s="76" t="s">
        <v>170</v>
      </c>
      <c r="CC82" s="76" t="s">
        <v>170</v>
      </c>
      <c r="CE82" s="76" t="s">
        <v>170</v>
      </c>
      <c r="CF82" s="76" t="s">
        <v>252</v>
      </c>
      <c r="CG82" s="76" t="s">
        <v>169</v>
      </c>
      <c r="CH82" s="76" t="s">
        <v>253</v>
      </c>
      <c r="CI82" s="76" t="s">
        <v>170</v>
      </c>
      <c r="CJ82" s="76" t="s">
        <v>252</v>
      </c>
      <c r="CK82" s="76" t="s">
        <v>233</v>
      </c>
      <c r="CM82" s="76">
        <v>1</v>
      </c>
      <c r="CN82" s="76" t="s">
        <v>234</v>
      </c>
      <c r="CP82" s="76">
        <v>309</v>
      </c>
      <c r="CQ82" s="76">
        <v>26.2</v>
      </c>
      <c r="CR82" s="76">
        <v>84.2</v>
      </c>
      <c r="CS82" s="76" t="s">
        <v>235</v>
      </c>
      <c r="CV82" s="76" t="s">
        <v>341</v>
      </c>
      <c r="CX82" s="76" t="s">
        <v>342</v>
      </c>
      <c r="CY82" s="76" t="s">
        <v>170</v>
      </c>
      <c r="DD82" s="76">
        <v>3</v>
      </c>
      <c r="DE82" s="76" t="s">
        <v>404</v>
      </c>
      <c r="DF82" s="76" t="s">
        <v>2564</v>
      </c>
      <c r="DG82" s="76" t="s">
        <v>2570</v>
      </c>
      <c r="DJ82" s="76" t="s">
        <v>184</v>
      </c>
      <c r="DK82" s="76" t="s">
        <v>185</v>
      </c>
      <c r="DL82" s="76" t="s">
        <v>170</v>
      </c>
      <c r="DM82" s="76" t="s">
        <v>169</v>
      </c>
      <c r="DN82" s="76" t="s">
        <v>170</v>
      </c>
      <c r="DO82" s="76" t="s">
        <v>259</v>
      </c>
      <c r="DP82" s="76" t="s">
        <v>169</v>
      </c>
      <c r="DQ82" s="76" t="s">
        <v>198</v>
      </c>
      <c r="DR82" s="76" t="s">
        <v>2575</v>
      </c>
      <c r="DS82" s="76" t="s">
        <v>2511</v>
      </c>
      <c r="DT82" s="76" t="s">
        <v>2512</v>
      </c>
      <c r="DU82" s="76" t="s">
        <v>2498</v>
      </c>
      <c r="DV82" s="76" t="s">
        <v>2499</v>
      </c>
      <c r="DY82" s="76">
        <v>22.1</v>
      </c>
      <c r="DZ82" s="79"/>
      <c r="EA82" s="101"/>
      <c r="EB82" s="96">
        <v>4</v>
      </c>
      <c r="EC82" s="76">
        <v>4</v>
      </c>
      <c r="ED82" s="79"/>
      <c r="EE82" s="96" t="s">
        <v>2574</v>
      </c>
      <c r="EF82" s="76">
        <v>4</v>
      </c>
      <c r="EH82" s="79"/>
      <c r="EI82" s="96"/>
      <c r="EM82" s="96"/>
      <c r="EP82" s="79"/>
      <c r="EQ82" s="96"/>
      <c r="ET82" s="79"/>
      <c r="EU82" s="96"/>
      <c r="EV82" s="79">
        <v>7000</v>
      </c>
      <c r="EW82" s="96">
        <v>574</v>
      </c>
      <c r="EX82" s="76">
        <v>462</v>
      </c>
      <c r="EY82" s="79">
        <v>523</v>
      </c>
      <c r="EZ82" s="102">
        <f>FI82</f>
        <v>403</v>
      </c>
      <c r="FA82" s="76">
        <v>2.5</v>
      </c>
      <c r="FB82" s="79"/>
      <c r="FC82" s="97">
        <v>330</v>
      </c>
      <c r="FD82" s="96">
        <v>19</v>
      </c>
      <c r="FE82" s="76">
        <v>22</v>
      </c>
      <c r="FF82" s="79">
        <v>20</v>
      </c>
      <c r="FG82" s="76">
        <v>427.6</v>
      </c>
      <c r="FH82" s="76">
        <v>373.5</v>
      </c>
      <c r="FI82" s="103">
        <v>403</v>
      </c>
      <c r="FJ82" s="98" t="s">
        <v>2566</v>
      </c>
      <c r="FL82" s="79"/>
      <c r="FM82" s="76">
        <v>0.24</v>
      </c>
      <c r="FN82" s="76">
        <v>0.23400000000000001</v>
      </c>
      <c r="FO82" s="79">
        <v>0.23699999999999999</v>
      </c>
      <c r="FP82" s="106"/>
      <c r="FQ82" s="107"/>
      <c r="FR82" s="107"/>
      <c r="FS82" s="108">
        <v>15</v>
      </c>
    </row>
    <row r="83" spans="1:190" s="77" customFormat="1" x14ac:dyDescent="0.35">
      <c r="A83" s="76"/>
      <c r="E83" s="76"/>
      <c r="F83" s="76"/>
      <c r="G83" s="78"/>
      <c r="H83" s="76"/>
      <c r="I83" s="79"/>
      <c r="J83" s="80"/>
      <c r="K83" s="28"/>
      <c r="L83" s="28"/>
      <c r="M83" s="25" t="str">
        <f>_xlfn.CONCAT(A84," ",C84," ",D84)</f>
        <v>2025 Ford ESCAPE FWD PHEV</v>
      </c>
      <c r="N83" s="28"/>
      <c r="O83" s="28"/>
      <c r="P83" s="28"/>
      <c r="Q83" s="28"/>
      <c r="R83" s="28"/>
      <c r="S83" s="28"/>
      <c r="T83" s="28"/>
      <c r="U83" s="28"/>
      <c r="V83" s="28"/>
      <c r="W83" s="28"/>
      <c r="X83" s="28"/>
      <c r="Y83" s="28"/>
      <c r="Z83" s="28"/>
      <c r="AA83" s="28"/>
      <c r="AB83" s="28"/>
      <c r="AC83" s="28"/>
      <c r="AD83" s="25" t="str">
        <f>$M83</f>
        <v>2025 Ford ESCAPE FWD PHEV</v>
      </c>
      <c r="AE83" s="28"/>
      <c r="AF83" s="28"/>
      <c r="AG83" s="28"/>
      <c r="AH83" s="28"/>
      <c r="AI83" s="28"/>
      <c r="AJ83" s="81"/>
      <c r="AK83" s="82"/>
      <c r="AL83" s="2"/>
      <c r="AM83" s="2"/>
      <c r="AN83" s="2"/>
      <c r="AO83" s="2"/>
      <c r="AP83" s="2"/>
      <c r="AQ83" s="2"/>
      <c r="AR83" s="83"/>
      <c r="AS83" s="84"/>
      <c r="AT83" s="85" t="str">
        <f>$M83</f>
        <v>2025 Ford ESCAPE FWD PHEV</v>
      </c>
      <c r="AU83" s="84"/>
      <c r="AV83" s="28"/>
      <c r="AW83" s="28"/>
      <c r="AX83" s="28"/>
      <c r="AY83" s="28"/>
      <c r="AZ83" s="28"/>
      <c r="BA83" s="28"/>
      <c r="BB83" s="28"/>
      <c r="BC83" s="28"/>
      <c r="BD83" s="28"/>
      <c r="BE83" s="28"/>
      <c r="BF83" s="28"/>
      <c r="BG83" s="28"/>
      <c r="BH83" s="28"/>
      <c r="BI83" s="25" t="str">
        <f>$M83</f>
        <v>2025 Ford ESCAPE FWD PHEV</v>
      </c>
      <c r="BJ83" s="28"/>
      <c r="BK83" s="28"/>
      <c r="BL83" s="28"/>
      <c r="BM83" s="81"/>
      <c r="BN83" s="82"/>
      <c r="BO83" s="2"/>
      <c r="BP83" s="2"/>
      <c r="BQ83" s="2"/>
      <c r="BR83" s="2"/>
      <c r="BS83" s="2"/>
      <c r="BT83" s="86"/>
      <c r="BU83" s="2"/>
      <c r="BV83" s="83"/>
      <c r="BW83" s="121"/>
      <c r="BX83" s="84"/>
      <c r="BY83" s="25" t="str">
        <f>$M83</f>
        <v>2025 Ford ESCAPE FWD PHEV</v>
      </c>
      <c r="BZ83" s="28"/>
      <c r="CA83" s="28"/>
      <c r="CB83" s="28"/>
      <c r="CC83" s="28"/>
      <c r="CD83" s="28"/>
      <c r="CE83" s="88"/>
      <c r="CF83" s="28"/>
      <c r="CG83" s="28"/>
      <c r="CH83" s="28"/>
      <c r="CI83" s="28"/>
      <c r="CJ83" s="28"/>
      <c r="CK83" s="28"/>
      <c r="CL83" s="28"/>
      <c r="CM83" s="28"/>
      <c r="CN83" s="28"/>
      <c r="CO83" s="25" t="str">
        <f>$M83</f>
        <v>2025 Ford ESCAPE FWD PHEV</v>
      </c>
      <c r="CP83" s="28"/>
      <c r="CQ83" s="28"/>
      <c r="CR83" s="28"/>
      <c r="CS83" s="28"/>
      <c r="CT83" s="28"/>
      <c r="CU83" s="28"/>
      <c r="CV83" s="28"/>
      <c r="CW83" s="28"/>
      <c r="CX83" s="28"/>
      <c r="CY83" s="28"/>
      <c r="CZ83" s="28"/>
      <c r="DA83" s="28"/>
      <c r="DB83" s="28"/>
      <c r="DC83" s="28"/>
      <c r="DD83" s="28"/>
      <c r="DE83" s="28"/>
      <c r="DF83" s="25" t="str">
        <f>$M83</f>
        <v>2025 Ford ESCAPE FWD PHEV</v>
      </c>
      <c r="DG83" s="28"/>
      <c r="DH83" s="28"/>
      <c r="DI83" s="28"/>
      <c r="DJ83" s="28"/>
      <c r="DK83" s="28"/>
      <c r="DL83" s="28"/>
      <c r="DM83" s="28"/>
      <c r="DN83" s="28"/>
      <c r="DO83" s="28"/>
      <c r="DP83" s="28"/>
      <c r="DQ83" s="28"/>
      <c r="DR83" s="25"/>
      <c r="DS83" s="25"/>
      <c r="DT83" s="25"/>
      <c r="DU83" s="25"/>
      <c r="DV83" s="25"/>
      <c r="DW83" s="25" t="str">
        <f>$M83</f>
        <v>2025 Ford ESCAPE FWD PHEV</v>
      </c>
      <c r="DX83" s="25"/>
      <c r="DY83" s="25"/>
      <c r="DZ83" s="85"/>
      <c r="EA83" s="89"/>
      <c r="EB83" s="80"/>
      <c r="EC83" s="25"/>
      <c r="ED83" s="85"/>
      <c r="EE83" s="80"/>
      <c r="EF83" s="25"/>
      <c r="EG83" s="25"/>
      <c r="EH83" s="85"/>
      <c r="EI83" s="80"/>
      <c r="EK83" t="s">
        <v>2445</v>
      </c>
      <c r="EL83" s="25" t="str">
        <f>$M83</f>
        <v>2025 Ford ESCAPE FWD PHEV</v>
      </c>
      <c r="EM83" s="80"/>
      <c r="EP83" s="75"/>
      <c r="EQ83" s="90"/>
      <c r="ET83" s="75"/>
      <c r="EU83" s="90"/>
      <c r="EV83" s="75"/>
      <c r="EW83" s="90"/>
      <c r="EY83" s="75"/>
      <c r="EZ83" s="102"/>
      <c r="FA83" s="25" t="str">
        <f>$M83</f>
        <v>2025 Ford ESCAPE FWD PHEV</v>
      </c>
      <c r="FB83" s="75"/>
      <c r="FC83" s="91"/>
      <c r="FD83" s="80"/>
      <c r="FE83" s="25"/>
      <c r="FF83" s="85"/>
      <c r="FG83" s="25"/>
      <c r="FH83" s="25"/>
      <c r="FI83" s="85"/>
      <c r="FJ83" s="80"/>
      <c r="FK83" s="25"/>
      <c r="FL83" s="85"/>
      <c r="FM83" s="25" t="str">
        <f>$M83</f>
        <v>2025 Ford ESCAPE FWD PHEV</v>
      </c>
      <c r="FN83" s="25"/>
      <c r="FO83" s="85"/>
      <c r="FP83" s="92"/>
      <c r="FQ83" s="93"/>
      <c r="FR83" s="94"/>
      <c r="FS83" s="95"/>
      <c r="FT83" s="25"/>
      <c r="FU83" s="25"/>
      <c r="FV83" s="25"/>
      <c r="FW83" s="25"/>
      <c r="FX83" s="25"/>
      <c r="FY83" s="25"/>
      <c r="FZ83" s="25"/>
      <c r="GA83" s="25"/>
      <c r="GB83" s="25"/>
      <c r="GC83" s="25"/>
      <c r="GD83" s="25"/>
      <c r="GE83" s="25"/>
      <c r="GF83" s="25"/>
      <c r="GG83" s="25"/>
      <c r="GH83" s="25"/>
    </row>
    <row r="84" spans="1:190" s="76" customFormat="1" x14ac:dyDescent="0.35">
      <c r="A84" s="76">
        <v>2025</v>
      </c>
      <c r="B84" s="76" t="s">
        <v>439</v>
      </c>
      <c r="C84" s="76" t="s">
        <v>440</v>
      </c>
      <c r="D84" s="76" t="s">
        <v>2576</v>
      </c>
      <c r="E84" s="76" t="s">
        <v>442</v>
      </c>
      <c r="F84" s="76">
        <v>30</v>
      </c>
      <c r="G84" s="78">
        <v>2.5</v>
      </c>
      <c r="H84" s="76">
        <v>4</v>
      </c>
      <c r="I84" s="79" t="s">
        <v>587</v>
      </c>
      <c r="J84" s="96">
        <v>42</v>
      </c>
      <c r="K84" s="76">
        <v>37</v>
      </c>
      <c r="L84" s="76">
        <v>40</v>
      </c>
      <c r="M84" s="76">
        <v>58.8</v>
      </c>
      <c r="N84" s="76">
        <v>55.9</v>
      </c>
      <c r="O84" s="76">
        <v>57.458599999999997</v>
      </c>
      <c r="P84" s="76">
        <v>41.980499999999999</v>
      </c>
      <c r="Q84" s="76">
        <v>37.308</v>
      </c>
      <c r="R84" s="76">
        <v>39.7408</v>
      </c>
      <c r="T84" s="76" t="s">
        <v>2557</v>
      </c>
      <c r="U84" s="76" t="s">
        <v>224</v>
      </c>
      <c r="V84" s="76" t="s">
        <v>588</v>
      </c>
      <c r="W84" s="76" t="s">
        <v>589</v>
      </c>
      <c r="Y84" s="76">
        <v>1</v>
      </c>
      <c r="Z84" s="76" t="s">
        <v>170</v>
      </c>
      <c r="AA84" s="76" t="s">
        <v>170</v>
      </c>
      <c r="AB84" s="76" t="s">
        <v>351</v>
      </c>
      <c r="AC84" s="76" t="s">
        <v>352</v>
      </c>
      <c r="AD84" s="76">
        <v>85</v>
      </c>
      <c r="AF84" s="76">
        <v>520</v>
      </c>
      <c r="AG84" s="76" t="s">
        <v>210</v>
      </c>
      <c r="AH84" s="76" t="s">
        <v>444</v>
      </c>
      <c r="AI84" s="76" t="s">
        <v>175</v>
      </c>
      <c r="AJ84" s="79" t="s">
        <v>176</v>
      </c>
      <c r="AK84" s="96" t="s">
        <v>940</v>
      </c>
      <c r="AL84" s="76" t="s">
        <v>941</v>
      </c>
      <c r="AR84" s="79"/>
      <c r="AS84" s="96">
        <v>1000</v>
      </c>
      <c r="AT84" s="79">
        <v>1000</v>
      </c>
      <c r="AU84" s="96">
        <v>30</v>
      </c>
      <c r="AV84" s="76">
        <v>37</v>
      </c>
      <c r="AW84" s="76">
        <v>33</v>
      </c>
      <c r="AX84" s="76">
        <v>21.2</v>
      </c>
      <c r="AY84" s="76">
        <v>25.9</v>
      </c>
      <c r="AZ84" s="76">
        <v>23.315000000000001</v>
      </c>
      <c r="BA84" s="76">
        <v>30.234999999999999</v>
      </c>
      <c r="BB84" s="76">
        <v>36.777000000000001</v>
      </c>
      <c r="BC84" s="76">
        <v>33.178899999999999</v>
      </c>
      <c r="BD84" s="76">
        <v>37</v>
      </c>
      <c r="BE84" s="76" t="s">
        <v>1735</v>
      </c>
      <c r="BF84" s="76" t="s">
        <v>1736</v>
      </c>
      <c r="BG84" s="76" t="s">
        <v>1742</v>
      </c>
      <c r="BH84" s="76" t="s">
        <v>1743</v>
      </c>
      <c r="BI84" s="76">
        <v>1000</v>
      </c>
      <c r="BJ84" s="2"/>
      <c r="BK84" s="2"/>
      <c r="BL84" s="2"/>
      <c r="BM84" s="79"/>
      <c r="BN84" s="98" t="s">
        <v>2558</v>
      </c>
      <c r="BO84" s="76">
        <v>2</v>
      </c>
      <c r="BP84" s="76">
        <v>2</v>
      </c>
      <c r="BQ84" s="76">
        <v>30</v>
      </c>
      <c r="BR84" s="76" t="s">
        <v>1099</v>
      </c>
      <c r="BT84" s="76" t="s">
        <v>2494</v>
      </c>
      <c r="BU84" s="99">
        <v>45558</v>
      </c>
      <c r="BV84" s="79">
        <v>35428</v>
      </c>
      <c r="BW84" s="120"/>
      <c r="BX84" s="96" t="s">
        <v>170</v>
      </c>
      <c r="BY84" s="76" t="s">
        <v>170</v>
      </c>
      <c r="CB84" s="76" t="s">
        <v>170</v>
      </c>
      <c r="CC84" s="76" t="s">
        <v>170</v>
      </c>
      <c r="CD84" s="76" t="s">
        <v>2577</v>
      </c>
      <c r="CE84" s="76" t="s">
        <v>170</v>
      </c>
      <c r="CG84" s="76" t="s">
        <v>169</v>
      </c>
      <c r="CH84" s="76" t="s">
        <v>944</v>
      </c>
      <c r="CI84" s="76" t="s">
        <v>170</v>
      </c>
      <c r="CK84" s="76" t="s">
        <v>233</v>
      </c>
      <c r="CM84" s="76">
        <v>1</v>
      </c>
      <c r="CN84" s="76" t="s">
        <v>234</v>
      </c>
      <c r="CP84" s="76">
        <v>302</v>
      </c>
      <c r="CQ84" s="76">
        <v>48</v>
      </c>
      <c r="CR84" s="76">
        <v>84</v>
      </c>
      <c r="CS84" s="76" t="s">
        <v>1752</v>
      </c>
      <c r="CV84" s="76" t="s">
        <v>341</v>
      </c>
      <c r="CX84" s="76" t="s">
        <v>729</v>
      </c>
      <c r="CY84" s="76" t="s">
        <v>170</v>
      </c>
      <c r="DD84" s="76">
        <v>1</v>
      </c>
      <c r="DE84" s="76" t="s">
        <v>663</v>
      </c>
      <c r="DG84" s="76">
        <v>78</v>
      </c>
      <c r="DJ84" s="76" t="s">
        <v>449</v>
      </c>
      <c r="DK84" s="76" t="s">
        <v>450</v>
      </c>
      <c r="DL84" s="76" t="s">
        <v>170</v>
      </c>
      <c r="DM84" s="76" t="s">
        <v>169</v>
      </c>
      <c r="DN84" s="76" t="s">
        <v>170</v>
      </c>
      <c r="DO84" s="76" t="s">
        <v>2578</v>
      </c>
      <c r="DP84" s="76" t="s">
        <v>169</v>
      </c>
      <c r="DQ84" s="76" t="s">
        <v>198</v>
      </c>
      <c r="DS84" s="76" t="s">
        <v>2496</v>
      </c>
      <c r="DT84" s="76" t="s">
        <v>2497</v>
      </c>
      <c r="DU84" s="76" t="s">
        <v>2579</v>
      </c>
      <c r="DV84" s="76" t="s">
        <v>2580</v>
      </c>
      <c r="DY84" s="76">
        <v>57.8</v>
      </c>
      <c r="DZ84" s="79"/>
      <c r="EA84" s="101"/>
      <c r="EB84" s="96">
        <v>8</v>
      </c>
      <c r="EC84" s="76">
        <v>9</v>
      </c>
      <c r="ED84" s="79">
        <v>10</v>
      </c>
      <c r="EE84" s="96" t="s">
        <v>2581</v>
      </c>
      <c r="EF84" s="76">
        <v>7</v>
      </c>
      <c r="EH84" s="79"/>
      <c r="EI84" s="96"/>
      <c r="EM84" s="96"/>
      <c r="EP84" s="79"/>
      <c r="EQ84" s="96"/>
      <c r="ET84" s="79"/>
      <c r="EU84" s="96">
        <v>4500</v>
      </c>
      <c r="EV84" s="79"/>
      <c r="EW84" s="96">
        <v>0</v>
      </c>
      <c r="EX84" s="76">
        <v>0</v>
      </c>
      <c r="EY84" s="79">
        <v>0</v>
      </c>
      <c r="EZ84" s="102">
        <f>FI84</f>
        <v>78</v>
      </c>
      <c r="FA84" s="76">
        <v>3.4</v>
      </c>
      <c r="FB84" s="79"/>
      <c r="FC84" s="97">
        <v>520</v>
      </c>
      <c r="FD84" s="124">
        <v>72</v>
      </c>
      <c r="FE84" s="113">
        <v>58</v>
      </c>
      <c r="FF84" s="125">
        <v>65</v>
      </c>
      <c r="FG84" s="76">
        <v>68</v>
      </c>
      <c r="FH84" s="76">
        <v>92</v>
      </c>
      <c r="FI84" s="103">
        <v>78</v>
      </c>
      <c r="FJ84" s="104">
        <v>40.6</v>
      </c>
      <c r="FK84" s="105">
        <v>33.08</v>
      </c>
      <c r="FL84" s="79">
        <v>37</v>
      </c>
      <c r="FM84" s="76">
        <v>0.68200000000000005</v>
      </c>
      <c r="FN84" s="76">
        <v>0.61699999999999999</v>
      </c>
      <c r="FO84" s="79">
        <v>0.65500000000000003</v>
      </c>
      <c r="FP84" s="106">
        <v>0</v>
      </c>
      <c r="FQ84" s="107">
        <v>0</v>
      </c>
      <c r="FR84" s="107">
        <v>0</v>
      </c>
      <c r="FS84" s="108">
        <v>12</v>
      </c>
    </row>
    <row r="85" spans="1:190" s="76" customFormat="1" x14ac:dyDescent="0.35">
      <c r="A85" s="76">
        <v>2025</v>
      </c>
      <c r="B85" s="162" t="s">
        <v>439</v>
      </c>
      <c r="C85" s="162" t="s">
        <v>440</v>
      </c>
      <c r="D85" s="162" t="s">
        <v>2576</v>
      </c>
      <c r="E85" s="162" t="s">
        <v>442</v>
      </c>
      <c r="F85" s="162">
        <v>30</v>
      </c>
      <c r="G85" s="162">
        <v>2.5</v>
      </c>
      <c r="H85" s="162">
        <v>4</v>
      </c>
      <c r="I85" s="163" t="s">
        <v>587</v>
      </c>
      <c r="J85" s="96">
        <f t="shared" ref="J85:R85" si="31">J84</f>
        <v>42</v>
      </c>
      <c r="K85" s="76">
        <f t="shared" si="31"/>
        <v>37</v>
      </c>
      <c r="L85" s="76">
        <f t="shared" si="31"/>
        <v>40</v>
      </c>
      <c r="M85" s="76">
        <f t="shared" si="31"/>
        <v>58.8</v>
      </c>
      <c r="N85" s="76">
        <f t="shared" si="31"/>
        <v>55.9</v>
      </c>
      <c r="O85" s="76">
        <f t="shared" si="31"/>
        <v>57.458599999999997</v>
      </c>
      <c r="P85" s="76">
        <f t="shared" si="31"/>
        <v>41.980499999999999</v>
      </c>
      <c r="Q85" s="76">
        <f t="shared" si="31"/>
        <v>37.308</v>
      </c>
      <c r="R85" s="76">
        <f t="shared" si="31"/>
        <v>39.7408</v>
      </c>
      <c r="T85" s="76" t="str">
        <f>T84</f>
        <v>NA</v>
      </c>
      <c r="U85" s="76" t="str">
        <f>U84</f>
        <v>Naturally Aspirated</v>
      </c>
      <c r="V85" s="76" t="str">
        <f>V84</f>
        <v>CVT</v>
      </c>
      <c r="W85" s="76" t="str">
        <f>W84</f>
        <v>Continuously Variable</v>
      </c>
      <c r="Y85" s="76">
        <f t="shared" ref="Y85:AD85" si="32">Y84</f>
        <v>1</v>
      </c>
      <c r="Z85" s="76" t="str">
        <f t="shared" si="32"/>
        <v>N</v>
      </c>
      <c r="AA85" s="76" t="str">
        <f t="shared" si="32"/>
        <v>N</v>
      </c>
      <c r="AB85" s="76" t="str">
        <f t="shared" si="32"/>
        <v>F</v>
      </c>
      <c r="AC85" s="76" t="str">
        <f t="shared" si="32"/>
        <v>2-Wheel Drive, Front</v>
      </c>
      <c r="AD85" s="76">
        <f t="shared" si="32"/>
        <v>85</v>
      </c>
      <c r="AF85" s="76">
        <f>AF84</f>
        <v>520</v>
      </c>
      <c r="AG85" s="76" t="str">
        <f>AG84</f>
        <v>G</v>
      </c>
      <c r="AH85" s="76" t="str">
        <f>AH84</f>
        <v>Gasoline (Regular Unleaded Recommended)</v>
      </c>
      <c r="AI85" s="76" t="str">
        <f>AI84</f>
        <v>MPG</v>
      </c>
      <c r="AJ85" s="79" t="str">
        <f>AJ84</f>
        <v>miles per gallon</v>
      </c>
      <c r="AK85" s="96" t="s">
        <v>940</v>
      </c>
      <c r="AL85" s="76" t="s">
        <v>941</v>
      </c>
      <c r="AR85" s="79"/>
      <c r="AS85" s="96">
        <v>1000</v>
      </c>
      <c r="AT85" s="79">
        <v>1000</v>
      </c>
      <c r="AU85" s="96">
        <v>111</v>
      </c>
      <c r="AV85" s="76">
        <v>91</v>
      </c>
      <c r="AW85" s="76">
        <v>101</v>
      </c>
      <c r="AX85" s="76">
        <v>158.9</v>
      </c>
      <c r="AY85" s="76">
        <v>130.19999999999999</v>
      </c>
      <c r="AZ85" s="76">
        <v>144.56049999999999</v>
      </c>
      <c r="BA85" s="76">
        <v>111.2426</v>
      </c>
      <c r="BB85" s="76">
        <v>91.118799999999993</v>
      </c>
      <c r="BC85" s="76">
        <v>101.1863</v>
      </c>
      <c r="BD85" s="76">
        <v>37</v>
      </c>
      <c r="BE85" s="76" t="s">
        <v>1735</v>
      </c>
      <c r="BF85" s="76" t="s">
        <v>1736</v>
      </c>
      <c r="BG85" s="76" t="s">
        <v>175</v>
      </c>
      <c r="BH85" s="76" t="s">
        <v>176</v>
      </c>
      <c r="BI85" s="76">
        <v>1000</v>
      </c>
      <c r="BM85" s="79"/>
      <c r="BN85" s="98" t="s">
        <v>2558</v>
      </c>
      <c r="BO85" s="76">
        <v>2</v>
      </c>
      <c r="BP85" s="76">
        <v>2</v>
      </c>
      <c r="BQ85" s="76">
        <v>30</v>
      </c>
      <c r="BR85" s="76" t="s">
        <v>1099</v>
      </c>
      <c r="BT85" s="76" t="s">
        <v>2494</v>
      </c>
      <c r="BU85" s="99">
        <v>45558</v>
      </c>
      <c r="BV85" s="79">
        <v>35428</v>
      </c>
      <c r="BW85" s="120"/>
      <c r="BX85" s="96" t="s">
        <v>170</v>
      </c>
      <c r="BY85" s="76" t="s">
        <v>170</v>
      </c>
      <c r="CB85" s="76" t="s">
        <v>170</v>
      </c>
      <c r="CC85" s="76" t="s">
        <v>170</v>
      </c>
      <c r="CD85" s="76" t="s">
        <v>2577</v>
      </c>
      <c r="CE85" s="76" t="s">
        <v>170</v>
      </c>
      <c r="CG85" s="76" t="s">
        <v>169</v>
      </c>
      <c r="CH85" s="76" t="s">
        <v>944</v>
      </c>
      <c r="CI85" s="76" t="s">
        <v>170</v>
      </c>
      <c r="CK85" s="76" t="s">
        <v>233</v>
      </c>
      <c r="CM85" s="76">
        <v>1</v>
      </c>
      <c r="CN85" s="76" t="s">
        <v>234</v>
      </c>
      <c r="CP85" s="76">
        <v>302</v>
      </c>
      <c r="CQ85" s="76">
        <v>48</v>
      </c>
      <c r="CR85" s="76">
        <v>84</v>
      </c>
      <c r="CS85" s="76" t="s">
        <v>1752</v>
      </c>
      <c r="CV85" s="76" t="s">
        <v>341</v>
      </c>
      <c r="CX85" s="76" t="s">
        <v>729</v>
      </c>
      <c r="CY85" s="76" t="s">
        <v>170</v>
      </c>
      <c r="DD85" s="76">
        <v>1</v>
      </c>
      <c r="DE85" s="76" t="s">
        <v>663</v>
      </c>
      <c r="DG85" s="76">
        <v>78</v>
      </c>
      <c r="DJ85" s="76" t="s">
        <v>449</v>
      </c>
      <c r="DK85" s="76" t="s">
        <v>450</v>
      </c>
      <c r="DL85" s="76" t="s">
        <v>170</v>
      </c>
      <c r="DM85" s="76" t="s">
        <v>169</v>
      </c>
      <c r="DN85" s="76" t="s">
        <v>170</v>
      </c>
      <c r="DO85" s="76" t="s">
        <v>2578</v>
      </c>
      <c r="DP85" s="76" t="s">
        <v>169</v>
      </c>
      <c r="DQ85" s="76" t="s">
        <v>198</v>
      </c>
      <c r="DS85" s="76" t="s">
        <v>2496</v>
      </c>
      <c r="DT85" s="76" t="s">
        <v>2497</v>
      </c>
      <c r="DU85" s="76" t="s">
        <v>2579</v>
      </c>
      <c r="DV85" s="76" t="s">
        <v>2580</v>
      </c>
      <c r="DZ85" s="79"/>
      <c r="EA85" s="101"/>
      <c r="EB85" s="96">
        <v>8</v>
      </c>
      <c r="EC85" s="76">
        <v>9</v>
      </c>
      <c r="ED85" s="79">
        <v>10</v>
      </c>
      <c r="EE85" s="96" t="s">
        <v>2581</v>
      </c>
      <c r="EF85" s="76">
        <v>7</v>
      </c>
      <c r="EH85" s="79"/>
      <c r="EI85" s="96"/>
      <c r="EM85" s="96"/>
      <c r="EP85" s="79"/>
      <c r="EQ85" s="96"/>
      <c r="ET85" s="79"/>
      <c r="EU85" s="96">
        <v>4500</v>
      </c>
      <c r="EV85" s="79"/>
      <c r="EW85" s="96">
        <v>210</v>
      </c>
      <c r="EX85" s="76">
        <v>236</v>
      </c>
      <c r="EY85" s="79">
        <v>222</v>
      </c>
      <c r="EZ85" s="102">
        <f>FI85</f>
        <v>78</v>
      </c>
      <c r="FA85" s="76">
        <v>3.4</v>
      </c>
      <c r="FB85" s="79"/>
      <c r="FC85" s="97">
        <v>520</v>
      </c>
      <c r="FD85" s="124">
        <v>72</v>
      </c>
      <c r="FE85" s="113">
        <v>58</v>
      </c>
      <c r="FF85" s="125">
        <v>65</v>
      </c>
      <c r="FG85" s="76">
        <v>68</v>
      </c>
      <c r="FH85" s="76">
        <v>92</v>
      </c>
      <c r="FI85" s="103">
        <v>78</v>
      </c>
      <c r="FJ85" s="98" t="s">
        <v>2582</v>
      </c>
      <c r="FK85" s="111"/>
      <c r="FL85" s="103"/>
      <c r="FM85" s="76">
        <v>0.68200000000000005</v>
      </c>
      <c r="FN85" s="76">
        <v>0.61699999999999999</v>
      </c>
      <c r="FO85" s="79">
        <v>0.65500000000000003</v>
      </c>
      <c r="FP85" s="106"/>
      <c r="FQ85" s="107"/>
      <c r="FR85" s="107"/>
      <c r="FS85" s="108">
        <v>12</v>
      </c>
    </row>
    <row r="86" spans="1:190" s="77" customFormat="1" x14ac:dyDescent="0.35">
      <c r="A86" s="76"/>
      <c r="E86" s="76"/>
      <c r="F86" s="76"/>
      <c r="G86" s="78"/>
      <c r="H86" s="76"/>
      <c r="I86" s="79"/>
      <c r="J86" s="80"/>
      <c r="K86" s="28"/>
      <c r="L86" s="28"/>
      <c r="M86" s="25" t="str">
        <f>_xlfn.CONCAT(A87," ",C87," ",D87)</f>
        <v>2025 Hyundai Tucson Plug-in Hybrid</v>
      </c>
      <c r="N86" s="28"/>
      <c r="O86" s="28"/>
      <c r="P86" s="28"/>
      <c r="Q86" s="28"/>
      <c r="R86" s="28"/>
      <c r="S86" s="28"/>
      <c r="T86" s="28"/>
      <c r="U86" s="28"/>
      <c r="V86" s="28"/>
      <c r="W86" s="28"/>
      <c r="X86" s="28"/>
      <c r="Y86" s="28"/>
      <c r="Z86" s="28"/>
      <c r="AA86" s="28"/>
      <c r="AB86" s="28"/>
      <c r="AC86" s="28"/>
      <c r="AD86" s="25" t="str">
        <f>$M86</f>
        <v>2025 Hyundai Tucson Plug-in Hybrid</v>
      </c>
      <c r="AE86" s="28"/>
      <c r="AF86" s="28"/>
      <c r="AG86" s="28"/>
      <c r="AH86" s="28"/>
      <c r="AI86" s="28"/>
      <c r="AJ86" s="81"/>
      <c r="AK86" s="82"/>
      <c r="AL86" s="2"/>
      <c r="AM86" s="2"/>
      <c r="AN86" s="2"/>
      <c r="AO86" s="2"/>
      <c r="AP86" s="2"/>
      <c r="AQ86" s="2"/>
      <c r="AR86" s="83"/>
      <c r="AS86" s="84"/>
      <c r="AT86" s="85" t="str">
        <f>$M86</f>
        <v>2025 Hyundai Tucson Plug-in Hybrid</v>
      </c>
      <c r="AU86" s="84"/>
      <c r="AV86" s="28"/>
      <c r="AW86" s="28"/>
      <c r="AX86" s="28"/>
      <c r="AY86" s="28"/>
      <c r="AZ86" s="28"/>
      <c r="BA86" s="28"/>
      <c r="BB86" s="28"/>
      <c r="BC86" s="28"/>
      <c r="BD86" s="28"/>
      <c r="BE86" s="28"/>
      <c r="BF86" s="28"/>
      <c r="BG86" s="28"/>
      <c r="BH86" s="28"/>
      <c r="BI86" s="25" t="str">
        <f>$M86</f>
        <v>2025 Hyundai Tucson Plug-in Hybrid</v>
      </c>
      <c r="BJ86" s="28"/>
      <c r="BK86" s="28"/>
      <c r="BL86" s="28"/>
      <c r="BM86" s="81"/>
      <c r="BN86" s="82"/>
      <c r="BO86" s="2"/>
      <c r="BP86" s="2"/>
      <c r="BQ86" s="2"/>
      <c r="BR86" s="2"/>
      <c r="BS86" s="2"/>
      <c r="BT86" s="86"/>
      <c r="BU86" s="2"/>
      <c r="BV86" s="83"/>
      <c r="BW86" s="121"/>
      <c r="BX86" s="84"/>
      <c r="BY86" s="25" t="str">
        <f>$M86</f>
        <v>2025 Hyundai Tucson Plug-in Hybrid</v>
      </c>
      <c r="BZ86" s="28"/>
      <c r="CA86" s="28"/>
      <c r="CB86" s="28"/>
      <c r="CC86" s="28"/>
      <c r="CD86" s="28"/>
      <c r="CE86" s="88"/>
      <c r="CF86" s="28"/>
      <c r="CG86" s="28"/>
      <c r="CH86" s="28"/>
      <c r="CI86" s="28"/>
      <c r="CJ86" s="28"/>
      <c r="CK86" s="28"/>
      <c r="CL86" s="28"/>
      <c r="CM86" s="28"/>
      <c r="CN86" s="28"/>
      <c r="CO86" s="25" t="str">
        <f>$M86</f>
        <v>2025 Hyundai Tucson Plug-in Hybrid</v>
      </c>
      <c r="CP86" s="28"/>
      <c r="CQ86" s="28"/>
      <c r="CR86" s="28"/>
      <c r="CS86" s="28"/>
      <c r="CT86" s="28"/>
      <c r="CU86" s="28"/>
      <c r="CV86" s="28"/>
      <c r="CW86" s="28"/>
      <c r="CX86" s="28"/>
      <c r="CY86" s="28"/>
      <c r="CZ86" s="28"/>
      <c r="DA86" s="28"/>
      <c r="DB86" s="28"/>
      <c r="DC86" s="28"/>
      <c r="DD86" s="28"/>
      <c r="DE86" s="28"/>
      <c r="DF86" s="25" t="str">
        <f>$M86</f>
        <v>2025 Hyundai Tucson Plug-in Hybrid</v>
      </c>
      <c r="DG86" s="28"/>
      <c r="DH86" s="28"/>
      <c r="DI86" s="28"/>
      <c r="DJ86" s="28"/>
      <c r="DK86" s="28"/>
      <c r="DL86" s="28"/>
      <c r="DM86" s="28"/>
      <c r="DN86" s="28"/>
      <c r="DO86" s="28"/>
      <c r="DP86" s="28"/>
      <c r="DQ86" s="28"/>
      <c r="DR86" s="25"/>
      <c r="DS86" s="25"/>
      <c r="DT86" s="25"/>
      <c r="DU86" s="25"/>
      <c r="DV86" s="25"/>
      <c r="DW86" s="25" t="str">
        <f>$M86</f>
        <v>2025 Hyundai Tucson Plug-in Hybrid</v>
      </c>
      <c r="DX86" s="25"/>
      <c r="DY86" s="25"/>
      <c r="DZ86" s="85"/>
      <c r="EA86" s="89"/>
      <c r="EB86" s="80"/>
      <c r="EC86" s="25"/>
      <c r="ED86" s="85"/>
      <c r="EE86" s="80"/>
      <c r="EF86" s="25"/>
      <c r="EG86" s="25"/>
      <c r="EH86" s="85"/>
      <c r="EI86" s="80"/>
      <c r="EK86" t="s">
        <v>2445</v>
      </c>
      <c r="EL86" s="25" t="str">
        <f>$M86</f>
        <v>2025 Hyundai Tucson Plug-in Hybrid</v>
      </c>
      <c r="EM86" s="80"/>
      <c r="EP86" s="75"/>
      <c r="EQ86" s="90"/>
      <c r="ET86" s="75"/>
      <c r="EU86" s="90"/>
      <c r="EV86" s="75"/>
      <c r="EW86" s="90"/>
      <c r="EY86" s="75"/>
      <c r="EZ86" s="102"/>
      <c r="FA86" s="25" t="str">
        <f>$M86</f>
        <v>2025 Hyundai Tucson Plug-in Hybrid</v>
      </c>
      <c r="FB86" s="75"/>
      <c r="FC86" s="91"/>
      <c r="FD86" s="80"/>
      <c r="FE86" s="25"/>
      <c r="FF86" s="85"/>
      <c r="FG86" s="25"/>
      <c r="FH86" s="25"/>
      <c r="FI86" s="85"/>
      <c r="FJ86" s="25"/>
      <c r="FK86" s="25"/>
      <c r="FL86" s="85"/>
      <c r="FM86" s="25" t="str">
        <f>$M86</f>
        <v>2025 Hyundai Tucson Plug-in Hybrid</v>
      </c>
      <c r="FN86" s="25"/>
      <c r="FO86" s="85"/>
      <c r="FP86" s="92"/>
      <c r="FQ86" s="93"/>
      <c r="FR86" s="94"/>
      <c r="FS86" s="95"/>
      <c r="FT86" s="25"/>
      <c r="FU86" s="25"/>
      <c r="FV86" s="25"/>
      <c r="FW86" s="25"/>
      <c r="FX86" s="25"/>
      <c r="FY86" s="25"/>
      <c r="FZ86" s="25"/>
      <c r="GA86" s="25"/>
      <c r="GB86" s="25"/>
      <c r="GC86" s="25"/>
      <c r="GD86" s="25"/>
      <c r="GE86" s="25"/>
      <c r="GF86" s="25"/>
      <c r="GG86" s="25"/>
      <c r="GH86" s="25"/>
    </row>
    <row r="87" spans="1:190" s="76" customFormat="1" x14ac:dyDescent="0.35">
      <c r="A87" s="76">
        <v>2025</v>
      </c>
      <c r="B87" s="76" t="s">
        <v>569</v>
      </c>
      <c r="C87" s="76" t="s">
        <v>569</v>
      </c>
      <c r="D87" s="76" t="s">
        <v>2583</v>
      </c>
      <c r="E87" s="76" t="s">
        <v>572</v>
      </c>
      <c r="F87" s="76">
        <v>64</v>
      </c>
      <c r="G87" s="78">
        <v>1.6</v>
      </c>
      <c r="H87" s="76">
        <v>4</v>
      </c>
      <c r="I87" s="79" t="s">
        <v>747</v>
      </c>
      <c r="J87" s="96">
        <v>35</v>
      </c>
      <c r="K87" s="76">
        <v>35</v>
      </c>
      <c r="L87" s="76">
        <v>35</v>
      </c>
      <c r="M87" s="76">
        <v>44.5</v>
      </c>
      <c r="N87" s="76">
        <v>46.2</v>
      </c>
      <c r="O87" s="76">
        <v>45.249299999999998</v>
      </c>
      <c r="P87" s="76">
        <v>34.918199999999999</v>
      </c>
      <c r="Q87" s="76">
        <v>34.834600000000002</v>
      </c>
      <c r="R87" s="76">
        <v>34.880499999999998</v>
      </c>
      <c r="T87" s="76" t="s">
        <v>165</v>
      </c>
      <c r="U87" s="76" t="s">
        <v>166</v>
      </c>
      <c r="V87" s="76" t="s">
        <v>211</v>
      </c>
      <c r="W87" s="76" t="s">
        <v>212</v>
      </c>
      <c r="Y87" s="76">
        <v>6</v>
      </c>
      <c r="Z87" s="76" t="s">
        <v>170</v>
      </c>
      <c r="AA87" s="76" t="s">
        <v>170</v>
      </c>
      <c r="AB87" s="76" t="s">
        <v>167</v>
      </c>
      <c r="AC87" s="76" t="s">
        <v>213</v>
      </c>
      <c r="AD87" s="76">
        <v>15</v>
      </c>
      <c r="AF87" s="76">
        <v>387</v>
      </c>
      <c r="AG87" s="76" t="s">
        <v>210</v>
      </c>
      <c r="AH87" s="76" t="s">
        <v>444</v>
      </c>
      <c r="AI87" s="76" t="s">
        <v>175</v>
      </c>
      <c r="AJ87" s="79" t="s">
        <v>176</v>
      </c>
      <c r="AK87" s="96" t="s">
        <v>940</v>
      </c>
      <c r="AL87" s="76" t="s">
        <v>941</v>
      </c>
      <c r="AR87" s="79"/>
      <c r="AS87" s="96">
        <v>1250</v>
      </c>
      <c r="AT87" s="79">
        <v>1250</v>
      </c>
      <c r="AU87" s="96">
        <v>42</v>
      </c>
      <c r="AV87" s="76">
        <v>46</v>
      </c>
      <c r="AW87" s="76">
        <v>44</v>
      </c>
      <c r="AX87" s="76">
        <v>29.5</v>
      </c>
      <c r="AY87" s="76">
        <v>32.200000000000003</v>
      </c>
      <c r="AZ87" s="76">
        <v>30.715</v>
      </c>
      <c r="BA87" s="76">
        <v>41.963000000000001</v>
      </c>
      <c r="BB87" s="76">
        <v>46.136000000000003</v>
      </c>
      <c r="BC87" s="76">
        <v>43.840800000000002</v>
      </c>
      <c r="BD87" s="76">
        <v>32</v>
      </c>
      <c r="BE87" s="76" t="s">
        <v>1735</v>
      </c>
      <c r="BF87" s="76" t="s">
        <v>1736</v>
      </c>
      <c r="BG87" s="76" t="s">
        <v>1742</v>
      </c>
      <c r="BH87" s="76" t="s">
        <v>1743</v>
      </c>
      <c r="BI87" s="76">
        <v>1250</v>
      </c>
      <c r="BJ87" s="2"/>
      <c r="BK87" s="2"/>
      <c r="BL87" s="2"/>
      <c r="BM87" s="79"/>
      <c r="BN87" s="98" t="s">
        <v>2493</v>
      </c>
      <c r="BO87" s="76">
        <v>2</v>
      </c>
      <c r="BP87" s="76">
        <v>2</v>
      </c>
      <c r="BQ87" s="76">
        <v>31</v>
      </c>
      <c r="BR87" s="76" t="s">
        <v>1219</v>
      </c>
      <c r="BT87" s="76" t="s">
        <v>2494</v>
      </c>
      <c r="BU87" s="99">
        <v>45513</v>
      </c>
      <c r="BV87" s="79">
        <v>35361</v>
      </c>
      <c r="BW87" s="120"/>
      <c r="BX87" s="96" t="s">
        <v>170</v>
      </c>
      <c r="BY87" s="76" t="s">
        <v>170</v>
      </c>
      <c r="CB87" s="76" t="s">
        <v>170</v>
      </c>
      <c r="CC87" s="76" t="s">
        <v>170</v>
      </c>
      <c r="CE87" s="76" t="s">
        <v>170</v>
      </c>
      <c r="CG87" s="76" t="s">
        <v>169</v>
      </c>
      <c r="CH87" s="76" t="s">
        <v>2584</v>
      </c>
      <c r="CI87" s="76" t="s">
        <v>170</v>
      </c>
      <c r="CK87" s="76" t="s">
        <v>233</v>
      </c>
      <c r="CM87" s="76">
        <v>1</v>
      </c>
      <c r="CN87" s="76" t="s">
        <v>234</v>
      </c>
      <c r="CP87" s="76">
        <v>360</v>
      </c>
      <c r="CQ87" s="76">
        <v>38.299999999999997</v>
      </c>
      <c r="CR87" s="76">
        <v>98.5</v>
      </c>
      <c r="CS87" s="76" t="s">
        <v>235</v>
      </c>
      <c r="CV87" s="76" t="s">
        <v>341</v>
      </c>
      <c r="CX87" s="76" t="s">
        <v>729</v>
      </c>
      <c r="CY87" s="76" t="s">
        <v>169</v>
      </c>
      <c r="DD87" s="76">
        <v>1</v>
      </c>
      <c r="DE87" s="76" t="s">
        <v>404</v>
      </c>
      <c r="DF87" s="76" t="s">
        <v>427</v>
      </c>
      <c r="DG87" s="76">
        <v>72</v>
      </c>
      <c r="DJ87" s="76" t="s">
        <v>184</v>
      </c>
      <c r="DK87" s="76" t="s">
        <v>185</v>
      </c>
      <c r="DL87" s="76" t="s">
        <v>170</v>
      </c>
      <c r="DM87" s="76" t="s">
        <v>169</v>
      </c>
      <c r="DN87" s="76" t="s">
        <v>170</v>
      </c>
      <c r="DO87" s="76" t="s">
        <v>2585</v>
      </c>
      <c r="DP87" s="76" t="s">
        <v>169</v>
      </c>
      <c r="DQ87" s="76" t="s">
        <v>198</v>
      </c>
      <c r="DS87" s="76" t="s">
        <v>2496</v>
      </c>
      <c r="DT87" s="76" t="s">
        <v>2497</v>
      </c>
      <c r="DU87" s="76" t="s">
        <v>2498</v>
      </c>
      <c r="DV87" s="76" t="s">
        <v>2499</v>
      </c>
      <c r="DZ87" s="79"/>
      <c r="EA87" s="101"/>
      <c r="EB87" s="96">
        <v>8</v>
      </c>
      <c r="EC87" s="76">
        <v>9</v>
      </c>
      <c r="ED87" s="79">
        <v>10</v>
      </c>
      <c r="EE87" s="96" t="s">
        <v>2586</v>
      </c>
      <c r="EF87" s="76">
        <v>6</v>
      </c>
      <c r="EH87" s="79"/>
      <c r="EI87" s="96"/>
      <c r="EM87" s="96"/>
      <c r="EP87" s="79"/>
      <c r="EQ87" s="96"/>
      <c r="ET87" s="79"/>
      <c r="EU87" s="96">
        <v>3250</v>
      </c>
      <c r="EV87" s="79"/>
      <c r="EW87" s="96">
        <v>0</v>
      </c>
      <c r="EX87" s="76">
        <v>0</v>
      </c>
      <c r="EY87" s="79">
        <v>0</v>
      </c>
      <c r="EZ87" s="102">
        <f>FI87</f>
        <v>103</v>
      </c>
      <c r="FA87" s="76">
        <v>2</v>
      </c>
      <c r="FB87" s="79"/>
      <c r="FC87" s="97">
        <v>420</v>
      </c>
      <c r="FD87" s="96">
        <v>53</v>
      </c>
      <c r="FE87" s="76">
        <v>49</v>
      </c>
      <c r="FF87" s="79">
        <v>51</v>
      </c>
      <c r="FG87" s="76">
        <v>99</v>
      </c>
      <c r="FH87" s="76">
        <v>109</v>
      </c>
      <c r="FI87" s="79">
        <v>103</v>
      </c>
      <c r="FJ87" s="76">
        <v>31.97</v>
      </c>
      <c r="FK87" s="76">
        <v>29.8</v>
      </c>
      <c r="FL87" s="79">
        <v>32</v>
      </c>
      <c r="FM87" s="76">
        <v>0.61599999999999999</v>
      </c>
      <c r="FN87" s="76">
        <v>0.58399999999999996</v>
      </c>
      <c r="FO87" s="79">
        <v>0.60199999999999998</v>
      </c>
      <c r="FP87" s="106">
        <v>0</v>
      </c>
      <c r="FQ87" s="107">
        <v>0</v>
      </c>
      <c r="FR87" s="107">
        <v>0</v>
      </c>
      <c r="FS87" s="108">
        <v>11.1</v>
      </c>
    </row>
    <row r="88" spans="1:190" s="76" customFormat="1" x14ac:dyDescent="0.35">
      <c r="A88" s="76">
        <v>2025</v>
      </c>
      <c r="B88" s="162" t="s">
        <v>569</v>
      </c>
      <c r="C88" s="162" t="s">
        <v>739</v>
      </c>
      <c r="D88" s="162" t="s">
        <v>2583</v>
      </c>
      <c r="E88" s="162" t="s">
        <v>572</v>
      </c>
      <c r="F88" s="162">
        <v>64</v>
      </c>
      <c r="G88" s="162">
        <v>1.6</v>
      </c>
      <c r="H88" s="162">
        <v>4</v>
      </c>
      <c r="I88" s="163" t="s">
        <v>747</v>
      </c>
      <c r="J88" s="96">
        <f t="shared" ref="J88:R88" si="33">J87</f>
        <v>35</v>
      </c>
      <c r="K88" s="76">
        <f t="shared" si="33"/>
        <v>35</v>
      </c>
      <c r="L88" s="76">
        <f t="shared" si="33"/>
        <v>35</v>
      </c>
      <c r="M88" s="76">
        <f t="shared" si="33"/>
        <v>44.5</v>
      </c>
      <c r="N88" s="76">
        <f t="shared" si="33"/>
        <v>46.2</v>
      </c>
      <c r="O88" s="76">
        <f t="shared" si="33"/>
        <v>45.249299999999998</v>
      </c>
      <c r="P88" s="76">
        <f t="shared" si="33"/>
        <v>34.918199999999999</v>
      </c>
      <c r="Q88" s="76">
        <f t="shared" si="33"/>
        <v>34.834600000000002</v>
      </c>
      <c r="R88" s="76">
        <f t="shared" si="33"/>
        <v>34.880499999999998</v>
      </c>
      <c r="T88" s="76" t="str">
        <f>T87</f>
        <v>TC</v>
      </c>
      <c r="U88" s="76" t="str">
        <f>U87</f>
        <v>Turbocharged</v>
      </c>
      <c r="V88" s="76" t="str">
        <f>V87</f>
        <v>AMS</v>
      </c>
      <c r="W88" s="76" t="str">
        <f>W87</f>
        <v>Automated Manual- Selectable (e.g. Automated Manual with paddles)</v>
      </c>
      <c r="Y88" s="76">
        <f t="shared" ref="Y88:AD88" si="34">Y87</f>
        <v>6</v>
      </c>
      <c r="Z88" s="76" t="str">
        <f t="shared" si="34"/>
        <v>N</v>
      </c>
      <c r="AA88" s="76" t="str">
        <f t="shared" si="34"/>
        <v>N</v>
      </c>
      <c r="AB88" s="76" t="str">
        <f t="shared" si="34"/>
        <v>A</v>
      </c>
      <c r="AC88" s="76" t="str">
        <f t="shared" si="34"/>
        <v>All Wheel Drive</v>
      </c>
      <c r="AD88" s="76">
        <f t="shared" si="34"/>
        <v>15</v>
      </c>
      <c r="AF88" s="76">
        <f>AF87</f>
        <v>387</v>
      </c>
      <c r="AG88" s="76" t="str">
        <f>AG87</f>
        <v>G</v>
      </c>
      <c r="AH88" s="76" t="str">
        <f>AH87</f>
        <v>Gasoline (Regular Unleaded Recommended)</v>
      </c>
      <c r="AI88" s="76" t="str">
        <f>AI87</f>
        <v>MPG</v>
      </c>
      <c r="AJ88" s="79" t="str">
        <f>AJ87</f>
        <v>miles per gallon</v>
      </c>
      <c r="AK88" s="96" t="s">
        <v>940</v>
      </c>
      <c r="AL88" s="76" t="s">
        <v>941</v>
      </c>
      <c r="AR88" s="79"/>
      <c r="AS88" s="96">
        <v>1250</v>
      </c>
      <c r="AT88" s="79">
        <v>1250</v>
      </c>
      <c r="AU88" s="96">
        <v>80</v>
      </c>
      <c r="AV88" s="76">
        <v>73</v>
      </c>
      <c r="AW88" s="76">
        <v>77</v>
      </c>
      <c r="AX88" s="76">
        <v>114.3</v>
      </c>
      <c r="AY88" s="76">
        <v>104.7</v>
      </c>
      <c r="AZ88" s="76">
        <v>109.77079999999999</v>
      </c>
      <c r="BA88" s="76">
        <v>80.130300000000005</v>
      </c>
      <c r="BB88" s="76">
        <v>73.284099999999995</v>
      </c>
      <c r="BC88" s="76">
        <v>76.897599999999997</v>
      </c>
      <c r="BD88" s="76">
        <v>32</v>
      </c>
      <c r="BE88" s="76" t="s">
        <v>1735</v>
      </c>
      <c r="BF88" s="76" t="s">
        <v>1736</v>
      </c>
      <c r="BG88" s="76" t="s">
        <v>175</v>
      </c>
      <c r="BH88" s="76" t="s">
        <v>176</v>
      </c>
      <c r="BI88" s="76">
        <v>1250</v>
      </c>
      <c r="BM88" s="79"/>
      <c r="BN88" s="98" t="s">
        <v>2493</v>
      </c>
      <c r="BO88" s="76">
        <v>2</v>
      </c>
      <c r="BP88" s="76">
        <v>2</v>
      </c>
      <c r="BQ88" s="76">
        <v>31</v>
      </c>
      <c r="BR88" s="76" t="s">
        <v>1219</v>
      </c>
      <c r="BT88" s="76" t="s">
        <v>2494</v>
      </c>
      <c r="BU88" s="99">
        <v>45513</v>
      </c>
      <c r="BV88" s="79">
        <v>35361</v>
      </c>
      <c r="BW88" s="120"/>
      <c r="BX88" s="96" t="s">
        <v>170</v>
      </c>
      <c r="BY88" s="76" t="s">
        <v>170</v>
      </c>
      <c r="CB88" s="76" t="s">
        <v>170</v>
      </c>
      <c r="CC88" s="76" t="s">
        <v>170</v>
      </c>
      <c r="CE88" s="76" t="s">
        <v>170</v>
      </c>
      <c r="CG88" s="76" t="s">
        <v>169</v>
      </c>
      <c r="CH88" s="76" t="s">
        <v>2584</v>
      </c>
      <c r="CI88" s="76" t="s">
        <v>170</v>
      </c>
      <c r="CK88" s="76" t="s">
        <v>233</v>
      </c>
      <c r="CM88" s="76">
        <v>1</v>
      </c>
      <c r="CN88" s="76" t="s">
        <v>234</v>
      </c>
      <c r="CP88" s="76">
        <v>360</v>
      </c>
      <c r="CQ88" s="76">
        <v>38.299999999999997</v>
      </c>
      <c r="CR88" s="76">
        <v>98.5</v>
      </c>
      <c r="CS88" s="76" t="s">
        <v>235</v>
      </c>
      <c r="CV88" s="76" t="s">
        <v>341</v>
      </c>
      <c r="CX88" s="76" t="s">
        <v>729</v>
      </c>
      <c r="CY88" s="76" t="s">
        <v>169</v>
      </c>
      <c r="DD88" s="76">
        <v>1</v>
      </c>
      <c r="DE88" s="76" t="s">
        <v>404</v>
      </c>
      <c r="DF88" s="76" t="s">
        <v>427</v>
      </c>
      <c r="DG88" s="76">
        <v>72</v>
      </c>
      <c r="DJ88" s="76" t="s">
        <v>184</v>
      </c>
      <c r="DK88" s="76" t="s">
        <v>185</v>
      </c>
      <c r="DL88" s="76" t="s">
        <v>170</v>
      </c>
      <c r="DM88" s="76" t="s">
        <v>169</v>
      </c>
      <c r="DN88" s="76" t="s">
        <v>170</v>
      </c>
      <c r="DO88" s="76" t="s">
        <v>2585</v>
      </c>
      <c r="DP88" s="76" t="s">
        <v>169</v>
      </c>
      <c r="DQ88" s="76" t="s">
        <v>198</v>
      </c>
      <c r="DS88" s="76" t="s">
        <v>2496</v>
      </c>
      <c r="DT88" s="76" t="s">
        <v>2497</v>
      </c>
      <c r="DU88" s="76" t="s">
        <v>2498</v>
      </c>
      <c r="DV88" s="76" t="s">
        <v>2499</v>
      </c>
      <c r="DZ88" s="79"/>
      <c r="EA88" s="101"/>
      <c r="EB88" s="96">
        <v>8</v>
      </c>
      <c r="EC88" s="76">
        <v>9</v>
      </c>
      <c r="ED88" s="79">
        <v>10</v>
      </c>
      <c r="EE88" s="96" t="s">
        <v>2586</v>
      </c>
      <c r="EF88" s="76">
        <v>6</v>
      </c>
      <c r="EH88" s="79"/>
      <c r="EI88" s="96"/>
      <c r="EM88" s="96"/>
      <c r="EP88" s="79"/>
      <c r="EQ88" s="96"/>
      <c r="ET88" s="79"/>
      <c r="EU88" s="96">
        <v>3250</v>
      </c>
      <c r="EV88" s="79"/>
      <c r="EW88" s="96">
        <v>254</v>
      </c>
      <c r="EX88" s="76">
        <v>256</v>
      </c>
      <c r="EY88" s="79">
        <v>255</v>
      </c>
      <c r="EZ88" s="102">
        <f>FI88</f>
        <v>103</v>
      </c>
      <c r="FA88" s="76">
        <v>2</v>
      </c>
      <c r="FB88" s="79"/>
      <c r="FC88" s="97">
        <v>420</v>
      </c>
      <c r="FD88" s="96">
        <v>53</v>
      </c>
      <c r="FE88" s="76">
        <v>49</v>
      </c>
      <c r="FF88" s="79">
        <v>51</v>
      </c>
      <c r="FG88" s="76">
        <v>99</v>
      </c>
      <c r="FH88" s="76">
        <v>109</v>
      </c>
      <c r="FI88" s="79">
        <v>103</v>
      </c>
      <c r="FJ88" s="76" t="s">
        <v>2561</v>
      </c>
      <c r="FL88" s="79"/>
      <c r="FM88" s="76">
        <v>0.61599999999999999</v>
      </c>
      <c r="FN88" s="76">
        <v>0.58399999999999996</v>
      </c>
      <c r="FO88" s="79">
        <v>0.60199999999999998</v>
      </c>
      <c r="FP88" s="106"/>
      <c r="FQ88" s="107"/>
      <c r="FR88" s="107"/>
      <c r="FS88" s="108">
        <v>11.1</v>
      </c>
    </row>
    <row r="89" spans="1:190" s="77" customFormat="1" x14ac:dyDescent="0.35">
      <c r="A89" s="76"/>
      <c r="E89" s="76"/>
      <c r="F89" s="76"/>
      <c r="G89" s="78"/>
      <c r="H89" s="76"/>
      <c r="I89" s="79"/>
      <c r="J89" s="80"/>
      <c r="K89" s="28"/>
      <c r="L89" s="28"/>
      <c r="M89" s="25" t="str">
        <f>_xlfn.CONCAT(A90," ",C90," ",D90)</f>
        <v>2025 Jeep Wrangler 4dr 4xe</v>
      </c>
      <c r="N89" s="28"/>
      <c r="O89" s="28"/>
      <c r="P89" s="28"/>
      <c r="Q89" s="28"/>
      <c r="R89" s="28"/>
      <c r="S89" s="28"/>
      <c r="T89" s="28"/>
      <c r="U89" s="28"/>
      <c r="V89" s="28"/>
      <c r="W89" s="28"/>
      <c r="X89" s="28"/>
      <c r="Y89" s="28"/>
      <c r="Z89" s="28"/>
      <c r="AA89" s="28"/>
      <c r="AB89" s="28"/>
      <c r="AC89" s="28"/>
      <c r="AD89" s="25" t="str">
        <f>$M89</f>
        <v>2025 Jeep Wrangler 4dr 4xe</v>
      </c>
      <c r="AE89" s="28"/>
      <c r="AF89" s="28"/>
      <c r="AG89" s="28"/>
      <c r="AH89" s="28"/>
      <c r="AI89" s="28"/>
      <c r="AJ89" s="81"/>
      <c r="AK89" s="82"/>
      <c r="AL89" s="2"/>
      <c r="AM89" s="2"/>
      <c r="AN89" s="2"/>
      <c r="AO89" s="2"/>
      <c r="AP89" s="2"/>
      <c r="AQ89" s="2"/>
      <c r="AR89" s="83"/>
      <c r="AS89" s="84"/>
      <c r="AT89" s="85" t="str">
        <f>$M89</f>
        <v>2025 Jeep Wrangler 4dr 4xe</v>
      </c>
      <c r="AU89" s="84"/>
      <c r="AV89" s="28"/>
      <c r="AW89" s="28"/>
      <c r="AX89" s="28"/>
      <c r="AY89" s="28"/>
      <c r="AZ89" s="28"/>
      <c r="BA89" s="28"/>
      <c r="BB89" s="28"/>
      <c r="BC89" s="28"/>
      <c r="BD89" s="28"/>
      <c r="BE89" s="28"/>
      <c r="BF89" s="28"/>
      <c r="BG89" s="28"/>
      <c r="BH89" s="28"/>
      <c r="BI89" s="25" t="str">
        <f>$M89</f>
        <v>2025 Jeep Wrangler 4dr 4xe</v>
      </c>
      <c r="BJ89" s="28"/>
      <c r="BK89" s="28"/>
      <c r="BL89" s="28"/>
      <c r="BM89" s="81"/>
      <c r="BN89" s="82"/>
      <c r="BO89" s="2"/>
      <c r="BP89" s="2"/>
      <c r="BQ89" s="2"/>
      <c r="BR89" s="2"/>
      <c r="BS89" s="2"/>
      <c r="BT89" s="86"/>
      <c r="BU89" s="2"/>
      <c r="BV89" s="83"/>
      <c r="BW89" s="121"/>
      <c r="BX89" s="84"/>
      <c r="BY89" s="25" t="str">
        <f>$M89</f>
        <v>2025 Jeep Wrangler 4dr 4xe</v>
      </c>
      <c r="BZ89" s="28"/>
      <c r="CA89" s="28"/>
      <c r="CB89" s="28"/>
      <c r="CC89" s="28"/>
      <c r="CD89" s="28"/>
      <c r="CE89" s="88"/>
      <c r="CF89" s="28"/>
      <c r="CG89" s="28"/>
      <c r="CH89" s="28"/>
      <c r="CI89" s="28"/>
      <c r="CJ89" s="28"/>
      <c r="CK89" s="28"/>
      <c r="CL89" s="28"/>
      <c r="CM89" s="28"/>
      <c r="CN89" s="28"/>
      <c r="CO89" s="25" t="str">
        <f>$M89</f>
        <v>2025 Jeep Wrangler 4dr 4xe</v>
      </c>
      <c r="CP89" s="28"/>
      <c r="CQ89" s="28"/>
      <c r="CR89" s="28"/>
      <c r="CS89" s="28"/>
      <c r="CT89" s="28"/>
      <c r="CU89" s="28"/>
      <c r="CV89" s="28"/>
      <c r="CW89" s="28"/>
      <c r="CX89" s="28"/>
      <c r="CY89" s="28"/>
      <c r="CZ89" s="28"/>
      <c r="DA89" s="28"/>
      <c r="DB89" s="28"/>
      <c r="DC89" s="28"/>
      <c r="DD89" s="28"/>
      <c r="DE89" s="28"/>
      <c r="DF89" s="25" t="str">
        <f>$M89</f>
        <v>2025 Jeep Wrangler 4dr 4xe</v>
      </c>
      <c r="DG89" s="28"/>
      <c r="DH89" s="28"/>
      <c r="DI89" s="28"/>
      <c r="DJ89" s="28"/>
      <c r="DK89" s="28"/>
      <c r="DL89" s="28"/>
      <c r="DM89" s="28"/>
      <c r="DN89" s="28"/>
      <c r="DO89" s="28"/>
      <c r="DP89" s="28"/>
      <c r="DQ89" s="28"/>
      <c r="DR89" s="25"/>
      <c r="DS89" s="25"/>
      <c r="DT89" s="25"/>
      <c r="DU89" s="25"/>
      <c r="DV89" s="25"/>
      <c r="DW89" s="25" t="str">
        <f>$M89</f>
        <v>2025 Jeep Wrangler 4dr 4xe</v>
      </c>
      <c r="DX89" s="25"/>
      <c r="DY89" s="25"/>
      <c r="DZ89" s="85"/>
      <c r="EA89" s="89"/>
      <c r="EB89" s="80"/>
      <c r="EC89" s="25"/>
      <c r="ED89" s="85"/>
      <c r="EE89" s="80"/>
      <c r="EF89" s="25"/>
      <c r="EG89" s="25"/>
      <c r="EH89" s="85"/>
      <c r="EI89" s="80"/>
      <c r="EK89" t="s">
        <v>2445</v>
      </c>
      <c r="EL89" s="25" t="str">
        <f>$M89</f>
        <v>2025 Jeep Wrangler 4dr 4xe</v>
      </c>
      <c r="EM89" s="80"/>
      <c r="EP89" s="75"/>
      <c r="EQ89" s="90"/>
      <c r="ET89" s="75"/>
      <c r="EU89" s="90"/>
      <c r="EV89" s="75"/>
      <c r="EW89" s="90"/>
      <c r="EY89" s="75"/>
      <c r="EZ89" s="102"/>
      <c r="FA89" s="25" t="str">
        <f>$M89</f>
        <v>2025 Jeep Wrangler 4dr 4xe</v>
      </c>
      <c r="FB89" s="75"/>
      <c r="FC89" s="91"/>
      <c r="FD89" s="80"/>
      <c r="FE89" s="25"/>
      <c r="FF89" s="85"/>
      <c r="FG89" s="80"/>
      <c r="FH89" s="25"/>
      <c r="FI89" s="85"/>
      <c r="FJ89" s="25"/>
      <c r="FK89" s="25"/>
      <c r="FL89" s="85"/>
      <c r="FM89" s="25" t="str">
        <f>$M89</f>
        <v>2025 Jeep Wrangler 4dr 4xe</v>
      </c>
      <c r="FN89" s="25"/>
      <c r="FO89" s="85"/>
      <c r="FP89" s="92"/>
      <c r="FQ89" s="93"/>
      <c r="FR89" s="94"/>
      <c r="FS89" s="95"/>
      <c r="FT89" s="25"/>
      <c r="FU89" s="25"/>
      <c r="FV89" s="25"/>
      <c r="FW89" s="25"/>
      <c r="FX89" s="25"/>
      <c r="FY89" s="25"/>
      <c r="FZ89" s="25"/>
      <c r="GA89" s="25"/>
      <c r="GB89" s="25"/>
      <c r="GC89" s="25"/>
      <c r="GD89" s="25"/>
      <c r="GE89" s="25"/>
      <c r="GF89" s="25"/>
      <c r="GG89" s="25"/>
      <c r="GH89" s="25"/>
    </row>
    <row r="90" spans="1:190" s="76" customFormat="1" x14ac:dyDescent="0.35">
      <c r="A90" s="76">
        <v>2025</v>
      </c>
      <c r="B90" s="76" t="s">
        <v>668</v>
      </c>
      <c r="C90" s="76" t="s">
        <v>1051</v>
      </c>
      <c r="D90" s="76" t="s">
        <v>2587</v>
      </c>
      <c r="E90" s="76" t="s">
        <v>671</v>
      </c>
      <c r="F90" s="76">
        <v>539</v>
      </c>
      <c r="G90" s="78">
        <v>2</v>
      </c>
      <c r="H90" s="76">
        <v>4</v>
      </c>
      <c r="I90" s="79" t="s">
        <v>164</v>
      </c>
      <c r="J90" s="96">
        <v>20</v>
      </c>
      <c r="K90" s="76">
        <v>20</v>
      </c>
      <c r="L90" s="76">
        <v>20</v>
      </c>
      <c r="M90" s="76">
        <v>27.6</v>
      </c>
      <c r="N90" s="76">
        <v>29.8</v>
      </c>
      <c r="O90" s="76">
        <v>28.548400000000001</v>
      </c>
      <c r="P90" s="76">
        <v>20.307600000000001</v>
      </c>
      <c r="Q90" s="76">
        <v>19.836200000000002</v>
      </c>
      <c r="R90" s="76">
        <v>20.092700000000001</v>
      </c>
      <c r="T90" s="76" t="s">
        <v>165</v>
      </c>
      <c r="U90" s="76" t="s">
        <v>166</v>
      </c>
      <c r="V90" s="76" t="s">
        <v>167</v>
      </c>
      <c r="W90" s="76" t="s">
        <v>168</v>
      </c>
      <c r="Y90" s="76">
        <v>8</v>
      </c>
      <c r="Z90" s="76" t="s">
        <v>169</v>
      </c>
      <c r="AA90" s="76" t="s">
        <v>170</v>
      </c>
      <c r="AB90" s="76">
        <v>4</v>
      </c>
      <c r="AC90" s="76" t="s">
        <v>601</v>
      </c>
      <c r="AD90" s="76">
        <v>10</v>
      </c>
      <c r="AF90" s="76">
        <v>346</v>
      </c>
      <c r="AG90" s="76" t="s">
        <v>210</v>
      </c>
      <c r="AH90" s="76" t="s">
        <v>444</v>
      </c>
      <c r="AI90" s="76" t="s">
        <v>175</v>
      </c>
      <c r="AJ90" s="79" t="s">
        <v>176</v>
      </c>
      <c r="AK90" s="96" t="s">
        <v>940</v>
      </c>
      <c r="AL90" s="76" t="s">
        <v>941</v>
      </c>
      <c r="AR90" s="79"/>
      <c r="AS90" s="96">
        <v>2150</v>
      </c>
      <c r="AT90" s="79">
        <v>2150</v>
      </c>
      <c r="AU90" s="96">
        <v>65</v>
      </c>
      <c r="AV90" s="76">
        <v>71</v>
      </c>
      <c r="AW90" s="76">
        <v>68</v>
      </c>
      <c r="AX90" s="76">
        <v>45.9</v>
      </c>
      <c r="AY90" s="76">
        <v>51.9</v>
      </c>
      <c r="AZ90" s="76">
        <v>48.6</v>
      </c>
      <c r="BA90" s="76">
        <v>65.23</v>
      </c>
      <c r="BB90" s="76">
        <v>71.022999999999996</v>
      </c>
      <c r="BC90" s="76">
        <v>67.836799999999997</v>
      </c>
      <c r="BD90" s="76">
        <v>22</v>
      </c>
      <c r="BE90" s="76" t="s">
        <v>1735</v>
      </c>
      <c r="BF90" s="76" t="s">
        <v>1736</v>
      </c>
      <c r="BG90" s="76" t="s">
        <v>1742</v>
      </c>
      <c r="BH90" s="76" t="s">
        <v>1743</v>
      </c>
      <c r="BI90" s="76">
        <v>2150</v>
      </c>
      <c r="BJ90" s="2"/>
      <c r="BK90" s="2"/>
      <c r="BL90" s="2"/>
      <c r="BM90" s="79"/>
      <c r="BN90" s="98" t="s">
        <v>2493</v>
      </c>
      <c r="BO90" s="76">
        <v>2</v>
      </c>
      <c r="BP90" s="76">
        <v>2</v>
      </c>
      <c r="BQ90" s="76">
        <v>31</v>
      </c>
      <c r="BR90" s="76" t="s">
        <v>1219</v>
      </c>
      <c r="BT90" s="76" t="s">
        <v>2494</v>
      </c>
      <c r="BU90" s="99">
        <v>45544</v>
      </c>
      <c r="BV90" s="79">
        <v>35390</v>
      </c>
      <c r="BW90" s="120"/>
      <c r="BX90" s="96" t="s">
        <v>170</v>
      </c>
      <c r="BY90" s="76" t="s">
        <v>170</v>
      </c>
      <c r="CB90" s="76" t="s">
        <v>170</v>
      </c>
      <c r="CC90" s="76" t="s">
        <v>170</v>
      </c>
      <c r="CE90" s="76" t="s">
        <v>170</v>
      </c>
      <c r="CG90" s="76" t="s">
        <v>169</v>
      </c>
      <c r="CH90" s="76" t="s">
        <v>1227</v>
      </c>
      <c r="CI90" s="76" t="s">
        <v>170</v>
      </c>
      <c r="CK90" s="76" t="s">
        <v>233</v>
      </c>
      <c r="CM90" s="76">
        <v>2</v>
      </c>
      <c r="CN90" s="76" t="s">
        <v>234</v>
      </c>
      <c r="CP90" s="76">
        <v>345</v>
      </c>
      <c r="CQ90" s="76">
        <v>49.5</v>
      </c>
      <c r="CR90" s="76">
        <v>113.7</v>
      </c>
      <c r="CS90" s="76" t="s">
        <v>235</v>
      </c>
      <c r="CV90" s="76" t="s">
        <v>341</v>
      </c>
      <c r="CX90" s="76" t="s">
        <v>342</v>
      </c>
      <c r="CY90" s="76" t="s">
        <v>170</v>
      </c>
      <c r="DD90" s="76">
        <v>1</v>
      </c>
      <c r="DE90" s="76" t="s">
        <v>237</v>
      </c>
      <c r="DG90" s="76">
        <v>100</v>
      </c>
      <c r="DJ90" s="76" t="s">
        <v>184</v>
      </c>
      <c r="DK90" s="76" t="s">
        <v>185</v>
      </c>
      <c r="DL90" s="76" t="s">
        <v>170</v>
      </c>
      <c r="DM90" s="76" t="s">
        <v>169</v>
      </c>
      <c r="DN90" s="76" t="s">
        <v>170</v>
      </c>
      <c r="DO90" s="76" t="s">
        <v>1003</v>
      </c>
      <c r="DP90" s="76" t="s">
        <v>169</v>
      </c>
      <c r="DQ90" s="76" t="s">
        <v>198</v>
      </c>
      <c r="DR90" s="76" t="s">
        <v>2451</v>
      </c>
      <c r="DS90" s="76" t="s">
        <v>2496</v>
      </c>
      <c r="DT90" s="76" t="s">
        <v>2497</v>
      </c>
      <c r="DU90" s="76" t="s">
        <v>2498</v>
      </c>
      <c r="DV90" s="76" t="s">
        <v>2499</v>
      </c>
      <c r="DZ90" s="79"/>
      <c r="EA90" s="101"/>
      <c r="EB90" s="96">
        <v>6</v>
      </c>
      <c r="EC90" s="76">
        <v>7</v>
      </c>
      <c r="ED90" s="79"/>
      <c r="EE90" s="96" t="s">
        <v>2588</v>
      </c>
      <c r="EF90" s="76">
        <v>6</v>
      </c>
      <c r="EH90" s="79"/>
      <c r="EI90" s="96"/>
      <c r="EM90" s="96"/>
      <c r="EP90" s="79"/>
      <c r="EQ90" s="96"/>
      <c r="ET90" s="79"/>
      <c r="EU90" s="96"/>
      <c r="EV90" s="79">
        <v>1250</v>
      </c>
      <c r="EW90" s="96">
        <v>0</v>
      </c>
      <c r="EX90" s="76">
        <v>0</v>
      </c>
      <c r="EY90" s="79">
        <v>0</v>
      </c>
      <c r="EZ90" s="102">
        <v>230</v>
      </c>
      <c r="FA90" s="76">
        <v>2.4</v>
      </c>
      <c r="FB90" s="79"/>
      <c r="FC90" s="97">
        <v>370</v>
      </c>
      <c r="FD90" s="96">
        <v>29</v>
      </c>
      <c r="FE90" s="76">
        <v>27</v>
      </c>
      <c r="FF90" s="79">
        <v>28</v>
      </c>
      <c r="FG90" s="76">
        <v>221</v>
      </c>
      <c r="FH90" s="76">
        <v>241.4</v>
      </c>
      <c r="FI90" s="103">
        <f>EZ90</f>
        <v>230</v>
      </c>
      <c r="FJ90" s="104">
        <v>22.85</v>
      </c>
      <c r="FK90" s="105">
        <v>21</v>
      </c>
      <c r="FL90" s="79">
        <f>BD90</f>
        <v>22</v>
      </c>
      <c r="FM90" s="76">
        <v>0.498</v>
      </c>
      <c r="FN90" s="76">
        <v>0.47199999999999998</v>
      </c>
      <c r="FO90" s="79">
        <v>0.48699999999999999</v>
      </c>
      <c r="FP90" s="106">
        <v>0</v>
      </c>
      <c r="FQ90" s="107">
        <v>0</v>
      </c>
      <c r="FR90" s="107">
        <v>0</v>
      </c>
      <c r="FS90" s="108">
        <v>17.2</v>
      </c>
    </row>
    <row r="91" spans="1:190" s="76" customFormat="1" x14ac:dyDescent="0.35">
      <c r="A91" s="76">
        <v>2025</v>
      </c>
      <c r="B91" s="162" t="s">
        <v>668</v>
      </c>
      <c r="C91" s="162" t="s">
        <v>1051</v>
      </c>
      <c r="D91" s="162" t="s">
        <v>2587</v>
      </c>
      <c r="E91" s="162" t="s">
        <v>671</v>
      </c>
      <c r="F91" s="162">
        <v>539</v>
      </c>
      <c r="G91" s="162">
        <v>2</v>
      </c>
      <c r="H91" s="162">
        <v>4</v>
      </c>
      <c r="I91" s="163" t="s">
        <v>164</v>
      </c>
      <c r="J91" s="96">
        <f t="shared" ref="J91:R91" si="35">J90</f>
        <v>20</v>
      </c>
      <c r="K91" s="76">
        <f t="shared" si="35"/>
        <v>20</v>
      </c>
      <c r="L91" s="76">
        <f t="shared" si="35"/>
        <v>20</v>
      </c>
      <c r="M91" s="76">
        <f t="shared" si="35"/>
        <v>27.6</v>
      </c>
      <c r="N91" s="76">
        <f t="shared" si="35"/>
        <v>29.8</v>
      </c>
      <c r="O91" s="76">
        <f t="shared" si="35"/>
        <v>28.548400000000001</v>
      </c>
      <c r="P91" s="76">
        <f t="shared" si="35"/>
        <v>20.307600000000001</v>
      </c>
      <c r="Q91" s="76">
        <f t="shared" si="35"/>
        <v>19.836200000000002</v>
      </c>
      <c r="R91" s="76">
        <f t="shared" si="35"/>
        <v>20.092700000000001</v>
      </c>
      <c r="T91" s="76" t="str">
        <f>T90</f>
        <v>TC</v>
      </c>
      <c r="U91" s="76" t="str">
        <f>U90</f>
        <v>Turbocharged</v>
      </c>
      <c r="V91" s="76" t="str">
        <f>V90</f>
        <v>A</v>
      </c>
      <c r="W91" s="76" t="str">
        <f>W90</f>
        <v>Automatic</v>
      </c>
      <c r="Y91" s="76">
        <f t="shared" ref="Y91:AD91" si="36">Y90</f>
        <v>8</v>
      </c>
      <c r="Z91" s="76" t="str">
        <f t="shared" si="36"/>
        <v>Y</v>
      </c>
      <c r="AA91" s="76" t="str">
        <f t="shared" si="36"/>
        <v>N</v>
      </c>
      <c r="AB91" s="76">
        <f t="shared" si="36"/>
        <v>4</v>
      </c>
      <c r="AC91" s="76" t="str">
        <f t="shared" si="36"/>
        <v>4-Wheel Drive</v>
      </c>
      <c r="AD91" s="76">
        <f t="shared" si="36"/>
        <v>10</v>
      </c>
      <c r="AF91" s="76">
        <f>AF90</f>
        <v>346</v>
      </c>
      <c r="AG91" s="76" t="str">
        <f>AG90</f>
        <v>G</v>
      </c>
      <c r="AH91" s="76" t="str">
        <f>AH90</f>
        <v>Gasoline (Regular Unleaded Recommended)</v>
      </c>
      <c r="AI91" s="76" t="str">
        <f>AI90</f>
        <v>MPG</v>
      </c>
      <c r="AJ91" s="79" t="str">
        <f>AJ90</f>
        <v>miles per gallon</v>
      </c>
      <c r="AK91" s="96" t="s">
        <v>940</v>
      </c>
      <c r="AL91" s="76" t="s">
        <v>941</v>
      </c>
      <c r="AR91" s="79"/>
      <c r="AS91" s="96">
        <v>2150</v>
      </c>
      <c r="AT91" s="79">
        <v>2150</v>
      </c>
      <c r="AU91" s="96">
        <v>52</v>
      </c>
      <c r="AV91" s="76">
        <v>45</v>
      </c>
      <c r="AW91" s="76">
        <v>49</v>
      </c>
      <c r="AX91" s="76">
        <v>73.400000000000006</v>
      </c>
      <c r="AY91" s="76">
        <v>65</v>
      </c>
      <c r="AZ91" s="76">
        <v>69.366100000000003</v>
      </c>
      <c r="BA91" s="76">
        <v>51.843899999999998</v>
      </c>
      <c r="BB91" s="76">
        <v>45.487299999999998</v>
      </c>
      <c r="BC91" s="76">
        <v>48.776600000000002</v>
      </c>
      <c r="BD91" s="76">
        <v>22</v>
      </c>
      <c r="BE91" s="76" t="s">
        <v>1735</v>
      </c>
      <c r="BF91" s="76" t="s">
        <v>1736</v>
      </c>
      <c r="BG91" s="76" t="s">
        <v>175</v>
      </c>
      <c r="BH91" s="76" t="s">
        <v>176</v>
      </c>
      <c r="BI91" s="76">
        <v>2150</v>
      </c>
      <c r="BM91" s="79"/>
      <c r="BN91" s="98" t="s">
        <v>2493</v>
      </c>
      <c r="BO91" s="76">
        <v>2</v>
      </c>
      <c r="BP91" s="76">
        <v>2</v>
      </c>
      <c r="BQ91" s="76">
        <v>31</v>
      </c>
      <c r="BR91" s="76" t="s">
        <v>1219</v>
      </c>
      <c r="BT91" s="76" t="s">
        <v>2494</v>
      </c>
      <c r="BU91" s="99">
        <v>45544</v>
      </c>
      <c r="BV91" s="79">
        <v>35390</v>
      </c>
      <c r="BW91" s="120"/>
      <c r="BX91" s="96" t="s">
        <v>170</v>
      </c>
      <c r="BY91" s="76" t="s">
        <v>170</v>
      </c>
      <c r="CB91" s="76" t="s">
        <v>170</v>
      </c>
      <c r="CC91" s="76" t="s">
        <v>170</v>
      </c>
      <c r="CE91" s="76" t="s">
        <v>170</v>
      </c>
      <c r="CG91" s="76" t="s">
        <v>169</v>
      </c>
      <c r="CH91" s="76" t="s">
        <v>1227</v>
      </c>
      <c r="CI91" s="76" t="s">
        <v>170</v>
      </c>
      <c r="CK91" s="76" t="s">
        <v>233</v>
      </c>
      <c r="CM91" s="76">
        <v>2</v>
      </c>
      <c r="CN91" s="76" t="s">
        <v>234</v>
      </c>
      <c r="CP91" s="76">
        <v>345</v>
      </c>
      <c r="CQ91" s="76">
        <v>49.5</v>
      </c>
      <c r="CR91" s="76">
        <v>113.7</v>
      </c>
      <c r="CS91" s="76" t="s">
        <v>235</v>
      </c>
      <c r="CV91" s="76" t="s">
        <v>341</v>
      </c>
      <c r="CX91" s="76" t="s">
        <v>342</v>
      </c>
      <c r="CY91" s="76" t="s">
        <v>170</v>
      </c>
      <c r="DD91" s="76">
        <v>1</v>
      </c>
      <c r="DE91" s="76" t="s">
        <v>237</v>
      </c>
      <c r="DG91" s="76">
        <v>100</v>
      </c>
      <c r="DJ91" s="76" t="s">
        <v>184</v>
      </c>
      <c r="DK91" s="76" t="s">
        <v>185</v>
      </c>
      <c r="DL91" s="76" t="s">
        <v>170</v>
      </c>
      <c r="DM91" s="76" t="s">
        <v>169</v>
      </c>
      <c r="DN91" s="76" t="s">
        <v>170</v>
      </c>
      <c r="DO91" s="76" t="s">
        <v>1003</v>
      </c>
      <c r="DP91" s="76" t="s">
        <v>169</v>
      </c>
      <c r="DQ91" s="76" t="s">
        <v>198</v>
      </c>
      <c r="DR91" s="76" t="s">
        <v>2451</v>
      </c>
      <c r="DS91" s="76" t="s">
        <v>2496</v>
      </c>
      <c r="DT91" s="76" t="s">
        <v>2497</v>
      </c>
      <c r="DU91" s="76" t="s">
        <v>2498</v>
      </c>
      <c r="DV91" s="76" t="s">
        <v>2499</v>
      </c>
      <c r="DZ91" s="79"/>
      <c r="EA91" s="101"/>
      <c r="EB91" s="96">
        <v>6</v>
      </c>
      <c r="EC91" s="76">
        <v>7</v>
      </c>
      <c r="ED91" s="79"/>
      <c r="EE91" s="96" t="s">
        <v>2588</v>
      </c>
      <c r="EF91" s="76">
        <v>6</v>
      </c>
      <c r="EH91" s="79"/>
      <c r="EI91" s="96"/>
      <c r="EM91" s="96"/>
      <c r="EP91" s="79"/>
      <c r="EQ91" s="96"/>
      <c r="ET91" s="79"/>
      <c r="EU91" s="96"/>
      <c r="EV91" s="79">
        <v>1250</v>
      </c>
      <c r="EW91" s="96">
        <v>436</v>
      </c>
      <c r="EX91" s="76">
        <v>448</v>
      </c>
      <c r="EY91" s="79">
        <v>441</v>
      </c>
      <c r="EZ91" s="102">
        <v>230</v>
      </c>
      <c r="FA91" s="76">
        <v>2.4</v>
      </c>
      <c r="FB91" s="79"/>
      <c r="FC91" s="97">
        <v>370</v>
      </c>
      <c r="FD91" s="96">
        <v>29</v>
      </c>
      <c r="FE91" s="76">
        <v>27</v>
      </c>
      <c r="FF91" s="79">
        <v>28</v>
      </c>
      <c r="FG91" s="76">
        <v>221</v>
      </c>
      <c r="FH91" s="76">
        <v>241.4</v>
      </c>
      <c r="FI91" s="103">
        <f>EZ91</f>
        <v>230</v>
      </c>
      <c r="FJ91" s="98" t="s">
        <v>2589</v>
      </c>
      <c r="FL91" s="79"/>
      <c r="FM91" s="76">
        <v>0.498</v>
      </c>
      <c r="FN91" s="76">
        <v>0.47199999999999998</v>
      </c>
      <c r="FO91" s="79">
        <v>0.48699999999999999</v>
      </c>
      <c r="FP91" s="106"/>
      <c r="FQ91" s="107"/>
      <c r="FR91" s="107"/>
      <c r="FS91" s="108">
        <v>17.2</v>
      </c>
    </row>
    <row r="92" spans="1:190" s="77" customFormat="1" x14ac:dyDescent="0.35">
      <c r="A92" s="76"/>
      <c r="E92" s="76"/>
      <c r="F92" s="76"/>
      <c r="G92" s="78"/>
      <c r="H92" s="76"/>
      <c r="I92" s="79"/>
      <c r="J92" s="80"/>
      <c r="K92" s="28"/>
      <c r="L92" s="28"/>
      <c r="M92" s="25" t="str">
        <f>_xlfn.CONCAT(A93," ",C93," ",D93)</f>
        <v>2025 Jeep Grand Cherokee 4xe</v>
      </c>
      <c r="N92" s="28"/>
      <c r="O92" s="28"/>
      <c r="P92" s="28"/>
      <c r="Q92" s="28"/>
      <c r="R92" s="28"/>
      <c r="S92" s="28"/>
      <c r="T92" s="28"/>
      <c r="U92" s="28"/>
      <c r="V92" s="28"/>
      <c r="W92" s="28"/>
      <c r="X92" s="28"/>
      <c r="Y92" s="28"/>
      <c r="Z92" s="28"/>
      <c r="AA92" s="28"/>
      <c r="AB92" s="28"/>
      <c r="AC92" s="28"/>
      <c r="AD92" s="25" t="str">
        <f>$M92</f>
        <v>2025 Jeep Grand Cherokee 4xe</v>
      </c>
      <c r="AE92" s="28"/>
      <c r="AF92" s="28"/>
      <c r="AG92" s="28"/>
      <c r="AH92" s="28"/>
      <c r="AI92" s="28"/>
      <c r="AJ92" s="81"/>
      <c r="AK92" s="82"/>
      <c r="AL92" s="2"/>
      <c r="AM92" s="2"/>
      <c r="AN92" s="2"/>
      <c r="AO92" s="2"/>
      <c r="AP92" s="2"/>
      <c r="AQ92" s="2"/>
      <c r="AR92" s="83"/>
      <c r="AS92" s="84"/>
      <c r="AT92" s="85" t="str">
        <f>$M92</f>
        <v>2025 Jeep Grand Cherokee 4xe</v>
      </c>
      <c r="AU92" s="84"/>
      <c r="AV92" s="28"/>
      <c r="AW92" s="28"/>
      <c r="AX92" s="28"/>
      <c r="AY92" s="28"/>
      <c r="AZ92" s="28"/>
      <c r="BA92" s="28"/>
      <c r="BB92" s="28"/>
      <c r="BC92" s="28"/>
      <c r="BD92" s="28"/>
      <c r="BE92" s="28"/>
      <c r="BF92" s="28"/>
      <c r="BG92" s="28"/>
      <c r="BH92" s="28"/>
      <c r="BI92" s="25" t="str">
        <f>$M92</f>
        <v>2025 Jeep Grand Cherokee 4xe</v>
      </c>
      <c r="BJ92" s="28"/>
      <c r="BK92" s="28"/>
      <c r="BL92" s="28"/>
      <c r="BM92" s="81"/>
      <c r="BN92" s="82"/>
      <c r="BO92" s="2"/>
      <c r="BP92" s="2"/>
      <c r="BQ92" s="2"/>
      <c r="BR92" s="2"/>
      <c r="BS92" s="2"/>
      <c r="BT92" s="86"/>
      <c r="BU92" s="2"/>
      <c r="BV92" s="83"/>
      <c r="BW92" s="121"/>
      <c r="BX92" s="84"/>
      <c r="BY92" s="25" t="str">
        <f>$M92</f>
        <v>2025 Jeep Grand Cherokee 4xe</v>
      </c>
      <c r="BZ92" s="28"/>
      <c r="CA92" s="28"/>
      <c r="CB92" s="28"/>
      <c r="CC92" s="28"/>
      <c r="CD92" s="28"/>
      <c r="CE92" s="88"/>
      <c r="CF92" s="28"/>
      <c r="CG92" s="28"/>
      <c r="CH92" s="28"/>
      <c r="CI92" s="28"/>
      <c r="CJ92" s="28"/>
      <c r="CK92" s="28"/>
      <c r="CL92" s="28"/>
      <c r="CM92" s="28"/>
      <c r="CN92" s="28"/>
      <c r="CO92" s="25" t="str">
        <f>$M92</f>
        <v>2025 Jeep Grand Cherokee 4xe</v>
      </c>
      <c r="CP92" s="28"/>
      <c r="CQ92" s="28"/>
      <c r="CR92" s="28"/>
      <c r="CS92" s="28"/>
      <c r="CT92" s="28"/>
      <c r="CU92" s="28"/>
      <c r="CV92" s="28"/>
      <c r="CW92" s="28"/>
      <c r="CX92" s="28"/>
      <c r="CY92" s="28"/>
      <c r="CZ92" s="28"/>
      <c r="DA92" s="28"/>
      <c r="DB92" s="28"/>
      <c r="DC92" s="28"/>
      <c r="DD92" s="28"/>
      <c r="DE92" s="28"/>
      <c r="DF92" s="25" t="str">
        <f>$M92</f>
        <v>2025 Jeep Grand Cherokee 4xe</v>
      </c>
      <c r="DG92" s="28"/>
      <c r="DH92" s="28"/>
      <c r="DI92" s="28"/>
      <c r="DJ92" s="28"/>
      <c r="DK92" s="28"/>
      <c r="DL92" s="28"/>
      <c r="DM92" s="28"/>
      <c r="DN92" s="28"/>
      <c r="DO92" s="28"/>
      <c r="DP92" s="28"/>
      <c r="DQ92" s="28"/>
      <c r="DR92" s="25"/>
      <c r="DS92" s="25"/>
      <c r="DT92" s="25"/>
      <c r="DU92" s="25"/>
      <c r="DV92" s="25"/>
      <c r="DW92" s="25" t="str">
        <f>$M92</f>
        <v>2025 Jeep Grand Cherokee 4xe</v>
      </c>
      <c r="DX92" s="25"/>
      <c r="DY92" s="25"/>
      <c r="DZ92" s="85"/>
      <c r="EA92" s="89"/>
      <c r="EB92" s="80"/>
      <c r="EC92" s="25"/>
      <c r="ED92" s="85"/>
      <c r="EE92" s="80"/>
      <c r="EF92" s="25"/>
      <c r="EG92" s="25"/>
      <c r="EH92" s="85"/>
      <c r="EI92" s="80"/>
      <c r="EK92" t="s">
        <v>2445</v>
      </c>
      <c r="EL92" s="25" t="str">
        <f>$M92</f>
        <v>2025 Jeep Grand Cherokee 4xe</v>
      </c>
      <c r="EM92" s="80"/>
      <c r="EP92" s="75"/>
      <c r="EQ92" s="90"/>
      <c r="ET92" s="75"/>
      <c r="EU92" s="90"/>
      <c r="EV92" s="75"/>
      <c r="EW92" s="90"/>
      <c r="EY92" s="75"/>
      <c r="EZ92" s="102"/>
      <c r="FA92" s="25" t="str">
        <f>$M92</f>
        <v>2025 Jeep Grand Cherokee 4xe</v>
      </c>
      <c r="FB92" s="75"/>
      <c r="FC92" s="91"/>
      <c r="FD92" s="80"/>
      <c r="FE92" s="25"/>
      <c r="FF92" s="85"/>
      <c r="FG92" s="80"/>
      <c r="FH92" s="25"/>
      <c r="FI92" s="85"/>
      <c r="FJ92" s="80"/>
      <c r="FK92" s="25"/>
      <c r="FL92" s="85"/>
      <c r="FM92" s="25" t="str">
        <f>$M92</f>
        <v>2025 Jeep Grand Cherokee 4xe</v>
      </c>
      <c r="FN92" s="25"/>
      <c r="FO92" s="85"/>
      <c r="FP92" s="92"/>
      <c r="FQ92" s="93"/>
      <c r="FR92" s="94"/>
      <c r="FS92" s="95"/>
      <c r="FT92" s="25"/>
      <c r="FU92" s="25"/>
      <c r="FV92" s="25"/>
      <c r="FW92" s="25"/>
      <c r="FX92" s="25"/>
      <c r="FY92" s="25"/>
      <c r="FZ92" s="25"/>
      <c r="GA92" s="25"/>
      <c r="GB92" s="25"/>
      <c r="GC92" s="25"/>
      <c r="GD92" s="25"/>
      <c r="GE92" s="25"/>
      <c r="GF92" s="25"/>
      <c r="GG92" s="25"/>
      <c r="GH92" s="25"/>
    </row>
    <row r="93" spans="1:190" s="76" customFormat="1" x14ac:dyDescent="0.35">
      <c r="A93" s="76">
        <v>2025</v>
      </c>
      <c r="B93" s="76" t="s">
        <v>668</v>
      </c>
      <c r="C93" s="76" t="s">
        <v>1051</v>
      </c>
      <c r="D93" s="76" t="s">
        <v>2590</v>
      </c>
      <c r="E93" s="76" t="s">
        <v>671</v>
      </c>
      <c r="F93" s="76">
        <v>548</v>
      </c>
      <c r="G93" s="78">
        <v>2</v>
      </c>
      <c r="H93" s="76">
        <v>4</v>
      </c>
      <c r="I93" s="79" t="s">
        <v>164</v>
      </c>
      <c r="J93" s="96">
        <v>23</v>
      </c>
      <c r="K93" s="76">
        <v>24</v>
      </c>
      <c r="L93" s="76">
        <v>23</v>
      </c>
      <c r="M93" s="76">
        <v>30.3</v>
      </c>
      <c r="N93" s="76">
        <v>37.4</v>
      </c>
      <c r="O93" s="76">
        <v>33.130200000000002</v>
      </c>
      <c r="P93" s="76">
        <v>22.8474</v>
      </c>
      <c r="Q93" s="76">
        <v>24.298999999999999</v>
      </c>
      <c r="R93" s="76">
        <v>23.4786</v>
      </c>
      <c r="T93" s="76" t="s">
        <v>165</v>
      </c>
      <c r="U93" s="76" t="s">
        <v>166</v>
      </c>
      <c r="V93" s="76" t="s">
        <v>167</v>
      </c>
      <c r="W93" s="76" t="s">
        <v>168</v>
      </c>
      <c r="Y93" s="76">
        <v>8</v>
      </c>
      <c r="Z93" s="76" t="s">
        <v>169</v>
      </c>
      <c r="AA93" s="76" t="s">
        <v>170</v>
      </c>
      <c r="AB93" s="76">
        <v>4</v>
      </c>
      <c r="AC93" s="76" t="s">
        <v>601</v>
      </c>
      <c r="AD93" s="76">
        <v>10</v>
      </c>
      <c r="AF93" s="76">
        <v>447</v>
      </c>
      <c r="AG93" s="76" t="s">
        <v>210</v>
      </c>
      <c r="AH93" s="76" t="s">
        <v>444</v>
      </c>
      <c r="AI93" s="76" t="s">
        <v>175</v>
      </c>
      <c r="AJ93" s="79" t="s">
        <v>176</v>
      </c>
      <c r="AK93" s="96" t="s">
        <v>940</v>
      </c>
      <c r="AL93" s="76" t="s">
        <v>941</v>
      </c>
      <c r="AR93" s="79"/>
      <c r="AS93" s="96">
        <v>1800</v>
      </c>
      <c r="AT93" s="79">
        <v>1800</v>
      </c>
      <c r="AU93" s="96">
        <v>58</v>
      </c>
      <c r="AV93" s="76">
        <v>58</v>
      </c>
      <c r="AW93" s="76">
        <v>58</v>
      </c>
      <c r="AX93" s="76">
        <v>41.6</v>
      </c>
      <c r="AY93" s="76">
        <v>42.1</v>
      </c>
      <c r="AZ93" s="76">
        <v>41.825000000000003</v>
      </c>
      <c r="BA93" s="76">
        <v>57.564999999999998</v>
      </c>
      <c r="BB93" s="76">
        <v>58.344000000000001</v>
      </c>
      <c r="BC93" s="76">
        <v>57.915500000000002</v>
      </c>
      <c r="BD93" s="76">
        <v>26</v>
      </c>
      <c r="BE93" s="76" t="s">
        <v>1735</v>
      </c>
      <c r="BF93" s="76" t="s">
        <v>1736</v>
      </c>
      <c r="BG93" s="76" t="s">
        <v>1742</v>
      </c>
      <c r="BH93" s="76" t="s">
        <v>1743</v>
      </c>
      <c r="BI93" s="76">
        <v>1800</v>
      </c>
      <c r="BJ93" s="2"/>
      <c r="BK93" s="2"/>
      <c r="BL93" s="2"/>
      <c r="BM93" s="79"/>
      <c r="BN93" s="98" t="s">
        <v>2493</v>
      </c>
      <c r="BO93" s="76">
        <v>2</v>
      </c>
      <c r="BP93" s="76">
        <v>2</v>
      </c>
      <c r="BQ93" s="76">
        <v>33</v>
      </c>
      <c r="BR93" s="76" t="s">
        <v>1497</v>
      </c>
      <c r="BT93" s="76" t="s">
        <v>2494</v>
      </c>
      <c r="BU93" s="99">
        <v>45523</v>
      </c>
      <c r="BV93" s="79">
        <v>35388</v>
      </c>
      <c r="BW93" s="120"/>
      <c r="BX93" s="96" t="s">
        <v>170</v>
      </c>
      <c r="BY93" s="76" t="s">
        <v>170</v>
      </c>
      <c r="CB93" s="76" t="s">
        <v>170</v>
      </c>
      <c r="CC93" s="76" t="s">
        <v>170</v>
      </c>
      <c r="CE93" s="76" t="s">
        <v>170</v>
      </c>
      <c r="CG93" s="76" t="s">
        <v>169</v>
      </c>
      <c r="CH93" s="76" t="s">
        <v>1227</v>
      </c>
      <c r="CI93" s="76" t="s">
        <v>170</v>
      </c>
      <c r="CK93" s="76" t="s">
        <v>233</v>
      </c>
      <c r="CM93" s="76">
        <v>2</v>
      </c>
      <c r="CN93" s="76" t="s">
        <v>234</v>
      </c>
      <c r="CP93" s="76">
        <v>345</v>
      </c>
      <c r="CQ93" s="76">
        <v>49.5</v>
      </c>
      <c r="CR93" s="76">
        <v>113.7</v>
      </c>
      <c r="CS93" s="76" t="s">
        <v>235</v>
      </c>
      <c r="CV93" s="76" t="s">
        <v>341</v>
      </c>
      <c r="CX93" s="76" t="s">
        <v>342</v>
      </c>
      <c r="CY93" s="76" t="s">
        <v>170</v>
      </c>
      <c r="DD93" s="76">
        <v>1</v>
      </c>
      <c r="DE93" s="76" t="s">
        <v>237</v>
      </c>
      <c r="DG93" s="76">
        <v>100</v>
      </c>
      <c r="DJ93" s="76" t="s">
        <v>184</v>
      </c>
      <c r="DK93" s="76" t="s">
        <v>185</v>
      </c>
      <c r="DL93" s="76" t="s">
        <v>170</v>
      </c>
      <c r="DM93" s="76" t="s">
        <v>169</v>
      </c>
      <c r="DN93" s="76" t="s">
        <v>170</v>
      </c>
      <c r="DO93" s="76" t="s">
        <v>1003</v>
      </c>
      <c r="DP93" s="76" t="s">
        <v>170</v>
      </c>
      <c r="DQ93" s="76" t="s">
        <v>187</v>
      </c>
      <c r="DS93" s="76" t="s">
        <v>2496</v>
      </c>
      <c r="DT93" s="76" t="s">
        <v>2497</v>
      </c>
      <c r="DU93" s="76" t="s">
        <v>2498</v>
      </c>
      <c r="DV93" s="76" t="s">
        <v>2499</v>
      </c>
      <c r="DZ93" s="79"/>
      <c r="EA93" s="101"/>
      <c r="EB93" s="96">
        <v>7</v>
      </c>
      <c r="EC93" s="76">
        <v>8</v>
      </c>
      <c r="ED93" s="79"/>
      <c r="EE93" s="96" t="s">
        <v>2588</v>
      </c>
      <c r="EF93" s="76">
        <v>6</v>
      </c>
      <c r="EH93" s="79"/>
      <c r="EI93" s="96"/>
      <c r="EM93" s="96"/>
      <c r="EP93" s="79"/>
      <c r="EQ93" s="96"/>
      <c r="ET93" s="79"/>
      <c r="EU93" s="96">
        <v>500</v>
      </c>
      <c r="EV93" s="79"/>
      <c r="EW93" s="96">
        <v>0</v>
      </c>
      <c r="EX93" s="76">
        <v>0</v>
      </c>
      <c r="EY93" s="79">
        <v>0</v>
      </c>
      <c r="EZ93" s="102">
        <v>177</v>
      </c>
      <c r="FA93" s="76">
        <v>3.4</v>
      </c>
      <c r="FB93" s="79"/>
      <c r="FC93" s="97">
        <v>470</v>
      </c>
      <c r="FD93" s="96">
        <v>33</v>
      </c>
      <c r="FE93" s="76">
        <v>35</v>
      </c>
      <c r="FF93" s="79">
        <v>34</v>
      </c>
      <c r="FG93" s="76">
        <v>180.9</v>
      </c>
      <c r="FH93" s="76">
        <v>171.6</v>
      </c>
      <c r="FI93" s="103">
        <f>EZ93</f>
        <v>177</v>
      </c>
      <c r="FJ93" s="104">
        <v>25.87</v>
      </c>
      <c r="FK93" s="105">
        <v>25.58</v>
      </c>
      <c r="FL93" s="79">
        <f>BD93</f>
        <v>26</v>
      </c>
      <c r="FM93" s="76">
        <v>0.53800000000000003</v>
      </c>
      <c r="FN93" s="76">
        <v>0.53400000000000003</v>
      </c>
      <c r="FO93" s="79">
        <v>0.53600000000000003</v>
      </c>
      <c r="FP93" s="106">
        <v>0</v>
      </c>
      <c r="FQ93" s="107">
        <v>0</v>
      </c>
      <c r="FR93" s="107">
        <v>0</v>
      </c>
      <c r="FS93" s="108">
        <v>19</v>
      </c>
    </row>
    <row r="94" spans="1:190" s="76" customFormat="1" x14ac:dyDescent="0.35">
      <c r="A94" s="76">
        <v>2025</v>
      </c>
      <c r="B94" s="162" t="s">
        <v>668</v>
      </c>
      <c r="C94" s="162" t="s">
        <v>1051</v>
      </c>
      <c r="D94" s="162" t="s">
        <v>2590</v>
      </c>
      <c r="E94" s="162" t="s">
        <v>671</v>
      </c>
      <c r="F94" s="162">
        <v>548</v>
      </c>
      <c r="G94" s="162">
        <v>2</v>
      </c>
      <c r="H94" s="162">
        <v>4</v>
      </c>
      <c r="I94" s="163" t="s">
        <v>164</v>
      </c>
      <c r="J94" s="96">
        <f t="shared" ref="J94:R94" si="37">J93</f>
        <v>23</v>
      </c>
      <c r="K94" s="76">
        <f t="shared" si="37"/>
        <v>24</v>
      </c>
      <c r="L94" s="76">
        <f t="shared" si="37"/>
        <v>23</v>
      </c>
      <c r="M94" s="76">
        <f t="shared" si="37"/>
        <v>30.3</v>
      </c>
      <c r="N94" s="76">
        <f t="shared" si="37"/>
        <v>37.4</v>
      </c>
      <c r="O94" s="76">
        <f t="shared" si="37"/>
        <v>33.130200000000002</v>
      </c>
      <c r="P94" s="76">
        <f t="shared" si="37"/>
        <v>22.8474</v>
      </c>
      <c r="Q94" s="76">
        <f t="shared" si="37"/>
        <v>24.298999999999999</v>
      </c>
      <c r="R94" s="76">
        <f t="shared" si="37"/>
        <v>23.4786</v>
      </c>
      <c r="T94" s="76" t="str">
        <f>T93</f>
        <v>TC</v>
      </c>
      <c r="U94" s="76" t="str">
        <f>U93</f>
        <v>Turbocharged</v>
      </c>
      <c r="V94" s="76" t="str">
        <f>V93</f>
        <v>A</v>
      </c>
      <c r="W94" s="76" t="str">
        <f>W93</f>
        <v>Automatic</v>
      </c>
      <c r="Y94" s="76">
        <f t="shared" ref="Y94:AD94" si="38">Y93</f>
        <v>8</v>
      </c>
      <c r="Z94" s="76" t="str">
        <f t="shared" si="38"/>
        <v>Y</v>
      </c>
      <c r="AA94" s="76" t="str">
        <f t="shared" si="38"/>
        <v>N</v>
      </c>
      <c r="AB94" s="76">
        <f t="shared" si="38"/>
        <v>4</v>
      </c>
      <c r="AC94" s="76" t="str">
        <f t="shared" si="38"/>
        <v>4-Wheel Drive</v>
      </c>
      <c r="AD94" s="76">
        <f t="shared" si="38"/>
        <v>10</v>
      </c>
      <c r="AF94" s="76">
        <f>AF93</f>
        <v>447</v>
      </c>
      <c r="AG94" s="76" t="str">
        <f>AG93</f>
        <v>G</v>
      </c>
      <c r="AH94" s="76" t="str">
        <f>AH93</f>
        <v>Gasoline (Regular Unleaded Recommended)</v>
      </c>
      <c r="AI94" s="76" t="str">
        <f>AI93</f>
        <v>MPG</v>
      </c>
      <c r="AJ94" s="79" t="str">
        <f>AJ93</f>
        <v>miles per gallon</v>
      </c>
      <c r="AK94" s="96" t="s">
        <v>940</v>
      </c>
      <c r="AL94" s="76" t="s">
        <v>941</v>
      </c>
      <c r="AR94" s="79"/>
      <c r="AS94" s="96">
        <v>1800</v>
      </c>
      <c r="AT94" s="79">
        <v>1800</v>
      </c>
      <c r="AU94" s="96">
        <v>57</v>
      </c>
      <c r="AV94" s="76">
        <v>56</v>
      </c>
      <c r="AW94" s="76">
        <v>56</v>
      </c>
      <c r="AX94" s="76">
        <v>81.099999999999994</v>
      </c>
      <c r="AY94" s="76">
        <v>80.099999999999994</v>
      </c>
      <c r="AZ94" s="76">
        <v>80.646900000000002</v>
      </c>
      <c r="BA94" s="76">
        <v>56.744199999999999</v>
      </c>
      <c r="BB94" s="76">
        <v>56.035600000000002</v>
      </c>
      <c r="BC94" s="76">
        <v>56.423099999999998</v>
      </c>
      <c r="BD94" s="76">
        <v>26</v>
      </c>
      <c r="BE94" s="76" t="s">
        <v>1735</v>
      </c>
      <c r="BF94" s="76" t="s">
        <v>1736</v>
      </c>
      <c r="BG94" s="76" t="s">
        <v>175</v>
      </c>
      <c r="BH94" s="76" t="s">
        <v>176</v>
      </c>
      <c r="BI94" s="76">
        <v>1800</v>
      </c>
      <c r="BM94" s="79"/>
      <c r="BN94" s="98" t="s">
        <v>2493</v>
      </c>
      <c r="BO94" s="76">
        <v>2</v>
      </c>
      <c r="BP94" s="76">
        <v>2</v>
      </c>
      <c r="BQ94" s="76">
        <v>33</v>
      </c>
      <c r="BR94" s="76" t="s">
        <v>1497</v>
      </c>
      <c r="BT94" s="76" t="s">
        <v>2494</v>
      </c>
      <c r="BU94" s="99">
        <v>45523</v>
      </c>
      <c r="BV94" s="79">
        <v>35388</v>
      </c>
      <c r="BW94" s="120"/>
      <c r="BX94" s="96" t="s">
        <v>170</v>
      </c>
      <c r="BY94" s="76" t="s">
        <v>170</v>
      </c>
      <c r="CB94" s="76" t="s">
        <v>170</v>
      </c>
      <c r="CC94" s="76" t="s">
        <v>170</v>
      </c>
      <c r="CE94" s="76" t="s">
        <v>170</v>
      </c>
      <c r="CG94" s="76" t="s">
        <v>169</v>
      </c>
      <c r="CH94" s="76" t="s">
        <v>1227</v>
      </c>
      <c r="CI94" s="76" t="s">
        <v>170</v>
      </c>
      <c r="CK94" s="76" t="s">
        <v>233</v>
      </c>
      <c r="CM94" s="76">
        <v>2</v>
      </c>
      <c r="CN94" s="76" t="s">
        <v>234</v>
      </c>
      <c r="CP94" s="76">
        <v>345</v>
      </c>
      <c r="CQ94" s="76">
        <v>49.5</v>
      </c>
      <c r="CR94" s="76">
        <v>113.7</v>
      </c>
      <c r="CS94" s="76" t="s">
        <v>235</v>
      </c>
      <c r="CV94" s="76" t="s">
        <v>341</v>
      </c>
      <c r="CX94" s="76" t="s">
        <v>342</v>
      </c>
      <c r="CY94" s="76" t="s">
        <v>170</v>
      </c>
      <c r="DD94" s="76">
        <v>1</v>
      </c>
      <c r="DE94" s="76" t="s">
        <v>237</v>
      </c>
      <c r="DG94" s="76">
        <v>100</v>
      </c>
      <c r="DJ94" s="76" t="s">
        <v>184</v>
      </c>
      <c r="DK94" s="76" t="s">
        <v>185</v>
      </c>
      <c r="DL94" s="76" t="s">
        <v>170</v>
      </c>
      <c r="DM94" s="76" t="s">
        <v>169</v>
      </c>
      <c r="DN94" s="76" t="s">
        <v>170</v>
      </c>
      <c r="DO94" s="76" t="s">
        <v>1003</v>
      </c>
      <c r="DP94" s="76" t="s">
        <v>170</v>
      </c>
      <c r="DQ94" s="76" t="s">
        <v>187</v>
      </c>
      <c r="DS94" s="76" t="s">
        <v>2496</v>
      </c>
      <c r="DT94" s="76" t="s">
        <v>2497</v>
      </c>
      <c r="DU94" s="76" t="s">
        <v>2498</v>
      </c>
      <c r="DV94" s="76" t="s">
        <v>2499</v>
      </c>
      <c r="DZ94" s="79"/>
      <c r="EA94" s="101"/>
      <c r="EB94" s="96">
        <v>7</v>
      </c>
      <c r="EC94" s="76">
        <v>8</v>
      </c>
      <c r="ED94" s="79"/>
      <c r="EE94" s="96" t="s">
        <v>2588</v>
      </c>
      <c r="EF94" s="76">
        <v>6</v>
      </c>
      <c r="EH94" s="79"/>
      <c r="EI94" s="96"/>
      <c r="EM94" s="96"/>
      <c r="EP94" s="79"/>
      <c r="EQ94" s="96"/>
      <c r="ET94" s="79"/>
      <c r="EU94" s="96">
        <v>500</v>
      </c>
      <c r="EV94" s="79"/>
      <c r="EW94" s="96">
        <v>387</v>
      </c>
      <c r="EX94" s="76">
        <v>364</v>
      </c>
      <c r="EY94" s="79">
        <v>377</v>
      </c>
      <c r="EZ94" s="102">
        <v>177</v>
      </c>
      <c r="FA94" s="76">
        <v>3.4</v>
      </c>
      <c r="FB94" s="79"/>
      <c r="FC94" s="97">
        <v>470</v>
      </c>
      <c r="FD94" s="96">
        <v>33</v>
      </c>
      <c r="FE94" s="76">
        <v>35</v>
      </c>
      <c r="FF94" s="79">
        <v>34</v>
      </c>
      <c r="FG94" s="76">
        <v>180.9</v>
      </c>
      <c r="FH94" s="76">
        <v>171.6</v>
      </c>
      <c r="FI94" s="103">
        <f>EZ94</f>
        <v>177</v>
      </c>
      <c r="FJ94" s="98" t="s">
        <v>2516</v>
      </c>
      <c r="FL94" s="79"/>
      <c r="FM94" s="76">
        <v>0.53800000000000003</v>
      </c>
      <c r="FN94" s="76">
        <v>0.53400000000000003</v>
      </c>
      <c r="FO94" s="79">
        <v>0.53600000000000003</v>
      </c>
      <c r="FP94" s="106"/>
      <c r="FQ94" s="107"/>
      <c r="FR94" s="107"/>
      <c r="FS94" s="108">
        <v>19</v>
      </c>
    </row>
    <row r="95" spans="1:190" s="77" customFormat="1" x14ac:dyDescent="0.35">
      <c r="A95" s="76"/>
      <c r="E95" s="76"/>
      <c r="F95" s="76"/>
      <c r="G95" s="78"/>
      <c r="H95" s="76"/>
      <c r="I95" s="79"/>
      <c r="J95" s="80"/>
      <c r="K95" s="28"/>
      <c r="L95" s="28"/>
      <c r="M95" s="25" t="str">
        <f>_xlfn.CONCAT(A96," ",C96," ",D96)</f>
        <v>2025 KIA Niro Plug-in Hybrid</v>
      </c>
      <c r="N95" s="28"/>
      <c r="O95" s="28"/>
      <c r="P95" s="28"/>
      <c r="Q95" s="28"/>
      <c r="R95" s="28"/>
      <c r="S95" s="28"/>
      <c r="T95" s="28"/>
      <c r="U95" s="28"/>
      <c r="V95" s="28"/>
      <c r="W95" s="28"/>
      <c r="X95" s="28"/>
      <c r="Y95" s="28"/>
      <c r="Z95" s="28"/>
      <c r="AA95" s="28"/>
      <c r="AB95" s="28"/>
      <c r="AC95" s="28"/>
      <c r="AD95" s="25" t="str">
        <f>$M95</f>
        <v>2025 KIA Niro Plug-in Hybrid</v>
      </c>
      <c r="AE95" s="28"/>
      <c r="AF95" s="28"/>
      <c r="AG95" s="28"/>
      <c r="AH95" s="28"/>
      <c r="AI95" s="28"/>
      <c r="AJ95" s="81"/>
      <c r="AK95" s="82"/>
      <c r="AL95" s="2"/>
      <c r="AM95" s="2"/>
      <c r="AN95" s="2"/>
      <c r="AO95" s="2"/>
      <c r="AP95" s="2"/>
      <c r="AQ95" s="2"/>
      <c r="AR95" s="83"/>
      <c r="AS95" s="84"/>
      <c r="AT95" s="85" t="str">
        <f>$M95</f>
        <v>2025 KIA Niro Plug-in Hybrid</v>
      </c>
      <c r="AU95" s="84"/>
      <c r="AV95" s="28"/>
      <c r="AW95" s="28"/>
      <c r="AX95" s="28"/>
      <c r="AY95" s="28"/>
      <c r="AZ95" s="28"/>
      <c r="BA95" s="28"/>
      <c r="BB95" s="28"/>
      <c r="BC95" s="28"/>
      <c r="BD95" s="28"/>
      <c r="BE95" s="28"/>
      <c r="BF95" s="28"/>
      <c r="BG95" s="28"/>
      <c r="BH95" s="28"/>
      <c r="BI95" s="25" t="str">
        <f>$M95</f>
        <v>2025 KIA Niro Plug-in Hybrid</v>
      </c>
      <c r="BJ95" s="28"/>
      <c r="BK95" s="28"/>
      <c r="BL95" s="28"/>
      <c r="BM95" s="81"/>
      <c r="BN95" s="82"/>
      <c r="BO95" s="2"/>
      <c r="BP95" s="2"/>
      <c r="BQ95" s="2"/>
      <c r="BR95" s="2"/>
      <c r="BS95" s="2"/>
      <c r="BT95" s="86"/>
      <c r="BU95" s="2"/>
      <c r="BV95" s="83"/>
      <c r="BW95" s="121"/>
      <c r="BX95" s="84"/>
      <c r="BY95" s="25" t="str">
        <f>$M95</f>
        <v>2025 KIA Niro Plug-in Hybrid</v>
      </c>
      <c r="BZ95" s="28"/>
      <c r="CA95" s="28"/>
      <c r="CB95" s="28"/>
      <c r="CC95" s="28"/>
      <c r="CD95" s="28"/>
      <c r="CE95" s="88"/>
      <c r="CF95" s="28"/>
      <c r="CG95" s="28"/>
      <c r="CH95" s="28"/>
      <c r="CI95" s="28"/>
      <c r="CJ95" s="28"/>
      <c r="CK95" s="28"/>
      <c r="CL95" s="28"/>
      <c r="CM95" s="28"/>
      <c r="CN95" s="28"/>
      <c r="CO95" s="25" t="str">
        <f>$M95</f>
        <v>2025 KIA Niro Plug-in Hybrid</v>
      </c>
      <c r="CP95" s="28"/>
      <c r="CQ95" s="28"/>
      <c r="CR95" s="28"/>
      <c r="CS95" s="28"/>
      <c r="CT95" s="28"/>
      <c r="CU95" s="28"/>
      <c r="CV95" s="28"/>
      <c r="CW95" s="28"/>
      <c r="CX95" s="28"/>
      <c r="CY95" s="28"/>
      <c r="CZ95" s="28"/>
      <c r="DA95" s="28"/>
      <c r="DB95" s="28"/>
      <c r="DC95" s="28"/>
      <c r="DD95" s="28"/>
      <c r="DE95" s="28"/>
      <c r="DF95" s="25" t="str">
        <f>$M95</f>
        <v>2025 KIA Niro Plug-in Hybrid</v>
      </c>
      <c r="DG95" s="28"/>
      <c r="DH95" s="28"/>
      <c r="DI95" s="28"/>
      <c r="DJ95" s="28"/>
      <c r="DK95" s="28"/>
      <c r="DL95" s="28"/>
      <c r="DM95" s="28"/>
      <c r="DN95" s="28"/>
      <c r="DO95" s="28"/>
      <c r="DP95" s="28"/>
      <c r="DQ95" s="28"/>
      <c r="DR95" s="25"/>
      <c r="DS95" s="25"/>
      <c r="DT95" s="25"/>
      <c r="DU95" s="25"/>
      <c r="DV95" s="25"/>
      <c r="DW95" s="25" t="str">
        <f>$M95</f>
        <v>2025 KIA Niro Plug-in Hybrid</v>
      </c>
      <c r="DX95" s="25"/>
      <c r="DY95" s="25"/>
      <c r="DZ95" s="85"/>
      <c r="EA95" s="89"/>
      <c r="EB95" s="80"/>
      <c r="EC95" s="25"/>
      <c r="ED95" s="85"/>
      <c r="EE95" s="80"/>
      <c r="EF95" s="25"/>
      <c r="EG95" s="25"/>
      <c r="EH95" s="85"/>
      <c r="EI95" s="80"/>
      <c r="EK95" t="s">
        <v>2445</v>
      </c>
      <c r="EL95" s="25" t="str">
        <f>$M95</f>
        <v>2025 KIA Niro Plug-in Hybrid</v>
      </c>
      <c r="EM95" s="80"/>
      <c r="EP95" s="75"/>
      <c r="EQ95" s="90"/>
      <c r="ET95" s="75"/>
      <c r="EU95" s="90"/>
      <c r="EV95" s="75"/>
      <c r="EW95" s="90"/>
      <c r="EY95" s="75"/>
      <c r="EZ95" s="102"/>
      <c r="FA95" s="25" t="str">
        <f>$M95</f>
        <v>2025 KIA Niro Plug-in Hybrid</v>
      </c>
      <c r="FB95" s="75"/>
      <c r="FC95" s="91"/>
      <c r="FD95" s="80"/>
      <c r="FE95" s="25"/>
      <c r="FF95" s="85"/>
      <c r="FG95" s="80"/>
      <c r="FH95" s="25"/>
      <c r="FI95" s="85"/>
      <c r="FJ95" s="80"/>
      <c r="FK95" s="25"/>
      <c r="FL95" s="85"/>
      <c r="FM95" s="25" t="str">
        <f>$M95</f>
        <v>2025 KIA Niro Plug-in Hybrid</v>
      </c>
      <c r="FN95" s="25"/>
      <c r="FO95" s="85"/>
      <c r="FP95" s="92"/>
      <c r="FQ95" s="93"/>
      <c r="FR95" s="94"/>
      <c r="FS95" s="95"/>
      <c r="FT95" s="25"/>
      <c r="FU95" s="25"/>
      <c r="FV95" s="25"/>
      <c r="FW95" s="25"/>
      <c r="FX95" s="25"/>
      <c r="FY95" s="25"/>
      <c r="FZ95" s="25"/>
      <c r="GA95" s="25"/>
      <c r="GB95" s="25"/>
      <c r="GC95" s="25"/>
      <c r="GD95" s="25"/>
      <c r="GE95" s="25"/>
      <c r="GF95" s="25"/>
      <c r="GG95" s="25"/>
      <c r="GH95" s="25"/>
    </row>
    <row r="96" spans="1:190" s="76" customFormat="1" x14ac:dyDescent="0.35">
      <c r="A96" s="76">
        <v>2025</v>
      </c>
      <c r="B96" s="76" t="s">
        <v>756</v>
      </c>
      <c r="C96" s="76" t="s">
        <v>757</v>
      </c>
      <c r="D96" s="76" t="s">
        <v>2591</v>
      </c>
      <c r="E96" s="76" t="s">
        <v>759</v>
      </c>
      <c r="F96" s="76">
        <v>32</v>
      </c>
      <c r="G96" s="78">
        <v>1.6</v>
      </c>
      <c r="H96" s="76">
        <v>4</v>
      </c>
      <c r="I96" s="79" t="s">
        <v>747</v>
      </c>
      <c r="J96" s="96">
        <v>49</v>
      </c>
      <c r="K96" s="76">
        <v>47</v>
      </c>
      <c r="L96" s="76">
        <v>48</v>
      </c>
      <c r="M96" s="76">
        <v>67.900000000000006</v>
      </c>
      <c r="N96" s="76">
        <v>65.3</v>
      </c>
      <c r="O96" s="76">
        <v>66.715100000000007</v>
      </c>
      <c r="P96" s="76">
        <v>49.242400000000004</v>
      </c>
      <c r="Q96" s="76">
        <v>47.1267</v>
      </c>
      <c r="R96" s="76">
        <v>48.267299999999999</v>
      </c>
      <c r="T96" s="76" t="s">
        <v>2557</v>
      </c>
      <c r="U96" s="76" t="s">
        <v>224</v>
      </c>
      <c r="V96" s="76" t="s">
        <v>211</v>
      </c>
      <c r="W96" s="76" t="s">
        <v>212</v>
      </c>
      <c r="Y96" s="76">
        <v>6</v>
      </c>
      <c r="Z96" s="76" t="s">
        <v>170</v>
      </c>
      <c r="AA96" s="76" t="s">
        <v>170</v>
      </c>
      <c r="AB96" s="76" t="s">
        <v>351</v>
      </c>
      <c r="AC96" s="76" t="s">
        <v>352</v>
      </c>
      <c r="AD96" s="76">
        <v>15</v>
      </c>
      <c r="AF96" s="76">
        <v>474</v>
      </c>
      <c r="AG96" s="76" t="s">
        <v>210</v>
      </c>
      <c r="AH96" s="76" t="s">
        <v>444</v>
      </c>
      <c r="AI96" s="76" t="s">
        <v>175</v>
      </c>
      <c r="AJ96" s="79" t="s">
        <v>176</v>
      </c>
      <c r="AK96" s="96" t="s">
        <v>940</v>
      </c>
      <c r="AL96" s="76" t="s">
        <v>941</v>
      </c>
      <c r="AO96" s="76">
        <v>105</v>
      </c>
      <c r="AP96" s="76">
        <v>19</v>
      </c>
      <c r="AR96" s="79"/>
      <c r="AS96" s="96">
        <v>900</v>
      </c>
      <c r="AT96" s="79">
        <v>900</v>
      </c>
      <c r="AU96" s="96">
        <v>30</v>
      </c>
      <c r="AV96" s="76">
        <v>33</v>
      </c>
      <c r="AW96" s="76">
        <v>31</v>
      </c>
      <c r="AX96" s="76">
        <v>20.9</v>
      </c>
      <c r="AY96" s="76">
        <v>23.2</v>
      </c>
      <c r="AZ96" s="76">
        <v>21.934999999999999</v>
      </c>
      <c r="BA96" s="76">
        <v>30.087399999999999</v>
      </c>
      <c r="BB96" s="76">
        <v>33.218400000000003</v>
      </c>
      <c r="BC96" s="76">
        <v>31.496400000000001</v>
      </c>
      <c r="BD96" s="76">
        <v>33</v>
      </c>
      <c r="BE96" s="76" t="s">
        <v>1735</v>
      </c>
      <c r="BF96" s="76" t="s">
        <v>1736</v>
      </c>
      <c r="BG96" s="76" t="s">
        <v>1742</v>
      </c>
      <c r="BH96" s="76" t="s">
        <v>1743</v>
      </c>
      <c r="BI96" s="76">
        <v>900</v>
      </c>
      <c r="BJ96" s="2"/>
      <c r="BK96" s="2"/>
      <c r="BL96" s="2"/>
      <c r="BM96" s="79"/>
      <c r="BN96" s="98" t="s">
        <v>2493</v>
      </c>
      <c r="BO96" s="76">
        <v>2</v>
      </c>
      <c r="BP96" s="76">
        <v>2</v>
      </c>
      <c r="BQ96" s="76">
        <v>30</v>
      </c>
      <c r="BR96" s="76" t="s">
        <v>1099</v>
      </c>
      <c r="BT96" s="76" t="s">
        <v>2494</v>
      </c>
      <c r="BU96" s="99">
        <v>45474</v>
      </c>
      <c r="BV96" s="79">
        <v>34844</v>
      </c>
      <c r="BW96" s="120"/>
      <c r="BX96" s="96" t="s">
        <v>170</v>
      </c>
      <c r="BY96" s="76" t="s">
        <v>170</v>
      </c>
      <c r="CB96" s="76" t="s">
        <v>170</v>
      </c>
      <c r="CC96" s="76" t="s">
        <v>170</v>
      </c>
      <c r="CE96" s="76" t="s">
        <v>170</v>
      </c>
      <c r="CG96" s="76" t="s">
        <v>169</v>
      </c>
      <c r="CH96" s="76" t="s">
        <v>1149</v>
      </c>
      <c r="CI96" s="76" t="s">
        <v>170</v>
      </c>
      <c r="CK96" s="76" t="s">
        <v>233</v>
      </c>
      <c r="CM96" s="76">
        <v>1</v>
      </c>
      <c r="CN96" s="76" t="s">
        <v>234</v>
      </c>
      <c r="CP96" s="76">
        <v>360</v>
      </c>
      <c r="CQ96" s="76">
        <v>30.8</v>
      </c>
      <c r="CR96" s="76">
        <v>99.9</v>
      </c>
      <c r="CS96" s="76" t="s">
        <v>235</v>
      </c>
      <c r="CV96" s="76" t="s">
        <v>2592</v>
      </c>
      <c r="CX96" s="76" t="s">
        <v>729</v>
      </c>
      <c r="CY96" s="76" t="s">
        <v>170</v>
      </c>
      <c r="DD96" s="76">
        <v>1</v>
      </c>
      <c r="DE96" s="76" t="s">
        <v>404</v>
      </c>
      <c r="DF96" s="76" t="s">
        <v>427</v>
      </c>
      <c r="DG96" s="76">
        <v>62</v>
      </c>
      <c r="DJ96" s="76" t="s">
        <v>184</v>
      </c>
      <c r="DK96" s="76" t="s">
        <v>185</v>
      </c>
      <c r="DL96" s="76" t="s">
        <v>170</v>
      </c>
      <c r="DM96" s="76" t="s">
        <v>169</v>
      </c>
      <c r="DN96" s="76" t="s">
        <v>170</v>
      </c>
      <c r="DO96" s="76" t="s">
        <v>1150</v>
      </c>
      <c r="DP96" s="76" t="s">
        <v>169</v>
      </c>
      <c r="DQ96" s="76" t="s">
        <v>198</v>
      </c>
      <c r="DS96" s="76" t="s">
        <v>2496</v>
      </c>
      <c r="DT96" s="76" t="s">
        <v>2497</v>
      </c>
      <c r="DU96" s="76" t="s">
        <v>2498</v>
      </c>
      <c r="DV96" s="76" t="s">
        <v>2499</v>
      </c>
      <c r="DZ96" s="79"/>
      <c r="EA96" s="101"/>
      <c r="EB96" s="96">
        <v>9</v>
      </c>
      <c r="EC96" s="76">
        <v>10</v>
      </c>
      <c r="ED96" s="79">
        <v>10</v>
      </c>
      <c r="EE96" s="96" t="s">
        <v>2593</v>
      </c>
      <c r="EF96" s="76">
        <v>6</v>
      </c>
      <c r="EH96" s="79"/>
      <c r="EI96" s="96"/>
      <c r="EM96" s="96"/>
      <c r="EP96" s="79"/>
      <c r="EQ96" s="96"/>
      <c r="ET96" s="79"/>
      <c r="EU96" s="96">
        <v>5000</v>
      </c>
      <c r="EV96" s="79"/>
      <c r="EW96" s="96">
        <v>0</v>
      </c>
      <c r="EX96" s="76">
        <v>0</v>
      </c>
      <c r="EY96" s="79">
        <v>0</v>
      </c>
      <c r="EZ96" s="102">
        <f>FI96</f>
        <v>71</v>
      </c>
      <c r="FA96" s="76">
        <v>2.8</v>
      </c>
      <c r="FB96" s="79"/>
      <c r="FC96" s="97">
        <v>510</v>
      </c>
      <c r="FD96" s="96">
        <v>76</v>
      </c>
      <c r="FE96" s="76">
        <v>69</v>
      </c>
      <c r="FF96" s="79">
        <v>73</v>
      </c>
      <c r="FG96" s="76">
        <v>66</v>
      </c>
      <c r="FH96" s="76">
        <v>76</v>
      </c>
      <c r="FI96" s="103">
        <v>71</v>
      </c>
      <c r="FJ96" s="104">
        <v>35.270000000000003</v>
      </c>
      <c r="FK96" s="105">
        <v>31.44</v>
      </c>
      <c r="FL96" s="79">
        <v>34</v>
      </c>
      <c r="FM96" s="76">
        <v>0.63800000000000001</v>
      </c>
      <c r="FN96" s="76">
        <v>0.60099999999999998</v>
      </c>
      <c r="FO96" s="79">
        <v>0.622</v>
      </c>
      <c r="FP96" s="106">
        <v>0</v>
      </c>
      <c r="FQ96" s="107">
        <v>0</v>
      </c>
      <c r="FR96" s="107">
        <v>0</v>
      </c>
      <c r="FS96" s="108">
        <v>9.8000000000000007</v>
      </c>
    </row>
    <row r="97" spans="1:190" s="76" customFormat="1" x14ac:dyDescent="0.35">
      <c r="A97" s="76">
        <v>2025</v>
      </c>
      <c r="B97" s="162" t="s">
        <v>756</v>
      </c>
      <c r="C97" s="162" t="s">
        <v>757</v>
      </c>
      <c r="D97" s="162" t="s">
        <v>2591</v>
      </c>
      <c r="E97" s="162" t="s">
        <v>759</v>
      </c>
      <c r="F97" s="162">
        <v>32</v>
      </c>
      <c r="G97" s="162">
        <v>1.6</v>
      </c>
      <c r="H97" s="162">
        <v>4</v>
      </c>
      <c r="I97" s="163" t="s">
        <v>747</v>
      </c>
      <c r="J97" s="96">
        <f t="shared" ref="J97:R97" si="39">J96</f>
        <v>49</v>
      </c>
      <c r="K97" s="76">
        <f t="shared" si="39"/>
        <v>47</v>
      </c>
      <c r="L97" s="76">
        <f t="shared" si="39"/>
        <v>48</v>
      </c>
      <c r="M97" s="76">
        <f t="shared" si="39"/>
        <v>67.900000000000006</v>
      </c>
      <c r="N97" s="76">
        <f t="shared" si="39"/>
        <v>65.3</v>
      </c>
      <c r="O97" s="76">
        <f t="shared" si="39"/>
        <v>66.715100000000007</v>
      </c>
      <c r="P97" s="76">
        <f t="shared" si="39"/>
        <v>49.242400000000004</v>
      </c>
      <c r="Q97" s="76">
        <f t="shared" si="39"/>
        <v>47.1267</v>
      </c>
      <c r="R97" s="76">
        <f t="shared" si="39"/>
        <v>48.267299999999999</v>
      </c>
      <c r="T97" s="76" t="str">
        <f>T96</f>
        <v>NA</v>
      </c>
      <c r="U97" s="76" t="str">
        <f>U96</f>
        <v>Naturally Aspirated</v>
      </c>
      <c r="V97" s="76" t="str">
        <f>V96</f>
        <v>AMS</v>
      </c>
      <c r="W97" s="76" t="str">
        <f>W96</f>
        <v>Automated Manual- Selectable (e.g. Automated Manual with paddles)</v>
      </c>
      <c r="Y97" s="76">
        <f t="shared" ref="Y97:AD97" si="40">Y96</f>
        <v>6</v>
      </c>
      <c r="Z97" s="76" t="str">
        <f t="shared" si="40"/>
        <v>N</v>
      </c>
      <c r="AA97" s="76" t="str">
        <f t="shared" si="40"/>
        <v>N</v>
      </c>
      <c r="AB97" s="76" t="str">
        <f t="shared" si="40"/>
        <v>F</v>
      </c>
      <c r="AC97" s="76" t="str">
        <f t="shared" si="40"/>
        <v>2-Wheel Drive, Front</v>
      </c>
      <c r="AD97" s="76">
        <f t="shared" si="40"/>
        <v>15</v>
      </c>
      <c r="AF97" s="76">
        <f>AF96</f>
        <v>474</v>
      </c>
      <c r="AG97" s="76" t="str">
        <f>AG96</f>
        <v>G</v>
      </c>
      <c r="AH97" s="76" t="str">
        <f>AH96</f>
        <v>Gasoline (Regular Unleaded Recommended)</v>
      </c>
      <c r="AI97" s="76" t="str">
        <f>AI96</f>
        <v>MPG</v>
      </c>
      <c r="AJ97" s="79" t="str">
        <f>AJ96</f>
        <v>miles per gallon</v>
      </c>
      <c r="AK97" s="96" t="s">
        <v>940</v>
      </c>
      <c r="AL97" s="76" t="s">
        <v>941</v>
      </c>
      <c r="AO97" s="76">
        <v>105</v>
      </c>
      <c r="AP97" s="76">
        <v>19</v>
      </c>
      <c r="AR97" s="79"/>
      <c r="AS97" s="96">
        <v>900</v>
      </c>
      <c r="AT97" s="79">
        <v>900</v>
      </c>
      <c r="AU97" s="96">
        <v>113</v>
      </c>
      <c r="AV97" s="76">
        <v>102</v>
      </c>
      <c r="AW97" s="76">
        <v>108</v>
      </c>
      <c r="AX97" s="76">
        <v>161.30000000000001</v>
      </c>
      <c r="AY97" s="76">
        <v>145.1</v>
      </c>
      <c r="AZ97" s="76">
        <v>153.5838</v>
      </c>
      <c r="BA97" s="76">
        <v>112.8985</v>
      </c>
      <c r="BB97" s="76">
        <v>101.5997</v>
      </c>
      <c r="BC97" s="76">
        <v>107.5179</v>
      </c>
      <c r="BD97" s="76">
        <v>33</v>
      </c>
      <c r="BE97" s="76" t="s">
        <v>1735</v>
      </c>
      <c r="BF97" s="76" t="s">
        <v>1736</v>
      </c>
      <c r="BG97" s="76" t="s">
        <v>175</v>
      </c>
      <c r="BH97" s="76" t="s">
        <v>176</v>
      </c>
      <c r="BI97" s="76">
        <v>900</v>
      </c>
      <c r="BM97" s="79"/>
      <c r="BN97" s="98" t="s">
        <v>2493</v>
      </c>
      <c r="BO97" s="76">
        <v>2</v>
      </c>
      <c r="BP97" s="76">
        <v>2</v>
      </c>
      <c r="BQ97" s="76">
        <v>30</v>
      </c>
      <c r="BR97" s="76" t="s">
        <v>1099</v>
      </c>
      <c r="BT97" s="76" t="s">
        <v>2494</v>
      </c>
      <c r="BU97" s="99">
        <v>45474</v>
      </c>
      <c r="BV97" s="79">
        <v>34844</v>
      </c>
      <c r="BW97" s="120"/>
      <c r="BX97" s="96" t="s">
        <v>170</v>
      </c>
      <c r="BY97" s="76" t="s">
        <v>170</v>
      </c>
      <c r="CB97" s="76" t="s">
        <v>170</v>
      </c>
      <c r="CC97" s="76" t="s">
        <v>170</v>
      </c>
      <c r="CE97" s="76" t="s">
        <v>170</v>
      </c>
      <c r="CG97" s="76" t="s">
        <v>169</v>
      </c>
      <c r="CH97" s="76" t="s">
        <v>1149</v>
      </c>
      <c r="CI97" s="76" t="s">
        <v>170</v>
      </c>
      <c r="CK97" s="76" t="s">
        <v>233</v>
      </c>
      <c r="CM97" s="76">
        <v>1</v>
      </c>
      <c r="CN97" s="76" t="s">
        <v>234</v>
      </c>
      <c r="CP97" s="76">
        <v>360</v>
      </c>
      <c r="CQ97" s="76">
        <v>30.8</v>
      </c>
      <c r="CR97" s="76">
        <v>99.9</v>
      </c>
      <c r="CS97" s="76" t="s">
        <v>235</v>
      </c>
      <c r="CV97" s="76" t="s">
        <v>2592</v>
      </c>
      <c r="CX97" s="76" t="s">
        <v>729</v>
      </c>
      <c r="CY97" s="76" t="s">
        <v>170</v>
      </c>
      <c r="DD97" s="76">
        <v>1</v>
      </c>
      <c r="DE97" s="76" t="s">
        <v>404</v>
      </c>
      <c r="DF97" s="76" t="s">
        <v>427</v>
      </c>
      <c r="DG97" s="76">
        <v>62</v>
      </c>
      <c r="DJ97" s="76" t="s">
        <v>184</v>
      </c>
      <c r="DK97" s="76" t="s">
        <v>185</v>
      </c>
      <c r="DL97" s="76" t="s">
        <v>170</v>
      </c>
      <c r="DM97" s="76" t="s">
        <v>169</v>
      </c>
      <c r="DN97" s="76" t="s">
        <v>170</v>
      </c>
      <c r="DO97" s="76" t="s">
        <v>1150</v>
      </c>
      <c r="DP97" s="76" t="s">
        <v>169</v>
      </c>
      <c r="DQ97" s="76" t="s">
        <v>198</v>
      </c>
      <c r="DS97" s="76" t="s">
        <v>2496</v>
      </c>
      <c r="DT97" s="76" t="s">
        <v>2497</v>
      </c>
      <c r="DU97" s="76" t="s">
        <v>2498</v>
      </c>
      <c r="DV97" s="76" t="s">
        <v>2499</v>
      </c>
      <c r="DZ97" s="79"/>
      <c r="EA97" s="101"/>
      <c r="EB97" s="96">
        <v>9</v>
      </c>
      <c r="EC97" s="76">
        <v>10</v>
      </c>
      <c r="ED97" s="79">
        <v>10</v>
      </c>
      <c r="EE97" s="96" t="s">
        <v>2593</v>
      </c>
      <c r="EF97" s="76">
        <v>6</v>
      </c>
      <c r="EH97" s="79"/>
      <c r="EI97" s="96"/>
      <c r="EM97" s="96"/>
      <c r="EP97" s="79"/>
      <c r="EQ97" s="96"/>
      <c r="ET97" s="79"/>
      <c r="EU97" s="96">
        <v>5000</v>
      </c>
      <c r="EV97" s="79"/>
      <c r="EW97" s="96">
        <v>180</v>
      </c>
      <c r="EX97" s="76">
        <v>188</v>
      </c>
      <c r="EY97" s="79">
        <v>183</v>
      </c>
      <c r="EZ97" s="102">
        <f>FI97</f>
        <v>71</v>
      </c>
      <c r="FA97" s="76">
        <v>2.8</v>
      </c>
      <c r="FB97" s="79"/>
      <c r="FC97" s="97">
        <v>510</v>
      </c>
      <c r="FD97" s="96">
        <v>76</v>
      </c>
      <c r="FE97" s="76">
        <v>69</v>
      </c>
      <c r="FF97" s="79">
        <v>73</v>
      </c>
      <c r="FG97" s="76">
        <v>66</v>
      </c>
      <c r="FH97" s="76">
        <v>76</v>
      </c>
      <c r="FI97" s="103">
        <v>71</v>
      </c>
      <c r="FJ97" s="98" t="s">
        <v>2501</v>
      </c>
      <c r="FK97" s="111"/>
      <c r="FL97" s="103"/>
      <c r="FM97" s="76">
        <v>0.63800000000000001</v>
      </c>
      <c r="FN97" s="76">
        <v>0.60099999999999998</v>
      </c>
      <c r="FO97" s="79">
        <v>0.622</v>
      </c>
      <c r="FP97" s="106"/>
      <c r="FQ97" s="107"/>
      <c r="FR97" s="107"/>
      <c r="FS97" s="108">
        <v>9.8000000000000007</v>
      </c>
    </row>
    <row r="98" spans="1:190" s="77" customFormat="1" x14ac:dyDescent="0.35">
      <c r="A98" s="76"/>
      <c r="E98" s="76"/>
      <c r="F98" s="76"/>
      <c r="G98" s="78"/>
      <c r="H98" s="76"/>
      <c r="I98" s="79"/>
      <c r="J98" s="80"/>
      <c r="K98" s="28"/>
      <c r="L98" s="28"/>
      <c r="M98" s="25" t="str">
        <f>_xlfn.CONCAT(A99," ",C99," ",D99)</f>
        <v>2025 KIA Sorento Plug-in Hybrid</v>
      </c>
      <c r="N98" s="28"/>
      <c r="O98" s="28"/>
      <c r="P98" s="28"/>
      <c r="Q98" s="28"/>
      <c r="R98" s="28"/>
      <c r="S98" s="28"/>
      <c r="T98" s="28"/>
      <c r="U98" s="28"/>
      <c r="V98" s="28"/>
      <c r="W98" s="28"/>
      <c r="X98" s="28"/>
      <c r="Y98" s="28"/>
      <c r="Z98" s="28"/>
      <c r="AA98" s="28"/>
      <c r="AB98" s="28"/>
      <c r="AC98" s="28"/>
      <c r="AD98" s="25" t="str">
        <f>$M98</f>
        <v>2025 KIA Sorento Plug-in Hybrid</v>
      </c>
      <c r="AE98" s="28"/>
      <c r="AF98" s="28"/>
      <c r="AG98" s="28"/>
      <c r="AH98" s="28"/>
      <c r="AI98" s="28"/>
      <c r="AJ98" s="81"/>
      <c r="AK98" s="82"/>
      <c r="AL98" s="2"/>
      <c r="AM98" s="2"/>
      <c r="AN98" s="2"/>
      <c r="AO98" s="2"/>
      <c r="AP98" s="2"/>
      <c r="AQ98" s="2"/>
      <c r="AR98" s="83"/>
      <c r="AS98" s="84"/>
      <c r="AT98" s="85" t="str">
        <f>$M98</f>
        <v>2025 KIA Sorento Plug-in Hybrid</v>
      </c>
      <c r="AU98" s="84"/>
      <c r="AV98" s="28"/>
      <c r="AW98" s="28"/>
      <c r="AX98" s="28"/>
      <c r="AY98" s="28"/>
      <c r="AZ98" s="28"/>
      <c r="BA98" s="28"/>
      <c r="BB98" s="28"/>
      <c r="BC98" s="28"/>
      <c r="BD98" s="28"/>
      <c r="BE98" s="28"/>
      <c r="BF98" s="28"/>
      <c r="BG98" s="28"/>
      <c r="BH98" s="28"/>
      <c r="BI98" s="25" t="str">
        <f>$M98</f>
        <v>2025 KIA Sorento Plug-in Hybrid</v>
      </c>
      <c r="BJ98" s="28"/>
      <c r="BK98" s="28"/>
      <c r="BL98" s="28"/>
      <c r="BM98" s="81"/>
      <c r="BN98" s="82"/>
      <c r="BO98" s="2"/>
      <c r="BP98" s="2"/>
      <c r="BQ98" s="2"/>
      <c r="BR98" s="2"/>
      <c r="BS98" s="2"/>
      <c r="BT98" s="86"/>
      <c r="BU98" s="2"/>
      <c r="BV98" s="83"/>
      <c r="BW98" s="121"/>
      <c r="BX98" s="84"/>
      <c r="BY98" s="25" t="str">
        <f>$M98</f>
        <v>2025 KIA Sorento Plug-in Hybrid</v>
      </c>
      <c r="BZ98" s="28"/>
      <c r="CA98" s="28"/>
      <c r="CB98" s="28"/>
      <c r="CC98" s="28"/>
      <c r="CD98" s="28"/>
      <c r="CE98" s="88"/>
      <c r="CF98" s="28"/>
      <c r="CG98" s="28"/>
      <c r="CH98" s="28"/>
      <c r="CI98" s="28"/>
      <c r="CJ98" s="28"/>
      <c r="CK98" s="28"/>
      <c r="CL98" s="28"/>
      <c r="CM98" s="28"/>
      <c r="CN98" s="28"/>
      <c r="CO98" s="25" t="str">
        <f>$M98</f>
        <v>2025 KIA Sorento Plug-in Hybrid</v>
      </c>
      <c r="CP98" s="28"/>
      <c r="CQ98" s="28"/>
      <c r="CR98" s="28"/>
      <c r="CS98" s="28"/>
      <c r="CT98" s="28"/>
      <c r="CU98" s="28"/>
      <c r="CV98" s="28"/>
      <c r="CW98" s="28"/>
      <c r="CX98" s="28"/>
      <c r="CY98" s="28"/>
      <c r="CZ98" s="28"/>
      <c r="DA98" s="28"/>
      <c r="DB98" s="28"/>
      <c r="DC98" s="28"/>
      <c r="DD98" s="28"/>
      <c r="DE98" s="28"/>
      <c r="DF98" s="25" t="str">
        <f>$M98</f>
        <v>2025 KIA Sorento Plug-in Hybrid</v>
      </c>
      <c r="DG98" s="28"/>
      <c r="DH98" s="28"/>
      <c r="DI98" s="28"/>
      <c r="DJ98" s="28"/>
      <c r="DK98" s="28"/>
      <c r="DL98" s="28"/>
      <c r="DM98" s="28"/>
      <c r="DN98" s="28"/>
      <c r="DO98" s="28"/>
      <c r="DP98" s="28"/>
      <c r="DQ98" s="28"/>
      <c r="DR98" s="25"/>
      <c r="DS98" s="25"/>
      <c r="DT98" s="25"/>
      <c r="DU98" s="25"/>
      <c r="DV98" s="25"/>
      <c r="DW98" s="25" t="str">
        <f>$M98</f>
        <v>2025 KIA Sorento Plug-in Hybrid</v>
      </c>
      <c r="DX98" s="25"/>
      <c r="DY98" s="25"/>
      <c r="DZ98" s="85"/>
      <c r="EA98" s="89"/>
      <c r="EB98" s="80"/>
      <c r="EC98" s="25"/>
      <c r="ED98" s="85"/>
      <c r="EE98" s="80"/>
      <c r="EF98" s="25"/>
      <c r="EG98" s="25"/>
      <c r="EH98" s="85"/>
      <c r="EI98" s="80"/>
      <c r="EK98" t="s">
        <v>2445</v>
      </c>
      <c r="EL98" s="25" t="str">
        <f>$M98</f>
        <v>2025 KIA Sorento Plug-in Hybrid</v>
      </c>
      <c r="EM98" s="80"/>
      <c r="EP98" s="75"/>
      <c r="EQ98" s="90"/>
      <c r="ET98" s="75"/>
      <c r="EU98" s="90"/>
      <c r="EV98" s="75"/>
      <c r="EW98" s="90"/>
      <c r="EY98" s="75"/>
      <c r="EZ98" s="102"/>
      <c r="FA98" s="25" t="str">
        <f>$M98</f>
        <v>2025 KIA Sorento Plug-in Hybrid</v>
      </c>
      <c r="FB98" s="75"/>
      <c r="FC98" s="91"/>
      <c r="FD98" s="80"/>
      <c r="FE98" s="25"/>
      <c r="FF98" s="85"/>
      <c r="FG98" s="80"/>
      <c r="FH98" s="25"/>
      <c r="FI98" s="85"/>
      <c r="FJ98" s="80"/>
      <c r="FK98" s="25"/>
      <c r="FL98" s="85"/>
      <c r="FM98" s="25" t="str">
        <f>$M98</f>
        <v>2025 KIA Sorento Plug-in Hybrid</v>
      </c>
      <c r="FN98" s="25"/>
      <c r="FO98" s="85"/>
      <c r="FP98" s="92"/>
      <c r="FQ98" s="93"/>
      <c r="FR98" s="94"/>
      <c r="FS98" s="95"/>
      <c r="FT98" s="25"/>
      <c r="FU98" s="25"/>
      <c r="FV98" s="25"/>
      <c r="FW98" s="25"/>
      <c r="FX98" s="25"/>
      <c r="FY98" s="25"/>
      <c r="FZ98" s="25"/>
      <c r="GA98" s="25"/>
      <c r="GB98" s="25"/>
      <c r="GC98" s="25"/>
      <c r="GD98" s="25"/>
      <c r="GE98" s="25"/>
      <c r="GF98" s="25"/>
      <c r="GG98" s="25"/>
      <c r="GH98" s="25"/>
    </row>
    <row r="99" spans="1:190" s="76" customFormat="1" x14ac:dyDescent="0.35">
      <c r="A99" s="76">
        <v>2025</v>
      </c>
      <c r="B99" s="76" t="s">
        <v>756</v>
      </c>
      <c r="C99" s="76" t="s">
        <v>757</v>
      </c>
      <c r="D99" s="76" t="s">
        <v>2594</v>
      </c>
      <c r="E99" s="76" t="s">
        <v>759</v>
      </c>
      <c r="F99" s="76">
        <v>25</v>
      </c>
      <c r="G99" s="78">
        <v>1.6</v>
      </c>
      <c r="H99" s="76">
        <v>4</v>
      </c>
      <c r="I99" s="79" t="s">
        <v>747</v>
      </c>
      <c r="J99" s="96">
        <v>33</v>
      </c>
      <c r="K99" s="76">
        <v>34</v>
      </c>
      <c r="L99" s="76">
        <v>33</v>
      </c>
      <c r="M99" s="76">
        <v>45.9</v>
      </c>
      <c r="N99" s="76">
        <v>43.7</v>
      </c>
      <c r="O99" s="76">
        <v>44.883200000000002</v>
      </c>
      <c r="P99" s="76">
        <v>32.746600000000001</v>
      </c>
      <c r="Q99" s="76">
        <v>34.190800000000003</v>
      </c>
      <c r="R99" s="76">
        <v>33.381100000000004</v>
      </c>
      <c r="T99" s="76" t="s">
        <v>165</v>
      </c>
      <c r="U99" s="76" t="s">
        <v>166</v>
      </c>
      <c r="V99" s="76" t="s">
        <v>211</v>
      </c>
      <c r="W99" s="76" t="s">
        <v>212</v>
      </c>
      <c r="Y99" s="76">
        <v>6</v>
      </c>
      <c r="Z99" s="76" t="s">
        <v>170</v>
      </c>
      <c r="AA99" s="76" t="s">
        <v>170</v>
      </c>
      <c r="AB99" s="76" t="s">
        <v>167</v>
      </c>
      <c r="AC99" s="76" t="s">
        <v>213</v>
      </c>
      <c r="AD99" s="76">
        <v>15</v>
      </c>
      <c r="AF99" s="76">
        <v>414</v>
      </c>
      <c r="AG99" s="76" t="s">
        <v>210</v>
      </c>
      <c r="AH99" s="76" t="s">
        <v>444</v>
      </c>
      <c r="AI99" s="76" t="s">
        <v>175</v>
      </c>
      <c r="AJ99" s="79" t="s">
        <v>176</v>
      </c>
      <c r="AK99" s="96" t="s">
        <v>940</v>
      </c>
      <c r="AL99" s="76" t="s">
        <v>941</v>
      </c>
      <c r="AR99" s="79"/>
      <c r="AS99" s="96">
        <v>1300</v>
      </c>
      <c r="AT99" s="79">
        <v>1300</v>
      </c>
      <c r="AU99" s="96">
        <v>44</v>
      </c>
      <c r="AV99" s="76">
        <v>47</v>
      </c>
      <c r="AW99" s="76">
        <v>45</v>
      </c>
      <c r="AX99" s="76">
        <v>30.7</v>
      </c>
      <c r="AY99" s="76">
        <v>33.4</v>
      </c>
      <c r="AZ99" s="76">
        <v>31.914999999999999</v>
      </c>
      <c r="BA99" s="76">
        <v>43.548000000000002</v>
      </c>
      <c r="BB99" s="76">
        <v>47.362000000000002</v>
      </c>
      <c r="BC99" s="76">
        <v>45.264299999999999</v>
      </c>
      <c r="BD99" s="76">
        <v>30</v>
      </c>
      <c r="BE99" s="76" t="s">
        <v>1735</v>
      </c>
      <c r="BF99" s="76" t="s">
        <v>1736</v>
      </c>
      <c r="BG99" s="76" t="s">
        <v>1742</v>
      </c>
      <c r="BH99" s="76" t="s">
        <v>1743</v>
      </c>
      <c r="BI99" s="76">
        <v>1300</v>
      </c>
      <c r="BJ99" s="2"/>
      <c r="BK99" s="2"/>
      <c r="BL99" s="2"/>
      <c r="BM99" s="79"/>
      <c r="BN99" s="98" t="s">
        <v>2493</v>
      </c>
      <c r="BO99" s="76">
        <v>2</v>
      </c>
      <c r="BP99" s="76">
        <v>2</v>
      </c>
      <c r="BQ99" s="76">
        <v>31</v>
      </c>
      <c r="BR99" s="76" t="s">
        <v>1219</v>
      </c>
      <c r="BT99" s="76" t="s">
        <v>2494</v>
      </c>
      <c r="BU99" s="99">
        <v>45383</v>
      </c>
      <c r="BV99" s="79">
        <v>34541</v>
      </c>
      <c r="BW99" s="120"/>
      <c r="BX99" s="96" t="s">
        <v>170</v>
      </c>
      <c r="BY99" s="76" t="s">
        <v>170</v>
      </c>
      <c r="CB99" s="76" t="s">
        <v>170</v>
      </c>
      <c r="CC99" s="76" t="s">
        <v>170</v>
      </c>
      <c r="CE99" s="76" t="s">
        <v>170</v>
      </c>
      <c r="CG99" s="76" t="s">
        <v>169</v>
      </c>
      <c r="CH99" s="76" t="s">
        <v>2584</v>
      </c>
      <c r="CI99" s="76" t="s">
        <v>170</v>
      </c>
      <c r="CK99" s="76" t="s">
        <v>233</v>
      </c>
      <c r="CM99" s="76">
        <v>1</v>
      </c>
      <c r="CN99" s="76" t="s">
        <v>234</v>
      </c>
      <c r="CP99" s="76">
        <v>360</v>
      </c>
      <c r="CQ99" s="76">
        <v>38.299999999999997</v>
      </c>
      <c r="CR99" s="76">
        <v>98.6</v>
      </c>
      <c r="CS99" s="76" t="s">
        <v>235</v>
      </c>
      <c r="CV99" s="76" t="s">
        <v>341</v>
      </c>
      <c r="CX99" s="76" t="s">
        <v>729</v>
      </c>
      <c r="CY99" s="76" t="s">
        <v>169</v>
      </c>
      <c r="DD99" s="76">
        <v>1</v>
      </c>
      <c r="DE99" s="76" t="s">
        <v>404</v>
      </c>
      <c r="DF99" s="76" t="s">
        <v>427</v>
      </c>
      <c r="DG99" s="76">
        <v>72</v>
      </c>
      <c r="DJ99" s="76" t="s">
        <v>184</v>
      </c>
      <c r="DK99" s="76" t="s">
        <v>185</v>
      </c>
      <c r="DL99" s="76" t="s">
        <v>170</v>
      </c>
      <c r="DM99" s="76" t="s">
        <v>169</v>
      </c>
      <c r="DN99" s="76" t="s">
        <v>170</v>
      </c>
      <c r="DO99" s="76" t="s">
        <v>2585</v>
      </c>
      <c r="DP99" s="76" t="s">
        <v>169</v>
      </c>
      <c r="DQ99" s="76" t="s">
        <v>198</v>
      </c>
      <c r="DS99" s="76" t="s">
        <v>2496</v>
      </c>
      <c r="DT99" s="76" t="s">
        <v>2497</v>
      </c>
      <c r="DU99" s="76" t="s">
        <v>2498</v>
      </c>
      <c r="DV99" s="76" t="s">
        <v>2499</v>
      </c>
      <c r="DZ99" s="79"/>
      <c r="EA99" s="101"/>
      <c r="EB99" s="96">
        <v>8</v>
      </c>
      <c r="EC99" s="76">
        <v>9</v>
      </c>
      <c r="ED99" s="79">
        <v>10</v>
      </c>
      <c r="EE99" s="96" t="s">
        <v>2595</v>
      </c>
      <c r="EF99" s="76">
        <v>6</v>
      </c>
      <c r="EH99" s="79"/>
      <c r="EI99" s="96"/>
      <c r="EM99" s="96"/>
      <c r="EP99" s="79"/>
      <c r="EQ99" s="96"/>
      <c r="ET99" s="79"/>
      <c r="EU99" s="96">
        <v>3000</v>
      </c>
      <c r="EV99" s="79"/>
      <c r="EW99" s="96">
        <v>0</v>
      </c>
      <c r="EX99" s="76">
        <v>0</v>
      </c>
      <c r="EY99" s="79">
        <v>0</v>
      </c>
      <c r="EZ99" s="102">
        <f>FI99</f>
        <v>111</v>
      </c>
      <c r="FA99" s="76">
        <v>3.4</v>
      </c>
      <c r="FB99" s="79"/>
      <c r="FC99" s="97">
        <v>444</v>
      </c>
      <c r="FD99" s="96">
        <v>50</v>
      </c>
      <c r="FE99" s="76">
        <v>48</v>
      </c>
      <c r="FF99" s="79">
        <v>49</v>
      </c>
      <c r="FG99" s="76">
        <v>107</v>
      </c>
      <c r="FH99" s="76">
        <v>115</v>
      </c>
      <c r="FI99" s="103">
        <v>111</v>
      </c>
      <c r="FJ99" s="104">
        <v>31.9</v>
      </c>
      <c r="FK99" s="105">
        <v>28.69</v>
      </c>
      <c r="FL99" s="79">
        <v>30</v>
      </c>
      <c r="FM99" s="76">
        <v>0.60599999999999998</v>
      </c>
      <c r="FN99" s="76">
        <v>0.57199999999999995</v>
      </c>
      <c r="FO99" s="79">
        <v>0.59099999999999997</v>
      </c>
      <c r="FP99" s="126">
        <v>0</v>
      </c>
      <c r="FQ99" s="127">
        <v>0</v>
      </c>
      <c r="FR99" s="127">
        <v>0</v>
      </c>
      <c r="FS99" s="108">
        <v>12.4</v>
      </c>
    </row>
    <row r="100" spans="1:190" s="76" customFormat="1" x14ac:dyDescent="0.35">
      <c r="A100" s="76">
        <v>2025</v>
      </c>
      <c r="B100" s="162" t="s">
        <v>756</v>
      </c>
      <c r="C100" s="162" t="s">
        <v>757</v>
      </c>
      <c r="D100" s="162" t="s">
        <v>2594</v>
      </c>
      <c r="E100" s="162" t="s">
        <v>759</v>
      </c>
      <c r="F100" s="162">
        <v>25</v>
      </c>
      <c r="G100" s="162">
        <v>1.6</v>
      </c>
      <c r="H100" s="162">
        <v>4</v>
      </c>
      <c r="I100" s="163" t="s">
        <v>747</v>
      </c>
      <c r="J100" s="96">
        <f t="shared" ref="J100:R100" si="41">J99</f>
        <v>33</v>
      </c>
      <c r="K100" s="76">
        <f t="shared" si="41"/>
        <v>34</v>
      </c>
      <c r="L100" s="76">
        <f t="shared" si="41"/>
        <v>33</v>
      </c>
      <c r="M100" s="76">
        <f t="shared" si="41"/>
        <v>45.9</v>
      </c>
      <c r="N100" s="76">
        <f t="shared" si="41"/>
        <v>43.7</v>
      </c>
      <c r="O100" s="76">
        <f t="shared" si="41"/>
        <v>44.883200000000002</v>
      </c>
      <c r="P100" s="76">
        <f t="shared" si="41"/>
        <v>32.746600000000001</v>
      </c>
      <c r="Q100" s="76">
        <f t="shared" si="41"/>
        <v>34.190800000000003</v>
      </c>
      <c r="R100" s="76">
        <f t="shared" si="41"/>
        <v>33.381100000000004</v>
      </c>
      <c r="T100" s="76" t="str">
        <f>T99</f>
        <v>TC</v>
      </c>
      <c r="U100" s="76" t="str">
        <f>U99</f>
        <v>Turbocharged</v>
      </c>
      <c r="V100" s="76" t="str">
        <f>V99</f>
        <v>AMS</v>
      </c>
      <c r="W100" s="76" t="str">
        <f>W99</f>
        <v>Automated Manual- Selectable (e.g. Automated Manual with paddles)</v>
      </c>
      <c r="Y100" s="76">
        <f t="shared" ref="Y100:AD100" si="42">Y99</f>
        <v>6</v>
      </c>
      <c r="Z100" s="76" t="str">
        <f t="shared" si="42"/>
        <v>N</v>
      </c>
      <c r="AA100" s="76" t="str">
        <f t="shared" si="42"/>
        <v>N</v>
      </c>
      <c r="AB100" s="76" t="str">
        <f t="shared" si="42"/>
        <v>A</v>
      </c>
      <c r="AC100" s="76" t="str">
        <f t="shared" si="42"/>
        <v>All Wheel Drive</v>
      </c>
      <c r="AD100" s="76">
        <f t="shared" si="42"/>
        <v>15</v>
      </c>
      <c r="AF100" s="76">
        <f>AF99</f>
        <v>414</v>
      </c>
      <c r="AG100" s="76" t="str">
        <f>AG99</f>
        <v>G</v>
      </c>
      <c r="AH100" s="76" t="str">
        <f>AH99</f>
        <v>Gasoline (Regular Unleaded Recommended)</v>
      </c>
      <c r="AI100" s="76" t="str">
        <f>AI99</f>
        <v>MPG</v>
      </c>
      <c r="AJ100" s="79" t="str">
        <f>AJ99</f>
        <v>miles per gallon</v>
      </c>
      <c r="AK100" s="96" t="s">
        <v>940</v>
      </c>
      <c r="AL100" s="76" t="s">
        <v>941</v>
      </c>
      <c r="AR100" s="79"/>
      <c r="AS100" s="96">
        <v>1300</v>
      </c>
      <c r="AT100" s="79">
        <v>1300</v>
      </c>
      <c r="AU100" s="96">
        <v>77</v>
      </c>
      <c r="AV100" s="76">
        <v>71</v>
      </c>
      <c r="AW100" s="76">
        <v>74</v>
      </c>
      <c r="AX100" s="76">
        <v>109.9</v>
      </c>
      <c r="AY100" s="76">
        <v>100.9</v>
      </c>
      <c r="AZ100" s="76">
        <v>105.65900000000001</v>
      </c>
      <c r="BA100" s="76">
        <v>76.957800000000006</v>
      </c>
      <c r="BB100" s="76">
        <v>70.648200000000003</v>
      </c>
      <c r="BC100" s="76">
        <v>73.984399999999994</v>
      </c>
      <c r="BD100" s="76">
        <v>30</v>
      </c>
      <c r="BE100" s="76" t="s">
        <v>1735</v>
      </c>
      <c r="BF100" s="76" t="s">
        <v>1736</v>
      </c>
      <c r="BG100" s="76" t="s">
        <v>175</v>
      </c>
      <c r="BH100" s="76" t="s">
        <v>176</v>
      </c>
      <c r="BI100" s="76">
        <v>1300</v>
      </c>
      <c r="BM100" s="79"/>
      <c r="BN100" s="98" t="s">
        <v>2493</v>
      </c>
      <c r="BO100" s="76">
        <v>2</v>
      </c>
      <c r="BP100" s="76">
        <v>2</v>
      </c>
      <c r="BQ100" s="76">
        <v>31</v>
      </c>
      <c r="BR100" s="76" t="s">
        <v>1219</v>
      </c>
      <c r="BT100" s="76" t="s">
        <v>2494</v>
      </c>
      <c r="BU100" s="99">
        <v>45383</v>
      </c>
      <c r="BV100" s="79">
        <v>34541</v>
      </c>
      <c r="BW100" s="120"/>
      <c r="BX100" s="96" t="s">
        <v>170</v>
      </c>
      <c r="BY100" s="76" t="s">
        <v>170</v>
      </c>
      <c r="CB100" s="76" t="s">
        <v>170</v>
      </c>
      <c r="CC100" s="76" t="s">
        <v>170</v>
      </c>
      <c r="CE100" s="76" t="s">
        <v>170</v>
      </c>
      <c r="CG100" s="76" t="s">
        <v>169</v>
      </c>
      <c r="CH100" s="76" t="s">
        <v>2584</v>
      </c>
      <c r="CI100" s="76" t="s">
        <v>170</v>
      </c>
      <c r="CK100" s="76" t="s">
        <v>233</v>
      </c>
      <c r="CM100" s="76">
        <v>1</v>
      </c>
      <c r="CN100" s="76" t="s">
        <v>234</v>
      </c>
      <c r="CP100" s="76">
        <v>360</v>
      </c>
      <c r="CQ100" s="76">
        <v>38.299999999999997</v>
      </c>
      <c r="CR100" s="76">
        <v>98.6</v>
      </c>
      <c r="CS100" s="76" t="s">
        <v>235</v>
      </c>
      <c r="CV100" s="76" t="s">
        <v>341</v>
      </c>
      <c r="CX100" s="76" t="s">
        <v>729</v>
      </c>
      <c r="CY100" s="76" t="s">
        <v>169</v>
      </c>
      <c r="DD100" s="76">
        <v>1</v>
      </c>
      <c r="DE100" s="76" t="s">
        <v>404</v>
      </c>
      <c r="DF100" s="76" t="s">
        <v>427</v>
      </c>
      <c r="DG100" s="76">
        <v>72</v>
      </c>
      <c r="DJ100" s="76" t="s">
        <v>184</v>
      </c>
      <c r="DK100" s="76" t="s">
        <v>185</v>
      </c>
      <c r="DL100" s="76" t="s">
        <v>170</v>
      </c>
      <c r="DM100" s="76" t="s">
        <v>169</v>
      </c>
      <c r="DN100" s="76" t="s">
        <v>170</v>
      </c>
      <c r="DO100" s="76" t="s">
        <v>2585</v>
      </c>
      <c r="DP100" s="76" t="s">
        <v>169</v>
      </c>
      <c r="DQ100" s="76" t="s">
        <v>198</v>
      </c>
      <c r="DS100" s="76" t="s">
        <v>2496</v>
      </c>
      <c r="DT100" s="76" t="s">
        <v>2497</v>
      </c>
      <c r="DU100" s="76" t="s">
        <v>2498</v>
      </c>
      <c r="DV100" s="76" t="s">
        <v>2499</v>
      </c>
      <c r="DZ100" s="79"/>
      <c r="EA100" s="101"/>
      <c r="EB100" s="96">
        <v>8</v>
      </c>
      <c r="EC100" s="76">
        <v>9</v>
      </c>
      <c r="ED100" s="79">
        <v>10</v>
      </c>
      <c r="EE100" s="96" t="s">
        <v>2595</v>
      </c>
      <c r="EF100" s="76">
        <v>6</v>
      </c>
      <c r="EH100" s="79"/>
      <c r="EI100" s="96"/>
      <c r="EM100" s="96"/>
      <c r="EP100" s="79"/>
      <c r="EQ100" s="96"/>
      <c r="ET100" s="79"/>
      <c r="EU100" s="96">
        <v>3000</v>
      </c>
      <c r="EV100" s="79"/>
      <c r="EW100" s="96">
        <v>272</v>
      </c>
      <c r="EX100" s="76">
        <v>261</v>
      </c>
      <c r="EY100" s="79">
        <v>267</v>
      </c>
      <c r="EZ100" s="102">
        <f>FI100</f>
        <v>111</v>
      </c>
      <c r="FA100" s="76">
        <v>3.4</v>
      </c>
      <c r="FB100" s="79"/>
      <c r="FC100" s="97">
        <v>444</v>
      </c>
      <c r="FD100" s="96">
        <v>50</v>
      </c>
      <c r="FE100" s="76">
        <v>48</v>
      </c>
      <c r="FF100" s="79">
        <v>49</v>
      </c>
      <c r="FG100" s="76">
        <v>107</v>
      </c>
      <c r="FH100" s="76">
        <v>115</v>
      </c>
      <c r="FI100" s="103">
        <v>111</v>
      </c>
      <c r="FJ100" s="98" t="s">
        <v>2596</v>
      </c>
      <c r="FK100" s="111"/>
      <c r="FL100" s="103"/>
      <c r="FM100" s="76">
        <v>0.60599999999999998</v>
      </c>
      <c r="FN100" s="76">
        <v>0.57199999999999995</v>
      </c>
      <c r="FO100" s="79">
        <v>0.59099999999999997</v>
      </c>
      <c r="FP100" s="106"/>
      <c r="FQ100" s="107"/>
      <c r="FR100" s="107"/>
      <c r="FS100" s="108">
        <v>12.4</v>
      </c>
    </row>
    <row r="101" spans="1:190" s="77" customFormat="1" x14ac:dyDescent="0.35">
      <c r="A101" s="76"/>
      <c r="E101" s="76"/>
      <c r="F101" s="76"/>
      <c r="G101" s="78"/>
      <c r="H101" s="76"/>
      <c r="I101" s="79"/>
      <c r="J101" s="80"/>
      <c r="K101" s="28"/>
      <c r="L101" s="28"/>
      <c r="M101" s="25" t="str">
        <f>_xlfn.CONCAT(A102," ",C102," ",D102)</f>
        <v>2025 KIA Sportage Plug-in Hybrid</v>
      </c>
      <c r="N101" s="28"/>
      <c r="O101" s="28"/>
      <c r="P101" s="28"/>
      <c r="Q101" s="28"/>
      <c r="R101" s="28"/>
      <c r="S101" s="28"/>
      <c r="T101" s="28"/>
      <c r="U101" s="28"/>
      <c r="V101" s="28"/>
      <c r="W101" s="28"/>
      <c r="X101" s="28"/>
      <c r="Y101" s="28"/>
      <c r="Z101" s="28"/>
      <c r="AA101" s="28"/>
      <c r="AB101" s="28"/>
      <c r="AC101" s="28"/>
      <c r="AD101" s="25" t="str">
        <f>$M101</f>
        <v>2025 KIA Sportage Plug-in Hybrid</v>
      </c>
      <c r="AE101" s="28"/>
      <c r="AF101" s="28"/>
      <c r="AG101" s="28"/>
      <c r="AH101" s="28"/>
      <c r="AI101" s="28"/>
      <c r="AJ101" s="81"/>
      <c r="AK101" s="82"/>
      <c r="AL101" s="2"/>
      <c r="AM101" s="2"/>
      <c r="AN101" s="2"/>
      <c r="AO101" s="2"/>
      <c r="AP101" s="2"/>
      <c r="AQ101" s="2"/>
      <c r="AR101" s="83"/>
      <c r="AS101" s="84"/>
      <c r="AT101" s="85" t="str">
        <f>$M101</f>
        <v>2025 KIA Sportage Plug-in Hybrid</v>
      </c>
      <c r="AU101" s="84"/>
      <c r="AV101" s="28"/>
      <c r="AW101" s="28"/>
      <c r="AX101" s="28"/>
      <c r="AY101" s="28"/>
      <c r="AZ101" s="28"/>
      <c r="BA101" s="28"/>
      <c r="BB101" s="28"/>
      <c r="BC101" s="28"/>
      <c r="BD101" s="28"/>
      <c r="BE101" s="28"/>
      <c r="BF101" s="28"/>
      <c r="BG101" s="28"/>
      <c r="BH101" s="28"/>
      <c r="BI101" s="25" t="str">
        <f>$M101</f>
        <v>2025 KIA Sportage Plug-in Hybrid</v>
      </c>
      <c r="BJ101" s="28"/>
      <c r="BK101" s="28"/>
      <c r="BL101" s="28"/>
      <c r="BM101" s="81"/>
      <c r="BN101" s="82"/>
      <c r="BO101" s="2"/>
      <c r="BP101" s="2"/>
      <c r="BQ101" s="2"/>
      <c r="BR101" s="2"/>
      <c r="BS101" s="2"/>
      <c r="BT101" s="86"/>
      <c r="BU101" s="2"/>
      <c r="BV101" s="83"/>
      <c r="BW101" s="121"/>
      <c r="BX101" s="84"/>
      <c r="BY101" s="25" t="str">
        <f>$M101</f>
        <v>2025 KIA Sportage Plug-in Hybrid</v>
      </c>
      <c r="BZ101" s="28"/>
      <c r="CA101" s="28"/>
      <c r="CB101" s="28"/>
      <c r="CC101" s="28"/>
      <c r="CD101" s="28"/>
      <c r="CE101" s="88"/>
      <c r="CF101" s="28"/>
      <c r="CG101" s="28"/>
      <c r="CH101" s="28"/>
      <c r="CI101" s="28"/>
      <c r="CJ101" s="28"/>
      <c r="CK101" s="28"/>
      <c r="CL101" s="28"/>
      <c r="CM101" s="28"/>
      <c r="CN101" s="28"/>
      <c r="CO101" s="25" t="str">
        <f>$M101</f>
        <v>2025 KIA Sportage Plug-in Hybrid</v>
      </c>
      <c r="CP101" s="28"/>
      <c r="CQ101" s="28"/>
      <c r="CR101" s="28"/>
      <c r="CS101" s="28"/>
      <c r="CT101" s="28"/>
      <c r="CU101" s="28"/>
      <c r="CV101" s="28"/>
      <c r="CW101" s="28"/>
      <c r="CX101" s="28"/>
      <c r="CY101" s="28"/>
      <c r="CZ101" s="28"/>
      <c r="DA101" s="28"/>
      <c r="DB101" s="28"/>
      <c r="DC101" s="28"/>
      <c r="DD101" s="28"/>
      <c r="DE101" s="28"/>
      <c r="DF101" s="25" t="str">
        <f>$M101</f>
        <v>2025 KIA Sportage Plug-in Hybrid</v>
      </c>
      <c r="DG101" s="28"/>
      <c r="DH101" s="28"/>
      <c r="DI101" s="28"/>
      <c r="DJ101" s="28"/>
      <c r="DK101" s="28"/>
      <c r="DL101" s="28"/>
      <c r="DM101" s="28"/>
      <c r="DN101" s="28"/>
      <c r="DO101" s="28"/>
      <c r="DP101" s="28"/>
      <c r="DQ101" s="28"/>
      <c r="DR101" s="25"/>
      <c r="DS101" s="25"/>
      <c r="DT101" s="25"/>
      <c r="DU101" s="25"/>
      <c r="DV101" s="25"/>
      <c r="DW101" s="25" t="str">
        <f>$M101</f>
        <v>2025 KIA Sportage Plug-in Hybrid</v>
      </c>
      <c r="DX101" s="25"/>
      <c r="DY101" s="25"/>
      <c r="DZ101" s="85"/>
      <c r="EA101" s="89"/>
      <c r="EB101" s="80"/>
      <c r="EC101" s="25"/>
      <c r="ED101" s="85"/>
      <c r="EE101" s="80"/>
      <c r="EF101" s="25"/>
      <c r="EG101" s="25"/>
      <c r="EH101" s="85"/>
      <c r="EI101" s="80"/>
      <c r="EK101" t="s">
        <v>2445</v>
      </c>
      <c r="EL101" s="25" t="str">
        <f>$M101</f>
        <v>2025 KIA Sportage Plug-in Hybrid</v>
      </c>
      <c r="EM101" s="80"/>
      <c r="EP101" s="75"/>
      <c r="EQ101" s="90"/>
      <c r="ET101" s="75"/>
      <c r="EU101" s="90"/>
      <c r="EV101" s="75"/>
      <c r="EW101" s="90"/>
      <c r="EY101" s="75"/>
      <c r="EZ101" s="102"/>
      <c r="FA101" s="25" t="str">
        <f>$M101</f>
        <v>2025 KIA Sportage Plug-in Hybrid</v>
      </c>
      <c r="FB101" s="75"/>
      <c r="FC101" s="91"/>
      <c r="FD101" s="80"/>
      <c r="FE101" s="25"/>
      <c r="FF101" s="85"/>
      <c r="FG101" s="80"/>
      <c r="FH101" s="25"/>
      <c r="FI101" s="85"/>
      <c r="FJ101" s="80"/>
      <c r="FK101" s="25"/>
      <c r="FL101" s="85"/>
      <c r="FM101" s="25" t="str">
        <f>$M101</f>
        <v>2025 KIA Sportage Plug-in Hybrid</v>
      </c>
      <c r="FN101" s="25"/>
      <c r="FO101" s="85"/>
      <c r="FP101" s="92"/>
      <c r="FQ101" s="93"/>
      <c r="FR101" s="94"/>
      <c r="FS101" s="95"/>
      <c r="FT101" s="25"/>
      <c r="FU101" s="25"/>
      <c r="FV101" s="25"/>
      <c r="FW101" s="25"/>
      <c r="FX101" s="25"/>
      <c r="FY101" s="25"/>
      <c r="FZ101" s="25"/>
      <c r="GA101" s="25"/>
      <c r="GB101" s="25"/>
      <c r="GC101" s="25"/>
      <c r="GD101" s="25"/>
      <c r="GE101" s="25"/>
      <c r="GF101" s="25"/>
      <c r="GG101" s="25"/>
      <c r="GH101" s="25"/>
    </row>
    <row r="102" spans="1:190" s="76" customFormat="1" x14ac:dyDescent="0.35">
      <c r="A102" s="76">
        <v>2025</v>
      </c>
      <c r="B102" s="76" t="s">
        <v>756</v>
      </c>
      <c r="C102" s="76" t="s">
        <v>757</v>
      </c>
      <c r="D102" s="76" t="s">
        <v>2597</v>
      </c>
      <c r="E102" s="76" t="s">
        <v>759</v>
      </c>
      <c r="F102" s="76">
        <v>22</v>
      </c>
      <c r="G102" s="78">
        <v>1.6</v>
      </c>
      <c r="H102" s="76">
        <v>4</v>
      </c>
      <c r="I102" s="79" t="s">
        <v>747</v>
      </c>
      <c r="J102" s="96">
        <v>36</v>
      </c>
      <c r="K102" s="76">
        <v>35</v>
      </c>
      <c r="L102" s="76">
        <v>35</v>
      </c>
      <c r="M102" s="76">
        <v>48.5</v>
      </c>
      <c r="N102" s="76">
        <v>46.2</v>
      </c>
      <c r="O102" s="76">
        <v>47.4373</v>
      </c>
      <c r="P102" s="76">
        <v>35.633499999999998</v>
      </c>
      <c r="Q102" s="76">
        <v>35.047899999999998</v>
      </c>
      <c r="R102" s="76">
        <v>35.367600000000003</v>
      </c>
      <c r="T102" s="76" t="s">
        <v>165</v>
      </c>
      <c r="U102" s="76" t="s">
        <v>166</v>
      </c>
      <c r="V102" s="76" t="s">
        <v>211</v>
      </c>
      <c r="W102" s="76" t="s">
        <v>212</v>
      </c>
      <c r="Y102" s="76">
        <v>6</v>
      </c>
      <c r="Z102" s="76" t="s">
        <v>170</v>
      </c>
      <c r="AA102" s="76" t="s">
        <v>170</v>
      </c>
      <c r="AB102" s="76" t="s">
        <v>167</v>
      </c>
      <c r="AC102" s="76" t="s">
        <v>213</v>
      </c>
      <c r="AD102" s="76">
        <v>15</v>
      </c>
      <c r="AF102" s="76">
        <v>393</v>
      </c>
      <c r="AG102" s="76" t="s">
        <v>210</v>
      </c>
      <c r="AH102" s="76" t="s">
        <v>444</v>
      </c>
      <c r="AI102" s="76" t="s">
        <v>175</v>
      </c>
      <c r="AJ102" s="79" t="s">
        <v>176</v>
      </c>
      <c r="AK102" s="96" t="s">
        <v>940</v>
      </c>
      <c r="AL102" s="76" t="s">
        <v>941</v>
      </c>
      <c r="AR102" s="79"/>
      <c r="AS102" s="96">
        <v>1150</v>
      </c>
      <c r="AT102" s="79">
        <v>1150</v>
      </c>
      <c r="AU102" s="96">
        <v>38</v>
      </c>
      <c r="AV102" s="76">
        <v>43</v>
      </c>
      <c r="AW102" s="76">
        <v>40</v>
      </c>
      <c r="AX102" s="76">
        <v>26.8</v>
      </c>
      <c r="AY102" s="76">
        <v>30</v>
      </c>
      <c r="AZ102" s="76">
        <v>28.24</v>
      </c>
      <c r="BA102" s="76">
        <v>38.049999999999997</v>
      </c>
      <c r="BB102" s="76">
        <v>42.680999999999997</v>
      </c>
      <c r="BC102" s="76">
        <v>40.134</v>
      </c>
      <c r="BD102" s="76">
        <v>34</v>
      </c>
      <c r="BE102" s="76" t="s">
        <v>1735</v>
      </c>
      <c r="BF102" s="76" t="s">
        <v>1736</v>
      </c>
      <c r="BG102" s="76" t="s">
        <v>1742</v>
      </c>
      <c r="BH102" s="76" t="s">
        <v>1743</v>
      </c>
      <c r="BI102" s="76">
        <v>1150</v>
      </c>
      <c r="BJ102" s="2"/>
      <c r="BK102" s="2"/>
      <c r="BL102" s="2"/>
      <c r="BM102" s="79"/>
      <c r="BN102" s="98" t="s">
        <v>2493</v>
      </c>
      <c r="BO102" s="76">
        <v>2</v>
      </c>
      <c r="BP102" s="76">
        <v>2</v>
      </c>
      <c r="BQ102" s="76">
        <v>31</v>
      </c>
      <c r="BR102" s="76" t="s">
        <v>1219</v>
      </c>
      <c r="BT102" s="76" t="s">
        <v>2494</v>
      </c>
      <c r="BU102" s="99">
        <v>45444</v>
      </c>
      <c r="BV102" s="79">
        <v>34908</v>
      </c>
      <c r="BW102" s="120"/>
      <c r="BX102" s="96" t="s">
        <v>170</v>
      </c>
      <c r="BY102" s="76" t="s">
        <v>170</v>
      </c>
      <c r="CB102" s="76" t="s">
        <v>170</v>
      </c>
      <c r="CC102" s="76" t="s">
        <v>170</v>
      </c>
      <c r="CE102" s="76" t="s">
        <v>170</v>
      </c>
      <c r="CG102" s="76" t="s">
        <v>169</v>
      </c>
      <c r="CH102" s="76" t="s">
        <v>742</v>
      </c>
      <c r="CI102" s="76" t="s">
        <v>170</v>
      </c>
      <c r="CK102" s="76" t="s">
        <v>233</v>
      </c>
      <c r="CM102" s="76">
        <v>1</v>
      </c>
      <c r="CN102" s="76" t="s">
        <v>234</v>
      </c>
      <c r="CP102" s="76">
        <v>360</v>
      </c>
      <c r="CQ102" s="76">
        <v>38.799999999999997</v>
      </c>
      <c r="CR102" s="76">
        <v>98.6</v>
      </c>
      <c r="CS102" s="76" t="s">
        <v>235</v>
      </c>
      <c r="CV102" s="76" t="s">
        <v>2592</v>
      </c>
      <c r="CX102" s="76" t="s">
        <v>729</v>
      </c>
      <c r="CY102" s="76" t="s">
        <v>170</v>
      </c>
      <c r="DD102" s="76">
        <v>1</v>
      </c>
      <c r="DE102" s="76" t="s">
        <v>404</v>
      </c>
      <c r="DF102" s="76" t="s">
        <v>2598</v>
      </c>
      <c r="DG102" s="76">
        <v>67</v>
      </c>
      <c r="DJ102" s="76" t="s">
        <v>184</v>
      </c>
      <c r="DK102" s="76" t="s">
        <v>185</v>
      </c>
      <c r="DL102" s="76" t="s">
        <v>170</v>
      </c>
      <c r="DM102" s="76" t="s">
        <v>169</v>
      </c>
      <c r="DN102" s="76" t="s">
        <v>170</v>
      </c>
      <c r="DO102" s="76" t="s">
        <v>2599</v>
      </c>
      <c r="DP102" s="76" t="s">
        <v>169</v>
      </c>
      <c r="DQ102" s="76" t="s">
        <v>198</v>
      </c>
      <c r="DS102" s="76" t="s">
        <v>2496</v>
      </c>
      <c r="DT102" s="76" t="s">
        <v>2497</v>
      </c>
      <c r="DU102" s="76" t="s">
        <v>2498</v>
      </c>
      <c r="DV102" s="76" t="s">
        <v>2499</v>
      </c>
      <c r="DZ102" s="79"/>
      <c r="EA102" s="101"/>
      <c r="EB102" s="96">
        <v>8</v>
      </c>
      <c r="EC102" s="76">
        <v>9</v>
      </c>
      <c r="ED102" s="79">
        <v>10</v>
      </c>
      <c r="EE102" s="96" t="s">
        <v>2600</v>
      </c>
      <c r="EF102" s="76">
        <v>6</v>
      </c>
      <c r="EH102" s="79"/>
      <c r="EI102" s="96"/>
      <c r="EM102" s="96"/>
      <c r="EP102" s="79"/>
      <c r="EQ102" s="96"/>
      <c r="ET102" s="79"/>
      <c r="EU102" s="96">
        <v>3750</v>
      </c>
      <c r="EV102" s="79"/>
      <c r="EW102" s="96">
        <v>0</v>
      </c>
      <c r="EX102" s="76">
        <v>0</v>
      </c>
      <c r="EY102" s="79">
        <v>0</v>
      </c>
      <c r="EZ102" s="102">
        <f>FI102</f>
        <v>96</v>
      </c>
      <c r="FA102" s="76">
        <v>2</v>
      </c>
      <c r="FB102" s="79"/>
      <c r="FC102" s="97">
        <v>430</v>
      </c>
      <c r="FD102" s="96">
        <v>57</v>
      </c>
      <c r="FE102" s="76">
        <v>52</v>
      </c>
      <c r="FF102" s="79">
        <v>55</v>
      </c>
      <c r="FG102" s="76">
        <v>90.7</v>
      </c>
      <c r="FH102" s="76">
        <v>103.5</v>
      </c>
      <c r="FI102" s="103">
        <v>96</v>
      </c>
      <c r="FJ102" s="76">
        <v>35.453000000000003</v>
      </c>
      <c r="FK102" s="76">
        <v>31.132999999999999</v>
      </c>
      <c r="FL102" s="79">
        <v>34</v>
      </c>
      <c r="FM102" s="76">
        <v>0.64</v>
      </c>
      <c r="FN102" s="76">
        <v>0.59799999999999998</v>
      </c>
      <c r="FO102" s="76">
        <v>0.622</v>
      </c>
      <c r="FP102" s="106">
        <v>0</v>
      </c>
      <c r="FQ102" s="107">
        <v>0</v>
      </c>
      <c r="FR102" s="107">
        <v>0</v>
      </c>
      <c r="FS102" s="108">
        <v>11.1</v>
      </c>
    </row>
    <row r="103" spans="1:190" s="76" customFormat="1" x14ac:dyDescent="0.35">
      <c r="A103" s="76">
        <v>2025</v>
      </c>
      <c r="B103" s="162" t="s">
        <v>756</v>
      </c>
      <c r="C103" s="162" t="s">
        <v>757</v>
      </c>
      <c r="D103" s="162" t="s">
        <v>2597</v>
      </c>
      <c r="E103" s="162" t="s">
        <v>759</v>
      </c>
      <c r="F103" s="162">
        <v>22</v>
      </c>
      <c r="G103" s="162">
        <v>1.6</v>
      </c>
      <c r="H103" s="162">
        <v>4</v>
      </c>
      <c r="I103" s="163" t="s">
        <v>747</v>
      </c>
      <c r="J103" s="96">
        <f t="shared" ref="J103:R103" si="43">J102</f>
        <v>36</v>
      </c>
      <c r="K103" s="76">
        <f t="shared" si="43"/>
        <v>35</v>
      </c>
      <c r="L103" s="76">
        <f t="shared" si="43"/>
        <v>35</v>
      </c>
      <c r="M103" s="76">
        <f t="shared" si="43"/>
        <v>48.5</v>
      </c>
      <c r="N103" s="76">
        <f t="shared" si="43"/>
        <v>46.2</v>
      </c>
      <c r="O103" s="76">
        <f t="shared" si="43"/>
        <v>47.4373</v>
      </c>
      <c r="P103" s="76">
        <f t="shared" si="43"/>
        <v>35.633499999999998</v>
      </c>
      <c r="Q103" s="76">
        <f t="shared" si="43"/>
        <v>35.047899999999998</v>
      </c>
      <c r="R103" s="76">
        <f t="shared" si="43"/>
        <v>35.367600000000003</v>
      </c>
      <c r="T103" s="76" t="str">
        <f>T102</f>
        <v>TC</v>
      </c>
      <c r="U103" s="76" t="str">
        <f>U102</f>
        <v>Turbocharged</v>
      </c>
      <c r="V103" s="76" t="str">
        <f>V102</f>
        <v>AMS</v>
      </c>
      <c r="W103" s="76" t="str">
        <f>W102</f>
        <v>Automated Manual- Selectable (e.g. Automated Manual with paddles)</v>
      </c>
      <c r="Y103" s="76">
        <f t="shared" ref="Y103:AD103" si="44">Y102</f>
        <v>6</v>
      </c>
      <c r="Z103" s="76" t="str">
        <f t="shared" si="44"/>
        <v>N</v>
      </c>
      <c r="AA103" s="76" t="str">
        <f t="shared" si="44"/>
        <v>N</v>
      </c>
      <c r="AB103" s="76" t="str">
        <f t="shared" si="44"/>
        <v>A</v>
      </c>
      <c r="AC103" s="76" t="str">
        <f t="shared" si="44"/>
        <v>All Wheel Drive</v>
      </c>
      <c r="AD103" s="76">
        <f t="shared" si="44"/>
        <v>15</v>
      </c>
      <c r="AF103" s="76">
        <f>AF102</f>
        <v>393</v>
      </c>
      <c r="AG103" s="76" t="str">
        <f>AG102</f>
        <v>G</v>
      </c>
      <c r="AH103" s="76" t="str">
        <f>AH102</f>
        <v>Gasoline (Regular Unleaded Recommended)</v>
      </c>
      <c r="AI103" s="76" t="str">
        <f>AI102</f>
        <v>MPG</v>
      </c>
      <c r="AJ103" s="79" t="str">
        <f>AJ102</f>
        <v>miles per gallon</v>
      </c>
      <c r="AK103" s="96" t="s">
        <v>940</v>
      </c>
      <c r="AL103" s="76" t="s">
        <v>941</v>
      </c>
      <c r="AR103" s="79"/>
      <c r="AS103" s="96">
        <v>1150</v>
      </c>
      <c r="AT103" s="79">
        <v>1150</v>
      </c>
      <c r="AU103" s="96">
        <v>88</v>
      </c>
      <c r="AV103" s="76">
        <v>79</v>
      </c>
      <c r="AW103" s="76">
        <v>84</v>
      </c>
      <c r="AX103" s="76">
        <v>125.7</v>
      </c>
      <c r="AY103" s="76">
        <v>112.5</v>
      </c>
      <c r="AZ103" s="76">
        <v>119.3959</v>
      </c>
      <c r="BA103" s="76">
        <v>87.978999999999999</v>
      </c>
      <c r="BB103" s="76">
        <v>78.772999999999996</v>
      </c>
      <c r="BC103" s="76">
        <v>83.583299999999994</v>
      </c>
      <c r="BD103" s="76">
        <v>34</v>
      </c>
      <c r="BE103" s="76" t="s">
        <v>1735</v>
      </c>
      <c r="BF103" s="76" t="s">
        <v>1736</v>
      </c>
      <c r="BG103" s="76" t="s">
        <v>175</v>
      </c>
      <c r="BH103" s="76" t="s">
        <v>176</v>
      </c>
      <c r="BI103" s="76">
        <v>1150</v>
      </c>
      <c r="BM103" s="79"/>
      <c r="BN103" s="98" t="s">
        <v>2493</v>
      </c>
      <c r="BO103" s="76">
        <v>2</v>
      </c>
      <c r="BP103" s="76">
        <v>2</v>
      </c>
      <c r="BQ103" s="76">
        <v>31</v>
      </c>
      <c r="BR103" s="76" t="s">
        <v>1219</v>
      </c>
      <c r="BT103" s="76" t="s">
        <v>2494</v>
      </c>
      <c r="BU103" s="99">
        <v>45444</v>
      </c>
      <c r="BV103" s="79">
        <v>34908</v>
      </c>
      <c r="BW103" s="120"/>
      <c r="BX103" s="96" t="s">
        <v>170</v>
      </c>
      <c r="BY103" s="76" t="s">
        <v>170</v>
      </c>
      <c r="CB103" s="76" t="s">
        <v>170</v>
      </c>
      <c r="CC103" s="76" t="s">
        <v>170</v>
      </c>
      <c r="CE103" s="76" t="s">
        <v>170</v>
      </c>
      <c r="CG103" s="76" t="s">
        <v>169</v>
      </c>
      <c r="CH103" s="76" t="s">
        <v>742</v>
      </c>
      <c r="CI103" s="76" t="s">
        <v>170</v>
      </c>
      <c r="CK103" s="76" t="s">
        <v>233</v>
      </c>
      <c r="CM103" s="76">
        <v>1</v>
      </c>
      <c r="CN103" s="76" t="s">
        <v>234</v>
      </c>
      <c r="CP103" s="76">
        <v>360</v>
      </c>
      <c r="CQ103" s="76">
        <v>38.799999999999997</v>
      </c>
      <c r="CR103" s="76">
        <v>98.6</v>
      </c>
      <c r="CS103" s="76" t="s">
        <v>235</v>
      </c>
      <c r="CV103" s="76" t="s">
        <v>2592</v>
      </c>
      <c r="CX103" s="76" t="s">
        <v>729</v>
      </c>
      <c r="CY103" s="76" t="s">
        <v>170</v>
      </c>
      <c r="DD103" s="76">
        <v>1</v>
      </c>
      <c r="DE103" s="76" t="s">
        <v>404</v>
      </c>
      <c r="DF103" s="76" t="s">
        <v>2598</v>
      </c>
      <c r="DG103" s="76">
        <v>67</v>
      </c>
      <c r="DJ103" s="76" t="s">
        <v>184</v>
      </c>
      <c r="DK103" s="76" t="s">
        <v>185</v>
      </c>
      <c r="DL103" s="76" t="s">
        <v>170</v>
      </c>
      <c r="DM103" s="76" t="s">
        <v>169</v>
      </c>
      <c r="DN103" s="76" t="s">
        <v>170</v>
      </c>
      <c r="DO103" s="76" t="s">
        <v>2599</v>
      </c>
      <c r="DP103" s="76" t="s">
        <v>169</v>
      </c>
      <c r="DQ103" s="76" t="s">
        <v>198</v>
      </c>
      <c r="DS103" s="76" t="s">
        <v>2496</v>
      </c>
      <c r="DT103" s="76" t="s">
        <v>2497</v>
      </c>
      <c r="DU103" s="76" t="s">
        <v>2498</v>
      </c>
      <c r="DV103" s="76" t="s">
        <v>2499</v>
      </c>
      <c r="DZ103" s="79"/>
      <c r="EA103" s="101"/>
      <c r="EB103" s="96">
        <v>8</v>
      </c>
      <c r="EC103" s="76">
        <v>9</v>
      </c>
      <c r="ED103" s="79">
        <v>10</v>
      </c>
      <c r="EE103" s="96" t="s">
        <v>2600</v>
      </c>
      <c r="EF103" s="76">
        <v>6</v>
      </c>
      <c r="EH103" s="79"/>
      <c r="EI103" s="96"/>
      <c r="EM103" s="96"/>
      <c r="EP103" s="79"/>
      <c r="EQ103" s="96"/>
      <c r="ET103" s="79"/>
      <c r="EU103" s="96">
        <v>3750</v>
      </c>
      <c r="EV103" s="79"/>
      <c r="EW103" s="96">
        <v>249</v>
      </c>
      <c r="EX103" s="76">
        <v>253</v>
      </c>
      <c r="EY103" s="79">
        <v>251</v>
      </c>
      <c r="EZ103" s="102">
        <f>FI103</f>
        <v>96</v>
      </c>
      <c r="FA103" s="76">
        <v>2</v>
      </c>
      <c r="FB103" s="79"/>
      <c r="FC103" s="97">
        <v>430</v>
      </c>
      <c r="FD103" s="96">
        <v>57</v>
      </c>
      <c r="FE103" s="76">
        <v>52</v>
      </c>
      <c r="FF103" s="79">
        <v>55</v>
      </c>
      <c r="FG103" s="76">
        <v>90.7</v>
      </c>
      <c r="FH103" s="76">
        <v>103.5</v>
      </c>
      <c r="FI103" s="103">
        <v>96</v>
      </c>
      <c r="FJ103" s="98" t="s">
        <v>2601</v>
      </c>
      <c r="FL103" s="79"/>
      <c r="FM103" s="76">
        <v>0.64</v>
      </c>
      <c r="FN103" s="76">
        <v>0.59799999999999998</v>
      </c>
      <c r="FO103" s="76">
        <v>0.622</v>
      </c>
      <c r="FP103" s="106"/>
      <c r="FQ103" s="107"/>
      <c r="FR103" s="107"/>
      <c r="FS103" s="108">
        <v>11.1</v>
      </c>
    </row>
    <row r="104" spans="1:190" s="77" customFormat="1" x14ac:dyDescent="0.35">
      <c r="A104" s="76"/>
      <c r="E104" s="76"/>
      <c r="F104" s="76"/>
      <c r="G104" s="78"/>
      <c r="H104" s="76"/>
      <c r="I104" s="79"/>
      <c r="J104" s="80"/>
      <c r="K104" s="28"/>
      <c r="L104" s="28"/>
      <c r="M104" s="25" t="str">
        <f>_xlfn.CONCAT(A105," ",C105," ",D105)</f>
        <v>2025 Land Rover Range Rover P550 PHEV</v>
      </c>
      <c r="N104" s="28"/>
      <c r="O104" s="28"/>
      <c r="P104" s="28"/>
      <c r="Q104" s="28"/>
      <c r="R104" s="28"/>
      <c r="S104" s="28"/>
      <c r="T104" s="28"/>
      <c r="U104" s="28"/>
      <c r="V104" s="28"/>
      <c r="W104" s="28"/>
      <c r="X104" s="28"/>
      <c r="Y104" s="28"/>
      <c r="Z104" s="28"/>
      <c r="AA104" s="28"/>
      <c r="AB104" s="28"/>
      <c r="AC104" s="28"/>
      <c r="AD104" s="25" t="str">
        <f>$M104</f>
        <v>2025 Land Rover Range Rover P550 PHEV</v>
      </c>
      <c r="AE104" s="28"/>
      <c r="AF104" s="28"/>
      <c r="AG104" s="28"/>
      <c r="AH104" s="28"/>
      <c r="AI104" s="28"/>
      <c r="AJ104" s="81"/>
      <c r="AK104" s="82"/>
      <c r="AL104" s="2"/>
      <c r="AM104" s="2"/>
      <c r="AN104" s="2"/>
      <c r="AO104" s="2"/>
      <c r="AP104" s="2"/>
      <c r="AQ104" s="2"/>
      <c r="AR104" s="83"/>
      <c r="AS104" s="84"/>
      <c r="AT104" s="85" t="str">
        <f>$M104</f>
        <v>2025 Land Rover Range Rover P550 PHEV</v>
      </c>
      <c r="AU104" s="84"/>
      <c r="AV104" s="28"/>
      <c r="AW104" s="28"/>
      <c r="AX104" s="28"/>
      <c r="AY104" s="28"/>
      <c r="AZ104" s="28"/>
      <c r="BA104" s="28"/>
      <c r="BB104" s="28"/>
      <c r="BC104" s="28"/>
      <c r="BD104" s="28"/>
      <c r="BE104" s="28"/>
      <c r="BF104" s="28"/>
      <c r="BG104" s="28"/>
      <c r="BH104" s="28"/>
      <c r="BI104" s="25" t="str">
        <f>$M104</f>
        <v>2025 Land Rover Range Rover P550 PHEV</v>
      </c>
      <c r="BJ104" s="28"/>
      <c r="BK104" s="28"/>
      <c r="BL104" s="28"/>
      <c r="BM104" s="81"/>
      <c r="BN104" s="82"/>
      <c r="BO104" s="2"/>
      <c r="BP104" s="2"/>
      <c r="BQ104" s="2"/>
      <c r="BR104" s="2"/>
      <c r="BS104" s="2"/>
      <c r="BT104" s="86"/>
      <c r="BU104" s="2"/>
      <c r="BV104" s="83"/>
      <c r="BW104" s="121"/>
      <c r="BX104" s="84"/>
      <c r="BY104" s="25" t="str">
        <f>$M104</f>
        <v>2025 Land Rover Range Rover P550 PHEV</v>
      </c>
      <c r="BZ104" s="28"/>
      <c r="CA104" s="28"/>
      <c r="CB104" s="28"/>
      <c r="CC104" s="28"/>
      <c r="CD104" s="28"/>
      <c r="CE104" s="88"/>
      <c r="CF104" s="28"/>
      <c r="CG104" s="28"/>
      <c r="CH104" s="28"/>
      <c r="CI104" s="28"/>
      <c r="CJ104" s="28"/>
      <c r="CK104" s="28"/>
      <c r="CL104" s="28"/>
      <c r="CM104" s="28"/>
      <c r="CN104" s="28"/>
      <c r="CO104" s="25" t="str">
        <f>$M104</f>
        <v>2025 Land Rover Range Rover P550 PHEV</v>
      </c>
      <c r="CP104" s="28"/>
      <c r="CQ104" s="28"/>
      <c r="CR104" s="28"/>
      <c r="CS104" s="28"/>
      <c r="CT104" s="28"/>
      <c r="CU104" s="28"/>
      <c r="CV104" s="28"/>
      <c r="CW104" s="28"/>
      <c r="CX104" s="28"/>
      <c r="CY104" s="28"/>
      <c r="CZ104" s="28"/>
      <c r="DA104" s="28"/>
      <c r="DB104" s="28"/>
      <c r="DC104" s="28"/>
      <c r="DD104" s="28"/>
      <c r="DE104" s="28"/>
      <c r="DF104" s="25" t="str">
        <f>$M104</f>
        <v>2025 Land Rover Range Rover P550 PHEV</v>
      </c>
      <c r="DG104" s="28"/>
      <c r="DH104" s="28"/>
      <c r="DI104" s="28"/>
      <c r="DJ104" s="28"/>
      <c r="DK104" s="28"/>
      <c r="DL104" s="28"/>
      <c r="DM104" s="28"/>
      <c r="DN104" s="28"/>
      <c r="DO104" s="28"/>
      <c r="DP104" s="28"/>
      <c r="DQ104" s="28"/>
      <c r="DR104" s="25"/>
      <c r="DS104" s="25"/>
      <c r="DT104" s="25"/>
      <c r="DU104" s="25"/>
      <c r="DV104" s="25"/>
      <c r="DW104" s="25" t="str">
        <f>$M104</f>
        <v>2025 Land Rover Range Rover P550 PHEV</v>
      </c>
      <c r="DX104" s="25"/>
      <c r="DY104" s="25"/>
      <c r="DZ104" s="85"/>
      <c r="EA104" s="89"/>
      <c r="EB104" s="80"/>
      <c r="EC104" s="25"/>
      <c r="ED104" s="85"/>
      <c r="EE104" s="80"/>
      <c r="EF104" s="25"/>
      <c r="EG104" s="25"/>
      <c r="EH104" s="85"/>
      <c r="EI104" s="80"/>
      <c r="EK104" t="s">
        <v>2445</v>
      </c>
      <c r="EL104" s="25" t="str">
        <f>$M104</f>
        <v>2025 Land Rover Range Rover P550 PHEV</v>
      </c>
      <c r="EM104" s="80"/>
      <c r="EP104" s="75"/>
      <c r="EQ104" s="90"/>
      <c r="ET104" s="75"/>
      <c r="EU104" s="90"/>
      <c r="EV104" s="75"/>
      <c r="EW104" s="90"/>
      <c r="EY104" s="75"/>
      <c r="EZ104" s="102"/>
      <c r="FA104" s="25" t="str">
        <f>$M104</f>
        <v>2025 Land Rover Range Rover P550 PHEV</v>
      </c>
      <c r="FB104" s="75"/>
      <c r="FC104" s="91"/>
      <c r="FD104" s="80"/>
      <c r="FE104" s="25"/>
      <c r="FF104" s="85"/>
      <c r="FG104" s="80"/>
      <c r="FH104" s="25"/>
      <c r="FI104" s="85"/>
      <c r="FJ104" s="80"/>
      <c r="FK104" s="25"/>
      <c r="FL104" s="85"/>
      <c r="FM104" s="25" t="str">
        <f>$M104</f>
        <v>2025 Land Rover Range Rover P550 PHEV</v>
      </c>
      <c r="FN104" s="25"/>
      <c r="FO104" s="85"/>
      <c r="FP104" s="92"/>
      <c r="FQ104" s="93"/>
      <c r="FR104" s="94"/>
      <c r="FS104" s="95"/>
      <c r="FT104" s="25"/>
      <c r="FU104" s="25"/>
      <c r="FV104" s="25"/>
      <c r="FW104" s="25"/>
      <c r="FX104" s="25"/>
      <c r="FY104" s="25"/>
      <c r="FZ104" s="25"/>
      <c r="GA104" s="25"/>
      <c r="GB104" s="25"/>
      <c r="GC104" s="25"/>
      <c r="GD104" s="25"/>
      <c r="GE104" s="25"/>
      <c r="GF104" s="25"/>
      <c r="GG104" s="25"/>
      <c r="GH104" s="25"/>
    </row>
    <row r="105" spans="1:190" s="76" customFormat="1" x14ac:dyDescent="0.35">
      <c r="A105" s="76">
        <v>2025</v>
      </c>
      <c r="B105" s="76" t="s">
        <v>1315</v>
      </c>
      <c r="C105" s="76" t="s">
        <v>1346</v>
      </c>
      <c r="D105" s="76" t="s">
        <v>2602</v>
      </c>
      <c r="E105" s="76" t="s">
        <v>1318</v>
      </c>
      <c r="F105" s="76">
        <v>279</v>
      </c>
      <c r="G105" s="78">
        <v>3</v>
      </c>
      <c r="H105" s="76">
        <v>6</v>
      </c>
      <c r="I105" s="79" t="s">
        <v>192</v>
      </c>
      <c r="J105" s="96">
        <v>21</v>
      </c>
      <c r="K105" s="76">
        <v>22</v>
      </c>
      <c r="L105" s="76">
        <v>21</v>
      </c>
      <c r="M105" s="76">
        <v>26.1</v>
      </c>
      <c r="N105" s="76">
        <v>34.9</v>
      </c>
      <c r="O105" s="76">
        <v>29.4405</v>
      </c>
      <c r="P105" s="76">
        <v>20.592400000000001</v>
      </c>
      <c r="Q105" s="76">
        <v>22.241900000000001</v>
      </c>
      <c r="R105" s="76">
        <v>21.3034</v>
      </c>
      <c r="T105" s="76" t="s">
        <v>165</v>
      </c>
      <c r="U105" s="76" t="s">
        <v>166</v>
      </c>
      <c r="V105" s="76" t="s">
        <v>193</v>
      </c>
      <c r="W105" s="76" t="s">
        <v>194</v>
      </c>
      <c r="Y105" s="76">
        <v>8</v>
      </c>
      <c r="Z105" s="76" t="s">
        <v>169</v>
      </c>
      <c r="AA105" s="76" t="s">
        <v>170</v>
      </c>
      <c r="AB105" s="76">
        <v>4</v>
      </c>
      <c r="AC105" s="76" t="s">
        <v>601</v>
      </c>
      <c r="AD105" s="76">
        <v>10</v>
      </c>
      <c r="AF105" s="76">
        <v>403</v>
      </c>
      <c r="AG105" s="76" t="s">
        <v>173</v>
      </c>
      <c r="AH105" s="76" t="s">
        <v>174</v>
      </c>
      <c r="AI105" s="76" t="s">
        <v>175</v>
      </c>
      <c r="AJ105" s="79" t="s">
        <v>176</v>
      </c>
      <c r="AK105" s="96" t="s">
        <v>940</v>
      </c>
      <c r="AL105" s="76" t="s">
        <v>941</v>
      </c>
      <c r="AR105" s="79"/>
      <c r="AS105" s="96">
        <v>1850</v>
      </c>
      <c r="AT105" s="79">
        <v>1850</v>
      </c>
      <c r="AU105" s="96">
        <v>65</v>
      </c>
      <c r="AV105" s="76">
        <v>59</v>
      </c>
      <c r="AW105" s="76">
        <v>63</v>
      </c>
      <c r="AX105" s="76">
        <v>46.3</v>
      </c>
      <c r="AY105" s="76">
        <v>42</v>
      </c>
      <c r="AZ105" s="76">
        <v>44.365000000000002</v>
      </c>
      <c r="BA105" s="76">
        <v>65.233000000000004</v>
      </c>
      <c r="BB105" s="76">
        <v>59.353000000000002</v>
      </c>
      <c r="BC105" s="76">
        <v>62.587000000000003</v>
      </c>
      <c r="BD105" s="76">
        <v>21</v>
      </c>
      <c r="BE105" s="76" t="s">
        <v>1735</v>
      </c>
      <c r="BF105" s="76" t="s">
        <v>1736</v>
      </c>
      <c r="BG105" s="76" t="s">
        <v>1742</v>
      </c>
      <c r="BH105" s="76" t="s">
        <v>1743</v>
      </c>
      <c r="BI105" s="76">
        <v>1850</v>
      </c>
      <c r="BJ105" s="2"/>
      <c r="BK105" s="2"/>
      <c r="BL105" s="2"/>
      <c r="BM105" s="79"/>
      <c r="BN105" s="98" t="s">
        <v>2493</v>
      </c>
      <c r="BO105" s="76">
        <v>2</v>
      </c>
      <c r="BP105" s="76">
        <v>2</v>
      </c>
      <c r="BQ105" s="76">
        <v>33</v>
      </c>
      <c r="BR105" s="76" t="s">
        <v>1497</v>
      </c>
      <c r="BT105" s="76" t="s">
        <v>2494</v>
      </c>
      <c r="BU105" s="99">
        <v>45460</v>
      </c>
      <c r="BV105" s="79">
        <v>34944</v>
      </c>
      <c r="BW105" s="120"/>
      <c r="BX105" s="96" t="s">
        <v>169</v>
      </c>
      <c r="BY105" s="76" t="s">
        <v>170</v>
      </c>
      <c r="CB105" s="76" t="s">
        <v>170</v>
      </c>
      <c r="CC105" s="76" t="s">
        <v>170</v>
      </c>
      <c r="CE105" s="76" t="s">
        <v>170</v>
      </c>
      <c r="CG105" s="76" t="s">
        <v>169</v>
      </c>
      <c r="CH105" s="76" t="s">
        <v>1323</v>
      </c>
      <c r="CI105" s="76" t="s">
        <v>169</v>
      </c>
      <c r="CJ105" s="76" t="s">
        <v>2603</v>
      </c>
      <c r="CK105" s="76" t="s">
        <v>233</v>
      </c>
      <c r="CM105" s="76">
        <v>1</v>
      </c>
      <c r="CN105" s="76" t="s">
        <v>234</v>
      </c>
      <c r="CP105" s="76">
        <v>398</v>
      </c>
      <c r="CQ105" s="76">
        <v>96</v>
      </c>
      <c r="CR105" s="76">
        <v>38.200000000000003</v>
      </c>
      <c r="CS105" s="76" t="s">
        <v>235</v>
      </c>
      <c r="CV105" s="76" t="s">
        <v>341</v>
      </c>
      <c r="CX105" s="76" t="s">
        <v>342</v>
      </c>
      <c r="CY105" s="76" t="s">
        <v>170</v>
      </c>
      <c r="DC105" s="76" t="s">
        <v>2604</v>
      </c>
      <c r="DD105" s="76">
        <v>1</v>
      </c>
      <c r="DE105" s="76" t="s">
        <v>663</v>
      </c>
      <c r="DG105" s="76">
        <v>105</v>
      </c>
      <c r="DJ105" s="76" t="s">
        <v>184</v>
      </c>
      <c r="DK105" s="76" t="s">
        <v>185</v>
      </c>
      <c r="DL105" s="76" t="s">
        <v>170</v>
      </c>
      <c r="DM105" s="76" t="s">
        <v>169</v>
      </c>
      <c r="DN105" s="76" t="s">
        <v>170</v>
      </c>
      <c r="DO105" s="76" t="s">
        <v>197</v>
      </c>
      <c r="DP105" s="76" t="s">
        <v>169</v>
      </c>
      <c r="DQ105" s="76" t="s">
        <v>198</v>
      </c>
      <c r="DR105" s="76" t="s">
        <v>2605</v>
      </c>
      <c r="DS105" s="76" t="s">
        <v>2496</v>
      </c>
      <c r="DT105" s="76" t="s">
        <v>2497</v>
      </c>
      <c r="DU105" s="76" t="s">
        <v>2579</v>
      </c>
      <c r="DV105" s="76" t="s">
        <v>2580</v>
      </c>
      <c r="DY105" s="76">
        <v>39</v>
      </c>
      <c r="DZ105" s="79"/>
      <c r="EA105" s="101"/>
      <c r="EB105" s="96">
        <v>7</v>
      </c>
      <c r="EC105" s="76">
        <v>9</v>
      </c>
      <c r="ED105" s="79"/>
      <c r="EE105" s="96" t="s">
        <v>2606</v>
      </c>
      <c r="EF105" s="76">
        <v>6</v>
      </c>
      <c r="EH105" s="79"/>
      <c r="EI105" s="96"/>
      <c r="EM105" s="96"/>
      <c r="EP105" s="79"/>
      <c r="EQ105" s="96"/>
      <c r="ET105" s="79"/>
      <c r="EU105" s="96">
        <v>250</v>
      </c>
      <c r="EV105" s="79"/>
      <c r="EW105" s="96">
        <v>0</v>
      </c>
      <c r="EX105" s="76">
        <v>0</v>
      </c>
      <c r="EY105" s="79">
        <v>0</v>
      </c>
      <c r="EZ105" s="102">
        <f>FI105</f>
        <v>102</v>
      </c>
      <c r="FA105" s="76">
        <v>4</v>
      </c>
      <c r="FB105" s="79"/>
      <c r="FC105" s="97">
        <v>460</v>
      </c>
      <c r="FD105" s="96">
        <v>37</v>
      </c>
      <c r="FE105" s="76">
        <v>41</v>
      </c>
      <c r="FF105" s="79">
        <v>39</v>
      </c>
      <c r="FG105" s="76">
        <v>111</v>
      </c>
      <c r="FH105" s="76">
        <v>91</v>
      </c>
      <c r="FI105" s="103">
        <v>102</v>
      </c>
      <c r="FJ105" s="104">
        <v>50.93</v>
      </c>
      <c r="FK105" s="105">
        <v>55.85</v>
      </c>
      <c r="FL105" s="79">
        <v>53</v>
      </c>
      <c r="FM105" s="76">
        <v>0.749</v>
      </c>
      <c r="FN105" s="76">
        <v>0.77300000000000002</v>
      </c>
      <c r="FO105" s="79">
        <v>0.76</v>
      </c>
      <c r="FP105" s="106">
        <v>0</v>
      </c>
      <c r="FQ105" s="107">
        <v>0</v>
      </c>
      <c r="FR105" s="107">
        <v>0</v>
      </c>
      <c r="FS105" s="108">
        <v>18.899999999999999</v>
      </c>
    </row>
    <row r="106" spans="1:190" s="76" customFormat="1" x14ac:dyDescent="0.35">
      <c r="A106" s="76">
        <v>2025</v>
      </c>
      <c r="B106" s="162" t="s">
        <v>1315</v>
      </c>
      <c r="C106" s="162" t="s">
        <v>1346</v>
      </c>
      <c r="D106" s="162" t="s">
        <v>2602</v>
      </c>
      <c r="E106" s="162" t="s">
        <v>1318</v>
      </c>
      <c r="F106" s="162">
        <v>279</v>
      </c>
      <c r="G106" s="162">
        <v>3</v>
      </c>
      <c r="H106" s="162">
        <v>6</v>
      </c>
      <c r="I106" s="163" t="s">
        <v>192</v>
      </c>
      <c r="J106" s="96">
        <f t="shared" ref="J106:R106" si="45">J105</f>
        <v>21</v>
      </c>
      <c r="K106" s="76">
        <f t="shared" si="45"/>
        <v>22</v>
      </c>
      <c r="L106" s="76">
        <f t="shared" si="45"/>
        <v>21</v>
      </c>
      <c r="M106" s="76">
        <f t="shared" si="45"/>
        <v>26.1</v>
      </c>
      <c r="N106" s="76">
        <f t="shared" si="45"/>
        <v>34.9</v>
      </c>
      <c r="O106" s="76">
        <f t="shared" si="45"/>
        <v>29.4405</v>
      </c>
      <c r="P106" s="76">
        <f t="shared" si="45"/>
        <v>20.592400000000001</v>
      </c>
      <c r="Q106" s="76">
        <f t="shared" si="45"/>
        <v>22.241900000000001</v>
      </c>
      <c r="R106" s="76">
        <f t="shared" si="45"/>
        <v>21.3034</v>
      </c>
      <c r="T106" s="76" t="str">
        <f>T105</f>
        <v>TC</v>
      </c>
      <c r="U106" s="76" t="str">
        <f>U105</f>
        <v>Turbocharged</v>
      </c>
      <c r="V106" s="76" t="str">
        <f>V105</f>
        <v>SA</v>
      </c>
      <c r="W106" s="76" t="str">
        <f>W105</f>
        <v>Semi-Automatic</v>
      </c>
      <c r="Y106" s="76">
        <f t="shared" ref="Y106:AD106" si="46">Y105</f>
        <v>8</v>
      </c>
      <c r="Z106" s="76" t="str">
        <f t="shared" si="46"/>
        <v>Y</v>
      </c>
      <c r="AA106" s="76" t="str">
        <f t="shared" si="46"/>
        <v>N</v>
      </c>
      <c r="AB106" s="76">
        <f t="shared" si="46"/>
        <v>4</v>
      </c>
      <c r="AC106" s="76" t="str">
        <f t="shared" si="46"/>
        <v>4-Wheel Drive</v>
      </c>
      <c r="AD106" s="76">
        <f t="shared" si="46"/>
        <v>10</v>
      </c>
      <c r="AF106" s="76">
        <f>AF105</f>
        <v>403</v>
      </c>
      <c r="AG106" s="76" t="str">
        <f>AG105</f>
        <v>GP</v>
      </c>
      <c r="AH106" s="76" t="str">
        <f>AH105</f>
        <v>Gasoline (Premium Unleaded Recommended)</v>
      </c>
      <c r="AI106" s="76" t="str">
        <f>AI105</f>
        <v>MPG</v>
      </c>
      <c r="AJ106" s="79" t="str">
        <f>AJ105</f>
        <v>miles per gallon</v>
      </c>
      <c r="AK106" s="96" t="s">
        <v>940</v>
      </c>
      <c r="AL106" s="76" t="s">
        <v>941</v>
      </c>
      <c r="AR106" s="79"/>
      <c r="AS106" s="96">
        <v>1850</v>
      </c>
      <c r="AT106" s="79">
        <v>1850</v>
      </c>
      <c r="AU106" s="96">
        <v>51</v>
      </c>
      <c r="AV106" s="76">
        <v>56</v>
      </c>
      <c r="AW106" s="76">
        <v>53</v>
      </c>
      <c r="AX106" s="76">
        <v>72.8</v>
      </c>
      <c r="AY106" s="76">
        <v>80.3</v>
      </c>
      <c r="AZ106" s="76">
        <v>75.994</v>
      </c>
      <c r="BA106" s="76">
        <v>51.216999999999999</v>
      </c>
      <c r="BB106" s="76">
        <v>56.210700000000003</v>
      </c>
      <c r="BC106" s="76">
        <v>53.349800000000002</v>
      </c>
      <c r="BD106" s="76">
        <v>21</v>
      </c>
      <c r="BE106" s="76" t="s">
        <v>1735</v>
      </c>
      <c r="BF106" s="76" t="s">
        <v>1736</v>
      </c>
      <c r="BG106" s="76" t="s">
        <v>175</v>
      </c>
      <c r="BH106" s="76" t="s">
        <v>176</v>
      </c>
      <c r="BI106" s="76">
        <v>1850</v>
      </c>
      <c r="BM106" s="79"/>
      <c r="BN106" s="98" t="s">
        <v>2493</v>
      </c>
      <c r="BO106" s="76">
        <v>2</v>
      </c>
      <c r="BP106" s="76">
        <v>2</v>
      </c>
      <c r="BQ106" s="76">
        <v>33</v>
      </c>
      <c r="BR106" s="76" t="s">
        <v>1497</v>
      </c>
      <c r="BT106" s="76" t="s">
        <v>2494</v>
      </c>
      <c r="BU106" s="99">
        <v>45460</v>
      </c>
      <c r="BV106" s="79">
        <v>34944</v>
      </c>
      <c r="BW106" s="120"/>
      <c r="BX106" s="96" t="s">
        <v>169</v>
      </c>
      <c r="BY106" s="76" t="s">
        <v>170</v>
      </c>
      <c r="CB106" s="76" t="s">
        <v>170</v>
      </c>
      <c r="CC106" s="76" t="s">
        <v>170</v>
      </c>
      <c r="CE106" s="76" t="s">
        <v>170</v>
      </c>
      <c r="CG106" s="76" t="s">
        <v>169</v>
      </c>
      <c r="CH106" s="76" t="s">
        <v>1323</v>
      </c>
      <c r="CI106" s="76" t="s">
        <v>169</v>
      </c>
      <c r="CJ106" s="76" t="s">
        <v>2603</v>
      </c>
      <c r="CK106" s="76" t="s">
        <v>233</v>
      </c>
      <c r="CM106" s="76">
        <v>1</v>
      </c>
      <c r="CN106" s="76" t="s">
        <v>234</v>
      </c>
      <c r="CP106" s="76">
        <v>398</v>
      </c>
      <c r="CQ106" s="76">
        <v>96</v>
      </c>
      <c r="CR106" s="76">
        <v>38.200000000000003</v>
      </c>
      <c r="CS106" s="76" t="s">
        <v>235</v>
      </c>
      <c r="CV106" s="76" t="s">
        <v>341</v>
      </c>
      <c r="CX106" s="76" t="s">
        <v>342</v>
      </c>
      <c r="CY106" s="76" t="s">
        <v>170</v>
      </c>
      <c r="DC106" s="76" t="s">
        <v>2604</v>
      </c>
      <c r="DD106" s="76">
        <v>1</v>
      </c>
      <c r="DE106" s="76" t="s">
        <v>663</v>
      </c>
      <c r="DG106" s="76">
        <v>105</v>
      </c>
      <c r="DJ106" s="76" t="s">
        <v>184</v>
      </c>
      <c r="DK106" s="76" t="s">
        <v>185</v>
      </c>
      <c r="DL106" s="76" t="s">
        <v>170</v>
      </c>
      <c r="DM106" s="76" t="s">
        <v>169</v>
      </c>
      <c r="DN106" s="76" t="s">
        <v>170</v>
      </c>
      <c r="DO106" s="76" t="s">
        <v>197</v>
      </c>
      <c r="DP106" s="76" t="s">
        <v>169</v>
      </c>
      <c r="DQ106" s="76" t="s">
        <v>198</v>
      </c>
      <c r="DR106" s="76" t="s">
        <v>2605</v>
      </c>
      <c r="DS106" s="76" t="s">
        <v>2496</v>
      </c>
      <c r="DT106" s="76" t="s">
        <v>2497</v>
      </c>
      <c r="DU106" s="76" t="s">
        <v>2579</v>
      </c>
      <c r="DV106" s="76" t="s">
        <v>2580</v>
      </c>
      <c r="DZ106" s="79"/>
      <c r="EA106" s="101"/>
      <c r="EB106" s="96">
        <v>7</v>
      </c>
      <c r="EC106" s="76">
        <v>9</v>
      </c>
      <c r="ED106" s="79"/>
      <c r="EE106" s="96" t="s">
        <v>2606</v>
      </c>
      <c r="EF106" s="76">
        <v>6</v>
      </c>
      <c r="EH106" s="79"/>
      <c r="EI106" s="96"/>
      <c r="EM106" s="96"/>
      <c r="EP106" s="79"/>
      <c r="EQ106" s="96"/>
      <c r="ET106" s="79"/>
      <c r="EU106" s="96">
        <v>250</v>
      </c>
      <c r="EV106" s="79"/>
      <c r="EW106" s="96">
        <v>433</v>
      </c>
      <c r="EX106" s="76">
        <v>402</v>
      </c>
      <c r="EY106" s="79">
        <v>419</v>
      </c>
      <c r="EZ106" s="102">
        <f>FI106</f>
        <v>102</v>
      </c>
      <c r="FA106" s="76">
        <v>4</v>
      </c>
      <c r="FB106" s="79"/>
      <c r="FC106" s="97">
        <v>460</v>
      </c>
      <c r="FD106" s="96">
        <v>37</v>
      </c>
      <c r="FE106" s="76">
        <v>41</v>
      </c>
      <c r="FF106" s="79">
        <v>39</v>
      </c>
      <c r="FG106" s="76">
        <v>111</v>
      </c>
      <c r="FH106" s="76">
        <v>91</v>
      </c>
      <c r="FI106" s="103">
        <v>102</v>
      </c>
      <c r="FJ106" s="98" t="s">
        <v>2607</v>
      </c>
      <c r="FK106" s="111"/>
      <c r="FL106" s="103"/>
      <c r="FM106" s="76">
        <v>0.749</v>
      </c>
      <c r="FN106" s="76">
        <v>0.77300000000000002</v>
      </c>
      <c r="FO106" s="79">
        <v>0.76</v>
      </c>
      <c r="FP106" s="106"/>
      <c r="FQ106" s="107"/>
      <c r="FR106" s="107"/>
      <c r="FS106" s="108">
        <v>18.899999999999999</v>
      </c>
    </row>
    <row r="107" spans="1:190" s="77" customFormat="1" x14ac:dyDescent="0.35">
      <c r="A107" s="76"/>
      <c r="E107" s="76"/>
      <c r="F107" s="76"/>
      <c r="G107" s="78"/>
      <c r="H107" s="76"/>
      <c r="I107" s="79"/>
      <c r="J107" s="80"/>
      <c r="K107" s="28"/>
      <c r="L107" s="28"/>
      <c r="M107" s="25" t="str">
        <f>_xlfn.CONCAT(A108," ",C108," ",D108)</f>
        <v>2025 Land Rover Range Rover Sport P460 PHEV</v>
      </c>
      <c r="N107" s="28"/>
      <c r="O107" s="28"/>
      <c r="P107" s="28"/>
      <c r="Q107" s="28"/>
      <c r="R107" s="28"/>
      <c r="S107" s="28"/>
      <c r="T107" s="28"/>
      <c r="U107" s="28"/>
      <c r="V107" s="28"/>
      <c r="W107" s="28"/>
      <c r="X107" s="28"/>
      <c r="Y107" s="28"/>
      <c r="Z107" s="28"/>
      <c r="AA107" s="28"/>
      <c r="AB107" s="28"/>
      <c r="AC107" s="28"/>
      <c r="AD107" s="25" t="str">
        <f>$M107</f>
        <v>2025 Land Rover Range Rover Sport P460 PHEV</v>
      </c>
      <c r="AE107" s="28"/>
      <c r="AF107" s="28"/>
      <c r="AG107" s="28"/>
      <c r="AH107" s="28"/>
      <c r="AI107" s="28"/>
      <c r="AJ107" s="81"/>
      <c r="AK107" s="82"/>
      <c r="AL107" s="2"/>
      <c r="AM107" s="2"/>
      <c r="AN107" s="2"/>
      <c r="AO107" s="2"/>
      <c r="AP107" s="2"/>
      <c r="AQ107" s="2"/>
      <c r="AR107" s="83"/>
      <c r="AS107" s="84"/>
      <c r="AT107" s="85" t="str">
        <f>$M107</f>
        <v>2025 Land Rover Range Rover Sport P460 PHEV</v>
      </c>
      <c r="AU107" s="84"/>
      <c r="AV107" s="28"/>
      <c r="AW107" s="28"/>
      <c r="AX107" s="28"/>
      <c r="AY107" s="28"/>
      <c r="AZ107" s="28"/>
      <c r="BA107" s="28"/>
      <c r="BB107" s="28"/>
      <c r="BC107" s="28"/>
      <c r="BD107" s="28"/>
      <c r="BE107" s="28"/>
      <c r="BF107" s="28"/>
      <c r="BG107" s="28"/>
      <c r="BH107" s="28"/>
      <c r="BI107" s="25" t="str">
        <f>$M107</f>
        <v>2025 Land Rover Range Rover Sport P460 PHEV</v>
      </c>
      <c r="BJ107" s="28"/>
      <c r="BK107" s="28"/>
      <c r="BL107" s="28"/>
      <c r="BM107" s="81"/>
      <c r="BN107" s="82"/>
      <c r="BO107" s="2"/>
      <c r="BP107" s="2"/>
      <c r="BQ107" s="2"/>
      <c r="BR107" s="2"/>
      <c r="BS107" s="2"/>
      <c r="BT107" s="86"/>
      <c r="BU107" s="2"/>
      <c r="BV107" s="83"/>
      <c r="BW107" s="121"/>
      <c r="BX107" s="84"/>
      <c r="BY107" s="25" t="str">
        <f>$M107</f>
        <v>2025 Land Rover Range Rover Sport P460 PHEV</v>
      </c>
      <c r="BZ107" s="28"/>
      <c r="CA107" s="28"/>
      <c r="CB107" s="28"/>
      <c r="CC107" s="28"/>
      <c r="CD107" s="28"/>
      <c r="CE107" s="88"/>
      <c r="CF107" s="28"/>
      <c r="CG107" s="28"/>
      <c r="CH107" s="28"/>
      <c r="CI107" s="28"/>
      <c r="CJ107" s="28"/>
      <c r="CK107" s="28"/>
      <c r="CL107" s="28"/>
      <c r="CM107" s="28"/>
      <c r="CN107" s="28"/>
      <c r="CO107" s="25" t="str">
        <f>$M107</f>
        <v>2025 Land Rover Range Rover Sport P460 PHEV</v>
      </c>
      <c r="CP107" s="28"/>
      <c r="CQ107" s="28"/>
      <c r="CR107" s="28"/>
      <c r="CS107" s="28"/>
      <c r="CT107" s="28"/>
      <c r="CU107" s="28"/>
      <c r="CV107" s="28"/>
      <c r="CW107" s="28"/>
      <c r="CX107" s="28"/>
      <c r="CY107" s="28"/>
      <c r="CZ107" s="28"/>
      <c r="DA107" s="28"/>
      <c r="DB107" s="28"/>
      <c r="DC107" s="28"/>
      <c r="DD107" s="28"/>
      <c r="DE107" s="28"/>
      <c r="DF107" s="25" t="str">
        <f>$M107</f>
        <v>2025 Land Rover Range Rover Sport P460 PHEV</v>
      </c>
      <c r="DG107" s="28"/>
      <c r="DH107" s="28"/>
      <c r="DI107" s="28"/>
      <c r="DJ107" s="28"/>
      <c r="DK107" s="28"/>
      <c r="DL107" s="28"/>
      <c r="DM107" s="28"/>
      <c r="DN107" s="28"/>
      <c r="DO107" s="28"/>
      <c r="DP107" s="28"/>
      <c r="DQ107" s="28"/>
      <c r="DR107" s="25"/>
      <c r="DS107" s="25"/>
      <c r="DT107" s="25"/>
      <c r="DU107" s="25"/>
      <c r="DV107" s="25"/>
      <c r="DW107" s="25" t="str">
        <f>$M107</f>
        <v>2025 Land Rover Range Rover Sport P460 PHEV</v>
      </c>
      <c r="DX107" s="25"/>
      <c r="DY107" s="25"/>
      <c r="DZ107" s="85"/>
      <c r="EA107" s="89"/>
      <c r="EB107" s="80"/>
      <c r="EC107" s="25"/>
      <c r="ED107" s="85"/>
      <c r="EE107" s="80"/>
      <c r="EF107" s="25"/>
      <c r="EG107" s="25"/>
      <c r="EH107" s="85"/>
      <c r="EI107" s="80"/>
      <c r="EK107" t="s">
        <v>2445</v>
      </c>
      <c r="EL107" s="25" t="str">
        <f>$M107</f>
        <v>2025 Land Rover Range Rover Sport P460 PHEV</v>
      </c>
      <c r="EM107" s="80"/>
      <c r="EP107" s="75"/>
      <c r="EQ107" s="90"/>
      <c r="ET107" s="75"/>
      <c r="EU107" s="90"/>
      <c r="EV107" s="75"/>
      <c r="EW107" s="90"/>
      <c r="EY107" s="75"/>
      <c r="EZ107" s="102"/>
      <c r="FA107" s="25" t="str">
        <f>$M107</f>
        <v>2025 Land Rover Range Rover Sport P460 PHEV</v>
      </c>
      <c r="FB107" s="75"/>
      <c r="FC107" s="91"/>
      <c r="FD107" s="80"/>
      <c r="FE107" s="25"/>
      <c r="FF107" s="85"/>
      <c r="FG107" s="80"/>
      <c r="FH107" s="25"/>
      <c r="FI107" s="85"/>
      <c r="FJ107" s="80"/>
      <c r="FK107" s="25"/>
      <c r="FL107" s="85"/>
      <c r="FM107" s="25" t="str">
        <f>$M107</f>
        <v>2025 Land Rover Range Rover Sport P460 PHEV</v>
      </c>
      <c r="FN107" s="25"/>
      <c r="FO107" s="85"/>
      <c r="FP107" s="92"/>
      <c r="FQ107" s="93"/>
      <c r="FR107" s="94"/>
      <c r="FS107" s="95"/>
      <c r="FT107" s="25"/>
      <c r="FU107" s="25"/>
      <c r="FV107" s="25"/>
      <c r="FW107" s="25"/>
      <c r="FX107" s="25"/>
      <c r="FY107" s="25"/>
      <c r="FZ107" s="25"/>
      <c r="GA107" s="25"/>
      <c r="GB107" s="25"/>
      <c r="GC107" s="25"/>
      <c r="GD107" s="25"/>
      <c r="GE107" s="25"/>
      <c r="GF107" s="25"/>
      <c r="GG107" s="25"/>
      <c r="GH107" s="25"/>
    </row>
    <row r="108" spans="1:190" s="76" customFormat="1" x14ac:dyDescent="0.35">
      <c r="A108" s="76">
        <v>2025</v>
      </c>
      <c r="B108" s="76" t="s">
        <v>1315</v>
      </c>
      <c r="C108" s="76" t="s">
        <v>1346</v>
      </c>
      <c r="D108" s="76" t="s">
        <v>2608</v>
      </c>
      <c r="E108" s="76" t="s">
        <v>1318</v>
      </c>
      <c r="F108" s="76">
        <v>48</v>
      </c>
      <c r="G108" s="78">
        <v>3</v>
      </c>
      <c r="H108" s="76">
        <v>6</v>
      </c>
      <c r="I108" s="79" t="s">
        <v>192</v>
      </c>
      <c r="J108" s="96">
        <v>21</v>
      </c>
      <c r="K108" s="76">
        <v>22</v>
      </c>
      <c r="L108" s="76">
        <v>21</v>
      </c>
      <c r="M108" s="76">
        <v>26.1</v>
      </c>
      <c r="N108" s="76">
        <v>34.9</v>
      </c>
      <c r="O108" s="76">
        <v>29.4405</v>
      </c>
      <c r="P108" s="76">
        <v>20.592400000000001</v>
      </c>
      <c r="Q108" s="76">
        <v>22.241900000000001</v>
      </c>
      <c r="R108" s="76">
        <v>21.3034</v>
      </c>
      <c r="T108" s="76" t="s">
        <v>165</v>
      </c>
      <c r="U108" s="76" t="s">
        <v>166</v>
      </c>
      <c r="V108" s="76" t="s">
        <v>193</v>
      </c>
      <c r="W108" s="76" t="s">
        <v>194</v>
      </c>
      <c r="Y108" s="76">
        <v>8</v>
      </c>
      <c r="Z108" s="76" t="s">
        <v>169</v>
      </c>
      <c r="AA108" s="76" t="s">
        <v>170</v>
      </c>
      <c r="AB108" s="76">
        <v>4</v>
      </c>
      <c r="AC108" s="76" t="s">
        <v>601</v>
      </c>
      <c r="AD108" s="76">
        <v>10</v>
      </c>
      <c r="AF108" s="76">
        <v>403</v>
      </c>
      <c r="AG108" s="76" t="s">
        <v>173</v>
      </c>
      <c r="AH108" s="76" t="s">
        <v>174</v>
      </c>
      <c r="AI108" s="76" t="s">
        <v>175</v>
      </c>
      <c r="AJ108" s="79" t="s">
        <v>176</v>
      </c>
      <c r="AK108" s="96" t="s">
        <v>940</v>
      </c>
      <c r="AL108" s="76" t="s">
        <v>941</v>
      </c>
      <c r="AR108" s="79"/>
      <c r="AS108" s="96">
        <v>1850</v>
      </c>
      <c r="AT108" s="79">
        <v>1850</v>
      </c>
      <c r="AU108" s="96">
        <v>65</v>
      </c>
      <c r="AV108" s="76">
        <v>59</v>
      </c>
      <c r="AW108" s="76">
        <v>63</v>
      </c>
      <c r="AX108" s="76">
        <v>46.3</v>
      </c>
      <c r="AY108" s="76">
        <v>42</v>
      </c>
      <c r="AZ108" s="76">
        <v>44.365000000000002</v>
      </c>
      <c r="BA108" s="76">
        <v>65.233000000000004</v>
      </c>
      <c r="BB108" s="76">
        <v>59.353000000000002</v>
      </c>
      <c r="BC108" s="76">
        <v>62.587000000000003</v>
      </c>
      <c r="BD108" s="76">
        <v>21</v>
      </c>
      <c r="BE108" s="76" t="s">
        <v>1735</v>
      </c>
      <c r="BF108" s="76" t="s">
        <v>1736</v>
      </c>
      <c r="BG108" s="76" t="s">
        <v>1742</v>
      </c>
      <c r="BH108" s="76" t="s">
        <v>1743</v>
      </c>
      <c r="BI108" s="76">
        <v>1850</v>
      </c>
      <c r="BJ108" s="2"/>
      <c r="BK108" s="2"/>
      <c r="BL108" s="2"/>
      <c r="BM108" s="79"/>
      <c r="BN108" s="98" t="s">
        <v>2493</v>
      </c>
      <c r="BO108" s="76">
        <v>2</v>
      </c>
      <c r="BP108" s="76">
        <v>2</v>
      </c>
      <c r="BQ108" s="76">
        <v>33</v>
      </c>
      <c r="BR108" s="76" t="s">
        <v>1497</v>
      </c>
      <c r="BT108" s="76" t="s">
        <v>2494</v>
      </c>
      <c r="BU108" s="99">
        <v>45460</v>
      </c>
      <c r="BV108" s="79">
        <v>34945</v>
      </c>
      <c r="BW108" s="120"/>
      <c r="BX108" s="96" t="s">
        <v>169</v>
      </c>
      <c r="BY108" s="76" t="s">
        <v>170</v>
      </c>
      <c r="CB108" s="76" t="s">
        <v>170</v>
      </c>
      <c r="CC108" s="76" t="s">
        <v>170</v>
      </c>
      <c r="CE108" s="76" t="s">
        <v>170</v>
      </c>
      <c r="CG108" s="76" t="s">
        <v>169</v>
      </c>
      <c r="CH108" s="76" t="s">
        <v>1323</v>
      </c>
      <c r="CI108" s="76" t="s">
        <v>169</v>
      </c>
      <c r="CJ108" s="76" t="s">
        <v>2603</v>
      </c>
      <c r="CK108" s="76" t="s">
        <v>233</v>
      </c>
      <c r="CM108" s="76">
        <v>1</v>
      </c>
      <c r="CN108" s="76" t="s">
        <v>234</v>
      </c>
      <c r="CP108" s="76">
        <v>398</v>
      </c>
      <c r="CQ108" s="76">
        <v>96</v>
      </c>
      <c r="CR108" s="76">
        <v>38.200000000000003</v>
      </c>
      <c r="CS108" s="76" t="s">
        <v>235</v>
      </c>
      <c r="CV108" s="76" t="s">
        <v>341</v>
      </c>
      <c r="CX108" s="76" t="s">
        <v>342</v>
      </c>
      <c r="CY108" s="76" t="s">
        <v>170</v>
      </c>
      <c r="DC108" s="76" t="s">
        <v>2604</v>
      </c>
      <c r="DD108" s="76">
        <v>1</v>
      </c>
      <c r="DE108" s="76" t="s">
        <v>663</v>
      </c>
      <c r="DG108" s="76">
        <v>105</v>
      </c>
      <c r="DJ108" s="76" t="s">
        <v>184</v>
      </c>
      <c r="DK108" s="76" t="s">
        <v>185</v>
      </c>
      <c r="DL108" s="76" t="s">
        <v>170</v>
      </c>
      <c r="DM108" s="76" t="s">
        <v>169</v>
      </c>
      <c r="DN108" s="76" t="s">
        <v>170</v>
      </c>
      <c r="DO108" s="76" t="s">
        <v>197</v>
      </c>
      <c r="DP108" s="76" t="s">
        <v>169</v>
      </c>
      <c r="DQ108" s="76" t="s">
        <v>198</v>
      </c>
      <c r="DR108" s="76" t="s">
        <v>2609</v>
      </c>
      <c r="DS108" s="76" t="s">
        <v>2496</v>
      </c>
      <c r="DT108" s="76" t="s">
        <v>2497</v>
      </c>
      <c r="DU108" s="76" t="s">
        <v>2579</v>
      </c>
      <c r="DV108" s="76" t="s">
        <v>2580</v>
      </c>
      <c r="DY108" s="76">
        <v>39</v>
      </c>
      <c r="DZ108" s="79"/>
      <c r="EA108" s="101"/>
      <c r="EB108" s="96">
        <v>7</v>
      </c>
      <c r="EC108" s="76">
        <v>9</v>
      </c>
      <c r="ED108" s="79"/>
      <c r="EE108" s="96" t="s">
        <v>2606</v>
      </c>
      <c r="EF108" s="76">
        <v>6</v>
      </c>
      <c r="EH108" s="79"/>
      <c r="EI108" s="96"/>
      <c r="EM108" s="96"/>
      <c r="EP108" s="79"/>
      <c r="EQ108" s="96"/>
      <c r="ET108" s="79"/>
      <c r="EU108" s="96">
        <v>250</v>
      </c>
      <c r="EV108" s="79"/>
      <c r="EW108" s="96">
        <v>0</v>
      </c>
      <c r="EX108" s="76">
        <v>0</v>
      </c>
      <c r="EY108" s="79">
        <v>0</v>
      </c>
      <c r="EZ108" s="102">
        <f>FI108</f>
        <v>102</v>
      </c>
      <c r="FA108" s="76">
        <v>4</v>
      </c>
      <c r="FB108" s="79"/>
      <c r="FC108" s="97">
        <v>460</v>
      </c>
      <c r="FD108" s="96">
        <v>37</v>
      </c>
      <c r="FE108" s="76">
        <v>41</v>
      </c>
      <c r="FF108" s="79">
        <v>39</v>
      </c>
      <c r="FG108" s="76">
        <v>111</v>
      </c>
      <c r="FH108" s="76">
        <v>91</v>
      </c>
      <c r="FI108" s="103">
        <v>102</v>
      </c>
      <c r="FJ108" s="104">
        <v>50.93</v>
      </c>
      <c r="FK108" s="105">
        <v>55.85</v>
      </c>
      <c r="FL108" s="79">
        <v>53</v>
      </c>
      <c r="FM108" s="76">
        <v>0.749</v>
      </c>
      <c r="FN108" s="76">
        <v>0.77300000000000002</v>
      </c>
      <c r="FO108" s="79">
        <v>0.76</v>
      </c>
      <c r="FP108" s="106">
        <v>0</v>
      </c>
      <c r="FQ108" s="107">
        <v>0</v>
      </c>
      <c r="FR108" s="107">
        <v>0</v>
      </c>
      <c r="FS108" s="108">
        <v>18.899999999999999</v>
      </c>
    </row>
    <row r="109" spans="1:190" s="76" customFormat="1" x14ac:dyDescent="0.35">
      <c r="A109" s="76">
        <v>2025</v>
      </c>
      <c r="B109" s="162" t="s">
        <v>1315</v>
      </c>
      <c r="C109" s="162" t="s">
        <v>1346</v>
      </c>
      <c r="D109" s="162" t="s">
        <v>2608</v>
      </c>
      <c r="E109" s="162" t="s">
        <v>1318</v>
      </c>
      <c r="F109" s="162">
        <v>48</v>
      </c>
      <c r="G109" s="162">
        <v>3</v>
      </c>
      <c r="H109" s="162">
        <v>6</v>
      </c>
      <c r="I109" s="163" t="s">
        <v>192</v>
      </c>
      <c r="J109" s="96">
        <f t="shared" ref="J109:R109" si="47">J108</f>
        <v>21</v>
      </c>
      <c r="K109" s="76">
        <f t="shared" si="47"/>
        <v>22</v>
      </c>
      <c r="L109" s="76">
        <f t="shared" si="47"/>
        <v>21</v>
      </c>
      <c r="M109" s="76">
        <f t="shared" si="47"/>
        <v>26.1</v>
      </c>
      <c r="N109" s="76">
        <f t="shared" si="47"/>
        <v>34.9</v>
      </c>
      <c r="O109" s="76">
        <f t="shared" si="47"/>
        <v>29.4405</v>
      </c>
      <c r="P109" s="76">
        <f t="shared" si="47"/>
        <v>20.592400000000001</v>
      </c>
      <c r="Q109" s="76">
        <f t="shared" si="47"/>
        <v>22.241900000000001</v>
      </c>
      <c r="R109" s="76">
        <f t="shared" si="47"/>
        <v>21.3034</v>
      </c>
      <c r="T109" s="76" t="str">
        <f>T108</f>
        <v>TC</v>
      </c>
      <c r="U109" s="76" t="str">
        <f>U108</f>
        <v>Turbocharged</v>
      </c>
      <c r="V109" s="76" t="str">
        <f>V108</f>
        <v>SA</v>
      </c>
      <c r="W109" s="76" t="str">
        <f>W108</f>
        <v>Semi-Automatic</v>
      </c>
      <c r="Y109" s="76">
        <f t="shared" ref="Y109:AD109" si="48">Y108</f>
        <v>8</v>
      </c>
      <c r="Z109" s="76" t="str">
        <f t="shared" si="48"/>
        <v>Y</v>
      </c>
      <c r="AA109" s="76" t="str">
        <f t="shared" si="48"/>
        <v>N</v>
      </c>
      <c r="AB109" s="76">
        <f t="shared" si="48"/>
        <v>4</v>
      </c>
      <c r="AC109" s="76" t="str">
        <f t="shared" si="48"/>
        <v>4-Wheel Drive</v>
      </c>
      <c r="AD109" s="76">
        <f t="shared" si="48"/>
        <v>10</v>
      </c>
      <c r="AF109" s="76">
        <f>AF108</f>
        <v>403</v>
      </c>
      <c r="AG109" s="76" t="str">
        <f>AG108</f>
        <v>GP</v>
      </c>
      <c r="AH109" s="76" t="str">
        <f>AH108</f>
        <v>Gasoline (Premium Unleaded Recommended)</v>
      </c>
      <c r="AI109" s="76" t="str">
        <f>AI108</f>
        <v>MPG</v>
      </c>
      <c r="AJ109" s="79" t="str">
        <f>AJ108</f>
        <v>miles per gallon</v>
      </c>
      <c r="AK109" s="96" t="s">
        <v>940</v>
      </c>
      <c r="AL109" s="76" t="s">
        <v>941</v>
      </c>
      <c r="AR109" s="79"/>
      <c r="AS109" s="96">
        <v>1850</v>
      </c>
      <c r="AT109" s="79">
        <v>1850</v>
      </c>
      <c r="AU109" s="96">
        <v>51</v>
      </c>
      <c r="AV109" s="76">
        <v>56</v>
      </c>
      <c r="AW109" s="76">
        <v>53</v>
      </c>
      <c r="AX109" s="76">
        <v>72.8</v>
      </c>
      <c r="AY109" s="76">
        <v>80.3</v>
      </c>
      <c r="AZ109" s="76">
        <v>75.994</v>
      </c>
      <c r="BA109" s="76">
        <v>51.216999999999999</v>
      </c>
      <c r="BB109" s="76">
        <v>56.210700000000003</v>
      </c>
      <c r="BC109" s="76">
        <v>53.349800000000002</v>
      </c>
      <c r="BD109" s="76">
        <v>21</v>
      </c>
      <c r="BE109" s="76" t="s">
        <v>1735</v>
      </c>
      <c r="BF109" s="76" t="s">
        <v>1736</v>
      </c>
      <c r="BG109" s="76" t="s">
        <v>175</v>
      </c>
      <c r="BH109" s="76" t="s">
        <v>176</v>
      </c>
      <c r="BI109" s="76">
        <v>1850</v>
      </c>
      <c r="BM109" s="79"/>
      <c r="BN109" s="98" t="s">
        <v>2493</v>
      </c>
      <c r="BO109" s="76">
        <v>2</v>
      </c>
      <c r="BP109" s="76">
        <v>2</v>
      </c>
      <c r="BQ109" s="76">
        <v>33</v>
      </c>
      <c r="BR109" s="76" t="s">
        <v>1497</v>
      </c>
      <c r="BT109" s="76" t="s">
        <v>2494</v>
      </c>
      <c r="BU109" s="99">
        <v>45460</v>
      </c>
      <c r="BV109" s="79">
        <v>34945</v>
      </c>
      <c r="BW109" s="120"/>
      <c r="BX109" s="96" t="s">
        <v>169</v>
      </c>
      <c r="BY109" s="76" t="s">
        <v>170</v>
      </c>
      <c r="CB109" s="76" t="s">
        <v>170</v>
      </c>
      <c r="CC109" s="76" t="s">
        <v>170</v>
      </c>
      <c r="CE109" s="76" t="s">
        <v>170</v>
      </c>
      <c r="CG109" s="76" t="s">
        <v>169</v>
      </c>
      <c r="CH109" s="76" t="s">
        <v>1323</v>
      </c>
      <c r="CI109" s="76" t="s">
        <v>169</v>
      </c>
      <c r="CJ109" s="76" t="s">
        <v>2603</v>
      </c>
      <c r="CK109" s="76" t="s">
        <v>233</v>
      </c>
      <c r="CM109" s="76">
        <v>1</v>
      </c>
      <c r="CN109" s="76" t="s">
        <v>234</v>
      </c>
      <c r="CP109" s="76">
        <v>398</v>
      </c>
      <c r="CQ109" s="76">
        <v>96</v>
      </c>
      <c r="CR109" s="76">
        <v>38.200000000000003</v>
      </c>
      <c r="CS109" s="76" t="s">
        <v>235</v>
      </c>
      <c r="CV109" s="76" t="s">
        <v>341</v>
      </c>
      <c r="CX109" s="76" t="s">
        <v>342</v>
      </c>
      <c r="CY109" s="76" t="s">
        <v>170</v>
      </c>
      <c r="DC109" s="76" t="s">
        <v>2604</v>
      </c>
      <c r="DD109" s="76">
        <v>1</v>
      </c>
      <c r="DE109" s="76" t="s">
        <v>663</v>
      </c>
      <c r="DG109" s="76">
        <v>105</v>
      </c>
      <c r="DJ109" s="76" t="s">
        <v>184</v>
      </c>
      <c r="DK109" s="76" t="s">
        <v>185</v>
      </c>
      <c r="DL109" s="76" t="s">
        <v>170</v>
      </c>
      <c r="DM109" s="76" t="s">
        <v>169</v>
      </c>
      <c r="DN109" s="76" t="s">
        <v>170</v>
      </c>
      <c r="DO109" s="76" t="s">
        <v>197</v>
      </c>
      <c r="DP109" s="76" t="s">
        <v>169</v>
      </c>
      <c r="DQ109" s="76" t="s">
        <v>198</v>
      </c>
      <c r="DR109" s="76" t="s">
        <v>2609</v>
      </c>
      <c r="DS109" s="76" t="s">
        <v>2496</v>
      </c>
      <c r="DT109" s="76" t="s">
        <v>2497</v>
      </c>
      <c r="DU109" s="76" t="s">
        <v>2579</v>
      </c>
      <c r="DV109" s="76" t="s">
        <v>2580</v>
      </c>
      <c r="DZ109" s="79"/>
      <c r="EA109" s="101"/>
      <c r="EB109" s="96">
        <v>7</v>
      </c>
      <c r="EC109" s="76">
        <v>9</v>
      </c>
      <c r="ED109" s="79"/>
      <c r="EE109" s="96" t="s">
        <v>2606</v>
      </c>
      <c r="EF109" s="76">
        <v>6</v>
      </c>
      <c r="EH109" s="79"/>
      <c r="EI109" s="96"/>
      <c r="EM109" s="96"/>
      <c r="EP109" s="79"/>
      <c r="EQ109" s="96"/>
      <c r="ET109" s="79"/>
      <c r="EU109" s="96">
        <v>250</v>
      </c>
      <c r="EV109" s="79"/>
      <c r="EW109" s="96">
        <v>433</v>
      </c>
      <c r="EX109" s="76">
        <v>402</v>
      </c>
      <c r="EY109" s="79">
        <v>419</v>
      </c>
      <c r="EZ109" s="102">
        <f>FI109</f>
        <v>102</v>
      </c>
      <c r="FA109" s="76">
        <v>4</v>
      </c>
      <c r="FB109" s="79"/>
      <c r="FC109" s="97">
        <v>460</v>
      </c>
      <c r="FD109" s="96">
        <v>37</v>
      </c>
      <c r="FE109" s="76">
        <v>41</v>
      </c>
      <c r="FF109" s="79">
        <v>39</v>
      </c>
      <c r="FG109" s="76">
        <v>111</v>
      </c>
      <c r="FH109" s="76">
        <v>91</v>
      </c>
      <c r="FI109" s="103">
        <v>102</v>
      </c>
      <c r="FJ109" s="98" t="s">
        <v>2607</v>
      </c>
      <c r="FK109" s="111"/>
      <c r="FL109" s="103"/>
      <c r="FM109" s="76">
        <v>0.749</v>
      </c>
      <c r="FN109" s="76">
        <v>0.77300000000000002</v>
      </c>
      <c r="FO109" s="79">
        <v>0.76</v>
      </c>
      <c r="FP109" s="106"/>
      <c r="FQ109" s="107"/>
      <c r="FR109" s="107"/>
      <c r="FS109" s="108">
        <v>18.899999999999999</v>
      </c>
    </row>
    <row r="110" spans="1:190" s="77" customFormat="1" x14ac:dyDescent="0.35">
      <c r="A110" s="76"/>
      <c r="E110" s="76"/>
      <c r="F110" s="76"/>
      <c r="G110" s="78"/>
      <c r="H110" s="76"/>
      <c r="I110" s="79"/>
      <c r="J110" s="80"/>
      <c r="K110" s="28"/>
      <c r="L110" s="28"/>
      <c r="M110" s="25" t="str">
        <f>_xlfn.CONCAT(A111," ",C111," ",D111)</f>
        <v>2025 LEXUS NX 450h+ AWD</v>
      </c>
      <c r="N110" s="28"/>
      <c r="O110" s="28"/>
      <c r="P110" s="28"/>
      <c r="Q110" s="28"/>
      <c r="R110" s="28"/>
      <c r="S110" s="28"/>
      <c r="T110" s="28"/>
      <c r="U110" s="28"/>
      <c r="V110" s="28"/>
      <c r="W110" s="28"/>
      <c r="X110" s="28"/>
      <c r="Y110" s="28"/>
      <c r="Z110" s="28"/>
      <c r="AA110" s="28"/>
      <c r="AB110" s="28"/>
      <c r="AC110" s="28"/>
      <c r="AD110" s="25" t="str">
        <f>$M110</f>
        <v>2025 LEXUS NX 450h+ AWD</v>
      </c>
      <c r="AE110" s="28"/>
      <c r="AF110" s="28"/>
      <c r="AG110" s="28"/>
      <c r="AH110" s="28"/>
      <c r="AI110" s="28"/>
      <c r="AJ110" s="81"/>
      <c r="AK110" s="82"/>
      <c r="AL110" s="2"/>
      <c r="AM110" s="2"/>
      <c r="AN110" s="2"/>
      <c r="AO110" s="2"/>
      <c r="AP110" s="2"/>
      <c r="AQ110" s="2"/>
      <c r="AR110" s="83"/>
      <c r="AS110" s="84"/>
      <c r="AT110" s="85" t="str">
        <f>$M110</f>
        <v>2025 LEXUS NX 450h+ AWD</v>
      </c>
      <c r="AU110" s="84"/>
      <c r="AV110" s="28"/>
      <c r="AW110" s="28"/>
      <c r="AX110" s="28"/>
      <c r="AY110" s="28"/>
      <c r="AZ110" s="28"/>
      <c r="BA110" s="28"/>
      <c r="BB110" s="28"/>
      <c r="BC110" s="28"/>
      <c r="BD110" s="28"/>
      <c r="BE110" s="28"/>
      <c r="BF110" s="28"/>
      <c r="BG110" s="28"/>
      <c r="BH110" s="28"/>
      <c r="BI110" s="25" t="str">
        <f>$M110</f>
        <v>2025 LEXUS NX 450h+ AWD</v>
      </c>
      <c r="BJ110" s="28"/>
      <c r="BK110" s="28"/>
      <c r="BL110" s="28"/>
      <c r="BM110" s="81"/>
      <c r="BN110" s="82"/>
      <c r="BO110" s="2"/>
      <c r="BP110" s="2"/>
      <c r="BQ110" s="2"/>
      <c r="BR110" s="2"/>
      <c r="BS110" s="2"/>
      <c r="BT110" s="86"/>
      <c r="BU110" s="2"/>
      <c r="BV110" s="83"/>
      <c r="BW110" s="121"/>
      <c r="BX110" s="84"/>
      <c r="BY110" s="25" t="str">
        <f>$M110</f>
        <v>2025 LEXUS NX 450h+ AWD</v>
      </c>
      <c r="BZ110" s="28"/>
      <c r="CA110" s="28"/>
      <c r="CB110" s="28"/>
      <c r="CC110" s="28"/>
      <c r="CD110" s="28"/>
      <c r="CE110" s="88"/>
      <c r="CF110" s="28"/>
      <c r="CG110" s="28"/>
      <c r="CH110" s="28"/>
      <c r="CI110" s="28"/>
      <c r="CJ110" s="28"/>
      <c r="CK110" s="28"/>
      <c r="CL110" s="28"/>
      <c r="CM110" s="28"/>
      <c r="CN110" s="28"/>
      <c r="CO110" s="25" t="str">
        <f>$M110</f>
        <v>2025 LEXUS NX 450h+ AWD</v>
      </c>
      <c r="CP110" s="28"/>
      <c r="CQ110" s="28"/>
      <c r="CR110" s="28"/>
      <c r="CS110" s="28"/>
      <c r="CT110" s="28"/>
      <c r="CU110" s="28"/>
      <c r="CV110" s="28"/>
      <c r="CW110" s="28"/>
      <c r="CX110" s="28"/>
      <c r="CY110" s="28"/>
      <c r="CZ110" s="28"/>
      <c r="DA110" s="28"/>
      <c r="DB110" s="28"/>
      <c r="DC110" s="28"/>
      <c r="DD110" s="28"/>
      <c r="DE110" s="28"/>
      <c r="DF110" s="25" t="str">
        <f>$M110</f>
        <v>2025 LEXUS NX 450h+ AWD</v>
      </c>
      <c r="DG110" s="28"/>
      <c r="DH110" s="28"/>
      <c r="DI110" s="28"/>
      <c r="DJ110" s="28"/>
      <c r="DK110" s="28"/>
      <c r="DL110" s="28"/>
      <c r="DM110" s="28"/>
      <c r="DN110" s="28"/>
      <c r="DO110" s="28"/>
      <c r="DP110" s="28"/>
      <c r="DQ110" s="28"/>
      <c r="DR110" s="25"/>
      <c r="DS110" s="25"/>
      <c r="DT110" s="25"/>
      <c r="DU110" s="25"/>
      <c r="DV110" s="25"/>
      <c r="DW110" s="25" t="str">
        <f>$M110</f>
        <v>2025 LEXUS NX 450h+ AWD</v>
      </c>
      <c r="DX110" s="25"/>
      <c r="DY110" s="25"/>
      <c r="DZ110" s="85"/>
      <c r="EA110" s="89"/>
      <c r="EB110" s="80"/>
      <c r="EC110" s="25"/>
      <c r="ED110" s="85"/>
      <c r="EE110" s="80"/>
      <c r="EF110" s="25"/>
      <c r="EG110" s="25"/>
      <c r="EH110" s="85"/>
      <c r="EI110" s="80"/>
      <c r="EK110" t="s">
        <v>2445</v>
      </c>
      <c r="EL110" s="25" t="str">
        <f>$M110</f>
        <v>2025 LEXUS NX 450h+ AWD</v>
      </c>
      <c r="EM110" s="80"/>
      <c r="EP110" s="75"/>
      <c r="EQ110" s="90"/>
      <c r="ET110" s="75"/>
      <c r="EU110" s="90"/>
      <c r="EV110" s="75"/>
      <c r="EW110" s="90"/>
      <c r="EY110" s="75"/>
      <c r="EZ110" s="102"/>
      <c r="FA110" s="25" t="str">
        <f>$M110</f>
        <v>2025 LEXUS NX 450h+ AWD</v>
      </c>
      <c r="FB110" s="75"/>
      <c r="FC110" s="91"/>
      <c r="FD110" s="80"/>
      <c r="FE110" s="25"/>
      <c r="FF110" s="85"/>
      <c r="FG110" s="80"/>
      <c r="FH110" s="25"/>
      <c r="FI110" s="85"/>
      <c r="FJ110" s="80"/>
      <c r="FK110" s="25"/>
      <c r="FL110" s="85"/>
      <c r="FM110" s="25" t="str">
        <f>$M110</f>
        <v>2025 LEXUS NX 450h+ AWD</v>
      </c>
      <c r="FN110" s="25"/>
      <c r="FO110" s="85"/>
      <c r="FP110" s="92"/>
      <c r="FQ110" s="93"/>
      <c r="FR110" s="94"/>
      <c r="FS110" s="95"/>
      <c r="FT110" s="25"/>
      <c r="FU110" s="25"/>
      <c r="FV110" s="25"/>
      <c r="FW110" s="25"/>
      <c r="FX110" s="25"/>
      <c r="FY110" s="25"/>
      <c r="FZ110" s="25"/>
      <c r="GA110" s="25"/>
      <c r="GB110" s="25"/>
      <c r="GC110" s="25"/>
      <c r="GD110" s="25"/>
      <c r="GE110" s="25"/>
      <c r="GF110" s="25"/>
      <c r="GG110" s="25"/>
      <c r="GH110" s="25"/>
    </row>
    <row r="111" spans="1:190" s="76" customFormat="1" x14ac:dyDescent="0.35">
      <c r="A111" s="76">
        <v>2025</v>
      </c>
      <c r="B111" s="76" t="s">
        <v>327</v>
      </c>
      <c r="C111" s="76" t="s">
        <v>328</v>
      </c>
      <c r="D111" s="76" t="s">
        <v>2610</v>
      </c>
      <c r="E111" s="76" t="s">
        <v>330</v>
      </c>
      <c r="F111" s="76">
        <v>7</v>
      </c>
      <c r="G111" s="78">
        <v>2.5</v>
      </c>
      <c r="H111" s="76">
        <v>4</v>
      </c>
      <c r="I111" s="79" t="s">
        <v>594</v>
      </c>
      <c r="J111" s="96">
        <v>38</v>
      </c>
      <c r="K111" s="76">
        <v>33</v>
      </c>
      <c r="L111" s="76">
        <v>36</v>
      </c>
      <c r="M111" s="76">
        <v>49.649900000000002</v>
      </c>
      <c r="N111" s="76">
        <v>47.549900000000001</v>
      </c>
      <c r="O111" s="76">
        <v>48.682400000000001</v>
      </c>
      <c r="P111" s="76">
        <v>37.589399999999998</v>
      </c>
      <c r="Q111" s="76">
        <v>33.274799999999999</v>
      </c>
      <c r="R111" s="76">
        <v>35.517000000000003</v>
      </c>
      <c r="T111" s="76" t="s">
        <v>2557</v>
      </c>
      <c r="U111" s="76" t="s">
        <v>224</v>
      </c>
      <c r="V111" s="76" t="s">
        <v>463</v>
      </c>
      <c r="W111" s="76" t="s">
        <v>464</v>
      </c>
      <c r="Y111" s="76">
        <v>6</v>
      </c>
      <c r="Z111" s="76" t="s">
        <v>170</v>
      </c>
      <c r="AA111" s="76" t="s">
        <v>170</v>
      </c>
      <c r="AB111" s="76" t="s">
        <v>167</v>
      </c>
      <c r="AC111" s="76" t="s">
        <v>213</v>
      </c>
      <c r="AD111" s="76">
        <v>15</v>
      </c>
      <c r="AF111" s="76">
        <v>517</v>
      </c>
      <c r="AG111" s="76" t="s">
        <v>173</v>
      </c>
      <c r="AH111" s="76" t="s">
        <v>174</v>
      </c>
      <c r="AI111" s="76" t="s">
        <v>175</v>
      </c>
      <c r="AJ111" s="79" t="s">
        <v>176</v>
      </c>
      <c r="AK111" s="96" t="s">
        <v>940</v>
      </c>
      <c r="AL111" s="76" t="s">
        <v>941</v>
      </c>
      <c r="AR111" s="79"/>
      <c r="AS111" s="96">
        <v>1250</v>
      </c>
      <c r="AT111" s="79">
        <v>1250</v>
      </c>
      <c r="AU111" s="96">
        <v>36</v>
      </c>
      <c r="AV111" s="76">
        <v>45</v>
      </c>
      <c r="AW111" s="76">
        <v>40</v>
      </c>
      <c r="AX111" s="76">
        <v>25.4</v>
      </c>
      <c r="AY111" s="76">
        <v>31.3</v>
      </c>
      <c r="AZ111" s="76">
        <v>28.055</v>
      </c>
      <c r="BA111" s="76">
        <v>36.295000000000002</v>
      </c>
      <c r="BB111" s="76">
        <v>44.753999999999998</v>
      </c>
      <c r="BC111" s="76">
        <v>40.101599999999998</v>
      </c>
      <c r="BD111" s="76">
        <v>37</v>
      </c>
      <c r="BE111" s="76" t="s">
        <v>1735</v>
      </c>
      <c r="BF111" s="76" t="s">
        <v>1736</v>
      </c>
      <c r="BG111" s="76" t="s">
        <v>1742</v>
      </c>
      <c r="BH111" s="76" t="s">
        <v>1743</v>
      </c>
      <c r="BI111" s="76">
        <v>1250</v>
      </c>
      <c r="BJ111" s="2"/>
      <c r="BK111" s="2"/>
      <c r="BL111" s="2"/>
      <c r="BM111" s="79"/>
      <c r="BN111" s="98" t="s">
        <v>2611</v>
      </c>
      <c r="BO111" s="76">
        <v>2</v>
      </c>
      <c r="BP111" s="76">
        <v>2</v>
      </c>
      <c r="BQ111" s="76">
        <v>31</v>
      </c>
      <c r="BR111" s="76" t="s">
        <v>1219</v>
      </c>
      <c r="BT111" s="76" t="s">
        <v>2494</v>
      </c>
      <c r="BU111" s="99">
        <v>45399</v>
      </c>
      <c r="BV111" s="79">
        <v>34575</v>
      </c>
      <c r="BW111" s="120"/>
      <c r="BX111" s="96" t="s">
        <v>170</v>
      </c>
      <c r="BY111" s="76" t="s">
        <v>170</v>
      </c>
      <c r="CB111" s="76" t="s">
        <v>170</v>
      </c>
      <c r="CC111" s="76" t="s">
        <v>170</v>
      </c>
      <c r="CD111" s="76" t="s">
        <v>2612</v>
      </c>
      <c r="CE111" s="76" t="s">
        <v>170</v>
      </c>
      <c r="CG111" s="76" t="s">
        <v>169</v>
      </c>
      <c r="CH111" s="76" t="s">
        <v>333</v>
      </c>
      <c r="CI111" s="76" t="s">
        <v>170</v>
      </c>
      <c r="CK111" s="76" t="s">
        <v>233</v>
      </c>
      <c r="CM111" s="76">
        <v>1</v>
      </c>
      <c r="CN111" s="76" t="s">
        <v>234</v>
      </c>
      <c r="CP111" s="76">
        <v>355</v>
      </c>
      <c r="CQ111" s="76">
        <v>51</v>
      </c>
      <c r="CR111" s="76">
        <v>218.2</v>
      </c>
      <c r="CS111" s="76" t="s">
        <v>235</v>
      </c>
      <c r="CV111" s="76" t="s">
        <v>341</v>
      </c>
      <c r="CX111" s="76" t="s">
        <v>342</v>
      </c>
      <c r="CY111" s="76" t="s">
        <v>170</v>
      </c>
      <c r="DC111" s="76" t="s">
        <v>2613</v>
      </c>
      <c r="DD111" s="76">
        <v>2</v>
      </c>
      <c r="DE111" s="76" t="s">
        <v>404</v>
      </c>
      <c r="DF111" s="76" t="s">
        <v>638</v>
      </c>
      <c r="DG111" s="76" t="s">
        <v>1492</v>
      </c>
      <c r="DJ111" s="76" t="s">
        <v>267</v>
      </c>
      <c r="DK111" s="76" t="s">
        <v>268</v>
      </c>
      <c r="DL111" s="76" t="s">
        <v>170</v>
      </c>
      <c r="DM111" s="76" t="s">
        <v>169</v>
      </c>
      <c r="DN111" s="76" t="s">
        <v>170</v>
      </c>
      <c r="DO111" s="76" t="s">
        <v>640</v>
      </c>
      <c r="DP111" s="76" t="s">
        <v>169</v>
      </c>
      <c r="DQ111" s="76" t="s">
        <v>198</v>
      </c>
      <c r="DR111" s="76" t="s">
        <v>2451</v>
      </c>
      <c r="DS111" s="76" t="s">
        <v>2496</v>
      </c>
      <c r="DT111" s="76" t="s">
        <v>2497</v>
      </c>
      <c r="DU111" s="76" t="s">
        <v>2498</v>
      </c>
      <c r="DV111" s="76" t="s">
        <v>2499</v>
      </c>
      <c r="DZ111" s="79"/>
      <c r="EA111" s="89"/>
      <c r="EB111" s="96">
        <v>8</v>
      </c>
      <c r="EC111" s="76">
        <v>9</v>
      </c>
      <c r="ED111" s="79"/>
      <c r="EE111" s="96" t="s">
        <v>2614</v>
      </c>
      <c r="EF111" s="76">
        <v>6</v>
      </c>
      <c r="EH111" s="79"/>
      <c r="EI111" s="96"/>
      <c r="EM111" s="96"/>
      <c r="EP111" s="79"/>
      <c r="EQ111" s="96"/>
      <c r="ET111" s="79"/>
      <c r="EU111" s="96">
        <v>3250</v>
      </c>
      <c r="EV111" s="79"/>
      <c r="EW111" s="96">
        <v>0</v>
      </c>
      <c r="EX111" s="76">
        <v>0</v>
      </c>
      <c r="EY111" s="79">
        <v>0</v>
      </c>
      <c r="EZ111" s="102">
        <f>FI111</f>
        <v>87</v>
      </c>
      <c r="FA111" s="76">
        <v>4.5</v>
      </c>
      <c r="FB111" s="79"/>
      <c r="FC111" s="97">
        <v>550</v>
      </c>
      <c r="FD111" s="96">
        <v>63</v>
      </c>
      <c r="FE111" s="76">
        <v>50</v>
      </c>
      <c r="FF111" s="79">
        <v>57</v>
      </c>
      <c r="FG111" s="76">
        <v>74</v>
      </c>
      <c r="FH111" s="76">
        <v>102</v>
      </c>
      <c r="FI111" s="103">
        <v>87</v>
      </c>
      <c r="FJ111" s="104">
        <v>41.08</v>
      </c>
      <c r="FK111" s="105">
        <v>33.1</v>
      </c>
      <c r="FL111" s="79">
        <f>BD111</f>
        <v>37</v>
      </c>
      <c r="FM111" s="76">
        <v>0.68600000000000005</v>
      </c>
      <c r="FN111" s="76">
        <v>0.61799999999999999</v>
      </c>
      <c r="FO111" s="79">
        <v>0.65700000000000003</v>
      </c>
      <c r="FP111" s="106">
        <v>0</v>
      </c>
      <c r="FQ111" s="107">
        <v>0</v>
      </c>
      <c r="FR111" s="107">
        <v>0</v>
      </c>
      <c r="FS111" s="108">
        <v>14.5</v>
      </c>
    </row>
    <row r="112" spans="1:190" s="76" customFormat="1" x14ac:dyDescent="0.35">
      <c r="A112" s="76">
        <v>2025</v>
      </c>
      <c r="B112" s="162" t="s">
        <v>327</v>
      </c>
      <c r="C112" s="162" t="s">
        <v>328</v>
      </c>
      <c r="D112" s="162" t="s">
        <v>2610</v>
      </c>
      <c r="E112" s="162" t="s">
        <v>330</v>
      </c>
      <c r="F112" s="162">
        <v>7</v>
      </c>
      <c r="G112" s="162">
        <v>2.5</v>
      </c>
      <c r="H112" s="162">
        <v>4</v>
      </c>
      <c r="I112" s="163" t="s">
        <v>594</v>
      </c>
      <c r="J112" s="96">
        <f t="shared" ref="J112:R112" si="49">J111</f>
        <v>38</v>
      </c>
      <c r="K112" s="76">
        <f t="shared" si="49"/>
        <v>33</v>
      </c>
      <c r="L112" s="76">
        <f t="shared" si="49"/>
        <v>36</v>
      </c>
      <c r="M112" s="76">
        <f t="shared" si="49"/>
        <v>49.649900000000002</v>
      </c>
      <c r="N112" s="76">
        <f t="shared" si="49"/>
        <v>47.549900000000001</v>
      </c>
      <c r="O112" s="76">
        <f t="shared" si="49"/>
        <v>48.682400000000001</v>
      </c>
      <c r="P112" s="76">
        <f t="shared" si="49"/>
        <v>37.589399999999998</v>
      </c>
      <c r="Q112" s="76">
        <f t="shared" si="49"/>
        <v>33.274799999999999</v>
      </c>
      <c r="R112" s="76">
        <f t="shared" si="49"/>
        <v>35.517000000000003</v>
      </c>
      <c r="T112" s="76" t="str">
        <f>T111</f>
        <v>NA</v>
      </c>
      <c r="U112" s="76" t="str">
        <f>U111</f>
        <v>Naturally Aspirated</v>
      </c>
      <c r="V112" s="76" t="str">
        <f>V111</f>
        <v>SCV</v>
      </c>
      <c r="W112" s="76" t="str">
        <f>W111</f>
        <v>Selectable Continuously Variable (e.g. CVT with paddles)</v>
      </c>
      <c r="Y112" s="76">
        <f t="shared" ref="Y112:AD112" si="50">Y111</f>
        <v>6</v>
      </c>
      <c r="Z112" s="76" t="str">
        <f t="shared" si="50"/>
        <v>N</v>
      </c>
      <c r="AA112" s="76" t="str">
        <f t="shared" si="50"/>
        <v>N</v>
      </c>
      <c r="AB112" s="76" t="str">
        <f t="shared" si="50"/>
        <v>A</v>
      </c>
      <c r="AC112" s="76" t="str">
        <f t="shared" si="50"/>
        <v>All Wheel Drive</v>
      </c>
      <c r="AD112" s="76">
        <f t="shared" si="50"/>
        <v>15</v>
      </c>
      <c r="AF112" s="76">
        <f>AF111</f>
        <v>517</v>
      </c>
      <c r="AG112" s="76" t="str">
        <f>AG111</f>
        <v>GP</v>
      </c>
      <c r="AH112" s="76" t="str">
        <f>AH111</f>
        <v>Gasoline (Premium Unleaded Recommended)</v>
      </c>
      <c r="AI112" s="76" t="str">
        <f>AI111</f>
        <v>MPG</v>
      </c>
      <c r="AJ112" s="79" t="str">
        <f>AJ111</f>
        <v>miles per gallon</v>
      </c>
      <c r="AK112" s="96" t="s">
        <v>940</v>
      </c>
      <c r="AL112" s="76" t="s">
        <v>941</v>
      </c>
      <c r="AR112" s="79"/>
      <c r="AS112" s="96">
        <v>1250</v>
      </c>
      <c r="AT112" s="79">
        <v>1250</v>
      </c>
      <c r="AU112" s="96">
        <v>93</v>
      </c>
      <c r="AV112" s="76">
        <v>75</v>
      </c>
      <c r="AW112" s="76">
        <v>84</v>
      </c>
      <c r="AX112" s="76">
        <v>132.6</v>
      </c>
      <c r="AY112" s="76">
        <v>107.6</v>
      </c>
      <c r="AZ112" s="76">
        <v>120.0485</v>
      </c>
      <c r="BA112" s="76">
        <v>92.812399999999997</v>
      </c>
      <c r="BB112" s="76">
        <v>75.289199999999994</v>
      </c>
      <c r="BC112" s="76">
        <v>84.013199999999998</v>
      </c>
      <c r="BD112" s="76">
        <v>37</v>
      </c>
      <c r="BE112" s="76" t="s">
        <v>1735</v>
      </c>
      <c r="BF112" s="76" t="s">
        <v>1736</v>
      </c>
      <c r="BG112" s="76" t="s">
        <v>175</v>
      </c>
      <c r="BH112" s="76" t="s">
        <v>176</v>
      </c>
      <c r="BI112" s="76">
        <v>1250</v>
      </c>
      <c r="BM112" s="79"/>
      <c r="BN112" s="98" t="s">
        <v>2611</v>
      </c>
      <c r="BO112" s="76">
        <v>2</v>
      </c>
      <c r="BP112" s="76">
        <v>2</v>
      </c>
      <c r="BQ112" s="76">
        <v>31</v>
      </c>
      <c r="BR112" s="76" t="s">
        <v>1219</v>
      </c>
      <c r="BT112" s="76" t="s">
        <v>2494</v>
      </c>
      <c r="BU112" s="99">
        <v>45399</v>
      </c>
      <c r="BV112" s="79">
        <v>34575</v>
      </c>
      <c r="BW112" s="120"/>
      <c r="BX112" s="96" t="s">
        <v>170</v>
      </c>
      <c r="BY112" s="76" t="s">
        <v>170</v>
      </c>
      <c r="CB112" s="76" t="s">
        <v>170</v>
      </c>
      <c r="CC112" s="76" t="s">
        <v>170</v>
      </c>
      <c r="CD112" s="76" t="s">
        <v>2612</v>
      </c>
      <c r="CE112" s="76" t="s">
        <v>170</v>
      </c>
      <c r="CG112" s="76" t="s">
        <v>169</v>
      </c>
      <c r="CH112" s="76" t="s">
        <v>333</v>
      </c>
      <c r="CI112" s="76" t="s">
        <v>170</v>
      </c>
      <c r="CK112" s="76" t="s">
        <v>233</v>
      </c>
      <c r="CM112" s="76">
        <v>1</v>
      </c>
      <c r="CN112" s="76" t="s">
        <v>234</v>
      </c>
      <c r="CP112" s="76">
        <v>355</v>
      </c>
      <c r="CQ112" s="76">
        <v>51</v>
      </c>
      <c r="CR112" s="76">
        <v>218.2</v>
      </c>
      <c r="CS112" s="76" t="s">
        <v>235</v>
      </c>
      <c r="CV112" s="76" t="s">
        <v>341</v>
      </c>
      <c r="CX112" s="76" t="s">
        <v>342</v>
      </c>
      <c r="CY112" s="76" t="s">
        <v>170</v>
      </c>
      <c r="DC112" s="76" t="s">
        <v>2613</v>
      </c>
      <c r="DD112" s="76">
        <v>2</v>
      </c>
      <c r="DE112" s="76" t="s">
        <v>404</v>
      </c>
      <c r="DF112" s="76" t="s">
        <v>638</v>
      </c>
      <c r="DG112" s="76" t="s">
        <v>1492</v>
      </c>
      <c r="DJ112" s="76" t="s">
        <v>267</v>
      </c>
      <c r="DK112" s="76" t="s">
        <v>268</v>
      </c>
      <c r="DL112" s="76" t="s">
        <v>170</v>
      </c>
      <c r="DM112" s="76" t="s">
        <v>169</v>
      </c>
      <c r="DN112" s="76" t="s">
        <v>170</v>
      </c>
      <c r="DO112" s="76" t="s">
        <v>640</v>
      </c>
      <c r="DP112" s="76" t="s">
        <v>169</v>
      </c>
      <c r="DQ112" s="76" t="s">
        <v>198</v>
      </c>
      <c r="DR112" s="76" t="s">
        <v>2451</v>
      </c>
      <c r="DS112" s="76" t="s">
        <v>2496</v>
      </c>
      <c r="DT112" s="76" t="s">
        <v>2497</v>
      </c>
      <c r="DU112" s="76" t="s">
        <v>2498</v>
      </c>
      <c r="DV112" s="76" t="s">
        <v>2499</v>
      </c>
      <c r="DZ112" s="79"/>
      <c r="EA112" s="89"/>
      <c r="EB112" s="96">
        <v>8</v>
      </c>
      <c r="EC112" s="76">
        <v>9</v>
      </c>
      <c r="ED112" s="79"/>
      <c r="EE112" s="96" t="s">
        <v>2614</v>
      </c>
      <c r="EF112" s="76">
        <v>6</v>
      </c>
      <c r="EH112" s="79"/>
      <c r="EI112" s="96"/>
      <c r="EL112" s="79"/>
      <c r="EP112" s="79"/>
      <c r="EQ112" s="96"/>
      <c r="ET112" s="79"/>
      <c r="EU112" s="96">
        <v>3250</v>
      </c>
      <c r="EV112" s="79"/>
      <c r="EW112" s="96">
        <v>234</v>
      </c>
      <c r="EX112" s="76">
        <v>265</v>
      </c>
      <c r="EY112" s="79">
        <v>248</v>
      </c>
      <c r="EZ112" s="102">
        <f>FI112</f>
        <v>87</v>
      </c>
      <c r="FA112" s="76">
        <v>4.5</v>
      </c>
      <c r="FB112" s="79"/>
      <c r="FC112" s="97">
        <v>550</v>
      </c>
      <c r="FD112" s="96">
        <v>63</v>
      </c>
      <c r="FE112" s="76">
        <v>50</v>
      </c>
      <c r="FF112" s="79">
        <v>57</v>
      </c>
      <c r="FG112" s="76">
        <v>74</v>
      </c>
      <c r="FH112" s="76">
        <v>102</v>
      </c>
      <c r="FI112" s="103">
        <v>87</v>
      </c>
      <c r="FJ112" s="98" t="s">
        <v>2582</v>
      </c>
      <c r="FL112" s="79"/>
      <c r="FM112" s="76">
        <v>0.68600000000000005</v>
      </c>
      <c r="FN112" s="76">
        <v>0.61799999999999999</v>
      </c>
      <c r="FO112" s="79">
        <v>0.65700000000000003</v>
      </c>
      <c r="FP112" s="106"/>
      <c r="FQ112" s="107"/>
      <c r="FR112" s="107"/>
      <c r="FS112" s="108">
        <v>14.5</v>
      </c>
    </row>
    <row r="113" spans="1:190" s="77" customFormat="1" x14ac:dyDescent="0.35">
      <c r="A113" s="76"/>
      <c r="E113" s="76"/>
      <c r="F113" s="76"/>
      <c r="G113" s="78"/>
      <c r="H113" s="76"/>
      <c r="I113" s="79"/>
      <c r="J113" s="80"/>
      <c r="K113" s="28"/>
      <c r="L113" s="28"/>
      <c r="M113" s="25" t="str">
        <f>_xlfn.CONCAT(A114," ",C114," ",D114)</f>
        <v>2025 LEXUS RX 450h+ AWD</v>
      </c>
      <c r="N113" s="28"/>
      <c r="O113" s="28"/>
      <c r="P113" s="28"/>
      <c r="Q113" s="28"/>
      <c r="R113" s="28"/>
      <c r="S113" s="28"/>
      <c r="T113" s="28"/>
      <c r="U113" s="28"/>
      <c r="V113" s="28"/>
      <c r="W113" s="28"/>
      <c r="X113" s="28"/>
      <c r="Y113" s="28"/>
      <c r="Z113" s="28"/>
      <c r="AA113" s="28"/>
      <c r="AB113" s="28"/>
      <c r="AC113" s="28"/>
      <c r="AD113" s="25" t="str">
        <f>$M113</f>
        <v>2025 LEXUS RX 450h+ AWD</v>
      </c>
      <c r="AE113" s="28"/>
      <c r="AF113" s="28"/>
      <c r="AG113" s="28"/>
      <c r="AH113" s="28"/>
      <c r="AI113" s="28"/>
      <c r="AJ113" s="81"/>
      <c r="AK113" s="82"/>
      <c r="AL113" s="2"/>
      <c r="AM113" s="2"/>
      <c r="AN113" s="2"/>
      <c r="AO113" s="2"/>
      <c r="AP113" s="2"/>
      <c r="AQ113" s="2"/>
      <c r="AR113" s="83"/>
      <c r="AS113" s="84"/>
      <c r="AT113" s="85" t="str">
        <f>$M113</f>
        <v>2025 LEXUS RX 450h+ AWD</v>
      </c>
      <c r="AU113" s="84"/>
      <c r="AV113" s="28"/>
      <c r="AW113" s="28"/>
      <c r="AX113" s="28"/>
      <c r="AY113" s="28"/>
      <c r="AZ113" s="28"/>
      <c r="BA113" s="28"/>
      <c r="BB113" s="28"/>
      <c r="BC113" s="28"/>
      <c r="BD113" s="28"/>
      <c r="BE113" s="28"/>
      <c r="BF113" s="28"/>
      <c r="BG113" s="28"/>
      <c r="BH113" s="28"/>
      <c r="BI113" s="25" t="str">
        <f>$M113</f>
        <v>2025 LEXUS RX 450h+ AWD</v>
      </c>
      <c r="BJ113" s="28"/>
      <c r="BK113" s="28"/>
      <c r="BL113" s="28"/>
      <c r="BM113" s="81"/>
      <c r="BN113" s="82"/>
      <c r="BO113" s="2"/>
      <c r="BP113" s="2"/>
      <c r="BQ113" s="2"/>
      <c r="BR113" s="2"/>
      <c r="BS113" s="2"/>
      <c r="BT113" s="86"/>
      <c r="BU113" s="2"/>
      <c r="BV113" s="83"/>
      <c r="BW113" s="121"/>
      <c r="BX113" s="84"/>
      <c r="BY113" s="25" t="str">
        <f>$M113</f>
        <v>2025 LEXUS RX 450h+ AWD</v>
      </c>
      <c r="BZ113" s="28"/>
      <c r="CA113" s="28"/>
      <c r="CB113" s="28"/>
      <c r="CC113" s="28"/>
      <c r="CD113" s="28"/>
      <c r="CE113" s="88"/>
      <c r="CF113" s="28"/>
      <c r="CG113" s="28"/>
      <c r="CH113" s="28"/>
      <c r="CI113" s="28"/>
      <c r="CJ113" s="28"/>
      <c r="CK113" s="28"/>
      <c r="CL113" s="28"/>
      <c r="CM113" s="28"/>
      <c r="CN113" s="28"/>
      <c r="CO113" s="25" t="str">
        <f>$M113</f>
        <v>2025 LEXUS RX 450h+ AWD</v>
      </c>
      <c r="CP113" s="28"/>
      <c r="CQ113" s="28"/>
      <c r="CR113" s="28"/>
      <c r="CS113" s="28"/>
      <c r="CT113" s="28"/>
      <c r="CU113" s="28"/>
      <c r="CV113" s="28"/>
      <c r="CW113" s="28"/>
      <c r="CX113" s="28"/>
      <c r="CY113" s="28"/>
      <c r="CZ113" s="28"/>
      <c r="DA113" s="28"/>
      <c r="DB113" s="28"/>
      <c r="DC113" s="28"/>
      <c r="DD113" s="28"/>
      <c r="DE113" s="28"/>
      <c r="DF113" s="25" t="str">
        <f>$M113</f>
        <v>2025 LEXUS RX 450h+ AWD</v>
      </c>
      <c r="DG113" s="28"/>
      <c r="DH113" s="28"/>
      <c r="DI113" s="28"/>
      <c r="DJ113" s="28"/>
      <c r="DK113" s="28"/>
      <c r="DL113" s="28"/>
      <c r="DM113" s="28"/>
      <c r="DN113" s="28"/>
      <c r="DO113" s="28"/>
      <c r="DP113" s="28"/>
      <c r="DQ113" s="28"/>
      <c r="DR113" s="25"/>
      <c r="DS113" s="25"/>
      <c r="DT113" s="25"/>
      <c r="DU113" s="25"/>
      <c r="DV113" s="25"/>
      <c r="DW113" s="25" t="str">
        <f>$M113</f>
        <v>2025 LEXUS RX 450h+ AWD</v>
      </c>
      <c r="DX113" s="25"/>
      <c r="DY113" s="25"/>
      <c r="DZ113" s="85"/>
      <c r="EA113" s="89"/>
      <c r="EB113" s="25"/>
      <c r="EC113" s="25"/>
      <c r="ED113" s="85"/>
      <c r="EE113" s="80"/>
      <c r="EF113" s="25"/>
      <c r="EG113" s="25"/>
      <c r="EH113" s="85"/>
      <c r="EI113" s="80"/>
      <c r="EK113" t="s">
        <v>2445</v>
      </c>
      <c r="EL113" s="85" t="str">
        <f>$M113</f>
        <v>2025 LEXUS RX 450h+ AWD</v>
      </c>
      <c r="EM113" s="25"/>
      <c r="EP113" s="75"/>
      <c r="ET113" s="75"/>
      <c r="EU113" s="90"/>
      <c r="EV113" s="75"/>
      <c r="EW113" s="90"/>
      <c r="EY113" s="75"/>
      <c r="EZ113" s="102"/>
      <c r="FA113" s="25" t="str">
        <f>$M113</f>
        <v>2025 LEXUS RX 450h+ AWD</v>
      </c>
      <c r="FB113" s="75"/>
      <c r="FC113" s="91"/>
      <c r="FD113" s="80"/>
      <c r="FE113" s="25"/>
      <c r="FF113" s="85"/>
      <c r="FG113" s="80"/>
      <c r="FH113" s="25"/>
      <c r="FI113" s="85"/>
      <c r="FJ113" s="80"/>
      <c r="FK113" s="25"/>
      <c r="FL113" s="85"/>
      <c r="FM113" s="25" t="str">
        <f>$M113</f>
        <v>2025 LEXUS RX 450h+ AWD</v>
      </c>
      <c r="FN113" s="25"/>
      <c r="FO113" s="85"/>
      <c r="FP113" s="92"/>
      <c r="FQ113" s="93"/>
      <c r="FR113" s="94"/>
      <c r="FS113" s="95"/>
      <c r="FT113" s="25"/>
      <c r="FU113" s="25"/>
      <c r="FV113" s="25"/>
      <c r="FW113" s="25"/>
      <c r="FX113" s="25"/>
      <c r="FY113" s="25"/>
      <c r="FZ113" s="25"/>
      <c r="GA113" s="25"/>
      <c r="GB113" s="25"/>
      <c r="GC113" s="25"/>
      <c r="GD113" s="25"/>
      <c r="GE113" s="25"/>
      <c r="GF113" s="25"/>
      <c r="GG113" s="25"/>
      <c r="GH113" s="25"/>
    </row>
    <row r="114" spans="1:190" s="76" customFormat="1" x14ac:dyDescent="0.35">
      <c r="A114" s="76">
        <v>2025</v>
      </c>
      <c r="B114" s="76" t="s">
        <v>327</v>
      </c>
      <c r="C114" s="76" t="s">
        <v>328</v>
      </c>
      <c r="D114" s="76" t="s">
        <v>2615</v>
      </c>
      <c r="E114" s="76" t="s">
        <v>330</v>
      </c>
      <c r="F114" s="76">
        <v>60</v>
      </c>
      <c r="G114" s="78">
        <v>2.5</v>
      </c>
      <c r="H114" s="76">
        <v>4</v>
      </c>
      <c r="I114" s="79" t="s">
        <v>594</v>
      </c>
      <c r="J114" s="76">
        <v>36</v>
      </c>
      <c r="K114" s="76">
        <v>33</v>
      </c>
      <c r="L114" s="76">
        <v>35</v>
      </c>
      <c r="M114" s="76">
        <v>50</v>
      </c>
      <c r="N114" s="76">
        <v>47.149500000000003</v>
      </c>
      <c r="O114" s="76">
        <v>48.675800000000002</v>
      </c>
      <c r="P114" s="76">
        <v>36.472499999999997</v>
      </c>
      <c r="Q114" s="76">
        <v>33.2624</v>
      </c>
      <c r="R114" s="76">
        <v>34.954500000000003</v>
      </c>
      <c r="T114" s="76" t="s">
        <v>2557</v>
      </c>
      <c r="U114" s="76" t="s">
        <v>224</v>
      </c>
      <c r="V114" s="76" t="s">
        <v>463</v>
      </c>
      <c r="W114" s="76" t="s">
        <v>464</v>
      </c>
      <c r="Y114" s="76">
        <v>6</v>
      </c>
      <c r="Z114" s="76" t="s">
        <v>170</v>
      </c>
      <c r="AA114" s="76" t="s">
        <v>170</v>
      </c>
      <c r="AB114" s="76" t="s">
        <v>167</v>
      </c>
      <c r="AC114" s="76" t="s">
        <v>213</v>
      </c>
      <c r="AD114" s="76">
        <v>15</v>
      </c>
      <c r="AF114" s="76">
        <v>508</v>
      </c>
      <c r="AG114" s="76" t="s">
        <v>173</v>
      </c>
      <c r="AH114" s="76" t="s">
        <v>174</v>
      </c>
      <c r="AI114" s="76" t="s">
        <v>175</v>
      </c>
      <c r="AJ114" s="79" t="s">
        <v>176</v>
      </c>
      <c r="AK114" s="76" t="s">
        <v>940</v>
      </c>
      <c r="AL114" s="76" t="s">
        <v>941</v>
      </c>
      <c r="AR114" s="79"/>
      <c r="AS114" s="76">
        <v>1300</v>
      </c>
      <c r="AT114" s="79">
        <v>1300</v>
      </c>
      <c r="AU114" s="76">
        <v>37</v>
      </c>
      <c r="AV114" s="76">
        <v>44</v>
      </c>
      <c r="AW114" s="76">
        <v>40</v>
      </c>
      <c r="AX114" s="76">
        <v>25.8</v>
      </c>
      <c r="AY114" s="76">
        <v>31.2</v>
      </c>
      <c r="AZ114" s="76">
        <v>28.23</v>
      </c>
      <c r="BA114" s="76">
        <v>36.845999999999997</v>
      </c>
      <c r="BB114" s="76">
        <v>44.183999999999997</v>
      </c>
      <c r="BC114" s="76">
        <v>40.148099999999999</v>
      </c>
      <c r="BD114" s="76">
        <v>37</v>
      </c>
      <c r="BE114" s="76" t="s">
        <v>1735</v>
      </c>
      <c r="BF114" s="76" t="s">
        <v>1736</v>
      </c>
      <c r="BG114" s="76" t="s">
        <v>1742</v>
      </c>
      <c r="BH114" s="76" t="s">
        <v>1743</v>
      </c>
      <c r="BI114" s="76">
        <v>1300</v>
      </c>
      <c r="BM114" s="79"/>
      <c r="BN114" s="111" t="s">
        <v>2611</v>
      </c>
      <c r="BO114" s="76">
        <v>2</v>
      </c>
      <c r="BP114" s="76">
        <v>2</v>
      </c>
      <c r="BQ114" s="76">
        <v>31</v>
      </c>
      <c r="BR114" s="76" t="s">
        <v>1219</v>
      </c>
      <c r="BT114" s="76" t="s">
        <v>2494</v>
      </c>
      <c r="BU114" s="99">
        <v>45582</v>
      </c>
      <c r="BV114" s="79">
        <v>35962</v>
      </c>
      <c r="BW114" s="100"/>
      <c r="BX114" s="76" t="s">
        <v>170</v>
      </c>
      <c r="BY114" s="76" t="s">
        <v>170</v>
      </c>
      <c r="CB114" s="76" t="s">
        <v>170</v>
      </c>
      <c r="CC114" s="76" t="s">
        <v>170</v>
      </c>
      <c r="CD114" s="76" t="s">
        <v>2616</v>
      </c>
      <c r="CE114" s="76" t="s">
        <v>170</v>
      </c>
      <c r="CG114" s="76" t="s">
        <v>169</v>
      </c>
      <c r="CH114" s="76" t="s">
        <v>333</v>
      </c>
      <c r="CI114" s="76" t="s">
        <v>170</v>
      </c>
      <c r="CK114" s="76" t="s">
        <v>233</v>
      </c>
      <c r="CM114" s="76">
        <v>1</v>
      </c>
      <c r="CN114" s="76" t="s">
        <v>234</v>
      </c>
      <c r="CP114" s="76">
        <v>355</v>
      </c>
      <c r="CQ114" s="76">
        <v>51</v>
      </c>
      <c r="CR114" s="76">
        <v>218.2</v>
      </c>
      <c r="CS114" s="76" t="s">
        <v>235</v>
      </c>
      <c r="CV114" s="76" t="s">
        <v>341</v>
      </c>
      <c r="CX114" s="76" t="s">
        <v>342</v>
      </c>
      <c r="CY114" s="76" t="s">
        <v>170</v>
      </c>
      <c r="DC114" s="76" t="s">
        <v>2613</v>
      </c>
      <c r="DD114" s="76">
        <v>2</v>
      </c>
      <c r="DE114" s="76" t="s">
        <v>404</v>
      </c>
      <c r="DF114" s="76" t="s">
        <v>638</v>
      </c>
      <c r="DG114" s="76" t="s">
        <v>1492</v>
      </c>
      <c r="DJ114" s="76" t="s">
        <v>267</v>
      </c>
      <c r="DK114" s="76" t="s">
        <v>268</v>
      </c>
      <c r="DL114" s="76" t="s">
        <v>170</v>
      </c>
      <c r="DM114" s="76" t="s">
        <v>169</v>
      </c>
      <c r="DN114" s="76" t="s">
        <v>170</v>
      </c>
      <c r="DO114" s="76" t="s">
        <v>640</v>
      </c>
      <c r="DP114" s="76" t="s">
        <v>169</v>
      </c>
      <c r="DQ114" s="76" t="s">
        <v>198</v>
      </c>
      <c r="DR114" s="76" t="s">
        <v>2451</v>
      </c>
      <c r="DS114" s="76" t="s">
        <v>2496</v>
      </c>
      <c r="DT114" s="76" t="s">
        <v>2497</v>
      </c>
      <c r="DU114" s="76" t="s">
        <v>2498</v>
      </c>
      <c r="DV114" s="76" t="s">
        <v>2499</v>
      </c>
      <c r="DZ114" s="79"/>
      <c r="EA114" s="101"/>
      <c r="EB114" s="76">
        <v>8</v>
      </c>
      <c r="EC114" s="76">
        <v>9</v>
      </c>
      <c r="ED114" s="79">
        <v>10</v>
      </c>
      <c r="EE114" s="76" t="s">
        <v>2614</v>
      </c>
      <c r="EF114" s="76">
        <v>6</v>
      </c>
      <c r="EH114" s="79"/>
      <c r="EL114" s="79"/>
      <c r="EP114" s="79"/>
      <c r="ET114" s="79"/>
      <c r="EU114" s="76">
        <v>3000</v>
      </c>
      <c r="EV114" s="79"/>
      <c r="EW114" s="76">
        <v>0</v>
      </c>
      <c r="EX114" s="76">
        <v>0</v>
      </c>
      <c r="EY114" s="79">
        <v>0</v>
      </c>
      <c r="EZ114" s="97">
        <v>89</v>
      </c>
      <c r="FA114" s="76">
        <v>2.5</v>
      </c>
      <c r="FC114" s="97">
        <v>540</v>
      </c>
      <c r="FD114" s="96">
        <v>61</v>
      </c>
      <c r="FE114" s="76">
        <v>51</v>
      </c>
      <c r="FF114" s="79">
        <v>56</v>
      </c>
      <c r="FG114" s="76">
        <v>79</v>
      </c>
      <c r="FH114" s="76">
        <v>101</v>
      </c>
      <c r="FI114" s="103">
        <v>89</v>
      </c>
      <c r="FJ114" s="104">
        <v>39.9</v>
      </c>
      <c r="FK114" s="105">
        <v>33.479999999999997</v>
      </c>
      <c r="FL114" s="79">
        <v>37</v>
      </c>
      <c r="FM114" s="76">
        <v>0.67700000000000005</v>
      </c>
      <c r="FN114" s="76">
        <v>0.621</v>
      </c>
      <c r="FO114" s="79">
        <v>0.65300000000000002</v>
      </c>
      <c r="FP114" s="106">
        <v>0</v>
      </c>
      <c r="FQ114" s="107">
        <v>0</v>
      </c>
      <c r="FR114" s="107">
        <v>0</v>
      </c>
      <c r="FS114" s="108">
        <v>14.5</v>
      </c>
    </row>
    <row r="115" spans="1:190" s="76" customFormat="1" x14ac:dyDescent="0.35">
      <c r="A115" s="76">
        <v>2025</v>
      </c>
      <c r="B115" s="162" t="s">
        <v>327</v>
      </c>
      <c r="C115" s="162" t="s">
        <v>328</v>
      </c>
      <c r="D115" s="162" t="s">
        <v>2610</v>
      </c>
      <c r="E115" s="162" t="s">
        <v>330</v>
      </c>
      <c r="F115" s="162">
        <v>7</v>
      </c>
      <c r="G115" s="162">
        <v>2.5</v>
      </c>
      <c r="H115" s="162">
        <v>4</v>
      </c>
      <c r="I115" s="163" t="s">
        <v>594</v>
      </c>
      <c r="J115" s="76">
        <v>36</v>
      </c>
      <c r="K115" s="76">
        <v>33</v>
      </c>
      <c r="L115" s="76">
        <v>35</v>
      </c>
      <c r="M115" s="76">
        <v>50</v>
      </c>
      <c r="N115" s="76">
        <v>47.149500000000003</v>
      </c>
      <c r="O115" s="76">
        <v>48.675800000000002</v>
      </c>
      <c r="P115" s="76">
        <v>36.472499999999997</v>
      </c>
      <c r="Q115" s="76">
        <v>33.2624</v>
      </c>
      <c r="R115" s="76">
        <v>34.954500000000003</v>
      </c>
      <c r="T115" s="76" t="s">
        <v>2557</v>
      </c>
      <c r="U115" s="76" t="s">
        <v>224</v>
      </c>
      <c r="V115" s="76" t="s">
        <v>463</v>
      </c>
      <c r="W115" s="76" t="s">
        <v>464</v>
      </c>
      <c r="Y115" s="76">
        <v>6</v>
      </c>
      <c r="Z115" s="76" t="s">
        <v>170</v>
      </c>
      <c r="AA115" s="76" t="s">
        <v>170</v>
      </c>
      <c r="AB115" s="76" t="s">
        <v>167</v>
      </c>
      <c r="AC115" s="76" t="s">
        <v>213</v>
      </c>
      <c r="AD115" s="76">
        <v>15</v>
      </c>
      <c r="AF115" s="76">
        <v>508</v>
      </c>
      <c r="AG115" s="76" t="s">
        <v>173</v>
      </c>
      <c r="AH115" s="76" t="s">
        <v>174</v>
      </c>
      <c r="AI115" s="76" t="s">
        <v>175</v>
      </c>
      <c r="AJ115" s="79" t="s">
        <v>176</v>
      </c>
      <c r="AK115" s="76" t="s">
        <v>940</v>
      </c>
      <c r="AL115" s="76" t="s">
        <v>941</v>
      </c>
      <c r="AR115" s="79"/>
      <c r="AS115" s="76">
        <v>1300</v>
      </c>
      <c r="AT115" s="79">
        <v>1300</v>
      </c>
      <c r="AU115" s="76">
        <v>91</v>
      </c>
      <c r="AV115" s="76">
        <v>75</v>
      </c>
      <c r="AW115" s="76">
        <v>83</v>
      </c>
      <c r="AX115" s="76">
        <v>130.80000000000001</v>
      </c>
      <c r="AY115" s="76">
        <v>108.2</v>
      </c>
      <c r="AZ115" s="76">
        <v>119.5621</v>
      </c>
      <c r="BA115" s="76">
        <v>91.5642</v>
      </c>
      <c r="BB115" s="76">
        <v>75.725300000000004</v>
      </c>
      <c r="BC115" s="76">
        <v>83.687299999999993</v>
      </c>
      <c r="BD115" s="76">
        <v>37</v>
      </c>
      <c r="BE115" s="76" t="s">
        <v>1735</v>
      </c>
      <c r="BF115" s="76" t="s">
        <v>1736</v>
      </c>
      <c r="BG115" s="76" t="s">
        <v>175</v>
      </c>
      <c r="BH115" s="76" t="s">
        <v>176</v>
      </c>
      <c r="BI115" s="76">
        <v>1300</v>
      </c>
      <c r="BM115" s="79"/>
      <c r="BN115" s="111" t="s">
        <v>2611</v>
      </c>
      <c r="BO115" s="76">
        <v>2</v>
      </c>
      <c r="BP115" s="76">
        <v>2</v>
      </c>
      <c r="BQ115" s="76">
        <v>31</v>
      </c>
      <c r="BR115" s="76" t="s">
        <v>1219</v>
      </c>
      <c r="BT115" s="76" t="s">
        <v>2494</v>
      </c>
      <c r="BU115" s="99">
        <v>45582</v>
      </c>
      <c r="BV115" s="79">
        <v>35962</v>
      </c>
      <c r="BW115" s="100"/>
      <c r="BX115" s="76" t="s">
        <v>170</v>
      </c>
      <c r="BY115" s="76" t="s">
        <v>170</v>
      </c>
      <c r="CB115" s="76" t="s">
        <v>170</v>
      </c>
      <c r="CC115" s="76" t="s">
        <v>170</v>
      </c>
      <c r="CD115" s="76" t="s">
        <v>2616</v>
      </c>
      <c r="CE115" s="76" t="s">
        <v>170</v>
      </c>
      <c r="CG115" s="76" t="s">
        <v>169</v>
      </c>
      <c r="CH115" s="76" t="s">
        <v>333</v>
      </c>
      <c r="CI115" s="76" t="s">
        <v>170</v>
      </c>
      <c r="CK115" s="76" t="s">
        <v>233</v>
      </c>
      <c r="CM115" s="76">
        <v>1</v>
      </c>
      <c r="CN115" s="76" t="s">
        <v>234</v>
      </c>
      <c r="CP115" s="76">
        <v>355</v>
      </c>
      <c r="CQ115" s="76">
        <v>51</v>
      </c>
      <c r="CR115" s="76">
        <v>218.2</v>
      </c>
      <c r="CS115" s="76" t="s">
        <v>235</v>
      </c>
      <c r="CV115" s="76" t="s">
        <v>341</v>
      </c>
      <c r="CX115" s="76" t="s">
        <v>342</v>
      </c>
      <c r="CY115" s="76" t="s">
        <v>170</v>
      </c>
      <c r="DC115" s="76" t="s">
        <v>2613</v>
      </c>
      <c r="DD115" s="76">
        <v>2</v>
      </c>
      <c r="DE115" s="76" t="s">
        <v>404</v>
      </c>
      <c r="DF115" s="76" t="s">
        <v>638</v>
      </c>
      <c r="DG115" s="76" t="s">
        <v>1492</v>
      </c>
      <c r="DJ115" s="76" t="s">
        <v>267</v>
      </c>
      <c r="DK115" s="76" t="s">
        <v>268</v>
      </c>
      <c r="DL115" s="76" t="s">
        <v>170</v>
      </c>
      <c r="DM115" s="76" t="s">
        <v>169</v>
      </c>
      <c r="DN115" s="76" t="s">
        <v>170</v>
      </c>
      <c r="DO115" s="76" t="s">
        <v>640</v>
      </c>
      <c r="DP115" s="76" t="s">
        <v>169</v>
      </c>
      <c r="DQ115" s="76" t="s">
        <v>198</v>
      </c>
      <c r="DR115" s="76" t="s">
        <v>2451</v>
      </c>
      <c r="DS115" s="76" t="s">
        <v>2496</v>
      </c>
      <c r="DT115" s="76" t="s">
        <v>2497</v>
      </c>
      <c r="DU115" s="76" t="s">
        <v>2498</v>
      </c>
      <c r="DV115" s="76" t="s">
        <v>2499</v>
      </c>
      <c r="DZ115" s="79"/>
      <c r="EA115" s="101"/>
      <c r="EB115" s="76">
        <v>8</v>
      </c>
      <c r="EC115" s="76">
        <v>9</v>
      </c>
      <c r="ED115" s="79">
        <v>10</v>
      </c>
      <c r="EE115" s="76" t="s">
        <v>2614</v>
      </c>
      <c r="EF115" s="76">
        <v>6</v>
      </c>
      <c r="EH115" s="79"/>
      <c r="EL115" s="79"/>
      <c r="EP115" s="79"/>
      <c r="ET115" s="79"/>
      <c r="EU115" s="76">
        <v>3000</v>
      </c>
      <c r="EV115" s="79"/>
      <c r="EW115" s="76">
        <v>240</v>
      </c>
      <c r="EX115" s="76">
        <v>264</v>
      </c>
      <c r="EY115" s="79">
        <v>251</v>
      </c>
      <c r="EZ115" s="97">
        <v>89</v>
      </c>
      <c r="FA115" s="76">
        <v>2.5</v>
      </c>
      <c r="FC115" s="97">
        <v>540</v>
      </c>
      <c r="FD115" s="96">
        <v>61</v>
      </c>
      <c r="FE115" s="76">
        <v>51</v>
      </c>
      <c r="FF115" s="79">
        <v>56</v>
      </c>
      <c r="FG115" s="76">
        <v>79</v>
      </c>
      <c r="FH115" s="76">
        <v>101</v>
      </c>
      <c r="FI115" s="103">
        <v>89</v>
      </c>
      <c r="FJ115" s="98" t="s">
        <v>2582</v>
      </c>
      <c r="FL115" s="79"/>
      <c r="FM115" s="76">
        <v>0.67700000000000005</v>
      </c>
      <c r="FN115" s="76">
        <v>0.621</v>
      </c>
      <c r="FO115" s="79">
        <v>0.65300000000000002</v>
      </c>
      <c r="FP115" s="106"/>
      <c r="FQ115" s="107"/>
      <c r="FR115" s="107"/>
      <c r="FS115" s="108">
        <v>14.5</v>
      </c>
    </row>
    <row r="116" spans="1:190" s="77" customFormat="1" x14ac:dyDescent="0.35">
      <c r="A116" s="76"/>
      <c r="E116" s="76"/>
      <c r="F116" s="76"/>
      <c r="G116" s="78"/>
      <c r="H116" s="76"/>
      <c r="I116" s="79"/>
      <c r="J116" s="80"/>
      <c r="K116" s="28"/>
      <c r="L116" s="28"/>
      <c r="M116" s="25" t="str">
        <f>_xlfn.CONCAT(A117," ",C117," ",D117)</f>
        <v>2025 LEXUS TX 550h+ AWD</v>
      </c>
      <c r="N116" s="28"/>
      <c r="O116" s="28"/>
      <c r="P116" s="28"/>
      <c r="Q116" s="28"/>
      <c r="R116" s="28"/>
      <c r="S116" s="28"/>
      <c r="T116" s="28"/>
      <c r="U116" s="28"/>
      <c r="V116" s="28"/>
      <c r="W116" s="28"/>
      <c r="X116" s="28"/>
      <c r="Y116" s="28"/>
      <c r="Z116" s="28"/>
      <c r="AA116" s="28"/>
      <c r="AB116" s="28"/>
      <c r="AC116" s="28"/>
      <c r="AD116" s="25" t="str">
        <f>$M116</f>
        <v>2025 LEXUS TX 550h+ AWD</v>
      </c>
      <c r="AE116" s="28"/>
      <c r="AF116" s="28"/>
      <c r="AG116" s="28"/>
      <c r="AH116" s="28"/>
      <c r="AI116" s="28"/>
      <c r="AJ116" s="81"/>
      <c r="AK116" s="2"/>
      <c r="AL116" s="2"/>
      <c r="AM116" s="2"/>
      <c r="AN116" s="2"/>
      <c r="AO116" s="2"/>
      <c r="AP116" s="2"/>
      <c r="AQ116" s="2"/>
      <c r="AR116" s="83"/>
      <c r="AS116" s="84"/>
      <c r="AT116" s="85" t="str">
        <f>$M116</f>
        <v>2025 LEXUS TX 550h+ AWD</v>
      </c>
      <c r="AU116" s="28"/>
      <c r="AV116" s="28"/>
      <c r="AW116" s="28"/>
      <c r="AX116" s="28"/>
      <c r="AY116" s="28"/>
      <c r="AZ116" s="28"/>
      <c r="BA116" s="28"/>
      <c r="BB116" s="28"/>
      <c r="BC116" s="28"/>
      <c r="BD116" s="28"/>
      <c r="BE116" s="28"/>
      <c r="BF116" s="28"/>
      <c r="BG116" s="28"/>
      <c r="BH116" s="28"/>
      <c r="BI116" s="25" t="str">
        <f>$M116</f>
        <v>2025 LEXUS TX 550h+ AWD</v>
      </c>
      <c r="BJ116" s="28"/>
      <c r="BK116" s="28"/>
      <c r="BL116" s="28"/>
      <c r="BM116" s="81"/>
      <c r="BN116" s="82"/>
      <c r="BO116" s="2"/>
      <c r="BP116" s="2"/>
      <c r="BQ116" s="2"/>
      <c r="BR116" s="2"/>
      <c r="BS116" s="2"/>
      <c r="BT116" s="86"/>
      <c r="BU116" s="2"/>
      <c r="BV116" s="83"/>
      <c r="BW116" s="87"/>
      <c r="BX116" s="28"/>
      <c r="BY116" s="25" t="str">
        <f>$M116</f>
        <v>2025 LEXUS TX 550h+ AWD</v>
      </c>
      <c r="BZ116" s="28"/>
      <c r="CA116" s="28"/>
      <c r="CB116" s="28"/>
      <c r="CC116" s="28"/>
      <c r="CD116" s="28"/>
      <c r="CE116" s="88"/>
      <c r="CF116" s="28"/>
      <c r="CG116" s="28"/>
      <c r="CH116" s="28"/>
      <c r="CI116" s="28"/>
      <c r="CJ116" s="28"/>
      <c r="CK116" s="28"/>
      <c r="CL116" s="28"/>
      <c r="CM116" s="28"/>
      <c r="CN116" s="28"/>
      <c r="CO116" s="25" t="str">
        <f>$M116</f>
        <v>2025 LEXUS TX 550h+ AWD</v>
      </c>
      <c r="CP116" s="28"/>
      <c r="CQ116" s="28"/>
      <c r="CR116" s="28"/>
      <c r="CS116" s="28"/>
      <c r="CT116" s="28"/>
      <c r="CU116" s="28"/>
      <c r="CV116" s="28"/>
      <c r="CW116" s="28"/>
      <c r="CX116" s="28"/>
      <c r="CY116" s="28"/>
      <c r="CZ116" s="28"/>
      <c r="DA116" s="28"/>
      <c r="DB116" s="28"/>
      <c r="DC116" s="28"/>
      <c r="DD116" s="28"/>
      <c r="DE116" s="28"/>
      <c r="DF116" s="25" t="str">
        <f>$M116</f>
        <v>2025 LEXUS TX 550h+ AWD</v>
      </c>
      <c r="DG116" s="28"/>
      <c r="DH116" s="28"/>
      <c r="DI116" s="28"/>
      <c r="DJ116" s="28"/>
      <c r="DK116" s="28"/>
      <c r="DL116" s="28"/>
      <c r="DM116" s="28"/>
      <c r="DN116" s="28"/>
      <c r="DO116" s="28"/>
      <c r="DP116" s="28"/>
      <c r="DQ116" s="28"/>
      <c r="DR116" s="25"/>
      <c r="DS116" s="25"/>
      <c r="DT116" s="25"/>
      <c r="DU116" s="25"/>
      <c r="DV116" s="25"/>
      <c r="DW116" s="25" t="str">
        <f>$M116</f>
        <v>2025 LEXUS TX 550h+ AWD</v>
      </c>
      <c r="DX116" s="25"/>
      <c r="DY116" s="25"/>
      <c r="DZ116" s="85"/>
      <c r="EA116" s="89"/>
      <c r="EB116" s="80"/>
      <c r="EC116" s="25"/>
      <c r="ED116" s="85"/>
      <c r="EE116" s="25"/>
      <c r="EF116" s="25"/>
      <c r="EG116" s="25"/>
      <c r="EH116" s="85"/>
      <c r="EI116" s="25"/>
      <c r="EK116" t="s">
        <v>2445</v>
      </c>
      <c r="EL116" s="85" t="str">
        <f>$M116</f>
        <v>2025 LEXUS TX 550h+ AWD</v>
      </c>
      <c r="EM116" s="25"/>
      <c r="EP116" s="75"/>
      <c r="ET116" s="75"/>
      <c r="EV116" s="75"/>
      <c r="EY116" s="75"/>
      <c r="EZ116" s="102"/>
      <c r="FA116" s="25" t="str">
        <f>$M116</f>
        <v>2025 LEXUS TX 550h+ AWD</v>
      </c>
      <c r="FB116" s="75"/>
      <c r="FC116" s="91"/>
      <c r="FD116" s="80"/>
      <c r="FE116" s="25"/>
      <c r="FF116" s="85"/>
      <c r="FG116" s="80"/>
      <c r="FH116" s="25"/>
      <c r="FI116" s="85"/>
      <c r="FJ116" s="80"/>
      <c r="FK116" s="25"/>
      <c r="FL116" s="85"/>
      <c r="FM116" s="25" t="str">
        <f>$M116</f>
        <v>2025 LEXUS TX 550h+ AWD</v>
      </c>
      <c r="FN116" s="25"/>
      <c r="FO116" s="85"/>
      <c r="FP116" s="92"/>
      <c r="FQ116" s="93"/>
      <c r="FR116" s="94"/>
      <c r="FS116" s="95"/>
      <c r="FT116" s="25"/>
      <c r="FU116" s="25"/>
      <c r="FV116" s="25"/>
      <c r="FW116" s="25"/>
      <c r="FX116" s="25"/>
      <c r="FY116" s="25"/>
      <c r="FZ116" s="25"/>
      <c r="GA116" s="25"/>
      <c r="GB116" s="25"/>
      <c r="GC116" s="25"/>
      <c r="GD116" s="25"/>
      <c r="GE116" s="25"/>
      <c r="GF116" s="25"/>
      <c r="GG116" s="25"/>
      <c r="GH116" s="25"/>
    </row>
    <row r="117" spans="1:190" s="76" customFormat="1" x14ac:dyDescent="0.35">
      <c r="A117" s="76">
        <v>2025</v>
      </c>
      <c r="B117" s="76" t="s">
        <v>327</v>
      </c>
      <c r="C117" s="76" t="s">
        <v>328</v>
      </c>
      <c r="D117" s="109" t="s">
        <v>2617</v>
      </c>
      <c r="E117" s="76" t="s">
        <v>330</v>
      </c>
      <c r="F117" s="109">
        <v>21</v>
      </c>
      <c r="G117" s="109">
        <v>3.5</v>
      </c>
      <c r="H117" s="109">
        <v>6</v>
      </c>
      <c r="I117" s="79" t="s">
        <v>594</v>
      </c>
      <c r="J117" s="76">
        <v>29</v>
      </c>
      <c r="K117" s="76">
        <v>28</v>
      </c>
      <c r="L117" s="76">
        <v>29</v>
      </c>
      <c r="M117" s="76">
        <v>39.4</v>
      </c>
      <c r="N117" s="76">
        <v>39.6</v>
      </c>
      <c r="O117" s="76">
        <v>39.489699999999999</v>
      </c>
      <c r="P117" s="76">
        <v>29.027100000000001</v>
      </c>
      <c r="Q117" s="76">
        <v>27.9755</v>
      </c>
      <c r="R117" s="76">
        <v>28.5443</v>
      </c>
      <c r="T117" s="76" t="s">
        <v>2557</v>
      </c>
      <c r="U117" s="76" t="s">
        <v>224</v>
      </c>
      <c r="V117" s="76" t="s">
        <v>463</v>
      </c>
      <c r="W117" s="76" t="s">
        <v>464</v>
      </c>
      <c r="Y117" s="76">
        <v>6</v>
      </c>
      <c r="Z117" s="76" t="s">
        <v>170</v>
      </c>
      <c r="AA117" s="76" t="s">
        <v>170</v>
      </c>
      <c r="AB117" s="76" t="s">
        <v>167</v>
      </c>
      <c r="AC117" s="76" t="s">
        <v>213</v>
      </c>
      <c r="AD117" s="76">
        <v>15</v>
      </c>
      <c r="AF117" s="76">
        <v>414</v>
      </c>
      <c r="AG117" s="76" t="s">
        <v>214</v>
      </c>
      <c r="AH117" s="76" t="s">
        <v>215</v>
      </c>
      <c r="AI117" s="76" t="s">
        <v>175</v>
      </c>
      <c r="AJ117" s="79" t="s">
        <v>176</v>
      </c>
      <c r="AK117" s="76" t="s">
        <v>940</v>
      </c>
      <c r="AL117" s="76" t="s">
        <v>941</v>
      </c>
      <c r="AR117" s="79"/>
      <c r="AS117" s="76">
        <v>1500</v>
      </c>
      <c r="AT117" s="79">
        <v>1500</v>
      </c>
      <c r="AU117" s="76">
        <v>42</v>
      </c>
      <c r="AV117" s="76">
        <v>48</v>
      </c>
      <c r="AW117" s="76">
        <v>45</v>
      </c>
      <c r="AX117" s="76">
        <v>28.9</v>
      </c>
      <c r="AY117" s="76">
        <v>33.700000000000003</v>
      </c>
      <c r="AZ117" s="76">
        <v>31.06</v>
      </c>
      <c r="BA117" s="76">
        <v>41.818399999999997</v>
      </c>
      <c r="BB117" s="76">
        <v>47.95</v>
      </c>
      <c r="BC117" s="76">
        <v>44.577599999999997</v>
      </c>
      <c r="BD117" s="76">
        <v>33</v>
      </c>
      <c r="BE117" s="76" t="s">
        <v>1735</v>
      </c>
      <c r="BF117" s="76" t="s">
        <v>1736</v>
      </c>
      <c r="BG117" s="76" t="s">
        <v>1742</v>
      </c>
      <c r="BH117" s="76" t="s">
        <v>1743</v>
      </c>
      <c r="BI117" s="76">
        <v>1500</v>
      </c>
      <c r="BM117" s="79"/>
      <c r="BN117" s="111" t="s">
        <v>2611</v>
      </c>
      <c r="BO117" s="76">
        <v>2</v>
      </c>
      <c r="BP117" s="76">
        <v>2</v>
      </c>
      <c r="BQ117" s="76">
        <v>33</v>
      </c>
      <c r="BR117" s="76" t="s">
        <v>1497</v>
      </c>
      <c r="BT117" s="76" t="s">
        <v>2494</v>
      </c>
      <c r="BU117" s="99">
        <v>45636</v>
      </c>
      <c r="BV117" s="79">
        <v>35794</v>
      </c>
      <c r="BW117" s="100"/>
      <c r="BX117" s="76" t="s">
        <v>170</v>
      </c>
      <c r="BY117" s="76" t="s">
        <v>170</v>
      </c>
      <c r="CB117" s="76" t="s">
        <v>170</v>
      </c>
      <c r="CC117" s="76" t="s">
        <v>170</v>
      </c>
      <c r="CE117" s="76" t="s">
        <v>170</v>
      </c>
      <c r="CG117" s="76" t="s">
        <v>169</v>
      </c>
      <c r="CH117" s="76" t="s">
        <v>333</v>
      </c>
      <c r="CI117" s="76" t="s">
        <v>170</v>
      </c>
      <c r="CK117" s="76" t="s">
        <v>233</v>
      </c>
      <c r="CM117" s="76">
        <v>1</v>
      </c>
      <c r="CN117" s="76" t="s">
        <v>234</v>
      </c>
      <c r="CP117" s="76">
        <v>355</v>
      </c>
      <c r="CQ117" s="76">
        <v>51</v>
      </c>
      <c r="CR117" s="76">
        <v>218.2</v>
      </c>
      <c r="CS117" s="76" t="s">
        <v>235</v>
      </c>
      <c r="CV117" s="76" t="s">
        <v>341</v>
      </c>
      <c r="CX117" s="76" t="s">
        <v>342</v>
      </c>
      <c r="CY117" s="76" t="s">
        <v>170</v>
      </c>
      <c r="DC117" s="76" t="s">
        <v>2613</v>
      </c>
      <c r="DD117" s="76">
        <v>2</v>
      </c>
      <c r="DE117" s="76" t="s">
        <v>404</v>
      </c>
      <c r="DF117" s="76" t="s">
        <v>638</v>
      </c>
      <c r="DG117" s="76" t="s">
        <v>2618</v>
      </c>
      <c r="DJ117" s="76" t="s">
        <v>267</v>
      </c>
      <c r="DK117" s="76" t="s">
        <v>268</v>
      </c>
      <c r="DL117" s="76" t="s">
        <v>170</v>
      </c>
      <c r="DM117" s="76" t="s">
        <v>169</v>
      </c>
      <c r="DN117" s="76" t="s">
        <v>170</v>
      </c>
      <c r="DO117" s="76" t="s">
        <v>358</v>
      </c>
      <c r="DP117" s="76" t="s">
        <v>169</v>
      </c>
      <c r="DQ117" s="76" t="s">
        <v>198</v>
      </c>
      <c r="DR117" s="76" t="s">
        <v>2451</v>
      </c>
      <c r="DS117" s="76" t="s">
        <v>2496</v>
      </c>
      <c r="DT117" s="76" t="s">
        <v>2497</v>
      </c>
      <c r="DU117" s="76" t="s">
        <v>2498</v>
      </c>
      <c r="DV117" s="76" t="s">
        <v>2499</v>
      </c>
      <c r="DZ117" s="79"/>
      <c r="EA117" s="101"/>
      <c r="EB117" s="76">
        <v>8</v>
      </c>
      <c r="EC117" s="76">
        <v>9</v>
      </c>
      <c r="ED117" s="79">
        <v>10</v>
      </c>
      <c r="EE117" s="76" t="s">
        <v>2619</v>
      </c>
      <c r="EF117" s="76">
        <v>6</v>
      </c>
      <c r="EH117" s="79"/>
      <c r="EL117" s="79"/>
      <c r="EP117" s="79"/>
      <c r="ET117" s="79"/>
      <c r="EU117" s="76">
        <v>2000</v>
      </c>
      <c r="EV117" s="79"/>
      <c r="EW117" s="76">
        <v>0</v>
      </c>
      <c r="EX117" s="76">
        <v>0</v>
      </c>
      <c r="EY117" s="79">
        <v>0</v>
      </c>
      <c r="EZ117" s="97">
        <v>120</v>
      </c>
      <c r="FA117" s="76">
        <v>3</v>
      </c>
      <c r="FB117" s="77"/>
      <c r="FC117" s="97">
        <v>450</v>
      </c>
      <c r="FD117" s="96">
        <v>49</v>
      </c>
      <c r="FE117" s="76">
        <v>43</v>
      </c>
      <c r="FF117" s="79">
        <v>46</v>
      </c>
      <c r="FG117" s="76">
        <v>111</v>
      </c>
      <c r="FH117" s="76">
        <v>131</v>
      </c>
      <c r="FI117" s="103">
        <v>120</v>
      </c>
      <c r="FJ117" s="104">
        <v>35.479999999999997</v>
      </c>
      <c r="FK117" s="76">
        <v>30.52</v>
      </c>
      <c r="FL117" s="79">
        <v>33</v>
      </c>
      <c r="FM117" s="76">
        <v>0.64</v>
      </c>
      <c r="FN117" s="76">
        <v>0.59099999999999997</v>
      </c>
      <c r="FO117" s="79">
        <v>0.61899999999999999</v>
      </c>
      <c r="FP117" s="106">
        <v>0</v>
      </c>
      <c r="FQ117" s="107">
        <v>0</v>
      </c>
      <c r="FR117" s="107">
        <v>0</v>
      </c>
      <c r="FS117" s="108">
        <v>14.5</v>
      </c>
    </row>
    <row r="118" spans="1:190" s="76" customFormat="1" x14ac:dyDescent="0.35">
      <c r="A118" s="76">
        <v>2025</v>
      </c>
      <c r="B118" s="162" t="s">
        <v>327</v>
      </c>
      <c r="C118" s="162" t="s">
        <v>328</v>
      </c>
      <c r="D118" s="162" t="s">
        <v>2610</v>
      </c>
      <c r="E118" s="162" t="s">
        <v>330</v>
      </c>
      <c r="F118" s="162">
        <v>7</v>
      </c>
      <c r="G118" s="162">
        <v>2.5</v>
      </c>
      <c r="H118" s="162">
        <v>4</v>
      </c>
      <c r="I118" s="163" t="s">
        <v>594</v>
      </c>
      <c r="J118" s="76">
        <v>29</v>
      </c>
      <c r="K118" s="76">
        <v>28</v>
      </c>
      <c r="L118" s="76">
        <v>29</v>
      </c>
      <c r="M118" s="76">
        <v>39.4</v>
      </c>
      <c r="N118" s="76">
        <v>39.6</v>
      </c>
      <c r="O118" s="76">
        <v>39.489699999999999</v>
      </c>
      <c r="P118" s="76">
        <v>29.027100000000001</v>
      </c>
      <c r="Q118" s="76">
        <v>27.9755</v>
      </c>
      <c r="R118" s="76">
        <v>28.5443</v>
      </c>
      <c r="T118" s="76" t="s">
        <v>2557</v>
      </c>
      <c r="U118" s="76" t="s">
        <v>224</v>
      </c>
      <c r="V118" s="76" t="s">
        <v>463</v>
      </c>
      <c r="W118" s="76" t="s">
        <v>464</v>
      </c>
      <c r="Y118" s="76">
        <v>6</v>
      </c>
      <c r="Z118" s="76" t="s">
        <v>170</v>
      </c>
      <c r="AA118" s="76" t="s">
        <v>170</v>
      </c>
      <c r="AB118" s="76" t="s">
        <v>167</v>
      </c>
      <c r="AC118" s="76" t="s">
        <v>213</v>
      </c>
      <c r="AD118" s="76">
        <v>15</v>
      </c>
      <c r="AF118" s="76">
        <v>414</v>
      </c>
      <c r="AG118" s="76" t="s">
        <v>214</v>
      </c>
      <c r="AH118" s="76" t="s">
        <v>215</v>
      </c>
      <c r="AI118" s="76" t="s">
        <v>175</v>
      </c>
      <c r="AJ118" s="79" t="s">
        <v>176</v>
      </c>
      <c r="AK118" s="76" t="s">
        <v>940</v>
      </c>
      <c r="AL118" s="76" t="s">
        <v>941</v>
      </c>
      <c r="AR118" s="79"/>
      <c r="AS118" s="76">
        <v>1500</v>
      </c>
      <c r="AT118" s="79">
        <v>1500</v>
      </c>
      <c r="AU118" s="76">
        <v>81</v>
      </c>
      <c r="AV118" s="76">
        <v>70</v>
      </c>
      <c r="AW118" s="76">
        <v>76</v>
      </c>
      <c r="AX118" s="76">
        <v>116.5</v>
      </c>
      <c r="AY118" s="76">
        <v>100.1</v>
      </c>
      <c r="AZ118" s="76">
        <v>108.50069999999999</v>
      </c>
      <c r="BA118" s="76">
        <v>80.942300000000003</v>
      </c>
      <c r="BB118" s="76">
        <v>70.058199999999999</v>
      </c>
      <c r="BC118" s="76">
        <v>75.653300000000002</v>
      </c>
      <c r="BD118" s="76">
        <v>33</v>
      </c>
      <c r="BE118" s="76" t="s">
        <v>1735</v>
      </c>
      <c r="BF118" s="76" t="s">
        <v>1736</v>
      </c>
      <c r="BG118" s="76" t="s">
        <v>175</v>
      </c>
      <c r="BH118" s="76" t="s">
        <v>176</v>
      </c>
      <c r="BI118" s="76">
        <v>1500</v>
      </c>
      <c r="BM118" s="79"/>
      <c r="BN118" s="111" t="s">
        <v>2611</v>
      </c>
      <c r="BO118" s="76">
        <v>2</v>
      </c>
      <c r="BP118" s="76">
        <v>2</v>
      </c>
      <c r="BQ118" s="76">
        <v>33</v>
      </c>
      <c r="BR118" s="76" t="s">
        <v>1497</v>
      </c>
      <c r="BT118" s="76" t="s">
        <v>2494</v>
      </c>
      <c r="BU118" s="99">
        <v>45636</v>
      </c>
      <c r="BV118" s="79">
        <v>35794</v>
      </c>
      <c r="BW118" s="100"/>
      <c r="BX118" s="76" t="s">
        <v>170</v>
      </c>
      <c r="BY118" s="76" t="s">
        <v>170</v>
      </c>
      <c r="CB118" s="76" t="s">
        <v>170</v>
      </c>
      <c r="CC118" s="76" t="s">
        <v>170</v>
      </c>
      <c r="CE118" s="76" t="s">
        <v>170</v>
      </c>
      <c r="CG118" s="76" t="s">
        <v>169</v>
      </c>
      <c r="CH118" s="76" t="s">
        <v>333</v>
      </c>
      <c r="CI118" s="76" t="s">
        <v>170</v>
      </c>
      <c r="CK118" s="76" t="s">
        <v>233</v>
      </c>
      <c r="CM118" s="76">
        <v>1</v>
      </c>
      <c r="CN118" s="76" t="s">
        <v>234</v>
      </c>
      <c r="CP118" s="76">
        <v>355</v>
      </c>
      <c r="CQ118" s="76">
        <v>51</v>
      </c>
      <c r="CR118" s="76">
        <v>218.2</v>
      </c>
      <c r="CS118" s="76" t="s">
        <v>235</v>
      </c>
      <c r="CV118" s="76" t="s">
        <v>341</v>
      </c>
      <c r="CX118" s="76" t="s">
        <v>342</v>
      </c>
      <c r="CY118" s="76" t="s">
        <v>170</v>
      </c>
      <c r="DC118" s="76" t="s">
        <v>2613</v>
      </c>
      <c r="DD118" s="76">
        <v>2</v>
      </c>
      <c r="DE118" s="76" t="s">
        <v>404</v>
      </c>
      <c r="DF118" s="76" t="s">
        <v>638</v>
      </c>
      <c r="DG118" s="76" t="s">
        <v>2618</v>
      </c>
      <c r="DJ118" s="76" t="s">
        <v>267</v>
      </c>
      <c r="DK118" s="76" t="s">
        <v>268</v>
      </c>
      <c r="DL118" s="76" t="s">
        <v>170</v>
      </c>
      <c r="DM118" s="76" t="s">
        <v>169</v>
      </c>
      <c r="DN118" s="76" t="s">
        <v>170</v>
      </c>
      <c r="DO118" s="76" t="s">
        <v>358</v>
      </c>
      <c r="DP118" s="76" t="s">
        <v>169</v>
      </c>
      <c r="DQ118" s="76" t="s">
        <v>198</v>
      </c>
      <c r="DR118" s="76" t="s">
        <v>2451</v>
      </c>
      <c r="DS118" s="76" t="s">
        <v>2496</v>
      </c>
      <c r="DT118" s="76" t="s">
        <v>2497</v>
      </c>
      <c r="DU118" s="76" t="s">
        <v>2498</v>
      </c>
      <c r="DV118" s="76" t="s">
        <v>2499</v>
      </c>
      <c r="DZ118" s="79"/>
      <c r="EA118" s="101"/>
      <c r="EB118" s="76">
        <v>8</v>
      </c>
      <c r="EC118" s="76">
        <v>9</v>
      </c>
      <c r="ED118" s="79">
        <v>10</v>
      </c>
      <c r="EE118" s="76" t="s">
        <v>2619</v>
      </c>
      <c r="EF118" s="76">
        <v>6</v>
      </c>
      <c r="EH118" s="79"/>
      <c r="EL118" s="79"/>
      <c r="EP118" s="79"/>
      <c r="ET118" s="79"/>
      <c r="EU118" s="76">
        <v>2000</v>
      </c>
      <c r="EV118" s="79"/>
      <c r="EW118" s="76">
        <v>302</v>
      </c>
      <c r="EX118" s="76">
        <v>314</v>
      </c>
      <c r="EY118" s="79">
        <v>308</v>
      </c>
      <c r="EZ118" s="97">
        <v>120</v>
      </c>
      <c r="FA118" s="76">
        <v>3</v>
      </c>
      <c r="FB118" s="77"/>
      <c r="FC118" s="97">
        <v>450</v>
      </c>
      <c r="FD118" s="96">
        <v>49</v>
      </c>
      <c r="FE118" s="76">
        <v>43</v>
      </c>
      <c r="FF118" s="79">
        <v>46</v>
      </c>
      <c r="FG118" s="76">
        <v>111</v>
      </c>
      <c r="FH118" s="76">
        <v>131</v>
      </c>
      <c r="FI118" s="103">
        <v>120</v>
      </c>
      <c r="FJ118" s="98" t="s">
        <v>2501</v>
      </c>
      <c r="FL118" s="79"/>
      <c r="FM118" s="76">
        <v>0.64</v>
      </c>
      <c r="FN118" s="76">
        <v>0.59099999999999997</v>
      </c>
      <c r="FO118" s="79">
        <v>0.61899999999999999</v>
      </c>
      <c r="FP118" s="106"/>
      <c r="FQ118" s="107"/>
      <c r="FR118" s="107"/>
      <c r="FS118" s="108">
        <v>14.5</v>
      </c>
    </row>
    <row r="119" spans="1:190" s="77" customFormat="1" x14ac:dyDescent="0.35">
      <c r="A119" s="76"/>
      <c r="E119" s="76"/>
      <c r="F119" s="76"/>
      <c r="G119" s="78"/>
      <c r="H119" s="76"/>
      <c r="I119" s="79"/>
      <c r="J119" s="80"/>
      <c r="K119" s="28"/>
      <c r="L119" s="28"/>
      <c r="M119" s="25" t="str">
        <f>_xlfn.CONCAT(A120," ",C120," ",D120)</f>
        <v>2025 TOYOTA Prius PHEV</v>
      </c>
      <c r="N119" s="28"/>
      <c r="O119" s="28"/>
      <c r="P119" s="28"/>
      <c r="Q119" s="28"/>
      <c r="R119" s="28"/>
      <c r="S119" s="28"/>
      <c r="T119" s="28"/>
      <c r="U119" s="28"/>
      <c r="V119" s="28"/>
      <c r="W119" s="28"/>
      <c r="X119" s="28"/>
      <c r="Y119" s="28"/>
      <c r="Z119" s="28"/>
      <c r="AA119" s="28"/>
      <c r="AB119" s="28"/>
      <c r="AC119" s="28"/>
      <c r="AD119" s="25" t="str">
        <f>$M119</f>
        <v>2025 TOYOTA Prius PHEV</v>
      </c>
      <c r="AE119" s="28"/>
      <c r="AF119" s="28"/>
      <c r="AG119" s="28"/>
      <c r="AH119" s="28"/>
      <c r="AI119" s="28"/>
      <c r="AJ119" s="81"/>
      <c r="AK119" s="2"/>
      <c r="AL119" s="2"/>
      <c r="AM119" s="2"/>
      <c r="AN119" s="2"/>
      <c r="AO119" s="2"/>
      <c r="AP119" s="2"/>
      <c r="AQ119" s="2"/>
      <c r="AR119" s="83"/>
      <c r="AS119" s="28"/>
      <c r="AT119" s="85" t="str">
        <f>$M119</f>
        <v>2025 TOYOTA Prius PHEV</v>
      </c>
      <c r="AU119" s="28"/>
      <c r="AV119" s="28"/>
      <c r="AW119" s="28"/>
      <c r="AX119" s="28"/>
      <c r="AY119" s="28"/>
      <c r="AZ119" s="28"/>
      <c r="BA119" s="28"/>
      <c r="BB119" s="28"/>
      <c r="BC119" s="28"/>
      <c r="BD119" s="28"/>
      <c r="BE119" s="28"/>
      <c r="BF119" s="28"/>
      <c r="BG119" s="28"/>
      <c r="BH119" s="28"/>
      <c r="BI119" s="25" t="str">
        <f>$M119</f>
        <v>2025 TOYOTA Prius PHEV</v>
      </c>
      <c r="BJ119" s="28"/>
      <c r="BK119" s="28"/>
      <c r="BL119" s="28"/>
      <c r="BM119" s="81"/>
      <c r="BN119" s="2"/>
      <c r="BO119" s="2"/>
      <c r="BP119" s="2"/>
      <c r="BQ119" s="2"/>
      <c r="BR119" s="2"/>
      <c r="BS119" s="2"/>
      <c r="BT119" s="86"/>
      <c r="BU119" s="2"/>
      <c r="BV119" s="83"/>
      <c r="BW119" s="87"/>
      <c r="BX119" s="28"/>
      <c r="BY119" s="25" t="str">
        <f>$M119</f>
        <v>2025 TOYOTA Prius PHEV</v>
      </c>
      <c r="BZ119" s="28"/>
      <c r="CA119" s="28"/>
      <c r="CB119" s="28"/>
      <c r="CC119" s="28"/>
      <c r="CD119" s="28"/>
      <c r="CE119" s="88"/>
      <c r="CF119" s="28"/>
      <c r="CG119" s="28"/>
      <c r="CH119" s="28"/>
      <c r="CI119" s="28"/>
      <c r="CJ119" s="28"/>
      <c r="CK119" s="28"/>
      <c r="CL119" s="28"/>
      <c r="CM119" s="28"/>
      <c r="CN119" s="28"/>
      <c r="CO119" s="25" t="str">
        <f>$M119</f>
        <v>2025 TOYOTA Prius PHEV</v>
      </c>
      <c r="CP119" s="28"/>
      <c r="CQ119" s="28"/>
      <c r="CR119" s="28"/>
      <c r="CS119" s="28"/>
      <c r="CT119" s="28"/>
      <c r="CU119" s="28"/>
      <c r="CV119" s="28"/>
      <c r="CW119" s="28"/>
      <c r="CX119" s="28"/>
      <c r="CY119" s="28"/>
      <c r="CZ119" s="28"/>
      <c r="DA119" s="28"/>
      <c r="DB119" s="28"/>
      <c r="DC119" s="28"/>
      <c r="DD119" s="28"/>
      <c r="DE119" s="28"/>
      <c r="DF119" s="25" t="str">
        <f>$M119</f>
        <v>2025 TOYOTA Prius PHEV</v>
      </c>
      <c r="DG119" s="28"/>
      <c r="DH119" s="28"/>
      <c r="DI119" s="28"/>
      <c r="DJ119" s="28"/>
      <c r="DK119" s="28"/>
      <c r="DL119" s="28"/>
      <c r="DM119" s="28"/>
      <c r="DN119" s="28"/>
      <c r="DO119" s="28"/>
      <c r="DP119" s="28"/>
      <c r="DQ119" s="28"/>
      <c r="DR119" s="25"/>
      <c r="DS119" s="25"/>
      <c r="DT119" s="25"/>
      <c r="DU119" s="25"/>
      <c r="DV119" s="25"/>
      <c r="DW119" s="25" t="str">
        <f>$M119</f>
        <v>2025 TOYOTA Prius PHEV</v>
      </c>
      <c r="DX119" s="25"/>
      <c r="DY119" s="25"/>
      <c r="DZ119" s="85"/>
      <c r="EA119" s="89"/>
      <c r="EB119" s="25"/>
      <c r="EC119" s="25"/>
      <c r="ED119" s="85"/>
      <c r="EE119" s="25"/>
      <c r="EF119" s="25"/>
      <c r="EG119" s="25"/>
      <c r="EH119" s="85"/>
      <c r="EI119" s="25"/>
      <c r="EK119" t="s">
        <v>2445</v>
      </c>
      <c r="EL119" s="85" t="str">
        <f>$M119</f>
        <v>2025 TOYOTA Prius PHEV</v>
      </c>
      <c r="EM119" s="25"/>
      <c r="EP119" s="75"/>
      <c r="ET119" s="75"/>
      <c r="EV119" s="75"/>
      <c r="EY119" s="75"/>
      <c r="EZ119" s="102"/>
      <c r="FA119" s="25" t="str">
        <f>$M119</f>
        <v>2025 TOYOTA Prius PHEV</v>
      </c>
      <c r="FB119" s="75"/>
      <c r="FC119" s="91"/>
      <c r="FD119" s="80"/>
      <c r="FE119" s="25"/>
      <c r="FF119" s="85"/>
      <c r="FG119" s="80"/>
      <c r="FH119" s="25"/>
      <c r="FI119" s="85"/>
      <c r="FJ119" s="80"/>
      <c r="FK119" s="25"/>
      <c r="FL119" s="85"/>
      <c r="FM119" s="25" t="str">
        <f>$M119</f>
        <v>2025 TOYOTA Prius PHEV</v>
      </c>
      <c r="FN119" s="25"/>
      <c r="FO119" s="85"/>
      <c r="FP119" s="92"/>
      <c r="FQ119" s="93"/>
      <c r="FR119" s="94"/>
      <c r="FS119" s="108"/>
      <c r="FT119" s="25"/>
      <c r="FU119" s="25"/>
      <c r="FV119" s="25"/>
      <c r="FW119" s="25"/>
      <c r="FX119" s="25"/>
      <c r="FY119" s="25"/>
      <c r="FZ119" s="25"/>
      <c r="GA119" s="25"/>
      <c r="GB119" s="25"/>
      <c r="GC119" s="25"/>
      <c r="GD119" s="25"/>
      <c r="GE119" s="25"/>
      <c r="GF119" s="25"/>
      <c r="GG119" s="25"/>
      <c r="GH119" s="25"/>
    </row>
    <row r="120" spans="1:190" s="76" customFormat="1" x14ac:dyDescent="0.35">
      <c r="A120" s="76">
        <v>2025</v>
      </c>
      <c r="B120" s="76" t="s">
        <v>327</v>
      </c>
      <c r="C120" s="76" t="s">
        <v>317</v>
      </c>
      <c r="D120" s="76" t="s">
        <v>2620</v>
      </c>
      <c r="E120" s="76" t="s">
        <v>330</v>
      </c>
      <c r="F120" s="109">
        <v>114</v>
      </c>
      <c r="G120" s="109">
        <v>2</v>
      </c>
      <c r="H120" s="109">
        <v>4</v>
      </c>
      <c r="I120" s="110" t="s">
        <v>587</v>
      </c>
      <c r="J120" s="96">
        <v>50</v>
      </c>
      <c r="K120" s="76">
        <v>47</v>
      </c>
      <c r="L120" s="76">
        <v>48</v>
      </c>
      <c r="M120" s="76">
        <v>70.3</v>
      </c>
      <c r="N120" s="76">
        <v>66.099999999999994</v>
      </c>
      <c r="O120" s="76">
        <v>68.345799999999997</v>
      </c>
      <c r="P120" s="76">
        <v>49.7</v>
      </c>
      <c r="Q120" s="76">
        <v>46.829700000000003</v>
      </c>
      <c r="R120" s="76">
        <v>48.366</v>
      </c>
      <c r="T120" s="76" t="s">
        <v>2557</v>
      </c>
      <c r="U120" s="76" t="s">
        <v>224</v>
      </c>
      <c r="V120" s="76" t="s">
        <v>588</v>
      </c>
      <c r="W120" s="76" t="s">
        <v>589</v>
      </c>
      <c r="Y120" s="76">
        <v>1</v>
      </c>
      <c r="Z120" s="76" t="s">
        <v>170</v>
      </c>
      <c r="AA120" s="76" t="s">
        <v>170</v>
      </c>
      <c r="AB120" s="76" t="s">
        <v>351</v>
      </c>
      <c r="AC120" s="76" t="s">
        <v>352</v>
      </c>
      <c r="AD120" s="76">
        <v>15</v>
      </c>
      <c r="AF120" s="76">
        <v>513</v>
      </c>
      <c r="AG120" s="76" t="s">
        <v>210</v>
      </c>
      <c r="AH120" s="76" t="s">
        <v>444</v>
      </c>
      <c r="AI120" s="76" t="s">
        <v>175</v>
      </c>
      <c r="AJ120" s="79" t="s">
        <v>176</v>
      </c>
      <c r="AK120" s="96" t="s">
        <v>170</v>
      </c>
      <c r="AL120" s="76" t="s">
        <v>177</v>
      </c>
      <c r="AQ120" s="76">
        <v>91</v>
      </c>
      <c r="AR120" s="79">
        <v>20</v>
      </c>
      <c r="AS120" s="96">
        <v>800</v>
      </c>
      <c r="AT120" s="79">
        <v>800</v>
      </c>
      <c r="AU120" s="96">
        <v>27</v>
      </c>
      <c r="AV120" s="76">
        <v>33</v>
      </c>
      <c r="AW120" s="76">
        <v>29</v>
      </c>
      <c r="AX120" s="76">
        <v>18.5</v>
      </c>
      <c r="AY120" s="76">
        <v>22.5</v>
      </c>
      <c r="AZ120" s="76">
        <v>20.3</v>
      </c>
      <c r="BA120" s="76">
        <v>26.874500000000001</v>
      </c>
      <c r="BB120" s="76">
        <v>32.5471</v>
      </c>
      <c r="BC120" s="76">
        <v>29.427199999999999</v>
      </c>
      <c r="BD120" s="76">
        <v>40</v>
      </c>
      <c r="BE120" s="76" t="s">
        <v>1735</v>
      </c>
      <c r="BF120" s="76" t="s">
        <v>1736</v>
      </c>
      <c r="BG120" s="76" t="s">
        <v>1742</v>
      </c>
      <c r="BH120" s="76" t="s">
        <v>1743</v>
      </c>
      <c r="BI120" s="76">
        <v>800</v>
      </c>
      <c r="BM120" s="79"/>
      <c r="BN120" s="98" t="s">
        <v>2611</v>
      </c>
      <c r="BO120" s="76">
        <v>2</v>
      </c>
      <c r="BP120" s="76">
        <v>2</v>
      </c>
      <c r="BQ120" s="76">
        <v>5</v>
      </c>
      <c r="BR120" s="76" t="s">
        <v>672</v>
      </c>
      <c r="BS120" s="76" t="s">
        <v>180</v>
      </c>
      <c r="BT120" s="76" t="s">
        <v>2494</v>
      </c>
      <c r="BU120" s="99">
        <v>45674</v>
      </c>
      <c r="BV120" s="79">
        <v>35931</v>
      </c>
      <c r="BW120" s="120"/>
      <c r="BX120" s="96" t="s">
        <v>170</v>
      </c>
      <c r="BY120" s="76" t="s">
        <v>170</v>
      </c>
      <c r="CB120" s="76" t="s">
        <v>170</v>
      </c>
      <c r="CC120" s="76" t="s">
        <v>170</v>
      </c>
      <c r="CE120" s="76" t="s">
        <v>170</v>
      </c>
      <c r="CG120" s="76" t="s">
        <v>169</v>
      </c>
      <c r="CH120" s="76" t="s">
        <v>333</v>
      </c>
      <c r="CI120" s="76" t="s">
        <v>170</v>
      </c>
      <c r="CK120" s="76" t="s">
        <v>233</v>
      </c>
      <c r="CM120" s="76">
        <v>1</v>
      </c>
      <c r="CN120" s="76" t="s">
        <v>234</v>
      </c>
      <c r="CP120" s="76">
        <v>266</v>
      </c>
      <c r="CQ120" s="76">
        <v>51</v>
      </c>
      <c r="CR120" s="76">
        <v>218.2</v>
      </c>
      <c r="CS120" s="76" t="s">
        <v>235</v>
      </c>
      <c r="CV120" s="76" t="s">
        <v>341</v>
      </c>
      <c r="CX120" s="76" t="s">
        <v>729</v>
      </c>
      <c r="CY120" s="76" t="s">
        <v>170</v>
      </c>
      <c r="DD120" s="76">
        <v>1</v>
      </c>
      <c r="DE120" s="76" t="s">
        <v>404</v>
      </c>
      <c r="DF120" s="76" t="s">
        <v>466</v>
      </c>
      <c r="DG120" s="76">
        <v>120</v>
      </c>
      <c r="DJ120" s="76" t="s">
        <v>267</v>
      </c>
      <c r="DK120" s="76" t="s">
        <v>268</v>
      </c>
      <c r="DL120" s="76" t="s">
        <v>170</v>
      </c>
      <c r="DM120" s="76" t="s">
        <v>169</v>
      </c>
      <c r="DN120" s="76" t="s">
        <v>170</v>
      </c>
      <c r="DO120" s="76" t="s">
        <v>640</v>
      </c>
      <c r="DP120" s="76" t="s">
        <v>169</v>
      </c>
      <c r="DQ120" s="76" t="s">
        <v>198</v>
      </c>
      <c r="DR120" s="76" t="s">
        <v>2451</v>
      </c>
      <c r="DS120" s="76" t="s">
        <v>2496</v>
      </c>
      <c r="DT120" s="76" t="s">
        <v>2497</v>
      </c>
      <c r="DU120" s="76" t="s">
        <v>2498</v>
      </c>
      <c r="DV120" s="76" t="s">
        <v>2499</v>
      </c>
      <c r="DY120" s="76">
        <v>69.099999999999994</v>
      </c>
      <c r="DZ120" s="79"/>
      <c r="EA120" s="101"/>
      <c r="EB120" s="96">
        <v>9</v>
      </c>
      <c r="EC120" s="76">
        <v>10</v>
      </c>
      <c r="ED120" s="79">
        <v>10</v>
      </c>
      <c r="EE120" s="96" t="s">
        <v>2621</v>
      </c>
      <c r="EF120" s="76">
        <v>6</v>
      </c>
      <c r="EH120" s="79"/>
      <c r="EI120" s="96"/>
      <c r="EL120" s="79"/>
      <c r="EP120" s="79"/>
      <c r="ET120" s="79"/>
      <c r="EU120" s="76">
        <v>5500</v>
      </c>
      <c r="EV120" s="79"/>
      <c r="EW120" s="76">
        <v>0</v>
      </c>
      <c r="EX120" s="76">
        <v>0</v>
      </c>
      <c r="EY120" s="79">
        <v>0</v>
      </c>
      <c r="EZ120" s="102">
        <v>60</v>
      </c>
      <c r="FA120" s="76">
        <v>4</v>
      </c>
      <c r="FB120" s="79"/>
      <c r="FC120" s="97">
        <v>550</v>
      </c>
      <c r="FD120" s="96">
        <v>86</v>
      </c>
      <c r="FE120" s="76">
        <v>72</v>
      </c>
      <c r="FF120" s="79">
        <v>79</v>
      </c>
      <c r="FG120" s="76">
        <v>54</v>
      </c>
      <c r="FH120" s="76">
        <v>67</v>
      </c>
      <c r="FI120" s="103">
        <v>60</v>
      </c>
      <c r="FJ120" s="104">
        <v>43.23</v>
      </c>
      <c r="FK120" s="76">
        <v>35.950000000000003</v>
      </c>
      <c r="FL120" s="79">
        <v>40</v>
      </c>
      <c r="FM120" s="76">
        <v>0.70099999999999996</v>
      </c>
      <c r="FN120" s="76">
        <v>0.64400000000000002</v>
      </c>
      <c r="FO120" s="79">
        <v>0.67700000000000005</v>
      </c>
      <c r="FP120" s="106">
        <v>0</v>
      </c>
      <c r="FQ120" s="107">
        <v>0</v>
      </c>
      <c r="FR120" s="107">
        <v>0</v>
      </c>
      <c r="FS120" s="128">
        <v>10.6</v>
      </c>
    </row>
    <row r="121" spans="1:190" s="76" customFormat="1" x14ac:dyDescent="0.35">
      <c r="A121" s="76">
        <v>2025</v>
      </c>
      <c r="B121" s="162" t="s">
        <v>327</v>
      </c>
      <c r="C121" s="162" t="s">
        <v>328</v>
      </c>
      <c r="D121" s="162" t="s">
        <v>2610</v>
      </c>
      <c r="E121" s="162" t="s">
        <v>330</v>
      </c>
      <c r="F121" s="162">
        <v>7</v>
      </c>
      <c r="G121" s="162">
        <v>2.5</v>
      </c>
      <c r="H121" s="162">
        <v>4</v>
      </c>
      <c r="I121" s="163" t="s">
        <v>594</v>
      </c>
      <c r="J121" s="96">
        <v>50</v>
      </c>
      <c r="K121" s="76">
        <v>47</v>
      </c>
      <c r="L121" s="76">
        <v>48</v>
      </c>
      <c r="M121" s="76">
        <v>70.3</v>
      </c>
      <c r="N121" s="76">
        <v>66.099999999999994</v>
      </c>
      <c r="O121" s="76">
        <v>68.345799999999997</v>
      </c>
      <c r="P121" s="76">
        <v>49.7</v>
      </c>
      <c r="Q121" s="76">
        <v>46.829700000000003</v>
      </c>
      <c r="R121" s="76">
        <v>48.366</v>
      </c>
      <c r="T121" s="76" t="s">
        <v>2557</v>
      </c>
      <c r="U121" s="76" t="s">
        <v>224</v>
      </c>
      <c r="V121" s="76" t="s">
        <v>588</v>
      </c>
      <c r="W121" s="76" t="s">
        <v>589</v>
      </c>
      <c r="Y121" s="76">
        <v>1</v>
      </c>
      <c r="Z121" s="76" t="s">
        <v>170</v>
      </c>
      <c r="AA121" s="76" t="s">
        <v>170</v>
      </c>
      <c r="AB121" s="76" t="s">
        <v>351</v>
      </c>
      <c r="AC121" s="76" t="s">
        <v>352</v>
      </c>
      <c r="AD121" s="76">
        <v>15</v>
      </c>
      <c r="AF121" s="76">
        <v>513</v>
      </c>
      <c r="AG121" s="76" t="s">
        <v>210</v>
      </c>
      <c r="AH121" s="76" t="s">
        <v>444</v>
      </c>
      <c r="AI121" s="76" t="s">
        <v>175</v>
      </c>
      <c r="AJ121" s="79" t="s">
        <v>176</v>
      </c>
      <c r="AK121" s="96" t="s">
        <v>170</v>
      </c>
      <c r="AL121" s="76" t="s">
        <v>177</v>
      </c>
      <c r="AQ121" s="76">
        <v>91</v>
      </c>
      <c r="AR121" s="79">
        <v>20</v>
      </c>
      <c r="AS121" s="96">
        <v>800</v>
      </c>
      <c r="AT121" s="79">
        <v>800</v>
      </c>
      <c r="AU121" s="96">
        <v>125</v>
      </c>
      <c r="AV121" s="76">
        <v>103</v>
      </c>
      <c r="AW121" s="76">
        <v>114</v>
      </c>
      <c r="AX121" s="76">
        <v>182.6</v>
      </c>
      <c r="AY121" s="76">
        <v>149.5</v>
      </c>
      <c r="AZ121" s="76">
        <v>166.05549999999999</v>
      </c>
      <c r="BA121" s="76">
        <v>125.3441</v>
      </c>
      <c r="BB121" s="76">
        <v>103.3875</v>
      </c>
      <c r="BC121" s="76">
        <v>114.4102</v>
      </c>
      <c r="BD121" s="76">
        <v>40</v>
      </c>
      <c r="BE121" s="76" t="s">
        <v>1735</v>
      </c>
      <c r="BF121" s="76" t="s">
        <v>1736</v>
      </c>
      <c r="BG121" s="76" t="s">
        <v>175</v>
      </c>
      <c r="BH121" s="76" t="s">
        <v>176</v>
      </c>
      <c r="BI121" s="76">
        <v>800</v>
      </c>
      <c r="BM121" s="79"/>
      <c r="BN121" s="98" t="s">
        <v>2611</v>
      </c>
      <c r="BO121" s="76">
        <v>2</v>
      </c>
      <c r="BP121" s="76">
        <v>2</v>
      </c>
      <c r="BQ121" s="76">
        <v>5</v>
      </c>
      <c r="BR121" s="76" t="s">
        <v>672</v>
      </c>
      <c r="BS121" s="76" t="s">
        <v>180</v>
      </c>
      <c r="BT121" s="76" t="s">
        <v>2494</v>
      </c>
      <c r="BU121" s="99">
        <v>45674</v>
      </c>
      <c r="BV121" s="79">
        <v>35931</v>
      </c>
      <c r="BW121" s="120"/>
      <c r="BX121" s="96" t="s">
        <v>170</v>
      </c>
      <c r="BY121" s="76" t="s">
        <v>170</v>
      </c>
      <c r="CB121" s="76" t="s">
        <v>170</v>
      </c>
      <c r="CC121" s="76" t="s">
        <v>170</v>
      </c>
      <c r="CE121" s="76" t="s">
        <v>170</v>
      </c>
      <c r="CG121" s="76" t="s">
        <v>169</v>
      </c>
      <c r="CH121" s="76" t="s">
        <v>333</v>
      </c>
      <c r="CI121" s="76" t="s">
        <v>170</v>
      </c>
      <c r="CK121" s="76" t="s">
        <v>233</v>
      </c>
      <c r="CM121" s="76">
        <v>1</v>
      </c>
      <c r="CN121" s="76" t="s">
        <v>234</v>
      </c>
      <c r="CP121" s="76">
        <v>266</v>
      </c>
      <c r="CQ121" s="76">
        <v>51</v>
      </c>
      <c r="CR121" s="76">
        <v>218.2</v>
      </c>
      <c r="CS121" s="76" t="s">
        <v>235</v>
      </c>
      <c r="CV121" s="76" t="s">
        <v>341</v>
      </c>
      <c r="CX121" s="76" t="s">
        <v>729</v>
      </c>
      <c r="CY121" s="76" t="s">
        <v>170</v>
      </c>
      <c r="DD121" s="76">
        <v>1</v>
      </c>
      <c r="DE121" s="76" t="s">
        <v>404</v>
      </c>
      <c r="DF121" s="76" t="s">
        <v>466</v>
      </c>
      <c r="DG121" s="76">
        <v>120</v>
      </c>
      <c r="DJ121" s="76" t="s">
        <v>267</v>
      </c>
      <c r="DK121" s="76" t="s">
        <v>268</v>
      </c>
      <c r="DL121" s="76" t="s">
        <v>170</v>
      </c>
      <c r="DM121" s="76" t="s">
        <v>169</v>
      </c>
      <c r="DN121" s="76" t="s">
        <v>170</v>
      </c>
      <c r="DO121" s="76" t="s">
        <v>640</v>
      </c>
      <c r="DP121" s="76" t="s">
        <v>169</v>
      </c>
      <c r="DQ121" s="76" t="s">
        <v>198</v>
      </c>
      <c r="DR121" s="76" t="s">
        <v>2451</v>
      </c>
      <c r="DS121" s="76" t="s">
        <v>2496</v>
      </c>
      <c r="DT121" s="76" t="s">
        <v>2497</v>
      </c>
      <c r="DU121" s="76" t="s">
        <v>2498</v>
      </c>
      <c r="DV121" s="76" t="s">
        <v>2499</v>
      </c>
      <c r="DY121" s="76">
        <v>69.099999999999994</v>
      </c>
      <c r="DZ121" s="79"/>
      <c r="EA121" s="101"/>
      <c r="EB121" s="96">
        <v>9</v>
      </c>
      <c r="EC121" s="76">
        <v>10</v>
      </c>
      <c r="ED121" s="79">
        <v>10</v>
      </c>
      <c r="EE121" s="96" t="s">
        <v>2621</v>
      </c>
      <c r="EF121" s="76">
        <v>6</v>
      </c>
      <c r="EH121" s="79"/>
      <c r="EI121" s="96"/>
      <c r="EL121" s="79"/>
      <c r="EP121" s="79"/>
      <c r="ET121" s="79"/>
      <c r="EU121" s="76">
        <v>5500</v>
      </c>
      <c r="EV121" s="79"/>
      <c r="EW121" s="76">
        <v>174</v>
      </c>
      <c r="EX121" s="76">
        <v>188</v>
      </c>
      <c r="EY121" s="79">
        <v>181</v>
      </c>
      <c r="EZ121" s="102">
        <v>60</v>
      </c>
      <c r="FA121" s="76">
        <v>4</v>
      </c>
      <c r="FB121" s="79"/>
      <c r="FC121" s="97">
        <v>550</v>
      </c>
      <c r="FD121" s="96">
        <v>86</v>
      </c>
      <c r="FE121" s="76">
        <v>72</v>
      </c>
      <c r="FF121" s="79">
        <v>79</v>
      </c>
      <c r="FG121" s="76">
        <v>54</v>
      </c>
      <c r="FH121" s="76">
        <v>67</v>
      </c>
      <c r="FI121" s="103">
        <v>60</v>
      </c>
      <c r="FJ121" s="98" t="s">
        <v>2622</v>
      </c>
      <c r="FL121" s="79"/>
      <c r="FM121" s="76">
        <v>0.70099999999999996</v>
      </c>
      <c r="FN121" s="76">
        <v>0.64400000000000002</v>
      </c>
      <c r="FO121" s="79">
        <v>0.67700000000000005</v>
      </c>
      <c r="FP121" s="106"/>
      <c r="FQ121" s="107"/>
      <c r="FR121" s="107"/>
      <c r="FS121" s="108">
        <v>10.6</v>
      </c>
    </row>
    <row r="122" spans="1:190" s="77" customFormat="1" x14ac:dyDescent="0.35">
      <c r="A122" s="76"/>
      <c r="E122" s="76"/>
      <c r="F122" s="76"/>
      <c r="G122" s="78"/>
      <c r="H122" s="76"/>
      <c r="I122" s="79"/>
      <c r="J122" s="80"/>
      <c r="K122" s="28"/>
      <c r="L122" s="28"/>
      <c r="M122" s="25" t="str">
        <f>_xlfn.CONCAT(A123," ",C123," ",D123)</f>
        <v>2025 TOYOTA Prius PHEV SE</v>
      </c>
      <c r="N122" s="28"/>
      <c r="O122" s="28"/>
      <c r="P122" s="28"/>
      <c r="Q122" s="28"/>
      <c r="R122" s="28"/>
      <c r="S122" s="28"/>
      <c r="T122" s="28"/>
      <c r="U122" s="28"/>
      <c r="V122" s="28"/>
      <c r="W122" s="28"/>
      <c r="X122" s="28"/>
      <c r="Y122" s="28"/>
      <c r="Z122" s="28"/>
      <c r="AA122" s="28"/>
      <c r="AB122" s="28"/>
      <c r="AC122" s="28"/>
      <c r="AD122" s="25" t="str">
        <f>$M122</f>
        <v>2025 TOYOTA Prius PHEV SE</v>
      </c>
      <c r="AE122" s="28"/>
      <c r="AF122" s="28"/>
      <c r="AG122" s="28"/>
      <c r="AH122" s="28"/>
      <c r="AI122" s="28"/>
      <c r="AJ122" s="81"/>
      <c r="AK122" s="82"/>
      <c r="AL122" s="2"/>
      <c r="AM122" s="2"/>
      <c r="AN122" s="2"/>
      <c r="AO122" s="2"/>
      <c r="AP122" s="2"/>
      <c r="AQ122" s="2"/>
      <c r="AR122" s="83"/>
      <c r="AS122" s="84"/>
      <c r="AT122" s="85" t="str">
        <f>$M122</f>
        <v>2025 TOYOTA Prius PHEV SE</v>
      </c>
      <c r="AU122" s="84"/>
      <c r="AV122" s="28"/>
      <c r="AW122" s="28"/>
      <c r="AX122" s="28"/>
      <c r="AY122" s="28"/>
      <c r="AZ122" s="28"/>
      <c r="BA122" s="28"/>
      <c r="BB122" s="28"/>
      <c r="BC122" s="28"/>
      <c r="BD122" s="28"/>
      <c r="BE122" s="28"/>
      <c r="BF122" s="28"/>
      <c r="BG122" s="28"/>
      <c r="BH122" s="28"/>
      <c r="BI122" s="25" t="str">
        <f>$M122</f>
        <v>2025 TOYOTA Prius PHEV SE</v>
      </c>
      <c r="BJ122" s="28"/>
      <c r="BK122" s="28"/>
      <c r="BL122" s="28"/>
      <c r="BM122" s="81"/>
      <c r="BN122" s="82"/>
      <c r="BO122" s="2"/>
      <c r="BP122" s="2"/>
      <c r="BQ122" s="2"/>
      <c r="BR122" s="2"/>
      <c r="BS122" s="2"/>
      <c r="BT122" s="86"/>
      <c r="BU122" s="2"/>
      <c r="BV122" s="83"/>
      <c r="BW122" s="121"/>
      <c r="BX122" s="84"/>
      <c r="BY122" s="25" t="str">
        <f>$M122</f>
        <v>2025 TOYOTA Prius PHEV SE</v>
      </c>
      <c r="BZ122" s="28"/>
      <c r="CA122" s="28"/>
      <c r="CB122" s="28"/>
      <c r="CC122" s="28"/>
      <c r="CD122" s="28"/>
      <c r="CE122" s="88"/>
      <c r="CF122" s="28"/>
      <c r="CG122" s="28"/>
      <c r="CH122" s="28"/>
      <c r="CI122" s="28"/>
      <c r="CJ122" s="28"/>
      <c r="CK122" s="28"/>
      <c r="CL122" s="28"/>
      <c r="CM122" s="28"/>
      <c r="CN122" s="28"/>
      <c r="CO122" s="25" t="str">
        <f>$M122</f>
        <v>2025 TOYOTA Prius PHEV SE</v>
      </c>
      <c r="CP122" s="28"/>
      <c r="CQ122" s="28"/>
      <c r="CR122" s="28"/>
      <c r="CS122" s="28"/>
      <c r="CT122" s="28"/>
      <c r="CU122" s="28"/>
      <c r="CV122" s="28"/>
      <c r="CW122" s="28"/>
      <c r="CX122" s="28"/>
      <c r="CY122" s="28"/>
      <c r="CZ122" s="28"/>
      <c r="DA122" s="28"/>
      <c r="DB122" s="28"/>
      <c r="DC122" s="28"/>
      <c r="DD122" s="28"/>
      <c r="DE122" s="28"/>
      <c r="DF122" s="25" t="str">
        <f>$M122</f>
        <v>2025 TOYOTA Prius PHEV SE</v>
      </c>
      <c r="DG122" s="28"/>
      <c r="DH122" s="28"/>
      <c r="DI122" s="28"/>
      <c r="DJ122" s="28"/>
      <c r="DK122" s="28"/>
      <c r="DL122" s="28"/>
      <c r="DM122" s="28"/>
      <c r="DN122" s="28"/>
      <c r="DO122" s="28"/>
      <c r="DP122" s="28"/>
      <c r="DQ122" s="28"/>
      <c r="DR122" s="25"/>
      <c r="DS122" s="25"/>
      <c r="DT122" s="25"/>
      <c r="DU122" s="25"/>
      <c r="DV122" s="25"/>
      <c r="DW122" s="25" t="str">
        <f>$M122</f>
        <v>2025 TOYOTA Prius PHEV SE</v>
      </c>
      <c r="DX122" s="25"/>
      <c r="DY122" s="25"/>
      <c r="DZ122" s="85"/>
      <c r="EA122" s="89"/>
      <c r="EB122" s="80"/>
      <c r="EC122" s="25"/>
      <c r="ED122" s="85"/>
      <c r="EE122" s="80"/>
      <c r="EF122" s="25"/>
      <c r="EG122" s="25"/>
      <c r="EH122" s="85"/>
      <c r="EI122" s="80"/>
      <c r="EK122" t="s">
        <v>2445</v>
      </c>
      <c r="EL122" s="85" t="str">
        <f>$M122</f>
        <v>2025 TOYOTA Prius PHEV SE</v>
      </c>
      <c r="EM122" s="25"/>
      <c r="EP122" s="75"/>
      <c r="ET122" s="75"/>
      <c r="EV122" s="75"/>
      <c r="EY122" s="75"/>
      <c r="EZ122" s="102"/>
      <c r="FA122" s="25" t="str">
        <f>$M122</f>
        <v>2025 TOYOTA Prius PHEV SE</v>
      </c>
      <c r="FB122" s="75"/>
      <c r="FC122" s="91"/>
      <c r="FD122" s="80"/>
      <c r="FE122" s="25"/>
      <c r="FF122" s="85"/>
      <c r="FG122" s="80"/>
      <c r="FH122" s="25"/>
      <c r="FI122" s="85"/>
      <c r="FJ122" s="80"/>
      <c r="FK122" s="25"/>
      <c r="FL122" s="85"/>
      <c r="FM122" s="25" t="str">
        <f>$M122</f>
        <v>2025 TOYOTA Prius PHEV SE</v>
      </c>
      <c r="FN122" s="25"/>
      <c r="FO122" s="85"/>
      <c r="FP122" s="92"/>
      <c r="FQ122" s="93"/>
      <c r="FR122" s="94"/>
      <c r="FS122" s="95"/>
      <c r="FT122" s="25"/>
      <c r="FU122" s="25"/>
      <c r="FV122" s="25"/>
      <c r="FW122" s="25"/>
      <c r="FX122" s="25"/>
      <c r="FY122" s="25"/>
      <c r="FZ122" s="25"/>
      <c r="GA122" s="25"/>
      <c r="GB122" s="25"/>
      <c r="GC122" s="25"/>
      <c r="GD122" s="25"/>
      <c r="GE122" s="25"/>
      <c r="GF122" s="25"/>
      <c r="GG122" s="25"/>
      <c r="GH122" s="25"/>
    </row>
    <row r="123" spans="1:190" s="76" customFormat="1" x14ac:dyDescent="0.35">
      <c r="A123" s="76">
        <v>2025</v>
      </c>
      <c r="B123" s="76" t="s">
        <v>327</v>
      </c>
      <c r="C123" s="76" t="s">
        <v>317</v>
      </c>
      <c r="D123" s="76" t="s">
        <v>2623</v>
      </c>
      <c r="E123" s="76" t="s">
        <v>330</v>
      </c>
      <c r="F123" s="109">
        <v>115</v>
      </c>
      <c r="G123" s="109">
        <v>2</v>
      </c>
      <c r="H123" s="109">
        <v>4</v>
      </c>
      <c r="I123" s="110" t="s">
        <v>587</v>
      </c>
      <c r="J123" s="96">
        <v>53</v>
      </c>
      <c r="K123" s="76">
        <v>51</v>
      </c>
      <c r="L123" s="76">
        <v>52</v>
      </c>
      <c r="M123" s="76">
        <v>77.7</v>
      </c>
      <c r="N123" s="76">
        <v>72.7</v>
      </c>
      <c r="O123" s="76">
        <v>75.367400000000004</v>
      </c>
      <c r="P123" s="76">
        <v>52.9</v>
      </c>
      <c r="Q123" s="76">
        <v>51.3</v>
      </c>
      <c r="R123" s="76">
        <v>52.1678</v>
      </c>
      <c r="T123" s="76" t="s">
        <v>2557</v>
      </c>
      <c r="U123" s="76" t="s">
        <v>224</v>
      </c>
      <c r="V123" s="76" t="s">
        <v>588</v>
      </c>
      <c r="W123" s="76" t="s">
        <v>589</v>
      </c>
      <c r="Y123" s="76">
        <v>1</v>
      </c>
      <c r="Z123" s="76" t="s">
        <v>170</v>
      </c>
      <c r="AA123" s="76" t="s">
        <v>170</v>
      </c>
      <c r="AB123" s="76" t="s">
        <v>351</v>
      </c>
      <c r="AC123" s="76" t="s">
        <v>352</v>
      </c>
      <c r="AD123" s="76">
        <v>15</v>
      </c>
      <c r="AF123" s="76">
        <v>553</v>
      </c>
      <c r="AG123" s="76" t="s">
        <v>210</v>
      </c>
      <c r="AH123" s="76" t="s">
        <v>444</v>
      </c>
      <c r="AI123" s="76" t="s">
        <v>175</v>
      </c>
      <c r="AJ123" s="79" t="s">
        <v>176</v>
      </c>
      <c r="AK123" s="96" t="s">
        <v>170</v>
      </c>
      <c r="AL123" s="76" t="s">
        <v>177</v>
      </c>
      <c r="AQ123" s="76">
        <v>91</v>
      </c>
      <c r="AR123" s="79">
        <v>20</v>
      </c>
      <c r="AS123" s="96">
        <v>750</v>
      </c>
      <c r="AT123" s="79">
        <v>750</v>
      </c>
      <c r="AU123" s="96">
        <v>24</v>
      </c>
      <c r="AV123" s="76">
        <v>29</v>
      </c>
      <c r="AW123" s="76">
        <v>26</v>
      </c>
      <c r="AX123" s="76">
        <v>16.5</v>
      </c>
      <c r="AY123" s="76">
        <v>20.3</v>
      </c>
      <c r="AZ123" s="76">
        <v>18.21</v>
      </c>
      <c r="BA123" s="76">
        <v>23.933199999999999</v>
      </c>
      <c r="BB123" s="76">
        <v>29.3733</v>
      </c>
      <c r="BC123" s="76">
        <v>26.3812</v>
      </c>
      <c r="BD123" s="76">
        <v>45</v>
      </c>
      <c r="BE123" s="76" t="s">
        <v>1735</v>
      </c>
      <c r="BF123" s="76" t="s">
        <v>1736</v>
      </c>
      <c r="BG123" s="76" t="s">
        <v>1742</v>
      </c>
      <c r="BH123" s="76" t="s">
        <v>1743</v>
      </c>
      <c r="BI123" s="76">
        <v>750</v>
      </c>
      <c r="BM123" s="79"/>
      <c r="BN123" s="98" t="s">
        <v>2611</v>
      </c>
      <c r="BO123" s="76">
        <v>2</v>
      </c>
      <c r="BP123" s="76">
        <v>2</v>
      </c>
      <c r="BQ123" s="76">
        <v>5</v>
      </c>
      <c r="BR123" s="76" t="s">
        <v>672</v>
      </c>
      <c r="BS123" s="76" t="s">
        <v>180</v>
      </c>
      <c r="BT123" s="76" t="s">
        <v>2494</v>
      </c>
      <c r="BU123" s="99">
        <v>45674</v>
      </c>
      <c r="BV123" s="79">
        <v>35932</v>
      </c>
      <c r="BW123" s="120"/>
      <c r="BX123" s="96" t="s">
        <v>169</v>
      </c>
      <c r="BY123" s="76" t="s">
        <v>170</v>
      </c>
      <c r="CB123" s="76" t="s">
        <v>170</v>
      </c>
      <c r="CC123" s="76" t="s">
        <v>170</v>
      </c>
      <c r="CE123" s="76" t="s">
        <v>170</v>
      </c>
      <c r="CG123" s="76" t="s">
        <v>169</v>
      </c>
      <c r="CH123" s="76" t="s">
        <v>333</v>
      </c>
      <c r="CI123" s="76" t="s">
        <v>170</v>
      </c>
      <c r="CK123" s="76" t="s">
        <v>233</v>
      </c>
      <c r="CM123" s="76">
        <v>1</v>
      </c>
      <c r="CN123" s="76" t="s">
        <v>234</v>
      </c>
      <c r="CP123" s="76">
        <v>266</v>
      </c>
      <c r="CQ123" s="76">
        <v>51</v>
      </c>
      <c r="CR123" s="76">
        <v>218.2</v>
      </c>
      <c r="CS123" s="76" t="s">
        <v>235</v>
      </c>
      <c r="CV123" s="76" t="s">
        <v>341</v>
      </c>
      <c r="CX123" s="76" t="s">
        <v>729</v>
      </c>
      <c r="CY123" s="76" t="s">
        <v>170</v>
      </c>
      <c r="DD123" s="76">
        <v>1</v>
      </c>
      <c r="DE123" s="76" t="s">
        <v>404</v>
      </c>
      <c r="DF123" s="76" t="s">
        <v>466</v>
      </c>
      <c r="DG123" s="76">
        <v>120</v>
      </c>
      <c r="DJ123" s="76" t="s">
        <v>267</v>
      </c>
      <c r="DK123" s="76" t="s">
        <v>268</v>
      </c>
      <c r="DL123" s="76" t="s">
        <v>170</v>
      </c>
      <c r="DM123" s="76" t="s">
        <v>169</v>
      </c>
      <c r="DN123" s="76" t="s">
        <v>170</v>
      </c>
      <c r="DO123" s="76" t="s">
        <v>640</v>
      </c>
      <c r="DP123" s="76" t="s">
        <v>169</v>
      </c>
      <c r="DQ123" s="76" t="s">
        <v>198</v>
      </c>
      <c r="DR123" s="76" t="s">
        <v>2451</v>
      </c>
      <c r="DS123" s="76" t="s">
        <v>2496</v>
      </c>
      <c r="DT123" s="76" t="s">
        <v>2497</v>
      </c>
      <c r="DU123" s="76" t="s">
        <v>2498</v>
      </c>
      <c r="DV123" s="76" t="s">
        <v>2499</v>
      </c>
      <c r="DY123" s="76">
        <v>76.2</v>
      </c>
      <c r="DZ123" s="79"/>
      <c r="EA123" s="101"/>
      <c r="EB123" s="96">
        <v>9</v>
      </c>
      <c r="EC123" s="76">
        <v>10</v>
      </c>
      <c r="ED123" s="79">
        <v>10</v>
      </c>
      <c r="EE123" s="96" t="s">
        <v>2621</v>
      </c>
      <c r="EF123" s="76">
        <v>6</v>
      </c>
      <c r="EH123" s="79"/>
      <c r="EI123" s="96"/>
      <c r="EL123" s="79"/>
      <c r="EP123" s="79"/>
      <c r="ET123" s="79"/>
      <c r="EU123" s="76">
        <v>5750</v>
      </c>
      <c r="EV123" s="79"/>
      <c r="EW123" s="76">
        <v>0</v>
      </c>
      <c r="EX123" s="76">
        <v>0</v>
      </c>
      <c r="EY123" s="79">
        <v>0</v>
      </c>
      <c r="EZ123" s="102">
        <v>50</v>
      </c>
      <c r="FA123" s="76">
        <v>4</v>
      </c>
      <c r="FB123" s="79"/>
      <c r="FC123" s="97">
        <v>600</v>
      </c>
      <c r="FD123" s="96">
        <v>97</v>
      </c>
      <c r="FE123" s="76">
        <v>81</v>
      </c>
      <c r="FF123" s="79">
        <v>89</v>
      </c>
      <c r="FG123" s="76">
        <v>44</v>
      </c>
      <c r="FH123" s="76">
        <v>58</v>
      </c>
      <c r="FI123" s="103">
        <v>50</v>
      </c>
      <c r="FJ123" s="104">
        <v>48.43</v>
      </c>
      <c r="FK123" s="76">
        <v>39.69</v>
      </c>
      <c r="FL123" s="79">
        <v>45</v>
      </c>
      <c r="FM123" s="76">
        <v>0.73399999999999999</v>
      </c>
      <c r="FN123" s="76">
        <v>0.67500000000000004</v>
      </c>
      <c r="FO123" s="79">
        <v>0.71</v>
      </c>
      <c r="FP123" s="106">
        <v>0</v>
      </c>
      <c r="FQ123" s="107">
        <v>0</v>
      </c>
      <c r="FR123" s="107">
        <v>0</v>
      </c>
      <c r="FS123" s="108">
        <v>10.6</v>
      </c>
    </row>
    <row r="124" spans="1:190" s="76" customFormat="1" x14ac:dyDescent="0.35">
      <c r="A124" s="76">
        <v>2025</v>
      </c>
      <c r="B124" s="162" t="s">
        <v>327</v>
      </c>
      <c r="C124" s="162" t="s">
        <v>328</v>
      </c>
      <c r="D124" s="162" t="s">
        <v>2610</v>
      </c>
      <c r="E124" s="162" t="s">
        <v>330</v>
      </c>
      <c r="F124" s="162">
        <v>7</v>
      </c>
      <c r="G124" s="162">
        <v>2.5</v>
      </c>
      <c r="H124" s="162">
        <v>4</v>
      </c>
      <c r="I124" s="163" t="s">
        <v>594</v>
      </c>
      <c r="J124" s="96">
        <v>53</v>
      </c>
      <c r="K124" s="76">
        <v>51</v>
      </c>
      <c r="L124" s="76">
        <v>52</v>
      </c>
      <c r="M124" s="76">
        <v>77.7</v>
      </c>
      <c r="N124" s="76">
        <v>72.7</v>
      </c>
      <c r="O124" s="76">
        <v>75.367400000000004</v>
      </c>
      <c r="P124" s="76">
        <v>52.9</v>
      </c>
      <c r="Q124" s="76">
        <v>51.3</v>
      </c>
      <c r="R124" s="76">
        <v>52.1678</v>
      </c>
      <c r="T124" s="76" t="s">
        <v>2557</v>
      </c>
      <c r="U124" s="76" t="s">
        <v>224</v>
      </c>
      <c r="V124" s="76" t="s">
        <v>588</v>
      </c>
      <c r="W124" s="76" t="s">
        <v>589</v>
      </c>
      <c r="Y124" s="76">
        <v>1</v>
      </c>
      <c r="Z124" s="76" t="s">
        <v>170</v>
      </c>
      <c r="AA124" s="76" t="s">
        <v>170</v>
      </c>
      <c r="AB124" s="76" t="s">
        <v>351</v>
      </c>
      <c r="AC124" s="76" t="s">
        <v>352</v>
      </c>
      <c r="AD124" s="76">
        <v>15</v>
      </c>
      <c r="AF124" s="76">
        <v>553</v>
      </c>
      <c r="AG124" s="76" t="s">
        <v>210</v>
      </c>
      <c r="AH124" s="76" t="s">
        <v>444</v>
      </c>
      <c r="AI124" s="76" t="s">
        <v>175</v>
      </c>
      <c r="AJ124" s="79" t="s">
        <v>176</v>
      </c>
      <c r="AK124" s="96" t="s">
        <v>170</v>
      </c>
      <c r="AL124" s="76" t="s">
        <v>177</v>
      </c>
      <c r="AQ124" s="76">
        <v>91</v>
      </c>
      <c r="AR124" s="79">
        <v>20</v>
      </c>
      <c r="AS124" s="96">
        <v>750</v>
      </c>
      <c r="AT124" s="79">
        <v>750</v>
      </c>
      <c r="AU124" s="96">
        <v>140</v>
      </c>
      <c r="AV124" s="76">
        <v>115</v>
      </c>
      <c r="AW124" s="76">
        <v>127</v>
      </c>
      <c r="AX124" s="76">
        <v>204.8</v>
      </c>
      <c r="AY124" s="76">
        <v>165.9</v>
      </c>
      <c r="AZ124" s="76">
        <v>185.25299999999999</v>
      </c>
      <c r="BA124" s="76">
        <v>139.69739999999999</v>
      </c>
      <c r="BB124" s="76">
        <v>115.20229999999999</v>
      </c>
      <c r="BC124" s="76">
        <v>127.49809999999999</v>
      </c>
      <c r="BD124" s="76">
        <v>45</v>
      </c>
      <c r="BE124" s="76" t="s">
        <v>1735</v>
      </c>
      <c r="BF124" s="76" t="s">
        <v>1736</v>
      </c>
      <c r="BG124" s="76" t="s">
        <v>175</v>
      </c>
      <c r="BH124" s="76" t="s">
        <v>176</v>
      </c>
      <c r="BI124" s="76">
        <v>750</v>
      </c>
      <c r="BM124" s="79"/>
      <c r="BN124" s="98" t="s">
        <v>2611</v>
      </c>
      <c r="BO124" s="76">
        <v>2</v>
      </c>
      <c r="BP124" s="76">
        <v>2</v>
      </c>
      <c r="BQ124" s="76">
        <v>5</v>
      </c>
      <c r="BR124" s="76" t="s">
        <v>672</v>
      </c>
      <c r="BS124" s="76" t="s">
        <v>180</v>
      </c>
      <c r="BT124" s="76" t="s">
        <v>2494</v>
      </c>
      <c r="BU124" s="99">
        <v>45674</v>
      </c>
      <c r="BV124" s="79">
        <v>35932</v>
      </c>
      <c r="BW124" s="120"/>
      <c r="BX124" s="96" t="s">
        <v>169</v>
      </c>
      <c r="BY124" s="76" t="s">
        <v>170</v>
      </c>
      <c r="CB124" s="76" t="s">
        <v>170</v>
      </c>
      <c r="CC124" s="76" t="s">
        <v>170</v>
      </c>
      <c r="CE124" s="76" t="s">
        <v>170</v>
      </c>
      <c r="CG124" s="76" t="s">
        <v>169</v>
      </c>
      <c r="CH124" s="76" t="s">
        <v>333</v>
      </c>
      <c r="CI124" s="76" t="s">
        <v>170</v>
      </c>
      <c r="CK124" s="76" t="s">
        <v>233</v>
      </c>
      <c r="CM124" s="76">
        <v>1</v>
      </c>
      <c r="CN124" s="76" t="s">
        <v>234</v>
      </c>
      <c r="CP124" s="76">
        <v>266</v>
      </c>
      <c r="CQ124" s="76">
        <v>51</v>
      </c>
      <c r="CR124" s="76">
        <v>218.2</v>
      </c>
      <c r="CS124" s="76" t="s">
        <v>235</v>
      </c>
      <c r="CV124" s="76" t="s">
        <v>341</v>
      </c>
      <c r="CX124" s="76" t="s">
        <v>729</v>
      </c>
      <c r="CY124" s="76" t="s">
        <v>170</v>
      </c>
      <c r="DD124" s="76">
        <v>1</v>
      </c>
      <c r="DE124" s="76" t="s">
        <v>404</v>
      </c>
      <c r="DF124" s="76" t="s">
        <v>466</v>
      </c>
      <c r="DG124" s="76">
        <v>120</v>
      </c>
      <c r="DJ124" s="76" t="s">
        <v>267</v>
      </c>
      <c r="DK124" s="76" t="s">
        <v>268</v>
      </c>
      <c r="DL124" s="76" t="s">
        <v>170</v>
      </c>
      <c r="DM124" s="76" t="s">
        <v>169</v>
      </c>
      <c r="DN124" s="76" t="s">
        <v>170</v>
      </c>
      <c r="DO124" s="76" t="s">
        <v>640</v>
      </c>
      <c r="DP124" s="76" t="s">
        <v>169</v>
      </c>
      <c r="DQ124" s="76" t="s">
        <v>198</v>
      </c>
      <c r="DR124" s="76" t="s">
        <v>2451</v>
      </c>
      <c r="DS124" s="76" t="s">
        <v>2496</v>
      </c>
      <c r="DT124" s="76" t="s">
        <v>2497</v>
      </c>
      <c r="DU124" s="76" t="s">
        <v>2498</v>
      </c>
      <c r="DV124" s="76" t="s">
        <v>2499</v>
      </c>
      <c r="DY124" s="76">
        <v>76.2</v>
      </c>
      <c r="DZ124" s="79"/>
      <c r="EA124" s="101"/>
      <c r="EB124" s="96">
        <v>9</v>
      </c>
      <c r="EC124" s="76">
        <v>10</v>
      </c>
      <c r="ED124" s="79">
        <v>10</v>
      </c>
      <c r="EE124" s="96" t="s">
        <v>2621</v>
      </c>
      <c r="EF124" s="76">
        <v>6</v>
      </c>
      <c r="EH124" s="79"/>
      <c r="EI124" s="96"/>
      <c r="EL124" s="79"/>
      <c r="EP124" s="79"/>
      <c r="ET124" s="79"/>
      <c r="EU124" s="76">
        <v>5750</v>
      </c>
      <c r="EV124" s="79"/>
      <c r="EW124" s="76">
        <v>166</v>
      </c>
      <c r="EX124" s="76">
        <v>174</v>
      </c>
      <c r="EY124" s="79">
        <v>170</v>
      </c>
      <c r="EZ124" s="102">
        <v>50</v>
      </c>
      <c r="FA124" s="76">
        <v>4</v>
      </c>
      <c r="FB124" s="79"/>
      <c r="FC124" s="97">
        <v>600</v>
      </c>
      <c r="FD124" s="96">
        <v>97</v>
      </c>
      <c r="FE124" s="76">
        <v>81</v>
      </c>
      <c r="FF124" s="79">
        <v>89</v>
      </c>
      <c r="FG124" s="76">
        <v>44</v>
      </c>
      <c r="FH124" s="76">
        <v>58</v>
      </c>
      <c r="FI124" s="103">
        <v>50</v>
      </c>
      <c r="FJ124" s="98" t="s">
        <v>2624</v>
      </c>
      <c r="FL124" s="79"/>
      <c r="FM124" s="76">
        <v>0.73399999999999999</v>
      </c>
      <c r="FN124" s="76">
        <v>0.67500000000000004</v>
      </c>
      <c r="FO124" s="79">
        <v>0.71</v>
      </c>
      <c r="FP124" s="106"/>
      <c r="FQ124" s="107"/>
      <c r="FR124" s="107"/>
      <c r="FS124" s="108">
        <v>10.6</v>
      </c>
    </row>
    <row r="125" spans="1:190" s="77" customFormat="1" x14ac:dyDescent="0.35">
      <c r="A125" s="76"/>
      <c r="E125" s="76"/>
      <c r="F125" s="76"/>
      <c r="G125" s="78"/>
      <c r="H125" s="76"/>
      <c r="I125" s="79"/>
      <c r="J125" s="80"/>
      <c r="K125" s="28"/>
      <c r="L125" s="28"/>
      <c r="M125" s="25" t="str">
        <f>_xlfn.CONCAT(A126," ",C126," ",D126)</f>
        <v>2025 TOYOTA RAV4 PHEV AWD</v>
      </c>
      <c r="N125" s="28"/>
      <c r="O125" s="28"/>
      <c r="P125" s="28"/>
      <c r="Q125" s="28"/>
      <c r="R125" s="28"/>
      <c r="S125" s="28"/>
      <c r="T125" s="28"/>
      <c r="U125" s="28"/>
      <c r="V125" s="28"/>
      <c r="W125" s="28"/>
      <c r="X125" s="28"/>
      <c r="Y125" s="28"/>
      <c r="Z125" s="28"/>
      <c r="AA125" s="28"/>
      <c r="AB125" s="28"/>
      <c r="AC125" s="28"/>
      <c r="AD125" s="25" t="str">
        <f>$M125</f>
        <v>2025 TOYOTA RAV4 PHEV AWD</v>
      </c>
      <c r="AE125" s="28"/>
      <c r="AF125" s="28"/>
      <c r="AG125" s="28"/>
      <c r="AH125" s="28"/>
      <c r="AI125" s="28"/>
      <c r="AJ125" s="81"/>
      <c r="AK125" s="82"/>
      <c r="AL125" s="2"/>
      <c r="AM125" s="2"/>
      <c r="AN125" s="2"/>
      <c r="AO125" s="2"/>
      <c r="AP125" s="2"/>
      <c r="AQ125" s="2"/>
      <c r="AR125" s="83"/>
      <c r="AS125" s="84"/>
      <c r="AT125" s="85" t="str">
        <f>$M125</f>
        <v>2025 TOYOTA RAV4 PHEV AWD</v>
      </c>
      <c r="AU125" s="84"/>
      <c r="AV125" s="28"/>
      <c r="AW125" s="28"/>
      <c r="AX125" s="28"/>
      <c r="AY125" s="28"/>
      <c r="AZ125" s="28"/>
      <c r="BA125" s="28"/>
      <c r="BB125" s="28"/>
      <c r="BC125" s="28"/>
      <c r="BD125" s="28"/>
      <c r="BE125" s="28"/>
      <c r="BF125" s="28"/>
      <c r="BG125" s="28"/>
      <c r="BH125" s="28"/>
      <c r="BI125" s="25" t="str">
        <f>$M125</f>
        <v>2025 TOYOTA RAV4 PHEV AWD</v>
      </c>
      <c r="BJ125" s="28"/>
      <c r="BK125" s="28"/>
      <c r="BL125" s="28"/>
      <c r="BM125" s="81"/>
      <c r="BN125" s="82"/>
      <c r="BO125" s="2"/>
      <c r="BP125" s="2"/>
      <c r="BQ125" s="2"/>
      <c r="BR125" s="2"/>
      <c r="BS125" s="2"/>
      <c r="BT125" s="86"/>
      <c r="BU125" s="2"/>
      <c r="BV125" s="83"/>
      <c r="BW125" s="121"/>
      <c r="BX125" s="84"/>
      <c r="BY125" s="25" t="str">
        <f>$M125</f>
        <v>2025 TOYOTA RAV4 PHEV AWD</v>
      </c>
      <c r="BZ125" s="28"/>
      <c r="CA125" s="28"/>
      <c r="CB125" s="28"/>
      <c r="CC125" s="28"/>
      <c r="CD125" s="28"/>
      <c r="CE125" s="88"/>
      <c r="CF125" s="28"/>
      <c r="CG125" s="28"/>
      <c r="CH125" s="28"/>
      <c r="CI125" s="28"/>
      <c r="CJ125" s="28"/>
      <c r="CK125" s="28"/>
      <c r="CL125" s="28"/>
      <c r="CM125" s="28"/>
      <c r="CN125" s="28"/>
      <c r="CO125" s="25" t="str">
        <f>$M125</f>
        <v>2025 TOYOTA RAV4 PHEV AWD</v>
      </c>
      <c r="CP125" s="28"/>
      <c r="CQ125" s="28"/>
      <c r="CR125" s="28"/>
      <c r="CS125" s="28"/>
      <c r="CT125" s="28"/>
      <c r="CU125" s="28"/>
      <c r="CV125" s="28"/>
      <c r="CW125" s="28"/>
      <c r="CX125" s="28"/>
      <c r="CY125" s="28"/>
      <c r="CZ125" s="28"/>
      <c r="DA125" s="28"/>
      <c r="DB125" s="28"/>
      <c r="DC125" s="28"/>
      <c r="DD125" s="28"/>
      <c r="DE125" s="28"/>
      <c r="DF125" s="25" t="str">
        <f>$M125</f>
        <v>2025 TOYOTA RAV4 PHEV AWD</v>
      </c>
      <c r="DG125" s="28"/>
      <c r="DH125" s="28"/>
      <c r="DI125" s="28"/>
      <c r="DJ125" s="28"/>
      <c r="DK125" s="28"/>
      <c r="DL125" s="28"/>
      <c r="DM125" s="28"/>
      <c r="DN125" s="28"/>
      <c r="DO125" s="28"/>
      <c r="DP125" s="28"/>
      <c r="DQ125" s="28"/>
      <c r="DR125" s="25"/>
      <c r="DS125" s="25"/>
      <c r="DT125" s="25"/>
      <c r="DU125" s="25"/>
      <c r="DV125" s="25"/>
      <c r="DW125" s="25" t="str">
        <f>$M125</f>
        <v>2025 TOYOTA RAV4 PHEV AWD</v>
      </c>
      <c r="DX125" s="25"/>
      <c r="DY125" s="25"/>
      <c r="DZ125" s="85"/>
      <c r="EA125" s="89"/>
      <c r="EB125" s="80"/>
      <c r="EC125" s="25"/>
      <c r="ED125" s="85"/>
      <c r="EE125" s="80"/>
      <c r="EF125" s="25"/>
      <c r="EG125" s="25"/>
      <c r="EH125" s="85"/>
      <c r="EI125" s="80"/>
      <c r="EK125" t="s">
        <v>2445</v>
      </c>
      <c r="EL125" s="85" t="str">
        <f>$M125</f>
        <v>2025 TOYOTA RAV4 PHEV AWD</v>
      </c>
      <c r="EM125" s="25"/>
      <c r="EP125" s="75"/>
      <c r="ET125" s="75"/>
      <c r="EV125" s="75"/>
      <c r="EY125" s="75"/>
      <c r="EZ125" s="102"/>
      <c r="FA125" s="25" t="str">
        <f>$M125</f>
        <v>2025 TOYOTA RAV4 PHEV AWD</v>
      </c>
      <c r="FB125" s="75"/>
      <c r="FC125" s="91"/>
      <c r="FD125" s="80"/>
      <c r="FE125" s="25"/>
      <c r="FF125" s="85"/>
      <c r="FG125" s="80"/>
      <c r="FH125" s="25"/>
      <c r="FI125" s="85"/>
      <c r="FJ125" s="80"/>
      <c r="FK125" s="25"/>
      <c r="FL125" s="85"/>
      <c r="FM125" s="25" t="str">
        <f>$M125</f>
        <v>2025 TOYOTA RAV4 PHEV AWD</v>
      </c>
      <c r="FN125" s="25"/>
      <c r="FO125" s="85"/>
      <c r="FP125" s="92"/>
      <c r="FQ125" s="93"/>
      <c r="FR125" s="94"/>
      <c r="FS125" s="95"/>
      <c r="FT125" s="25"/>
      <c r="FU125" s="25"/>
      <c r="FV125" s="25"/>
      <c r="FW125" s="25"/>
      <c r="FX125" s="25"/>
      <c r="FY125" s="25"/>
      <c r="FZ125" s="25"/>
      <c r="GA125" s="25"/>
      <c r="GB125" s="25"/>
      <c r="GC125" s="25"/>
      <c r="GD125" s="25"/>
      <c r="GE125" s="25"/>
      <c r="GF125" s="25"/>
      <c r="GG125" s="25"/>
      <c r="GH125" s="25"/>
    </row>
    <row r="126" spans="1:190" s="76" customFormat="1" x14ac:dyDescent="0.35">
      <c r="A126" s="76">
        <v>2025</v>
      </c>
      <c r="B126" s="76" t="s">
        <v>327</v>
      </c>
      <c r="C126" s="76" t="s">
        <v>317</v>
      </c>
      <c r="D126" s="76" t="s">
        <v>2625</v>
      </c>
      <c r="E126" s="76" t="s">
        <v>330</v>
      </c>
      <c r="F126" s="109">
        <v>107</v>
      </c>
      <c r="G126" s="109">
        <v>2.5</v>
      </c>
      <c r="H126" s="109">
        <v>4</v>
      </c>
      <c r="I126" s="79" t="s">
        <v>594</v>
      </c>
      <c r="J126" s="76">
        <v>40</v>
      </c>
      <c r="K126" s="76">
        <v>36</v>
      </c>
      <c r="L126" s="76">
        <v>38</v>
      </c>
      <c r="M126" s="76">
        <v>54.839300000000001</v>
      </c>
      <c r="N126" s="76">
        <v>52.391599999999997</v>
      </c>
      <c r="O126" s="76">
        <v>53.710099999999997</v>
      </c>
      <c r="P126" s="76">
        <v>40.363700000000001</v>
      </c>
      <c r="Q126" s="76">
        <v>36</v>
      </c>
      <c r="R126" s="76">
        <v>38</v>
      </c>
      <c r="T126" s="76" t="s">
        <v>2557</v>
      </c>
      <c r="U126" s="76" t="s">
        <v>224</v>
      </c>
      <c r="V126" s="76" t="s">
        <v>463</v>
      </c>
      <c r="W126" s="76" t="s">
        <v>464</v>
      </c>
      <c r="Y126" s="76">
        <v>6</v>
      </c>
      <c r="Z126" s="76" t="s">
        <v>170</v>
      </c>
      <c r="AA126" s="76" t="s">
        <v>170</v>
      </c>
      <c r="AB126" s="76" t="s">
        <v>167</v>
      </c>
      <c r="AC126" s="76" t="s">
        <v>213</v>
      </c>
      <c r="AD126" s="76">
        <v>15</v>
      </c>
      <c r="AF126" s="76">
        <v>557</v>
      </c>
      <c r="AG126" s="76" t="s">
        <v>210</v>
      </c>
      <c r="AH126" s="76" t="s">
        <v>444</v>
      </c>
      <c r="AI126" s="76" t="s">
        <v>175</v>
      </c>
      <c r="AJ126" s="79" t="s">
        <v>176</v>
      </c>
      <c r="AK126" s="76" t="s">
        <v>940</v>
      </c>
      <c r="AL126" s="76" t="s">
        <v>941</v>
      </c>
      <c r="AR126" s="79"/>
      <c r="AS126" s="76">
        <v>1000</v>
      </c>
      <c r="AT126" s="79">
        <v>1000</v>
      </c>
      <c r="AU126" s="76">
        <v>32</v>
      </c>
      <c r="AV126" s="76">
        <v>40</v>
      </c>
      <c r="AW126" s="76">
        <v>36</v>
      </c>
      <c r="AX126" s="76">
        <v>22.6</v>
      </c>
      <c r="AY126" s="76">
        <v>28.2</v>
      </c>
      <c r="AZ126" s="76">
        <v>25.12</v>
      </c>
      <c r="BA126" s="76">
        <v>32.340000000000003</v>
      </c>
      <c r="BB126" s="76">
        <v>40.255000000000003</v>
      </c>
      <c r="BC126" s="76">
        <v>35.901800000000001</v>
      </c>
      <c r="BD126" s="76">
        <v>42</v>
      </c>
      <c r="BE126" s="76" t="s">
        <v>1735</v>
      </c>
      <c r="BF126" s="76" t="s">
        <v>1736</v>
      </c>
      <c r="BG126" s="76" t="s">
        <v>1742</v>
      </c>
      <c r="BH126" s="76" t="s">
        <v>1743</v>
      </c>
      <c r="BI126" s="76">
        <v>1000</v>
      </c>
      <c r="BM126" s="79"/>
      <c r="BN126" s="111" t="s">
        <v>2611</v>
      </c>
      <c r="BO126" s="76">
        <v>2</v>
      </c>
      <c r="BP126" s="76">
        <v>2</v>
      </c>
      <c r="BQ126" s="76">
        <v>31</v>
      </c>
      <c r="BR126" s="76" t="s">
        <v>1219</v>
      </c>
      <c r="BT126" s="76" t="s">
        <v>2494</v>
      </c>
      <c r="BU126" s="99">
        <v>45613</v>
      </c>
      <c r="BV126" s="79">
        <v>35961</v>
      </c>
      <c r="BW126" s="100"/>
      <c r="BX126" s="76" t="s">
        <v>170</v>
      </c>
      <c r="BY126" s="76" t="s">
        <v>170</v>
      </c>
      <c r="CB126" s="76" t="s">
        <v>170</v>
      </c>
      <c r="CC126" s="76" t="s">
        <v>170</v>
      </c>
      <c r="CD126" s="76" t="s">
        <v>2612</v>
      </c>
      <c r="CE126" s="76" t="s">
        <v>170</v>
      </c>
      <c r="CG126" s="76" t="s">
        <v>169</v>
      </c>
      <c r="CH126" s="76" t="s">
        <v>333</v>
      </c>
      <c r="CI126" s="76" t="s">
        <v>170</v>
      </c>
      <c r="CK126" s="76" t="s">
        <v>233</v>
      </c>
      <c r="CM126" s="76">
        <v>1</v>
      </c>
      <c r="CN126" s="76" t="s">
        <v>234</v>
      </c>
      <c r="CP126" s="76">
        <v>355</v>
      </c>
      <c r="CQ126" s="76">
        <v>51</v>
      </c>
      <c r="CR126" s="76">
        <v>218.2</v>
      </c>
      <c r="CS126" s="76" t="s">
        <v>235</v>
      </c>
      <c r="CV126" s="76" t="s">
        <v>341</v>
      </c>
      <c r="CX126" s="76" t="s">
        <v>342</v>
      </c>
      <c r="CY126" s="76" t="s">
        <v>170</v>
      </c>
      <c r="DC126" s="76" t="s">
        <v>2613</v>
      </c>
      <c r="DD126" s="76">
        <v>2</v>
      </c>
      <c r="DE126" s="76" t="s">
        <v>404</v>
      </c>
      <c r="DF126" s="76" t="s">
        <v>638</v>
      </c>
      <c r="DG126" s="76" t="s">
        <v>1492</v>
      </c>
      <c r="DJ126" s="76" t="s">
        <v>267</v>
      </c>
      <c r="DK126" s="76" t="s">
        <v>268</v>
      </c>
      <c r="DL126" s="76" t="s">
        <v>170</v>
      </c>
      <c r="DM126" s="76" t="s">
        <v>169</v>
      </c>
      <c r="DN126" s="76" t="s">
        <v>170</v>
      </c>
      <c r="DO126" s="76" t="s">
        <v>640</v>
      </c>
      <c r="DP126" s="76" t="s">
        <v>169</v>
      </c>
      <c r="DQ126" s="76" t="s">
        <v>198</v>
      </c>
      <c r="DR126" s="76" t="s">
        <v>2451</v>
      </c>
      <c r="DS126" s="76" t="s">
        <v>2496</v>
      </c>
      <c r="DT126" s="76" t="s">
        <v>2497</v>
      </c>
      <c r="DU126" s="76" t="s">
        <v>2498</v>
      </c>
      <c r="DV126" s="76" t="s">
        <v>2499</v>
      </c>
      <c r="DZ126" s="79"/>
      <c r="EA126" s="129"/>
      <c r="EB126" s="76">
        <v>8</v>
      </c>
      <c r="EC126" s="76">
        <v>10</v>
      </c>
      <c r="ED126" s="79">
        <v>10</v>
      </c>
      <c r="EE126" s="76" t="s">
        <v>2614</v>
      </c>
      <c r="EF126" s="76">
        <v>6</v>
      </c>
      <c r="EH126" s="79"/>
      <c r="EL126" s="79"/>
      <c r="EP126" s="79"/>
      <c r="ET126" s="79"/>
      <c r="EU126" s="76">
        <v>4500</v>
      </c>
      <c r="EV126" s="79"/>
      <c r="EW126" s="76">
        <v>0</v>
      </c>
      <c r="EX126" s="76">
        <v>0</v>
      </c>
      <c r="EY126" s="79">
        <v>0</v>
      </c>
      <c r="EZ126" s="97">
        <v>72</v>
      </c>
      <c r="FA126" s="76">
        <v>4.5</v>
      </c>
      <c r="FC126" s="97">
        <v>600</v>
      </c>
      <c r="FD126" s="96">
        <v>72</v>
      </c>
      <c r="FE126" s="76">
        <v>58</v>
      </c>
      <c r="FF126" s="79">
        <v>65</v>
      </c>
      <c r="FG126" s="76">
        <v>62</v>
      </c>
      <c r="FH126" s="76">
        <v>85</v>
      </c>
      <c r="FI126" s="103">
        <v>72</v>
      </c>
      <c r="FJ126" s="104">
        <v>46.22</v>
      </c>
      <c r="FK126" s="105">
        <v>37.130000000000003</v>
      </c>
      <c r="FL126" s="79">
        <v>42</v>
      </c>
      <c r="FM126" s="76">
        <v>0.72099999999999997</v>
      </c>
      <c r="FN126" s="76">
        <v>0.65400000000000003</v>
      </c>
      <c r="FO126" s="79">
        <v>0.69299999999999995</v>
      </c>
      <c r="FP126" s="106">
        <v>0</v>
      </c>
      <c r="FQ126" s="107">
        <v>0</v>
      </c>
      <c r="FR126" s="107">
        <v>0</v>
      </c>
      <c r="FS126" s="108">
        <v>14.5</v>
      </c>
    </row>
    <row r="127" spans="1:190" s="76" customFormat="1" x14ac:dyDescent="0.35">
      <c r="A127" s="76">
        <v>2025</v>
      </c>
      <c r="B127" s="162" t="s">
        <v>327</v>
      </c>
      <c r="C127" s="162" t="s">
        <v>328</v>
      </c>
      <c r="D127" s="162" t="s">
        <v>2610</v>
      </c>
      <c r="E127" s="162" t="s">
        <v>330</v>
      </c>
      <c r="F127" s="162">
        <v>7</v>
      </c>
      <c r="G127" s="162">
        <v>2.5</v>
      </c>
      <c r="H127" s="162">
        <v>4</v>
      </c>
      <c r="I127" s="163" t="s">
        <v>594</v>
      </c>
      <c r="J127" s="76">
        <v>40</v>
      </c>
      <c r="K127" s="76">
        <v>36</v>
      </c>
      <c r="L127" s="76">
        <v>38</v>
      </c>
      <c r="M127" s="76">
        <v>54.839300000000001</v>
      </c>
      <c r="N127" s="76">
        <v>52.391599999999997</v>
      </c>
      <c r="O127" s="76">
        <v>53.710099999999997</v>
      </c>
      <c r="P127" s="76">
        <v>40.363700000000001</v>
      </c>
      <c r="Q127" s="76">
        <v>36</v>
      </c>
      <c r="R127" s="76">
        <v>38</v>
      </c>
      <c r="T127" s="76" t="s">
        <v>2557</v>
      </c>
      <c r="U127" s="76" t="s">
        <v>224</v>
      </c>
      <c r="V127" s="76" t="s">
        <v>463</v>
      </c>
      <c r="W127" s="76" t="s">
        <v>464</v>
      </c>
      <c r="Y127" s="76">
        <v>6</v>
      </c>
      <c r="Z127" s="76" t="s">
        <v>170</v>
      </c>
      <c r="AA127" s="76" t="s">
        <v>170</v>
      </c>
      <c r="AB127" s="76" t="s">
        <v>167</v>
      </c>
      <c r="AC127" s="76" t="s">
        <v>213</v>
      </c>
      <c r="AD127" s="76">
        <v>15</v>
      </c>
      <c r="AF127" s="76">
        <v>557</v>
      </c>
      <c r="AG127" s="76" t="s">
        <v>210</v>
      </c>
      <c r="AH127" s="76" t="s">
        <v>444</v>
      </c>
      <c r="AI127" s="76" t="s">
        <v>175</v>
      </c>
      <c r="AJ127" s="79" t="s">
        <v>176</v>
      </c>
      <c r="AK127" s="76" t="s">
        <v>940</v>
      </c>
      <c r="AL127" s="76" t="s">
        <v>941</v>
      </c>
      <c r="AR127" s="79"/>
      <c r="AS127" s="76">
        <v>1000</v>
      </c>
      <c r="AT127" s="79">
        <v>1000</v>
      </c>
      <c r="AU127" s="76">
        <v>105</v>
      </c>
      <c r="AV127" s="76">
        <v>84</v>
      </c>
      <c r="AW127" s="76">
        <v>94</v>
      </c>
      <c r="AX127" s="76">
        <v>149.30000000000001</v>
      </c>
      <c r="AY127" s="76">
        <v>119.6</v>
      </c>
      <c r="AZ127" s="76">
        <v>134.29310000000001</v>
      </c>
      <c r="BA127" s="76">
        <v>104.5381</v>
      </c>
      <c r="BB127" s="76">
        <v>83.6892</v>
      </c>
      <c r="BC127" s="76">
        <v>94.000200000000007</v>
      </c>
      <c r="BD127" s="76">
        <v>42</v>
      </c>
      <c r="BE127" s="76" t="s">
        <v>1735</v>
      </c>
      <c r="BF127" s="76" t="s">
        <v>1736</v>
      </c>
      <c r="BG127" s="76" t="s">
        <v>175</v>
      </c>
      <c r="BH127" s="76" t="s">
        <v>176</v>
      </c>
      <c r="BI127" s="76">
        <v>1000</v>
      </c>
      <c r="BM127" s="79"/>
      <c r="BN127" s="111" t="s">
        <v>2611</v>
      </c>
      <c r="BO127" s="76">
        <v>2</v>
      </c>
      <c r="BP127" s="76">
        <v>2</v>
      </c>
      <c r="BQ127" s="76">
        <v>31</v>
      </c>
      <c r="BR127" s="76" t="s">
        <v>1219</v>
      </c>
      <c r="BT127" s="76" t="s">
        <v>2494</v>
      </c>
      <c r="BU127" s="99">
        <v>45613</v>
      </c>
      <c r="BV127" s="79">
        <v>35961</v>
      </c>
      <c r="BW127" s="100"/>
      <c r="BX127" s="76" t="s">
        <v>170</v>
      </c>
      <c r="BY127" s="76" t="s">
        <v>170</v>
      </c>
      <c r="CB127" s="76" t="s">
        <v>170</v>
      </c>
      <c r="CC127" s="76" t="s">
        <v>170</v>
      </c>
      <c r="CD127" s="76" t="s">
        <v>2612</v>
      </c>
      <c r="CE127" s="76" t="s">
        <v>170</v>
      </c>
      <c r="CG127" s="76" t="s">
        <v>169</v>
      </c>
      <c r="CH127" s="76" t="s">
        <v>333</v>
      </c>
      <c r="CI127" s="76" t="s">
        <v>170</v>
      </c>
      <c r="CK127" s="76" t="s">
        <v>233</v>
      </c>
      <c r="CM127" s="76">
        <v>1</v>
      </c>
      <c r="CN127" s="76" t="s">
        <v>234</v>
      </c>
      <c r="CP127" s="76">
        <v>355</v>
      </c>
      <c r="CQ127" s="76">
        <v>51</v>
      </c>
      <c r="CR127" s="76">
        <v>218.2</v>
      </c>
      <c r="CS127" s="76" t="s">
        <v>235</v>
      </c>
      <c r="CV127" s="76" t="s">
        <v>341</v>
      </c>
      <c r="CX127" s="76" t="s">
        <v>342</v>
      </c>
      <c r="CY127" s="76" t="s">
        <v>170</v>
      </c>
      <c r="DC127" s="76" t="s">
        <v>2613</v>
      </c>
      <c r="DD127" s="76">
        <v>2</v>
      </c>
      <c r="DE127" s="76" t="s">
        <v>404</v>
      </c>
      <c r="DF127" s="76" t="s">
        <v>638</v>
      </c>
      <c r="DG127" s="76" t="s">
        <v>1492</v>
      </c>
      <c r="DJ127" s="76" t="s">
        <v>267</v>
      </c>
      <c r="DK127" s="76" t="s">
        <v>268</v>
      </c>
      <c r="DL127" s="76" t="s">
        <v>170</v>
      </c>
      <c r="DM127" s="76" t="s">
        <v>169</v>
      </c>
      <c r="DN127" s="76" t="s">
        <v>170</v>
      </c>
      <c r="DO127" s="76" t="s">
        <v>640</v>
      </c>
      <c r="DP127" s="76" t="s">
        <v>169</v>
      </c>
      <c r="DQ127" s="76" t="s">
        <v>198</v>
      </c>
      <c r="DR127" s="76" t="s">
        <v>2451</v>
      </c>
      <c r="DS127" s="76" t="s">
        <v>2496</v>
      </c>
      <c r="DT127" s="76" t="s">
        <v>2497</v>
      </c>
      <c r="DU127" s="76" t="s">
        <v>2498</v>
      </c>
      <c r="DV127" s="76" t="s">
        <v>2499</v>
      </c>
      <c r="DZ127" s="79"/>
      <c r="EA127" s="129"/>
      <c r="EB127" s="76">
        <v>8</v>
      </c>
      <c r="EC127" s="76">
        <v>10</v>
      </c>
      <c r="ED127" s="79">
        <v>10</v>
      </c>
      <c r="EE127" s="76" t="s">
        <v>2614</v>
      </c>
      <c r="EF127" s="76">
        <v>6</v>
      </c>
      <c r="EH127" s="79"/>
      <c r="EL127" s="79"/>
      <c r="EP127" s="79"/>
      <c r="ET127" s="79"/>
      <c r="EU127" s="76">
        <v>4500</v>
      </c>
      <c r="EV127" s="79"/>
      <c r="EW127" s="76">
        <v>218</v>
      </c>
      <c r="EX127" s="76">
        <v>245</v>
      </c>
      <c r="EY127" s="79">
        <v>230</v>
      </c>
      <c r="EZ127" s="97">
        <v>72</v>
      </c>
      <c r="FA127" s="76">
        <v>4.5</v>
      </c>
      <c r="FC127" s="97">
        <v>600</v>
      </c>
      <c r="FD127" s="96">
        <v>72</v>
      </c>
      <c r="FE127" s="76">
        <v>58</v>
      </c>
      <c r="FF127" s="79">
        <v>65</v>
      </c>
      <c r="FG127" s="76">
        <v>62</v>
      </c>
      <c r="FH127" s="76">
        <v>85</v>
      </c>
      <c r="FI127" s="103">
        <v>72</v>
      </c>
      <c r="FJ127" s="98" t="s">
        <v>2626</v>
      </c>
      <c r="FL127" s="79"/>
      <c r="FM127" s="76">
        <v>0.72099999999999997</v>
      </c>
      <c r="FN127" s="76">
        <v>0.65400000000000003</v>
      </c>
      <c r="FO127" s="79">
        <v>0.69299999999999995</v>
      </c>
      <c r="FP127" s="106"/>
      <c r="FQ127" s="107"/>
      <c r="FR127" s="107"/>
      <c r="FS127" s="108">
        <v>14.5</v>
      </c>
    </row>
    <row r="128" spans="1:190" s="77" customFormat="1" x14ac:dyDescent="0.35">
      <c r="A128" s="76"/>
      <c r="E128" s="76"/>
      <c r="F128" s="76"/>
      <c r="G128" s="78"/>
      <c r="H128" s="76"/>
      <c r="I128" s="79"/>
      <c r="J128" s="80"/>
      <c r="K128" s="28"/>
      <c r="L128" s="28"/>
      <c r="M128" s="25" t="str">
        <f>_xlfn.CONCAT(A129," ",C129," ",D129)</f>
        <v>2025 Lincoln CORSAIR AWD PHEV</v>
      </c>
      <c r="N128" s="28"/>
      <c r="O128" s="28"/>
      <c r="P128" s="28"/>
      <c r="Q128" s="28"/>
      <c r="R128" s="28"/>
      <c r="S128" s="28"/>
      <c r="T128" s="28"/>
      <c r="U128" s="28"/>
      <c r="V128" s="28"/>
      <c r="W128" s="28"/>
      <c r="X128" s="28"/>
      <c r="Y128" s="28"/>
      <c r="Z128" s="28"/>
      <c r="AA128" s="28"/>
      <c r="AB128" s="28"/>
      <c r="AC128" s="28"/>
      <c r="AD128" s="25" t="str">
        <f>$M128</f>
        <v>2025 Lincoln CORSAIR AWD PHEV</v>
      </c>
      <c r="AE128" s="28"/>
      <c r="AF128" s="28"/>
      <c r="AG128" s="28"/>
      <c r="AH128" s="28"/>
      <c r="AI128" s="28"/>
      <c r="AJ128" s="81"/>
      <c r="AK128" s="2"/>
      <c r="AL128" s="2"/>
      <c r="AM128" s="2"/>
      <c r="AN128" s="2"/>
      <c r="AO128" s="2"/>
      <c r="AP128" s="2"/>
      <c r="AQ128" s="2"/>
      <c r="AR128" s="83"/>
      <c r="AS128" s="28"/>
      <c r="AT128" s="85" t="str">
        <f>$M128</f>
        <v>2025 Lincoln CORSAIR AWD PHEV</v>
      </c>
      <c r="AU128" s="84"/>
      <c r="AV128" s="28"/>
      <c r="AW128" s="28"/>
      <c r="AX128" s="28"/>
      <c r="AY128" s="28"/>
      <c r="AZ128" s="28"/>
      <c r="BA128" s="28"/>
      <c r="BB128" s="28"/>
      <c r="BC128" s="28"/>
      <c r="BD128" s="28"/>
      <c r="BE128" s="28"/>
      <c r="BF128" s="28"/>
      <c r="BG128" s="28"/>
      <c r="BH128" s="28"/>
      <c r="BI128" s="25" t="str">
        <f>$M128</f>
        <v>2025 Lincoln CORSAIR AWD PHEV</v>
      </c>
      <c r="BJ128" s="28"/>
      <c r="BK128" s="28"/>
      <c r="BL128" s="28"/>
      <c r="BM128" s="81"/>
      <c r="BN128" s="2"/>
      <c r="BO128" s="2"/>
      <c r="BP128" s="2"/>
      <c r="BQ128" s="2"/>
      <c r="BR128" s="2"/>
      <c r="BS128" s="2"/>
      <c r="BT128" s="86"/>
      <c r="BU128" s="2"/>
      <c r="BV128" s="83"/>
      <c r="BW128" s="87"/>
      <c r="BX128" s="28"/>
      <c r="BY128" s="25" t="str">
        <f>$M128</f>
        <v>2025 Lincoln CORSAIR AWD PHEV</v>
      </c>
      <c r="BZ128" s="28"/>
      <c r="CA128" s="28"/>
      <c r="CB128" s="28"/>
      <c r="CC128" s="28"/>
      <c r="CD128" s="28"/>
      <c r="CE128" s="88"/>
      <c r="CF128" s="28"/>
      <c r="CG128" s="28"/>
      <c r="CH128" s="28"/>
      <c r="CI128" s="28"/>
      <c r="CJ128" s="28"/>
      <c r="CK128" s="28"/>
      <c r="CL128" s="28"/>
      <c r="CM128" s="28"/>
      <c r="CN128" s="28"/>
      <c r="CO128" s="25" t="str">
        <f>$M128</f>
        <v>2025 Lincoln CORSAIR AWD PHEV</v>
      </c>
      <c r="CP128" s="28"/>
      <c r="CQ128" s="28"/>
      <c r="CR128" s="28"/>
      <c r="CS128" s="28"/>
      <c r="CT128" s="28"/>
      <c r="CU128" s="28"/>
      <c r="CV128" s="28"/>
      <c r="CW128" s="28"/>
      <c r="CX128" s="28"/>
      <c r="CY128" s="28"/>
      <c r="CZ128" s="28"/>
      <c r="DA128" s="28"/>
      <c r="DB128" s="28"/>
      <c r="DC128" s="28"/>
      <c r="DD128" s="28"/>
      <c r="DE128" s="28"/>
      <c r="DF128" s="25" t="str">
        <f>$M128</f>
        <v>2025 Lincoln CORSAIR AWD PHEV</v>
      </c>
      <c r="DG128" s="28"/>
      <c r="DH128" s="28"/>
      <c r="DI128" s="28"/>
      <c r="DJ128" s="28"/>
      <c r="DK128" s="28"/>
      <c r="DL128" s="28"/>
      <c r="DM128" s="28"/>
      <c r="DN128" s="28"/>
      <c r="DO128" s="28"/>
      <c r="DP128" s="28"/>
      <c r="DQ128" s="28"/>
      <c r="DR128" s="25"/>
      <c r="DS128" s="25"/>
      <c r="DT128" s="25"/>
      <c r="DU128" s="25"/>
      <c r="DV128" s="25"/>
      <c r="DW128" s="25" t="str">
        <f>$M128</f>
        <v>2025 Lincoln CORSAIR AWD PHEV</v>
      </c>
      <c r="DX128" s="25"/>
      <c r="DY128" s="25"/>
      <c r="DZ128" s="85"/>
      <c r="EA128" s="130"/>
      <c r="EB128" s="25"/>
      <c r="EC128" s="25"/>
      <c r="ED128" s="85"/>
      <c r="EE128" s="25"/>
      <c r="EF128" s="25"/>
      <c r="EG128" s="25"/>
      <c r="EH128" s="85"/>
      <c r="EI128" s="25"/>
      <c r="EK128" t="s">
        <v>2445</v>
      </c>
      <c r="EL128" s="85" t="str">
        <f>$M128</f>
        <v>2025 Lincoln CORSAIR AWD PHEV</v>
      </c>
      <c r="EM128" s="25"/>
      <c r="EP128" s="75"/>
      <c r="ET128" s="75"/>
      <c r="EV128" s="75"/>
      <c r="EY128" s="75"/>
      <c r="EZ128" s="102"/>
      <c r="FA128" s="25" t="str">
        <f>$M128</f>
        <v>2025 Lincoln CORSAIR AWD PHEV</v>
      </c>
      <c r="FB128" s="75"/>
      <c r="FC128" s="91"/>
      <c r="FD128" s="80"/>
      <c r="FE128" s="25"/>
      <c r="FF128" s="85"/>
      <c r="FG128" s="80"/>
      <c r="FH128" s="25"/>
      <c r="FI128" s="85"/>
      <c r="FJ128" s="80"/>
      <c r="FK128" s="25"/>
      <c r="FL128" s="85"/>
      <c r="FM128" s="25" t="str">
        <f>$M128</f>
        <v>2025 Lincoln CORSAIR AWD PHEV</v>
      </c>
      <c r="FN128" s="25"/>
      <c r="FO128" s="85"/>
      <c r="FP128" s="92"/>
      <c r="FQ128" s="93"/>
      <c r="FR128" s="94"/>
      <c r="FS128" s="95"/>
      <c r="FT128" s="25"/>
      <c r="FU128" s="25"/>
      <c r="FV128" s="25"/>
      <c r="FW128" s="25"/>
      <c r="FX128" s="25"/>
      <c r="FY128" s="25"/>
      <c r="FZ128" s="25"/>
      <c r="GA128" s="25"/>
      <c r="GB128" s="25"/>
      <c r="GC128" s="25"/>
      <c r="GD128" s="25"/>
      <c r="GE128" s="25"/>
      <c r="GF128" s="25"/>
      <c r="GG128" s="25"/>
      <c r="GH128" s="25"/>
    </row>
    <row r="129" spans="1:190" s="76" customFormat="1" x14ac:dyDescent="0.35">
      <c r="A129" s="76">
        <v>2025</v>
      </c>
      <c r="B129" s="76" t="s">
        <v>439</v>
      </c>
      <c r="C129" s="76" t="s">
        <v>1171</v>
      </c>
      <c r="D129" s="76" t="s">
        <v>2627</v>
      </c>
      <c r="E129" s="76" t="s">
        <v>442</v>
      </c>
      <c r="F129" s="76">
        <v>72</v>
      </c>
      <c r="G129" s="78">
        <v>2.5</v>
      </c>
      <c r="H129" s="76">
        <v>4</v>
      </c>
      <c r="I129" s="79" t="s">
        <v>587</v>
      </c>
      <c r="J129" s="96">
        <v>34</v>
      </c>
      <c r="K129" s="76">
        <v>32</v>
      </c>
      <c r="L129" s="76">
        <v>33</v>
      </c>
      <c r="M129" s="76">
        <v>45.8</v>
      </c>
      <c r="N129" s="76">
        <v>46</v>
      </c>
      <c r="O129" s="76">
        <v>45.849299999999999</v>
      </c>
      <c r="P129" s="76">
        <v>33.961500000000001</v>
      </c>
      <c r="Q129" s="76">
        <v>31.893599999999999</v>
      </c>
      <c r="R129" s="76">
        <v>32.998699999999999</v>
      </c>
      <c r="T129" s="76" t="s">
        <v>2557</v>
      </c>
      <c r="U129" s="76" t="s">
        <v>224</v>
      </c>
      <c r="V129" s="76" t="s">
        <v>588</v>
      </c>
      <c r="W129" s="76" t="s">
        <v>589</v>
      </c>
      <c r="Y129" s="76">
        <v>1</v>
      </c>
      <c r="Z129" s="76" t="s">
        <v>170</v>
      </c>
      <c r="AA129" s="76" t="s">
        <v>170</v>
      </c>
      <c r="AB129" s="76" t="s">
        <v>809</v>
      </c>
      <c r="AC129" s="76" t="s">
        <v>810</v>
      </c>
      <c r="AD129" s="76">
        <v>85</v>
      </c>
      <c r="AF129" s="76">
        <v>420</v>
      </c>
      <c r="AG129" s="76" t="s">
        <v>210</v>
      </c>
      <c r="AH129" s="76" t="s">
        <v>444</v>
      </c>
      <c r="AI129" s="76" t="s">
        <v>175</v>
      </c>
      <c r="AJ129" s="79" t="s">
        <v>176</v>
      </c>
      <c r="AK129" s="96" t="s">
        <v>940</v>
      </c>
      <c r="AL129" s="76" t="s">
        <v>941</v>
      </c>
      <c r="AR129" s="79"/>
      <c r="AS129" s="96">
        <v>1300</v>
      </c>
      <c r="AT129" s="79">
        <v>1300</v>
      </c>
      <c r="AU129" s="96">
        <v>41</v>
      </c>
      <c r="AV129" s="76">
        <v>49</v>
      </c>
      <c r="AW129" s="76">
        <v>44</v>
      </c>
      <c r="AX129" s="76">
        <v>28.4</v>
      </c>
      <c r="AY129" s="76">
        <v>34.200000000000003</v>
      </c>
      <c r="AZ129" s="76">
        <v>31.01</v>
      </c>
      <c r="BA129" s="76">
        <v>40.603700000000003</v>
      </c>
      <c r="BB129" s="76">
        <v>48.945300000000003</v>
      </c>
      <c r="BC129" s="76">
        <v>44.357399999999998</v>
      </c>
      <c r="BD129" s="76">
        <v>27</v>
      </c>
      <c r="BE129" s="76" t="s">
        <v>1735</v>
      </c>
      <c r="BF129" s="76" t="s">
        <v>1736</v>
      </c>
      <c r="BG129" s="76" t="s">
        <v>1742</v>
      </c>
      <c r="BH129" s="76" t="s">
        <v>1743</v>
      </c>
      <c r="BI129" s="76">
        <v>1300</v>
      </c>
      <c r="BJ129" s="2"/>
      <c r="BK129" s="2"/>
      <c r="BL129" s="2"/>
      <c r="BM129" s="79"/>
      <c r="BN129" s="98" t="s">
        <v>2558</v>
      </c>
      <c r="BO129" s="76">
        <v>2</v>
      </c>
      <c r="BP129" s="76">
        <v>2</v>
      </c>
      <c r="BQ129" s="76">
        <v>31</v>
      </c>
      <c r="BR129" s="76" t="s">
        <v>1219</v>
      </c>
      <c r="BT129" s="76" t="s">
        <v>2494</v>
      </c>
      <c r="BU129" s="99">
        <v>45558</v>
      </c>
      <c r="BV129" s="79">
        <v>35432</v>
      </c>
      <c r="BW129" s="120"/>
      <c r="BX129" s="96" t="s">
        <v>170</v>
      </c>
      <c r="BY129" s="76" t="s">
        <v>170</v>
      </c>
      <c r="CB129" s="76" t="s">
        <v>170</v>
      </c>
      <c r="CC129" s="76" t="s">
        <v>170</v>
      </c>
      <c r="CD129" s="76" t="s">
        <v>2628</v>
      </c>
      <c r="CE129" s="76" t="s">
        <v>170</v>
      </c>
      <c r="CG129" s="76" t="s">
        <v>169</v>
      </c>
      <c r="CH129" s="76" t="s">
        <v>944</v>
      </c>
      <c r="CI129" s="76" t="s">
        <v>170</v>
      </c>
      <c r="CK129" s="76" t="s">
        <v>233</v>
      </c>
      <c r="CM129" s="76">
        <v>1</v>
      </c>
      <c r="CN129" s="76" t="s">
        <v>234</v>
      </c>
      <c r="CP129" s="76">
        <v>302</v>
      </c>
      <c r="CQ129" s="76">
        <v>48</v>
      </c>
      <c r="CR129" s="76">
        <v>84.6</v>
      </c>
      <c r="CS129" s="76" t="s">
        <v>1752</v>
      </c>
      <c r="CV129" s="76" t="s">
        <v>341</v>
      </c>
      <c r="CX129" s="76" t="s">
        <v>342</v>
      </c>
      <c r="CY129" s="76" t="s">
        <v>170</v>
      </c>
      <c r="DD129" s="76">
        <v>2</v>
      </c>
      <c r="DE129" s="76" t="s">
        <v>663</v>
      </c>
      <c r="DG129" s="76" t="s">
        <v>2629</v>
      </c>
      <c r="DJ129" s="76" t="s">
        <v>449</v>
      </c>
      <c r="DK129" s="76" t="s">
        <v>450</v>
      </c>
      <c r="DL129" s="76" t="s">
        <v>170</v>
      </c>
      <c r="DM129" s="76" t="s">
        <v>169</v>
      </c>
      <c r="DN129" s="76" t="s">
        <v>170</v>
      </c>
      <c r="DO129" s="76" t="s">
        <v>946</v>
      </c>
      <c r="DP129" s="76" t="s">
        <v>169</v>
      </c>
      <c r="DQ129" s="76" t="s">
        <v>198</v>
      </c>
      <c r="DS129" s="76" t="s">
        <v>2496</v>
      </c>
      <c r="DT129" s="76" t="s">
        <v>2497</v>
      </c>
      <c r="DU129" s="76" t="s">
        <v>2513</v>
      </c>
      <c r="DV129" s="76" t="s">
        <v>2514</v>
      </c>
      <c r="DY129" s="76">
        <v>46.1</v>
      </c>
      <c r="DZ129" s="79"/>
      <c r="EA129" s="101"/>
      <c r="EB129" s="96">
        <v>6</v>
      </c>
      <c r="EC129" s="76">
        <v>6</v>
      </c>
      <c r="ED129" s="79">
        <v>10</v>
      </c>
      <c r="EE129" s="96" t="s">
        <v>2630</v>
      </c>
      <c r="EF129" s="76">
        <v>7</v>
      </c>
      <c r="EH129" s="79"/>
      <c r="EI129" s="96"/>
      <c r="EL129" s="79"/>
      <c r="EP129" s="79"/>
      <c r="EQ129" s="96"/>
      <c r="ET129" s="79"/>
      <c r="EU129" s="96"/>
      <c r="EV129" s="79">
        <v>150</v>
      </c>
      <c r="EW129" s="76">
        <v>0</v>
      </c>
      <c r="EX129" s="76">
        <v>0</v>
      </c>
      <c r="EY129" s="79">
        <v>0</v>
      </c>
      <c r="EZ129" s="102">
        <f>FI129</f>
        <v>122</v>
      </c>
      <c r="FA129" s="76">
        <v>3.2</v>
      </c>
      <c r="FB129" s="79">
        <v>3.2</v>
      </c>
      <c r="FC129" s="97">
        <v>420</v>
      </c>
      <c r="FD129" s="96">
        <v>51</v>
      </c>
      <c r="FE129" s="76">
        <v>44</v>
      </c>
      <c r="FF129" s="79">
        <v>47</v>
      </c>
      <c r="FG129" s="76">
        <v>112</v>
      </c>
      <c r="FH129" s="76">
        <v>134</v>
      </c>
      <c r="FI129" s="103">
        <v>122</v>
      </c>
      <c r="FJ129" s="104">
        <v>28.88</v>
      </c>
      <c r="FK129" s="105">
        <v>24.8</v>
      </c>
      <c r="FL129" s="79">
        <v>27</v>
      </c>
      <c r="FM129" s="76">
        <v>0.57399999999999995</v>
      </c>
      <c r="FN129" s="76">
        <v>0.52500000000000002</v>
      </c>
      <c r="FO129" s="79">
        <v>0.55200000000000005</v>
      </c>
      <c r="FP129" s="106">
        <v>0</v>
      </c>
      <c r="FQ129" s="107">
        <v>0</v>
      </c>
      <c r="FR129" s="107">
        <v>0</v>
      </c>
      <c r="FS129" s="108">
        <v>12</v>
      </c>
    </row>
    <row r="130" spans="1:190" s="76" customFormat="1" x14ac:dyDescent="0.35">
      <c r="A130" s="76">
        <v>2025</v>
      </c>
      <c r="B130" s="162" t="s">
        <v>439</v>
      </c>
      <c r="C130" s="162" t="s">
        <v>1171</v>
      </c>
      <c r="D130" s="162" t="s">
        <v>2627</v>
      </c>
      <c r="E130" s="162" t="s">
        <v>442</v>
      </c>
      <c r="F130" s="162">
        <v>72</v>
      </c>
      <c r="G130" s="162">
        <v>2.5</v>
      </c>
      <c r="H130" s="162">
        <v>4</v>
      </c>
      <c r="I130" s="163" t="s">
        <v>587</v>
      </c>
      <c r="J130" s="96">
        <f t="shared" ref="J130:R130" si="51">J129</f>
        <v>34</v>
      </c>
      <c r="K130" s="76">
        <f t="shared" si="51"/>
        <v>32</v>
      </c>
      <c r="L130" s="76">
        <f t="shared" si="51"/>
        <v>33</v>
      </c>
      <c r="M130" s="76">
        <f t="shared" si="51"/>
        <v>45.8</v>
      </c>
      <c r="N130" s="76">
        <f t="shared" si="51"/>
        <v>46</v>
      </c>
      <c r="O130" s="76">
        <f t="shared" si="51"/>
        <v>45.849299999999999</v>
      </c>
      <c r="P130" s="76">
        <f t="shared" si="51"/>
        <v>33.961500000000001</v>
      </c>
      <c r="Q130" s="76">
        <f t="shared" si="51"/>
        <v>31.893599999999999</v>
      </c>
      <c r="R130" s="76">
        <f t="shared" si="51"/>
        <v>32.998699999999999</v>
      </c>
      <c r="T130" s="76" t="str">
        <f>T129</f>
        <v>NA</v>
      </c>
      <c r="U130" s="76" t="str">
        <f>U129</f>
        <v>Naturally Aspirated</v>
      </c>
      <c r="V130" s="76" t="str">
        <f>V129</f>
        <v>CVT</v>
      </c>
      <c r="W130" s="76" t="str">
        <f>W129</f>
        <v>Continuously Variable</v>
      </c>
      <c r="Y130" s="76">
        <f t="shared" ref="Y130:AD130" si="52">Y129</f>
        <v>1</v>
      </c>
      <c r="Z130" s="76" t="str">
        <f t="shared" si="52"/>
        <v>N</v>
      </c>
      <c r="AA130" s="76" t="str">
        <f t="shared" si="52"/>
        <v>N</v>
      </c>
      <c r="AB130" s="76" t="str">
        <f t="shared" si="52"/>
        <v>P</v>
      </c>
      <c r="AC130" s="76" t="str">
        <f t="shared" si="52"/>
        <v>Part-time 4-Wheel Drive</v>
      </c>
      <c r="AD130" s="76">
        <f t="shared" si="52"/>
        <v>85</v>
      </c>
      <c r="AF130" s="76">
        <f>AF129</f>
        <v>420</v>
      </c>
      <c r="AG130" s="76" t="str">
        <f>AG129</f>
        <v>G</v>
      </c>
      <c r="AH130" s="76" t="str">
        <f>AH129</f>
        <v>Gasoline (Regular Unleaded Recommended)</v>
      </c>
      <c r="AI130" s="76" t="str">
        <f>AI129</f>
        <v>MPG</v>
      </c>
      <c r="AJ130" s="79" t="str">
        <f>AJ129</f>
        <v>miles per gallon</v>
      </c>
      <c r="AK130" s="96" t="s">
        <v>940</v>
      </c>
      <c r="AL130" s="76" t="s">
        <v>941</v>
      </c>
      <c r="AR130" s="79"/>
      <c r="AS130" s="96">
        <v>1300</v>
      </c>
      <c r="AT130" s="79">
        <v>1300</v>
      </c>
      <c r="AU130" s="96">
        <v>83</v>
      </c>
      <c r="AV130" s="76">
        <v>69</v>
      </c>
      <c r="AW130" s="76">
        <v>76</v>
      </c>
      <c r="AX130" s="76">
        <v>118.5</v>
      </c>
      <c r="AY130" s="76">
        <v>98.6</v>
      </c>
      <c r="AZ130" s="76">
        <v>108.6337</v>
      </c>
      <c r="BA130" s="76">
        <v>83.073499999999996</v>
      </c>
      <c r="BB130" s="76">
        <v>69.033000000000001</v>
      </c>
      <c r="BC130" s="76">
        <v>76.107799999999997</v>
      </c>
      <c r="BD130" s="76">
        <v>27</v>
      </c>
      <c r="BE130" s="76" t="s">
        <v>1735</v>
      </c>
      <c r="BF130" s="76" t="s">
        <v>1736</v>
      </c>
      <c r="BG130" s="76" t="s">
        <v>175</v>
      </c>
      <c r="BH130" s="76" t="s">
        <v>176</v>
      </c>
      <c r="BI130" s="76">
        <v>1300</v>
      </c>
      <c r="BM130" s="79"/>
      <c r="BN130" s="98" t="s">
        <v>2558</v>
      </c>
      <c r="BO130" s="76">
        <v>2</v>
      </c>
      <c r="BP130" s="76">
        <v>2</v>
      </c>
      <c r="BQ130" s="76">
        <v>31</v>
      </c>
      <c r="BR130" s="76" t="s">
        <v>1219</v>
      </c>
      <c r="BT130" s="76" t="s">
        <v>2494</v>
      </c>
      <c r="BU130" s="99">
        <v>45558</v>
      </c>
      <c r="BV130" s="79">
        <v>35432</v>
      </c>
      <c r="BW130" s="120"/>
      <c r="BX130" s="96" t="s">
        <v>170</v>
      </c>
      <c r="BY130" s="76" t="s">
        <v>170</v>
      </c>
      <c r="CB130" s="76" t="s">
        <v>170</v>
      </c>
      <c r="CC130" s="76" t="s">
        <v>170</v>
      </c>
      <c r="CD130" s="76" t="s">
        <v>2628</v>
      </c>
      <c r="CE130" s="76" t="s">
        <v>170</v>
      </c>
      <c r="CG130" s="76" t="s">
        <v>169</v>
      </c>
      <c r="CH130" s="76" t="s">
        <v>944</v>
      </c>
      <c r="CI130" s="76" t="s">
        <v>170</v>
      </c>
      <c r="CK130" s="76" t="s">
        <v>233</v>
      </c>
      <c r="CM130" s="76">
        <v>1</v>
      </c>
      <c r="CN130" s="76" t="s">
        <v>234</v>
      </c>
      <c r="CP130" s="76">
        <v>302</v>
      </c>
      <c r="CQ130" s="76">
        <v>48</v>
      </c>
      <c r="CR130" s="76">
        <v>84.6</v>
      </c>
      <c r="CS130" s="76" t="s">
        <v>1752</v>
      </c>
      <c r="CV130" s="76" t="s">
        <v>341</v>
      </c>
      <c r="CX130" s="76" t="s">
        <v>342</v>
      </c>
      <c r="CY130" s="76" t="s">
        <v>170</v>
      </c>
      <c r="DD130" s="76">
        <v>2</v>
      </c>
      <c r="DE130" s="76" t="s">
        <v>663</v>
      </c>
      <c r="DG130" s="76" t="s">
        <v>2629</v>
      </c>
      <c r="DJ130" s="76" t="s">
        <v>449</v>
      </c>
      <c r="DK130" s="76" t="s">
        <v>450</v>
      </c>
      <c r="DL130" s="76" t="s">
        <v>170</v>
      </c>
      <c r="DM130" s="76" t="s">
        <v>169</v>
      </c>
      <c r="DN130" s="76" t="s">
        <v>170</v>
      </c>
      <c r="DO130" s="76" t="s">
        <v>946</v>
      </c>
      <c r="DP130" s="76" t="s">
        <v>169</v>
      </c>
      <c r="DQ130" s="76" t="s">
        <v>198</v>
      </c>
      <c r="DS130" s="76" t="s">
        <v>2496</v>
      </c>
      <c r="DT130" s="76" t="s">
        <v>2497</v>
      </c>
      <c r="DU130" s="76" t="s">
        <v>2513</v>
      </c>
      <c r="DV130" s="76" t="s">
        <v>2514</v>
      </c>
      <c r="DY130" s="76">
        <v>46.1</v>
      </c>
      <c r="DZ130" s="79"/>
      <c r="EA130" s="101"/>
      <c r="EB130" s="96">
        <v>6</v>
      </c>
      <c r="EC130" s="76">
        <v>6</v>
      </c>
      <c r="ED130" s="79">
        <v>10</v>
      </c>
      <c r="EE130" s="96" t="s">
        <v>2630</v>
      </c>
      <c r="EF130" s="76">
        <v>7</v>
      </c>
      <c r="EH130" s="79"/>
      <c r="EI130" s="96"/>
      <c r="EM130" s="96"/>
      <c r="EP130" s="79"/>
      <c r="EQ130" s="96"/>
      <c r="ET130" s="79"/>
      <c r="EU130" s="96"/>
      <c r="EV130" s="79">
        <v>150</v>
      </c>
      <c r="EW130" s="96">
        <v>260</v>
      </c>
      <c r="EX130" s="76">
        <v>277</v>
      </c>
      <c r="EY130" s="79">
        <v>268</v>
      </c>
      <c r="EZ130" s="102">
        <f>FI130</f>
        <v>122</v>
      </c>
      <c r="FA130" s="76">
        <v>3.2</v>
      </c>
      <c r="FB130" s="79">
        <v>3.2</v>
      </c>
      <c r="FC130" s="97">
        <v>420</v>
      </c>
      <c r="FD130" s="96">
        <v>51</v>
      </c>
      <c r="FE130" s="76">
        <v>44</v>
      </c>
      <c r="FF130" s="79">
        <v>47</v>
      </c>
      <c r="FG130" s="76">
        <v>112</v>
      </c>
      <c r="FH130" s="76">
        <v>134</v>
      </c>
      <c r="FI130" s="103">
        <v>122</v>
      </c>
      <c r="FJ130" s="98" t="s">
        <v>2631</v>
      </c>
      <c r="FK130" s="111"/>
      <c r="FL130" s="103"/>
      <c r="FM130" s="76">
        <v>0.57399999999999995</v>
      </c>
      <c r="FN130" s="76">
        <v>0.52500000000000002</v>
      </c>
      <c r="FO130" s="79">
        <v>0.55200000000000005</v>
      </c>
      <c r="FP130" s="106"/>
      <c r="FQ130" s="107"/>
      <c r="FR130" s="107"/>
      <c r="FS130" s="108">
        <v>12</v>
      </c>
    </row>
    <row r="131" spans="1:190" s="77" customFormat="1" x14ac:dyDescent="0.35">
      <c r="A131" s="76"/>
      <c r="E131" s="76"/>
      <c r="F131" s="76"/>
      <c r="G131" s="78"/>
      <c r="H131" s="76"/>
      <c r="I131" s="79"/>
      <c r="J131" s="80"/>
      <c r="K131" s="28"/>
      <c r="L131" s="28"/>
      <c r="M131" s="25" t="str">
        <f>_xlfn.CONCAT(A132," ",C132," ",D132)</f>
        <v>2025 MAZDA MAZDA CX-70 4WD</v>
      </c>
      <c r="N131" s="28"/>
      <c r="O131" s="28"/>
      <c r="P131" s="28"/>
      <c r="Q131" s="28"/>
      <c r="R131" s="28"/>
      <c r="S131" s="28"/>
      <c r="T131" s="28"/>
      <c r="U131" s="28"/>
      <c r="V131" s="28"/>
      <c r="W131" s="28"/>
      <c r="X131" s="28"/>
      <c r="Y131" s="28"/>
      <c r="Z131" s="28"/>
      <c r="AA131" s="28"/>
      <c r="AB131" s="28"/>
      <c r="AC131" s="28"/>
      <c r="AD131" s="25" t="str">
        <f>$M131</f>
        <v>2025 MAZDA MAZDA CX-70 4WD</v>
      </c>
      <c r="AE131" s="28"/>
      <c r="AF131" s="28"/>
      <c r="AG131" s="28"/>
      <c r="AH131" s="28"/>
      <c r="AI131" s="28"/>
      <c r="AJ131" s="81"/>
      <c r="AK131" s="82"/>
      <c r="AL131" s="2"/>
      <c r="AM131" s="2"/>
      <c r="AN131" s="2"/>
      <c r="AO131" s="2"/>
      <c r="AP131" s="2"/>
      <c r="AQ131" s="2"/>
      <c r="AR131" s="83"/>
      <c r="AS131" s="84"/>
      <c r="AT131" s="85" t="str">
        <f>$M131</f>
        <v>2025 MAZDA MAZDA CX-70 4WD</v>
      </c>
      <c r="AU131" s="84"/>
      <c r="AV131" s="28"/>
      <c r="AW131" s="28"/>
      <c r="AX131" s="28"/>
      <c r="AY131" s="28"/>
      <c r="AZ131" s="28"/>
      <c r="BA131" s="28"/>
      <c r="BB131" s="28"/>
      <c r="BC131" s="28"/>
      <c r="BD131" s="28"/>
      <c r="BE131" s="28"/>
      <c r="BF131" s="28"/>
      <c r="BG131" s="28"/>
      <c r="BH131" s="28"/>
      <c r="BI131" s="25" t="str">
        <f>$M131</f>
        <v>2025 MAZDA MAZDA CX-70 4WD</v>
      </c>
      <c r="BJ131" s="28"/>
      <c r="BK131" s="28"/>
      <c r="BL131" s="28"/>
      <c r="BM131" s="81"/>
      <c r="BN131" s="82"/>
      <c r="BO131" s="2"/>
      <c r="BP131" s="2"/>
      <c r="BQ131" s="2"/>
      <c r="BR131" s="2"/>
      <c r="BS131" s="2"/>
      <c r="BT131" s="86"/>
      <c r="BU131" s="2"/>
      <c r="BV131" s="83"/>
      <c r="BW131" s="121"/>
      <c r="BX131" s="84"/>
      <c r="BY131" s="25" t="str">
        <f>$M131</f>
        <v>2025 MAZDA MAZDA CX-70 4WD</v>
      </c>
      <c r="BZ131" s="28"/>
      <c r="CA131" s="28"/>
      <c r="CB131" s="28"/>
      <c r="CC131" s="28"/>
      <c r="CD131" s="28"/>
      <c r="CE131" s="88"/>
      <c r="CF131" s="28"/>
      <c r="CG131" s="28"/>
      <c r="CH131" s="28"/>
      <c r="CI131" s="28"/>
      <c r="CJ131" s="28"/>
      <c r="CK131" s="28"/>
      <c r="CL131" s="28"/>
      <c r="CM131" s="28"/>
      <c r="CN131" s="28"/>
      <c r="CO131" s="25" t="str">
        <f>$M131</f>
        <v>2025 MAZDA MAZDA CX-70 4WD</v>
      </c>
      <c r="CP131" s="28"/>
      <c r="CQ131" s="28"/>
      <c r="CR131" s="28"/>
      <c r="CS131" s="28"/>
      <c r="CT131" s="28"/>
      <c r="CU131" s="28"/>
      <c r="CV131" s="28"/>
      <c r="CW131" s="28"/>
      <c r="CX131" s="28"/>
      <c r="CY131" s="28"/>
      <c r="CZ131" s="28"/>
      <c r="DA131" s="28"/>
      <c r="DB131" s="28"/>
      <c r="DC131" s="28"/>
      <c r="DD131" s="28"/>
      <c r="DE131" s="28"/>
      <c r="DF131" s="25" t="str">
        <f>$M131</f>
        <v>2025 MAZDA MAZDA CX-70 4WD</v>
      </c>
      <c r="DG131" s="28"/>
      <c r="DH131" s="28"/>
      <c r="DI131" s="28"/>
      <c r="DJ131" s="28"/>
      <c r="DK131" s="28"/>
      <c r="DL131" s="28"/>
      <c r="DM131" s="28"/>
      <c r="DN131" s="28"/>
      <c r="DO131" s="28"/>
      <c r="DP131" s="28"/>
      <c r="DQ131" s="28"/>
      <c r="DR131" s="25"/>
      <c r="DS131" s="25"/>
      <c r="DT131" s="25"/>
      <c r="DU131" s="25"/>
      <c r="DV131" s="25"/>
      <c r="DW131" s="25" t="str">
        <f>$M131</f>
        <v>2025 MAZDA MAZDA CX-70 4WD</v>
      </c>
      <c r="DX131" s="25"/>
      <c r="DY131" s="25"/>
      <c r="DZ131" s="85"/>
      <c r="EA131" s="89"/>
      <c r="EB131" s="80"/>
      <c r="EC131" s="25"/>
      <c r="ED131" s="85"/>
      <c r="EE131" s="80"/>
      <c r="EF131" s="25"/>
      <c r="EG131" s="25"/>
      <c r="EH131" s="85"/>
      <c r="EI131" s="80"/>
      <c r="EK131" t="s">
        <v>2445</v>
      </c>
      <c r="EL131" s="25" t="str">
        <f>$M131</f>
        <v>2025 MAZDA MAZDA CX-70 4WD</v>
      </c>
      <c r="EM131" s="80"/>
      <c r="EP131" s="75"/>
      <c r="EQ131" s="90"/>
      <c r="ET131" s="75"/>
      <c r="EU131" s="90"/>
      <c r="EV131" s="75"/>
      <c r="EW131" s="90"/>
      <c r="EY131" s="75"/>
      <c r="EZ131" s="102"/>
      <c r="FA131" s="25" t="str">
        <f>$M131</f>
        <v>2025 MAZDA MAZDA CX-70 4WD</v>
      </c>
      <c r="FB131" s="75"/>
      <c r="FC131" s="91"/>
      <c r="FD131" s="80"/>
      <c r="FE131" s="25"/>
      <c r="FF131" s="85"/>
      <c r="FG131" s="80"/>
      <c r="FH131" s="25"/>
      <c r="FI131" s="85"/>
      <c r="FJ131" s="80"/>
      <c r="FK131" s="25"/>
      <c r="FL131" s="85"/>
      <c r="FM131" s="25" t="str">
        <f>$M131</f>
        <v>2025 MAZDA MAZDA CX-70 4WD</v>
      </c>
      <c r="FN131" s="25"/>
      <c r="FO131" s="85"/>
      <c r="FP131" s="92"/>
      <c r="FQ131" s="93"/>
      <c r="FR131" s="94"/>
      <c r="FS131" s="95"/>
      <c r="FT131" s="25"/>
      <c r="FU131" s="25"/>
      <c r="FV131" s="25"/>
      <c r="FW131" s="25"/>
      <c r="FX131" s="25"/>
      <c r="FY131" s="25"/>
      <c r="FZ131" s="25"/>
      <c r="GA131" s="25"/>
      <c r="GB131" s="25"/>
      <c r="GC131" s="25"/>
      <c r="GD131" s="25"/>
      <c r="GE131" s="25"/>
      <c r="GF131" s="25"/>
      <c r="GG131" s="25"/>
      <c r="GH131" s="25"/>
    </row>
    <row r="132" spans="1:190" s="76" customFormat="1" x14ac:dyDescent="0.35">
      <c r="A132" s="76">
        <v>2025</v>
      </c>
      <c r="B132" s="76" t="s">
        <v>272</v>
      </c>
      <c r="C132" s="76" t="s">
        <v>272</v>
      </c>
      <c r="D132" s="76" t="s">
        <v>1617</v>
      </c>
      <c r="E132" s="76" t="s">
        <v>274</v>
      </c>
      <c r="F132" s="76">
        <v>908</v>
      </c>
      <c r="G132" s="78">
        <v>2.5</v>
      </c>
      <c r="H132" s="76">
        <v>4</v>
      </c>
      <c r="I132" s="79" t="s">
        <v>192</v>
      </c>
      <c r="J132" s="96">
        <v>24</v>
      </c>
      <c r="K132" s="76">
        <v>27</v>
      </c>
      <c r="L132" s="76">
        <v>25</v>
      </c>
      <c r="M132" s="76">
        <v>30.4</v>
      </c>
      <c r="N132" s="76">
        <v>38.5</v>
      </c>
      <c r="O132" s="76">
        <v>33.579099999999997</v>
      </c>
      <c r="P132" s="76">
        <v>23.667400000000001</v>
      </c>
      <c r="Q132" s="76">
        <v>27.1633</v>
      </c>
      <c r="R132" s="76">
        <v>25.122399999999999</v>
      </c>
      <c r="T132" s="76" t="s">
        <v>2557</v>
      </c>
      <c r="U132" s="76" t="s">
        <v>224</v>
      </c>
      <c r="V132" s="76" t="s">
        <v>193</v>
      </c>
      <c r="W132" s="76" t="s">
        <v>194</v>
      </c>
      <c r="Y132" s="76">
        <v>8</v>
      </c>
      <c r="Z132" s="76" t="s">
        <v>170</v>
      </c>
      <c r="AA132" s="76" t="s">
        <v>169</v>
      </c>
      <c r="AB132" s="76">
        <v>4</v>
      </c>
      <c r="AC132" s="76" t="s">
        <v>601</v>
      </c>
      <c r="AD132" s="76">
        <v>10</v>
      </c>
      <c r="AF132" s="76">
        <v>464</v>
      </c>
      <c r="AG132" s="76" t="s">
        <v>173</v>
      </c>
      <c r="AH132" s="76" t="s">
        <v>174</v>
      </c>
      <c r="AI132" s="76" t="s">
        <v>175</v>
      </c>
      <c r="AJ132" s="79" t="s">
        <v>176</v>
      </c>
      <c r="AK132" s="96" t="s">
        <v>940</v>
      </c>
      <c r="AL132" s="76" t="s">
        <v>941</v>
      </c>
      <c r="AR132" s="79"/>
      <c r="AS132" s="96">
        <v>1900</v>
      </c>
      <c r="AT132" s="79">
        <v>1900</v>
      </c>
      <c r="AU132" s="96">
        <v>60</v>
      </c>
      <c r="AV132" s="76">
        <v>55</v>
      </c>
      <c r="AW132" s="76">
        <v>58</v>
      </c>
      <c r="AX132" s="76">
        <v>42.4</v>
      </c>
      <c r="AY132" s="76">
        <v>38.700000000000003</v>
      </c>
      <c r="AZ132" s="76">
        <v>40.734999999999999</v>
      </c>
      <c r="BA132" s="76">
        <v>60.079000000000001</v>
      </c>
      <c r="BB132" s="76">
        <v>55.302999999999997</v>
      </c>
      <c r="BC132" s="76">
        <v>57.9298</v>
      </c>
      <c r="BD132" s="76">
        <v>26</v>
      </c>
      <c r="BE132" s="76" t="s">
        <v>1735</v>
      </c>
      <c r="BF132" s="76" t="s">
        <v>1736</v>
      </c>
      <c r="BG132" s="76" t="s">
        <v>1742</v>
      </c>
      <c r="BH132" s="76" t="s">
        <v>1743</v>
      </c>
      <c r="BI132" s="76">
        <v>1900</v>
      </c>
      <c r="BJ132" s="2"/>
      <c r="BK132" s="2"/>
      <c r="BL132" s="2"/>
      <c r="BM132" s="79"/>
      <c r="BN132" s="98" t="s">
        <v>2493</v>
      </c>
      <c r="BO132" s="76">
        <v>2</v>
      </c>
      <c r="BP132" s="76">
        <v>2</v>
      </c>
      <c r="BQ132" s="76">
        <v>33</v>
      </c>
      <c r="BR132" s="76" t="s">
        <v>1497</v>
      </c>
      <c r="BT132" s="76" t="s">
        <v>2494</v>
      </c>
      <c r="BU132" s="99">
        <v>45434</v>
      </c>
      <c r="BV132" s="79">
        <v>34625</v>
      </c>
      <c r="BW132" s="120"/>
      <c r="BX132" s="96" t="s">
        <v>170</v>
      </c>
      <c r="BY132" s="76" t="s">
        <v>170</v>
      </c>
      <c r="CB132" s="76" t="s">
        <v>170</v>
      </c>
      <c r="CC132" s="76" t="s">
        <v>170</v>
      </c>
      <c r="CE132" s="76" t="s">
        <v>170</v>
      </c>
      <c r="CG132" s="76" t="s">
        <v>169</v>
      </c>
      <c r="CH132" s="76" t="s">
        <v>276</v>
      </c>
      <c r="CI132" s="76" t="s">
        <v>170</v>
      </c>
      <c r="CK132" s="76" t="s">
        <v>233</v>
      </c>
      <c r="CM132" s="76">
        <v>1</v>
      </c>
      <c r="CN132" s="76" t="s">
        <v>234</v>
      </c>
      <c r="CP132" s="76">
        <v>355</v>
      </c>
      <c r="CQ132" s="76">
        <v>50</v>
      </c>
      <c r="CR132" s="76">
        <v>161.19999999999999</v>
      </c>
      <c r="CS132" s="76" t="s">
        <v>235</v>
      </c>
      <c r="CV132" s="76" t="s">
        <v>341</v>
      </c>
      <c r="CX132" s="76" t="s">
        <v>342</v>
      </c>
      <c r="CY132" s="76" t="s">
        <v>170</v>
      </c>
      <c r="DD132" s="76">
        <v>1</v>
      </c>
      <c r="DE132" s="76" t="s">
        <v>663</v>
      </c>
      <c r="DG132" s="76">
        <v>68</v>
      </c>
      <c r="DJ132" s="76" t="s">
        <v>184</v>
      </c>
      <c r="DK132" s="76" t="s">
        <v>185</v>
      </c>
      <c r="DL132" s="76" t="s">
        <v>170</v>
      </c>
      <c r="DM132" s="76" t="s">
        <v>169</v>
      </c>
      <c r="DN132" s="76" t="s">
        <v>170</v>
      </c>
      <c r="DO132" s="76" t="s">
        <v>277</v>
      </c>
      <c r="DP132" s="76" t="s">
        <v>169</v>
      </c>
      <c r="DQ132" s="76" t="s">
        <v>198</v>
      </c>
      <c r="DS132" s="76" t="s">
        <v>2496</v>
      </c>
      <c r="DT132" s="76" t="s">
        <v>2497</v>
      </c>
      <c r="DU132" s="76" t="s">
        <v>2513</v>
      </c>
      <c r="DV132" s="76" t="s">
        <v>2514</v>
      </c>
      <c r="DZ132" s="79"/>
      <c r="EA132" s="101"/>
      <c r="EB132" s="96">
        <v>7</v>
      </c>
      <c r="EC132" s="76">
        <v>8</v>
      </c>
      <c r="ED132" s="79"/>
      <c r="EE132" s="96" t="s">
        <v>2632</v>
      </c>
      <c r="EF132" s="76">
        <v>6</v>
      </c>
      <c r="EH132" s="79"/>
      <c r="EI132" s="96"/>
      <c r="EM132" s="96"/>
      <c r="EP132" s="79"/>
      <c r="EQ132" s="96"/>
      <c r="ET132" s="79"/>
      <c r="EU132" s="96"/>
      <c r="EV132" s="79">
        <v>250</v>
      </c>
      <c r="EW132" s="96">
        <v>10</v>
      </c>
      <c r="EX132" s="76">
        <v>0</v>
      </c>
      <c r="EY132" s="79">
        <v>6</v>
      </c>
      <c r="EZ132" s="102">
        <f>FI132</f>
        <v>168</v>
      </c>
      <c r="FA132" s="76">
        <v>2.1</v>
      </c>
      <c r="FB132" s="79"/>
      <c r="FC132" s="97">
        <v>490</v>
      </c>
      <c r="FD132" s="96">
        <v>33</v>
      </c>
      <c r="FE132" s="76">
        <v>38</v>
      </c>
      <c r="FF132" s="79">
        <v>35</v>
      </c>
      <c r="FG132" s="76">
        <v>182</v>
      </c>
      <c r="FH132" s="76">
        <v>152</v>
      </c>
      <c r="FI132" s="103">
        <v>168</v>
      </c>
      <c r="FJ132" s="104">
        <v>25.31</v>
      </c>
      <c r="FK132" s="105">
        <v>25.31</v>
      </c>
      <c r="FL132" s="79">
        <v>25.31</v>
      </c>
      <c r="FM132" s="76">
        <v>0.53100000000000003</v>
      </c>
      <c r="FN132" s="76">
        <v>0.54300000000000004</v>
      </c>
      <c r="FO132" s="79">
        <v>0.53600000000000003</v>
      </c>
      <c r="FP132" s="106">
        <v>0.1</v>
      </c>
      <c r="FQ132" s="107">
        <v>0</v>
      </c>
      <c r="FR132" s="107">
        <v>0.1</v>
      </c>
      <c r="FS132" s="108">
        <v>18.399999999999999</v>
      </c>
    </row>
    <row r="133" spans="1:190" s="76" customFormat="1" x14ac:dyDescent="0.35">
      <c r="A133" s="76">
        <v>2025</v>
      </c>
      <c r="B133" s="162" t="s">
        <v>272</v>
      </c>
      <c r="C133" s="162" t="s">
        <v>272</v>
      </c>
      <c r="D133" s="162" t="s">
        <v>1617</v>
      </c>
      <c r="E133" s="162" t="s">
        <v>274</v>
      </c>
      <c r="F133" s="162">
        <v>908</v>
      </c>
      <c r="G133" s="162">
        <v>2.5</v>
      </c>
      <c r="H133" s="162">
        <v>4</v>
      </c>
      <c r="I133" s="163" t="s">
        <v>192</v>
      </c>
      <c r="J133" s="96">
        <f t="shared" ref="J133:R133" si="53">J132</f>
        <v>24</v>
      </c>
      <c r="K133" s="76">
        <f t="shared" si="53"/>
        <v>27</v>
      </c>
      <c r="L133" s="76">
        <f t="shared" si="53"/>
        <v>25</v>
      </c>
      <c r="M133" s="76">
        <f t="shared" si="53"/>
        <v>30.4</v>
      </c>
      <c r="N133" s="76">
        <f t="shared" si="53"/>
        <v>38.5</v>
      </c>
      <c r="O133" s="76">
        <f t="shared" si="53"/>
        <v>33.579099999999997</v>
      </c>
      <c r="P133" s="76">
        <f t="shared" si="53"/>
        <v>23.667400000000001</v>
      </c>
      <c r="Q133" s="76">
        <f t="shared" si="53"/>
        <v>27.1633</v>
      </c>
      <c r="R133" s="76">
        <f t="shared" si="53"/>
        <v>25.122399999999999</v>
      </c>
      <c r="T133" s="76" t="str">
        <f>T132</f>
        <v>NA</v>
      </c>
      <c r="U133" s="76" t="str">
        <f>U132</f>
        <v>Naturally Aspirated</v>
      </c>
      <c r="V133" s="76" t="str">
        <f>V132</f>
        <v>SA</v>
      </c>
      <c r="W133" s="76" t="str">
        <f>W132</f>
        <v>Semi-Automatic</v>
      </c>
      <c r="Y133" s="76">
        <f t="shared" ref="Y133:AD133" si="54">Y132</f>
        <v>8</v>
      </c>
      <c r="Z133" s="76" t="str">
        <f t="shared" si="54"/>
        <v>N</v>
      </c>
      <c r="AA133" s="76" t="str">
        <f t="shared" si="54"/>
        <v>Y</v>
      </c>
      <c r="AB133" s="76">
        <f t="shared" si="54"/>
        <v>4</v>
      </c>
      <c r="AC133" s="76" t="str">
        <f t="shared" si="54"/>
        <v>4-Wheel Drive</v>
      </c>
      <c r="AD133" s="76">
        <f t="shared" si="54"/>
        <v>10</v>
      </c>
      <c r="AF133" s="76">
        <f>AF132</f>
        <v>464</v>
      </c>
      <c r="AG133" s="76" t="str">
        <f>AG132</f>
        <v>GP</v>
      </c>
      <c r="AH133" s="76" t="str">
        <f>AH132</f>
        <v>Gasoline (Premium Unleaded Recommended)</v>
      </c>
      <c r="AI133" s="76" t="str">
        <f>AI132</f>
        <v>MPG</v>
      </c>
      <c r="AJ133" s="79" t="str">
        <f>AJ132</f>
        <v>miles per gallon</v>
      </c>
      <c r="AK133" s="96" t="s">
        <v>940</v>
      </c>
      <c r="AL133" s="76" t="s">
        <v>941</v>
      </c>
      <c r="AR133" s="79"/>
      <c r="AS133" s="96">
        <v>1900</v>
      </c>
      <c r="AT133" s="79">
        <v>1900</v>
      </c>
      <c r="AU133" s="96">
        <v>53</v>
      </c>
      <c r="AV133" s="76">
        <v>61</v>
      </c>
      <c r="AW133" s="76">
        <v>56</v>
      </c>
      <c r="AX133" s="76">
        <v>74.599999999999994</v>
      </c>
      <c r="AY133" s="76">
        <v>87.1</v>
      </c>
      <c r="AZ133" s="76">
        <v>79.750399999999999</v>
      </c>
      <c r="BA133" s="76">
        <v>52.572800000000001</v>
      </c>
      <c r="BB133" s="76">
        <v>60.954999999999998</v>
      </c>
      <c r="BC133" s="76">
        <v>56.040700000000001</v>
      </c>
      <c r="BD133" s="76">
        <v>26</v>
      </c>
      <c r="BE133" s="76" t="s">
        <v>1735</v>
      </c>
      <c r="BF133" s="76" t="s">
        <v>1736</v>
      </c>
      <c r="BG133" s="76" t="s">
        <v>175</v>
      </c>
      <c r="BH133" s="76" t="s">
        <v>176</v>
      </c>
      <c r="BI133" s="76">
        <v>1900</v>
      </c>
      <c r="BM133" s="79"/>
      <c r="BN133" s="98" t="s">
        <v>2493</v>
      </c>
      <c r="BO133" s="76">
        <v>2</v>
      </c>
      <c r="BP133" s="76">
        <v>2</v>
      </c>
      <c r="BQ133" s="76">
        <v>33</v>
      </c>
      <c r="BR133" s="76" t="s">
        <v>1497</v>
      </c>
      <c r="BT133" s="76" t="s">
        <v>2494</v>
      </c>
      <c r="BU133" s="99">
        <v>45434</v>
      </c>
      <c r="BV133" s="79">
        <v>34625</v>
      </c>
      <c r="BW133" s="120"/>
      <c r="BX133" s="96" t="s">
        <v>170</v>
      </c>
      <c r="BY133" s="76" t="s">
        <v>170</v>
      </c>
      <c r="CB133" s="76" t="s">
        <v>170</v>
      </c>
      <c r="CC133" s="76" t="s">
        <v>170</v>
      </c>
      <c r="CE133" s="76" t="s">
        <v>170</v>
      </c>
      <c r="CG133" s="76" t="s">
        <v>169</v>
      </c>
      <c r="CH133" s="76" t="s">
        <v>276</v>
      </c>
      <c r="CI133" s="76" t="s">
        <v>170</v>
      </c>
      <c r="CK133" s="76" t="s">
        <v>233</v>
      </c>
      <c r="CM133" s="76">
        <v>1</v>
      </c>
      <c r="CN133" s="76" t="s">
        <v>234</v>
      </c>
      <c r="CP133" s="76">
        <v>355</v>
      </c>
      <c r="CQ133" s="76">
        <v>50</v>
      </c>
      <c r="CR133" s="76">
        <v>161.19999999999999</v>
      </c>
      <c r="CS133" s="76" t="s">
        <v>235</v>
      </c>
      <c r="CV133" s="76" t="s">
        <v>341</v>
      </c>
      <c r="CX133" s="76" t="s">
        <v>342</v>
      </c>
      <c r="CY133" s="76" t="s">
        <v>170</v>
      </c>
      <c r="DD133" s="76">
        <v>1</v>
      </c>
      <c r="DE133" s="76" t="s">
        <v>663</v>
      </c>
      <c r="DG133" s="76">
        <v>68</v>
      </c>
      <c r="DJ133" s="76" t="s">
        <v>184</v>
      </c>
      <c r="DK133" s="76" t="s">
        <v>185</v>
      </c>
      <c r="DL133" s="76" t="s">
        <v>170</v>
      </c>
      <c r="DM133" s="76" t="s">
        <v>169</v>
      </c>
      <c r="DN133" s="76" t="s">
        <v>170</v>
      </c>
      <c r="DO133" s="76" t="s">
        <v>277</v>
      </c>
      <c r="DP133" s="76" t="s">
        <v>169</v>
      </c>
      <c r="DQ133" s="76" t="s">
        <v>198</v>
      </c>
      <c r="DS133" s="76" t="s">
        <v>2496</v>
      </c>
      <c r="DT133" s="76" t="s">
        <v>2497</v>
      </c>
      <c r="DU133" s="76" t="s">
        <v>2513</v>
      </c>
      <c r="DV133" s="76" t="s">
        <v>2514</v>
      </c>
      <c r="DZ133" s="79"/>
      <c r="EA133" s="101"/>
      <c r="EB133" s="96">
        <v>7</v>
      </c>
      <c r="EC133" s="76">
        <v>8</v>
      </c>
      <c r="ED133" s="79"/>
      <c r="EE133" s="96" t="s">
        <v>2632</v>
      </c>
      <c r="EF133" s="76">
        <v>6</v>
      </c>
      <c r="EH133" s="79"/>
      <c r="EI133" s="96"/>
      <c r="EM133" s="96"/>
      <c r="EP133" s="79"/>
      <c r="EQ133" s="96"/>
      <c r="ET133" s="79"/>
      <c r="EU133" s="96"/>
      <c r="EV133" s="79">
        <v>250</v>
      </c>
      <c r="EW133" s="96">
        <v>375</v>
      </c>
      <c r="EX133" s="76">
        <v>326</v>
      </c>
      <c r="EY133" s="79">
        <v>353</v>
      </c>
      <c r="EZ133" s="102">
        <f>FI133</f>
        <v>168</v>
      </c>
      <c r="FA133" s="76">
        <v>2.1</v>
      </c>
      <c r="FB133" s="79"/>
      <c r="FC133" s="97">
        <v>490</v>
      </c>
      <c r="FD133" s="96">
        <v>33</v>
      </c>
      <c r="FE133" s="76">
        <v>38</v>
      </c>
      <c r="FF133" s="79">
        <v>35</v>
      </c>
      <c r="FG133" s="76">
        <v>182</v>
      </c>
      <c r="FH133" s="76">
        <v>152</v>
      </c>
      <c r="FI133" s="103">
        <v>168</v>
      </c>
      <c r="FJ133" s="104">
        <v>25.31</v>
      </c>
      <c r="FK133" s="105">
        <v>25.31</v>
      </c>
      <c r="FL133" s="79">
        <v>25.31</v>
      </c>
      <c r="FM133" s="76">
        <v>0.53100000000000003</v>
      </c>
      <c r="FN133" s="76">
        <v>0.54300000000000004</v>
      </c>
      <c r="FO133" s="79">
        <v>0.53600000000000003</v>
      </c>
      <c r="FP133" s="106"/>
      <c r="FQ133" s="107"/>
      <c r="FR133" s="107"/>
      <c r="FS133" s="108">
        <v>18.399999999999999</v>
      </c>
    </row>
    <row r="134" spans="1:190" s="77" customFormat="1" x14ac:dyDescent="0.35">
      <c r="A134" s="76"/>
      <c r="E134" s="76"/>
      <c r="F134" s="76"/>
      <c r="G134" s="78"/>
      <c r="H134" s="76"/>
      <c r="I134" s="79"/>
      <c r="J134" s="80"/>
      <c r="K134" s="28"/>
      <c r="L134" s="28"/>
      <c r="M134" s="25" t="str">
        <f>_xlfn.CONCAT(A135," ",C135," ",D135)</f>
        <v>2025 MAZDA MAZDA CX-90 4WD</v>
      </c>
      <c r="N134" s="28"/>
      <c r="O134" s="28"/>
      <c r="P134" s="28"/>
      <c r="Q134" s="28"/>
      <c r="R134" s="28"/>
      <c r="S134" s="28"/>
      <c r="T134" s="28"/>
      <c r="U134" s="28"/>
      <c r="V134" s="28"/>
      <c r="W134" s="28"/>
      <c r="X134" s="28"/>
      <c r="Y134" s="28"/>
      <c r="Z134" s="28"/>
      <c r="AA134" s="28"/>
      <c r="AB134" s="28"/>
      <c r="AC134" s="28"/>
      <c r="AD134" s="25" t="str">
        <f>$M134</f>
        <v>2025 MAZDA MAZDA CX-90 4WD</v>
      </c>
      <c r="AE134" s="28"/>
      <c r="AF134" s="28"/>
      <c r="AG134" s="28"/>
      <c r="AH134" s="28"/>
      <c r="AI134" s="28"/>
      <c r="AJ134" s="81"/>
      <c r="AK134" s="82"/>
      <c r="AL134" s="2"/>
      <c r="AM134" s="2"/>
      <c r="AN134" s="2"/>
      <c r="AO134" s="2"/>
      <c r="AP134" s="2"/>
      <c r="AQ134" s="2"/>
      <c r="AR134" s="83"/>
      <c r="AS134" s="84"/>
      <c r="AT134" s="85" t="str">
        <f>$M134</f>
        <v>2025 MAZDA MAZDA CX-90 4WD</v>
      </c>
      <c r="AU134" s="84"/>
      <c r="AV134" s="28"/>
      <c r="AW134" s="28"/>
      <c r="AX134" s="28"/>
      <c r="AY134" s="28"/>
      <c r="AZ134" s="28"/>
      <c r="BA134" s="28"/>
      <c r="BB134" s="28"/>
      <c r="BC134" s="28"/>
      <c r="BD134" s="28"/>
      <c r="BE134" s="28"/>
      <c r="BF134" s="28"/>
      <c r="BG134" s="28"/>
      <c r="BH134" s="28"/>
      <c r="BI134" s="25" t="str">
        <f>$M134</f>
        <v>2025 MAZDA MAZDA CX-90 4WD</v>
      </c>
      <c r="BJ134" s="28"/>
      <c r="BK134" s="28"/>
      <c r="BL134" s="28"/>
      <c r="BM134" s="81"/>
      <c r="BN134" s="82"/>
      <c r="BO134" s="2"/>
      <c r="BP134" s="2"/>
      <c r="BQ134" s="2"/>
      <c r="BR134" s="2"/>
      <c r="BS134" s="2"/>
      <c r="BT134" s="86"/>
      <c r="BU134" s="2"/>
      <c r="BV134" s="83"/>
      <c r="BW134" s="121"/>
      <c r="BX134" s="84"/>
      <c r="BY134" s="25" t="str">
        <f>$M134</f>
        <v>2025 MAZDA MAZDA CX-90 4WD</v>
      </c>
      <c r="BZ134" s="28"/>
      <c r="CA134" s="28"/>
      <c r="CB134" s="28"/>
      <c r="CC134" s="28"/>
      <c r="CD134" s="28"/>
      <c r="CE134" s="88"/>
      <c r="CF134" s="28"/>
      <c r="CG134" s="28"/>
      <c r="CH134" s="28"/>
      <c r="CI134" s="28"/>
      <c r="CJ134" s="28"/>
      <c r="CK134" s="28"/>
      <c r="CL134" s="28"/>
      <c r="CM134" s="28"/>
      <c r="CN134" s="28"/>
      <c r="CO134" s="25" t="str">
        <f>$M134</f>
        <v>2025 MAZDA MAZDA CX-90 4WD</v>
      </c>
      <c r="CP134" s="28"/>
      <c r="CQ134" s="28"/>
      <c r="CR134" s="28"/>
      <c r="CS134" s="28"/>
      <c r="CT134" s="28"/>
      <c r="CU134" s="28"/>
      <c r="CV134" s="28"/>
      <c r="CW134" s="28"/>
      <c r="CX134" s="28"/>
      <c r="CY134" s="28"/>
      <c r="CZ134" s="28"/>
      <c r="DA134" s="28"/>
      <c r="DB134" s="28"/>
      <c r="DC134" s="28"/>
      <c r="DD134" s="28"/>
      <c r="DE134" s="28"/>
      <c r="DF134" s="25" t="str">
        <f>$M134</f>
        <v>2025 MAZDA MAZDA CX-90 4WD</v>
      </c>
      <c r="DG134" s="28"/>
      <c r="DH134" s="28"/>
      <c r="DI134" s="28"/>
      <c r="DJ134" s="28"/>
      <c r="DK134" s="28"/>
      <c r="DL134" s="28"/>
      <c r="DM134" s="28"/>
      <c r="DN134" s="28"/>
      <c r="DO134" s="28"/>
      <c r="DP134" s="28"/>
      <c r="DQ134" s="28"/>
      <c r="DR134" s="25"/>
      <c r="DS134" s="25"/>
      <c r="DT134" s="25"/>
      <c r="DU134" s="25"/>
      <c r="DV134" s="25"/>
      <c r="DW134" s="25" t="str">
        <f>$M134</f>
        <v>2025 MAZDA MAZDA CX-90 4WD</v>
      </c>
      <c r="DX134" s="25"/>
      <c r="DY134" s="25"/>
      <c r="DZ134" s="85"/>
      <c r="EA134" s="89"/>
      <c r="EB134" s="80"/>
      <c r="EC134" s="25"/>
      <c r="ED134" s="85"/>
      <c r="EE134" s="80"/>
      <c r="EF134" s="25"/>
      <c r="EG134" s="25"/>
      <c r="EH134" s="85"/>
      <c r="EI134" s="80"/>
      <c r="EK134" t="s">
        <v>2445</v>
      </c>
      <c r="EL134" s="25" t="str">
        <f>$M134</f>
        <v>2025 MAZDA MAZDA CX-90 4WD</v>
      </c>
      <c r="EM134" s="80"/>
      <c r="EP134" s="75"/>
      <c r="EQ134" s="90"/>
      <c r="ET134" s="75"/>
      <c r="EU134" s="90"/>
      <c r="EV134" s="75"/>
      <c r="EW134" s="90"/>
      <c r="EY134" s="75"/>
      <c r="EZ134" s="102"/>
      <c r="FA134" s="25" t="str">
        <f>$M134</f>
        <v>2025 MAZDA MAZDA CX-90 4WD</v>
      </c>
      <c r="FB134" s="75"/>
      <c r="FC134" s="91"/>
      <c r="FD134" s="80"/>
      <c r="FE134" s="25"/>
      <c r="FF134" s="85"/>
      <c r="FG134" s="80"/>
      <c r="FH134" s="25"/>
      <c r="FI134" s="85"/>
      <c r="FJ134" s="80"/>
      <c r="FK134" s="25"/>
      <c r="FL134" s="85"/>
      <c r="FM134" s="25" t="str">
        <f>$M134</f>
        <v>2025 MAZDA MAZDA CX-90 4WD</v>
      </c>
      <c r="FN134" s="25"/>
      <c r="FO134" s="85"/>
      <c r="FP134" s="92"/>
      <c r="FQ134" s="93"/>
      <c r="FR134" s="94"/>
      <c r="FS134" s="95"/>
      <c r="FT134" s="25"/>
      <c r="FU134" s="25"/>
      <c r="FV134" s="25"/>
      <c r="FW134" s="25"/>
      <c r="FX134" s="25"/>
      <c r="FY134" s="25"/>
      <c r="FZ134" s="25"/>
      <c r="GA134" s="25"/>
      <c r="GB134" s="25"/>
      <c r="GC134" s="25"/>
      <c r="GD134" s="25"/>
      <c r="GE134" s="25"/>
      <c r="GF134" s="25"/>
      <c r="GG134" s="25"/>
      <c r="GH134" s="25"/>
    </row>
    <row r="135" spans="1:190" s="76" customFormat="1" x14ac:dyDescent="0.35">
      <c r="A135" s="76">
        <v>2025</v>
      </c>
      <c r="B135" s="76" t="s">
        <v>272</v>
      </c>
      <c r="C135" s="76" t="s">
        <v>272</v>
      </c>
      <c r="D135" s="76" t="s">
        <v>1620</v>
      </c>
      <c r="E135" s="76" t="s">
        <v>274</v>
      </c>
      <c r="F135" s="76">
        <v>905</v>
      </c>
      <c r="G135" s="78">
        <v>2.5</v>
      </c>
      <c r="H135" s="76">
        <v>4</v>
      </c>
      <c r="I135" s="79" t="s">
        <v>192</v>
      </c>
      <c r="J135" s="96">
        <v>24</v>
      </c>
      <c r="K135" s="76">
        <v>27</v>
      </c>
      <c r="L135" s="76">
        <v>25</v>
      </c>
      <c r="M135" s="76">
        <v>30.4</v>
      </c>
      <c r="N135" s="76">
        <v>38.5</v>
      </c>
      <c r="O135" s="76">
        <v>33.579099999999997</v>
      </c>
      <c r="P135" s="76">
        <v>23.667400000000001</v>
      </c>
      <c r="Q135" s="76">
        <v>27.1633</v>
      </c>
      <c r="R135" s="76">
        <v>25.122399999999999</v>
      </c>
      <c r="T135" s="76" t="s">
        <v>2557</v>
      </c>
      <c r="U135" s="76" t="s">
        <v>224</v>
      </c>
      <c r="V135" s="76" t="s">
        <v>193</v>
      </c>
      <c r="W135" s="76" t="s">
        <v>194</v>
      </c>
      <c r="Y135" s="76">
        <v>8</v>
      </c>
      <c r="Z135" s="76" t="s">
        <v>170</v>
      </c>
      <c r="AA135" s="76" t="s">
        <v>169</v>
      </c>
      <c r="AB135" s="76">
        <v>4</v>
      </c>
      <c r="AC135" s="76" t="s">
        <v>601</v>
      </c>
      <c r="AD135" s="76">
        <v>10</v>
      </c>
      <c r="AF135" s="76">
        <v>464</v>
      </c>
      <c r="AG135" s="76" t="s">
        <v>173</v>
      </c>
      <c r="AH135" s="76" t="s">
        <v>174</v>
      </c>
      <c r="AI135" s="76" t="s">
        <v>175</v>
      </c>
      <c r="AJ135" s="79" t="s">
        <v>176</v>
      </c>
      <c r="AK135" s="96" t="s">
        <v>940</v>
      </c>
      <c r="AL135" s="76" t="s">
        <v>941</v>
      </c>
      <c r="AR135" s="79"/>
      <c r="AS135" s="96">
        <v>1900</v>
      </c>
      <c r="AT135" s="79">
        <v>1900</v>
      </c>
      <c r="AU135" s="96">
        <v>60</v>
      </c>
      <c r="AV135" s="76">
        <v>55</v>
      </c>
      <c r="AW135" s="76">
        <v>58</v>
      </c>
      <c r="AX135" s="76">
        <v>42.4</v>
      </c>
      <c r="AY135" s="76">
        <v>38.700000000000003</v>
      </c>
      <c r="AZ135" s="76">
        <v>40.734999999999999</v>
      </c>
      <c r="BA135" s="76">
        <v>60.079000000000001</v>
      </c>
      <c r="BB135" s="76">
        <v>55.302999999999997</v>
      </c>
      <c r="BC135" s="76">
        <v>57.9298</v>
      </c>
      <c r="BD135" s="76">
        <v>26</v>
      </c>
      <c r="BE135" s="76" t="s">
        <v>1735</v>
      </c>
      <c r="BF135" s="76" t="s">
        <v>1736</v>
      </c>
      <c r="BG135" s="76" t="s">
        <v>1742</v>
      </c>
      <c r="BH135" s="76" t="s">
        <v>1743</v>
      </c>
      <c r="BI135" s="76">
        <v>1900</v>
      </c>
      <c r="BJ135" s="2"/>
      <c r="BK135" s="2"/>
      <c r="BL135" s="2"/>
      <c r="BM135" s="79"/>
      <c r="BN135" s="98" t="s">
        <v>2493</v>
      </c>
      <c r="BO135" s="76">
        <v>2</v>
      </c>
      <c r="BP135" s="76">
        <v>2</v>
      </c>
      <c r="BQ135" s="76">
        <v>33</v>
      </c>
      <c r="BR135" s="76" t="s">
        <v>1497</v>
      </c>
      <c r="BT135" s="76" t="s">
        <v>2494</v>
      </c>
      <c r="BU135" s="99">
        <v>45523</v>
      </c>
      <c r="BV135" s="79">
        <v>34995</v>
      </c>
      <c r="BW135" s="120"/>
      <c r="BX135" s="96" t="s">
        <v>169</v>
      </c>
      <c r="BY135" s="76" t="s">
        <v>170</v>
      </c>
      <c r="CB135" s="76" t="s">
        <v>170</v>
      </c>
      <c r="CC135" s="76" t="s">
        <v>170</v>
      </c>
      <c r="CE135" s="76" t="s">
        <v>170</v>
      </c>
      <c r="CG135" s="76" t="s">
        <v>169</v>
      </c>
      <c r="CH135" s="76" t="s">
        <v>276</v>
      </c>
      <c r="CI135" s="76" t="s">
        <v>170</v>
      </c>
      <c r="CK135" s="76" t="s">
        <v>233</v>
      </c>
      <c r="CM135" s="76">
        <v>1</v>
      </c>
      <c r="CN135" s="76" t="s">
        <v>234</v>
      </c>
      <c r="CP135" s="76">
        <v>355</v>
      </c>
      <c r="CQ135" s="76">
        <v>50</v>
      </c>
      <c r="CR135" s="76">
        <v>161.19999999999999</v>
      </c>
      <c r="CS135" s="76" t="s">
        <v>235</v>
      </c>
      <c r="CV135" s="76" t="s">
        <v>341</v>
      </c>
      <c r="CX135" s="76" t="s">
        <v>342</v>
      </c>
      <c r="CY135" s="76" t="s">
        <v>170</v>
      </c>
      <c r="DD135" s="76">
        <v>1</v>
      </c>
      <c r="DE135" s="76" t="s">
        <v>663</v>
      </c>
      <c r="DG135" s="76">
        <v>68</v>
      </c>
      <c r="DJ135" s="76" t="s">
        <v>184</v>
      </c>
      <c r="DK135" s="76" t="s">
        <v>185</v>
      </c>
      <c r="DL135" s="76" t="s">
        <v>170</v>
      </c>
      <c r="DM135" s="76" t="s">
        <v>169</v>
      </c>
      <c r="DN135" s="76" t="s">
        <v>170</v>
      </c>
      <c r="DO135" s="76" t="s">
        <v>277</v>
      </c>
      <c r="DP135" s="76" t="s">
        <v>169</v>
      </c>
      <c r="DQ135" s="76" t="s">
        <v>198</v>
      </c>
      <c r="DS135" s="76" t="s">
        <v>2496</v>
      </c>
      <c r="DT135" s="76" t="s">
        <v>2497</v>
      </c>
      <c r="DU135" s="76" t="s">
        <v>2513</v>
      </c>
      <c r="DV135" s="76" t="s">
        <v>2514</v>
      </c>
      <c r="DZ135" s="79"/>
      <c r="EA135" s="101"/>
      <c r="EB135" s="96">
        <v>7</v>
      </c>
      <c r="EC135" s="76">
        <v>8</v>
      </c>
      <c r="ED135" s="79"/>
      <c r="EE135" s="96" t="s">
        <v>2632</v>
      </c>
      <c r="EF135" s="76">
        <v>6</v>
      </c>
      <c r="EH135" s="79"/>
      <c r="EI135" s="96"/>
      <c r="EM135" s="96"/>
      <c r="EP135" s="79"/>
      <c r="EQ135" s="96"/>
      <c r="ET135" s="79"/>
      <c r="EU135" s="96"/>
      <c r="EV135" s="79">
        <v>250</v>
      </c>
      <c r="EW135" s="96">
        <v>10</v>
      </c>
      <c r="EX135" s="76">
        <v>0</v>
      </c>
      <c r="EY135" s="79">
        <v>6</v>
      </c>
      <c r="EZ135" s="102">
        <f>FI135</f>
        <v>168</v>
      </c>
      <c r="FA135" s="76">
        <v>2.1</v>
      </c>
      <c r="FB135" s="79"/>
      <c r="FC135" s="97">
        <v>490</v>
      </c>
      <c r="FD135" s="96">
        <v>33</v>
      </c>
      <c r="FE135" s="76">
        <v>38</v>
      </c>
      <c r="FF135" s="79">
        <v>35</v>
      </c>
      <c r="FG135" s="76">
        <v>182</v>
      </c>
      <c r="FH135" s="76">
        <v>152</v>
      </c>
      <c r="FI135" s="103">
        <v>168</v>
      </c>
      <c r="FJ135" s="104">
        <v>25.31</v>
      </c>
      <c r="FK135" s="105">
        <v>25.31</v>
      </c>
      <c r="FL135" s="79">
        <v>25.31</v>
      </c>
      <c r="FM135" s="76">
        <v>0.53100000000000003</v>
      </c>
      <c r="FN135" s="76">
        <v>0.54300000000000004</v>
      </c>
      <c r="FO135" s="79">
        <v>0.53600000000000003</v>
      </c>
      <c r="FP135" s="106">
        <v>0.1</v>
      </c>
      <c r="FQ135" s="107">
        <v>0</v>
      </c>
      <c r="FR135" s="107">
        <v>0.1</v>
      </c>
      <c r="FS135" s="108">
        <v>18.399999999999999</v>
      </c>
    </row>
    <row r="136" spans="1:190" s="76" customFormat="1" x14ac:dyDescent="0.35">
      <c r="A136" s="76">
        <v>2025</v>
      </c>
      <c r="B136" s="162" t="s">
        <v>272</v>
      </c>
      <c r="C136" s="162" t="s">
        <v>272</v>
      </c>
      <c r="D136" s="162" t="s">
        <v>1620</v>
      </c>
      <c r="E136" s="162" t="s">
        <v>274</v>
      </c>
      <c r="F136" s="162">
        <v>905</v>
      </c>
      <c r="G136" s="162">
        <v>2.5</v>
      </c>
      <c r="H136" s="162">
        <v>4</v>
      </c>
      <c r="I136" s="163" t="s">
        <v>192</v>
      </c>
      <c r="J136" s="96">
        <f t="shared" ref="J136:R136" si="55">J135</f>
        <v>24</v>
      </c>
      <c r="K136" s="76">
        <f t="shared" si="55"/>
        <v>27</v>
      </c>
      <c r="L136" s="76">
        <f t="shared" si="55"/>
        <v>25</v>
      </c>
      <c r="M136" s="76">
        <f t="shared" si="55"/>
        <v>30.4</v>
      </c>
      <c r="N136" s="76">
        <f t="shared" si="55"/>
        <v>38.5</v>
      </c>
      <c r="O136" s="76">
        <f t="shared" si="55"/>
        <v>33.579099999999997</v>
      </c>
      <c r="P136" s="76">
        <f t="shared" si="55"/>
        <v>23.667400000000001</v>
      </c>
      <c r="Q136" s="76">
        <f t="shared" si="55"/>
        <v>27.1633</v>
      </c>
      <c r="R136" s="76">
        <f t="shared" si="55"/>
        <v>25.122399999999999</v>
      </c>
      <c r="T136" s="76" t="str">
        <f>T135</f>
        <v>NA</v>
      </c>
      <c r="U136" s="76" t="str">
        <f>U135</f>
        <v>Naturally Aspirated</v>
      </c>
      <c r="V136" s="76" t="str">
        <f>V135</f>
        <v>SA</v>
      </c>
      <c r="W136" s="76" t="str">
        <f>W135</f>
        <v>Semi-Automatic</v>
      </c>
      <c r="Y136" s="76">
        <f t="shared" ref="Y136:AD136" si="56">Y135</f>
        <v>8</v>
      </c>
      <c r="Z136" s="76" t="str">
        <f t="shared" si="56"/>
        <v>N</v>
      </c>
      <c r="AA136" s="76" t="str">
        <f t="shared" si="56"/>
        <v>Y</v>
      </c>
      <c r="AB136" s="76">
        <f t="shared" si="56"/>
        <v>4</v>
      </c>
      <c r="AC136" s="76" t="str">
        <f t="shared" si="56"/>
        <v>4-Wheel Drive</v>
      </c>
      <c r="AD136" s="76">
        <f t="shared" si="56"/>
        <v>10</v>
      </c>
      <c r="AF136" s="76">
        <f>AF135</f>
        <v>464</v>
      </c>
      <c r="AG136" s="76" t="str">
        <f>AG135</f>
        <v>GP</v>
      </c>
      <c r="AH136" s="76" t="str">
        <f>AH135</f>
        <v>Gasoline (Premium Unleaded Recommended)</v>
      </c>
      <c r="AI136" s="76" t="str">
        <f>AI135</f>
        <v>MPG</v>
      </c>
      <c r="AJ136" s="79" t="str">
        <f>AJ135</f>
        <v>miles per gallon</v>
      </c>
      <c r="AK136" s="96" t="s">
        <v>940</v>
      </c>
      <c r="AL136" s="76" t="s">
        <v>941</v>
      </c>
      <c r="AR136" s="79"/>
      <c r="AS136" s="96">
        <v>1900</v>
      </c>
      <c r="AT136" s="79">
        <v>1900</v>
      </c>
      <c r="AU136" s="96">
        <v>53</v>
      </c>
      <c r="AV136" s="76">
        <v>61</v>
      </c>
      <c r="AW136" s="76">
        <v>56</v>
      </c>
      <c r="AX136" s="76">
        <v>74.599999999999994</v>
      </c>
      <c r="AY136" s="76">
        <v>87.1</v>
      </c>
      <c r="AZ136" s="76">
        <v>79.750399999999999</v>
      </c>
      <c r="BA136" s="76">
        <v>52.572800000000001</v>
      </c>
      <c r="BB136" s="76">
        <v>60.954999999999998</v>
      </c>
      <c r="BC136" s="76">
        <v>56.040700000000001</v>
      </c>
      <c r="BD136" s="76">
        <v>26</v>
      </c>
      <c r="BE136" s="76" t="s">
        <v>1735</v>
      </c>
      <c r="BF136" s="76" t="s">
        <v>1736</v>
      </c>
      <c r="BG136" s="76" t="s">
        <v>175</v>
      </c>
      <c r="BH136" s="76" t="s">
        <v>176</v>
      </c>
      <c r="BI136" s="76">
        <v>1900</v>
      </c>
      <c r="BM136" s="79"/>
      <c r="BN136" s="98" t="s">
        <v>2493</v>
      </c>
      <c r="BO136" s="76">
        <v>2</v>
      </c>
      <c r="BP136" s="76">
        <v>2</v>
      </c>
      <c r="BQ136" s="76">
        <v>33</v>
      </c>
      <c r="BR136" s="76" t="s">
        <v>1497</v>
      </c>
      <c r="BT136" s="76" t="s">
        <v>2494</v>
      </c>
      <c r="BU136" s="99">
        <v>45523</v>
      </c>
      <c r="BV136" s="79">
        <v>34995</v>
      </c>
      <c r="BW136" s="120"/>
      <c r="BX136" s="96" t="s">
        <v>169</v>
      </c>
      <c r="BY136" s="76" t="s">
        <v>170</v>
      </c>
      <c r="CB136" s="76" t="s">
        <v>170</v>
      </c>
      <c r="CC136" s="76" t="s">
        <v>170</v>
      </c>
      <c r="CE136" s="76" t="s">
        <v>170</v>
      </c>
      <c r="CG136" s="76" t="s">
        <v>169</v>
      </c>
      <c r="CH136" s="76" t="s">
        <v>276</v>
      </c>
      <c r="CI136" s="76" t="s">
        <v>170</v>
      </c>
      <c r="CK136" s="76" t="s">
        <v>233</v>
      </c>
      <c r="CM136" s="76">
        <v>1</v>
      </c>
      <c r="CN136" s="76" t="s">
        <v>234</v>
      </c>
      <c r="CP136" s="76">
        <v>355</v>
      </c>
      <c r="CQ136" s="76">
        <v>50</v>
      </c>
      <c r="CR136" s="76">
        <v>161.19999999999999</v>
      </c>
      <c r="CS136" s="76" t="s">
        <v>235</v>
      </c>
      <c r="CV136" s="76" t="s">
        <v>341</v>
      </c>
      <c r="CX136" s="76" t="s">
        <v>342</v>
      </c>
      <c r="CY136" s="76" t="s">
        <v>170</v>
      </c>
      <c r="DD136" s="76">
        <v>1</v>
      </c>
      <c r="DE136" s="76" t="s">
        <v>663</v>
      </c>
      <c r="DG136" s="76">
        <v>68</v>
      </c>
      <c r="DJ136" s="76" t="s">
        <v>184</v>
      </c>
      <c r="DK136" s="76" t="s">
        <v>185</v>
      </c>
      <c r="DL136" s="76" t="s">
        <v>170</v>
      </c>
      <c r="DM136" s="76" t="s">
        <v>169</v>
      </c>
      <c r="DN136" s="76" t="s">
        <v>170</v>
      </c>
      <c r="DO136" s="76" t="s">
        <v>277</v>
      </c>
      <c r="DP136" s="76" t="s">
        <v>169</v>
      </c>
      <c r="DQ136" s="76" t="s">
        <v>198</v>
      </c>
      <c r="DS136" s="76" t="s">
        <v>2496</v>
      </c>
      <c r="DT136" s="76" t="s">
        <v>2497</v>
      </c>
      <c r="DU136" s="76" t="s">
        <v>2513</v>
      </c>
      <c r="DV136" s="76" t="s">
        <v>2514</v>
      </c>
      <c r="DZ136" s="79"/>
      <c r="EA136" s="101"/>
      <c r="EB136" s="96">
        <v>7</v>
      </c>
      <c r="EC136" s="76">
        <v>8</v>
      </c>
      <c r="ED136" s="79"/>
      <c r="EE136" s="96" t="s">
        <v>2632</v>
      </c>
      <c r="EF136" s="76">
        <v>6</v>
      </c>
      <c r="EH136" s="79"/>
      <c r="EI136" s="96"/>
      <c r="EM136" s="96"/>
      <c r="EP136" s="79"/>
      <c r="EQ136" s="96"/>
      <c r="ET136" s="79"/>
      <c r="EU136" s="96"/>
      <c r="EV136" s="79">
        <v>250</v>
      </c>
      <c r="EW136" s="96">
        <v>375</v>
      </c>
      <c r="EX136" s="76">
        <v>326</v>
      </c>
      <c r="EY136" s="79">
        <v>353</v>
      </c>
      <c r="EZ136" s="102">
        <f>FI136</f>
        <v>168</v>
      </c>
      <c r="FA136" s="76">
        <v>2.1</v>
      </c>
      <c r="FB136" s="79"/>
      <c r="FC136" s="97">
        <v>490</v>
      </c>
      <c r="FD136" s="96">
        <v>33</v>
      </c>
      <c r="FE136" s="76">
        <v>38</v>
      </c>
      <c r="FF136" s="79">
        <v>35</v>
      </c>
      <c r="FG136" s="76">
        <v>182</v>
      </c>
      <c r="FH136" s="76">
        <v>152</v>
      </c>
      <c r="FI136" s="103">
        <v>168</v>
      </c>
      <c r="FJ136" s="104">
        <v>25.31</v>
      </c>
      <c r="FK136" s="105">
        <v>25.31</v>
      </c>
      <c r="FL136" s="79">
        <v>25.31</v>
      </c>
      <c r="FM136" s="76">
        <v>0.53100000000000003</v>
      </c>
      <c r="FN136" s="76">
        <v>0.54300000000000004</v>
      </c>
      <c r="FO136" s="79">
        <v>0.53600000000000003</v>
      </c>
      <c r="FP136" s="106"/>
      <c r="FQ136" s="107"/>
      <c r="FR136" s="107"/>
      <c r="FS136" s="108">
        <v>18.399999999999999</v>
      </c>
    </row>
    <row r="137" spans="1:190" s="77" customFormat="1" x14ac:dyDescent="0.35">
      <c r="A137" s="76"/>
      <c r="E137" s="76"/>
      <c r="F137" s="76"/>
      <c r="G137" s="78"/>
      <c r="H137" s="76"/>
      <c r="I137" s="79"/>
      <c r="J137" s="80"/>
      <c r="K137" s="28"/>
      <c r="L137" s="28"/>
      <c r="M137" s="25" t="str">
        <f>_xlfn.CONCAT(A138," ",C138," ",D138)</f>
        <v>2025 Mercedes-Benz AMG GT 63 S E PERFORMANCE (coupe)</v>
      </c>
      <c r="N137" s="28"/>
      <c r="O137" s="28"/>
      <c r="P137" s="28"/>
      <c r="Q137" s="28"/>
      <c r="R137" s="28"/>
      <c r="S137" s="28"/>
      <c r="T137" s="28"/>
      <c r="U137" s="28"/>
      <c r="V137" s="28"/>
      <c r="W137" s="28"/>
      <c r="X137" s="28"/>
      <c r="Y137" s="28"/>
      <c r="Z137" s="28"/>
      <c r="AA137" s="28"/>
      <c r="AB137" s="28"/>
      <c r="AC137" s="28"/>
      <c r="AD137" s="25" t="str">
        <f>$M137</f>
        <v>2025 Mercedes-Benz AMG GT 63 S E PERFORMANCE (coupe)</v>
      </c>
      <c r="AE137" s="28"/>
      <c r="AF137" s="28"/>
      <c r="AG137" s="28"/>
      <c r="AH137" s="28"/>
      <c r="AI137" s="28"/>
      <c r="AJ137" s="81"/>
      <c r="AK137" s="82"/>
      <c r="AL137" s="2"/>
      <c r="AM137" s="2"/>
      <c r="AN137" s="2"/>
      <c r="AO137" s="2"/>
      <c r="AP137" s="2"/>
      <c r="AQ137" s="2"/>
      <c r="AR137" s="83"/>
      <c r="AS137" s="84"/>
      <c r="AT137" s="85" t="str">
        <f>$M137</f>
        <v>2025 Mercedes-Benz AMG GT 63 S E PERFORMANCE (coupe)</v>
      </c>
      <c r="AU137" s="84"/>
      <c r="AV137" s="28"/>
      <c r="AW137" s="28"/>
      <c r="AX137" s="28"/>
      <c r="AY137" s="28"/>
      <c r="AZ137" s="28"/>
      <c r="BA137" s="28"/>
      <c r="BB137" s="28"/>
      <c r="BC137" s="28"/>
      <c r="BD137" s="28"/>
      <c r="BE137" s="28"/>
      <c r="BF137" s="28"/>
      <c r="BG137" s="28"/>
      <c r="BH137" s="28"/>
      <c r="BI137" s="25" t="str">
        <f>$M137</f>
        <v>2025 Mercedes-Benz AMG GT 63 S E PERFORMANCE (coupe)</v>
      </c>
      <c r="BJ137" s="28"/>
      <c r="BK137" s="28"/>
      <c r="BL137" s="28"/>
      <c r="BM137" s="81"/>
      <c r="BN137" s="82"/>
      <c r="BO137" s="2"/>
      <c r="BP137" s="2"/>
      <c r="BQ137" s="2"/>
      <c r="BR137" s="2"/>
      <c r="BS137" s="2"/>
      <c r="BT137" s="86"/>
      <c r="BU137" s="2"/>
      <c r="BV137" s="83"/>
      <c r="BW137" s="121"/>
      <c r="BX137" s="84"/>
      <c r="BY137" s="25" t="str">
        <f>$M137</f>
        <v>2025 Mercedes-Benz AMG GT 63 S E PERFORMANCE (coupe)</v>
      </c>
      <c r="BZ137" s="28"/>
      <c r="CA137" s="28"/>
      <c r="CB137" s="28"/>
      <c r="CC137" s="28"/>
      <c r="CD137" s="28"/>
      <c r="CE137" s="88"/>
      <c r="CF137" s="28"/>
      <c r="CG137" s="28"/>
      <c r="CH137" s="28"/>
      <c r="CI137" s="28"/>
      <c r="CJ137" s="28"/>
      <c r="CK137" s="28"/>
      <c r="CL137" s="28"/>
      <c r="CM137" s="28"/>
      <c r="CN137" s="28"/>
      <c r="CO137" s="25" t="str">
        <f>$M137</f>
        <v>2025 Mercedes-Benz AMG GT 63 S E PERFORMANCE (coupe)</v>
      </c>
      <c r="CP137" s="28"/>
      <c r="CQ137" s="28"/>
      <c r="CR137" s="28"/>
      <c r="CS137" s="28"/>
      <c r="CT137" s="28"/>
      <c r="CU137" s="28"/>
      <c r="CV137" s="28"/>
      <c r="CW137" s="28"/>
      <c r="CX137" s="28"/>
      <c r="CY137" s="28"/>
      <c r="CZ137" s="28"/>
      <c r="DA137" s="28"/>
      <c r="DB137" s="28"/>
      <c r="DC137" s="28"/>
      <c r="DD137" s="28"/>
      <c r="DE137" s="28"/>
      <c r="DF137" s="25" t="str">
        <f>$M137</f>
        <v>2025 Mercedes-Benz AMG GT 63 S E PERFORMANCE (coupe)</v>
      </c>
      <c r="DG137" s="28"/>
      <c r="DH137" s="28"/>
      <c r="DI137" s="28"/>
      <c r="DJ137" s="28"/>
      <c r="DK137" s="28"/>
      <c r="DL137" s="28"/>
      <c r="DM137" s="28"/>
      <c r="DN137" s="28"/>
      <c r="DO137" s="28"/>
      <c r="DP137" s="28"/>
      <c r="DQ137" s="28"/>
      <c r="DR137" s="25"/>
      <c r="DS137" s="25"/>
      <c r="DT137" s="25"/>
      <c r="DU137" s="25"/>
      <c r="DV137" s="25"/>
      <c r="DW137" s="25" t="str">
        <f>$M137</f>
        <v>2025 Mercedes-Benz AMG GT 63 S E PERFORMANCE (coupe)</v>
      </c>
      <c r="DX137" s="25"/>
      <c r="DY137" s="25"/>
      <c r="DZ137" s="85"/>
      <c r="EA137" s="89"/>
      <c r="EB137" s="80"/>
      <c r="EC137" s="25"/>
      <c r="ED137" s="85"/>
      <c r="EE137" s="80"/>
      <c r="EF137" s="25"/>
      <c r="EG137" s="25"/>
      <c r="EH137" s="85"/>
      <c r="EI137" s="80"/>
      <c r="EK137" t="s">
        <v>2445</v>
      </c>
      <c r="EL137" s="25" t="str">
        <f>$M137</f>
        <v>2025 Mercedes-Benz AMG GT 63 S E PERFORMANCE (coupe)</v>
      </c>
      <c r="EM137" s="80"/>
      <c r="EP137" s="75"/>
      <c r="EQ137" s="90"/>
      <c r="ET137" s="75"/>
      <c r="EU137" s="90"/>
      <c r="EV137" s="75"/>
      <c r="EW137" s="90"/>
      <c r="EY137" s="75"/>
      <c r="EZ137" s="102"/>
      <c r="FA137" s="25" t="str">
        <f>$M137</f>
        <v>2025 Mercedes-Benz AMG GT 63 S E PERFORMANCE (coupe)</v>
      </c>
      <c r="FB137" s="75"/>
      <c r="FC137" s="91"/>
      <c r="FD137" s="80"/>
      <c r="FE137" s="25"/>
      <c r="FF137" s="85"/>
      <c r="FG137" s="80"/>
      <c r="FH137" s="25"/>
      <c r="FI137" s="85"/>
      <c r="FJ137" s="80"/>
      <c r="FK137" s="25"/>
      <c r="FL137" s="85"/>
      <c r="FM137" s="25" t="str">
        <f>$M137</f>
        <v>2025 Mercedes-Benz AMG GT 63 S E PERFORMANCE (coupe)</v>
      </c>
      <c r="FN137" s="25"/>
      <c r="FO137" s="85"/>
      <c r="FP137" s="92"/>
      <c r="FQ137" s="93"/>
      <c r="FR137" s="94"/>
      <c r="FS137" s="95"/>
      <c r="FT137" s="25"/>
      <c r="FU137" s="25"/>
      <c r="FV137" s="25"/>
      <c r="FW137" s="25"/>
      <c r="FX137" s="25"/>
      <c r="FY137" s="25"/>
      <c r="FZ137" s="25"/>
      <c r="GA137" s="25"/>
      <c r="GB137" s="25"/>
      <c r="GC137" s="25"/>
      <c r="GD137" s="25"/>
      <c r="GE137" s="25"/>
      <c r="GF137" s="25"/>
      <c r="GG137" s="25"/>
      <c r="GH137" s="25"/>
    </row>
    <row r="138" spans="1:190" s="76" customFormat="1" x14ac:dyDescent="0.35">
      <c r="A138" s="76">
        <v>2025</v>
      </c>
      <c r="B138" s="76" t="s">
        <v>279</v>
      </c>
      <c r="C138" s="76" t="s">
        <v>279</v>
      </c>
      <c r="D138" s="76" t="s">
        <v>2633</v>
      </c>
      <c r="E138" s="76" t="s">
        <v>281</v>
      </c>
      <c r="F138" s="76">
        <v>536</v>
      </c>
      <c r="G138" s="78">
        <v>4</v>
      </c>
      <c r="H138" s="76">
        <v>8</v>
      </c>
      <c r="I138" s="79" t="s">
        <v>282</v>
      </c>
      <c r="J138" s="96">
        <v>16</v>
      </c>
      <c r="K138" s="76">
        <v>22</v>
      </c>
      <c r="L138" s="76">
        <v>19</v>
      </c>
      <c r="M138" s="76">
        <v>21.1</v>
      </c>
      <c r="N138" s="76">
        <v>27.2</v>
      </c>
      <c r="O138" s="76">
        <v>23.468399999999999</v>
      </c>
      <c r="P138" s="76">
        <v>16.395900000000001</v>
      </c>
      <c r="Q138" s="76">
        <v>22.389900000000001</v>
      </c>
      <c r="R138" s="76">
        <v>18.6417</v>
      </c>
      <c r="T138" s="76" t="s">
        <v>165</v>
      </c>
      <c r="U138" s="76" t="s">
        <v>166</v>
      </c>
      <c r="V138" s="76" t="s">
        <v>167</v>
      </c>
      <c r="W138" s="76" t="s">
        <v>168</v>
      </c>
      <c r="Y138" s="76">
        <v>9</v>
      </c>
      <c r="Z138" s="76" t="s">
        <v>169</v>
      </c>
      <c r="AA138" s="76" t="s">
        <v>170</v>
      </c>
      <c r="AB138" s="76" t="s">
        <v>167</v>
      </c>
      <c r="AC138" s="76" t="s">
        <v>213</v>
      </c>
      <c r="AD138" s="76">
        <v>10</v>
      </c>
      <c r="AF138" s="76">
        <v>348</v>
      </c>
      <c r="AG138" s="76" t="s">
        <v>214</v>
      </c>
      <c r="AH138" s="76" t="s">
        <v>215</v>
      </c>
      <c r="AI138" s="76" t="s">
        <v>175</v>
      </c>
      <c r="AJ138" s="79" t="s">
        <v>176</v>
      </c>
      <c r="AK138" s="96" t="s">
        <v>170</v>
      </c>
      <c r="AL138" s="76" t="s">
        <v>177</v>
      </c>
      <c r="AM138" s="76">
        <v>81</v>
      </c>
      <c r="AN138" s="76">
        <v>11</v>
      </c>
      <c r="AR138" s="79"/>
      <c r="AS138" s="96">
        <v>3200</v>
      </c>
      <c r="AT138" s="79">
        <v>3200</v>
      </c>
      <c r="AU138" s="96">
        <v>52</v>
      </c>
      <c r="AV138" s="76">
        <v>31</v>
      </c>
      <c r="AW138" s="76">
        <v>42</v>
      </c>
      <c r="AX138" s="76">
        <v>44.1</v>
      </c>
      <c r="AY138" s="76">
        <v>22.9</v>
      </c>
      <c r="AZ138" s="76">
        <v>34.56</v>
      </c>
      <c r="BA138" s="76">
        <v>51.927999999999997</v>
      </c>
      <c r="BB138" s="76">
        <v>30.774999999999999</v>
      </c>
      <c r="BC138" s="76">
        <v>42.409199999999998</v>
      </c>
      <c r="BD138" s="76">
        <v>11</v>
      </c>
      <c r="BE138" s="76" t="s">
        <v>1735</v>
      </c>
      <c r="BF138" s="76" t="s">
        <v>1736</v>
      </c>
      <c r="BG138" s="76" t="s">
        <v>1742</v>
      </c>
      <c r="BH138" s="76" t="s">
        <v>1743</v>
      </c>
      <c r="BI138" s="76">
        <v>3200</v>
      </c>
      <c r="BJ138" s="2"/>
      <c r="BK138" s="2"/>
      <c r="BL138" s="2"/>
      <c r="BM138" s="79"/>
      <c r="BN138" s="98" t="s">
        <v>2493</v>
      </c>
      <c r="BO138" s="76">
        <v>2</v>
      </c>
      <c r="BP138" s="76">
        <v>2</v>
      </c>
      <c r="BQ138" s="76">
        <v>1</v>
      </c>
      <c r="BR138" s="76" t="s">
        <v>179</v>
      </c>
      <c r="BS138" s="76" t="s">
        <v>180</v>
      </c>
      <c r="BT138" s="76" t="s">
        <v>2494</v>
      </c>
      <c r="BU138" s="99">
        <v>45574</v>
      </c>
      <c r="BV138" s="79">
        <v>35683</v>
      </c>
      <c r="BW138" s="120"/>
      <c r="BX138" s="96"/>
      <c r="BY138" s="76" t="s">
        <v>170</v>
      </c>
      <c r="CB138" s="76" t="s">
        <v>170</v>
      </c>
      <c r="CC138" s="76" t="s">
        <v>170</v>
      </c>
      <c r="CD138" s="76" t="s">
        <v>2634</v>
      </c>
      <c r="CE138" s="76" t="s">
        <v>170</v>
      </c>
      <c r="CG138" s="76" t="s">
        <v>169</v>
      </c>
      <c r="CH138" s="76" t="s">
        <v>284</v>
      </c>
      <c r="CI138" s="76" t="s">
        <v>170</v>
      </c>
      <c r="CK138" s="76" t="s">
        <v>233</v>
      </c>
      <c r="CM138" s="76">
        <v>1</v>
      </c>
      <c r="CN138" s="76" t="s">
        <v>234</v>
      </c>
      <c r="CP138" s="76">
        <v>360</v>
      </c>
      <c r="CQ138" s="76">
        <v>80</v>
      </c>
      <c r="CR138" s="76">
        <v>70.400000000000006</v>
      </c>
      <c r="CS138" s="76" t="s">
        <v>1752</v>
      </c>
      <c r="CV138" s="76" t="s">
        <v>341</v>
      </c>
      <c r="CX138" s="76" t="s">
        <v>342</v>
      </c>
      <c r="CY138" s="76" t="s">
        <v>170</v>
      </c>
      <c r="DC138" s="76" t="s">
        <v>2635</v>
      </c>
      <c r="DD138" s="76">
        <v>2</v>
      </c>
      <c r="DE138" s="76" t="s">
        <v>404</v>
      </c>
      <c r="DF138" s="76" t="s">
        <v>499</v>
      </c>
      <c r="DG138" s="76" t="s">
        <v>2636</v>
      </c>
      <c r="DJ138" s="76" t="s">
        <v>184</v>
      </c>
      <c r="DK138" s="76" t="s">
        <v>185</v>
      </c>
      <c r="DL138" s="76" t="s">
        <v>170</v>
      </c>
      <c r="DM138" s="76" t="s">
        <v>169</v>
      </c>
      <c r="DN138" s="76" t="s">
        <v>170</v>
      </c>
      <c r="DO138" s="76" t="s">
        <v>259</v>
      </c>
      <c r="DP138" s="76" t="s">
        <v>169</v>
      </c>
      <c r="DQ138" s="76" t="s">
        <v>198</v>
      </c>
      <c r="DR138" s="76" t="s">
        <v>2637</v>
      </c>
      <c r="DS138" s="76" t="s">
        <v>2496</v>
      </c>
      <c r="DT138" s="76" t="s">
        <v>2497</v>
      </c>
      <c r="DU138" s="76" t="s">
        <v>2498</v>
      </c>
      <c r="DV138" s="76" t="s">
        <v>2499</v>
      </c>
      <c r="DY138" s="76">
        <v>23.6</v>
      </c>
      <c r="DZ138" s="79"/>
      <c r="EA138" s="101"/>
      <c r="EB138" s="96">
        <v>4</v>
      </c>
      <c r="EC138" s="76">
        <v>5</v>
      </c>
      <c r="ED138" s="79"/>
      <c r="EE138" s="96" t="s">
        <v>2638</v>
      </c>
      <c r="EF138" s="76">
        <v>4</v>
      </c>
      <c r="EH138" s="79"/>
      <c r="EI138" s="96"/>
      <c r="EM138" s="96"/>
      <c r="EP138" s="79"/>
      <c r="EQ138" s="96"/>
      <c r="ET138" s="79"/>
      <c r="EU138" s="96"/>
      <c r="EV138" s="79">
        <v>6500</v>
      </c>
      <c r="EW138" s="96">
        <v>0</v>
      </c>
      <c r="EX138" s="76">
        <v>0</v>
      </c>
      <c r="EY138" s="79">
        <v>0</v>
      </c>
      <c r="EZ138" s="102">
        <f>FI138</f>
        <v>397</v>
      </c>
      <c r="FA138" s="76">
        <v>1.1499999999999999</v>
      </c>
      <c r="FB138" s="79"/>
      <c r="FC138" s="97">
        <v>360</v>
      </c>
      <c r="FD138" s="96">
        <v>19</v>
      </c>
      <c r="FE138" s="76">
        <v>23</v>
      </c>
      <c r="FF138" s="79">
        <v>21</v>
      </c>
      <c r="FG138" s="76">
        <v>436</v>
      </c>
      <c r="FH138" s="76">
        <v>350</v>
      </c>
      <c r="FI138" s="103">
        <v>397</v>
      </c>
      <c r="FJ138" s="104">
        <v>8.7899999999999991</v>
      </c>
      <c r="FK138" s="105">
        <v>13.45</v>
      </c>
      <c r="FL138" s="79">
        <v>11</v>
      </c>
      <c r="FM138" s="76">
        <v>0.24399999999999999</v>
      </c>
      <c r="FN138" s="76">
        <v>0.34300000000000003</v>
      </c>
      <c r="FO138" s="79">
        <v>0.29099999999999998</v>
      </c>
      <c r="FP138" s="106">
        <v>1.4</v>
      </c>
      <c r="FQ138" s="107">
        <v>3.2</v>
      </c>
      <c r="FR138" s="107">
        <v>2.2000000000000002</v>
      </c>
      <c r="FS138" s="108">
        <v>18.5</v>
      </c>
    </row>
    <row r="139" spans="1:190" s="76" customFormat="1" x14ac:dyDescent="0.35">
      <c r="A139" s="76">
        <v>2025</v>
      </c>
      <c r="B139" s="162" t="s">
        <v>279</v>
      </c>
      <c r="C139" s="162" t="s">
        <v>279</v>
      </c>
      <c r="D139" s="162" t="s">
        <v>2633</v>
      </c>
      <c r="E139" s="162" t="s">
        <v>281</v>
      </c>
      <c r="F139" s="162">
        <v>536</v>
      </c>
      <c r="G139" s="162">
        <v>4</v>
      </c>
      <c r="H139" s="162">
        <v>8</v>
      </c>
      <c r="I139" s="163" t="s">
        <v>282</v>
      </c>
      <c r="J139" s="96">
        <f t="shared" ref="J139:R139" si="57">J138</f>
        <v>16</v>
      </c>
      <c r="K139" s="76">
        <f t="shared" si="57"/>
        <v>22</v>
      </c>
      <c r="L139" s="76">
        <f t="shared" si="57"/>
        <v>19</v>
      </c>
      <c r="M139" s="76">
        <f t="shared" si="57"/>
        <v>21.1</v>
      </c>
      <c r="N139" s="76">
        <f t="shared" si="57"/>
        <v>27.2</v>
      </c>
      <c r="O139" s="76">
        <f t="shared" si="57"/>
        <v>23.468399999999999</v>
      </c>
      <c r="P139" s="76">
        <f t="shared" si="57"/>
        <v>16.395900000000001</v>
      </c>
      <c r="Q139" s="76">
        <f t="shared" si="57"/>
        <v>22.389900000000001</v>
      </c>
      <c r="R139" s="76">
        <f t="shared" si="57"/>
        <v>18.6417</v>
      </c>
      <c r="T139" s="76" t="str">
        <f>T138</f>
        <v>TC</v>
      </c>
      <c r="U139" s="76" t="str">
        <f>U138</f>
        <v>Turbocharged</v>
      </c>
      <c r="V139" s="76" t="str">
        <f>V138</f>
        <v>A</v>
      </c>
      <c r="W139" s="76" t="str">
        <f>W138</f>
        <v>Automatic</v>
      </c>
      <c r="Y139" s="76">
        <f t="shared" ref="Y139:AD139" si="58">Y138</f>
        <v>9</v>
      </c>
      <c r="Z139" s="76" t="str">
        <f t="shared" si="58"/>
        <v>Y</v>
      </c>
      <c r="AA139" s="76" t="str">
        <f t="shared" si="58"/>
        <v>N</v>
      </c>
      <c r="AB139" s="76" t="str">
        <f t="shared" si="58"/>
        <v>A</v>
      </c>
      <c r="AC139" s="76" t="str">
        <f t="shared" si="58"/>
        <v>All Wheel Drive</v>
      </c>
      <c r="AD139" s="76">
        <f t="shared" si="58"/>
        <v>10</v>
      </c>
      <c r="AF139" s="76">
        <f>AF138</f>
        <v>348</v>
      </c>
      <c r="AG139" s="76" t="str">
        <f>AG138</f>
        <v>GPR</v>
      </c>
      <c r="AH139" s="76" t="str">
        <f>AH138</f>
        <v>Gasoline (Premium Unleaded Required)</v>
      </c>
      <c r="AI139" s="76" t="str">
        <f>AI138</f>
        <v>MPG</v>
      </c>
      <c r="AJ139" s="79" t="str">
        <f>AJ138</f>
        <v>miles per gallon</v>
      </c>
      <c r="AK139" s="96" t="s">
        <v>170</v>
      </c>
      <c r="AL139" s="76" t="s">
        <v>177</v>
      </c>
      <c r="AM139" s="76">
        <v>81</v>
      </c>
      <c r="AN139" s="76">
        <v>11</v>
      </c>
      <c r="AR139" s="79"/>
      <c r="AS139" s="96">
        <v>3200</v>
      </c>
      <c r="AT139" s="79">
        <v>3200</v>
      </c>
      <c r="AU139" s="96">
        <v>32</v>
      </c>
      <c r="AV139" s="76">
        <v>24</v>
      </c>
      <c r="AW139" s="76">
        <v>28</v>
      </c>
      <c r="AX139" s="76">
        <v>41.6</v>
      </c>
      <c r="AY139" s="76">
        <v>34</v>
      </c>
      <c r="AZ139" s="76">
        <v>37.798000000000002</v>
      </c>
      <c r="BA139" s="76">
        <v>31.662700000000001</v>
      </c>
      <c r="BB139" s="76">
        <v>24.149000000000001</v>
      </c>
      <c r="BC139" s="76">
        <v>27.774000000000001</v>
      </c>
      <c r="BD139" s="76">
        <v>11</v>
      </c>
      <c r="BE139" s="76" t="s">
        <v>1735</v>
      </c>
      <c r="BF139" s="76" t="s">
        <v>1736</v>
      </c>
      <c r="BG139" s="76" t="s">
        <v>175</v>
      </c>
      <c r="BH139" s="76" t="s">
        <v>176</v>
      </c>
      <c r="BI139" s="76">
        <v>3200</v>
      </c>
      <c r="BM139" s="79"/>
      <c r="BN139" s="98" t="s">
        <v>2493</v>
      </c>
      <c r="BO139" s="76">
        <v>2</v>
      </c>
      <c r="BP139" s="76">
        <v>2</v>
      </c>
      <c r="BQ139" s="76">
        <v>1</v>
      </c>
      <c r="BR139" s="76" t="s">
        <v>179</v>
      </c>
      <c r="BS139" s="76" t="s">
        <v>180</v>
      </c>
      <c r="BT139" s="76" t="s">
        <v>2494</v>
      </c>
      <c r="BU139" s="99">
        <v>45574</v>
      </c>
      <c r="BV139" s="79">
        <v>35683</v>
      </c>
      <c r="BW139" s="120"/>
      <c r="BX139" s="96"/>
      <c r="BY139" s="76" t="s">
        <v>170</v>
      </c>
      <c r="CB139" s="76" t="s">
        <v>170</v>
      </c>
      <c r="CC139" s="76" t="s">
        <v>170</v>
      </c>
      <c r="CD139" s="76" t="s">
        <v>2634</v>
      </c>
      <c r="CE139" s="76" t="s">
        <v>170</v>
      </c>
      <c r="CG139" s="76" t="s">
        <v>169</v>
      </c>
      <c r="CH139" s="76" t="s">
        <v>284</v>
      </c>
      <c r="CI139" s="76" t="s">
        <v>170</v>
      </c>
      <c r="CK139" s="76" t="s">
        <v>233</v>
      </c>
      <c r="CM139" s="76">
        <v>1</v>
      </c>
      <c r="CN139" s="76" t="s">
        <v>234</v>
      </c>
      <c r="CP139" s="76">
        <v>360</v>
      </c>
      <c r="CQ139" s="76">
        <v>80</v>
      </c>
      <c r="CR139" s="76">
        <v>70.400000000000006</v>
      </c>
      <c r="CS139" s="76" t="s">
        <v>1752</v>
      </c>
      <c r="CV139" s="76" t="s">
        <v>341</v>
      </c>
      <c r="CX139" s="76" t="s">
        <v>342</v>
      </c>
      <c r="CY139" s="76" t="s">
        <v>170</v>
      </c>
      <c r="DC139" s="76" t="s">
        <v>2635</v>
      </c>
      <c r="DD139" s="76">
        <v>2</v>
      </c>
      <c r="DE139" s="76" t="s">
        <v>404</v>
      </c>
      <c r="DF139" s="76" t="s">
        <v>499</v>
      </c>
      <c r="DG139" s="76" t="s">
        <v>2636</v>
      </c>
      <c r="DJ139" s="76" t="s">
        <v>184</v>
      </c>
      <c r="DK139" s="76" t="s">
        <v>185</v>
      </c>
      <c r="DL139" s="76" t="s">
        <v>170</v>
      </c>
      <c r="DM139" s="76" t="s">
        <v>169</v>
      </c>
      <c r="DN139" s="76" t="s">
        <v>170</v>
      </c>
      <c r="DO139" s="76" t="s">
        <v>259</v>
      </c>
      <c r="DP139" s="76" t="s">
        <v>169</v>
      </c>
      <c r="DQ139" s="76" t="s">
        <v>198</v>
      </c>
      <c r="DR139" s="76" t="s">
        <v>2637</v>
      </c>
      <c r="DS139" s="76" t="s">
        <v>2496</v>
      </c>
      <c r="DT139" s="76" t="s">
        <v>2497</v>
      </c>
      <c r="DU139" s="76" t="s">
        <v>2498</v>
      </c>
      <c r="DV139" s="76" t="s">
        <v>2499</v>
      </c>
      <c r="DY139" s="76">
        <v>23.6</v>
      </c>
      <c r="DZ139" s="79"/>
      <c r="EA139" s="101"/>
      <c r="EB139" s="96">
        <v>4</v>
      </c>
      <c r="EC139" s="76">
        <v>5</v>
      </c>
      <c r="ED139" s="79"/>
      <c r="EE139" s="96" t="s">
        <v>2638</v>
      </c>
      <c r="EF139" s="76">
        <v>4</v>
      </c>
      <c r="EH139" s="79"/>
      <c r="EI139" s="96"/>
      <c r="EM139" s="96"/>
      <c r="EP139" s="79"/>
      <c r="EQ139" s="96"/>
      <c r="ET139" s="79"/>
      <c r="EU139" s="96"/>
      <c r="EV139" s="79">
        <v>6500</v>
      </c>
      <c r="EW139" s="96">
        <v>539</v>
      </c>
      <c r="EX139" s="76">
        <v>394</v>
      </c>
      <c r="EY139" s="79">
        <v>473</v>
      </c>
      <c r="EZ139" s="102">
        <f>FI139</f>
        <v>397</v>
      </c>
      <c r="FA139" s="76">
        <v>1.1499999999999999</v>
      </c>
      <c r="FB139" s="79"/>
      <c r="FC139" s="97">
        <v>360</v>
      </c>
      <c r="FD139" s="96">
        <v>19</v>
      </c>
      <c r="FE139" s="76">
        <v>23</v>
      </c>
      <c r="FF139" s="79">
        <v>21</v>
      </c>
      <c r="FG139" s="76">
        <v>436</v>
      </c>
      <c r="FH139" s="76">
        <v>350</v>
      </c>
      <c r="FI139" s="103">
        <v>397</v>
      </c>
      <c r="FJ139" s="167" t="s">
        <v>2639</v>
      </c>
      <c r="FK139" s="168"/>
      <c r="FL139" s="169"/>
      <c r="FM139" s="76">
        <v>0.24399999999999999</v>
      </c>
      <c r="FN139" s="76">
        <v>0.34300000000000003</v>
      </c>
      <c r="FO139" s="79">
        <v>0.29099999999999998</v>
      </c>
      <c r="FP139" s="106"/>
      <c r="FQ139" s="107"/>
      <c r="FR139" s="107"/>
      <c r="FS139" s="108">
        <v>18.5</v>
      </c>
    </row>
    <row r="140" spans="1:190" s="77" customFormat="1" x14ac:dyDescent="0.35">
      <c r="A140" s="76"/>
      <c r="E140" s="76"/>
      <c r="F140" s="76"/>
      <c r="G140" s="78"/>
      <c r="H140" s="76"/>
      <c r="I140" s="79"/>
      <c r="J140" s="80"/>
      <c r="K140" s="28"/>
      <c r="L140" s="28"/>
      <c r="M140" s="25" t="str">
        <f>_xlfn.CONCAT(A141," ",C141," ",D141)</f>
        <v>2025 Mercedes-Benz AMG SL 63 S E PERFORMANCE</v>
      </c>
      <c r="N140" s="28"/>
      <c r="O140" s="28"/>
      <c r="P140" s="28"/>
      <c r="Q140" s="28"/>
      <c r="R140" s="28"/>
      <c r="S140" s="28"/>
      <c r="T140" s="28"/>
      <c r="U140" s="28"/>
      <c r="V140" s="28"/>
      <c r="W140" s="28"/>
      <c r="X140" s="28"/>
      <c r="Y140" s="28"/>
      <c r="Z140" s="28"/>
      <c r="AA140" s="28"/>
      <c r="AB140" s="28"/>
      <c r="AC140" s="28"/>
      <c r="AD140" s="25" t="str">
        <f>$M140</f>
        <v>2025 Mercedes-Benz AMG SL 63 S E PERFORMANCE</v>
      </c>
      <c r="AE140" s="28"/>
      <c r="AF140" s="28"/>
      <c r="AG140" s="28"/>
      <c r="AH140" s="28"/>
      <c r="AI140" s="28"/>
      <c r="AJ140" s="81"/>
      <c r="AK140" s="82"/>
      <c r="AL140" s="2"/>
      <c r="AM140" s="2"/>
      <c r="AN140" s="2"/>
      <c r="AO140" s="2"/>
      <c r="AP140" s="2"/>
      <c r="AQ140" s="2"/>
      <c r="AR140" s="83"/>
      <c r="AS140" s="84"/>
      <c r="AT140" s="85" t="str">
        <f>$M140</f>
        <v>2025 Mercedes-Benz AMG SL 63 S E PERFORMANCE</v>
      </c>
      <c r="AU140" s="84"/>
      <c r="AV140" s="28"/>
      <c r="AW140" s="28"/>
      <c r="AX140" s="28"/>
      <c r="AY140" s="28"/>
      <c r="AZ140" s="28"/>
      <c r="BA140" s="28"/>
      <c r="BB140" s="28"/>
      <c r="BC140" s="28"/>
      <c r="BD140" s="28"/>
      <c r="BE140" s="28"/>
      <c r="BF140" s="28"/>
      <c r="BG140" s="28"/>
      <c r="BH140" s="28"/>
      <c r="BI140" s="25" t="str">
        <f>$M140</f>
        <v>2025 Mercedes-Benz AMG SL 63 S E PERFORMANCE</v>
      </c>
      <c r="BJ140" s="28"/>
      <c r="BK140" s="28"/>
      <c r="BL140" s="28"/>
      <c r="BM140" s="81"/>
      <c r="BN140" s="82"/>
      <c r="BO140" s="2"/>
      <c r="BP140" s="2"/>
      <c r="BQ140" s="2"/>
      <c r="BR140" s="2"/>
      <c r="BS140" s="2"/>
      <c r="BT140" s="86"/>
      <c r="BU140" s="2"/>
      <c r="BV140" s="83"/>
      <c r="BW140" s="121"/>
      <c r="BX140" s="84"/>
      <c r="BY140" s="25" t="str">
        <f>$M140</f>
        <v>2025 Mercedes-Benz AMG SL 63 S E PERFORMANCE</v>
      </c>
      <c r="BZ140" s="28"/>
      <c r="CA140" s="28"/>
      <c r="CB140" s="28"/>
      <c r="CC140" s="28"/>
      <c r="CD140" s="28"/>
      <c r="CE140" s="88"/>
      <c r="CF140" s="28"/>
      <c r="CG140" s="28"/>
      <c r="CH140" s="28"/>
      <c r="CI140" s="28"/>
      <c r="CJ140" s="28"/>
      <c r="CK140" s="28"/>
      <c r="CL140" s="28"/>
      <c r="CM140" s="28"/>
      <c r="CN140" s="28"/>
      <c r="CO140" s="25" t="str">
        <f>$M140</f>
        <v>2025 Mercedes-Benz AMG SL 63 S E PERFORMANCE</v>
      </c>
      <c r="CP140" s="28"/>
      <c r="CQ140" s="28"/>
      <c r="CR140" s="28"/>
      <c r="CS140" s="28"/>
      <c r="CT140" s="28"/>
      <c r="CU140" s="28"/>
      <c r="CV140" s="28"/>
      <c r="CW140" s="28"/>
      <c r="CX140" s="28"/>
      <c r="CY140" s="28"/>
      <c r="CZ140" s="28"/>
      <c r="DA140" s="28"/>
      <c r="DB140" s="28"/>
      <c r="DC140" s="28"/>
      <c r="DD140" s="28"/>
      <c r="DE140" s="28"/>
      <c r="DF140" s="25" t="str">
        <f>$M140</f>
        <v>2025 Mercedes-Benz AMG SL 63 S E PERFORMANCE</v>
      </c>
      <c r="DG140" s="28"/>
      <c r="DH140" s="28"/>
      <c r="DI140" s="28"/>
      <c r="DJ140" s="28"/>
      <c r="DK140" s="28"/>
      <c r="DL140" s="28"/>
      <c r="DM140" s="28"/>
      <c r="DN140" s="28"/>
      <c r="DO140" s="28"/>
      <c r="DP140" s="28"/>
      <c r="DQ140" s="28"/>
      <c r="DR140" s="25"/>
      <c r="DS140" s="25"/>
      <c r="DT140" s="25"/>
      <c r="DU140" s="25"/>
      <c r="DV140" s="25"/>
      <c r="DW140" s="25" t="str">
        <f>$M140</f>
        <v>2025 Mercedes-Benz AMG SL 63 S E PERFORMANCE</v>
      </c>
      <c r="DX140" s="25"/>
      <c r="DY140" s="25"/>
      <c r="DZ140" s="85"/>
      <c r="EA140" s="89"/>
      <c r="EB140" s="80"/>
      <c r="EC140" s="25"/>
      <c r="ED140" s="85"/>
      <c r="EE140" s="80"/>
      <c r="EF140" s="25"/>
      <c r="EG140" s="25"/>
      <c r="EH140" s="85"/>
      <c r="EI140" s="80"/>
      <c r="EK140" t="s">
        <v>2445</v>
      </c>
      <c r="EL140" s="25" t="str">
        <f>$M140</f>
        <v>2025 Mercedes-Benz AMG SL 63 S E PERFORMANCE</v>
      </c>
      <c r="EM140" s="80"/>
      <c r="EP140" s="75"/>
      <c r="EQ140" s="90"/>
      <c r="ET140" s="75"/>
      <c r="EU140" s="90"/>
      <c r="EV140" s="75"/>
      <c r="EW140" s="90"/>
      <c r="EY140" s="75"/>
      <c r="EZ140" s="102"/>
      <c r="FA140" s="25" t="str">
        <f>$M140</f>
        <v>2025 Mercedes-Benz AMG SL 63 S E PERFORMANCE</v>
      </c>
      <c r="FB140" s="75"/>
      <c r="FC140" s="91"/>
      <c r="FD140" s="80"/>
      <c r="FE140" s="25"/>
      <c r="FF140" s="85"/>
      <c r="FG140" s="80"/>
      <c r="FH140" s="25"/>
      <c r="FI140" s="85"/>
      <c r="FJ140" s="80"/>
      <c r="FK140" s="25"/>
      <c r="FL140" s="85"/>
      <c r="FM140" s="25" t="str">
        <f>$M140</f>
        <v>2025 Mercedes-Benz AMG SL 63 S E PERFORMANCE</v>
      </c>
      <c r="FN140" s="25"/>
      <c r="FO140" s="85"/>
      <c r="FP140" s="92"/>
      <c r="FQ140" s="93"/>
      <c r="FR140" s="94"/>
      <c r="FS140" s="95"/>
      <c r="FT140" s="25"/>
      <c r="FU140" s="25"/>
      <c r="FV140" s="25"/>
      <c r="FW140" s="25"/>
      <c r="FX140" s="25"/>
      <c r="FY140" s="25"/>
      <c r="FZ140" s="25"/>
      <c r="GA140" s="25"/>
      <c r="GB140" s="25"/>
      <c r="GC140" s="25"/>
      <c r="GD140" s="25"/>
      <c r="GE140" s="25"/>
      <c r="GF140" s="25"/>
      <c r="GG140" s="25"/>
      <c r="GH140" s="25"/>
    </row>
    <row r="141" spans="1:190" s="76" customFormat="1" x14ac:dyDescent="0.35">
      <c r="A141" s="76">
        <v>2025</v>
      </c>
      <c r="B141" s="76" t="s">
        <v>279</v>
      </c>
      <c r="C141" s="76" t="s">
        <v>279</v>
      </c>
      <c r="D141" s="76" t="s">
        <v>2640</v>
      </c>
      <c r="E141" s="76" t="s">
        <v>281</v>
      </c>
      <c r="F141" s="76">
        <v>233</v>
      </c>
      <c r="G141" s="78">
        <v>4</v>
      </c>
      <c r="H141" s="76">
        <v>8</v>
      </c>
      <c r="I141" s="79" t="s">
        <v>282</v>
      </c>
      <c r="J141" s="96">
        <v>16</v>
      </c>
      <c r="K141" s="76">
        <v>22</v>
      </c>
      <c r="L141" s="76">
        <v>18</v>
      </c>
      <c r="M141" s="76">
        <v>20.7</v>
      </c>
      <c r="N141" s="76">
        <v>28.6</v>
      </c>
      <c r="O141" s="76">
        <v>23.638300000000001</v>
      </c>
      <c r="P141" s="76">
        <v>16.257000000000001</v>
      </c>
      <c r="Q141" s="76">
        <v>21.575500000000002</v>
      </c>
      <c r="R141" s="76">
        <v>18.285399999999999</v>
      </c>
      <c r="T141" s="76" t="s">
        <v>165</v>
      </c>
      <c r="U141" s="76" t="s">
        <v>166</v>
      </c>
      <c r="V141" s="76" t="s">
        <v>167</v>
      </c>
      <c r="W141" s="76" t="s">
        <v>168</v>
      </c>
      <c r="Y141" s="76">
        <v>9</v>
      </c>
      <c r="Z141" s="76" t="s">
        <v>169</v>
      </c>
      <c r="AA141" s="76" t="s">
        <v>170</v>
      </c>
      <c r="AB141" s="76" t="s">
        <v>167</v>
      </c>
      <c r="AC141" s="76" t="s">
        <v>213</v>
      </c>
      <c r="AD141" s="76">
        <v>10</v>
      </c>
      <c r="AF141" s="76">
        <v>340</v>
      </c>
      <c r="AG141" s="76" t="s">
        <v>214</v>
      </c>
      <c r="AH141" s="76" t="s">
        <v>215</v>
      </c>
      <c r="AI141" s="76" t="s">
        <v>175</v>
      </c>
      <c r="AJ141" s="79" t="s">
        <v>176</v>
      </c>
      <c r="AK141" s="96" t="s">
        <v>170</v>
      </c>
      <c r="AL141" s="76" t="s">
        <v>177</v>
      </c>
      <c r="AM141" s="76">
        <v>76</v>
      </c>
      <c r="AN141" s="76">
        <v>2</v>
      </c>
      <c r="AR141" s="79"/>
      <c r="AS141" s="96">
        <v>3200</v>
      </c>
      <c r="AT141" s="79">
        <v>3200</v>
      </c>
      <c r="AU141" s="96">
        <v>52</v>
      </c>
      <c r="AV141" s="76">
        <v>32</v>
      </c>
      <c r="AW141" s="76">
        <v>43</v>
      </c>
      <c r="AX141" s="76">
        <v>40.700000000000003</v>
      </c>
      <c r="AY141" s="76">
        <v>23.2</v>
      </c>
      <c r="AZ141" s="76">
        <v>32.825000000000003</v>
      </c>
      <c r="BA141" s="76">
        <v>52.125</v>
      </c>
      <c r="BB141" s="76">
        <v>31.742999999999999</v>
      </c>
      <c r="BC141" s="76">
        <v>42.953099999999999</v>
      </c>
      <c r="BD141" s="76">
        <v>11</v>
      </c>
      <c r="BE141" s="76" t="s">
        <v>1735</v>
      </c>
      <c r="BF141" s="76" t="s">
        <v>1736</v>
      </c>
      <c r="BG141" s="76" t="s">
        <v>1742</v>
      </c>
      <c r="BH141" s="76" t="s">
        <v>1743</v>
      </c>
      <c r="BI141" s="76">
        <v>3200</v>
      </c>
      <c r="BJ141" s="2"/>
      <c r="BK141" s="2"/>
      <c r="BL141" s="2"/>
      <c r="BM141" s="79"/>
      <c r="BN141" s="98" t="s">
        <v>2493</v>
      </c>
      <c r="BO141" s="76">
        <v>2</v>
      </c>
      <c r="BP141" s="76">
        <v>2</v>
      </c>
      <c r="BQ141" s="76">
        <v>2</v>
      </c>
      <c r="BR141" s="76" t="s">
        <v>321</v>
      </c>
      <c r="BS141" s="76" t="s">
        <v>180</v>
      </c>
      <c r="BT141" s="76" t="s">
        <v>2494</v>
      </c>
      <c r="BU141" s="99">
        <v>45587</v>
      </c>
      <c r="BV141" s="79">
        <v>35682</v>
      </c>
      <c r="BW141" s="120"/>
      <c r="BX141" s="96"/>
      <c r="BY141" s="76" t="s">
        <v>170</v>
      </c>
      <c r="CB141" s="76" t="s">
        <v>170</v>
      </c>
      <c r="CC141" s="76" t="s">
        <v>170</v>
      </c>
      <c r="CD141" s="76" t="s">
        <v>2634</v>
      </c>
      <c r="CE141" s="76" t="s">
        <v>170</v>
      </c>
      <c r="CG141" s="76" t="s">
        <v>169</v>
      </c>
      <c r="CH141" s="76" t="s">
        <v>284</v>
      </c>
      <c r="CI141" s="76" t="s">
        <v>170</v>
      </c>
      <c r="CK141" s="76" t="s">
        <v>233</v>
      </c>
      <c r="CM141" s="76">
        <v>1</v>
      </c>
      <c r="CN141" s="76" t="s">
        <v>234</v>
      </c>
      <c r="CP141" s="76">
        <v>360</v>
      </c>
      <c r="CQ141" s="76">
        <v>80</v>
      </c>
      <c r="CR141" s="76">
        <v>70.400000000000006</v>
      </c>
      <c r="CS141" s="76" t="s">
        <v>1752</v>
      </c>
      <c r="CV141" s="76" t="s">
        <v>341</v>
      </c>
      <c r="CX141" s="76" t="s">
        <v>342</v>
      </c>
      <c r="CY141" s="76" t="s">
        <v>170</v>
      </c>
      <c r="DC141" s="76" t="s">
        <v>2635</v>
      </c>
      <c r="DD141" s="76">
        <v>2</v>
      </c>
      <c r="DE141" s="76" t="s">
        <v>404</v>
      </c>
      <c r="DF141" s="76" t="s">
        <v>499</v>
      </c>
      <c r="DG141" s="76" t="s">
        <v>2636</v>
      </c>
      <c r="DJ141" s="76" t="s">
        <v>184</v>
      </c>
      <c r="DK141" s="76" t="s">
        <v>185</v>
      </c>
      <c r="DL141" s="76" t="s">
        <v>170</v>
      </c>
      <c r="DM141" s="76" t="s">
        <v>169</v>
      </c>
      <c r="DN141" s="76" t="s">
        <v>170</v>
      </c>
      <c r="DO141" s="76" t="s">
        <v>259</v>
      </c>
      <c r="DP141" s="76" t="s">
        <v>169</v>
      </c>
      <c r="DQ141" s="76" t="s">
        <v>198</v>
      </c>
      <c r="DR141" s="76" t="s">
        <v>2640</v>
      </c>
      <c r="DS141" s="76" t="s">
        <v>2496</v>
      </c>
      <c r="DT141" s="76" t="s">
        <v>2497</v>
      </c>
      <c r="DU141" s="76" t="s">
        <v>2498</v>
      </c>
      <c r="DV141" s="76" t="s">
        <v>2499</v>
      </c>
      <c r="DY141" s="76">
        <v>23.8</v>
      </c>
      <c r="DZ141" s="79"/>
      <c r="EA141" s="101"/>
      <c r="EB141" s="96">
        <v>4</v>
      </c>
      <c r="EC141" s="76">
        <v>5</v>
      </c>
      <c r="ED141" s="79"/>
      <c r="EE141" s="96" t="s">
        <v>2638</v>
      </c>
      <c r="EF141" s="76">
        <v>4</v>
      </c>
      <c r="EH141" s="79"/>
      <c r="EI141" s="96"/>
      <c r="EM141" s="96"/>
      <c r="EP141" s="79"/>
      <c r="EQ141" s="96"/>
      <c r="ET141" s="79"/>
      <c r="EU141" s="96"/>
      <c r="EV141" s="79">
        <v>6500</v>
      </c>
      <c r="EW141" s="96">
        <v>0</v>
      </c>
      <c r="EX141" s="76">
        <v>0</v>
      </c>
      <c r="EY141" s="79">
        <v>0</v>
      </c>
      <c r="EZ141" s="102">
        <f t="shared" ref="EZ141:EZ204" si="59">FI141</f>
        <v>379</v>
      </c>
      <c r="FA141" s="76">
        <v>1.1299999999999999</v>
      </c>
      <c r="FB141" s="79"/>
      <c r="FC141" s="97">
        <v>350</v>
      </c>
      <c r="FD141" s="96">
        <v>21</v>
      </c>
      <c r="FE141" s="76">
        <v>22</v>
      </c>
      <c r="FF141" s="79">
        <v>21</v>
      </c>
      <c r="FG141" s="76">
        <v>384</v>
      </c>
      <c r="FH141" s="76">
        <v>372</v>
      </c>
      <c r="FI141" s="103">
        <v>379</v>
      </c>
      <c r="FJ141" s="104">
        <v>7.76</v>
      </c>
      <c r="FK141" s="105">
        <v>10.19</v>
      </c>
      <c r="FL141" s="79">
        <v>9</v>
      </c>
      <c r="FM141" s="76">
        <v>0.22</v>
      </c>
      <c r="FN141" s="76">
        <v>0.27600000000000002</v>
      </c>
      <c r="FO141" s="79">
        <v>0.245</v>
      </c>
      <c r="FP141" s="106">
        <v>0.9</v>
      </c>
      <c r="FQ141" s="107">
        <v>2.6</v>
      </c>
      <c r="FR141" s="107">
        <v>1.7</v>
      </c>
      <c r="FS141" s="108">
        <v>17.2</v>
      </c>
    </row>
    <row r="142" spans="1:190" s="76" customFormat="1" x14ac:dyDescent="0.35">
      <c r="A142" s="76">
        <v>2025</v>
      </c>
      <c r="B142" s="162" t="s">
        <v>279</v>
      </c>
      <c r="C142" s="162" t="s">
        <v>279</v>
      </c>
      <c r="D142" s="162" t="s">
        <v>2640</v>
      </c>
      <c r="E142" s="162" t="s">
        <v>281</v>
      </c>
      <c r="F142" s="162">
        <v>233</v>
      </c>
      <c r="G142" s="162">
        <v>4</v>
      </c>
      <c r="H142" s="162">
        <v>8</v>
      </c>
      <c r="I142" s="163" t="s">
        <v>282</v>
      </c>
      <c r="J142" s="96">
        <f t="shared" ref="J142:R142" si="60">J141</f>
        <v>16</v>
      </c>
      <c r="K142" s="76">
        <f t="shared" si="60"/>
        <v>22</v>
      </c>
      <c r="L142" s="76">
        <f t="shared" si="60"/>
        <v>18</v>
      </c>
      <c r="M142" s="76">
        <f t="shared" si="60"/>
        <v>20.7</v>
      </c>
      <c r="N142" s="76">
        <f t="shared" si="60"/>
        <v>28.6</v>
      </c>
      <c r="O142" s="76">
        <f t="shared" si="60"/>
        <v>23.638300000000001</v>
      </c>
      <c r="P142" s="76">
        <f t="shared" si="60"/>
        <v>16.257000000000001</v>
      </c>
      <c r="Q142" s="76">
        <f t="shared" si="60"/>
        <v>21.575500000000002</v>
      </c>
      <c r="R142" s="76">
        <f t="shared" si="60"/>
        <v>18.285399999999999</v>
      </c>
      <c r="T142" s="76" t="str">
        <f>T141</f>
        <v>TC</v>
      </c>
      <c r="U142" s="76" t="str">
        <f>U141</f>
        <v>Turbocharged</v>
      </c>
      <c r="V142" s="76" t="str">
        <f>V141</f>
        <v>A</v>
      </c>
      <c r="W142" s="76" t="str">
        <f>W141</f>
        <v>Automatic</v>
      </c>
      <c r="Y142" s="76">
        <f t="shared" ref="Y142:AD142" si="61">Y141</f>
        <v>9</v>
      </c>
      <c r="Z142" s="76" t="str">
        <f t="shared" si="61"/>
        <v>Y</v>
      </c>
      <c r="AA142" s="76" t="str">
        <f t="shared" si="61"/>
        <v>N</v>
      </c>
      <c r="AB142" s="76" t="str">
        <f t="shared" si="61"/>
        <v>A</v>
      </c>
      <c r="AC142" s="76" t="str">
        <f t="shared" si="61"/>
        <v>All Wheel Drive</v>
      </c>
      <c r="AD142" s="76">
        <f t="shared" si="61"/>
        <v>10</v>
      </c>
      <c r="AF142" s="76">
        <f>AF141</f>
        <v>340</v>
      </c>
      <c r="AG142" s="76" t="str">
        <f>AG141</f>
        <v>GPR</v>
      </c>
      <c r="AH142" s="76" t="str">
        <f>AH141</f>
        <v>Gasoline (Premium Unleaded Required)</v>
      </c>
      <c r="AI142" s="76" t="str">
        <f>AI141</f>
        <v>MPG</v>
      </c>
      <c r="AJ142" s="79" t="str">
        <f>AJ141</f>
        <v>miles per gallon</v>
      </c>
      <c r="AK142" s="96" t="s">
        <v>170</v>
      </c>
      <c r="AL142" s="76" t="s">
        <v>177</v>
      </c>
      <c r="AM142" s="76">
        <v>76</v>
      </c>
      <c r="AN142" s="76">
        <v>2</v>
      </c>
      <c r="AR142" s="79"/>
      <c r="AS142" s="96">
        <v>3200</v>
      </c>
      <c r="AT142" s="79">
        <v>3200</v>
      </c>
      <c r="AU142" s="96">
        <v>33</v>
      </c>
      <c r="AV142" s="76">
        <v>25</v>
      </c>
      <c r="AW142" s="76">
        <v>29</v>
      </c>
      <c r="AX142" s="76">
        <v>43</v>
      </c>
      <c r="AY142" s="76">
        <v>34.9</v>
      </c>
      <c r="AZ142" s="76">
        <v>38.933700000000002</v>
      </c>
      <c r="BA142" s="76">
        <v>32.667000000000002</v>
      </c>
      <c r="BB142" s="76">
        <v>24.691199999999998</v>
      </c>
      <c r="BC142" s="76">
        <v>28.5212</v>
      </c>
      <c r="BD142" s="76">
        <v>11</v>
      </c>
      <c r="BE142" s="76" t="s">
        <v>1735</v>
      </c>
      <c r="BF142" s="76" t="s">
        <v>1736</v>
      </c>
      <c r="BG142" s="76" t="s">
        <v>175</v>
      </c>
      <c r="BH142" s="76" t="s">
        <v>176</v>
      </c>
      <c r="BI142" s="76">
        <v>3200</v>
      </c>
      <c r="BM142" s="79"/>
      <c r="BN142" s="98" t="s">
        <v>2493</v>
      </c>
      <c r="BO142" s="76">
        <v>2</v>
      </c>
      <c r="BP142" s="76">
        <v>2</v>
      </c>
      <c r="BQ142" s="76">
        <v>2</v>
      </c>
      <c r="BR142" s="76" t="s">
        <v>321</v>
      </c>
      <c r="BS142" s="76" t="s">
        <v>180</v>
      </c>
      <c r="BT142" s="76" t="s">
        <v>2494</v>
      </c>
      <c r="BU142" s="99">
        <v>45587</v>
      </c>
      <c r="BV142" s="79">
        <v>35682</v>
      </c>
      <c r="BW142" s="120"/>
      <c r="BX142" s="96"/>
      <c r="BY142" s="76" t="s">
        <v>170</v>
      </c>
      <c r="CB142" s="76" t="s">
        <v>170</v>
      </c>
      <c r="CC142" s="76" t="s">
        <v>170</v>
      </c>
      <c r="CD142" s="76" t="s">
        <v>2634</v>
      </c>
      <c r="CE142" s="76" t="s">
        <v>170</v>
      </c>
      <c r="CG142" s="76" t="s">
        <v>169</v>
      </c>
      <c r="CH142" s="76" t="s">
        <v>284</v>
      </c>
      <c r="CI142" s="76" t="s">
        <v>170</v>
      </c>
      <c r="CK142" s="76" t="s">
        <v>233</v>
      </c>
      <c r="CM142" s="76">
        <v>1</v>
      </c>
      <c r="CN142" s="76" t="s">
        <v>234</v>
      </c>
      <c r="CP142" s="76">
        <v>360</v>
      </c>
      <c r="CQ142" s="76">
        <v>80</v>
      </c>
      <c r="CR142" s="76">
        <v>70.400000000000006</v>
      </c>
      <c r="CS142" s="76" t="s">
        <v>1752</v>
      </c>
      <c r="CV142" s="76" t="s">
        <v>341</v>
      </c>
      <c r="CX142" s="76" t="s">
        <v>342</v>
      </c>
      <c r="CY142" s="76" t="s">
        <v>170</v>
      </c>
      <c r="DC142" s="76" t="s">
        <v>2635</v>
      </c>
      <c r="DD142" s="76">
        <v>2</v>
      </c>
      <c r="DE142" s="76" t="s">
        <v>404</v>
      </c>
      <c r="DF142" s="76" t="s">
        <v>499</v>
      </c>
      <c r="DG142" s="76" t="s">
        <v>2636</v>
      </c>
      <c r="DJ142" s="76" t="s">
        <v>184</v>
      </c>
      <c r="DK142" s="76" t="s">
        <v>185</v>
      </c>
      <c r="DL142" s="76" t="s">
        <v>170</v>
      </c>
      <c r="DM142" s="76" t="s">
        <v>169</v>
      </c>
      <c r="DN142" s="76" t="s">
        <v>170</v>
      </c>
      <c r="DO142" s="76" t="s">
        <v>259</v>
      </c>
      <c r="DP142" s="76" t="s">
        <v>169</v>
      </c>
      <c r="DQ142" s="76" t="s">
        <v>198</v>
      </c>
      <c r="DR142" s="76" t="s">
        <v>2640</v>
      </c>
      <c r="DS142" s="76" t="s">
        <v>2496</v>
      </c>
      <c r="DT142" s="76" t="s">
        <v>2497</v>
      </c>
      <c r="DU142" s="76" t="s">
        <v>2498</v>
      </c>
      <c r="DV142" s="76" t="s">
        <v>2499</v>
      </c>
      <c r="DY142" s="76">
        <v>23.8</v>
      </c>
      <c r="DZ142" s="79"/>
      <c r="EA142" s="101"/>
      <c r="EB142" s="96">
        <v>4</v>
      </c>
      <c r="EC142" s="76">
        <v>5</v>
      </c>
      <c r="ED142" s="79"/>
      <c r="EE142" s="96" t="s">
        <v>2638</v>
      </c>
      <c r="EF142" s="76">
        <v>4</v>
      </c>
      <c r="EH142" s="79"/>
      <c r="EI142" s="96"/>
      <c r="EM142" s="96"/>
      <c r="EP142" s="79"/>
      <c r="EQ142" s="96"/>
      <c r="ET142" s="79"/>
      <c r="EU142" s="96"/>
      <c r="EV142" s="79">
        <v>6500</v>
      </c>
      <c r="EW142" s="96">
        <v>543</v>
      </c>
      <c r="EX142" s="76">
        <v>409</v>
      </c>
      <c r="EY142" s="79">
        <v>483</v>
      </c>
      <c r="EZ142" s="102">
        <f t="shared" si="59"/>
        <v>379</v>
      </c>
      <c r="FA142" s="76">
        <v>1.1299999999999999</v>
      </c>
      <c r="FB142" s="79"/>
      <c r="FC142" s="97">
        <v>350</v>
      </c>
      <c r="FD142" s="96">
        <v>21</v>
      </c>
      <c r="FE142" s="76">
        <v>22</v>
      </c>
      <c r="FF142" s="79">
        <v>21</v>
      </c>
      <c r="FG142" s="76">
        <v>384</v>
      </c>
      <c r="FH142" s="76">
        <v>372</v>
      </c>
      <c r="FI142" s="103">
        <v>379</v>
      </c>
      <c r="FJ142" s="167" t="s">
        <v>2639</v>
      </c>
      <c r="FK142" s="168"/>
      <c r="FL142" s="169"/>
      <c r="FM142" s="76">
        <v>0.22</v>
      </c>
      <c r="FN142" s="76">
        <v>0.27600000000000002</v>
      </c>
      <c r="FO142" s="79">
        <v>0.245</v>
      </c>
      <c r="FP142" s="106"/>
      <c r="FQ142" s="107"/>
      <c r="FR142" s="107"/>
      <c r="FS142" s="108">
        <v>17.2</v>
      </c>
    </row>
    <row r="143" spans="1:190" s="77" customFormat="1" x14ac:dyDescent="0.35">
      <c r="A143" s="76"/>
      <c r="E143" s="76"/>
      <c r="F143" s="76"/>
      <c r="G143" s="78"/>
      <c r="H143" s="76"/>
      <c r="I143" s="79"/>
      <c r="J143" s="80"/>
      <c r="K143" s="28"/>
      <c r="L143" s="28"/>
      <c r="M143" s="25" t="str">
        <f>_xlfn.CONCAT(A144," ",C144," ",D144)</f>
        <v>2025 Mercedes-Benz AMG GT 63 S E PERFORMANCE</v>
      </c>
      <c r="N143" s="28"/>
      <c r="O143" s="28"/>
      <c r="P143" s="28"/>
      <c r="Q143" s="28"/>
      <c r="R143" s="28"/>
      <c r="S143" s="28"/>
      <c r="T143" s="28"/>
      <c r="U143" s="28"/>
      <c r="V143" s="28"/>
      <c r="W143" s="28"/>
      <c r="X143" s="28"/>
      <c r="Y143" s="28"/>
      <c r="Z143" s="28"/>
      <c r="AA143" s="28"/>
      <c r="AB143" s="28"/>
      <c r="AC143" s="28"/>
      <c r="AD143" s="25" t="str">
        <f>$M143</f>
        <v>2025 Mercedes-Benz AMG GT 63 S E PERFORMANCE</v>
      </c>
      <c r="AE143" s="28"/>
      <c r="AF143" s="28"/>
      <c r="AG143" s="28"/>
      <c r="AH143" s="28"/>
      <c r="AI143" s="28"/>
      <c r="AJ143" s="81"/>
      <c r="AK143" s="82"/>
      <c r="AL143" s="2"/>
      <c r="AM143" s="2"/>
      <c r="AN143" s="2"/>
      <c r="AO143" s="2"/>
      <c r="AP143" s="2"/>
      <c r="AQ143" s="2"/>
      <c r="AR143" s="83"/>
      <c r="AS143" s="84"/>
      <c r="AT143" s="85" t="str">
        <f>$M143</f>
        <v>2025 Mercedes-Benz AMG GT 63 S E PERFORMANCE</v>
      </c>
      <c r="AU143" s="84"/>
      <c r="AV143" s="28"/>
      <c r="AW143" s="28"/>
      <c r="AX143" s="28"/>
      <c r="AY143" s="28"/>
      <c r="AZ143" s="28"/>
      <c r="BA143" s="28"/>
      <c r="BB143" s="28"/>
      <c r="BC143" s="28"/>
      <c r="BD143" s="28"/>
      <c r="BE143" s="28"/>
      <c r="BF143" s="28"/>
      <c r="BG143" s="28"/>
      <c r="BH143" s="28"/>
      <c r="BI143" s="25" t="str">
        <f>$M143</f>
        <v>2025 Mercedes-Benz AMG GT 63 S E PERFORMANCE</v>
      </c>
      <c r="BJ143" s="28"/>
      <c r="BK143" s="28"/>
      <c r="BL143" s="28"/>
      <c r="BM143" s="81"/>
      <c r="BN143" s="82"/>
      <c r="BO143" s="2"/>
      <c r="BP143" s="2"/>
      <c r="BQ143" s="2"/>
      <c r="BR143" s="2"/>
      <c r="BS143" s="2"/>
      <c r="BT143" s="86"/>
      <c r="BU143" s="2"/>
      <c r="BV143" s="83"/>
      <c r="BW143" s="121"/>
      <c r="BX143" s="84"/>
      <c r="BY143" s="25" t="str">
        <f>$M143</f>
        <v>2025 Mercedes-Benz AMG GT 63 S E PERFORMANCE</v>
      </c>
      <c r="BZ143" s="28"/>
      <c r="CA143" s="28"/>
      <c r="CB143" s="28"/>
      <c r="CC143" s="28"/>
      <c r="CD143" s="28"/>
      <c r="CE143" s="88"/>
      <c r="CF143" s="28"/>
      <c r="CG143" s="28"/>
      <c r="CH143" s="28"/>
      <c r="CI143" s="28"/>
      <c r="CJ143" s="28"/>
      <c r="CK143" s="28"/>
      <c r="CL143" s="28"/>
      <c r="CM143" s="28"/>
      <c r="CN143" s="28"/>
      <c r="CO143" s="25" t="str">
        <f>$M143</f>
        <v>2025 Mercedes-Benz AMG GT 63 S E PERFORMANCE</v>
      </c>
      <c r="CP143" s="28"/>
      <c r="CQ143" s="28"/>
      <c r="CR143" s="28"/>
      <c r="CS143" s="28"/>
      <c r="CT143" s="28"/>
      <c r="CU143" s="28"/>
      <c r="CV143" s="28"/>
      <c r="CW143" s="28"/>
      <c r="CX143" s="28"/>
      <c r="CY143" s="28"/>
      <c r="CZ143" s="28"/>
      <c r="DA143" s="28"/>
      <c r="DB143" s="28"/>
      <c r="DC143" s="28"/>
      <c r="DD143" s="28"/>
      <c r="DE143" s="28"/>
      <c r="DF143" s="25" t="str">
        <f>$M143</f>
        <v>2025 Mercedes-Benz AMG GT 63 S E PERFORMANCE</v>
      </c>
      <c r="DG143" s="28"/>
      <c r="DH143" s="28"/>
      <c r="DI143" s="28"/>
      <c r="DJ143" s="28"/>
      <c r="DK143" s="28"/>
      <c r="DL143" s="28"/>
      <c r="DM143" s="28"/>
      <c r="DN143" s="28"/>
      <c r="DO143" s="28"/>
      <c r="DP143" s="28"/>
      <c r="DQ143" s="28"/>
      <c r="DR143" s="25"/>
      <c r="DS143" s="25"/>
      <c r="DT143" s="25"/>
      <c r="DU143" s="25"/>
      <c r="DV143" s="25"/>
      <c r="DW143" s="25" t="str">
        <f>$M143</f>
        <v>2025 Mercedes-Benz AMG GT 63 S E PERFORMANCE</v>
      </c>
      <c r="DX143" s="25"/>
      <c r="DY143" s="25"/>
      <c r="DZ143" s="85"/>
      <c r="EA143" s="89"/>
      <c r="EB143" s="80"/>
      <c r="EC143" s="25"/>
      <c r="ED143" s="85"/>
      <c r="EE143" s="80"/>
      <c r="EF143" s="25"/>
      <c r="EG143" s="25"/>
      <c r="EH143" s="85"/>
      <c r="EI143" s="80"/>
      <c r="EK143" t="s">
        <v>2445</v>
      </c>
      <c r="EL143" s="25" t="str">
        <f>$M143</f>
        <v>2025 Mercedes-Benz AMG GT 63 S E PERFORMANCE</v>
      </c>
      <c r="EM143" s="80"/>
      <c r="EP143" s="75"/>
      <c r="EQ143" s="90"/>
      <c r="ET143" s="75"/>
      <c r="EU143" s="90"/>
      <c r="EV143" s="75"/>
      <c r="EW143" s="90"/>
      <c r="EY143" s="75"/>
      <c r="EZ143" s="102"/>
      <c r="FA143" s="25" t="str">
        <f>$M143</f>
        <v>2025 Mercedes-Benz AMG GT 63 S E PERFORMANCE</v>
      </c>
      <c r="FB143" s="75"/>
      <c r="FC143" s="91"/>
      <c r="FD143" s="80"/>
      <c r="FE143" s="25"/>
      <c r="FF143" s="85"/>
      <c r="FG143" s="80"/>
      <c r="FH143" s="25"/>
      <c r="FI143" s="85"/>
      <c r="FJ143" s="80"/>
      <c r="FK143" s="25"/>
      <c r="FL143" s="85"/>
      <c r="FM143" s="25" t="str">
        <f>$M143</f>
        <v>2025 Mercedes-Benz AMG GT 63 S E PERFORMANCE</v>
      </c>
      <c r="FN143" s="25"/>
      <c r="FO143" s="85"/>
      <c r="FP143" s="92"/>
      <c r="FQ143" s="93"/>
      <c r="FR143" s="94"/>
      <c r="FS143" s="95"/>
      <c r="FT143" s="25"/>
      <c r="FU143" s="25"/>
      <c r="FV143" s="25"/>
      <c r="FW143" s="25"/>
      <c r="FX143" s="25"/>
      <c r="FY143" s="25"/>
      <c r="FZ143" s="25"/>
      <c r="GA143" s="25"/>
      <c r="GB143" s="25"/>
      <c r="GC143" s="25"/>
      <c r="GD143" s="25"/>
      <c r="GE143" s="25"/>
      <c r="GF143" s="25"/>
      <c r="GG143" s="25"/>
      <c r="GH143" s="25"/>
    </row>
    <row r="144" spans="1:190" s="76" customFormat="1" x14ac:dyDescent="0.35">
      <c r="A144" s="76">
        <v>2025</v>
      </c>
      <c r="B144" s="76" t="s">
        <v>279</v>
      </c>
      <c r="C144" s="76" t="s">
        <v>279</v>
      </c>
      <c r="D144" s="109" t="s">
        <v>2641</v>
      </c>
      <c r="E144" s="76" t="s">
        <v>281</v>
      </c>
      <c r="F144" s="109">
        <v>532</v>
      </c>
      <c r="G144" s="109">
        <v>4</v>
      </c>
      <c r="H144" s="109">
        <v>8</v>
      </c>
      <c r="I144" s="110" t="s">
        <v>282</v>
      </c>
      <c r="J144" s="96">
        <v>16</v>
      </c>
      <c r="K144" s="76">
        <v>19</v>
      </c>
      <c r="L144" s="76">
        <v>18</v>
      </c>
      <c r="M144" s="76">
        <v>20.399999999999999</v>
      </c>
      <c r="N144" s="76">
        <v>26.7</v>
      </c>
      <c r="O144" s="76">
        <v>22.841000000000001</v>
      </c>
      <c r="P144" s="76">
        <v>16.415099999999999</v>
      </c>
      <c r="Q144" s="76">
        <v>19.368500000000001</v>
      </c>
      <c r="R144" s="76">
        <v>17.624500000000001</v>
      </c>
      <c r="T144" s="76" t="s">
        <v>165</v>
      </c>
      <c r="U144" s="76" t="s">
        <v>166</v>
      </c>
      <c r="V144" s="76" t="s">
        <v>167</v>
      </c>
      <c r="W144" s="76" t="s">
        <v>168</v>
      </c>
      <c r="Y144" s="76">
        <v>9</v>
      </c>
      <c r="Z144" s="76" t="s">
        <v>169</v>
      </c>
      <c r="AA144" s="76" t="s">
        <v>170</v>
      </c>
      <c r="AB144" s="76" t="s">
        <v>167</v>
      </c>
      <c r="AC144" s="76" t="s">
        <v>213</v>
      </c>
      <c r="AD144" s="76">
        <v>10</v>
      </c>
      <c r="AF144" s="76">
        <v>333</v>
      </c>
      <c r="AG144" s="76" t="s">
        <v>214</v>
      </c>
      <c r="AH144" s="76" t="s">
        <v>215</v>
      </c>
      <c r="AI144" s="76" t="s">
        <v>175</v>
      </c>
      <c r="AJ144" s="79" t="s">
        <v>176</v>
      </c>
      <c r="AK144" s="96" t="s">
        <v>170</v>
      </c>
      <c r="AL144" s="76" t="s">
        <v>177</v>
      </c>
      <c r="AO144" s="76">
        <v>96</v>
      </c>
      <c r="AP144" s="76">
        <v>13</v>
      </c>
      <c r="AR144" s="79"/>
      <c r="AS144" s="96">
        <v>3300</v>
      </c>
      <c r="AT144" s="79">
        <v>3300</v>
      </c>
      <c r="AU144" s="96">
        <v>53</v>
      </c>
      <c r="AV144" s="76">
        <v>39</v>
      </c>
      <c r="AW144" s="76">
        <v>47</v>
      </c>
      <c r="AX144" s="76">
        <v>43.3</v>
      </c>
      <c r="AY144" s="76">
        <v>28.4</v>
      </c>
      <c r="AZ144" s="76">
        <v>36.594999999999999</v>
      </c>
      <c r="BA144" s="76">
        <v>53.2</v>
      </c>
      <c r="BB144" s="76">
        <v>38.6</v>
      </c>
      <c r="BC144" s="76">
        <v>46.6188</v>
      </c>
      <c r="BD144" s="76">
        <v>10</v>
      </c>
      <c r="BE144" s="76" t="s">
        <v>1735</v>
      </c>
      <c r="BF144" s="76" t="s">
        <v>1736</v>
      </c>
      <c r="BG144" s="76" t="s">
        <v>1742</v>
      </c>
      <c r="BH144" s="76" t="s">
        <v>1743</v>
      </c>
      <c r="BI144" s="76">
        <v>3300</v>
      </c>
      <c r="BM144" s="79"/>
      <c r="BN144" s="98" t="s">
        <v>2493</v>
      </c>
      <c r="BO144" s="76">
        <v>2</v>
      </c>
      <c r="BP144" s="76">
        <v>2</v>
      </c>
      <c r="BQ144" s="76">
        <v>4</v>
      </c>
      <c r="BR144" s="76" t="s">
        <v>521</v>
      </c>
      <c r="BS144" s="76" t="s">
        <v>180</v>
      </c>
      <c r="BT144" s="76" t="s">
        <v>2494</v>
      </c>
      <c r="BU144" s="99">
        <v>45729</v>
      </c>
      <c r="BV144" s="79">
        <v>36217</v>
      </c>
      <c r="BW144" s="120"/>
      <c r="BX144" s="96"/>
      <c r="BY144" s="76" t="s">
        <v>170</v>
      </c>
      <c r="CB144" s="76" t="s">
        <v>170</v>
      </c>
      <c r="CC144" s="76" t="s">
        <v>170</v>
      </c>
      <c r="CD144" s="76" t="s">
        <v>2642</v>
      </c>
      <c r="CE144" s="76" t="s">
        <v>170</v>
      </c>
      <c r="CG144" s="76" t="s">
        <v>169</v>
      </c>
      <c r="CH144" s="76" t="s">
        <v>284</v>
      </c>
      <c r="CI144" s="76" t="s">
        <v>170</v>
      </c>
      <c r="CK144" s="76" t="s">
        <v>233</v>
      </c>
      <c r="CM144" s="76">
        <v>1</v>
      </c>
      <c r="CN144" s="76" t="s">
        <v>234</v>
      </c>
      <c r="CP144" s="76">
        <v>409</v>
      </c>
      <c r="CQ144" s="76">
        <v>80</v>
      </c>
      <c r="CR144" s="76">
        <v>68.5</v>
      </c>
      <c r="CS144" s="76" t="s">
        <v>1752</v>
      </c>
      <c r="CV144" s="76" t="s">
        <v>341</v>
      </c>
      <c r="CX144" s="76" t="s">
        <v>342</v>
      </c>
      <c r="CY144" s="76" t="s">
        <v>170</v>
      </c>
      <c r="DC144" s="76" t="s">
        <v>2642</v>
      </c>
      <c r="DD144" s="76">
        <v>1</v>
      </c>
      <c r="DE144" s="76" t="s">
        <v>404</v>
      </c>
      <c r="DF144" s="76" t="s">
        <v>499</v>
      </c>
      <c r="DG144" s="76">
        <v>150</v>
      </c>
      <c r="DJ144" s="76" t="s">
        <v>184</v>
      </c>
      <c r="DK144" s="76" t="s">
        <v>185</v>
      </c>
      <c r="DL144" s="76" t="s">
        <v>170</v>
      </c>
      <c r="DM144" s="76" t="s">
        <v>169</v>
      </c>
      <c r="DN144" s="76" t="s">
        <v>170</v>
      </c>
      <c r="DO144" s="76" t="s">
        <v>259</v>
      </c>
      <c r="DP144" s="76" t="s">
        <v>170</v>
      </c>
      <c r="DQ144" s="76" t="s">
        <v>187</v>
      </c>
      <c r="DR144" s="76" t="s">
        <v>2643</v>
      </c>
      <c r="DS144" s="76" t="s">
        <v>2496</v>
      </c>
      <c r="DT144" s="76" t="s">
        <v>2497</v>
      </c>
      <c r="DU144" s="76" t="s">
        <v>2513</v>
      </c>
      <c r="DV144" s="76" t="s">
        <v>2514</v>
      </c>
      <c r="DY144" s="76">
        <v>22.8</v>
      </c>
      <c r="DZ144" s="79"/>
      <c r="EA144" s="101"/>
      <c r="EB144" s="96">
        <v>4</v>
      </c>
      <c r="EC144" s="76">
        <v>4</v>
      </c>
      <c r="ED144" s="79">
        <v>10</v>
      </c>
      <c r="EE144" s="96" t="s">
        <v>2644</v>
      </c>
      <c r="EF144" s="76">
        <v>5</v>
      </c>
      <c r="EH144" s="79"/>
      <c r="EI144" s="96"/>
      <c r="EM144" s="96"/>
      <c r="EP144" s="79"/>
      <c r="EQ144" s="96"/>
      <c r="ET144" s="79"/>
      <c r="EU144" s="96"/>
      <c r="EV144" s="79">
        <v>7000</v>
      </c>
      <c r="EW144" s="96">
        <v>0</v>
      </c>
      <c r="EX144" s="76">
        <v>0</v>
      </c>
      <c r="EY144" s="79">
        <v>0</v>
      </c>
      <c r="EZ144" s="102">
        <v>421</v>
      </c>
      <c r="FA144" s="76">
        <v>1.5</v>
      </c>
      <c r="FB144" s="79"/>
      <c r="FC144" s="97">
        <v>340</v>
      </c>
      <c r="FD144" s="96">
        <v>19</v>
      </c>
      <c r="FE144" s="76">
        <v>21</v>
      </c>
      <c r="FF144" s="79">
        <v>20</v>
      </c>
      <c r="FG144" s="76">
        <v>444</v>
      </c>
      <c r="FH144" s="76">
        <v>393</v>
      </c>
      <c r="FI144" s="103">
        <v>421</v>
      </c>
      <c r="FJ144" s="122">
        <v>8.6</v>
      </c>
      <c r="FK144" s="123">
        <v>10.68</v>
      </c>
      <c r="FL144" s="131">
        <v>10</v>
      </c>
      <c r="FM144" s="76">
        <v>0.23899999999999999</v>
      </c>
      <c r="FN144" s="76">
        <v>0.28599999999999998</v>
      </c>
      <c r="FO144" s="79">
        <v>0.26100000000000001</v>
      </c>
      <c r="FP144" s="106">
        <v>1.5</v>
      </c>
      <c r="FQ144" s="107">
        <v>2.7</v>
      </c>
      <c r="FR144" s="107">
        <v>2.1</v>
      </c>
      <c r="FS144" s="108">
        <v>19</v>
      </c>
    </row>
    <row r="145" spans="1:190" s="76" customFormat="1" x14ac:dyDescent="0.35">
      <c r="A145" s="76">
        <v>2025</v>
      </c>
      <c r="B145" s="162" t="s">
        <v>279</v>
      </c>
      <c r="C145" s="162" t="s">
        <v>279</v>
      </c>
      <c r="D145" s="162" t="s">
        <v>2640</v>
      </c>
      <c r="E145" s="162" t="s">
        <v>281</v>
      </c>
      <c r="F145" s="162">
        <v>233</v>
      </c>
      <c r="G145" s="162">
        <v>4</v>
      </c>
      <c r="H145" s="162">
        <v>8</v>
      </c>
      <c r="I145" s="163" t="s">
        <v>282</v>
      </c>
      <c r="J145" s="96">
        <v>16</v>
      </c>
      <c r="K145" s="76">
        <v>19</v>
      </c>
      <c r="L145" s="76">
        <v>18</v>
      </c>
      <c r="M145" s="76">
        <v>20.399999999999999</v>
      </c>
      <c r="N145" s="76">
        <v>26.7</v>
      </c>
      <c r="O145" s="76">
        <v>22.841000000000001</v>
      </c>
      <c r="P145" s="76">
        <v>16.415099999999999</v>
      </c>
      <c r="Q145" s="76">
        <v>19.368500000000001</v>
      </c>
      <c r="R145" s="76">
        <v>17.624500000000001</v>
      </c>
      <c r="T145" s="76" t="s">
        <v>165</v>
      </c>
      <c r="U145" s="76" t="s">
        <v>166</v>
      </c>
      <c r="V145" s="76" t="s">
        <v>167</v>
      </c>
      <c r="W145" s="76" t="s">
        <v>168</v>
      </c>
      <c r="Y145" s="76">
        <v>9</v>
      </c>
      <c r="Z145" s="76" t="s">
        <v>169</v>
      </c>
      <c r="AA145" s="76" t="s">
        <v>170</v>
      </c>
      <c r="AB145" s="76" t="s">
        <v>167</v>
      </c>
      <c r="AC145" s="76" t="s">
        <v>213</v>
      </c>
      <c r="AD145" s="76">
        <v>10</v>
      </c>
      <c r="AF145" s="76">
        <v>333</v>
      </c>
      <c r="AG145" s="76" t="s">
        <v>214</v>
      </c>
      <c r="AH145" s="76" t="s">
        <v>215</v>
      </c>
      <c r="AI145" s="76" t="s">
        <v>175</v>
      </c>
      <c r="AJ145" s="79" t="s">
        <v>176</v>
      </c>
      <c r="AK145" s="96" t="s">
        <v>170</v>
      </c>
      <c r="AL145" s="76" t="s">
        <v>177</v>
      </c>
      <c r="AO145" s="76">
        <v>96</v>
      </c>
      <c r="AP145" s="76">
        <v>13</v>
      </c>
      <c r="AR145" s="79"/>
      <c r="AS145" s="96">
        <v>3300</v>
      </c>
      <c r="AT145" s="79">
        <v>3300</v>
      </c>
      <c r="AU145" s="96">
        <v>31</v>
      </c>
      <c r="AV145" s="76">
        <v>26</v>
      </c>
      <c r="AW145" s="76">
        <v>29</v>
      </c>
      <c r="AX145" s="76">
        <v>40.700000000000003</v>
      </c>
      <c r="AY145" s="76">
        <v>36.1</v>
      </c>
      <c r="AZ145" s="76">
        <v>38.492800000000003</v>
      </c>
      <c r="BA145" s="76">
        <v>31.060099999999998</v>
      </c>
      <c r="BB145" s="76">
        <v>25.696400000000001</v>
      </c>
      <c r="BC145" s="76">
        <v>28.3931</v>
      </c>
      <c r="BD145" s="76">
        <v>10</v>
      </c>
      <c r="BE145" s="76" t="s">
        <v>1735</v>
      </c>
      <c r="BF145" s="76" t="s">
        <v>1736</v>
      </c>
      <c r="BG145" s="76" t="s">
        <v>175</v>
      </c>
      <c r="BH145" s="76" t="s">
        <v>176</v>
      </c>
      <c r="BI145" s="76">
        <v>3300</v>
      </c>
      <c r="BM145" s="79"/>
      <c r="BN145" s="98" t="s">
        <v>2493</v>
      </c>
      <c r="BO145" s="76">
        <v>2</v>
      </c>
      <c r="BP145" s="76">
        <v>2</v>
      </c>
      <c r="BQ145" s="76">
        <v>4</v>
      </c>
      <c r="BR145" s="76" t="s">
        <v>521</v>
      </c>
      <c r="BS145" s="76" t="s">
        <v>180</v>
      </c>
      <c r="BT145" s="76" t="s">
        <v>2494</v>
      </c>
      <c r="BU145" s="99">
        <v>45729</v>
      </c>
      <c r="BV145" s="79">
        <v>36217</v>
      </c>
      <c r="BW145" s="120"/>
      <c r="BX145" s="96"/>
      <c r="BY145" s="76" t="s">
        <v>170</v>
      </c>
      <c r="CB145" s="76" t="s">
        <v>170</v>
      </c>
      <c r="CC145" s="76" t="s">
        <v>170</v>
      </c>
      <c r="CD145" s="76" t="s">
        <v>2642</v>
      </c>
      <c r="CE145" s="76" t="s">
        <v>170</v>
      </c>
      <c r="CG145" s="76" t="s">
        <v>169</v>
      </c>
      <c r="CH145" s="76" t="s">
        <v>284</v>
      </c>
      <c r="CI145" s="76" t="s">
        <v>170</v>
      </c>
      <c r="CK145" s="76" t="s">
        <v>233</v>
      </c>
      <c r="CM145" s="76">
        <v>1</v>
      </c>
      <c r="CN145" s="76" t="s">
        <v>234</v>
      </c>
      <c r="CP145" s="76">
        <v>409</v>
      </c>
      <c r="CQ145" s="76">
        <v>80</v>
      </c>
      <c r="CR145" s="76">
        <v>68.5</v>
      </c>
      <c r="CS145" s="76" t="s">
        <v>1752</v>
      </c>
      <c r="CV145" s="76" t="s">
        <v>341</v>
      </c>
      <c r="CX145" s="76" t="s">
        <v>342</v>
      </c>
      <c r="CY145" s="76" t="s">
        <v>170</v>
      </c>
      <c r="DC145" s="76" t="s">
        <v>2642</v>
      </c>
      <c r="DD145" s="76">
        <v>1</v>
      </c>
      <c r="DE145" s="76" t="s">
        <v>404</v>
      </c>
      <c r="DF145" s="76" t="s">
        <v>499</v>
      </c>
      <c r="DG145" s="76">
        <v>150</v>
      </c>
      <c r="DJ145" s="76" t="s">
        <v>184</v>
      </c>
      <c r="DK145" s="76" t="s">
        <v>185</v>
      </c>
      <c r="DL145" s="76" t="s">
        <v>170</v>
      </c>
      <c r="DM145" s="76" t="s">
        <v>169</v>
      </c>
      <c r="DN145" s="76" t="s">
        <v>170</v>
      </c>
      <c r="DO145" s="76" t="s">
        <v>259</v>
      </c>
      <c r="DP145" s="76" t="s">
        <v>170</v>
      </c>
      <c r="DQ145" s="76" t="s">
        <v>187</v>
      </c>
      <c r="DR145" s="76" t="s">
        <v>2643</v>
      </c>
      <c r="DS145" s="76" t="s">
        <v>2496</v>
      </c>
      <c r="DT145" s="76" t="s">
        <v>2497</v>
      </c>
      <c r="DU145" s="76" t="s">
        <v>2513</v>
      </c>
      <c r="DV145" s="76" t="s">
        <v>2514</v>
      </c>
      <c r="DY145" s="76">
        <v>22.8</v>
      </c>
      <c r="DZ145" s="79"/>
      <c r="EA145" s="101"/>
      <c r="EB145" s="96">
        <v>4</v>
      </c>
      <c r="EC145" s="76">
        <v>4</v>
      </c>
      <c r="ED145" s="79">
        <v>10</v>
      </c>
      <c r="EE145" s="96" t="s">
        <v>2644</v>
      </c>
      <c r="EF145" s="76">
        <v>5</v>
      </c>
      <c r="EH145" s="79"/>
      <c r="EI145" s="96"/>
      <c r="EM145" s="96"/>
      <c r="EP145" s="79"/>
      <c r="EQ145" s="96"/>
      <c r="ET145" s="79"/>
      <c r="EU145" s="96"/>
      <c r="EV145" s="79">
        <v>7000</v>
      </c>
      <c r="EW145" s="96">
        <v>540</v>
      </c>
      <c r="EX145" s="76">
        <v>457</v>
      </c>
      <c r="EY145" s="79">
        <v>502</v>
      </c>
      <c r="EZ145" s="102">
        <v>421</v>
      </c>
      <c r="FA145" s="76">
        <v>1.5</v>
      </c>
      <c r="FB145" s="79"/>
      <c r="FC145" s="97">
        <v>340</v>
      </c>
      <c r="FD145" s="96">
        <v>19</v>
      </c>
      <c r="FE145" s="76">
        <v>21</v>
      </c>
      <c r="FF145" s="79">
        <v>20</v>
      </c>
      <c r="FG145" s="76">
        <v>444</v>
      </c>
      <c r="FH145" s="76">
        <v>393</v>
      </c>
      <c r="FI145" s="103">
        <v>421</v>
      </c>
      <c r="FJ145" s="167" t="s">
        <v>2639</v>
      </c>
      <c r="FK145" s="168"/>
      <c r="FL145" s="169"/>
      <c r="FM145" s="76">
        <v>0.23899999999999999</v>
      </c>
      <c r="FN145" s="76">
        <v>0.28599999999999998</v>
      </c>
      <c r="FO145" s="79">
        <v>0.26100000000000001</v>
      </c>
      <c r="FP145" s="106"/>
      <c r="FQ145" s="107"/>
      <c r="FR145" s="107"/>
      <c r="FS145" s="108">
        <v>19</v>
      </c>
    </row>
    <row r="146" spans="1:190" s="77" customFormat="1" x14ac:dyDescent="0.35">
      <c r="A146" s="76"/>
      <c r="E146" s="76"/>
      <c r="F146" s="76"/>
      <c r="G146" s="78"/>
      <c r="H146" s="76"/>
      <c r="I146" s="79"/>
      <c r="J146" s="80"/>
      <c r="K146" s="28"/>
      <c r="L146" s="28"/>
      <c r="M146" s="25" t="str">
        <f>_xlfn.CONCAT(A147," ",C147," ",D147)</f>
        <v>2025 Mercedes-Benz AMG C 63 S E Performance</v>
      </c>
      <c r="N146" s="28"/>
      <c r="O146" s="28"/>
      <c r="P146" s="28"/>
      <c r="Q146" s="28"/>
      <c r="R146" s="28"/>
      <c r="S146" s="28"/>
      <c r="T146" s="28"/>
      <c r="U146" s="28"/>
      <c r="V146" s="28"/>
      <c r="W146" s="28"/>
      <c r="X146" s="28"/>
      <c r="Y146" s="28"/>
      <c r="Z146" s="28"/>
      <c r="AA146" s="28"/>
      <c r="AB146" s="28"/>
      <c r="AC146" s="28"/>
      <c r="AD146" s="25" t="str">
        <f>$M146</f>
        <v>2025 Mercedes-Benz AMG C 63 S E Performance</v>
      </c>
      <c r="AE146" s="28"/>
      <c r="AF146" s="28"/>
      <c r="AG146" s="28"/>
      <c r="AH146" s="28"/>
      <c r="AI146" s="28"/>
      <c r="AJ146" s="81"/>
      <c r="AK146" s="82"/>
      <c r="AL146" s="2"/>
      <c r="AM146" s="2"/>
      <c r="AN146" s="2"/>
      <c r="AO146" s="2"/>
      <c r="AP146" s="2"/>
      <c r="AQ146" s="2"/>
      <c r="AR146" s="83"/>
      <c r="AS146" s="84"/>
      <c r="AT146" s="85" t="str">
        <f>$M146</f>
        <v>2025 Mercedes-Benz AMG C 63 S E Performance</v>
      </c>
      <c r="AU146" s="84"/>
      <c r="AV146" s="28"/>
      <c r="AW146" s="28"/>
      <c r="AX146" s="28"/>
      <c r="AY146" s="28"/>
      <c r="AZ146" s="28"/>
      <c r="BA146" s="28"/>
      <c r="BB146" s="28"/>
      <c r="BC146" s="28"/>
      <c r="BD146" s="28"/>
      <c r="BE146" s="28"/>
      <c r="BF146" s="28"/>
      <c r="BG146" s="28"/>
      <c r="BH146" s="28"/>
      <c r="BI146" s="25" t="str">
        <f>$M146</f>
        <v>2025 Mercedes-Benz AMG C 63 S E Performance</v>
      </c>
      <c r="BJ146" s="28"/>
      <c r="BK146" s="28"/>
      <c r="BL146" s="28"/>
      <c r="BM146" s="81"/>
      <c r="BN146" s="82"/>
      <c r="BO146" s="2"/>
      <c r="BP146" s="2"/>
      <c r="BQ146" s="2"/>
      <c r="BR146" s="2"/>
      <c r="BS146" s="2"/>
      <c r="BT146" s="86"/>
      <c r="BU146" s="2"/>
      <c r="BV146" s="83"/>
      <c r="BW146" s="121"/>
      <c r="BX146" s="84"/>
      <c r="BY146" s="25" t="str">
        <f>$M146</f>
        <v>2025 Mercedes-Benz AMG C 63 S E Performance</v>
      </c>
      <c r="BZ146" s="28"/>
      <c r="CA146" s="28"/>
      <c r="CB146" s="28"/>
      <c r="CC146" s="28"/>
      <c r="CD146" s="28"/>
      <c r="CE146" s="88"/>
      <c r="CF146" s="28"/>
      <c r="CG146" s="28"/>
      <c r="CH146" s="28"/>
      <c r="CI146" s="28"/>
      <c r="CJ146" s="28"/>
      <c r="CK146" s="28"/>
      <c r="CL146" s="28"/>
      <c r="CM146" s="28"/>
      <c r="CN146" s="28"/>
      <c r="CO146" s="25" t="str">
        <f>$M146</f>
        <v>2025 Mercedes-Benz AMG C 63 S E Performance</v>
      </c>
      <c r="CP146" s="28"/>
      <c r="CQ146" s="28"/>
      <c r="CR146" s="28"/>
      <c r="CS146" s="28"/>
      <c r="CT146" s="28"/>
      <c r="CU146" s="28"/>
      <c r="CV146" s="28"/>
      <c r="CW146" s="28"/>
      <c r="CX146" s="28"/>
      <c r="CY146" s="28"/>
      <c r="CZ146" s="28"/>
      <c r="DA146" s="28"/>
      <c r="DB146" s="28"/>
      <c r="DC146" s="28"/>
      <c r="DD146" s="28"/>
      <c r="DE146" s="28"/>
      <c r="DF146" s="25" t="str">
        <f>$M146</f>
        <v>2025 Mercedes-Benz AMG C 63 S E Performance</v>
      </c>
      <c r="DG146" s="28"/>
      <c r="DH146" s="28"/>
      <c r="DI146" s="28"/>
      <c r="DJ146" s="28"/>
      <c r="DK146" s="28"/>
      <c r="DL146" s="28"/>
      <c r="DM146" s="28"/>
      <c r="DN146" s="28"/>
      <c r="DO146" s="28"/>
      <c r="DP146" s="28"/>
      <c r="DQ146" s="28"/>
      <c r="DR146" s="25"/>
      <c r="DS146" s="25"/>
      <c r="DT146" s="25"/>
      <c r="DU146" s="25"/>
      <c r="DV146" s="25"/>
      <c r="DW146" s="25" t="str">
        <f>$M146</f>
        <v>2025 Mercedes-Benz AMG C 63 S E Performance</v>
      </c>
      <c r="DX146" s="25"/>
      <c r="DY146" s="25"/>
      <c r="DZ146" s="85"/>
      <c r="EA146" s="89"/>
      <c r="EB146" s="80"/>
      <c r="EC146" s="25"/>
      <c r="ED146" s="85"/>
      <c r="EE146" s="80"/>
      <c r="EF146" s="25"/>
      <c r="EG146" s="25"/>
      <c r="EH146" s="85"/>
      <c r="EI146" s="80"/>
      <c r="EK146" t="s">
        <v>2445</v>
      </c>
      <c r="EL146" s="25" t="str">
        <f>$M146</f>
        <v>2025 Mercedes-Benz AMG C 63 S E Performance</v>
      </c>
      <c r="EM146" s="80"/>
      <c r="EP146" s="75"/>
      <c r="EQ146" s="90"/>
      <c r="ET146" s="75"/>
      <c r="EU146" s="90"/>
      <c r="EV146" s="75"/>
      <c r="EW146" s="90"/>
      <c r="EY146" s="75"/>
      <c r="EZ146" s="102"/>
      <c r="FA146" s="25" t="str">
        <f>$M146</f>
        <v>2025 Mercedes-Benz AMG C 63 S E Performance</v>
      </c>
      <c r="FB146" s="75"/>
      <c r="FC146" s="91"/>
      <c r="FD146" s="80"/>
      <c r="FE146" s="25"/>
      <c r="FF146" s="85"/>
      <c r="FG146" s="80"/>
      <c r="FH146" s="25"/>
      <c r="FI146" s="85"/>
      <c r="FJ146" s="80"/>
      <c r="FK146" s="25"/>
      <c r="FL146" s="85"/>
      <c r="FM146" s="25" t="str">
        <f>$M146</f>
        <v>2025 Mercedes-Benz AMG C 63 S E Performance</v>
      </c>
      <c r="FN146" s="25"/>
      <c r="FO146" s="85"/>
      <c r="FP146" s="92"/>
      <c r="FQ146" s="93"/>
      <c r="FR146" s="94"/>
      <c r="FS146" s="95"/>
      <c r="FT146" s="25"/>
      <c r="FU146" s="25"/>
      <c r="FV146" s="25"/>
      <c r="FW146" s="25"/>
      <c r="FX146" s="25"/>
      <c r="FY146" s="25"/>
      <c r="FZ146" s="25"/>
      <c r="GA146" s="25"/>
      <c r="GB146" s="25"/>
      <c r="GC146" s="25"/>
      <c r="GD146" s="25"/>
      <c r="GE146" s="25"/>
      <c r="GF146" s="25"/>
      <c r="GG146" s="25"/>
      <c r="GH146" s="25"/>
    </row>
    <row r="147" spans="1:190" s="76" customFormat="1" x14ac:dyDescent="0.35">
      <c r="A147" s="76">
        <v>2025</v>
      </c>
      <c r="B147" s="76" t="s">
        <v>279</v>
      </c>
      <c r="C147" s="76" t="s">
        <v>279</v>
      </c>
      <c r="D147" s="76" t="s">
        <v>2645</v>
      </c>
      <c r="E147" s="76" t="s">
        <v>281</v>
      </c>
      <c r="F147" s="76">
        <v>118</v>
      </c>
      <c r="G147" s="78">
        <v>2</v>
      </c>
      <c r="H147" s="76">
        <v>4</v>
      </c>
      <c r="I147" s="79" t="s">
        <v>282</v>
      </c>
      <c r="J147" s="96">
        <v>19</v>
      </c>
      <c r="K147" s="76">
        <v>22</v>
      </c>
      <c r="L147" s="76">
        <v>20</v>
      </c>
      <c r="M147" s="76">
        <v>24</v>
      </c>
      <c r="N147" s="76">
        <v>30.6</v>
      </c>
      <c r="O147" s="76">
        <v>26.579799999999999</v>
      </c>
      <c r="P147" s="76">
        <v>19.073599999999999</v>
      </c>
      <c r="Q147" s="76">
        <v>21.980499999999999</v>
      </c>
      <c r="R147" s="76">
        <v>20.2805</v>
      </c>
      <c r="T147" s="76" t="s">
        <v>165</v>
      </c>
      <c r="U147" s="76" t="s">
        <v>166</v>
      </c>
      <c r="V147" s="76" t="s">
        <v>167</v>
      </c>
      <c r="W147" s="76" t="s">
        <v>168</v>
      </c>
      <c r="Y147" s="76">
        <v>9</v>
      </c>
      <c r="Z147" s="76" t="s">
        <v>169</v>
      </c>
      <c r="AA147" s="76" t="s">
        <v>170</v>
      </c>
      <c r="AB147" s="76" t="s">
        <v>167</v>
      </c>
      <c r="AC147" s="76" t="s">
        <v>213</v>
      </c>
      <c r="AD147" s="76">
        <v>10</v>
      </c>
      <c r="AF147" s="76">
        <v>323</v>
      </c>
      <c r="AG147" s="76" t="s">
        <v>214</v>
      </c>
      <c r="AH147" s="76" t="s">
        <v>215</v>
      </c>
      <c r="AI147" s="76" t="s">
        <v>175</v>
      </c>
      <c r="AJ147" s="79" t="s">
        <v>176</v>
      </c>
      <c r="AK147" s="96" t="s">
        <v>170</v>
      </c>
      <c r="AL147" s="76" t="s">
        <v>177</v>
      </c>
      <c r="AO147" s="76">
        <v>93</v>
      </c>
      <c r="AP147" s="76">
        <v>7</v>
      </c>
      <c r="AR147" s="79"/>
      <c r="AS147" s="96">
        <v>2900</v>
      </c>
      <c r="AT147" s="79">
        <v>2900</v>
      </c>
      <c r="AU147" s="96">
        <v>58</v>
      </c>
      <c r="AV147" s="76">
        <v>57</v>
      </c>
      <c r="AW147" s="76">
        <v>57</v>
      </c>
      <c r="AX147" s="76">
        <v>45.9</v>
      </c>
      <c r="AY147" s="76">
        <v>40.200000000000003</v>
      </c>
      <c r="AZ147" s="76">
        <v>43.335000000000001</v>
      </c>
      <c r="BA147" s="76">
        <v>57.567</v>
      </c>
      <c r="BB147" s="76">
        <v>56.848999999999997</v>
      </c>
      <c r="BC147" s="76">
        <v>57.243899999999996</v>
      </c>
      <c r="BD147" s="76">
        <v>1</v>
      </c>
      <c r="BE147" s="76" t="s">
        <v>1735</v>
      </c>
      <c r="BF147" s="76" t="s">
        <v>1736</v>
      </c>
      <c r="BG147" s="76" t="s">
        <v>1742</v>
      </c>
      <c r="BH147" s="76" t="s">
        <v>1743</v>
      </c>
      <c r="BI147" s="76">
        <v>2900</v>
      </c>
      <c r="BJ147" s="2"/>
      <c r="BK147" s="2"/>
      <c r="BL147" s="2"/>
      <c r="BM147" s="79"/>
      <c r="BN147" s="98" t="s">
        <v>2493</v>
      </c>
      <c r="BO147" s="76">
        <v>2</v>
      </c>
      <c r="BP147" s="76">
        <v>2</v>
      </c>
      <c r="BQ147" s="76">
        <v>3</v>
      </c>
      <c r="BR147" s="76" t="s">
        <v>387</v>
      </c>
      <c r="BS147" s="76" t="s">
        <v>180</v>
      </c>
      <c r="BT147" s="76" t="s">
        <v>2494</v>
      </c>
      <c r="BU147" s="99">
        <v>45541</v>
      </c>
      <c r="BV147" s="79">
        <v>35486</v>
      </c>
      <c r="BW147" s="120"/>
      <c r="BX147" s="96"/>
      <c r="BY147" s="76" t="s">
        <v>170</v>
      </c>
      <c r="CB147" s="76" t="s">
        <v>170</v>
      </c>
      <c r="CC147" s="76" t="s">
        <v>170</v>
      </c>
      <c r="CD147" s="76" t="s">
        <v>2646</v>
      </c>
      <c r="CE147" s="76" t="s">
        <v>170</v>
      </c>
      <c r="CG147" s="76" t="s">
        <v>169</v>
      </c>
      <c r="CH147" s="76" t="s">
        <v>284</v>
      </c>
      <c r="CI147" s="76" t="s">
        <v>169</v>
      </c>
      <c r="CJ147" s="76" t="s">
        <v>340</v>
      </c>
      <c r="CK147" s="76" t="s">
        <v>233</v>
      </c>
      <c r="CM147" s="76">
        <v>1</v>
      </c>
      <c r="CN147" s="76" t="s">
        <v>234</v>
      </c>
      <c r="CP147" s="76">
        <v>409</v>
      </c>
      <c r="CQ147" s="76">
        <v>80</v>
      </c>
      <c r="CR147" s="76">
        <v>68.5</v>
      </c>
      <c r="CS147" s="76" t="s">
        <v>1752</v>
      </c>
      <c r="CV147" s="76" t="s">
        <v>341</v>
      </c>
      <c r="CX147" s="76" t="s">
        <v>342</v>
      </c>
      <c r="CY147" s="76" t="s">
        <v>170</v>
      </c>
      <c r="DC147" s="76" t="s">
        <v>2647</v>
      </c>
      <c r="DD147" s="76">
        <v>1</v>
      </c>
      <c r="DE147" s="76" t="s">
        <v>404</v>
      </c>
      <c r="DF147" s="76" t="s">
        <v>499</v>
      </c>
      <c r="DG147" s="76">
        <v>150</v>
      </c>
      <c r="DJ147" s="76" t="s">
        <v>184</v>
      </c>
      <c r="DK147" s="76" t="s">
        <v>185</v>
      </c>
      <c r="DL147" s="76" t="s">
        <v>170</v>
      </c>
      <c r="DM147" s="76" t="s">
        <v>169</v>
      </c>
      <c r="DN147" s="76" t="s">
        <v>170</v>
      </c>
      <c r="DO147" s="76" t="s">
        <v>259</v>
      </c>
      <c r="DP147" s="76" t="s">
        <v>169</v>
      </c>
      <c r="DQ147" s="76" t="s">
        <v>198</v>
      </c>
      <c r="DR147" s="76" t="s">
        <v>2648</v>
      </c>
      <c r="DS147" s="76" t="s">
        <v>2496</v>
      </c>
      <c r="DT147" s="76" t="s">
        <v>2497</v>
      </c>
      <c r="DU147" s="76" t="s">
        <v>2513</v>
      </c>
      <c r="DV147" s="76" t="s">
        <v>2514</v>
      </c>
      <c r="DY147" s="76">
        <v>26.7</v>
      </c>
      <c r="DZ147" s="79"/>
      <c r="EA147" s="101"/>
      <c r="EB147" s="96">
        <v>5</v>
      </c>
      <c r="EC147" s="76">
        <v>5</v>
      </c>
      <c r="ED147" s="79"/>
      <c r="EE147" s="96" t="s">
        <v>2649</v>
      </c>
      <c r="EF147" s="76">
        <v>4</v>
      </c>
      <c r="EH147" s="79"/>
      <c r="EI147" s="96"/>
      <c r="EM147" s="96"/>
      <c r="EP147" s="79"/>
      <c r="EQ147" s="96"/>
      <c r="ET147" s="79"/>
      <c r="EU147" s="96"/>
      <c r="EV147" s="79">
        <v>5000</v>
      </c>
      <c r="EW147" s="96">
        <v>0</v>
      </c>
      <c r="EX147" s="76">
        <v>0</v>
      </c>
      <c r="EY147" s="79">
        <v>0</v>
      </c>
      <c r="EZ147" s="102">
        <f t="shared" si="59"/>
        <v>362</v>
      </c>
      <c r="FA147" s="76">
        <v>1.2</v>
      </c>
      <c r="FB147" s="79"/>
      <c r="FC147" s="97">
        <v>330</v>
      </c>
      <c r="FD147" s="96">
        <v>21</v>
      </c>
      <c r="FE147" s="76">
        <v>24</v>
      </c>
      <c r="FF147" s="79">
        <v>22</v>
      </c>
      <c r="FG147" s="76">
        <v>381</v>
      </c>
      <c r="FH147" s="76">
        <v>338</v>
      </c>
      <c r="FI147" s="103">
        <v>362</v>
      </c>
      <c r="FJ147" s="104">
        <v>8.08</v>
      </c>
      <c r="FK147" s="105">
        <v>7.24</v>
      </c>
      <c r="FL147" s="79">
        <v>8</v>
      </c>
      <c r="FM147" s="76">
        <v>0.22700000000000001</v>
      </c>
      <c r="FN147" s="76">
        <v>0.20699999999999999</v>
      </c>
      <c r="FO147" s="79">
        <v>0.218</v>
      </c>
      <c r="FP147" s="106">
        <v>1</v>
      </c>
      <c r="FQ147" s="107">
        <v>0.9</v>
      </c>
      <c r="FR147" s="107">
        <v>1</v>
      </c>
      <c r="FS147" s="108">
        <v>15.9</v>
      </c>
    </row>
    <row r="148" spans="1:190" s="76" customFormat="1" x14ac:dyDescent="0.35">
      <c r="A148" s="76">
        <v>2025</v>
      </c>
      <c r="B148" s="162" t="s">
        <v>279</v>
      </c>
      <c r="C148" s="162" t="s">
        <v>279</v>
      </c>
      <c r="D148" s="162" t="s">
        <v>2645</v>
      </c>
      <c r="E148" s="162" t="s">
        <v>281</v>
      </c>
      <c r="F148" s="162">
        <v>118</v>
      </c>
      <c r="G148" s="162">
        <v>2</v>
      </c>
      <c r="H148" s="162">
        <v>4</v>
      </c>
      <c r="I148" s="163" t="s">
        <v>282</v>
      </c>
      <c r="J148" s="96">
        <f t="shared" ref="J148:R148" si="62">J147</f>
        <v>19</v>
      </c>
      <c r="K148" s="76">
        <f t="shared" si="62"/>
        <v>22</v>
      </c>
      <c r="L148" s="76">
        <f t="shared" si="62"/>
        <v>20</v>
      </c>
      <c r="M148" s="76">
        <f t="shared" si="62"/>
        <v>24</v>
      </c>
      <c r="N148" s="76">
        <f t="shared" si="62"/>
        <v>30.6</v>
      </c>
      <c r="O148" s="76">
        <f t="shared" si="62"/>
        <v>26.579799999999999</v>
      </c>
      <c r="P148" s="76">
        <f t="shared" si="62"/>
        <v>19.073599999999999</v>
      </c>
      <c r="Q148" s="76">
        <f t="shared" si="62"/>
        <v>21.980499999999999</v>
      </c>
      <c r="R148" s="76">
        <f t="shared" si="62"/>
        <v>20.2805</v>
      </c>
      <c r="T148" s="76" t="str">
        <f>T147</f>
        <v>TC</v>
      </c>
      <c r="U148" s="76" t="str">
        <f>U147</f>
        <v>Turbocharged</v>
      </c>
      <c r="V148" s="76" t="str">
        <f>V147</f>
        <v>A</v>
      </c>
      <c r="W148" s="76" t="str">
        <f>W147</f>
        <v>Automatic</v>
      </c>
      <c r="Y148" s="76">
        <f t="shared" ref="Y148:AD148" si="63">Y147</f>
        <v>9</v>
      </c>
      <c r="Z148" s="76" t="str">
        <f t="shared" si="63"/>
        <v>Y</v>
      </c>
      <c r="AA148" s="76" t="str">
        <f t="shared" si="63"/>
        <v>N</v>
      </c>
      <c r="AB148" s="76" t="str">
        <f t="shared" si="63"/>
        <v>A</v>
      </c>
      <c r="AC148" s="76" t="str">
        <f t="shared" si="63"/>
        <v>All Wheel Drive</v>
      </c>
      <c r="AD148" s="76">
        <f t="shared" si="63"/>
        <v>10</v>
      </c>
      <c r="AF148" s="76">
        <f>AF147</f>
        <v>323</v>
      </c>
      <c r="AG148" s="76" t="str">
        <f>AG147</f>
        <v>GPR</v>
      </c>
      <c r="AH148" s="76" t="str">
        <f>AH147</f>
        <v>Gasoline (Premium Unleaded Required)</v>
      </c>
      <c r="AI148" s="76" t="str">
        <f>AI147</f>
        <v>MPG</v>
      </c>
      <c r="AJ148" s="79" t="str">
        <f>AJ147</f>
        <v>miles per gallon</v>
      </c>
      <c r="AK148" s="96" t="s">
        <v>170</v>
      </c>
      <c r="AL148" s="76" t="s">
        <v>177</v>
      </c>
      <c r="AO148" s="76">
        <v>93</v>
      </c>
      <c r="AP148" s="76">
        <v>7</v>
      </c>
      <c r="AR148" s="79"/>
      <c r="AS148" s="96">
        <v>2900</v>
      </c>
      <c r="AT148" s="79">
        <v>2900</v>
      </c>
      <c r="AU148" s="96">
        <v>36</v>
      </c>
      <c r="AV148" s="76">
        <v>38</v>
      </c>
      <c r="AW148" s="76">
        <v>37</v>
      </c>
      <c r="AX148" s="76">
        <v>47.6</v>
      </c>
      <c r="AY148" s="76">
        <v>53.9</v>
      </c>
      <c r="AZ148" s="76">
        <v>50.242600000000003</v>
      </c>
      <c r="BA148" s="76">
        <v>35.700099999999999</v>
      </c>
      <c r="BB148" s="76">
        <v>37.766500000000001</v>
      </c>
      <c r="BC148" s="76">
        <v>36.601300000000002</v>
      </c>
      <c r="BD148" s="76">
        <v>1</v>
      </c>
      <c r="BE148" s="76" t="s">
        <v>1735</v>
      </c>
      <c r="BF148" s="76" t="s">
        <v>1736</v>
      </c>
      <c r="BG148" s="76" t="s">
        <v>175</v>
      </c>
      <c r="BI148" s="76">
        <v>2900</v>
      </c>
      <c r="BM148" s="79"/>
      <c r="BN148" s="98" t="s">
        <v>2493</v>
      </c>
      <c r="BO148" s="76">
        <v>2</v>
      </c>
      <c r="BP148" s="76">
        <v>2</v>
      </c>
      <c r="BQ148" s="76">
        <v>3</v>
      </c>
      <c r="BR148" s="76" t="s">
        <v>387</v>
      </c>
      <c r="BS148" s="76" t="s">
        <v>180</v>
      </c>
      <c r="BT148" s="76" t="s">
        <v>2494</v>
      </c>
      <c r="BU148" s="99">
        <v>45541</v>
      </c>
      <c r="BV148" s="79">
        <v>35486</v>
      </c>
      <c r="BW148" s="120"/>
      <c r="BX148" s="96"/>
      <c r="BY148" s="76" t="s">
        <v>170</v>
      </c>
      <c r="CB148" s="76" t="s">
        <v>170</v>
      </c>
      <c r="CC148" s="76" t="s">
        <v>170</v>
      </c>
      <c r="CD148" s="76" t="s">
        <v>2646</v>
      </c>
      <c r="CE148" s="76" t="s">
        <v>170</v>
      </c>
      <c r="CG148" s="76" t="s">
        <v>169</v>
      </c>
      <c r="CH148" s="76" t="s">
        <v>284</v>
      </c>
      <c r="CI148" s="76" t="s">
        <v>169</v>
      </c>
      <c r="CJ148" s="76" t="s">
        <v>340</v>
      </c>
      <c r="CK148" s="76" t="s">
        <v>233</v>
      </c>
      <c r="CM148" s="76">
        <v>1</v>
      </c>
      <c r="CN148" s="76" t="s">
        <v>234</v>
      </c>
      <c r="CP148" s="76">
        <v>409</v>
      </c>
      <c r="CQ148" s="76">
        <v>80</v>
      </c>
      <c r="CR148" s="76">
        <v>68.5</v>
      </c>
      <c r="CS148" s="76" t="s">
        <v>1752</v>
      </c>
      <c r="CV148" s="76" t="s">
        <v>341</v>
      </c>
      <c r="CX148" s="76" t="s">
        <v>342</v>
      </c>
      <c r="CY148" s="76" t="s">
        <v>170</v>
      </c>
      <c r="DC148" s="76" t="s">
        <v>2647</v>
      </c>
      <c r="DD148" s="76">
        <v>1</v>
      </c>
      <c r="DE148" s="76" t="s">
        <v>404</v>
      </c>
      <c r="DF148" s="76" t="s">
        <v>499</v>
      </c>
      <c r="DG148" s="76">
        <v>150</v>
      </c>
      <c r="DJ148" s="76" t="s">
        <v>184</v>
      </c>
      <c r="DK148" s="76" t="s">
        <v>185</v>
      </c>
      <c r="DL148" s="76" t="s">
        <v>170</v>
      </c>
      <c r="DM148" s="76" t="s">
        <v>169</v>
      </c>
      <c r="DN148" s="76" t="s">
        <v>170</v>
      </c>
      <c r="DO148" s="76" t="s">
        <v>259</v>
      </c>
      <c r="DP148" s="76" t="s">
        <v>169</v>
      </c>
      <c r="DQ148" s="76" t="s">
        <v>198</v>
      </c>
      <c r="DR148" s="76" t="s">
        <v>2648</v>
      </c>
      <c r="DS148" s="76" t="s">
        <v>2496</v>
      </c>
      <c r="DT148" s="76" t="s">
        <v>2497</v>
      </c>
      <c r="DU148" s="76" t="s">
        <v>2513</v>
      </c>
      <c r="DV148" s="76" t="s">
        <v>2514</v>
      </c>
      <c r="DZ148" s="79"/>
      <c r="EA148" s="101"/>
      <c r="EB148" s="96">
        <v>5</v>
      </c>
      <c r="EC148" s="76">
        <v>5</v>
      </c>
      <c r="ED148" s="79"/>
      <c r="EE148" s="96" t="s">
        <v>2649</v>
      </c>
      <c r="EF148" s="76">
        <v>4</v>
      </c>
      <c r="EH148" s="79"/>
      <c r="EI148" s="96"/>
      <c r="EM148" s="96"/>
      <c r="EP148" s="79"/>
      <c r="EQ148" s="96"/>
      <c r="ET148" s="79"/>
      <c r="EU148" s="96"/>
      <c r="EV148" s="79">
        <v>5000</v>
      </c>
      <c r="EW148" s="96">
        <v>463</v>
      </c>
      <c r="EX148" s="76">
        <v>401</v>
      </c>
      <c r="EY148" s="79">
        <v>435</v>
      </c>
      <c r="EZ148" s="102">
        <f t="shared" si="59"/>
        <v>362</v>
      </c>
      <c r="FA148" s="76">
        <v>1.2</v>
      </c>
      <c r="FB148" s="79"/>
      <c r="FC148" s="97">
        <v>330</v>
      </c>
      <c r="FD148" s="96">
        <v>21</v>
      </c>
      <c r="FE148" s="76">
        <v>24</v>
      </c>
      <c r="FF148" s="79">
        <v>22</v>
      </c>
      <c r="FG148" s="76">
        <v>381</v>
      </c>
      <c r="FH148" s="76">
        <v>338</v>
      </c>
      <c r="FI148" s="103">
        <v>362</v>
      </c>
      <c r="FJ148" s="98" t="s">
        <v>2639</v>
      </c>
      <c r="FK148" s="111"/>
      <c r="FL148" s="103"/>
      <c r="FM148" s="76">
        <v>0.22700000000000001</v>
      </c>
      <c r="FN148" s="76">
        <v>0.20699999999999999</v>
      </c>
      <c r="FO148" s="79">
        <v>0.218</v>
      </c>
      <c r="FP148" s="106"/>
      <c r="FQ148" s="107"/>
      <c r="FR148" s="107"/>
      <c r="FS148" s="108">
        <v>15.9</v>
      </c>
    </row>
    <row r="149" spans="1:190" s="77" customFormat="1" x14ac:dyDescent="0.35">
      <c r="A149" s="76"/>
      <c r="E149" s="76"/>
      <c r="F149" s="76"/>
      <c r="G149" s="78"/>
      <c r="H149" s="76"/>
      <c r="I149" s="79"/>
      <c r="J149" s="80"/>
      <c r="K149" s="28"/>
      <c r="L149" s="28"/>
      <c r="M149" s="25" t="str">
        <f>_xlfn.CONCAT(A150," ",C150," ",D150)</f>
        <v>2025 Mercedes-Benz AMG E 53 HYBRID 4MATIC+</v>
      </c>
      <c r="N149" s="28"/>
      <c r="O149" s="28"/>
      <c r="P149" s="28"/>
      <c r="Q149" s="28"/>
      <c r="R149" s="28"/>
      <c r="S149" s="28"/>
      <c r="T149" s="28"/>
      <c r="U149" s="28"/>
      <c r="V149" s="28"/>
      <c r="W149" s="28"/>
      <c r="X149" s="28"/>
      <c r="Y149" s="28"/>
      <c r="Z149" s="28"/>
      <c r="AA149" s="28"/>
      <c r="AB149" s="28"/>
      <c r="AC149" s="28"/>
      <c r="AD149" s="25" t="str">
        <f>$M149</f>
        <v>2025 Mercedes-Benz AMG E 53 HYBRID 4MATIC+</v>
      </c>
      <c r="AE149" s="28"/>
      <c r="AF149" s="28"/>
      <c r="AG149" s="28"/>
      <c r="AH149" s="28"/>
      <c r="AI149" s="28"/>
      <c r="AJ149" s="81"/>
      <c r="AK149" s="82"/>
      <c r="AL149" s="2"/>
      <c r="AM149" s="2"/>
      <c r="AN149" s="2"/>
      <c r="AO149" s="2"/>
      <c r="AP149" s="2"/>
      <c r="AQ149" s="2"/>
      <c r="AR149" s="83"/>
      <c r="AS149" s="84"/>
      <c r="AT149" s="85" t="str">
        <f>$M149</f>
        <v>2025 Mercedes-Benz AMG E 53 HYBRID 4MATIC+</v>
      </c>
      <c r="AU149" s="84"/>
      <c r="AV149" s="28"/>
      <c r="AW149" s="28"/>
      <c r="AX149" s="28"/>
      <c r="AY149" s="28"/>
      <c r="AZ149" s="28"/>
      <c r="BA149" s="28"/>
      <c r="BB149" s="28"/>
      <c r="BC149" s="28"/>
      <c r="BD149" s="28"/>
      <c r="BE149" s="28"/>
      <c r="BF149" s="28"/>
      <c r="BG149" s="28"/>
      <c r="BH149" s="28"/>
      <c r="BI149" s="25" t="str">
        <f>$M149</f>
        <v>2025 Mercedes-Benz AMG E 53 HYBRID 4MATIC+</v>
      </c>
      <c r="BJ149" s="28"/>
      <c r="BK149" s="28"/>
      <c r="BL149" s="28"/>
      <c r="BM149" s="81"/>
      <c r="BN149" s="82"/>
      <c r="BO149" s="2"/>
      <c r="BP149" s="2"/>
      <c r="BQ149" s="2"/>
      <c r="BR149" s="2"/>
      <c r="BS149" s="2"/>
      <c r="BT149" s="86"/>
      <c r="BU149" s="2"/>
      <c r="BV149" s="83"/>
      <c r="BW149" s="121"/>
      <c r="BX149" s="84"/>
      <c r="BY149" s="25" t="str">
        <f>$M149</f>
        <v>2025 Mercedes-Benz AMG E 53 HYBRID 4MATIC+</v>
      </c>
      <c r="BZ149" s="28"/>
      <c r="CA149" s="28"/>
      <c r="CB149" s="28"/>
      <c r="CC149" s="28"/>
      <c r="CD149" s="28"/>
      <c r="CE149" s="88"/>
      <c r="CF149" s="28"/>
      <c r="CG149" s="28"/>
      <c r="CH149" s="28"/>
      <c r="CI149" s="28"/>
      <c r="CJ149" s="28"/>
      <c r="CK149" s="28"/>
      <c r="CL149" s="28"/>
      <c r="CM149" s="28"/>
      <c r="CN149" s="28"/>
      <c r="CO149" s="25" t="str">
        <f>$M149</f>
        <v>2025 Mercedes-Benz AMG E 53 HYBRID 4MATIC+</v>
      </c>
      <c r="CP149" s="28"/>
      <c r="CQ149" s="28"/>
      <c r="CR149" s="28"/>
      <c r="CS149" s="28"/>
      <c r="CT149" s="28"/>
      <c r="CU149" s="28"/>
      <c r="CV149" s="28"/>
      <c r="CW149" s="28"/>
      <c r="CX149" s="28"/>
      <c r="CY149" s="28"/>
      <c r="CZ149" s="28"/>
      <c r="DA149" s="28"/>
      <c r="DB149" s="28"/>
      <c r="DC149" s="28"/>
      <c r="DD149" s="28"/>
      <c r="DE149" s="28"/>
      <c r="DF149" s="25" t="str">
        <f>$M149</f>
        <v>2025 Mercedes-Benz AMG E 53 HYBRID 4MATIC+</v>
      </c>
      <c r="DG149" s="28"/>
      <c r="DH149" s="28"/>
      <c r="DI149" s="28"/>
      <c r="DJ149" s="28"/>
      <c r="DK149" s="28"/>
      <c r="DL149" s="28"/>
      <c r="DM149" s="28"/>
      <c r="DN149" s="28"/>
      <c r="DO149" s="28"/>
      <c r="DP149" s="28"/>
      <c r="DQ149" s="28"/>
      <c r="DR149" s="25"/>
      <c r="DS149" s="25"/>
      <c r="DT149" s="25"/>
      <c r="DU149" s="25"/>
      <c r="DV149" s="25"/>
      <c r="DW149" s="25" t="str">
        <f>$M149</f>
        <v>2025 Mercedes-Benz AMG E 53 HYBRID 4MATIC+</v>
      </c>
      <c r="DX149" s="25"/>
      <c r="DY149" s="25"/>
      <c r="DZ149" s="85"/>
      <c r="EA149" s="89"/>
      <c r="EB149" s="80"/>
      <c r="EC149" s="25"/>
      <c r="ED149" s="85"/>
      <c r="EE149" s="80"/>
      <c r="EF149" s="25"/>
      <c r="EG149" s="25"/>
      <c r="EH149" s="85"/>
      <c r="EI149" s="80"/>
      <c r="EK149" t="s">
        <v>2445</v>
      </c>
      <c r="EL149" s="25" t="str">
        <f>$M149</f>
        <v>2025 Mercedes-Benz AMG E 53 HYBRID 4MATIC+</v>
      </c>
      <c r="EM149" s="80"/>
      <c r="EP149" s="75"/>
      <c r="EQ149" s="90"/>
      <c r="ET149" s="75"/>
      <c r="EU149" s="90"/>
      <c r="EV149" s="75"/>
      <c r="EW149" s="90"/>
      <c r="EY149" s="75"/>
      <c r="EZ149" s="102"/>
      <c r="FA149" s="25" t="str">
        <f>$M149</f>
        <v>2025 Mercedes-Benz AMG E 53 HYBRID 4MATIC+</v>
      </c>
      <c r="FB149" s="75"/>
      <c r="FC149" s="91"/>
      <c r="FD149" s="80"/>
      <c r="FE149" s="25"/>
      <c r="FF149" s="85"/>
      <c r="FG149" s="80"/>
      <c r="FH149" s="25"/>
      <c r="FI149" s="85"/>
      <c r="FJ149" s="80"/>
      <c r="FK149" s="25"/>
      <c r="FL149" s="85"/>
      <c r="FM149" s="25" t="str">
        <f>$M149</f>
        <v>2025 Mercedes-Benz AMG E 53 HYBRID 4MATIC+</v>
      </c>
      <c r="FN149" s="25"/>
      <c r="FO149" s="85"/>
      <c r="FP149" s="92"/>
      <c r="FQ149" s="93"/>
      <c r="FR149" s="94"/>
      <c r="FS149" s="95"/>
      <c r="FT149" s="25"/>
      <c r="FU149" s="25"/>
      <c r="FV149" s="25"/>
      <c r="FW149" s="25"/>
      <c r="FX149" s="25"/>
      <c r="FY149" s="25"/>
      <c r="FZ149" s="25"/>
      <c r="GA149" s="25"/>
      <c r="GB149" s="25"/>
      <c r="GC149" s="25"/>
      <c r="GD149" s="25"/>
      <c r="GE149" s="25"/>
      <c r="GF149" s="25"/>
      <c r="GG149" s="25"/>
      <c r="GH149" s="25"/>
    </row>
    <row r="150" spans="1:190" s="76" customFormat="1" x14ac:dyDescent="0.35">
      <c r="A150" s="76">
        <v>2025</v>
      </c>
      <c r="B150" s="76" t="s">
        <v>279</v>
      </c>
      <c r="C150" s="76" t="s">
        <v>279</v>
      </c>
      <c r="D150" s="76" t="s">
        <v>2650</v>
      </c>
      <c r="E150" s="76" t="s">
        <v>281</v>
      </c>
      <c r="F150" s="76">
        <v>304</v>
      </c>
      <c r="G150" s="78">
        <v>3</v>
      </c>
      <c r="H150" s="76">
        <v>6</v>
      </c>
      <c r="I150" s="79" t="s">
        <v>282</v>
      </c>
      <c r="J150" s="96">
        <v>21</v>
      </c>
      <c r="K150" s="76">
        <v>26</v>
      </c>
      <c r="L150" s="76">
        <v>23</v>
      </c>
      <c r="M150" s="76">
        <v>26.7</v>
      </c>
      <c r="N150" s="76">
        <v>36.799999999999997</v>
      </c>
      <c r="O150" s="76">
        <v>30.462299999999999</v>
      </c>
      <c r="P150" s="76">
        <v>21.034700000000001</v>
      </c>
      <c r="Q150" s="76">
        <v>26.063600000000001</v>
      </c>
      <c r="R150" s="76">
        <v>23.034700000000001</v>
      </c>
      <c r="T150" s="76" t="s">
        <v>165</v>
      </c>
      <c r="U150" s="76" t="s">
        <v>166</v>
      </c>
      <c r="V150" s="76" t="s">
        <v>167</v>
      </c>
      <c r="W150" s="76" t="s">
        <v>168</v>
      </c>
      <c r="Y150" s="76">
        <v>9</v>
      </c>
      <c r="Z150" s="76" t="s">
        <v>169</v>
      </c>
      <c r="AA150" s="76" t="s">
        <v>170</v>
      </c>
      <c r="AB150" s="76" t="s">
        <v>167</v>
      </c>
      <c r="AC150" s="76" t="s">
        <v>213</v>
      </c>
      <c r="AD150" s="76">
        <v>10</v>
      </c>
      <c r="AF150" s="76">
        <v>370</v>
      </c>
      <c r="AG150" s="76" t="s">
        <v>214</v>
      </c>
      <c r="AH150" s="76" t="s">
        <v>215</v>
      </c>
      <c r="AI150" s="76" t="s">
        <v>175</v>
      </c>
      <c r="AJ150" s="79" t="s">
        <v>176</v>
      </c>
      <c r="AK150" s="96" t="s">
        <v>170</v>
      </c>
      <c r="AL150" s="76" t="s">
        <v>177</v>
      </c>
      <c r="AO150" s="76">
        <v>100</v>
      </c>
      <c r="AP150" s="76">
        <v>13</v>
      </c>
      <c r="AR150" s="79"/>
      <c r="AS150" s="96">
        <v>1800</v>
      </c>
      <c r="AT150" s="79">
        <v>1800</v>
      </c>
      <c r="AU150" s="96">
        <v>62</v>
      </c>
      <c r="AV150" s="76">
        <v>52</v>
      </c>
      <c r="AW150" s="76">
        <v>57</v>
      </c>
      <c r="AX150" s="76">
        <v>43.9</v>
      </c>
      <c r="AY150" s="76">
        <v>36.200000000000003</v>
      </c>
      <c r="AZ150" s="76">
        <v>40.435000000000002</v>
      </c>
      <c r="BA150" s="76">
        <v>62.027999999999999</v>
      </c>
      <c r="BB150" s="76">
        <v>51.768999999999998</v>
      </c>
      <c r="BC150" s="76">
        <v>57.4114</v>
      </c>
      <c r="BD150" s="76">
        <v>43</v>
      </c>
      <c r="BE150" s="76" t="s">
        <v>1735</v>
      </c>
      <c r="BF150" s="76" t="s">
        <v>1736</v>
      </c>
      <c r="BG150" s="76" t="s">
        <v>1742</v>
      </c>
      <c r="BH150" s="76" t="s">
        <v>1743</v>
      </c>
      <c r="BI150" s="76">
        <v>1800</v>
      </c>
      <c r="BJ150" s="2"/>
      <c r="BK150" s="2"/>
      <c r="BL150" s="2"/>
      <c r="BM150" s="79"/>
      <c r="BN150" s="98" t="s">
        <v>2493</v>
      </c>
      <c r="BO150" s="76">
        <v>2</v>
      </c>
      <c r="BP150" s="76">
        <v>2</v>
      </c>
      <c r="BQ150" s="76">
        <v>5</v>
      </c>
      <c r="BR150" s="76" t="s">
        <v>672</v>
      </c>
      <c r="BS150" s="76" t="s">
        <v>180</v>
      </c>
      <c r="BT150" s="76" t="s">
        <v>2494</v>
      </c>
      <c r="BU150" s="99">
        <v>45566</v>
      </c>
      <c r="BV150" s="79">
        <v>35662</v>
      </c>
      <c r="BW150" s="120"/>
      <c r="BX150" s="96"/>
      <c r="CB150" s="76" t="s">
        <v>170</v>
      </c>
      <c r="CC150" s="76" t="s">
        <v>170</v>
      </c>
      <c r="CD150" s="76" t="s">
        <v>2651</v>
      </c>
      <c r="CE150" s="76" t="s">
        <v>170</v>
      </c>
      <c r="CG150" s="76" t="s">
        <v>169</v>
      </c>
      <c r="CH150" s="76" t="s">
        <v>284</v>
      </c>
      <c r="CI150" s="76" t="s">
        <v>170</v>
      </c>
      <c r="CK150" s="76" t="s">
        <v>233</v>
      </c>
      <c r="CM150" s="76">
        <v>1</v>
      </c>
      <c r="CN150" s="76" t="s">
        <v>234</v>
      </c>
      <c r="CP150" s="76">
        <v>388</v>
      </c>
      <c r="CQ150" s="76">
        <v>80</v>
      </c>
      <c r="CR150" s="76">
        <v>88.1</v>
      </c>
      <c r="CS150" s="76" t="s">
        <v>1752</v>
      </c>
      <c r="CV150" s="76" t="s">
        <v>341</v>
      </c>
      <c r="CX150" s="76" t="s">
        <v>342</v>
      </c>
      <c r="CY150" s="76" t="s">
        <v>170</v>
      </c>
      <c r="DD150" s="76">
        <v>1</v>
      </c>
      <c r="DE150" s="76" t="s">
        <v>404</v>
      </c>
      <c r="DF150" s="76" t="s">
        <v>499</v>
      </c>
      <c r="DG150" s="76">
        <v>120</v>
      </c>
      <c r="DJ150" s="76" t="s">
        <v>184</v>
      </c>
      <c r="DK150" s="76" t="s">
        <v>185</v>
      </c>
      <c r="DL150" s="76" t="s">
        <v>170</v>
      </c>
      <c r="DM150" s="76" t="s">
        <v>169</v>
      </c>
      <c r="DN150" s="76" t="s">
        <v>170</v>
      </c>
      <c r="DO150" s="76" t="s">
        <v>358</v>
      </c>
      <c r="DP150" s="76" t="s">
        <v>170</v>
      </c>
      <c r="DQ150" s="76" t="s">
        <v>187</v>
      </c>
      <c r="DR150" s="76" t="s">
        <v>2650</v>
      </c>
      <c r="DS150" s="76" t="s">
        <v>2496</v>
      </c>
      <c r="DT150" s="76" t="s">
        <v>2497</v>
      </c>
      <c r="DU150" s="76" t="s">
        <v>2513</v>
      </c>
      <c r="DV150" s="76" t="s">
        <v>2514</v>
      </c>
      <c r="DY150" s="76">
        <v>30.7</v>
      </c>
      <c r="DZ150" s="79"/>
      <c r="EA150" s="101"/>
      <c r="EB150" s="96">
        <v>7</v>
      </c>
      <c r="EC150" s="76">
        <v>9</v>
      </c>
      <c r="ED150" s="79"/>
      <c r="EE150" s="96" t="s">
        <v>2652</v>
      </c>
      <c r="EF150" s="76">
        <v>6</v>
      </c>
      <c r="EH150" s="79"/>
      <c r="EI150" s="96"/>
      <c r="EM150" s="96"/>
      <c r="EP150" s="79"/>
      <c r="EQ150" s="96"/>
      <c r="ET150" s="79"/>
      <c r="EU150" s="96">
        <v>500</v>
      </c>
      <c r="EV150" s="79"/>
      <c r="EW150" s="96">
        <v>0</v>
      </c>
      <c r="EX150" s="76">
        <v>0</v>
      </c>
      <c r="EY150" s="79">
        <v>0</v>
      </c>
      <c r="EZ150" s="102">
        <f t="shared" si="59"/>
        <v>117</v>
      </c>
      <c r="FA150" s="76">
        <v>2.75</v>
      </c>
      <c r="FB150" s="79"/>
      <c r="FC150" s="97">
        <v>410</v>
      </c>
      <c r="FD150" s="96">
        <v>36</v>
      </c>
      <c r="FE150" s="76">
        <v>46</v>
      </c>
      <c r="FF150" s="79">
        <v>39</v>
      </c>
      <c r="FG150" s="76">
        <v>136</v>
      </c>
      <c r="FH150" s="76">
        <v>94</v>
      </c>
      <c r="FI150" s="103">
        <v>117</v>
      </c>
      <c r="FJ150" s="104">
        <v>40.43</v>
      </c>
      <c r="FK150" s="105">
        <v>47.15</v>
      </c>
      <c r="FL150" s="79">
        <v>43</v>
      </c>
      <c r="FM150" s="76">
        <v>0.68100000000000005</v>
      </c>
      <c r="FN150" s="76">
        <v>0.72699999999999998</v>
      </c>
      <c r="FO150" s="79">
        <v>0.70299999999999996</v>
      </c>
      <c r="FP150" s="106">
        <v>0</v>
      </c>
      <c r="FQ150" s="107">
        <v>0</v>
      </c>
      <c r="FR150" s="107">
        <v>0</v>
      </c>
      <c r="FS150" s="108">
        <v>15.9</v>
      </c>
    </row>
    <row r="151" spans="1:190" s="76" customFormat="1" x14ac:dyDescent="0.35">
      <c r="A151" s="76">
        <v>2025</v>
      </c>
      <c r="B151" s="162" t="s">
        <v>279</v>
      </c>
      <c r="C151" s="162" t="s">
        <v>279</v>
      </c>
      <c r="D151" s="162" t="s">
        <v>2650</v>
      </c>
      <c r="E151" s="162" t="s">
        <v>281</v>
      </c>
      <c r="F151" s="162">
        <v>304</v>
      </c>
      <c r="G151" s="162">
        <v>3</v>
      </c>
      <c r="H151" s="162">
        <v>6</v>
      </c>
      <c r="I151" s="163" t="s">
        <v>282</v>
      </c>
      <c r="J151" s="96">
        <f t="shared" ref="J151:R151" si="64">J150</f>
        <v>21</v>
      </c>
      <c r="K151" s="76">
        <f t="shared" si="64"/>
        <v>26</v>
      </c>
      <c r="L151" s="76">
        <f t="shared" si="64"/>
        <v>23</v>
      </c>
      <c r="M151" s="76">
        <f t="shared" si="64"/>
        <v>26.7</v>
      </c>
      <c r="N151" s="76">
        <f t="shared" si="64"/>
        <v>36.799999999999997</v>
      </c>
      <c r="O151" s="76">
        <f t="shared" si="64"/>
        <v>30.462299999999999</v>
      </c>
      <c r="P151" s="76">
        <f t="shared" si="64"/>
        <v>21.034700000000001</v>
      </c>
      <c r="Q151" s="76">
        <f t="shared" si="64"/>
        <v>26.063600000000001</v>
      </c>
      <c r="R151" s="76">
        <f t="shared" si="64"/>
        <v>23.034700000000001</v>
      </c>
      <c r="T151" s="76" t="str">
        <f>T150</f>
        <v>TC</v>
      </c>
      <c r="U151" s="76" t="str">
        <f>U150</f>
        <v>Turbocharged</v>
      </c>
      <c r="V151" s="76" t="str">
        <f>V150</f>
        <v>A</v>
      </c>
      <c r="W151" s="76" t="str">
        <f>W150</f>
        <v>Automatic</v>
      </c>
      <c r="Y151" s="76">
        <f t="shared" ref="Y151:AD151" si="65">Y150</f>
        <v>9</v>
      </c>
      <c r="Z151" s="76" t="str">
        <f t="shared" si="65"/>
        <v>Y</v>
      </c>
      <c r="AA151" s="76" t="str">
        <f t="shared" si="65"/>
        <v>N</v>
      </c>
      <c r="AB151" s="76" t="str">
        <f t="shared" si="65"/>
        <v>A</v>
      </c>
      <c r="AC151" s="76" t="str">
        <f t="shared" si="65"/>
        <v>All Wheel Drive</v>
      </c>
      <c r="AD151" s="76">
        <f t="shared" si="65"/>
        <v>10</v>
      </c>
      <c r="AF151" s="76">
        <f>AF150</f>
        <v>370</v>
      </c>
      <c r="AG151" s="76" t="str">
        <f>AG150</f>
        <v>GPR</v>
      </c>
      <c r="AH151" s="76" t="str">
        <f>AH150</f>
        <v>Gasoline (Premium Unleaded Required)</v>
      </c>
      <c r="AI151" s="76" t="str">
        <f>AI150</f>
        <v>MPG</v>
      </c>
      <c r="AJ151" s="79" t="str">
        <f>AJ150</f>
        <v>miles per gallon</v>
      </c>
      <c r="AK151" s="96" t="s">
        <v>170</v>
      </c>
      <c r="AL151" s="76" t="s">
        <v>177</v>
      </c>
      <c r="AO151" s="76">
        <v>100</v>
      </c>
      <c r="AP151" s="76">
        <v>13</v>
      </c>
      <c r="AR151" s="79"/>
      <c r="AS151" s="96">
        <v>1800</v>
      </c>
      <c r="AT151" s="79">
        <v>1800</v>
      </c>
      <c r="AU151" s="96">
        <v>54</v>
      </c>
      <c r="AV151" s="76">
        <v>65</v>
      </c>
      <c r="AW151" s="76">
        <v>59</v>
      </c>
      <c r="AX151" s="76">
        <v>76.7</v>
      </c>
      <c r="AY151" s="76">
        <v>93.2</v>
      </c>
      <c r="AZ151" s="76">
        <v>83.339399999999998</v>
      </c>
      <c r="BA151" s="76">
        <v>54.0381</v>
      </c>
      <c r="BB151" s="76">
        <v>65.233199999999997</v>
      </c>
      <c r="BC151" s="76">
        <v>58.560600000000001</v>
      </c>
      <c r="BD151" s="76">
        <v>43</v>
      </c>
      <c r="BE151" s="76" t="s">
        <v>1735</v>
      </c>
      <c r="BF151" s="76" t="s">
        <v>1736</v>
      </c>
      <c r="BG151" s="76" t="s">
        <v>175</v>
      </c>
      <c r="BH151" s="76" t="s">
        <v>176</v>
      </c>
      <c r="BI151" s="76">
        <v>1800</v>
      </c>
      <c r="BM151" s="79"/>
      <c r="BN151" s="98" t="s">
        <v>2493</v>
      </c>
      <c r="BO151" s="76">
        <v>2</v>
      </c>
      <c r="BP151" s="76">
        <v>2</v>
      </c>
      <c r="BQ151" s="76">
        <v>5</v>
      </c>
      <c r="BR151" s="76" t="s">
        <v>672</v>
      </c>
      <c r="BS151" s="76" t="s">
        <v>180</v>
      </c>
      <c r="BT151" s="76" t="s">
        <v>2494</v>
      </c>
      <c r="BU151" s="99">
        <v>45566</v>
      </c>
      <c r="BV151" s="79">
        <v>35662</v>
      </c>
      <c r="BW151" s="120"/>
      <c r="BX151" s="96"/>
      <c r="CB151" s="76" t="s">
        <v>170</v>
      </c>
      <c r="CC151" s="76" t="s">
        <v>170</v>
      </c>
      <c r="CD151" s="76" t="s">
        <v>2651</v>
      </c>
      <c r="CE151" s="76" t="s">
        <v>170</v>
      </c>
      <c r="CG151" s="76" t="s">
        <v>169</v>
      </c>
      <c r="CH151" s="76" t="s">
        <v>284</v>
      </c>
      <c r="CI151" s="76" t="s">
        <v>170</v>
      </c>
      <c r="CK151" s="76" t="s">
        <v>233</v>
      </c>
      <c r="CM151" s="76">
        <v>1</v>
      </c>
      <c r="CN151" s="76" t="s">
        <v>234</v>
      </c>
      <c r="CP151" s="76">
        <v>388</v>
      </c>
      <c r="CQ151" s="76">
        <v>80</v>
      </c>
      <c r="CR151" s="76">
        <v>88.1</v>
      </c>
      <c r="CS151" s="76" t="s">
        <v>1752</v>
      </c>
      <c r="CV151" s="76" t="s">
        <v>341</v>
      </c>
      <c r="CX151" s="76" t="s">
        <v>342</v>
      </c>
      <c r="CY151" s="76" t="s">
        <v>170</v>
      </c>
      <c r="DD151" s="76">
        <v>1</v>
      </c>
      <c r="DE151" s="76" t="s">
        <v>404</v>
      </c>
      <c r="DF151" s="76" t="s">
        <v>499</v>
      </c>
      <c r="DG151" s="76">
        <v>120</v>
      </c>
      <c r="DJ151" s="76" t="s">
        <v>184</v>
      </c>
      <c r="DK151" s="76" t="s">
        <v>185</v>
      </c>
      <c r="DL151" s="76" t="s">
        <v>170</v>
      </c>
      <c r="DM151" s="76" t="s">
        <v>169</v>
      </c>
      <c r="DN151" s="76" t="s">
        <v>170</v>
      </c>
      <c r="DO151" s="76" t="s">
        <v>358</v>
      </c>
      <c r="DP151" s="76" t="s">
        <v>170</v>
      </c>
      <c r="DQ151" s="76" t="s">
        <v>187</v>
      </c>
      <c r="DR151" s="76" t="s">
        <v>2650</v>
      </c>
      <c r="DS151" s="76" t="s">
        <v>2496</v>
      </c>
      <c r="DT151" s="76" t="s">
        <v>2497</v>
      </c>
      <c r="DU151" s="76" t="s">
        <v>2513</v>
      </c>
      <c r="DV151" s="76" t="s">
        <v>2514</v>
      </c>
      <c r="DZ151" s="79"/>
      <c r="EA151" s="101"/>
      <c r="EB151" s="96">
        <v>7</v>
      </c>
      <c r="EC151" s="76">
        <v>9</v>
      </c>
      <c r="ED151" s="79"/>
      <c r="EE151" s="96" t="s">
        <v>2652</v>
      </c>
      <c r="EF151" s="76">
        <v>6</v>
      </c>
      <c r="EH151" s="79"/>
      <c r="EI151" s="96"/>
      <c r="EM151" s="96"/>
      <c r="EP151" s="79"/>
      <c r="EQ151" s="96"/>
      <c r="ET151" s="79"/>
      <c r="EU151" s="96">
        <v>500</v>
      </c>
      <c r="EV151" s="79"/>
      <c r="EW151" s="96">
        <v>420</v>
      </c>
      <c r="EX151" s="76">
        <v>339</v>
      </c>
      <c r="EY151" s="79">
        <v>384</v>
      </c>
      <c r="EZ151" s="102">
        <f t="shared" si="59"/>
        <v>117</v>
      </c>
      <c r="FA151" s="76">
        <v>2.75</v>
      </c>
      <c r="FB151" s="79"/>
      <c r="FC151" s="97">
        <v>410</v>
      </c>
      <c r="FD151" s="96">
        <v>36</v>
      </c>
      <c r="FE151" s="76">
        <v>46</v>
      </c>
      <c r="FF151" s="79">
        <v>39</v>
      </c>
      <c r="FG151" s="76">
        <v>136</v>
      </c>
      <c r="FH151" s="76">
        <v>94</v>
      </c>
      <c r="FI151" s="103">
        <v>117</v>
      </c>
      <c r="FJ151" s="98" t="s">
        <v>2653</v>
      </c>
      <c r="FK151" s="111"/>
      <c r="FL151" s="103"/>
      <c r="FM151" s="76">
        <v>0.68100000000000005</v>
      </c>
      <c r="FN151" s="76">
        <v>0.72699999999999998</v>
      </c>
      <c r="FO151" s="79">
        <v>0.70299999999999996</v>
      </c>
      <c r="FP151" s="106"/>
      <c r="FQ151" s="107"/>
      <c r="FR151" s="107"/>
      <c r="FS151" s="108">
        <v>15.9</v>
      </c>
    </row>
    <row r="152" spans="1:190" s="77" customFormat="1" x14ac:dyDescent="0.35">
      <c r="A152" s="76"/>
      <c r="E152" s="76"/>
      <c r="F152" s="76"/>
      <c r="G152" s="78"/>
      <c r="H152" s="76"/>
      <c r="I152" s="79"/>
      <c r="J152" s="80"/>
      <c r="K152" s="28"/>
      <c r="L152" s="28"/>
      <c r="M152" s="25" t="str">
        <f>_xlfn.CONCAT(A153," ",C153," ",D153)</f>
        <v>2025 Mercedes-Benz AMG S 63 E PERFORMANCE</v>
      </c>
      <c r="N152" s="28"/>
      <c r="O152" s="28"/>
      <c r="P152" s="28"/>
      <c r="Q152" s="28"/>
      <c r="R152" s="28"/>
      <c r="S152" s="28"/>
      <c r="T152" s="28"/>
      <c r="U152" s="28"/>
      <c r="V152" s="28"/>
      <c r="W152" s="28"/>
      <c r="X152" s="28"/>
      <c r="Y152" s="28"/>
      <c r="Z152" s="28"/>
      <c r="AA152" s="28"/>
      <c r="AB152" s="28"/>
      <c r="AC152" s="28"/>
      <c r="AD152" s="25" t="str">
        <f>$M152</f>
        <v>2025 Mercedes-Benz AMG S 63 E PERFORMANCE</v>
      </c>
      <c r="AE152" s="28"/>
      <c r="AF152" s="28"/>
      <c r="AG152" s="28"/>
      <c r="AH152" s="28"/>
      <c r="AI152" s="28"/>
      <c r="AJ152" s="81"/>
      <c r="AK152" s="82"/>
      <c r="AL152" s="2"/>
      <c r="AM152" s="2"/>
      <c r="AN152" s="2"/>
      <c r="AO152" s="2"/>
      <c r="AP152" s="2"/>
      <c r="AQ152" s="2"/>
      <c r="AR152" s="83"/>
      <c r="AS152" s="84"/>
      <c r="AT152" s="85" t="str">
        <f>$M152</f>
        <v>2025 Mercedes-Benz AMG S 63 E PERFORMANCE</v>
      </c>
      <c r="AU152" s="84"/>
      <c r="AV152" s="28"/>
      <c r="AW152" s="28"/>
      <c r="AX152" s="28"/>
      <c r="AY152" s="28"/>
      <c r="AZ152" s="28"/>
      <c r="BA152" s="28"/>
      <c r="BB152" s="28"/>
      <c r="BC152" s="28"/>
      <c r="BD152" s="28"/>
      <c r="BE152" s="28"/>
      <c r="BF152" s="28"/>
      <c r="BG152" s="28"/>
      <c r="BH152" s="28"/>
      <c r="BI152" s="25" t="str">
        <f>$M152</f>
        <v>2025 Mercedes-Benz AMG S 63 E PERFORMANCE</v>
      </c>
      <c r="BJ152" s="28"/>
      <c r="BK152" s="28"/>
      <c r="BL152" s="28"/>
      <c r="BM152" s="81"/>
      <c r="BN152" s="82"/>
      <c r="BO152" s="2"/>
      <c r="BP152" s="2"/>
      <c r="BQ152" s="2"/>
      <c r="BR152" s="2"/>
      <c r="BS152" s="2"/>
      <c r="BT152" s="86"/>
      <c r="BU152" s="2"/>
      <c r="BV152" s="83"/>
      <c r="BW152" s="121"/>
      <c r="BX152" s="84"/>
      <c r="BY152" s="25" t="str">
        <f>$M152</f>
        <v>2025 Mercedes-Benz AMG S 63 E PERFORMANCE</v>
      </c>
      <c r="BZ152" s="28"/>
      <c r="CA152" s="28"/>
      <c r="CB152" s="28"/>
      <c r="CC152" s="28"/>
      <c r="CD152" s="28"/>
      <c r="CE152" s="88"/>
      <c r="CF152" s="28"/>
      <c r="CG152" s="28"/>
      <c r="CH152" s="28"/>
      <c r="CI152" s="28"/>
      <c r="CJ152" s="28"/>
      <c r="CK152" s="28"/>
      <c r="CL152" s="28"/>
      <c r="CM152" s="28"/>
      <c r="CN152" s="28"/>
      <c r="CO152" s="25" t="str">
        <f>$M152</f>
        <v>2025 Mercedes-Benz AMG S 63 E PERFORMANCE</v>
      </c>
      <c r="CP152" s="28"/>
      <c r="CQ152" s="28"/>
      <c r="CR152" s="28"/>
      <c r="CS152" s="28"/>
      <c r="CT152" s="28"/>
      <c r="CU152" s="28"/>
      <c r="CV152" s="28"/>
      <c r="CW152" s="28"/>
      <c r="CX152" s="28"/>
      <c r="CY152" s="28"/>
      <c r="CZ152" s="28"/>
      <c r="DA152" s="28"/>
      <c r="DB152" s="28"/>
      <c r="DC152" s="28"/>
      <c r="DD152" s="28"/>
      <c r="DE152" s="28"/>
      <c r="DF152" s="25" t="str">
        <f>$M152</f>
        <v>2025 Mercedes-Benz AMG S 63 E PERFORMANCE</v>
      </c>
      <c r="DG152" s="28"/>
      <c r="DH152" s="28"/>
      <c r="DI152" s="28"/>
      <c r="DJ152" s="28"/>
      <c r="DK152" s="28"/>
      <c r="DL152" s="28"/>
      <c r="DM152" s="28"/>
      <c r="DN152" s="28"/>
      <c r="DO152" s="28"/>
      <c r="DP152" s="28"/>
      <c r="DQ152" s="28"/>
      <c r="DR152" s="25"/>
      <c r="DS152" s="25"/>
      <c r="DT152" s="25"/>
      <c r="DU152" s="25"/>
      <c r="DV152" s="25"/>
      <c r="DW152" s="25" t="str">
        <f>$M152</f>
        <v>2025 Mercedes-Benz AMG S 63 E PERFORMANCE</v>
      </c>
      <c r="DX152" s="25"/>
      <c r="DY152" s="25"/>
      <c r="DZ152" s="85"/>
      <c r="EA152" s="89"/>
      <c r="EB152" s="80"/>
      <c r="EC152" s="25"/>
      <c r="ED152" s="85"/>
      <c r="EE152" s="80"/>
      <c r="EF152" s="25"/>
      <c r="EG152" s="25"/>
      <c r="EH152" s="85"/>
      <c r="EI152" s="80"/>
      <c r="EK152" t="s">
        <v>2445</v>
      </c>
      <c r="EL152" s="25" t="str">
        <f>$M152</f>
        <v>2025 Mercedes-Benz AMG S 63 E PERFORMANCE</v>
      </c>
      <c r="EM152" s="80"/>
      <c r="EP152" s="75"/>
      <c r="EQ152" s="90"/>
      <c r="ET152" s="75"/>
      <c r="EU152" s="90"/>
      <c r="EV152" s="75"/>
      <c r="EW152" s="90"/>
      <c r="EY152" s="75"/>
      <c r="EZ152" s="102"/>
      <c r="FA152" s="25" t="str">
        <f>$M152</f>
        <v>2025 Mercedes-Benz AMG S 63 E PERFORMANCE</v>
      </c>
      <c r="FB152" s="75"/>
      <c r="FC152" s="91"/>
      <c r="FD152" s="80"/>
      <c r="FE152" s="25"/>
      <c r="FF152" s="85"/>
      <c r="FG152" s="80"/>
      <c r="FH152" s="25"/>
      <c r="FI152" s="85"/>
      <c r="FJ152" s="80"/>
      <c r="FK152" s="25"/>
      <c r="FL152" s="85"/>
      <c r="FM152" s="25" t="str">
        <f>$M152</f>
        <v>2025 Mercedes-Benz AMG S 63 E PERFORMANCE</v>
      </c>
      <c r="FN152" s="25"/>
      <c r="FO152" s="85"/>
      <c r="FP152" s="92"/>
      <c r="FQ152" s="93"/>
      <c r="FR152" s="94"/>
      <c r="FS152" s="95"/>
      <c r="FT152" s="25"/>
      <c r="FU152" s="25"/>
      <c r="FV152" s="25"/>
      <c r="FW152" s="25"/>
      <c r="FX152" s="25"/>
      <c r="FY152" s="25"/>
      <c r="FZ152" s="25"/>
      <c r="GA152" s="25"/>
      <c r="GB152" s="25"/>
      <c r="GC152" s="25"/>
      <c r="GD152" s="25"/>
      <c r="GE152" s="25"/>
      <c r="GF152" s="25"/>
      <c r="GG152" s="25"/>
      <c r="GH152" s="25"/>
    </row>
    <row r="153" spans="1:190" s="76" customFormat="1" x14ac:dyDescent="0.35">
      <c r="A153" s="76">
        <v>2025</v>
      </c>
      <c r="B153" s="76" t="s">
        <v>279</v>
      </c>
      <c r="C153" s="76" t="s">
        <v>279</v>
      </c>
      <c r="D153" s="76" t="s">
        <v>2654</v>
      </c>
      <c r="E153" s="76" t="s">
        <v>281</v>
      </c>
      <c r="F153" s="76">
        <v>205</v>
      </c>
      <c r="G153" s="78">
        <v>4</v>
      </c>
      <c r="H153" s="76">
        <v>8</v>
      </c>
      <c r="I153" s="79" t="s">
        <v>282</v>
      </c>
      <c r="J153" s="96">
        <v>15</v>
      </c>
      <c r="K153" s="76">
        <v>23</v>
      </c>
      <c r="L153" s="76">
        <v>18</v>
      </c>
      <c r="M153" s="76">
        <v>19.899999999999999</v>
      </c>
      <c r="N153" s="76">
        <v>29</v>
      </c>
      <c r="O153" s="76">
        <v>23.1721</v>
      </c>
      <c r="P153" s="76">
        <v>15.399699999999999</v>
      </c>
      <c r="Q153" s="76">
        <v>23.017900000000001</v>
      </c>
      <c r="R153" s="76">
        <v>18.0946</v>
      </c>
      <c r="T153" s="76" t="s">
        <v>165</v>
      </c>
      <c r="U153" s="76" t="s">
        <v>166</v>
      </c>
      <c r="V153" s="76" t="s">
        <v>167</v>
      </c>
      <c r="W153" s="76" t="s">
        <v>168</v>
      </c>
      <c r="Y153" s="76">
        <v>9</v>
      </c>
      <c r="Z153" s="76" t="s">
        <v>169</v>
      </c>
      <c r="AA153" s="76" t="s">
        <v>170</v>
      </c>
      <c r="AB153" s="76" t="s">
        <v>167</v>
      </c>
      <c r="AC153" s="76" t="s">
        <v>213</v>
      </c>
      <c r="AD153" s="76">
        <v>10</v>
      </c>
      <c r="AF153" s="76">
        <v>378</v>
      </c>
      <c r="AG153" s="76" t="s">
        <v>214</v>
      </c>
      <c r="AH153" s="76" t="s">
        <v>215</v>
      </c>
      <c r="AI153" s="76" t="s">
        <v>175</v>
      </c>
      <c r="AJ153" s="79" t="s">
        <v>176</v>
      </c>
      <c r="AK153" s="96" t="s">
        <v>170</v>
      </c>
      <c r="AL153" s="76" t="s">
        <v>177</v>
      </c>
      <c r="AO153" s="76">
        <v>112</v>
      </c>
      <c r="AP153" s="76">
        <v>7</v>
      </c>
      <c r="AR153" s="79"/>
      <c r="AS153" s="96">
        <v>2800</v>
      </c>
      <c r="AT153" s="79">
        <v>2800</v>
      </c>
      <c r="AU153" s="96">
        <v>70</v>
      </c>
      <c r="AV153" s="76">
        <v>63</v>
      </c>
      <c r="AW153" s="76">
        <v>67</v>
      </c>
      <c r="AX153" s="76">
        <v>51.9</v>
      </c>
      <c r="AY153" s="76">
        <v>44.7</v>
      </c>
      <c r="AZ153" s="76">
        <v>48.66</v>
      </c>
      <c r="BA153" s="76">
        <v>70.302999999999997</v>
      </c>
      <c r="BB153" s="76">
        <v>63.139000000000003</v>
      </c>
      <c r="BC153" s="76">
        <v>67.0792</v>
      </c>
      <c r="BD153" s="76">
        <v>16</v>
      </c>
      <c r="BE153" s="76" t="s">
        <v>1735</v>
      </c>
      <c r="BF153" s="76" t="s">
        <v>1736</v>
      </c>
      <c r="BG153" s="76" t="s">
        <v>1742</v>
      </c>
      <c r="BH153" s="76" t="s">
        <v>1743</v>
      </c>
      <c r="BI153" s="76">
        <v>2800</v>
      </c>
      <c r="BJ153" s="2"/>
      <c r="BK153" s="2"/>
      <c r="BL153" s="2"/>
      <c r="BM153" s="79"/>
      <c r="BN153" s="98" t="s">
        <v>2493</v>
      </c>
      <c r="BO153" s="76">
        <v>2</v>
      </c>
      <c r="BP153" s="76">
        <v>2</v>
      </c>
      <c r="BQ153" s="76">
        <v>5</v>
      </c>
      <c r="BR153" s="76" t="s">
        <v>672</v>
      </c>
      <c r="BS153" s="76" t="s">
        <v>180</v>
      </c>
      <c r="BT153" s="76" t="s">
        <v>2494</v>
      </c>
      <c r="BU153" s="99">
        <v>45562</v>
      </c>
      <c r="BV153" s="79">
        <v>35629</v>
      </c>
      <c r="BW153" s="120"/>
      <c r="BX153" s="96"/>
      <c r="BY153" s="76" t="s">
        <v>170</v>
      </c>
      <c r="CB153" s="76" t="s">
        <v>170</v>
      </c>
      <c r="CC153" s="76" t="s">
        <v>170</v>
      </c>
      <c r="CD153" s="76" t="s">
        <v>2634</v>
      </c>
      <c r="CE153" s="76" t="s">
        <v>170</v>
      </c>
      <c r="CG153" s="76" t="s">
        <v>169</v>
      </c>
      <c r="CH153" s="76" t="s">
        <v>284</v>
      </c>
      <c r="CI153" s="76" t="s">
        <v>170</v>
      </c>
      <c r="CK153" s="76" t="s">
        <v>233</v>
      </c>
      <c r="CM153" s="76">
        <v>1</v>
      </c>
      <c r="CN153" s="76" t="s">
        <v>234</v>
      </c>
      <c r="CP153" s="76">
        <v>360</v>
      </c>
      <c r="CQ153" s="76">
        <v>80</v>
      </c>
      <c r="CR153" s="76">
        <v>70.400000000000006</v>
      </c>
      <c r="CS153" s="76" t="s">
        <v>1752</v>
      </c>
      <c r="CV153" s="76" t="s">
        <v>341</v>
      </c>
      <c r="CX153" s="76" t="s">
        <v>342</v>
      </c>
      <c r="CY153" s="76" t="s">
        <v>170</v>
      </c>
      <c r="DC153" s="76" t="s">
        <v>2635</v>
      </c>
      <c r="DD153" s="76">
        <v>2</v>
      </c>
      <c r="DE153" s="76" t="s">
        <v>404</v>
      </c>
      <c r="DF153" s="76" t="s">
        <v>499</v>
      </c>
      <c r="DG153" s="76" t="s">
        <v>2636</v>
      </c>
      <c r="DJ153" s="76" t="s">
        <v>184</v>
      </c>
      <c r="DK153" s="76" t="s">
        <v>185</v>
      </c>
      <c r="DL153" s="76" t="s">
        <v>170</v>
      </c>
      <c r="DM153" s="76" t="s">
        <v>169</v>
      </c>
      <c r="DN153" s="76" t="s">
        <v>170</v>
      </c>
      <c r="DO153" s="76" t="s">
        <v>259</v>
      </c>
      <c r="DP153" s="76" t="s">
        <v>169</v>
      </c>
      <c r="DQ153" s="76" t="s">
        <v>198</v>
      </c>
      <c r="DR153" s="76" t="s">
        <v>2654</v>
      </c>
      <c r="DS153" s="76" t="s">
        <v>2496</v>
      </c>
      <c r="DT153" s="76" t="s">
        <v>2497</v>
      </c>
      <c r="DU153" s="76" t="s">
        <v>2498</v>
      </c>
      <c r="DV153" s="76" t="s">
        <v>2499</v>
      </c>
      <c r="DY153" s="76">
        <v>23.3</v>
      </c>
      <c r="DZ153" s="79"/>
      <c r="EA153" s="101"/>
      <c r="EB153" s="96">
        <v>5</v>
      </c>
      <c r="EC153" s="76">
        <v>6</v>
      </c>
      <c r="ED153" s="79">
        <v>10</v>
      </c>
      <c r="EE153" s="96" t="s">
        <v>2638</v>
      </c>
      <c r="EF153" s="76">
        <v>4</v>
      </c>
      <c r="EH153" s="79"/>
      <c r="EI153" s="96"/>
      <c r="EM153" s="96"/>
      <c r="EP153" s="79"/>
      <c r="EQ153" s="96"/>
      <c r="ET153" s="79"/>
      <c r="EU153" s="96"/>
      <c r="EV153" s="79">
        <v>4500</v>
      </c>
      <c r="EW153" s="96">
        <v>0</v>
      </c>
      <c r="EX153" s="76">
        <v>0</v>
      </c>
      <c r="EY153" s="79">
        <v>0</v>
      </c>
      <c r="EZ153" s="102">
        <f t="shared" si="59"/>
        <v>305</v>
      </c>
      <c r="FA153" s="76">
        <v>2.82</v>
      </c>
      <c r="FB153" s="79"/>
      <c r="FC153" s="97">
        <v>390</v>
      </c>
      <c r="FD153" s="96">
        <v>20</v>
      </c>
      <c r="FE153" s="76">
        <v>29</v>
      </c>
      <c r="FF153" s="79">
        <v>23</v>
      </c>
      <c r="FG153" s="76">
        <v>359</v>
      </c>
      <c r="FH153" s="76">
        <v>239</v>
      </c>
      <c r="FI153" s="103">
        <v>305</v>
      </c>
      <c r="FJ153" s="104">
        <v>15.94</v>
      </c>
      <c r="FK153" s="105">
        <v>16.64</v>
      </c>
      <c r="FL153" s="79">
        <v>16</v>
      </c>
      <c r="FM153" s="76">
        <v>0.39</v>
      </c>
      <c r="FN153" s="76">
        <v>0.40200000000000002</v>
      </c>
      <c r="FO153" s="79">
        <v>0.39500000000000002</v>
      </c>
      <c r="FP153" s="106">
        <v>0</v>
      </c>
      <c r="FQ153" s="107">
        <v>0</v>
      </c>
      <c r="FR153" s="107">
        <v>0</v>
      </c>
      <c r="FS153" s="108">
        <v>20.100000000000001</v>
      </c>
    </row>
    <row r="154" spans="1:190" s="76" customFormat="1" x14ac:dyDescent="0.35">
      <c r="A154" s="76">
        <v>2025</v>
      </c>
      <c r="B154" s="162" t="s">
        <v>279</v>
      </c>
      <c r="C154" s="162" t="s">
        <v>279</v>
      </c>
      <c r="D154" s="162" t="s">
        <v>2654</v>
      </c>
      <c r="E154" s="162" t="s">
        <v>281</v>
      </c>
      <c r="F154" s="162">
        <v>205</v>
      </c>
      <c r="G154" s="162">
        <v>4</v>
      </c>
      <c r="H154" s="162">
        <v>8</v>
      </c>
      <c r="I154" s="163" t="s">
        <v>282</v>
      </c>
      <c r="J154" s="96">
        <f t="shared" ref="J154:R154" si="66">J153</f>
        <v>15</v>
      </c>
      <c r="K154" s="76">
        <f t="shared" si="66"/>
        <v>23</v>
      </c>
      <c r="L154" s="76">
        <f t="shared" si="66"/>
        <v>18</v>
      </c>
      <c r="M154" s="76">
        <f t="shared" si="66"/>
        <v>19.899999999999999</v>
      </c>
      <c r="N154" s="76">
        <f t="shared" si="66"/>
        <v>29</v>
      </c>
      <c r="O154" s="76">
        <f t="shared" si="66"/>
        <v>23.1721</v>
      </c>
      <c r="P154" s="76">
        <f t="shared" si="66"/>
        <v>15.399699999999999</v>
      </c>
      <c r="Q154" s="76">
        <f t="shared" si="66"/>
        <v>23.017900000000001</v>
      </c>
      <c r="R154" s="76">
        <f t="shared" si="66"/>
        <v>18.0946</v>
      </c>
      <c r="T154" s="76" t="str">
        <f>T153</f>
        <v>TC</v>
      </c>
      <c r="U154" s="76" t="str">
        <f>U153</f>
        <v>Turbocharged</v>
      </c>
      <c r="V154" s="76" t="str">
        <f>V153</f>
        <v>A</v>
      </c>
      <c r="W154" s="76" t="str">
        <f>W153</f>
        <v>Automatic</v>
      </c>
      <c r="Y154" s="76">
        <f t="shared" ref="Y154:AD154" si="67">Y153</f>
        <v>9</v>
      </c>
      <c r="Z154" s="76" t="str">
        <f t="shared" si="67"/>
        <v>Y</v>
      </c>
      <c r="AA154" s="76" t="str">
        <f t="shared" si="67"/>
        <v>N</v>
      </c>
      <c r="AB154" s="76" t="str">
        <f t="shared" si="67"/>
        <v>A</v>
      </c>
      <c r="AC154" s="76" t="str">
        <f t="shared" si="67"/>
        <v>All Wheel Drive</v>
      </c>
      <c r="AD154" s="76">
        <f t="shared" si="67"/>
        <v>10</v>
      </c>
      <c r="AF154" s="76">
        <f>AF153</f>
        <v>378</v>
      </c>
      <c r="AG154" s="76" t="str">
        <f>AG153</f>
        <v>GPR</v>
      </c>
      <c r="AH154" s="76" t="str">
        <f>AH153</f>
        <v>Gasoline (Premium Unleaded Required)</v>
      </c>
      <c r="AI154" s="76" t="str">
        <f>AI153</f>
        <v>MPG</v>
      </c>
      <c r="AJ154" s="79" t="str">
        <f>AJ153</f>
        <v>miles per gallon</v>
      </c>
      <c r="AK154" s="96" t="s">
        <v>170</v>
      </c>
      <c r="AL154" s="76" t="s">
        <v>177</v>
      </c>
      <c r="AO154" s="76">
        <v>112</v>
      </c>
      <c r="AP154" s="76">
        <v>7</v>
      </c>
      <c r="AR154" s="79"/>
      <c r="AS154" s="96">
        <v>2800</v>
      </c>
      <c r="AT154" s="79">
        <v>2800</v>
      </c>
      <c r="AU154" s="96">
        <v>46</v>
      </c>
      <c r="AV154" s="76">
        <v>53</v>
      </c>
      <c r="AW154" s="76">
        <v>49</v>
      </c>
      <c r="AX154" s="76">
        <v>65</v>
      </c>
      <c r="AY154" s="76">
        <v>75.400000000000006</v>
      </c>
      <c r="AZ154" s="76">
        <v>69.301500000000004</v>
      </c>
      <c r="BA154" s="76">
        <v>46.456200000000003</v>
      </c>
      <c r="BB154" s="76">
        <v>52.966999999999999</v>
      </c>
      <c r="BC154" s="76">
        <v>49.176400000000001</v>
      </c>
      <c r="BD154" s="76">
        <v>16</v>
      </c>
      <c r="BE154" s="76" t="s">
        <v>1735</v>
      </c>
      <c r="BF154" s="76" t="s">
        <v>1736</v>
      </c>
      <c r="BG154" s="76" t="s">
        <v>175</v>
      </c>
      <c r="BH154" s="76" t="s">
        <v>176</v>
      </c>
      <c r="BI154" s="76">
        <v>2800</v>
      </c>
      <c r="BM154" s="79"/>
      <c r="BN154" s="98" t="s">
        <v>2493</v>
      </c>
      <c r="BO154" s="76">
        <v>2</v>
      </c>
      <c r="BP154" s="76">
        <v>2</v>
      </c>
      <c r="BQ154" s="76">
        <v>5</v>
      </c>
      <c r="BR154" s="76" t="s">
        <v>672</v>
      </c>
      <c r="BS154" s="76" t="s">
        <v>180</v>
      </c>
      <c r="BT154" s="76" t="s">
        <v>2494</v>
      </c>
      <c r="BU154" s="99">
        <v>45562</v>
      </c>
      <c r="BV154" s="79">
        <v>35629</v>
      </c>
      <c r="BW154" s="120"/>
      <c r="BX154" s="96"/>
      <c r="BY154" s="76" t="s">
        <v>170</v>
      </c>
      <c r="CB154" s="76" t="s">
        <v>170</v>
      </c>
      <c r="CC154" s="76" t="s">
        <v>170</v>
      </c>
      <c r="CD154" s="76" t="s">
        <v>2634</v>
      </c>
      <c r="CE154" s="76" t="s">
        <v>170</v>
      </c>
      <c r="CG154" s="76" t="s">
        <v>169</v>
      </c>
      <c r="CH154" s="76" t="s">
        <v>284</v>
      </c>
      <c r="CI154" s="76" t="s">
        <v>170</v>
      </c>
      <c r="CK154" s="76" t="s">
        <v>233</v>
      </c>
      <c r="CM154" s="76">
        <v>1</v>
      </c>
      <c r="CN154" s="76" t="s">
        <v>234</v>
      </c>
      <c r="CP154" s="76">
        <v>360</v>
      </c>
      <c r="CQ154" s="76">
        <v>80</v>
      </c>
      <c r="CR154" s="76">
        <v>70.400000000000006</v>
      </c>
      <c r="CS154" s="76" t="s">
        <v>1752</v>
      </c>
      <c r="CV154" s="76" t="s">
        <v>341</v>
      </c>
      <c r="CX154" s="76" t="s">
        <v>342</v>
      </c>
      <c r="CY154" s="76" t="s">
        <v>170</v>
      </c>
      <c r="DC154" s="76" t="s">
        <v>2635</v>
      </c>
      <c r="DD154" s="76">
        <v>2</v>
      </c>
      <c r="DE154" s="76" t="s">
        <v>404</v>
      </c>
      <c r="DF154" s="76" t="s">
        <v>499</v>
      </c>
      <c r="DG154" s="76" t="s">
        <v>2636</v>
      </c>
      <c r="DJ154" s="76" t="s">
        <v>184</v>
      </c>
      <c r="DK154" s="76" t="s">
        <v>185</v>
      </c>
      <c r="DL154" s="76" t="s">
        <v>170</v>
      </c>
      <c r="DM154" s="76" t="s">
        <v>169</v>
      </c>
      <c r="DN154" s="76" t="s">
        <v>170</v>
      </c>
      <c r="DO154" s="76" t="s">
        <v>259</v>
      </c>
      <c r="DP154" s="76" t="s">
        <v>169</v>
      </c>
      <c r="DQ154" s="76" t="s">
        <v>198</v>
      </c>
      <c r="DR154" s="76" t="s">
        <v>2654</v>
      </c>
      <c r="DS154" s="76" t="s">
        <v>2496</v>
      </c>
      <c r="DT154" s="76" t="s">
        <v>2497</v>
      </c>
      <c r="DU154" s="76" t="s">
        <v>2498</v>
      </c>
      <c r="DV154" s="76" t="s">
        <v>2499</v>
      </c>
      <c r="DY154" s="76">
        <v>23.3</v>
      </c>
      <c r="DZ154" s="79"/>
      <c r="EA154" s="101"/>
      <c r="EB154" s="96">
        <v>5</v>
      </c>
      <c r="EC154" s="76">
        <v>6</v>
      </c>
      <c r="ED154" s="79">
        <v>10</v>
      </c>
      <c r="EE154" s="96" t="s">
        <v>2638</v>
      </c>
      <c r="EF154" s="76">
        <v>4</v>
      </c>
      <c r="EH154" s="79"/>
      <c r="EI154" s="96"/>
      <c r="EM154" s="96"/>
      <c r="EP154" s="79"/>
      <c r="EQ154" s="96"/>
      <c r="ET154" s="79"/>
      <c r="EU154" s="96"/>
      <c r="EV154" s="79">
        <v>4500</v>
      </c>
      <c r="EW154" s="96">
        <v>574</v>
      </c>
      <c r="EX154" s="76">
        <v>383</v>
      </c>
      <c r="EY154" s="79">
        <v>488</v>
      </c>
      <c r="EZ154" s="102">
        <f t="shared" si="59"/>
        <v>305</v>
      </c>
      <c r="FA154" s="76">
        <v>2.82</v>
      </c>
      <c r="FB154" s="79"/>
      <c r="FC154" s="97">
        <v>390</v>
      </c>
      <c r="FD154" s="96">
        <v>20</v>
      </c>
      <c r="FE154" s="76">
        <v>29</v>
      </c>
      <c r="FF154" s="79">
        <v>23</v>
      </c>
      <c r="FG154" s="76">
        <v>359</v>
      </c>
      <c r="FH154" s="76">
        <v>239</v>
      </c>
      <c r="FI154" s="103">
        <v>305</v>
      </c>
      <c r="FJ154" s="98" t="s">
        <v>2655</v>
      </c>
      <c r="FK154" s="111"/>
      <c r="FL154" s="103"/>
      <c r="FM154" s="76">
        <v>0.39</v>
      </c>
      <c r="FN154" s="76">
        <v>0.40200000000000002</v>
      </c>
      <c r="FO154" s="79">
        <v>0.39500000000000002</v>
      </c>
      <c r="FP154" s="106"/>
      <c r="FQ154" s="107"/>
      <c r="FR154" s="107"/>
      <c r="FS154" s="108">
        <v>20.100000000000001</v>
      </c>
    </row>
    <row r="155" spans="1:190" s="77" customFormat="1" x14ac:dyDescent="0.35">
      <c r="A155" s="76"/>
      <c r="E155" s="76"/>
      <c r="F155" s="76"/>
      <c r="G155" s="78"/>
      <c r="H155" s="76"/>
      <c r="I155" s="79"/>
      <c r="J155" s="80"/>
      <c r="K155" s="28"/>
      <c r="L155" s="28"/>
      <c r="M155" s="25" t="str">
        <f>_xlfn.CONCAT(A156," ",C156," ",D156)</f>
        <v>2025 Mercedes-Benz S 580 e 4MATIC</v>
      </c>
      <c r="N155" s="28"/>
      <c r="O155" s="28"/>
      <c r="P155" s="28"/>
      <c r="Q155" s="28"/>
      <c r="R155" s="28"/>
      <c r="S155" s="28"/>
      <c r="T155" s="28"/>
      <c r="U155" s="28"/>
      <c r="V155" s="28"/>
      <c r="W155" s="28"/>
      <c r="X155" s="28"/>
      <c r="Y155" s="28"/>
      <c r="Z155" s="28"/>
      <c r="AA155" s="28"/>
      <c r="AB155" s="28"/>
      <c r="AC155" s="28"/>
      <c r="AD155" s="25" t="str">
        <f>$M155</f>
        <v>2025 Mercedes-Benz S 580 e 4MATIC</v>
      </c>
      <c r="AE155" s="28"/>
      <c r="AF155" s="28"/>
      <c r="AG155" s="28"/>
      <c r="AH155" s="28"/>
      <c r="AI155" s="28"/>
      <c r="AJ155" s="81"/>
      <c r="AK155" s="82"/>
      <c r="AL155" s="2"/>
      <c r="AM155" s="2"/>
      <c r="AN155" s="2"/>
      <c r="AO155" s="2"/>
      <c r="AP155" s="2"/>
      <c r="AQ155" s="2"/>
      <c r="AR155" s="83"/>
      <c r="AS155" s="84"/>
      <c r="AT155" s="85" t="str">
        <f>$M155</f>
        <v>2025 Mercedes-Benz S 580 e 4MATIC</v>
      </c>
      <c r="AU155" s="84"/>
      <c r="AV155" s="28"/>
      <c r="AW155" s="28"/>
      <c r="AX155" s="28"/>
      <c r="AY155" s="28"/>
      <c r="AZ155" s="28"/>
      <c r="BA155" s="28"/>
      <c r="BB155" s="28"/>
      <c r="BC155" s="28"/>
      <c r="BD155" s="28"/>
      <c r="BE155" s="28"/>
      <c r="BF155" s="28"/>
      <c r="BG155" s="28"/>
      <c r="BH155" s="28"/>
      <c r="BI155" s="25" t="str">
        <f>$M155</f>
        <v>2025 Mercedes-Benz S 580 e 4MATIC</v>
      </c>
      <c r="BJ155" s="28"/>
      <c r="BK155" s="28"/>
      <c r="BL155" s="28"/>
      <c r="BM155" s="81"/>
      <c r="BN155" s="82"/>
      <c r="BO155" s="2"/>
      <c r="BP155" s="2"/>
      <c r="BQ155" s="2"/>
      <c r="BR155" s="2"/>
      <c r="BS155" s="2"/>
      <c r="BT155" s="86"/>
      <c r="BU155" s="2"/>
      <c r="BV155" s="83"/>
      <c r="BW155" s="121"/>
      <c r="BX155" s="84"/>
      <c r="BY155" s="25" t="str">
        <f>$M155</f>
        <v>2025 Mercedes-Benz S 580 e 4MATIC</v>
      </c>
      <c r="BZ155" s="28"/>
      <c r="CA155" s="28"/>
      <c r="CB155" s="28"/>
      <c r="CC155" s="28"/>
      <c r="CD155" s="28"/>
      <c r="CE155" s="88"/>
      <c r="CF155" s="28"/>
      <c r="CG155" s="28"/>
      <c r="CH155" s="28"/>
      <c r="CI155" s="28"/>
      <c r="CJ155" s="28"/>
      <c r="CK155" s="28"/>
      <c r="CL155" s="28"/>
      <c r="CM155" s="28"/>
      <c r="CN155" s="28"/>
      <c r="CO155" s="25" t="str">
        <f>$M155</f>
        <v>2025 Mercedes-Benz S 580 e 4MATIC</v>
      </c>
      <c r="CP155" s="28"/>
      <c r="CQ155" s="28"/>
      <c r="CR155" s="28"/>
      <c r="CS155" s="28"/>
      <c r="CT155" s="28"/>
      <c r="CU155" s="28"/>
      <c r="CV155" s="28"/>
      <c r="CW155" s="28"/>
      <c r="CX155" s="28"/>
      <c r="CY155" s="28"/>
      <c r="CZ155" s="28"/>
      <c r="DA155" s="28"/>
      <c r="DB155" s="28"/>
      <c r="DC155" s="28"/>
      <c r="DD155" s="28"/>
      <c r="DE155" s="28"/>
      <c r="DF155" s="25" t="str">
        <f>$M155</f>
        <v>2025 Mercedes-Benz S 580 e 4MATIC</v>
      </c>
      <c r="DG155" s="28"/>
      <c r="DH155" s="28"/>
      <c r="DI155" s="28"/>
      <c r="DJ155" s="28"/>
      <c r="DK155" s="28"/>
      <c r="DL155" s="28"/>
      <c r="DM155" s="28"/>
      <c r="DN155" s="28"/>
      <c r="DO155" s="28"/>
      <c r="DP155" s="28"/>
      <c r="DQ155" s="28"/>
      <c r="DR155" s="25"/>
      <c r="DS155" s="25"/>
      <c r="DT155" s="25"/>
      <c r="DU155" s="25"/>
      <c r="DV155" s="25"/>
      <c r="DW155" s="25" t="str">
        <f>$M155</f>
        <v>2025 Mercedes-Benz S 580 e 4MATIC</v>
      </c>
      <c r="DX155" s="25"/>
      <c r="DY155" s="25"/>
      <c r="DZ155" s="85"/>
      <c r="EA155" s="89"/>
      <c r="EB155" s="80"/>
      <c r="EC155" s="25"/>
      <c r="ED155" s="85"/>
      <c r="EE155" s="80"/>
      <c r="EF155" s="25"/>
      <c r="EG155" s="25"/>
      <c r="EH155" s="85"/>
      <c r="EI155" s="80"/>
      <c r="EK155" t="s">
        <v>2445</v>
      </c>
      <c r="EL155" s="25" t="str">
        <f>$M155</f>
        <v>2025 Mercedes-Benz S 580 e 4MATIC</v>
      </c>
      <c r="EM155" s="80"/>
      <c r="EP155" s="75"/>
      <c r="EQ155" s="90"/>
      <c r="ET155" s="75"/>
      <c r="EU155" s="90"/>
      <c r="EV155" s="75"/>
      <c r="EW155" s="90"/>
      <c r="EY155" s="75"/>
      <c r="EZ155" s="102"/>
      <c r="FA155" s="25" t="str">
        <f>$M155</f>
        <v>2025 Mercedes-Benz S 580 e 4MATIC</v>
      </c>
      <c r="FB155" s="75"/>
      <c r="FC155" s="91"/>
      <c r="FD155" s="80"/>
      <c r="FE155" s="25"/>
      <c r="FF155" s="85"/>
      <c r="FG155" s="80"/>
      <c r="FH155" s="25"/>
      <c r="FI155" s="85"/>
      <c r="FJ155" s="80"/>
      <c r="FK155" s="25"/>
      <c r="FL155" s="85"/>
      <c r="FM155" s="25" t="str">
        <f>$M155</f>
        <v>2025 Mercedes-Benz S 580 e 4MATIC</v>
      </c>
      <c r="FN155" s="25"/>
      <c r="FO155" s="85"/>
      <c r="FP155" s="92"/>
      <c r="FQ155" s="93"/>
      <c r="FR155" s="94"/>
      <c r="FS155" s="95"/>
      <c r="FT155" s="25"/>
      <c r="FU155" s="25"/>
      <c r="FV155" s="25"/>
      <c r="FW155" s="25"/>
      <c r="FX155" s="25"/>
      <c r="FY155" s="25"/>
      <c r="FZ155" s="25"/>
      <c r="GA155" s="25"/>
      <c r="GB155" s="25"/>
      <c r="GC155" s="25"/>
      <c r="GD155" s="25"/>
      <c r="GE155" s="25"/>
      <c r="GF155" s="25"/>
      <c r="GG155" s="25"/>
      <c r="GH155" s="25"/>
    </row>
    <row r="156" spans="1:190" s="76" customFormat="1" x14ac:dyDescent="0.35">
      <c r="A156" s="76">
        <v>2025</v>
      </c>
      <c r="B156" s="76" t="s">
        <v>279</v>
      </c>
      <c r="C156" s="76" t="s">
        <v>279</v>
      </c>
      <c r="D156" s="76" t="s">
        <v>2656</v>
      </c>
      <c r="E156" s="76" t="s">
        <v>281</v>
      </c>
      <c r="F156" s="76">
        <v>980</v>
      </c>
      <c r="G156" s="78">
        <v>3</v>
      </c>
      <c r="H156" s="76">
        <v>6</v>
      </c>
      <c r="I156" s="79" t="s">
        <v>282</v>
      </c>
      <c r="J156" s="96">
        <v>20</v>
      </c>
      <c r="K156" s="76">
        <v>29</v>
      </c>
      <c r="L156" s="76">
        <v>23</v>
      </c>
      <c r="M156" s="76">
        <v>26.3</v>
      </c>
      <c r="N156" s="76">
        <v>39.6</v>
      </c>
      <c r="O156" s="76">
        <v>30.982600000000001</v>
      </c>
      <c r="P156" s="76">
        <v>19.7376</v>
      </c>
      <c r="Q156" s="76">
        <v>28.52</v>
      </c>
      <c r="R156" s="76">
        <v>22.912700000000001</v>
      </c>
      <c r="T156" s="76" t="s">
        <v>165</v>
      </c>
      <c r="U156" s="76" t="s">
        <v>166</v>
      </c>
      <c r="V156" s="76" t="s">
        <v>167</v>
      </c>
      <c r="W156" s="76" t="s">
        <v>168</v>
      </c>
      <c r="Y156" s="76">
        <v>9</v>
      </c>
      <c r="Z156" s="76" t="s">
        <v>169</v>
      </c>
      <c r="AA156" s="76" t="s">
        <v>170</v>
      </c>
      <c r="AB156" s="76" t="s">
        <v>167</v>
      </c>
      <c r="AC156" s="76" t="s">
        <v>213</v>
      </c>
      <c r="AD156" s="76">
        <v>10</v>
      </c>
      <c r="AF156" s="76">
        <v>419</v>
      </c>
      <c r="AG156" s="76" t="s">
        <v>214</v>
      </c>
      <c r="AH156" s="76" t="s">
        <v>215</v>
      </c>
      <c r="AI156" s="76" t="s">
        <v>175</v>
      </c>
      <c r="AJ156" s="79" t="s">
        <v>176</v>
      </c>
      <c r="AK156" s="96" t="s">
        <v>170</v>
      </c>
      <c r="AL156" s="76" t="s">
        <v>177</v>
      </c>
      <c r="AO156" s="76">
        <v>112</v>
      </c>
      <c r="AP156" s="76">
        <v>8</v>
      </c>
      <c r="AR156" s="79"/>
      <c r="AS156" s="96">
        <v>1700</v>
      </c>
      <c r="AT156" s="79">
        <v>1700</v>
      </c>
      <c r="AU156" s="96">
        <v>57</v>
      </c>
      <c r="AV156" s="76">
        <v>48</v>
      </c>
      <c r="AW156" s="76">
        <v>53</v>
      </c>
      <c r="AX156" s="76">
        <v>40.5</v>
      </c>
      <c r="AY156" s="76">
        <v>33.6</v>
      </c>
      <c r="AZ156" s="76">
        <v>37.395000000000003</v>
      </c>
      <c r="BA156" s="76">
        <v>57.243000000000002</v>
      </c>
      <c r="BB156" s="76">
        <v>47.968000000000004</v>
      </c>
      <c r="BC156" s="76">
        <v>53.096200000000003</v>
      </c>
      <c r="BD156" s="76">
        <v>48</v>
      </c>
      <c r="BE156" s="76" t="s">
        <v>1735</v>
      </c>
      <c r="BF156" s="76" t="s">
        <v>1736</v>
      </c>
      <c r="BG156" s="76" t="s">
        <v>1742</v>
      </c>
      <c r="BH156" s="76" t="s">
        <v>1743</v>
      </c>
      <c r="BI156" s="76">
        <v>1700</v>
      </c>
      <c r="BJ156" s="2"/>
      <c r="BK156" s="2"/>
      <c r="BL156" s="2"/>
      <c r="BM156" s="79"/>
      <c r="BN156" s="98" t="s">
        <v>2493</v>
      </c>
      <c r="BO156" s="76">
        <v>2</v>
      </c>
      <c r="BP156" s="76">
        <v>2</v>
      </c>
      <c r="BQ156" s="76">
        <v>6</v>
      </c>
      <c r="BR156" s="76" t="s">
        <v>825</v>
      </c>
      <c r="BS156" s="76" t="s">
        <v>180</v>
      </c>
      <c r="BT156" s="76" t="s">
        <v>2494</v>
      </c>
      <c r="BU156" s="99">
        <v>45583</v>
      </c>
      <c r="BV156" s="79">
        <v>35738</v>
      </c>
      <c r="BW156" s="120"/>
      <c r="BX156" s="96"/>
      <c r="CB156" s="76" t="s">
        <v>170</v>
      </c>
      <c r="CC156" s="76" t="s">
        <v>170</v>
      </c>
      <c r="CD156" s="76" t="s">
        <v>2657</v>
      </c>
      <c r="CE156" s="76" t="s">
        <v>170</v>
      </c>
      <c r="CG156" s="76" t="s">
        <v>169</v>
      </c>
      <c r="CH156" s="76" t="s">
        <v>284</v>
      </c>
      <c r="CI156" s="76" t="s">
        <v>170</v>
      </c>
      <c r="CK156" s="76" t="s">
        <v>233</v>
      </c>
      <c r="CM156" s="76">
        <v>1</v>
      </c>
      <c r="CN156" s="76" t="s">
        <v>234</v>
      </c>
      <c r="CP156" s="76">
        <v>394</v>
      </c>
      <c r="CQ156" s="76">
        <v>57.72</v>
      </c>
      <c r="CR156" s="76">
        <v>118.7</v>
      </c>
      <c r="CS156" s="76" t="s">
        <v>1752</v>
      </c>
      <c r="CV156" s="76" t="s">
        <v>341</v>
      </c>
      <c r="CX156" s="76" t="s">
        <v>342</v>
      </c>
      <c r="CY156" s="76" t="s">
        <v>170</v>
      </c>
      <c r="DC156" s="76" t="s">
        <v>2657</v>
      </c>
      <c r="DD156" s="76">
        <v>1</v>
      </c>
      <c r="DE156" s="76" t="s">
        <v>404</v>
      </c>
      <c r="DF156" s="76" t="s">
        <v>499</v>
      </c>
      <c r="DG156" s="76">
        <v>110</v>
      </c>
      <c r="DJ156" s="76" t="s">
        <v>184</v>
      </c>
      <c r="DK156" s="76" t="s">
        <v>185</v>
      </c>
      <c r="DL156" s="76" t="s">
        <v>170</v>
      </c>
      <c r="DM156" s="76" t="s">
        <v>169</v>
      </c>
      <c r="DN156" s="76" t="s">
        <v>170</v>
      </c>
      <c r="DO156" s="76" t="s">
        <v>345</v>
      </c>
      <c r="DP156" s="76" t="s">
        <v>170</v>
      </c>
      <c r="DQ156" s="76" t="s">
        <v>187</v>
      </c>
      <c r="DR156" s="76" t="s">
        <v>2658</v>
      </c>
      <c r="DS156" s="76" t="s">
        <v>2496</v>
      </c>
      <c r="DT156" s="76" t="s">
        <v>2497</v>
      </c>
      <c r="DU156" s="76" t="s">
        <v>2498</v>
      </c>
      <c r="DV156" s="76" t="s">
        <v>2499</v>
      </c>
      <c r="DY156" s="76">
        <v>31.2</v>
      </c>
      <c r="DZ156" s="79"/>
      <c r="EA156" s="101"/>
      <c r="EB156" s="96">
        <v>7</v>
      </c>
      <c r="EC156" s="76">
        <v>9</v>
      </c>
      <c r="ED156" s="79">
        <v>10</v>
      </c>
      <c r="EE156" s="96" t="s">
        <v>2659</v>
      </c>
      <c r="EF156" s="76">
        <v>6</v>
      </c>
      <c r="EH156" s="79"/>
      <c r="EI156" s="96"/>
      <c r="EM156" s="96"/>
      <c r="EP156" s="79"/>
      <c r="EQ156" s="96"/>
      <c r="ET156" s="79"/>
      <c r="EU156" s="96">
        <v>1000</v>
      </c>
      <c r="EV156" s="79"/>
      <c r="EW156" s="96">
        <v>0</v>
      </c>
      <c r="EX156" s="76">
        <v>0</v>
      </c>
      <c r="EY156" s="79">
        <v>0</v>
      </c>
      <c r="EZ156" s="102">
        <f t="shared" si="59"/>
        <v>106</v>
      </c>
      <c r="FA156" s="76">
        <v>2.75</v>
      </c>
      <c r="FB156" s="79"/>
      <c r="FC156" s="97">
        <v>470</v>
      </c>
      <c r="FD156" s="96">
        <v>37</v>
      </c>
      <c r="FE156" s="76">
        <v>51</v>
      </c>
      <c r="FF156" s="79">
        <v>42</v>
      </c>
      <c r="FG156" s="76">
        <v>130</v>
      </c>
      <c r="FH156" s="76">
        <v>76</v>
      </c>
      <c r="FI156" s="103">
        <v>106</v>
      </c>
      <c r="FJ156" s="104">
        <v>44.86</v>
      </c>
      <c r="FK156" s="105">
        <v>52.5</v>
      </c>
      <c r="FL156" s="79">
        <v>48</v>
      </c>
      <c r="FM156" s="76">
        <v>0.71199999999999997</v>
      </c>
      <c r="FN156" s="76">
        <v>0.75700000000000001</v>
      </c>
      <c r="FO156" s="79">
        <v>0.73399999999999999</v>
      </c>
      <c r="FP156" s="106">
        <v>0</v>
      </c>
      <c r="FQ156" s="107">
        <v>0</v>
      </c>
      <c r="FR156" s="107">
        <v>0</v>
      </c>
      <c r="FS156" s="108">
        <v>17.7</v>
      </c>
    </row>
    <row r="157" spans="1:190" s="76" customFormat="1" x14ac:dyDescent="0.35">
      <c r="A157" s="76">
        <v>2025</v>
      </c>
      <c r="B157" s="162" t="s">
        <v>279</v>
      </c>
      <c r="C157" s="162" t="s">
        <v>279</v>
      </c>
      <c r="D157" s="162" t="s">
        <v>2656</v>
      </c>
      <c r="E157" s="162" t="s">
        <v>281</v>
      </c>
      <c r="F157" s="162">
        <v>980</v>
      </c>
      <c r="G157" s="162">
        <v>3</v>
      </c>
      <c r="H157" s="162">
        <v>6</v>
      </c>
      <c r="I157" s="163" t="s">
        <v>282</v>
      </c>
      <c r="J157" s="96">
        <f t="shared" ref="J157:R157" si="68">J156</f>
        <v>20</v>
      </c>
      <c r="K157" s="76">
        <f t="shared" si="68"/>
        <v>29</v>
      </c>
      <c r="L157" s="76">
        <f t="shared" si="68"/>
        <v>23</v>
      </c>
      <c r="M157" s="76">
        <f t="shared" si="68"/>
        <v>26.3</v>
      </c>
      <c r="N157" s="76">
        <f t="shared" si="68"/>
        <v>39.6</v>
      </c>
      <c r="O157" s="76">
        <f t="shared" si="68"/>
        <v>30.982600000000001</v>
      </c>
      <c r="P157" s="76">
        <f t="shared" si="68"/>
        <v>19.7376</v>
      </c>
      <c r="Q157" s="76">
        <f t="shared" si="68"/>
        <v>28.52</v>
      </c>
      <c r="R157" s="76">
        <f t="shared" si="68"/>
        <v>22.912700000000001</v>
      </c>
      <c r="T157" s="76" t="str">
        <f>T156</f>
        <v>TC</v>
      </c>
      <c r="U157" s="76" t="str">
        <f>U156</f>
        <v>Turbocharged</v>
      </c>
      <c r="V157" s="76" t="str">
        <f>V156</f>
        <v>A</v>
      </c>
      <c r="W157" s="76" t="str">
        <f>W156</f>
        <v>Automatic</v>
      </c>
      <c r="Y157" s="76">
        <f t="shared" ref="Y157:AD157" si="69">Y156</f>
        <v>9</v>
      </c>
      <c r="Z157" s="76" t="str">
        <f t="shared" si="69"/>
        <v>Y</v>
      </c>
      <c r="AA157" s="76" t="str">
        <f t="shared" si="69"/>
        <v>N</v>
      </c>
      <c r="AB157" s="76" t="str">
        <f t="shared" si="69"/>
        <v>A</v>
      </c>
      <c r="AC157" s="76" t="str">
        <f t="shared" si="69"/>
        <v>All Wheel Drive</v>
      </c>
      <c r="AD157" s="76">
        <f t="shared" si="69"/>
        <v>10</v>
      </c>
      <c r="AF157" s="76">
        <f>AF156</f>
        <v>419</v>
      </c>
      <c r="AG157" s="76" t="str">
        <f>AG156</f>
        <v>GPR</v>
      </c>
      <c r="AH157" s="76" t="str">
        <f>AH156</f>
        <v>Gasoline (Premium Unleaded Required)</v>
      </c>
      <c r="AI157" s="76" t="str">
        <f>AI156</f>
        <v>MPG</v>
      </c>
      <c r="AJ157" s="79" t="str">
        <f>AJ156</f>
        <v>miles per gallon</v>
      </c>
      <c r="AK157" s="96" t="s">
        <v>170</v>
      </c>
      <c r="AL157" s="76" t="s">
        <v>177</v>
      </c>
      <c r="AO157" s="76">
        <v>112</v>
      </c>
      <c r="AP157" s="76">
        <v>8</v>
      </c>
      <c r="AR157" s="79"/>
      <c r="AS157" s="96">
        <v>1700</v>
      </c>
      <c r="AT157" s="79">
        <v>1700</v>
      </c>
      <c r="AU157" s="96">
        <v>59</v>
      </c>
      <c r="AV157" s="76">
        <v>70</v>
      </c>
      <c r="AW157" s="76">
        <v>63</v>
      </c>
      <c r="AX157" s="76">
        <v>83.2</v>
      </c>
      <c r="AY157" s="76">
        <v>100.3</v>
      </c>
      <c r="AZ157" s="76">
        <v>90.113500000000002</v>
      </c>
      <c r="BA157" s="76">
        <v>58.503999999999998</v>
      </c>
      <c r="BB157" s="76">
        <v>70.213800000000006</v>
      </c>
      <c r="BC157" s="76">
        <v>63.250900000000001</v>
      </c>
      <c r="BD157" s="76">
        <v>48</v>
      </c>
      <c r="BE157" s="76" t="s">
        <v>1735</v>
      </c>
      <c r="BF157" s="76" t="s">
        <v>1736</v>
      </c>
      <c r="BG157" s="76" t="s">
        <v>175</v>
      </c>
      <c r="BH157" s="76" t="s">
        <v>176</v>
      </c>
      <c r="BI157" s="76">
        <v>1700</v>
      </c>
      <c r="BM157" s="79"/>
      <c r="BN157" s="98" t="s">
        <v>2493</v>
      </c>
      <c r="BO157" s="76">
        <v>2</v>
      </c>
      <c r="BP157" s="76">
        <v>2</v>
      </c>
      <c r="BQ157" s="76">
        <v>6</v>
      </c>
      <c r="BR157" s="76" t="s">
        <v>825</v>
      </c>
      <c r="BS157" s="76" t="s">
        <v>180</v>
      </c>
      <c r="BT157" s="76" t="s">
        <v>2494</v>
      </c>
      <c r="BU157" s="99">
        <v>45583</v>
      </c>
      <c r="BV157" s="79">
        <v>35738</v>
      </c>
      <c r="BW157" s="120"/>
      <c r="BX157" s="96"/>
      <c r="CB157" s="76" t="s">
        <v>170</v>
      </c>
      <c r="CC157" s="76" t="s">
        <v>170</v>
      </c>
      <c r="CD157" s="76" t="s">
        <v>2657</v>
      </c>
      <c r="CE157" s="76" t="s">
        <v>170</v>
      </c>
      <c r="CG157" s="76" t="s">
        <v>169</v>
      </c>
      <c r="CH157" s="76" t="s">
        <v>284</v>
      </c>
      <c r="CI157" s="76" t="s">
        <v>170</v>
      </c>
      <c r="CK157" s="76" t="s">
        <v>233</v>
      </c>
      <c r="CM157" s="76">
        <v>1</v>
      </c>
      <c r="CN157" s="76" t="s">
        <v>234</v>
      </c>
      <c r="CP157" s="76">
        <v>394</v>
      </c>
      <c r="CQ157" s="76">
        <v>57.72</v>
      </c>
      <c r="CR157" s="76">
        <v>118.7</v>
      </c>
      <c r="CS157" s="76" t="s">
        <v>1752</v>
      </c>
      <c r="CV157" s="76" t="s">
        <v>341</v>
      </c>
      <c r="CX157" s="76" t="s">
        <v>342</v>
      </c>
      <c r="CY157" s="76" t="s">
        <v>170</v>
      </c>
      <c r="DC157" s="76" t="s">
        <v>2657</v>
      </c>
      <c r="DD157" s="76">
        <v>1</v>
      </c>
      <c r="DE157" s="76" t="s">
        <v>404</v>
      </c>
      <c r="DF157" s="76" t="s">
        <v>499</v>
      </c>
      <c r="DG157" s="76">
        <v>110</v>
      </c>
      <c r="DJ157" s="76" t="s">
        <v>184</v>
      </c>
      <c r="DK157" s="76" t="s">
        <v>185</v>
      </c>
      <c r="DL157" s="76" t="s">
        <v>170</v>
      </c>
      <c r="DM157" s="76" t="s">
        <v>169</v>
      </c>
      <c r="DN157" s="76" t="s">
        <v>170</v>
      </c>
      <c r="DO157" s="76" t="s">
        <v>345</v>
      </c>
      <c r="DP157" s="76" t="s">
        <v>170</v>
      </c>
      <c r="DQ157" s="76" t="s">
        <v>187</v>
      </c>
      <c r="DR157" s="76" t="s">
        <v>2658</v>
      </c>
      <c r="DS157" s="76" t="s">
        <v>2496</v>
      </c>
      <c r="DT157" s="76" t="s">
        <v>2497</v>
      </c>
      <c r="DU157" s="76" t="s">
        <v>2498</v>
      </c>
      <c r="DV157" s="76" t="s">
        <v>2499</v>
      </c>
      <c r="DZ157" s="79"/>
      <c r="EA157" s="101"/>
      <c r="EB157" s="96">
        <v>7</v>
      </c>
      <c r="EC157" s="76">
        <v>9</v>
      </c>
      <c r="ED157" s="79">
        <v>10</v>
      </c>
      <c r="EE157" s="96" t="s">
        <v>2659</v>
      </c>
      <c r="EF157" s="76">
        <v>6</v>
      </c>
      <c r="EH157" s="79"/>
      <c r="EI157" s="96"/>
      <c r="EM157" s="96"/>
      <c r="EP157" s="79"/>
      <c r="EQ157" s="96"/>
      <c r="ET157" s="79"/>
      <c r="EU157" s="96">
        <v>1000</v>
      </c>
      <c r="EV157" s="79"/>
      <c r="EW157" s="96">
        <v>448</v>
      </c>
      <c r="EX157" s="76">
        <v>309</v>
      </c>
      <c r="EY157" s="79">
        <v>386</v>
      </c>
      <c r="EZ157" s="102">
        <f t="shared" si="59"/>
        <v>106</v>
      </c>
      <c r="FA157" s="76">
        <v>2.75</v>
      </c>
      <c r="FB157" s="79"/>
      <c r="FC157" s="97">
        <v>470</v>
      </c>
      <c r="FD157" s="96">
        <v>37</v>
      </c>
      <c r="FE157" s="76">
        <v>51</v>
      </c>
      <c r="FF157" s="79">
        <v>42</v>
      </c>
      <c r="FG157" s="76">
        <v>130</v>
      </c>
      <c r="FH157" s="76">
        <v>76</v>
      </c>
      <c r="FI157" s="103">
        <v>106</v>
      </c>
      <c r="FJ157" s="98" t="s">
        <v>2660</v>
      </c>
      <c r="FK157" s="111"/>
      <c r="FL157" s="103"/>
      <c r="FM157" s="76">
        <v>0.71199999999999997</v>
      </c>
      <c r="FN157" s="76">
        <v>0.75700000000000001</v>
      </c>
      <c r="FO157" s="79">
        <v>0.73399999999999999</v>
      </c>
      <c r="FP157" s="106"/>
      <c r="FQ157" s="107"/>
      <c r="FR157" s="107"/>
      <c r="FS157" s="108">
        <v>17.7</v>
      </c>
    </row>
    <row r="158" spans="1:190" s="77" customFormat="1" x14ac:dyDescent="0.35">
      <c r="A158" s="76"/>
      <c r="E158" s="76"/>
      <c r="F158" s="76"/>
      <c r="G158" s="78"/>
      <c r="H158" s="76"/>
      <c r="I158" s="79"/>
      <c r="J158" s="80"/>
      <c r="K158" s="28"/>
      <c r="L158" s="28"/>
      <c r="M158" s="25" t="str">
        <f>_xlfn.CONCAT(A159," ",C159," ",D159)</f>
        <v>2025 Mercedes-Benz AMG GLC 63 S E Performance</v>
      </c>
      <c r="N158" s="28"/>
      <c r="O158" s="28"/>
      <c r="P158" s="28"/>
      <c r="Q158" s="28"/>
      <c r="R158" s="28"/>
      <c r="S158" s="28"/>
      <c r="T158" s="28"/>
      <c r="U158" s="28"/>
      <c r="V158" s="28"/>
      <c r="W158" s="28"/>
      <c r="X158" s="28"/>
      <c r="Y158" s="28"/>
      <c r="Z158" s="28"/>
      <c r="AA158" s="28"/>
      <c r="AB158" s="28"/>
      <c r="AC158" s="28"/>
      <c r="AD158" s="25" t="str">
        <f>$M158</f>
        <v>2025 Mercedes-Benz AMG GLC 63 S E Performance</v>
      </c>
      <c r="AE158" s="28"/>
      <c r="AF158" s="28"/>
      <c r="AG158" s="28"/>
      <c r="AH158" s="28"/>
      <c r="AI158" s="28"/>
      <c r="AJ158" s="81"/>
      <c r="AK158" s="82"/>
      <c r="AL158" s="2"/>
      <c r="AM158" s="2"/>
      <c r="AN158" s="2"/>
      <c r="AO158" s="2"/>
      <c r="AP158" s="2"/>
      <c r="AQ158" s="2"/>
      <c r="AR158" s="83"/>
      <c r="AS158" s="84"/>
      <c r="AT158" s="85" t="str">
        <f>$M158</f>
        <v>2025 Mercedes-Benz AMG GLC 63 S E Performance</v>
      </c>
      <c r="AU158" s="84"/>
      <c r="AV158" s="28"/>
      <c r="AW158" s="28"/>
      <c r="AX158" s="28"/>
      <c r="AY158" s="28"/>
      <c r="AZ158" s="28"/>
      <c r="BA158" s="28"/>
      <c r="BB158" s="28"/>
      <c r="BC158" s="28"/>
      <c r="BD158" s="28"/>
      <c r="BE158" s="28"/>
      <c r="BF158" s="28"/>
      <c r="BG158" s="28"/>
      <c r="BH158" s="28"/>
      <c r="BI158" s="25" t="str">
        <f>$M158</f>
        <v>2025 Mercedes-Benz AMG GLC 63 S E Performance</v>
      </c>
      <c r="BJ158" s="28"/>
      <c r="BK158" s="28"/>
      <c r="BL158" s="28"/>
      <c r="BM158" s="81"/>
      <c r="BN158" s="82"/>
      <c r="BO158" s="2"/>
      <c r="BP158" s="2"/>
      <c r="BQ158" s="2"/>
      <c r="BR158" s="2"/>
      <c r="BS158" s="2"/>
      <c r="BT158" s="86"/>
      <c r="BU158" s="2"/>
      <c r="BV158" s="83"/>
      <c r="BW158" s="121"/>
      <c r="BX158" s="84"/>
      <c r="BY158" s="25" t="str">
        <f>$M158</f>
        <v>2025 Mercedes-Benz AMG GLC 63 S E Performance</v>
      </c>
      <c r="BZ158" s="28"/>
      <c r="CA158" s="28"/>
      <c r="CB158" s="28"/>
      <c r="CC158" s="28"/>
      <c r="CD158" s="28"/>
      <c r="CE158" s="88"/>
      <c r="CF158" s="28"/>
      <c r="CG158" s="28"/>
      <c r="CH158" s="28"/>
      <c r="CI158" s="28"/>
      <c r="CJ158" s="28"/>
      <c r="CK158" s="28"/>
      <c r="CL158" s="28"/>
      <c r="CM158" s="28"/>
      <c r="CN158" s="28"/>
      <c r="CO158" s="25" t="str">
        <f>$M158</f>
        <v>2025 Mercedes-Benz AMG GLC 63 S E Performance</v>
      </c>
      <c r="CP158" s="28"/>
      <c r="CQ158" s="28"/>
      <c r="CR158" s="28"/>
      <c r="CS158" s="28"/>
      <c r="CT158" s="28"/>
      <c r="CU158" s="28"/>
      <c r="CV158" s="28"/>
      <c r="CW158" s="28"/>
      <c r="CX158" s="28"/>
      <c r="CY158" s="28"/>
      <c r="CZ158" s="28"/>
      <c r="DA158" s="28"/>
      <c r="DB158" s="28"/>
      <c r="DC158" s="28"/>
      <c r="DD158" s="28"/>
      <c r="DE158" s="28"/>
      <c r="DF158" s="25" t="str">
        <f>$M158</f>
        <v>2025 Mercedes-Benz AMG GLC 63 S E Performance</v>
      </c>
      <c r="DG158" s="28"/>
      <c r="DH158" s="28"/>
      <c r="DI158" s="28"/>
      <c r="DJ158" s="28"/>
      <c r="DK158" s="28"/>
      <c r="DL158" s="28"/>
      <c r="DM158" s="28"/>
      <c r="DN158" s="28"/>
      <c r="DO158" s="28"/>
      <c r="DP158" s="28"/>
      <c r="DQ158" s="28"/>
      <c r="DR158" s="25"/>
      <c r="DS158" s="25"/>
      <c r="DT158" s="25"/>
      <c r="DU158" s="25"/>
      <c r="DV158" s="25"/>
      <c r="DW158" s="25" t="str">
        <f>$M158</f>
        <v>2025 Mercedes-Benz AMG GLC 63 S E Performance</v>
      </c>
      <c r="DX158" s="25"/>
      <c r="DY158" s="25"/>
      <c r="DZ158" s="85"/>
      <c r="EA158" s="89"/>
      <c r="EB158" s="80"/>
      <c r="EC158" s="25"/>
      <c r="ED158" s="85"/>
      <c r="EE158" s="80"/>
      <c r="EF158" s="25"/>
      <c r="EG158" s="25"/>
      <c r="EH158" s="85"/>
      <c r="EI158" s="80"/>
      <c r="EK158" t="s">
        <v>2445</v>
      </c>
      <c r="EL158" s="25" t="str">
        <f>$M158</f>
        <v>2025 Mercedes-Benz AMG GLC 63 S E Performance</v>
      </c>
      <c r="EM158" s="80"/>
      <c r="EP158" s="75"/>
      <c r="EQ158" s="90"/>
      <c r="ET158" s="75"/>
      <c r="EU158" s="90"/>
      <c r="EV158" s="75"/>
      <c r="EW158" s="90"/>
      <c r="EY158" s="75"/>
      <c r="EZ158" s="102"/>
      <c r="FA158" s="25" t="str">
        <f>$M158</f>
        <v>2025 Mercedes-Benz AMG GLC 63 S E Performance</v>
      </c>
      <c r="FB158" s="75"/>
      <c r="FC158" s="91"/>
      <c r="FD158" s="80"/>
      <c r="FE158" s="25"/>
      <c r="FF158" s="85"/>
      <c r="FG158" s="80"/>
      <c r="FH158" s="25"/>
      <c r="FI158" s="85"/>
      <c r="FJ158" s="80"/>
      <c r="FK158" s="25"/>
      <c r="FL158" s="85"/>
      <c r="FM158" s="25" t="str">
        <f>$M158</f>
        <v>2025 Mercedes-Benz AMG GLC 63 S E Performance</v>
      </c>
      <c r="FN158" s="25"/>
      <c r="FO158" s="85"/>
      <c r="FP158" s="92"/>
      <c r="FQ158" s="93"/>
      <c r="FR158" s="94"/>
      <c r="FS158" s="95"/>
      <c r="FT158" s="25"/>
      <c r="FU158" s="25"/>
      <c r="FV158" s="25"/>
      <c r="FW158" s="25"/>
      <c r="FX158" s="25"/>
      <c r="FY158" s="25"/>
      <c r="FZ158" s="25"/>
      <c r="GA158" s="25"/>
      <c r="GB158" s="25"/>
      <c r="GC158" s="25"/>
      <c r="GD158" s="25"/>
      <c r="GE158" s="25"/>
      <c r="GF158" s="25"/>
      <c r="GG158" s="25"/>
      <c r="GH158" s="25"/>
    </row>
    <row r="159" spans="1:190" s="76" customFormat="1" x14ac:dyDescent="0.35">
      <c r="A159" s="76">
        <v>2025</v>
      </c>
      <c r="B159" s="76" t="s">
        <v>279</v>
      </c>
      <c r="C159" s="76" t="s">
        <v>279</v>
      </c>
      <c r="D159" s="76" t="s">
        <v>2661</v>
      </c>
      <c r="E159" s="76" t="s">
        <v>281</v>
      </c>
      <c r="F159" s="76">
        <v>308</v>
      </c>
      <c r="G159" s="78">
        <v>2</v>
      </c>
      <c r="H159" s="76">
        <v>4</v>
      </c>
      <c r="I159" s="79" t="s">
        <v>282</v>
      </c>
      <c r="J159" s="96">
        <v>19</v>
      </c>
      <c r="K159" s="76">
        <v>21</v>
      </c>
      <c r="L159" s="76">
        <v>20</v>
      </c>
      <c r="M159" s="76">
        <v>24</v>
      </c>
      <c r="N159" s="76">
        <v>28.7</v>
      </c>
      <c r="O159" s="76">
        <v>25.909300000000002</v>
      </c>
      <c r="P159" s="76">
        <v>19.073599999999999</v>
      </c>
      <c r="Q159" s="76">
        <v>20.7059</v>
      </c>
      <c r="R159" s="76">
        <v>19.775099999999998</v>
      </c>
      <c r="T159" s="76" t="s">
        <v>165</v>
      </c>
      <c r="U159" s="76" t="s">
        <v>166</v>
      </c>
      <c r="V159" s="76" t="s">
        <v>167</v>
      </c>
      <c r="W159" s="76" t="s">
        <v>168</v>
      </c>
      <c r="Y159" s="76">
        <v>9</v>
      </c>
      <c r="Z159" s="76" t="s">
        <v>169</v>
      </c>
      <c r="AA159" s="76" t="s">
        <v>170</v>
      </c>
      <c r="AB159" s="76" t="s">
        <v>167</v>
      </c>
      <c r="AC159" s="76" t="s">
        <v>213</v>
      </c>
      <c r="AD159" s="76">
        <v>10</v>
      </c>
      <c r="AF159" s="76">
        <v>337</v>
      </c>
      <c r="AG159" s="76" t="s">
        <v>214</v>
      </c>
      <c r="AH159" s="76" t="s">
        <v>215</v>
      </c>
      <c r="AI159" s="76" t="s">
        <v>175</v>
      </c>
      <c r="AJ159" s="79" t="s">
        <v>176</v>
      </c>
      <c r="AK159" s="96" t="s">
        <v>170</v>
      </c>
      <c r="AL159" s="76" t="s">
        <v>177</v>
      </c>
      <c r="AO159" s="76">
        <v>98</v>
      </c>
      <c r="AP159" s="76">
        <v>24</v>
      </c>
      <c r="AR159" s="79"/>
      <c r="AS159" s="96">
        <v>3000</v>
      </c>
      <c r="AT159" s="79">
        <v>3000</v>
      </c>
      <c r="AU159" s="96">
        <v>59</v>
      </c>
      <c r="AV159" s="76">
        <v>40</v>
      </c>
      <c r="AW159" s="76">
        <v>51</v>
      </c>
      <c r="AX159" s="76">
        <v>47.1</v>
      </c>
      <c r="AY159" s="76">
        <v>29.3</v>
      </c>
      <c r="AZ159" s="76">
        <v>39.090000000000003</v>
      </c>
      <c r="BA159" s="76">
        <v>59.244999999999997</v>
      </c>
      <c r="BB159" s="76">
        <v>40.351999999999997</v>
      </c>
      <c r="BC159" s="76">
        <v>50.743200000000002</v>
      </c>
      <c r="BD159" s="76">
        <v>1</v>
      </c>
      <c r="BE159" s="76" t="s">
        <v>1735</v>
      </c>
      <c r="BF159" s="76" t="s">
        <v>1736</v>
      </c>
      <c r="BG159" s="76" t="s">
        <v>1742</v>
      </c>
      <c r="BH159" s="76" t="s">
        <v>1743</v>
      </c>
      <c r="BI159" s="76">
        <v>3000</v>
      </c>
      <c r="BJ159" s="2"/>
      <c r="BK159" s="2"/>
      <c r="BL159" s="2"/>
      <c r="BM159" s="79"/>
      <c r="BN159" s="98" t="s">
        <v>2493</v>
      </c>
      <c r="BO159" s="76">
        <v>2</v>
      </c>
      <c r="BP159" s="76">
        <v>2</v>
      </c>
      <c r="BQ159" s="76">
        <v>7</v>
      </c>
      <c r="BR159" s="76" t="s">
        <v>897</v>
      </c>
      <c r="BS159" s="76" t="s">
        <v>180</v>
      </c>
      <c r="BT159" s="76" t="s">
        <v>2494</v>
      </c>
      <c r="BU159" s="99">
        <v>45541</v>
      </c>
      <c r="BV159" s="79">
        <v>35452</v>
      </c>
      <c r="BW159" s="120"/>
      <c r="BX159" s="96"/>
      <c r="BY159" s="76" t="s">
        <v>170</v>
      </c>
      <c r="CB159" s="76" t="s">
        <v>170</v>
      </c>
      <c r="CC159" s="76" t="s">
        <v>170</v>
      </c>
      <c r="CD159" s="76" t="s">
        <v>2646</v>
      </c>
      <c r="CE159" s="76" t="s">
        <v>170</v>
      </c>
      <c r="CG159" s="76" t="s">
        <v>169</v>
      </c>
      <c r="CH159" s="76" t="s">
        <v>284</v>
      </c>
      <c r="CI159" s="76" t="s">
        <v>169</v>
      </c>
      <c r="CJ159" s="76" t="s">
        <v>340</v>
      </c>
      <c r="CK159" s="76" t="s">
        <v>233</v>
      </c>
      <c r="CM159" s="76">
        <v>1</v>
      </c>
      <c r="CN159" s="76" t="s">
        <v>234</v>
      </c>
      <c r="CP159" s="76">
        <v>409</v>
      </c>
      <c r="CQ159" s="76">
        <v>80</v>
      </c>
      <c r="CR159" s="76">
        <v>68.5</v>
      </c>
      <c r="CS159" s="76" t="s">
        <v>1752</v>
      </c>
      <c r="CV159" s="76" t="s">
        <v>341</v>
      </c>
      <c r="CX159" s="76" t="s">
        <v>342</v>
      </c>
      <c r="CY159" s="76" t="s">
        <v>170</v>
      </c>
      <c r="DC159" s="76" t="s">
        <v>2647</v>
      </c>
      <c r="DD159" s="76">
        <v>1</v>
      </c>
      <c r="DE159" s="76" t="s">
        <v>404</v>
      </c>
      <c r="DF159" s="76" t="s">
        <v>499</v>
      </c>
      <c r="DG159" s="76">
        <v>150</v>
      </c>
      <c r="DJ159" s="76" t="s">
        <v>184</v>
      </c>
      <c r="DK159" s="76" t="s">
        <v>185</v>
      </c>
      <c r="DL159" s="76" t="s">
        <v>170</v>
      </c>
      <c r="DM159" s="76" t="s">
        <v>169</v>
      </c>
      <c r="DN159" s="76" t="s">
        <v>170</v>
      </c>
      <c r="DO159" s="76" t="s">
        <v>259</v>
      </c>
      <c r="DP159" s="76" t="s">
        <v>169</v>
      </c>
      <c r="DQ159" s="76" t="s">
        <v>198</v>
      </c>
      <c r="DR159" s="76" t="s">
        <v>2662</v>
      </c>
      <c r="DS159" s="76" t="s">
        <v>2496</v>
      </c>
      <c r="DT159" s="76" t="s">
        <v>2497</v>
      </c>
      <c r="DU159" s="76" t="s">
        <v>2513</v>
      </c>
      <c r="DV159" s="76" t="s">
        <v>2514</v>
      </c>
      <c r="DY159" s="76">
        <v>26.1</v>
      </c>
      <c r="DZ159" s="79"/>
      <c r="EA159" s="101"/>
      <c r="EB159" s="96">
        <v>4</v>
      </c>
      <c r="EC159" s="76">
        <v>5</v>
      </c>
      <c r="ED159" s="79"/>
      <c r="EE159" s="96" t="s">
        <v>2649</v>
      </c>
      <c r="EF159" s="76">
        <v>4</v>
      </c>
      <c r="EH159" s="79"/>
      <c r="EI159" s="96"/>
      <c r="EM159" s="96"/>
      <c r="EP159" s="79"/>
      <c r="EQ159" s="96"/>
      <c r="ET159" s="79"/>
      <c r="EU159" s="96"/>
      <c r="EV159" s="79">
        <v>5500</v>
      </c>
      <c r="EW159" s="96">
        <v>0</v>
      </c>
      <c r="EX159" s="76">
        <v>0</v>
      </c>
      <c r="EY159" s="79">
        <v>0</v>
      </c>
      <c r="EZ159" s="102">
        <f t="shared" si="59"/>
        <v>379</v>
      </c>
      <c r="FA159" s="76">
        <v>1.1000000000000001</v>
      </c>
      <c r="FB159" s="79"/>
      <c r="FC159" s="97">
        <v>350</v>
      </c>
      <c r="FD159" s="96">
        <v>21</v>
      </c>
      <c r="FE159" s="76">
        <v>22</v>
      </c>
      <c r="FF159" s="79">
        <v>21</v>
      </c>
      <c r="FG159" s="76">
        <v>384</v>
      </c>
      <c r="FH159" s="76">
        <v>372</v>
      </c>
      <c r="FI159" s="103">
        <v>379</v>
      </c>
      <c r="FJ159" s="104">
        <v>7.76</v>
      </c>
      <c r="FK159" s="105">
        <v>10.19</v>
      </c>
      <c r="FL159" s="79">
        <v>9</v>
      </c>
      <c r="FM159" s="76">
        <v>0.22</v>
      </c>
      <c r="FN159" s="76">
        <v>0.27600000000000002</v>
      </c>
      <c r="FO159" s="79">
        <v>0.245</v>
      </c>
      <c r="FP159" s="106">
        <v>0.9</v>
      </c>
      <c r="FQ159" s="107">
        <v>2.6</v>
      </c>
      <c r="FR159" s="107">
        <v>1.7</v>
      </c>
      <c r="FS159" s="108">
        <v>17.2</v>
      </c>
    </row>
    <row r="160" spans="1:190" s="76" customFormat="1" x14ac:dyDescent="0.35">
      <c r="A160" s="76">
        <v>2025</v>
      </c>
      <c r="B160" s="162" t="s">
        <v>279</v>
      </c>
      <c r="C160" s="162" t="s">
        <v>279</v>
      </c>
      <c r="D160" s="162" t="s">
        <v>2661</v>
      </c>
      <c r="E160" s="162" t="s">
        <v>281</v>
      </c>
      <c r="F160" s="162">
        <v>308</v>
      </c>
      <c r="G160" s="162">
        <v>2</v>
      </c>
      <c r="H160" s="162">
        <v>4</v>
      </c>
      <c r="I160" s="163" t="s">
        <v>282</v>
      </c>
      <c r="J160" s="96">
        <f t="shared" ref="J160:R160" si="70">J159</f>
        <v>19</v>
      </c>
      <c r="K160" s="76">
        <f t="shared" si="70"/>
        <v>21</v>
      </c>
      <c r="L160" s="76">
        <f t="shared" si="70"/>
        <v>20</v>
      </c>
      <c r="M160" s="76">
        <f t="shared" si="70"/>
        <v>24</v>
      </c>
      <c r="N160" s="76">
        <f t="shared" si="70"/>
        <v>28.7</v>
      </c>
      <c r="O160" s="76">
        <f t="shared" si="70"/>
        <v>25.909300000000002</v>
      </c>
      <c r="P160" s="76">
        <f t="shared" si="70"/>
        <v>19.073599999999999</v>
      </c>
      <c r="Q160" s="76">
        <f t="shared" si="70"/>
        <v>20.7059</v>
      </c>
      <c r="R160" s="76">
        <f t="shared" si="70"/>
        <v>19.775099999999998</v>
      </c>
      <c r="T160" s="76" t="str">
        <f>T159</f>
        <v>TC</v>
      </c>
      <c r="U160" s="76" t="str">
        <f>U159</f>
        <v>Turbocharged</v>
      </c>
      <c r="V160" s="76" t="str">
        <f>V159</f>
        <v>A</v>
      </c>
      <c r="W160" s="76" t="str">
        <f>W159</f>
        <v>Automatic</v>
      </c>
      <c r="Y160" s="76">
        <f t="shared" ref="Y160:AD160" si="71">Y159</f>
        <v>9</v>
      </c>
      <c r="Z160" s="76" t="str">
        <f t="shared" si="71"/>
        <v>Y</v>
      </c>
      <c r="AA160" s="76" t="str">
        <f t="shared" si="71"/>
        <v>N</v>
      </c>
      <c r="AB160" s="76" t="str">
        <f t="shared" si="71"/>
        <v>A</v>
      </c>
      <c r="AC160" s="76" t="str">
        <f t="shared" si="71"/>
        <v>All Wheel Drive</v>
      </c>
      <c r="AD160" s="76">
        <f t="shared" si="71"/>
        <v>10</v>
      </c>
      <c r="AF160" s="76">
        <f>AF159</f>
        <v>337</v>
      </c>
      <c r="AG160" s="76" t="str">
        <f>AG159</f>
        <v>GPR</v>
      </c>
      <c r="AH160" s="76" t="str">
        <f>AH159</f>
        <v>Gasoline (Premium Unleaded Required)</v>
      </c>
      <c r="AI160" s="76" t="str">
        <f>AI159</f>
        <v>MPG</v>
      </c>
      <c r="AJ160" s="79" t="str">
        <f>AJ159</f>
        <v>miles per gallon</v>
      </c>
      <c r="AK160" s="96" t="s">
        <v>170</v>
      </c>
      <c r="AL160" s="76" t="s">
        <v>177</v>
      </c>
      <c r="AO160" s="76">
        <v>98</v>
      </c>
      <c r="AP160" s="76">
        <v>24</v>
      </c>
      <c r="AR160" s="79"/>
      <c r="AS160" s="96">
        <v>3000</v>
      </c>
      <c r="AT160" s="79">
        <v>3000</v>
      </c>
      <c r="AU160" s="96">
        <v>36</v>
      </c>
      <c r="AV160" s="76">
        <v>26</v>
      </c>
      <c r="AW160" s="76">
        <v>31</v>
      </c>
      <c r="AX160" s="76">
        <v>47.5</v>
      </c>
      <c r="AY160" s="76">
        <v>36.9</v>
      </c>
      <c r="AZ160" s="76">
        <v>42.062600000000003</v>
      </c>
      <c r="BA160" s="76">
        <v>35.695099999999996</v>
      </c>
      <c r="BB160" s="76">
        <v>26.207999999999998</v>
      </c>
      <c r="BC160" s="76">
        <v>30.695</v>
      </c>
      <c r="BD160" s="76">
        <v>1</v>
      </c>
      <c r="BE160" s="76" t="s">
        <v>1735</v>
      </c>
      <c r="BF160" s="76" t="s">
        <v>1736</v>
      </c>
      <c r="BG160" s="76" t="s">
        <v>175</v>
      </c>
      <c r="BH160" s="76" t="s">
        <v>176</v>
      </c>
      <c r="BI160" s="76">
        <v>3000</v>
      </c>
      <c r="BM160" s="79"/>
      <c r="BN160" s="98" t="s">
        <v>2493</v>
      </c>
      <c r="BO160" s="76">
        <v>2</v>
      </c>
      <c r="BP160" s="76">
        <v>2</v>
      </c>
      <c r="BQ160" s="76">
        <v>7</v>
      </c>
      <c r="BR160" s="76" t="s">
        <v>897</v>
      </c>
      <c r="BS160" s="76" t="s">
        <v>180</v>
      </c>
      <c r="BT160" s="76" t="s">
        <v>2494</v>
      </c>
      <c r="BU160" s="99">
        <v>45541</v>
      </c>
      <c r="BV160" s="79">
        <v>35452</v>
      </c>
      <c r="BW160" s="120"/>
      <c r="BX160" s="96"/>
      <c r="BY160" s="76" t="s">
        <v>170</v>
      </c>
      <c r="CB160" s="76" t="s">
        <v>170</v>
      </c>
      <c r="CC160" s="76" t="s">
        <v>170</v>
      </c>
      <c r="CD160" s="76" t="s">
        <v>2646</v>
      </c>
      <c r="CE160" s="76" t="s">
        <v>170</v>
      </c>
      <c r="CG160" s="76" t="s">
        <v>169</v>
      </c>
      <c r="CH160" s="76" t="s">
        <v>284</v>
      </c>
      <c r="CI160" s="76" t="s">
        <v>169</v>
      </c>
      <c r="CJ160" s="76" t="s">
        <v>340</v>
      </c>
      <c r="CK160" s="76" t="s">
        <v>233</v>
      </c>
      <c r="CM160" s="76">
        <v>1</v>
      </c>
      <c r="CN160" s="76" t="s">
        <v>234</v>
      </c>
      <c r="CP160" s="76">
        <v>409</v>
      </c>
      <c r="CQ160" s="76">
        <v>80</v>
      </c>
      <c r="CR160" s="76">
        <v>68.5</v>
      </c>
      <c r="CS160" s="76" t="s">
        <v>1752</v>
      </c>
      <c r="CV160" s="76" t="s">
        <v>341</v>
      </c>
      <c r="CX160" s="76" t="s">
        <v>342</v>
      </c>
      <c r="CY160" s="76" t="s">
        <v>170</v>
      </c>
      <c r="DC160" s="76" t="s">
        <v>2647</v>
      </c>
      <c r="DD160" s="76">
        <v>1</v>
      </c>
      <c r="DE160" s="76" t="s">
        <v>404</v>
      </c>
      <c r="DF160" s="76" t="s">
        <v>499</v>
      </c>
      <c r="DG160" s="76">
        <v>150</v>
      </c>
      <c r="DJ160" s="76" t="s">
        <v>184</v>
      </c>
      <c r="DK160" s="76" t="s">
        <v>185</v>
      </c>
      <c r="DL160" s="76" t="s">
        <v>170</v>
      </c>
      <c r="DM160" s="76" t="s">
        <v>169</v>
      </c>
      <c r="DN160" s="76" t="s">
        <v>170</v>
      </c>
      <c r="DO160" s="76" t="s">
        <v>259</v>
      </c>
      <c r="DP160" s="76" t="s">
        <v>169</v>
      </c>
      <c r="DQ160" s="76" t="s">
        <v>198</v>
      </c>
      <c r="DR160" s="76" t="s">
        <v>2662</v>
      </c>
      <c r="DS160" s="76" t="s">
        <v>2496</v>
      </c>
      <c r="DT160" s="76" t="s">
        <v>2497</v>
      </c>
      <c r="DU160" s="76" t="s">
        <v>2513</v>
      </c>
      <c r="DV160" s="76" t="s">
        <v>2514</v>
      </c>
      <c r="DZ160" s="79"/>
      <c r="EA160" s="101"/>
      <c r="EB160" s="96">
        <v>4</v>
      </c>
      <c r="EC160" s="76">
        <v>5</v>
      </c>
      <c r="ED160" s="79"/>
      <c r="EE160" s="96" t="s">
        <v>2649</v>
      </c>
      <c r="EF160" s="76">
        <v>4</v>
      </c>
      <c r="EH160" s="79"/>
      <c r="EI160" s="96"/>
      <c r="EM160" s="96"/>
      <c r="EP160" s="79"/>
      <c r="EQ160" s="96"/>
      <c r="ET160" s="79"/>
      <c r="EU160" s="96"/>
      <c r="EV160" s="79">
        <v>5500</v>
      </c>
      <c r="EW160" s="96">
        <v>463</v>
      </c>
      <c r="EX160" s="76">
        <v>427</v>
      </c>
      <c r="EY160" s="79">
        <v>447</v>
      </c>
      <c r="EZ160" s="102">
        <f t="shared" si="59"/>
        <v>379</v>
      </c>
      <c r="FA160" s="76">
        <v>1.1000000000000001</v>
      </c>
      <c r="FB160" s="79"/>
      <c r="FC160" s="97">
        <v>350</v>
      </c>
      <c r="FD160" s="96">
        <v>21</v>
      </c>
      <c r="FE160" s="76">
        <v>22</v>
      </c>
      <c r="FF160" s="79">
        <v>21</v>
      </c>
      <c r="FG160" s="76">
        <v>384</v>
      </c>
      <c r="FH160" s="76">
        <v>372</v>
      </c>
      <c r="FI160" s="103">
        <v>379</v>
      </c>
      <c r="FJ160" s="98" t="s">
        <v>2639</v>
      </c>
      <c r="FK160" s="111"/>
      <c r="FL160" s="103"/>
      <c r="FM160" s="76">
        <v>0.22</v>
      </c>
      <c r="FN160" s="76">
        <v>0.27600000000000002</v>
      </c>
      <c r="FO160" s="79">
        <v>0.245</v>
      </c>
      <c r="FP160" s="106"/>
      <c r="FQ160" s="107"/>
      <c r="FR160" s="107"/>
      <c r="FS160" s="108">
        <v>17.2</v>
      </c>
    </row>
    <row r="161" spans="1:190" s="77" customFormat="1" x14ac:dyDescent="0.35">
      <c r="A161" s="76"/>
      <c r="E161" s="76"/>
      <c r="F161" s="76"/>
      <c r="G161" s="78"/>
      <c r="H161" s="76"/>
      <c r="I161" s="79"/>
      <c r="J161" s="80"/>
      <c r="K161" s="28"/>
      <c r="L161" s="28"/>
      <c r="M161" s="25" t="str">
        <f>_xlfn.CONCAT(A162," ",C162," ",D162)</f>
        <v>2025 Mercedes-Benz AMG GLC 63 S E Performance (Coupe)</v>
      </c>
      <c r="N161" s="28"/>
      <c r="O161" s="28"/>
      <c r="P161" s="28"/>
      <c r="Q161" s="28"/>
      <c r="R161" s="28"/>
      <c r="S161" s="28"/>
      <c r="T161" s="28"/>
      <c r="U161" s="28"/>
      <c r="V161" s="28"/>
      <c r="W161" s="28"/>
      <c r="X161" s="28"/>
      <c r="Y161" s="28"/>
      <c r="Z161" s="28"/>
      <c r="AA161" s="28"/>
      <c r="AB161" s="28"/>
      <c r="AC161" s="28"/>
      <c r="AD161" s="25" t="str">
        <f>$M161</f>
        <v>2025 Mercedes-Benz AMG GLC 63 S E Performance (Coupe)</v>
      </c>
      <c r="AE161" s="28"/>
      <c r="AF161" s="28"/>
      <c r="AG161" s="28"/>
      <c r="AH161" s="28"/>
      <c r="AI161" s="28"/>
      <c r="AJ161" s="81"/>
      <c r="AK161" s="82"/>
      <c r="AL161" s="2"/>
      <c r="AM161" s="2"/>
      <c r="AN161" s="2"/>
      <c r="AO161" s="2"/>
      <c r="AP161" s="2"/>
      <c r="AQ161" s="2"/>
      <c r="AR161" s="83"/>
      <c r="AS161" s="84"/>
      <c r="AT161" s="85" t="str">
        <f>$M161</f>
        <v>2025 Mercedes-Benz AMG GLC 63 S E Performance (Coupe)</v>
      </c>
      <c r="AU161" s="84"/>
      <c r="AV161" s="28"/>
      <c r="AW161" s="28"/>
      <c r="AX161" s="28"/>
      <c r="AY161" s="28"/>
      <c r="AZ161" s="28"/>
      <c r="BA161" s="28"/>
      <c r="BB161" s="28"/>
      <c r="BC161" s="28"/>
      <c r="BD161" s="28"/>
      <c r="BE161" s="28"/>
      <c r="BF161" s="28"/>
      <c r="BG161" s="28"/>
      <c r="BH161" s="28"/>
      <c r="BI161" s="25" t="str">
        <f>$M161</f>
        <v>2025 Mercedes-Benz AMG GLC 63 S E Performance (Coupe)</v>
      </c>
      <c r="BJ161" s="28"/>
      <c r="BK161" s="28"/>
      <c r="BL161" s="28"/>
      <c r="BM161" s="81"/>
      <c r="BN161" s="82"/>
      <c r="BO161" s="2"/>
      <c r="BP161" s="2"/>
      <c r="BQ161" s="2"/>
      <c r="BR161" s="2"/>
      <c r="BS161" s="2"/>
      <c r="BT161" s="86"/>
      <c r="BU161" s="2"/>
      <c r="BV161" s="83"/>
      <c r="BW161" s="121"/>
      <c r="BX161" s="84"/>
      <c r="BY161" s="25" t="str">
        <f>$M161</f>
        <v>2025 Mercedes-Benz AMG GLC 63 S E Performance (Coupe)</v>
      </c>
      <c r="BZ161" s="28"/>
      <c r="CA161" s="28"/>
      <c r="CB161" s="28"/>
      <c r="CC161" s="28"/>
      <c r="CD161" s="28"/>
      <c r="CE161" s="88"/>
      <c r="CF161" s="28"/>
      <c r="CG161" s="28"/>
      <c r="CH161" s="28"/>
      <c r="CI161" s="28"/>
      <c r="CJ161" s="28"/>
      <c r="CK161" s="28"/>
      <c r="CL161" s="28"/>
      <c r="CM161" s="28"/>
      <c r="CN161" s="28"/>
      <c r="CO161" s="25" t="str">
        <f>$M161</f>
        <v>2025 Mercedes-Benz AMG GLC 63 S E Performance (Coupe)</v>
      </c>
      <c r="CP161" s="28"/>
      <c r="CQ161" s="28"/>
      <c r="CR161" s="28"/>
      <c r="CS161" s="28"/>
      <c r="CT161" s="28"/>
      <c r="CU161" s="28"/>
      <c r="CV161" s="28"/>
      <c r="CW161" s="28"/>
      <c r="CX161" s="28"/>
      <c r="CY161" s="28"/>
      <c r="CZ161" s="28"/>
      <c r="DA161" s="28"/>
      <c r="DB161" s="28"/>
      <c r="DC161" s="28"/>
      <c r="DD161" s="28"/>
      <c r="DE161" s="28"/>
      <c r="DF161" s="25" t="str">
        <f>$M161</f>
        <v>2025 Mercedes-Benz AMG GLC 63 S E Performance (Coupe)</v>
      </c>
      <c r="DG161" s="28"/>
      <c r="DH161" s="28"/>
      <c r="DI161" s="28"/>
      <c r="DJ161" s="28"/>
      <c r="DK161" s="28"/>
      <c r="DL161" s="28"/>
      <c r="DM161" s="28"/>
      <c r="DN161" s="28"/>
      <c r="DO161" s="28"/>
      <c r="DP161" s="28"/>
      <c r="DQ161" s="28"/>
      <c r="DR161" s="25"/>
      <c r="DS161" s="25"/>
      <c r="DT161" s="25"/>
      <c r="DU161" s="25"/>
      <c r="DV161" s="25"/>
      <c r="DW161" s="25" t="str">
        <f>$M161</f>
        <v>2025 Mercedes-Benz AMG GLC 63 S E Performance (Coupe)</v>
      </c>
      <c r="DX161" s="25"/>
      <c r="DY161" s="25"/>
      <c r="DZ161" s="85"/>
      <c r="EA161" s="89"/>
      <c r="EB161" s="80"/>
      <c r="EC161" s="25"/>
      <c r="ED161" s="85"/>
      <c r="EE161" s="80"/>
      <c r="EF161" s="25"/>
      <c r="EG161" s="25"/>
      <c r="EH161" s="85"/>
      <c r="EI161" s="80"/>
      <c r="EK161" t="s">
        <v>2445</v>
      </c>
      <c r="EL161" s="25" t="str">
        <f>$M161</f>
        <v>2025 Mercedes-Benz AMG GLC 63 S E Performance (Coupe)</v>
      </c>
      <c r="EM161" s="80"/>
      <c r="EP161" s="75"/>
      <c r="EQ161" s="90"/>
      <c r="ET161" s="75"/>
      <c r="EU161" s="90"/>
      <c r="EV161" s="75"/>
      <c r="EW161" s="90"/>
      <c r="EY161" s="75"/>
      <c r="EZ161" s="102"/>
      <c r="FA161" s="25" t="str">
        <f>$M161</f>
        <v>2025 Mercedes-Benz AMG GLC 63 S E Performance (Coupe)</v>
      </c>
      <c r="FB161" s="75"/>
      <c r="FC161" s="91"/>
      <c r="FD161" s="80"/>
      <c r="FE161" s="25"/>
      <c r="FF161" s="85"/>
      <c r="FG161" s="80"/>
      <c r="FH161" s="25"/>
      <c r="FI161" s="85"/>
      <c r="FJ161" s="80"/>
      <c r="FK161" s="25"/>
      <c r="FL161" s="85"/>
      <c r="FM161" s="25" t="str">
        <f>$M161</f>
        <v>2025 Mercedes-Benz AMG GLC 63 S E Performance (Coupe)</v>
      </c>
      <c r="FN161" s="25"/>
      <c r="FO161" s="85"/>
      <c r="FP161" s="92"/>
      <c r="FQ161" s="93"/>
      <c r="FR161" s="94"/>
      <c r="FS161" s="95"/>
      <c r="FT161" s="25"/>
      <c r="FU161" s="25"/>
      <c r="FV161" s="25"/>
      <c r="FW161" s="25"/>
      <c r="FX161" s="25"/>
      <c r="FY161" s="25"/>
      <c r="FZ161" s="25"/>
      <c r="GA161" s="25"/>
      <c r="GB161" s="25"/>
      <c r="GC161" s="25"/>
      <c r="GD161" s="25"/>
      <c r="GE161" s="25"/>
      <c r="GF161" s="25"/>
      <c r="GG161" s="25"/>
      <c r="GH161" s="25"/>
    </row>
    <row r="162" spans="1:190" s="76" customFormat="1" x14ac:dyDescent="0.35">
      <c r="A162" s="76">
        <v>2025</v>
      </c>
      <c r="B162" s="76" t="s">
        <v>279</v>
      </c>
      <c r="C162" s="76" t="s">
        <v>279</v>
      </c>
      <c r="D162" s="76" t="s">
        <v>2663</v>
      </c>
      <c r="E162" s="76" t="s">
        <v>281</v>
      </c>
      <c r="F162" s="76">
        <v>309</v>
      </c>
      <c r="G162" s="78">
        <v>2</v>
      </c>
      <c r="H162" s="76">
        <v>4</v>
      </c>
      <c r="I162" s="79" t="s">
        <v>282</v>
      </c>
      <c r="J162" s="96">
        <v>19</v>
      </c>
      <c r="K162" s="76">
        <v>21</v>
      </c>
      <c r="L162" s="76">
        <v>20</v>
      </c>
      <c r="M162" s="76">
        <v>24</v>
      </c>
      <c r="N162" s="76">
        <v>28.7</v>
      </c>
      <c r="O162" s="76">
        <v>25.909300000000002</v>
      </c>
      <c r="P162" s="76">
        <v>19.073599999999999</v>
      </c>
      <c r="Q162" s="76">
        <v>20.7059</v>
      </c>
      <c r="R162" s="76">
        <v>19.775099999999998</v>
      </c>
      <c r="T162" s="76" t="s">
        <v>165</v>
      </c>
      <c r="U162" s="76" t="s">
        <v>166</v>
      </c>
      <c r="V162" s="76" t="s">
        <v>167</v>
      </c>
      <c r="W162" s="76" t="s">
        <v>168</v>
      </c>
      <c r="Y162" s="76">
        <v>9</v>
      </c>
      <c r="Z162" s="76" t="s">
        <v>169</v>
      </c>
      <c r="AA162" s="76" t="s">
        <v>170</v>
      </c>
      <c r="AB162" s="76" t="s">
        <v>167</v>
      </c>
      <c r="AC162" s="76" t="s">
        <v>213</v>
      </c>
      <c r="AD162" s="76">
        <v>10</v>
      </c>
      <c r="AF162" s="76">
        <v>337</v>
      </c>
      <c r="AG162" s="76" t="s">
        <v>214</v>
      </c>
      <c r="AH162" s="76" t="s">
        <v>215</v>
      </c>
      <c r="AI162" s="76" t="s">
        <v>175</v>
      </c>
      <c r="AJ162" s="79" t="s">
        <v>176</v>
      </c>
      <c r="AK162" s="96" t="s">
        <v>170</v>
      </c>
      <c r="AL162" s="76" t="s">
        <v>177</v>
      </c>
      <c r="AO162" s="76">
        <v>95</v>
      </c>
      <c r="AP162" s="76">
        <v>22</v>
      </c>
      <c r="AR162" s="79"/>
      <c r="AS162" s="96">
        <v>3000</v>
      </c>
      <c r="AT162" s="79">
        <v>3000</v>
      </c>
      <c r="AU162" s="96">
        <v>59</v>
      </c>
      <c r="AV162" s="76">
        <v>40</v>
      </c>
      <c r="AW162" s="76">
        <v>51</v>
      </c>
      <c r="AX162" s="76">
        <v>47.1</v>
      </c>
      <c r="AY162" s="76">
        <v>29.3</v>
      </c>
      <c r="AZ162" s="76">
        <v>39.090000000000003</v>
      </c>
      <c r="BA162" s="76">
        <v>59.244999999999997</v>
      </c>
      <c r="BB162" s="76">
        <v>40.351999999999997</v>
      </c>
      <c r="BC162" s="76">
        <v>50.743200000000002</v>
      </c>
      <c r="BD162" s="76">
        <v>1</v>
      </c>
      <c r="BE162" s="76" t="s">
        <v>1735</v>
      </c>
      <c r="BF162" s="76" t="s">
        <v>1736</v>
      </c>
      <c r="BG162" s="76" t="s">
        <v>1742</v>
      </c>
      <c r="BH162" s="76" t="s">
        <v>1743</v>
      </c>
      <c r="BI162" s="76">
        <v>3000</v>
      </c>
      <c r="BJ162" s="2"/>
      <c r="BK162" s="2"/>
      <c r="BL162" s="2"/>
      <c r="BM162" s="79"/>
      <c r="BN162" s="98" t="s">
        <v>2493</v>
      </c>
      <c r="BO162" s="76">
        <v>2</v>
      </c>
      <c r="BP162" s="76">
        <v>2</v>
      </c>
      <c r="BQ162" s="76">
        <v>7</v>
      </c>
      <c r="BR162" s="76" t="s">
        <v>897</v>
      </c>
      <c r="BS162" s="76" t="s">
        <v>180</v>
      </c>
      <c r="BT162" s="76" t="s">
        <v>2494</v>
      </c>
      <c r="BU162" s="99">
        <v>45541</v>
      </c>
      <c r="BV162" s="79">
        <v>35463</v>
      </c>
      <c r="BW162" s="120"/>
      <c r="BX162" s="96"/>
      <c r="BY162" s="76" t="s">
        <v>170</v>
      </c>
      <c r="CB162" s="76" t="s">
        <v>170</v>
      </c>
      <c r="CC162" s="76" t="s">
        <v>170</v>
      </c>
      <c r="CD162" s="76" t="s">
        <v>2646</v>
      </c>
      <c r="CE162" s="76" t="s">
        <v>170</v>
      </c>
      <c r="CG162" s="76" t="s">
        <v>169</v>
      </c>
      <c r="CH162" s="76" t="s">
        <v>284</v>
      </c>
      <c r="CI162" s="76" t="s">
        <v>169</v>
      </c>
      <c r="CJ162" s="76" t="s">
        <v>340</v>
      </c>
      <c r="CK162" s="76" t="s">
        <v>233</v>
      </c>
      <c r="CM162" s="76">
        <v>1</v>
      </c>
      <c r="CN162" s="76" t="s">
        <v>234</v>
      </c>
      <c r="CP162" s="76">
        <v>409</v>
      </c>
      <c r="CQ162" s="76">
        <v>80</v>
      </c>
      <c r="CR162" s="76">
        <v>68.5</v>
      </c>
      <c r="CS162" s="76" t="s">
        <v>1752</v>
      </c>
      <c r="CV162" s="76" t="s">
        <v>341</v>
      </c>
      <c r="CX162" s="76" t="s">
        <v>342</v>
      </c>
      <c r="CY162" s="76" t="s">
        <v>170</v>
      </c>
      <c r="DC162" s="76" t="s">
        <v>2647</v>
      </c>
      <c r="DD162" s="76">
        <v>1</v>
      </c>
      <c r="DE162" s="76" t="s">
        <v>404</v>
      </c>
      <c r="DF162" s="76" t="s">
        <v>499</v>
      </c>
      <c r="DG162" s="76">
        <v>150</v>
      </c>
      <c r="DJ162" s="76" t="s">
        <v>184</v>
      </c>
      <c r="DK162" s="76" t="s">
        <v>185</v>
      </c>
      <c r="DL162" s="76" t="s">
        <v>170</v>
      </c>
      <c r="DM162" s="76" t="s">
        <v>169</v>
      </c>
      <c r="DN162" s="76" t="s">
        <v>170</v>
      </c>
      <c r="DO162" s="76" t="s">
        <v>259</v>
      </c>
      <c r="DP162" s="76" t="s">
        <v>169</v>
      </c>
      <c r="DQ162" s="76" t="s">
        <v>198</v>
      </c>
      <c r="DR162" s="76" t="s">
        <v>2664</v>
      </c>
      <c r="DS162" s="76" t="s">
        <v>2496</v>
      </c>
      <c r="DT162" s="76" t="s">
        <v>2497</v>
      </c>
      <c r="DU162" s="76" t="s">
        <v>2513</v>
      </c>
      <c r="DV162" s="76" t="s">
        <v>2514</v>
      </c>
      <c r="DY162" s="76">
        <v>26.1</v>
      </c>
      <c r="DZ162" s="79"/>
      <c r="EA162" s="101"/>
      <c r="EB162" s="96">
        <v>4</v>
      </c>
      <c r="EC162" s="76">
        <v>5</v>
      </c>
      <c r="ED162" s="79"/>
      <c r="EE162" s="96" t="s">
        <v>2649</v>
      </c>
      <c r="EF162" s="76">
        <v>4</v>
      </c>
      <c r="EH162" s="79"/>
      <c r="EI162" s="96"/>
      <c r="EM162" s="96"/>
      <c r="EP162" s="79"/>
      <c r="EQ162" s="96"/>
      <c r="ET162" s="79"/>
      <c r="EU162" s="96"/>
      <c r="EV162" s="79">
        <v>5500</v>
      </c>
      <c r="EW162" s="96">
        <v>0</v>
      </c>
      <c r="EX162" s="76">
        <v>0</v>
      </c>
      <c r="EY162" s="79">
        <v>0</v>
      </c>
      <c r="EZ162" s="102">
        <f t="shared" si="59"/>
        <v>379</v>
      </c>
      <c r="FA162" s="76">
        <v>1.1000000000000001</v>
      </c>
      <c r="FB162" s="79"/>
      <c r="FC162" s="97">
        <v>350</v>
      </c>
      <c r="FD162" s="96">
        <v>21</v>
      </c>
      <c r="FE162" s="76">
        <v>22</v>
      </c>
      <c r="FF162" s="79">
        <v>21</v>
      </c>
      <c r="FG162" s="76">
        <v>384</v>
      </c>
      <c r="FH162" s="76">
        <v>372</v>
      </c>
      <c r="FI162" s="103">
        <v>379</v>
      </c>
      <c r="FJ162" s="104">
        <v>7.76</v>
      </c>
      <c r="FK162" s="105">
        <v>10.19</v>
      </c>
      <c r="FL162" s="79">
        <v>9</v>
      </c>
      <c r="FM162" s="76">
        <v>0.22</v>
      </c>
      <c r="FN162" s="76">
        <v>0.27600000000000002</v>
      </c>
      <c r="FO162" s="79">
        <v>0.245</v>
      </c>
      <c r="FP162" s="106">
        <v>0.9</v>
      </c>
      <c r="FQ162" s="107">
        <v>2.6</v>
      </c>
      <c r="FR162" s="107">
        <v>1.7</v>
      </c>
      <c r="FS162" s="108">
        <v>17.2</v>
      </c>
    </row>
    <row r="163" spans="1:190" s="76" customFormat="1" x14ac:dyDescent="0.35">
      <c r="A163" s="76">
        <v>2025</v>
      </c>
      <c r="B163" s="162" t="s">
        <v>279</v>
      </c>
      <c r="C163" s="162" t="s">
        <v>279</v>
      </c>
      <c r="D163" s="162" t="s">
        <v>2663</v>
      </c>
      <c r="E163" s="162" t="s">
        <v>281</v>
      </c>
      <c r="F163" s="162">
        <v>309</v>
      </c>
      <c r="G163" s="162">
        <v>2</v>
      </c>
      <c r="H163" s="162">
        <v>4</v>
      </c>
      <c r="I163" s="163" t="s">
        <v>282</v>
      </c>
      <c r="J163" s="96">
        <f t="shared" ref="J163:R163" si="72">J162</f>
        <v>19</v>
      </c>
      <c r="K163" s="76">
        <f t="shared" si="72"/>
        <v>21</v>
      </c>
      <c r="L163" s="76">
        <f t="shared" si="72"/>
        <v>20</v>
      </c>
      <c r="M163" s="76">
        <f t="shared" si="72"/>
        <v>24</v>
      </c>
      <c r="N163" s="76">
        <f t="shared" si="72"/>
        <v>28.7</v>
      </c>
      <c r="O163" s="76">
        <f t="shared" si="72"/>
        <v>25.909300000000002</v>
      </c>
      <c r="P163" s="76">
        <f t="shared" si="72"/>
        <v>19.073599999999999</v>
      </c>
      <c r="Q163" s="76">
        <f t="shared" si="72"/>
        <v>20.7059</v>
      </c>
      <c r="R163" s="76">
        <f t="shared" si="72"/>
        <v>19.775099999999998</v>
      </c>
      <c r="T163" s="76" t="str">
        <f>T162</f>
        <v>TC</v>
      </c>
      <c r="U163" s="76" t="str">
        <f>U162</f>
        <v>Turbocharged</v>
      </c>
      <c r="V163" s="76" t="str">
        <f>V162</f>
        <v>A</v>
      </c>
      <c r="W163" s="76" t="str">
        <f>W162</f>
        <v>Automatic</v>
      </c>
      <c r="Y163" s="76">
        <f t="shared" ref="Y163:AD163" si="73">Y162</f>
        <v>9</v>
      </c>
      <c r="Z163" s="76" t="str">
        <f t="shared" si="73"/>
        <v>Y</v>
      </c>
      <c r="AA163" s="76" t="str">
        <f t="shared" si="73"/>
        <v>N</v>
      </c>
      <c r="AB163" s="76" t="str">
        <f t="shared" si="73"/>
        <v>A</v>
      </c>
      <c r="AC163" s="76" t="str">
        <f t="shared" si="73"/>
        <v>All Wheel Drive</v>
      </c>
      <c r="AD163" s="76">
        <f t="shared" si="73"/>
        <v>10</v>
      </c>
      <c r="AF163" s="76">
        <f>AF162</f>
        <v>337</v>
      </c>
      <c r="AG163" s="76" t="str">
        <f>AG162</f>
        <v>GPR</v>
      </c>
      <c r="AH163" s="76" t="str">
        <f>AH162</f>
        <v>Gasoline (Premium Unleaded Required)</v>
      </c>
      <c r="AI163" s="76" t="str">
        <f>AI162</f>
        <v>MPG</v>
      </c>
      <c r="AJ163" s="79" t="str">
        <f>AJ162</f>
        <v>miles per gallon</v>
      </c>
      <c r="AK163" s="96" t="s">
        <v>170</v>
      </c>
      <c r="AL163" s="76" t="s">
        <v>177</v>
      </c>
      <c r="AO163" s="76">
        <v>95</v>
      </c>
      <c r="AP163" s="76">
        <v>22</v>
      </c>
      <c r="AR163" s="79"/>
      <c r="AS163" s="96">
        <v>3000</v>
      </c>
      <c r="AT163" s="79">
        <v>3000</v>
      </c>
      <c r="AU163" s="96">
        <v>36</v>
      </c>
      <c r="AV163" s="76">
        <v>26</v>
      </c>
      <c r="AW163" s="76">
        <v>31</v>
      </c>
      <c r="AX163" s="76">
        <v>47.5</v>
      </c>
      <c r="AY163" s="76">
        <v>36.9</v>
      </c>
      <c r="AZ163" s="76">
        <v>42.062600000000003</v>
      </c>
      <c r="BA163" s="76">
        <v>35.695099999999996</v>
      </c>
      <c r="BB163" s="76">
        <v>26.207999999999998</v>
      </c>
      <c r="BC163" s="76">
        <v>30.695</v>
      </c>
      <c r="BD163" s="76">
        <v>1</v>
      </c>
      <c r="BE163" s="76" t="s">
        <v>1735</v>
      </c>
      <c r="BF163" s="76" t="s">
        <v>1736</v>
      </c>
      <c r="BG163" s="76" t="s">
        <v>175</v>
      </c>
      <c r="BH163" s="76" t="s">
        <v>176</v>
      </c>
      <c r="BI163" s="76">
        <v>3000</v>
      </c>
      <c r="BM163" s="79"/>
      <c r="BN163" s="98" t="s">
        <v>2493</v>
      </c>
      <c r="BO163" s="76">
        <v>2</v>
      </c>
      <c r="BP163" s="76">
        <v>2</v>
      </c>
      <c r="BQ163" s="76">
        <v>7</v>
      </c>
      <c r="BR163" s="76" t="s">
        <v>897</v>
      </c>
      <c r="BS163" s="76" t="s">
        <v>180</v>
      </c>
      <c r="BT163" s="76" t="s">
        <v>2494</v>
      </c>
      <c r="BU163" s="99">
        <v>45541</v>
      </c>
      <c r="BV163" s="79">
        <v>35463</v>
      </c>
      <c r="BW163" s="120"/>
      <c r="BX163" s="96"/>
      <c r="BY163" s="76" t="s">
        <v>170</v>
      </c>
      <c r="CB163" s="76" t="s">
        <v>170</v>
      </c>
      <c r="CC163" s="76" t="s">
        <v>170</v>
      </c>
      <c r="CD163" s="76" t="s">
        <v>2646</v>
      </c>
      <c r="CE163" s="76" t="s">
        <v>170</v>
      </c>
      <c r="CG163" s="76" t="s">
        <v>169</v>
      </c>
      <c r="CH163" s="76" t="s">
        <v>284</v>
      </c>
      <c r="CI163" s="76" t="s">
        <v>169</v>
      </c>
      <c r="CJ163" s="76" t="s">
        <v>340</v>
      </c>
      <c r="CK163" s="76" t="s">
        <v>233</v>
      </c>
      <c r="CM163" s="76">
        <v>1</v>
      </c>
      <c r="CN163" s="76" t="s">
        <v>234</v>
      </c>
      <c r="CP163" s="76">
        <v>409</v>
      </c>
      <c r="CQ163" s="76">
        <v>80</v>
      </c>
      <c r="CR163" s="76">
        <v>68.5</v>
      </c>
      <c r="CS163" s="76" t="s">
        <v>1752</v>
      </c>
      <c r="CV163" s="76" t="s">
        <v>341</v>
      </c>
      <c r="CX163" s="76" t="s">
        <v>342</v>
      </c>
      <c r="CY163" s="76" t="s">
        <v>170</v>
      </c>
      <c r="DC163" s="76" t="s">
        <v>2647</v>
      </c>
      <c r="DD163" s="76">
        <v>1</v>
      </c>
      <c r="DE163" s="76" t="s">
        <v>404</v>
      </c>
      <c r="DF163" s="76" t="s">
        <v>499</v>
      </c>
      <c r="DG163" s="76">
        <v>150</v>
      </c>
      <c r="DJ163" s="76" t="s">
        <v>184</v>
      </c>
      <c r="DK163" s="76" t="s">
        <v>185</v>
      </c>
      <c r="DL163" s="76" t="s">
        <v>170</v>
      </c>
      <c r="DM163" s="76" t="s">
        <v>169</v>
      </c>
      <c r="DN163" s="76" t="s">
        <v>170</v>
      </c>
      <c r="DO163" s="76" t="s">
        <v>259</v>
      </c>
      <c r="DP163" s="76" t="s">
        <v>169</v>
      </c>
      <c r="DQ163" s="76" t="s">
        <v>198</v>
      </c>
      <c r="DR163" s="76" t="s">
        <v>2664</v>
      </c>
      <c r="DS163" s="76" t="s">
        <v>2496</v>
      </c>
      <c r="DT163" s="76" t="s">
        <v>2497</v>
      </c>
      <c r="DU163" s="76" t="s">
        <v>2513</v>
      </c>
      <c r="DV163" s="76" t="s">
        <v>2514</v>
      </c>
      <c r="DZ163" s="79"/>
      <c r="EA163" s="101"/>
      <c r="EB163" s="96">
        <v>4</v>
      </c>
      <c r="EC163" s="76">
        <v>5</v>
      </c>
      <c r="ED163" s="79"/>
      <c r="EE163" s="96" t="s">
        <v>2649</v>
      </c>
      <c r="EF163" s="76">
        <v>4</v>
      </c>
      <c r="EH163" s="79"/>
      <c r="EI163" s="96"/>
      <c r="EM163" s="96"/>
      <c r="EP163" s="79"/>
      <c r="EQ163" s="96"/>
      <c r="ET163" s="79"/>
      <c r="EU163" s="96"/>
      <c r="EV163" s="79">
        <v>5500</v>
      </c>
      <c r="EW163" s="96">
        <v>463</v>
      </c>
      <c r="EX163" s="76">
        <v>427</v>
      </c>
      <c r="EY163" s="79">
        <v>447</v>
      </c>
      <c r="EZ163" s="102">
        <f t="shared" si="59"/>
        <v>379</v>
      </c>
      <c r="FA163" s="76">
        <v>1.1000000000000001</v>
      </c>
      <c r="FB163" s="79"/>
      <c r="FC163" s="97">
        <v>350</v>
      </c>
      <c r="FD163" s="96">
        <v>21</v>
      </c>
      <c r="FE163" s="76">
        <v>22</v>
      </c>
      <c r="FF163" s="79">
        <v>21</v>
      </c>
      <c r="FG163" s="76">
        <v>384</v>
      </c>
      <c r="FH163" s="76">
        <v>372</v>
      </c>
      <c r="FI163" s="103">
        <v>379</v>
      </c>
      <c r="FJ163" s="98" t="s">
        <v>2639</v>
      </c>
      <c r="FK163" s="111"/>
      <c r="FL163" s="103"/>
      <c r="FM163" s="76">
        <v>0.22</v>
      </c>
      <c r="FN163" s="76">
        <v>0.27600000000000002</v>
      </c>
      <c r="FO163" s="79">
        <v>0.245</v>
      </c>
      <c r="FP163" s="106"/>
      <c r="FQ163" s="107"/>
      <c r="FR163" s="107"/>
      <c r="FS163" s="108">
        <v>17.2</v>
      </c>
    </row>
    <row r="164" spans="1:190" s="77" customFormat="1" x14ac:dyDescent="0.35">
      <c r="A164" s="76"/>
      <c r="E164" s="76"/>
      <c r="F164" s="76"/>
      <c r="G164" s="78"/>
      <c r="H164" s="76"/>
      <c r="I164" s="79"/>
      <c r="J164" s="80"/>
      <c r="K164" s="28"/>
      <c r="L164" s="28"/>
      <c r="M164" s="25" t="str">
        <f>_xlfn.CONCAT(A165," ",C165," ",D165)</f>
        <v>2025 Mercedes-Benz GLC 350 e 4MATIC with EQ Hybrid Technology</v>
      </c>
      <c r="N164" s="28"/>
      <c r="O164" s="28"/>
      <c r="P164" s="28"/>
      <c r="Q164" s="28"/>
      <c r="R164" s="28"/>
      <c r="S164" s="28"/>
      <c r="T164" s="28"/>
      <c r="U164" s="28"/>
      <c r="V164" s="28"/>
      <c r="W164" s="28"/>
      <c r="X164" s="28"/>
      <c r="Y164" s="28"/>
      <c r="Z164" s="28"/>
      <c r="AA164" s="28"/>
      <c r="AB164" s="28"/>
      <c r="AC164" s="28"/>
      <c r="AD164" s="25" t="str">
        <f>$M164</f>
        <v>2025 Mercedes-Benz GLC 350 e 4MATIC with EQ Hybrid Technology</v>
      </c>
      <c r="AE164" s="28"/>
      <c r="AF164" s="28"/>
      <c r="AG164" s="28"/>
      <c r="AH164" s="28"/>
      <c r="AI164" s="28"/>
      <c r="AJ164" s="81"/>
      <c r="AK164" s="82"/>
      <c r="AL164" s="2"/>
      <c r="AM164" s="2"/>
      <c r="AN164" s="2"/>
      <c r="AO164" s="2"/>
      <c r="AP164" s="2"/>
      <c r="AQ164" s="2"/>
      <c r="AR164" s="83"/>
      <c r="AS164" s="84"/>
      <c r="AT164" s="85" t="str">
        <f>$M164</f>
        <v>2025 Mercedes-Benz GLC 350 e 4MATIC with EQ Hybrid Technology</v>
      </c>
      <c r="AU164" s="84"/>
      <c r="AV164" s="28"/>
      <c r="AW164" s="28"/>
      <c r="AX164" s="28"/>
      <c r="AY164" s="28"/>
      <c r="AZ164" s="28"/>
      <c r="BA164" s="28"/>
      <c r="BB164" s="28"/>
      <c r="BC164" s="28"/>
      <c r="BD164" s="28"/>
      <c r="BE164" s="28"/>
      <c r="BF164" s="28"/>
      <c r="BG164" s="28"/>
      <c r="BH164" s="28"/>
      <c r="BI164" s="25" t="str">
        <f>$M164</f>
        <v>2025 Mercedes-Benz GLC 350 e 4MATIC with EQ Hybrid Technology</v>
      </c>
      <c r="BJ164" s="28"/>
      <c r="BK164" s="28"/>
      <c r="BL164" s="28"/>
      <c r="BM164" s="81"/>
      <c r="BN164" s="82"/>
      <c r="BO164" s="2"/>
      <c r="BP164" s="2"/>
      <c r="BQ164" s="2"/>
      <c r="BR164" s="2"/>
      <c r="BS164" s="2"/>
      <c r="BT164" s="86"/>
      <c r="BU164" s="2"/>
      <c r="BV164" s="83"/>
      <c r="BW164" s="121"/>
      <c r="BX164" s="84"/>
      <c r="BY164" s="25" t="str">
        <f>$M164</f>
        <v>2025 Mercedes-Benz GLC 350 e 4MATIC with EQ Hybrid Technology</v>
      </c>
      <c r="BZ164" s="28"/>
      <c r="CA164" s="28"/>
      <c r="CB164" s="28"/>
      <c r="CC164" s="28"/>
      <c r="CD164" s="28"/>
      <c r="CE164" s="88"/>
      <c r="CF164" s="28"/>
      <c r="CG164" s="28"/>
      <c r="CH164" s="28"/>
      <c r="CI164" s="28"/>
      <c r="CJ164" s="28"/>
      <c r="CK164" s="28"/>
      <c r="CL164" s="28"/>
      <c r="CM164" s="28"/>
      <c r="CN164" s="28"/>
      <c r="CO164" s="25" t="str">
        <f>$M164</f>
        <v>2025 Mercedes-Benz GLC 350 e 4MATIC with EQ Hybrid Technology</v>
      </c>
      <c r="CP164" s="28"/>
      <c r="CQ164" s="28"/>
      <c r="CR164" s="28"/>
      <c r="CS164" s="28"/>
      <c r="CT164" s="28"/>
      <c r="CU164" s="28"/>
      <c r="CV164" s="28"/>
      <c r="CW164" s="28"/>
      <c r="CX164" s="28"/>
      <c r="CY164" s="28"/>
      <c r="CZ164" s="28"/>
      <c r="DA164" s="28"/>
      <c r="DB164" s="28"/>
      <c r="DC164" s="28"/>
      <c r="DD164" s="28"/>
      <c r="DE164" s="28"/>
      <c r="DF164" s="25" t="str">
        <f>$M164</f>
        <v>2025 Mercedes-Benz GLC 350 e 4MATIC with EQ Hybrid Technology</v>
      </c>
      <c r="DG164" s="28"/>
      <c r="DH164" s="28"/>
      <c r="DI164" s="28"/>
      <c r="DJ164" s="28"/>
      <c r="DK164" s="28"/>
      <c r="DL164" s="28"/>
      <c r="DM164" s="28"/>
      <c r="DN164" s="28"/>
      <c r="DO164" s="28"/>
      <c r="DP164" s="28"/>
      <c r="DQ164" s="28"/>
      <c r="DR164" s="25"/>
      <c r="DS164" s="25"/>
      <c r="DT164" s="25"/>
      <c r="DU164" s="25"/>
      <c r="DV164" s="25"/>
      <c r="DW164" s="25" t="str">
        <f>$M164</f>
        <v>2025 Mercedes-Benz GLC 350 e 4MATIC with EQ Hybrid Technology</v>
      </c>
      <c r="DX164" s="25"/>
      <c r="DY164" s="25"/>
      <c r="DZ164" s="85"/>
      <c r="EA164" s="89"/>
      <c r="EB164" s="80"/>
      <c r="EC164" s="25"/>
      <c r="ED164" s="85"/>
      <c r="EE164" s="80"/>
      <c r="EF164" s="25"/>
      <c r="EG164" s="25"/>
      <c r="EH164" s="85"/>
      <c r="EI164" s="80"/>
      <c r="EK164" t="s">
        <v>2445</v>
      </c>
      <c r="EL164" s="25" t="str">
        <f>$M164</f>
        <v>2025 Mercedes-Benz GLC 350 e 4MATIC with EQ Hybrid Technology</v>
      </c>
      <c r="EM164" s="80"/>
      <c r="EP164" s="75"/>
      <c r="EQ164" s="90"/>
      <c r="ET164" s="75"/>
      <c r="EU164" s="90"/>
      <c r="EV164" s="75"/>
      <c r="EW164" s="90"/>
      <c r="EY164" s="75"/>
      <c r="EZ164" s="102"/>
      <c r="FA164" s="25" t="str">
        <f>$M164</f>
        <v>2025 Mercedes-Benz GLC 350 e 4MATIC with EQ Hybrid Technology</v>
      </c>
      <c r="FB164" s="75"/>
      <c r="FC164" s="91"/>
      <c r="FD164" s="80"/>
      <c r="FE164" s="25"/>
      <c r="FF164" s="85"/>
      <c r="FG164" s="80"/>
      <c r="FH164" s="25"/>
      <c r="FI164" s="85"/>
      <c r="FJ164" s="80"/>
      <c r="FK164" s="25"/>
      <c r="FL164" s="85"/>
      <c r="FM164" s="25" t="str">
        <f>$M164</f>
        <v>2025 Mercedes-Benz GLC 350 e 4MATIC with EQ Hybrid Technology</v>
      </c>
      <c r="FN164" s="25"/>
      <c r="FO164" s="85"/>
      <c r="FP164" s="92"/>
      <c r="FQ164" s="93"/>
      <c r="FR164" s="94"/>
      <c r="FS164" s="95"/>
      <c r="FT164" s="25"/>
      <c r="FU164" s="25"/>
      <c r="FV164" s="25"/>
      <c r="FW164" s="25"/>
      <c r="FX164" s="25"/>
      <c r="FY164" s="25"/>
      <c r="FZ164" s="25"/>
      <c r="GA164" s="25"/>
      <c r="GB164" s="25"/>
      <c r="GC164" s="25"/>
      <c r="GD164" s="25"/>
      <c r="GE164" s="25"/>
      <c r="GF164" s="25"/>
      <c r="GG164" s="25"/>
      <c r="GH164" s="25"/>
    </row>
    <row r="165" spans="1:190" s="76" customFormat="1" x14ac:dyDescent="0.35">
      <c r="A165" s="76">
        <v>2025</v>
      </c>
      <c r="B165" s="76" t="s">
        <v>279</v>
      </c>
      <c r="C165" s="76" t="s">
        <v>279</v>
      </c>
      <c r="D165" s="76" t="s">
        <v>2665</v>
      </c>
      <c r="E165" s="76" t="s">
        <v>281</v>
      </c>
      <c r="F165" s="76">
        <v>113</v>
      </c>
      <c r="G165" s="78">
        <v>2</v>
      </c>
      <c r="H165" s="76">
        <v>4</v>
      </c>
      <c r="I165" s="79" t="s">
        <v>282</v>
      </c>
      <c r="J165" s="96">
        <v>23</v>
      </c>
      <c r="K165" s="76">
        <v>28</v>
      </c>
      <c r="L165" s="76">
        <v>25</v>
      </c>
      <c r="M165" s="76">
        <v>30</v>
      </c>
      <c r="N165" s="76">
        <v>39.6</v>
      </c>
      <c r="O165" s="76">
        <v>33.673499999999997</v>
      </c>
      <c r="P165" s="76">
        <v>23.022099999999998</v>
      </c>
      <c r="Q165" s="76">
        <v>27.7592</v>
      </c>
      <c r="R165" s="76">
        <v>24.937100000000001</v>
      </c>
      <c r="T165" s="76" t="s">
        <v>165</v>
      </c>
      <c r="U165" s="76" t="s">
        <v>166</v>
      </c>
      <c r="V165" s="76" t="s">
        <v>167</v>
      </c>
      <c r="W165" s="76" t="s">
        <v>168</v>
      </c>
      <c r="Y165" s="76">
        <v>9</v>
      </c>
      <c r="Z165" s="76" t="s">
        <v>169</v>
      </c>
      <c r="AA165" s="76" t="s">
        <v>170</v>
      </c>
      <c r="AB165" s="76" t="s">
        <v>167</v>
      </c>
      <c r="AC165" s="76" t="s">
        <v>213</v>
      </c>
      <c r="AD165" s="76">
        <v>10</v>
      </c>
      <c r="AF165" s="76">
        <v>324</v>
      </c>
      <c r="AG165" s="76" t="s">
        <v>214</v>
      </c>
      <c r="AH165" s="76" t="s">
        <v>215</v>
      </c>
      <c r="AI165" s="76" t="s">
        <v>175</v>
      </c>
      <c r="AJ165" s="79" t="s">
        <v>176</v>
      </c>
      <c r="AK165" s="96" t="s">
        <v>940</v>
      </c>
      <c r="AL165" s="76" t="s">
        <v>941</v>
      </c>
      <c r="AR165" s="79"/>
      <c r="AS165" s="96">
        <v>1550</v>
      </c>
      <c r="AT165" s="79">
        <v>1550</v>
      </c>
      <c r="AU165" s="96">
        <v>56</v>
      </c>
      <c r="AV165" s="76">
        <v>48</v>
      </c>
      <c r="AW165" s="76">
        <v>52</v>
      </c>
      <c r="AX165" s="76">
        <v>39.1</v>
      </c>
      <c r="AY165" s="76">
        <v>33.9</v>
      </c>
      <c r="AZ165" s="76">
        <v>36.76</v>
      </c>
      <c r="BA165" s="76">
        <v>55.753999999999998</v>
      </c>
      <c r="BB165" s="76">
        <v>48.381999999999998</v>
      </c>
      <c r="BC165" s="76">
        <v>52.436599999999999</v>
      </c>
      <c r="BD165" s="76">
        <v>54</v>
      </c>
      <c r="BE165" s="76" t="s">
        <v>1735</v>
      </c>
      <c r="BF165" s="76" t="s">
        <v>1736</v>
      </c>
      <c r="BG165" s="76" t="s">
        <v>1742</v>
      </c>
      <c r="BH165" s="76" t="s">
        <v>1743</v>
      </c>
      <c r="BI165" s="76">
        <v>1550</v>
      </c>
      <c r="BJ165" s="2"/>
      <c r="BK165" s="2"/>
      <c r="BL165" s="2"/>
      <c r="BM165" s="79"/>
      <c r="BN165" s="98" t="s">
        <v>2493</v>
      </c>
      <c r="BO165" s="76">
        <v>2</v>
      </c>
      <c r="BP165" s="76">
        <v>2</v>
      </c>
      <c r="BQ165" s="76">
        <v>31</v>
      </c>
      <c r="BR165" s="76" t="s">
        <v>1219</v>
      </c>
      <c r="BT165" s="76" t="s">
        <v>2494</v>
      </c>
      <c r="BU165" s="99">
        <v>45516</v>
      </c>
      <c r="BV165" s="79">
        <v>35387</v>
      </c>
      <c r="BW165" s="120"/>
      <c r="BX165" s="96"/>
      <c r="BY165" s="76" t="s">
        <v>170</v>
      </c>
      <c r="CB165" s="76" t="s">
        <v>170</v>
      </c>
      <c r="CC165" s="76" t="s">
        <v>170</v>
      </c>
      <c r="CD165" s="76" t="s">
        <v>2666</v>
      </c>
      <c r="CE165" s="76" t="s">
        <v>170</v>
      </c>
      <c r="CG165" s="76" t="s">
        <v>169</v>
      </c>
      <c r="CH165" s="76" t="s">
        <v>284</v>
      </c>
      <c r="CI165" s="76" t="s">
        <v>170</v>
      </c>
      <c r="CK165" s="76" t="s">
        <v>233</v>
      </c>
      <c r="CM165" s="76">
        <v>1</v>
      </c>
      <c r="CN165" s="76" t="s">
        <v>234</v>
      </c>
      <c r="CP165" s="76">
        <v>363</v>
      </c>
      <c r="CQ165" s="76">
        <v>86</v>
      </c>
      <c r="CR165" s="76">
        <v>116.7</v>
      </c>
      <c r="CS165" s="76" t="s">
        <v>1752</v>
      </c>
      <c r="CV165" s="76" t="s">
        <v>341</v>
      </c>
      <c r="CX165" s="76" t="s">
        <v>342</v>
      </c>
      <c r="CY165" s="76" t="s">
        <v>170</v>
      </c>
      <c r="DC165" s="76" t="s">
        <v>2667</v>
      </c>
      <c r="DD165" s="76">
        <v>1</v>
      </c>
      <c r="DE165" s="76" t="s">
        <v>404</v>
      </c>
      <c r="DF165" s="76" t="s">
        <v>499</v>
      </c>
      <c r="DG165" s="76">
        <v>100</v>
      </c>
      <c r="DJ165" s="76" t="s">
        <v>184</v>
      </c>
      <c r="DK165" s="76" t="s">
        <v>185</v>
      </c>
      <c r="DL165" s="76" t="s">
        <v>170</v>
      </c>
      <c r="DM165" s="76" t="s">
        <v>169</v>
      </c>
      <c r="DN165" s="76" t="s">
        <v>170</v>
      </c>
      <c r="DO165" s="76" t="s">
        <v>345</v>
      </c>
      <c r="DP165" s="76" t="s">
        <v>169</v>
      </c>
      <c r="DQ165" s="76" t="s">
        <v>198</v>
      </c>
      <c r="DS165" s="76" t="s">
        <v>2496</v>
      </c>
      <c r="DT165" s="76" t="s">
        <v>2497</v>
      </c>
      <c r="DU165" s="76" t="s">
        <v>2498</v>
      </c>
      <c r="DV165" s="76" t="s">
        <v>2499</v>
      </c>
      <c r="DY165" s="76">
        <v>33.9</v>
      </c>
      <c r="DZ165" s="79"/>
      <c r="EA165" s="101"/>
      <c r="EB165" s="96">
        <v>8</v>
      </c>
      <c r="EC165" s="76">
        <v>9</v>
      </c>
      <c r="ED165" s="79">
        <v>10</v>
      </c>
      <c r="EE165" s="96" t="s">
        <v>2668</v>
      </c>
      <c r="EF165" s="76">
        <v>6</v>
      </c>
      <c r="EH165" s="79"/>
      <c r="EI165" s="96"/>
      <c r="EM165" s="96"/>
      <c r="EP165" s="79"/>
      <c r="EQ165" s="96"/>
      <c r="ET165" s="79"/>
      <c r="EU165" s="96">
        <v>1750</v>
      </c>
      <c r="EV165" s="79"/>
      <c r="EW165" s="96">
        <v>0</v>
      </c>
      <c r="EX165" s="76">
        <v>0</v>
      </c>
      <c r="EY165" s="79">
        <v>0</v>
      </c>
      <c r="EZ165" s="102">
        <f t="shared" si="59"/>
        <v>84</v>
      </c>
      <c r="FA165" s="76">
        <v>3</v>
      </c>
      <c r="FB165" s="79"/>
      <c r="FC165" s="97">
        <v>380</v>
      </c>
      <c r="FD165" s="96">
        <v>43</v>
      </c>
      <c r="FE165" s="76">
        <v>52</v>
      </c>
      <c r="FF165" s="79">
        <v>46</v>
      </c>
      <c r="FG165" s="76">
        <v>96</v>
      </c>
      <c r="FH165" s="76">
        <v>69</v>
      </c>
      <c r="FI165" s="103">
        <v>84</v>
      </c>
      <c r="FJ165" s="104">
        <v>51.45</v>
      </c>
      <c r="FK165" s="105">
        <v>57.95</v>
      </c>
      <c r="FL165" s="79">
        <v>54</v>
      </c>
      <c r="FM165" s="76">
        <v>0.751</v>
      </c>
      <c r="FN165" s="76">
        <v>0.78300000000000003</v>
      </c>
      <c r="FO165" s="79">
        <v>0.76600000000000001</v>
      </c>
      <c r="FP165" s="106">
        <v>0</v>
      </c>
      <c r="FQ165" s="107">
        <v>0</v>
      </c>
      <c r="FR165" s="107">
        <v>0</v>
      </c>
      <c r="FS165" s="108">
        <v>12.9</v>
      </c>
    </row>
    <row r="166" spans="1:190" s="76" customFormat="1" x14ac:dyDescent="0.35">
      <c r="A166" s="76">
        <v>2025</v>
      </c>
      <c r="B166" s="162" t="s">
        <v>279</v>
      </c>
      <c r="C166" s="162" t="s">
        <v>279</v>
      </c>
      <c r="D166" s="162" t="s">
        <v>2665</v>
      </c>
      <c r="E166" s="162" t="s">
        <v>281</v>
      </c>
      <c r="F166" s="162">
        <v>113</v>
      </c>
      <c r="G166" s="162">
        <v>2</v>
      </c>
      <c r="H166" s="162">
        <v>4</v>
      </c>
      <c r="I166" s="163" t="s">
        <v>282</v>
      </c>
      <c r="J166" s="96">
        <f t="shared" ref="J166:R166" si="74">J165</f>
        <v>23</v>
      </c>
      <c r="K166" s="76">
        <f t="shared" si="74"/>
        <v>28</v>
      </c>
      <c r="L166" s="76">
        <f t="shared" si="74"/>
        <v>25</v>
      </c>
      <c r="M166" s="76">
        <f t="shared" si="74"/>
        <v>30</v>
      </c>
      <c r="N166" s="76">
        <f t="shared" si="74"/>
        <v>39.6</v>
      </c>
      <c r="O166" s="76">
        <f t="shared" si="74"/>
        <v>33.673499999999997</v>
      </c>
      <c r="P166" s="76">
        <f t="shared" si="74"/>
        <v>23.022099999999998</v>
      </c>
      <c r="Q166" s="76">
        <f t="shared" si="74"/>
        <v>27.7592</v>
      </c>
      <c r="R166" s="76">
        <f t="shared" si="74"/>
        <v>24.937100000000001</v>
      </c>
      <c r="T166" s="76" t="str">
        <f>T165</f>
        <v>TC</v>
      </c>
      <c r="U166" s="76" t="str">
        <f>U165</f>
        <v>Turbocharged</v>
      </c>
      <c r="V166" s="76" t="str">
        <f>V165</f>
        <v>A</v>
      </c>
      <c r="W166" s="76" t="str">
        <f>W165</f>
        <v>Automatic</v>
      </c>
      <c r="Y166" s="76">
        <f t="shared" ref="Y166:AD166" si="75">Y165</f>
        <v>9</v>
      </c>
      <c r="Z166" s="76" t="str">
        <f t="shared" si="75"/>
        <v>Y</v>
      </c>
      <c r="AA166" s="76" t="str">
        <f t="shared" si="75"/>
        <v>N</v>
      </c>
      <c r="AB166" s="76" t="str">
        <f t="shared" si="75"/>
        <v>A</v>
      </c>
      <c r="AC166" s="76" t="str">
        <f t="shared" si="75"/>
        <v>All Wheel Drive</v>
      </c>
      <c r="AD166" s="76">
        <f t="shared" si="75"/>
        <v>10</v>
      </c>
      <c r="AF166" s="76">
        <f>AF165</f>
        <v>324</v>
      </c>
      <c r="AG166" s="76" t="str">
        <f>AG165</f>
        <v>GPR</v>
      </c>
      <c r="AH166" s="76" t="str">
        <f>AH165</f>
        <v>Gasoline (Premium Unleaded Required)</v>
      </c>
      <c r="AI166" s="76" t="str">
        <f>AI165</f>
        <v>MPG</v>
      </c>
      <c r="AJ166" s="79" t="str">
        <f>AJ165</f>
        <v>miles per gallon</v>
      </c>
      <c r="AK166" s="96" t="s">
        <v>940</v>
      </c>
      <c r="AL166" s="76" t="s">
        <v>941</v>
      </c>
      <c r="AR166" s="79"/>
      <c r="AS166" s="96">
        <v>1550</v>
      </c>
      <c r="AT166" s="79">
        <v>1550</v>
      </c>
      <c r="AU166" s="96">
        <v>60</v>
      </c>
      <c r="AV166" s="76">
        <v>70</v>
      </c>
      <c r="AW166" s="76">
        <v>64</v>
      </c>
      <c r="AX166" s="76">
        <v>86.2</v>
      </c>
      <c r="AY166" s="76">
        <v>99.5</v>
      </c>
      <c r="AZ166" s="76">
        <v>91.716800000000006</v>
      </c>
      <c r="BA166" s="76">
        <v>60.418399999999998</v>
      </c>
      <c r="BB166" s="76">
        <v>69.656400000000005</v>
      </c>
      <c r="BC166" s="76">
        <v>64.253</v>
      </c>
      <c r="BD166" s="76">
        <v>54</v>
      </c>
      <c r="BE166" s="76" t="s">
        <v>1735</v>
      </c>
      <c r="BF166" s="76" t="s">
        <v>1736</v>
      </c>
      <c r="BG166" s="76" t="s">
        <v>175</v>
      </c>
      <c r="BH166" s="76" t="s">
        <v>176</v>
      </c>
      <c r="BI166" s="76">
        <v>1550</v>
      </c>
      <c r="BM166" s="79"/>
      <c r="BN166" s="98" t="s">
        <v>2493</v>
      </c>
      <c r="BO166" s="76">
        <v>2</v>
      </c>
      <c r="BP166" s="76">
        <v>2</v>
      </c>
      <c r="BQ166" s="76">
        <v>31</v>
      </c>
      <c r="BR166" s="76" t="s">
        <v>1219</v>
      </c>
      <c r="BT166" s="76" t="s">
        <v>2494</v>
      </c>
      <c r="BU166" s="99">
        <v>45516</v>
      </c>
      <c r="BV166" s="79">
        <v>35387</v>
      </c>
      <c r="BW166" s="120"/>
      <c r="BX166" s="96"/>
      <c r="BY166" s="76" t="s">
        <v>170</v>
      </c>
      <c r="CB166" s="76" t="s">
        <v>170</v>
      </c>
      <c r="CC166" s="76" t="s">
        <v>170</v>
      </c>
      <c r="CD166" s="76" t="s">
        <v>2666</v>
      </c>
      <c r="CE166" s="76" t="s">
        <v>170</v>
      </c>
      <c r="CG166" s="76" t="s">
        <v>169</v>
      </c>
      <c r="CH166" s="76" t="s">
        <v>284</v>
      </c>
      <c r="CI166" s="76" t="s">
        <v>170</v>
      </c>
      <c r="CK166" s="76" t="s">
        <v>233</v>
      </c>
      <c r="CM166" s="76">
        <v>1</v>
      </c>
      <c r="CN166" s="76" t="s">
        <v>234</v>
      </c>
      <c r="CP166" s="76">
        <v>363</v>
      </c>
      <c r="CQ166" s="76">
        <v>86</v>
      </c>
      <c r="CR166" s="76">
        <v>116.7</v>
      </c>
      <c r="CS166" s="76" t="s">
        <v>1752</v>
      </c>
      <c r="CV166" s="76" t="s">
        <v>341</v>
      </c>
      <c r="CX166" s="76" t="s">
        <v>342</v>
      </c>
      <c r="CY166" s="76" t="s">
        <v>170</v>
      </c>
      <c r="DC166" s="76" t="s">
        <v>2667</v>
      </c>
      <c r="DD166" s="76">
        <v>1</v>
      </c>
      <c r="DE166" s="76" t="s">
        <v>404</v>
      </c>
      <c r="DF166" s="76" t="s">
        <v>499</v>
      </c>
      <c r="DG166" s="76">
        <v>100</v>
      </c>
      <c r="DJ166" s="76" t="s">
        <v>184</v>
      </c>
      <c r="DK166" s="76" t="s">
        <v>185</v>
      </c>
      <c r="DL166" s="76" t="s">
        <v>170</v>
      </c>
      <c r="DM166" s="76" t="s">
        <v>169</v>
      </c>
      <c r="DN166" s="76" t="s">
        <v>170</v>
      </c>
      <c r="DO166" s="76" t="s">
        <v>345</v>
      </c>
      <c r="DP166" s="76" t="s">
        <v>169</v>
      </c>
      <c r="DQ166" s="76" t="s">
        <v>198</v>
      </c>
      <c r="DS166" s="76" t="s">
        <v>2496</v>
      </c>
      <c r="DT166" s="76" t="s">
        <v>2497</v>
      </c>
      <c r="DU166" s="76" t="s">
        <v>2498</v>
      </c>
      <c r="DV166" s="76" t="s">
        <v>2499</v>
      </c>
      <c r="DZ166" s="79"/>
      <c r="EA166" s="101"/>
      <c r="EB166" s="96">
        <v>8</v>
      </c>
      <c r="EC166" s="76">
        <v>9</v>
      </c>
      <c r="ED166" s="79">
        <v>10</v>
      </c>
      <c r="EE166" s="96" t="s">
        <v>2668</v>
      </c>
      <c r="EF166" s="76">
        <v>6</v>
      </c>
      <c r="EH166" s="79"/>
      <c r="EI166" s="96"/>
      <c r="EM166" s="96"/>
      <c r="EP166" s="79"/>
      <c r="EQ166" s="96"/>
      <c r="ET166" s="79"/>
      <c r="EU166" s="96">
        <v>1750</v>
      </c>
      <c r="EV166" s="79"/>
      <c r="EW166" s="96">
        <v>384</v>
      </c>
      <c r="EX166" s="76">
        <v>318</v>
      </c>
      <c r="EY166" s="79">
        <v>354</v>
      </c>
      <c r="EZ166" s="102">
        <f t="shared" si="59"/>
        <v>84</v>
      </c>
      <c r="FA166" s="76">
        <v>3</v>
      </c>
      <c r="FB166" s="79"/>
      <c r="FC166" s="97">
        <v>380</v>
      </c>
      <c r="FD166" s="96">
        <v>43</v>
      </c>
      <c r="FE166" s="76">
        <v>52</v>
      </c>
      <c r="FF166" s="79">
        <v>46</v>
      </c>
      <c r="FG166" s="76">
        <v>96</v>
      </c>
      <c r="FH166" s="76">
        <v>69</v>
      </c>
      <c r="FI166" s="103">
        <v>84</v>
      </c>
      <c r="FJ166" s="170" t="s">
        <v>2669</v>
      </c>
      <c r="FK166" s="171"/>
      <c r="FL166" s="172"/>
      <c r="FM166" s="76">
        <v>0.751</v>
      </c>
      <c r="FN166" s="76">
        <v>0.78300000000000003</v>
      </c>
      <c r="FO166" s="79">
        <v>0.76600000000000001</v>
      </c>
      <c r="FP166" s="106"/>
      <c r="FQ166" s="107"/>
      <c r="FR166" s="107"/>
      <c r="FS166" s="108">
        <v>12.9</v>
      </c>
    </row>
    <row r="167" spans="1:190" s="77" customFormat="1" x14ac:dyDescent="0.35">
      <c r="A167" s="76"/>
      <c r="E167" s="76"/>
      <c r="F167" s="76"/>
      <c r="G167" s="78"/>
      <c r="H167" s="76"/>
      <c r="I167" s="79"/>
      <c r="J167" s="80"/>
      <c r="K167" s="28"/>
      <c r="L167" s="28"/>
      <c r="M167" s="25" t="str">
        <f>_xlfn.CONCAT(A168," ",C168," ",D168)</f>
        <v>2025 Mercedes-Benz GLE 450 e 4MATIC</v>
      </c>
      <c r="N167" s="28"/>
      <c r="O167" s="28"/>
      <c r="P167" s="28"/>
      <c r="Q167" s="28"/>
      <c r="R167" s="28"/>
      <c r="S167" s="28"/>
      <c r="T167" s="28"/>
      <c r="U167" s="28"/>
      <c r="V167" s="28"/>
      <c r="W167" s="28"/>
      <c r="X167" s="28"/>
      <c r="Y167" s="28"/>
      <c r="Z167" s="28"/>
      <c r="AA167" s="28"/>
      <c r="AB167" s="28"/>
      <c r="AC167" s="28"/>
      <c r="AD167" s="25" t="str">
        <f>$M167</f>
        <v>2025 Mercedes-Benz GLE 450 e 4MATIC</v>
      </c>
      <c r="AE167" s="28"/>
      <c r="AF167" s="28"/>
      <c r="AG167" s="28"/>
      <c r="AH167" s="28"/>
      <c r="AI167" s="28"/>
      <c r="AJ167" s="81"/>
      <c r="AK167" s="82"/>
      <c r="AL167" s="2"/>
      <c r="AM167" s="2"/>
      <c r="AN167" s="2"/>
      <c r="AO167" s="2"/>
      <c r="AP167" s="2"/>
      <c r="AQ167" s="2"/>
      <c r="AR167" s="83"/>
      <c r="AS167" s="84"/>
      <c r="AT167" s="85" t="str">
        <f>$M167</f>
        <v>2025 Mercedes-Benz GLE 450 e 4MATIC</v>
      </c>
      <c r="AU167" s="84"/>
      <c r="AV167" s="28"/>
      <c r="AW167" s="28"/>
      <c r="AX167" s="28"/>
      <c r="AY167" s="28"/>
      <c r="AZ167" s="28"/>
      <c r="BA167" s="28"/>
      <c r="BB167" s="28"/>
      <c r="BC167" s="28"/>
      <c r="BD167" s="28"/>
      <c r="BE167" s="28"/>
      <c r="BF167" s="28"/>
      <c r="BG167" s="28"/>
      <c r="BH167" s="28"/>
      <c r="BI167" s="25" t="str">
        <f>$M167</f>
        <v>2025 Mercedes-Benz GLE 450 e 4MATIC</v>
      </c>
      <c r="BJ167" s="28"/>
      <c r="BK167" s="28"/>
      <c r="BL167" s="28"/>
      <c r="BM167" s="81"/>
      <c r="BN167" s="82"/>
      <c r="BO167" s="2"/>
      <c r="BP167" s="2"/>
      <c r="BQ167" s="2"/>
      <c r="BR167" s="2"/>
      <c r="BS167" s="2"/>
      <c r="BT167" s="86"/>
      <c r="BU167" s="2"/>
      <c r="BV167" s="83"/>
      <c r="BW167" s="121"/>
      <c r="BX167" s="84"/>
      <c r="BY167" s="25" t="str">
        <f>$M167</f>
        <v>2025 Mercedes-Benz GLE 450 e 4MATIC</v>
      </c>
      <c r="BZ167" s="28"/>
      <c r="CA167" s="28"/>
      <c r="CB167" s="28"/>
      <c r="CC167" s="28"/>
      <c r="CD167" s="28"/>
      <c r="CE167" s="88"/>
      <c r="CF167" s="28"/>
      <c r="CG167" s="28"/>
      <c r="CH167" s="28"/>
      <c r="CI167" s="28"/>
      <c r="CJ167" s="28"/>
      <c r="CK167" s="28"/>
      <c r="CL167" s="28"/>
      <c r="CM167" s="28"/>
      <c r="CN167" s="28"/>
      <c r="CO167" s="25" t="str">
        <f>$M167</f>
        <v>2025 Mercedes-Benz GLE 450 e 4MATIC</v>
      </c>
      <c r="CP167" s="28"/>
      <c r="CQ167" s="28"/>
      <c r="CR167" s="28"/>
      <c r="CS167" s="28"/>
      <c r="CT167" s="28"/>
      <c r="CU167" s="28"/>
      <c r="CV167" s="28"/>
      <c r="CW167" s="28"/>
      <c r="CX167" s="28"/>
      <c r="CY167" s="28"/>
      <c r="CZ167" s="28"/>
      <c r="DA167" s="28"/>
      <c r="DB167" s="28"/>
      <c r="DC167" s="28"/>
      <c r="DD167" s="28"/>
      <c r="DE167" s="28"/>
      <c r="DF167" s="25" t="str">
        <f>$M167</f>
        <v>2025 Mercedes-Benz GLE 450 e 4MATIC</v>
      </c>
      <c r="DG167" s="28"/>
      <c r="DH167" s="28"/>
      <c r="DI167" s="28"/>
      <c r="DJ167" s="28"/>
      <c r="DK167" s="28"/>
      <c r="DL167" s="28"/>
      <c r="DM167" s="28"/>
      <c r="DN167" s="28"/>
      <c r="DO167" s="28"/>
      <c r="DP167" s="28"/>
      <c r="DQ167" s="28"/>
      <c r="DR167" s="25"/>
      <c r="DS167" s="25"/>
      <c r="DT167" s="25"/>
      <c r="DU167" s="25"/>
      <c r="DV167" s="25"/>
      <c r="DW167" s="25" t="str">
        <f>$M167</f>
        <v>2025 Mercedes-Benz GLE 450 e 4MATIC</v>
      </c>
      <c r="DX167" s="25"/>
      <c r="DY167" s="25"/>
      <c r="DZ167" s="85"/>
      <c r="EA167" s="89"/>
      <c r="EB167" s="80"/>
      <c r="EC167" s="25"/>
      <c r="ED167" s="85"/>
      <c r="EE167" s="80"/>
      <c r="EF167" s="25"/>
      <c r="EG167" s="25"/>
      <c r="EH167" s="85"/>
      <c r="EI167" s="80"/>
      <c r="EK167" t="s">
        <v>2445</v>
      </c>
      <c r="EL167" s="25" t="str">
        <f>$M167</f>
        <v>2025 Mercedes-Benz GLE 450 e 4MATIC</v>
      </c>
      <c r="EM167" s="80"/>
      <c r="EP167" s="75"/>
      <c r="EQ167" s="90"/>
      <c r="ET167" s="75"/>
      <c r="EU167" s="90"/>
      <c r="EV167" s="75"/>
      <c r="EW167" s="90"/>
      <c r="EY167" s="75"/>
      <c r="EZ167" s="102"/>
      <c r="FA167" s="25" t="str">
        <f>$M167</f>
        <v>2025 Mercedes-Benz GLE 450 e 4MATIC</v>
      </c>
      <c r="FB167" s="75"/>
      <c r="FC167" s="91"/>
      <c r="FD167" s="80"/>
      <c r="FE167" s="25"/>
      <c r="FF167" s="85"/>
      <c r="FG167" s="80"/>
      <c r="FH167" s="25"/>
      <c r="FI167" s="85"/>
      <c r="FJ167" s="80"/>
      <c r="FK167" s="25"/>
      <c r="FL167" s="85"/>
      <c r="FM167" s="25" t="str">
        <f>$M167</f>
        <v>2025 Mercedes-Benz GLE 450 e 4MATIC</v>
      </c>
      <c r="FN167" s="25"/>
      <c r="FO167" s="85"/>
      <c r="FP167" s="92"/>
      <c r="FQ167" s="93"/>
      <c r="FR167" s="94"/>
      <c r="FS167" s="95"/>
      <c r="FT167" s="25"/>
      <c r="FU167" s="25"/>
      <c r="FV167" s="25"/>
      <c r="FW167" s="25"/>
      <c r="FX167" s="25"/>
      <c r="FY167" s="25"/>
      <c r="FZ167" s="25"/>
      <c r="GA167" s="25"/>
      <c r="GB167" s="25"/>
      <c r="GC167" s="25"/>
      <c r="GD167" s="25"/>
      <c r="GE167" s="25"/>
      <c r="GF167" s="25"/>
      <c r="GG167" s="25"/>
      <c r="GH167" s="25"/>
    </row>
    <row r="168" spans="1:190" s="76" customFormat="1" x14ac:dyDescent="0.35">
      <c r="A168" s="76">
        <v>2025</v>
      </c>
      <c r="B168" s="76" t="s">
        <v>279</v>
      </c>
      <c r="C168" s="76" t="s">
        <v>279</v>
      </c>
      <c r="D168" s="76" t="s">
        <v>2670</v>
      </c>
      <c r="E168" s="76" t="s">
        <v>281</v>
      </c>
      <c r="F168" s="76">
        <v>407</v>
      </c>
      <c r="G168" s="78">
        <v>2</v>
      </c>
      <c r="H168" s="76">
        <v>4</v>
      </c>
      <c r="I168" s="79" t="s">
        <v>282</v>
      </c>
      <c r="J168" s="96">
        <v>21</v>
      </c>
      <c r="K168" s="76">
        <v>26</v>
      </c>
      <c r="L168" s="76">
        <v>23</v>
      </c>
      <c r="M168" s="76">
        <v>28.1</v>
      </c>
      <c r="N168" s="76">
        <v>36.299999999999997</v>
      </c>
      <c r="O168" s="76">
        <v>31.279699999999998</v>
      </c>
      <c r="P168" s="76">
        <v>21.146999999999998</v>
      </c>
      <c r="Q168" s="76">
        <v>26.0045</v>
      </c>
      <c r="R168" s="76">
        <v>23.087700000000002</v>
      </c>
      <c r="T168" s="76" t="s">
        <v>165</v>
      </c>
      <c r="U168" s="76" t="s">
        <v>166</v>
      </c>
      <c r="V168" s="76" t="s">
        <v>167</v>
      </c>
      <c r="W168" s="76" t="s">
        <v>168</v>
      </c>
      <c r="Y168" s="76">
        <v>9</v>
      </c>
      <c r="Z168" s="76" t="s">
        <v>169</v>
      </c>
      <c r="AA168" s="76" t="s">
        <v>170</v>
      </c>
      <c r="AB168" s="76" t="s">
        <v>167</v>
      </c>
      <c r="AC168" s="76" t="s">
        <v>213</v>
      </c>
      <c r="AD168" s="76">
        <v>10</v>
      </c>
      <c r="AF168" s="76">
        <v>401</v>
      </c>
      <c r="AG168" s="76" t="s">
        <v>214</v>
      </c>
      <c r="AH168" s="76" t="s">
        <v>215</v>
      </c>
      <c r="AI168" s="76" t="s">
        <v>175</v>
      </c>
      <c r="AJ168" s="79" t="s">
        <v>176</v>
      </c>
      <c r="AK168" s="96" t="s">
        <v>940</v>
      </c>
      <c r="AL168" s="76" t="s">
        <v>941</v>
      </c>
      <c r="AR168" s="79"/>
      <c r="AS168" s="96">
        <v>1700</v>
      </c>
      <c r="AT168" s="79">
        <v>1700</v>
      </c>
      <c r="AU168" s="96">
        <v>59</v>
      </c>
      <c r="AV168" s="76">
        <v>54</v>
      </c>
      <c r="AW168" s="76">
        <v>56</v>
      </c>
      <c r="AX168" s="76">
        <v>42.1</v>
      </c>
      <c r="AY168" s="76">
        <v>37.5</v>
      </c>
      <c r="AZ168" s="76">
        <v>39.534999999999997</v>
      </c>
      <c r="BA168" s="76">
        <v>58.762999999999998</v>
      </c>
      <c r="BB168" s="76">
        <v>53.62</v>
      </c>
      <c r="BC168" s="76">
        <v>56.448599999999999</v>
      </c>
      <c r="BD168" s="76">
        <v>50</v>
      </c>
      <c r="BE168" s="76" t="s">
        <v>1735</v>
      </c>
      <c r="BF168" s="76" t="s">
        <v>1736</v>
      </c>
      <c r="BG168" s="76" t="s">
        <v>1742</v>
      </c>
      <c r="BH168" s="76" t="s">
        <v>1743</v>
      </c>
      <c r="BI168" s="76">
        <v>1700</v>
      </c>
      <c r="BJ168" s="2"/>
      <c r="BK168" s="2"/>
      <c r="BL168" s="2"/>
      <c r="BM168" s="79"/>
      <c r="BN168" s="98" t="s">
        <v>2493</v>
      </c>
      <c r="BO168" s="76">
        <v>2</v>
      </c>
      <c r="BP168" s="76">
        <v>2</v>
      </c>
      <c r="BQ168" s="76">
        <v>33</v>
      </c>
      <c r="BR168" s="76" t="s">
        <v>1497</v>
      </c>
      <c r="BT168" s="76" t="s">
        <v>2494</v>
      </c>
      <c r="BU168" s="99">
        <v>45502</v>
      </c>
      <c r="BV168" s="79">
        <v>35300</v>
      </c>
      <c r="BW168" s="120"/>
      <c r="BX168" s="96"/>
      <c r="BY168" s="76" t="s">
        <v>170</v>
      </c>
      <c r="CB168" s="76" t="s">
        <v>170</v>
      </c>
      <c r="CC168" s="76" t="s">
        <v>170</v>
      </c>
      <c r="CD168" s="76" t="s">
        <v>2666</v>
      </c>
      <c r="CE168" s="76" t="s">
        <v>170</v>
      </c>
      <c r="CG168" s="76" t="s">
        <v>169</v>
      </c>
      <c r="CH168" s="76" t="s">
        <v>284</v>
      </c>
      <c r="CI168" s="76" t="s">
        <v>170</v>
      </c>
      <c r="CK168" s="76" t="s">
        <v>233</v>
      </c>
      <c r="CM168" s="76">
        <v>1</v>
      </c>
      <c r="CN168" s="76" t="s">
        <v>234</v>
      </c>
      <c r="CP168" s="76">
        <v>363</v>
      </c>
      <c r="CQ168" s="76">
        <v>86</v>
      </c>
      <c r="CR168" s="76">
        <v>116.7</v>
      </c>
      <c r="CS168" s="76" t="s">
        <v>1752</v>
      </c>
      <c r="CV168" s="76" t="s">
        <v>341</v>
      </c>
      <c r="CX168" s="76" t="s">
        <v>342</v>
      </c>
      <c r="CY168" s="76" t="s">
        <v>170</v>
      </c>
      <c r="DC168" s="76" t="s">
        <v>2667</v>
      </c>
      <c r="DD168" s="76">
        <v>1</v>
      </c>
      <c r="DE168" s="76" t="s">
        <v>404</v>
      </c>
      <c r="DF168" s="76" t="s">
        <v>499</v>
      </c>
      <c r="DG168" s="76">
        <v>100</v>
      </c>
      <c r="DJ168" s="76" t="s">
        <v>184</v>
      </c>
      <c r="DK168" s="76" t="s">
        <v>185</v>
      </c>
      <c r="DL168" s="76" t="s">
        <v>170</v>
      </c>
      <c r="DM168" s="76" t="s">
        <v>169</v>
      </c>
      <c r="DN168" s="76" t="s">
        <v>170</v>
      </c>
      <c r="DO168" s="76" t="s">
        <v>345</v>
      </c>
      <c r="DP168" s="76" t="s">
        <v>169</v>
      </c>
      <c r="DQ168" s="76" t="s">
        <v>198</v>
      </c>
      <c r="DS168" s="76" t="s">
        <v>2496</v>
      </c>
      <c r="DT168" s="76" t="s">
        <v>2497</v>
      </c>
      <c r="DU168" s="76" t="s">
        <v>2498</v>
      </c>
      <c r="DV168" s="76" t="s">
        <v>2499</v>
      </c>
      <c r="DY168" s="76">
        <v>31.5</v>
      </c>
      <c r="DZ168" s="79"/>
      <c r="EA168" s="101"/>
      <c r="EB168" s="96">
        <v>7</v>
      </c>
      <c r="EC168" s="76">
        <v>9</v>
      </c>
      <c r="ED168" s="79"/>
      <c r="EE168" s="96" t="s">
        <v>2668</v>
      </c>
      <c r="EF168" s="76">
        <v>6</v>
      </c>
      <c r="EH168" s="79"/>
      <c r="EI168" s="96"/>
      <c r="EM168" s="96"/>
      <c r="EP168" s="79"/>
      <c r="EQ168" s="96"/>
      <c r="ET168" s="79"/>
      <c r="EU168" s="96">
        <v>1000</v>
      </c>
      <c r="EV168" s="79"/>
      <c r="EW168" s="96">
        <v>0</v>
      </c>
      <c r="EX168" s="76">
        <v>0</v>
      </c>
      <c r="EY168" s="79">
        <v>0</v>
      </c>
      <c r="EZ168" s="102">
        <f t="shared" si="59"/>
        <v>99</v>
      </c>
      <c r="FA168" s="76">
        <v>3</v>
      </c>
      <c r="FB168" s="79"/>
      <c r="FC168" s="97">
        <v>450</v>
      </c>
      <c r="FD168" s="96">
        <v>39</v>
      </c>
      <c r="FE168" s="76">
        <v>46</v>
      </c>
      <c r="FF168" s="79">
        <v>42</v>
      </c>
      <c r="FG168" s="76">
        <v>112</v>
      </c>
      <c r="FH168" s="76">
        <v>84</v>
      </c>
      <c r="FI168" s="103">
        <v>99</v>
      </c>
      <c r="FJ168" s="104">
        <v>48.24</v>
      </c>
      <c r="FK168" s="105">
        <v>52</v>
      </c>
      <c r="FL168" s="79">
        <v>50</v>
      </c>
      <c r="FM168" s="76">
        <v>0.73299999999999998</v>
      </c>
      <c r="FN168" s="76">
        <v>0.754</v>
      </c>
      <c r="FO168" s="79">
        <v>0.74299999999999999</v>
      </c>
      <c r="FP168" s="106">
        <v>0</v>
      </c>
      <c r="FQ168" s="107">
        <v>0</v>
      </c>
      <c r="FR168" s="107">
        <v>0</v>
      </c>
      <c r="FS168" s="108">
        <v>17.2</v>
      </c>
    </row>
    <row r="169" spans="1:190" s="76" customFormat="1" x14ac:dyDescent="0.35">
      <c r="A169" s="76">
        <v>2025</v>
      </c>
      <c r="B169" s="162" t="s">
        <v>279</v>
      </c>
      <c r="C169" s="162" t="s">
        <v>279</v>
      </c>
      <c r="D169" s="162" t="s">
        <v>2670</v>
      </c>
      <c r="E169" s="162" t="s">
        <v>281</v>
      </c>
      <c r="F169" s="162">
        <v>407</v>
      </c>
      <c r="G169" s="162">
        <v>2</v>
      </c>
      <c r="H169" s="162">
        <v>4</v>
      </c>
      <c r="I169" s="163" t="s">
        <v>282</v>
      </c>
      <c r="J169" s="96">
        <f t="shared" ref="J169:R169" si="76">J168</f>
        <v>21</v>
      </c>
      <c r="K169" s="76">
        <f t="shared" si="76"/>
        <v>26</v>
      </c>
      <c r="L169" s="76">
        <f t="shared" si="76"/>
        <v>23</v>
      </c>
      <c r="M169" s="76">
        <f t="shared" si="76"/>
        <v>28.1</v>
      </c>
      <c r="N169" s="76">
        <f t="shared" si="76"/>
        <v>36.299999999999997</v>
      </c>
      <c r="O169" s="76">
        <f t="shared" si="76"/>
        <v>31.279699999999998</v>
      </c>
      <c r="P169" s="76">
        <f t="shared" si="76"/>
        <v>21.146999999999998</v>
      </c>
      <c r="Q169" s="76">
        <f t="shared" si="76"/>
        <v>26.0045</v>
      </c>
      <c r="R169" s="76">
        <f t="shared" si="76"/>
        <v>23.087700000000002</v>
      </c>
      <c r="T169" s="76" t="str">
        <f>T168</f>
        <v>TC</v>
      </c>
      <c r="U169" s="76" t="str">
        <f>U168</f>
        <v>Turbocharged</v>
      </c>
      <c r="V169" s="76" t="str">
        <f>V168</f>
        <v>A</v>
      </c>
      <c r="W169" s="76" t="str">
        <f>W168</f>
        <v>Automatic</v>
      </c>
      <c r="Y169" s="76">
        <f t="shared" ref="Y169:AD169" si="77">Y168</f>
        <v>9</v>
      </c>
      <c r="Z169" s="76" t="str">
        <f t="shared" si="77"/>
        <v>Y</v>
      </c>
      <c r="AA169" s="76" t="str">
        <f t="shared" si="77"/>
        <v>N</v>
      </c>
      <c r="AB169" s="76" t="str">
        <f t="shared" si="77"/>
        <v>A</v>
      </c>
      <c r="AC169" s="76" t="str">
        <f t="shared" si="77"/>
        <v>All Wheel Drive</v>
      </c>
      <c r="AD169" s="76">
        <f t="shared" si="77"/>
        <v>10</v>
      </c>
      <c r="AF169" s="76">
        <f>AF168</f>
        <v>401</v>
      </c>
      <c r="AG169" s="76" t="str">
        <f>AG168</f>
        <v>GPR</v>
      </c>
      <c r="AH169" s="76" t="str">
        <f>AH168</f>
        <v>Gasoline (Premium Unleaded Required)</v>
      </c>
      <c r="AI169" s="76" t="str">
        <f>AI168</f>
        <v>MPG</v>
      </c>
      <c r="AJ169" s="79" t="str">
        <f>AJ168</f>
        <v>miles per gallon</v>
      </c>
      <c r="AK169" s="96" t="s">
        <v>940</v>
      </c>
      <c r="AL169" s="76" t="s">
        <v>941</v>
      </c>
      <c r="AR169" s="79"/>
      <c r="AS169" s="96">
        <v>1700</v>
      </c>
      <c r="AT169" s="79">
        <v>1700</v>
      </c>
      <c r="AU169" s="96">
        <v>57</v>
      </c>
      <c r="AV169" s="76">
        <v>63</v>
      </c>
      <c r="AW169" s="76">
        <v>60</v>
      </c>
      <c r="AX169" s="76">
        <v>81.7</v>
      </c>
      <c r="AY169" s="76">
        <v>89.8</v>
      </c>
      <c r="AZ169" s="76">
        <v>85.156499999999994</v>
      </c>
      <c r="BA169" s="76">
        <v>57.354599999999998</v>
      </c>
      <c r="BB169" s="76">
        <v>62.889600000000002</v>
      </c>
      <c r="BC169" s="76">
        <v>59.719799999999999</v>
      </c>
      <c r="BD169" s="76">
        <v>50</v>
      </c>
      <c r="BE169" s="76" t="s">
        <v>1735</v>
      </c>
      <c r="BF169" s="76" t="s">
        <v>1736</v>
      </c>
      <c r="BG169" s="76" t="s">
        <v>175</v>
      </c>
      <c r="BH169" s="76" t="s">
        <v>176</v>
      </c>
      <c r="BI169" s="76">
        <v>1700</v>
      </c>
      <c r="BM169" s="79"/>
      <c r="BN169" s="98" t="s">
        <v>2493</v>
      </c>
      <c r="BO169" s="76">
        <v>2</v>
      </c>
      <c r="BP169" s="76">
        <v>2</v>
      </c>
      <c r="BQ169" s="76">
        <v>33</v>
      </c>
      <c r="BR169" s="76" t="s">
        <v>1497</v>
      </c>
      <c r="BT169" s="76" t="s">
        <v>2494</v>
      </c>
      <c r="BU169" s="99">
        <v>45502</v>
      </c>
      <c r="BV169" s="79">
        <v>35300</v>
      </c>
      <c r="BW169" s="120"/>
      <c r="BX169" s="96"/>
      <c r="BY169" s="76" t="s">
        <v>170</v>
      </c>
      <c r="CB169" s="76" t="s">
        <v>170</v>
      </c>
      <c r="CC169" s="76" t="s">
        <v>170</v>
      </c>
      <c r="CD169" s="76" t="s">
        <v>2666</v>
      </c>
      <c r="CE169" s="76" t="s">
        <v>170</v>
      </c>
      <c r="CG169" s="76" t="s">
        <v>169</v>
      </c>
      <c r="CH169" s="76" t="s">
        <v>284</v>
      </c>
      <c r="CI169" s="76" t="s">
        <v>170</v>
      </c>
      <c r="CK169" s="76" t="s">
        <v>233</v>
      </c>
      <c r="CM169" s="76">
        <v>1</v>
      </c>
      <c r="CN169" s="76" t="s">
        <v>234</v>
      </c>
      <c r="CP169" s="76">
        <v>363</v>
      </c>
      <c r="CQ169" s="76">
        <v>86</v>
      </c>
      <c r="CR169" s="76">
        <v>116.7</v>
      </c>
      <c r="CS169" s="76" t="s">
        <v>1752</v>
      </c>
      <c r="CV169" s="76" t="s">
        <v>341</v>
      </c>
      <c r="CX169" s="76" t="s">
        <v>342</v>
      </c>
      <c r="CY169" s="76" t="s">
        <v>170</v>
      </c>
      <c r="DC169" s="76" t="s">
        <v>2667</v>
      </c>
      <c r="DD169" s="76">
        <v>1</v>
      </c>
      <c r="DE169" s="76" t="s">
        <v>404</v>
      </c>
      <c r="DF169" s="76" t="s">
        <v>499</v>
      </c>
      <c r="DG169" s="76">
        <v>100</v>
      </c>
      <c r="DJ169" s="76" t="s">
        <v>184</v>
      </c>
      <c r="DK169" s="76" t="s">
        <v>185</v>
      </c>
      <c r="DL169" s="76" t="s">
        <v>170</v>
      </c>
      <c r="DM169" s="76" t="s">
        <v>169</v>
      </c>
      <c r="DN169" s="76" t="s">
        <v>170</v>
      </c>
      <c r="DO169" s="76" t="s">
        <v>345</v>
      </c>
      <c r="DP169" s="76" t="s">
        <v>169</v>
      </c>
      <c r="DQ169" s="76" t="s">
        <v>198</v>
      </c>
      <c r="DS169" s="76" t="s">
        <v>2496</v>
      </c>
      <c r="DT169" s="76" t="s">
        <v>2497</v>
      </c>
      <c r="DU169" s="76" t="s">
        <v>2498</v>
      </c>
      <c r="DV169" s="76" t="s">
        <v>2499</v>
      </c>
      <c r="DZ169" s="79"/>
      <c r="EA169" s="101"/>
      <c r="EB169" s="96">
        <v>7</v>
      </c>
      <c r="EC169" s="76">
        <v>9</v>
      </c>
      <c r="ED169" s="79"/>
      <c r="EE169" s="96" t="s">
        <v>2668</v>
      </c>
      <c r="EF169" s="76">
        <v>6</v>
      </c>
      <c r="EH169" s="79"/>
      <c r="EI169" s="96"/>
      <c r="EM169" s="96"/>
      <c r="EP169" s="79"/>
      <c r="EQ169" s="96"/>
      <c r="ET169" s="79"/>
      <c r="EU169" s="96">
        <v>1000</v>
      </c>
      <c r="EV169" s="79"/>
      <c r="EW169" s="96">
        <v>418</v>
      </c>
      <c r="EX169" s="76">
        <v>339</v>
      </c>
      <c r="EY169" s="79">
        <v>382</v>
      </c>
      <c r="EZ169" s="102">
        <f t="shared" si="59"/>
        <v>99</v>
      </c>
      <c r="FA169" s="76">
        <v>3</v>
      </c>
      <c r="FB169" s="79"/>
      <c r="FC169" s="97">
        <v>450</v>
      </c>
      <c r="FD169" s="96">
        <v>39</v>
      </c>
      <c r="FE169" s="76">
        <v>46</v>
      </c>
      <c r="FF169" s="79">
        <v>42</v>
      </c>
      <c r="FG169" s="76">
        <v>112</v>
      </c>
      <c r="FH169" s="76">
        <v>84</v>
      </c>
      <c r="FI169" s="103">
        <v>99</v>
      </c>
      <c r="FJ169" s="170" t="s">
        <v>2671</v>
      </c>
      <c r="FK169" s="171"/>
      <c r="FL169" s="172"/>
      <c r="FM169" s="76">
        <v>0.73299999999999998</v>
      </c>
      <c r="FN169" s="76">
        <v>0.754</v>
      </c>
      <c r="FO169" s="79">
        <v>0.74299999999999999</v>
      </c>
      <c r="FP169" s="106"/>
      <c r="FQ169" s="107"/>
      <c r="FR169" s="107"/>
      <c r="FS169" s="108">
        <v>17.2</v>
      </c>
    </row>
    <row r="170" spans="1:190" s="77" customFormat="1" x14ac:dyDescent="0.35">
      <c r="A170" s="76"/>
      <c r="E170" s="76"/>
      <c r="F170" s="76"/>
      <c r="G170" s="78"/>
      <c r="H170" s="76"/>
      <c r="I170" s="79"/>
      <c r="J170" s="80"/>
      <c r="K170" s="28"/>
      <c r="L170" s="28"/>
      <c r="M170" s="25" t="str">
        <f>_xlfn.CONCAT(A171," ",C171," ",D171)</f>
        <v>2025 Mitsubishi Outlander PHEV</v>
      </c>
      <c r="N170" s="28"/>
      <c r="O170" s="28"/>
      <c r="P170" s="28"/>
      <c r="Q170" s="28"/>
      <c r="R170" s="28"/>
      <c r="S170" s="28"/>
      <c r="T170" s="28"/>
      <c r="U170" s="28"/>
      <c r="V170" s="28"/>
      <c r="W170" s="28"/>
      <c r="X170" s="28"/>
      <c r="Y170" s="28"/>
      <c r="Z170" s="28"/>
      <c r="AA170" s="28"/>
      <c r="AB170" s="28"/>
      <c r="AC170" s="28"/>
      <c r="AD170" s="25" t="str">
        <f>$M170</f>
        <v>2025 Mitsubishi Outlander PHEV</v>
      </c>
      <c r="AE170" s="28"/>
      <c r="AF170" s="28"/>
      <c r="AG170" s="28"/>
      <c r="AH170" s="28"/>
      <c r="AI170" s="28"/>
      <c r="AJ170" s="81"/>
      <c r="AK170" s="82"/>
      <c r="AL170" s="2"/>
      <c r="AM170" s="2"/>
      <c r="AN170" s="2"/>
      <c r="AO170" s="2"/>
      <c r="AP170" s="2"/>
      <c r="AQ170" s="2"/>
      <c r="AR170" s="83"/>
      <c r="AS170" s="84"/>
      <c r="AT170" s="85" t="str">
        <f>$M170</f>
        <v>2025 Mitsubishi Outlander PHEV</v>
      </c>
      <c r="AU170" s="84"/>
      <c r="AV170" s="28"/>
      <c r="AW170" s="28"/>
      <c r="AX170" s="28"/>
      <c r="AY170" s="28"/>
      <c r="AZ170" s="28"/>
      <c r="BA170" s="28"/>
      <c r="BB170" s="28"/>
      <c r="BC170" s="28"/>
      <c r="BD170" s="28"/>
      <c r="BE170" s="28"/>
      <c r="BF170" s="28"/>
      <c r="BG170" s="28"/>
      <c r="BH170" s="28"/>
      <c r="BI170" s="25" t="str">
        <f>$M170</f>
        <v>2025 Mitsubishi Outlander PHEV</v>
      </c>
      <c r="BJ170" s="28"/>
      <c r="BK170" s="28"/>
      <c r="BL170" s="28"/>
      <c r="BM170" s="81"/>
      <c r="BN170" s="82"/>
      <c r="BO170" s="2"/>
      <c r="BP170" s="2"/>
      <c r="BQ170" s="2"/>
      <c r="BR170" s="2"/>
      <c r="BS170" s="2"/>
      <c r="BT170" s="86"/>
      <c r="BU170" s="2"/>
      <c r="BV170" s="83"/>
      <c r="BW170" s="121"/>
      <c r="BX170" s="84"/>
      <c r="BY170" s="25" t="str">
        <f>$M170</f>
        <v>2025 Mitsubishi Outlander PHEV</v>
      </c>
      <c r="BZ170" s="28"/>
      <c r="CA170" s="28"/>
      <c r="CB170" s="28"/>
      <c r="CC170" s="28"/>
      <c r="CD170" s="28"/>
      <c r="CE170" s="88"/>
      <c r="CF170" s="28"/>
      <c r="CG170" s="28"/>
      <c r="CH170" s="28"/>
      <c r="CI170" s="28"/>
      <c r="CJ170" s="28"/>
      <c r="CK170" s="28"/>
      <c r="CL170" s="28"/>
      <c r="CM170" s="28"/>
      <c r="CN170" s="28"/>
      <c r="CO170" s="25" t="str">
        <f>$M170</f>
        <v>2025 Mitsubishi Outlander PHEV</v>
      </c>
      <c r="CP170" s="28"/>
      <c r="CQ170" s="28"/>
      <c r="CR170" s="28"/>
      <c r="CS170" s="28"/>
      <c r="CT170" s="28"/>
      <c r="CU170" s="28"/>
      <c r="CV170" s="28"/>
      <c r="CW170" s="28"/>
      <c r="CX170" s="28"/>
      <c r="CY170" s="28"/>
      <c r="CZ170" s="28"/>
      <c r="DA170" s="28"/>
      <c r="DB170" s="28"/>
      <c r="DC170" s="28"/>
      <c r="DD170" s="28"/>
      <c r="DE170" s="28"/>
      <c r="DF170" s="25" t="str">
        <f>$M170</f>
        <v>2025 Mitsubishi Outlander PHEV</v>
      </c>
      <c r="DG170" s="28"/>
      <c r="DH170" s="28"/>
      <c r="DI170" s="28"/>
      <c r="DJ170" s="28"/>
      <c r="DK170" s="28"/>
      <c r="DL170" s="28"/>
      <c r="DM170" s="28"/>
      <c r="DN170" s="28"/>
      <c r="DO170" s="28"/>
      <c r="DP170" s="28"/>
      <c r="DQ170" s="28"/>
      <c r="DR170" s="25"/>
      <c r="DS170" s="25"/>
      <c r="DT170" s="25"/>
      <c r="DU170" s="25"/>
      <c r="DV170" s="25"/>
      <c r="DW170" s="25" t="str">
        <f>$M170</f>
        <v>2025 Mitsubishi Outlander PHEV</v>
      </c>
      <c r="DX170" s="25"/>
      <c r="DY170" s="25"/>
      <c r="DZ170" s="85"/>
      <c r="EA170" s="89"/>
      <c r="EB170" s="80"/>
      <c r="EC170" s="25"/>
      <c r="ED170" s="85"/>
      <c r="EE170" s="80"/>
      <c r="EF170" s="25"/>
      <c r="EG170" s="25"/>
      <c r="EH170" s="85"/>
      <c r="EI170" s="80"/>
      <c r="EK170" t="s">
        <v>2445</v>
      </c>
      <c r="EL170" s="25" t="str">
        <f>$M170</f>
        <v>2025 Mitsubishi Outlander PHEV</v>
      </c>
      <c r="EM170" s="80"/>
      <c r="EP170" s="75"/>
      <c r="EQ170" s="90"/>
      <c r="ET170" s="75"/>
      <c r="EU170" s="90"/>
      <c r="EV170" s="75"/>
      <c r="EW170" s="90"/>
      <c r="EY170" s="75"/>
      <c r="EZ170" s="102"/>
      <c r="FA170" s="25" t="str">
        <f>$M170</f>
        <v>2025 Mitsubishi Outlander PHEV</v>
      </c>
      <c r="FB170" s="75"/>
      <c r="FC170" s="91"/>
      <c r="FD170" s="80"/>
      <c r="FE170" s="25"/>
      <c r="FF170" s="85"/>
      <c r="FG170" s="80"/>
      <c r="FH170" s="25"/>
      <c r="FI170" s="85"/>
      <c r="FJ170" s="80"/>
      <c r="FK170" s="25"/>
      <c r="FL170" s="85"/>
      <c r="FM170" s="25" t="str">
        <f>$M170</f>
        <v>2025 Mitsubishi Outlander PHEV</v>
      </c>
      <c r="FN170" s="25"/>
      <c r="FO170" s="85"/>
      <c r="FP170" s="92"/>
      <c r="FQ170" s="93"/>
      <c r="FR170" s="94"/>
      <c r="FS170" s="95"/>
      <c r="FT170" s="25"/>
      <c r="FU170" s="25"/>
      <c r="FV170" s="25"/>
      <c r="FW170" s="25"/>
      <c r="FX170" s="25"/>
      <c r="FY170" s="25"/>
      <c r="FZ170" s="25"/>
      <c r="GA170" s="25"/>
      <c r="GB170" s="25"/>
      <c r="GC170" s="25"/>
      <c r="GD170" s="25"/>
      <c r="GE170" s="25"/>
      <c r="GF170" s="25"/>
      <c r="GG170" s="25"/>
      <c r="GH170" s="25"/>
    </row>
    <row r="171" spans="1:190" s="76" customFormat="1" x14ac:dyDescent="0.35">
      <c r="A171" s="76">
        <v>2025</v>
      </c>
      <c r="B171" s="76" t="s">
        <v>1181</v>
      </c>
      <c r="C171" s="76" t="s">
        <v>2672</v>
      </c>
      <c r="D171" s="76" t="s">
        <v>2673</v>
      </c>
      <c r="E171" s="76" t="s">
        <v>1184</v>
      </c>
      <c r="F171" s="76">
        <v>217</v>
      </c>
      <c r="G171" s="78">
        <v>2.4</v>
      </c>
      <c r="H171" s="76">
        <v>4</v>
      </c>
      <c r="I171" s="79" t="s">
        <v>1734</v>
      </c>
      <c r="J171" s="96">
        <v>25</v>
      </c>
      <c r="K171" s="76">
        <v>27</v>
      </c>
      <c r="L171" s="76">
        <v>26</v>
      </c>
      <c r="M171" s="76">
        <v>37.760300000000001</v>
      </c>
      <c r="N171" s="76">
        <v>39.4039</v>
      </c>
      <c r="O171" s="76">
        <v>38.482599999999998</v>
      </c>
      <c r="P171" s="76">
        <v>25</v>
      </c>
      <c r="Q171" s="76">
        <v>27.098199999999999</v>
      </c>
      <c r="R171" s="76">
        <v>26</v>
      </c>
      <c r="T171" s="76" t="s">
        <v>2557</v>
      </c>
      <c r="U171" s="76" t="s">
        <v>224</v>
      </c>
      <c r="V171" s="76" t="s">
        <v>167</v>
      </c>
      <c r="W171" s="76" t="s">
        <v>168</v>
      </c>
      <c r="Y171" s="76">
        <v>1</v>
      </c>
      <c r="Z171" s="76" t="s">
        <v>170</v>
      </c>
      <c r="AA171" s="76" t="s">
        <v>170</v>
      </c>
      <c r="AB171" s="76" t="s">
        <v>167</v>
      </c>
      <c r="AC171" s="76" t="s">
        <v>213</v>
      </c>
      <c r="AD171" s="76">
        <v>10</v>
      </c>
      <c r="AF171" s="76">
        <v>386</v>
      </c>
      <c r="AG171" s="76" t="s">
        <v>210</v>
      </c>
      <c r="AH171" s="76" t="s">
        <v>444</v>
      </c>
      <c r="AI171" s="76" t="s">
        <v>175</v>
      </c>
      <c r="AJ171" s="79" t="s">
        <v>176</v>
      </c>
      <c r="AK171" s="96" t="s">
        <v>940</v>
      </c>
      <c r="AL171" s="76" t="s">
        <v>941</v>
      </c>
      <c r="AR171" s="79"/>
      <c r="AS171" s="96">
        <v>1500</v>
      </c>
      <c r="AT171" s="79">
        <v>1500</v>
      </c>
      <c r="AU171" s="96">
        <v>50</v>
      </c>
      <c r="AV171" s="76">
        <v>54</v>
      </c>
      <c r="AW171" s="76">
        <v>52</v>
      </c>
      <c r="AX171" s="76">
        <v>35.4</v>
      </c>
      <c r="AY171" s="76">
        <v>38.5</v>
      </c>
      <c r="AZ171" s="76">
        <v>36.795000000000002</v>
      </c>
      <c r="BA171" s="76">
        <v>50.308599999999998</v>
      </c>
      <c r="BB171" s="76">
        <v>54.234200000000001</v>
      </c>
      <c r="BC171" s="76">
        <v>52.075099999999999</v>
      </c>
      <c r="BD171" s="76">
        <v>38</v>
      </c>
      <c r="BE171" s="76" t="s">
        <v>1735</v>
      </c>
      <c r="BF171" s="76" t="s">
        <v>1736</v>
      </c>
      <c r="BG171" s="76" t="s">
        <v>1742</v>
      </c>
      <c r="BH171" s="76" t="s">
        <v>1743</v>
      </c>
      <c r="BI171" s="76">
        <v>1500</v>
      </c>
      <c r="BJ171" s="2"/>
      <c r="BK171" s="2"/>
      <c r="BL171" s="2"/>
      <c r="BM171" s="79"/>
      <c r="BN171" s="98" t="s">
        <v>2558</v>
      </c>
      <c r="BO171" s="76">
        <v>2</v>
      </c>
      <c r="BP171" s="76">
        <v>2</v>
      </c>
      <c r="BQ171" s="76">
        <v>33</v>
      </c>
      <c r="BR171" s="76" t="s">
        <v>1497</v>
      </c>
      <c r="BT171" s="76" t="s">
        <v>2494</v>
      </c>
      <c r="BU171" s="99">
        <v>45505</v>
      </c>
      <c r="BV171" s="79">
        <v>34764</v>
      </c>
      <c r="BW171" s="120"/>
      <c r="BX171" s="96" t="s">
        <v>170</v>
      </c>
      <c r="BY171" s="76" t="s">
        <v>170</v>
      </c>
      <c r="CB171" s="76" t="s">
        <v>170</v>
      </c>
      <c r="CC171" s="76" t="s">
        <v>170</v>
      </c>
      <c r="CD171" s="76" t="s">
        <v>2674</v>
      </c>
      <c r="CE171" s="76" t="s">
        <v>170</v>
      </c>
      <c r="CG171" s="76" t="s">
        <v>169</v>
      </c>
      <c r="CH171" s="76" t="s">
        <v>2675</v>
      </c>
      <c r="CI171" s="76" t="s">
        <v>170</v>
      </c>
      <c r="CK171" s="76" t="s">
        <v>233</v>
      </c>
      <c r="CM171" s="76">
        <v>1</v>
      </c>
      <c r="CN171" s="76" t="s">
        <v>234</v>
      </c>
      <c r="CP171" s="76">
        <v>350</v>
      </c>
      <c r="CQ171" s="76">
        <v>56.27</v>
      </c>
      <c r="CR171" s="76">
        <v>225</v>
      </c>
      <c r="CS171" s="76" t="s">
        <v>1752</v>
      </c>
      <c r="CV171" s="76" t="s">
        <v>341</v>
      </c>
      <c r="CX171" s="76" t="s">
        <v>342</v>
      </c>
      <c r="CY171" s="76" t="s">
        <v>169</v>
      </c>
      <c r="DD171" s="76">
        <v>2</v>
      </c>
      <c r="DE171" s="76" t="s">
        <v>663</v>
      </c>
      <c r="DG171" s="76" t="s">
        <v>2676</v>
      </c>
      <c r="DJ171" s="76" t="s">
        <v>449</v>
      </c>
      <c r="DK171" s="76" t="s">
        <v>450</v>
      </c>
      <c r="DL171" s="76" t="s">
        <v>170</v>
      </c>
      <c r="DM171" s="76" t="s">
        <v>169</v>
      </c>
      <c r="DN171" s="76" t="s">
        <v>170</v>
      </c>
      <c r="DO171" s="76" t="s">
        <v>358</v>
      </c>
      <c r="DP171" s="76" t="s">
        <v>169</v>
      </c>
      <c r="DQ171" s="76" t="s">
        <v>198</v>
      </c>
      <c r="DS171" s="76" t="s">
        <v>2496</v>
      </c>
      <c r="DT171" s="76" t="s">
        <v>2497</v>
      </c>
      <c r="DU171" s="76" t="s">
        <v>2498</v>
      </c>
      <c r="DV171" s="76" t="s">
        <v>2499</v>
      </c>
      <c r="DZ171" s="79"/>
      <c r="EA171" s="101"/>
      <c r="EB171" s="96">
        <v>7</v>
      </c>
      <c r="EC171" s="76">
        <v>9</v>
      </c>
      <c r="ED171" s="79"/>
      <c r="EE171" s="96" t="s">
        <v>2677</v>
      </c>
      <c r="EF171" s="76">
        <v>6</v>
      </c>
      <c r="EH171" s="79"/>
      <c r="EI171" s="96"/>
      <c r="EM171" s="96"/>
      <c r="EP171" s="79"/>
      <c r="EQ171" s="96"/>
      <c r="ET171" s="79"/>
      <c r="EU171" s="96">
        <v>2000</v>
      </c>
      <c r="EV171" s="79"/>
      <c r="EW171" s="96">
        <v>0</v>
      </c>
      <c r="EX171" s="76">
        <v>0</v>
      </c>
      <c r="EY171" s="79">
        <v>0</v>
      </c>
      <c r="EZ171" s="102">
        <f t="shared" si="59"/>
        <v>115</v>
      </c>
      <c r="FA171" s="76">
        <v>6.5</v>
      </c>
      <c r="FB171" s="79"/>
      <c r="FC171" s="97">
        <v>420</v>
      </c>
      <c r="FD171" s="96">
        <v>43</v>
      </c>
      <c r="FE171" s="76">
        <v>42</v>
      </c>
      <c r="FF171" s="79">
        <v>43</v>
      </c>
      <c r="FG171" s="76">
        <v>113.8</v>
      </c>
      <c r="FH171" s="76">
        <v>116.2</v>
      </c>
      <c r="FI171" s="103">
        <v>115</v>
      </c>
      <c r="FJ171" s="104">
        <v>39.51046726618705</v>
      </c>
      <c r="FK171" s="105">
        <v>35.907515947242203</v>
      </c>
      <c r="FL171" s="79">
        <v>38</v>
      </c>
      <c r="FM171" s="76">
        <v>0.67400000000000004</v>
      </c>
      <c r="FN171" s="76">
        <v>0.64400000000000002</v>
      </c>
      <c r="FO171" s="79">
        <v>0.66100000000000003</v>
      </c>
      <c r="FP171" s="106">
        <v>0</v>
      </c>
      <c r="FQ171" s="107">
        <v>0</v>
      </c>
      <c r="FR171" s="107">
        <v>0</v>
      </c>
      <c r="FS171" s="108">
        <v>14.8</v>
      </c>
    </row>
    <row r="172" spans="1:190" s="76" customFormat="1" x14ac:dyDescent="0.35">
      <c r="A172" s="76">
        <v>2025</v>
      </c>
      <c r="B172" s="162" t="s">
        <v>1181</v>
      </c>
      <c r="C172" s="162" t="s">
        <v>1182</v>
      </c>
      <c r="D172" s="162" t="s">
        <v>2673</v>
      </c>
      <c r="E172" s="162" t="s">
        <v>1184</v>
      </c>
      <c r="F172" s="162">
        <v>217</v>
      </c>
      <c r="G172" s="162">
        <v>2.4</v>
      </c>
      <c r="H172" s="162">
        <v>4</v>
      </c>
      <c r="I172" s="163" t="s">
        <v>1734</v>
      </c>
      <c r="J172" s="96">
        <f t="shared" ref="J172:R172" si="78">J171</f>
        <v>25</v>
      </c>
      <c r="K172" s="76">
        <f t="shared" si="78"/>
        <v>27</v>
      </c>
      <c r="L172" s="76">
        <f t="shared" si="78"/>
        <v>26</v>
      </c>
      <c r="M172" s="76">
        <f t="shared" si="78"/>
        <v>37.760300000000001</v>
      </c>
      <c r="N172" s="76">
        <f t="shared" si="78"/>
        <v>39.4039</v>
      </c>
      <c r="O172" s="76">
        <f t="shared" si="78"/>
        <v>38.482599999999998</v>
      </c>
      <c r="P172" s="76">
        <f t="shared" si="78"/>
        <v>25</v>
      </c>
      <c r="Q172" s="76">
        <f t="shared" si="78"/>
        <v>27.098199999999999</v>
      </c>
      <c r="R172" s="76">
        <f t="shared" si="78"/>
        <v>26</v>
      </c>
      <c r="T172" s="76" t="str">
        <f>T171</f>
        <v>NA</v>
      </c>
      <c r="U172" s="76" t="str">
        <f>U171</f>
        <v>Naturally Aspirated</v>
      </c>
      <c r="V172" s="76" t="str">
        <f>V171</f>
        <v>A</v>
      </c>
      <c r="W172" s="76" t="str">
        <f>W171</f>
        <v>Automatic</v>
      </c>
      <c r="Y172" s="76">
        <f t="shared" ref="Y172:AD172" si="79">Y171</f>
        <v>1</v>
      </c>
      <c r="Z172" s="76" t="str">
        <f t="shared" si="79"/>
        <v>N</v>
      </c>
      <c r="AA172" s="76" t="str">
        <f t="shared" si="79"/>
        <v>N</v>
      </c>
      <c r="AB172" s="76" t="str">
        <f t="shared" si="79"/>
        <v>A</v>
      </c>
      <c r="AC172" s="76" t="str">
        <f t="shared" si="79"/>
        <v>All Wheel Drive</v>
      </c>
      <c r="AD172" s="76">
        <f t="shared" si="79"/>
        <v>10</v>
      </c>
      <c r="AF172" s="76">
        <f>AF171</f>
        <v>386</v>
      </c>
      <c r="AG172" s="76" t="str">
        <f>AG171</f>
        <v>G</v>
      </c>
      <c r="AH172" s="76" t="str">
        <f>AH171</f>
        <v>Gasoline (Regular Unleaded Recommended)</v>
      </c>
      <c r="AI172" s="76" t="str">
        <f>AI171</f>
        <v>MPG</v>
      </c>
      <c r="AJ172" s="79" t="str">
        <f>AJ171</f>
        <v>miles per gallon</v>
      </c>
      <c r="AK172" s="96" t="s">
        <v>940</v>
      </c>
      <c r="AL172" s="76" t="s">
        <v>941</v>
      </c>
      <c r="AR172" s="79"/>
      <c r="AS172" s="96">
        <v>1500</v>
      </c>
      <c r="AT172" s="79">
        <v>1500</v>
      </c>
      <c r="AU172" s="96">
        <v>67</v>
      </c>
      <c r="AV172" s="76">
        <v>61</v>
      </c>
      <c r="AW172" s="76">
        <v>64</v>
      </c>
      <c r="AX172" s="76">
        <v>95.2</v>
      </c>
      <c r="AY172" s="76">
        <v>87.5</v>
      </c>
      <c r="AZ172" s="76">
        <v>91.573700000000002</v>
      </c>
      <c r="BA172" s="76">
        <v>66.8429</v>
      </c>
      <c r="BB172" s="76">
        <v>61.223500000000001</v>
      </c>
      <c r="BC172" s="76">
        <v>64.191599999999994</v>
      </c>
      <c r="BD172" s="76">
        <v>38</v>
      </c>
      <c r="BE172" s="76" t="s">
        <v>1735</v>
      </c>
      <c r="BF172" s="76" t="s">
        <v>1736</v>
      </c>
      <c r="BG172" s="76" t="s">
        <v>175</v>
      </c>
      <c r="BH172" s="76" t="s">
        <v>176</v>
      </c>
      <c r="BI172" s="76">
        <v>1500</v>
      </c>
      <c r="BM172" s="79"/>
      <c r="BN172" s="98" t="s">
        <v>2558</v>
      </c>
      <c r="BO172" s="76">
        <v>2</v>
      </c>
      <c r="BP172" s="76">
        <v>2</v>
      </c>
      <c r="BQ172" s="76">
        <v>33</v>
      </c>
      <c r="BR172" s="76" t="s">
        <v>1497</v>
      </c>
      <c r="BT172" s="76" t="s">
        <v>2494</v>
      </c>
      <c r="BU172" s="99">
        <v>45505</v>
      </c>
      <c r="BV172" s="79">
        <v>34764</v>
      </c>
      <c r="BW172" s="120"/>
      <c r="BX172" s="96" t="s">
        <v>170</v>
      </c>
      <c r="BY172" s="76" t="s">
        <v>170</v>
      </c>
      <c r="CB172" s="76" t="s">
        <v>170</v>
      </c>
      <c r="CC172" s="76" t="s">
        <v>170</v>
      </c>
      <c r="CD172" s="76" t="s">
        <v>2674</v>
      </c>
      <c r="CE172" s="76" t="s">
        <v>170</v>
      </c>
      <c r="CG172" s="76" t="s">
        <v>169</v>
      </c>
      <c r="CH172" s="76" t="s">
        <v>2675</v>
      </c>
      <c r="CI172" s="76" t="s">
        <v>170</v>
      </c>
      <c r="CK172" s="76" t="s">
        <v>233</v>
      </c>
      <c r="CM172" s="76">
        <v>1</v>
      </c>
      <c r="CN172" s="76" t="s">
        <v>234</v>
      </c>
      <c r="CP172" s="76">
        <v>350</v>
      </c>
      <c r="CQ172" s="76">
        <v>56.27</v>
      </c>
      <c r="CR172" s="76">
        <v>225</v>
      </c>
      <c r="CS172" s="76" t="s">
        <v>1752</v>
      </c>
      <c r="CV172" s="76" t="s">
        <v>341</v>
      </c>
      <c r="CX172" s="76" t="s">
        <v>342</v>
      </c>
      <c r="CY172" s="76" t="s">
        <v>169</v>
      </c>
      <c r="DD172" s="76">
        <v>2</v>
      </c>
      <c r="DE172" s="76" t="s">
        <v>663</v>
      </c>
      <c r="DG172" s="76" t="s">
        <v>2676</v>
      </c>
      <c r="DJ172" s="76" t="s">
        <v>449</v>
      </c>
      <c r="DK172" s="76" t="s">
        <v>450</v>
      </c>
      <c r="DL172" s="76" t="s">
        <v>170</v>
      </c>
      <c r="DM172" s="76" t="s">
        <v>169</v>
      </c>
      <c r="DN172" s="76" t="s">
        <v>170</v>
      </c>
      <c r="DO172" s="76" t="s">
        <v>358</v>
      </c>
      <c r="DP172" s="76" t="s">
        <v>169</v>
      </c>
      <c r="DQ172" s="76" t="s">
        <v>198</v>
      </c>
      <c r="DS172" s="76" t="s">
        <v>2496</v>
      </c>
      <c r="DT172" s="76" t="s">
        <v>2497</v>
      </c>
      <c r="DU172" s="76" t="s">
        <v>2498</v>
      </c>
      <c r="DV172" s="76" t="s">
        <v>2499</v>
      </c>
      <c r="DZ172" s="79"/>
      <c r="EA172" s="101"/>
      <c r="EB172" s="96">
        <v>7</v>
      </c>
      <c r="EC172" s="76">
        <v>9</v>
      </c>
      <c r="ED172" s="79"/>
      <c r="EE172" s="96" t="s">
        <v>2677</v>
      </c>
      <c r="EF172" s="76">
        <v>6</v>
      </c>
      <c r="EH172" s="79"/>
      <c r="EI172" s="96"/>
      <c r="EM172" s="96"/>
      <c r="EP172" s="79"/>
      <c r="EQ172" s="96"/>
      <c r="ET172" s="79"/>
      <c r="EU172" s="96">
        <v>2000</v>
      </c>
      <c r="EV172" s="79"/>
      <c r="EW172" s="96">
        <v>353</v>
      </c>
      <c r="EX172" s="76">
        <v>325</v>
      </c>
      <c r="EY172" s="79">
        <v>115</v>
      </c>
      <c r="EZ172" s="102">
        <f t="shared" si="59"/>
        <v>115</v>
      </c>
      <c r="FA172" s="76">
        <v>6.5</v>
      </c>
      <c r="FB172" s="79"/>
      <c r="FC172" s="97">
        <v>420</v>
      </c>
      <c r="FD172" s="96">
        <v>43</v>
      </c>
      <c r="FE172" s="76">
        <v>42</v>
      </c>
      <c r="FF172" s="79">
        <v>43</v>
      </c>
      <c r="FG172" s="76">
        <v>113.8</v>
      </c>
      <c r="FH172" s="76">
        <v>116.2</v>
      </c>
      <c r="FI172" s="103">
        <v>115</v>
      </c>
      <c r="FJ172" s="170" t="s">
        <v>2678</v>
      </c>
      <c r="FK172" s="171"/>
      <c r="FL172" s="172"/>
      <c r="FM172" s="76">
        <v>0.67400000000000004</v>
      </c>
      <c r="FN172" s="76">
        <v>0.64400000000000002</v>
      </c>
      <c r="FO172" s="79">
        <v>0.66100000000000003</v>
      </c>
      <c r="FP172" s="106"/>
      <c r="FQ172" s="107"/>
      <c r="FR172" s="107"/>
      <c r="FS172" s="108">
        <v>14.8</v>
      </c>
    </row>
    <row r="173" spans="1:190" s="77" customFormat="1" x14ac:dyDescent="0.35">
      <c r="A173" s="76"/>
      <c r="E173" s="76"/>
      <c r="F173" s="76"/>
      <c r="G173" s="78"/>
      <c r="H173" s="76"/>
      <c r="I173" s="79"/>
      <c r="J173" s="80"/>
      <c r="K173" s="28"/>
      <c r="L173" s="28"/>
      <c r="M173" s="25" t="str">
        <f>_xlfn.CONCAT(A174," ",C174," ",D174)</f>
        <v>2025 Porsche Cayenne E-Hybrid</v>
      </c>
      <c r="N173" s="28"/>
      <c r="O173" s="28"/>
      <c r="P173" s="28"/>
      <c r="Q173" s="28"/>
      <c r="R173" s="28"/>
      <c r="S173" s="28"/>
      <c r="T173" s="28"/>
      <c r="U173" s="28"/>
      <c r="V173" s="28"/>
      <c r="W173" s="28"/>
      <c r="X173" s="28"/>
      <c r="Y173" s="28"/>
      <c r="Z173" s="28"/>
      <c r="AA173" s="28"/>
      <c r="AB173" s="28"/>
      <c r="AC173" s="28"/>
      <c r="AD173" s="25" t="str">
        <f>$M173</f>
        <v>2025 Porsche Cayenne E-Hybrid</v>
      </c>
      <c r="AE173" s="28"/>
      <c r="AF173" s="28"/>
      <c r="AG173" s="28"/>
      <c r="AH173" s="28"/>
      <c r="AI173" s="28"/>
      <c r="AJ173" s="81"/>
      <c r="AK173" s="82"/>
      <c r="AL173" s="2"/>
      <c r="AM173" s="2"/>
      <c r="AN173" s="2"/>
      <c r="AO173" s="2"/>
      <c r="AP173" s="2"/>
      <c r="AQ173" s="2"/>
      <c r="AR173" s="83"/>
      <c r="AS173" s="84"/>
      <c r="AT173" s="85" t="str">
        <f>$M173</f>
        <v>2025 Porsche Cayenne E-Hybrid</v>
      </c>
      <c r="AU173" s="84"/>
      <c r="AV173" s="28"/>
      <c r="AW173" s="28"/>
      <c r="AX173" s="28"/>
      <c r="AY173" s="28"/>
      <c r="AZ173" s="28"/>
      <c r="BA173" s="28"/>
      <c r="BB173" s="28"/>
      <c r="BC173" s="28"/>
      <c r="BD173" s="28"/>
      <c r="BE173" s="28"/>
      <c r="BF173" s="28"/>
      <c r="BG173" s="28"/>
      <c r="BH173" s="28"/>
      <c r="BI173" s="25" t="str">
        <f>$M173</f>
        <v>2025 Porsche Cayenne E-Hybrid</v>
      </c>
      <c r="BJ173" s="28"/>
      <c r="BK173" s="28"/>
      <c r="BL173" s="28"/>
      <c r="BM173" s="81"/>
      <c r="BN173" s="82"/>
      <c r="BO173" s="2"/>
      <c r="BP173" s="2"/>
      <c r="BQ173" s="2"/>
      <c r="BR173" s="2"/>
      <c r="BS173" s="2"/>
      <c r="BT173" s="86"/>
      <c r="BU173" s="2"/>
      <c r="BV173" s="83"/>
      <c r="BW173" s="121"/>
      <c r="BX173" s="84"/>
      <c r="BY173" s="25" t="str">
        <f>$M173</f>
        <v>2025 Porsche Cayenne E-Hybrid</v>
      </c>
      <c r="BZ173" s="28"/>
      <c r="CA173" s="28"/>
      <c r="CB173" s="28"/>
      <c r="CC173" s="28"/>
      <c r="CD173" s="28"/>
      <c r="CE173" s="88"/>
      <c r="CF173" s="28"/>
      <c r="CG173" s="28"/>
      <c r="CH173" s="28"/>
      <c r="CI173" s="28"/>
      <c r="CJ173" s="28"/>
      <c r="CK173" s="28"/>
      <c r="CL173" s="28"/>
      <c r="CM173" s="28"/>
      <c r="CN173" s="28"/>
      <c r="CO173" s="25" t="str">
        <f>$M173</f>
        <v>2025 Porsche Cayenne E-Hybrid</v>
      </c>
      <c r="CP173" s="28"/>
      <c r="CQ173" s="28"/>
      <c r="CR173" s="28"/>
      <c r="CS173" s="28"/>
      <c r="CT173" s="28"/>
      <c r="CU173" s="28"/>
      <c r="CV173" s="28"/>
      <c r="CW173" s="28"/>
      <c r="CX173" s="28"/>
      <c r="CY173" s="28"/>
      <c r="CZ173" s="28"/>
      <c r="DA173" s="28"/>
      <c r="DB173" s="28"/>
      <c r="DC173" s="28"/>
      <c r="DD173" s="28"/>
      <c r="DE173" s="28"/>
      <c r="DF173" s="25" t="str">
        <f>$M173</f>
        <v>2025 Porsche Cayenne E-Hybrid</v>
      </c>
      <c r="DG173" s="28"/>
      <c r="DH173" s="28"/>
      <c r="DI173" s="28"/>
      <c r="DJ173" s="28"/>
      <c r="DK173" s="28"/>
      <c r="DL173" s="28"/>
      <c r="DM173" s="28"/>
      <c r="DN173" s="28"/>
      <c r="DO173" s="28"/>
      <c r="DP173" s="28"/>
      <c r="DQ173" s="28"/>
      <c r="DR173" s="25"/>
      <c r="DS173" s="25"/>
      <c r="DT173" s="25"/>
      <c r="DU173" s="25"/>
      <c r="DV173" s="25"/>
      <c r="DW173" s="25" t="str">
        <f>$M173</f>
        <v>2025 Porsche Cayenne E-Hybrid</v>
      </c>
      <c r="DX173" s="25"/>
      <c r="DY173" s="25"/>
      <c r="DZ173" s="85"/>
      <c r="EA173" s="89"/>
      <c r="EB173" s="80"/>
      <c r="EC173" s="25"/>
      <c r="ED173" s="85"/>
      <c r="EE173" s="80"/>
      <c r="EF173" s="25"/>
      <c r="EG173" s="25"/>
      <c r="EH173" s="85"/>
      <c r="EI173" s="80"/>
      <c r="EK173" t="s">
        <v>2445</v>
      </c>
      <c r="EL173" s="25" t="str">
        <f>$M173</f>
        <v>2025 Porsche Cayenne E-Hybrid</v>
      </c>
      <c r="EM173" s="80"/>
      <c r="EP173" s="75"/>
      <c r="EQ173" s="90"/>
      <c r="ET173" s="75"/>
      <c r="EU173" s="90"/>
      <c r="EV173" s="75"/>
      <c r="EW173" s="90"/>
      <c r="EY173" s="75"/>
      <c r="EZ173" s="102"/>
      <c r="FA173" s="25" t="str">
        <f>$M173</f>
        <v>2025 Porsche Cayenne E-Hybrid</v>
      </c>
      <c r="FB173" s="75"/>
      <c r="FC173" s="91"/>
      <c r="FD173" s="80"/>
      <c r="FE173" s="25"/>
      <c r="FF173" s="85"/>
      <c r="FG173" s="80"/>
      <c r="FH173" s="25"/>
      <c r="FI173" s="85"/>
      <c r="FJ173" s="80"/>
      <c r="FK173" s="25"/>
      <c r="FL173" s="85"/>
      <c r="FM173" s="25" t="str">
        <f>$M173</f>
        <v>2025 Porsche Cayenne E-Hybrid</v>
      </c>
      <c r="FN173" s="25"/>
      <c r="FO173" s="85"/>
      <c r="FP173" s="92"/>
      <c r="FQ173" s="93"/>
      <c r="FR173" s="94"/>
      <c r="FS173" s="95"/>
      <c r="FT173" s="25"/>
      <c r="FU173" s="25"/>
      <c r="FV173" s="25"/>
      <c r="FW173" s="25"/>
      <c r="FX173" s="25"/>
      <c r="FY173" s="25"/>
      <c r="FZ173" s="25"/>
      <c r="GA173" s="25"/>
      <c r="GB173" s="25"/>
      <c r="GC173" s="25"/>
      <c r="GD173" s="25"/>
      <c r="GE173" s="25"/>
      <c r="GF173" s="25"/>
      <c r="GG173" s="25"/>
      <c r="GH173" s="25"/>
    </row>
    <row r="174" spans="1:190" s="76" customFormat="1" x14ac:dyDescent="0.35">
      <c r="A174" s="76">
        <v>2025</v>
      </c>
      <c r="B174" s="76" t="s">
        <v>299</v>
      </c>
      <c r="C174" s="76" t="s">
        <v>299</v>
      </c>
      <c r="D174" s="76" t="s">
        <v>2679</v>
      </c>
      <c r="E174" s="76" t="s">
        <v>301</v>
      </c>
      <c r="F174" s="76">
        <v>407</v>
      </c>
      <c r="G174" s="78">
        <v>3</v>
      </c>
      <c r="H174" s="76">
        <v>6</v>
      </c>
      <c r="I174" s="79" t="s">
        <v>192</v>
      </c>
      <c r="J174" s="96">
        <v>21</v>
      </c>
      <c r="K174" s="76">
        <v>23</v>
      </c>
      <c r="L174" s="76">
        <v>22</v>
      </c>
      <c r="M174" s="76">
        <v>27</v>
      </c>
      <c r="N174" s="76">
        <v>32.1</v>
      </c>
      <c r="O174" s="76">
        <v>29.1126</v>
      </c>
      <c r="P174" s="76">
        <v>21.2834</v>
      </c>
      <c r="Q174" s="76">
        <v>22.588100000000001</v>
      </c>
      <c r="R174" s="76">
        <v>21.851400000000002</v>
      </c>
      <c r="T174" s="76" t="s">
        <v>165</v>
      </c>
      <c r="U174" s="76" t="s">
        <v>166</v>
      </c>
      <c r="V174" s="76" t="s">
        <v>193</v>
      </c>
      <c r="W174" s="76" t="s">
        <v>194</v>
      </c>
      <c r="Y174" s="76">
        <v>8</v>
      </c>
      <c r="Z174" s="76" t="s">
        <v>169</v>
      </c>
      <c r="AA174" s="76" t="s">
        <v>170</v>
      </c>
      <c r="AB174" s="76" t="s">
        <v>167</v>
      </c>
      <c r="AC174" s="76" t="s">
        <v>213</v>
      </c>
      <c r="AD174" s="76">
        <v>10</v>
      </c>
      <c r="AF174" s="76">
        <v>433</v>
      </c>
      <c r="AG174" s="76" t="s">
        <v>173</v>
      </c>
      <c r="AH174" s="76" t="s">
        <v>174</v>
      </c>
      <c r="AI174" s="76" t="s">
        <v>175</v>
      </c>
      <c r="AJ174" s="79" t="s">
        <v>176</v>
      </c>
      <c r="AK174" s="96" t="s">
        <v>940</v>
      </c>
      <c r="AL174" s="76" t="s">
        <v>941</v>
      </c>
      <c r="AR174" s="79"/>
      <c r="AS174" s="96">
        <v>2100</v>
      </c>
      <c r="AT174" s="79">
        <v>2100</v>
      </c>
      <c r="AU174" s="96">
        <v>63</v>
      </c>
      <c r="AV174" s="76">
        <v>62</v>
      </c>
      <c r="AW174" s="76">
        <v>63</v>
      </c>
      <c r="AX174" s="76">
        <v>44.9</v>
      </c>
      <c r="AY174" s="76">
        <v>43.7</v>
      </c>
      <c r="AZ174" s="76">
        <v>44.36</v>
      </c>
      <c r="BA174" s="76">
        <v>63.447499999999998</v>
      </c>
      <c r="BB174" s="76">
        <v>61.701500000000003</v>
      </c>
      <c r="BC174" s="76">
        <v>62.661799999999999</v>
      </c>
      <c r="BD174" s="76">
        <v>29</v>
      </c>
      <c r="BE174" s="76" t="s">
        <v>1735</v>
      </c>
      <c r="BF174" s="76" t="s">
        <v>1736</v>
      </c>
      <c r="BG174" s="76" t="s">
        <v>1742</v>
      </c>
      <c r="BH174" s="76" t="s">
        <v>1743</v>
      </c>
      <c r="BI174" s="76">
        <v>2100</v>
      </c>
      <c r="BJ174" s="2"/>
      <c r="BK174" s="2"/>
      <c r="BL174" s="2"/>
      <c r="BM174" s="79"/>
      <c r="BN174" s="98" t="s">
        <v>2493</v>
      </c>
      <c r="BO174" s="76">
        <v>2</v>
      </c>
      <c r="BP174" s="76">
        <v>2</v>
      </c>
      <c r="BQ174" s="76">
        <v>33</v>
      </c>
      <c r="BR174" s="76" t="s">
        <v>1497</v>
      </c>
      <c r="BT174" s="76" t="s">
        <v>2494</v>
      </c>
      <c r="BU174" s="99">
        <v>45580</v>
      </c>
      <c r="BV174" s="79">
        <v>35671</v>
      </c>
      <c r="BW174" s="120"/>
      <c r="BX174" s="96" t="s">
        <v>170</v>
      </c>
      <c r="BY174" s="76" t="s">
        <v>170</v>
      </c>
      <c r="CB174" s="76" t="s">
        <v>170</v>
      </c>
      <c r="CC174" s="76" t="s">
        <v>170</v>
      </c>
      <c r="CD174" s="76" t="s">
        <v>2680</v>
      </c>
      <c r="CE174" s="76" t="s">
        <v>170</v>
      </c>
      <c r="CG174" s="76" t="s">
        <v>169</v>
      </c>
      <c r="CH174" s="76" t="s">
        <v>314</v>
      </c>
      <c r="CI174" s="76" t="s">
        <v>169</v>
      </c>
      <c r="CJ174" s="76" t="s">
        <v>2681</v>
      </c>
      <c r="CK174" s="76" t="s">
        <v>233</v>
      </c>
      <c r="CM174" s="76">
        <v>1</v>
      </c>
      <c r="CN174" s="76" t="s">
        <v>234</v>
      </c>
      <c r="CP174" s="76">
        <v>360</v>
      </c>
      <c r="CQ174" s="76">
        <v>70</v>
      </c>
      <c r="CR174" s="76">
        <v>161</v>
      </c>
      <c r="CS174" s="76" t="s">
        <v>1752</v>
      </c>
      <c r="CV174" s="76" t="s">
        <v>341</v>
      </c>
      <c r="CX174" s="76" t="s">
        <v>342</v>
      </c>
      <c r="CY174" s="76" t="s">
        <v>170</v>
      </c>
      <c r="DD174" s="76">
        <v>1</v>
      </c>
      <c r="DE174" s="76" t="s">
        <v>344</v>
      </c>
      <c r="DG174" s="76">
        <v>130</v>
      </c>
      <c r="DJ174" s="76" t="s">
        <v>184</v>
      </c>
      <c r="DK174" s="76" t="s">
        <v>185</v>
      </c>
      <c r="DL174" s="76" t="s">
        <v>170</v>
      </c>
      <c r="DM174" s="76" t="s">
        <v>169</v>
      </c>
      <c r="DN174" s="76" t="s">
        <v>170</v>
      </c>
      <c r="DO174" s="76" t="s">
        <v>186</v>
      </c>
      <c r="DP174" s="76" t="s">
        <v>169</v>
      </c>
      <c r="DQ174" s="76" t="s">
        <v>198</v>
      </c>
      <c r="DS174" s="76" t="s">
        <v>2496</v>
      </c>
      <c r="DT174" s="76" t="s">
        <v>2497</v>
      </c>
      <c r="DU174" s="76" t="s">
        <v>2513</v>
      </c>
      <c r="DV174" s="76" t="s">
        <v>2514</v>
      </c>
      <c r="DZ174" s="79"/>
      <c r="EA174" s="101"/>
      <c r="EB174" s="96">
        <v>6</v>
      </c>
      <c r="EC174" s="76">
        <v>8</v>
      </c>
      <c r="ED174" s="79"/>
      <c r="EE174" s="96" t="s">
        <v>2682</v>
      </c>
      <c r="EF174" s="76">
        <v>4</v>
      </c>
      <c r="EH174" s="79"/>
      <c r="EI174" s="96"/>
      <c r="EM174" s="96"/>
      <c r="EP174" s="79"/>
      <c r="EQ174" s="96"/>
      <c r="ET174" s="79"/>
      <c r="EU174" s="96"/>
      <c r="EV174" s="79">
        <v>1000</v>
      </c>
      <c r="EW174" s="96">
        <v>0</v>
      </c>
      <c r="EX174" s="76">
        <v>0</v>
      </c>
      <c r="EY174" s="79">
        <v>0</v>
      </c>
      <c r="EZ174" s="102">
        <f t="shared" si="59"/>
        <v>174</v>
      </c>
      <c r="FA174" s="76">
        <v>2.5</v>
      </c>
      <c r="FB174" s="79"/>
      <c r="FC174" s="97">
        <v>460</v>
      </c>
      <c r="FD174" s="96">
        <v>32</v>
      </c>
      <c r="FE174" s="76">
        <v>34</v>
      </c>
      <c r="FF174" s="79">
        <v>33</v>
      </c>
      <c r="FG174" s="76">
        <v>181</v>
      </c>
      <c r="FH174" s="76">
        <v>166</v>
      </c>
      <c r="FI174" s="103">
        <v>174</v>
      </c>
      <c r="FJ174" s="104">
        <v>28.56</v>
      </c>
      <c r="FK174" s="105">
        <v>29.76</v>
      </c>
      <c r="FL174" s="79">
        <v>29</v>
      </c>
      <c r="FM174" s="76">
        <v>0.56999999999999995</v>
      </c>
      <c r="FN174" s="76">
        <v>0.57199999999999995</v>
      </c>
      <c r="FO174" s="79">
        <v>0.57099999999999995</v>
      </c>
      <c r="FP174" s="106">
        <v>0</v>
      </c>
      <c r="FQ174" s="107">
        <v>0</v>
      </c>
      <c r="FR174" s="107">
        <v>0</v>
      </c>
      <c r="FS174" s="108">
        <v>19.8</v>
      </c>
    </row>
    <row r="175" spans="1:190" s="76" customFormat="1" x14ac:dyDescent="0.35">
      <c r="A175" s="76">
        <v>2025</v>
      </c>
      <c r="B175" s="162" t="s">
        <v>299</v>
      </c>
      <c r="C175" s="162" t="s">
        <v>299</v>
      </c>
      <c r="D175" s="162" t="s">
        <v>2679</v>
      </c>
      <c r="E175" s="162" t="s">
        <v>301</v>
      </c>
      <c r="F175" s="162">
        <v>407</v>
      </c>
      <c r="G175" s="162">
        <v>3</v>
      </c>
      <c r="H175" s="162">
        <v>6</v>
      </c>
      <c r="I175" s="163" t="s">
        <v>192</v>
      </c>
      <c r="J175" s="96">
        <f t="shared" ref="J175:R175" si="80">J174</f>
        <v>21</v>
      </c>
      <c r="K175" s="76">
        <f t="shared" si="80"/>
        <v>23</v>
      </c>
      <c r="L175" s="76">
        <f t="shared" si="80"/>
        <v>22</v>
      </c>
      <c r="M175" s="76">
        <f t="shared" si="80"/>
        <v>27</v>
      </c>
      <c r="N175" s="76">
        <f t="shared" si="80"/>
        <v>32.1</v>
      </c>
      <c r="O175" s="76">
        <f t="shared" si="80"/>
        <v>29.1126</v>
      </c>
      <c r="P175" s="76">
        <f t="shared" si="80"/>
        <v>21.2834</v>
      </c>
      <c r="Q175" s="76">
        <f t="shared" si="80"/>
        <v>22.588100000000001</v>
      </c>
      <c r="R175" s="76">
        <f t="shared" si="80"/>
        <v>21.851400000000002</v>
      </c>
      <c r="T175" s="76" t="str">
        <f>T174</f>
        <v>TC</v>
      </c>
      <c r="U175" s="76" t="str">
        <f>U174</f>
        <v>Turbocharged</v>
      </c>
      <c r="V175" s="76" t="str">
        <f>V174</f>
        <v>SA</v>
      </c>
      <c r="W175" s="76" t="str">
        <f>W174</f>
        <v>Semi-Automatic</v>
      </c>
      <c r="Y175" s="76">
        <f t="shared" ref="Y175:AD175" si="81">Y174</f>
        <v>8</v>
      </c>
      <c r="Z175" s="76" t="str">
        <f t="shared" si="81"/>
        <v>Y</v>
      </c>
      <c r="AA175" s="76" t="str">
        <f t="shared" si="81"/>
        <v>N</v>
      </c>
      <c r="AB175" s="76" t="str">
        <f t="shared" si="81"/>
        <v>A</v>
      </c>
      <c r="AC175" s="76" t="str">
        <f t="shared" si="81"/>
        <v>All Wheel Drive</v>
      </c>
      <c r="AD175" s="76">
        <f t="shared" si="81"/>
        <v>10</v>
      </c>
      <c r="AF175" s="76">
        <f>AF174</f>
        <v>433</v>
      </c>
      <c r="AG175" s="76" t="str">
        <f>AG174</f>
        <v>GP</v>
      </c>
      <c r="AH175" s="76" t="str">
        <f>AH174</f>
        <v>Gasoline (Premium Unleaded Recommended)</v>
      </c>
      <c r="AI175" s="76" t="str">
        <f>AI174</f>
        <v>MPG</v>
      </c>
      <c r="AJ175" s="79" t="str">
        <f>AJ174</f>
        <v>miles per gallon</v>
      </c>
      <c r="AK175" s="96" t="s">
        <v>940</v>
      </c>
      <c r="AL175" s="76" t="s">
        <v>941</v>
      </c>
      <c r="AR175" s="79"/>
      <c r="AS175" s="96">
        <v>2100</v>
      </c>
      <c r="AT175" s="79">
        <v>2100</v>
      </c>
      <c r="AU175" s="96">
        <v>53</v>
      </c>
      <c r="AV175" s="76">
        <v>54</v>
      </c>
      <c r="AW175" s="76">
        <v>53</v>
      </c>
      <c r="AX175" s="76">
        <v>75.099999999999994</v>
      </c>
      <c r="AY175" s="76">
        <v>77.2</v>
      </c>
      <c r="AZ175" s="76">
        <v>76.030699999999996</v>
      </c>
      <c r="BA175" s="76">
        <v>52.998899999999999</v>
      </c>
      <c r="BB175" s="76">
        <v>54.043199999999999</v>
      </c>
      <c r="BC175" s="76">
        <v>53.463799999999999</v>
      </c>
      <c r="BD175" s="76">
        <v>29</v>
      </c>
      <c r="BE175" s="76" t="s">
        <v>1735</v>
      </c>
      <c r="BF175" s="76" t="s">
        <v>1736</v>
      </c>
      <c r="BG175" s="76" t="s">
        <v>175</v>
      </c>
      <c r="BH175" s="76" t="s">
        <v>176</v>
      </c>
      <c r="BI175" s="76">
        <v>2100</v>
      </c>
      <c r="BM175" s="79"/>
      <c r="BN175" s="98" t="s">
        <v>2493</v>
      </c>
      <c r="BO175" s="76">
        <v>2</v>
      </c>
      <c r="BP175" s="76">
        <v>2</v>
      </c>
      <c r="BQ175" s="76">
        <v>33</v>
      </c>
      <c r="BR175" s="76" t="s">
        <v>1497</v>
      </c>
      <c r="BT175" s="76" t="s">
        <v>2494</v>
      </c>
      <c r="BU175" s="99">
        <v>45580</v>
      </c>
      <c r="BV175" s="79">
        <v>35671</v>
      </c>
      <c r="BW175" s="120"/>
      <c r="BX175" s="96" t="s">
        <v>170</v>
      </c>
      <c r="BY175" s="76" t="s">
        <v>170</v>
      </c>
      <c r="CB175" s="76" t="s">
        <v>170</v>
      </c>
      <c r="CC175" s="76" t="s">
        <v>170</v>
      </c>
      <c r="CD175" s="76" t="s">
        <v>2680</v>
      </c>
      <c r="CE175" s="76" t="s">
        <v>170</v>
      </c>
      <c r="CG175" s="76" t="s">
        <v>169</v>
      </c>
      <c r="CH175" s="76" t="s">
        <v>314</v>
      </c>
      <c r="CI175" s="76" t="s">
        <v>169</v>
      </c>
      <c r="CJ175" s="76" t="s">
        <v>2681</v>
      </c>
      <c r="CK175" s="76" t="s">
        <v>233</v>
      </c>
      <c r="CM175" s="76">
        <v>1</v>
      </c>
      <c r="CN175" s="76" t="s">
        <v>234</v>
      </c>
      <c r="CP175" s="76">
        <v>360</v>
      </c>
      <c r="CQ175" s="76">
        <v>70</v>
      </c>
      <c r="CR175" s="76">
        <v>161</v>
      </c>
      <c r="CS175" s="76" t="s">
        <v>1752</v>
      </c>
      <c r="CV175" s="76" t="s">
        <v>341</v>
      </c>
      <c r="CX175" s="76" t="s">
        <v>342</v>
      </c>
      <c r="CY175" s="76" t="s">
        <v>170</v>
      </c>
      <c r="DD175" s="76">
        <v>1</v>
      </c>
      <c r="DE175" s="76" t="s">
        <v>344</v>
      </c>
      <c r="DG175" s="76">
        <v>130</v>
      </c>
      <c r="DJ175" s="76" t="s">
        <v>184</v>
      </c>
      <c r="DK175" s="76" t="s">
        <v>185</v>
      </c>
      <c r="DL175" s="76" t="s">
        <v>170</v>
      </c>
      <c r="DM175" s="76" t="s">
        <v>169</v>
      </c>
      <c r="DN175" s="76" t="s">
        <v>170</v>
      </c>
      <c r="DO175" s="76" t="s">
        <v>186</v>
      </c>
      <c r="DP175" s="76" t="s">
        <v>169</v>
      </c>
      <c r="DQ175" s="76" t="s">
        <v>198</v>
      </c>
      <c r="DS175" s="76" t="s">
        <v>2496</v>
      </c>
      <c r="DT175" s="76" t="s">
        <v>2497</v>
      </c>
      <c r="DU175" s="76" t="s">
        <v>2513</v>
      </c>
      <c r="DV175" s="76" t="s">
        <v>2514</v>
      </c>
      <c r="DZ175" s="79"/>
      <c r="EA175" s="101"/>
      <c r="EB175" s="96">
        <v>6</v>
      </c>
      <c r="EC175" s="76">
        <v>8</v>
      </c>
      <c r="ED175" s="79"/>
      <c r="EE175" s="96" t="s">
        <v>2682</v>
      </c>
      <c r="EF175" s="76">
        <v>4</v>
      </c>
      <c r="EH175" s="79"/>
      <c r="EI175" s="96"/>
      <c r="EM175" s="96"/>
      <c r="EP175" s="79"/>
      <c r="EQ175" s="96"/>
      <c r="ET175" s="79"/>
      <c r="EU175" s="96"/>
      <c r="EV175" s="79">
        <v>1000</v>
      </c>
      <c r="EW175" s="96">
        <v>416</v>
      </c>
      <c r="EX175" s="76">
        <v>385</v>
      </c>
      <c r="EY175" s="79">
        <v>402</v>
      </c>
      <c r="EZ175" s="102">
        <f t="shared" si="59"/>
        <v>174</v>
      </c>
      <c r="FA175" s="76">
        <v>2.5</v>
      </c>
      <c r="FB175" s="79"/>
      <c r="FC175" s="97">
        <v>460</v>
      </c>
      <c r="FD175" s="96">
        <v>32</v>
      </c>
      <c r="FE175" s="76">
        <v>34</v>
      </c>
      <c r="FF175" s="79">
        <v>33</v>
      </c>
      <c r="FG175" s="76">
        <v>181</v>
      </c>
      <c r="FH175" s="76">
        <v>166</v>
      </c>
      <c r="FI175" s="103">
        <v>174</v>
      </c>
      <c r="FJ175" s="98" t="s">
        <v>2683</v>
      </c>
      <c r="FK175" s="111"/>
      <c r="FL175" s="132"/>
      <c r="FM175" s="76">
        <v>0.56999999999999995</v>
      </c>
      <c r="FN175" s="76">
        <v>0.57199999999999995</v>
      </c>
      <c r="FO175" s="79">
        <v>0.57099999999999995</v>
      </c>
      <c r="FP175" s="106"/>
      <c r="FQ175" s="107"/>
      <c r="FR175" s="107"/>
      <c r="FS175" s="108">
        <v>19.8</v>
      </c>
    </row>
    <row r="176" spans="1:190" s="77" customFormat="1" x14ac:dyDescent="0.35">
      <c r="A176" s="76"/>
      <c r="E176" s="76"/>
      <c r="F176" s="76"/>
      <c r="G176" s="78"/>
      <c r="H176" s="76"/>
      <c r="I176" s="79"/>
      <c r="J176" s="80"/>
      <c r="K176" s="28"/>
      <c r="L176" s="28"/>
      <c r="M176" s="25" t="str">
        <f>_xlfn.CONCAT(A177," ",C177," ",D177)</f>
        <v>2025 Porsche Cayenne E-Hybrid Coupe</v>
      </c>
      <c r="N176" s="28"/>
      <c r="O176" s="28"/>
      <c r="P176" s="28"/>
      <c r="Q176" s="28"/>
      <c r="R176" s="28"/>
      <c r="S176" s="28"/>
      <c r="T176" s="28"/>
      <c r="U176" s="28"/>
      <c r="V176" s="28"/>
      <c r="W176" s="28"/>
      <c r="X176" s="28"/>
      <c r="Y176" s="28"/>
      <c r="Z176" s="28"/>
      <c r="AA176" s="28"/>
      <c r="AB176" s="28"/>
      <c r="AC176" s="28"/>
      <c r="AD176" s="25" t="str">
        <f>$M176</f>
        <v>2025 Porsche Cayenne E-Hybrid Coupe</v>
      </c>
      <c r="AE176" s="28"/>
      <c r="AF176" s="28"/>
      <c r="AG176" s="28"/>
      <c r="AH176" s="28"/>
      <c r="AI176" s="28"/>
      <c r="AJ176" s="81"/>
      <c r="AK176" s="82"/>
      <c r="AL176" s="2"/>
      <c r="AM176" s="2"/>
      <c r="AN176" s="2"/>
      <c r="AO176" s="2"/>
      <c r="AP176" s="2"/>
      <c r="AQ176" s="2"/>
      <c r="AR176" s="83"/>
      <c r="AS176" s="84"/>
      <c r="AT176" s="85" t="str">
        <f>$M176</f>
        <v>2025 Porsche Cayenne E-Hybrid Coupe</v>
      </c>
      <c r="AU176" s="84"/>
      <c r="AV176" s="28"/>
      <c r="AW176" s="28"/>
      <c r="AX176" s="28"/>
      <c r="AY176" s="28"/>
      <c r="AZ176" s="28"/>
      <c r="BA176" s="28"/>
      <c r="BB176" s="28"/>
      <c r="BC176" s="28"/>
      <c r="BD176" s="28"/>
      <c r="BE176" s="28"/>
      <c r="BF176" s="28"/>
      <c r="BG176" s="28"/>
      <c r="BH176" s="28"/>
      <c r="BI176" s="25" t="str">
        <f>$M176</f>
        <v>2025 Porsche Cayenne E-Hybrid Coupe</v>
      </c>
      <c r="BJ176" s="28"/>
      <c r="BK176" s="28"/>
      <c r="BL176" s="28"/>
      <c r="BM176" s="81"/>
      <c r="BN176" s="82"/>
      <c r="BO176" s="2"/>
      <c r="BP176" s="2"/>
      <c r="BQ176" s="2"/>
      <c r="BR176" s="2"/>
      <c r="BS176" s="2"/>
      <c r="BT176" s="86"/>
      <c r="BU176" s="2"/>
      <c r="BV176" s="83"/>
      <c r="BW176" s="121"/>
      <c r="BX176" s="84"/>
      <c r="BY176" s="25" t="str">
        <f>$M176</f>
        <v>2025 Porsche Cayenne E-Hybrid Coupe</v>
      </c>
      <c r="BZ176" s="28"/>
      <c r="CA176" s="28"/>
      <c r="CB176" s="28"/>
      <c r="CC176" s="28"/>
      <c r="CD176" s="28"/>
      <c r="CE176" s="88"/>
      <c r="CF176" s="28"/>
      <c r="CG176" s="28"/>
      <c r="CH176" s="28"/>
      <c r="CI176" s="28"/>
      <c r="CJ176" s="28"/>
      <c r="CK176" s="28"/>
      <c r="CL176" s="28"/>
      <c r="CM176" s="28"/>
      <c r="CN176" s="28"/>
      <c r="CO176" s="25" t="str">
        <f>$M176</f>
        <v>2025 Porsche Cayenne E-Hybrid Coupe</v>
      </c>
      <c r="CP176" s="28"/>
      <c r="CQ176" s="28"/>
      <c r="CR176" s="28"/>
      <c r="CS176" s="28"/>
      <c r="CT176" s="28"/>
      <c r="CU176" s="28"/>
      <c r="CV176" s="28"/>
      <c r="CW176" s="28"/>
      <c r="CX176" s="28"/>
      <c r="CY176" s="28"/>
      <c r="CZ176" s="28"/>
      <c r="DA176" s="28"/>
      <c r="DB176" s="28"/>
      <c r="DC176" s="28"/>
      <c r="DD176" s="28"/>
      <c r="DE176" s="28"/>
      <c r="DF176" s="25" t="str">
        <f>$M176</f>
        <v>2025 Porsche Cayenne E-Hybrid Coupe</v>
      </c>
      <c r="DG176" s="28"/>
      <c r="DH176" s="28"/>
      <c r="DI176" s="28"/>
      <c r="DJ176" s="28"/>
      <c r="DK176" s="28"/>
      <c r="DL176" s="28"/>
      <c r="DM176" s="28"/>
      <c r="DN176" s="28"/>
      <c r="DO176" s="28"/>
      <c r="DP176" s="28"/>
      <c r="DQ176" s="28"/>
      <c r="DR176" s="25"/>
      <c r="DS176" s="25"/>
      <c r="DT176" s="25"/>
      <c r="DU176" s="25"/>
      <c r="DV176" s="25"/>
      <c r="DW176" s="25" t="str">
        <f>$M176</f>
        <v>2025 Porsche Cayenne E-Hybrid Coupe</v>
      </c>
      <c r="DX176" s="25"/>
      <c r="DY176" s="25"/>
      <c r="DZ176" s="85"/>
      <c r="EA176" s="89"/>
      <c r="EB176" s="80"/>
      <c r="EC176" s="25"/>
      <c r="ED176" s="85"/>
      <c r="EE176" s="80"/>
      <c r="EF176" s="25"/>
      <c r="EG176" s="25"/>
      <c r="EH176" s="85"/>
      <c r="EI176" s="80"/>
      <c r="EK176" t="s">
        <v>2445</v>
      </c>
      <c r="EL176" s="25" t="str">
        <f>$M176</f>
        <v>2025 Porsche Cayenne E-Hybrid Coupe</v>
      </c>
      <c r="EM176" s="80"/>
      <c r="EP176" s="75"/>
      <c r="EQ176" s="90"/>
      <c r="ET176" s="75"/>
      <c r="EU176" s="90"/>
      <c r="EV176" s="75"/>
      <c r="EW176" s="90"/>
      <c r="EY176" s="75"/>
      <c r="EZ176" s="102"/>
      <c r="FA176" s="25" t="str">
        <f>$M176</f>
        <v>2025 Porsche Cayenne E-Hybrid Coupe</v>
      </c>
      <c r="FB176" s="75"/>
      <c r="FC176" s="91"/>
      <c r="FD176" s="80"/>
      <c r="FE176" s="25"/>
      <c r="FF176" s="85"/>
      <c r="FG176" s="80"/>
      <c r="FH176" s="25"/>
      <c r="FI176" s="85"/>
      <c r="FJ176" s="80"/>
      <c r="FK176" s="25"/>
      <c r="FL176" s="85"/>
      <c r="FM176" s="25" t="str">
        <f>$M176</f>
        <v>2025 Porsche Cayenne E-Hybrid Coupe</v>
      </c>
      <c r="FN176" s="25"/>
      <c r="FO176" s="85"/>
      <c r="FP176" s="92"/>
      <c r="FQ176" s="93"/>
      <c r="FR176" s="94"/>
      <c r="FS176" s="95"/>
      <c r="FT176" s="25"/>
      <c r="FU176" s="25"/>
      <c r="FV176" s="25"/>
      <c r="FW176" s="25"/>
      <c r="FX176" s="25"/>
      <c r="FY176" s="25"/>
      <c r="FZ176" s="25"/>
      <c r="GA176" s="25"/>
      <c r="GB176" s="25"/>
      <c r="GC176" s="25"/>
      <c r="GD176" s="25"/>
      <c r="GE176" s="25"/>
      <c r="GF176" s="25"/>
      <c r="GG176" s="25"/>
      <c r="GH176" s="25"/>
    </row>
    <row r="177" spans="1:190" s="76" customFormat="1" x14ac:dyDescent="0.35">
      <c r="A177" s="76">
        <v>2025</v>
      </c>
      <c r="B177" s="76" t="s">
        <v>299</v>
      </c>
      <c r="C177" s="76" t="s">
        <v>299</v>
      </c>
      <c r="D177" s="76" t="s">
        <v>2684</v>
      </c>
      <c r="E177" s="76" t="s">
        <v>301</v>
      </c>
      <c r="F177" s="76">
        <v>417</v>
      </c>
      <c r="G177" s="78">
        <v>3</v>
      </c>
      <c r="H177" s="76">
        <v>6</v>
      </c>
      <c r="I177" s="79" t="s">
        <v>192</v>
      </c>
      <c r="J177" s="96">
        <v>21</v>
      </c>
      <c r="K177" s="76">
        <v>23</v>
      </c>
      <c r="L177" s="76">
        <v>22</v>
      </c>
      <c r="M177" s="76">
        <v>27</v>
      </c>
      <c r="N177" s="76">
        <v>32.1</v>
      </c>
      <c r="O177" s="76">
        <v>29.1126</v>
      </c>
      <c r="P177" s="76">
        <v>21.2834</v>
      </c>
      <c r="Q177" s="76">
        <v>22.588100000000001</v>
      </c>
      <c r="R177" s="76">
        <v>21.851400000000002</v>
      </c>
      <c r="T177" s="76" t="s">
        <v>165</v>
      </c>
      <c r="U177" s="76" t="s">
        <v>166</v>
      </c>
      <c r="V177" s="76" t="s">
        <v>193</v>
      </c>
      <c r="W177" s="76" t="s">
        <v>194</v>
      </c>
      <c r="Y177" s="76">
        <v>8</v>
      </c>
      <c r="Z177" s="76" t="s">
        <v>169</v>
      </c>
      <c r="AA177" s="76" t="s">
        <v>170</v>
      </c>
      <c r="AB177" s="76" t="s">
        <v>167</v>
      </c>
      <c r="AC177" s="76" t="s">
        <v>213</v>
      </c>
      <c r="AD177" s="76">
        <v>10</v>
      </c>
      <c r="AF177" s="76">
        <v>433</v>
      </c>
      <c r="AG177" s="76" t="s">
        <v>173</v>
      </c>
      <c r="AH177" s="76" t="s">
        <v>174</v>
      </c>
      <c r="AI177" s="76" t="s">
        <v>175</v>
      </c>
      <c r="AJ177" s="79" t="s">
        <v>176</v>
      </c>
      <c r="AK177" s="96" t="s">
        <v>940</v>
      </c>
      <c r="AL177" s="76" t="s">
        <v>941</v>
      </c>
      <c r="AR177" s="79"/>
      <c r="AS177" s="96">
        <v>2100</v>
      </c>
      <c r="AT177" s="79">
        <v>2100</v>
      </c>
      <c r="AU177" s="96">
        <v>63</v>
      </c>
      <c r="AV177" s="76">
        <v>62</v>
      </c>
      <c r="AW177" s="76">
        <v>63</v>
      </c>
      <c r="AX177" s="76">
        <v>44.9</v>
      </c>
      <c r="AY177" s="76">
        <v>43.7</v>
      </c>
      <c r="AZ177" s="76">
        <v>44.36</v>
      </c>
      <c r="BA177" s="76">
        <v>63.447499999999998</v>
      </c>
      <c r="BB177" s="76">
        <v>61.701500000000003</v>
      </c>
      <c r="BC177" s="76">
        <v>62.661799999999999</v>
      </c>
      <c r="BD177" s="76">
        <v>29</v>
      </c>
      <c r="BE177" s="76" t="s">
        <v>1735</v>
      </c>
      <c r="BF177" s="76" t="s">
        <v>1736</v>
      </c>
      <c r="BG177" s="76" t="s">
        <v>1742</v>
      </c>
      <c r="BH177" s="76" t="s">
        <v>1743</v>
      </c>
      <c r="BI177" s="76">
        <v>2100</v>
      </c>
      <c r="BJ177" s="2"/>
      <c r="BK177" s="2"/>
      <c r="BL177" s="2"/>
      <c r="BM177" s="79"/>
      <c r="BN177" s="98" t="s">
        <v>2493</v>
      </c>
      <c r="BO177" s="76">
        <v>2</v>
      </c>
      <c r="BP177" s="76">
        <v>2</v>
      </c>
      <c r="BQ177" s="76">
        <v>33</v>
      </c>
      <c r="BR177" s="76" t="s">
        <v>1497</v>
      </c>
      <c r="BT177" s="76" t="s">
        <v>2494</v>
      </c>
      <c r="BU177" s="99">
        <v>45580</v>
      </c>
      <c r="BV177" s="79">
        <v>35672</v>
      </c>
      <c r="BW177" s="120"/>
      <c r="BX177" s="96" t="s">
        <v>170</v>
      </c>
      <c r="BY177" s="76" t="s">
        <v>170</v>
      </c>
      <c r="CB177" s="76" t="s">
        <v>170</v>
      </c>
      <c r="CC177" s="76" t="s">
        <v>170</v>
      </c>
      <c r="CD177" s="76" t="s">
        <v>2680</v>
      </c>
      <c r="CE177" s="76" t="s">
        <v>170</v>
      </c>
      <c r="CG177" s="76" t="s">
        <v>169</v>
      </c>
      <c r="CH177" s="76" t="s">
        <v>314</v>
      </c>
      <c r="CI177" s="76" t="s">
        <v>169</v>
      </c>
      <c r="CJ177" s="76" t="s">
        <v>2681</v>
      </c>
      <c r="CK177" s="76" t="s">
        <v>233</v>
      </c>
      <c r="CM177" s="76">
        <v>1</v>
      </c>
      <c r="CN177" s="76" t="s">
        <v>234</v>
      </c>
      <c r="CP177" s="76">
        <v>360</v>
      </c>
      <c r="CQ177" s="76">
        <v>70</v>
      </c>
      <c r="CR177" s="76">
        <v>161</v>
      </c>
      <c r="CS177" s="76" t="s">
        <v>1752</v>
      </c>
      <c r="CV177" s="76" t="s">
        <v>341</v>
      </c>
      <c r="CX177" s="76" t="s">
        <v>342</v>
      </c>
      <c r="CY177" s="76" t="s">
        <v>170</v>
      </c>
      <c r="DD177" s="76">
        <v>1</v>
      </c>
      <c r="DE177" s="76" t="s">
        <v>344</v>
      </c>
      <c r="DG177" s="76">
        <v>130</v>
      </c>
      <c r="DJ177" s="76" t="s">
        <v>184</v>
      </c>
      <c r="DK177" s="76" t="s">
        <v>185</v>
      </c>
      <c r="DL177" s="76" t="s">
        <v>170</v>
      </c>
      <c r="DM177" s="76" t="s">
        <v>169</v>
      </c>
      <c r="DN177" s="76" t="s">
        <v>170</v>
      </c>
      <c r="DO177" s="76" t="s">
        <v>186</v>
      </c>
      <c r="DP177" s="76" t="s">
        <v>169</v>
      </c>
      <c r="DQ177" s="76" t="s">
        <v>198</v>
      </c>
      <c r="DS177" s="76" t="s">
        <v>2496</v>
      </c>
      <c r="DT177" s="76" t="s">
        <v>2497</v>
      </c>
      <c r="DU177" s="76" t="s">
        <v>2513</v>
      </c>
      <c r="DV177" s="76" t="s">
        <v>2514</v>
      </c>
      <c r="DZ177" s="79"/>
      <c r="EA177" s="101"/>
      <c r="EB177" s="96">
        <v>6</v>
      </c>
      <c r="EC177" s="76">
        <v>8</v>
      </c>
      <c r="ED177" s="79"/>
      <c r="EE177" s="96" t="s">
        <v>2682</v>
      </c>
      <c r="EF177" s="76">
        <v>4</v>
      </c>
      <c r="EH177" s="79"/>
      <c r="EI177" s="96"/>
      <c r="EM177" s="96"/>
      <c r="EP177" s="79"/>
      <c r="EQ177" s="96"/>
      <c r="ET177" s="79"/>
      <c r="EU177" s="96"/>
      <c r="EV177" s="79">
        <v>1000</v>
      </c>
      <c r="EW177" s="96">
        <v>0</v>
      </c>
      <c r="EX177" s="76">
        <v>0</v>
      </c>
      <c r="EY177" s="79">
        <v>0</v>
      </c>
      <c r="EZ177" s="102">
        <f t="shared" si="59"/>
        <v>174</v>
      </c>
      <c r="FA177" s="76">
        <v>2.5</v>
      </c>
      <c r="FB177" s="79"/>
      <c r="FC177" s="97">
        <v>460</v>
      </c>
      <c r="FD177" s="96">
        <v>32</v>
      </c>
      <c r="FE177" s="76">
        <v>34</v>
      </c>
      <c r="FF177" s="79">
        <v>33</v>
      </c>
      <c r="FG177" s="76">
        <v>181</v>
      </c>
      <c r="FH177" s="76">
        <v>166</v>
      </c>
      <c r="FI177" s="103">
        <v>174</v>
      </c>
      <c r="FJ177" s="104">
        <v>28.56</v>
      </c>
      <c r="FK177" s="105">
        <v>29.76</v>
      </c>
      <c r="FL177" s="79">
        <v>29</v>
      </c>
      <c r="FM177" s="76">
        <v>0.56999999999999995</v>
      </c>
      <c r="FN177" s="76">
        <v>0.57199999999999995</v>
      </c>
      <c r="FO177" s="79">
        <v>0.57099999999999995</v>
      </c>
      <c r="FP177" s="106">
        <v>0</v>
      </c>
      <c r="FQ177" s="107">
        <v>0</v>
      </c>
      <c r="FR177" s="107">
        <v>0</v>
      </c>
      <c r="FS177" s="108">
        <v>19.8</v>
      </c>
    </row>
    <row r="178" spans="1:190" s="76" customFormat="1" x14ac:dyDescent="0.35">
      <c r="A178" s="76">
        <v>2025</v>
      </c>
      <c r="B178" s="162" t="s">
        <v>299</v>
      </c>
      <c r="C178" s="162" t="s">
        <v>299</v>
      </c>
      <c r="D178" s="162" t="s">
        <v>2684</v>
      </c>
      <c r="E178" s="162" t="s">
        <v>301</v>
      </c>
      <c r="F178" s="162">
        <v>417</v>
      </c>
      <c r="G178" s="162">
        <v>3</v>
      </c>
      <c r="H178" s="162">
        <v>6</v>
      </c>
      <c r="I178" s="163" t="s">
        <v>192</v>
      </c>
      <c r="J178" s="96">
        <f t="shared" ref="J178:R178" si="82">J177</f>
        <v>21</v>
      </c>
      <c r="K178" s="76">
        <f t="shared" si="82"/>
        <v>23</v>
      </c>
      <c r="L178" s="76">
        <f t="shared" si="82"/>
        <v>22</v>
      </c>
      <c r="M178" s="76">
        <f t="shared" si="82"/>
        <v>27</v>
      </c>
      <c r="N178" s="76">
        <f t="shared" si="82"/>
        <v>32.1</v>
      </c>
      <c r="O178" s="76">
        <f t="shared" si="82"/>
        <v>29.1126</v>
      </c>
      <c r="P178" s="76">
        <f t="shared" si="82"/>
        <v>21.2834</v>
      </c>
      <c r="Q178" s="76">
        <f t="shared" si="82"/>
        <v>22.588100000000001</v>
      </c>
      <c r="R178" s="76">
        <f t="shared" si="82"/>
        <v>21.851400000000002</v>
      </c>
      <c r="T178" s="76" t="str">
        <f>T177</f>
        <v>TC</v>
      </c>
      <c r="U178" s="76" t="str">
        <f>U177</f>
        <v>Turbocharged</v>
      </c>
      <c r="V178" s="76" t="str">
        <f>V177</f>
        <v>SA</v>
      </c>
      <c r="W178" s="76" t="str">
        <f>W177</f>
        <v>Semi-Automatic</v>
      </c>
      <c r="Y178" s="76">
        <f t="shared" ref="Y178:AD178" si="83">Y177</f>
        <v>8</v>
      </c>
      <c r="Z178" s="76" t="str">
        <f t="shared" si="83"/>
        <v>Y</v>
      </c>
      <c r="AA178" s="76" t="str">
        <f t="shared" si="83"/>
        <v>N</v>
      </c>
      <c r="AB178" s="76" t="str">
        <f t="shared" si="83"/>
        <v>A</v>
      </c>
      <c r="AC178" s="76" t="str">
        <f t="shared" si="83"/>
        <v>All Wheel Drive</v>
      </c>
      <c r="AD178" s="76">
        <f t="shared" si="83"/>
        <v>10</v>
      </c>
      <c r="AF178" s="76">
        <f>AF177</f>
        <v>433</v>
      </c>
      <c r="AG178" s="76" t="str">
        <f>AG177</f>
        <v>GP</v>
      </c>
      <c r="AH178" s="76" t="str">
        <f>AH177</f>
        <v>Gasoline (Premium Unleaded Recommended)</v>
      </c>
      <c r="AI178" s="76" t="str">
        <f>AI177</f>
        <v>MPG</v>
      </c>
      <c r="AJ178" s="79" t="str">
        <f>AJ177</f>
        <v>miles per gallon</v>
      </c>
      <c r="AK178" s="96" t="s">
        <v>940</v>
      </c>
      <c r="AL178" s="76" t="s">
        <v>941</v>
      </c>
      <c r="AR178" s="79"/>
      <c r="AS178" s="96">
        <v>2100</v>
      </c>
      <c r="AT178" s="79">
        <v>2100</v>
      </c>
      <c r="AU178" s="96">
        <v>53</v>
      </c>
      <c r="AV178" s="76">
        <v>54</v>
      </c>
      <c r="AW178" s="76">
        <v>53</v>
      </c>
      <c r="AX178" s="76">
        <v>75.099999999999994</v>
      </c>
      <c r="AY178" s="76">
        <v>77.2</v>
      </c>
      <c r="AZ178" s="76">
        <v>76.030699999999996</v>
      </c>
      <c r="BA178" s="76">
        <v>52.998899999999999</v>
      </c>
      <c r="BB178" s="76">
        <v>54.043199999999999</v>
      </c>
      <c r="BC178" s="76">
        <v>53.463799999999999</v>
      </c>
      <c r="BD178" s="76">
        <v>29</v>
      </c>
      <c r="BE178" s="76" t="s">
        <v>1735</v>
      </c>
      <c r="BF178" s="76" t="s">
        <v>1736</v>
      </c>
      <c r="BG178" s="76" t="s">
        <v>175</v>
      </c>
      <c r="BH178" s="76" t="s">
        <v>176</v>
      </c>
      <c r="BI178" s="76">
        <v>2100</v>
      </c>
      <c r="BM178" s="79"/>
      <c r="BN178" s="98" t="s">
        <v>2493</v>
      </c>
      <c r="BO178" s="76">
        <v>2</v>
      </c>
      <c r="BP178" s="76">
        <v>2</v>
      </c>
      <c r="BQ178" s="76">
        <v>33</v>
      </c>
      <c r="BR178" s="76" t="s">
        <v>1497</v>
      </c>
      <c r="BT178" s="76" t="s">
        <v>2494</v>
      </c>
      <c r="BU178" s="99">
        <v>45580</v>
      </c>
      <c r="BV178" s="79">
        <v>35672</v>
      </c>
      <c r="BW178" s="120"/>
      <c r="BX178" s="96" t="s">
        <v>170</v>
      </c>
      <c r="BY178" s="76" t="s">
        <v>170</v>
      </c>
      <c r="CB178" s="76" t="s">
        <v>170</v>
      </c>
      <c r="CC178" s="76" t="s">
        <v>170</v>
      </c>
      <c r="CD178" s="76" t="s">
        <v>2680</v>
      </c>
      <c r="CE178" s="76" t="s">
        <v>170</v>
      </c>
      <c r="CG178" s="76" t="s">
        <v>169</v>
      </c>
      <c r="CH178" s="76" t="s">
        <v>314</v>
      </c>
      <c r="CI178" s="76" t="s">
        <v>169</v>
      </c>
      <c r="CJ178" s="76" t="s">
        <v>2681</v>
      </c>
      <c r="CK178" s="76" t="s">
        <v>233</v>
      </c>
      <c r="CM178" s="76">
        <v>1</v>
      </c>
      <c r="CN178" s="76" t="s">
        <v>234</v>
      </c>
      <c r="CP178" s="76">
        <v>360</v>
      </c>
      <c r="CQ178" s="76">
        <v>70</v>
      </c>
      <c r="CR178" s="76">
        <v>161</v>
      </c>
      <c r="CS178" s="76" t="s">
        <v>1752</v>
      </c>
      <c r="CV178" s="76" t="s">
        <v>341</v>
      </c>
      <c r="CX178" s="76" t="s">
        <v>342</v>
      </c>
      <c r="CY178" s="76" t="s">
        <v>170</v>
      </c>
      <c r="DD178" s="76">
        <v>1</v>
      </c>
      <c r="DE178" s="76" t="s">
        <v>344</v>
      </c>
      <c r="DG178" s="76">
        <v>130</v>
      </c>
      <c r="DJ178" s="76" t="s">
        <v>184</v>
      </c>
      <c r="DK178" s="76" t="s">
        <v>185</v>
      </c>
      <c r="DL178" s="76" t="s">
        <v>170</v>
      </c>
      <c r="DM178" s="76" t="s">
        <v>169</v>
      </c>
      <c r="DN178" s="76" t="s">
        <v>170</v>
      </c>
      <c r="DO178" s="76" t="s">
        <v>186</v>
      </c>
      <c r="DP178" s="76" t="s">
        <v>169</v>
      </c>
      <c r="DQ178" s="76" t="s">
        <v>198</v>
      </c>
      <c r="DS178" s="76" t="s">
        <v>2496</v>
      </c>
      <c r="DT178" s="76" t="s">
        <v>2497</v>
      </c>
      <c r="DU178" s="76" t="s">
        <v>2513</v>
      </c>
      <c r="DV178" s="76" t="s">
        <v>2514</v>
      </c>
      <c r="DZ178" s="79"/>
      <c r="EA178" s="101"/>
      <c r="EB178" s="96">
        <v>6</v>
      </c>
      <c r="EC178" s="76">
        <v>8</v>
      </c>
      <c r="ED178" s="79"/>
      <c r="EE178" s="96" t="s">
        <v>2682</v>
      </c>
      <c r="EF178" s="76">
        <v>4</v>
      </c>
      <c r="EH178" s="79"/>
      <c r="EI178" s="96"/>
      <c r="EM178" s="96"/>
      <c r="EP178" s="79"/>
      <c r="EQ178" s="96"/>
      <c r="ET178" s="79"/>
      <c r="EU178" s="96"/>
      <c r="EV178" s="79">
        <v>1000</v>
      </c>
      <c r="EW178" s="96">
        <v>416</v>
      </c>
      <c r="EX178" s="76">
        <v>385</v>
      </c>
      <c r="EY178" s="79">
        <v>402</v>
      </c>
      <c r="EZ178" s="102">
        <f t="shared" si="59"/>
        <v>174</v>
      </c>
      <c r="FA178" s="76">
        <v>2.5</v>
      </c>
      <c r="FB178" s="79"/>
      <c r="FC178" s="97">
        <v>460</v>
      </c>
      <c r="FD178" s="96">
        <v>32</v>
      </c>
      <c r="FE178" s="76">
        <v>34</v>
      </c>
      <c r="FF178" s="79">
        <v>33</v>
      </c>
      <c r="FG178" s="76">
        <v>181</v>
      </c>
      <c r="FH178" s="76">
        <v>166</v>
      </c>
      <c r="FI178" s="103">
        <v>174</v>
      </c>
      <c r="FJ178" s="98" t="s">
        <v>2683</v>
      </c>
      <c r="FK178" s="111"/>
      <c r="FL178" s="103"/>
      <c r="FM178" s="76">
        <v>0.56999999999999995</v>
      </c>
      <c r="FN178" s="76">
        <v>0.57199999999999995</v>
      </c>
      <c r="FO178" s="79">
        <v>0.57099999999999995</v>
      </c>
      <c r="FP178" s="106"/>
      <c r="FQ178" s="107"/>
      <c r="FR178" s="107"/>
      <c r="FS178" s="108">
        <v>19.8</v>
      </c>
    </row>
    <row r="179" spans="1:190" s="77" customFormat="1" x14ac:dyDescent="0.35">
      <c r="A179" s="76"/>
      <c r="E179" s="76"/>
      <c r="F179" s="76"/>
      <c r="G179" s="78"/>
      <c r="H179" s="76"/>
      <c r="I179" s="79"/>
      <c r="J179" s="80"/>
      <c r="K179" s="28"/>
      <c r="L179" s="28"/>
      <c r="M179" s="25" t="str">
        <f>_xlfn.CONCAT(A180," ",C180," ",D180)</f>
        <v>2025 Porsche Cayenne S E-Hybrid</v>
      </c>
      <c r="N179" s="28"/>
      <c r="O179" s="28"/>
      <c r="P179" s="28"/>
      <c r="Q179" s="28"/>
      <c r="R179" s="28"/>
      <c r="S179" s="28"/>
      <c r="T179" s="28"/>
      <c r="U179" s="28"/>
      <c r="V179" s="28"/>
      <c r="W179" s="28"/>
      <c r="X179" s="28"/>
      <c r="Y179" s="28"/>
      <c r="Z179" s="28"/>
      <c r="AA179" s="28"/>
      <c r="AB179" s="28"/>
      <c r="AC179" s="28"/>
      <c r="AD179" s="25" t="str">
        <f>$M179</f>
        <v>2025 Porsche Cayenne S E-Hybrid</v>
      </c>
      <c r="AE179" s="28"/>
      <c r="AF179" s="28"/>
      <c r="AG179" s="28"/>
      <c r="AH179" s="28"/>
      <c r="AI179" s="28"/>
      <c r="AJ179" s="81"/>
      <c r="AK179" s="82"/>
      <c r="AL179" s="2"/>
      <c r="AM179" s="2"/>
      <c r="AN179" s="2"/>
      <c r="AO179" s="2"/>
      <c r="AP179" s="2"/>
      <c r="AQ179" s="2"/>
      <c r="AR179" s="83"/>
      <c r="AS179" s="84"/>
      <c r="AT179" s="85" t="str">
        <f>$M179</f>
        <v>2025 Porsche Cayenne S E-Hybrid</v>
      </c>
      <c r="AU179" s="84"/>
      <c r="AV179" s="28"/>
      <c r="AW179" s="28"/>
      <c r="AX179" s="28"/>
      <c r="AY179" s="28"/>
      <c r="AZ179" s="28"/>
      <c r="BA179" s="28"/>
      <c r="BB179" s="28"/>
      <c r="BC179" s="28"/>
      <c r="BD179" s="28"/>
      <c r="BE179" s="28"/>
      <c r="BF179" s="28"/>
      <c r="BG179" s="28"/>
      <c r="BH179" s="28"/>
      <c r="BI179" s="25" t="str">
        <f>$M179</f>
        <v>2025 Porsche Cayenne S E-Hybrid</v>
      </c>
      <c r="BJ179" s="28"/>
      <c r="BK179" s="28"/>
      <c r="BL179" s="28"/>
      <c r="BM179" s="81"/>
      <c r="BN179" s="82"/>
      <c r="BO179" s="2"/>
      <c r="BP179" s="2"/>
      <c r="BQ179" s="2"/>
      <c r="BR179" s="2"/>
      <c r="BS179" s="2"/>
      <c r="BT179" s="86"/>
      <c r="BU179" s="2"/>
      <c r="BV179" s="83"/>
      <c r="BW179" s="121"/>
      <c r="BX179" s="84"/>
      <c r="BY179" s="25" t="str">
        <f>$M179</f>
        <v>2025 Porsche Cayenne S E-Hybrid</v>
      </c>
      <c r="BZ179" s="28"/>
      <c r="CA179" s="28"/>
      <c r="CB179" s="28"/>
      <c r="CC179" s="28"/>
      <c r="CD179" s="28"/>
      <c r="CE179" s="88"/>
      <c r="CF179" s="28"/>
      <c r="CG179" s="28"/>
      <c r="CH179" s="28"/>
      <c r="CI179" s="28"/>
      <c r="CJ179" s="28"/>
      <c r="CK179" s="28"/>
      <c r="CL179" s="28"/>
      <c r="CM179" s="28"/>
      <c r="CN179" s="28"/>
      <c r="CO179" s="25" t="str">
        <f>$M179</f>
        <v>2025 Porsche Cayenne S E-Hybrid</v>
      </c>
      <c r="CP179" s="28"/>
      <c r="CQ179" s="28"/>
      <c r="CR179" s="28"/>
      <c r="CS179" s="28"/>
      <c r="CT179" s="28"/>
      <c r="CU179" s="28"/>
      <c r="CV179" s="28"/>
      <c r="CW179" s="28"/>
      <c r="CX179" s="28"/>
      <c r="CY179" s="28"/>
      <c r="CZ179" s="28"/>
      <c r="DA179" s="28"/>
      <c r="DB179" s="28"/>
      <c r="DC179" s="28"/>
      <c r="DD179" s="28"/>
      <c r="DE179" s="28"/>
      <c r="DF179" s="25" t="str">
        <f>$M179</f>
        <v>2025 Porsche Cayenne S E-Hybrid</v>
      </c>
      <c r="DG179" s="28"/>
      <c r="DH179" s="28"/>
      <c r="DI179" s="28"/>
      <c r="DJ179" s="28"/>
      <c r="DK179" s="28"/>
      <c r="DL179" s="28"/>
      <c r="DM179" s="28"/>
      <c r="DN179" s="28"/>
      <c r="DO179" s="28"/>
      <c r="DP179" s="28"/>
      <c r="DQ179" s="28"/>
      <c r="DR179" s="25"/>
      <c r="DS179" s="25"/>
      <c r="DT179" s="25"/>
      <c r="DU179" s="25"/>
      <c r="DV179" s="25"/>
      <c r="DW179" s="25" t="str">
        <f>$M179</f>
        <v>2025 Porsche Cayenne S E-Hybrid</v>
      </c>
      <c r="DX179" s="25"/>
      <c r="DY179" s="25"/>
      <c r="DZ179" s="85"/>
      <c r="EA179" s="89"/>
      <c r="EB179" s="80"/>
      <c r="EC179" s="25"/>
      <c r="ED179" s="85"/>
      <c r="EE179" s="80"/>
      <c r="EF179" s="25"/>
      <c r="EG179" s="25"/>
      <c r="EH179" s="85"/>
      <c r="EI179" s="80"/>
      <c r="EK179" t="s">
        <v>2445</v>
      </c>
      <c r="EL179" s="25" t="str">
        <f>$M179</f>
        <v>2025 Porsche Cayenne S E-Hybrid</v>
      </c>
      <c r="EM179" s="80"/>
      <c r="EP179" s="75"/>
      <c r="EQ179" s="90"/>
      <c r="ET179" s="75"/>
      <c r="EU179" s="90"/>
      <c r="EV179" s="75"/>
      <c r="EW179" s="90"/>
      <c r="EY179" s="75"/>
      <c r="EZ179" s="102"/>
      <c r="FA179" s="25" t="str">
        <f>$M179</f>
        <v>2025 Porsche Cayenne S E-Hybrid</v>
      </c>
      <c r="FB179" s="75"/>
      <c r="FC179" s="91"/>
      <c r="FD179" s="80"/>
      <c r="FE179" s="25"/>
      <c r="FF179" s="85"/>
      <c r="FG179" s="80"/>
      <c r="FH179" s="25"/>
      <c r="FI179" s="85"/>
      <c r="FJ179" s="80"/>
      <c r="FK179" s="25"/>
      <c r="FL179" s="85"/>
      <c r="FM179" s="25" t="str">
        <f>$M179</f>
        <v>2025 Porsche Cayenne S E-Hybrid</v>
      </c>
      <c r="FN179" s="25"/>
      <c r="FO179" s="85"/>
      <c r="FP179" s="92"/>
      <c r="FQ179" s="93"/>
      <c r="FR179" s="94"/>
      <c r="FS179" s="95"/>
      <c r="FT179" s="25"/>
      <c r="FU179" s="25"/>
      <c r="FV179" s="25"/>
      <c r="FW179" s="25"/>
      <c r="FX179" s="25"/>
      <c r="FY179" s="25"/>
      <c r="FZ179" s="25"/>
      <c r="GA179" s="25"/>
      <c r="GB179" s="25"/>
      <c r="GC179" s="25"/>
      <c r="GD179" s="25"/>
      <c r="GE179" s="25"/>
      <c r="GF179" s="25"/>
      <c r="GG179" s="25"/>
      <c r="GH179" s="25"/>
    </row>
    <row r="180" spans="1:190" s="76" customFormat="1" x14ac:dyDescent="0.35">
      <c r="A180" s="76">
        <v>2025</v>
      </c>
      <c r="B180" s="76" t="s">
        <v>299</v>
      </c>
      <c r="C180" s="76" t="s">
        <v>299</v>
      </c>
      <c r="D180" s="76" t="s">
        <v>2685</v>
      </c>
      <c r="E180" s="76" t="s">
        <v>301</v>
      </c>
      <c r="F180" s="76">
        <v>421</v>
      </c>
      <c r="G180" s="78">
        <v>3</v>
      </c>
      <c r="H180" s="76">
        <v>6</v>
      </c>
      <c r="I180" s="79" t="s">
        <v>192</v>
      </c>
      <c r="J180" s="96">
        <v>21</v>
      </c>
      <c r="K180" s="76">
        <v>23</v>
      </c>
      <c r="L180" s="76">
        <v>22</v>
      </c>
      <c r="M180" s="76">
        <v>26.1</v>
      </c>
      <c r="N180" s="76">
        <v>32.5</v>
      </c>
      <c r="O180" s="76">
        <v>28.637699999999999</v>
      </c>
      <c r="P180" s="76">
        <v>20.570900000000002</v>
      </c>
      <c r="Q180" s="76">
        <v>23.2195</v>
      </c>
      <c r="R180" s="76">
        <v>21.683900000000001</v>
      </c>
      <c r="T180" s="76" t="s">
        <v>165</v>
      </c>
      <c r="U180" s="76" t="s">
        <v>166</v>
      </c>
      <c r="V180" s="76" t="s">
        <v>193</v>
      </c>
      <c r="W180" s="76" t="s">
        <v>194</v>
      </c>
      <c r="Y180" s="76">
        <v>8</v>
      </c>
      <c r="Z180" s="76" t="s">
        <v>169</v>
      </c>
      <c r="AA180" s="76" t="s">
        <v>170</v>
      </c>
      <c r="AB180" s="76" t="s">
        <v>167</v>
      </c>
      <c r="AC180" s="76" t="s">
        <v>213</v>
      </c>
      <c r="AD180" s="76">
        <v>10</v>
      </c>
      <c r="AF180" s="76">
        <v>403</v>
      </c>
      <c r="AG180" s="76" t="s">
        <v>173</v>
      </c>
      <c r="AH180" s="76" t="s">
        <v>174</v>
      </c>
      <c r="AI180" s="76" t="s">
        <v>175</v>
      </c>
      <c r="AJ180" s="79" t="s">
        <v>176</v>
      </c>
      <c r="AK180" s="96" t="s">
        <v>940</v>
      </c>
      <c r="AL180" s="76" t="s">
        <v>941</v>
      </c>
      <c r="AR180" s="79"/>
      <c r="AS180" s="96">
        <v>2200</v>
      </c>
      <c r="AT180" s="79">
        <v>2200</v>
      </c>
      <c r="AU180" s="96">
        <v>67</v>
      </c>
      <c r="AV180" s="76">
        <v>63</v>
      </c>
      <c r="AW180" s="76">
        <v>65</v>
      </c>
      <c r="AX180" s="76">
        <v>46.5</v>
      </c>
      <c r="AY180" s="76">
        <v>44.8</v>
      </c>
      <c r="AZ180" s="76">
        <v>45.734999999999999</v>
      </c>
      <c r="BA180" s="76">
        <v>66.748999999999995</v>
      </c>
      <c r="BB180" s="76">
        <v>62.747999999999998</v>
      </c>
      <c r="BC180" s="76">
        <v>64.948599999999999</v>
      </c>
      <c r="BD180" s="76">
        <v>27</v>
      </c>
      <c r="BE180" s="76" t="s">
        <v>1735</v>
      </c>
      <c r="BF180" s="76" t="s">
        <v>1736</v>
      </c>
      <c r="BG180" s="76" t="s">
        <v>1742</v>
      </c>
      <c r="BH180" s="76" t="s">
        <v>1743</v>
      </c>
      <c r="BI180" s="76">
        <v>2200</v>
      </c>
      <c r="BJ180" s="2"/>
      <c r="BK180" s="2"/>
      <c r="BL180" s="2"/>
      <c r="BM180" s="79"/>
      <c r="BN180" s="98" t="s">
        <v>2493</v>
      </c>
      <c r="BO180" s="76">
        <v>2</v>
      </c>
      <c r="BP180" s="76">
        <v>2</v>
      </c>
      <c r="BQ180" s="76">
        <v>33</v>
      </c>
      <c r="BR180" s="76" t="s">
        <v>1497</v>
      </c>
      <c r="BT180" s="76" t="s">
        <v>2494</v>
      </c>
      <c r="BU180" s="99">
        <v>45580</v>
      </c>
      <c r="BV180" s="79">
        <v>35673</v>
      </c>
      <c r="BW180" s="120"/>
      <c r="BX180" s="96" t="s">
        <v>170</v>
      </c>
      <c r="BY180" s="76" t="s">
        <v>170</v>
      </c>
      <c r="CB180" s="76" t="s">
        <v>170</v>
      </c>
      <c r="CC180" s="76" t="s">
        <v>170</v>
      </c>
      <c r="CD180" s="76" t="s">
        <v>2680</v>
      </c>
      <c r="CE180" s="76" t="s">
        <v>170</v>
      </c>
      <c r="CG180" s="76" t="s">
        <v>169</v>
      </c>
      <c r="CH180" s="76" t="s">
        <v>314</v>
      </c>
      <c r="CI180" s="76" t="s">
        <v>169</v>
      </c>
      <c r="CJ180" s="76" t="s">
        <v>2681</v>
      </c>
      <c r="CK180" s="76" t="s">
        <v>233</v>
      </c>
      <c r="CM180" s="76">
        <v>1</v>
      </c>
      <c r="CN180" s="76" t="s">
        <v>234</v>
      </c>
      <c r="CP180" s="76">
        <v>360</v>
      </c>
      <c r="CQ180" s="76">
        <v>70</v>
      </c>
      <c r="CR180" s="76">
        <v>161</v>
      </c>
      <c r="CS180" s="76" t="s">
        <v>1752</v>
      </c>
      <c r="CV180" s="76" t="s">
        <v>341</v>
      </c>
      <c r="CX180" s="76" t="s">
        <v>342</v>
      </c>
      <c r="CY180" s="76" t="s">
        <v>170</v>
      </c>
      <c r="DD180" s="76">
        <v>1</v>
      </c>
      <c r="DE180" s="76" t="s">
        <v>344</v>
      </c>
      <c r="DG180" s="76">
        <v>130</v>
      </c>
      <c r="DJ180" s="76" t="s">
        <v>184</v>
      </c>
      <c r="DK180" s="76" t="s">
        <v>185</v>
      </c>
      <c r="DL180" s="76" t="s">
        <v>170</v>
      </c>
      <c r="DM180" s="76" t="s">
        <v>169</v>
      </c>
      <c r="DN180" s="76" t="s">
        <v>170</v>
      </c>
      <c r="DO180" s="76" t="s">
        <v>186</v>
      </c>
      <c r="DP180" s="76" t="s">
        <v>169</v>
      </c>
      <c r="DQ180" s="76" t="s">
        <v>198</v>
      </c>
      <c r="DS180" s="76" t="s">
        <v>2496</v>
      </c>
      <c r="DT180" s="76" t="s">
        <v>2497</v>
      </c>
      <c r="DU180" s="76" t="s">
        <v>2513</v>
      </c>
      <c r="DV180" s="76" t="s">
        <v>2514</v>
      </c>
      <c r="DZ180" s="79"/>
      <c r="EA180" s="101"/>
      <c r="EB180" s="96">
        <v>6</v>
      </c>
      <c r="EC180" s="76">
        <v>8</v>
      </c>
      <c r="ED180" s="79"/>
      <c r="EE180" s="96" t="s">
        <v>2682</v>
      </c>
      <c r="EF180" s="76">
        <v>4</v>
      </c>
      <c r="EH180" s="79"/>
      <c r="EI180" s="96"/>
      <c r="EM180" s="96"/>
      <c r="EP180" s="79"/>
      <c r="EQ180" s="96"/>
      <c r="ET180" s="79"/>
      <c r="EU180" s="96"/>
      <c r="EV180" s="79">
        <v>1500</v>
      </c>
      <c r="EW180" s="96">
        <v>0</v>
      </c>
      <c r="EX180" s="76">
        <v>0</v>
      </c>
      <c r="EY180" s="79">
        <v>0</v>
      </c>
      <c r="EZ180" s="102">
        <f t="shared" si="59"/>
        <v>187</v>
      </c>
      <c r="FA180" s="76">
        <v>2.5</v>
      </c>
      <c r="FB180" s="79"/>
      <c r="FC180" s="97">
        <v>430</v>
      </c>
      <c r="FD180" s="96">
        <v>30</v>
      </c>
      <c r="FE180" s="76">
        <v>33</v>
      </c>
      <c r="FF180" s="79">
        <v>32</v>
      </c>
      <c r="FG180" s="76">
        <v>197</v>
      </c>
      <c r="FH180" s="76">
        <v>174</v>
      </c>
      <c r="FI180" s="103">
        <v>187</v>
      </c>
      <c r="FJ180" s="104">
        <v>26.34</v>
      </c>
      <c r="FK180" s="105">
        <v>27.22</v>
      </c>
      <c r="FL180" s="79">
        <v>27</v>
      </c>
      <c r="FM180" s="76">
        <v>0.54400000000000004</v>
      </c>
      <c r="FN180" s="76">
        <v>0.55400000000000005</v>
      </c>
      <c r="FO180" s="79">
        <v>0.54900000000000004</v>
      </c>
      <c r="FP180" s="106">
        <v>0</v>
      </c>
      <c r="FQ180" s="107">
        <v>0</v>
      </c>
      <c r="FR180" s="107">
        <v>0</v>
      </c>
      <c r="FS180" s="108">
        <v>18.5</v>
      </c>
    </row>
    <row r="181" spans="1:190" s="76" customFormat="1" x14ac:dyDescent="0.35">
      <c r="A181" s="76">
        <v>2025</v>
      </c>
      <c r="B181" s="162" t="s">
        <v>299</v>
      </c>
      <c r="C181" s="162" t="s">
        <v>299</v>
      </c>
      <c r="D181" s="162" t="s">
        <v>2685</v>
      </c>
      <c r="E181" s="162" t="s">
        <v>301</v>
      </c>
      <c r="F181" s="162">
        <v>421</v>
      </c>
      <c r="G181" s="162">
        <v>3</v>
      </c>
      <c r="H181" s="162">
        <v>6</v>
      </c>
      <c r="I181" s="163" t="s">
        <v>192</v>
      </c>
      <c r="J181" s="96">
        <f t="shared" ref="J181:R181" si="84">J180</f>
        <v>21</v>
      </c>
      <c r="K181" s="76">
        <f t="shared" si="84"/>
        <v>23</v>
      </c>
      <c r="L181" s="76">
        <f t="shared" si="84"/>
        <v>22</v>
      </c>
      <c r="M181" s="76">
        <f t="shared" si="84"/>
        <v>26.1</v>
      </c>
      <c r="N181" s="76">
        <f t="shared" si="84"/>
        <v>32.5</v>
      </c>
      <c r="O181" s="76">
        <f t="shared" si="84"/>
        <v>28.637699999999999</v>
      </c>
      <c r="P181" s="76">
        <f t="shared" si="84"/>
        <v>20.570900000000002</v>
      </c>
      <c r="Q181" s="76">
        <f t="shared" si="84"/>
        <v>23.2195</v>
      </c>
      <c r="R181" s="76">
        <f t="shared" si="84"/>
        <v>21.683900000000001</v>
      </c>
      <c r="T181" s="76" t="str">
        <f>T180</f>
        <v>TC</v>
      </c>
      <c r="U181" s="76" t="str">
        <f>U180</f>
        <v>Turbocharged</v>
      </c>
      <c r="V181" s="76" t="str">
        <f>V180</f>
        <v>SA</v>
      </c>
      <c r="W181" s="76" t="str">
        <f>W180</f>
        <v>Semi-Automatic</v>
      </c>
      <c r="Y181" s="76">
        <f t="shared" ref="Y181:AD181" si="85">Y180</f>
        <v>8</v>
      </c>
      <c r="Z181" s="76" t="str">
        <f t="shared" si="85"/>
        <v>Y</v>
      </c>
      <c r="AA181" s="76" t="str">
        <f t="shared" si="85"/>
        <v>N</v>
      </c>
      <c r="AB181" s="76" t="str">
        <f t="shared" si="85"/>
        <v>A</v>
      </c>
      <c r="AC181" s="76" t="str">
        <f t="shared" si="85"/>
        <v>All Wheel Drive</v>
      </c>
      <c r="AD181" s="76">
        <f t="shared" si="85"/>
        <v>10</v>
      </c>
      <c r="AF181" s="76">
        <f>AF180</f>
        <v>403</v>
      </c>
      <c r="AG181" s="76" t="str">
        <f>AG180</f>
        <v>GP</v>
      </c>
      <c r="AH181" s="76" t="str">
        <f>AH180</f>
        <v>Gasoline (Premium Unleaded Recommended)</v>
      </c>
      <c r="AI181" s="76" t="str">
        <f>AI180</f>
        <v>MPG</v>
      </c>
      <c r="AJ181" s="79" t="str">
        <f>AJ180</f>
        <v>miles per gallon</v>
      </c>
      <c r="AK181" s="96" t="s">
        <v>940</v>
      </c>
      <c r="AL181" s="76" t="s">
        <v>941</v>
      </c>
      <c r="AR181" s="79"/>
      <c r="AS181" s="96">
        <v>2200</v>
      </c>
      <c r="AT181" s="79">
        <v>2200</v>
      </c>
      <c r="AU181" s="96">
        <v>51</v>
      </c>
      <c r="AV181" s="76">
        <v>53</v>
      </c>
      <c r="AW181" s="76">
        <v>52</v>
      </c>
      <c r="AX181" s="76">
        <v>72.5</v>
      </c>
      <c r="AY181" s="76">
        <v>75.3</v>
      </c>
      <c r="AZ181" s="76">
        <v>73.733800000000002</v>
      </c>
      <c r="BA181" s="76">
        <v>50.8277</v>
      </c>
      <c r="BB181" s="76">
        <v>52.683300000000003</v>
      </c>
      <c r="BC181" s="76">
        <v>51.646299999999997</v>
      </c>
      <c r="BD181" s="76">
        <v>27</v>
      </c>
      <c r="BE181" s="76" t="s">
        <v>1735</v>
      </c>
      <c r="BF181" s="76" t="s">
        <v>1736</v>
      </c>
      <c r="BG181" s="76" t="s">
        <v>175</v>
      </c>
      <c r="BH181" s="76" t="s">
        <v>176</v>
      </c>
      <c r="BI181" s="76">
        <v>2200</v>
      </c>
      <c r="BM181" s="79"/>
      <c r="BN181" s="98" t="s">
        <v>2493</v>
      </c>
      <c r="BO181" s="76">
        <v>2</v>
      </c>
      <c r="BP181" s="76">
        <v>2</v>
      </c>
      <c r="BQ181" s="76">
        <v>33</v>
      </c>
      <c r="BR181" s="76" t="s">
        <v>1497</v>
      </c>
      <c r="BT181" s="76" t="s">
        <v>2494</v>
      </c>
      <c r="BU181" s="99">
        <v>45580</v>
      </c>
      <c r="BV181" s="79">
        <v>35673</v>
      </c>
      <c r="BW181" s="120"/>
      <c r="BX181" s="96" t="s">
        <v>170</v>
      </c>
      <c r="BY181" s="76" t="s">
        <v>170</v>
      </c>
      <c r="CB181" s="76" t="s">
        <v>170</v>
      </c>
      <c r="CC181" s="76" t="s">
        <v>170</v>
      </c>
      <c r="CD181" s="76" t="s">
        <v>2680</v>
      </c>
      <c r="CE181" s="76" t="s">
        <v>170</v>
      </c>
      <c r="CG181" s="76" t="s">
        <v>169</v>
      </c>
      <c r="CH181" s="76" t="s">
        <v>314</v>
      </c>
      <c r="CI181" s="76" t="s">
        <v>169</v>
      </c>
      <c r="CJ181" s="76" t="s">
        <v>2681</v>
      </c>
      <c r="CK181" s="76" t="s">
        <v>233</v>
      </c>
      <c r="CM181" s="76">
        <v>1</v>
      </c>
      <c r="CN181" s="76" t="s">
        <v>234</v>
      </c>
      <c r="CP181" s="76">
        <v>360</v>
      </c>
      <c r="CQ181" s="76">
        <v>70</v>
      </c>
      <c r="CR181" s="76">
        <v>161</v>
      </c>
      <c r="CS181" s="76" t="s">
        <v>1752</v>
      </c>
      <c r="CV181" s="76" t="s">
        <v>341</v>
      </c>
      <c r="CX181" s="76" t="s">
        <v>342</v>
      </c>
      <c r="CY181" s="76" t="s">
        <v>170</v>
      </c>
      <c r="DD181" s="76">
        <v>1</v>
      </c>
      <c r="DE181" s="76" t="s">
        <v>344</v>
      </c>
      <c r="DG181" s="76">
        <v>130</v>
      </c>
      <c r="DJ181" s="76" t="s">
        <v>184</v>
      </c>
      <c r="DK181" s="76" t="s">
        <v>185</v>
      </c>
      <c r="DL181" s="76" t="s">
        <v>170</v>
      </c>
      <c r="DM181" s="76" t="s">
        <v>169</v>
      </c>
      <c r="DN181" s="76" t="s">
        <v>170</v>
      </c>
      <c r="DO181" s="76" t="s">
        <v>186</v>
      </c>
      <c r="DP181" s="76" t="s">
        <v>169</v>
      </c>
      <c r="DQ181" s="76" t="s">
        <v>198</v>
      </c>
      <c r="DS181" s="76" t="s">
        <v>2496</v>
      </c>
      <c r="DT181" s="76" t="s">
        <v>2497</v>
      </c>
      <c r="DU181" s="76" t="s">
        <v>2513</v>
      </c>
      <c r="DV181" s="76" t="s">
        <v>2514</v>
      </c>
      <c r="DZ181" s="79"/>
      <c r="EA181" s="101"/>
      <c r="EB181" s="96">
        <v>6</v>
      </c>
      <c r="EC181" s="76">
        <v>8</v>
      </c>
      <c r="ED181" s="79"/>
      <c r="EE181" s="96" t="s">
        <v>2682</v>
      </c>
      <c r="EF181" s="76">
        <v>4</v>
      </c>
      <c r="EH181" s="79"/>
      <c r="EI181" s="96"/>
      <c r="EM181" s="96"/>
      <c r="EP181" s="79"/>
      <c r="EQ181" s="96"/>
      <c r="ET181" s="79"/>
      <c r="EU181" s="96"/>
      <c r="EV181" s="79">
        <v>1500</v>
      </c>
      <c r="EW181" s="96">
        <v>433</v>
      </c>
      <c r="EX181" s="76">
        <v>384</v>
      </c>
      <c r="EY181" s="79">
        <v>411</v>
      </c>
      <c r="EZ181" s="102">
        <f t="shared" si="59"/>
        <v>187</v>
      </c>
      <c r="FA181" s="76">
        <v>2.5</v>
      </c>
      <c r="FB181" s="79"/>
      <c r="FC181" s="97">
        <v>430</v>
      </c>
      <c r="FD181" s="96">
        <v>30</v>
      </c>
      <c r="FE181" s="76">
        <v>33</v>
      </c>
      <c r="FF181" s="79">
        <v>32</v>
      </c>
      <c r="FG181" s="76">
        <v>197</v>
      </c>
      <c r="FH181" s="76">
        <v>174</v>
      </c>
      <c r="FI181" s="103">
        <v>187</v>
      </c>
      <c r="FJ181" s="167" t="s">
        <v>2631</v>
      </c>
      <c r="FK181" s="168"/>
      <c r="FL181" s="169"/>
      <c r="FM181" s="76">
        <v>0.54400000000000004</v>
      </c>
      <c r="FN181" s="76">
        <v>0.55400000000000005</v>
      </c>
      <c r="FO181" s="79">
        <v>0.54900000000000004</v>
      </c>
      <c r="FP181" s="106"/>
      <c r="FQ181" s="107"/>
      <c r="FR181" s="107"/>
      <c r="FS181" s="108">
        <v>18.5</v>
      </c>
    </row>
    <row r="182" spans="1:190" s="77" customFormat="1" x14ac:dyDescent="0.35">
      <c r="A182" s="76"/>
      <c r="E182" s="76"/>
      <c r="F182" s="76"/>
      <c r="G182" s="78"/>
      <c r="H182" s="76"/>
      <c r="I182" s="79"/>
      <c r="J182" s="80"/>
      <c r="K182" s="28"/>
      <c r="L182" s="28"/>
      <c r="M182" s="25" t="str">
        <f>_xlfn.CONCAT(A183," ",C183," ",D183)</f>
        <v>2025 Porsche Cayenne S E-Hybrid Coupe</v>
      </c>
      <c r="N182" s="28"/>
      <c r="O182" s="28"/>
      <c r="P182" s="28"/>
      <c r="Q182" s="28"/>
      <c r="R182" s="28"/>
      <c r="S182" s="28"/>
      <c r="T182" s="28"/>
      <c r="U182" s="28"/>
      <c r="V182" s="28"/>
      <c r="W182" s="28"/>
      <c r="X182" s="28"/>
      <c r="Y182" s="28"/>
      <c r="Z182" s="28"/>
      <c r="AA182" s="28"/>
      <c r="AB182" s="28"/>
      <c r="AC182" s="28"/>
      <c r="AD182" s="25" t="str">
        <f>$M182</f>
        <v>2025 Porsche Cayenne S E-Hybrid Coupe</v>
      </c>
      <c r="AE182" s="28"/>
      <c r="AF182" s="28"/>
      <c r="AG182" s="28"/>
      <c r="AH182" s="28"/>
      <c r="AI182" s="28"/>
      <c r="AJ182" s="81"/>
      <c r="AK182" s="82"/>
      <c r="AL182" s="2"/>
      <c r="AM182" s="2"/>
      <c r="AN182" s="2"/>
      <c r="AO182" s="2"/>
      <c r="AP182" s="2"/>
      <c r="AQ182" s="2"/>
      <c r="AR182" s="83"/>
      <c r="AS182" s="84"/>
      <c r="AT182" s="85" t="str">
        <f>$M182</f>
        <v>2025 Porsche Cayenne S E-Hybrid Coupe</v>
      </c>
      <c r="AU182" s="84"/>
      <c r="AV182" s="28"/>
      <c r="AW182" s="28"/>
      <c r="AX182" s="28"/>
      <c r="AY182" s="28"/>
      <c r="AZ182" s="28"/>
      <c r="BA182" s="28"/>
      <c r="BB182" s="28"/>
      <c r="BC182" s="28"/>
      <c r="BD182" s="28"/>
      <c r="BE182" s="28"/>
      <c r="BF182" s="28"/>
      <c r="BG182" s="28"/>
      <c r="BH182" s="28"/>
      <c r="BI182" s="25" t="str">
        <f>$M182</f>
        <v>2025 Porsche Cayenne S E-Hybrid Coupe</v>
      </c>
      <c r="BJ182" s="28"/>
      <c r="BK182" s="28"/>
      <c r="BL182" s="28"/>
      <c r="BM182" s="81"/>
      <c r="BN182" s="82"/>
      <c r="BO182" s="2"/>
      <c r="BP182" s="2"/>
      <c r="BQ182" s="2"/>
      <c r="BR182" s="2"/>
      <c r="BS182" s="2"/>
      <c r="BT182" s="86"/>
      <c r="BU182" s="2"/>
      <c r="BV182" s="83"/>
      <c r="BW182" s="121"/>
      <c r="BX182" s="84"/>
      <c r="BY182" s="25" t="str">
        <f>$M182</f>
        <v>2025 Porsche Cayenne S E-Hybrid Coupe</v>
      </c>
      <c r="BZ182" s="28"/>
      <c r="CA182" s="28"/>
      <c r="CB182" s="28"/>
      <c r="CC182" s="28"/>
      <c r="CD182" s="28"/>
      <c r="CE182" s="88"/>
      <c r="CF182" s="28"/>
      <c r="CG182" s="28"/>
      <c r="CH182" s="28"/>
      <c r="CI182" s="28"/>
      <c r="CJ182" s="28"/>
      <c r="CK182" s="28"/>
      <c r="CL182" s="28"/>
      <c r="CM182" s="28"/>
      <c r="CN182" s="28"/>
      <c r="CO182" s="25" t="str">
        <f>$M182</f>
        <v>2025 Porsche Cayenne S E-Hybrid Coupe</v>
      </c>
      <c r="CP182" s="28"/>
      <c r="CQ182" s="28"/>
      <c r="CR182" s="28"/>
      <c r="CS182" s="28"/>
      <c r="CT182" s="28"/>
      <c r="CU182" s="28"/>
      <c r="CV182" s="28"/>
      <c r="CW182" s="28"/>
      <c r="CX182" s="28"/>
      <c r="CY182" s="28"/>
      <c r="CZ182" s="28"/>
      <c r="DA182" s="28"/>
      <c r="DB182" s="28"/>
      <c r="DC182" s="28"/>
      <c r="DD182" s="28"/>
      <c r="DE182" s="28"/>
      <c r="DF182" s="25" t="str">
        <f>$M182</f>
        <v>2025 Porsche Cayenne S E-Hybrid Coupe</v>
      </c>
      <c r="DG182" s="28"/>
      <c r="DH182" s="28"/>
      <c r="DI182" s="28"/>
      <c r="DJ182" s="28"/>
      <c r="DK182" s="28"/>
      <c r="DL182" s="28"/>
      <c r="DM182" s="28"/>
      <c r="DN182" s="28"/>
      <c r="DO182" s="28"/>
      <c r="DP182" s="28"/>
      <c r="DQ182" s="28"/>
      <c r="DR182" s="25"/>
      <c r="DS182" s="25"/>
      <c r="DT182" s="25"/>
      <c r="DU182" s="25"/>
      <c r="DV182" s="25"/>
      <c r="DW182" s="25" t="str">
        <f>$M182</f>
        <v>2025 Porsche Cayenne S E-Hybrid Coupe</v>
      </c>
      <c r="DX182" s="25"/>
      <c r="DY182" s="25"/>
      <c r="DZ182" s="85"/>
      <c r="EA182" s="89"/>
      <c r="EB182" s="80"/>
      <c r="EC182" s="25"/>
      <c r="ED182" s="85"/>
      <c r="EE182" s="80"/>
      <c r="EF182" s="25"/>
      <c r="EG182" s="25"/>
      <c r="EH182" s="85"/>
      <c r="EI182" s="80"/>
      <c r="EK182" t="s">
        <v>2445</v>
      </c>
      <c r="EL182" s="25" t="str">
        <f>$M182</f>
        <v>2025 Porsche Cayenne S E-Hybrid Coupe</v>
      </c>
      <c r="EM182" s="80"/>
      <c r="EP182" s="75"/>
      <c r="EQ182" s="90"/>
      <c r="ET182" s="75"/>
      <c r="EU182" s="90"/>
      <c r="EV182" s="75"/>
      <c r="EW182" s="90"/>
      <c r="EY182" s="75"/>
      <c r="EZ182" s="102"/>
      <c r="FA182" s="25" t="str">
        <f>$M182</f>
        <v>2025 Porsche Cayenne S E-Hybrid Coupe</v>
      </c>
      <c r="FB182" s="75"/>
      <c r="FC182" s="91"/>
      <c r="FD182" s="80"/>
      <c r="FE182" s="25"/>
      <c r="FF182" s="85"/>
      <c r="FG182" s="80"/>
      <c r="FH182" s="25"/>
      <c r="FI182" s="85"/>
      <c r="FJ182" s="80"/>
      <c r="FK182" s="25"/>
      <c r="FL182" s="85"/>
      <c r="FM182" s="25" t="str">
        <f>$M182</f>
        <v>2025 Porsche Cayenne S E-Hybrid Coupe</v>
      </c>
      <c r="FN182" s="25"/>
      <c r="FO182" s="85"/>
      <c r="FP182" s="92"/>
      <c r="FQ182" s="93"/>
      <c r="FR182" s="94"/>
      <c r="FS182" s="95"/>
      <c r="FT182" s="25"/>
      <c r="FU182" s="25"/>
      <c r="FV182" s="25"/>
      <c r="FW182" s="25"/>
      <c r="FX182" s="25"/>
      <c r="FY182" s="25"/>
      <c r="FZ182" s="25"/>
      <c r="GA182" s="25"/>
      <c r="GB182" s="25"/>
      <c r="GC182" s="25"/>
      <c r="GD182" s="25"/>
      <c r="GE182" s="25"/>
      <c r="GF182" s="25"/>
      <c r="GG182" s="25"/>
      <c r="GH182" s="25"/>
    </row>
    <row r="183" spans="1:190" s="76" customFormat="1" x14ac:dyDescent="0.35">
      <c r="A183" s="76">
        <v>2025</v>
      </c>
      <c r="B183" s="76" t="s">
        <v>299</v>
      </c>
      <c r="C183" s="76" t="s">
        <v>299</v>
      </c>
      <c r="D183" s="76" t="s">
        <v>2686</v>
      </c>
      <c r="E183" s="76" t="s">
        <v>301</v>
      </c>
      <c r="F183" s="76">
        <v>422</v>
      </c>
      <c r="G183" s="78">
        <v>3</v>
      </c>
      <c r="H183" s="76">
        <v>6</v>
      </c>
      <c r="I183" s="79" t="s">
        <v>192</v>
      </c>
      <c r="J183" s="96">
        <v>21</v>
      </c>
      <c r="K183" s="76">
        <v>23</v>
      </c>
      <c r="L183" s="76">
        <v>22</v>
      </c>
      <c r="M183" s="76">
        <v>26.1</v>
      </c>
      <c r="N183" s="76">
        <v>32.5</v>
      </c>
      <c r="O183" s="76">
        <v>28.637699999999999</v>
      </c>
      <c r="P183" s="76">
        <v>20.570900000000002</v>
      </c>
      <c r="Q183" s="76">
        <v>23.2195</v>
      </c>
      <c r="R183" s="76">
        <v>21.683900000000001</v>
      </c>
      <c r="T183" s="76" t="s">
        <v>165</v>
      </c>
      <c r="U183" s="76" t="s">
        <v>166</v>
      </c>
      <c r="V183" s="76" t="s">
        <v>193</v>
      </c>
      <c r="W183" s="76" t="s">
        <v>194</v>
      </c>
      <c r="Y183" s="76">
        <v>8</v>
      </c>
      <c r="Z183" s="76" t="s">
        <v>169</v>
      </c>
      <c r="AA183" s="76" t="s">
        <v>170</v>
      </c>
      <c r="AB183" s="76" t="s">
        <v>167</v>
      </c>
      <c r="AC183" s="76" t="s">
        <v>213</v>
      </c>
      <c r="AD183" s="76">
        <v>10</v>
      </c>
      <c r="AF183" s="76">
        <v>403</v>
      </c>
      <c r="AG183" s="76" t="s">
        <v>173</v>
      </c>
      <c r="AH183" s="76" t="s">
        <v>174</v>
      </c>
      <c r="AI183" s="76" t="s">
        <v>175</v>
      </c>
      <c r="AJ183" s="79" t="s">
        <v>176</v>
      </c>
      <c r="AK183" s="96" t="s">
        <v>940</v>
      </c>
      <c r="AL183" s="76" t="s">
        <v>941</v>
      </c>
      <c r="AR183" s="79"/>
      <c r="AS183" s="96">
        <v>2200</v>
      </c>
      <c r="AT183" s="79">
        <v>2200</v>
      </c>
      <c r="AU183" s="96">
        <v>67</v>
      </c>
      <c r="AV183" s="76">
        <v>63</v>
      </c>
      <c r="AW183" s="76">
        <v>65</v>
      </c>
      <c r="AX183" s="76">
        <v>46.5</v>
      </c>
      <c r="AY183" s="76">
        <v>44.8</v>
      </c>
      <c r="AZ183" s="76">
        <v>45.734999999999999</v>
      </c>
      <c r="BA183" s="76">
        <v>66.748999999999995</v>
      </c>
      <c r="BB183" s="76">
        <v>62.747999999999998</v>
      </c>
      <c r="BC183" s="76">
        <v>64.948599999999999</v>
      </c>
      <c r="BD183" s="76">
        <v>27</v>
      </c>
      <c r="BE183" s="76" t="s">
        <v>1735</v>
      </c>
      <c r="BF183" s="76" t="s">
        <v>1736</v>
      </c>
      <c r="BG183" s="76" t="s">
        <v>1742</v>
      </c>
      <c r="BH183" s="76" t="s">
        <v>1743</v>
      </c>
      <c r="BI183" s="76">
        <v>2200</v>
      </c>
      <c r="BJ183" s="2"/>
      <c r="BK183" s="2"/>
      <c r="BL183" s="2"/>
      <c r="BM183" s="79"/>
      <c r="BN183" s="98" t="s">
        <v>2493</v>
      </c>
      <c r="BO183" s="76">
        <v>2</v>
      </c>
      <c r="BP183" s="76">
        <v>2</v>
      </c>
      <c r="BQ183" s="76">
        <v>33</v>
      </c>
      <c r="BR183" s="76" t="s">
        <v>1497</v>
      </c>
      <c r="BT183" s="76" t="s">
        <v>2494</v>
      </c>
      <c r="BU183" s="99">
        <v>45580</v>
      </c>
      <c r="BV183" s="79">
        <v>35674</v>
      </c>
      <c r="BW183" s="120"/>
      <c r="BX183" s="96" t="s">
        <v>170</v>
      </c>
      <c r="BY183" s="76" t="s">
        <v>170</v>
      </c>
      <c r="CB183" s="76" t="s">
        <v>170</v>
      </c>
      <c r="CC183" s="76" t="s">
        <v>170</v>
      </c>
      <c r="CD183" s="76" t="s">
        <v>2680</v>
      </c>
      <c r="CE183" s="76" t="s">
        <v>170</v>
      </c>
      <c r="CG183" s="76" t="s">
        <v>169</v>
      </c>
      <c r="CH183" s="76" t="s">
        <v>314</v>
      </c>
      <c r="CI183" s="76" t="s">
        <v>169</v>
      </c>
      <c r="CJ183" s="76" t="s">
        <v>2681</v>
      </c>
      <c r="CK183" s="76" t="s">
        <v>233</v>
      </c>
      <c r="CM183" s="76">
        <v>1</v>
      </c>
      <c r="CN183" s="76" t="s">
        <v>234</v>
      </c>
      <c r="CP183" s="76">
        <v>360</v>
      </c>
      <c r="CQ183" s="76">
        <v>70</v>
      </c>
      <c r="CR183" s="76">
        <v>161</v>
      </c>
      <c r="CS183" s="76" t="s">
        <v>1752</v>
      </c>
      <c r="CV183" s="76" t="s">
        <v>341</v>
      </c>
      <c r="CX183" s="76" t="s">
        <v>342</v>
      </c>
      <c r="CY183" s="76" t="s">
        <v>170</v>
      </c>
      <c r="DD183" s="76">
        <v>1</v>
      </c>
      <c r="DE183" s="76" t="s">
        <v>344</v>
      </c>
      <c r="DG183" s="76">
        <v>130</v>
      </c>
      <c r="DJ183" s="76" t="s">
        <v>184</v>
      </c>
      <c r="DK183" s="76" t="s">
        <v>185</v>
      </c>
      <c r="DL183" s="76" t="s">
        <v>170</v>
      </c>
      <c r="DM183" s="76" t="s">
        <v>169</v>
      </c>
      <c r="DN183" s="76" t="s">
        <v>170</v>
      </c>
      <c r="DO183" s="76" t="s">
        <v>186</v>
      </c>
      <c r="DP183" s="76" t="s">
        <v>169</v>
      </c>
      <c r="DQ183" s="76" t="s">
        <v>198</v>
      </c>
      <c r="DS183" s="76" t="s">
        <v>2496</v>
      </c>
      <c r="DT183" s="76" t="s">
        <v>2497</v>
      </c>
      <c r="DU183" s="76" t="s">
        <v>2513</v>
      </c>
      <c r="DV183" s="76" t="s">
        <v>2514</v>
      </c>
      <c r="DZ183" s="79"/>
      <c r="EA183" s="101"/>
      <c r="EB183" s="96">
        <v>6</v>
      </c>
      <c r="EC183" s="76">
        <v>8</v>
      </c>
      <c r="ED183" s="79"/>
      <c r="EE183" s="96" t="s">
        <v>2682</v>
      </c>
      <c r="EF183" s="76">
        <v>4</v>
      </c>
      <c r="EH183" s="79"/>
      <c r="EI183" s="96"/>
      <c r="EM183" s="96"/>
      <c r="EP183" s="79"/>
      <c r="EQ183" s="96"/>
      <c r="ET183" s="79"/>
      <c r="EU183" s="96"/>
      <c r="EV183" s="79">
        <v>1500</v>
      </c>
      <c r="EW183" s="96">
        <v>0</v>
      </c>
      <c r="EX183" s="76">
        <v>0</v>
      </c>
      <c r="EY183" s="79">
        <v>0</v>
      </c>
      <c r="EZ183" s="102">
        <f t="shared" si="59"/>
        <v>187</v>
      </c>
      <c r="FA183" s="76">
        <v>2.5</v>
      </c>
      <c r="FB183" s="79"/>
      <c r="FC183" s="97">
        <v>430</v>
      </c>
      <c r="FD183" s="96">
        <v>30</v>
      </c>
      <c r="FE183" s="76">
        <v>33</v>
      </c>
      <c r="FF183" s="79">
        <v>32</v>
      </c>
      <c r="FG183" s="76">
        <v>197</v>
      </c>
      <c r="FH183" s="76">
        <v>174</v>
      </c>
      <c r="FI183" s="103">
        <v>187</v>
      </c>
      <c r="FJ183" s="104">
        <v>26.34</v>
      </c>
      <c r="FK183" s="105">
        <v>27.22</v>
      </c>
      <c r="FL183" s="79">
        <v>27</v>
      </c>
      <c r="FM183" s="76">
        <v>0.54400000000000004</v>
      </c>
      <c r="FN183" s="76">
        <v>0.55400000000000005</v>
      </c>
      <c r="FO183" s="79">
        <v>0.54900000000000004</v>
      </c>
      <c r="FP183" s="106">
        <v>0</v>
      </c>
      <c r="FQ183" s="107">
        <v>0</v>
      </c>
      <c r="FR183" s="107">
        <v>0</v>
      </c>
      <c r="FS183" s="108">
        <v>18.5</v>
      </c>
    </row>
    <row r="184" spans="1:190" s="76" customFormat="1" x14ac:dyDescent="0.35">
      <c r="A184" s="76">
        <v>2025</v>
      </c>
      <c r="B184" s="162" t="s">
        <v>299</v>
      </c>
      <c r="C184" s="162" t="s">
        <v>299</v>
      </c>
      <c r="D184" s="162" t="s">
        <v>2686</v>
      </c>
      <c r="E184" s="162" t="s">
        <v>301</v>
      </c>
      <c r="F184" s="162">
        <v>422</v>
      </c>
      <c r="G184" s="162">
        <v>3</v>
      </c>
      <c r="H184" s="162">
        <v>6</v>
      </c>
      <c r="I184" s="163" t="s">
        <v>192</v>
      </c>
      <c r="J184" s="96">
        <f t="shared" ref="J184:R184" si="86">J183</f>
        <v>21</v>
      </c>
      <c r="K184" s="76">
        <f t="shared" si="86"/>
        <v>23</v>
      </c>
      <c r="L184" s="76">
        <f t="shared" si="86"/>
        <v>22</v>
      </c>
      <c r="M184" s="76">
        <f t="shared" si="86"/>
        <v>26.1</v>
      </c>
      <c r="N184" s="76">
        <f t="shared" si="86"/>
        <v>32.5</v>
      </c>
      <c r="O184" s="76">
        <f t="shared" si="86"/>
        <v>28.637699999999999</v>
      </c>
      <c r="P184" s="76">
        <f t="shared" si="86"/>
        <v>20.570900000000002</v>
      </c>
      <c r="Q184" s="76">
        <f t="shared" si="86"/>
        <v>23.2195</v>
      </c>
      <c r="R184" s="76">
        <f t="shared" si="86"/>
        <v>21.683900000000001</v>
      </c>
      <c r="T184" s="76" t="str">
        <f>T183</f>
        <v>TC</v>
      </c>
      <c r="U184" s="76" t="str">
        <f>U183</f>
        <v>Turbocharged</v>
      </c>
      <c r="V184" s="76" t="str">
        <f>V183</f>
        <v>SA</v>
      </c>
      <c r="W184" s="76" t="str">
        <f>W183</f>
        <v>Semi-Automatic</v>
      </c>
      <c r="Y184" s="76">
        <f t="shared" ref="Y184:AD184" si="87">Y183</f>
        <v>8</v>
      </c>
      <c r="Z184" s="76" t="str">
        <f t="shared" si="87"/>
        <v>Y</v>
      </c>
      <c r="AA184" s="76" t="str">
        <f t="shared" si="87"/>
        <v>N</v>
      </c>
      <c r="AB184" s="76" t="str">
        <f t="shared" si="87"/>
        <v>A</v>
      </c>
      <c r="AC184" s="76" t="str">
        <f t="shared" si="87"/>
        <v>All Wheel Drive</v>
      </c>
      <c r="AD184" s="76">
        <f t="shared" si="87"/>
        <v>10</v>
      </c>
      <c r="AF184" s="76">
        <f>AF183</f>
        <v>403</v>
      </c>
      <c r="AG184" s="76" t="str">
        <f>AG183</f>
        <v>GP</v>
      </c>
      <c r="AH184" s="76" t="str">
        <f>AH183</f>
        <v>Gasoline (Premium Unleaded Recommended)</v>
      </c>
      <c r="AI184" s="76" t="str">
        <f>AI183</f>
        <v>MPG</v>
      </c>
      <c r="AJ184" s="79" t="str">
        <f>AJ183</f>
        <v>miles per gallon</v>
      </c>
      <c r="AK184" s="96" t="s">
        <v>940</v>
      </c>
      <c r="AL184" s="76" t="s">
        <v>941</v>
      </c>
      <c r="AR184" s="79"/>
      <c r="AS184" s="96">
        <v>2200</v>
      </c>
      <c r="AT184" s="79">
        <v>2200</v>
      </c>
      <c r="AU184" s="96">
        <v>51</v>
      </c>
      <c r="AV184" s="76">
        <v>53</v>
      </c>
      <c r="AW184" s="76">
        <v>52</v>
      </c>
      <c r="AX184" s="76">
        <v>72.5</v>
      </c>
      <c r="AY184" s="76">
        <v>75.3</v>
      </c>
      <c r="AZ184" s="76">
        <v>73.733800000000002</v>
      </c>
      <c r="BA184" s="76">
        <v>50.8277</v>
      </c>
      <c r="BB184" s="76">
        <v>52.683300000000003</v>
      </c>
      <c r="BC184" s="76">
        <v>51.646299999999997</v>
      </c>
      <c r="BD184" s="76">
        <v>27</v>
      </c>
      <c r="BE184" s="76" t="s">
        <v>1735</v>
      </c>
      <c r="BF184" s="76" t="s">
        <v>1736</v>
      </c>
      <c r="BG184" s="76" t="s">
        <v>175</v>
      </c>
      <c r="BH184" s="76" t="s">
        <v>176</v>
      </c>
      <c r="BI184" s="76">
        <v>2200</v>
      </c>
      <c r="BM184" s="79"/>
      <c r="BN184" s="98" t="s">
        <v>2493</v>
      </c>
      <c r="BO184" s="76">
        <v>2</v>
      </c>
      <c r="BP184" s="76">
        <v>2</v>
      </c>
      <c r="BQ184" s="76">
        <v>33</v>
      </c>
      <c r="BR184" s="76" t="s">
        <v>1497</v>
      </c>
      <c r="BT184" s="76" t="s">
        <v>2494</v>
      </c>
      <c r="BU184" s="99">
        <v>45580</v>
      </c>
      <c r="BV184" s="79">
        <v>35674</v>
      </c>
      <c r="BW184" s="120"/>
      <c r="BX184" s="96" t="s">
        <v>170</v>
      </c>
      <c r="BY184" s="76" t="s">
        <v>170</v>
      </c>
      <c r="CB184" s="76" t="s">
        <v>170</v>
      </c>
      <c r="CC184" s="76" t="s">
        <v>170</v>
      </c>
      <c r="CD184" s="76" t="s">
        <v>2680</v>
      </c>
      <c r="CE184" s="76" t="s">
        <v>170</v>
      </c>
      <c r="CG184" s="76" t="s">
        <v>169</v>
      </c>
      <c r="CH184" s="76" t="s">
        <v>314</v>
      </c>
      <c r="CI184" s="76" t="s">
        <v>169</v>
      </c>
      <c r="CJ184" s="76" t="s">
        <v>2681</v>
      </c>
      <c r="CK184" s="76" t="s">
        <v>233</v>
      </c>
      <c r="CM184" s="76">
        <v>1</v>
      </c>
      <c r="CN184" s="76" t="s">
        <v>234</v>
      </c>
      <c r="CP184" s="76">
        <v>360</v>
      </c>
      <c r="CQ184" s="76">
        <v>70</v>
      </c>
      <c r="CR184" s="76">
        <v>161</v>
      </c>
      <c r="CS184" s="76" t="s">
        <v>1752</v>
      </c>
      <c r="CV184" s="76" t="s">
        <v>341</v>
      </c>
      <c r="CX184" s="76" t="s">
        <v>342</v>
      </c>
      <c r="CY184" s="76" t="s">
        <v>170</v>
      </c>
      <c r="DD184" s="76">
        <v>1</v>
      </c>
      <c r="DE184" s="76" t="s">
        <v>344</v>
      </c>
      <c r="DG184" s="76">
        <v>130</v>
      </c>
      <c r="DJ184" s="76" t="s">
        <v>184</v>
      </c>
      <c r="DK184" s="76" t="s">
        <v>185</v>
      </c>
      <c r="DL184" s="76" t="s">
        <v>170</v>
      </c>
      <c r="DM184" s="76" t="s">
        <v>169</v>
      </c>
      <c r="DN184" s="76" t="s">
        <v>170</v>
      </c>
      <c r="DO184" s="76" t="s">
        <v>186</v>
      </c>
      <c r="DP184" s="76" t="s">
        <v>169</v>
      </c>
      <c r="DQ184" s="76" t="s">
        <v>198</v>
      </c>
      <c r="DS184" s="76" t="s">
        <v>2496</v>
      </c>
      <c r="DT184" s="76" t="s">
        <v>2497</v>
      </c>
      <c r="DU184" s="76" t="s">
        <v>2513</v>
      </c>
      <c r="DV184" s="76" t="s">
        <v>2514</v>
      </c>
      <c r="DZ184" s="79"/>
      <c r="EA184" s="101"/>
      <c r="EB184" s="96">
        <v>6</v>
      </c>
      <c r="EC184" s="76">
        <v>8</v>
      </c>
      <c r="ED184" s="79"/>
      <c r="EE184" s="96" t="s">
        <v>2682</v>
      </c>
      <c r="EF184" s="76">
        <v>4</v>
      </c>
      <c r="EH184" s="79"/>
      <c r="EI184" s="96"/>
      <c r="EM184" s="96"/>
      <c r="EP184" s="79"/>
      <c r="EQ184" s="96"/>
      <c r="ET184" s="79"/>
      <c r="EU184" s="96"/>
      <c r="EV184" s="79">
        <v>1500</v>
      </c>
      <c r="EW184" s="96">
        <v>433</v>
      </c>
      <c r="EX184" s="76">
        <v>384</v>
      </c>
      <c r="EY184" s="79">
        <v>411</v>
      </c>
      <c r="EZ184" s="102">
        <f t="shared" si="59"/>
        <v>187</v>
      </c>
      <c r="FA184" s="76">
        <v>2.5</v>
      </c>
      <c r="FB184" s="79"/>
      <c r="FC184" s="97">
        <v>430</v>
      </c>
      <c r="FD184" s="96">
        <v>30</v>
      </c>
      <c r="FE184" s="76">
        <v>33</v>
      </c>
      <c r="FF184" s="79">
        <v>32</v>
      </c>
      <c r="FG184" s="76">
        <v>197</v>
      </c>
      <c r="FH184" s="76">
        <v>174</v>
      </c>
      <c r="FI184" s="103">
        <v>187</v>
      </c>
      <c r="FJ184" s="167" t="s">
        <v>2631</v>
      </c>
      <c r="FK184" s="168"/>
      <c r="FL184" s="169"/>
      <c r="FM184" s="76">
        <v>0.54400000000000004</v>
      </c>
      <c r="FN184" s="76">
        <v>0.55400000000000005</v>
      </c>
      <c r="FO184" s="79">
        <v>0.54900000000000004</v>
      </c>
      <c r="FP184" s="106"/>
      <c r="FQ184" s="107"/>
      <c r="FR184" s="107"/>
      <c r="FS184" s="108">
        <v>18.5</v>
      </c>
    </row>
    <row r="185" spans="1:190" s="77" customFormat="1" x14ac:dyDescent="0.35">
      <c r="A185" s="76"/>
      <c r="E185" s="76"/>
      <c r="F185" s="76"/>
      <c r="G185" s="78"/>
      <c r="H185" s="76"/>
      <c r="I185" s="79"/>
      <c r="J185" s="80"/>
      <c r="K185" s="28"/>
      <c r="L185" s="28"/>
      <c r="M185" s="25" t="str">
        <f>_xlfn.CONCAT(A186," ",C186," ",D186)</f>
        <v>2025 Porsche Cayenne Turbo E-Hybrid</v>
      </c>
      <c r="N185" s="28"/>
      <c r="O185" s="28"/>
      <c r="P185" s="28"/>
      <c r="Q185" s="28"/>
      <c r="R185" s="28"/>
      <c r="S185" s="28"/>
      <c r="T185" s="28"/>
      <c r="U185" s="28"/>
      <c r="V185" s="28"/>
      <c r="W185" s="28"/>
      <c r="X185" s="28"/>
      <c r="Y185" s="28"/>
      <c r="Z185" s="28"/>
      <c r="AA185" s="28"/>
      <c r="AB185" s="28"/>
      <c r="AC185" s="28"/>
      <c r="AD185" s="25" t="str">
        <f>$M185</f>
        <v>2025 Porsche Cayenne Turbo E-Hybrid</v>
      </c>
      <c r="AE185" s="28"/>
      <c r="AF185" s="28"/>
      <c r="AG185" s="28"/>
      <c r="AH185" s="28"/>
      <c r="AI185" s="28"/>
      <c r="AJ185" s="81"/>
      <c r="AK185" s="82"/>
      <c r="AL185" s="2"/>
      <c r="AM185" s="2"/>
      <c r="AN185" s="2"/>
      <c r="AO185" s="2"/>
      <c r="AP185" s="2"/>
      <c r="AQ185" s="2"/>
      <c r="AR185" s="83"/>
      <c r="AS185" s="84"/>
      <c r="AT185" s="85" t="str">
        <f>$M185</f>
        <v>2025 Porsche Cayenne Turbo E-Hybrid</v>
      </c>
      <c r="AU185" s="84"/>
      <c r="AV185" s="28"/>
      <c r="AW185" s="28"/>
      <c r="AX185" s="28"/>
      <c r="AY185" s="28"/>
      <c r="AZ185" s="28"/>
      <c r="BA185" s="28"/>
      <c r="BB185" s="28"/>
      <c r="BC185" s="28"/>
      <c r="BD185" s="28"/>
      <c r="BE185" s="28"/>
      <c r="BF185" s="28"/>
      <c r="BG185" s="28"/>
      <c r="BH185" s="28"/>
      <c r="BI185" s="25" t="str">
        <f>$M185</f>
        <v>2025 Porsche Cayenne Turbo E-Hybrid</v>
      </c>
      <c r="BJ185" s="28"/>
      <c r="BK185" s="28"/>
      <c r="BL185" s="28"/>
      <c r="BM185" s="81"/>
      <c r="BN185" s="82"/>
      <c r="BO185" s="2"/>
      <c r="BP185" s="2"/>
      <c r="BQ185" s="2"/>
      <c r="BR185" s="2"/>
      <c r="BS185" s="2"/>
      <c r="BT185" s="86"/>
      <c r="BU185" s="2"/>
      <c r="BV185" s="83"/>
      <c r="BW185" s="121"/>
      <c r="BX185" s="84"/>
      <c r="BY185" s="25" t="str">
        <f>$M185</f>
        <v>2025 Porsche Cayenne Turbo E-Hybrid</v>
      </c>
      <c r="BZ185" s="28"/>
      <c r="CA185" s="28"/>
      <c r="CB185" s="28"/>
      <c r="CC185" s="28"/>
      <c r="CD185" s="28"/>
      <c r="CE185" s="88"/>
      <c r="CF185" s="28"/>
      <c r="CG185" s="28"/>
      <c r="CH185" s="28"/>
      <c r="CI185" s="28"/>
      <c r="CJ185" s="28"/>
      <c r="CK185" s="28"/>
      <c r="CL185" s="28"/>
      <c r="CM185" s="28"/>
      <c r="CN185" s="28"/>
      <c r="CO185" s="25" t="str">
        <f>$M185</f>
        <v>2025 Porsche Cayenne Turbo E-Hybrid</v>
      </c>
      <c r="CP185" s="28"/>
      <c r="CQ185" s="28"/>
      <c r="CR185" s="28"/>
      <c r="CS185" s="28"/>
      <c r="CT185" s="28"/>
      <c r="CU185" s="28"/>
      <c r="CV185" s="28"/>
      <c r="CW185" s="28"/>
      <c r="CX185" s="28"/>
      <c r="CY185" s="28"/>
      <c r="CZ185" s="28"/>
      <c r="DA185" s="28"/>
      <c r="DB185" s="28"/>
      <c r="DC185" s="28"/>
      <c r="DD185" s="28"/>
      <c r="DE185" s="28"/>
      <c r="DF185" s="25" t="str">
        <f>$M185</f>
        <v>2025 Porsche Cayenne Turbo E-Hybrid</v>
      </c>
      <c r="DG185" s="28"/>
      <c r="DH185" s="28"/>
      <c r="DI185" s="28"/>
      <c r="DJ185" s="28"/>
      <c r="DK185" s="28"/>
      <c r="DL185" s="28"/>
      <c r="DM185" s="28"/>
      <c r="DN185" s="28"/>
      <c r="DO185" s="28"/>
      <c r="DP185" s="28"/>
      <c r="DQ185" s="28"/>
      <c r="DR185" s="25"/>
      <c r="DS185" s="25"/>
      <c r="DT185" s="25"/>
      <c r="DU185" s="25"/>
      <c r="DV185" s="25"/>
      <c r="DW185" s="25" t="str">
        <f>$M185</f>
        <v>2025 Porsche Cayenne Turbo E-Hybrid</v>
      </c>
      <c r="DX185" s="25"/>
      <c r="DY185" s="25"/>
      <c r="DZ185" s="85"/>
      <c r="EA185" s="89"/>
      <c r="EB185" s="80"/>
      <c r="EC185" s="25"/>
      <c r="ED185" s="85"/>
      <c r="EE185" s="80"/>
      <c r="EF185" s="25"/>
      <c r="EG185" s="25"/>
      <c r="EH185" s="85"/>
      <c r="EI185" s="80"/>
      <c r="EK185" t="s">
        <v>2445</v>
      </c>
      <c r="EL185" s="25" t="str">
        <f>$M185</f>
        <v>2025 Porsche Cayenne Turbo E-Hybrid</v>
      </c>
      <c r="EM185" s="80"/>
      <c r="EP185" s="75"/>
      <c r="EQ185" s="90"/>
      <c r="ET185" s="75"/>
      <c r="EU185" s="90"/>
      <c r="EV185" s="75"/>
      <c r="EW185" s="90"/>
      <c r="EY185" s="75"/>
      <c r="EZ185" s="102"/>
      <c r="FA185" s="25" t="str">
        <f>$M185</f>
        <v>2025 Porsche Cayenne Turbo E-Hybrid</v>
      </c>
      <c r="FB185" s="75"/>
      <c r="FC185" s="91"/>
      <c r="FD185" s="80"/>
      <c r="FE185" s="25"/>
      <c r="FF185" s="85"/>
      <c r="FG185" s="80"/>
      <c r="FH185" s="25"/>
      <c r="FI185" s="85"/>
      <c r="FJ185" s="80"/>
      <c r="FK185" s="25"/>
      <c r="FL185" s="85"/>
      <c r="FM185" s="25" t="str">
        <f>$M185</f>
        <v>2025 Porsche Cayenne Turbo E-Hybrid</v>
      </c>
      <c r="FN185" s="25"/>
      <c r="FO185" s="85"/>
      <c r="FP185" s="92"/>
      <c r="FQ185" s="93"/>
      <c r="FR185" s="94"/>
      <c r="FS185" s="95"/>
      <c r="FT185" s="25"/>
      <c r="FU185" s="25"/>
      <c r="FV185" s="25"/>
      <c r="FW185" s="25"/>
      <c r="FX185" s="25"/>
      <c r="FY185" s="25"/>
      <c r="FZ185" s="25"/>
      <c r="GA185" s="25"/>
      <c r="GB185" s="25"/>
      <c r="GC185" s="25"/>
      <c r="GD185" s="25"/>
      <c r="GE185" s="25"/>
      <c r="GF185" s="25"/>
      <c r="GG185" s="25"/>
      <c r="GH185" s="25"/>
    </row>
    <row r="186" spans="1:190" s="76" customFormat="1" x14ac:dyDescent="0.35">
      <c r="A186" s="76">
        <v>2025</v>
      </c>
      <c r="B186" s="76" t="s">
        <v>299</v>
      </c>
      <c r="C186" s="76" t="s">
        <v>299</v>
      </c>
      <c r="D186" s="76" t="s">
        <v>2687</v>
      </c>
      <c r="E186" s="76" t="s">
        <v>301</v>
      </c>
      <c r="F186" s="76">
        <v>447</v>
      </c>
      <c r="G186" s="78">
        <v>4</v>
      </c>
      <c r="H186" s="76">
        <v>8</v>
      </c>
      <c r="I186" s="79" t="s">
        <v>192</v>
      </c>
      <c r="J186" s="96">
        <v>21</v>
      </c>
      <c r="K186" s="76">
        <v>23</v>
      </c>
      <c r="L186" s="76">
        <v>22</v>
      </c>
      <c r="M186" s="76">
        <v>27</v>
      </c>
      <c r="N186" s="76">
        <v>32.1</v>
      </c>
      <c r="O186" s="76">
        <v>29.1126</v>
      </c>
      <c r="P186" s="76">
        <v>21.2834</v>
      </c>
      <c r="Q186" s="76">
        <v>22.588100000000001</v>
      </c>
      <c r="R186" s="76">
        <v>21.851400000000002</v>
      </c>
      <c r="T186" s="76" t="s">
        <v>165</v>
      </c>
      <c r="U186" s="76" t="s">
        <v>166</v>
      </c>
      <c r="V186" s="76" t="s">
        <v>193</v>
      </c>
      <c r="W186" s="76" t="s">
        <v>194</v>
      </c>
      <c r="Y186" s="76">
        <v>8</v>
      </c>
      <c r="Z186" s="76" t="s">
        <v>169</v>
      </c>
      <c r="AA186" s="76" t="s">
        <v>170</v>
      </c>
      <c r="AB186" s="76" t="s">
        <v>167</v>
      </c>
      <c r="AC186" s="76" t="s">
        <v>213</v>
      </c>
      <c r="AD186" s="76">
        <v>10</v>
      </c>
      <c r="AF186" s="76">
        <v>362</v>
      </c>
      <c r="AG186" s="76" t="s">
        <v>173</v>
      </c>
      <c r="AH186" s="76" t="s">
        <v>174</v>
      </c>
      <c r="AI186" s="76" t="s">
        <v>175</v>
      </c>
      <c r="AJ186" s="79" t="s">
        <v>176</v>
      </c>
      <c r="AK186" s="96" t="s">
        <v>940</v>
      </c>
      <c r="AL186" s="76" t="s">
        <v>941</v>
      </c>
      <c r="AR186" s="79"/>
      <c r="AS186" s="96">
        <v>2450</v>
      </c>
      <c r="AT186" s="79">
        <v>2450</v>
      </c>
      <c r="AU186" s="96">
        <v>73</v>
      </c>
      <c r="AV186" s="76">
        <v>70</v>
      </c>
      <c r="AW186" s="76">
        <v>72</v>
      </c>
      <c r="AX186" s="76">
        <v>51.9</v>
      </c>
      <c r="AY186" s="76">
        <v>49.8</v>
      </c>
      <c r="AZ186" s="76">
        <v>50.954999999999998</v>
      </c>
      <c r="BA186" s="76">
        <v>72.963999999999999</v>
      </c>
      <c r="BB186" s="76">
        <v>70.103999999999999</v>
      </c>
      <c r="BC186" s="76">
        <v>71.677000000000007</v>
      </c>
      <c r="BD186" s="76">
        <v>24</v>
      </c>
      <c r="BE186" s="76" t="s">
        <v>1735</v>
      </c>
      <c r="BF186" s="76" t="s">
        <v>1736</v>
      </c>
      <c r="BG186" s="76" t="s">
        <v>1742</v>
      </c>
      <c r="BH186" s="76" t="s">
        <v>1743</v>
      </c>
      <c r="BI186" s="76">
        <v>2450</v>
      </c>
      <c r="BJ186" s="2"/>
      <c r="BK186" s="2"/>
      <c r="BL186" s="2"/>
      <c r="BM186" s="79"/>
      <c r="BN186" s="98" t="s">
        <v>2493</v>
      </c>
      <c r="BO186" s="76">
        <v>2</v>
      </c>
      <c r="BP186" s="76">
        <v>2</v>
      </c>
      <c r="BQ186" s="76">
        <v>33</v>
      </c>
      <c r="BR186" s="76" t="s">
        <v>1497</v>
      </c>
      <c r="BT186" s="76" t="s">
        <v>2494</v>
      </c>
      <c r="BU186" s="99">
        <v>45596</v>
      </c>
      <c r="BV186" s="79">
        <v>35790</v>
      </c>
      <c r="BW186" s="120"/>
      <c r="BX186" s="96" t="s">
        <v>170</v>
      </c>
      <c r="BY186" s="76" t="s">
        <v>170</v>
      </c>
      <c r="CB186" s="76" t="s">
        <v>170</v>
      </c>
      <c r="CC186" s="76" t="s">
        <v>170</v>
      </c>
      <c r="CE186" s="76" t="s">
        <v>170</v>
      </c>
      <c r="CG186" s="76" t="s">
        <v>169</v>
      </c>
      <c r="CH186" s="76" t="s">
        <v>314</v>
      </c>
      <c r="CI186" s="76" t="s">
        <v>169</v>
      </c>
      <c r="CJ186" s="76" t="s">
        <v>303</v>
      </c>
      <c r="CK186" s="76" t="s">
        <v>233</v>
      </c>
      <c r="CM186" s="76">
        <v>1</v>
      </c>
      <c r="CN186" s="76" t="s">
        <v>234</v>
      </c>
      <c r="CP186" s="76">
        <v>360</v>
      </c>
      <c r="CQ186" s="76">
        <v>70</v>
      </c>
      <c r="CR186" s="76">
        <v>161</v>
      </c>
      <c r="CS186" s="76" t="s">
        <v>1752</v>
      </c>
      <c r="CV186" s="76" t="s">
        <v>341</v>
      </c>
      <c r="CX186" s="76" t="s">
        <v>342</v>
      </c>
      <c r="CY186" s="76" t="s">
        <v>170</v>
      </c>
      <c r="DC186" s="76" t="s">
        <v>2688</v>
      </c>
      <c r="DD186" s="76">
        <v>1</v>
      </c>
      <c r="DE186" s="76" t="s">
        <v>344</v>
      </c>
      <c r="DG186" s="76">
        <v>130</v>
      </c>
      <c r="DJ186" s="76" t="s">
        <v>184</v>
      </c>
      <c r="DK186" s="76" t="s">
        <v>185</v>
      </c>
      <c r="DL186" s="76" t="s">
        <v>170</v>
      </c>
      <c r="DM186" s="76" t="s">
        <v>169</v>
      </c>
      <c r="DN186" s="76" t="s">
        <v>170</v>
      </c>
      <c r="DO186" s="76" t="s">
        <v>186</v>
      </c>
      <c r="DP186" s="76" t="s">
        <v>169</v>
      </c>
      <c r="DQ186" s="76" t="s">
        <v>198</v>
      </c>
      <c r="DS186" s="76" t="s">
        <v>2496</v>
      </c>
      <c r="DT186" s="76" t="s">
        <v>2497</v>
      </c>
      <c r="DU186" s="76" t="s">
        <v>2513</v>
      </c>
      <c r="DV186" s="76" t="s">
        <v>2514</v>
      </c>
      <c r="DZ186" s="79"/>
      <c r="EA186" s="101"/>
      <c r="EB186" s="96">
        <v>5</v>
      </c>
      <c r="EC186" s="76">
        <v>7</v>
      </c>
      <c r="ED186" s="79"/>
      <c r="EE186" s="96" t="s">
        <v>2689</v>
      </c>
      <c r="EF186" s="76">
        <v>4</v>
      </c>
      <c r="EH186" s="79"/>
      <c r="EI186" s="96"/>
      <c r="EM186" s="96"/>
      <c r="EP186" s="79"/>
      <c r="EQ186" s="96"/>
      <c r="ET186" s="79"/>
      <c r="EU186" s="96"/>
      <c r="EV186" s="79">
        <v>2750</v>
      </c>
      <c r="EW186" s="96">
        <v>0</v>
      </c>
      <c r="EX186" s="76">
        <v>0</v>
      </c>
      <c r="EY186" s="79">
        <v>0</v>
      </c>
      <c r="EZ186" s="102">
        <f t="shared" si="59"/>
        <v>224</v>
      </c>
      <c r="FA186" s="76">
        <v>2.5</v>
      </c>
      <c r="FB186" s="79"/>
      <c r="FC186" s="97">
        <v>390</v>
      </c>
      <c r="FD186" s="96">
        <v>26</v>
      </c>
      <c r="FE186" s="76">
        <v>29</v>
      </c>
      <c r="FF186" s="79">
        <v>27</v>
      </c>
      <c r="FG186" s="76">
        <v>235</v>
      </c>
      <c r="FH186" s="76">
        <v>210</v>
      </c>
      <c r="FI186" s="103">
        <v>224</v>
      </c>
      <c r="FJ186" s="104">
        <v>24.3</v>
      </c>
      <c r="FK186" s="105">
        <v>24.63</v>
      </c>
      <c r="FL186" s="79">
        <v>24</v>
      </c>
      <c r="FM186" s="76">
        <v>0.51800000000000002</v>
      </c>
      <c r="FN186" s="76">
        <v>0.52200000000000002</v>
      </c>
      <c r="FO186" s="79">
        <v>0.52</v>
      </c>
      <c r="FP186" s="106">
        <v>0</v>
      </c>
      <c r="FQ186" s="107">
        <v>0</v>
      </c>
      <c r="FR186" s="107">
        <v>0</v>
      </c>
      <c r="FS186" s="108">
        <v>18.5</v>
      </c>
    </row>
    <row r="187" spans="1:190" s="76" customFormat="1" x14ac:dyDescent="0.35">
      <c r="A187" s="76">
        <v>2025</v>
      </c>
      <c r="B187" s="162" t="s">
        <v>299</v>
      </c>
      <c r="C187" s="162" t="s">
        <v>299</v>
      </c>
      <c r="D187" s="162" t="s">
        <v>2687</v>
      </c>
      <c r="E187" s="162" t="s">
        <v>301</v>
      </c>
      <c r="F187" s="162">
        <v>447</v>
      </c>
      <c r="G187" s="162">
        <v>4</v>
      </c>
      <c r="H187" s="162">
        <v>8</v>
      </c>
      <c r="I187" s="163" t="s">
        <v>192</v>
      </c>
      <c r="J187" s="96">
        <f>J186</f>
        <v>21</v>
      </c>
      <c r="K187" s="76">
        <f t="shared" ref="K187:R187" si="88">K186</f>
        <v>23</v>
      </c>
      <c r="L187" s="76">
        <f t="shared" si="88"/>
        <v>22</v>
      </c>
      <c r="M187" s="76">
        <f t="shared" si="88"/>
        <v>27</v>
      </c>
      <c r="N187" s="76">
        <f t="shared" si="88"/>
        <v>32.1</v>
      </c>
      <c r="O187" s="76">
        <f t="shared" si="88"/>
        <v>29.1126</v>
      </c>
      <c r="P187" s="76">
        <f t="shared" si="88"/>
        <v>21.2834</v>
      </c>
      <c r="Q187" s="76">
        <f t="shared" si="88"/>
        <v>22.588100000000001</v>
      </c>
      <c r="R187" s="76">
        <f t="shared" si="88"/>
        <v>21.851400000000002</v>
      </c>
      <c r="T187" s="76" t="str">
        <f>T186</f>
        <v>TC</v>
      </c>
      <c r="U187" s="76" t="str">
        <f>U186</f>
        <v>Turbocharged</v>
      </c>
      <c r="V187" s="76" t="str">
        <f>V186</f>
        <v>SA</v>
      </c>
      <c r="W187" s="76" t="str">
        <f>W186</f>
        <v>Semi-Automatic</v>
      </c>
      <c r="Y187" s="76">
        <f t="shared" ref="Y187:AD187" si="89">Y186</f>
        <v>8</v>
      </c>
      <c r="Z187" s="76" t="str">
        <f t="shared" si="89"/>
        <v>Y</v>
      </c>
      <c r="AA187" s="76" t="str">
        <f t="shared" si="89"/>
        <v>N</v>
      </c>
      <c r="AB187" s="76" t="str">
        <f t="shared" si="89"/>
        <v>A</v>
      </c>
      <c r="AC187" s="76" t="str">
        <f t="shared" si="89"/>
        <v>All Wheel Drive</v>
      </c>
      <c r="AD187" s="76">
        <f t="shared" si="89"/>
        <v>10</v>
      </c>
      <c r="AF187" s="76">
        <f>AF186</f>
        <v>362</v>
      </c>
      <c r="AG187" s="76" t="str">
        <f>AG186</f>
        <v>GP</v>
      </c>
      <c r="AH187" s="76" t="str">
        <f>AH186</f>
        <v>Gasoline (Premium Unleaded Recommended)</v>
      </c>
      <c r="AI187" s="76" t="str">
        <f>AI186</f>
        <v>MPG</v>
      </c>
      <c r="AJ187" s="79" t="str">
        <f>AJ186</f>
        <v>miles per gallon</v>
      </c>
      <c r="AK187" s="96" t="s">
        <v>940</v>
      </c>
      <c r="AL187" s="76" t="s">
        <v>941</v>
      </c>
      <c r="AR187" s="79"/>
      <c r="AS187" s="96">
        <v>2450</v>
      </c>
      <c r="AT187" s="79">
        <v>2450</v>
      </c>
      <c r="AU187" s="96">
        <v>46</v>
      </c>
      <c r="AV187" s="76">
        <v>48</v>
      </c>
      <c r="AW187" s="76">
        <v>47</v>
      </c>
      <c r="AX187" s="76">
        <v>64.900000000000006</v>
      </c>
      <c r="AY187" s="76">
        <v>67.7</v>
      </c>
      <c r="AZ187" s="76">
        <v>66.130799999999994</v>
      </c>
      <c r="BA187" s="76">
        <v>46.191699999999997</v>
      </c>
      <c r="BB187" s="76">
        <v>47.521799999999999</v>
      </c>
      <c r="BC187" s="76">
        <v>46.780900000000003</v>
      </c>
      <c r="BD187" s="76">
        <v>24</v>
      </c>
      <c r="BE187" s="76" t="s">
        <v>1735</v>
      </c>
      <c r="BF187" s="76" t="s">
        <v>1736</v>
      </c>
      <c r="BG187" s="76" t="s">
        <v>175</v>
      </c>
      <c r="BH187" s="76" t="s">
        <v>176</v>
      </c>
      <c r="BI187" s="76">
        <v>2450</v>
      </c>
      <c r="BM187" s="79"/>
      <c r="BN187" s="98" t="s">
        <v>2493</v>
      </c>
      <c r="BO187" s="76">
        <v>2</v>
      </c>
      <c r="BP187" s="76">
        <v>2</v>
      </c>
      <c r="BQ187" s="76">
        <v>33</v>
      </c>
      <c r="BR187" s="76" t="s">
        <v>1497</v>
      </c>
      <c r="BT187" s="76" t="s">
        <v>2494</v>
      </c>
      <c r="BU187" s="99">
        <v>45596</v>
      </c>
      <c r="BV187" s="79">
        <v>35790</v>
      </c>
      <c r="BW187" s="120"/>
      <c r="BX187" s="96" t="s">
        <v>170</v>
      </c>
      <c r="BY187" s="76" t="s">
        <v>170</v>
      </c>
      <c r="CB187" s="76" t="s">
        <v>170</v>
      </c>
      <c r="CC187" s="76" t="s">
        <v>170</v>
      </c>
      <c r="CE187" s="76" t="s">
        <v>170</v>
      </c>
      <c r="CG187" s="76" t="s">
        <v>169</v>
      </c>
      <c r="CH187" s="76" t="s">
        <v>314</v>
      </c>
      <c r="CI187" s="76" t="s">
        <v>169</v>
      </c>
      <c r="CJ187" s="76" t="s">
        <v>303</v>
      </c>
      <c r="CK187" s="76" t="s">
        <v>233</v>
      </c>
      <c r="CM187" s="76">
        <v>1</v>
      </c>
      <c r="CN187" s="76" t="s">
        <v>234</v>
      </c>
      <c r="CP187" s="76">
        <v>360</v>
      </c>
      <c r="CQ187" s="76">
        <v>70</v>
      </c>
      <c r="CR187" s="76">
        <v>161</v>
      </c>
      <c r="CS187" s="76" t="s">
        <v>1752</v>
      </c>
      <c r="CV187" s="76" t="s">
        <v>341</v>
      </c>
      <c r="CX187" s="76" t="s">
        <v>342</v>
      </c>
      <c r="CY187" s="76" t="s">
        <v>170</v>
      </c>
      <c r="DC187" s="76" t="s">
        <v>2688</v>
      </c>
      <c r="DD187" s="76">
        <v>1</v>
      </c>
      <c r="DE187" s="76" t="s">
        <v>344</v>
      </c>
      <c r="DG187" s="76">
        <v>130</v>
      </c>
      <c r="DJ187" s="76" t="s">
        <v>184</v>
      </c>
      <c r="DK187" s="76" t="s">
        <v>185</v>
      </c>
      <c r="DL187" s="76" t="s">
        <v>170</v>
      </c>
      <c r="DM187" s="76" t="s">
        <v>169</v>
      </c>
      <c r="DN187" s="76" t="s">
        <v>170</v>
      </c>
      <c r="DO187" s="76" t="s">
        <v>186</v>
      </c>
      <c r="DP187" s="76" t="s">
        <v>169</v>
      </c>
      <c r="DQ187" s="76" t="s">
        <v>198</v>
      </c>
      <c r="DS187" s="76" t="s">
        <v>2496</v>
      </c>
      <c r="DT187" s="76" t="s">
        <v>2497</v>
      </c>
      <c r="DU187" s="76" t="s">
        <v>2513</v>
      </c>
      <c r="DV187" s="76" t="s">
        <v>2514</v>
      </c>
      <c r="DZ187" s="79"/>
      <c r="EA187" s="101"/>
      <c r="EB187" s="96">
        <v>5</v>
      </c>
      <c r="EC187" s="76">
        <v>7</v>
      </c>
      <c r="ED187" s="79"/>
      <c r="EE187" s="96" t="s">
        <v>2689</v>
      </c>
      <c r="EF187" s="76">
        <v>4</v>
      </c>
      <c r="EH187" s="79"/>
      <c r="EI187" s="96"/>
      <c r="EM187" s="96"/>
      <c r="EP187" s="79"/>
      <c r="EQ187" s="96"/>
      <c r="ET187" s="79"/>
      <c r="EU187" s="96"/>
      <c r="EV187" s="79">
        <v>2750</v>
      </c>
      <c r="EW187" s="96">
        <v>473</v>
      </c>
      <c r="EX187" s="76">
        <v>428</v>
      </c>
      <c r="EY187" s="79">
        <v>229</v>
      </c>
      <c r="EZ187" s="102">
        <f t="shared" si="59"/>
        <v>224</v>
      </c>
      <c r="FA187" s="76">
        <v>2.5</v>
      </c>
      <c r="FB187" s="79"/>
      <c r="FC187" s="97">
        <v>390</v>
      </c>
      <c r="FD187" s="96">
        <v>26</v>
      </c>
      <c r="FE187" s="76">
        <v>29</v>
      </c>
      <c r="FF187" s="79">
        <v>27</v>
      </c>
      <c r="FG187" s="76">
        <v>235</v>
      </c>
      <c r="FH187" s="76">
        <v>210</v>
      </c>
      <c r="FI187" s="103">
        <v>224</v>
      </c>
      <c r="FJ187" s="98" t="s">
        <v>2546</v>
      </c>
      <c r="FK187" s="111"/>
      <c r="FL187" s="103"/>
      <c r="FM187" s="76">
        <v>0.51800000000000002</v>
      </c>
      <c r="FN187" s="76">
        <v>0.52200000000000002</v>
      </c>
      <c r="FO187" s="79">
        <v>0.52</v>
      </c>
      <c r="FP187" s="106"/>
      <c r="FQ187" s="107"/>
      <c r="FR187" s="107"/>
      <c r="FS187" s="108">
        <v>18.5</v>
      </c>
    </row>
    <row r="188" spans="1:190" s="77" customFormat="1" x14ac:dyDescent="0.35">
      <c r="A188" s="76"/>
      <c r="E188" s="76"/>
      <c r="F188" s="76"/>
      <c r="G188" s="78"/>
      <c r="H188" s="76"/>
      <c r="I188" s="79"/>
      <c r="J188" s="80"/>
      <c r="K188" s="28"/>
      <c r="L188" s="28"/>
      <c r="M188" s="25" t="str">
        <f>_xlfn.CONCAT(A189," ",C189," ",D189)</f>
        <v>2025 Porsche Cayenne Turbo E-Hybrid Coupe</v>
      </c>
      <c r="N188" s="28"/>
      <c r="O188" s="28"/>
      <c r="P188" s="28"/>
      <c r="Q188" s="28"/>
      <c r="R188" s="28"/>
      <c r="S188" s="28"/>
      <c r="T188" s="28"/>
      <c r="U188" s="28"/>
      <c r="V188" s="28"/>
      <c r="W188" s="28"/>
      <c r="X188" s="28"/>
      <c r="Y188" s="28"/>
      <c r="Z188" s="28"/>
      <c r="AA188" s="28"/>
      <c r="AB188" s="28"/>
      <c r="AC188" s="28"/>
      <c r="AD188" s="25" t="str">
        <f>$M188</f>
        <v>2025 Porsche Cayenne Turbo E-Hybrid Coupe</v>
      </c>
      <c r="AE188" s="28"/>
      <c r="AF188" s="28"/>
      <c r="AG188" s="28"/>
      <c r="AH188" s="28"/>
      <c r="AI188" s="28"/>
      <c r="AJ188" s="81"/>
      <c r="AK188" s="82"/>
      <c r="AL188" s="2"/>
      <c r="AM188" s="2"/>
      <c r="AN188" s="2"/>
      <c r="AO188" s="2"/>
      <c r="AP188" s="2"/>
      <c r="AQ188" s="2"/>
      <c r="AR188" s="83"/>
      <c r="AS188" s="84"/>
      <c r="AT188" s="85" t="str">
        <f>$M188</f>
        <v>2025 Porsche Cayenne Turbo E-Hybrid Coupe</v>
      </c>
      <c r="AU188" s="84"/>
      <c r="AV188" s="28"/>
      <c r="AW188" s="28"/>
      <c r="AX188" s="28"/>
      <c r="AY188" s="28"/>
      <c r="AZ188" s="28"/>
      <c r="BA188" s="28"/>
      <c r="BB188" s="28"/>
      <c r="BC188" s="28"/>
      <c r="BD188" s="28"/>
      <c r="BE188" s="28"/>
      <c r="BF188" s="28"/>
      <c r="BG188" s="28"/>
      <c r="BH188" s="28"/>
      <c r="BI188" s="25" t="str">
        <f>$M188</f>
        <v>2025 Porsche Cayenne Turbo E-Hybrid Coupe</v>
      </c>
      <c r="BJ188" s="28"/>
      <c r="BK188" s="28"/>
      <c r="BL188" s="28"/>
      <c r="BM188" s="81"/>
      <c r="BN188" s="82"/>
      <c r="BO188" s="2"/>
      <c r="BP188" s="2"/>
      <c r="BQ188" s="2"/>
      <c r="BR188" s="2"/>
      <c r="BS188" s="2"/>
      <c r="BT188" s="86"/>
      <c r="BU188" s="2"/>
      <c r="BV188" s="83"/>
      <c r="BW188" s="121"/>
      <c r="BX188" s="84"/>
      <c r="BY188" s="25" t="str">
        <f>$M188</f>
        <v>2025 Porsche Cayenne Turbo E-Hybrid Coupe</v>
      </c>
      <c r="BZ188" s="28"/>
      <c r="CA188" s="28"/>
      <c r="CB188" s="28"/>
      <c r="CC188" s="28"/>
      <c r="CD188" s="28"/>
      <c r="CE188" s="88"/>
      <c r="CF188" s="28"/>
      <c r="CG188" s="28"/>
      <c r="CH188" s="28"/>
      <c r="CI188" s="28"/>
      <c r="CJ188" s="28"/>
      <c r="CK188" s="28"/>
      <c r="CL188" s="28"/>
      <c r="CM188" s="28"/>
      <c r="CN188" s="28"/>
      <c r="CO188" s="25" t="str">
        <f>$M188</f>
        <v>2025 Porsche Cayenne Turbo E-Hybrid Coupe</v>
      </c>
      <c r="CP188" s="28"/>
      <c r="CQ188" s="28"/>
      <c r="CR188" s="28"/>
      <c r="CS188" s="28"/>
      <c r="CT188" s="28"/>
      <c r="CU188" s="28"/>
      <c r="CV188" s="28"/>
      <c r="CW188" s="28"/>
      <c r="CX188" s="28"/>
      <c r="CY188" s="28"/>
      <c r="CZ188" s="28"/>
      <c r="DA188" s="28"/>
      <c r="DB188" s="28"/>
      <c r="DC188" s="28"/>
      <c r="DD188" s="28"/>
      <c r="DE188" s="28"/>
      <c r="DF188" s="25" t="str">
        <f>$M188</f>
        <v>2025 Porsche Cayenne Turbo E-Hybrid Coupe</v>
      </c>
      <c r="DG188" s="28"/>
      <c r="DH188" s="28"/>
      <c r="DI188" s="28"/>
      <c r="DJ188" s="28"/>
      <c r="DK188" s="28"/>
      <c r="DL188" s="28"/>
      <c r="DM188" s="28"/>
      <c r="DN188" s="28"/>
      <c r="DO188" s="28"/>
      <c r="DP188" s="28"/>
      <c r="DQ188" s="28"/>
      <c r="DR188" s="25"/>
      <c r="DS188" s="25"/>
      <c r="DT188" s="25"/>
      <c r="DU188" s="25"/>
      <c r="DV188" s="25"/>
      <c r="DW188" s="25" t="str">
        <f>$M188</f>
        <v>2025 Porsche Cayenne Turbo E-Hybrid Coupe</v>
      </c>
      <c r="DX188" s="25"/>
      <c r="DY188" s="25"/>
      <c r="DZ188" s="85"/>
      <c r="EA188" s="89"/>
      <c r="EB188" s="80"/>
      <c r="EC188" s="25"/>
      <c r="ED188" s="85"/>
      <c r="EE188" s="80"/>
      <c r="EF188" s="25"/>
      <c r="EG188" s="25"/>
      <c r="EH188" s="85"/>
      <c r="EI188" s="80"/>
      <c r="EK188" t="s">
        <v>2445</v>
      </c>
      <c r="EL188" s="25" t="str">
        <f>$M188</f>
        <v>2025 Porsche Cayenne Turbo E-Hybrid Coupe</v>
      </c>
      <c r="EM188" s="80"/>
      <c r="EP188" s="75"/>
      <c r="EQ188" s="90"/>
      <c r="ET188" s="75"/>
      <c r="EU188" s="90"/>
      <c r="EV188" s="75"/>
      <c r="EW188" s="90"/>
      <c r="EY188" s="75"/>
      <c r="EZ188" s="102"/>
      <c r="FA188" s="25" t="str">
        <f>$M188</f>
        <v>2025 Porsche Cayenne Turbo E-Hybrid Coupe</v>
      </c>
      <c r="FB188" s="75"/>
      <c r="FC188" s="91"/>
      <c r="FD188" s="80"/>
      <c r="FE188" s="25"/>
      <c r="FF188" s="85"/>
      <c r="FG188" s="80"/>
      <c r="FH188" s="25"/>
      <c r="FI188" s="85"/>
      <c r="FJ188" s="80"/>
      <c r="FK188" s="25"/>
      <c r="FL188" s="85"/>
      <c r="FM188" s="25" t="str">
        <f>$M188</f>
        <v>2025 Porsche Cayenne Turbo E-Hybrid Coupe</v>
      </c>
      <c r="FN188" s="25"/>
      <c r="FO188" s="85"/>
      <c r="FP188" s="92"/>
      <c r="FQ188" s="93"/>
      <c r="FR188" s="94"/>
      <c r="FS188" s="95"/>
      <c r="FT188" s="25"/>
      <c r="FU188" s="25"/>
      <c r="FV188" s="25"/>
      <c r="FW188" s="25"/>
      <c r="FX188" s="25"/>
      <c r="FY188" s="25"/>
      <c r="FZ188" s="25"/>
      <c r="GA188" s="25"/>
      <c r="GB188" s="25"/>
      <c r="GC188" s="25"/>
      <c r="GD188" s="25"/>
      <c r="GE188" s="25"/>
      <c r="GF188" s="25"/>
      <c r="GG188" s="25"/>
      <c r="GH188" s="25"/>
    </row>
    <row r="189" spans="1:190" s="76" customFormat="1" x14ac:dyDescent="0.35">
      <c r="A189" s="76">
        <v>2025</v>
      </c>
      <c r="B189" s="76" t="s">
        <v>299</v>
      </c>
      <c r="C189" s="76" t="s">
        <v>299</v>
      </c>
      <c r="D189" s="76" t="s">
        <v>2690</v>
      </c>
      <c r="E189" s="76" t="s">
        <v>301</v>
      </c>
      <c r="F189" s="76">
        <v>457</v>
      </c>
      <c r="G189" s="78">
        <v>4</v>
      </c>
      <c r="H189" s="76">
        <v>8</v>
      </c>
      <c r="I189" s="79" t="s">
        <v>192</v>
      </c>
      <c r="J189" s="96">
        <v>21</v>
      </c>
      <c r="K189" s="76">
        <v>23</v>
      </c>
      <c r="L189" s="76">
        <v>22</v>
      </c>
      <c r="M189" s="76">
        <v>27</v>
      </c>
      <c r="N189" s="76">
        <v>32.1</v>
      </c>
      <c r="O189" s="76">
        <v>29.1126</v>
      </c>
      <c r="P189" s="76">
        <v>21.2834</v>
      </c>
      <c r="Q189" s="76">
        <v>22.588100000000001</v>
      </c>
      <c r="R189" s="76">
        <v>21.851400000000002</v>
      </c>
      <c r="T189" s="76" t="s">
        <v>165</v>
      </c>
      <c r="U189" s="76" t="s">
        <v>166</v>
      </c>
      <c r="V189" s="76" t="s">
        <v>193</v>
      </c>
      <c r="W189" s="76" t="s">
        <v>194</v>
      </c>
      <c r="Y189" s="76">
        <v>8</v>
      </c>
      <c r="Z189" s="76" t="s">
        <v>169</v>
      </c>
      <c r="AA189" s="76" t="s">
        <v>170</v>
      </c>
      <c r="AB189" s="76" t="s">
        <v>167</v>
      </c>
      <c r="AC189" s="76" t="s">
        <v>213</v>
      </c>
      <c r="AD189" s="76">
        <v>10</v>
      </c>
      <c r="AF189" s="76">
        <v>362</v>
      </c>
      <c r="AG189" s="76" t="s">
        <v>173</v>
      </c>
      <c r="AH189" s="76" t="s">
        <v>174</v>
      </c>
      <c r="AI189" s="76" t="s">
        <v>175</v>
      </c>
      <c r="AJ189" s="79" t="s">
        <v>176</v>
      </c>
      <c r="AK189" s="96" t="s">
        <v>940</v>
      </c>
      <c r="AL189" s="76" t="s">
        <v>941</v>
      </c>
      <c r="AR189" s="79"/>
      <c r="AS189" s="96">
        <v>2450</v>
      </c>
      <c r="AT189" s="79">
        <v>2450</v>
      </c>
      <c r="AU189" s="96">
        <v>73</v>
      </c>
      <c r="AV189" s="76">
        <v>70</v>
      </c>
      <c r="AW189" s="76">
        <v>72</v>
      </c>
      <c r="AX189" s="76">
        <v>51.9</v>
      </c>
      <c r="AY189" s="76">
        <v>49.8</v>
      </c>
      <c r="AZ189" s="76">
        <v>50.954999999999998</v>
      </c>
      <c r="BA189" s="76">
        <v>72.963999999999999</v>
      </c>
      <c r="BB189" s="76">
        <v>70.103999999999999</v>
      </c>
      <c r="BC189" s="76">
        <v>71.677000000000007</v>
      </c>
      <c r="BD189" s="76">
        <v>24</v>
      </c>
      <c r="BE189" s="76" t="s">
        <v>1735</v>
      </c>
      <c r="BF189" s="76" t="s">
        <v>1736</v>
      </c>
      <c r="BG189" s="76" t="s">
        <v>1742</v>
      </c>
      <c r="BH189" s="76" t="s">
        <v>1743</v>
      </c>
      <c r="BI189" s="76">
        <v>2450</v>
      </c>
      <c r="BJ189" s="2"/>
      <c r="BK189" s="2"/>
      <c r="BL189" s="2"/>
      <c r="BM189" s="79"/>
      <c r="BN189" s="98" t="s">
        <v>2493</v>
      </c>
      <c r="BO189" s="76">
        <v>2</v>
      </c>
      <c r="BP189" s="76">
        <v>2</v>
      </c>
      <c r="BQ189" s="76">
        <v>33</v>
      </c>
      <c r="BR189" s="76" t="s">
        <v>1497</v>
      </c>
      <c r="BT189" s="76" t="s">
        <v>2494</v>
      </c>
      <c r="BU189" s="99">
        <v>45596</v>
      </c>
      <c r="BV189" s="79">
        <v>35791</v>
      </c>
      <c r="BW189" s="120"/>
      <c r="BX189" s="96" t="s">
        <v>170</v>
      </c>
      <c r="BY189" s="76" t="s">
        <v>170</v>
      </c>
      <c r="CB189" s="76" t="s">
        <v>170</v>
      </c>
      <c r="CC189" s="76" t="s">
        <v>170</v>
      </c>
      <c r="CE189" s="76" t="s">
        <v>170</v>
      </c>
      <c r="CG189" s="76" t="s">
        <v>169</v>
      </c>
      <c r="CH189" s="76" t="s">
        <v>314</v>
      </c>
      <c r="CI189" s="76" t="s">
        <v>169</v>
      </c>
      <c r="CJ189" s="76" t="s">
        <v>303</v>
      </c>
      <c r="CK189" s="76" t="s">
        <v>233</v>
      </c>
      <c r="CM189" s="76">
        <v>1</v>
      </c>
      <c r="CN189" s="76" t="s">
        <v>234</v>
      </c>
      <c r="CP189" s="76">
        <v>360</v>
      </c>
      <c r="CQ189" s="76">
        <v>70</v>
      </c>
      <c r="CR189" s="76">
        <v>161</v>
      </c>
      <c r="CS189" s="76" t="s">
        <v>1752</v>
      </c>
      <c r="CV189" s="76" t="s">
        <v>341</v>
      </c>
      <c r="CX189" s="76" t="s">
        <v>342</v>
      </c>
      <c r="CY189" s="76" t="s">
        <v>170</v>
      </c>
      <c r="DC189" s="76" t="s">
        <v>2688</v>
      </c>
      <c r="DD189" s="76">
        <v>1</v>
      </c>
      <c r="DE189" s="76" t="s">
        <v>344</v>
      </c>
      <c r="DG189" s="76">
        <v>130</v>
      </c>
      <c r="DJ189" s="76" t="s">
        <v>184</v>
      </c>
      <c r="DK189" s="76" t="s">
        <v>185</v>
      </c>
      <c r="DL189" s="76" t="s">
        <v>170</v>
      </c>
      <c r="DM189" s="76" t="s">
        <v>169</v>
      </c>
      <c r="DN189" s="76" t="s">
        <v>170</v>
      </c>
      <c r="DO189" s="76" t="s">
        <v>186</v>
      </c>
      <c r="DP189" s="76" t="s">
        <v>169</v>
      </c>
      <c r="DQ189" s="76" t="s">
        <v>198</v>
      </c>
      <c r="DS189" s="76" t="s">
        <v>2496</v>
      </c>
      <c r="DT189" s="76" t="s">
        <v>2497</v>
      </c>
      <c r="DU189" s="76" t="s">
        <v>2513</v>
      </c>
      <c r="DV189" s="76" t="s">
        <v>2514</v>
      </c>
      <c r="DZ189" s="79"/>
      <c r="EA189" s="101"/>
      <c r="EB189" s="96">
        <v>5</v>
      </c>
      <c r="EC189" s="76">
        <v>7</v>
      </c>
      <c r="ED189" s="79"/>
      <c r="EE189" s="96" t="s">
        <v>2689</v>
      </c>
      <c r="EF189" s="76">
        <v>4</v>
      </c>
      <c r="EH189" s="79"/>
      <c r="EI189" s="96"/>
      <c r="EM189" s="96"/>
      <c r="EP189" s="79"/>
      <c r="EQ189" s="96"/>
      <c r="ET189" s="79"/>
      <c r="EU189" s="96"/>
      <c r="EV189" s="79">
        <v>2750</v>
      </c>
      <c r="EW189" s="96">
        <v>0</v>
      </c>
      <c r="EX189" s="76">
        <v>0</v>
      </c>
      <c r="EY189" s="79">
        <v>0</v>
      </c>
      <c r="EZ189" s="102">
        <f t="shared" si="59"/>
        <v>224</v>
      </c>
      <c r="FA189" s="76">
        <v>2.5</v>
      </c>
      <c r="FB189" s="79"/>
      <c r="FC189" s="97">
        <v>390</v>
      </c>
      <c r="FD189" s="96">
        <v>26</v>
      </c>
      <c r="FE189" s="76">
        <v>29</v>
      </c>
      <c r="FF189" s="79">
        <v>27</v>
      </c>
      <c r="FG189" s="76">
        <v>235</v>
      </c>
      <c r="FH189" s="76">
        <v>210</v>
      </c>
      <c r="FI189" s="103">
        <v>224</v>
      </c>
      <c r="FJ189" s="104">
        <v>24.3</v>
      </c>
      <c r="FK189" s="105">
        <v>24.63</v>
      </c>
      <c r="FL189" s="79">
        <v>24</v>
      </c>
      <c r="FM189" s="76">
        <v>0.51800000000000002</v>
      </c>
      <c r="FN189" s="76">
        <v>0.52200000000000002</v>
      </c>
      <c r="FO189" s="79">
        <v>0.52</v>
      </c>
      <c r="FP189" s="106">
        <v>0</v>
      </c>
      <c r="FQ189" s="107">
        <v>0</v>
      </c>
      <c r="FR189" s="107">
        <v>0</v>
      </c>
      <c r="FS189" s="108">
        <v>18.5</v>
      </c>
    </row>
    <row r="190" spans="1:190" s="76" customFormat="1" x14ac:dyDescent="0.35">
      <c r="A190" s="76">
        <v>2025</v>
      </c>
      <c r="B190" s="162" t="s">
        <v>299</v>
      </c>
      <c r="C190" s="162" t="s">
        <v>299</v>
      </c>
      <c r="D190" s="162" t="s">
        <v>2690</v>
      </c>
      <c r="E190" s="162" t="s">
        <v>301</v>
      </c>
      <c r="F190" s="162">
        <v>457</v>
      </c>
      <c r="G190" s="162">
        <v>4</v>
      </c>
      <c r="H190" s="162">
        <v>8</v>
      </c>
      <c r="I190" s="163" t="s">
        <v>192</v>
      </c>
      <c r="J190" s="96">
        <f>J189</f>
        <v>21</v>
      </c>
      <c r="K190" s="76">
        <f t="shared" ref="K190:R190" si="90">K189</f>
        <v>23</v>
      </c>
      <c r="L190" s="76">
        <f t="shared" si="90"/>
        <v>22</v>
      </c>
      <c r="M190" s="76">
        <f t="shared" si="90"/>
        <v>27</v>
      </c>
      <c r="N190" s="76">
        <f t="shared" si="90"/>
        <v>32.1</v>
      </c>
      <c r="O190" s="76">
        <f t="shared" si="90"/>
        <v>29.1126</v>
      </c>
      <c r="P190" s="76">
        <f t="shared" si="90"/>
        <v>21.2834</v>
      </c>
      <c r="Q190" s="76">
        <f t="shared" si="90"/>
        <v>22.588100000000001</v>
      </c>
      <c r="R190" s="76">
        <f t="shared" si="90"/>
        <v>21.851400000000002</v>
      </c>
      <c r="T190" s="76" t="str">
        <f>T189</f>
        <v>TC</v>
      </c>
      <c r="U190" s="76" t="str">
        <f>U189</f>
        <v>Turbocharged</v>
      </c>
      <c r="V190" s="76" t="str">
        <f>V189</f>
        <v>SA</v>
      </c>
      <c r="W190" s="76" t="str">
        <f>W189</f>
        <v>Semi-Automatic</v>
      </c>
      <c r="Y190" s="76">
        <f t="shared" ref="Y190:AD190" si="91">Y189</f>
        <v>8</v>
      </c>
      <c r="Z190" s="76" t="str">
        <f t="shared" si="91"/>
        <v>Y</v>
      </c>
      <c r="AA190" s="76" t="str">
        <f t="shared" si="91"/>
        <v>N</v>
      </c>
      <c r="AB190" s="76" t="str">
        <f t="shared" si="91"/>
        <v>A</v>
      </c>
      <c r="AC190" s="76" t="str">
        <f t="shared" si="91"/>
        <v>All Wheel Drive</v>
      </c>
      <c r="AD190" s="76">
        <f t="shared" si="91"/>
        <v>10</v>
      </c>
      <c r="AF190" s="76">
        <f>AF189</f>
        <v>362</v>
      </c>
      <c r="AG190" s="76" t="str">
        <f>AG189</f>
        <v>GP</v>
      </c>
      <c r="AH190" s="76" t="str">
        <f>AH189</f>
        <v>Gasoline (Premium Unleaded Recommended)</v>
      </c>
      <c r="AI190" s="76" t="str">
        <f>AI189</f>
        <v>MPG</v>
      </c>
      <c r="AJ190" s="79" t="str">
        <f>AJ189</f>
        <v>miles per gallon</v>
      </c>
      <c r="AK190" s="96" t="s">
        <v>940</v>
      </c>
      <c r="AL190" s="76" t="s">
        <v>941</v>
      </c>
      <c r="AR190" s="79"/>
      <c r="AS190" s="96">
        <v>2450</v>
      </c>
      <c r="AT190" s="79">
        <v>2450</v>
      </c>
      <c r="AU190" s="96">
        <v>46</v>
      </c>
      <c r="AV190" s="76">
        <v>48</v>
      </c>
      <c r="AW190" s="76">
        <v>47</v>
      </c>
      <c r="AX190" s="76">
        <v>64.900000000000006</v>
      </c>
      <c r="AY190" s="76">
        <v>67.7</v>
      </c>
      <c r="AZ190" s="76">
        <v>66.130799999999994</v>
      </c>
      <c r="BA190" s="76">
        <v>46.191699999999997</v>
      </c>
      <c r="BB190" s="76">
        <v>47.521799999999999</v>
      </c>
      <c r="BC190" s="76">
        <v>46.780900000000003</v>
      </c>
      <c r="BD190" s="76">
        <v>24</v>
      </c>
      <c r="BE190" s="76" t="s">
        <v>1735</v>
      </c>
      <c r="BF190" s="76" t="s">
        <v>1736</v>
      </c>
      <c r="BG190" s="76" t="s">
        <v>175</v>
      </c>
      <c r="BH190" s="76" t="s">
        <v>176</v>
      </c>
      <c r="BI190" s="76">
        <v>2450</v>
      </c>
      <c r="BM190" s="79"/>
      <c r="BN190" s="98" t="s">
        <v>2493</v>
      </c>
      <c r="BO190" s="76">
        <v>2</v>
      </c>
      <c r="BP190" s="76">
        <v>2</v>
      </c>
      <c r="BQ190" s="76">
        <v>33</v>
      </c>
      <c r="BR190" s="76" t="s">
        <v>1497</v>
      </c>
      <c r="BT190" s="76" t="s">
        <v>2494</v>
      </c>
      <c r="BU190" s="99">
        <v>45596</v>
      </c>
      <c r="BV190" s="79">
        <v>35791</v>
      </c>
      <c r="BW190" s="120"/>
      <c r="BX190" s="96" t="s">
        <v>170</v>
      </c>
      <c r="BY190" s="76" t="s">
        <v>170</v>
      </c>
      <c r="CB190" s="76" t="s">
        <v>170</v>
      </c>
      <c r="CC190" s="76" t="s">
        <v>170</v>
      </c>
      <c r="CE190" s="76" t="s">
        <v>170</v>
      </c>
      <c r="CG190" s="76" t="s">
        <v>169</v>
      </c>
      <c r="CH190" s="76" t="s">
        <v>314</v>
      </c>
      <c r="CI190" s="76" t="s">
        <v>169</v>
      </c>
      <c r="CJ190" s="76" t="s">
        <v>303</v>
      </c>
      <c r="CK190" s="76" t="s">
        <v>233</v>
      </c>
      <c r="CM190" s="76">
        <v>1</v>
      </c>
      <c r="CN190" s="76" t="s">
        <v>234</v>
      </c>
      <c r="CP190" s="76">
        <v>360</v>
      </c>
      <c r="CQ190" s="76">
        <v>70</v>
      </c>
      <c r="CR190" s="76">
        <v>161</v>
      </c>
      <c r="CS190" s="76" t="s">
        <v>1752</v>
      </c>
      <c r="CV190" s="76" t="s">
        <v>341</v>
      </c>
      <c r="CX190" s="76" t="s">
        <v>342</v>
      </c>
      <c r="CY190" s="76" t="s">
        <v>170</v>
      </c>
      <c r="DC190" s="76" t="s">
        <v>2688</v>
      </c>
      <c r="DD190" s="76">
        <v>1</v>
      </c>
      <c r="DE190" s="76" t="s">
        <v>344</v>
      </c>
      <c r="DG190" s="76">
        <v>130</v>
      </c>
      <c r="DJ190" s="76" t="s">
        <v>184</v>
      </c>
      <c r="DK190" s="76" t="s">
        <v>185</v>
      </c>
      <c r="DL190" s="76" t="s">
        <v>170</v>
      </c>
      <c r="DM190" s="76" t="s">
        <v>169</v>
      </c>
      <c r="DN190" s="76" t="s">
        <v>170</v>
      </c>
      <c r="DO190" s="76" t="s">
        <v>186</v>
      </c>
      <c r="DP190" s="76" t="s">
        <v>169</v>
      </c>
      <c r="DQ190" s="76" t="s">
        <v>198</v>
      </c>
      <c r="DS190" s="76" t="s">
        <v>2496</v>
      </c>
      <c r="DT190" s="76" t="s">
        <v>2497</v>
      </c>
      <c r="DU190" s="76" t="s">
        <v>2513</v>
      </c>
      <c r="DV190" s="76" t="s">
        <v>2514</v>
      </c>
      <c r="DZ190" s="79"/>
      <c r="EA190" s="101"/>
      <c r="EB190" s="96">
        <v>5</v>
      </c>
      <c r="EC190" s="76">
        <v>7</v>
      </c>
      <c r="ED190" s="79"/>
      <c r="EE190" s="96" t="s">
        <v>2689</v>
      </c>
      <c r="EF190" s="76">
        <v>4</v>
      </c>
      <c r="EH190" s="79"/>
      <c r="EI190" s="96"/>
      <c r="EM190" s="96"/>
      <c r="EP190" s="79"/>
      <c r="EQ190" s="96"/>
      <c r="ET190" s="79"/>
      <c r="EU190" s="96"/>
      <c r="EV190" s="79">
        <v>2750</v>
      </c>
      <c r="EW190" s="96">
        <v>473</v>
      </c>
      <c r="EX190" s="76">
        <v>428</v>
      </c>
      <c r="EY190" s="79">
        <v>229</v>
      </c>
      <c r="EZ190" s="102">
        <f t="shared" si="59"/>
        <v>224</v>
      </c>
      <c r="FA190" s="76">
        <v>2.5</v>
      </c>
      <c r="FB190" s="79"/>
      <c r="FC190" s="97">
        <v>390</v>
      </c>
      <c r="FD190" s="96">
        <v>26</v>
      </c>
      <c r="FE190" s="76">
        <v>29</v>
      </c>
      <c r="FF190" s="79">
        <v>27</v>
      </c>
      <c r="FG190" s="76">
        <v>235</v>
      </c>
      <c r="FH190" s="76">
        <v>210</v>
      </c>
      <c r="FI190" s="103">
        <v>224</v>
      </c>
      <c r="FJ190" s="98" t="s">
        <v>2546</v>
      </c>
      <c r="FK190" s="111"/>
      <c r="FL190" s="103"/>
      <c r="FM190" s="76">
        <v>0.51800000000000002</v>
      </c>
      <c r="FN190" s="76">
        <v>0.52200000000000002</v>
      </c>
      <c r="FO190" s="79">
        <v>0.52</v>
      </c>
      <c r="FP190" s="106"/>
      <c r="FQ190" s="107"/>
      <c r="FR190" s="107"/>
      <c r="FS190" s="108">
        <v>18.5</v>
      </c>
    </row>
    <row r="191" spans="1:190" s="77" customFormat="1" x14ac:dyDescent="0.35">
      <c r="A191" s="76"/>
      <c r="E191" s="76"/>
      <c r="F191" s="76"/>
      <c r="G191" s="78"/>
      <c r="H191" s="76"/>
      <c r="I191" s="79"/>
      <c r="J191" s="80"/>
      <c r="K191" s="28"/>
      <c r="L191" s="28"/>
      <c r="M191" s="25" t="str">
        <f>_xlfn.CONCAT(A192," ",C192," ",D192)</f>
        <v>2025 Porsche Panamera 4 E-Hybrid</v>
      </c>
      <c r="N191" s="28"/>
      <c r="O191" s="28"/>
      <c r="P191" s="28"/>
      <c r="Q191" s="28"/>
      <c r="R191" s="28"/>
      <c r="S191" s="28"/>
      <c r="T191" s="28"/>
      <c r="U191" s="28"/>
      <c r="V191" s="28"/>
      <c r="W191" s="28"/>
      <c r="X191" s="28"/>
      <c r="Y191" s="28"/>
      <c r="Z191" s="28"/>
      <c r="AA191" s="28"/>
      <c r="AB191" s="28"/>
      <c r="AC191" s="28"/>
      <c r="AD191" s="25" t="str">
        <f>$M191</f>
        <v>2025 Porsche Panamera 4 E-Hybrid</v>
      </c>
      <c r="AE191" s="28"/>
      <c r="AF191" s="28"/>
      <c r="AG191" s="28"/>
      <c r="AH191" s="28"/>
      <c r="AI191" s="28"/>
      <c r="AJ191" s="81"/>
      <c r="AK191" s="82"/>
      <c r="AL191" s="2"/>
      <c r="AM191" s="2"/>
      <c r="AN191" s="2"/>
      <c r="AO191" s="2"/>
      <c r="AP191" s="2"/>
      <c r="AQ191" s="2"/>
      <c r="AR191" s="83"/>
      <c r="AS191" s="84"/>
      <c r="AT191" s="85" t="str">
        <f>$M191</f>
        <v>2025 Porsche Panamera 4 E-Hybrid</v>
      </c>
      <c r="AU191" s="84"/>
      <c r="AV191" s="28"/>
      <c r="AW191" s="28"/>
      <c r="AX191" s="28"/>
      <c r="AY191" s="28"/>
      <c r="AZ191" s="28"/>
      <c r="BA191" s="28"/>
      <c r="BB191" s="28"/>
      <c r="BC191" s="28"/>
      <c r="BD191" s="28"/>
      <c r="BE191" s="28"/>
      <c r="BF191" s="28"/>
      <c r="BG191" s="28"/>
      <c r="BH191" s="28"/>
      <c r="BI191" s="25" t="str">
        <f>$M191</f>
        <v>2025 Porsche Panamera 4 E-Hybrid</v>
      </c>
      <c r="BJ191" s="28"/>
      <c r="BK191" s="28"/>
      <c r="BL191" s="28"/>
      <c r="BM191" s="81"/>
      <c r="BN191" s="82"/>
      <c r="BO191" s="2"/>
      <c r="BP191" s="2"/>
      <c r="BQ191" s="2"/>
      <c r="BR191" s="2"/>
      <c r="BS191" s="2"/>
      <c r="BT191" s="86"/>
      <c r="BU191" s="2"/>
      <c r="BV191" s="83"/>
      <c r="BW191" s="121"/>
      <c r="BX191" s="84"/>
      <c r="BY191" s="25" t="str">
        <f>$M191</f>
        <v>2025 Porsche Panamera 4 E-Hybrid</v>
      </c>
      <c r="BZ191" s="28"/>
      <c r="CA191" s="28"/>
      <c r="CB191" s="28"/>
      <c r="CC191" s="28"/>
      <c r="CD191" s="28"/>
      <c r="CE191" s="88"/>
      <c r="CF191" s="28"/>
      <c r="CG191" s="28"/>
      <c r="CH191" s="28"/>
      <c r="CI191" s="28"/>
      <c r="CJ191" s="28"/>
      <c r="CK191" s="28"/>
      <c r="CL191" s="28"/>
      <c r="CM191" s="28"/>
      <c r="CN191" s="28"/>
      <c r="CO191" s="25" t="str">
        <f>$M191</f>
        <v>2025 Porsche Panamera 4 E-Hybrid</v>
      </c>
      <c r="CP191" s="28"/>
      <c r="CQ191" s="28"/>
      <c r="CR191" s="28"/>
      <c r="CS191" s="28"/>
      <c r="CT191" s="28"/>
      <c r="CU191" s="28"/>
      <c r="CV191" s="28"/>
      <c r="CW191" s="28"/>
      <c r="CX191" s="28"/>
      <c r="CY191" s="28"/>
      <c r="CZ191" s="28"/>
      <c r="DA191" s="28"/>
      <c r="DB191" s="28"/>
      <c r="DC191" s="28"/>
      <c r="DD191" s="28"/>
      <c r="DE191" s="28"/>
      <c r="DF191" s="25" t="str">
        <f>$M191</f>
        <v>2025 Porsche Panamera 4 E-Hybrid</v>
      </c>
      <c r="DG191" s="28"/>
      <c r="DH191" s="28"/>
      <c r="DI191" s="28"/>
      <c r="DJ191" s="28"/>
      <c r="DK191" s="28"/>
      <c r="DL191" s="28"/>
      <c r="DM191" s="28"/>
      <c r="DN191" s="28"/>
      <c r="DO191" s="28"/>
      <c r="DP191" s="28"/>
      <c r="DQ191" s="28"/>
      <c r="DR191" s="25"/>
      <c r="DS191" s="25"/>
      <c r="DT191" s="25"/>
      <c r="DU191" s="25"/>
      <c r="DV191" s="25"/>
      <c r="DW191" s="25" t="str">
        <f>$M191</f>
        <v>2025 Porsche Panamera 4 E-Hybrid</v>
      </c>
      <c r="DX191" s="25"/>
      <c r="DY191" s="25"/>
      <c r="DZ191" s="85"/>
      <c r="EA191" s="89"/>
      <c r="EB191" s="80"/>
      <c r="EC191" s="25"/>
      <c r="ED191" s="85"/>
      <c r="EE191" s="80"/>
      <c r="EF191" s="25"/>
      <c r="EG191" s="25"/>
      <c r="EH191" s="85"/>
      <c r="EI191" s="80"/>
      <c r="EK191" t="s">
        <v>2445</v>
      </c>
      <c r="EL191" s="25" t="str">
        <f>$M191</f>
        <v>2025 Porsche Panamera 4 E-Hybrid</v>
      </c>
      <c r="EM191" s="80"/>
      <c r="EP191" s="75"/>
      <c r="EQ191" s="90"/>
      <c r="ET191" s="75"/>
      <c r="EU191" s="90"/>
      <c r="EV191" s="75"/>
      <c r="EW191" s="90"/>
      <c r="EY191" s="75"/>
      <c r="EZ191" s="102"/>
      <c r="FA191" s="25" t="str">
        <f>$M191</f>
        <v>2025 Porsche Panamera 4 E-Hybrid</v>
      </c>
      <c r="FB191" s="75"/>
      <c r="FC191" s="91"/>
      <c r="FD191" s="80"/>
      <c r="FE191" s="25"/>
      <c r="FF191" s="85"/>
      <c r="FG191" s="80"/>
      <c r="FH191" s="25"/>
      <c r="FI191" s="85"/>
      <c r="FJ191" s="80"/>
      <c r="FK191" s="25"/>
      <c r="FL191" s="85"/>
      <c r="FM191" s="25" t="str">
        <f>$M191</f>
        <v>2025 Porsche Panamera 4 E-Hybrid</v>
      </c>
      <c r="FN191" s="25"/>
      <c r="FO191" s="85"/>
      <c r="FP191" s="92"/>
      <c r="FQ191" s="93"/>
      <c r="FR191" s="94"/>
      <c r="FS191" s="95"/>
      <c r="FT191" s="25"/>
      <c r="FU191" s="25"/>
      <c r="FV191" s="25"/>
      <c r="FW191" s="25"/>
      <c r="FX191" s="25"/>
      <c r="FY191" s="25"/>
      <c r="FZ191" s="25"/>
      <c r="GA191" s="25"/>
      <c r="GB191" s="25"/>
      <c r="GC191" s="25"/>
      <c r="GD191" s="25"/>
      <c r="GE191" s="25"/>
      <c r="GF191" s="25"/>
      <c r="GG191" s="25"/>
      <c r="GH191" s="25"/>
    </row>
    <row r="192" spans="1:190" s="76" customFormat="1" x14ac:dyDescent="0.35">
      <c r="A192" s="76">
        <v>2025</v>
      </c>
      <c r="B192" s="76" t="s">
        <v>299</v>
      </c>
      <c r="C192" s="76" t="s">
        <v>299</v>
      </c>
      <c r="D192" s="109" t="s">
        <v>2691</v>
      </c>
      <c r="E192" s="76" t="s">
        <v>301</v>
      </c>
      <c r="F192" s="109">
        <v>607</v>
      </c>
      <c r="G192" s="109">
        <v>2.9</v>
      </c>
      <c r="H192" s="109">
        <v>8</v>
      </c>
      <c r="I192" s="110" t="s">
        <v>361</v>
      </c>
      <c r="J192" s="96">
        <v>21</v>
      </c>
      <c r="K192" s="76">
        <v>24</v>
      </c>
      <c r="L192" s="76">
        <v>21</v>
      </c>
      <c r="M192" s="76">
        <v>26</v>
      </c>
      <c r="N192" s="76">
        <v>33.6</v>
      </c>
      <c r="O192" s="76">
        <v>28.946300000000001</v>
      </c>
      <c r="P192" s="76">
        <v>20.529599999999999</v>
      </c>
      <c r="Q192" s="76">
        <v>23.970600000000001</v>
      </c>
      <c r="R192" s="76">
        <v>21</v>
      </c>
      <c r="T192" s="76" t="s">
        <v>165</v>
      </c>
      <c r="U192" s="76" t="s">
        <v>166</v>
      </c>
      <c r="V192" s="76" t="s">
        <v>211</v>
      </c>
      <c r="W192" s="76" t="s">
        <v>212</v>
      </c>
      <c r="Y192" s="76">
        <v>8</v>
      </c>
      <c r="Z192" s="76" t="s">
        <v>169</v>
      </c>
      <c r="AA192" s="76" t="s">
        <v>170</v>
      </c>
      <c r="AB192" s="76" t="s">
        <v>167</v>
      </c>
      <c r="AC192" s="76" t="s">
        <v>213</v>
      </c>
      <c r="AD192" s="76">
        <v>10</v>
      </c>
      <c r="AF192" s="76">
        <v>466</v>
      </c>
      <c r="AG192" s="76" t="s">
        <v>173</v>
      </c>
      <c r="AH192" s="76" t="s">
        <v>174</v>
      </c>
      <c r="AI192" s="76" t="s">
        <v>175</v>
      </c>
      <c r="AJ192" s="79" t="s">
        <v>176</v>
      </c>
      <c r="AK192" s="96" t="s">
        <v>170</v>
      </c>
      <c r="AL192" s="76" t="s">
        <v>177</v>
      </c>
      <c r="AQ192" s="76">
        <v>98</v>
      </c>
      <c r="AR192" s="79">
        <v>27</v>
      </c>
      <c r="AS192" s="96">
        <v>2200</v>
      </c>
      <c r="AT192" s="79">
        <v>2200</v>
      </c>
      <c r="AU192" s="96">
        <v>66</v>
      </c>
      <c r="AV192" s="76">
        <v>56</v>
      </c>
      <c r="AW192" s="76">
        <v>62</v>
      </c>
      <c r="AX192" s="76">
        <v>46.2</v>
      </c>
      <c r="AY192" s="76">
        <v>39.4</v>
      </c>
      <c r="AZ192" s="76">
        <v>43.14</v>
      </c>
      <c r="BA192" s="76">
        <v>66.302000000000007</v>
      </c>
      <c r="BB192" s="76">
        <v>57</v>
      </c>
      <c r="BC192" s="76">
        <v>61.795699999999997</v>
      </c>
      <c r="BD192" s="76">
        <v>28</v>
      </c>
      <c r="BE192" s="76" t="s">
        <v>1735</v>
      </c>
      <c r="BF192" s="76" t="s">
        <v>1736</v>
      </c>
      <c r="BG192" s="76" t="s">
        <v>1742</v>
      </c>
      <c r="BH192" s="76" t="s">
        <v>1743</v>
      </c>
      <c r="BI192" s="76">
        <v>2200</v>
      </c>
      <c r="BM192" s="79"/>
      <c r="BN192" s="98" t="s">
        <v>2493</v>
      </c>
      <c r="BO192" s="76">
        <v>2</v>
      </c>
      <c r="BP192" s="76">
        <v>2</v>
      </c>
      <c r="BQ192" s="76">
        <v>6</v>
      </c>
      <c r="BR192" s="76" t="s">
        <v>825</v>
      </c>
      <c r="BS192" s="76" t="s">
        <v>180</v>
      </c>
      <c r="BT192" s="76" t="s">
        <v>2494</v>
      </c>
      <c r="BU192" s="99">
        <v>45627</v>
      </c>
      <c r="BV192" s="79">
        <v>35969</v>
      </c>
      <c r="BW192" s="120"/>
      <c r="BX192" s="96" t="s">
        <v>170</v>
      </c>
      <c r="BY192" s="76" t="s">
        <v>170</v>
      </c>
      <c r="CB192" s="76" t="s">
        <v>170</v>
      </c>
      <c r="CC192" s="76" t="s">
        <v>170</v>
      </c>
      <c r="CD192" s="76" t="s">
        <v>2692</v>
      </c>
      <c r="CE192" s="76" t="s">
        <v>170</v>
      </c>
      <c r="CG192" s="76" t="s">
        <v>169</v>
      </c>
      <c r="CH192" s="76" t="s">
        <v>314</v>
      </c>
      <c r="CI192" s="76" t="s">
        <v>169</v>
      </c>
      <c r="CJ192" s="76" t="s">
        <v>303</v>
      </c>
      <c r="CK192" s="76" t="s">
        <v>233</v>
      </c>
      <c r="CM192" s="76">
        <v>1</v>
      </c>
      <c r="CN192" s="76" t="s">
        <v>234</v>
      </c>
      <c r="CP192" s="76">
        <v>360</v>
      </c>
      <c r="CQ192" s="76">
        <v>70</v>
      </c>
      <c r="CR192" s="76">
        <v>166</v>
      </c>
      <c r="CS192" s="76" t="s">
        <v>1752</v>
      </c>
      <c r="CV192" s="76" t="s">
        <v>341</v>
      </c>
      <c r="CX192" s="76" t="s">
        <v>342</v>
      </c>
      <c r="CY192" s="76" t="s">
        <v>170</v>
      </c>
      <c r="DD192" s="76">
        <v>1</v>
      </c>
      <c r="DE192" s="76" t="s">
        <v>344</v>
      </c>
      <c r="DG192" s="76">
        <v>140</v>
      </c>
      <c r="DJ192" s="76" t="s">
        <v>184</v>
      </c>
      <c r="DK192" s="76" t="s">
        <v>185</v>
      </c>
      <c r="DL192" s="76" t="s">
        <v>170</v>
      </c>
      <c r="DM192" s="76" t="s">
        <v>169</v>
      </c>
      <c r="DN192" s="76" t="s">
        <v>170</v>
      </c>
      <c r="DO192" s="76" t="s">
        <v>186</v>
      </c>
      <c r="DP192" s="76" t="s">
        <v>169</v>
      </c>
      <c r="DQ192" s="76" t="s">
        <v>198</v>
      </c>
      <c r="DS192" s="76" t="s">
        <v>2496</v>
      </c>
      <c r="DT192" s="76" t="s">
        <v>2497</v>
      </c>
      <c r="DU192" s="76" t="s">
        <v>2513</v>
      </c>
      <c r="DV192" s="76" t="s">
        <v>2514</v>
      </c>
      <c r="DY192" s="76">
        <v>28</v>
      </c>
      <c r="DZ192" s="79"/>
      <c r="EA192" s="101"/>
      <c r="EB192" s="96">
        <v>6</v>
      </c>
      <c r="EC192" s="76">
        <v>8</v>
      </c>
      <c r="ED192" s="79">
        <v>10</v>
      </c>
      <c r="EE192" s="96" t="s">
        <v>2693</v>
      </c>
      <c r="EF192" s="76">
        <v>4</v>
      </c>
      <c r="EH192" s="79"/>
      <c r="EI192" s="96"/>
      <c r="EM192" s="96"/>
      <c r="EP192" s="79"/>
      <c r="EQ192" s="96"/>
      <c r="ET192" s="79"/>
      <c r="EU192" s="96"/>
      <c r="EV192" s="79">
        <v>1500</v>
      </c>
      <c r="EW192" s="96">
        <v>0</v>
      </c>
      <c r="EX192" s="76">
        <v>0</v>
      </c>
      <c r="EY192" s="79">
        <v>0</v>
      </c>
      <c r="EZ192" s="102">
        <v>185</v>
      </c>
      <c r="FA192" s="76">
        <v>2.5</v>
      </c>
      <c r="FB192" s="79"/>
      <c r="FC192" s="97">
        <v>490</v>
      </c>
      <c r="FD192" s="96">
        <v>30</v>
      </c>
      <c r="FE192" s="76">
        <v>37</v>
      </c>
      <c r="FF192" s="79">
        <v>32</v>
      </c>
      <c r="FG192" s="76">
        <v>198</v>
      </c>
      <c r="FH192" s="76">
        <v>155</v>
      </c>
      <c r="FI192" s="103">
        <v>178</v>
      </c>
      <c r="FJ192" s="104">
        <v>26.39</v>
      </c>
      <c r="FK192" s="105">
        <v>30.11</v>
      </c>
      <c r="FL192" s="103">
        <v>28</v>
      </c>
      <c r="FM192" s="76">
        <v>0.54400000000000004</v>
      </c>
      <c r="FN192" s="76">
        <v>0.58699999999999997</v>
      </c>
      <c r="FO192" s="79">
        <v>0.56399999999999995</v>
      </c>
      <c r="FP192" s="106">
        <v>0</v>
      </c>
      <c r="FQ192" s="107">
        <v>0</v>
      </c>
      <c r="FR192" s="107">
        <v>0</v>
      </c>
      <c r="FS192" s="108">
        <v>21.1</v>
      </c>
    </row>
    <row r="193" spans="1:190" s="76" customFormat="1" x14ac:dyDescent="0.35">
      <c r="A193" s="76">
        <v>2025</v>
      </c>
      <c r="B193" s="162" t="s">
        <v>299</v>
      </c>
      <c r="C193" s="162" t="s">
        <v>299</v>
      </c>
      <c r="D193" s="162" t="s">
        <v>2690</v>
      </c>
      <c r="E193" s="162" t="s">
        <v>301</v>
      </c>
      <c r="F193" s="162">
        <v>457</v>
      </c>
      <c r="G193" s="162">
        <v>4</v>
      </c>
      <c r="H193" s="162">
        <v>8</v>
      </c>
      <c r="I193" s="163" t="s">
        <v>192</v>
      </c>
      <c r="J193" s="96">
        <v>21</v>
      </c>
      <c r="K193" s="76">
        <v>24</v>
      </c>
      <c r="L193" s="76">
        <v>21</v>
      </c>
      <c r="M193" s="76">
        <v>26</v>
      </c>
      <c r="N193" s="76">
        <v>33.6</v>
      </c>
      <c r="O193" s="76">
        <v>28.946300000000001</v>
      </c>
      <c r="P193" s="76">
        <v>20.529599999999999</v>
      </c>
      <c r="Q193" s="76">
        <v>23.970600000000001</v>
      </c>
      <c r="R193" s="76">
        <v>21</v>
      </c>
      <c r="T193" s="76" t="s">
        <v>165</v>
      </c>
      <c r="U193" s="76" t="s">
        <v>166</v>
      </c>
      <c r="V193" s="76" t="s">
        <v>211</v>
      </c>
      <c r="W193" s="76" t="s">
        <v>212</v>
      </c>
      <c r="Y193" s="76">
        <v>8</v>
      </c>
      <c r="Z193" s="76" t="s">
        <v>169</v>
      </c>
      <c r="AA193" s="76" t="s">
        <v>170</v>
      </c>
      <c r="AB193" s="76" t="s">
        <v>167</v>
      </c>
      <c r="AC193" s="76" t="s">
        <v>213</v>
      </c>
      <c r="AD193" s="76">
        <v>10</v>
      </c>
      <c r="AF193" s="76">
        <v>466</v>
      </c>
      <c r="AG193" s="76" t="s">
        <v>173</v>
      </c>
      <c r="AH193" s="76" t="s">
        <v>174</v>
      </c>
      <c r="AI193" s="76" t="s">
        <v>175</v>
      </c>
      <c r="AJ193" s="79" t="s">
        <v>176</v>
      </c>
      <c r="AK193" s="96" t="s">
        <v>170</v>
      </c>
      <c r="AL193" s="76" t="s">
        <v>177</v>
      </c>
      <c r="AQ193" s="76">
        <v>98</v>
      </c>
      <c r="AR193" s="79">
        <v>27</v>
      </c>
      <c r="AS193" s="96">
        <v>2200</v>
      </c>
      <c r="AT193" s="79">
        <v>2200</v>
      </c>
      <c r="AU193" s="96">
        <v>51</v>
      </c>
      <c r="AV193" s="76">
        <v>60</v>
      </c>
      <c r="AW193" s="76">
        <v>55</v>
      </c>
      <c r="AX193" s="76">
        <v>72.900000000000006</v>
      </c>
      <c r="AY193" s="76">
        <v>85.5</v>
      </c>
      <c r="AZ193" s="76">
        <v>78.077799999999996</v>
      </c>
      <c r="BA193" s="76">
        <v>51.144100000000002</v>
      </c>
      <c r="BB193" s="76">
        <v>59.913899999999998</v>
      </c>
      <c r="BC193" s="76">
        <v>54.750399999999999</v>
      </c>
      <c r="BD193" s="76">
        <v>28</v>
      </c>
      <c r="BE193" s="76" t="s">
        <v>1735</v>
      </c>
      <c r="BF193" s="76" t="s">
        <v>1736</v>
      </c>
      <c r="BG193" s="76" t="s">
        <v>175</v>
      </c>
      <c r="BH193" s="76" t="s">
        <v>176</v>
      </c>
      <c r="BI193" s="76">
        <v>2200</v>
      </c>
      <c r="BM193" s="79"/>
      <c r="BN193" s="98" t="s">
        <v>2493</v>
      </c>
      <c r="BO193" s="76">
        <v>2</v>
      </c>
      <c r="BP193" s="76">
        <v>2</v>
      </c>
      <c r="BQ193" s="76">
        <v>6</v>
      </c>
      <c r="BR193" s="76" t="s">
        <v>825</v>
      </c>
      <c r="BS193" s="76" t="s">
        <v>180</v>
      </c>
      <c r="BT193" s="76" t="s">
        <v>2494</v>
      </c>
      <c r="BU193" s="99">
        <v>45627</v>
      </c>
      <c r="BV193" s="79">
        <v>35969</v>
      </c>
      <c r="BW193" s="120"/>
      <c r="BX193" s="96" t="s">
        <v>170</v>
      </c>
      <c r="BY193" s="76" t="s">
        <v>170</v>
      </c>
      <c r="CB193" s="76" t="s">
        <v>170</v>
      </c>
      <c r="CC193" s="76" t="s">
        <v>170</v>
      </c>
      <c r="CD193" s="76" t="s">
        <v>2692</v>
      </c>
      <c r="CE193" s="76" t="s">
        <v>170</v>
      </c>
      <c r="CG193" s="76" t="s">
        <v>169</v>
      </c>
      <c r="CH193" s="76" t="s">
        <v>314</v>
      </c>
      <c r="CI193" s="76" t="s">
        <v>169</v>
      </c>
      <c r="CJ193" s="76" t="s">
        <v>303</v>
      </c>
      <c r="CK193" s="76" t="s">
        <v>233</v>
      </c>
      <c r="CM193" s="76">
        <v>1</v>
      </c>
      <c r="CN193" s="76" t="s">
        <v>234</v>
      </c>
      <c r="CP193" s="76">
        <v>360</v>
      </c>
      <c r="CQ193" s="76">
        <v>70</v>
      </c>
      <c r="CR193" s="76">
        <v>166</v>
      </c>
      <c r="CS193" s="76" t="s">
        <v>1752</v>
      </c>
      <c r="CV193" s="76" t="s">
        <v>341</v>
      </c>
      <c r="CX193" s="76" t="s">
        <v>342</v>
      </c>
      <c r="CY193" s="76" t="s">
        <v>170</v>
      </c>
      <c r="DD193" s="76">
        <v>1</v>
      </c>
      <c r="DE193" s="76" t="s">
        <v>344</v>
      </c>
      <c r="DG193" s="76">
        <v>140</v>
      </c>
      <c r="DJ193" s="76" t="s">
        <v>184</v>
      </c>
      <c r="DK193" s="76" t="s">
        <v>185</v>
      </c>
      <c r="DL193" s="76" t="s">
        <v>170</v>
      </c>
      <c r="DM193" s="76" t="s">
        <v>169</v>
      </c>
      <c r="DN193" s="76" t="s">
        <v>170</v>
      </c>
      <c r="DO193" s="76" t="s">
        <v>186</v>
      </c>
      <c r="DP193" s="76" t="s">
        <v>169</v>
      </c>
      <c r="DQ193" s="76" t="s">
        <v>198</v>
      </c>
      <c r="DS193" s="76" t="s">
        <v>2496</v>
      </c>
      <c r="DT193" s="76" t="s">
        <v>2497</v>
      </c>
      <c r="DU193" s="76" t="s">
        <v>2513</v>
      </c>
      <c r="DV193" s="76" t="s">
        <v>2514</v>
      </c>
      <c r="DY193" s="76">
        <v>28</v>
      </c>
      <c r="DZ193" s="79"/>
      <c r="EA193" s="101"/>
      <c r="EB193" s="96">
        <v>6</v>
      </c>
      <c r="EC193" s="76">
        <v>8</v>
      </c>
      <c r="ED193" s="79">
        <v>10</v>
      </c>
      <c r="EE193" s="96" t="s">
        <v>2693</v>
      </c>
      <c r="EF193" s="76">
        <v>4</v>
      </c>
      <c r="EH193" s="79"/>
      <c r="EI193" s="96"/>
      <c r="EM193" s="96"/>
      <c r="EP193" s="79"/>
      <c r="EQ193" s="96"/>
      <c r="ET193" s="79"/>
      <c r="EU193" s="96"/>
      <c r="EV193" s="79">
        <v>1500</v>
      </c>
      <c r="EW193" s="96">
        <v>433</v>
      </c>
      <c r="EX193" s="76">
        <v>371</v>
      </c>
      <c r="EY193" s="79">
        <v>185</v>
      </c>
      <c r="EZ193" s="102">
        <v>185</v>
      </c>
      <c r="FA193" s="76">
        <v>2.5</v>
      </c>
      <c r="FB193" s="79"/>
      <c r="FC193" s="97">
        <v>490</v>
      </c>
      <c r="FD193" s="96">
        <v>30</v>
      </c>
      <c r="FE193" s="76">
        <v>37</v>
      </c>
      <c r="FF193" s="79">
        <v>32</v>
      </c>
      <c r="FG193" s="76">
        <v>198</v>
      </c>
      <c r="FH193" s="76">
        <v>155</v>
      </c>
      <c r="FI193" s="103">
        <v>178</v>
      </c>
      <c r="FJ193" s="98" t="s">
        <v>2683</v>
      </c>
      <c r="FK193" s="111"/>
      <c r="FL193" s="103"/>
      <c r="FM193" s="76">
        <v>0.54400000000000004</v>
      </c>
      <c r="FN193" s="76">
        <v>0.58699999999999997</v>
      </c>
      <c r="FO193" s="79">
        <v>0.56399999999999995</v>
      </c>
      <c r="FP193" s="106"/>
      <c r="FQ193" s="107"/>
      <c r="FR193" s="107"/>
      <c r="FS193" s="108">
        <v>21.1</v>
      </c>
    </row>
    <row r="194" spans="1:190" s="77" customFormat="1" x14ac:dyDescent="0.35">
      <c r="A194" s="76"/>
      <c r="E194" s="76"/>
      <c r="F194" s="76"/>
      <c r="G194" s="78"/>
      <c r="H194" s="76"/>
      <c r="I194" s="79"/>
      <c r="J194" s="80"/>
      <c r="K194" s="28"/>
      <c r="L194" s="28"/>
      <c r="M194" s="25" t="str">
        <f>_xlfn.CONCAT(A195," ",C195," ",D195)</f>
        <v>2025 Porsche Panamera 4S E-Hybrid</v>
      </c>
      <c r="N194" s="28"/>
      <c r="O194" s="28"/>
      <c r="P194" s="28"/>
      <c r="Q194" s="28"/>
      <c r="R194" s="28"/>
      <c r="S194" s="28"/>
      <c r="T194" s="28"/>
      <c r="U194" s="28"/>
      <c r="V194" s="28"/>
      <c r="W194" s="28"/>
      <c r="X194" s="28"/>
      <c r="Y194" s="28"/>
      <c r="Z194" s="28"/>
      <c r="AA194" s="28"/>
      <c r="AB194" s="28"/>
      <c r="AC194" s="28"/>
      <c r="AD194" s="25" t="str">
        <f>$M194</f>
        <v>2025 Porsche Panamera 4S E-Hybrid</v>
      </c>
      <c r="AE194" s="28"/>
      <c r="AF194" s="28"/>
      <c r="AG194" s="28"/>
      <c r="AH194" s="28"/>
      <c r="AI194" s="28"/>
      <c r="AJ194" s="81"/>
      <c r="AK194" s="82"/>
      <c r="AL194" s="2"/>
      <c r="AM194" s="2"/>
      <c r="AN194" s="2"/>
      <c r="AO194" s="2"/>
      <c r="AP194" s="2"/>
      <c r="AQ194" s="2"/>
      <c r="AR194" s="83"/>
      <c r="AS194" s="84"/>
      <c r="AT194" s="85" t="str">
        <f>$M194</f>
        <v>2025 Porsche Panamera 4S E-Hybrid</v>
      </c>
      <c r="AU194" s="84"/>
      <c r="AV194" s="28"/>
      <c r="AW194" s="28"/>
      <c r="AX194" s="28"/>
      <c r="AY194" s="28"/>
      <c r="AZ194" s="28"/>
      <c r="BA194" s="28"/>
      <c r="BB194" s="28"/>
      <c r="BC194" s="28"/>
      <c r="BD194" s="28"/>
      <c r="BE194" s="28"/>
      <c r="BF194" s="28"/>
      <c r="BG194" s="28"/>
      <c r="BH194" s="28"/>
      <c r="BI194" s="25" t="str">
        <f>$M194</f>
        <v>2025 Porsche Panamera 4S E-Hybrid</v>
      </c>
      <c r="BJ194" s="28"/>
      <c r="BK194" s="28"/>
      <c r="BL194" s="28"/>
      <c r="BM194" s="81"/>
      <c r="BN194" s="82"/>
      <c r="BO194" s="2"/>
      <c r="BP194" s="2"/>
      <c r="BQ194" s="2"/>
      <c r="BR194" s="2"/>
      <c r="BS194" s="2"/>
      <c r="BT194" s="86"/>
      <c r="BU194" s="2"/>
      <c r="BV194" s="83"/>
      <c r="BW194" s="121"/>
      <c r="BX194" s="84"/>
      <c r="BY194" s="25" t="str">
        <f>$M194</f>
        <v>2025 Porsche Panamera 4S E-Hybrid</v>
      </c>
      <c r="BZ194" s="28"/>
      <c r="CA194" s="28"/>
      <c r="CB194" s="28"/>
      <c r="CC194" s="28"/>
      <c r="CD194" s="28"/>
      <c r="CE194" s="88"/>
      <c r="CF194" s="28"/>
      <c r="CG194" s="28"/>
      <c r="CH194" s="28"/>
      <c r="CI194" s="28"/>
      <c r="CJ194" s="28"/>
      <c r="CK194" s="28"/>
      <c r="CL194" s="28"/>
      <c r="CM194" s="28"/>
      <c r="CN194" s="28"/>
      <c r="CO194" s="25" t="str">
        <f>$M194</f>
        <v>2025 Porsche Panamera 4S E-Hybrid</v>
      </c>
      <c r="CP194" s="28"/>
      <c r="CQ194" s="28"/>
      <c r="CR194" s="28"/>
      <c r="CS194" s="28"/>
      <c r="CT194" s="28"/>
      <c r="CU194" s="28"/>
      <c r="CV194" s="28"/>
      <c r="CW194" s="28"/>
      <c r="CX194" s="28"/>
      <c r="CY194" s="28"/>
      <c r="CZ194" s="28"/>
      <c r="DA194" s="28"/>
      <c r="DB194" s="28"/>
      <c r="DC194" s="28"/>
      <c r="DD194" s="28"/>
      <c r="DE194" s="28"/>
      <c r="DF194" s="25" t="str">
        <f>$M194</f>
        <v>2025 Porsche Panamera 4S E-Hybrid</v>
      </c>
      <c r="DG194" s="28"/>
      <c r="DH194" s="28"/>
      <c r="DI194" s="28"/>
      <c r="DJ194" s="28"/>
      <c r="DK194" s="28"/>
      <c r="DL194" s="28"/>
      <c r="DM194" s="28"/>
      <c r="DN194" s="28"/>
      <c r="DO194" s="28"/>
      <c r="DP194" s="28"/>
      <c r="DQ194" s="28"/>
      <c r="DR194" s="25"/>
      <c r="DS194" s="25"/>
      <c r="DT194" s="25"/>
      <c r="DU194" s="25"/>
      <c r="DV194" s="25"/>
      <c r="DW194" s="25" t="str">
        <f>$M194</f>
        <v>2025 Porsche Panamera 4S E-Hybrid</v>
      </c>
      <c r="DX194" s="25"/>
      <c r="DY194" s="25"/>
      <c r="DZ194" s="85"/>
      <c r="EA194" s="89"/>
      <c r="EB194" s="80"/>
      <c r="EC194" s="25"/>
      <c r="ED194" s="85"/>
      <c r="EE194" s="80"/>
      <c r="EF194" s="25"/>
      <c r="EG194" s="25"/>
      <c r="EH194" s="85"/>
      <c r="EI194" s="80"/>
      <c r="EK194" t="s">
        <v>2445</v>
      </c>
      <c r="EL194" s="25" t="str">
        <f>$M194</f>
        <v>2025 Porsche Panamera 4S E-Hybrid</v>
      </c>
      <c r="EM194" s="80"/>
      <c r="EP194" s="75"/>
      <c r="EQ194" s="90"/>
      <c r="ET194" s="75"/>
      <c r="EU194" s="90"/>
      <c r="EV194" s="75"/>
      <c r="EW194" s="90"/>
      <c r="EY194" s="75"/>
      <c r="EZ194" s="102"/>
      <c r="FA194" s="25" t="str">
        <f>$M194</f>
        <v>2025 Porsche Panamera 4S E-Hybrid</v>
      </c>
      <c r="FB194" s="75"/>
      <c r="FC194" s="91"/>
      <c r="FD194" s="80"/>
      <c r="FE194" s="25"/>
      <c r="FF194" s="85"/>
      <c r="FG194" s="80"/>
      <c r="FH194" s="25"/>
      <c r="FI194" s="85"/>
      <c r="FJ194" s="80"/>
      <c r="FK194" s="25"/>
      <c r="FL194" s="85"/>
      <c r="FM194" s="25" t="str">
        <f>$M194</f>
        <v>2025 Porsche Panamera 4S E-Hybrid</v>
      </c>
      <c r="FN194" s="25"/>
      <c r="FO194" s="85"/>
      <c r="FP194" s="92"/>
      <c r="FQ194" s="93"/>
      <c r="FR194" s="94"/>
      <c r="FS194" s="95"/>
      <c r="FT194" s="25"/>
      <c r="FU194" s="25"/>
      <c r="FV194" s="25"/>
      <c r="FW194" s="25"/>
      <c r="FX194" s="25"/>
      <c r="FY194" s="25"/>
      <c r="FZ194" s="25"/>
      <c r="GA194" s="25"/>
      <c r="GB194" s="25"/>
      <c r="GC194" s="25"/>
      <c r="GD194" s="25"/>
      <c r="GE194" s="25"/>
      <c r="GF194" s="25"/>
      <c r="GG194" s="25"/>
      <c r="GH194" s="25"/>
    </row>
    <row r="195" spans="1:190" s="76" customFormat="1" x14ac:dyDescent="0.35">
      <c r="A195" s="76">
        <v>2025</v>
      </c>
      <c r="B195" s="76" t="s">
        <v>299</v>
      </c>
      <c r="C195" s="76" t="s">
        <v>299</v>
      </c>
      <c r="D195" s="109" t="s">
        <v>2694</v>
      </c>
      <c r="E195" s="76" t="s">
        <v>301</v>
      </c>
      <c r="F195" s="109">
        <v>627</v>
      </c>
      <c r="G195" s="109">
        <v>2.9</v>
      </c>
      <c r="H195" s="109">
        <v>8</v>
      </c>
      <c r="I195" s="110" t="s">
        <v>361</v>
      </c>
      <c r="J195" s="96">
        <v>20</v>
      </c>
      <c r="K195" s="76">
        <v>23</v>
      </c>
      <c r="L195" s="76">
        <v>21</v>
      </c>
      <c r="M195" s="76">
        <v>24.7</v>
      </c>
      <c r="N195" s="76">
        <v>32.5</v>
      </c>
      <c r="O195" s="76">
        <v>27.6906</v>
      </c>
      <c r="P195" s="76">
        <v>19.5853</v>
      </c>
      <c r="Q195" s="76">
        <v>23.244</v>
      </c>
      <c r="R195" s="76">
        <v>21.078299999999999</v>
      </c>
      <c r="T195" s="76" t="s">
        <v>165</v>
      </c>
      <c r="U195" s="76" t="s">
        <v>166</v>
      </c>
      <c r="V195" s="76" t="s">
        <v>211</v>
      </c>
      <c r="W195" s="76" t="s">
        <v>212</v>
      </c>
      <c r="Y195" s="76">
        <v>8</v>
      </c>
      <c r="Z195" s="76" t="s">
        <v>169</v>
      </c>
      <c r="AA195" s="76" t="s">
        <v>170</v>
      </c>
      <c r="AB195" s="76" t="s">
        <v>167</v>
      </c>
      <c r="AC195" s="76" t="s">
        <v>213</v>
      </c>
      <c r="AD195" s="76">
        <v>10</v>
      </c>
      <c r="AF195" s="76">
        <v>448</v>
      </c>
      <c r="AG195" s="76" t="s">
        <v>173</v>
      </c>
      <c r="AH195" s="76" t="s">
        <v>174</v>
      </c>
      <c r="AI195" s="76" t="s">
        <v>175</v>
      </c>
      <c r="AJ195" s="79" t="s">
        <v>176</v>
      </c>
      <c r="AK195" s="96" t="s">
        <v>170</v>
      </c>
      <c r="AL195" s="76" t="s">
        <v>177</v>
      </c>
      <c r="AQ195" s="76">
        <v>98</v>
      </c>
      <c r="AR195" s="79">
        <v>27</v>
      </c>
      <c r="AS195" s="96">
        <v>2200</v>
      </c>
      <c r="AT195" s="79">
        <v>2200</v>
      </c>
      <c r="AU195" s="96">
        <v>67</v>
      </c>
      <c r="AV195" s="76">
        <v>57</v>
      </c>
      <c r="AW195" s="76">
        <v>63</v>
      </c>
      <c r="AX195" s="76">
        <v>46.7</v>
      </c>
      <c r="AY195" s="76">
        <v>40.299999999999997</v>
      </c>
      <c r="AZ195" s="76">
        <v>43.82</v>
      </c>
      <c r="BA195" s="76">
        <v>67.153999999999996</v>
      </c>
      <c r="BB195" s="76">
        <v>57.412999999999997</v>
      </c>
      <c r="BC195" s="76">
        <v>62.770600000000002</v>
      </c>
      <c r="BD195" s="76">
        <v>28</v>
      </c>
      <c r="BE195" s="76" t="s">
        <v>1735</v>
      </c>
      <c r="BF195" s="76" t="s">
        <v>1736</v>
      </c>
      <c r="BG195" s="76" t="s">
        <v>1742</v>
      </c>
      <c r="BH195" s="76" t="s">
        <v>1743</v>
      </c>
      <c r="BI195" s="76">
        <v>2200</v>
      </c>
      <c r="BM195" s="79"/>
      <c r="BN195" s="98" t="s">
        <v>2493</v>
      </c>
      <c r="BO195" s="76">
        <v>2</v>
      </c>
      <c r="BP195" s="76">
        <v>2</v>
      </c>
      <c r="BQ195" s="76">
        <v>6</v>
      </c>
      <c r="BR195" s="76" t="s">
        <v>825</v>
      </c>
      <c r="BS195" s="76" t="s">
        <v>180</v>
      </c>
      <c r="BT195" s="76" t="s">
        <v>2494</v>
      </c>
      <c r="BU195" s="99">
        <v>45627</v>
      </c>
      <c r="BV195" s="79">
        <v>35971</v>
      </c>
      <c r="BW195" s="120"/>
      <c r="BX195" s="96" t="s">
        <v>170</v>
      </c>
      <c r="BY195" s="76" t="s">
        <v>170</v>
      </c>
      <c r="CB195" s="76" t="s">
        <v>170</v>
      </c>
      <c r="CC195" s="76" t="s">
        <v>170</v>
      </c>
      <c r="CD195" s="76" t="s">
        <v>2695</v>
      </c>
      <c r="CE195" s="76" t="s">
        <v>170</v>
      </c>
      <c r="CG195" s="76" t="s">
        <v>169</v>
      </c>
      <c r="CH195" s="76" t="s">
        <v>314</v>
      </c>
      <c r="CI195" s="76" t="s">
        <v>169</v>
      </c>
      <c r="CJ195" s="76" t="s">
        <v>303</v>
      </c>
      <c r="CK195" s="76" t="s">
        <v>233</v>
      </c>
      <c r="CM195" s="76">
        <v>1</v>
      </c>
      <c r="CN195" s="76" t="s">
        <v>234</v>
      </c>
      <c r="CP195" s="76">
        <v>360</v>
      </c>
      <c r="CQ195" s="76">
        <v>70</v>
      </c>
      <c r="CR195" s="76">
        <v>166</v>
      </c>
      <c r="CS195" s="76" t="s">
        <v>1752</v>
      </c>
      <c r="CV195" s="76" t="s">
        <v>341</v>
      </c>
      <c r="CX195" s="76" t="s">
        <v>342</v>
      </c>
      <c r="CY195" s="76" t="s">
        <v>170</v>
      </c>
      <c r="DD195" s="76">
        <v>1</v>
      </c>
      <c r="DE195" s="76" t="s">
        <v>344</v>
      </c>
      <c r="DG195" s="76">
        <v>140</v>
      </c>
      <c r="DJ195" s="76" t="s">
        <v>184</v>
      </c>
      <c r="DK195" s="76" t="s">
        <v>185</v>
      </c>
      <c r="DL195" s="76" t="s">
        <v>170</v>
      </c>
      <c r="DM195" s="76" t="s">
        <v>169</v>
      </c>
      <c r="DN195" s="76" t="s">
        <v>170</v>
      </c>
      <c r="DO195" s="76" t="s">
        <v>186</v>
      </c>
      <c r="DP195" s="76" t="s">
        <v>169</v>
      </c>
      <c r="DQ195" s="76" t="s">
        <v>198</v>
      </c>
      <c r="DS195" s="76" t="s">
        <v>2496</v>
      </c>
      <c r="DT195" s="76" t="s">
        <v>2497</v>
      </c>
      <c r="DU195" s="76" t="s">
        <v>2513</v>
      </c>
      <c r="DV195" s="76" t="s">
        <v>2514</v>
      </c>
      <c r="DY195" s="76">
        <v>28</v>
      </c>
      <c r="DZ195" s="79"/>
      <c r="EA195" s="101"/>
      <c r="EB195" s="96">
        <v>6</v>
      </c>
      <c r="EC195" s="76">
        <v>8</v>
      </c>
      <c r="ED195" s="79">
        <v>10</v>
      </c>
      <c r="EE195" s="96" t="s">
        <v>2693</v>
      </c>
      <c r="EF195" s="76">
        <v>4</v>
      </c>
      <c r="EH195" s="79"/>
      <c r="EI195" s="96"/>
      <c r="EM195" s="96"/>
      <c r="EP195" s="79"/>
      <c r="EQ195" s="96"/>
      <c r="ET195" s="79"/>
      <c r="EU195" s="96"/>
      <c r="EV195" s="79">
        <v>1500</v>
      </c>
      <c r="EW195" s="96">
        <v>0</v>
      </c>
      <c r="EX195" s="76">
        <v>0</v>
      </c>
      <c r="EY195" s="79">
        <v>0</v>
      </c>
      <c r="EZ195" s="102">
        <v>187</v>
      </c>
      <c r="FA195" s="76">
        <v>2.5</v>
      </c>
      <c r="FB195" s="79"/>
      <c r="FC195" s="97">
        <v>480</v>
      </c>
      <c r="FD195" s="96">
        <v>29</v>
      </c>
      <c r="FE195" s="76">
        <v>36</v>
      </c>
      <c r="FF195" s="79">
        <v>32</v>
      </c>
      <c r="FG195" s="76">
        <v>208</v>
      </c>
      <c r="FH195" s="76">
        <v>162</v>
      </c>
      <c r="FI195" s="103">
        <v>187</v>
      </c>
      <c r="FJ195" s="104">
        <v>26.18</v>
      </c>
      <c r="FK195" s="105">
        <v>29.42</v>
      </c>
      <c r="FL195" s="103">
        <v>28</v>
      </c>
      <c r="FM195" s="76">
        <v>0.54200000000000004</v>
      </c>
      <c r="FN195" s="76">
        <v>0.57999999999999996</v>
      </c>
      <c r="FO195" s="79">
        <v>0.55900000000000005</v>
      </c>
      <c r="FP195" s="106">
        <v>0</v>
      </c>
      <c r="FQ195" s="107">
        <v>0</v>
      </c>
      <c r="FR195" s="107">
        <v>0</v>
      </c>
      <c r="FS195" s="108">
        <v>21.1</v>
      </c>
    </row>
    <row r="196" spans="1:190" s="76" customFormat="1" x14ac:dyDescent="0.35">
      <c r="A196" s="76">
        <v>2025</v>
      </c>
      <c r="B196" s="162" t="s">
        <v>299</v>
      </c>
      <c r="C196" s="162" t="s">
        <v>299</v>
      </c>
      <c r="D196" s="162" t="s">
        <v>2690</v>
      </c>
      <c r="E196" s="162" t="s">
        <v>301</v>
      </c>
      <c r="F196" s="162">
        <v>457</v>
      </c>
      <c r="G196" s="162">
        <v>4</v>
      </c>
      <c r="H196" s="162">
        <v>8</v>
      </c>
      <c r="I196" s="163" t="s">
        <v>192</v>
      </c>
      <c r="J196" s="96">
        <v>20</v>
      </c>
      <c r="K196" s="76">
        <v>23</v>
      </c>
      <c r="L196" s="76">
        <v>21</v>
      </c>
      <c r="M196" s="76">
        <v>24.7</v>
      </c>
      <c r="N196" s="76">
        <v>32.5</v>
      </c>
      <c r="O196" s="76">
        <v>27.6906</v>
      </c>
      <c r="P196" s="76">
        <v>19.5853</v>
      </c>
      <c r="Q196" s="76">
        <v>23.244</v>
      </c>
      <c r="R196" s="76">
        <v>21.078299999999999</v>
      </c>
      <c r="T196" s="76" t="s">
        <v>165</v>
      </c>
      <c r="U196" s="76" t="s">
        <v>166</v>
      </c>
      <c r="V196" s="76" t="s">
        <v>211</v>
      </c>
      <c r="W196" s="76" t="s">
        <v>212</v>
      </c>
      <c r="Y196" s="76">
        <v>8</v>
      </c>
      <c r="Z196" s="76" t="s">
        <v>169</v>
      </c>
      <c r="AA196" s="76" t="s">
        <v>170</v>
      </c>
      <c r="AB196" s="76" t="s">
        <v>167</v>
      </c>
      <c r="AC196" s="76" t="s">
        <v>213</v>
      </c>
      <c r="AD196" s="76">
        <v>10</v>
      </c>
      <c r="AF196" s="76">
        <v>448</v>
      </c>
      <c r="AG196" s="76" t="s">
        <v>173</v>
      </c>
      <c r="AH196" s="76" t="s">
        <v>174</v>
      </c>
      <c r="AI196" s="76" t="s">
        <v>175</v>
      </c>
      <c r="AJ196" s="79" t="s">
        <v>176</v>
      </c>
      <c r="AK196" s="96" t="s">
        <v>170</v>
      </c>
      <c r="AL196" s="76" t="s">
        <v>177</v>
      </c>
      <c r="AQ196" s="76">
        <v>98</v>
      </c>
      <c r="AR196" s="79">
        <v>27</v>
      </c>
      <c r="AS196" s="96">
        <v>2200</v>
      </c>
      <c r="AT196" s="79">
        <v>2200</v>
      </c>
      <c r="AU196" s="96">
        <v>50</v>
      </c>
      <c r="AV196" s="76">
        <v>59</v>
      </c>
      <c r="AW196" s="76">
        <v>54</v>
      </c>
      <c r="AX196" s="76">
        <v>72.099999999999994</v>
      </c>
      <c r="AY196" s="76">
        <v>83.7</v>
      </c>
      <c r="AZ196" s="76">
        <v>76.895600000000002</v>
      </c>
      <c r="BA196" s="76">
        <v>50.499499999999998</v>
      </c>
      <c r="BB196" s="76">
        <v>58.592500000000001</v>
      </c>
      <c r="BC196" s="76">
        <v>53.846400000000003</v>
      </c>
      <c r="BD196" s="76">
        <v>28</v>
      </c>
      <c r="BE196" s="76" t="s">
        <v>1735</v>
      </c>
      <c r="BF196" s="76" t="s">
        <v>1736</v>
      </c>
      <c r="BG196" s="76" t="s">
        <v>175</v>
      </c>
      <c r="BH196" s="76" t="s">
        <v>176</v>
      </c>
      <c r="BI196" s="76">
        <v>2200</v>
      </c>
      <c r="BM196" s="79"/>
      <c r="BN196" s="98" t="s">
        <v>2493</v>
      </c>
      <c r="BO196" s="76">
        <v>2</v>
      </c>
      <c r="BP196" s="76">
        <v>2</v>
      </c>
      <c r="BQ196" s="76">
        <v>6</v>
      </c>
      <c r="BR196" s="76" t="s">
        <v>825</v>
      </c>
      <c r="BS196" s="76" t="s">
        <v>180</v>
      </c>
      <c r="BT196" s="76" t="s">
        <v>2494</v>
      </c>
      <c r="BU196" s="99">
        <v>45627</v>
      </c>
      <c r="BV196" s="79">
        <v>35971</v>
      </c>
      <c r="BW196" s="120"/>
      <c r="BX196" s="96" t="s">
        <v>170</v>
      </c>
      <c r="BY196" s="76" t="s">
        <v>170</v>
      </c>
      <c r="CB196" s="76" t="s">
        <v>170</v>
      </c>
      <c r="CC196" s="76" t="s">
        <v>170</v>
      </c>
      <c r="CD196" s="76" t="s">
        <v>2695</v>
      </c>
      <c r="CE196" s="76" t="s">
        <v>170</v>
      </c>
      <c r="CG196" s="76" t="s">
        <v>169</v>
      </c>
      <c r="CH196" s="76" t="s">
        <v>314</v>
      </c>
      <c r="CI196" s="76" t="s">
        <v>169</v>
      </c>
      <c r="CJ196" s="76" t="s">
        <v>303</v>
      </c>
      <c r="CK196" s="76" t="s">
        <v>233</v>
      </c>
      <c r="CM196" s="76">
        <v>1</v>
      </c>
      <c r="CN196" s="76" t="s">
        <v>234</v>
      </c>
      <c r="CP196" s="76">
        <v>360</v>
      </c>
      <c r="CQ196" s="76">
        <v>70</v>
      </c>
      <c r="CR196" s="76">
        <v>166</v>
      </c>
      <c r="CS196" s="76" t="s">
        <v>1752</v>
      </c>
      <c r="CV196" s="76" t="s">
        <v>341</v>
      </c>
      <c r="CX196" s="76" t="s">
        <v>342</v>
      </c>
      <c r="CY196" s="76" t="s">
        <v>170</v>
      </c>
      <c r="DD196" s="76">
        <v>1</v>
      </c>
      <c r="DE196" s="76" t="s">
        <v>344</v>
      </c>
      <c r="DG196" s="76">
        <v>140</v>
      </c>
      <c r="DJ196" s="76" t="s">
        <v>184</v>
      </c>
      <c r="DK196" s="76" t="s">
        <v>185</v>
      </c>
      <c r="DL196" s="76" t="s">
        <v>170</v>
      </c>
      <c r="DM196" s="76" t="s">
        <v>169</v>
      </c>
      <c r="DN196" s="76" t="s">
        <v>170</v>
      </c>
      <c r="DO196" s="76" t="s">
        <v>186</v>
      </c>
      <c r="DP196" s="76" t="s">
        <v>169</v>
      </c>
      <c r="DQ196" s="76" t="s">
        <v>198</v>
      </c>
      <c r="DS196" s="76" t="s">
        <v>2496</v>
      </c>
      <c r="DT196" s="76" t="s">
        <v>2497</v>
      </c>
      <c r="DU196" s="76" t="s">
        <v>2513</v>
      </c>
      <c r="DV196" s="76" t="s">
        <v>2514</v>
      </c>
      <c r="DY196" s="76">
        <v>28</v>
      </c>
      <c r="DZ196" s="79"/>
      <c r="EA196" s="101"/>
      <c r="EB196" s="96">
        <v>6</v>
      </c>
      <c r="EC196" s="76">
        <v>8</v>
      </c>
      <c r="ED196" s="79">
        <v>10</v>
      </c>
      <c r="EE196" s="96" t="s">
        <v>2693</v>
      </c>
      <c r="EF196" s="76">
        <v>4</v>
      </c>
      <c r="EH196" s="79"/>
      <c r="EI196" s="96"/>
      <c r="EM196" s="96"/>
      <c r="EP196" s="79"/>
      <c r="EQ196" s="96"/>
      <c r="ET196" s="79"/>
      <c r="EU196" s="96"/>
      <c r="EV196" s="79">
        <v>1500</v>
      </c>
      <c r="EW196" s="96">
        <v>455</v>
      </c>
      <c r="EX196" s="76">
        <v>383</v>
      </c>
      <c r="EY196" s="79">
        <v>423</v>
      </c>
      <c r="EZ196" s="102">
        <v>187</v>
      </c>
      <c r="FA196" s="76">
        <v>2.5</v>
      </c>
      <c r="FB196" s="79"/>
      <c r="FC196" s="97">
        <v>480</v>
      </c>
      <c r="FD196" s="96">
        <v>29</v>
      </c>
      <c r="FE196" s="76">
        <v>36</v>
      </c>
      <c r="FF196" s="79">
        <v>32</v>
      </c>
      <c r="FG196" s="76">
        <v>208</v>
      </c>
      <c r="FH196" s="76">
        <v>162</v>
      </c>
      <c r="FI196" s="103">
        <v>187</v>
      </c>
      <c r="FJ196" s="98" t="s">
        <v>2508</v>
      </c>
      <c r="FK196" s="111"/>
      <c r="FL196" s="103"/>
      <c r="FM196" s="76">
        <v>0.54200000000000004</v>
      </c>
      <c r="FN196" s="76">
        <v>0.57999999999999996</v>
      </c>
      <c r="FO196" s="79">
        <v>0.55900000000000005</v>
      </c>
      <c r="FP196" s="106"/>
      <c r="FQ196" s="107"/>
      <c r="FR196" s="107"/>
      <c r="FS196" s="108">
        <v>21.1</v>
      </c>
    </row>
    <row r="197" spans="1:190" s="77" customFormat="1" x14ac:dyDescent="0.35">
      <c r="A197" s="76"/>
      <c r="E197" s="76"/>
      <c r="F197" s="76"/>
      <c r="G197" s="78"/>
      <c r="H197" s="76"/>
      <c r="I197" s="79"/>
      <c r="J197" s="80"/>
      <c r="K197" s="28"/>
      <c r="L197" s="28"/>
      <c r="M197" s="25" t="str">
        <f>_xlfn.CONCAT(A198," ",C198," ",D198)</f>
        <v>2025 Volvo S60 T8 AWD</v>
      </c>
      <c r="N197" s="28"/>
      <c r="O197" s="28"/>
      <c r="P197" s="28"/>
      <c r="Q197" s="28"/>
      <c r="R197" s="28"/>
      <c r="S197" s="28"/>
      <c r="T197" s="28"/>
      <c r="U197" s="28"/>
      <c r="V197" s="28"/>
      <c r="W197" s="28"/>
      <c r="X197" s="28"/>
      <c r="Y197" s="28"/>
      <c r="Z197" s="28"/>
      <c r="AA197" s="28"/>
      <c r="AB197" s="28"/>
      <c r="AC197" s="28"/>
      <c r="AD197" s="25" t="str">
        <f>$M197</f>
        <v>2025 Volvo S60 T8 AWD</v>
      </c>
      <c r="AE197" s="28"/>
      <c r="AF197" s="28"/>
      <c r="AG197" s="28"/>
      <c r="AH197" s="28"/>
      <c r="AI197" s="28"/>
      <c r="AJ197" s="81"/>
      <c r="AK197" s="82"/>
      <c r="AL197" s="2"/>
      <c r="AM197" s="2"/>
      <c r="AN197" s="2"/>
      <c r="AO197" s="2"/>
      <c r="AP197" s="2"/>
      <c r="AQ197" s="2"/>
      <c r="AR197" s="83"/>
      <c r="AS197" s="84"/>
      <c r="AT197" s="85" t="str">
        <f>$M197</f>
        <v>2025 Volvo S60 T8 AWD</v>
      </c>
      <c r="AU197" s="84"/>
      <c r="AV197" s="28"/>
      <c r="AW197" s="28"/>
      <c r="AX197" s="28"/>
      <c r="AY197" s="28"/>
      <c r="AZ197" s="28"/>
      <c r="BA197" s="28"/>
      <c r="BB197" s="28"/>
      <c r="BC197" s="28"/>
      <c r="BD197" s="28"/>
      <c r="BE197" s="28"/>
      <c r="BF197" s="28"/>
      <c r="BG197" s="28"/>
      <c r="BH197" s="28"/>
      <c r="BI197" s="25" t="str">
        <f>$M197</f>
        <v>2025 Volvo S60 T8 AWD</v>
      </c>
      <c r="BJ197" s="28"/>
      <c r="BK197" s="28"/>
      <c r="BL197" s="28"/>
      <c r="BM197" s="81"/>
      <c r="BN197" s="82"/>
      <c r="BO197" s="2"/>
      <c r="BP197" s="2"/>
      <c r="BQ197" s="2"/>
      <c r="BR197" s="2"/>
      <c r="BS197" s="2"/>
      <c r="BT197" s="86"/>
      <c r="BU197" s="2"/>
      <c r="BV197" s="83"/>
      <c r="BW197" s="121"/>
      <c r="BX197" s="84"/>
      <c r="BY197" s="25" t="str">
        <f>$M197</f>
        <v>2025 Volvo S60 T8 AWD</v>
      </c>
      <c r="BZ197" s="28"/>
      <c r="CA197" s="28"/>
      <c r="CB197" s="28"/>
      <c r="CC197" s="28"/>
      <c r="CD197" s="28"/>
      <c r="CE197" s="88"/>
      <c r="CF197" s="28"/>
      <c r="CG197" s="28"/>
      <c r="CH197" s="28"/>
      <c r="CI197" s="28"/>
      <c r="CJ197" s="28"/>
      <c r="CK197" s="28"/>
      <c r="CL197" s="28"/>
      <c r="CM197" s="28"/>
      <c r="CN197" s="28"/>
      <c r="CO197" s="25" t="str">
        <f>$M197</f>
        <v>2025 Volvo S60 T8 AWD</v>
      </c>
      <c r="CP197" s="28"/>
      <c r="CQ197" s="28"/>
      <c r="CR197" s="28"/>
      <c r="CS197" s="28"/>
      <c r="CT197" s="28"/>
      <c r="CU197" s="28"/>
      <c r="CV197" s="28"/>
      <c r="CW197" s="28"/>
      <c r="CX197" s="28"/>
      <c r="CY197" s="28"/>
      <c r="CZ197" s="28"/>
      <c r="DA197" s="28"/>
      <c r="DB197" s="28"/>
      <c r="DC197" s="28"/>
      <c r="DD197" s="28"/>
      <c r="DE197" s="28"/>
      <c r="DF197" s="25" t="str">
        <f>$M197</f>
        <v>2025 Volvo S60 T8 AWD</v>
      </c>
      <c r="DG197" s="28"/>
      <c r="DH197" s="28"/>
      <c r="DI197" s="28"/>
      <c r="DJ197" s="28"/>
      <c r="DK197" s="28"/>
      <c r="DL197" s="28"/>
      <c r="DM197" s="28"/>
      <c r="DN197" s="28"/>
      <c r="DO197" s="28"/>
      <c r="DP197" s="28"/>
      <c r="DQ197" s="28"/>
      <c r="DR197" s="25"/>
      <c r="DS197" s="25"/>
      <c r="DT197" s="25"/>
      <c r="DU197" s="25"/>
      <c r="DV197" s="25"/>
      <c r="DW197" s="25" t="str">
        <f>$M197</f>
        <v>2025 Volvo S60 T8 AWD</v>
      </c>
      <c r="DX197" s="25"/>
      <c r="DY197" s="25"/>
      <c r="DZ197" s="85"/>
      <c r="EA197" s="89"/>
      <c r="EB197" s="80"/>
      <c r="EC197" s="25"/>
      <c r="ED197" s="85"/>
      <c r="EE197" s="80"/>
      <c r="EF197" s="25"/>
      <c r="EG197" s="25"/>
      <c r="EH197" s="85"/>
      <c r="EI197" s="80"/>
      <c r="EK197" t="s">
        <v>2445</v>
      </c>
      <c r="EL197" s="25" t="str">
        <f>$M197</f>
        <v>2025 Volvo S60 T8 AWD</v>
      </c>
      <c r="EM197" s="80"/>
      <c r="EP197" s="75"/>
      <c r="EQ197" s="90"/>
      <c r="ET197" s="75"/>
      <c r="EU197" s="90"/>
      <c r="EV197" s="75"/>
      <c r="EW197" s="90"/>
      <c r="EY197" s="75"/>
      <c r="EZ197" s="102">
        <f t="shared" si="59"/>
        <v>0</v>
      </c>
      <c r="FA197" s="25" t="str">
        <f>$M197</f>
        <v>2025 Volvo S60 T8 AWD</v>
      </c>
      <c r="FB197" s="75"/>
      <c r="FC197" s="91"/>
      <c r="FD197" s="80"/>
      <c r="FE197" s="25"/>
      <c r="FF197" s="85"/>
      <c r="FG197" s="80"/>
      <c r="FH197" s="25"/>
      <c r="FI197" s="85"/>
      <c r="FJ197" s="80"/>
      <c r="FK197" s="25"/>
      <c r="FL197" s="85"/>
      <c r="FM197" s="25" t="str">
        <f>$M197</f>
        <v>2025 Volvo S60 T8 AWD</v>
      </c>
      <c r="FN197" s="25"/>
      <c r="FO197" s="85"/>
      <c r="FP197" s="92"/>
      <c r="FQ197" s="93"/>
      <c r="FR197" s="94"/>
      <c r="FS197" s="95"/>
      <c r="FT197" s="25"/>
      <c r="FU197" s="25"/>
      <c r="FV197" s="25"/>
      <c r="FW197" s="25"/>
      <c r="FX197" s="25"/>
      <c r="FY197" s="25"/>
      <c r="FZ197" s="25"/>
      <c r="GA197" s="25"/>
      <c r="GB197" s="25"/>
      <c r="GC197" s="25"/>
      <c r="GD197" s="25"/>
      <c r="GE197" s="25"/>
      <c r="GF197" s="25"/>
      <c r="GG197" s="25"/>
      <c r="GH197" s="25"/>
    </row>
    <row r="198" spans="1:190" s="76" customFormat="1" x14ac:dyDescent="0.35">
      <c r="A198" s="76">
        <v>2025</v>
      </c>
      <c r="B198" s="76" t="s">
        <v>658</v>
      </c>
      <c r="C198" s="76" t="s">
        <v>658</v>
      </c>
      <c r="D198" s="76" t="s">
        <v>2696</v>
      </c>
      <c r="E198" s="76" t="s">
        <v>661</v>
      </c>
      <c r="F198" s="76">
        <v>209</v>
      </c>
      <c r="G198" s="78">
        <v>2</v>
      </c>
      <c r="H198" s="76">
        <v>4</v>
      </c>
      <c r="I198" s="79" t="s">
        <v>192</v>
      </c>
      <c r="J198" s="96">
        <v>30</v>
      </c>
      <c r="K198" s="76">
        <v>33</v>
      </c>
      <c r="L198" s="76">
        <v>31</v>
      </c>
      <c r="M198" s="76">
        <v>39</v>
      </c>
      <c r="N198" s="76">
        <v>47.1</v>
      </c>
      <c r="O198" s="76">
        <v>42.271299999999997</v>
      </c>
      <c r="P198" s="76">
        <v>29.5533</v>
      </c>
      <c r="Q198" s="76">
        <v>32.599800000000002</v>
      </c>
      <c r="R198" s="76">
        <v>30.8507</v>
      </c>
      <c r="T198" s="76" t="s">
        <v>165</v>
      </c>
      <c r="U198" s="76" t="s">
        <v>166</v>
      </c>
      <c r="V198" s="76" t="s">
        <v>193</v>
      </c>
      <c r="W198" s="76" t="s">
        <v>194</v>
      </c>
      <c r="Y198" s="76">
        <v>8</v>
      </c>
      <c r="Z198" s="76" t="s">
        <v>169</v>
      </c>
      <c r="AA198" s="76" t="s">
        <v>170</v>
      </c>
      <c r="AB198" s="76" t="s">
        <v>167</v>
      </c>
      <c r="AC198" s="76" t="s">
        <v>213</v>
      </c>
      <c r="AD198" s="76">
        <v>10</v>
      </c>
      <c r="AF198" s="76">
        <v>492</v>
      </c>
      <c r="AG198" s="76" t="s">
        <v>214</v>
      </c>
      <c r="AH198" s="76" t="s">
        <v>215</v>
      </c>
      <c r="AI198" s="76" t="s">
        <v>175</v>
      </c>
      <c r="AJ198" s="79" t="s">
        <v>176</v>
      </c>
      <c r="AK198" s="96" t="s">
        <v>170</v>
      </c>
      <c r="AL198" s="76" t="s">
        <v>177</v>
      </c>
      <c r="AO198" s="76">
        <v>93</v>
      </c>
      <c r="AP198" s="76">
        <v>12</v>
      </c>
      <c r="AR198" s="79"/>
      <c r="AS198" s="96">
        <v>1350</v>
      </c>
      <c r="AT198" s="79">
        <v>1350</v>
      </c>
      <c r="AU198" s="96">
        <v>44</v>
      </c>
      <c r="AV198" s="76">
        <v>44</v>
      </c>
      <c r="AW198" s="76">
        <v>44</v>
      </c>
      <c r="AX198" s="76">
        <v>30.4</v>
      </c>
      <c r="AY198" s="76">
        <v>30.6</v>
      </c>
      <c r="AZ198" s="76">
        <v>30.49</v>
      </c>
      <c r="BA198" s="76">
        <v>44</v>
      </c>
      <c r="BB198" s="76">
        <v>44</v>
      </c>
      <c r="BC198" s="76">
        <v>44</v>
      </c>
      <c r="BD198" s="76">
        <v>40</v>
      </c>
      <c r="BE198" s="76" t="s">
        <v>1735</v>
      </c>
      <c r="BF198" s="76" t="s">
        <v>1736</v>
      </c>
      <c r="BG198" s="76" t="s">
        <v>1742</v>
      </c>
      <c r="BH198" s="76" t="s">
        <v>1743</v>
      </c>
      <c r="BI198" s="76">
        <v>1350</v>
      </c>
      <c r="BJ198" s="2"/>
      <c r="BK198" s="2"/>
      <c r="BL198" s="2"/>
      <c r="BM198" s="79"/>
      <c r="BN198" s="98" t="s">
        <v>2493</v>
      </c>
      <c r="BO198" s="76">
        <v>2</v>
      </c>
      <c r="BP198" s="76">
        <v>2</v>
      </c>
      <c r="BQ198" s="76">
        <v>4</v>
      </c>
      <c r="BR198" s="76" t="s">
        <v>521</v>
      </c>
      <c r="BS198" s="76" t="s">
        <v>180</v>
      </c>
      <c r="BT198" s="76" t="s">
        <v>2494</v>
      </c>
      <c r="BU198" s="99">
        <v>45446</v>
      </c>
      <c r="BV198" s="79">
        <v>34861</v>
      </c>
      <c r="BW198" s="120"/>
      <c r="BX198" s="96"/>
      <c r="BY198" s="76" t="s">
        <v>170</v>
      </c>
      <c r="CB198" s="76" t="s">
        <v>170</v>
      </c>
      <c r="CC198" s="76" t="s">
        <v>170</v>
      </c>
      <c r="CD198" s="76" t="s">
        <v>2697</v>
      </c>
      <c r="CE198" s="76" t="s">
        <v>170</v>
      </c>
      <c r="CG198" s="76" t="s">
        <v>169</v>
      </c>
      <c r="CH198" s="76" t="s">
        <v>2698</v>
      </c>
      <c r="CI198" s="76" t="s">
        <v>170</v>
      </c>
      <c r="CJ198" s="76" t="s">
        <v>2699</v>
      </c>
      <c r="CK198" s="76" t="s">
        <v>233</v>
      </c>
      <c r="CM198" s="76">
        <v>1</v>
      </c>
      <c r="CN198" s="76" t="s">
        <v>234</v>
      </c>
      <c r="CP198" s="76">
        <v>369</v>
      </c>
      <c r="CQ198" s="76">
        <v>51</v>
      </c>
      <c r="CR198" s="76">
        <v>141.4</v>
      </c>
      <c r="CS198" s="76" t="s">
        <v>235</v>
      </c>
      <c r="CV198" s="76" t="s">
        <v>341</v>
      </c>
      <c r="CX198" s="76" t="s">
        <v>1012</v>
      </c>
      <c r="CY198" s="76" t="s">
        <v>170</v>
      </c>
      <c r="DD198" s="76">
        <v>2</v>
      </c>
      <c r="DE198" s="76" t="s">
        <v>404</v>
      </c>
      <c r="DF198" s="76" t="s">
        <v>2700</v>
      </c>
      <c r="DG198" s="76" t="s">
        <v>2701</v>
      </c>
      <c r="DJ198" s="76" t="s">
        <v>184</v>
      </c>
      <c r="DK198" s="76" t="s">
        <v>185</v>
      </c>
      <c r="DL198" s="76" t="s">
        <v>170</v>
      </c>
      <c r="DM198" s="76" t="s">
        <v>169</v>
      </c>
      <c r="DN198" s="76" t="s">
        <v>170</v>
      </c>
      <c r="DO198" s="76" t="s">
        <v>822</v>
      </c>
      <c r="DP198" s="76" t="s">
        <v>169</v>
      </c>
      <c r="DQ198" s="76" t="s">
        <v>198</v>
      </c>
      <c r="DR198" s="76" t="s">
        <v>665</v>
      </c>
      <c r="DS198" s="76" t="s">
        <v>2496</v>
      </c>
      <c r="DT198" s="76" t="s">
        <v>2497</v>
      </c>
      <c r="DU198" s="76" t="s">
        <v>2513</v>
      </c>
      <c r="DV198" s="76" t="s">
        <v>2514</v>
      </c>
      <c r="DY198" s="76">
        <v>42.3</v>
      </c>
      <c r="DZ198" s="79"/>
      <c r="EA198" s="101"/>
      <c r="EB198" s="96">
        <v>8</v>
      </c>
      <c r="EC198" s="76">
        <v>9</v>
      </c>
      <c r="ED198" s="79">
        <v>10</v>
      </c>
      <c r="EE198" s="96" t="s">
        <v>2702</v>
      </c>
      <c r="EF198" s="76">
        <v>6</v>
      </c>
      <c r="EH198" s="79"/>
      <c r="EI198" s="96"/>
      <c r="EM198" s="96"/>
      <c r="EP198" s="79"/>
      <c r="EQ198" s="96"/>
      <c r="ET198" s="79"/>
      <c r="EU198" s="96">
        <v>2750</v>
      </c>
      <c r="EV198" s="79"/>
      <c r="EW198" s="96">
        <v>0</v>
      </c>
      <c r="EX198" s="76">
        <v>0</v>
      </c>
      <c r="EY198" s="79">
        <v>9</v>
      </c>
      <c r="EZ198" s="102">
        <f t="shared" si="59"/>
        <v>99</v>
      </c>
      <c r="FA198" s="76">
        <v>5</v>
      </c>
      <c r="FB198" s="79"/>
      <c r="FC198" s="97">
        <v>530</v>
      </c>
      <c r="FD198" s="96">
        <v>50</v>
      </c>
      <c r="FE198" s="76">
        <v>53</v>
      </c>
      <c r="FF198" s="79">
        <v>52</v>
      </c>
      <c r="FG198" s="76">
        <v>102.6</v>
      </c>
      <c r="FH198" s="76">
        <v>94.6</v>
      </c>
      <c r="FI198" s="103">
        <v>99</v>
      </c>
      <c r="FJ198" s="104">
        <v>40.85</v>
      </c>
      <c r="FK198" s="105">
        <v>39.97</v>
      </c>
      <c r="FL198" s="79">
        <v>40</v>
      </c>
      <c r="FM198" s="76">
        <v>0.68400000000000005</v>
      </c>
      <c r="FN198" s="76">
        <v>0.67700000000000005</v>
      </c>
      <c r="FO198" s="79">
        <v>0.68100000000000005</v>
      </c>
      <c r="FP198" s="106">
        <v>0.1</v>
      </c>
      <c r="FQ198" s="107">
        <v>0.1</v>
      </c>
      <c r="FR198" s="107">
        <v>0.1</v>
      </c>
      <c r="FS198" s="108">
        <v>15.9</v>
      </c>
    </row>
    <row r="199" spans="1:190" s="76" customFormat="1" x14ac:dyDescent="0.35">
      <c r="A199" s="76">
        <v>2025</v>
      </c>
      <c r="B199" s="162" t="s">
        <v>658</v>
      </c>
      <c r="C199" s="162" t="s">
        <v>659</v>
      </c>
      <c r="D199" s="162" t="s">
        <v>2696</v>
      </c>
      <c r="E199" s="162" t="s">
        <v>661</v>
      </c>
      <c r="F199" s="162">
        <v>209</v>
      </c>
      <c r="G199" s="162">
        <v>2</v>
      </c>
      <c r="H199" s="162">
        <v>4</v>
      </c>
      <c r="I199" s="163" t="s">
        <v>192</v>
      </c>
      <c r="J199" s="96">
        <f t="shared" ref="J199:R199" si="92">J198</f>
        <v>30</v>
      </c>
      <c r="K199" s="76">
        <f t="shared" si="92"/>
        <v>33</v>
      </c>
      <c r="L199" s="76">
        <f t="shared" si="92"/>
        <v>31</v>
      </c>
      <c r="M199" s="76">
        <f t="shared" si="92"/>
        <v>39</v>
      </c>
      <c r="N199" s="76">
        <f t="shared" si="92"/>
        <v>47.1</v>
      </c>
      <c r="O199" s="76">
        <f t="shared" si="92"/>
        <v>42.271299999999997</v>
      </c>
      <c r="P199" s="76">
        <f t="shared" si="92"/>
        <v>29.5533</v>
      </c>
      <c r="Q199" s="76">
        <f t="shared" si="92"/>
        <v>32.599800000000002</v>
      </c>
      <c r="R199" s="76">
        <f t="shared" si="92"/>
        <v>30.8507</v>
      </c>
      <c r="T199" s="76" t="str">
        <f>T198</f>
        <v>TC</v>
      </c>
      <c r="U199" s="76" t="str">
        <f>U198</f>
        <v>Turbocharged</v>
      </c>
      <c r="V199" s="76" t="str">
        <f>V198</f>
        <v>SA</v>
      </c>
      <c r="W199" s="76" t="str">
        <f>W198</f>
        <v>Semi-Automatic</v>
      </c>
      <c r="Y199" s="76">
        <f t="shared" ref="Y199:AD199" si="93">Y198</f>
        <v>8</v>
      </c>
      <c r="Z199" s="76" t="str">
        <f t="shared" si="93"/>
        <v>Y</v>
      </c>
      <c r="AA199" s="76" t="str">
        <f t="shared" si="93"/>
        <v>N</v>
      </c>
      <c r="AB199" s="76" t="str">
        <f t="shared" si="93"/>
        <v>A</v>
      </c>
      <c r="AC199" s="76" t="str">
        <f t="shared" si="93"/>
        <v>All Wheel Drive</v>
      </c>
      <c r="AD199" s="76">
        <f t="shared" si="93"/>
        <v>10</v>
      </c>
      <c r="AF199" s="76">
        <f>AF198</f>
        <v>492</v>
      </c>
      <c r="AG199" s="76" t="str">
        <f>AG198</f>
        <v>GPR</v>
      </c>
      <c r="AH199" s="76" t="str">
        <f>AH198</f>
        <v>Gasoline (Premium Unleaded Required)</v>
      </c>
      <c r="AI199" s="76" t="str">
        <f>AI198</f>
        <v>MPG</v>
      </c>
      <c r="AJ199" s="79" t="str">
        <f>AJ198</f>
        <v>miles per gallon</v>
      </c>
      <c r="AK199" s="96" t="s">
        <v>170</v>
      </c>
      <c r="AL199" s="76" t="s">
        <v>177</v>
      </c>
      <c r="AO199" s="76">
        <v>93</v>
      </c>
      <c r="AP199" s="76">
        <v>12</v>
      </c>
      <c r="AR199" s="79"/>
      <c r="AS199" s="96">
        <v>1350</v>
      </c>
      <c r="AT199" s="79">
        <v>1350</v>
      </c>
      <c r="AU199" s="96">
        <v>74</v>
      </c>
      <c r="AV199" s="76">
        <v>73</v>
      </c>
      <c r="AW199" s="76">
        <v>74</v>
      </c>
      <c r="AX199" s="76">
        <v>110.8</v>
      </c>
      <c r="AY199" s="76">
        <v>110.3</v>
      </c>
      <c r="AZ199" s="76">
        <v>110.5744</v>
      </c>
      <c r="BA199" s="76">
        <v>74</v>
      </c>
      <c r="BB199" s="76">
        <v>73</v>
      </c>
      <c r="BC199" s="76">
        <v>74</v>
      </c>
      <c r="BD199" s="76">
        <v>40</v>
      </c>
      <c r="BE199" s="76" t="s">
        <v>1735</v>
      </c>
      <c r="BF199" s="76" t="s">
        <v>1736</v>
      </c>
      <c r="BG199" s="76" t="s">
        <v>175</v>
      </c>
      <c r="BH199" s="76" t="s">
        <v>176</v>
      </c>
      <c r="BI199" s="76">
        <v>1350</v>
      </c>
      <c r="BM199" s="79"/>
      <c r="BN199" s="98" t="s">
        <v>2493</v>
      </c>
      <c r="BO199" s="76">
        <v>2</v>
      </c>
      <c r="BP199" s="76">
        <v>2</v>
      </c>
      <c r="BQ199" s="76">
        <v>4</v>
      </c>
      <c r="BR199" s="76" t="s">
        <v>521</v>
      </c>
      <c r="BS199" s="76" t="s">
        <v>180</v>
      </c>
      <c r="BT199" s="76" t="s">
        <v>2494</v>
      </c>
      <c r="BU199" s="99">
        <v>45446</v>
      </c>
      <c r="BV199" s="79">
        <v>34861</v>
      </c>
      <c r="BW199" s="120"/>
      <c r="BX199" s="96"/>
      <c r="BY199" s="76" t="s">
        <v>170</v>
      </c>
      <c r="CB199" s="76" t="s">
        <v>170</v>
      </c>
      <c r="CC199" s="76" t="s">
        <v>170</v>
      </c>
      <c r="CD199" s="76" t="s">
        <v>2697</v>
      </c>
      <c r="CE199" s="76" t="s">
        <v>170</v>
      </c>
      <c r="CG199" s="76" t="s">
        <v>169</v>
      </c>
      <c r="CH199" s="76" t="s">
        <v>2698</v>
      </c>
      <c r="CI199" s="76" t="s">
        <v>170</v>
      </c>
      <c r="CJ199" s="76" t="s">
        <v>2699</v>
      </c>
      <c r="CK199" s="76" t="s">
        <v>233</v>
      </c>
      <c r="CM199" s="76">
        <v>1</v>
      </c>
      <c r="CN199" s="76" t="s">
        <v>234</v>
      </c>
      <c r="CP199" s="76">
        <v>369</v>
      </c>
      <c r="CQ199" s="76">
        <v>51</v>
      </c>
      <c r="CR199" s="76">
        <v>141.4</v>
      </c>
      <c r="CS199" s="76" t="s">
        <v>235</v>
      </c>
      <c r="CV199" s="76" t="s">
        <v>341</v>
      </c>
      <c r="CX199" s="76" t="s">
        <v>1012</v>
      </c>
      <c r="CY199" s="76" t="s">
        <v>170</v>
      </c>
      <c r="DD199" s="76">
        <v>2</v>
      </c>
      <c r="DE199" s="76" t="s">
        <v>404</v>
      </c>
      <c r="DF199" s="76" t="s">
        <v>2703</v>
      </c>
      <c r="DG199" s="76" t="s">
        <v>2701</v>
      </c>
      <c r="DJ199" s="76" t="s">
        <v>184</v>
      </c>
      <c r="DK199" s="76" t="s">
        <v>185</v>
      </c>
      <c r="DL199" s="76" t="s">
        <v>170</v>
      </c>
      <c r="DM199" s="76" t="s">
        <v>169</v>
      </c>
      <c r="DN199" s="76" t="s">
        <v>170</v>
      </c>
      <c r="DO199" s="76" t="s">
        <v>822</v>
      </c>
      <c r="DP199" s="76" t="s">
        <v>169</v>
      </c>
      <c r="DQ199" s="76" t="s">
        <v>198</v>
      </c>
      <c r="DR199" s="76" t="s">
        <v>665</v>
      </c>
      <c r="DS199" s="76" t="s">
        <v>2496</v>
      </c>
      <c r="DT199" s="76" t="s">
        <v>2497</v>
      </c>
      <c r="DU199" s="76" t="s">
        <v>2513</v>
      </c>
      <c r="DV199" s="76" t="s">
        <v>2514</v>
      </c>
      <c r="DY199" s="76">
        <v>42.3</v>
      </c>
      <c r="DZ199" s="79"/>
      <c r="EA199" s="101"/>
      <c r="EB199" s="96">
        <v>8</v>
      </c>
      <c r="EC199" s="76">
        <v>9</v>
      </c>
      <c r="ED199" s="79">
        <v>10</v>
      </c>
      <c r="EE199" s="96" t="s">
        <v>2702</v>
      </c>
      <c r="EF199" s="76">
        <v>6</v>
      </c>
      <c r="EH199" s="79"/>
      <c r="EI199" s="96"/>
      <c r="EM199" s="96"/>
      <c r="EP199" s="79"/>
      <c r="EQ199" s="96"/>
      <c r="ET199" s="79"/>
      <c r="EU199" s="96">
        <v>2750</v>
      </c>
      <c r="EV199" s="79"/>
      <c r="EW199" s="96">
        <v>298</v>
      </c>
      <c r="EX199" s="76">
        <v>270</v>
      </c>
      <c r="EY199" s="79">
        <f>0.55*EW199+0.45*EX199</f>
        <v>285.39999999999998</v>
      </c>
      <c r="EZ199" s="102">
        <f t="shared" si="59"/>
        <v>99</v>
      </c>
      <c r="FA199" s="76">
        <v>5</v>
      </c>
      <c r="FB199" s="79"/>
      <c r="FC199" s="97">
        <v>530</v>
      </c>
      <c r="FD199" s="96">
        <v>50</v>
      </c>
      <c r="FE199" s="76">
        <v>53</v>
      </c>
      <c r="FF199" s="79">
        <v>52</v>
      </c>
      <c r="FG199" s="76">
        <v>102.6</v>
      </c>
      <c r="FH199" s="76">
        <v>94.6</v>
      </c>
      <c r="FI199" s="103">
        <v>99</v>
      </c>
      <c r="FJ199" s="98" t="s">
        <v>2704</v>
      </c>
      <c r="FL199" s="79"/>
      <c r="FM199" s="76">
        <v>0.68400000000000005</v>
      </c>
      <c r="FN199" s="76">
        <v>0.67700000000000005</v>
      </c>
      <c r="FO199" s="79">
        <v>0.68100000000000005</v>
      </c>
      <c r="FP199" s="133" t="s">
        <v>2705</v>
      </c>
      <c r="FQ199" s="107"/>
      <c r="FR199" s="107"/>
      <c r="FS199" s="108">
        <v>15.9</v>
      </c>
    </row>
    <row r="200" spans="1:190" s="77" customFormat="1" x14ac:dyDescent="0.35">
      <c r="A200" s="76"/>
      <c r="E200" s="76"/>
      <c r="F200" s="76"/>
      <c r="G200" s="78"/>
      <c r="H200" s="76"/>
      <c r="I200" s="79"/>
      <c r="J200" s="80"/>
      <c r="K200" s="28"/>
      <c r="L200" s="28"/>
      <c r="M200" s="25" t="str">
        <f>_xlfn.CONCAT(A201," ",C201," ",D201)</f>
        <v>2025 Volvo S90 T8 AWD</v>
      </c>
      <c r="N200" s="28"/>
      <c r="O200" s="28"/>
      <c r="P200" s="28"/>
      <c r="Q200" s="28"/>
      <c r="R200" s="28"/>
      <c r="S200" s="28"/>
      <c r="T200" s="28"/>
      <c r="U200" s="28"/>
      <c r="V200" s="28"/>
      <c r="W200" s="28"/>
      <c r="X200" s="28"/>
      <c r="Y200" s="28"/>
      <c r="Z200" s="28"/>
      <c r="AA200" s="28"/>
      <c r="AB200" s="28"/>
      <c r="AC200" s="28"/>
      <c r="AD200" s="25" t="str">
        <f>$M200</f>
        <v>2025 Volvo S90 T8 AWD</v>
      </c>
      <c r="AE200" s="28"/>
      <c r="AF200" s="28"/>
      <c r="AG200" s="28"/>
      <c r="AH200" s="28"/>
      <c r="AI200" s="28"/>
      <c r="AJ200" s="81"/>
      <c r="AK200" s="82"/>
      <c r="AL200" s="2"/>
      <c r="AM200" s="2"/>
      <c r="AN200" s="2"/>
      <c r="AO200" s="2"/>
      <c r="AP200" s="2"/>
      <c r="AQ200" s="2"/>
      <c r="AR200" s="83"/>
      <c r="AS200" s="84"/>
      <c r="AT200" s="85" t="str">
        <f>$M200</f>
        <v>2025 Volvo S90 T8 AWD</v>
      </c>
      <c r="AU200" s="84"/>
      <c r="AV200" s="28"/>
      <c r="AW200" s="28"/>
      <c r="AX200" s="28"/>
      <c r="AY200" s="28"/>
      <c r="AZ200" s="28"/>
      <c r="BA200" s="28"/>
      <c r="BB200" s="28"/>
      <c r="BC200" s="28"/>
      <c r="BD200" s="28"/>
      <c r="BE200" s="28"/>
      <c r="BF200" s="28"/>
      <c r="BG200" s="28"/>
      <c r="BH200" s="28"/>
      <c r="BI200" s="25" t="str">
        <f>$M200</f>
        <v>2025 Volvo S90 T8 AWD</v>
      </c>
      <c r="BJ200" s="28"/>
      <c r="BK200" s="28"/>
      <c r="BL200" s="28"/>
      <c r="BM200" s="81"/>
      <c r="BN200" s="82"/>
      <c r="BO200" s="2"/>
      <c r="BP200" s="2"/>
      <c r="BQ200" s="2"/>
      <c r="BR200" s="2"/>
      <c r="BS200" s="2"/>
      <c r="BT200" s="86"/>
      <c r="BU200" s="2"/>
      <c r="BV200" s="83"/>
      <c r="BW200" s="121"/>
      <c r="BX200" s="84"/>
      <c r="BY200" s="25" t="str">
        <f>$M200</f>
        <v>2025 Volvo S90 T8 AWD</v>
      </c>
      <c r="BZ200" s="28"/>
      <c r="CA200" s="28"/>
      <c r="CB200" s="28"/>
      <c r="CC200" s="28"/>
      <c r="CD200" s="28"/>
      <c r="CE200" s="88"/>
      <c r="CF200" s="28"/>
      <c r="CG200" s="28"/>
      <c r="CH200" s="28"/>
      <c r="CI200" s="28"/>
      <c r="CJ200" s="28"/>
      <c r="CK200" s="28"/>
      <c r="CL200" s="28"/>
      <c r="CM200" s="28"/>
      <c r="CN200" s="28"/>
      <c r="CO200" s="25" t="str">
        <f>$M200</f>
        <v>2025 Volvo S90 T8 AWD</v>
      </c>
      <c r="CP200" s="28"/>
      <c r="CQ200" s="28"/>
      <c r="CR200" s="28"/>
      <c r="CS200" s="28"/>
      <c r="CT200" s="28"/>
      <c r="CU200" s="28"/>
      <c r="CV200" s="28"/>
      <c r="CW200" s="28"/>
      <c r="CX200" s="28"/>
      <c r="CY200" s="28"/>
      <c r="CZ200" s="28"/>
      <c r="DA200" s="28"/>
      <c r="DB200" s="28"/>
      <c r="DC200" s="28"/>
      <c r="DD200" s="28"/>
      <c r="DE200" s="28"/>
      <c r="DF200" s="25" t="str">
        <f>$M200</f>
        <v>2025 Volvo S90 T8 AWD</v>
      </c>
      <c r="DG200" s="28"/>
      <c r="DH200" s="28"/>
      <c r="DI200" s="28"/>
      <c r="DJ200" s="28"/>
      <c r="DK200" s="28"/>
      <c r="DL200" s="28"/>
      <c r="DM200" s="28"/>
      <c r="DN200" s="28"/>
      <c r="DO200" s="28"/>
      <c r="DP200" s="28"/>
      <c r="DQ200" s="28"/>
      <c r="DR200" s="25"/>
      <c r="DS200" s="25"/>
      <c r="DT200" s="25"/>
      <c r="DU200" s="25"/>
      <c r="DV200" s="25"/>
      <c r="DW200" s="25" t="str">
        <f>$M200</f>
        <v>2025 Volvo S90 T8 AWD</v>
      </c>
      <c r="DX200" s="25"/>
      <c r="DY200" s="25"/>
      <c r="DZ200" s="85"/>
      <c r="EA200" s="89"/>
      <c r="EB200" s="80"/>
      <c r="EC200" s="25"/>
      <c r="ED200" s="85"/>
      <c r="EE200" s="80"/>
      <c r="EF200" s="25"/>
      <c r="EG200" s="25"/>
      <c r="EH200" s="85"/>
      <c r="EI200" s="80"/>
      <c r="EK200" t="s">
        <v>2445</v>
      </c>
      <c r="EL200" s="25" t="str">
        <f>$M200</f>
        <v>2025 Volvo S90 T8 AWD</v>
      </c>
      <c r="EM200" s="80"/>
      <c r="EP200" s="75"/>
      <c r="EQ200" s="90"/>
      <c r="ET200" s="75"/>
      <c r="EU200" s="90"/>
      <c r="EV200" s="75"/>
      <c r="EW200" s="90"/>
      <c r="EY200" s="75"/>
      <c r="EZ200" s="102"/>
      <c r="FA200" s="25" t="str">
        <f>$M200</f>
        <v>2025 Volvo S90 T8 AWD</v>
      </c>
      <c r="FB200" s="75"/>
      <c r="FC200" s="91"/>
      <c r="FD200" s="80"/>
      <c r="FE200" s="25"/>
      <c r="FF200" s="85"/>
      <c r="FG200" s="80"/>
      <c r="FH200" s="25"/>
      <c r="FI200" s="85"/>
      <c r="FJ200" s="80"/>
      <c r="FK200" s="25"/>
      <c r="FL200" s="85"/>
      <c r="FM200" s="25" t="str">
        <f>$M200</f>
        <v>2025 Volvo S90 T8 AWD</v>
      </c>
      <c r="FN200" s="25"/>
      <c r="FO200" s="85"/>
      <c r="FP200" s="92"/>
      <c r="FQ200" s="93"/>
      <c r="FR200" s="94"/>
      <c r="FS200" s="95"/>
      <c r="FT200" s="25"/>
      <c r="FU200" s="25"/>
      <c r="FV200" s="25"/>
      <c r="FW200" s="25"/>
      <c r="FX200" s="25"/>
      <c r="FY200" s="25"/>
      <c r="FZ200" s="25"/>
      <c r="GA200" s="25"/>
      <c r="GB200" s="25"/>
      <c r="GC200" s="25"/>
      <c r="GD200" s="25"/>
      <c r="GE200" s="25"/>
      <c r="GF200" s="25"/>
      <c r="GG200" s="25"/>
      <c r="GH200" s="25"/>
    </row>
    <row r="201" spans="1:190" s="76" customFormat="1" x14ac:dyDescent="0.35">
      <c r="A201" s="76">
        <v>2025</v>
      </c>
      <c r="B201" s="76" t="s">
        <v>658</v>
      </c>
      <c r="C201" s="76" t="s">
        <v>658</v>
      </c>
      <c r="D201" s="76" t="s">
        <v>2706</v>
      </c>
      <c r="E201" s="76" t="s">
        <v>661</v>
      </c>
      <c r="F201" s="76">
        <v>219</v>
      </c>
      <c r="G201" s="78">
        <v>2</v>
      </c>
      <c r="H201" s="76">
        <v>4</v>
      </c>
      <c r="I201" s="79" t="s">
        <v>192</v>
      </c>
      <c r="J201" s="96">
        <v>28</v>
      </c>
      <c r="K201" s="76">
        <v>31</v>
      </c>
      <c r="L201" s="76">
        <v>29</v>
      </c>
      <c r="M201" s="76">
        <v>36.4</v>
      </c>
      <c r="N201" s="76">
        <v>44.5</v>
      </c>
      <c r="O201" s="76">
        <v>39.647500000000001</v>
      </c>
      <c r="P201" s="76">
        <v>27.807200000000002</v>
      </c>
      <c r="Q201" s="76">
        <v>30.978100000000001</v>
      </c>
      <c r="R201" s="76">
        <v>29.149899999999999</v>
      </c>
      <c r="T201" s="76" t="s">
        <v>165</v>
      </c>
      <c r="U201" s="76" t="s">
        <v>166</v>
      </c>
      <c r="V201" s="76" t="s">
        <v>193</v>
      </c>
      <c r="W201" s="76" t="s">
        <v>194</v>
      </c>
      <c r="Y201" s="76">
        <v>8</v>
      </c>
      <c r="Z201" s="76" t="s">
        <v>169</v>
      </c>
      <c r="AA201" s="76" t="s">
        <v>170</v>
      </c>
      <c r="AB201" s="76" t="s">
        <v>167</v>
      </c>
      <c r="AC201" s="76" t="s">
        <v>213</v>
      </c>
      <c r="AD201" s="76">
        <v>10</v>
      </c>
      <c r="AF201" s="76">
        <v>465</v>
      </c>
      <c r="AG201" s="76" t="s">
        <v>214</v>
      </c>
      <c r="AH201" s="76" t="s">
        <v>215</v>
      </c>
      <c r="AI201" s="76" t="s">
        <v>175</v>
      </c>
      <c r="AJ201" s="79" t="s">
        <v>176</v>
      </c>
      <c r="AK201" s="96" t="s">
        <v>170</v>
      </c>
      <c r="AL201" s="76" t="s">
        <v>177</v>
      </c>
      <c r="AO201" s="76">
        <v>102</v>
      </c>
      <c r="AP201" s="76">
        <v>14</v>
      </c>
      <c r="AR201" s="79"/>
      <c r="AS201" s="96">
        <v>1500</v>
      </c>
      <c r="AT201" s="79">
        <v>1500</v>
      </c>
      <c r="AU201" s="96">
        <v>49</v>
      </c>
      <c r="AV201" s="76">
        <v>48</v>
      </c>
      <c r="AW201" s="76">
        <v>48</v>
      </c>
      <c r="AX201" s="76">
        <v>34.299999999999997</v>
      </c>
      <c r="AY201" s="76">
        <v>33.5</v>
      </c>
      <c r="AZ201" s="76">
        <v>33.94</v>
      </c>
      <c r="BA201" s="76">
        <v>49</v>
      </c>
      <c r="BB201" s="76">
        <v>48</v>
      </c>
      <c r="BC201" s="76">
        <v>48</v>
      </c>
      <c r="BD201" s="76">
        <v>38</v>
      </c>
      <c r="BE201" s="76" t="s">
        <v>1735</v>
      </c>
      <c r="BF201" s="76" t="s">
        <v>1736</v>
      </c>
      <c r="BG201" s="76" t="s">
        <v>1742</v>
      </c>
      <c r="BH201" s="76" t="s">
        <v>1743</v>
      </c>
      <c r="BI201" s="76">
        <v>1500</v>
      </c>
      <c r="BJ201" s="2"/>
      <c r="BK201" s="2"/>
      <c r="BL201" s="2"/>
      <c r="BM201" s="79"/>
      <c r="BN201" s="98" t="s">
        <v>2493</v>
      </c>
      <c r="BO201" s="76">
        <v>2</v>
      </c>
      <c r="BP201" s="76">
        <v>2</v>
      </c>
      <c r="BQ201" s="76">
        <v>5</v>
      </c>
      <c r="BR201" s="76" t="s">
        <v>672</v>
      </c>
      <c r="BS201" s="76" t="s">
        <v>180</v>
      </c>
      <c r="BT201" s="76" t="s">
        <v>2494</v>
      </c>
      <c r="BU201" s="99">
        <v>45446</v>
      </c>
      <c r="BV201" s="79">
        <v>34863</v>
      </c>
      <c r="BW201" s="120"/>
      <c r="BX201" s="96"/>
      <c r="BY201" s="76" t="s">
        <v>170</v>
      </c>
      <c r="CB201" s="76" t="s">
        <v>170</v>
      </c>
      <c r="CC201" s="76" t="s">
        <v>170</v>
      </c>
      <c r="CD201" s="76" t="s">
        <v>2697</v>
      </c>
      <c r="CE201" s="76" t="s">
        <v>170</v>
      </c>
      <c r="CG201" s="76" t="s">
        <v>169</v>
      </c>
      <c r="CH201" s="76" t="s">
        <v>2698</v>
      </c>
      <c r="CI201" s="76" t="s">
        <v>170</v>
      </c>
      <c r="CJ201" s="76" t="s">
        <v>2699</v>
      </c>
      <c r="CK201" s="76" t="s">
        <v>233</v>
      </c>
      <c r="CM201" s="76">
        <v>1</v>
      </c>
      <c r="CN201" s="76" t="s">
        <v>234</v>
      </c>
      <c r="CP201" s="76">
        <v>369</v>
      </c>
      <c r="CQ201" s="76">
        <v>51</v>
      </c>
      <c r="CR201" s="76">
        <v>141.4</v>
      </c>
      <c r="CS201" s="76" t="s">
        <v>235</v>
      </c>
      <c r="CV201" s="76" t="s">
        <v>341</v>
      </c>
      <c r="CX201" s="76" t="s">
        <v>1012</v>
      </c>
      <c r="CY201" s="76" t="s">
        <v>170</v>
      </c>
      <c r="DD201" s="76">
        <v>2</v>
      </c>
      <c r="DE201" s="76" t="s">
        <v>404</v>
      </c>
      <c r="DF201" s="76" t="s">
        <v>2703</v>
      </c>
      <c r="DG201" s="76" t="s">
        <v>2701</v>
      </c>
      <c r="DJ201" s="76" t="s">
        <v>184</v>
      </c>
      <c r="DK201" s="76" t="s">
        <v>185</v>
      </c>
      <c r="DL201" s="76" t="s">
        <v>170</v>
      </c>
      <c r="DM201" s="76" t="s">
        <v>169</v>
      </c>
      <c r="DN201" s="76" t="s">
        <v>170</v>
      </c>
      <c r="DO201" s="76" t="s">
        <v>822</v>
      </c>
      <c r="DP201" s="76" t="s">
        <v>169</v>
      </c>
      <c r="DQ201" s="76" t="s">
        <v>198</v>
      </c>
      <c r="DR201" s="76" t="s">
        <v>665</v>
      </c>
      <c r="DS201" s="76" t="s">
        <v>2496</v>
      </c>
      <c r="DT201" s="76" t="s">
        <v>2497</v>
      </c>
      <c r="DU201" s="76" t="s">
        <v>2513</v>
      </c>
      <c r="DV201" s="76" t="s">
        <v>2514</v>
      </c>
      <c r="DY201" s="76">
        <v>39.6</v>
      </c>
      <c r="DZ201" s="79"/>
      <c r="EA201" s="101"/>
      <c r="EB201" s="96">
        <v>8</v>
      </c>
      <c r="EC201" s="76">
        <v>9</v>
      </c>
      <c r="ED201" s="79">
        <v>10</v>
      </c>
      <c r="EE201" s="96" t="s">
        <v>2702</v>
      </c>
      <c r="EF201" s="76">
        <v>6</v>
      </c>
      <c r="EH201" s="79"/>
      <c r="EI201" s="96"/>
      <c r="EM201" s="96"/>
      <c r="EP201" s="79"/>
      <c r="EQ201" s="96"/>
      <c r="ET201" s="79"/>
      <c r="EU201" s="96">
        <v>2000</v>
      </c>
      <c r="EV201" s="79"/>
      <c r="EW201" s="96">
        <v>0</v>
      </c>
      <c r="EX201" s="76">
        <v>0</v>
      </c>
      <c r="EY201" s="79">
        <v>9</v>
      </c>
      <c r="EZ201" s="102">
        <f t="shared" si="59"/>
        <v>303</v>
      </c>
      <c r="FA201" s="76">
        <v>5</v>
      </c>
      <c r="FB201" s="79"/>
      <c r="FC201" s="97">
        <v>500</v>
      </c>
      <c r="FD201" s="96">
        <v>45</v>
      </c>
      <c r="FE201" s="76">
        <v>49</v>
      </c>
      <c r="FF201" s="79">
        <v>47</v>
      </c>
      <c r="FG201" s="76">
        <v>317</v>
      </c>
      <c r="FH201" s="76">
        <v>285</v>
      </c>
      <c r="FI201" s="103">
        <v>303</v>
      </c>
      <c r="FJ201" s="104">
        <v>37.479999999999997</v>
      </c>
      <c r="FK201" s="105">
        <v>38.22</v>
      </c>
      <c r="FL201" s="79">
        <v>38</v>
      </c>
      <c r="FM201" s="76">
        <v>0.65700000000000003</v>
      </c>
      <c r="FN201" s="76">
        <v>0.66300000000000003</v>
      </c>
      <c r="FO201" s="79">
        <v>0.66</v>
      </c>
      <c r="FP201" s="106">
        <v>0.1</v>
      </c>
      <c r="FQ201" s="107">
        <v>0.1</v>
      </c>
      <c r="FR201" s="107">
        <v>0.1</v>
      </c>
      <c r="FS201" s="108">
        <v>15.9</v>
      </c>
    </row>
    <row r="202" spans="1:190" s="76" customFormat="1" x14ac:dyDescent="0.35">
      <c r="A202" s="76">
        <v>2025</v>
      </c>
      <c r="B202" s="162" t="s">
        <v>658</v>
      </c>
      <c r="C202" s="162" t="s">
        <v>659</v>
      </c>
      <c r="D202" s="162" t="s">
        <v>2706</v>
      </c>
      <c r="E202" s="162" t="s">
        <v>661</v>
      </c>
      <c r="F202" s="162">
        <v>219</v>
      </c>
      <c r="G202" s="162">
        <v>2</v>
      </c>
      <c r="H202" s="162">
        <v>4</v>
      </c>
      <c r="I202" s="163" t="s">
        <v>192</v>
      </c>
      <c r="J202" s="96">
        <f t="shared" ref="J202:R202" si="94">J201</f>
        <v>28</v>
      </c>
      <c r="K202" s="76">
        <f t="shared" si="94"/>
        <v>31</v>
      </c>
      <c r="L202" s="76">
        <f t="shared" si="94"/>
        <v>29</v>
      </c>
      <c r="M202" s="76">
        <f t="shared" si="94"/>
        <v>36.4</v>
      </c>
      <c r="N202" s="76">
        <f t="shared" si="94"/>
        <v>44.5</v>
      </c>
      <c r="O202" s="76">
        <f t="shared" si="94"/>
        <v>39.647500000000001</v>
      </c>
      <c r="P202" s="76">
        <f t="shared" si="94"/>
        <v>27.807200000000002</v>
      </c>
      <c r="Q202" s="76">
        <f t="shared" si="94"/>
        <v>30.978100000000001</v>
      </c>
      <c r="R202" s="76">
        <f t="shared" si="94"/>
        <v>29.149899999999999</v>
      </c>
      <c r="T202" s="76" t="str">
        <f>T201</f>
        <v>TC</v>
      </c>
      <c r="U202" s="76" t="str">
        <f>U201</f>
        <v>Turbocharged</v>
      </c>
      <c r="V202" s="76" t="str">
        <f>V201</f>
        <v>SA</v>
      </c>
      <c r="W202" s="76" t="str">
        <f>W201</f>
        <v>Semi-Automatic</v>
      </c>
      <c r="Y202" s="76">
        <f t="shared" ref="Y202:AD202" si="95">Y201</f>
        <v>8</v>
      </c>
      <c r="Z202" s="76" t="str">
        <f t="shared" si="95"/>
        <v>Y</v>
      </c>
      <c r="AA202" s="76" t="str">
        <f t="shared" si="95"/>
        <v>N</v>
      </c>
      <c r="AB202" s="76" t="str">
        <f t="shared" si="95"/>
        <v>A</v>
      </c>
      <c r="AC202" s="76" t="str">
        <f t="shared" si="95"/>
        <v>All Wheel Drive</v>
      </c>
      <c r="AD202" s="76">
        <f t="shared" si="95"/>
        <v>10</v>
      </c>
      <c r="AF202" s="76">
        <f>AF201</f>
        <v>465</v>
      </c>
      <c r="AG202" s="76" t="str">
        <f>AG201</f>
        <v>GPR</v>
      </c>
      <c r="AH202" s="76" t="str">
        <f>AH201</f>
        <v>Gasoline (Premium Unleaded Required)</v>
      </c>
      <c r="AI202" s="76" t="str">
        <f>AI201</f>
        <v>MPG</v>
      </c>
      <c r="AJ202" s="79" t="str">
        <f>AJ201</f>
        <v>miles per gallon</v>
      </c>
      <c r="AK202" s="96" t="s">
        <v>170</v>
      </c>
      <c r="AL202" s="76" t="s">
        <v>177</v>
      </c>
      <c r="AO202" s="76">
        <v>102</v>
      </c>
      <c r="AP202" s="76">
        <v>14</v>
      </c>
      <c r="AR202" s="79"/>
      <c r="AS202" s="96">
        <v>1500</v>
      </c>
      <c r="AT202" s="79">
        <v>1500</v>
      </c>
      <c r="AU202" s="96">
        <v>66</v>
      </c>
      <c r="AV202" s="76">
        <v>67</v>
      </c>
      <c r="AW202" s="76">
        <v>66</v>
      </c>
      <c r="AX202" s="76">
        <v>98.4</v>
      </c>
      <c r="AY202" s="76">
        <v>100.7</v>
      </c>
      <c r="AZ202" s="76">
        <v>99.421899999999994</v>
      </c>
      <c r="BA202" s="76">
        <v>66</v>
      </c>
      <c r="BB202" s="76">
        <v>67</v>
      </c>
      <c r="BC202" s="76">
        <v>66</v>
      </c>
      <c r="BD202" s="76">
        <v>38</v>
      </c>
      <c r="BE202" s="76" t="s">
        <v>1735</v>
      </c>
      <c r="BF202" s="76" t="s">
        <v>1736</v>
      </c>
      <c r="BG202" s="76" t="s">
        <v>175</v>
      </c>
      <c r="BH202" s="76" t="s">
        <v>176</v>
      </c>
      <c r="BI202" s="76">
        <v>1500</v>
      </c>
      <c r="BM202" s="79"/>
      <c r="BN202" s="98" t="s">
        <v>2493</v>
      </c>
      <c r="BO202" s="76">
        <v>2</v>
      </c>
      <c r="BP202" s="76">
        <v>2</v>
      </c>
      <c r="BQ202" s="76">
        <v>5</v>
      </c>
      <c r="BR202" s="76" t="s">
        <v>672</v>
      </c>
      <c r="BS202" s="76" t="s">
        <v>180</v>
      </c>
      <c r="BT202" s="76" t="s">
        <v>2494</v>
      </c>
      <c r="BU202" s="99">
        <v>45446</v>
      </c>
      <c r="BV202" s="79">
        <v>34863</v>
      </c>
      <c r="BW202" s="120"/>
      <c r="BX202" s="96"/>
      <c r="BY202" s="76" t="s">
        <v>170</v>
      </c>
      <c r="CB202" s="76" t="s">
        <v>170</v>
      </c>
      <c r="CC202" s="76" t="s">
        <v>170</v>
      </c>
      <c r="CD202" s="76" t="s">
        <v>2697</v>
      </c>
      <c r="CE202" s="76" t="s">
        <v>170</v>
      </c>
      <c r="CG202" s="76" t="s">
        <v>169</v>
      </c>
      <c r="CH202" s="76" t="s">
        <v>2698</v>
      </c>
      <c r="CI202" s="76" t="s">
        <v>170</v>
      </c>
      <c r="CJ202" s="76" t="s">
        <v>2699</v>
      </c>
      <c r="CK202" s="76" t="s">
        <v>233</v>
      </c>
      <c r="CM202" s="76">
        <v>1</v>
      </c>
      <c r="CN202" s="76" t="s">
        <v>234</v>
      </c>
      <c r="CP202" s="76">
        <v>369</v>
      </c>
      <c r="CQ202" s="76">
        <v>51</v>
      </c>
      <c r="CR202" s="76">
        <v>141.4</v>
      </c>
      <c r="CS202" s="76" t="s">
        <v>235</v>
      </c>
      <c r="CV202" s="76" t="s">
        <v>341</v>
      </c>
      <c r="CX202" s="76" t="s">
        <v>1012</v>
      </c>
      <c r="CY202" s="76" t="s">
        <v>170</v>
      </c>
      <c r="DD202" s="76">
        <v>2</v>
      </c>
      <c r="DE202" s="76" t="s">
        <v>404</v>
      </c>
      <c r="DF202" s="76" t="s">
        <v>2700</v>
      </c>
      <c r="DG202" s="76" t="s">
        <v>2701</v>
      </c>
      <c r="DJ202" s="76" t="s">
        <v>184</v>
      </c>
      <c r="DK202" s="76" t="s">
        <v>185</v>
      </c>
      <c r="DL202" s="76" t="s">
        <v>170</v>
      </c>
      <c r="DM202" s="76" t="s">
        <v>169</v>
      </c>
      <c r="DN202" s="76" t="s">
        <v>170</v>
      </c>
      <c r="DO202" s="76" t="s">
        <v>822</v>
      </c>
      <c r="DP202" s="76" t="s">
        <v>169</v>
      </c>
      <c r="DQ202" s="76" t="s">
        <v>198</v>
      </c>
      <c r="DR202" s="76" t="s">
        <v>665</v>
      </c>
      <c r="DS202" s="76" t="s">
        <v>2496</v>
      </c>
      <c r="DT202" s="76" t="s">
        <v>2497</v>
      </c>
      <c r="DU202" s="76" t="s">
        <v>2513</v>
      </c>
      <c r="DV202" s="76" t="s">
        <v>2514</v>
      </c>
      <c r="DY202" s="76">
        <v>39.6</v>
      </c>
      <c r="DZ202" s="79"/>
      <c r="EA202" s="101"/>
      <c r="EB202" s="96">
        <v>8</v>
      </c>
      <c r="EC202" s="76">
        <v>9</v>
      </c>
      <c r="ED202" s="79">
        <v>10</v>
      </c>
      <c r="EE202" s="96" t="s">
        <v>2702</v>
      </c>
      <c r="EF202" s="76">
        <v>6</v>
      </c>
      <c r="EH202" s="79"/>
      <c r="EI202" s="96"/>
      <c r="EM202" s="96"/>
      <c r="EP202" s="79"/>
      <c r="EQ202" s="96"/>
      <c r="ET202" s="79"/>
      <c r="EU202" s="96">
        <v>2000</v>
      </c>
      <c r="EV202" s="79"/>
      <c r="EW202" s="96">
        <v>317</v>
      </c>
      <c r="EX202" s="76">
        <v>285</v>
      </c>
      <c r="EY202" s="79">
        <f>0.55*EW202+0.45*EX202</f>
        <v>302.60000000000002</v>
      </c>
      <c r="EZ202" s="102">
        <f t="shared" si="59"/>
        <v>303</v>
      </c>
      <c r="FA202" s="76">
        <v>5</v>
      </c>
      <c r="FB202" s="79"/>
      <c r="FC202" s="97">
        <v>500</v>
      </c>
      <c r="FD202" s="96">
        <v>45</v>
      </c>
      <c r="FE202" s="76">
        <v>49</v>
      </c>
      <c r="FF202" s="79">
        <v>47</v>
      </c>
      <c r="FG202" s="76">
        <v>317</v>
      </c>
      <c r="FH202" s="76">
        <v>285</v>
      </c>
      <c r="FI202" s="103">
        <v>303</v>
      </c>
      <c r="FJ202" s="164" t="s">
        <v>2678</v>
      </c>
      <c r="FK202" s="165"/>
      <c r="FL202" s="166"/>
      <c r="FM202" s="76">
        <v>0.65700000000000003</v>
      </c>
      <c r="FN202" s="76">
        <v>0.66300000000000003</v>
      </c>
      <c r="FO202" s="79">
        <v>0.66</v>
      </c>
      <c r="FP202" s="133" t="s">
        <v>2705</v>
      </c>
      <c r="FQ202" s="107"/>
      <c r="FR202" s="107"/>
      <c r="FS202" s="108">
        <v>15.9</v>
      </c>
    </row>
    <row r="203" spans="1:190" s="77" customFormat="1" x14ac:dyDescent="0.35">
      <c r="A203" s="76"/>
      <c r="E203" s="76"/>
      <c r="F203" s="76"/>
      <c r="G203" s="78"/>
      <c r="H203" s="76"/>
      <c r="I203" s="79"/>
      <c r="J203" s="80"/>
      <c r="K203" s="28"/>
      <c r="L203" s="28"/>
      <c r="M203" s="25" t="str">
        <f>_xlfn.CONCAT(A204," ",C204," ",D204)</f>
        <v>2025 Volvo V60 T8 AWD</v>
      </c>
      <c r="N203" s="28"/>
      <c r="O203" s="28"/>
      <c r="P203" s="28"/>
      <c r="Q203" s="28"/>
      <c r="R203" s="28"/>
      <c r="S203" s="28"/>
      <c r="T203" s="28"/>
      <c r="U203" s="28"/>
      <c r="V203" s="28"/>
      <c r="W203" s="28"/>
      <c r="X203" s="28"/>
      <c r="Y203" s="28"/>
      <c r="Z203" s="28"/>
      <c r="AA203" s="28"/>
      <c r="AB203" s="28"/>
      <c r="AC203" s="28"/>
      <c r="AD203" s="25" t="str">
        <f>$M203</f>
        <v>2025 Volvo V60 T8 AWD</v>
      </c>
      <c r="AE203" s="28"/>
      <c r="AF203" s="28"/>
      <c r="AG203" s="28"/>
      <c r="AH203" s="28"/>
      <c r="AI203" s="28"/>
      <c r="AJ203" s="81"/>
      <c r="AK203" s="82"/>
      <c r="AL203" s="2"/>
      <c r="AM203" s="2"/>
      <c r="AN203" s="2"/>
      <c r="AO203" s="2"/>
      <c r="AP203" s="2"/>
      <c r="AQ203" s="2"/>
      <c r="AR203" s="83"/>
      <c r="AS203" s="84"/>
      <c r="AT203" s="85" t="str">
        <f>$M203</f>
        <v>2025 Volvo V60 T8 AWD</v>
      </c>
      <c r="AU203" s="84"/>
      <c r="AV203" s="28"/>
      <c r="AW203" s="28"/>
      <c r="AX203" s="28"/>
      <c r="AY203" s="28"/>
      <c r="AZ203" s="28"/>
      <c r="BA203" s="28"/>
      <c r="BB203" s="28"/>
      <c r="BC203" s="28"/>
      <c r="BD203" s="28"/>
      <c r="BE203" s="28"/>
      <c r="BF203" s="28"/>
      <c r="BG203" s="28"/>
      <c r="BH203" s="28"/>
      <c r="BI203" s="25" t="str">
        <f>$M203</f>
        <v>2025 Volvo V60 T8 AWD</v>
      </c>
      <c r="BJ203" s="28"/>
      <c r="BK203" s="28"/>
      <c r="BL203" s="28"/>
      <c r="BM203" s="81"/>
      <c r="BN203" s="82"/>
      <c r="BO203" s="2"/>
      <c r="BP203" s="2"/>
      <c r="BQ203" s="2"/>
      <c r="BR203" s="2"/>
      <c r="BS203" s="2"/>
      <c r="BT203" s="86"/>
      <c r="BU203" s="2"/>
      <c r="BV203" s="83"/>
      <c r="BW203" s="121"/>
      <c r="BX203" s="84"/>
      <c r="BY203" s="25" t="str">
        <f>$M203</f>
        <v>2025 Volvo V60 T8 AWD</v>
      </c>
      <c r="BZ203" s="28"/>
      <c r="CA203" s="28"/>
      <c r="CB203" s="28"/>
      <c r="CC203" s="28"/>
      <c r="CD203" s="28"/>
      <c r="CE203" s="88"/>
      <c r="CF203" s="28"/>
      <c r="CG203" s="28"/>
      <c r="CH203" s="28"/>
      <c r="CI203" s="28"/>
      <c r="CJ203" s="28"/>
      <c r="CK203" s="28"/>
      <c r="CL203" s="28"/>
      <c r="CM203" s="28"/>
      <c r="CN203" s="28"/>
      <c r="CO203" s="25" t="str">
        <f>$M203</f>
        <v>2025 Volvo V60 T8 AWD</v>
      </c>
      <c r="CP203" s="28"/>
      <c r="CQ203" s="28"/>
      <c r="CR203" s="28"/>
      <c r="CS203" s="28"/>
      <c r="CT203" s="28"/>
      <c r="CU203" s="28"/>
      <c r="CV203" s="28"/>
      <c r="CW203" s="28"/>
      <c r="CX203" s="28"/>
      <c r="CY203" s="28"/>
      <c r="CZ203" s="28"/>
      <c r="DA203" s="28"/>
      <c r="DB203" s="28"/>
      <c r="DC203" s="28"/>
      <c r="DD203" s="28"/>
      <c r="DE203" s="28"/>
      <c r="DF203" s="25" t="str">
        <f>$M203</f>
        <v>2025 Volvo V60 T8 AWD</v>
      </c>
      <c r="DG203" s="28"/>
      <c r="DH203" s="28"/>
      <c r="DI203" s="28"/>
      <c r="DJ203" s="28"/>
      <c r="DK203" s="28"/>
      <c r="DL203" s="28"/>
      <c r="DM203" s="28"/>
      <c r="DN203" s="28"/>
      <c r="DO203" s="28"/>
      <c r="DP203" s="28"/>
      <c r="DQ203" s="28"/>
      <c r="DR203" s="25"/>
      <c r="DS203" s="25"/>
      <c r="DT203" s="25"/>
      <c r="DU203" s="25"/>
      <c r="DV203" s="25"/>
      <c r="DW203" s="25" t="str">
        <f>$M203</f>
        <v>2025 Volvo V60 T8 AWD</v>
      </c>
      <c r="DX203" s="25"/>
      <c r="DY203" s="25"/>
      <c r="DZ203" s="85"/>
      <c r="EA203" s="89"/>
      <c r="EB203" s="80"/>
      <c r="EC203" s="25"/>
      <c r="ED203" s="85"/>
      <c r="EE203" s="80"/>
      <c r="EF203" s="25"/>
      <c r="EG203" s="25"/>
      <c r="EH203" s="85"/>
      <c r="EI203" s="80"/>
      <c r="EK203" t="s">
        <v>2445</v>
      </c>
      <c r="EL203" s="25" t="str">
        <f>$M203</f>
        <v>2025 Volvo V60 T8 AWD</v>
      </c>
      <c r="EM203" s="80"/>
      <c r="EP203" s="75"/>
      <c r="EQ203" s="90"/>
      <c r="ET203" s="75"/>
      <c r="EU203" s="90"/>
      <c r="EV203" s="75"/>
      <c r="EW203" s="90"/>
      <c r="EY203" s="75"/>
      <c r="EZ203" s="102"/>
      <c r="FA203" s="25" t="str">
        <f>$M203</f>
        <v>2025 Volvo V60 T8 AWD</v>
      </c>
      <c r="FB203" s="75"/>
      <c r="FC203" s="91"/>
      <c r="FD203" s="80"/>
      <c r="FE203" s="25"/>
      <c r="FF203" s="85"/>
      <c r="FG203" s="80"/>
      <c r="FH203" s="25"/>
      <c r="FI203" s="85"/>
      <c r="FJ203" s="80"/>
      <c r="FK203" s="25"/>
      <c r="FL203" s="85"/>
      <c r="FM203" s="25" t="str">
        <f>$M203</f>
        <v>2025 Volvo V60 T8 AWD</v>
      </c>
      <c r="FN203" s="25"/>
      <c r="FO203" s="85"/>
      <c r="FP203" s="92"/>
      <c r="FQ203" s="93"/>
      <c r="FR203" s="94"/>
      <c r="FS203" s="95"/>
      <c r="FT203" s="25"/>
      <c r="FU203" s="25"/>
      <c r="FV203" s="25"/>
      <c r="FW203" s="25"/>
      <c r="FX203" s="25"/>
      <c r="FY203" s="25"/>
      <c r="FZ203" s="25"/>
      <c r="GA203" s="25"/>
      <c r="GB203" s="25"/>
      <c r="GC203" s="25"/>
      <c r="GD203" s="25"/>
      <c r="GE203" s="25"/>
      <c r="GF203" s="25"/>
      <c r="GG203" s="25"/>
      <c r="GH203" s="25"/>
    </row>
    <row r="204" spans="1:190" s="76" customFormat="1" x14ac:dyDescent="0.35">
      <c r="A204" s="76">
        <v>2025</v>
      </c>
      <c r="B204" s="76" t="s">
        <v>658</v>
      </c>
      <c r="C204" s="76" t="s">
        <v>658</v>
      </c>
      <c r="D204" s="76" t="s">
        <v>2707</v>
      </c>
      <c r="E204" s="76" t="s">
        <v>661</v>
      </c>
      <c r="F204" s="76">
        <v>214</v>
      </c>
      <c r="G204" s="78">
        <v>2</v>
      </c>
      <c r="H204" s="76">
        <v>4</v>
      </c>
      <c r="I204" s="79" t="s">
        <v>192</v>
      </c>
      <c r="J204" s="96">
        <v>30</v>
      </c>
      <c r="K204" s="76">
        <v>33</v>
      </c>
      <c r="L204" s="76">
        <v>31</v>
      </c>
      <c r="M204" s="76">
        <v>39</v>
      </c>
      <c r="N204" s="76">
        <v>47.1</v>
      </c>
      <c r="O204" s="76">
        <v>42.271299999999997</v>
      </c>
      <c r="P204" s="76">
        <v>29.5533</v>
      </c>
      <c r="Q204" s="76">
        <v>32.599800000000002</v>
      </c>
      <c r="R204" s="76">
        <v>30.8507</v>
      </c>
      <c r="T204" s="76" t="s">
        <v>165</v>
      </c>
      <c r="U204" s="76" t="s">
        <v>166</v>
      </c>
      <c r="V204" s="76" t="s">
        <v>193</v>
      </c>
      <c r="W204" s="76" t="s">
        <v>194</v>
      </c>
      <c r="Y204" s="76">
        <v>8</v>
      </c>
      <c r="Z204" s="76" t="s">
        <v>169</v>
      </c>
      <c r="AA204" s="76" t="s">
        <v>170</v>
      </c>
      <c r="AB204" s="76" t="s">
        <v>167</v>
      </c>
      <c r="AC204" s="76" t="s">
        <v>213</v>
      </c>
      <c r="AD204" s="76">
        <v>10</v>
      </c>
      <c r="AF204" s="76">
        <v>492</v>
      </c>
      <c r="AG204" s="76" t="s">
        <v>214</v>
      </c>
      <c r="AH204" s="76" t="s">
        <v>215</v>
      </c>
      <c r="AI204" s="76" t="s">
        <v>175</v>
      </c>
      <c r="AJ204" s="79" t="s">
        <v>176</v>
      </c>
      <c r="AK204" s="96" t="s">
        <v>170</v>
      </c>
      <c r="AL204" s="76" t="s">
        <v>177</v>
      </c>
      <c r="AO204" s="76">
        <v>94</v>
      </c>
      <c r="AP204" s="76">
        <v>29</v>
      </c>
      <c r="AR204" s="79"/>
      <c r="AS204" s="96">
        <v>1350</v>
      </c>
      <c r="AT204" s="79">
        <v>1350</v>
      </c>
      <c r="AU204" s="96">
        <v>44</v>
      </c>
      <c r="AV204" s="76">
        <v>44</v>
      </c>
      <c r="AW204" s="76">
        <v>44</v>
      </c>
      <c r="AX204" s="76">
        <v>30.4</v>
      </c>
      <c r="AY204" s="76">
        <v>30.6</v>
      </c>
      <c r="AZ204" s="76">
        <v>30.49</v>
      </c>
      <c r="BA204" s="76">
        <v>44</v>
      </c>
      <c r="BB204" s="76">
        <v>44</v>
      </c>
      <c r="BC204" s="76">
        <v>44</v>
      </c>
      <c r="BD204" s="76">
        <v>40</v>
      </c>
      <c r="BE204" s="76" t="s">
        <v>1735</v>
      </c>
      <c r="BF204" s="76" t="s">
        <v>1736</v>
      </c>
      <c r="BG204" s="76" t="s">
        <v>1742</v>
      </c>
      <c r="BH204" s="76" t="s">
        <v>1743</v>
      </c>
      <c r="BI204" s="76">
        <v>1350</v>
      </c>
      <c r="BJ204" s="2"/>
      <c r="BK204" s="2"/>
      <c r="BL204" s="2"/>
      <c r="BM204" s="79"/>
      <c r="BN204" s="98" t="s">
        <v>2493</v>
      </c>
      <c r="BO204" s="76">
        <v>2</v>
      </c>
      <c r="BP204" s="76">
        <v>2</v>
      </c>
      <c r="BQ204" s="76">
        <v>7</v>
      </c>
      <c r="BR204" s="76" t="s">
        <v>897</v>
      </c>
      <c r="BS204" s="76" t="s">
        <v>180</v>
      </c>
      <c r="BT204" s="76" t="s">
        <v>2494</v>
      </c>
      <c r="BU204" s="99">
        <v>45446</v>
      </c>
      <c r="BV204" s="79">
        <v>34862</v>
      </c>
      <c r="BW204" s="120"/>
      <c r="BX204" s="96"/>
      <c r="BY204" s="76" t="s">
        <v>170</v>
      </c>
      <c r="CB204" s="76" t="s">
        <v>170</v>
      </c>
      <c r="CC204" s="76" t="s">
        <v>170</v>
      </c>
      <c r="CD204" s="76" t="s">
        <v>2697</v>
      </c>
      <c r="CE204" s="76" t="s">
        <v>170</v>
      </c>
      <c r="CG204" s="76" t="s">
        <v>169</v>
      </c>
      <c r="CH204" s="76" t="s">
        <v>2698</v>
      </c>
      <c r="CI204" s="76" t="s">
        <v>170</v>
      </c>
      <c r="CJ204" s="76" t="s">
        <v>2699</v>
      </c>
      <c r="CK204" s="76" t="s">
        <v>233</v>
      </c>
      <c r="CM204" s="76">
        <v>1</v>
      </c>
      <c r="CN204" s="76" t="s">
        <v>234</v>
      </c>
      <c r="CP204" s="76">
        <v>369</v>
      </c>
      <c r="CQ204" s="76">
        <v>51</v>
      </c>
      <c r="CR204" s="76">
        <v>141.4</v>
      </c>
      <c r="CS204" s="76" t="s">
        <v>235</v>
      </c>
      <c r="CV204" s="76" t="s">
        <v>341</v>
      </c>
      <c r="CX204" s="76" t="s">
        <v>1012</v>
      </c>
      <c r="CY204" s="76" t="s">
        <v>170</v>
      </c>
      <c r="DD204" s="76">
        <v>2</v>
      </c>
      <c r="DE204" s="76" t="s">
        <v>404</v>
      </c>
      <c r="DF204" s="76" t="s">
        <v>2703</v>
      </c>
      <c r="DG204" s="76" t="s">
        <v>2701</v>
      </c>
      <c r="DJ204" s="76" t="s">
        <v>184</v>
      </c>
      <c r="DK204" s="76" t="s">
        <v>185</v>
      </c>
      <c r="DL204" s="76" t="s">
        <v>170</v>
      </c>
      <c r="DM204" s="76" t="s">
        <v>169</v>
      </c>
      <c r="DN204" s="76" t="s">
        <v>170</v>
      </c>
      <c r="DO204" s="76" t="s">
        <v>822</v>
      </c>
      <c r="DP204" s="76" t="s">
        <v>169</v>
      </c>
      <c r="DQ204" s="76" t="s">
        <v>198</v>
      </c>
      <c r="DR204" s="76" t="s">
        <v>665</v>
      </c>
      <c r="DS204" s="76" t="s">
        <v>2496</v>
      </c>
      <c r="DT204" s="76" t="s">
        <v>2497</v>
      </c>
      <c r="DU204" s="76" t="s">
        <v>2513</v>
      </c>
      <c r="DV204" s="76" t="s">
        <v>2514</v>
      </c>
      <c r="DY204" s="76">
        <v>42.3</v>
      </c>
      <c r="DZ204" s="79"/>
      <c r="EA204" s="101"/>
      <c r="EB204" s="96">
        <v>8</v>
      </c>
      <c r="EC204" s="76">
        <v>9</v>
      </c>
      <c r="ED204" s="79">
        <v>10</v>
      </c>
      <c r="EE204" s="96" t="s">
        <v>2702</v>
      </c>
      <c r="EF204" s="76">
        <v>6</v>
      </c>
      <c r="EH204" s="79"/>
      <c r="EI204" s="96"/>
      <c r="EM204" s="96"/>
      <c r="EP204" s="79"/>
      <c r="EQ204" s="96"/>
      <c r="ET204" s="79"/>
      <c r="EU204" s="96">
        <v>2750</v>
      </c>
      <c r="EV204" s="79"/>
      <c r="EW204" s="96">
        <v>0</v>
      </c>
      <c r="EX204" s="76">
        <v>0</v>
      </c>
      <c r="EY204" s="79">
        <v>9</v>
      </c>
      <c r="EZ204" s="102">
        <f t="shared" si="59"/>
        <v>99</v>
      </c>
      <c r="FA204" s="76">
        <v>5</v>
      </c>
      <c r="FB204" s="79"/>
      <c r="FC204" s="97">
        <v>530</v>
      </c>
      <c r="FD204" s="96">
        <v>50</v>
      </c>
      <c r="FE204" s="76">
        <v>53</v>
      </c>
      <c r="FF204" s="79">
        <v>52</v>
      </c>
      <c r="FG204" s="76">
        <v>102.6</v>
      </c>
      <c r="FH204" s="76">
        <v>94.6</v>
      </c>
      <c r="FI204" s="103">
        <v>99</v>
      </c>
      <c r="FJ204" s="104">
        <v>40.85</v>
      </c>
      <c r="FK204" s="105">
        <v>39.97</v>
      </c>
      <c r="FL204" s="79">
        <v>40</v>
      </c>
      <c r="FM204" s="76">
        <v>0.68400000000000005</v>
      </c>
      <c r="FN204" s="76">
        <v>0.67700000000000005</v>
      </c>
      <c r="FO204" s="79">
        <v>0.68100000000000005</v>
      </c>
      <c r="FP204" s="106">
        <v>0.1</v>
      </c>
      <c r="FQ204" s="107">
        <v>0.1</v>
      </c>
      <c r="FR204" s="107">
        <v>0.1</v>
      </c>
      <c r="FS204" s="108">
        <v>15.9</v>
      </c>
    </row>
    <row r="205" spans="1:190" s="76" customFormat="1" x14ac:dyDescent="0.35">
      <c r="A205" s="76">
        <v>2025</v>
      </c>
      <c r="B205" s="162" t="s">
        <v>658</v>
      </c>
      <c r="C205" s="162" t="s">
        <v>659</v>
      </c>
      <c r="D205" s="162" t="s">
        <v>2707</v>
      </c>
      <c r="E205" s="162" t="s">
        <v>661</v>
      </c>
      <c r="F205" s="162">
        <v>214</v>
      </c>
      <c r="G205" s="162">
        <v>2</v>
      </c>
      <c r="H205" s="162">
        <v>4</v>
      </c>
      <c r="I205" s="163" t="s">
        <v>192</v>
      </c>
      <c r="J205" s="96">
        <f t="shared" ref="J205:R205" si="96">J204</f>
        <v>30</v>
      </c>
      <c r="K205" s="76">
        <f t="shared" si="96"/>
        <v>33</v>
      </c>
      <c r="L205" s="76">
        <f t="shared" si="96"/>
        <v>31</v>
      </c>
      <c r="M205" s="76">
        <f t="shared" si="96"/>
        <v>39</v>
      </c>
      <c r="N205" s="76">
        <f t="shared" si="96"/>
        <v>47.1</v>
      </c>
      <c r="O205" s="76">
        <f t="shared" si="96"/>
        <v>42.271299999999997</v>
      </c>
      <c r="P205" s="76">
        <f t="shared" si="96"/>
        <v>29.5533</v>
      </c>
      <c r="Q205" s="76">
        <f t="shared" si="96"/>
        <v>32.599800000000002</v>
      </c>
      <c r="R205" s="76">
        <f t="shared" si="96"/>
        <v>30.8507</v>
      </c>
      <c r="T205" s="76" t="str">
        <f>T204</f>
        <v>TC</v>
      </c>
      <c r="U205" s="76" t="str">
        <f>U204</f>
        <v>Turbocharged</v>
      </c>
      <c r="V205" s="76" t="str">
        <f>V204</f>
        <v>SA</v>
      </c>
      <c r="W205" s="76" t="str">
        <f>W204</f>
        <v>Semi-Automatic</v>
      </c>
      <c r="Y205" s="76">
        <f t="shared" ref="Y205:AD205" si="97">Y204</f>
        <v>8</v>
      </c>
      <c r="Z205" s="76" t="str">
        <f t="shared" si="97"/>
        <v>Y</v>
      </c>
      <c r="AA205" s="76" t="str">
        <f t="shared" si="97"/>
        <v>N</v>
      </c>
      <c r="AB205" s="76" t="str">
        <f t="shared" si="97"/>
        <v>A</v>
      </c>
      <c r="AC205" s="76" t="str">
        <f t="shared" si="97"/>
        <v>All Wheel Drive</v>
      </c>
      <c r="AD205" s="76">
        <f t="shared" si="97"/>
        <v>10</v>
      </c>
      <c r="AF205" s="76">
        <f>AF204</f>
        <v>492</v>
      </c>
      <c r="AG205" s="76" t="str">
        <f>AG204</f>
        <v>GPR</v>
      </c>
      <c r="AH205" s="76" t="str">
        <f>AH204</f>
        <v>Gasoline (Premium Unleaded Required)</v>
      </c>
      <c r="AI205" s="76" t="str">
        <f>AI204</f>
        <v>MPG</v>
      </c>
      <c r="AJ205" s="79" t="str">
        <f>AJ204</f>
        <v>miles per gallon</v>
      </c>
      <c r="AK205" s="96" t="s">
        <v>170</v>
      </c>
      <c r="AL205" s="76" t="s">
        <v>177</v>
      </c>
      <c r="AO205" s="76">
        <v>94</v>
      </c>
      <c r="AP205" s="76">
        <v>29</v>
      </c>
      <c r="AR205" s="79"/>
      <c r="AS205" s="96">
        <v>1350</v>
      </c>
      <c r="AT205" s="79">
        <v>1350</v>
      </c>
      <c r="AU205" s="96">
        <v>74</v>
      </c>
      <c r="AV205" s="76">
        <v>73</v>
      </c>
      <c r="AW205" s="76">
        <v>74</v>
      </c>
      <c r="AX205" s="76">
        <v>110.8</v>
      </c>
      <c r="AY205" s="76">
        <v>110.3</v>
      </c>
      <c r="AZ205" s="76">
        <v>110.5744</v>
      </c>
      <c r="BA205" s="76">
        <v>74</v>
      </c>
      <c r="BB205" s="76">
        <v>73</v>
      </c>
      <c r="BC205" s="76">
        <v>74</v>
      </c>
      <c r="BD205" s="76">
        <v>40</v>
      </c>
      <c r="BE205" s="76" t="s">
        <v>1735</v>
      </c>
      <c r="BF205" s="76" t="s">
        <v>1736</v>
      </c>
      <c r="BG205" s="76" t="s">
        <v>175</v>
      </c>
      <c r="BH205" s="76" t="s">
        <v>176</v>
      </c>
      <c r="BI205" s="76">
        <v>1350</v>
      </c>
      <c r="BM205" s="79"/>
      <c r="BN205" s="98" t="s">
        <v>2493</v>
      </c>
      <c r="BO205" s="76">
        <v>2</v>
      </c>
      <c r="BP205" s="76">
        <v>2</v>
      </c>
      <c r="BQ205" s="76">
        <v>7</v>
      </c>
      <c r="BR205" s="76" t="s">
        <v>897</v>
      </c>
      <c r="BS205" s="76" t="s">
        <v>180</v>
      </c>
      <c r="BT205" s="76" t="s">
        <v>2494</v>
      </c>
      <c r="BU205" s="99">
        <v>45446</v>
      </c>
      <c r="BV205" s="79">
        <v>34862</v>
      </c>
      <c r="BW205" s="120"/>
      <c r="BX205" s="96"/>
      <c r="BY205" s="76" t="s">
        <v>170</v>
      </c>
      <c r="CB205" s="76" t="s">
        <v>170</v>
      </c>
      <c r="CC205" s="76" t="s">
        <v>170</v>
      </c>
      <c r="CD205" s="76" t="s">
        <v>2697</v>
      </c>
      <c r="CE205" s="76" t="s">
        <v>170</v>
      </c>
      <c r="CG205" s="76" t="s">
        <v>169</v>
      </c>
      <c r="CH205" s="76" t="s">
        <v>2698</v>
      </c>
      <c r="CI205" s="76" t="s">
        <v>170</v>
      </c>
      <c r="CJ205" s="76" t="s">
        <v>2699</v>
      </c>
      <c r="CK205" s="76" t="s">
        <v>233</v>
      </c>
      <c r="CM205" s="76">
        <v>1</v>
      </c>
      <c r="CN205" s="76" t="s">
        <v>234</v>
      </c>
      <c r="CP205" s="76">
        <v>369</v>
      </c>
      <c r="CQ205" s="76">
        <v>51</v>
      </c>
      <c r="CR205" s="76">
        <v>141.4</v>
      </c>
      <c r="CS205" s="76" t="s">
        <v>235</v>
      </c>
      <c r="CV205" s="76" t="s">
        <v>341</v>
      </c>
      <c r="CX205" s="76" t="s">
        <v>1012</v>
      </c>
      <c r="CY205" s="76" t="s">
        <v>170</v>
      </c>
      <c r="DD205" s="76">
        <v>2</v>
      </c>
      <c r="DE205" s="76" t="s">
        <v>404</v>
      </c>
      <c r="DF205" s="76" t="s">
        <v>2700</v>
      </c>
      <c r="DG205" s="76" t="s">
        <v>2701</v>
      </c>
      <c r="DJ205" s="76" t="s">
        <v>184</v>
      </c>
      <c r="DK205" s="76" t="s">
        <v>185</v>
      </c>
      <c r="DL205" s="76" t="s">
        <v>170</v>
      </c>
      <c r="DM205" s="76" t="s">
        <v>169</v>
      </c>
      <c r="DN205" s="76" t="s">
        <v>170</v>
      </c>
      <c r="DO205" s="76" t="s">
        <v>822</v>
      </c>
      <c r="DP205" s="76" t="s">
        <v>169</v>
      </c>
      <c r="DQ205" s="76" t="s">
        <v>198</v>
      </c>
      <c r="DR205" s="76" t="s">
        <v>665</v>
      </c>
      <c r="DS205" s="76" t="s">
        <v>2496</v>
      </c>
      <c r="DT205" s="76" t="s">
        <v>2497</v>
      </c>
      <c r="DU205" s="76" t="s">
        <v>2513</v>
      </c>
      <c r="DV205" s="76" t="s">
        <v>2514</v>
      </c>
      <c r="DY205" s="76">
        <v>42.3</v>
      </c>
      <c r="DZ205" s="79"/>
      <c r="EA205" s="101"/>
      <c r="EB205" s="96">
        <v>8</v>
      </c>
      <c r="EC205" s="76">
        <v>9</v>
      </c>
      <c r="ED205" s="79">
        <v>10</v>
      </c>
      <c r="EE205" s="96" t="s">
        <v>2702</v>
      </c>
      <c r="EF205" s="76">
        <v>6</v>
      </c>
      <c r="EH205" s="79"/>
      <c r="EI205" s="96"/>
      <c r="EM205" s="96"/>
      <c r="EP205" s="79"/>
      <c r="EQ205" s="96"/>
      <c r="ET205" s="79"/>
      <c r="EU205" s="96">
        <v>2750</v>
      </c>
      <c r="EV205" s="79"/>
      <c r="EW205" s="96">
        <v>298</v>
      </c>
      <c r="EX205" s="76">
        <v>270</v>
      </c>
      <c r="EY205" s="79">
        <f>0.55*EW205+0.45*EX205</f>
        <v>285.39999999999998</v>
      </c>
      <c r="EZ205" s="102">
        <f t="shared" ref="EZ205:EZ211" si="98">FI205</f>
        <v>99</v>
      </c>
      <c r="FA205" s="76">
        <v>5</v>
      </c>
      <c r="FB205" s="79"/>
      <c r="FC205" s="97">
        <v>530</v>
      </c>
      <c r="FD205" s="96">
        <v>50</v>
      </c>
      <c r="FE205" s="76">
        <v>53</v>
      </c>
      <c r="FF205" s="79">
        <v>52</v>
      </c>
      <c r="FG205" s="76">
        <v>102.6</v>
      </c>
      <c r="FH205" s="76">
        <v>94.6</v>
      </c>
      <c r="FI205" s="103">
        <v>99</v>
      </c>
      <c r="FJ205" s="98" t="s">
        <v>2704</v>
      </c>
      <c r="FL205" s="79"/>
      <c r="FM205" s="76">
        <v>0.68400000000000005</v>
      </c>
      <c r="FN205" s="76">
        <v>0.67700000000000005</v>
      </c>
      <c r="FO205" s="79">
        <v>0.68100000000000005</v>
      </c>
      <c r="FP205" s="133" t="s">
        <v>2705</v>
      </c>
      <c r="FQ205" s="107"/>
      <c r="FR205" s="107"/>
      <c r="FS205" s="108">
        <v>15.9</v>
      </c>
    </row>
    <row r="206" spans="1:190" s="77" customFormat="1" x14ac:dyDescent="0.35">
      <c r="A206" s="76"/>
      <c r="E206" s="76"/>
      <c r="F206" s="76"/>
      <c r="G206" s="78"/>
      <c r="H206" s="76"/>
      <c r="I206" s="79"/>
      <c r="J206" s="80"/>
      <c r="K206" s="28"/>
      <c r="L206" s="28"/>
      <c r="M206" s="25" t="str">
        <f>_xlfn.CONCAT(A207," ",C207," ",D207)</f>
        <v>2025 Volvo XC60 T8 AWD</v>
      </c>
      <c r="N206" s="28"/>
      <c r="O206" s="28"/>
      <c r="P206" s="28"/>
      <c r="Q206" s="28"/>
      <c r="R206" s="28"/>
      <c r="S206" s="28"/>
      <c r="T206" s="28"/>
      <c r="U206" s="28"/>
      <c r="V206" s="28"/>
      <c r="W206" s="28"/>
      <c r="X206" s="28"/>
      <c r="Y206" s="28"/>
      <c r="Z206" s="28"/>
      <c r="AA206" s="28"/>
      <c r="AB206" s="28"/>
      <c r="AC206" s="28"/>
      <c r="AD206" s="25" t="str">
        <f>$M206</f>
        <v>2025 Volvo XC60 T8 AWD</v>
      </c>
      <c r="AE206" s="28"/>
      <c r="AF206" s="28"/>
      <c r="AG206" s="28"/>
      <c r="AH206" s="28"/>
      <c r="AI206" s="28"/>
      <c r="AJ206" s="81"/>
      <c r="AK206" s="82"/>
      <c r="AL206" s="2"/>
      <c r="AM206" s="2"/>
      <c r="AN206" s="2"/>
      <c r="AO206" s="2"/>
      <c r="AP206" s="2"/>
      <c r="AQ206" s="2"/>
      <c r="AR206" s="83"/>
      <c r="AS206" s="84"/>
      <c r="AT206" s="85" t="str">
        <f>$M206</f>
        <v>2025 Volvo XC60 T8 AWD</v>
      </c>
      <c r="AU206" s="84"/>
      <c r="AV206" s="28"/>
      <c r="AW206" s="28"/>
      <c r="AX206" s="28"/>
      <c r="AY206" s="28"/>
      <c r="AZ206" s="28"/>
      <c r="BA206" s="28"/>
      <c r="BB206" s="28"/>
      <c r="BC206" s="28"/>
      <c r="BD206" s="28"/>
      <c r="BE206" s="28"/>
      <c r="BF206" s="28"/>
      <c r="BG206" s="28"/>
      <c r="BH206" s="28"/>
      <c r="BI206" s="25" t="str">
        <f>$M206</f>
        <v>2025 Volvo XC60 T8 AWD</v>
      </c>
      <c r="BJ206" s="28"/>
      <c r="BK206" s="28"/>
      <c r="BL206" s="28"/>
      <c r="BM206" s="81"/>
      <c r="BN206" s="82"/>
      <c r="BO206" s="2"/>
      <c r="BP206" s="2"/>
      <c r="BQ206" s="2"/>
      <c r="BR206" s="2"/>
      <c r="BS206" s="2"/>
      <c r="BT206" s="86"/>
      <c r="BU206" s="2"/>
      <c r="BV206" s="83"/>
      <c r="BW206" s="121"/>
      <c r="BX206" s="84"/>
      <c r="BY206" s="25" t="str">
        <f>$M206</f>
        <v>2025 Volvo XC60 T8 AWD</v>
      </c>
      <c r="BZ206" s="28"/>
      <c r="CA206" s="28"/>
      <c r="CB206" s="28"/>
      <c r="CC206" s="28"/>
      <c r="CD206" s="28"/>
      <c r="CE206" s="88"/>
      <c r="CF206" s="28"/>
      <c r="CG206" s="28"/>
      <c r="CH206" s="28"/>
      <c r="CI206" s="28"/>
      <c r="CJ206" s="28"/>
      <c r="CK206" s="28"/>
      <c r="CL206" s="28"/>
      <c r="CM206" s="28"/>
      <c r="CN206" s="28"/>
      <c r="CO206" s="25" t="str">
        <f>$M206</f>
        <v>2025 Volvo XC60 T8 AWD</v>
      </c>
      <c r="CP206" s="28"/>
      <c r="CQ206" s="28"/>
      <c r="CR206" s="28"/>
      <c r="CS206" s="28"/>
      <c r="CT206" s="28"/>
      <c r="CU206" s="28"/>
      <c r="CV206" s="28"/>
      <c r="CW206" s="28"/>
      <c r="CX206" s="28"/>
      <c r="CY206" s="28"/>
      <c r="CZ206" s="28"/>
      <c r="DA206" s="28"/>
      <c r="DB206" s="28"/>
      <c r="DC206" s="28"/>
      <c r="DD206" s="28"/>
      <c r="DE206" s="28"/>
      <c r="DF206" s="25" t="str">
        <f>$M206</f>
        <v>2025 Volvo XC60 T8 AWD</v>
      </c>
      <c r="DG206" s="28"/>
      <c r="DH206" s="28"/>
      <c r="DI206" s="28"/>
      <c r="DJ206" s="28"/>
      <c r="DK206" s="28"/>
      <c r="DL206" s="28"/>
      <c r="DM206" s="28"/>
      <c r="DN206" s="28"/>
      <c r="DO206" s="28"/>
      <c r="DP206" s="28"/>
      <c r="DQ206" s="28"/>
      <c r="DR206" s="25"/>
      <c r="DS206" s="25"/>
      <c r="DT206" s="25"/>
      <c r="DU206" s="25"/>
      <c r="DV206" s="25"/>
      <c r="DW206" s="25" t="str">
        <f>$M206</f>
        <v>2025 Volvo XC60 T8 AWD</v>
      </c>
      <c r="DX206" s="25"/>
      <c r="DY206" s="25"/>
      <c r="DZ206" s="85"/>
      <c r="EA206" s="89"/>
      <c r="EB206" s="80"/>
      <c r="EC206" s="25"/>
      <c r="ED206" s="85"/>
      <c r="EE206" s="80"/>
      <c r="EF206" s="25"/>
      <c r="EG206" s="25"/>
      <c r="EH206" s="85"/>
      <c r="EI206" s="80"/>
      <c r="EK206" t="s">
        <v>2445</v>
      </c>
      <c r="EL206" s="25" t="str">
        <f>$M206</f>
        <v>2025 Volvo XC60 T8 AWD</v>
      </c>
      <c r="EM206" s="80"/>
      <c r="EP206" s="75"/>
      <c r="EQ206" s="90"/>
      <c r="ET206" s="75"/>
      <c r="EU206" s="90"/>
      <c r="EV206" s="75"/>
      <c r="EW206" s="90"/>
      <c r="EY206" s="75"/>
      <c r="EZ206" s="102"/>
      <c r="FA206" s="25" t="str">
        <f>$M206</f>
        <v>2025 Volvo XC60 T8 AWD</v>
      </c>
      <c r="FB206" s="75"/>
      <c r="FC206" s="91"/>
      <c r="FD206" s="80"/>
      <c r="FE206" s="25"/>
      <c r="FF206" s="85"/>
      <c r="FG206" s="80"/>
      <c r="FH206" s="25"/>
      <c r="FI206" s="85"/>
      <c r="FJ206" s="80"/>
      <c r="FK206" s="25"/>
      <c r="FL206" s="85"/>
      <c r="FM206" s="25" t="str">
        <f>$M206</f>
        <v>2025 Volvo XC60 T8 AWD</v>
      </c>
      <c r="FN206" s="25"/>
      <c r="FO206" s="85"/>
      <c r="FP206" s="92"/>
      <c r="FQ206" s="93"/>
      <c r="FR206" s="94"/>
      <c r="FS206" s="95"/>
      <c r="FT206" s="25"/>
      <c r="FU206" s="25"/>
      <c r="FV206" s="25"/>
      <c r="FW206" s="25"/>
      <c r="FX206" s="25"/>
      <c r="FY206" s="25"/>
      <c r="FZ206" s="25"/>
      <c r="GA206" s="25"/>
      <c r="GB206" s="25"/>
      <c r="GC206" s="25"/>
      <c r="GD206" s="25"/>
      <c r="GE206" s="25"/>
      <c r="GF206" s="25"/>
      <c r="GG206" s="25"/>
      <c r="GH206" s="25"/>
    </row>
    <row r="207" spans="1:190" s="76" customFormat="1" x14ac:dyDescent="0.35">
      <c r="A207" s="76">
        <v>2025</v>
      </c>
      <c r="B207" s="76" t="s">
        <v>658</v>
      </c>
      <c r="C207" s="76" t="s">
        <v>658</v>
      </c>
      <c r="D207" s="76" t="s">
        <v>2708</v>
      </c>
      <c r="E207" s="76" t="s">
        <v>661</v>
      </c>
      <c r="F207" s="76">
        <v>226</v>
      </c>
      <c r="G207" s="78">
        <v>2</v>
      </c>
      <c r="H207" s="76">
        <v>4</v>
      </c>
      <c r="I207" s="79" t="s">
        <v>192</v>
      </c>
      <c r="J207" s="96">
        <v>28</v>
      </c>
      <c r="K207" s="76">
        <v>28</v>
      </c>
      <c r="L207" s="76">
        <v>28</v>
      </c>
      <c r="M207" s="76">
        <v>36.1</v>
      </c>
      <c r="N207" s="76">
        <v>39.5</v>
      </c>
      <c r="O207" s="76">
        <v>37.554600000000001</v>
      </c>
      <c r="P207" s="76">
        <v>27.603899999999999</v>
      </c>
      <c r="Q207" s="76">
        <v>27.8062</v>
      </c>
      <c r="R207" s="76">
        <v>27.694600000000001</v>
      </c>
      <c r="T207" s="76" t="s">
        <v>165</v>
      </c>
      <c r="U207" s="76" t="s">
        <v>166</v>
      </c>
      <c r="V207" s="76" t="s">
        <v>193</v>
      </c>
      <c r="W207" s="76" t="s">
        <v>194</v>
      </c>
      <c r="Y207" s="76">
        <v>8</v>
      </c>
      <c r="Z207" s="76" t="s">
        <v>169</v>
      </c>
      <c r="AA207" s="76" t="s">
        <v>170</v>
      </c>
      <c r="AB207" s="76" t="s">
        <v>167</v>
      </c>
      <c r="AC207" s="76" t="s">
        <v>213</v>
      </c>
      <c r="AD207" s="76">
        <v>10</v>
      </c>
      <c r="AF207" s="76">
        <v>521</v>
      </c>
      <c r="AG207" s="76" t="s">
        <v>214</v>
      </c>
      <c r="AH207" s="76" t="s">
        <v>215</v>
      </c>
      <c r="AI207" s="76" t="s">
        <v>175</v>
      </c>
      <c r="AJ207" s="79" t="s">
        <v>176</v>
      </c>
      <c r="AK207" s="96" t="s">
        <v>940</v>
      </c>
      <c r="AL207" s="76" t="s">
        <v>941</v>
      </c>
      <c r="AR207" s="79"/>
      <c r="AS207" s="96">
        <v>1600</v>
      </c>
      <c r="AT207" s="79">
        <v>1600</v>
      </c>
      <c r="AU207" s="96">
        <v>49</v>
      </c>
      <c r="AV207" s="76">
        <v>52</v>
      </c>
      <c r="AW207" s="76">
        <v>50</v>
      </c>
      <c r="AX207" s="76">
        <v>34</v>
      </c>
      <c r="AY207" s="76">
        <v>37.299999999999997</v>
      </c>
      <c r="AZ207" s="76">
        <v>35.484999999999999</v>
      </c>
      <c r="BA207" s="76">
        <v>49</v>
      </c>
      <c r="BB207" s="76">
        <v>52</v>
      </c>
      <c r="BC207" s="76">
        <v>50</v>
      </c>
      <c r="BD207" s="76">
        <v>36</v>
      </c>
      <c r="BE207" s="76" t="s">
        <v>1735</v>
      </c>
      <c r="BF207" s="76" t="s">
        <v>1736</v>
      </c>
      <c r="BG207" s="76" t="s">
        <v>1742</v>
      </c>
      <c r="BH207" s="76" t="s">
        <v>1743</v>
      </c>
      <c r="BI207" s="76">
        <v>1600</v>
      </c>
      <c r="BJ207" s="2"/>
      <c r="BK207" s="2"/>
      <c r="BL207" s="2"/>
      <c r="BM207" s="79"/>
      <c r="BN207" s="98" t="s">
        <v>2493</v>
      </c>
      <c r="BO207" s="76">
        <v>2</v>
      </c>
      <c r="BP207" s="76">
        <v>2</v>
      </c>
      <c r="BQ207" s="76">
        <v>31</v>
      </c>
      <c r="BR207" s="76" t="s">
        <v>1219</v>
      </c>
      <c r="BT207" s="76" t="s">
        <v>2494</v>
      </c>
      <c r="BU207" s="99">
        <v>45446</v>
      </c>
      <c r="BV207" s="79">
        <v>34865</v>
      </c>
      <c r="BW207" s="120"/>
      <c r="BX207" s="96"/>
      <c r="BY207" s="76" t="s">
        <v>170</v>
      </c>
      <c r="CB207" s="76" t="s">
        <v>170</v>
      </c>
      <c r="CC207" s="76" t="s">
        <v>170</v>
      </c>
      <c r="CD207" s="76" t="s">
        <v>2697</v>
      </c>
      <c r="CE207" s="76" t="s">
        <v>170</v>
      </c>
      <c r="CG207" s="76" t="s">
        <v>169</v>
      </c>
      <c r="CH207" s="76" t="s">
        <v>2698</v>
      </c>
      <c r="CI207" s="76" t="s">
        <v>170</v>
      </c>
      <c r="CJ207" s="76" t="s">
        <v>2699</v>
      </c>
      <c r="CK207" s="76" t="s">
        <v>233</v>
      </c>
      <c r="CM207" s="76">
        <v>1</v>
      </c>
      <c r="CN207" s="76" t="s">
        <v>234</v>
      </c>
      <c r="CP207" s="76">
        <v>369</v>
      </c>
      <c r="CQ207" s="76">
        <v>51</v>
      </c>
      <c r="CR207" s="76">
        <v>141.4</v>
      </c>
      <c r="CS207" s="76" t="s">
        <v>235</v>
      </c>
      <c r="CV207" s="76" t="s">
        <v>341</v>
      </c>
      <c r="CX207" s="76" t="s">
        <v>1012</v>
      </c>
      <c r="CY207" s="76" t="s">
        <v>170</v>
      </c>
      <c r="DD207" s="76">
        <v>2</v>
      </c>
      <c r="DE207" s="76" t="s">
        <v>404</v>
      </c>
      <c r="DF207" s="76" t="s">
        <v>2700</v>
      </c>
      <c r="DG207" s="76" t="s">
        <v>2701</v>
      </c>
      <c r="DJ207" s="76" t="s">
        <v>184</v>
      </c>
      <c r="DK207" s="76" t="s">
        <v>185</v>
      </c>
      <c r="DL207" s="76" t="s">
        <v>170</v>
      </c>
      <c r="DM207" s="76" t="s">
        <v>169</v>
      </c>
      <c r="DN207" s="76" t="s">
        <v>170</v>
      </c>
      <c r="DO207" s="76" t="s">
        <v>822</v>
      </c>
      <c r="DP207" s="76" t="s">
        <v>169</v>
      </c>
      <c r="DQ207" s="76" t="s">
        <v>198</v>
      </c>
      <c r="DR207" s="76" t="s">
        <v>665</v>
      </c>
      <c r="DS207" s="76" t="s">
        <v>2496</v>
      </c>
      <c r="DT207" s="76" t="s">
        <v>2497</v>
      </c>
      <c r="DU207" s="76" t="s">
        <v>2513</v>
      </c>
      <c r="DV207" s="76" t="s">
        <v>2514</v>
      </c>
      <c r="DZ207" s="79"/>
      <c r="EA207" s="101"/>
      <c r="EB207" s="96">
        <v>7</v>
      </c>
      <c r="EC207" s="76">
        <v>9</v>
      </c>
      <c r="ED207" s="79">
        <v>10</v>
      </c>
      <c r="EE207" s="96" t="s">
        <v>2702</v>
      </c>
      <c r="EF207" s="76">
        <v>6</v>
      </c>
      <c r="EH207" s="79"/>
      <c r="EI207" s="96"/>
      <c r="EM207" s="96"/>
      <c r="EP207" s="79"/>
      <c r="EQ207" s="96"/>
      <c r="ET207" s="79"/>
      <c r="EU207" s="96">
        <v>1500</v>
      </c>
      <c r="EV207" s="79"/>
      <c r="EW207" s="96">
        <v>0</v>
      </c>
      <c r="EX207" s="76">
        <v>0</v>
      </c>
      <c r="EY207" s="79">
        <v>9</v>
      </c>
      <c r="EZ207" s="102">
        <f t="shared" si="98"/>
        <v>122</v>
      </c>
      <c r="FA207" s="76">
        <v>5</v>
      </c>
      <c r="FB207" s="79"/>
      <c r="FC207" s="97">
        <v>560</v>
      </c>
      <c r="FD207" s="96">
        <v>45</v>
      </c>
      <c r="FE207" s="76">
        <v>42</v>
      </c>
      <c r="FF207" s="79">
        <v>44</v>
      </c>
      <c r="FG207" s="76">
        <v>118.4</v>
      </c>
      <c r="FH207" s="76">
        <v>127.3</v>
      </c>
      <c r="FI207" s="103">
        <v>122</v>
      </c>
      <c r="FJ207" s="104">
        <v>36.612000000000002</v>
      </c>
      <c r="FK207" s="105">
        <v>33.831000000000003</v>
      </c>
      <c r="FL207" s="79">
        <v>35</v>
      </c>
      <c r="FM207" s="76">
        <v>0.65100000000000002</v>
      </c>
      <c r="FN207" s="76">
        <v>0.627</v>
      </c>
      <c r="FO207" s="79">
        <v>0.64</v>
      </c>
      <c r="FP207" s="106">
        <v>0.1</v>
      </c>
      <c r="FQ207" s="107">
        <v>0.1</v>
      </c>
      <c r="FR207" s="107">
        <v>0.1</v>
      </c>
      <c r="FS207" s="108">
        <v>18.8</v>
      </c>
    </row>
    <row r="208" spans="1:190" s="76" customFormat="1" x14ac:dyDescent="0.35">
      <c r="A208" s="76">
        <v>2025</v>
      </c>
      <c r="B208" s="162" t="s">
        <v>658</v>
      </c>
      <c r="C208" s="162" t="s">
        <v>659</v>
      </c>
      <c r="D208" s="162" t="s">
        <v>2708</v>
      </c>
      <c r="E208" s="162" t="s">
        <v>661</v>
      </c>
      <c r="F208" s="162">
        <v>226</v>
      </c>
      <c r="G208" s="162">
        <v>2</v>
      </c>
      <c r="H208" s="162">
        <v>4</v>
      </c>
      <c r="I208" s="163" t="s">
        <v>192</v>
      </c>
      <c r="J208" s="96">
        <f t="shared" ref="J208:R208" si="99">J207</f>
        <v>28</v>
      </c>
      <c r="K208" s="76">
        <f t="shared" si="99"/>
        <v>28</v>
      </c>
      <c r="L208" s="76">
        <f t="shared" si="99"/>
        <v>28</v>
      </c>
      <c r="M208" s="76">
        <f t="shared" si="99"/>
        <v>36.1</v>
      </c>
      <c r="N208" s="76">
        <f t="shared" si="99"/>
        <v>39.5</v>
      </c>
      <c r="O208" s="76">
        <f t="shared" si="99"/>
        <v>37.554600000000001</v>
      </c>
      <c r="P208" s="76">
        <f t="shared" si="99"/>
        <v>27.603899999999999</v>
      </c>
      <c r="Q208" s="76">
        <f t="shared" si="99"/>
        <v>27.8062</v>
      </c>
      <c r="R208" s="76">
        <f t="shared" si="99"/>
        <v>27.694600000000001</v>
      </c>
      <c r="T208" s="76" t="str">
        <f>T207</f>
        <v>TC</v>
      </c>
      <c r="U208" s="76" t="str">
        <f>U207</f>
        <v>Turbocharged</v>
      </c>
      <c r="V208" s="76" t="str">
        <f>V207</f>
        <v>SA</v>
      </c>
      <c r="W208" s="76" t="str">
        <f>W207</f>
        <v>Semi-Automatic</v>
      </c>
      <c r="Y208" s="76">
        <f t="shared" ref="Y208:AD208" si="100">Y207</f>
        <v>8</v>
      </c>
      <c r="Z208" s="76" t="str">
        <f t="shared" si="100"/>
        <v>Y</v>
      </c>
      <c r="AA208" s="76" t="str">
        <f t="shared" si="100"/>
        <v>N</v>
      </c>
      <c r="AB208" s="76" t="str">
        <f t="shared" si="100"/>
        <v>A</v>
      </c>
      <c r="AC208" s="76" t="str">
        <f t="shared" si="100"/>
        <v>All Wheel Drive</v>
      </c>
      <c r="AD208" s="76">
        <f t="shared" si="100"/>
        <v>10</v>
      </c>
      <c r="AF208" s="76">
        <f>AF207</f>
        <v>521</v>
      </c>
      <c r="AG208" s="76" t="str">
        <f>AG207</f>
        <v>GPR</v>
      </c>
      <c r="AH208" s="76" t="str">
        <f>AH207</f>
        <v>Gasoline (Premium Unleaded Required)</v>
      </c>
      <c r="AI208" s="76" t="str">
        <f>AI207</f>
        <v>MPG</v>
      </c>
      <c r="AJ208" s="79" t="str">
        <f>AJ207</f>
        <v>miles per gallon</v>
      </c>
      <c r="AK208" s="96" t="s">
        <v>940</v>
      </c>
      <c r="AL208" s="76" t="s">
        <v>941</v>
      </c>
      <c r="AR208" s="79"/>
      <c r="AS208" s="96">
        <v>1600</v>
      </c>
      <c r="AT208" s="79">
        <v>1600</v>
      </c>
      <c r="AU208" s="96">
        <v>66</v>
      </c>
      <c r="AV208" s="76">
        <v>60</v>
      </c>
      <c r="AW208" s="76">
        <v>63</v>
      </c>
      <c r="AX208" s="76">
        <v>99.1</v>
      </c>
      <c r="AY208" s="76">
        <v>90.4</v>
      </c>
      <c r="AZ208" s="76">
        <v>94.986400000000003</v>
      </c>
      <c r="BA208" s="76">
        <v>66</v>
      </c>
      <c r="BB208" s="76">
        <v>60</v>
      </c>
      <c r="BC208" s="76">
        <v>63</v>
      </c>
      <c r="BD208" s="76">
        <v>36</v>
      </c>
      <c r="BE208" s="76" t="s">
        <v>1735</v>
      </c>
      <c r="BF208" s="76" t="s">
        <v>1736</v>
      </c>
      <c r="BG208" s="76" t="s">
        <v>175</v>
      </c>
      <c r="BH208" s="76" t="s">
        <v>176</v>
      </c>
      <c r="BI208" s="76">
        <v>1600</v>
      </c>
      <c r="BM208" s="79"/>
      <c r="BN208" s="98" t="s">
        <v>2493</v>
      </c>
      <c r="BO208" s="76">
        <v>2</v>
      </c>
      <c r="BP208" s="76">
        <v>2</v>
      </c>
      <c r="BQ208" s="76">
        <v>31</v>
      </c>
      <c r="BR208" s="76" t="s">
        <v>1219</v>
      </c>
      <c r="BT208" s="76" t="s">
        <v>2494</v>
      </c>
      <c r="BU208" s="99">
        <v>45446</v>
      </c>
      <c r="BV208" s="79">
        <v>34865</v>
      </c>
      <c r="BW208" s="120"/>
      <c r="BX208" s="96"/>
      <c r="BY208" s="76" t="s">
        <v>170</v>
      </c>
      <c r="CB208" s="76" t="s">
        <v>170</v>
      </c>
      <c r="CC208" s="76" t="s">
        <v>170</v>
      </c>
      <c r="CD208" s="76" t="s">
        <v>2697</v>
      </c>
      <c r="CE208" s="76" t="s">
        <v>170</v>
      </c>
      <c r="CG208" s="76" t="s">
        <v>169</v>
      </c>
      <c r="CH208" s="76" t="s">
        <v>2698</v>
      </c>
      <c r="CI208" s="76" t="s">
        <v>170</v>
      </c>
      <c r="CJ208" s="76" t="s">
        <v>2699</v>
      </c>
      <c r="CK208" s="76" t="s">
        <v>233</v>
      </c>
      <c r="CM208" s="76">
        <v>1</v>
      </c>
      <c r="CN208" s="76" t="s">
        <v>234</v>
      </c>
      <c r="CP208" s="76">
        <v>369</v>
      </c>
      <c r="CQ208" s="76">
        <v>51</v>
      </c>
      <c r="CR208" s="76">
        <v>141.4</v>
      </c>
      <c r="CS208" s="76" t="s">
        <v>235</v>
      </c>
      <c r="CV208" s="76" t="s">
        <v>341</v>
      </c>
      <c r="CX208" s="76" t="s">
        <v>1012</v>
      </c>
      <c r="CY208" s="76" t="s">
        <v>170</v>
      </c>
      <c r="DD208" s="76">
        <v>2</v>
      </c>
      <c r="DE208" s="76" t="s">
        <v>404</v>
      </c>
      <c r="DF208" s="76" t="s">
        <v>2703</v>
      </c>
      <c r="DG208" s="76" t="s">
        <v>2701</v>
      </c>
      <c r="DJ208" s="76" t="s">
        <v>184</v>
      </c>
      <c r="DK208" s="76" t="s">
        <v>185</v>
      </c>
      <c r="DL208" s="76" t="s">
        <v>170</v>
      </c>
      <c r="DM208" s="76" t="s">
        <v>169</v>
      </c>
      <c r="DN208" s="76" t="s">
        <v>170</v>
      </c>
      <c r="DO208" s="76" t="s">
        <v>822</v>
      </c>
      <c r="DP208" s="76" t="s">
        <v>169</v>
      </c>
      <c r="DQ208" s="76" t="s">
        <v>198</v>
      </c>
      <c r="DR208" s="76" t="s">
        <v>665</v>
      </c>
      <c r="DS208" s="76" t="s">
        <v>2496</v>
      </c>
      <c r="DT208" s="76" t="s">
        <v>2497</v>
      </c>
      <c r="DU208" s="76" t="s">
        <v>2513</v>
      </c>
      <c r="DV208" s="76" t="s">
        <v>2514</v>
      </c>
      <c r="DZ208" s="79"/>
      <c r="EA208" s="101"/>
      <c r="EB208" s="96">
        <v>7</v>
      </c>
      <c r="EC208" s="76">
        <v>9</v>
      </c>
      <c r="ED208" s="79">
        <v>10</v>
      </c>
      <c r="EE208" s="96" t="s">
        <v>2702</v>
      </c>
      <c r="EF208" s="76">
        <v>6</v>
      </c>
      <c r="EH208" s="79"/>
      <c r="EI208" s="96"/>
      <c r="EM208" s="96"/>
      <c r="EP208" s="79"/>
      <c r="EQ208" s="96"/>
      <c r="ET208" s="79"/>
      <c r="EU208" s="96">
        <v>1500</v>
      </c>
      <c r="EV208" s="79"/>
      <c r="EW208" s="96">
        <v>319</v>
      </c>
      <c r="EX208" s="76">
        <v>317</v>
      </c>
      <c r="EY208" s="79">
        <f>0.55*EW208+0.45*EX208</f>
        <v>318.10000000000002</v>
      </c>
      <c r="EZ208" s="102">
        <f t="shared" si="98"/>
        <v>122</v>
      </c>
      <c r="FA208" s="76">
        <v>5</v>
      </c>
      <c r="FB208" s="79"/>
      <c r="FC208" s="97">
        <v>560</v>
      </c>
      <c r="FD208" s="96">
        <v>45</v>
      </c>
      <c r="FE208" s="76">
        <v>42</v>
      </c>
      <c r="FF208" s="79">
        <v>44</v>
      </c>
      <c r="FG208" s="76">
        <v>118.4</v>
      </c>
      <c r="FH208" s="76">
        <v>127.3</v>
      </c>
      <c r="FI208" s="103">
        <v>122</v>
      </c>
      <c r="FJ208" s="98" t="s">
        <v>2536</v>
      </c>
      <c r="FL208" s="79"/>
      <c r="FM208" s="76">
        <v>0.65100000000000002</v>
      </c>
      <c r="FN208" s="76">
        <v>0.627</v>
      </c>
      <c r="FO208" s="79">
        <v>0.64</v>
      </c>
      <c r="FP208" s="133" t="s">
        <v>2705</v>
      </c>
      <c r="FQ208" s="107"/>
      <c r="FR208" s="107"/>
      <c r="FS208" s="108">
        <v>18.8</v>
      </c>
    </row>
    <row r="209" spans="1:190" s="77" customFormat="1" x14ac:dyDescent="0.35">
      <c r="A209" s="76"/>
      <c r="E209" s="76"/>
      <c r="F209" s="76"/>
      <c r="G209" s="78"/>
      <c r="H209" s="76"/>
      <c r="I209" s="79"/>
      <c r="J209" s="80"/>
      <c r="K209" s="28"/>
      <c r="L209" s="28"/>
      <c r="M209" s="25" t="str">
        <f>_xlfn.CONCAT(A210," ",C210," ",D210)</f>
        <v>2025 Volvo XC90 T8 AWD</v>
      </c>
      <c r="N209" s="28"/>
      <c r="O209" s="28"/>
      <c r="P209" s="28"/>
      <c r="Q209" s="28"/>
      <c r="R209" s="28"/>
      <c r="S209" s="28"/>
      <c r="T209" s="28"/>
      <c r="U209" s="28"/>
      <c r="V209" s="28"/>
      <c r="W209" s="28"/>
      <c r="X209" s="28"/>
      <c r="Y209" s="28"/>
      <c r="Z209" s="28"/>
      <c r="AA209" s="28"/>
      <c r="AB209" s="28"/>
      <c r="AC209" s="28"/>
      <c r="AD209" s="25" t="str">
        <f>$M209</f>
        <v>2025 Volvo XC90 T8 AWD</v>
      </c>
      <c r="AE209" s="28"/>
      <c r="AF209" s="28"/>
      <c r="AG209" s="28"/>
      <c r="AH209" s="28"/>
      <c r="AI209" s="28"/>
      <c r="AJ209" s="81"/>
      <c r="AK209" s="82"/>
      <c r="AL209" s="2"/>
      <c r="AM209" s="2"/>
      <c r="AN209" s="2"/>
      <c r="AO209" s="2"/>
      <c r="AP209" s="2"/>
      <c r="AQ209" s="2"/>
      <c r="AR209" s="83"/>
      <c r="AS209" s="84"/>
      <c r="AT209" s="85" t="str">
        <f>$M209</f>
        <v>2025 Volvo XC90 T8 AWD</v>
      </c>
      <c r="AU209" s="84"/>
      <c r="AV209" s="28"/>
      <c r="AW209" s="28"/>
      <c r="AX209" s="28"/>
      <c r="AY209" s="28"/>
      <c r="AZ209" s="28"/>
      <c r="BA209" s="28"/>
      <c r="BB209" s="28"/>
      <c r="BC209" s="28"/>
      <c r="BD209" s="28"/>
      <c r="BE209" s="28"/>
      <c r="BF209" s="28"/>
      <c r="BG209" s="28"/>
      <c r="BH209" s="28"/>
      <c r="BI209" s="25" t="str">
        <f>$M209</f>
        <v>2025 Volvo XC90 T8 AWD</v>
      </c>
      <c r="BJ209" s="28"/>
      <c r="BK209" s="28"/>
      <c r="BL209" s="28"/>
      <c r="BM209" s="81"/>
      <c r="BN209" s="82"/>
      <c r="BO209" s="2"/>
      <c r="BP209" s="2"/>
      <c r="BQ209" s="2"/>
      <c r="BR209" s="2"/>
      <c r="BS209" s="2"/>
      <c r="BT209" s="86"/>
      <c r="BU209" s="2"/>
      <c r="BV209" s="83"/>
      <c r="BW209" s="121"/>
      <c r="BX209" s="84"/>
      <c r="BY209" s="25" t="str">
        <f>$M209</f>
        <v>2025 Volvo XC90 T8 AWD</v>
      </c>
      <c r="BZ209" s="28"/>
      <c r="CA209" s="28"/>
      <c r="CB209" s="28"/>
      <c r="CC209" s="28"/>
      <c r="CD209" s="28"/>
      <c r="CE209" s="88"/>
      <c r="CF209" s="28"/>
      <c r="CG209" s="28"/>
      <c r="CH209" s="28"/>
      <c r="CI209" s="28"/>
      <c r="CJ209" s="28"/>
      <c r="CK209" s="28"/>
      <c r="CL209" s="28"/>
      <c r="CM209" s="28"/>
      <c r="CN209" s="28"/>
      <c r="CO209" s="25" t="str">
        <f>$M209</f>
        <v>2025 Volvo XC90 T8 AWD</v>
      </c>
      <c r="CP209" s="28"/>
      <c r="CQ209" s="28"/>
      <c r="CR209" s="28"/>
      <c r="CS209" s="28"/>
      <c r="CT209" s="28"/>
      <c r="CU209" s="28"/>
      <c r="CV209" s="28"/>
      <c r="CW209" s="28"/>
      <c r="CX209" s="28"/>
      <c r="CY209" s="28"/>
      <c r="CZ209" s="28"/>
      <c r="DA209" s="28"/>
      <c r="DB209" s="28"/>
      <c r="DC209" s="28"/>
      <c r="DD209" s="28"/>
      <c r="DE209" s="28"/>
      <c r="DF209" s="25" t="str">
        <f>$M209</f>
        <v>2025 Volvo XC90 T8 AWD</v>
      </c>
      <c r="DG209" s="28"/>
      <c r="DH209" s="28"/>
      <c r="DI209" s="28"/>
      <c r="DJ209" s="28"/>
      <c r="DK209" s="28"/>
      <c r="DL209" s="28"/>
      <c r="DM209" s="28"/>
      <c r="DN209" s="28"/>
      <c r="DO209" s="28"/>
      <c r="DP209" s="28"/>
      <c r="DQ209" s="28"/>
      <c r="DR209" s="25"/>
      <c r="DS209" s="25"/>
      <c r="DT209" s="25"/>
      <c r="DU209" s="25"/>
      <c r="DV209" s="25"/>
      <c r="DW209" s="25" t="str">
        <f>$M209</f>
        <v>2025 Volvo XC90 T8 AWD</v>
      </c>
      <c r="DX209" s="25"/>
      <c r="DY209" s="25"/>
      <c r="DZ209" s="85"/>
      <c r="EA209" s="89"/>
      <c r="EB209" s="80"/>
      <c r="EC209" s="25"/>
      <c r="ED209" s="85"/>
      <c r="EE209" s="80"/>
      <c r="EF209" s="25"/>
      <c r="EG209" s="25"/>
      <c r="EH209" s="85"/>
      <c r="EI209" s="80"/>
      <c r="EK209" t="s">
        <v>2445</v>
      </c>
      <c r="EL209" s="25" t="str">
        <f>$M209</f>
        <v>2025 Volvo XC90 T8 AWD</v>
      </c>
      <c r="EM209" s="80"/>
      <c r="EP209" s="75"/>
      <c r="EQ209" s="90"/>
      <c r="ET209" s="75"/>
      <c r="EU209" s="90"/>
      <c r="EV209" s="75"/>
      <c r="EW209" s="90"/>
      <c r="EY209" s="75"/>
      <c r="EZ209" s="102"/>
      <c r="FA209" s="25" t="str">
        <f>$M209</f>
        <v>2025 Volvo XC90 T8 AWD</v>
      </c>
      <c r="FB209" s="75"/>
      <c r="FC209" s="91"/>
      <c r="FD209" s="80"/>
      <c r="FE209" s="25"/>
      <c r="FF209" s="85"/>
      <c r="FG209" s="80"/>
      <c r="FH209" s="25"/>
      <c r="FI209" s="85"/>
      <c r="FJ209" s="80"/>
      <c r="FK209" s="25"/>
      <c r="FL209" s="85"/>
      <c r="FM209" s="25" t="str">
        <f>$M209</f>
        <v>2025 Volvo XC90 T8 AWD</v>
      </c>
      <c r="FN209" s="25"/>
      <c r="FO209" s="85"/>
      <c r="FP209" s="92"/>
      <c r="FQ209" s="93"/>
      <c r="FR209" s="94"/>
      <c r="FS209" s="95"/>
      <c r="FT209" s="25"/>
      <c r="FU209" s="25"/>
      <c r="FV209" s="25"/>
      <c r="FW209" s="25"/>
      <c r="FX209" s="25"/>
      <c r="FY209" s="25"/>
      <c r="FZ209" s="25"/>
      <c r="GA209" s="25"/>
      <c r="GB209" s="25"/>
      <c r="GC209" s="25"/>
      <c r="GD209" s="25"/>
      <c r="GE209" s="25"/>
      <c r="GF209" s="25"/>
      <c r="GG209" s="25"/>
      <c r="GH209" s="25"/>
    </row>
    <row r="210" spans="1:190" s="76" customFormat="1" x14ac:dyDescent="0.35">
      <c r="A210" s="76">
        <v>2025</v>
      </c>
      <c r="B210" s="76" t="s">
        <v>658</v>
      </c>
      <c r="C210" s="76" t="s">
        <v>658</v>
      </c>
      <c r="D210" s="76" t="s">
        <v>2709</v>
      </c>
      <c r="E210" s="76" t="s">
        <v>661</v>
      </c>
      <c r="F210" s="76">
        <v>232</v>
      </c>
      <c r="G210" s="78">
        <v>2</v>
      </c>
      <c r="H210" s="76">
        <v>4</v>
      </c>
      <c r="I210" s="79" t="s">
        <v>192</v>
      </c>
      <c r="J210" s="96">
        <v>26</v>
      </c>
      <c r="K210" s="76">
        <v>27</v>
      </c>
      <c r="L210" s="76">
        <v>27</v>
      </c>
      <c r="M210" s="76">
        <v>33.700000000000003</v>
      </c>
      <c r="N210" s="76">
        <v>38.700000000000003</v>
      </c>
      <c r="O210" s="76">
        <v>35.780200000000001</v>
      </c>
      <c r="P210" s="76">
        <v>25.963699999999999</v>
      </c>
      <c r="Q210" s="76">
        <v>27.292100000000001</v>
      </c>
      <c r="R210" s="76">
        <v>26.545100000000001</v>
      </c>
      <c r="T210" s="76" t="s">
        <v>165</v>
      </c>
      <c r="U210" s="76" t="s">
        <v>166</v>
      </c>
      <c r="V210" s="76" t="s">
        <v>193</v>
      </c>
      <c r="W210" s="76" t="s">
        <v>194</v>
      </c>
      <c r="Y210" s="76">
        <v>8</v>
      </c>
      <c r="Z210" s="76" t="s">
        <v>169</v>
      </c>
      <c r="AA210" s="76" t="s">
        <v>170</v>
      </c>
      <c r="AB210" s="76" t="s">
        <v>167</v>
      </c>
      <c r="AC210" s="76" t="s">
        <v>213</v>
      </c>
      <c r="AD210" s="76">
        <v>10</v>
      </c>
      <c r="AF210" s="76">
        <v>499</v>
      </c>
      <c r="AG210" s="76" t="s">
        <v>214</v>
      </c>
      <c r="AH210" s="76" t="s">
        <v>215</v>
      </c>
      <c r="AI210" s="76" t="s">
        <v>175</v>
      </c>
      <c r="AJ210" s="79" t="s">
        <v>176</v>
      </c>
      <c r="AK210" s="96" t="s">
        <v>940</v>
      </c>
      <c r="AL210" s="76" t="s">
        <v>941</v>
      </c>
      <c r="AR210" s="79"/>
      <c r="AS210" s="96">
        <v>1750</v>
      </c>
      <c r="AT210" s="79">
        <v>1750</v>
      </c>
      <c r="AU210" s="96">
        <v>54</v>
      </c>
      <c r="AV210" s="76">
        <v>57</v>
      </c>
      <c r="AW210" s="76">
        <v>55</v>
      </c>
      <c r="AX210" s="76">
        <v>38</v>
      </c>
      <c r="AY210" s="76">
        <v>39.4</v>
      </c>
      <c r="AZ210" s="76">
        <v>38.630000000000003</v>
      </c>
      <c r="BA210" s="76">
        <v>54.131</v>
      </c>
      <c r="BB210" s="76">
        <v>56.905000000000001</v>
      </c>
      <c r="BC210" s="76">
        <v>55.379300000000001</v>
      </c>
      <c r="BD210" s="76">
        <v>33</v>
      </c>
      <c r="BE210" s="76" t="s">
        <v>1735</v>
      </c>
      <c r="BF210" s="76" t="s">
        <v>1736</v>
      </c>
      <c r="BG210" s="76" t="s">
        <v>1742</v>
      </c>
      <c r="BH210" s="76" t="s">
        <v>1743</v>
      </c>
      <c r="BI210" s="76">
        <v>1750</v>
      </c>
      <c r="BJ210" s="2"/>
      <c r="BK210" s="2"/>
      <c r="BL210" s="2"/>
      <c r="BM210" s="79"/>
      <c r="BN210" s="98" t="s">
        <v>2493</v>
      </c>
      <c r="BO210" s="76">
        <v>2</v>
      </c>
      <c r="BP210" s="76">
        <v>2</v>
      </c>
      <c r="BQ210" s="76">
        <v>33</v>
      </c>
      <c r="BR210" s="76" t="s">
        <v>1497</v>
      </c>
      <c r="BT210" s="76" t="s">
        <v>2494</v>
      </c>
      <c r="BU210" s="99">
        <v>45446</v>
      </c>
      <c r="BV210" s="79">
        <v>34864</v>
      </c>
      <c r="BW210" s="120"/>
      <c r="BX210" s="96"/>
      <c r="BY210" s="76" t="s">
        <v>170</v>
      </c>
      <c r="CB210" s="76" t="s">
        <v>170</v>
      </c>
      <c r="CC210" s="76" t="s">
        <v>170</v>
      </c>
      <c r="CD210" s="76" t="s">
        <v>2697</v>
      </c>
      <c r="CE210" s="76" t="s">
        <v>170</v>
      </c>
      <c r="CG210" s="76" t="s">
        <v>169</v>
      </c>
      <c r="CH210" s="76" t="s">
        <v>2698</v>
      </c>
      <c r="CI210" s="76" t="s">
        <v>170</v>
      </c>
      <c r="CJ210" s="76" t="s">
        <v>2699</v>
      </c>
      <c r="CK210" s="76" t="s">
        <v>233</v>
      </c>
      <c r="CM210" s="76">
        <v>1</v>
      </c>
      <c r="CN210" s="76" t="s">
        <v>234</v>
      </c>
      <c r="CP210" s="76">
        <v>369</v>
      </c>
      <c r="CQ210" s="76">
        <v>51</v>
      </c>
      <c r="CR210" s="76">
        <v>141.4</v>
      </c>
      <c r="CS210" s="76" t="s">
        <v>235</v>
      </c>
      <c r="CV210" s="76" t="s">
        <v>341</v>
      </c>
      <c r="CX210" s="76" t="s">
        <v>1012</v>
      </c>
      <c r="CY210" s="76" t="s">
        <v>170</v>
      </c>
      <c r="DD210" s="76">
        <v>2</v>
      </c>
      <c r="DE210" s="76" t="s">
        <v>404</v>
      </c>
      <c r="DF210" s="76" t="s">
        <v>2700</v>
      </c>
      <c r="DG210" s="76" t="s">
        <v>2701</v>
      </c>
      <c r="DJ210" s="76" t="s">
        <v>184</v>
      </c>
      <c r="DK210" s="76" t="s">
        <v>185</v>
      </c>
      <c r="DL210" s="76" t="s">
        <v>170</v>
      </c>
      <c r="DM210" s="76" t="s">
        <v>169</v>
      </c>
      <c r="DN210" s="76" t="s">
        <v>170</v>
      </c>
      <c r="DO210" s="76" t="s">
        <v>822</v>
      </c>
      <c r="DP210" s="76" t="s">
        <v>169</v>
      </c>
      <c r="DQ210" s="76" t="s">
        <v>198</v>
      </c>
      <c r="DR210" s="76" t="s">
        <v>665</v>
      </c>
      <c r="DS210" s="76" t="s">
        <v>2496</v>
      </c>
      <c r="DT210" s="76" t="s">
        <v>2497</v>
      </c>
      <c r="DU210" s="76" t="s">
        <v>2513</v>
      </c>
      <c r="DV210" s="76" t="s">
        <v>2514</v>
      </c>
      <c r="DZ210" s="79"/>
      <c r="EA210" s="101"/>
      <c r="EB210" s="96">
        <v>7</v>
      </c>
      <c r="EC210" s="76">
        <v>9</v>
      </c>
      <c r="ED210" s="79"/>
      <c r="EE210" s="96" t="s">
        <v>2702</v>
      </c>
      <c r="EF210" s="76">
        <v>6</v>
      </c>
      <c r="EH210" s="79"/>
      <c r="EI210" s="96"/>
      <c r="EM210" s="96"/>
      <c r="EP210" s="79"/>
      <c r="EQ210" s="96"/>
      <c r="ET210" s="79"/>
      <c r="EU210" s="96">
        <v>750</v>
      </c>
      <c r="EV210" s="79"/>
      <c r="EW210" s="96">
        <v>0</v>
      </c>
      <c r="EX210" s="76">
        <v>0</v>
      </c>
      <c r="EY210" s="79">
        <v>9</v>
      </c>
      <c r="EZ210" s="102">
        <f t="shared" si="98"/>
        <v>132</v>
      </c>
      <c r="FA210" s="76">
        <v>5</v>
      </c>
      <c r="FB210" s="79"/>
      <c r="FC210" s="97">
        <v>530</v>
      </c>
      <c r="FD210" s="96">
        <v>40</v>
      </c>
      <c r="FE210" s="76">
        <v>40</v>
      </c>
      <c r="FF210" s="79">
        <v>40</v>
      </c>
      <c r="FG210" s="76">
        <v>132.4</v>
      </c>
      <c r="FH210" s="76">
        <v>131.1</v>
      </c>
      <c r="FI210" s="103">
        <v>132</v>
      </c>
      <c r="FJ210" s="104">
        <v>32.368000000000002</v>
      </c>
      <c r="FK210" s="105">
        <v>31.946000000000002</v>
      </c>
      <c r="FL210" s="79">
        <v>32</v>
      </c>
      <c r="FM210" s="76">
        <v>0.61899999999999999</v>
      </c>
      <c r="FN210" s="76">
        <v>0.60399999999999998</v>
      </c>
      <c r="FO210" s="79">
        <v>0.61299999999999999</v>
      </c>
      <c r="FP210" s="134">
        <v>0.1</v>
      </c>
      <c r="FQ210" s="134">
        <v>0.1</v>
      </c>
      <c r="FR210" s="134">
        <v>0.1</v>
      </c>
      <c r="FS210" s="108">
        <v>18.8</v>
      </c>
    </row>
    <row r="211" spans="1:190" s="76" customFormat="1" x14ac:dyDescent="0.35">
      <c r="A211" s="76">
        <v>2025</v>
      </c>
      <c r="B211" s="162" t="s">
        <v>658</v>
      </c>
      <c r="C211" s="162" t="s">
        <v>659</v>
      </c>
      <c r="D211" s="162" t="s">
        <v>2709</v>
      </c>
      <c r="E211" s="162" t="s">
        <v>661</v>
      </c>
      <c r="F211" s="162">
        <v>232</v>
      </c>
      <c r="G211" s="162">
        <v>2</v>
      </c>
      <c r="H211" s="162">
        <v>4</v>
      </c>
      <c r="I211" s="163" t="s">
        <v>192</v>
      </c>
      <c r="J211" s="96">
        <f t="shared" ref="J211:R211" si="101">J210</f>
        <v>26</v>
      </c>
      <c r="K211" s="76">
        <f t="shared" si="101"/>
        <v>27</v>
      </c>
      <c r="L211" s="76">
        <f t="shared" si="101"/>
        <v>27</v>
      </c>
      <c r="M211" s="76">
        <f t="shared" si="101"/>
        <v>33.700000000000003</v>
      </c>
      <c r="N211" s="76">
        <f t="shared" si="101"/>
        <v>38.700000000000003</v>
      </c>
      <c r="O211" s="76">
        <f t="shared" si="101"/>
        <v>35.780200000000001</v>
      </c>
      <c r="P211" s="76">
        <f t="shared" si="101"/>
        <v>25.963699999999999</v>
      </c>
      <c r="Q211" s="76">
        <f t="shared" si="101"/>
        <v>27.292100000000001</v>
      </c>
      <c r="R211" s="76">
        <f t="shared" si="101"/>
        <v>26.545100000000001</v>
      </c>
      <c r="T211" s="76" t="str">
        <f>T210</f>
        <v>TC</v>
      </c>
      <c r="U211" s="76" t="str">
        <f>U210</f>
        <v>Turbocharged</v>
      </c>
      <c r="V211" s="76" t="str">
        <f>V210</f>
        <v>SA</v>
      </c>
      <c r="W211" s="76" t="str">
        <f>W210</f>
        <v>Semi-Automatic</v>
      </c>
      <c r="Y211" s="76">
        <f t="shared" ref="Y211:AD211" si="102">Y210</f>
        <v>8</v>
      </c>
      <c r="Z211" s="76" t="str">
        <f t="shared" si="102"/>
        <v>Y</v>
      </c>
      <c r="AA211" s="76" t="str">
        <f t="shared" si="102"/>
        <v>N</v>
      </c>
      <c r="AB211" s="76" t="str">
        <f t="shared" si="102"/>
        <v>A</v>
      </c>
      <c r="AC211" s="76" t="str">
        <f t="shared" si="102"/>
        <v>All Wheel Drive</v>
      </c>
      <c r="AD211" s="76">
        <f t="shared" si="102"/>
        <v>10</v>
      </c>
      <c r="AF211" s="76">
        <f>AF210</f>
        <v>499</v>
      </c>
      <c r="AG211" s="76" t="str">
        <f>AG210</f>
        <v>GPR</v>
      </c>
      <c r="AH211" s="76" t="str">
        <f>AH210</f>
        <v>Gasoline (Premium Unleaded Required)</v>
      </c>
      <c r="AI211" s="76" t="str">
        <f>AI210</f>
        <v>MPG</v>
      </c>
      <c r="AJ211" s="79" t="str">
        <f>AJ210</f>
        <v>miles per gallon</v>
      </c>
      <c r="AK211" s="96" t="s">
        <v>940</v>
      </c>
      <c r="AL211" s="76" t="s">
        <v>941</v>
      </c>
      <c r="AR211" s="79"/>
      <c r="AS211" s="96">
        <v>1750</v>
      </c>
      <c r="AT211" s="79">
        <v>1750</v>
      </c>
      <c r="AU211" s="96">
        <v>59</v>
      </c>
      <c r="AV211" s="76">
        <v>57</v>
      </c>
      <c r="AW211" s="76">
        <v>58</v>
      </c>
      <c r="AX211" s="76">
        <v>88.7</v>
      </c>
      <c r="AY211" s="76">
        <v>85.4</v>
      </c>
      <c r="AZ211" s="76">
        <v>87.183999999999997</v>
      </c>
      <c r="BA211" s="76">
        <v>59</v>
      </c>
      <c r="BB211" s="76">
        <v>57</v>
      </c>
      <c r="BC211" s="76">
        <v>58</v>
      </c>
      <c r="BD211" s="76">
        <v>33</v>
      </c>
      <c r="BE211" s="76" t="s">
        <v>1735</v>
      </c>
      <c r="BF211" s="76" t="s">
        <v>1736</v>
      </c>
      <c r="BG211" s="76" t="s">
        <v>175</v>
      </c>
      <c r="BH211" s="76" t="s">
        <v>176</v>
      </c>
      <c r="BI211" s="76">
        <v>1750</v>
      </c>
      <c r="BM211" s="79"/>
      <c r="BN211" s="98" t="s">
        <v>2493</v>
      </c>
      <c r="BO211" s="76">
        <v>2</v>
      </c>
      <c r="BP211" s="76">
        <v>2</v>
      </c>
      <c r="BQ211" s="76">
        <v>33</v>
      </c>
      <c r="BR211" s="76" t="s">
        <v>1497</v>
      </c>
      <c r="BT211" s="76" t="s">
        <v>2494</v>
      </c>
      <c r="BU211" s="99">
        <v>45446</v>
      </c>
      <c r="BV211" s="79">
        <v>34864</v>
      </c>
      <c r="BW211" s="120"/>
      <c r="BX211" s="96"/>
      <c r="BY211" s="76" t="s">
        <v>170</v>
      </c>
      <c r="CB211" s="76" t="s">
        <v>170</v>
      </c>
      <c r="CC211" s="76" t="s">
        <v>170</v>
      </c>
      <c r="CD211" s="76" t="s">
        <v>2697</v>
      </c>
      <c r="CE211" s="76" t="s">
        <v>170</v>
      </c>
      <c r="CG211" s="76" t="s">
        <v>169</v>
      </c>
      <c r="CH211" s="76" t="s">
        <v>2698</v>
      </c>
      <c r="CI211" s="76" t="s">
        <v>170</v>
      </c>
      <c r="CJ211" s="76" t="s">
        <v>2699</v>
      </c>
      <c r="CK211" s="76" t="s">
        <v>233</v>
      </c>
      <c r="CM211" s="76">
        <v>1</v>
      </c>
      <c r="CN211" s="76" t="s">
        <v>234</v>
      </c>
      <c r="CP211" s="76">
        <v>369</v>
      </c>
      <c r="CQ211" s="76">
        <v>51</v>
      </c>
      <c r="CR211" s="76">
        <v>141.4</v>
      </c>
      <c r="CS211" s="76" t="s">
        <v>235</v>
      </c>
      <c r="CV211" s="76" t="s">
        <v>341</v>
      </c>
      <c r="CX211" s="76" t="s">
        <v>1012</v>
      </c>
      <c r="CY211" s="76" t="s">
        <v>170</v>
      </c>
      <c r="DD211" s="76">
        <v>2</v>
      </c>
      <c r="DE211" s="76" t="s">
        <v>404</v>
      </c>
      <c r="DF211" s="76" t="s">
        <v>2703</v>
      </c>
      <c r="DG211" s="76" t="s">
        <v>2701</v>
      </c>
      <c r="DJ211" s="76" t="s">
        <v>184</v>
      </c>
      <c r="DK211" s="76" t="s">
        <v>185</v>
      </c>
      <c r="DL211" s="76" t="s">
        <v>170</v>
      </c>
      <c r="DM211" s="76" t="s">
        <v>169</v>
      </c>
      <c r="DN211" s="76" t="s">
        <v>170</v>
      </c>
      <c r="DO211" s="76" t="s">
        <v>822</v>
      </c>
      <c r="DP211" s="76" t="s">
        <v>169</v>
      </c>
      <c r="DQ211" s="76" t="s">
        <v>198</v>
      </c>
      <c r="DR211" s="76" t="s">
        <v>665</v>
      </c>
      <c r="DS211" s="76" t="s">
        <v>2496</v>
      </c>
      <c r="DT211" s="76" t="s">
        <v>2497</v>
      </c>
      <c r="DU211" s="76" t="s">
        <v>2513</v>
      </c>
      <c r="DV211" s="76" t="s">
        <v>2514</v>
      </c>
      <c r="DZ211" s="79"/>
      <c r="EA211" s="101"/>
      <c r="EB211" s="96">
        <v>7</v>
      </c>
      <c r="EC211" s="76">
        <v>9</v>
      </c>
      <c r="ED211" s="79"/>
      <c r="EE211" s="96" t="s">
        <v>2702</v>
      </c>
      <c r="EF211" s="76">
        <v>6</v>
      </c>
      <c r="EH211" s="79"/>
      <c r="EI211" s="96"/>
      <c r="EM211" s="96"/>
      <c r="EP211" s="79"/>
      <c r="EQ211" s="96"/>
      <c r="ET211" s="79"/>
      <c r="EU211" s="96">
        <v>750</v>
      </c>
      <c r="EV211" s="79"/>
      <c r="EW211" s="96">
        <v>340</v>
      </c>
      <c r="EX211" s="76">
        <v>324</v>
      </c>
      <c r="EY211" s="79">
        <f>0.55*EW211+0.45*EX211</f>
        <v>332.80000000000007</v>
      </c>
      <c r="EZ211" s="102">
        <f t="shared" si="98"/>
        <v>132</v>
      </c>
      <c r="FA211" s="76">
        <v>5</v>
      </c>
      <c r="FB211" s="79"/>
      <c r="FC211" s="97">
        <v>530</v>
      </c>
      <c r="FD211" s="96">
        <v>40</v>
      </c>
      <c r="FE211" s="76">
        <v>40</v>
      </c>
      <c r="FF211" s="79">
        <v>40</v>
      </c>
      <c r="FG211" s="76">
        <v>132.4</v>
      </c>
      <c r="FH211" s="76">
        <v>131.1</v>
      </c>
      <c r="FI211" s="103">
        <v>132</v>
      </c>
      <c r="FJ211" s="98" t="s">
        <v>2561</v>
      </c>
      <c r="FL211" s="79"/>
      <c r="FM211" s="76">
        <v>0.61899999999999999</v>
      </c>
      <c r="FN211" s="76">
        <v>0.60399999999999998</v>
      </c>
      <c r="FO211" s="79">
        <v>0.61299999999999999</v>
      </c>
      <c r="FP211" s="133" t="s">
        <v>2705</v>
      </c>
      <c r="FQ211" s="107"/>
      <c r="FR211" s="107"/>
      <c r="FS211" s="108">
        <v>18.8</v>
      </c>
    </row>
    <row r="212" spans="1:190" s="77" customFormat="1" x14ac:dyDescent="0.35">
      <c r="A212" s="76"/>
      <c r="E212" s="76"/>
      <c r="F212" s="76"/>
      <c r="G212" s="78"/>
      <c r="H212" s="76"/>
      <c r="I212" s="79"/>
      <c r="J212" s="80"/>
      <c r="K212" s="28"/>
      <c r="L212" s="28"/>
      <c r="M212" s="25"/>
      <c r="N212" s="28"/>
      <c r="O212" s="28"/>
      <c r="P212" s="28"/>
      <c r="Q212" s="28"/>
      <c r="R212" s="28"/>
      <c r="S212" s="28"/>
      <c r="T212" s="28"/>
      <c r="U212" s="28"/>
      <c r="V212" s="28"/>
      <c r="W212" s="28"/>
      <c r="X212" s="28"/>
      <c r="Y212" s="28"/>
      <c r="Z212" s="28"/>
      <c r="AA212" s="28"/>
      <c r="AB212" s="28"/>
      <c r="AC212" s="28"/>
      <c r="AD212" s="25"/>
      <c r="AE212" s="28"/>
      <c r="AF212" s="28"/>
      <c r="AG212" s="28"/>
      <c r="AH212" s="28"/>
      <c r="AI212" s="28"/>
      <c r="AJ212" s="81"/>
      <c r="AK212" s="82"/>
      <c r="AL212" s="2"/>
      <c r="AM212" s="2"/>
      <c r="AN212" s="2"/>
      <c r="AO212" s="2"/>
      <c r="AP212" s="2"/>
      <c r="AQ212" s="2"/>
      <c r="AR212" s="83"/>
      <c r="AS212" s="84"/>
      <c r="AT212" s="85"/>
      <c r="AU212" s="84"/>
      <c r="AV212" s="28"/>
      <c r="AW212" s="28"/>
      <c r="AX212" s="28"/>
      <c r="AY212" s="28"/>
      <c r="AZ212" s="28"/>
      <c r="BA212" s="28"/>
      <c r="BB212" s="28"/>
      <c r="BC212" s="28"/>
      <c r="BD212" s="28"/>
      <c r="BE212" s="28"/>
      <c r="BF212" s="28"/>
      <c r="BG212" s="28"/>
      <c r="BH212" s="28"/>
      <c r="BI212" s="25"/>
      <c r="BJ212" s="28"/>
      <c r="BK212" s="28"/>
      <c r="BL212" s="28"/>
      <c r="BM212" s="81"/>
      <c r="BN212" s="82"/>
      <c r="BO212" s="2"/>
      <c r="BP212" s="2"/>
      <c r="BQ212" s="2"/>
      <c r="BR212" s="2"/>
      <c r="BS212" s="2"/>
      <c r="BT212" s="86"/>
      <c r="BU212" s="2"/>
      <c r="BV212" s="83"/>
      <c r="BW212" s="121"/>
      <c r="BX212" s="84"/>
      <c r="BY212" s="25"/>
      <c r="BZ212" s="28"/>
      <c r="CA212" s="28"/>
      <c r="CB212" s="28"/>
      <c r="CC212" s="28"/>
      <c r="CD212" s="28"/>
      <c r="CE212" s="88"/>
      <c r="CF212" s="28"/>
      <c r="CG212" s="28"/>
      <c r="CH212" s="28"/>
      <c r="CI212" s="28"/>
      <c r="CJ212" s="28"/>
      <c r="CK212" s="28"/>
      <c r="CL212" s="28"/>
      <c r="CM212" s="28"/>
      <c r="CN212" s="28"/>
      <c r="CO212" s="25"/>
      <c r="CP212" s="28"/>
      <c r="CQ212" s="28"/>
      <c r="CR212" s="28"/>
      <c r="CS212" s="28"/>
      <c r="CT212" s="28"/>
      <c r="CU212" s="28"/>
      <c r="CV212" s="28"/>
      <c r="CW212" s="28"/>
      <c r="CX212" s="28"/>
      <c r="CY212" s="28"/>
      <c r="CZ212" s="28"/>
      <c r="DA212" s="28"/>
      <c r="DB212" s="28"/>
      <c r="DC212" s="28"/>
      <c r="DD212" s="28"/>
      <c r="DE212" s="28"/>
      <c r="DF212" s="25"/>
      <c r="DG212" s="28"/>
      <c r="DH212" s="28"/>
      <c r="DI212" s="28"/>
      <c r="DJ212" s="28"/>
      <c r="DK212" s="28"/>
      <c r="DL212" s="28"/>
      <c r="DM212" s="28"/>
      <c r="DN212" s="28"/>
      <c r="DO212" s="28"/>
      <c r="DP212" s="28"/>
      <c r="DQ212" s="28"/>
      <c r="DR212" s="25"/>
      <c r="DS212" s="25"/>
      <c r="DT212" s="25"/>
      <c r="DU212" s="25"/>
      <c r="DV212" s="25"/>
      <c r="DW212" s="25"/>
      <c r="DX212" s="25"/>
      <c r="DY212" s="25"/>
      <c r="DZ212" s="85"/>
      <c r="EA212" s="89"/>
      <c r="EB212" s="80"/>
      <c r="EC212" s="25"/>
      <c r="ED212" s="85"/>
      <c r="EE212" s="80"/>
      <c r="EF212" s="25"/>
      <c r="EG212" s="25"/>
      <c r="EH212" s="85"/>
      <c r="EI212" s="80"/>
      <c r="EK212"/>
      <c r="EL212" s="25"/>
      <c r="EM212" s="80"/>
      <c r="EP212" s="75"/>
      <c r="EQ212" s="90"/>
      <c r="ET212" s="75"/>
      <c r="EU212" s="90"/>
      <c r="EV212" s="75"/>
      <c r="EW212" s="90"/>
      <c r="EY212" s="75"/>
      <c r="EZ212" s="102"/>
      <c r="FA212" s="25"/>
      <c r="FB212" s="75"/>
      <c r="FC212" s="91"/>
      <c r="FD212" s="80"/>
      <c r="FE212" s="25"/>
      <c r="FF212" s="85"/>
      <c r="FG212" s="80"/>
      <c r="FH212" s="25"/>
      <c r="FI212" s="85"/>
      <c r="FJ212" s="80"/>
      <c r="FK212" s="25"/>
      <c r="FL212" s="85"/>
      <c r="FM212" s="25"/>
      <c r="FN212" s="25"/>
      <c r="FO212" s="85"/>
      <c r="FP212" s="92"/>
      <c r="FQ212" s="93"/>
      <c r="FR212" s="94"/>
      <c r="FS212" s="95"/>
      <c r="FT212" s="25"/>
      <c r="FU212" s="25"/>
      <c r="FV212" s="25"/>
      <c r="FW212" s="25"/>
      <c r="FX212" s="25"/>
      <c r="FY212" s="25"/>
      <c r="FZ212" s="25"/>
      <c r="GA212" s="25"/>
      <c r="GB212" s="25"/>
      <c r="GC212" s="25"/>
      <c r="GD212" s="25"/>
      <c r="GE212" s="25"/>
      <c r="GF212" s="25"/>
      <c r="GG212" s="25"/>
      <c r="GH212" s="25"/>
    </row>
    <row r="213" spans="1:190" s="76" customFormat="1" x14ac:dyDescent="0.35">
      <c r="G213" s="78"/>
      <c r="I213" s="79"/>
      <c r="J213" s="96"/>
      <c r="AJ213" s="79"/>
      <c r="AK213" s="96"/>
      <c r="AR213" s="79"/>
      <c r="AS213" s="96"/>
      <c r="AT213" s="79"/>
      <c r="AU213" s="96"/>
      <c r="BJ213" s="2"/>
      <c r="BK213" s="2"/>
      <c r="BL213" s="2"/>
      <c r="BM213" s="79"/>
      <c r="BN213" s="98"/>
      <c r="BU213" s="99"/>
      <c r="BV213" s="79"/>
      <c r="BW213" s="120"/>
      <c r="BX213" s="96"/>
      <c r="DZ213" s="79"/>
      <c r="EA213" s="101"/>
      <c r="EB213" s="96"/>
      <c r="ED213" s="79"/>
      <c r="EE213" s="96"/>
      <c r="EH213" s="79"/>
      <c r="EI213" s="96"/>
      <c r="EM213" s="96"/>
      <c r="EP213" s="79"/>
      <c r="EQ213" s="96"/>
      <c r="ET213" s="79"/>
      <c r="EU213" s="96"/>
      <c r="EV213" s="79"/>
      <c r="EW213" s="96"/>
      <c r="EY213" s="79"/>
      <c r="EZ213" s="102"/>
      <c r="FB213" s="79"/>
      <c r="FC213" s="97"/>
      <c r="FD213" s="96"/>
      <c r="FF213" s="79"/>
      <c r="FI213" s="103"/>
      <c r="FJ213" s="104"/>
      <c r="FK213" s="105"/>
      <c r="FL213" s="79"/>
      <c r="FO213" s="79"/>
      <c r="FP213" s="106"/>
      <c r="FQ213" s="107"/>
      <c r="FR213" s="107"/>
      <c r="FS213" s="108"/>
    </row>
    <row r="214" spans="1:190" s="76" customFormat="1" ht="15" thickBot="1" x14ac:dyDescent="0.4">
      <c r="A214" s="137"/>
      <c r="B214" s="160"/>
      <c r="C214" s="160"/>
      <c r="D214" s="160"/>
      <c r="E214" s="160"/>
      <c r="F214" s="160"/>
      <c r="G214" s="160"/>
      <c r="H214" s="160"/>
      <c r="I214" s="161"/>
      <c r="J214" s="135"/>
      <c r="K214" s="137"/>
      <c r="L214" s="137"/>
      <c r="M214" s="137"/>
      <c r="N214" s="137"/>
      <c r="O214" s="137"/>
      <c r="P214" s="137"/>
      <c r="Q214" s="137"/>
      <c r="R214" s="137"/>
      <c r="S214" s="137"/>
      <c r="T214" s="137"/>
      <c r="U214" s="137"/>
      <c r="V214" s="137"/>
      <c r="W214" s="137"/>
      <c r="X214" s="137"/>
      <c r="Y214" s="137"/>
      <c r="Z214" s="137"/>
      <c r="AA214" s="137"/>
      <c r="AB214" s="137"/>
      <c r="AC214" s="137"/>
      <c r="AD214" s="137"/>
      <c r="AE214" s="137"/>
      <c r="AF214" s="137"/>
      <c r="AG214" s="137"/>
      <c r="AH214" s="137"/>
      <c r="AI214" s="137"/>
      <c r="AJ214" s="136"/>
      <c r="AK214" s="135"/>
      <c r="AL214" s="137"/>
      <c r="AM214" s="137"/>
      <c r="AN214" s="137"/>
      <c r="AO214" s="137"/>
      <c r="AP214" s="137"/>
      <c r="AQ214" s="137"/>
      <c r="AR214" s="136"/>
      <c r="AS214" s="135"/>
      <c r="AT214" s="136"/>
      <c r="AU214" s="135"/>
      <c r="AV214" s="137"/>
      <c r="AW214" s="137"/>
      <c r="AX214" s="137"/>
      <c r="AY214" s="137"/>
      <c r="AZ214" s="137"/>
      <c r="BA214" s="137"/>
      <c r="BB214" s="137"/>
      <c r="BC214" s="137"/>
      <c r="BD214" s="137"/>
      <c r="BE214" s="137"/>
      <c r="BF214" s="137"/>
      <c r="BG214" s="137"/>
      <c r="BH214" s="137"/>
      <c r="BI214" s="137"/>
      <c r="BJ214" s="137"/>
      <c r="BK214" s="137"/>
      <c r="BL214" s="137"/>
      <c r="BM214" s="136"/>
      <c r="BN214" s="139"/>
      <c r="BO214" s="137"/>
      <c r="BP214" s="137"/>
      <c r="BQ214" s="137"/>
      <c r="BR214" s="137"/>
      <c r="BS214" s="137"/>
      <c r="BT214" s="137"/>
      <c r="BU214" s="140"/>
      <c r="BV214" s="136"/>
      <c r="BW214" s="141"/>
      <c r="BX214" s="135"/>
      <c r="BY214" s="137"/>
      <c r="BZ214" s="137"/>
      <c r="CA214" s="137"/>
      <c r="CB214" s="137"/>
      <c r="CC214" s="137"/>
      <c r="CD214" s="137"/>
      <c r="CE214" s="137"/>
      <c r="CF214" s="137"/>
      <c r="CG214" s="137"/>
      <c r="CH214" s="137"/>
      <c r="CI214" s="137"/>
      <c r="CJ214" s="137"/>
      <c r="CK214" s="137"/>
      <c r="CL214" s="137"/>
      <c r="CM214" s="137"/>
      <c r="CN214" s="137"/>
      <c r="CO214" s="137"/>
      <c r="CP214" s="137"/>
      <c r="CQ214" s="137"/>
      <c r="CR214" s="137"/>
      <c r="CS214" s="137"/>
      <c r="CT214" s="137"/>
      <c r="CU214" s="137"/>
      <c r="CV214" s="137"/>
      <c r="CW214" s="137"/>
      <c r="CX214" s="137"/>
      <c r="CY214" s="137"/>
      <c r="CZ214" s="137"/>
      <c r="DA214" s="137"/>
      <c r="DB214" s="137"/>
      <c r="DC214" s="137"/>
      <c r="DD214" s="137"/>
      <c r="DE214" s="137"/>
      <c r="DF214" s="137"/>
      <c r="DG214" s="137"/>
      <c r="DH214" s="137"/>
      <c r="DI214" s="137"/>
      <c r="DJ214" s="137"/>
      <c r="DK214" s="137"/>
      <c r="DL214" s="137"/>
      <c r="DM214" s="137"/>
      <c r="DN214" s="137"/>
      <c r="DO214" s="137"/>
      <c r="DP214" s="137"/>
      <c r="DQ214" s="137"/>
      <c r="DR214" s="137"/>
      <c r="DS214" s="137"/>
      <c r="DT214" s="137"/>
      <c r="DU214" s="137"/>
      <c r="DV214" s="137"/>
      <c r="DW214" s="137"/>
      <c r="DX214" s="137"/>
      <c r="DY214" s="137"/>
      <c r="DZ214" s="136"/>
      <c r="EA214" s="142"/>
      <c r="EB214" s="135"/>
      <c r="EC214" s="137"/>
      <c r="ED214" s="136"/>
      <c r="EE214" s="135"/>
      <c r="EF214" s="137"/>
      <c r="EG214" s="137"/>
      <c r="EH214" s="136"/>
      <c r="EI214" s="135"/>
      <c r="EJ214" s="137"/>
      <c r="EK214" s="137"/>
      <c r="EL214" s="137"/>
      <c r="EM214" s="135"/>
      <c r="EN214" s="137"/>
      <c r="EO214" s="137"/>
      <c r="EP214" s="136"/>
      <c r="EQ214" s="135"/>
      <c r="ER214" s="137"/>
      <c r="ES214" s="137"/>
      <c r="ET214" s="136"/>
      <c r="EU214" s="135"/>
      <c r="EV214" s="136"/>
      <c r="EW214" s="135"/>
      <c r="EX214" s="137"/>
      <c r="EY214" s="136"/>
      <c r="EZ214" s="143"/>
      <c r="FA214" s="137"/>
      <c r="FB214" s="136"/>
      <c r="FC214" s="138"/>
      <c r="FD214" s="135"/>
      <c r="FE214" s="137"/>
      <c r="FF214" s="136"/>
      <c r="FG214" s="137"/>
      <c r="FH214" s="137"/>
      <c r="FI214" s="144"/>
      <c r="FJ214" s="139"/>
      <c r="FK214" s="145"/>
      <c r="FL214" s="144"/>
      <c r="FM214" s="137"/>
      <c r="FN214" s="137"/>
      <c r="FO214" s="136"/>
      <c r="FP214" s="146"/>
      <c r="FQ214" s="147"/>
      <c r="FR214" s="147"/>
      <c r="FS214" s="148"/>
    </row>
  </sheetData>
  <mergeCells count="100">
    <mergeCell ref="FG7:FS7"/>
    <mergeCell ref="A8:I8"/>
    <mergeCell ref="J8:AJ8"/>
    <mergeCell ref="AK8:AR8"/>
    <mergeCell ref="AS8:AT8"/>
    <mergeCell ref="AU8:BM8"/>
    <mergeCell ref="BN8:BV8"/>
    <mergeCell ref="BX8:DZ8"/>
    <mergeCell ref="EB8:ED8"/>
    <mergeCell ref="FM8:FO8"/>
    <mergeCell ref="FP8:FR8"/>
    <mergeCell ref="B13:I13"/>
    <mergeCell ref="EE8:EH8"/>
    <mergeCell ref="EI8:EL8"/>
    <mergeCell ref="EM8:EP8"/>
    <mergeCell ref="EQ8:ET8"/>
    <mergeCell ref="EU8:EV8"/>
    <mergeCell ref="EW8:EY8"/>
    <mergeCell ref="B16:I16"/>
    <mergeCell ref="B19:I19"/>
    <mergeCell ref="B22:I22"/>
    <mergeCell ref="B25:I25"/>
    <mergeCell ref="B28:I28"/>
    <mergeCell ref="B31:I31"/>
    <mergeCell ref="FD8:FF8"/>
    <mergeCell ref="FG8:FI8"/>
    <mergeCell ref="FJ8:FL8"/>
    <mergeCell ref="B52:I52"/>
    <mergeCell ref="B55:I55"/>
    <mergeCell ref="B58:I58"/>
    <mergeCell ref="B61:I61"/>
    <mergeCell ref="B64:I64"/>
    <mergeCell ref="B67:I67"/>
    <mergeCell ref="B34:I34"/>
    <mergeCell ref="B37:I37"/>
    <mergeCell ref="B40:I40"/>
    <mergeCell ref="B43:I43"/>
    <mergeCell ref="B46:I46"/>
    <mergeCell ref="B49:I49"/>
    <mergeCell ref="B79:I79"/>
    <mergeCell ref="B82:I82"/>
    <mergeCell ref="B85:I85"/>
    <mergeCell ref="B88:I88"/>
    <mergeCell ref="B91:I91"/>
    <mergeCell ref="B94:I94"/>
    <mergeCell ref="FJ67:FL67"/>
    <mergeCell ref="B70:I70"/>
    <mergeCell ref="FJ70:FL70"/>
    <mergeCell ref="B73:I73"/>
    <mergeCell ref="FJ73:FL73"/>
    <mergeCell ref="B76:I76"/>
    <mergeCell ref="B115:I115"/>
    <mergeCell ref="B118:I118"/>
    <mergeCell ref="B121:I121"/>
    <mergeCell ref="B124:I124"/>
    <mergeCell ref="B127:I127"/>
    <mergeCell ref="B130:I130"/>
    <mergeCell ref="B97:I97"/>
    <mergeCell ref="B100:I100"/>
    <mergeCell ref="B103:I103"/>
    <mergeCell ref="B106:I106"/>
    <mergeCell ref="B109:I109"/>
    <mergeCell ref="B112:I112"/>
    <mergeCell ref="B145:I145"/>
    <mergeCell ref="FJ145:FL145"/>
    <mergeCell ref="B148:I148"/>
    <mergeCell ref="B151:I151"/>
    <mergeCell ref="B154:I154"/>
    <mergeCell ref="B157:I157"/>
    <mergeCell ref="B133:I133"/>
    <mergeCell ref="B136:I136"/>
    <mergeCell ref="B139:I139"/>
    <mergeCell ref="FJ139:FL139"/>
    <mergeCell ref="B142:I142"/>
    <mergeCell ref="FJ142:FL142"/>
    <mergeCell ref="B172:I172"/>
    <mergeCell ref="FJ172:FL172"/>
    <mergeCell ref="B175:I175"/>
    <mergeCell ref="B178:I178"/>
    <mergeCell ref="B181:I181"/>
    <mergeCell ref="FJ181:FL181"/>
    <mergeCell ref="B160:I160"/>
    <mergeCell ref="B163:I163"/>
    <mergeCell ref="B166:I166"/>
    <mergeCell ref="FJ166:FL166"/>
    <mergeCell ref="B169:I169"/>
    <mergeCell ref="FJ169:FL169"/>
    <mergeCell ref="B214:I214"/>
    <mergeCell ref="B199:I199"/>
    <mergeCell ref="B202:I202"/>
    <mergeCell ref="FJ202:FL202"/>
    <mergeCell ref="B205:I205"/>
    <mergeCell ref="B208:I208"/>
    <mergeCell ref="B211:I211"/>
    <mergeCell ref="B184:I184"/>
    <mergeCell ref="FJ184:FL184"/>
    <mergeCell ref="B187:I187"/>
    <mergeCell ref="B190:I190"/>
    <mergeCell ref="B193:I193"/>
    <mergeCell ref="B196:I196"/>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AE7CF-9988-4655-9D7F-134205B7FC43}">
  <dimension ref="A1:FI11"/>
  <sheetViews>
    <sheetView workbookViewId="0">
      <selection activeCell="G9" sqref="G9"/>
    </sheetView>
  </sheetViews>
  <sheetFormatPr defaultRowHeight="14.5" x14ac:dyDescent="0.35"/>
  <cols>
    <col min="66" max="66" width="8.7265625" style="180"/>
  </cols>
  <sheetData>
    <row r="1" spans="1:165" x14ac:dyDescent="0.35">
      <c r="BN1"/>
      <c r="FC1" s="30" t="s">
        <v>2452</v>
      </c>
    </row>
    <row r="2" spans="1:165" x14ac:dyDescent="0.35">
      <c r="A2" s="2" t="s">
        <v>0</v>
      </c>
      <c r="B2" s="2" t="s">
        <v>1</v>
      </c>
      <c r="C2" s="2" t="s">
        <v>2</v>
      </c>
      <c r="D2" s="2" t="s">
        <v>3</v>
      </c>
      <c r="E2" s="2" t="s">
        <v>4</v>
      </c>
      <c r="F2" s="3" t="s">
        <v>5</v>
      </c>
      <c r="G2" s="2" t="s">
        <v>6</v>
      </c>
      <c r="H2" s="2" t="s">
        <v>7</v>
      </c>
      <c r="I2" s="4" t="s">
        <v>8</v>
      </c>
      <c r="J2" s="5" t="s">
        <v>9</v>
      </c>
      <c r="K2" s="5" t="s">
        <v>10</v>
      </c>
      <c r="L2" s="5" t="s">
        <v>11</v>
      </c>
      <c r="M2" s="5" t="s">
        <v>12</v>
      </c>
      <c r="N2" s="5" t="s">
        <v>13</v>
      </c>
      <c r="O2" s="5" t="s">
        <v>14</v>
      </c>
      <c r="P2" s="5" t="s">
        <v>15</v>
      </c>
      <c r="Q2" s="5" t="s">
        <v>16</v>
      </c>
      <c r="R2" s="5" t="s">
        <v>17</v>
      </c>
      <c r="S2" s="6" t="s">
        <v>18</v>
      </c>
      <c r="T2" s="2" t="s">
        <v>19</v>
      </c>
      <c r="U2" s="2" t="s">
        <v>20</v>
      </c>
      <c r="V2" s="2" t="s">
        <v>21</v>
      </c>
      <c r="W2" s="2" t="s">
        <v>22</v>
      </c>
      <c r="X2" s="2" t="s">
        <v>23</v>
      </c>
      <c r="Y2" s="2" t="s">
        <v>24</v>
      </c>
      <c r="Z2" s="2" t="s">
        <v>25</v>
      </c>
      <c r="AA2" s="2" t="s">
        <v>26</v>
      </c>
      <c r="AB2" s="2" t="s">
        <v>27</v>
      </c>
      <c r="AC2" s="2" t="s">
        <v>28</v>
      </c>
      <c r="AD2" s="2" t="s">
        <v>29</v>
      </c>
      <c r="AE2" s="2" t="s">
        <v>30</v>
      </c>
      <c r="AF2" s="5" t="s">
        <v>31</v>
      </c>
      <c r="AG2" s="5" t="s">
        <v>32</v>
      </c>
      <c r="AH2" s="5" t="s">
        <v>33</v>
      </c>
      <c r="AI2" s="5" t="s">
        <v>34</v>
      </c>
      <c r="AJ2" s="5" t="s">
        <v>35</v>
      </c>
      <c r="AK2" s="2" t="s">
        <v>36</v>
      </c>
      <c r="AL2" s="2" t="s">
        <v>37</v>
      </c>
      <c r="AM2" s="2" t="s">
        <v>38</v>
      </c>
      <c r="AN2" s="2" t="s">
        <v>39</v>
      </c>
      <c r="AO2" s="2" t="s">
        <v>40</v>
      </c>
      <c r="AP2" s="2" t="s">
        <v>41</v>
      </c>
      <c r="AQ2" s="2" t="s">
        <v>42</v>
      </c>
      <c r="AR2" s="2" t="s">
        <v>43</v>
      </c>
      <c r="AS2" s="5" t="s">
        <v>44</v>
      </c>
      <c r="AT2" s="4" t="s">
        <v>45</v>
      </c>
      <c r="AU2" s="7" t="s">
        <v>46</v>
      </c>
      <c r="AV2" s="7" t="s">
        <v>47</v>
      </c>
      <c r="AW2" s="7" t="s">
        <v>48</v>
      </c>
      <c r="AX2" s="7" t="s">
        <v>49</v>
      </c>
      <c r="AY2" s="7" t="s">
        <v>50</v>
      </c>
      <c r="AZ2" s="7" t="s">
        <v>51</v>
      </c>
      <c r="BA2" s="7" t="s">
        <v>52</v>
      </c>
      <c r="BB2" s="7" t="s">
        <v>53</v>
      </c>
      <c r="BC2" s="7" t="s">
        <v>54</v>
      </c>
      <c r="BD2" s="7" t="s">
        <v>55</v>
      </c>
      <c r="BE2" s="7" t="s">
        <v>2443</v>
      </c>
      <c r="BF2" s="7" t="s">
        <v>2444</v>
      </c>
      <c r="BG2" s="7" t="s">
        <v>58</v>
      </c>
      <c r="BH2" s="7" t="s">
        <v>59</v>
      </c>
      <c r="BI2" s="7" t="s">
        <v>60</v>
      </c>
      <c r="BJ2" s="7" t="s">
        <v>61</v>
      </c>
      <c r="BK2" s="7" t="s">
        <v>62</v>
      </c>
      <c r="BL2" s="7" t="s">
        <v>63</v>
      </c>
      <c r="BM2" s="8" t="s">
        <v>64</v>
      </c>
      <c r="BN2" s="9" t="s">
        <v>65</v>
      </c>
      <c r="BO2" s="2" t="s">
        <v>66</v>
      </c>
      <c r="BP2" s="2" t="s">
        <v>67</v>
      </c>
      <c r="BQ2" s="2" t="s">
        <v>68</v>
      </c>
      <c r="BR2" s="2" t="s">
        <v>69</v>
      </c>
      <c r="BS2" s="2" t="s">
        <v>70</v>
      </c>
      <c r="BT2" s="2" t="s">
        <v>71</v>
      </c>
      <c r="BU2" s="2" t="s">
        <v>72</v>
      </c>
      <c r="BV2" s="2" t="s">
        <v>73</v>
      </c>
      <c r="BX2" s="10" t="s">
        <v>74</v>
      </c>
      <c r="BY2" s="2" t="s">
        <v>75</v>
      </c>
      <c r="BZ2" s="11" t="s">
        <v>76</v>
      </c>
      <c r="CA2" s="2" t="s">
        <v>77</v>
      </c>
      <c r="CB2" s="2" t="s">
        <v>78</v>
      </c>
      <c r="CC2" s="2" t="s">
        <v>79</v>
      </c>
      <c r="CD2" s="2" t="s">
        <v>80</v>
      </c>
      <c r="CE2" s="2" t="s">
        <v>81</v>
      </c>
      <c r="CF2" s="11" t="s">
        <v>82</v>
      </c>
      <c r="CG2" s="2" t="s">
        <v>83</v>
      </c>
      <c r="CH2" s="2" t="s">
        <v>84</v>
      </c>
      <c r="CI2" s="2" t="s">
        <v>85</v>
      </c>
      <c r="CJ2" s="2" t="s">
        <v>86</v>
      </c>
      <c r="CK2" s="4" t="s">
        <v>87</v>
      </c>
      <c r="CL2" s="4" t="s">
        <v>88</v>
      </c>
      <c r="CM2" s="4" t="s">
        <v>89</v>
      </c>
      <c r="CN2" s="4" t="s">
        <v>90</v>
      </c>
      <c r="CO2" s="4" t="s">
        <v>91</v>
      </c>
      <c r="CP2" s="4" t="s">
        <v>92</v>
      </c>
      <c r="CQ2" s="4" t="s">
        <v>93</v>
      </c>
      <c r="CR2" s="4" t="s">
        <v>94</v>
      </c>
      <c r="CS2" s="4" t="s">
        <v>95</v>
      </c>
      <c r="CT2" s="4" t="s">
        <v>96</v>
      </c>
      <c r="CU2" s="4" t="s">
        <v>97</v>
      </c>
      <c r="CV2" s="4" t="s">
        <v>98</v>
      </c>
      <c r="CW2" s="4" t="s">
        <v>99</v>
      </c>
      <c r="CX2" s="4" t="s">
        <v>100</v>
      </c>
      <c r="CY2" s="4" t="s">
        <v>101</v>
      </c>
      <c r="CZ2" s="12" t="s">
        <v>102</v>
      </c>
      <c r="DA2" s="12" t="s">
        <v>103</v>
      </c>
      <c r="DB2" s="12" t="s">
        <v>104</v>
      </c>
      <c r="DC2" s="4" t="s">
        <v>105</v>
      </c>
      <c r="DD2" s="4" t="s">
        <v>106</v>
      </c>
      <c r="DE2" s="4" t="s">
        <v>107</v>
      </c>
      <c r="DF2" s="4" t="s">
        <v>108</v>
      </c>
      <c r="DG2" s="4" t="s">
        <v>109</v>
      </c>
      <c r="DH2" s="2" t="s">
        <v>110</v>
      </c>
      <c r="DI2" s="2" t="s">
        <v>111</v>
      </c>
      <c r="DJ2" s="13" t="s">
        <v>112</v>
      </c>
      <c r="DK2" s="13" t="s">
        <v>113</v>
      </c>
      <c r="DL2" s="14" t="s">
        <v>114</v>
      </c>
      <c r="DM2" s="13" t="s">
        <v>115</v>
      </c>
      <c r="DN2" s="13" t="s">
        <v>116</v>
      </c>
      <c r="DO2" s="13" t="s">
        <v>117</v>
      </c>
      <c r="DP2" s="13" t="s">
        <v>118</v>
      </c>
      <c r="DQ2" s="13" t="s">
        <v>119</v>
      </c>
      <c r="DR2" s="13" t="s">
        <v>120</v>
      </c>
      <c r="DS2" s="14" t="s">
        <v>121</v>
      </c>
      <c r="DT2" s="14" t="s">
        <v>122</v>
      </c>
      <c r="DU2" s="14" t="s">
        <v>123</v>
      </c>
      <c r="DV2" s="14" t="s">
        <v>124</v>
      </c>
      <c r="DW2" s="13" t="s">
        <v>125</v>
      </c>
      <c r="DX2" s="13" t="s">
        <v>126</v>
      </c>
      <c r="DY2" s="14" t="s">
        <v>127</v>
      </c>
      <c r="DZ2" s="13" t="s">
        <v>128</v>
      </c>
      <c r="EA2" s="13"/>
      <c r="EB2" s="14" t="s">
        <v>129</v>
      </c>
      <c r="EC2" s="14" t="s">
        <v>130</v>
      </c>
      <c r="ED2" s="14" t="s">
        <v>131</v>
      </c>
      <c r="EE2" s="15" t="s">
        <v>132</v>
      </c>
      <c r="EF2" s="15" t="s">
        <v>133</v>
      </c>
      <c r="EG2" s="15" t="s">
        <v>134</v>
      </c>
      <c r="EH2" s="15" t="s">
        <v>135</v>
      </c>
      <c r="EI2" s="16" t="s">
        <v>136</v>
      </c>
      <c r="EJ2" s="15" t="s">
        <v>137</v>
      </c>
      <c r="EK2" s="15" t="s">
        <v>138</v>
      </c>
      <c r="EL2" s="15" t="s">
        <v>139</v>
      </c>
      <c r="EM2" s="16" t="s">
        <v>140</v>
      </c>
      <c r="EN2" s="15" t="s">
        <v>141</v>
      </c>
      <c r="EO2" s="15" t="s">
        <v>142</v>
      </c>
      <c r="EP2" s="15" t="s">
        <v>143</v>
      </c>
      <c r="EQ2" s="16" t="s">
        <v>144</v>
      </c>
      <c r="ER2" s="15" t="s">
        <v>145</v>
      </c>
      <c r="ES2" s="15" t="s">
        <v>146</v>
      </c>
      <c r="ET2" s="15" t="s">
        <v>147</v>
      </c>
      <c r="EU2" s="17" t="s">
        <v>148</v>
      </c>
      <c r="EV2" s="17" t="s">
        <v>149</v>
      </c>
      <c r="EW2" s="18" t="s">
        <v>150</v>
      </c>
      <c r="EX2" s="18" t="s">
        <v>151</v>
      </c>
      <c r="EY2" s="19" t="s">
        <v>152</v>
      </c>
      <c r="EZ2" s="18" t="s">
        <v>153</v>
      </c>
      <c r="FA2" s="19" t="s">
        <v>154</v>
      </c>
      <c r="FB2" s="19" t="s">
        <v>155</v>
      </c>
      <c r="FC2" s="19" t="s">
        <v>156</v>
      </c>
      <c r="FD2" s="19" t="s">
        <v>157</v>
      </c>
      <c r="FE2" s="19" t="s">
        <v>158</v>
      </c>
      <c r="FF2" s="19" t="s">
        <v>159</v>
      </c>
      <c r="FG2" s="13"/>
      <c r="FH2" s="13"/>
      <c r="FI2" s="13"/>
    </row>
    <row r="3" spans="1:165" x14ac:dyDescent="0.35">
      <c r="G3" s="179"/>
      <c r="M3" s="25" t="str">
        <f>_xlfn.CONCAT(B4," ",D4," ",E4)</f>
        <v>Toyota MIRAI XLE TYX</v>
      </c>
      <c r="BU3" s="181"/>
      <c r="BW3" s="182"/>
      <c r="EA3" s="159"/>
    </row>
    <row r="4" spans="1:165" x14ac:dyDescent="0.35">
      <c r="A4">
        <v>2025</v>
      </c>
      <c r="B4" t="s">
        <v>327</v>
      </c>
      <c r="C4" t="s">
        <v>317</v>
      </c>
      <c r="D4" t="s">
        <v>2711</v>
      </c>
      <c r="E4" t="s">
        <v>330</v>
      </c>
      <c r="F4">
        <v>202</v>
      </c>
      <c r="G4" s="179">
        <v>0</v>
      </c>
      <c r="I4" t="s">
        <v>587</v>
      </c>
      <c r="J4">
        <v>76</v>
      </c>
      <c r="K4">
        <v>71</v>
      </c>
      <c r="L4">
        <v>74</v>
      </c>
      <c r="M4">
        <v>109.1</v>
      </c>
      <c r="N4">
        <v>102.1</v>
      </c>
      <c r="O4">
        <v>105.8348</v>
      </c>
      <c r="P4">
        <v>76.37</v>
      </c>
      <c r="Q4">
        <v>71.47</v>
      </c>
      <c r="R4">
        <v>74.084299999999999</v>
      </c>
      <c r="V4" t="s">
        <v>588</v>
      </c>
      <c r="W4" t="s">
        <v>589</v>
      </c>
      <c r="Y4">
        <v>1</v>
      </c>
      <c r="Z4" t="s">
        <v>170</v>
      </c>
      <c r="AA4" t="s">
        <v>170</v>
      </c>
      <c r="AB4" t="s">
        <v>171</v>
      </c>
      <c r="AC4" t="s">
        <v>172</v>
      </c>
      <c r="AF4">
        <v>402</v>
      </c>
      <c r="AG4" t="s">
        <v>2712</v>
      </c>
      <c r="AH4" t="s">
        <v>2713</v>
      </c>
      <c r="AI4" t="s">
        <v>175</v>
      </c>
      <c r="AJ4" t="s">
        <v>176</v>
      </c>
      <c r="AK4">
        <v>4</v>
      </c>
      <c r="AL4" t="s">
        <v>1737</v>
      </c>
      <c r="AO4">
        <v>93</v>
      </c>
      <c r="AP4">
        <v>10</v>
      </c>
      <c r="AS4">
        <v>1150</v>
      </c>
      <c r="AT4">
        <v>1100</v>
      </c>
      <c r="BQ4">
        <v>4</v>
      </c>
      <c r="BR4" t="s">
        <v>521</v>
      </c>
      <c r="BS4" t="s">
        <v>180</v>
      </c>
      <c r="BT4" t="s">
        <v>1738</v>
      </c>
      <c r="BU4" s="181">
        <v>45630</v>
      </c>
      <c r="BV4">
        <v>35942</v>
      </c>
      <c r="BW4" s="182"/>
      <c r="BX4" t="s">
        <v>170</v>
      </c>
      <c r="BY4" t="s">
        <v>170</v>
      </c>
      <c r="CB4" t="s">
        <v>170</v>
      </c>
      <c r="CC4" t="s">
        <v>170</v>
      </c>
      <c r="CK4" t="s">
        <v>233</v>
      </c>
      <c r="CM4">
        <v>1</v>
      </c>
      <c r="CN4" t="s">
        <v>234</v>
      </c>
      <c r="CP4">
        <v>311</v>
      </c>
      <c r="CQ4">
        <v>4</v>
      </c>
      <c r="CR4">
        <v>68.5</v>
      </c>
      <c r="CS4" t="s">
        <v>235</v>
      </c>
      <c r="CV4" t="s">
        <v>341</v>
      </c>
      <c r="CX4" t="s">
        <v>1012</v>
      </c>
      <c r="CY4" t="s">
        <v>170</v>
      </c>
      <c r="CZ4" t="s">
        <v>2714</v>
      </c>
      <c r="DA4">
        <v>5.58</v>
      </c>
      <c r="DB4">
        <v>5.81</v>
      </c>
      <c r="DD4">
        <v>1</v>
      </c>
      <c r="DE4" t="s">
        <v>404</v>
      </c>
      <c r="DF4" t="s">
        <v>638</v>
      </c>
      <c r="DG4">
        <v>134</v>
      </c>
      <c r="DL4" t="s">
        <v>169</v>
      </c>
      <c r="DM4" t="s">
        <v>170</v>
      </c>
      <c r="DP4" t="s">
        <v>170</v>
      </c>
      <c r="DQ4" t="s">
        <v>187</v>
      </c>
      <c r="DR4" t="s">
        <v>2715</v>
      </c>
      <c r="EA4" s="159"/>
      <c r="EB4">
        <v>9</v>
      </c>
      <c r="EC4">
        <v>10</v>
      </c>
      <c r="EE4" t="s">
        <v>2716</v>
      </c>
      <c r="EF4">
        <v>10</v>
      </c>
      <c r="EU4">
        <v>4000</v>
      </c>
      <c r="EW4">
        <v>0</v>
      </c>
      <c r="EX4">
        <v>0</v>
      </c>
      <c r="EY4">
        <v>0</v>
      </c>
    </row>
    <row r="5" spans="1:165" x14ac:dyDescent="0.35">
      <c r="A5">
        <v>2025</v>
      </c>
      <c r="B5" t="s">
        <v>327</v>
      </c>
      <c r="C5" t="s">
        <v>317</v>
      </c>
      <c r="D5" t="s">
        <v>2711</v>
      </c>
      <c r="E5" t="s">
        <v>330</v>
      </c>
      <c r="F5">
        <v>202</v>
      </c>
      <c r="G5" s="179">
        <v>0</v>
      </c>
      <c r="I5" t="s">
        <v>587</v>
      </c>
      <c r="J5">
        <v>74</v>
      </c>
      <c r="K5">
        <v>70</v>
      </c>
      <c r="L5">
        <v>72</v>
      </c>
      <c r="M5">
        <v>106.9515</v>
      </c>
      <c r="N5">
        <v>100.0625</v>
      </c>
      <c r="O5">
        <v>103.7376</v>
      </c>
      <c r="P5">
        <v>74</v>
      </c>
      <c r="Q5">
        <v>70.043800000000005</v>
      </c>
      <c r="R5">
        <v>72</v>
      </c>
      <c r="V5" t="s">
        <v>588</v>
      </c>
      <c r="W5" t="s">
        <v>589</v>
      </c>
      <c r="Y5">
        <v>1</v>
      </c>
      <c r="Z5" t="s">
        <v>170</v>
      </c>
      <c r="AA5" t="s">
        <v>170</v>
      </c>
      <c r="AB5" t="s">
        <v>171</v>
      </c>
      <c r="AC5" t="s">
        <v>172</v>
      </c>
      <c r="AF5">
        <v>402</v>
      </c>
      <c r="AG5" t="s">
        <v>2712</v>
      </c>
      <c r="AH5" t="s">
        <v>2713</v>
      </c>
      <c r="AI5" t="s">
        <v>2717</v>
      </c>
      <c r="AJ5" t="s">
        <v>2718</v>
      </c>
      <c r="AK5">
        <v>4</v>
      </c>
      <c r="AL5" t="s">
        <v>1737</v>
      </c>
      <c r="AO5">
        <v>93</v>
      </c>
      <c r="AP5">
        <v>10</v>
      </c>
      <c r="AS5">
        <v>1150</v>
      </c>
      <c r="AT5">
        <v>1150</v>
      </c>
      <c r="BQ5">
        <v>4</v>
      </c>
      <c r="BR5" t="s">
        <v>521</v>
      </c>
      <c r="BS5" t="s">
        <v>180</v>
      </c>
      <c r="BT5" t="s">
        <v>1738</v>
      </c>
      <c r="BU5" s="181">
        <v>45630</v>
      </c>
      <c r="BV5">
        <v>35942</v>
      </c>
      <c r="BW5" s="182"/>
      <c r="BX5" t="s">
        <v>170</v>
      </c>
      <c r="BY5" t="s">
        <v>170</v>
      </c>
      <c r="CB5" t="s">
        <v>170</v>
      </c>
      <c r="CC5" t="s">
        <v>170</v>
      </c>
      <c r="CK5" t="s">
        <v>233</v>
      </c>
      <c r="CM5">
        <v>1</v>
      </c>
      <c r="CN5" t="s">
        <v>234</v>
      </c>
      <c r="CP5">
        <v>311</v>
      </c>
      <c r="CQ5">
        <v>4</v>
      </c>
      <c r="CR5">
        <v>68.5</v>
      </c>
      <c r="CS5" t="s">
        <v>235</v>
      </c>
      <c r="CV5" t="s">
        <v>341</v>
      </c>
      <c r="CX5" t="s">
        <v>1012</v>
      </c>
      <c r="CY5" t="s">
        <v>170</v>
      </c>
      <c r="CZ5" t="s">
        <v>2714</v>
      </c>
      <c r="DA5">
        <v>5.58</v>
      </c>
      <c r="DB5">
        <v>5.81</v>
      </c>
      <c r="DD5">
        <v>1</v>
      </c>
      <c r="DE5" t="s">
        <v>404</v>
      </c>
      <c r="DF5" t="s">
        <v>638</v>
      </c>
      <c r="DG5">
        <v>134</v>
      </c>
      <c r="DL5" t="s">
        <v>169</v>
      </c>
      <c r="DM5" t="s">
        <v>170</v>
      </c>
      <c r="DP5" t="s">
        <v>170</v>
      </c>
      <c r="DQ5" t="s">
        <v>187</v>
      </c>
      <c r="DR5" t="s">
        <v>2715</v>
      </c>
      <c r="EA5" s="159"/>
      <c r="EB5">
        <v>9</v>
      </c>
      <c r="EC5">
        <v>10</v>
      </c>
      <c r="EE5" t="s">
        <v>2716</v>
      </c>
      <c r="EF5">
        <v>10</v>
      </c>
      <c r="EU5">
        <v>4000</v>
      </c>
      <c r="EW5">
        <v>0</v>
      </c>
      <c r="EX5">
        <v>0</v>
      </c>
      <c r="EY5">
        <v>0</v>
      </c>
    </row>
    <row r="6" spans="1:165" x14ac:dyDescent="0.35">
      <c r="G6" s="179"/>
      <c r="M6" s="25" t="str">
        <f>_xlfn.CONCAT(B7," ",D7," ",E7)</f>
        <v>Hyundai NEXO HYX</v>
      </c>
      <c r="BU6" s="181"/>
      <c r="BW6" s="182"/>
      <c r="EA6" s="159"/>
    </row>
    <row r="7" spans="1:165" x14ac:dyDescent="0.35">
      <c r="A7">
        <v>2025</v>
      </c>
      <c r="B7" t="s">
        <v>569</v>
      </c>
      <c r="C7" t="s">
        <v>739</v>
      </c>
      <c r="D7" t="s">
        <v>2719</v>
      </c>
      <c r="E7" t="s">
        <v>572</v>
      </c>
      <c r="F7">
        <v>55</v>
      </c>
      <c r="G7" s="179">
        <v>0</v>
      </c>
      <c r="I7" t="s">
        <v>1734</v>
      </c>
      <c r="J7">
        <v>59</v>
      </c>
      <c r="K7">
        <v>54</v>
      </c>
      <c r="L7">
        <v>57</v>
      </c>
      <c r="M7">
        <v>86.394000000000005</v>
      </c>
      <c r="N7">
        <v>78.438000000000002</v>
      </c>
      <c r="O7">
        <v>82.622799999999998</v>
      </c>
      <c r="P7">
        <v>59</v>
      </c>
      <c r="Q7">
        <v>54</v>
      </c>
      <c r="R7">
        <v>57</v>
      </c>
      <c r="V7" t="s">
        <v>167</v>
      </c>
      <c r="W7" t="s">
        <v>168</v>
      </c>
      <c r="X7" t="s">
        <v>2720</v>
      </c>
      <c r="Y7">
        <v>1</v>
      </c>
      <c r="Z7" t="s">
        <v>170</v>
      </c>
      <c r="AA7" t="s">
        <v>170</v>
      </c>
      <c r="AB7" t="s">
        <v>351</v>
      </c>
      <c r="AC7" t="s">
        <v>352</v>
      </c>
      <c r="AF7">
        <v>354</v>
      </c>
      <c r="AG7" t="s">
        <v>2712</v>
      </c>
      <c r="AH7" t="s">
        <v>2713</v>
      </c>
      <c r="AI7" t="s">
        <v>175</v>
      </c>
      <c r="AJ7" t="s">
        <v>176</v>
      </c>
      <c r="AK7">
        <v>4</v>
      </c>
      <c r="AL7" t="s">
        <v>1737</v>
      </c>
      <c r="AQ7">
        <v>101</v>
      </c>
      <c r="AR7">
        <v>30</v>
      </c>
      <c r="AS7">
        <v>1500</v>
      </c>
      <c r="AT7">
        <v>1450</v>
      </c>
      <c r="BQ7">
        <v>30</v>
      </c>
      <c r="BR7" t="s">
        <v>1099</v>
      </c>
      <c r="BT7" t="s">
        <v>1738</v>
      </c>
      <c r="BU7" s="181">
        <v>45534</v>
      </c>
      <c r="BV7">
        <v>35402</v>
      </c>
      <c r="BW7" s="182"/>
      <c r="BX7" t="s">
        <v>170</v>
      </c>
      <c r="BY7" t="s">
        <v>170</v>
      </c>
      <c r="CB7" t="s">
        <v>170</v>
      </c>
      <c r="CC7" t="s">
        <v>170</v>
      </c>
      <c r="CK7" t="s">
        <v>233</v>
      </c>
      <c r="CM7">
        <v>1</v>
      </c>
      <c r="CN7" t="s">
        <v>234</v>
      </c>
      <c r="CP7">
        <v>240</v>
      </c>
      <c r="CQ7">
        <v>6.5</v>
      </c>
      <c r="CR7">
        <v>37.4</v>
      </c>
      <c r="CS7" t="s">
        <v>235</v>
      </c>
      <c r="CV7" t="s">
        <v>341</v>
      </c>
      <c r="CX7" t="s">
        <v>729</v>
      </c>
      <c r="CY7" t="s">
        <v>170</v>
      </c>
      <c r="CZ7" t="s">
        <v>2721</v>
      </c>
      <c r="DA7">
        <v>6.33</v>
      </c>
      <c r="DB7">
        <v>6.39</v>
      </c>
      <c r="DD7">
        <v>1</v>
      </c>
      <c r="DE7" t="s">
        <v>404</v>
      </c>
      <c r="DF7" t="s">
        <v>2598</v>
      </c>
      <c r="DG7">
        <v>120</v>
      </c>
      <c r="DL7" t="s">
        <v>169</v>
      </c>
      <c r="DM7" t="s">
        <v>170</v>
      </c>
      <c r="DP7" t="s">
        <v>170</v>
      </c>
      <c r="DQ7" t="s">
        <v>187</v>
      </c>
      <c r="EA7" s="159"/>
      <c r="EB7">
        <v>8</v>
      </c>
      <c r="EC7">
        <v>10</v>
      </c>
      <c r="EE7" t="s">
        <v>2722</v>
      </c>
      <c r="EF7">
        <v>10</v>
      </c>
      <c r="EU7">
        <v>2000</v>
      </c>
      <c r="EW7">
        <v>0</v>
      </c>
      <c r="EX7">
        <v>0</v>
      </c>
      <c r="EY7">
        <v>0</v>
      </c>
    </row>
    <row r="8" spans="1:165" x14ac:dyDescent="0.35">
      <c r="A8">
        <v>2025</v>
      </c>
      <c r="B8" t="s">
        <v>569</v>
      </c>
      <c r="C8" t="s">
        <v>739</v>
      </c>
      <c r="D8" t="s">
        <v>2719</v>
      </c>
      <c r="E8" t="s">
        <v>572</v>
      </c>
      <c r="F8">
        <v>55</v>
      </c>
      <c r="G8" s="179">
        <v>0</v>
      </c>
      <c r="I8" t="s">
        <v>1734</v>
      </c>
      <c r="J8">
        <v>58</v>
      </c>
      <c r="K8">
        <v>53</v>
      </c>
      <c r="L8">
        <v>56</v>
      </c>
      <c r="M8">
        <v>84.7</v>
      </c>
      <c r="N8">
        <v>76.900000000000006</v>
      </c>
      <c r="O8">
        <v>81.002700000000004</v>
      </c>
      <c r="P8">
        <v>58</v>
      </c>
      <c r="Q8">
        <v>53</v>
      </c>
      <c r="R8">
        <v>56</v>
      </c>
      <c r="V8" t="s">
        <v>167</v>
      </c>
      <c r="W8" t="s">
        <v>168</v>
      </c>
      <c r="X8" t="s">
        <v>2720</v>
      </c>
      <c r="Y8">
        <v>1</v>
      </c>
      <c r="Z8" t="s">
        <v>170</v>
      </c>
      <c r="AA8" t="s">
        <v>170</v>
      </c>
      <c r="AB8" t="s">
        <v>351</v>
      </c>
      <c r="AC8" t="s">
        <v>352</v>
      </c>
      <c r="AF8">
        <v>354</v>
      </c>
      <c r="AG8" t="s">
        <v>2712</v>
      </c>
      <c r="AH8" t="s">
        <v>2713</v>
      </c>
      <c r="AI8" t="s">
        <v>2717</v>
      </c>
      <c r="AJ8" t="s">
        <v>2718</v>
      </c>
      <c r="AK8">
        <v>4</v>
      </c>
      <c r="AL8" t="s">
        <v>1737</v>
      </c>
      <c r="AQ8">
        <v>101</v>
      </c>
      <c r="AR8">
        <v>30</v>
      </c>
      <c r="AS8">
        <v>1500</v>
      </c>
      <c r="AT8">
        <v>1500</v>
      </c>
      <c r="BQ8">
        <v>30</v>
      </c>
      <c r="BR8" t="s">
        <v>1099</v>
      </c>
      <c r="BT8" t="s">
        <v>1738</v>
      </c>
      <c r="BU8" s="181">
        <v>45534</v>
      </c>
      <c r="BV8">
        <v>35402</v>
      </c>
      <c r="BW8" s="182"/>
      <c r="BX8" t="s">
        <v>170</v>
      </c>
      <c r="BY8" t="s">
        <v>170</v>
      </c>
      <c r="CB8" t="s">
        <v>170</v>
      </c>
      <c r="CC8" t="s">
        <v>170</v>
      </c>
      <c r="CK8" t="s">
        <v>233</v>
      </c>
      <c r="CM8">
        <v>1</v>
      </c>
      <c r="CN8" t="s">
        <v>234</v>
      </c>
      <c r="CP8">
        <v>240</v>
      </c>
      <c r="CQ8">
        <v>6.5</v>
      </c>
      <c r="CR8">
        <v>37.4</v>
      </c>
      <c r="CS8" t="s">
        <v>235</v>
      </c>
      <c r="CV8" t="s">
        <v>341</v>
      </c>
      <c r="CX8" t="s">
        <v>729</v>
      </c>
      <c r="CY8" t="s">
        <v>170</v>
      </c>
      <c r="CZ8" t="s">
        <v>2721</v>
      </c>
      <c r="DA8">
        <v>6.33</v>
      </c>
      <c r="DB8">
        <v>6.39</v>
      </c>
      <c r="DD8">
        <v>1</v>
      </c>
      <c r="DE8" t="s">
        <v>404</v>
      </c>
      <c r="DF8" t="s">
        <v>2598</v>
      </c>
      <c r="DG8">
        <v>120</v>
      </c>
      <c r="DL8" t="s">
        <v>169</v>
      </c>
      <c r="DM8" t="s">
        <v>170</v>
      </c>
      <c r="DP8" t="s">
        <v>170</v>
      </c>
      <c r="DQ8" t="s">
        <v>187</v>
      </c>
      <c r="EA8" s="159"/>
      <c r="EB8">
        <v>8</v>
      </c>
      <c r="EC8">
        <v>10</v>
      </c>
      <c r="EE8" t="s">
        <v>2722</v>
      </c>
      <c r="EF8">
        <v>10</v>
      </c>
      <c r="EU8">
        <v>2000</v>
      </c>
      <c r="EW8">
        <v>0</v>
      </c>
      <c r="EX8">
        <v>0</v>
      </c>
      <c r="EY8">
        <v>0</v>
      </c>
    </row>
    <row r="9" spans="1:165" x14ac:dyDescent="0.35">
      <c r="G9" s="179"/>
      <c r="M9" s="25" t="str">
        <f>_xlfn.CONCAT(B10," ",D10," ",E10)</f>
        <v>Hyundai NEXO Blue HYX</v>
      </c>
      <c r="BU9" s="181"/>
      <c r="BW9" s="182"/>
      <c r="EA9" s="159"/>
    </row>
    <row r="10" spans="1:165" x14ac:dyDescent="0.35">
      <c r="A10">
        <v>2025</v>
      </c>
      <c r="B10" t="s">
        <v>569</v>
      </c>
      <c r="C10" t="s">
        <v>739</v>
      </c>
      <c r="D10" t="s">
        <v>2723</v>
      </c>
      <c r="E10" t="s">
        <v>572</v>
      </c>
      <c r="F10">
        <v>56</v>
      </c>
      <c r="G10" s="179">
        <v>0</v>
      </c>
      <c r="I10" t="s">
        <v>1734</v>
      </c>
      <c r="J10">
        <v>65</v>
      </c>
      <c r="K10">
        <v>58</v>
      </c>
      <c r="L10">
        <v>61</v>
      </c>
      <c r="M10">
        <v>95.37</v>
      </c>
      <c r="N10">
        <v>84.251999999999995</v>
      </c>
      <c r="O10">
        <v>90.024100000000004</v>
      </c>
      <c r="P10">
        <v>65</v>
      </c>
      <c r="Q10">
        <v>58</v>
      </c>
      <c r="R10">
        <v>61</v>
      </c>
      <c r="V10" t="s">
        <v>167</v>
      </c>
      <c r="W10" t="s">
        <v>168</v>
      </c>
      <c r="X10" t="s">
        <v>2720</v>
      </c>
      <c r="Y10">
        <v>1</v>
      </c>
      <c r="Z10" t="s">
        <v>170</v>
      </c>
      <c r="AA10" t="s">
        <v>170</v>
      </c>
      <c r="AB10" t="s">
        <v>351</v>
      </c>
      <c r="AC10" t="s">
        <v>352</v>
      </c>
      <c r="AF10">
        <v>380</v>
      </c>
      <c r="AG10" t="s">
        <v>2712</v>
      </c>
      <c r="AH10" t="s">
        <v>2713</v>
      </c>
      <c r="AI10" t="s">
        <v>175</v>
      </c>
      <c r="AJ10" t="s">
        <v>176</v>
      </c>
      <c r="AK10">
        <v>4</v>
      </c>
      <c r="AL10" t="s">
        <v>1737</v>
      </c>
      <c r="AQ10">
        <v>101</v>
      </c>
      <c r="AR10">
        <v>30</v>
      </c>
      <c r="AS10">
        <v>1400</v>
      </c>
      <c r="AT10">
        <v>1350</v>
      </c>
      <c r="BQ10">
        <v>30</v>
      </c>
      <c r="BR10" t="s">
        <v>1099</v>
      </c>
      <c r="BT10" t="s">
        <v>1738</v>
      </c>
      <c r="BU10" s="181">
        <v>45534</v>
      </c>
      <c r="BV10">
        <v>35403</v>
      </c>
      <c r="BW10" s="182"/>
      <c r="BX10" t="s">
        <v>169</v>
      </c>
      <c r="BY10" t="s">
        <v>170</v>
      </c>
      <c r="CB10" t="s">
        <v>170</v>
      </c>
      <c r="CC10" t="s">
        <v>170</v>
      </c>
      <c r="CK10" t="s">
        <v>233</v>
      </c>
      <c r="CM10">
        <v>1</v>
      </c>
      <c r="CN10" t="s">
        <v>234</v>
      </c>
      <c r="CP10">
        <v>240</v>
      </c>
      <c r="CQ10">
        <v>6.5</v>
      </c>
      <c r="CR10">
        <v>37.4</v>
      </c>
      <c r="CS10" t="s">
        <v>235</v>
      </c>
      <c r="CV10" t="s">
        <v>341</v>
      </c>
      <c r="CX10" t="s">
        <v>729</v>
      </c>
      <c r="CY10" t="s">
        <v>170</v>
      </c>
      <c r="CZ10" t="s">
        <v>2721</v>
      </c>
      <c r="DA10">
        <v>6.33</v>
      </c>
      <c r="DB10">
        <v>6.39</v>
      </c>
      <c r="DD10">
        <v>1</v>
      </c>
      <c r="DE10" t="s">
        <v>404</v>
      </c>
      <c r="DF10" t="s">
        <v>2598</v>
      </c>
      <c r="DG10">
        <v>120</v>
      </c>
      <c r="DL10" t="s">
        <v>169</v>
      </c>
      <c r="DM10" t="s">
        <v>170</v>
      </c>
      <c r="DP10" t="s">
        <v>170</v>
      </c>
      <c r="DQ10" t="s">
        <v>187</v>
      </c>
      <c r="EA10" s="159"/>
      <c r="EB10">
        <v>8</v>
      </c>
      <c r="EC10">
        <v>10</v>
      </c>
      <c r="EE10" t="s">
        <v>2722</v>
      </c>
      <c r="EF10">
        <v>10</v>
      </c>
      <c r="EU10">
        <v>2500</v>
      </c>
      <c r="EW10">
        <v>0</v>
      </c>
      <c r="EX10">
        <v>0</v>
      </c>
      <c r="EY10">
        <v>0</v>
      </c>
    </row>
    <row r="11" spans="1:165" x14ac:dyDescent="0.35">
      <c r="A11">
        <v>2025</v>
      </c>
      <c r="B11" t="s">
        <v>569</v>
      </c>
      <c r="C11" t="s">
        <v>739</v>
      </c>
      <c r="D11" t="s">
        <v>2723</v>
      </c>
      <c r="E11" t="s">
        <v>572</v>
      </c>
      <c r="F11">
        <v>56</v>
      </c>
      <c r="G11" s="179">
        <v>0</v>
      </c>
      <c r="I11" t="s">
        <v>1734</v>
      </c>
      <c r="J11">
        <v>64</v>
      </c>
      <c r="K11">
        <v>56</v>
      </c>
      <c r="L11">
        <v>60</v>
      </c>
      <c r="M11">
        <v>93.5</v>
      </c>
      <c r="N11">
        <v>82.6</v>
      </c>
      <c r="O11">
        <v>88.259</v>
      </c>
      <c r="P11">
        <v>64</v>
      </c>
      <c r="Q11">
        <v>56</v>
      </c>
      <c r="R11">
        <v>60</v>
      </c>
      <c r="V11" t="s">
        <v>167</v>
      </c>
      <c r="W11" t="s">
        <v>168</v>
      </c>
      <c r="X11" t="s">
        <v>2720</v>
      </c>
      <c r="Y11">
        <v>1</v>
      </c>
      <c r="Z11" t="s">
        <v>170</v>
      </c>
      <c r="AA11" t="s">
        <v>170</v>
      </c>
      <c r="AB11" t="s">
        <v>351</v>
      </c>
      <c r="AC11" t="s">
        <v>352</v>
      </c>
      <c r="AF11">
        <v>380</v>
      </c>
      <c r="AG11" t="s">
        <v>2712</v>
      </c>
      <c r="AH11" t="s">
        <v>2713</v>
      </c>
      <c r="AI11" t="s">
        <v>2717</v>
      </c>
      <c r="AJ11" t="s">
        <v>2718</v>
      </c>
      <c r="AK11">
        <v>4</v>
      </c>
      <c r="AL11" t="s">
        <v>1737</v>
      </c>
      <c r="AQ11">
        <v>101</v>
      </c>
      <c r="AR11">
        <v>30</v>
      </c>
      <c r="AS11">
        <v>1400</v>
      </c>
      <c r="AT11">
        <v>1400</v>
      </c>
      <c r="BQ11">
        <v>30</v>
      </c>
      <c r="BR11" t="s">
        <v>1099</v>
      </c>
      <c r="BT11" t="s">
        <v>1738</v>
      </c>
      <c r="BU11" s="181">
        <v>45534</v>
      </c>
      <c r="BV11">
        <v>35403</v>
      </c>
      <c r="BW11" s="182"/>
      <c r="BX11" t="s">
        <v>169</v>
      </c>
      <c r="BY11" t="s">
        <v>170</v>
      </c>
      <c r="CB11" t="s">
        <v>170</v>
      </c>
      <c r="CC11" t="s">
        <v>170</v>
      </c>
      <c r="CK11" t="s">
        <v>233</v>
      </c>
      <c r="CM11">
        <v>1</v>
      </c>
      <c r="CN11" t="s">
        <v>234</v>
      </c>
      <c r="CP11">
        <v>240</v>
      </c>
      <c r="CQ11">
        <v>6.5</v>
      </c>
      <c r="CR11">
        <v>37.4</v>
      </c>
      <c r="CS11" t="s">
        <v>235</v>
      </c>
      <c r="CV11" t="s">
        <v>341</v>
      </c>
      <c r="CX11" t="s">
        <v>729</v>
      </c>
      <c r="CY11" t="s">
        <v>170</v>
      </c>
      <c r="CZ11" t="s">
        <v>2721</v>
      </c>
      <c r="DA11">
        <v>6.33</v>
      </c>
      <c r="DB11">
        <v>6.39</v>
      </c>
      <c r="DD11">
        <v>1</v>
      </c>
      <c r="DE11" t="s">
        <v>404</v>
      </c>
      <c r="DF11" t="s">
        <v>2598</v>
      </c>
      <c r="DG11">
        <v>120</v>
      </c>
      <c r="DL11" t="s">
        <v>169</v>
      </c>
      <c r="DM11" t="s">
        <v>170</v>
      </c>
      <c r="DP11" t="s">
        <v>170</v>
      </c>
      <c r="DQ11" t="s">
        <v>187</v>
      </c>
      <c r="EA11" s="159"/>
      <c r="EB11">
        <v>8</v>
      </c>
      <c r="EC11">
        <v>10</v>
      </c>
      <c r="EE11" t="s">
        <v>2722</v>
      </c>
      <c r="EF11">
        <v>10</v>
      </c>
      <c r="EU11">
        <v>2500</v>
      </c>
      <c r="EW11">
        <v>0</v>
      </c>
      <c r="EX11">
        <v>0</v>
      </c>
      <c r="EY1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FEguide</vt:lpstr>
      <vt:lpstr>EV</vt:lpstr>
      <vt:lpstr>PHEV</vt:lpstr>
      <vt:lpstr>FCV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 Jia</cp:lastModifiedBy>
  <dcterms:created xsi:type="dcterms:W3CDTF">2025-08-20T22:45:00Z</dcterms:created>
  <dcterms:modified xsi:type="dcterms:W3CDTF">2025-08-22T18:06:21Z</dcterms:modified>
</cp:coreProperties>
</file>